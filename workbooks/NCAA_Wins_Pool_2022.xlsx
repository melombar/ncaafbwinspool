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ings" sheetId="1" r:id="rId4"/>
    <sheet state="visible" name="Current Week" sheetId="2" r:id="rId5"/>
    <sheet state="visible" name="Active Games" sheetId="3" r:id="rId6"/>
    <sheet state="hidden" name="Saturday" sheetId="4" r:id="rId7"/>
    <sheet state="hidden" name="Thursday" sheetId="5" r:id="rId8"/>
    <sheet state="hidden" name="Tuesday" sheetId="6" r:id="rId9"/>
    <sheet state="hidden" name="Actual Conferences" sheetId="7" r:id="rId10"/>
    <sheet state="hidden" name="Wednesday" sheetId="8" r:id="rId11"/>
    <sheet state="hidden" name="Friday" sheetId="9" r:id="rId12"/>
    <sheet state="hidden" name="Sunday" sheetId="10" r:id="rId13"/>
    <sheet state="hidden" name="Monday" sheetId="11" r:id="rId14"/>
    <sheet state="hidden" name="Picks by Player" sheetId="12" r:id="rId15"/>
    <sheet state="visible" name="DraftTracker" sheetId="13" r:id="rId16"/>
    <sheet state="hidden" name="OnTheClocks Eligable Teams" sheetId="14" r:id="rId17"/>
    <sheet state="visible" name="ALL Teams Available" sheetId="15" r:id="rId18"/>
    <sheet state="hidden" name="Teams-Conference" sheetId="16" r:id="rId19"/>
    <sheet state="hidden" name="P5G5" sheetId="17" r:id="rId20"/>
    <sheet state="hidden" name="Teams" sheetId="18" r:id="rId21"/>
    <sheet state="hidden" name="Conferences Needed" sheetId="19" r:id="rId22"/>
    <sheet state="hidden" name="PXP sorted by Conf" sheetId="20" r:id="rId23"/>
    <sheet state="hidden" name="Draft Schedule Notes" sheetId="21" r:id="rId24"/>
    <sheet state="hidden" name="Draft Order" sheetId="22" r:id="rId25"/>
    <sheet state="hidden" name="ACTranspose" sheetId="23" r:id="rId26"/>
    <sheet state="hidden" name="Picks by Player Raw" sheetId="24" r:id="rId27"/>
    <sheet state="hidden" name="SheetIDs" sheetId="25" r:id="rId28"/>
    <sheet state="visible" name="team_colors_r" sheetId="26" r:id="rId29"/>
    <sheet state="visible" name="team colors" sheetId="27" r:id="rId30"/>
    <sheet state="visible" name="conference_colors_r" sheetId="28" r:id="rId31"/>
    <sheet state="hidden" name="ESPN rankings import" sheetId="29" r:id="rId32"/>
    <sheet state="hidden" name="Proj Log" sheetId="30" r:id="rId33"/>
    <sheet state="hidden" name="Espn Ranking save" sheetId="31" r:id="rId34"/>
    <sheet state="hidden" name="Translation" sheetId="32" r:id="rId35"/>
    <sheet state="hidden" name="Weekday color codes" sheetId="33" r:id="rId36"/>
    <sheet state="hidden" name="Weekly Log" sheetId="34" r:id="rId37"/>
    <sheet state="hidden" name="Translation 2021" sheetId="35" r:id="rId38"/>
    <sheet state="hidden" name="Team-Color" sheetId="36" r:id="rId39"/>
    <sheet state="hidden" name="Conf-Color" sheetId="37" r:id="rId40"/>
    <sheet state="hidden" name="Network Order" sheetId="38" r:id="rId41"/>
  </sheets>
  <definedNames>
    <definedName hidden="1" localSheetId="1" name="_xlnm._FilterDatabase">'Current Week'!$B$1:$AO$143</definedName>
    <definedName hidden="1" localSheetId="12" name="_xlnm._FilterDatabase">DraftTracker!$A$1:$F$132</definedName>
    <definedName hidden="1" localSheetId="21" name="_xlnm._FilterDatabase">'Draft Order'!$B$1:$C$14</definedName>
    <definedName hidden="1" localSheetId="35" name="_xlnm._FilterDatabase">'Team-Color'!$A$1:$D$132</definedName>
    <definedName hidden="1" localSheetId="37" name="_xlnm._FilterDatabase">'Network Order'!$A$1:$B$36</definedName>
    <definedName hidden="1" localSheetId="1" name="Z_802FD5F3_B69D_4F32_90D0_BC76C46B9B10_.wvu.FilterData">'Current Week'!$A$1:$AN$143</definedName>
    <definedName hidden="1" localSheetId="1" name="Z_2F5D6978_8103_4982_A952_A82121131D60_.wvu.FilterData">'Current Week'!$A$1:$AN$143</definedName>
    <definedName hidden="1" localSheetId="1" name="Z_02C0F99D_E58B_47F0_A01F_CB0E1A13572A_.wvu.FilterData">'Current Week'!$A$1:$AN$143</definedName>
    <definedName hidden="1" localSheetId="1" name="Z_40762A54_BFDE_42BC_863F_2F595046741E_.wvu.FilterData">'Current Week'!$A$1:$AN$143</definedName>
    <definedName hidden="1" localSheetId="1" name="Z_BDFB5449_0979_4AB6_9420_C893E2A2A325_.wvu.FilterData">'Current Week'!$A$1:$AN$143</definedName>
    <definedName hidden="1" localSheetId="1" name="Z_7CD311F9_65F8_4EE1_9E67_A99DAF34F968_.wvu.FilterData">'Current Week'!$A$1:$AN$143</definedName>
    <definedName hidden="1" localSheetId="1" name="Z_0EF448C2_5CE7_4E1D_809C_F055ED054EB3_.wvu.FilterData">'Current Week'!$A$1:$AN$143</definedName>
    <definedName hidden="1" localSheetId="1" name="Z_085EA3B2_06B2_45C4_BB8E_184FF995CD26_.wvu.FilterData">'Current Week'!$A$1:$AN$143</definedName>
    <definedName hidden="1" localSheetId="1" name="Z_37C5CCA2_12E9_4D53_9A80_E756718B0AE1_.wvu.FilterData">'Current Week'!$A$1:$AN$143</definedName>
    <definedName hidden="1" localSheetId="1" name="Z_2D43EF9E_1F73_403A_AC90_798DF65423A2_.wvu.FilterData">'Current Week'!$A$1:$AN$143</definedName>
    <definedName hidden="1" localSheetId="1" name="Z_55197CA4_C382_4087_B714_D270EC12E062_.wvu.FilterData">'Current Week'!$A$1:$AN$143</definedName>
    <definedName hidden="1" localSheetId="1" name="Z_6EBE0E87_58AE_4F21_898B_79ACFB69CE16_.wvu.FilterData">'Current Week'!$A$1:$AN$143</definedName>
    <definedName hidden="1" localSheetId="1" name="Z_2CF210AC_0513_4CB5_BB15_BAB7D8C083F6_.wvu.FilterData">'Current Week'!$A$1:$AN$143</definedName>
    <definedName hidden="1" localSheetId="1" name="Z_DDFBFD07_4084_4A23_B76E_9F49148DA71D_.wvu.FilterData">'Current Week'!$A$1:$AN$143</definedName>
    <definedName hidden="1" localSheetId="12" name="Z_4B7AC05C_7A8C_4316_9C9C_1F2ACDE372A5_.wvu.FilterData">DraftTracker!$B$1:$G$120</definedName>
    <definedName hidden="1" localSheetId="1" name="Z_459BBE37_5475_41C7_8303_B094B5F99377_.wvu.FilterData">'Current Week'!$A$1:$AN$143</definedName>
    <definedName hidden="1" localSheetId="1" name="Z_12049E95_2524_4B51_8555_B3E9CEF3639F_.wvu.FilterData">'Current Week'!$A$1:$AN$143</definedName>
    <definedName hidden="1" localSheetId="1" name="Z_9B0E0977_C867_4A74_95C4_33B4AEE20C98_.wvu.FilterData">'Current Week'!$A$1:$AN$143</definedName>
    <definedName hidden="1" localSheetId="1" name="Z_9FFA2913_0C5E_49E8_8CE6_D2C91F47CFC0_.wvu.FilterData">'Current Week'!$A$1:$AN$143</definedName>
    <definedName hidden="1" localSheetId="1" name="Z_9AB158C9_5499_47BD_8070_3B6DE9608496_.wvu.FilterData">'Current Week'!$A$1:$AN$143</definedName>
  </definedNames>
  <calcPr/>
  <customWorkbookViews>
    <customWorkbookView activeSheetId="0" maximized="1" windowHeight="0" windowWidth="0" guid="{802FD5F3-B69D-4F32-90D0-BC76C46B9B10}" name="Josh"/>
    <customWorkbookView activeSheetId="0" maximized="1" windowHeight="0" windowWidth="0" guid="{2F5D6978-8103-4982-A952-A82121131D60}" name=".Upcoming Thursday Games"/>
    <customWorkbookView activeSheetId="0" maximized="1" windowHeight="0" windowWidth="0" guid="{02C0F99D-E58B-47F0-A01F-CB0E1A13572A}" name=".All Active Games"/>
    <customWorkbookView activeSheetId="0" maximized="1" windowHeight="0" windowWidth="0" guid="{40762A54-BFDE-42BC-863F-2F595046741E}" name="Nico"/>
    <customWorkbookView activeSheetId="0" maximized="1" windowHeight="0" windowWidth="0" guid="{BDFB5449-0979-4AB6-9420-C893E2A2A325}" name=".Upcoming Wednesday Games"/>
    <customWorkbookView activeSheetId="0" maximized="1" windowHeight="0" windowWidth="0" guid="{7CD311F9-65F8-4EE1-9E67-A99DAF34F968}" name="Vu"/>
    <customWorkbookView activeSheetId="0" maximized="1" windowHeight="0" windowWidth="0" guid="{0EF448C2-5CE7-4E1D-809C-F055ED054EB3}" name="Nick A."/>
    <customWorkbookView activeSheetId="0" maximized="1" windowHeight="0" windowWidth="0" guid="{085EA3B2-06B2-45C4-BB8E-184FF995CD26}" name="Janice/Mike"/>
    <customWorkbookView activeSheetId="0" maximized="1" windowHeight="0" windowWidth="0" guid="{37C5CCA2-12E9-4D53-9A80-E756718B0AE1}" name="Nick G."/>
    <customWorkbookView activeSheetId="0" maximized="1" windowHeight="0" windowWidth="0" guid="{2D43EF9E-1F73-403A-AC90-798DF65423A2}" name="Gary"/>
    <customWorkbookView activeSheetId="0" maximized="1" windowHeight="0" windowWidth="0" guid="{55197CA4-C382-4087-B714-D270EC12E062}" name="Dan"/>
    <customWorkbookView activeSheetId="0" maximized="1" windowHeight="0" windowWidth="0" guid="{6EBE0E87-58AE-4F21-898B-79ACFB69CE16}" name="Brad"/>
    <customWorkbookView activeSheetId="0" maximized="1" windowHeight="0" windowWidth="0" guid="{2CF210AC-0513-4CB5-BB15-BAB7D8C083F6}" name=".Upcoming Saturday Games"/>
    <customWorkbookView activeSheetId="0" maximized="1" windowHeight="0" windowWidth="0" guid="{DDFBFD07-4084-4A23-B76E-9F49148DA71D}" name="Jeannine"/>
    <customWorkbookView activeSheetId="0" maximized="1" windowHeight="0" windowWidth="0" guid="{4B7AC05C-7A8C-4316-9C9C-1F2ACDE372A5}" name="Filter 1"/>
    <customWorkbookView activeSheetId="0" maximized="1" windowHeight="0" windowWidth="0" guid="{459BBE37-5475-41C7-8303-B094B5F99377}" name=".Upcoming Tuesday Games"/>
    <customWorkbookView activeSheetId="0" maximized="1" windowHeight="0" windowWidth="0" guid="{12049E95-2524-4B51-8555-B3E9CEF3639F}" name="DavEmily"/>
    <customWorkbookView activeSheetId="0" maximized="1" windowHeight="0" windowWidth="0" guid="{9B0E0977-C867-4A74-95C4-33B4AEE20C98}" name=".Upcoming Friday Games"/>
    <customWorkbookView activeSheetId="0" maximized="1" windowHeight="0" windowWidth="0" guid="{9FFA2913-0C5E-49E8-8CE6-D2C91F47CFC0}" name="Masa"/>
    <customWorkbookView activeSheetId="0" maximized="1" windowHeight="0" windowWidth="0" guid="{9AB158C9-5499-47BD-8070-3B6DE9608496}" name="Justi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tc={12abb4b7-421a-4b1f-82de-55b4acc9569d}</author>
  </authors>
  <commentList>
    <comment authorId="0" xr:uid="{12abb4b7-421a-4b1f-82de-55b4acc9569d}" ref="D132">
      <text>
        <t xml:space="preserve">[Threaded comment]
 Your version of Excel allows you to read this threaded comment; however, any edits to it will get removed if the file is opened in a newer version of Excel. Learn more: https://go.microsoft.com/fwlink/?linkid=870924
Comment:
	@bradlytle@gmail.com this game hasn’t been played yet and I’m credited for a win. Please don’t fix this.
Reply:
	Working as intended, that's season record, fsu demolished a cupcake in week 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S1">
      <text>
        <t xml:space="preserve">I need to account for wildcards</t>
      </text>
    </comment>
  </commentList>
</comments>
</file>

<file path=xl/sharedStrings.xml><?xml version="1.0" encoding="utf-8"?>
<sst xmlns="http://schemas.openxmlformats.org/spreadsheetml/2006/main" count="29164" uniqueCount="2233">
  <si>
    <t>Team</t>
  </si>
  <si>
    <t>Game</t>
  </si>
  <si>
    <t>W</t>
  </si>
  <si>
    <t>L</t>
  </si>
  <si>
    <t>matchup</t>
  </si>
  <si>
    <t>Status</t>
  </si>
  <si>
    <t>Player Matchup</t>
  </si>
  <si>
    <t>Status (Time ET)</t>
  </si>
  <si>
    <t>opponent</t>
  </si>
  <si>
    <t>network</t>
  </si>
  <si>
    <t>Opening
Spread</t>
  </si>
  <si>
    <t>Network</t>
  </si>
  <si>
    <t>Spread Comp</t>
  </si>
  <si>
    <t>Current
Spread</t>
  </si>
  <si>
    <t>Spread</t>
  </si>
  <si>
    <t>Current Total</t>
  </si>
  <si>
    <t>order</t>
  </si>
  <si>
    <t>Total</t>
  </si>
  <si>
    <t>Money Lines</t>
  </si>
  <si>
    <t>sort2</t>
  </si>
  <si>
    <t>sort1</t>
  </si>
  <si>
    <t>Comp</t>
  </si>
  <si>
    <t>other</t>
  </si>
  <si>
    <t>MGM_spread</t>
  </si>
  <si>
    <t>MGM_total</t>
  </si>
  <si>
    <t>dif</t>
  </si>
  <si>
    <t>SI_spread</t>
  </si>
  <si>
    <t>SI_total</t>
  </si>
  <si>
    <t>line</t>
  </si>
  <si>
    <t>Wynn_spread</t>
  </si>
  <si>
    <t>Wynn_total</t>
  </si>
  <si>
    <t>Rivers_spread</t>
  </si>
  <si>
    <t>Rivers_total</t>
  </si>
  <si>
    <t>Season</t>
  </si>
  <si>
    <t>DraftKings_spread</t>
  </si>
  <si>
    <t>DraftKings_total</t>
  </si>
  <si>
    <t>FanDuel_spread</t>
  </si>
  <si>
    <t>FanDuel_total</t>
  </si>
  <si>
    <t>Fubu_spread</t>
  </si>
  <si>
    <t>Fubu_total</t>
  </si>
  <si>
    <t>Points_spread</t>
  </si>
  <si>
    <t>Points_total</t>
  </si>
  <si>
    <t>SugarHouse_spread</t>
  </si>
  <si>
    <t>SugarHouse_total</t>
  </si>
  <si>
    <t>UniBet_spread</t>
  </si>
  <si>
    <t>UniBet_total</t>
  </si>
  <si>
    <t>PF</t>
  </si>
  <si>
    <t>PA</t>
  </si>
  <si>
    <t>dupe</t>
  </si>
  <si>
    <t>activeSort</t>
  </si>
  <si>
    <t>Conf</t>
  </si>
  <si>
    <t>Conf type</t>
  </si>
  <si>
    <t>Win</t>
  </si>
  <si>
    <t>Jeannine</t>
  </si>
  <si>
    <t>Oregon</t>
  </si>
  <si>
    <r>
      <rPr>
        <b/>
        <sz val="12.0"/>
      </rPr>
      <t xml:space="preserve">Current Week </t>
    </r>
    <r>
      <rPr>
        <b val="0"/>
        <sz val="8.0"/>
      </rPr>
      <t>(Projections based on most recent Consensus)</t>
    </r>
  </si>
  <si>
    <t>(9) Oregon 34 (22) Oregon State 38</t>
  </si>
  <si>
    <t>FINAL</t>
  </si>
  <si>
    <t>ABC</t>
  </si>
  <si>
    <t>Nick G.</t>
  </si>
  <si>
    <t>Illinois 17 (3) Michigan 19 FINAL</t>
  </si>
  <si>
    <t>Actaul + Chalk Projections</t>
  </si>
  <si>
    <t>(2) Ohio State 43 Maryland 30 FINAL</t>
  </si>
  <si>
    <t>(24) Oklahoma State 13 Oklahoma 28 FINAL</t>
  </si>
  <si>
    <t>Players</t>
  </si>
  <si>
    <t>Wins</t>
  </si>
  <si>
    <t>CBS</t>
  </si>
  <si>
    <t>(1) Georgia 16 Kentucky 6 FINAL</t>
  </si>
  <si>
    <t>Losses</t>
  </si>
  <si>
    <t>P5 Ws</t>
  </si>
  <si>
    <t>NBC</t>
  </si>
  <si>
    <t>Boston College 0 (19) Notre Dame 44 FINAL</t>
  </si>
  <si>
    <t>G5 Ws</t>
  </si>
  <si>
    <t>Games</t>
  </si>
  <si>
    <t>FOX</t>
  </si>
  <si>
    <t>(4) TCU 29 Baylor 28 FINAL</t>
  </si>
  <si>
    <t>Games Played</t>
  </si>
  <si>
    <t>Iowa 13 Minnesota 10 FINAL</t>
  </si>
  <si>
    <t>Games Left</t>
  </si>
  <si>
    <t>(6) USC 48 (16) UCLA 45 FINAL</t>
  </si>
  <si>
    <t>Expected Wins</t>
  </si>
  <si>
    <t>Upsets Won</t>
  </si>
  <si>
    <t>ESPN</t>
  </si>
  <si>
    <t>Wisconsin 15 Nebraska 14 FINAL</t>
  </si>
  <si>
    <t>Upsets Lost</t>
  </si>
  <si>
    <t>Miami 10 (9) Clemson 40 FINAL</t>
  </si>
  <si>
    <t>(5) Tennessee 38 South Carolina 63 FINAL</t>
  </si>
  <si>
    <t>(10) Utah 17 (13) Oregon 20 FINAL</t>
  </si>
  <si>
    <t>FS1</t>
  </si>
  <si>
    <t>Northwestern 9 Purdue 17 FINAL</t>
  </si>
  <si>
    <t>Texas 55 Kansas 14 FINAL</t>
  </si>
  <si>
    <t>Texas Tech 14 Iowa State 10 FINAL</t>
  </si>
  <si>
    <t>San José State 31 Utah State 35 FINAL</t>
  </si>
  <si>
    <t>Pac-12</t>
  </si>
  <si>
    <t>Washington State 31 Arizona 20 FINAL</t>
  </si>
  <si>
    <t>Stanford 20 California 27 FINAL</t>
  </si>
  <si>
    <t>Colorado 7 (15) Washington 54 FINAL</t>
  </si>
  <si>
    <t>ACCN</t>
  </si>
  <si>
    <t>Duke 26 Pittsburgh 28 FINAL</t>
  </si>
  <si>
    <t>(25) NC State 10 Louisville 25 FINAL</t>
  </si>
  <si>
    <t>Syracuse 35 Wake Forest 45 FINAL</t>
  </si>
  <si>
    <t>BTN</t>
  </si>
  <si>
    <t xml:space="preserve">Indiana 39 Michigan State 31 FINAL </t>
  </si>
  <si>
    <t>Janice/Mike</t>
  </si>
  <si>
    <t>(12) Penn State 55 Rutgers 10 FINAL</t>
  </si>
  <si>
    <t>ESPN2</t>
  </si>
  <si>
    <t>Navy 17 (18) UCF 14 FINAL</t>
  </si>
  <si>
    <t>Oregon State 31 Arizona State 7 FINAL</t>
  </si>
  <si>
    <t>Georgia Tech 21 (11) North Carolina 17 FINAL</t>
  </si>
  <si>
    <t>Brad</t>
  </si>
  <si>
    <t>UAB 10 (7) LSU 41 FINAL</t>
  </si>
  <si>
    <t>SECN</t>
  </si>
  <si>
    <t>Florida 24 Vanderbilt 31 FINAL</t>
  </si>
  <si>
    <t>Western Kentucky 17 Auburn 41 FINAL</t>
  </si>
  <si>
    <t>(14) Ole Miss 27 Arkansas 42 FINAL</t>
  </si>
  <si>
    <t>ACC RSN</t>
  </si>
  <si>
    <t>Justin</t>
  </si>
  <si>
    <t>UL Lafayette 17 (20) Florida State 49 FINAL</t>
  </si>
  <si>
    <t>(23) Coastal Carolina 0 Virginia 0 CANCELLED</t>
  </si>
  <si>
    <t>ESPNU</t>
  </si>
  <si>
    <t>Nevada</t>
  </si>
  <si>
    <t>(21) Cincinnati 23 Temple 3 FINAL</t>
  </si>
  <si>
    <t>New Mexico State 14 Missouri 45 FINAL</t>
  </si>
  <si>
    <t>Nevada 13 UNLV 14</t>
  </si>
  <si>
    <t>FS2</t>
  </si>
  <si>
    <t>Colorado State 12 Air Force 24 FINAL</t>
  </si>
  <si>
    <t>CBSSN</t>
  </si>
  <si>
    <t>UConn 17 Army 34 FINAL</t>
  </si>
  <si>
    <t xml:space="preserve">Akron at Buffalo </t>
  </si>
  <si>
    <t>MWC</t>
  </si>
  <si>
    <t>Boise State 20 Wyoming 17 FINAL</t>
  </si>
  <si>
    <t>Dan</t>
  </si>
  <si>
    <t>Fresno State 41 Nevada 14 FINAL</t>
  </si>
  <si>
    <t>espn+</t>
  </si>
  <si>
    <t>Virginia Tech 23 Liberty 22 FINAL</t>
  </si>
  <si>
    <t>UL Monroe 16 Troy 34 FINAL</t>
  </si>
  <si>
    <t>UTSA 41 Rice 7 FINAL</t>
  </si>
  <si>
    <t>Marshall 23 Georgia Southern 10 FINAL</t>
  </si>
  <si>
    <t>Masa</t>
  </si>
  <si>
    <t>Georgia State 40 James Madison 42 FINAL</t>
  </si>
  <si>
    <t>(17) Kansas State 48 West Virginia 31 FINAL</t>
  </si>
  <si>
    <t>Josh</t>
  </si>
  <si>
    <t>Houston 42 East Carolina 3 FINAL</t>
  </si>
  <si>
    <t>North Alabama 0 Memphis 59 FINAL</t>
  </si>
  <si>
    <t>Gary</t>
  </si>
  <si>
    <t>Old Dominion 14 Appalachian State 27 FINAL</t>
  </si>
  <si>
    <t>Florida Atlantic 21 Middle Tennessee 49 FINAL</t>
  </si>
  <si>
    <t>Florida Intl 6 UTEP 40 FINAL</t>
  </si>
  <si>
    <t>Vu</t>
  </si>
  <si>
    <t>espn3</t>
  </si>
  <si>
    <t>Louisiana Tech 21 Charlotte 26 FINAL</t>
  </si>
  <si>
    <t>Arkansas State 13 Texas State 16 FINAL</t>
  </si>
  <si>
    <t>Video</t>
  </si>
  <si>
    <t>UNLV 25 Hawaii 31 FINAL</t>
  </si>
  <si>
    <t>Nico</t>
  </si>
  <si>
    <t>Virginia</t>
  </si>
  <si>
    <t>BYUtv</t>
  </si>
  <si>
    <t>Utah Tech 26 BYU 52 FINAL</t>
  </si>
  <si>
    <t>Virginia 0 Virginia Tech 0</t>
  </si>
  <si>
    <t>NFLN</t>
  </si>
  <si>
    <t>South Alabama 27 Southern Mississippi 20 FINAL</t>
  </si>
  <si>
    <t>CANCELLED</t>
  </si>
  <si>
    <t>Canceled</t>
  </si>
  <si>
    <t>SECN+</t>
  </si>
  <si>
    <t>East Tennessee State 7 Mississippi State 56 FINAL</t>
  </si>
  <si>
    <t>Austin Peay 0 (8) Alabama 34 FINAL</t>
  </si>
  <si>
    <t>Nick A.</t>
  </si>
  <si>
    <t>UMASS 3 Texas A&amp;M 20 FINAL</t>
  </si>
  <si>
    <t>Ohio State</t>
  </si>
  <si>
    <t>(3) Michigan 45 (2) Ohio State 23</t>
  </si>
  <si>
    <t>Old Dominion</t>
  </si>
  <si>
    <t>Old Dominion 20 South Alabama 27</t>
  </si>
  <si>
    <t>SMU 24 (22) Tulane 59 FINAL</t>
  </si>
  <si>
    <t>Missouri</t>
  </si>
  <si>
    <t>Arkansas 27 Missouri 29</t>
  </si>
  <si>
    <t/>
  </si>
  <si>
    <t>Ohio</t>
  </si>
  <si>
    <t>Bowling Green 14 Ohio 38</t>
  </si>
  <si>
    <t>DavEmily</t>
  </si>
  <si>
    <t>Ohio 32 Ball State 18 FINAL</t>
  </si>
  <si>
    <t>Bowling Green 42 Toledo 35 FINAL</t>
  </si>
  <si>
    <t>Florida Atlantic</t>
  </si>
  <si>
    <t>Western Kentucky 32 Florida Atlantic 31</t>
  </si>
  <si>
    <t xml:space="preserve">FINAL </t>
  </si>
  <si>
    <t>Oklahoma</t>
  </si>
  <si>
    <t xml:space="preserve">Oklahoma 0 at Texas Tech 1 </t>
  </si>
  <si>
    <t>ACC</t>
  </si>
  <si>
    <t>Big 12</t>
  </si>
  <si>
    <t>Big Ten</t>
  </si>
  <si>
    <t>CUSA</t>
  </si>
  <si>
    <t>MAC</t>
  </si>
  <si>
    <t>Pac12</t>
  </si>
  <si>
    <t>SEC</t>
  </si>
  <si>
    <t>Sun Belt</t>
  </si>
  <si>
    <t>Independent</t>
  </si>
  <si>
    <t>Tulsa</t>
  </si>
  <si>
    <t>Tulsa 1 at Houston 0</t>
  </si>
  <si>
    <t>Wisconsin</t>
  </si>
  <si>
    <t>Minnesota 23 Wisconsin 16</t>
  </si>
  <si>
    <t>UL Monroe</t>
  </si>
  <si>
    <t>Southern Mississippi 20 UL Monroe 10</t>
  </si>
  <si>
    <t>EMU 31 Kent State 24 FINAL</t>
  </si>
  <si>
    <t>Western Michigan 12 Central Michigan 10 FINAL</t>
  </si>
  <si>
    <t>Miami-OH 29 Northern Illinois 23 FINAL</t>
  </si>
  <si>
    <t>North Texas</t>
  </si>
  <si>
    <t>Rice 17 North Texas 21</t>
  </si>
  <si>
    <t>Clemson</t>
  </si>
  <si>
    <t>South Carolina 31 (8) Clemson 30</t>
  </si>
  <si>
    <t>Miami-OH</t>
  </si>
  <si>
    <t>Ball State 17 Miami-OH 18</t>
  </si>
  <si>
    <t>South Florida</t>
  </si>
  <si>
    <t>UCF 1 at South Florida 0</t>
  </si>
  <si>
    <t>San Diego State 34 New Mexico 10 FINAL</t>
  </si>
  <si>
    <t>South Florida 42 Tulsa 48 FINAL</t>
  </si>
  <si>
    <t>Tennessee</t>
  </si>
  <si>
    <t>(11) Tennessee 50 at Vanderbilt 0</t>
  </si>
  <si>
    <t>Florida State 24 LSU 23 FINAL</t>
  </si>
  <si>
    <t>Kansas</t>
  </si>
  <si>
    <t>Kansas 0 at (13) Kansas State 1</t>
  </si>
  <si>
    <t>San Diego State</t>
  </si>
  <si>
    <t xml:space="preserve">Air Force 1 at San Diego State 0 </t>
  </si>
  <si>
    <t>(4) Clemson 41 Georgia Tech 10 FINAL</t>
  </si>
  <si>
    <t>Washington State</t>
  </si>
  <si>
    <t xml:space="preserve">(12) Washington 54 at Washington State 33 </t>
  </si>
  <si>
    <t>draft</t>
  </si>
  <si>
    <t>rnd</t>
  </si>
  <si>
    <t>pick</t>
  </si>
  <si>
    <t>player</t>
  </si>
  <si>
    <t>conf</t>
  </si>
  <si>
    <t>team</t>
  </si>
  <si>
    <t>Error Check</t>
  </si>
  <si>
    <t>Same confs picked within 10 after</t>
  </si>
  <si>
    <t>Same confs picked within 20 after</t>
  </si>
  <si>
    <t>Same confs picked within 10 before</t>
  </si>
  <si>
    <t>Same confs picked within 20 before</t>
  </si>
  <si>
    <t>wins</t>
  </si>
  <si>
    <t>picks_better_than</t>
  </si>
  <si>
    <t>no_teams_slept_on</t>
  </si>
  <si>
    <t>Opening Spread</t>
  </si>
  <si>
    <t>wins_missed</t>
  </si>
  <si>
    <t>Minnesota</t>
  </si>
  <si>
    <t>bestpick</t>
  </si>
  <si>
    <t>wins_gained</t>
  </si>
  <si>
    <t>teams_slept_on</t>
  </si>
  <si>
    <t>wins_missed_conf</t>
  </si>
  <si>
    <t>picks_better_than_conf</t>
  </si>
  <si>
    <t>no_teams_slept_on_conf</t>
  </si>
  <si>
    <t>bestpick_conf</t>
  </si>
  <si>
    <t>wins_gained_conf</t>
  </si>
  <si>
    <t>teams_slept_on_conf</t>
  </si>
  <si>
    <t>confs_avail</t>
  </si>
  <si>
    <t>wins_missed_confs_avail</t>
  </si>
  <si>
    <t>picks_better_than_confs_avail</t>
  </si>
  <si>
    <t>no_teams_slept_on_confs_avail</t>
  </si>
  <si>
    <t>bestpick_confs_avail</t>
  </si>
  <si>
    <t>wins_gained_confs_avail</t>
  </si>
  <si>
    <t>teams_slept_on_confs_avail</t>
  </si>
  <si>
    <t>Georgia Southern</t>
  </si>
  <si>
    <t>Appalachian State 13 Georgia Southern 14</t>
  </si>
  <si>
    <t>Wake Forest</t>
  </si>
  <si>
    <t>Wake Forest 31 Duke 34</t>
  </si>
  <si>
    <t>UCLA</t>
  </si>
  <si>
    <t>(18) UCLA 35 California 28</t>
  </si>
  <si>
    <t>New Mexico</t>
  </si>
  <si>
    <t>New Mexico 0 Colorado State 17</t>
  </si>
  <si>
    <t>Toledo</t>
  </si>
  <si>
    <t>Toledo 14 Western Michigan 20</t>
  </si>
  <si>
    <t>Tulane</t>
  </si>
  <si>
    <t>(20) Tulane 27 (21) Cincinnati 24</t>
  </si>
  <si>
    <t>Mississippi State</t>
  </si>
  <si>
    <t>Mississippi State 24 (19) Ole Miss 22</t>
  </si>
  <si>
    <t>Western Kentucky</t>
  </si>
  <si>
    <t>Texas Tech</t>
  </si>
  <si>
    <t>Oklahoma 0 at Texas Tech 1</t>
  </si>
  <si>
    <t>Oregon State</t>
  </si>
  <si>
    <t>Florida Intl</t>
  </si>
  <si>
    <t>Middle Tennessee 13 Florida Intl 0</t>
  </si>
  <si>
    <t>Appalachian State</t>
  </si>
  <si>
    <t>Appalachian State 13 Georgia Southern 7</t>
  </si>
  <si>
    <t>UNLV</t>
  </si>
  <si>
    <t>Nevada 15 UNLV 14</t>
  </si>
  <si>
    <t>UConn</t>
  </si>
  <si>
    <t>Cincinnati</t>
  </si>
  <si>
    <t>Kentucky</t>
  </si>
  <si>
    <t>Michigan</t>
  </si>
  <si>
    <t>Central Michigan</t>
  </si>
  <si>
    <t>Central Michigan 19 EMU 38</t>
  </si>
  <si>
    <t>Alabama</t>
  </si>
  <si>
    <t>Auburn 27 (7) Alabama 42</t>
  </si>
  <si>
    <t>Boston College</t>
  </si>
  <si>
    <t>Syracuse 1 at Boston College 0</t>
  </si>
  <si>
    <t>Kansas State</t>
  </si>
  <si>
    <t>UL Lafayette</t>
  </si>
  <si>
    <t>UL Lafayette 26 Texas State 6</t>
  </si>
  <si>
    <t>Michigan State</t>
  </si>
  <si>
    <t>Michigan State 16 (10) Penn State 21</t>
  </si>
  <si>
    <t>UTSA</t>
  </si>
  <si>
    <t>UTEP 31 (25) UTSA 34</t>
  </si>
  <si>
    <t>Northern Illinois</t>
  </si>
  <si>
    <t>Akron 44 Northern Illinois 12</t>
  </si>
  <si>
    <t>Coastal Carolina</t>
  </si>
  <si>
    <t>(23) Coastal Carolina 7 James Madison 47</t>
  </si>
  <si>
    <t>South Alabama</t>
  </si>
  <si>
    <t>Arkansas</t>
  </si>
  <si>
    <t>Utah State</t>
  </si>
  <si>
    <t>Utah State 23 Boise State 42</t>
  </si>
  <si>
    <t>Marshall</t>
  </si>
  <si>
    <t>Georgia State 23 Marshall 28</t>
  </si>
  <si>
    <t>Syracuse</t>
  </si>
  <si>
    <t>Vanderbilt</t>
  </si>
  <si>
    <t>(11) Tennessee 1 at Vanderbilt 0</t>
  </si>
  <si>
    <t>Stanford</t>
  </si>
  <si>
    <t>BYU 1 at Stanford 0</t>
  </si>
  <si>
    <t>Georgia</t>
  </si>
  <si>
    <t>SMU</t>
  </si>
  <si>
    <t>Memphis 31 SMU 34</t>
  </si>
  <si>
    <t>Boise State</t>
  </si>
  <si>
    <t>Charlotte</t>
  </si>
  <si>
    <t>Troy</t>
  </si>
  <si>
    <t>Troy 48 Arkansas State 19</t>
  </si>
  <si>
    <t>Baylor</t>
  </si>
  <si>
    <t>Illinois</t>
  </si>
  <si>
    <t>Arizona</t>
  </si>
  <si>
    <t>Akron</t>
  </si>
  <si>
    <t>Air Force</t>
  </si>
  <si>
    <t>East Carolina</t>
  </si>
  <si>
    <t>Iowa State</t>
  </si>
  <si>
    <t>Indiana</t>
  </si>
  <si>
    <t>Arizona State</t>
  </si>
  <si>
    <t>Ball State</t>
  </si>
  <si>
    <t>Houston</t>
  </si>
  <si>
    <t>Duke</t>
  </si>
  <si>
    <t>Iowa</t>
  </si>
  <si>
    <t>California</t>
  </si>
  <si>
    <t>Louisiana Tech</t>
  </si>
  <si>
    <t>Bowling Green</t>
  </si>
  <si>
    <t>Colorado State</t>
  </si>
  <si>
    <t>Auburn</t>
  </si>
  <si>
    <t>Southern Mississippi</t>
  </si>
  <si>
    <t>Memphis</t>
  </si>
  <si>
    <t>Florida State</t>
  </si>
  <si>
    <t>Maryland</t>
  </si>
  <si>
    <t>Colorado</t>
  </si>
  <si>
    <t>Middle Tennessee</t>
  </si>
  <si>
    <t>Buffalo</t>
  </si>
  <si>
    <t>Fresno State</t>
  </si>
  <si>
    <t>Florida</t>
  </si>
  <si>
    <t>Navy</t>
  </si>
  <si>
    <t>Georgia Tech</t>
  </si>
  <si>
    <t>San José State</t>
  </si>
  <si>
    <t>Hawaii 14 San José State 27</t>
  </si>
  <si>
    <t>Hawaii</t>
  </si>
  <si>
    <t>Arkansas State</t>
  </si>
  <si>
    <t>Louisville</t>
  </si>
  <si>
    <t>Oklahoma State</t>
  </si>
  <si>
    <t>Rice</t>
  </si>
  <si>
    <t>EMU</t>
  </si>
  <si>
    <t>Miami</t>
  </si>
  <si>
    <t>TCU</t>
  </si>
  <si>
    <t>Kent State</t>
  </si>
  <si>
    <t>LSU</t>
  </si>
  <si>
    <t>Georgia State</t>
  </si>
  <si>
    <t>Temple</t>
  </si>
  <si>
    <t>NC State</t>
  </si>
  <si>
    <t>Texas</t>
  </si>
  <si>
    <t>Nebraska</t>
  </si>
  <si>
    <t>UTEP</t>
  </si>
  <si>
    <t>North Carolina</t>
  </si>
  <si>
    <t>Northwestern</t>
  </si>
  <si>
    <t>USC</t>
  </si>
  <si>
    <t>Pittsburgh</t>
  </si>
  <si>
    <t>West Virginia</t>
  </si>
  <si>
    <t>Utah</t>
  </si>
  <si>
    <t>Ole Miss</t>
  </si>
  <si>
    <t>UCF</t>
  </si>
  <si>
    <t>Penn State</t>
  </si>
  <si>
    <t>Louisville 13 Kentucky 26</t>
  </si>
  <si>
    <t>Washington</t>
  </si>
  <si>
    <t>UAB</t>
  </si>
  <si>
    <t>South Carolina</t>
  </si>
  <si>
    <t>Texas State</t>
  </si>
  <si>
    <t>Purdue</t>
  </si>
  <si>
    <t>Western Michigan</t>
  </si>
  <si>
    <t>Wyoming</t>
  </si>
  <si>
    <t>Virginia Tech</t>
  </si>
  <si>
    <t xml:space="preserve">Air Force at San Diego State </t>
  </si>
  <si>
    <t>Rutgers</t>
  </si>
  <si>
    <t>Texas A&amp;M</t>
  </si>
  <si>
    <t>James Madison</t>
  </si>
  <si>
    <t>AAC</t>
  </si>
  <si>
    <t>Rutgers 0 Maryland 37</t>
  </si>
  <si>
    <t>Nebraska 24 Iowa 17</t>
  </si>
  <si>
    <t>(14) Utah 56 Colorado 14</t>
  </si>
  <si>
    <t>BYU</t>
  </si>
  <si>
    <t>New Mexico State</t>
  </si>
  <si>
    <t>New Mexico State 49 Liberty 14</t>
  </si>
  <si>
    <t>UAB 37 Louisiana Tech 27</t>
  </si>
  <si>
    <t>Arizona State 35 Arizona 38</t>
  </si>
  <si>
    <t>Army</t>
  </si>
  <si>
    <t>Liberty</t>
  </si>
  <si>
    <t>Notre Dame</t>
  </si>
  <si>
    <t>UMASS</t>
  </si>
  <si>
    <t>Kent State 30 Buffalo 27</t>
  </si>
  <si>
    <t>Conf Type</t>
  </si>
  <si>
    <t>Power 5</t>
  </si>
  <si>
    <t>Group of 5</t>
  </si>
  <si>
    <t>NC State 30 (17) North Carolina 27</t>
  </si>
  <si>
    <t>(6) LSU 0 at Texas A&amp;M 1</t>
  </si>
  <si>
    <t>(15) Notre Dame 0 at (5) USC 1</t>
  </si>
  <si>
    <t>Southern Mississippi 11 UL Monroe 10</t>
  </si>
  <si>
    <t>Army 44 UMASS 7</t>
  </si>
  <si>
    <t>Illinois 41 Northwestern 3</t>
  </si>
  <si>
    <t>East Carolina 49 Temple 46</t>
  </si>
  <si>
    <t>Wyoming 0 Fresno State 30</t>
  </si>
  <si>
    <t>West Virginia 24 Oklahoma State 19</t>
  </si>
  <si>
    <t>Picked</t>
  </si>
  <si>
    <t>Florida 38 (16) Florida State 45</t>
  </si>
  <si>
    <t>Pittsburgh 1 at Miami 0</t>
  </si>
  <si>
    <t>Purdue 30 Indiana 16</t>
  </si>
  <si>
    <t>Baylor 27 (24) Texas 38</t>
  </si>
  <si>
    <t>Iowa State 7 (4) TCU 55</t>
  </si>
  <si>
    <t>(12) Washington 54 at Washington State 33</t>
  </si>
  <si>
    <t>year</t>
  </si>
  <si>
    <t>N</t>
  </si>
  <si>
    <t>draft start</t>
  </si>
  <si>
    <t>draft end</t>
  </si>
  <si>
    <t>output delay expected?</t>
  </si>
  <si>
    <t>week 2</t>
  </si>
  <si>
    <t>yes, no timeline</t>
  </si>
  <si>
    <t>no</t>
  </si>
  <si>
    <t>????</t>
  </si>
  <si>
    <t>Player</t>
  </si>
  <si>
    <t>Order Rnd()</t>
  </si>
  <si>
    <t>day</t>
  </si>
  <si>
    <t>ID</t>
  </si>
  <si>
    <t>Sunday</t>
  </si>
  <si>
    <t>Monday</t>
  </si>
  <si>
    <t>Tuesday</t>
  </si>
  <si>
    <t>Wednesday</t>
  </si>
  <si>
    <t>Thursday</t>
  </si>
  <si>
    <t>Friday</t>
  </si>
  <si>
    <t>Saturday</t>
  </si>
  <si>
    <t>Undrafted</t>
  </si>
  <si>
    <t>color1</t>
  </si>
  <si>
    <t>color2</t>
  </si>
  <si>
    <t>#0055fa</t>
  </si>
  <si>
    <t>#8a8d8e</t>
  </si>
  <si>
    <t>#00285e</t>
  </si>
  <si>
    <t>#c9b280</t>
  </si>
  <si>
    <t>#7d110c</t>
  </si>
  <si>
    <t>#FFFFFF</t>
  </si>
  <si>
    <t>#ffce00</t>
  </si>
  <si>
    <t>#000000</t>
  </si>
  <si>
    <t>#cc0033</t>
  </si>
  <si>
    <t>#003366</t>
  </si>
  <si>
    <t>#802249</t>
  </si>
  <si>
    <t>#ffb310</t>
  </si>
  <si>
    <t>#cd1429</t>
  </si>
  <si>
    <t>#d4bf91</t>
  </si>
  <si>
    <t>#002b5c</t>
  </si>
  <si>
    <t>#ff571f</t>
  </si>
  <si>
    <t>#ba0c2f</t>
  </si>
  <si>
    <t>#0d4018</t>
  </si>
  <si>
    <t>#ffb517</t>
  </si>
  <si>
    <t>#98002e</t>
  </si>
  <si>
    <t>#bfa464</t>
  </si>
  <si>
    <t>#ff5200</t>
  </si>
  <si>
    <t>#4f2c1d</t>
  </si>
  <si>
    <t>#041a9b</t>
  </si>
  <si>
    <t>#002255</t>
  </si>
  <si>
    <t>#0030a4</t>
  </si>
  <si>
    <t>#002675</t>
  </si>
  <si>
    <t>#ffc72c</t>
  </si>
  <si>
    <t>#71273d</t>
  </si>
  <si>
    <t>#00703c</t>
  </si>
  <si>
    <t>#9a8348</t>
  </si>
  <si>
    <t>#e00122</t>
  </si>
  <si>
    <t>#f66733</t>
  </si>
  <si>
    <t>#522d80</t>
  </si>
  <si>
    <t>#006f71</t>
  </si>
  <si>
    <t>#a27752</t>
  </si>
  <si>
    <t>#d2c694</t>
  </si>
  <si>
    <t>#187031</t>
  </si>
  <si>
    <t>#8d744a</t>
  </si>
  <si>
    <t>#0736a4</t>
  </si>
  <si>
    <t>#592a86</t>
  </si>
  <si>
    <t>#ffc800</t>
  </si>
  <si>
    <t>#006a34</t>
  </si>
  <si>
    <t>#003087</t>
  </si>
  <si>
    <t>#ff5113</t>
  </si>
  <si>
    <t>#cc0000</t>
  </si>
  <si>
    <t>#002d62</t>
  </si>
  <si>
    <t>#c5960c</t>
  </si>
  <si>
    <t>#540115</t>
  </si>
  <si>
    <t>#CDC092</t>
  </si>
  <si>
    <t>#da062e</t>
  </si>
  <si>
    <t>#002e6f</t>
  </si>
  <si>
    <t>#da291c</t>
  </si>
  <si>
    <t>#2c2a29</t>
  </si>
  <si>
    <t>#000066</t>
  </si>
  <si>
    <t>#0039a6</t>
  </si>
  <si>
    <t>#bba16a</t>
  </si>
  <si>
    <t>#00254c</t>
  </si>
  <si>
    <t>#024731</t>
  </si>
  <si>
    <t>#c4c1ba</t>
  </si>
  <si>
    <t>#e34e35</t>
  </si>
  <si>
    <t>#ffe100</t>
  </si>
  <si>
    <t>#a71930</t>
  </si>
  <si>
    <t>#fdc82f</t>
  </si>
  <si>
    <t>#450084</t>
  </si>
  <si>
    <t>#CBB677</t>
  </si>
  <si>
    <t>#0022b4</t>
  </si>
  <si>
    <t>#e8000d</t>
  </si>
  <si>
    <t>#512888</t>
  </si>
  <si>
    <t>#a8adad</t>
  </si>
  <si>
    <t>#003876</t>
  </si>
  <si>
    <t>#f0b310</t>
  </si>
  <si>
    <t>#990000</t>
  </si>
  <si>
    <t>#0A254E</t>
  </si>
  <si>
    <t>#e31b23</t>
  </si>
  <si>
    <t>#002f8b</t>
  </si>
  <si>
    <t>#ad0000</t>
  </si>
  <si>
    <t>#472f92</t>
  </si>
  <si>
    <t>#fdd023</t>
  </si>
  <si>
    <t>#00b140</t>
  </si>
  <si>
    <t>#f5002f</t>
  </si>
  <si>
    <t>#f6d565</t>
  </si>
  <si>
    <t>#0a1691</t>
  </si>
  <si>
    <t>#cbcbcb</t>
  </si>
  <si>
    <t>#005030</t>
  </si>
  <si>
    <t>#f47321</t>
  </si>
  <si>
    <t>#050403</t>
  </si>
  <si>
    <t>#00274c</t>
  </si>
  <si>
    <t>#ffcb05</t>
  </si>
  <si>
    <t>#18453b</t>
  </si>
  <si>
    <t>#0066cc</t>
  </si>
  <si>
    <t>#72c6ef</t>
  </si>
  <si>
    <t>#7a0019</t>
  </si>
  <si>
    <t>#ffcc33</t>
  </si>
  <si>
    <t>#660000</t>
  </si>
  <si>
    <t>#f1b82d</t>
  </si>
  <si>
    <t>#1d1756</t>
  </si>
  <si>
    <t>#ba8b00</t>
  </si>
  <si>
    <t>#cb092e</t>
  </si>
  <si>
    <t>#807f84</t>
  </si>
  <si>
    <t>#c10037</t>
  </si>
  <si>
    <t>#5e5d60</t>
  </si>
  <si>
    <t>#8b2346</t>
  </si>
  <si>
    <t>#6699cc</t>
  </si>
  <si>
    <t>#00a651</t>
  </si>
  <si>
    <t>#a5a7a8</t>
  </si>
  <si>
    <t>#520063</t>
  </si>
  <si>
    <t>#00246b</t>
  </si>
  <si>
    <t>#b18d03</t>
  </si>
  <si>
    <t>#00694e</t>
  </si>
  <si>
    <t>#bb0000</t>
  </si>
  <si>
    <t>#666666</t>
  </si>
  <si>
    <t>#841617</t>
  </si>
  <si>
    <t>#fe5c00</t>
  </si>
  <si>
    <t>#bebebe</t>
  </si>
  <si>
    <t>#004677</t>
  </si>
  <si>
    <t>#cc092f</t>
  </si>
  <si>
    <t>#002663</t>
  </si>
  <si>
    <t>#094c3a</t>
  </si>
  <si>
    <t>#fff200</t>
  </si>
  <si>
    <t>#c34500</t>
  </si>
  <si>
    <t>#011e41</t>
  </si>
  <si>
    <t>#003594</t>
  </si>
  <si>
    <t>#ffb81c</t>
  </si>
  <si>
    <t>#5e6062</t>
  </si>
  <si>
    <t>#d21034</t>
  </si>
  <si>
    <t>#5f6a72</t>
  </si>
  <si>
    <t>#a81933</t>
  </si>
  <si>
    <t>#005a8b</t>
  </si>
  <si>
    <t>#c79900</t>
  </si>
  <si>
    <t>#e51932</t>
  </si>
  <si>
    <t>#005da9</t>
  </si>
  <si>
    <t>#bf0d3e</t>
  </si>
  <si>
    <t>#00205b</t>
  </si>
  <si>
    <t>#73000a</t>
  </si>
  <si>
    <t>#00573c</t>
  </si>
  <si>
    <t>#dfd0a5</t>
  </si>
  <si>
    <t>#ffab00</t>
  </si>
  <si>
    <t>#8c1515</t>
  </si>
  <si>
    <t>#4d4f53</t>
  </si>
  <si>
    <t>#ff5a00</t>
  </si>
  <si>
    <t>#0d1d37</t>
  </si>
  <si>
    <t>#4d1979</t>
  </si>
  <si>
    <t>#990033</t>
  </si>
  <si>
    <t>#f77f00</t>
  </si>
  <si>
    <t>#cc5500</t>
  </si>
  <si>
    <t>#500000</t>
  </si>
  <si>
    <t>#717073</t>
  </si>
  <si>
    <t>#571c1f</t>
  </si>
  <si>
    <t>#ac9055</t>
  </si>
  <si>
    <t>#002569</t>
  </si>
  <si>
    <t>#892034</t>
  </si>
  <si>
    <t>#84888b</t>
  </si>
  <si>
    <t>#00331a</t>
  </si>
  <si>
    <t>#224568</t>
  </si>
  <si>
    <t>#004a8f</t>
  </si>
  <si>
    <t>#ffe075</t>
  </si>
  <si>
    <t>#144B39</t>
  </si>
  <si>
    <t>#FFD400</t>
  </si>
  <si>
    <t>#0073CF</t>
  </si>
  <si>
    <t>#192b5f</t>
  </si>
  <si>
    <t>#7c878e</t>
  </si>
  <si>
    <t>#cf202f</t>
  </si>
  <si>
    <t>#c1c5c9</t>
  </si>
  <si>
    <t>#872434</t>
  </si>
  <si>
    <t>#828a8f</t>
  </si>
  <si>
    <t>#ffcc00</t>
  </si>
  <si>
    <t>#003359</t>
  </si>
  <si>
    <t>#a4aeb5</t>
  </si>
  <si>
    <t>#ff5600</t>
  </si>
  <si>
    <t>#002147</t>
  </si>
  <si>
    <t>#002244</t>
  </si>
  <si>
    <t>#997f3d</t>
  </si>
  <si>
    <t>#0d3268</t>
  </si>
  <si>
    <t>#ff7003</t>
  </si>
  <si>
    <t>#ff6600</t>
  </si>
  <si>
    <t>#9e7e38</t>
  </si>
  <si>
    <t>#363c74</t>
  </si>
  <si>
    <t>#e8d3a2</t>
  </si>
  <si>
    <t>#981e32</t>
  </si>
  <si>
    <t>#5e6a71</t>
  </si>
  <si>
    <t>#00447c</t>
  </si>
  <si>
    <t>#eeb111</t>
  </si>
  <si>
    <t>#b01e24</t>
  </si>
  <si>
    <t>#95774d</t>
  </si>
  <si>
    <t>#4a1a00</t>
  </si>
  <si>
    <t>#c4012f</t>
  </si>
  <si>
    <t>#492f24</t>
  </si>
  <si>
    <t>#ffc425</t>
  </si>
  <si>
    <t>#ef483e</t>
  </si>
  <si>
    <t>#cfd4d8</t>
  </si>
  <si>
    <t>#013ca6</t>
  </si>
  <si>
    <t>#a5a9ab</t>
  </si>
  <si>
    <t>#e2231a</t>
  </si>
  <si>
    <t>#041e41</t>
  </si>
  <si>
    <t>#0c2342</t>
  </si>
  <si>
    <t>#f2a900</t>
  </si>
  <si>
    <t>#a6192e</t>
  </si>
  <si>
    <t>#bbbcbc</t>
  </si>
  <si>
    <t>#00a160</t>
  </si>
  <si>
    <t>#0d2647</t>
  </si>
  <si>
    <t>#0088ce</t>
  </si>
  <si>
    <t>#004b8d</t>
  </si>
  <si>
    <t>#ffd046</t>
  </si>
  <si>
    <t>#4f2d7f</t>
  </si>
  <si>
    <t>#afafaf</t>
  </si>
  <si>
    <t>#004b91</t>
  </si>
  <si>
    <t>#04223f</t>
  </si>
  <si>
    <t>Proj W</t>
  </si>
  <si>
    <t>Date Entry</t>
  </si>
  <si>
    <t>Pojected Wins</t>
  </si>
  <si>
    <t>Pooler</t>
  </si>
  <si>
    <t>CONF</t>
  </si>
  <si>
    <t>Ohio State Buckeyes</t>
  </si>
  <si>
    <t>Georgia Bulldogs</t>
  </si>
  <si>
    <t>Air Force Falcons</t>
  </si>
  <si>
    <t>Texas Longhorns</t>
  </si>
  <si>
    <t>Alabama Crimson Tide</t>
  </si>
  <si>
    <t>Akron Zips</t>
  </si>
  <si>
    <t>Notre Dame Fighting Irish</t>
  </si>
  <si>
    <t>FBS Indep.</t>
  </si>
  <si>
    <t>Oregon Ducks</t>
  </si>
  <si>
    <t>Michigan Wolverines</t>
  </si>
  <si>
    <t>Appalachian State Mountaineers</t>
  </si>
  <si>
    <t>Tennessee Volunteers</t>
  </si>
  <si>
    <t>Arizona State Sun Devils</t>
  </si>
  <si>
    <t>Indiana Hoosiers</t>
  </si>
  <si>
    <t>Arizona Wildcats</t>
  </si>
  <si>
    <t>Miami Hurricanes</t>
  </si>
  <si>
    <t>Penn State Nittany Lions</t>
  </si>
  <si>
    <t>Arkansas Razorbacks</t>
  </si>
  <si>
    <t>Utah Utes</t>
  </si>
  <si>
    <t>Arkansas State Red Wolves</t>
  </si>
  <si>
    <t>LSU Tigers</t>
  </si>
  <si>
    <t>Clemson Tigers</t>
  </si>
  <si>
    <t>Army Black Knights</t>
  </si>
  <si>
    <t>Texas Tech Red Raiders</t>
  </si>
  <si>
    <t>TCU Horned Frogs</t>
  </si>
  <si>
    <t>Auburn Tigers</t>
  </si>
  <si>
    <t>Texas A&amp;M Aggies</t>
  </si>
  <si>
    <t>Kansas State Wildcats</t>
  </si>
  <si>
    <t>Ball State Cardinals</t>
  </si>
  <si>
    <t>Oklahoma Sooners</t>
  </si>
  <si>
    <t>Baylor Bears</t>
  </si>
  <si>
    <t>USC Trojans</t>
  </si>
  <si>
    <t>Florida State Seminoles</t>
  </si>
  <si>
    <t>Boise State Broncos</t>
  </si>
  <si>
    <t>Ole Miss Rebels</t>
  </si>
  <si>
    <t>Boston College Eagles</t>
  </si>
  <si>
    <t>Bowling Green Falcons</t>
  </si>
  <si>
    <t>Buffalo Bulls</t>
  </si>
  <si>
    <t>BYU Cougars</t>
  </si>
  <si>
    <t>Florida Gators</t>
  </si>
  <si>
    <t>Mississippi State Bulldogs</t>
  </si>
  <si>
    <t>California Golden Bears</t>
  </si>
  <si>
    <t>Minnesota Golden Gophers</t>
  </si>
  <si>
    <t>Central Michigan Chippewas</t>
  </si>
  <si>
    <t>Illinois Fighting Illini</t>
  </si>
  <si>
    <t>Charlotte 49ers</t>
  </si>
  <si>
    <t>Missouri Tigers</t>
  </si>
  <si>
    <t>Cincinnati Bearcats</t>
  </si>
  <si>
    <t>Washington Huskies</t>
  </si>
  <si>
    <t>South Carolina Gamecocks</t>
  </si>
  <si>
    <t>Oregon State Beavers</t>
  </si>
  <si>
    <t>Coastal Carolina Chanticleers</t>
  </si>
  <si>
    <t>SMU Mustangs</t>
  </si>
  <si>
    <t>Colorado Buffaloes</t>
  </si>
  <si>
    <t>Iowa Hawkeyes</t>
  </si>
  <si>
    <t>Louisville Cardinals</t>
  </si>
  <si>
    <t>Colorado State Rams</t>
  </si>
  <si>
    <t>Duke Blue Devils</t>
  </si>
  <si>
    <t>Bottom Line</t>
  </si>
  <si>
    <t>Wisconsin Badgers</t>
  </si>
  <si>
    <t>East Carolina Pirates</t>
  </si>
  <si>
    <t>Florida International</t>
  </si>
  <si>
    <t>Southern Miss</t>
  </si>
  <si>
    <t>Eastern Michigan</t>
  </si>
  <si>
    <t>Miami OH</t>
  </si>
  <si>
    <t>UCF Knights</t>
  </si>
  <si>
    <t>American</t>
  </si>
  <si>
    <t>Hawai'i</t>
  </si>
  <si>
    <t>Eastern Michigan Eagles</t>
  </si>
  <si>
    <t>San Jose State</t>
  </si>
  <si>
    <t>Texas AM</t>
  </si>
  <si>
    <t>Louisiana</t>
  </si>
  <si>
    <t>Vanderbilt Commodores</t>
  </si>
  <si>
    <t>UMass</t>
  </si>
  <si>
    <t>UCLA Bruins</t>
  </si>
  <si>
    <t>ESPNs HTML</t>
  </si>
  <si>
    <t>Florida Atlantic Owls</t>
  </si>
  <si>
    <t>CIN</t>
  </si>
  <si>
    <t>CONN</t>
  </si>
  <si>
    <t>ECU</t>
  </si>
  <si>
    <t>HOU</t>
  </si>
  <si>
    <t>MEM</t>
  </si>
  <si>
    <t>NAVY</t>
  </si>
  <si>
    <t>USF</t>
  </si>
  <si>
    <t>TEM</t>
  </si>
  <si>
    <t>TULN</t>
  </si>
  <si>
    <t>TLSA</t>
  </si>
  <si>
    <t>BC</t>
  </si>
  <si>
    <t>CLEM</t>
  </si>
  <si>
    <t>DUKE</t>
  </si>
  <si>
    <t>FSU</t>
  </si>
  <si>
    <t>GT</t>
  </si>
  <si>
    <t>LOU</t>
  </si>
  <si>
    <t>MIA</t>
  </si>
  <si>
    <t>NCST</t>
  </si>
  <si>
    <t>UNC</t>
  </si>
  <si>
    <t>PITT</t>
  </si>
  <si>
    <t>SYR</t>
  </si>
  <si>
    <t>UVA</t>
  </si>
  <si>
    <t>VT</t>
  </si>
  <si>
    <t>WAKE</t>
  </si>
  <si>
    <t>BAY</t>
  </si>
  <si>
    <t>ISU</t>
  </si>
  <si>
    <t>KU</t>
  </si>
  <si>
    <t>KSU</t>
  </si>
  <si>
    <t>OU</t>
  </si>
  <si>
    <t>OKST</t>
  </si>
  <si>
    <t>TEX</t>
  </si>
  <si>
    <t>TTU</t>
  </si>
  <si>
    <t>Nebraska Cornhuskers</t>
  </si>
  <si>
    <t>WVU</t>
  </si>
  <si>
    <t>ILL</t>
  </si>
  <si>
    <t>IU</t>
  </si>
  <si>
    <t>IOWA</t>
  </si>
  <si>
    <t>MD</t>
  </si>
  <si>
    <t>MICH</t>
  </si>
  <si>
    <t>MSU</t>
  </si>
  <si>
    <t>MINN</t>
  </si>
  <si>
    <t>NEB</t>
  </si>
  <si>
    <t>NU</t>
  </si>
  <si>
    <t>OSU</t>
  </si>
  <si>
    <t>PSU</t>
  </si>
  <si>
    <t>PUR</t>
  </si>
  <si>
    <t>RUTG</t>
  </si>
  <si>
    <t>WISC</t>
  </si>
  <si>
    <t>FIU</t>
  </si>
  <si>
    <t>FAU</t>
  </si>
  <si>
    <t>LT</t>
  </si>
  <si>
    <t>MRSH</t>
  </si>
  <si>
    <t>MTSU</t>
  </si>
  <si>
    <t>UNT</t>
  </si>
  <si>
    <t>ODU</t>
  </si>
  <si>
    <t>Tulane Green Wave</t>
  </si>
  <si>
    <t>RICE</t>
  </si>
  <si>
    <t>USM</t>
  </si>
  <si>
    <t>CLT</t>
  </si>
  <si>
    <t>WKU</t>
  </si>
  <si>
    <t>AKR</t>
  </si>
  <si>
    <t>BALL</t>
  </si>
  <si>
    <t>BGSU</t>
  </si>
  <si>
    <t>BUFF</t>
  </si>
  <si>
    <t>CMU</t>
  </si>
  <si>
    <t>KENT</t>
  </si>
  <si>
    <t>M-OH</t>
  </si>
  <si>
    <t>NIU</t>
  </si>
  <si>
    <t>OHIO</t>
  </si>
  <si>
    <t>TOL</t>
  </si>
  <si>
    <t>WMU</t>
  </si>
  <si>
    <t>AFA</t>
  </si>
  <si>
    <t>BOIS</t>
  </si>
  <si>
    <t>CSU</t>
  </si>
  <si>
    <t>FRES</t>
  </si>
  <si>
    <t>HAW</t>
  </si>
  <si>
    <t>NEV</t>
  </si>
  <si>
    <t>UNM</t>
  </si>
  <si>
    <t>SDSU</t>
  </si>
  <si>
    <t>SJSU</t>
  </si>
  <si>
    <t>USU</t>
  </si>
  <si>
    <t>WYO</t>
  </si>
  <si>
    <t>ARIZ</t>
  </si>
  <si>
    <t>ASU</t>
  </si>
  <si>
    <t>CAL</t>
  </si>
  <si>
    <t>COLO</t>
  </si>
  <si>
    <t>ORE</t>
  </si>
  <si>
    <t>ORST</t>
  </si>
  <si>
    <t>STAN</t>
  </si>
  <si>
    <t>UTAH</t>
  </si>
  <si>
    <t>WASH</t>
  </si>
  <si>
    <t>WSU</t>
  </si>
  <si>
    <t>ALA</t>
  </si>
  <si>
    <t>ARK</t>
  </si>
  <si>
    <t>AUB</t>
  </si>
  <si>
    <t>FLA</t>
  </si>
  <si>
    <t>UGA</t>
  </si>
  <si>
    <t>UK</t>
  </si>
  <si>
    <t>MSST</t>
  </si>
  <si>
    <t>MIZ</t>
  </si>
  <si>
    <t>MISS</t>
  </si>
  <si>
    <t>SC</t>
  </si>
  <si>
    <t>TENN</t>
  </si>
  <si>
    <t>TA&amp;M</t>
  </si>
  <si>
    <t>VAN</t>
  </si>
  <si>
    <t>APP</t>
  </si>
  <si>
    <t>ARST</t>
  </si>
  <si>
    <t>GASO</t>
  </si>
  <si>
    <t>GAST</t>
  </si>
  <si>
    <t>UL</t>
  </si>
  <si>
    <t>ULM</t>
  </si>
  <si>
    <t>USA</t>
  </si>
  <si>
    <t>TXST</t>
  </si>
  <si>
    <t>TROY</t>
  </si>
  <si>
    <t>CCU</t>
  </si>
  <si>
    <t>ARMY</t>
  </si>
  <si>
    <t>LIB</t>
  </si>
  <si>
    <t>NMSU</t>
  </si>
  <si>
    <t>ND</t>
  </si>
  <si>
    <t>MASS</t>
  </si>
  <si>
    <t>JMU</t>
  </si>
  <si>
    <t>Lines</t>
  </si>
  <si>
    <t>UCONN</t>
  </si>
  <si>
    <t>UH</t>
  </si>
  <si>
    <t>TEMPLE</t>
  </si>
  <si>
    <t>TULANE</t>
  </si>
  <si>
    <t>TULSA</t>
  </si>
  <si>
    <t>GTECH</t>
  </si>
  <si>
    <t>NCSU</t>
  </si>
  <si>
    <t>SYRA</t>
  </si>
  <si>
    <t>VIR</t>
  </si>
  <si>
    <t>Maryland Terrapins</t>
  </si>
  <si>
    <t>VTECH</t>
  </si>
  <si>
    <t>Florida International Panthers</t>
  </si>
  <si>
    <t>BAYLOR</t>
  </si>
  <si>
    <t>IAST</t>
  </si>
  <si>
    <t>KANSAS</t>
  </si>
  <si>
    <t>UT</t>
  </si>
  <si>
    <t>MARY</t>
  </si>
  <si>
    <t>NWU</t>
  </si>
  <si>
    <t>RUTGERS</t>
  </si>
  <si>
    <t>LATECH</t>
  </si>
  <si>
    <t>MARSH</t>
  </si>
  <si>
    <t>MTNST</t>
  </si>
  <si>
    <t>NTX</t>
  </si>
  <si>
    <t>OLD</t>
  </si>
  <si>
    <t>SOUMIS</t>
  </si>
  <si>
    <t>CHARLT</t>
  </si>
  <si>
    <t>WKENT</t>
  </si>
  <si>
    <t>AKRON</t>
  </si>
  <si>
    <t>BALLST</t>
  </si>
  <si>
    <t>BOWLGR</t>
  </si>
  <si>
    <t>BUF</t>
  </si>
  <si>
    <t>Virginia Cavaliers</t>
  </si>
  <si>
    <t>CMICH</t>
  </si>
  <si>
    <t>EMICH</t>
  </si>
  <si>
    <t>KENTST</t>
  </si>
  <si>
    <t>MIAOH</t>
  </si>
  <si>
    <t>Pittsburgh Panthers</t>
  </si>
  <si>
    <t>TOLEDO</t>
  </si>
  <si>
    <t>WMICH</t>
  </si>
  <si>
    <t>AIR</t>
  </si>
  <si>
    <t>BOISE</t>
  </si>
  <si>
    <t>COLST</t>
  </si>
  <si>
    <t>FRESNO</t>
  </si>
  <si>
    <t>HAWAII</t>
  </si>
  <si>
    <t>NEVADA</t>
  </si>
  <si>
    <t>WYOM</t>
  </si>
  <si>
    <t>ARZ</t>
  </si>
  <si>
    <t>COL</t>
  </si>
  <si>
    <t>OREGON</t>
  </si>
  <si>
    <t>ORSTU</t>
  </si>
  <si>
    <t>AUBURN</t>
  </si>
  <si>
    <t>UFL</t>
  </si>
  <si>
    <t>MSSTATE</t>
  </si>
  <si>
    <t>MIZZ</t>
  </si>
  <si>
    <t>OLEMISS</t>
  </si>
  <si>
    <t>TXAM</t>
  </si>
  <si>
    <t>VAND</t>
  </si>
  <si>
    <t>APPLST</t>
  </si>
  <si>
    <t>ARKST</t>
  </si>
  <si>
    <t>GAS</t>
  </si>
  <si>
    <t>LOULAF</t>
  </si>
  <si>
    <t>LAMON</t>
  </si>
  <si>
    <t>SALA</t>
  </si>
  <si>
    <t>COAST</t>
  </si>
  <si>
    <t>Virginia Tech Hokies</t>
  </si>
  <si>
    <t>LIBERTY</t>
  </si>
  <si>
    <t>NMXST</t>
  </si>
  <si>
    <t>UMAS</t>
  </si>
  <si>
    <t>JMAD</t>
  </si>
  <si>
    <t>Fresno State Bulldogs</t>
  </si>
  <si>
    <t>Channel</t>
  </si>
  <si>
    <t>Miami Ohio</t>
  </si>
  <si>
    <t>Louisiana Lafayette</t>
  </si>
  <si>
    <t>Louisiana Monroe</t>
  </si>
  <si>
    <t>Draft</t>
  </si>
  <si>
    <t>Houston Cougars</t>
  </si>
  <si>
    <t>Purdue Boilermakers</t>
  </si>
  <si>
    <t>Georgia Southern Eagles</t>
  </si>
  <si>
    <t>FPI</t>
  </si>
  <si>
    <t>UConn Huskies</t>
  </si>
  <si>
    <t>Memphis Tigers</t>
  </si>
  <si>
    <t>Navy Midshipmen</t>
  </si>
  <si>
    <t>South Florida Bulls</t>
  </si>
  <si>
    <t>Temple Owls</t>
  </si>
  <si>
    <t>Tulsa Golden Hurricane</t>
  </si>
  <si>
    <t>Georgia Tech Yellow Jackets</t>
  </si>
  <si>
    <t>NC State Wolfpack</t>
  </si>
  <si>
    <t>North Carolina Tar Heels</t>
  </si>
  <si>
    <t>Syracuse Orange</t>
  </si>
  <si>
    <t>Wake Forest Demon Deacons</t>
  </si>
  <si>
    <t>Iowa State Cyclones</t>
  </si>
  <si>
    <t>Kansas Jayhawks</t>
  </si>
  <si>
    <t>Oklahoma State Cowboys</t>
  </si>
  <si>
    <t>West Virginia Mountaineers</t>
  </si>
  <si>
    <t>Michigan State Spartans</t>
  </si>
  <si>
    <t>Northwestern Wildcats</t>
  </si>
  <si>
    <t>Rutgers Scarlet Knights</t>
  </si>
  <si>
    <t>Louisiana Tech Bulldogs</t>
  </si>
  <si>
    <t>Marshall Thundering Herd</t>
  </si>
  <si>
    <t>Middle Tennessee Blue Raiders</t>
  </si>
  <si>
    <t>North Texas Mean Green</t>
  </si>
  <si>
    <t>Old Dominion Monarchs</t>
  </si>
  <si>
    <t>Rice Owls</t>
  </si>
  <si>
    <t>Southern Miss Golden Eagles</t>
  </si>
  <si>
    <t>UTEP Miners</t>
  </si>
  <si>
    <t>UTSA Roadrunners</t>
  </si>
  <si>
    <t>Western Kentucky Hilltoppers</t>
  </si>
  <si>
    <t>Georgia State Panthers</t>
  </si>
  <si>
    <t>UAB Blazers</t>
  </si>
  <si>
    <t>Kent State Golden Flashes</t>
  </si>
  <si>
    <t>Miami (OH) RedHawks</t>
  </si>
  <si>
    <t>Northern Illinois Huskies</t>
  </si>
  <si>
    <t>Ohio Bobcats</t>
  </si>
  <si>
    <t>Toledo Rockets</t>
  </si>
  <si>
    <t>Western Michigan Broncos</t>
  </si>
  <si>
    <t>Hawai'i Rainbow Warriors</t>
  </si>
  <si>
    <t>Nevada Wolf Pack</t>
  </si>
  <si>
    <t>New Mexico Lobos</t>
  </si>
  <si>
    <t>San Diego State Aztecs</t>
  </si>
  <si>
    <t>San José State Spartans</t>
  </si>
  <si>
    <t>UNLV Rebels</t>
  </si>
  <si>
    <t>Utah State Aggies</t>
  </si>
  <si>
    <t>Wyoming Cowboys</t>
  </si>
  <si>
    <t>Stanford Cardinal</t>
  </si>
  <si>
    <t>Washington State Cougars</t>
  </si>
  <si>
    <t>Kentucky Wildcats</t>
  </si>
  <si>
    <t>Louisiana Ragin' Cajuns</t>
  </si>
  <si>
    <t>UL Monroe Warhawks</t>
  </si>
  <si>
    <t>South Alabama Jaguars</t>
  </si>
  <si>
    <t>Texas State Bobcats</t>
  </si>
  <si>
    <t>Troy Trojans</t>
  </si>
  <si>
    <t>Liberty Flames</t>
  </si>
  <si>
    <t>New Mexico State Aggies</t>
  </si>
  <si>
    <t>UMass Minutemen</t>
  </si>
  <si>
    <t>James Madison Dukes</t>
  </si>
  <si>
    <t>Game features Oregon</t>
  </si>
  <si>
    <t>Game features a Pac 12 (but not Oregon)</t>
  </si>
  <si>
    <t>Game features a Power 5 team (but not Pac 12)</t>
  </si>
  <si>
    <t>Game features a Group of 5 team (but not a Power 5 team)</t>
  </si>
  <si>
    <t>Active Game, potetntial upset (based on spread)</t>
  </si>
  <si>
    <t>-- more red/less black = bigger upset; less red/more black = smaller upset</t>
  </si>
  <si>
    <t>-- thicker line = closer to finish</t>
  </si>
  <si>
    <t>BOLD</t>
  </si>
  <si>
    <t>OT games are Bolded</t>
  </si>
  <si>
    <t>Finished Game, upset (based on spread)</t>
  </si>
  <si>
    <t>Nevada 23 New Mexico State 12</t>
  </si>
  <si>
    <t>Charlotte 13 Florida Atlantic 43</t>
  </si>
  <si>
    <t>BSU</t>
  </si>
  <si>
    <t>North Texas 31 UTEP 13</t>
  </si>
  <si>
    <t>Connecticut</t>
  </si>
  <si>
    <t>Southern Methodist</t>
  </si>
  <si>
    <t>Central Florida</t>
  </si>
  <si>
    <t>Miami (FL)</t>
  </si>
  <si>
    <t>North Carolina State</t>
  </si>
  <si>
    <t>Texas Christian</t>
  </si>
  <si>
    <t>Middle Tennessee St.</t>
  </si>
  <si>
    <t>UNC Charlotte</t>
  </si>
  <si>
    <t>Texas-San Antonio</t>
  </si>
  <si>
    <t>Bowling Green State</t>
  </si>
  <si>
    <t>SUNY-Buffalo</t>
  </si>
  <si>
    <t>Southern Cal</t>
  </si>
  <si>
    <t>Mississippi</t>
  </si>
  <si>
    <t>Mountain West</t>
  </si>
  <si>
    <t>Louisiana-Lafayette</t>
  </si>
  <si>
    <t>Louisiana-Monroe</t>
  </si>
  <si>
    <t>Massachusetts</t>
  </si>
  <si>
    <t>Austin Peay 27 Western Kentucky 38</t>
  </si>
  <si>
    <t>Priority</t>
  </si>
  <si>
    <t>Color</t>
  </si>
  <si>
    <t>e1ddcf</t>
  </si>
  <si>
    <t>FFCC99</t>
  </si>
  <si>
    <t>C-USA</t>
  </si>
  <si>
    <t>UConn 20 Utah State 31</t>
  </si>
  <si>
    <t>Idaho State 21 UNLV 52</t>
  </si>
  <si>
    <t>2cefff</t>
  </si>
  <si>
    <t>fce122</t>
  </si>
  <si>
    <t>#e1ddcf</t>
  </si>
  <si>
    <t>#FFCC99</t>
  </si>
  <si>
    <t>#2cefff</t>
  </si>
  <si>
    <t>Vanderbilt 63 Hawaii 10</t>
  </si>
  <si>
    <t>Order</t>
  </si>
  <si>
    <t>FOX or FS1</t>
  </si>
  <si>
    <t>FS1 or FS2</t>
  </si>
  <si>
    <t>Pac-12 Now</t>
  </si>
  <si>
    <t>ACC Network</t>
  </si>
  <si>
    <t>NFL Network</t>
  </si>
  <si>
    <t>LonghorN</t>
  </si>
  <si>
    <t>Stadium</t>
  </si>
  <si>
    <t>BTN alternate</t>
  </si>
  <si>
    <t>espn+ Video</t>
  </si>
  <si>
    <t>espn3 Video</t>
  </si>
  <si>
    <t>ACCNX</t>
  </si>
  <si>
    <t>ATTRM</t>
  </si>
  <si>
    <t>Flo</t>
  </si>
  <si>
    <t>Stadium Video</t>
  </si>
  <si>
    <t>NESN+</t>
  </si>
  <si>
    <t>Facebook Video</t>
  </si>
  <si>
    <t>Nebraska 28 Northwestern 31</t>
  </si>
  <si>
    <t>Florida AM 24 North Carolina 56</t>
  </si>
  <si>
    <t>Penn state</t>
  </si>
  <si>
    <t>Wyoming 6 Illinois 38</t>
  </si>
  <si>
    <t>Delaware Blue Hens</t>
  </si>
  <si>
    <t>Duquesne 7 Florida State 47</t>
  </si>
  <si>
    <t>North Dakota State Bison</t>
  </si>
  <si>
    <t>Jacksonville State Gamecocks</t>
  </si>
  <si>
    <t>(5) Notre Dame 10 (2) Ohio State 21</t>
  </si>
  <si>
    <t xml:space="preserve"> +625 / -769</t>
  </si>
  <si>
    <t>Florida Atlantic 38 Ohio 41</t>
  </si>
  <si>
    <t xml:space="preserve"> -161 / +205</t>
  </si>
  <si>
    <t>Texas State 14 Nevada 38</t>
  </si>
  <si>
    <t xml:space="preserve"> -120 / +115</t>
  </si>
  <si>
    <t>UTEP 13 (9) Oklahoma 45</t>
  </si>
  <si>
    <t xml:space="preserve"> +3300 / -10000</t>
  </si>
  <si>
    <t>(12) Oregon 3 (3) Georgia 49</t>
  </si>
  <si>
    <t xml:space="preserve"> -714 / +600</t>
  </si>
  <si>
    <t>Richmond 17 Virginia 34</t>
  </si>
  <si>
    <t xml:space="preserve"> +1200 / -1429</t>
  </si>
  <si>
    <t>Virginia Tech 17 Old Dominion 20</t>
  </si>
  <si>
    <t xml:space="preserve"> -233 / +200</t>
  </si>
  <si>
    <t>Louisiana Tech 24 Missouri 52</t>
  </si>
  <si>
    <t xml:space="preserve"> +800 / -1250</t>
  </si>
  <si>
    <t>Tulsa 37 Wyoming 40</t>
  </si>
  <si>
    <t xml:space="preserve"> -213 / +210</t>
  </si>
  <si>
    <t>Kennesaw State Owls</t>
  </si>
  <si>
    <t>(4) Clemson 41 Georgia Tech 10</t>
  </si>
  <si>
    <t xml:space="preserve"> -3333 / +1400</t>
  </si>
  <si>
    <t>Idaho 17 Washington State 24</t>
  </si>
  <si>
    <t xml:space="preserve"> +3000 / -5000</t>
  </si>
  <si>
    <t>UL Monroe 10 (18) Texas 52</t>
  </si>
  <si>
    <t>SMU 48 North Texas 10</t>
  </si>
  <si>
    <t xml:space="preserve"> -323 / +285</t>
  </si>
  <si>
    <t>Miami-OH 13 (21) Kentucky 37</t>
  </si>
  <si>
    <t xml:space="preserve"> +750 / -667</t>
  </si>
  <si>
    <t>Illinois State 0 (20) Wisconsin 38</t>
  </si>
  <si>
    <t xml:space="preserve"> </t>
  </si>
  <si>
    <t>App State Mountaineers</t>
  </si>
  <si>
    <t>BYU 50 South Florida 21</t>
  </si>
  <si>
    <t>Arizona 38 San Diego State 20</t>
  </si>
  <si>
    <t xml:space="preserve"> +200 / -208</t>
  </si>
  <si>
    <t>Missouri State Bears</t>
  </si>
  <si>
    <t>Tennessee Tech 10 Kansas 56</t>
  </si>
  <si>
    <t xml:space="preserve"> +1600 / -5000</t>
  </si>
  <si>
    <t>Ball State 10 Tennessee 59</t>
  </si>
  <si>
    <t>Sacramento State Hornets</t>
  </si>
  <si>
    <t>Western Kentucky 49 Hawaii 17</t>
  </si>
  <si>
    <t xml:space="preserve"> -667 / +510</t>
  </si>
  <si>
    <t>Memphis 23 Mississippi State 49</t>
  </si>
  <si>
    <t>Murray State 10 Texas Tech 63</t>
  </si>
  <si>
    <t xml:space="preserve"> +3500 / -10000</t>
  </si>
  <si>
    <t>Maine 0 New Mexico 41</t>
  </si>
  <si>
    <t xml:space="preserve"> +205 / -233</t>
  </si>
  <si>
    <t>UMASS 10 Tulane 42</t>
  </si>
  <si>
    <t xml:space="preserve"> +2500 / -5000</t>
  </si>
  <si>
    <t>Morgan State 7 Georgia Southern 59</t>
  </si>
  <si>
    <t xml:space="preserve"> +8000 / -</t>
  </si>
  <si>
    <t>Bowling Green 17 UCLA 45</t>
  </si>
  <si>
    <t xml:space="preserve"> +1300 / -2500</t>
  </si>
  <si>
    <t>New Mexico State 0 Minnesota 38</t>
  </si>
  <si>
    <t xml:space="preserve"> +3000 / -10000</t>
  </si>
  <si>
    <t>VMI 10 (19) Wake Forest 44</t>
  </si>
  <si>
    <t>Long Island University 0 Toledo 37</t>
  </si>
  <si>
    <t>Boise State 17 Oregon State 34</t>
  </si>
  <si>
    <t xml:space="preserve"> +106 / -111</t>
  </si>
  <si>
    <t>South Dakota 0 Kansas State 34</t>
  </si>
  <si>
    <t xml:space="preserve"> +1800 / -5000</t>
  </si>
  <si>
    <t>Colorado State 7 (6) Michigan 51</t>
  </si>
  <si>
    <t>North Carolina 63 Appalachian State 61</t>
  </si>
  <si>
    <t xml:space="preserve"> +110 / -115</t>
  </si>
  <si>
    <t>Rutgers 22 Boston College 21</t>
  </si>
  <si>
    <t xml:space="preserve"> +255 / -303</t>
  </si>
  <si>
    <t>Central Connecticut 3 UConn 28</t>
  </si>
  <si>
    <t xml:space="preserve"> +600 / -1250</t>
  </si>
  <si>
    <t>Central Michigan 44 (11) Oklahoma State 58</t>
  </si>
  <si>
    <t xml:space="preserve"> +1000 / -1429</t>
  </si>
  <si>
    <t>Bryant 37 Florida Intl 38</t>
  </si>
  <si>
    <t xml:space="preserve"> +550 / -909</t>
  </si>
  <si>
    <t>Louisville 7 Syracuse 31</t>
  </si>
  <si>
    <t xml:space="preserve"> -189 / +200</t>
  </si>
  <si>
    <t>Colgate 10 Stanford 41</t>
  </si>
  <si>
    <t>Elon 31 Vanderbilt 42</t>
  </si>
  <si>
    <t xml:space="preserve"> +800 / -909</t>
  </si>
  <si>
    <t>Utah State 0 (1) Alabama 55</t>
  </si>
  <si>
    <t xml:space="preserve"> +5000 / -10000</t>
  </si>
  <si>
    <t>Nicholls 7 South Alabama 48</t>
  </si>
  <si>
    <t xml:space="preserve"> +440 / -526</t>
  </si>
  <si>
    <t>(22) Cincinnati 24 (23) Arkansas 31</t>
  </si>
  <si>
    <t xml:space="preserve"> +220 / -238</t>
  </si>
  <si>
    <t>Western Michigan 13 (14) Michigan State 35</t>
  </si>
  <si>
    <t xml:space="preserve"> +1100 / -1667</t>
  </si>
  <si>
    <t>Eastern Illinois 27 Northern Illinois 34</t>
  </si>
  <si>
    <t>(25) Houston 37 UTSA 35</t>
  </si>
  <si>
    <t xml:space="preserve"> -159 / +160</t>
  </si>
  <si>
    <t>Troy 10 (24) Ole Miss 28</t>
  </si>
  <si>
    <t xml:space="preserve"> +1050 / -1429</t>
  </si>
  <si>
    <t>North Dakota 17 Nebraska 38</t>
  </si>
  <si>
    <t>William  Mary 41 Charlotte 24</t>
  </si>
  <si>
    <t xml:space="preserve"> +165 / -179</t>
  </si>
  <si>
    <t>Portland State 17 San José State 21</t>
  </si>
  <si>
    <t xml:space="preserve"> +510 / -909</t>
  </si>
  <si>
    <t>St. Francis 23 Akron 30</t>
  </si>
  <si>
    <t xml:space="preserve"> +1100 / -2000</t>
  </si>
  <si>
    <t>Florida State 24 LSU 23</t>
  </si>
  <si>
    <t xml:space="preserve"> -189 / +165</t>
  </si>
  <si>
    <t>SE Louisiana 7 UL Lafayette 7</t>
  </si>
  <si>
    <t xml:space="preserve"> +400 / -500</t>
  </si>
  <si>
    <t>Middle Tennessee 7 James Madison 44</t>
  </si>
  <si>
    <t xml:space="preserve"> +175 / -192</t>
  </si>
  <si>
    <t>Buffalo 10 Maryland 31</t>
  </si>
  <si>
    <t xml:space="preserve"> +1400 / -1667</t>
  </si>
  <si>
    <t>Northern Arizona 3 Arizona State 40</t>
  </si>
  <si>
    <t>Penn State 35 Purdue 31</t>
  </si>
  <si>
    <t>Kent State 20 Washington 45</t>
  </si>
  <si>
    <t xml:space="preserve"> +1160 / -2000</t>
  </si>
  <si>
    <t>(8) Utah 26 Florida 29</t>
  </si>
  <si>
    <t xml:space="preserve"> -128 / +120</t>
  </si>
  <si>
    <t>Army 28 Coastal Carolina 38</t>
  </si>
  <si>
    <t xml:space="preserve"> +110 / -120</t>
  </si>
  <si>
    <t>Bethune-Cookman 13 (17) Miami 70</t>
  </si>
  <si>
    <t>(13) NC State 21 East Carolina 20</t>
  </si>
  <si>
    <t xml:space="preserve"> -435 / +380</t>
  </si>
  <si>
    <t>TCU 38 Colorado 13</t>
  </si>
  <si>
    <t>Illinois 20 Indiana 23</t>
  </si>
  <si>
    <t xml:space="preserve"> -105 / -110</t>
  </si>
  <si>
    <t>Cal Poly 7 Fresno State 35</t>
  </si>
  <si>
    <t xml:space="preserve"> +7000 / -10000</t>
  </si>
  <si>
    <t>West Virginia 31 (16) Pittsburgh 38</t>
  </si>
  <si>
    <t xml:space="preserve"> +255 / -278</t>
  </si>
  <si>
    <t>Liberty 29 Southern Mississippi 27</t>
  </si>
  <si>
    <t xml:space="preserve"> -164 / +146</t>
  </si>
  <si>
    <t>Mercer 16 Auburn 42</t>
  </si>
  <si>
    <t>UC Davis 13 California 34</t>
  </si>
  <si>
    <t xml:space="preserve"> +490 / -556</t>
  </si>
  <si>
    <t>Norfolk State 3 Marshall 55</t>
  </si>
  <si>
    <t xml:space="preserve"> +7000 / -</t>
  </si>
  <si>
    <t>Rice 14 (15) USC 66</t>
  </si>
  <si>
    <t xml:space="preserve"> +3500 / -5000</t>
  </si>
  <si>
    <t>South Dakota State 3 Iowa 7</t>
  </si>
  <si>
    <t xml:space="preserve"> +510 / -714</t>
  </si>
  <si>
    <t>Delaware 14 Navy 7</t>
  </si>
  <si>
    <t xml:space="preserve"> +380 / -588</t>
  </si>
  <si>
    <t>Sam Houston 0 (7) Texas A&amp;M 31</t>
  </si>
  <si>
    <t>Southeast Missouri State 10 Iowa State 42</t>
  </si>
  <si>
    <t xml:space="preserve"> +2800 / -10000</t>
  </si>
  <si>
    <t>South Carolina State 10 UCF 56</t>
  </si>
  <si>
    <t xml:space="preserve"> -164 / +150</t>
  </si>
  <si>
    <t>Georgia State 14 South Carolina 35</t>
  </si>
  <si>
    <t>Northern Iowa 17 Air Force 48</t>
  </si>
  <si>
    <t xml:space="preserve"> +525 / -667</t>
  </si>
  <si>
    <t>Eastern Kentucky 34 EMU 42</t>
  </si>
  <si>
    <t xml:space="preserve"> +330 / -385</t>
  </si>
  <si>
    <t>Temple 0 Duke 30</t>
  </si>
  <si>
    <t xml:space="preserve"> +300 / -345</t>
  </si>
  <si>
    <t>Alabama AM 0 UAB 59</t>
  </si>
  <si>
    <t>Albany 10 (10) Baylor 69</t>
  </si>
  <si>
    <t>Grambling 3 Arkansas State 58</t>
  </si>
  <si>
    <t xml:space="preserve"> +2200 / -3333</t>
  </si>
  <si>
    <t>Eastern Washington 14 (24) Oregon 70</t>
  </si>
  <si>
    <t xml:space="preserve"> +1800 / -2500</t>
  </si>
  <si>
    <t>SE Louisiana 9 Florida Atlantic 42</t>
  </si>
  <si>
    <t xml:space="preserve"> +375 / -417</t>
  </si>
  <si>
    <t>Northern Illinois 35 Tulsa 38</t>
  </si>
  <si>
    <t xml:space="preserve"> +200 / -227</t>
  </si>
  <si>
    <t>Kent State 3 (7) Oklahoma 33</t>
  </si>
  <si>
    <t>Old Dominion 21 East Carolina 39</t>
  </si>
  <si>
    <t xml:space="preserve"> +400 / -455</t>
  </si>
  <si>
    <t>Incarnate Word 55 Nevada 41</t>
  </si>
  <si>
    <t xml:space="preserve"> +152 / -164</t>
  </si>
  <si>
    <t>Virginia 3 Illinois 24</t>
  </si>
  <si>
    <t xml:space="preserve"> +155 / -175</t>
  </si>
  <si>
    <t>Missouri 12 Kansas State 40</t>
  </si>
  <si>
    <t>Ohio 10 Penn State 46</t>
  </si>
  <si>
    <t>Arkansas State 12 (3) Ohio State 45</t>
  </si>
  <si>
    <t>Texas Southern 27 North Texas 59</t>
  </si>
  <si>
    <t xml:space="preserve"> +5000 / -</t>
  </si>
  <si>
    <t>Idaho State 7 San Diego State 38</t>
  </si>
  <si>
    <t xml:space="preserve"> +4000 / -10000</t>
  </si>
  <si>
    <t>Howard 20 South Florida 42</t>
  </si>
  <si>
    <t>Nicholls 7 UL Monroe 35</t>
  </si>
  <si>
    <t xml:space="preserve"> +162 / -169</t>
  </si>
  <si>
    <t>Robert Morris 14 Miami-OH 31</t>
  </si>
  <si>
    <t>Washington State 17 (18) Wisconsin 14</t>
  </si>
  <si>
    <t xml:space="preserve"> +750 / -909</t>
  </si>
  <si>
    <t>Furman 12 (4) Clemson 35</t>
  </si>
  <si>
    <t xml:space="preserve"> +10000 / -</t>
  </si>
  <si>
    <t>Kansas 55 West Virginia 42</t>
  </si>
  <si>
    <t xml:space="preserve"> +450 / -500</t>
  </si>
  <si>
    <t>Tennessee 34 (14) Pittsburgh 27</t>
  </si>
  <si>
    <t xml:space="preserve"> -213 / +200</t>
  </si>
  <si>
    <t>Mississippi State 39 Arizona 17</t>
  </si>
  <si>
    <t xml:space="preserve"> -435 / +420</t>
  </si>
  <si>
    <t>UMASS 10 Toledo 55</t>
  </si>
  <si>
    <t xml:space="preserve"> +2200 / -10000</t>
  </si>
  <si>
    <t>Georgia Southern 45 Nebraska 42</t>
  </si>
  <si>
    <t xml:space="preserve"> +1285 / -1667</t>
  </si>
  <si>
    <t>Alcorn State 0 Tulane 52</t>
  </si>
  <si>
    <t>Alabama State 7 UCLA 45</t>
  </si>
  <si>
    <t>Western Illinois 10 Minnesota 62</t>
  </si>
  <si>
    <t>(21) Wake Forest 45 Vanderbilt 25</t>
  </si>
  <si>
    <t xml:space="preserve"> -455 / +400</t>
  </si>
  <si>
    <t>Boise State 31 New Mexico 14</t>
  </si>
  <si>
    <t xml:space="preserve"> -769 / +600</t>
  </si>
  <si>
    <t>Houston 30 Texas Tech 33</t>
  </si>
  <si>
    <t xml:space="preserve"> +150 / -164</t>
  </si>
  <si>
    <t>Oregon State 35 Fresno State 32</t>
  </si>
  <si>
    <t xml:space="preserve"> +100 / -105</t>
  </si>
  <si>
    <t>Boston College 10 Virginia Tech 27</t>
  </si>
  <si>
    <t xml:space="preserve"> +135 / -137</t>
  </si>
  <si>
    <t>Hawaii 10 (5) Michigan 56</t>
  </si>
  <si>
    <t>Florida Intl 12 Texas State 41</t>
  </si>
  <si>
    <t>Syracuse 48 UConn 14</t>
  </si>
  <si>
    <t xml:space="preserve"> -2000 / +1200</t>
  </si>
  <si>
    <t>(20) Kentucky 26 (19) Florida 16</t>
  </si>
  <si>
    <t>UNLV 14 California 20</t>
  </si>
  <si>
    <t xml:space="preserve"> +420 / -476</t>
  </si>
  <si>
    <t>Appalachian State 17 (6) Texas A&amp;M 14</t>
  </si>
  <si>
    <t xml:space="preserve"> +850 / -909</t>
  </si>
  <si>
    <t>South Alabama 38 Central Michigan 24</t>
  </si>
  <si>
    <t xml:space="preserve"> +190 / -204</t>
  </si>
  <si>
    <t>(12) USC 41 Stanford 28</t>
  </si>
  <si>
    <t xml:space="preserve"> -345 / +290</t>
  </si>
  <si>
    <t>Weber State 35 Utah State 7</t>
  </si>
  <si>
    <t xml:space="preserve"> +220 / -244</t>
  </si>
  <si>
    <t>Akron 0 (11) Michigan State 52</t>
  </si>
  <si>
    <t>Kennesaw State 10 Cincinnati 63</t>
  </si>
  <si>
    <t>South Carolina 30 (17) Arkansas 44</t>
  </si>
  <si>
    <t xml:space="preserve"> +280 / -333</t>
  </si>
  <si>
    <t>UTSA 41 Army 38</t>
  </si>
  <si>
    <t xml:space="preserve"> -120 / +125</t>
  </si>
  <si>
    <t>Alabama AM 17 Troy 38</t>
  </si>
  <si>
    <t xml:space="preserve"> +2500 / -10000</t>
  </si>
  <si>
    <t>San José State 16 Auburn 24</t>
  </si>
  <si>
    <t xml:space="preserve"> +1400 / -2500</t>
  </si>
  <si>
    <t>Lamar 16 SMU 45</t>
  </si>
  <si>
    <t>Wagner 7 Rutgers 66</t>
  </si>
  <si>
    <t>Maryland 56 Charlotte 21</t>
  </si>
  <si>
    <t xml:space="preserve"> -5000 / +2200</t>
  </si>
  <si>
    <t>(1) Alabama 20 (22) Texas 19</t>
  </si>
  <si>
    <t xml:space="preserve"> -1250 / +975</t>
  </si>
  <si>
    <t>Louisville 20 UCF 14</t>
  </si>
  <si>
    <t>(8) Baylor 20 (25) BYU 26</t>
  </si>
  <si>
    <t xml:space="preserve"> +115 / -130</t>
  </si>
  <si>
    <t>EMU 21 UL Lafayette 49</t>
  </si>
  <si>
    <t xml:space="preserve"> +360 / -385</t>
  </si>
  <si>
    <t>New Mexico State 13 UTEP 20</t>
  </si>
  <si>
    <t xml:space="preserve"> +610 / -769</t>
  </si>
  <si>
    <t>Arizona State 17 (10) Oklahoma State 34</t>
  </si>
  <si>
    <t xml:space="preserve"> +360 / -435</t>
  </si>
  <si>
    <t>Southern 17 LSU 65</t>
  </si>
  <si>
    <t xml:space="preserve"> +2500 / -</t>
  </si>
  <si>
    <t>Holy Cross 37 Buffalo 31</t>
  </si>
  <si>
    <t xml:space="preserve"> +205 / -227</t>
  </si>
  <si>
    <t>Middle Tennessee 34 Colorado State 19</t>
  </si>
  <si>
    <t xml:space="preserve"> +450 / -526</t>
  </si>
  <si>
    <t>Memphis 37 Navy 13</t>
  </si>
  <si>
    <t xml:space="preserve"> -185 / +165</t>
  </si>
  <si>
    <t>Marshall 26 (9) Notre Dame 21</t>
  </si>
  <si>
    <t>North Carolina 35 Georgia State 28</t>
  </si>
  <si>
    <t xml:space="preserve"> -250 / +220</t>
  </si>
  <si>
    <t>Gardner-Webb 27 Coastal Carolina 31</t>
  </si>
  <si>
    <t xml:space="preserve"> +8000 / -10000</t>
  </si>
  <si>
    <t>Colorado 10 Air Force 41</t>
  </si>
  <si>
    <t xml:space="preserve"> +700 / -769</t>
  </si>
  <si>
    <t>Southern Mississippi 7 (16) Miami 30</t>
  </si>
  <si>
    <t xml:space="preserve"> +2000 / -5000</t>
  </si>
  <si>
    <t>Idaho 22 Indiana 35</t>
  </si>
  <si>
    <t xml:space="preserve"> +1550 / -2000</t>
  </si>
  <si>
    <t>Stephen F. Austin 17 Louisiana Tech 52</t>
  </si>
  <si>
    <t xml:space="preserve"> +205 / -208</t>
  </si>
  <si>
    <t>UAB 14 Liberty 21</t>
  </si>
  <si>
    <t xml:space="preserve"> -204 / +200</t>
  </si>
  <si>
    <t>Western Carolina 17 Georgia Tech 35</t>
  </si>
  <si>
    <t xml:space="preserve"> +1550 / -3333</t>
  </si>
  <si>
    <t>McNeese 10 Rice 52</t>
  </si>
  <si>
    <t xml:space="preserve"> +240 / -278</t>
  </si>
  <si>
    <t>Iowa State 10 Iowa 7</t>
  </si>
  <si>
    <t xml:space="preserve"> +160 / -169</t>
  </si>
  <si>
    <t>Norfolk State 7 James Madison 63</t>
  </si>
  <si>
    <t>Samford 0 (2) Georgia 33</t>
  </si>
  <si>
    <t>Western Michigan 37 Ball State 30</t>
  </si>
  <si>
    <t xml:space="preserve"> -238 / +220</t>
  </si>
  <si>
    <t>Indiana State 0 Purdue 56</t>
  </si>
  <si>
    <t>Portland State 6 Washington 52</t>
  </si>
  <si>
    <t xml:space="preserve"> +6600 / -5000</t>
  </si>
  <si>
    <t>Eastern Kentucky 59 Bowling Green 57</t>
  </si>
  <si>
    <t xml:space="preserve"> +260 / -278</t>
  </si>
  <si>
    <t>Tarleton 17 TCU 59</t>
  </si>
  <si>
    <t>Central Arkansas 3 (23) Ole Miss 59</t>
  </si>
  <si>
    <t>Lafayette 14 Temple 30</t>
  </si>
  <si>
    <t xml:space="preserve"> +460 / -526</t>
  </si>
  <si>
    <t>Northern Colorado 10 Wyoming 33</t>
  </si>
  <si>
    <t xml:space="preserve"> +1350 / -2000</t>
  </si>
  <si>
    <t>Southern Utah 7 (15) Utah 73</t>
  </si>
  <si>
    <t>Charleston Southern 3 (13) NC State 55</t>
  </si>
  <si>
    <t>Duke 31 Northwestern 23</t>
  </si>
  <si>
    <t xml:space="preserve"> +330 / -345</t>
  </si>
  <si>
    <t>Nevada 0 Iowa 27</t>
  </si>
  <si>
    <t xml:space="preserve"> +1400 / -2000</t>
  </si>
  <si>
    <t>Toledo 21 (3) Ohio State 77</t>
  </si>
  <si>
    <t>UCF 40 Florida Atlantic 14</t>
  </si>
  <si>
    <t xml:space="preserve"> -263 / +250</t>
  </si>
  <si>
    <t>Jacksonville State 17 Tulsa 54</t>
  </si>
  <si>
    <t xml:space="preserve"> +390 / -400</t>
  </si>
  <si>
    <t>(14) BYU 20 (24) Oregon 41</t>
  </si>
  <si>
    <t xml:space="preserve"> +155 / -164</t>
  </si>
  <si>
    <t>Ohio 10 Iowa State 43</t>
  </si>
  <si>
    <t xml:space="preserve"> +800 / -1111</t>
  </si>
  <si>
    <t>Old Dominion 14 Virginia 16</t>
  </si>
  <si>
    <t xml:space="preserve"> +275 / -312</t>
  </si>
  <si>
    <t>Abilene Christian 17 Missouri 34</t>
  </si>
  <si>
    <t>(6) Oklahoma 49 Nebraska 14</t>
  </si>
  <si>
    <t xml:space="preserve"> -370 / +375</t>
  </si>
  <si>
    <t>San Diego State 7 (15) Utah 35</t>
  </si>
  <si>
    <t xml:space="preserve"> +1200 / -1667</t>
  </si>
  <si>
    <t>Akron 6 (16) Tennessee 63</t>
  </si>
  <si>
    <t>South Florida 28 (21) Florida 31</t>
  </si>
  <si>
    <t xml:space="preserve"> +1200 / -2000</t>
  </si>
  <si>
    <t>Louisiana Tech 20 (4) Clemson 48</t>
  </si>
  <si>
    <t>Kansas 48 Houston 30</t>
  </si>
  <si>
    <t xml:space="preserve"> +265 / -303</t>
  </si>
  <si>
    <t>Colorado State 7 Washington State 38</t>
  </si>
  <si>
    <t xml:space="preserve"> +575 / -769</t>
  </si>
  <si>
    <t>UL Monroe 7 (1) Alabama 63</t>
  </si>
  <si>
    <t>New Mexico State 7 Wisconsin 66</t>
  </si>
  <si>
    <t>North Texas 27 UNLV 58</t>
  </si>
  <si>
    <t xml:space="preserve"> +115 / -122</t>
  </si>
  <si>
    <t>Cincinnati 38 Miami-OH 17</t>
  </si>
  <si>
    <t xml:space="preserve"> -2500 / +1400</t>
  </si>
  <si>
    <t>Texas Tech 14 (12) NC State 27</t>
  </si>
  <si>
    <t xml:space="preserve"> +325 / -370</t>
  </si>
  <si>
    <t>UTEP 10 New Mexico 27</t>
  </si>
  <si>
    <t xml:space="preserve"> -118 / +120</t>
  </si>
  <si>
    <t>Mississippi State 16 LSU 31</t>
  </si>
  <si>
    <t xml:space="preserve"> -141 / +130</t>
  </si>
  <si>
    <t>Liberty 36 (18) Wake Forest 37</t>
  </si>
  <si>
    <t>Georgia Southern 21 UAB 35</t>
  </si>
  <si>
    <t xml:space="preserve"> +340 / -357</t>
  </si>
  <si>
    <t>Colorado 7 Minnesota 49</t>
  </si>
  <si>
    <t>Tulane 17 Kansas State 10</t>
  </si>
  <si>
    <t xml:space="preserve"> +475 / -588</t>
  </si>
  <si>
    <t>South Alabama 31 UCLA 32</t>
  </si>
  <si>
    <t xml:space="preserve"> +520 / -625</t>
  </si>
  <si>
    <t>Western Kentucky 30 Indiana 33</t>
  </si>
  <si>
    <t xml:space="preserve"> +230 / -263</t>
  </si>
  <si>
    <t>Maine 17 Boston College 38</t>
  </si>
  <si>
    <t xml:space="preserve"> +3500 / -</t>
  </si>
  <si>
    <t>Montana State 28 Oregon State 68</t>
  </si>
  <si>
    <t>Troy 28 Appalachian State 32</t>
  </si>
  <si>
    <t xml:space="preserve"> +460 / -556</t>
  </si>
  <si>
    <t>Bucknell 0 Central Michigan 41</t>
  </si>
  <si>
    <t>UConn 0 (5) Michigan 59</t>
  </si>
  <si>
    <t>Youngstown State 0 (10) Kentucky 31</t>
  </si>
  <si>
    <t>(9) Michigan State 28 Washington 39</t>
  </si>
  <si>
    <t xml:space="preserve"> +155 / -169</t>
  </si>
  <si>
    <t>UTSA 20 (20) Texas 41</t>
  </si>
  <si>
    <t xml:space="preserve"> +380 / -455</t>
  </si>
  <si>
    <t>Missouri State 27 (11) Arkansas 38</t>
  </si>
  <si>
    <t xml:space="preserve"> +1700 / -2500</t>
  </si>
  <si>
    <t>Vanderbilt 38 Northern Illinois 28</t>
  </si>
  <si>
    <t xml:space="preserve"> +115 / -128</t>
  </si>
  <si>
    <t>Purdue 29 Syracuse 32</t>
  </si>
  <si>
    <t xml:space="preserve"> +105 / -115</t>
  </si>
  <si>
    <t>Charlotte 42 Georgia State 41</t>
  </si>
  <si>
    <t xml:space="preserve"> +750 / -1000</t>
  </si>
  <si>
    <t>SMU 27 Maryland 34</t>
  </si>
  <si>
    <t xml:space="preserve"> +127 / -145</t>
  </si>
  <si>
    <t>Rutgers 16 Temple 14</t>
  </si>
  <si>
    <t xml:space="preserve"> -909 / +800</t>
  </si>
  <si>
    <t>Florida State 35 Louisville 31</t>
  </si>
  <si>
    <t>EMU 30 Arizona State 21</t>
  </si>
  <si>
    <t xml:space="preserve"> +850 / -1111</t>
  </si>
  <si>
    <t>UL Lafayette 21 Rice 33</t>
  </si>
  <si>
    <t xml:space="preserve"> -357 / +400</t>
  </si>
  <si>
    <t>Arkansas State 32 Memphis 44</t>
  </si>
  <si>
    <t xml:space="preserve"> +460 / -588</t>
  </si>
  <si>
    <t>Tennessee State 6 Middle Tennessee 49</t>
  </si>
  <si>
    <t xml:space="preserve"> +950 / -1429</t>
  </si>
  <si>
    <t>(23) Penn State 41 Auburn 12</t>
  </si>
  <si>
    <t xml:space="preserve"> -125 / +122</t>
  </si>
  <si>
    <t>California 17 Notre Dame 24</t>
  </si>
  <si>
    <t>Buffalo 26 Coastal Carolina 38</t>
  </si>
  <si>
    <t>Fresno State 17 (8) USC 45</t>
  </si>
  <si>
    <t xml:space="preserve"> +390 / -417</t>
  </si>
  <si>
    <t>(13) Miami 9 (22) Texas A&amp;M 17</t>
  </si>
  <si>
    <t>Northwestern State 10 Southern Mississippi 64</t>
  </si>
  <si>
    <t xml:space="preserve"> +4000 / -</t>
  </si>
  <si>
    <t>Campbell 10 East Carolina 49</t>
  </si>
  <si>
    <t xml:space="preserve"> +2400 / -5000</t>
  </si>
  <si>
    <t>Towson 7 West Virginia 65</t>
  </si>
  <si>
    <t>Long Island University 10 Kent State 63</t>
  </si>
  <si>
    <t>Duquesne 14 Hawaii 24</t>
  </si>
  <si>
    <t xml:space="preserve"> +265 / -294</t>
  </si>
  <si>
    <t>(25) Pittsburgh 34 Western Michigan 13</t>
  </si>
  <si>
    <t xml:space="preserve"> -312 / +325</t>
  </si>
  <si>
    <t>Villanova 10 Army 49</t>
  </si>
  <si>
    <t xml:space="preserve"> +440 / -500</t>
  </si>
  <si>
    <t>Marshall 31 Bowling Green 34</t>
  </si>
  <si>
    <t xml:space="preserve"> -714 / +640</t>
  </si>
  <si>
    <t>Arkansas-Pine Bluff 7 (7) Oklahoma State 63</t>
  </si>
  <si>
    <t>(17) Ole Miss 42 Georgia Tech 0</t>
  </si>
  <si>
    <t xml:space="preserve"> -769 / +575</t>
  </si>
  <si>
    <t>Murray State 0 Ball State 31</t>
  </si>
  <si>
    <t>(2) Georgia 48 South Carolina 7</t>
  </si>
  <si>
    <t xml:space="preserve"> -2500 / +1550</t>
  </si>
  <si>
    <t>UT Martin 7 Boise State 30</t>
  </si>
  <si>
    <t>Stony Brook 3 UMASS 20</t>
  </si>
  <si>
    <t xml:space="preserve"> +100 / -114</t>
  </si>
  <si>
    <t>Texas State 7 (19) Baylor 42</t>
  </si>
  <si>
    <t>Wofford 7 Virginia Tech 27</t>
  </si>
  <si>
    <t>North Dakota State 28 Arizona 31</t>
  </si>
  <si>
    <t xml:space="preserve"> -145 / +135</t>
  </si>
  <si>
    <t>Air Force 14 Wyoming 17</t>
  </si>
  <si>
    <t>Southern Illinois 31 Northwestern 24</t>
  </si>
  <si>
    <t>Florida Atlantic 26 Purdue 28</t>
  </si>
  <si>
    <t xml:space="preserve"> +600 / -714</t>
  </si>
  <si>
    <t>Wisconsin 21 (3) Ohio State 52</t>
  </si>
  <si>
    <t>Kansas State 41 (6) Oklahoma 34</t>
  </si>
  <si>
    <t xml:space="preserve"> +420 / -526</t>
  </si>
  <si>
    <t>Arkansas State 26 Old Dominion 29</t>
  </si>
  <si>
    <t xml:space="preserve"> +188 / -189</t>
  </si>
  <si>
    <t>(18) Oregon 44 Washington State 41</t>
  </si>
  <si>
    <t xml:space="preserve"> -227 / +200</t>
  </si>
  <si>
    <t>Tulsa 27 (13) Ole Miss 35</t>
  </si>
  <si>
    <t xml:space="preserve"> +950 / -1250</t>
  </si>
  <si>
    <t>Fordham 52 Ohio 59</t>
  </si>
  <si>
    <t xml:space="preserve"> +550 / -667</t>
  </si>
  <si>
    <t>Nevada 20 Air Force 48</t>
  </si>
  <si>
    <t xml:space="preserve"> +1500 / -2500</t>
  </si>
  <si>
    <t>Virginia 20 Syracuse 22</t>
  </si>
  <si>
    <t xml:space="preserve"> +320 / -345</t>
  </si>
  <si>
    <t>Missouri 14 Auburn 17</t>
  </si>
  <si>
    <t xml:space="preserve"> +240 / -263</t>
  </si>
  <si>
    <t>Miami-OH 17 Northwestern 14</t>
  </si>
  <si>
    <t xml:space="preserve"> +260 / -286</t>
  </si>
  <si>
    <t>UL Lafayette 17 UL Monroe 21</t>
  </si>
  <si>
    <t>(22) Florida 33 (12) Tennessee 38</t>
  </si>
  <si>
    <t xml:space="preserve"> +350 / -370</t>
  </si>
  <si>
    <t>North Texas 34 Memphis 44</t>
  </si>
  <si>
    <t xml:space="preserve"> +390 / -455</t>
  </si>
  <si>
    <t>Toledo 14 San Diego State 17</t>
  </si>
  <si>
    <t xml:space="preserve"> -135 / +130</t>
  </si>
  <si>
    <t>Duke 27 Kansas 35</t>
  </si>
  <si>
    <t>South Florida 3 Louisville 41</t>
  </si>
  <si>
    <t>(5) Clemson 51 (16) Wake Forest 45</t>
  </si>
  <si>
    <t xml:space="preserve"> -278 / +245</t>
  </si>
  <si>
    <t>New Mexico 0 LSU 38</t>
  </si>
  <si>
    <t>Southern Mississippi 27 Tulane 24</t>
  </si>
  <si>
    <t xml:space="preserve"> +370 / -417</t>
  </si>
  <si>
    <t>Ball State 23 Georgia Southern 34</t>
  </si>
  <si>
    <t xml:space="preserve"> +280 / -312</t>
  </si>
  <si>
    <t>Florida Intl 0 Western Kentucky 73</t>
  </si>
  <si>
    <t xml:space="preserve"> +2200 / -5000</t>
  </si>
  <si>
    <t>Minnesota 34 (21) Michigan State 7</t>
  </si>
  <si>
    <t xml:space="preserve"> -141 / +126</t>
  </si>
  <si>
    <t>UCLA 45 Colorado 17</t>
  </si>
  <si>
    <t xml:space="preserve"> -1429 / +1000</t>
  </si>
  <si>
    <t>Bowling Green 14 Mississippi State 45</t>
  </si>
  <si>
    <t>(19) Texas 34 Texas Tech 37</t>
  </si>
  <si>
    <t>(7) USC 17 Oregon State 14</t>
  </si>
  <si>
    <t xml:space="preserve"> -222 / +200</t>
  </si>
  <si>
    <t>UNLV 34 Utah State 24</t>
  </si>
  <si>
    <t>Boston College 14 Florida State 44</t>
  </si>
  <si>
    <t>UConn 10 (11) NC State 41</t>
  </si>
  <si>
    <t>Northern Illinois 23 (9) Kentucky 31</t>
  </si>
  <si>
    <t xml:space="preserve"> +1600 / -3333</t>
  </si>
  <si>
    <t>James Madison 32 Appalachian State 28</t>
  </si>
  <si>
    <t xml:space="preserve"> +210 / -227</t>
  </si>
  <si>
    <t>Maryland 27 (4) Michigan 34</t>
  </si>
  <si>
    <t>Central Michigan 14 (15) Penn State 33</t>
  </si>
  <si>
    <t>Stanford 22 (24) Washington 40</t>
  </si>
  <si>
    <t xml:space="preserve"> +430 / -556</t>
  </si>
  <si>
    <t>Vanderbilt 3 (2) Alabama 55</t>
  </si>
  <si>
    <t>(10) Arkansas 21 (20) Texas A&amp;M 23</t>
  </si>
  <si>
    <t>Louisiana Tech 14 South Alabama 38</t>
  </si>
  <si>
    <t>Indiana 24 Cincinnati 45</t>
  </si>
  <si>
    <t xml:space="preserve"> +550 / -714</t>
  </si>
  <si>
    <t>Texas Southern 24 UTSA 52</t>
  </si>
  <si>
    <t>Wyoming 24 (23) BYU 38</t>
  </si>
  <si>
    <t>Western Michigan 6 San José State 34</t>
  </si>
  <si>
    <t xml:space="preserve"> +230 / -227</t>
  </si>
  <si>
    <t>Charlotte 20 South Carolina 56</t>
  </si>
  <si>
    <t xml:space="preserve"> +1300 / -1429</t>
  </si>
  <si>
    <t>Iowa 27 Rutgers 10</t>
  </si>
  <si>
    <t xml:space="preserve"> -294 / +255</t>
  </si>
  <si>
    <t>Marshall 7 Troy 16</t>
  </si>
  <si>
    <t xml:space="preserve"> -145 / +140</t>
  </si>
  <si>
    <t>Akron 12 Liberty 21</t>
  </si>
  <si>
    <t>TCU 42 SMU 34</t>
  </si>
  <si>
    <t xml:space="preserve"> -125 / +115</t>
  </si>
  <si>
    <t>(14) Utah 34 Arizona State 13</t>
  </si>
  <si>
    <t xml:space="preserve"> -714 / +550</t>
  </si>
  <si>
    <t>Hawaii 26 New Mexico State 45</t>
  </si>
  <si>
    <t xml:space="preserve"> +162 / -185</t>
  </si>
  <si>
    <t>Middle Tennessee 45 (25) Miami 31</t>
  </si>
  <si>
    <t xml:space="preserve"> +1700 / -5000</t>
  </si>
  <si>
    <t>Notre Dame 45 North Carolina 32</t>
  </si>
  <si>
    <t xml:space="preserve"> +126 / -135</t>
  </si>
  <si>
    <t>Buffalo 50 EMU 31</t>
  </si>
  <si>
    <t xml:space="preserve"> +220 / -233</t>
  </si>
  <si>
    <t>Kent State 22 (1) Georgia 39</t>
  </si>
  <si>
    <t>Chattanooga 0 Illinois 31</t>
  </si>
  <si>
    <t xml:space="preserve"> +900 / -1111</t>
  </si>
  <si>
    <t>West Virginia 33 Virginia Tech 10</t>
  </si>
  <si>
    <t>Coastal Carolina 41 Georgia State 24</t>
  </si>
  <si>
    <t xml:space="preserve"> -135 / +120</t>
  </si>
  <si>
    <t>Navy 23 East Carolina 20</t>
  </si>
  <si>
    <t xml:space="preserve"> +575 / -667</t>
  </si>
  <si>
    <t xml:space="preserve"> -149 / +140</t>
  </si>
  <si>
    <t>Arizona 31 California 49</t>
  </si>
  <si>
    <t xml:space="preserve"> +152 / -159</t>
  </si>
  <si>
    <t>Rhode Island 24 Pittsburgh 45</t>
  </si>
  <si>
    <t>Rice 27 Houston 34</t>
  </si>
  <si>
    <t xml:space="preserve"> +660 / -769</t>
  </si>
  <si>
    <t>Georgia Tech 10 UCF 27</t>
  </si>
  <si>
    <t xml:space="preserve"> +900 / -1250</t>
  </si>
  <si>
    <t>Sacramento State 41 Colorado State 10</t>
  </si>
  <si>
    <t xml:space="preserve"> -175 / +168</t>
  </si>
  <si>
    <t>Houston Christian 0 Texas State 34</t>
  </si>
  <si>
    <t xml:space="preserve"> +1800 / -2000</t>
  </si>
  <si>
    <t>UMASS 0 Temple 28</t>
  </si>
  <si>
    <t xml:space="preserve"> +310 / -345</t>
  </si>
  <si>
    <t>(17) Baylor 31 Iowa State 24</t>
  </si>
  <si>
    <t xml:space="preserve"> +122 / -135</t>
  </si>
  <si>
    <t>Boise State 10 UTEP 27</t>
  </si>
  <si>
    <t>Stanford 27 (15) Oregon 45</t>
  </si>
  <si>
    <t>(1) Georgia 26 Missouri 22</t>
  </si>
  <si>
    <t xml:space="preserve"> -10000 / +2500</t>
  </si>
  <si>
    <t>Cincinnati 31 Tulsa 21</t>
  </si>
  <si>
    <t xml:space="preserve"> -345 / +300</t>
  </si>
  <si>
    <t>Virginia 17 Duke 38</t>
  </si>
  <si>
    <t>Liberty 38 Old Dominion 24</t>
  </si>
  <si>
    <t xml:space="preserve"> -143 / +150</t>
  </si>
  <si>
    <t>Florida Atlantic 28 North Texas 45</t>
  </si>
  <si>
    <t>Rutgers 10 (3) Ohio State 49</t>
  </si>
  <si>
    <t>(16) Oklahoma 24 TCU 55</t>
  </si>
  <si>
    <t xml:space="preserve"> -196 / +185</t>
  </si>
  <si>
    <t>Ohio 24 Kent State 31</t>
  </si>
  <si>
    <t xml:space="preserve"> +400 / -417</t>
  </si>
  <si>
    <t>(10) NC State 20 (5) Clemson 30</t>
  </si>
  <si>
    <t xml:space="preserve"> +220 / -250</t>
  </si>
  <si>
    <t>UL Monroe 28 Arkansas State 45</t>
  </si>
  <si>
    <t>California 9 Washington State 28</t>
  </si>
  <si>
    <t xml:space="preserve"> -143 / +130</t>
  </si>
  <si>
    <t>Miami-OH 20 Buffalo 24</t>
  </si>
  <si>
    <t xml:space="preserve"> +125 / -145</t>
  </si>
  <si>
    <t>Iowa State 11 Kansas 14</t>
  </si>
  <si>
    <t xml:space="preserve"> -159 / +150</t>
  </si>
  <si>
    <t>East Carolina 48 South Florida 28</t>
  </si>
  <si>
    <t>Illinois 34 Wisconsin 10</t>
  </si>
  <si>
    <t xml:space="preserve"> +215 / -238</t>
  </si>
  <si>
    <t>San Diego State 13 Boise State 35</t>
  </si>
  <si>
    <t>Georgia Southern 30 Coastal Carolina 34</t>
  </si>
  <si>
    <t xml:space="preserve"> +295 / -333</t>
  </si>
  <si>
    <t>Troy 34 Western Kentucky 27</t>
  </si>
  <si>
    <t xml:space="preserve"> +180 / -196</t>
  </si>
  <si>
    <t>(17) Texas A&amp;M 24 Mississippi State 42</t>
  </si>
  <si>
    <t xml:space="preserve"> +170 / -189</t>
  </si>
  <si>
    <t>Central Michigan 17 Toledo 38</t>
  </si>
  <si>
    <t xml:space="preserve"> +215 / -227</t>
  </si>
  <si>
    <t>(21) Wake Forest 31 (22) Florida State 21</t>
  </si>
  <si>
    <t xml:space="preserve"> +200 / -222</t>
  </si>
  <si>
    <t>Texas Tech 28 Kansas State 37</t>
  </si>
  <si>
    <t xml:space="preserve"> +245 / -278</t>
  </si>
  <si>
    <t>Purdue 20 (23) Minnesota 10</t>
  </si>
  <si>
    <t xml:space="preserve"> +295 / -345</t>
  </si>
  <si>
    <t>New Mexico 20 UNLV 31</t>
  </si>
  <si>
    <t xml:space="preserve"> +500 / -588</t>
  </si>
  <si>
    <t>(18) Washington 32 UCLA 40</t>
  </si>
  <si>
    <t xml:space="preserve"> -135 / +125</t>
  </si>
  <si>
    <t>Tulane 27 Houston 24</t>
  </si>
  <si>
    <t xml:space="preserve"> +190 / -208</t>
  </si>
  <si>
    <t>Florida Intl 21 New Mexico State 7</t>
  </si>
  <si>
    <t xml:space="preserve"> +550 / -588</t>
  </si>
  <si>
    <t>Fresno State 14 UConn 19</t>
  </si>
  <si>
    <t xml:space="preserve"> -1667 / +1300</t>
  </si>
  <si>
    <t>The Citadel 0 Appalachian State 49</t>
  </si>
  <si>
    <t>Oregon State 16 (13) Utah 42</t>
  </si>
  <si>
    <t xml:space="preserve"> +340 / -370</t>
  </si>
  <si>
    <t>Louisville 33 Boston College 34</t>
  </si>
  <si>
    <t xml:space="preserve"> -455 / +420</t>
  </si>
  <si>
    <t>(4) Michigan 27 Iowa 14</t>
  </si>
  <si>
    <t xml:space="preserve"> -400 / +335</t>
  </si>
  <si>
    <t>(8) Kentucky 19 (11) Ole Miss 22</t>
  </si>
  <si>
    <t>South Alabama 20 UL Lafayette 17</t>
  </si>
  <si>
    <t xml:space="preserve"> -303 / +290</t>
  </si>
  <si>
    <t>Wagner 0 (25) Syracuse 59</t>
  </si>
  <si>
    <t>(2) Alabama 49 (19) Arkansas 26</t>
  </si>
  <si>
    <t>Michigan State 13 Maryland 27</t>
  </si>
  <si>
    <t xml:space="preserve"> +250 / -278</t>
  </si>
  <si>
    <t>UTSA 45 Middle Tennessee 30</t>
  </si>
  <si>
    <t xml:space="preserve"> -167 / +162</t>
  </si>
  <si>
    <t>Utah State 26 (20) BYU 38</t>
  </si>
  <si>
    <t xml:space="preserve"> +1600 / -2500</t>
  </si>
  <si>
    <t>Northern Illinois 38 Ball State 44</t>
  </si>
  <si>
    <t xml:space="preserve"> -164 / +155</t>
  </si>
  <si>
    <t>San José State 33 Wyoming 16</t>
  </si>
  <si>
    <t xml:space="preserve"> -130 / +120</t>
  </si>
  <si>
    <t>Indiana 21 Nebraska 35</t>
  </si>
  <si>
    <t xml:space="preserve"> +210 / -233</t>
  </si>
  <si>
    <t>UTEP 41 Charlotte 35</t>
  </si>
  <si>
    <t xml:space="preserve"> -159 / +155</t>
  </si>
  <si>
    <t>Bowling Green 31 Akron 28</t>
  </si>
  <si>
    <t xml:space="preserve"> -312 / +290</t>
  </si>
  <si>
    <t>Arizona State 25 (6) USC 42</t>
  </si>
  <si>
    <t xml:space="preserve"> +1500 / -3333</t>
  </si>
  <si>
    <t>LSU 21 Auburn 17</t>
  </si>
  <si>
    <t xml:space="preserve"> -286 / +260</t>
  </si>
  <si>
    <t>Virginia Tech 10 North Carolina 41</t>
  </si>
  <si>
    <t xml:space="preserve"> +285 / -323</t>
  </si>
  <si>
    <t>Northwestern 7 (12) Penn State 17</t>
  </si>
  <si>
    <t>Temple 3 Memphis 24</t>
  </si>
  <si>
    <t>Eastern Washington 17 Florida 52</t>
  </si>
  <si>
    <t>Colorado 20 Arizona 43</t>
  </si>
  <si>
    <t xml:space="preserve"> +725 / -909</t>
  </si>
  <si>
    <t>West Virginia 20 Texas 38</t>
  </si>
  <si>
    <t>Georgia Tech 26 (24) Pittsburgh 21</t>
  </si>
  <si>
    <t xml:space="preserve"> +1100 / -1429</t>
  </si>
  <si>
    <t>Gardner-Webb 7 Marshall 28</t>
  </si>
  <si>
    <t>Georgia State 31 Army 14</t>
  </si>
  <si>
    <t>UAB 24 Rice 28</t>
  </si>
  <si>
    <t xml:space="preserve"> -345 / +350</t>
  </si>
  <si>
    <t>(7) Oklahoma State 36 (14) Baylor 25</t>
  </si>
  <si>
    <t xml:space="preserve"> +118 / -130</t>
  </si>
  <si>
    <t>Navy 10 Air Force 13</t>
  </si>
  <si>
    <t xml:space="preserve"> +525 / -588</t>
  </si>
  <si>
    <t>Texas State 13 James Madison 40</t>
  </si>
  <si>
    <t>UMASS 13 EMU 20</t>
  </si>
  <si>
    <t xml:space="preserve"> +1050 / -1667</t>
  </si>
  <si>
    <t>New Hampshire 7 Western Michigan 44</t>
  </si>
  <si>
    <t xml:space="preserve"> +530 / -625</t>
  </si>
  <si>
    <t>South Carolina State 10 South Carolina 50</t>
  </si>
  <si>
    <t>(12) Oregon 49 Arizona 22</t>
  </si>
  <si>
    <t xml:space="preserve"> -500 / +415</t>
  </si>
  <si>
    <t>(3) Ohio State 49 Michigan State 20</t>
  </si>
  <si>
    <t xml:space="preserve"> -5000 / +1800</t>
  </si>
  <si>
    <t>Tulsa 21 Navy 53</t>
  </si>
  <si>
    <t xml:space="preserve"> -200 / +185</t>
  </si>
  <si>
    <t>Akron 34 Ohio 55</t>
  </si>
  <si>
    <t>Louisville 34 Virginia 17</t>
  </si>
  <si>
    <t>Texas 49 Oklahoma 0</t>
  </si>
  <si>
    <t xml:space="preserve"> -227 / +240</t>
  </si>
  <si>
    <t>Missouri 17 Florida 24</t>
  </si>
  <si>
    <t xml:space="preserve"> +350 / -400</t>
  </si>
  <si>
    <t>Colorado State 17 Nevada 14</t>
  </si>
  <si>
    <t xml:space="preserve"> +150 / -154</t>
  </si>
  <si>
    <t>Hawaii 14 San Diego State 16</t>
  </si>
  <si>
    <t>Washington State 14 (6) USC 30</t>
  </si>
  <si>
    <t>Coastal Carolina 28 UL Monroe 21</t>
  </si>
  <si>
    <t xml:space="preserve"> -455 / +375</t>
  </si>
  <si>
    <t>(5) Clemson 31 Boston College 3</t>
  </si>
  <si>
    <t xml:space="preserve"> -1000 / +950</t>
  </si>
  <si>
    <t>Kent State 24 Miami-OH 27</t>
  </si>
  <si>
    <t xml:space="preserve"> -200 / +180</t>
  </si>
  <si>
    <t>Wisconsin 42 Northwestern 7</t>
  </si>
  <si>
    <t xml:space="preserve"> -345 / +330</t>
  </si>
  <si>
    <t>South Florida 24 Cincinnati 28</t>
  </si>
  <si>
    <t xml:space="preserve"> +2000 / -3333</t>
  </si>
  <si>
    <t>(8) Tennessee 40 LSU 13</t>
  </si>
  <si>
    <t>(18) TCU 38 (17) Kansas 31</t>
  </si>
  <si>
    <t xml:space="preserve"> -238 / +240</t>
  </si>
  <si>
    <t>Army 10 (15) Wake Forest 45</t>
  </si>
  <si>
    <t xml:space="preserve"> +550 / -625</t>
  </si>
  <si>
    <t>Wyoming 27 New Mexico 14</t>
  </si>
  <si>
    <t>Western Kentucky 28 UTSA 31</t>
  </si>
  <si>
    <t xml:space="preserve"> +215 / -233</t>
  </si>
  <si>
    <t>Texas Tech 31 (7) Oklahoma State 41</t>
  </si>
  <si>
    <t>(11) Utah 32 (19) UCLA 42</t>
  </si>
  <si>
    <t xml:space="preserve"> -154 / +140</t>
  </si>
  <si>
    <t>Toledo 52 Northern Illinois 32</t>
  </si>
  <si>
    <t xml:space="preserve"> -208 / +200</t>
  </si>
  <si>
    <t>East Carolina 9 Tulane 24</t>
  </si>
  <si>
    <t xml:space="preserve"> +130 / -145</t>
  </si>
  <si>
    <t>Georgia Southern 33 Georgia State 41</t>
  </si>
  <si>
    <t xml:space="preserve"> +120 / -135</t>
  </si>
  <si>
    <t>(25) Arkansas 17 (23) Mississippi State 40</t>
  </si>
  <si>
    <t xml:space="preserve"> +280 / -278</t>
  </si>
  <si>
    <t>Oregon State 28 Stanford 27</t>
  </si>
  <si>
    <t xml:space="preserve"> -179 / +160</t>
  </si>
  <si>
    <t>South Carolina 24 (13) Kentucky 14</t>
  </si>
  <si>
    <t xml:space="preserve"> +172 / -185</t>
  </si>
  <si>
    <t>(20) Kansas State 10 Iowa State 9</t>
  </si>
  <si>
    <t xml:space="preserve"> -115 / +105</t>
  </si>
  <si>
    <t>Appalachian State 24 Texas State 36</t>
  </si>
  <si>
    <t xml:space="preserve"> -1000 / +750</t>
  </si>
  <si>
    <t>UConn 33 Florida Intl 12</t>
  </si>
  <si>
    <t>Ball State 17 Central Michigan 16</t>
  </si>
  <si>
    <t>(4) Michigan 31 Indiana 10</t>
  </si>
  <si>
    <t xml:space="preserve"> -1667 / +1200</t>
  </si>
  <si>
    <t>UNLV 7 San José State 40</t>
  </si>
  <si>
    <t>Air Force 27 Utah State 34</t>
  </si>
  <si>
    <t xml:space="preserve"> -400 / +360</t>
  </si>
  <si>
    <t>(9) Ole Miss 52 Vanderbilt 28</t>
  </si>
  <si>
    <t xml:space="preserve"> -769 / +680</t>
  </si>
  <si>
    <t>Texas A&amp;M 20 (1) Alabama 24</t>
  </si>
  <si>
    <t>(16) BYU 20 Notre Dame 28</t>
  </si>
  <si>
    <t>Southern Mississippi 10 Troy 27</t>
  </si>
  <si>
    <t xml:space="preserve"> +250 / -250</t>
  </si>
  <si>
    <t>Nebraska 14 Rutgers 13</t>
  </si>
  <si>
    <t>SMU 19 UCF 41</t>
  </si>
  <si>
    <t xml:space="preserve"> +135 / -145</t>
  </si>
  <si>
    <t>Flo Sports</t>
  </si>
  <si>
    <t>(24) Washington 38 Arizona State 45</t>
  </si>
  <si>
    <t xml:space="preserve"> -500 / +410</t>
  </si>
  <si>
    <t>North Carolina 27 Miami 24</t>
  </si>
  <si>
    <t xml:space="preserve"> +158 / -159</t>
  </si>
  <si>
    <t>Middle Tennessee 14 UAB 41</t>
  </si>
  <si>
    <t>Buffalo 38 Bowling Green 7</t>
  </si>
  <si>
    <t xml:space="preserve"> -123 / +110</t>
  </si>
  <si>
    <t>Houston 33 Memphis 32</t>
  </si>
  <si>
    <t xml:space="preserve"> +126 / -115</t>
  </si>
  <si>
    <t>Fresno State 20 Boise State 40</t>
  </si>
  <si>
    <t>Iowa 6 Illinois 9</t>
  </si>
  <si>
    <t xml:space="preserve"> +165 / -164</t>
  </si>
  <si>
    <t>UTEP 31 Louisiana Tech 41</t>
  </si>
  <si>
    <t>Virginia Tech 29 Pittsburgh 45</t>
  </si>
  <si>
    <t xml:space="preserve"> +500 / -556</t>
  </si>
  <si>
    <t>Auburn 10 (2) Georgia 42</t>
  </si>
  <si>
    <t>Liberty 42 UMASS 24</t>
  </si>
  <si>
    <t xml:space="preserve"> -1667 / +1280</t>
  </si>
  <si>
    <t>James Madison 42 Arkansas State 20</t>
  </si>
  <si>
    <t xml:space="preserve"> -400 / +375</t>
  </si>
  <si>
    <t>Duke 20 Georgia Tech 23</t>
  </si>
  <si>
    <t xml:space="preserve"> -154 / +150</t>
  </si>
  <si>
    <t>Purdue 31 Maryland 29</t>
  </si>
  <si>
    <t>Florida State 17 (14) NC State 19</t>
  </si>
  <si>
    <t xml:space="preserve"> +150 / -159</t>
  </si>
  <si>
    <t>EMU 45 Western Michigan 23</t>
  </si>
  <si>
    <t xml:space="preserve"> +180 / -182</t>
  </si>
  <si>
    <t>Nevada 16 Hawaii 31</t>
  </si>
  <si>
    <t xml:space="preserve"> -222 / +190</t>
  </si>
  <si>
    <t>Rice 14 Florida Atlantic 17</t>
  </si>
  <si>
    <t>Ohio 33 Western Michigan 14</t>
  </si>
  <si>
    <t>(20) Kansas 42 Oklahoma 52</t>
  </si>
  <si>
    <t>Old Dominion 49 Coastal Carolina 21</t>
  </si>
  <si>
    <t>Washington State 10 Oregon State 24</t>
  </si>
  <si>
    <t xml:space="preserve"> +135 / -149</t>
  </si>
  <si>
    <t>(5) Clemson 34 Florida State 28</t>
  </si>
  <si>
    <t xml:space="preserve"> -200 / +176</t>
  </si>
  <si>
    <t>UL Monroe 34 South Alabama 41</t>
  </si>
  <si>
    <t xml:space="preserve"> +600 / -769</t>
  </si>
  <si>
    <t>(1) Alabama 49 (8) Tennessee 52</t>
  </si>
  <si>
    <t xml:space="preserve"> -303 / +295</t>
  </si>
  <si>
    <t>Tulane 45 South Florida 31</t>
  </si>
  <si>
    <t xml:space="preserve"> -417 / +360</t>
  </si>
  <si>
    <t>Louisiana Tech 27 North Texas 47</t>
  </si>
  <si>
    <t>Miami-OH 13 Bowling Green 17</t>
  </si>
  <si>
    <t xml:space="preserve"> -263 / +230</t>
  </si>
  <si>
    <t>Wisconsin 28 Michigan State 34</t>
  </si>
  <si>
    <t>New Mexico 9 New Mexico State 21</t>
  </si>
  <si>
    <t xml:space="preserve"> -256 / +235</t>
  </si>
  <si>
    <t>(17) Mississippi State 17 (22) Kentucky 27</t>
  </si>
  <si>
    <t xml:space="preserve"> -159 / +146</t>
  </si>
  <si>
    <t>James Madison 38 Georgia Southern 45</t>
  </si>
  <si>
    <t xml:space="preserve"> -455 / +385</t>
  </si>
  <si>
    <t>Western Kentucky 35 Middle Tennessee 17</t>
  </si>
  <si>
    <t xml:space="preserve"> -270 / +240</t>
  </si>
  <si>
    <t>Kent State 31 Toledo 52</t>
  </si>
  <si>
    <t>Minnesota 14 Illinois 26</t>
  </si>
  <si>
    <t xml:space="preserve"> -189 / +180</t>
  </si>
  <si>
    <t>Air Force 42 UNLV 7</t>
  </si>
  <si>
    <t xml:space="preserve"> -370 / +330</t>
  </si>
  <si>
    <t>UConn 21 Ball State 25</t>
  </si>
  <si>
    <t xml:space="preserve"> +290 / -312</t>
  </si>
  <si>
    <t>(10) Penn State 17 (4) Michigan 41</t>
  </si>
  <si>
    <t xml:space="preserve"> +240 / -256</t>
  </si>
  <si>
    <t>Central Michigan 28 Akron 21</t>
  </si>
  <si>
    <t xml:space="preserve"> -417 / +375</t>
  </si>
  <si>
    <t>UTSA 30 Florida Intl 10</t>
  </si>
  <si>
    <t>Stanford 16 Notre Dame 14</t>
  </si>
  <si>
    <t xml:space="preserve"> +570 / -769</t>
  </si>
  <si>
    <t>Utah State 17 Colorado State 13</t>
  </si>
  <si>
    <t xml:space="preserve"> -526 / +450</t>
  </si>
  <si>
    <t>Arkansas 52 BYU 35</t>
  </si>
  <si>
    <t xml:space="preserve"> +100 / -110</t>
  </si>
  <si>
    <t>Vanderbilt 0 (2) Georgia 55</t>
  </si>
  <si>
    <t>(13) NC State 9 (18) Syracuse 24</t>
  </si>
  <si>
    <t xml:space="preserve"> +145 / -145</t>
  </si>
  <si>
    <t>Northern Illinois 39 EMU 10</t>
  </si>
  <si>
    <t xml:space="preserve"> +150 / -156</t>
  </si>
  <si>
    <t>San José State 10 Fresno State 17</t>
  </si>
  <si>
    <t>Nebraska 37 Purdue 43</t>
  </si>
  <si>
    <t xml:space="preserve"> +450 / -556</t>
  </si>
  <si>
    <t>Charlotte 20 UAB 34</t>
  </si>
  <si>
    <t>Texas State 14 Troy 17</t>
  </si>
  <si>
    <t>Navy 34 SMU 40</t>
  </si>
  <si>
    <t xml:space="preserve"> +370 / -455</t>
  </si>
  <si>
    <t>(25) North Carolina 38 Duke 35</t>
  </si>
  <si>
    <t xml:space="preserve"> -250 / +228</t>
  </si>
  <si>
    <t>LSU 45 Florida 35</t>
  </si>
  <si>
    <t xml:space="preserve"> +115 / -125</t>
  </si>
  <si>
    <t>Buffalo 34 UMASS 7</t>
  </si>
  <si>
    <t>UL Lafayette 23 Marshall 13</t>
  </si>
  <si>
    <t xml:space="preserve"> +330 / -370</t>
  </si>
  <si>
    <t>Memphis 45 East Carolina 47</t>
  </si>
  <si>
    <t xml:space="preserve"> +184 / -208</t>
  </si>
  <si>
    <t>Arkansas State 19 Southern Mississippi 20</t>
  </si>
  <si>
    <t>Miami 20 Virginia Tech 14</t>
  </si>
  <si>
    <t xml:space="preserve"> -312 / +275</t>
  </si>
  <si>
    <t xml:space="preserve"> +360 / -357</t>
  </si>
  <si>
    <t>(23) Baylor 40 West Virginia 43</t>
  </si>
  <si>
    <t xml:space="preserve"> -149 / +145</t>
  </si>
  <si>
    <t>California 13 Colorado 20</t>
  </si>
  <si>
    <t xml:space="preserve"> -556 / +500</t>
  </si>
  <si>
    <t>Maryland 38 Indiana 33</t>
  </si>
  <si>
    <t xml:space="preserve"> -370 / +320</t>
  </si>
  <si>
    <t>Gardner-Webb 20 Liberty 21</t>
  </si>
  <si>
    <t xml:space="preserve"> +1450 / -2500</t>
  </si>
  <si>
    <t>Auburn 34 (9) Ole Miss 48</t>
  </si>
  <si>
    <t xml:space="preserve"> +510 / -588</t>
  </si>
  <si>
    <t>Iowa State 21 (24) Texas 24</t>
  </si>
  <si>
    <t xml:space="preserve"> +595 / -714</t>
  </si>
  <si>
    <t>Colgate 17 Army 42</t>
  </si>
  <si>
    <t>(6) USC 42 (19) Utah 43</t>
  </si>
  <si>
    <t xml:space="preserve"> +145 / -159</t>
  </si>
  <si>
    <t xml:space="preserve"> +180 / -169</t>
  </si>
  <si>
    <t>(7) Oklahoma State 40 (15) TCU 43</t>
  </si>
  <si>
    <t>Arizona 39 Washington 49</t>
  </si>
  <si>
    <t>Temple 13 UCF 70</t>
  </si>
  <si>
    <t xml:space="preserve"> +1300 / -1667</t>
  </si>
  <si>
    <t xml:space="preserve"> +175 / -185</t>
  </si>
  <si>
    <t>San Diego State 23 Nevada 7</t>
  </si>
  <si>
    <t xml:space="preserve"> -278 / +260</t>
  </si>
  <si>
    <t>Vanderbilt 14 Missouri 17</t>
  </si>
  <si>
    <t xml:space="preserve"> +430 / -526</t>
  </si>
  <si>
    <t>Florida Atlantic 21 UTEP 24</t>
  </si>
  <si>
    <t xml:space="preserve"> -149 / +135</t>
  </si>
  <si>
    <t>Georgia Southern 28 Old Dominion 23</t>
  </si>
  <si>
    <t>(10) UCLA 30 (9) Oregon 45</t>
  </si>
  <si>
    <t>Northern Illinois 17 Ohio 24</t>
  </si>
  <si>
    <t xml:space="preserve"> -132 / +120</t>
  </si>
  <si>
    <t>Iowa 10 (2) Ohio State 54</t>
  </si>
  <si>
    <t>Tulsa 27 Temple 16</t>
  </si>
  <si>
    <t xml:space="preserve"> -500 / +440</t>
  </si>
  <si>
    <t>Virginia 16 Georgia Tech 9</t>
  </si>
  <si>
    <t>Western Michigan 16 Miami-OH 10</t>
  </si>
  <si>
    <t>Purdue 24 Wisconsin 35</t>
  </si>
  <si>
    <t xml:space="preserve"> +105 / -120</t>
  </si>
  <si>
    <t>North Texas 27 UTSA 31</t>
  </si>
  <si>
    <t>UT Martin 24 (4) Tennessee 65</t>
  </si>
  <si>
    <t>(14) Syracuse 21 (5) Clemson 27</t>
  </si>
  <si>
    <t xml:space="preserve"> +450 / -588</t>
  </si>
  <si>
    <t>UL Monroe 24 Army 48</t>
  </si>
  <si>
    <t xml:space="preserve"> +210 / -244</t>
  </si>
  <si>
    <t>Kansas 23 Baylor 35</t>
  </si>
  <si>
    <t>Minnesota 17 (16) Penn State 45</t>
  </si>
  <si>
    <t xml:space="preserve"> +200 / -213</t>
  </si>
  <si>
    <t>(24) Mississippi State 6 (6) Alabama 30</t>
  </si>
  <si>
    <t xml:space="preserve"> +1025 / -1429</t>
  </si>
  <si>
    <t>Fresno State 41 New Mexico 9</t>
  </si>
  <si>
    <t>Memphis 28 (25) Tulane 38</t>
  </si>
  <si>
    <t xml:space="preserve"> +225 / -263</t>
  </si>
  <si>
    <t>Boston College 15 (13) Wake Forest 43</t>
  </si>
  <si>
    <t>West Virginia 10 Texas Tech 48</t>
  </si>
  <si>
    <t>Toledo 27 Buffalo 34</t>
  </si>
  <si>
    <t>UAB 17 Western Kentucky 20</t>
  </si>
  <si>
    <t>(17) Kansas State 28 (8) TCU 38</t>
  </si>
  <si>
    <t>Colorado 9 Oregon State 42</t>
  </si>
  <si>
    <t xml:space="preserve"> +1395 / -2500</t>
  </si>
  <si>
    <t>Florida Intl 34 Charlotte 15</t>
  </si>
  <si>
    <t xml:space="preserve"> +430 / -500</t>
  </si>
  <si>
    <t>UNLV 21 Notre Dame 44</t>
  </si>
  <si>
    <t xml:space="preserve"> +1800 / -3333</t>
  </si>
  <si>
    <t>Bowling Green 34 Central Michigan 18</t>
  </si>
  <si>
    <t xml:space="preserve"> +205 / -213</t>
  </si>
  <si>
    <t>Georgia State 17 Appalachian State 42</t>
  </si>
  <si>
    <t xml:space="preserve"> +305 / -345</t>
  </si>
  <si>
    <t>Utah State 14 Wyoming 28</t>
  </si>
  <si>
    <t xml:space="preserve"> +195 / -213</t>
  </si>
  <si>
    <t>Arizona State 14 Stanford 15</t>
  </si>
  <si>
    <t>(19) Cincinnati 29 SMU 27</t>
  </si>
  <si>
    <t xml:space="preserve"> -164 / +145</t>
  </si>
  <si>
    <t>Troy 10 South Alabama 6</t>
  </si>
  <si>
    <t>San José State 0 New Mexico State 0</t>
  </si>
  <si>
    <t>DELAYED</t>
  </si>
  <si>
    <t xml:space="preserve"> -1429 / +1100</t>
  </si>
  <si>
    <t>Pittsburgh 10 Louisville 24</t>
  </si>
  <si>
    <t>BYU 14 Liberty 41</t>
  </si>
  <si>
    <t>Akron 27 Kent State 33</t>
  </si>
  <si>
    <t>Indiana 17 Rutgers 24</t>
  </si>
  <si>
    <t xml:space="preserve"> +138 / -147</t>
  </si>
  <si>
    <t>Arkansas State 18 UL Lafayette 38</t>
  </si>
  <si>
    <t>(7) Ole Miss 20 LSU 45</t>
  </si>
  <si>
    <t xml:space="preserve"> -108 / -105</t>
  </si>
  <si>
    <t>UCF 13 East Carolina 34</t>
  </si>
  <si>
    <t>Southern Mississippi 20 Texas State 14</t>
  </si>
  <si>
    <t>Duke 45 Miami 21</t>
  </si>
  <si>
    <t>Washington 28 California 21</t>
  </si>
  <si>
    <t xml:space="preserve"> -286 / +250</t>
  </si>
  <si>
    <t>(21) Texas 34 (11) Oklahoma State 41</t>
  </si>
  <si>
    <t xml:space="preserve"> -233 / +205</t>
  </si>
  <si>
    <t>Hawaii 13 Colorado State 17</t>
  </si>
  <si>
    <t>Marshall 26 James Madison 12</t>
  </si>
  <si>
    <t xml:space="preserve"> +355 / -333</t>
  </si>
  <si>
    <t>Rice 42 Louisiana Tech 41</t>
  </si>
  <si>
    <t>EMU 20 Ball State 16</t>
  </si>
  <si>
    <t xml:space="preserve"> +120 / -127</t>
  </si>
  <si>
    <t>Houston 38 Navy 20</t>
  </si>
  <si>
    <t xml:space="preserve"> -145 / +130</t>
  </si>
  <si>
    <t>Texas A&amp;M 24 South Carolina 30</t>
  </si>
  <si>
    <t>Boise State 19 Air Force 14</t>
  </si>
  <si>
    <t xml:space="preserve"> +122 / -130</t>
  </si>
  <si>
    <t xml:space="preserve"> -130 / +115</t>
  </si>
  <si>
    <t>Northwestern 24 Maryland 31</t>
  </si>
  <si>
    <t>Nevada 28 San José State 35</t>
  </si>
  <si>
    <t xml:space="preserve"> +1550 / -2500</t>
  </si>
  <si>
    <t>UAB 17 Florida Atlantic 24</t>
  </si>
  <si>
    <t xml:space="preserve"> -208 / +188</t>
  </si>
  <si>
    <t>Missouri 23 (25) South Carolina 10</t>
  </si>
  <si>
    <t xml:space="preserve"> +176 / -200</t>
  </si>
  <si>
    <t>(8) Oregon 42 California 24</t>
  </si>
  <si>
    <t xml:space="preserve"> -769 / +610</t>
  </si>
  <si>
    <t>SMU 45 Tulsa 34</t>
  </si>
  <si>
    <t>Old Dominion 17 Georgia State 31</t>
  </si>
  <si>
    <t>(2) Ohio State 44 (13) Penn State 31</t>
  </si>
  <si>
    <t xml:space="preserve"> -625 / +510</t>
  </si>
  <si>
    <t>Oklahoma 27 Iowa State 13</t>
  </si>
  <si>
    <t xml:space="preserve"> -105 / -103</t>
  </si>
  <si>
    <t>Miami 14 Virginia 12</t>
  </si>
  <si>
    <t xml:space="preserve"> -130 / +118</t>
  </si>
  <si>
    <t>San Diego State 28 Fresno State 32</t>
  </si>
  <si>
    <t xml:space="preserve"> +270 / -312</t>
  </si>
  <si>
    <t>(17) Kentucky 6 (3) Tennessee 44</t>
  </si>
  <si>
    <t>North Texas 40 Western Kentucky 13</t>
  </si>
  <si>
    <t>Miami-OH 27 Akron 9</t>
  </si>
  <si>
    <t xml:space="preserve"> -323 / +270</t>
  </si>
  <si>
    <t>South Florida 27 Houston 42</t>
  </si>
  <si>
    <t xml:space="preserve"> +650 / -769</t>
  </si>
  <si>
    <t>(14) Utah 21 Washington State 17</t>
  </si>
  <si>
    <t xml:space="preserve"> -294 / +260</t>
  </si>
  <si>
    <t>Stanford 13 (15) UCLA 38</t>
  </si>
  <si>
    <t xml:space="preserve"> +580 / -714</t>
  </si>
  <si>
    <t>Baylor 45 Texas Tech 17</t>
  </si>
  <si>
    <t xml:space="preserve"> +118 / -132</t>
  </si>
  <si>
    <t>(10) Wake Forest 21 Louisville 48</t>
  </si>
  <si>
    <t xml:space="preserve"> -179 / +158</t>
  </si>
  <si>
    <t>Rutgers 0 Minnesota 31</t>
  </si>
  <si>
    <t xml:space="preserve"> +480 / -588</t>
  </si>
  <si>
    <t>Toledo 27 EMU 24</t>
  </si>
  <si>
    <t xml:space="preserve"> -263 / +240</t>
  </si>
  <si>
    <t>Michigan State 7 (4) Michigan 29</t>
  </si>
  <si>
    <t xml:space="preserve"> +1160 / -1667</t>
  </si>
  <si>
    <t>Robert Morris 3 Appalachian State 42</t>
  </si>
  <si>
    <t>(9) Oklahoma State 0 (22) Kansas State 48</t>
  </si>
  <si>
    <t>Boston College 3 UConn 13</t>
  </si>
  <si>
    <t xml:space="preserve"> -294 / +285</t>
  </si>
  <si>
    <t>Louisiana Tech 34 Florida Intl 42</t>
  </si>
  <si>
    <t>South Alabama 31 Arkansas State 3</t>
  </si>
  <si>
    <t xml:space="preserve"> -455 / +390</t>
  </si>
  <si>
    <t>(19) Cincinnati 21 UCF 25</t>
  </si>
  <si>
    <t xml:space="preserve"> -105 / -108</t>
  </si>
  <si>
    <t>Arkansas 41 Auburn 27</t>
  </si>
  <si>
    <t xml:space="preserve"> -167 / +155</t>
  </si>
  <si>
    <t>Notre Dame 41 (16) Syracuse 24</t>
  </si>
  <si>
    <t xml:space="preserve"> +130 / -137</t>
  </si>
  <si>
    <t>(18) Illinois 26 Nebraska 9</t>
  </si>
  <si>
    <t xml:space="preserve"> -278 / +240</t>
  </si>
  <si>
    <t>Charlotte 56 Rice 23</t>
  </si>
  <si>
    <t>East Carolina 27 BYU 24</t>
  </si>
  <si>
    <t xml:space="preserve"> +130 / -143</t>
  </si>
  <si>
    <t>Middle Tennessee 24 UTEP 13</t>
  </si>
  <si>
    <t xml:space="preserve"> +106 / -120</t>
  </si>
  <si>
    <t>Pittsburgh 24 (21) North Carolina 42</t>
  </si>
  <si>
    <t xml:space="preserve"> +146 / -159</t>
  </si>
  <si>
    <t>Arizona State 42 Colorado 34</t>
  </si>
  <si>
    <t xml:space="preserve"> -500 / +430</t>
  </si>
  <si>
    <t>New Mexico State 23 UMASS 13</t>
  </si>
  <si>
    <t>UL Lafayette 24 Southern Mississippi 39</t>
  </si>
  <si>
    <t>Coastal Carolina 24 Marshall 13</t>
  </si>
  <si>
    <t>Florida 20 (1) Georgia 42</t>
  </si>
  <si>
    <t>(7) TCU 41 West Virginia 31</t>
  </si>
  <si>
    <t>Wyoming 27 Hawaii 20</t>
  </si>
  <si>
    <t xml:space="preserve"> -400 / +340</t>
  </si>
  <si>
    <t xml:space="preserve"> -244 / +225</t>
  </si>
  <si>
    <t>(11) USC 45 Arizona 37</t>
  </si>
  <si>
    <t xml:space="preserve"> -625 / +500</t>
  </si>
  <si>
    <t>Colorado State 10 Boise State 49</t>
  </si>
  <si>
    <t>Northwestern 13 Iowa 33</t>
  </si>
  <si>
    <t xml:space="preserve"> +350 / -417</t>
  </si>
  <si>
    <t>Georgia Tech 16 Florida State 41</t>
  </si>
  <si>
    <t xml:space="preserve"> +1300 / -2000</t>
  </si>
  <si>
    <t>Temple 20 Navy 27</t>
  </si>
  <si>
    <t xml:space="preserve"> +470 / -556</t>
  </si>
  <si>
    <t>(12) Ole Miss 31 Texas A&amp;M 28</t>
  </si>
  <si>
    <t>Virginia Tech 21 (23) NC State 22</t>
  </si>
  <si>
    <t>(8) Oregon 49 Colorado 10</t>
  </si>
  <si>
    <t>Baylor 38 Oklahoma 35</t>
  </si>
  <si>
    <t>Marshall 12 Old Dominion 0</t>
  </si>
  <si>
    <t>(24) Kentucky 21 Missouri 17</t>
  </si>
  <si>
    <t>(2) Ohio State 21 Northwestern 7</t>
  </si>
  <si>
    <t>(15) North Carolina 31 Virginia 28</t>
  </si>
  <si>
    <t>(21) Tulane 27 Tulsa 13</t>
  </si>
  <si>
    <t>Buffalo 24 Ohio 45</t>
  </si>
  <si>
    <t>(5) Clemson 14 Notre Dame 35</t>
  </si>
  <si>
    <t>UNLV 10 San Diego State 14</t>
  </si>
  <si>
    <t>Texas State 30 UL Monroe 31</t>
  </si>
  <si>
    <t>Florida Intl 14 North Texas 52</t>
  </si>
  <si>
    <t>Washington State 52 Stanford 14</t>
  </si>
  <si>
    <t>(3) Tennessee 13 (1) Georgia 27</t>
  </si>
  <si>
    <t>(18) Oklahoma State 16 Kansas 37</t>
  </si>
  <si>
    <t>South Florida 28 Temple 54</t>
  </si>
  <si>
    <t>Maryland 10 Wisconsin 23</t>
  </si>
  <si>
    <t>(11) UCLA 50 Arizona State 36</t>
  </si>
  <si>
    <t>(19) Wake Forest 21 (20) NC State 30</t>
  </si>
  <si>
    <t>South Alabama 38 Georgia Southern 31</t>
  </si>
  <si>
    <t>New Mexico 10 Utah State 27</t>
  </si>
  <si>
    <t>Minnesota 20 Nebraska 13</t>
  </si>
  <si>
    <t>Texas Tech 24 (7) TCU 34</t>
  </si>
  <si>
    <t>Western Kentucky 59 Charlotte 7</t>
  </si>
  <si>
    <t>Auburn 33 Mississippi State 39</t>
  </si>
  <si>
    <t>(4) Michigan 52 Rutgers 17</t>
  </si>
  <si>
    <t>Texas 34 (14) Kansas State 27</t>
  </si>
  <si>
    <t>Oregon State 21 Washington 24</t>
  </si>
  <si>
    <t>Duke 38 Boston College 31</t>
  </si>
  <si>
    <t>UMASS 10 UConn 27</t>
  </si>
  <si>
    <t>Appalachian State 28 Coastal Carolina 35</t>
  </si>
  <si>
    <t>Central Michigan 35 Northern Illinois 22</t>
  </si>
  <si>
    <t>South Carolina 38 Vanderbilt 27</t>
  </si>
  <si>
    <t>(23) Liberty 21 Arkansas 19</t>
  </si>
  <si>
    <t>Michigan State 23 (13) Illinois 15</t>
  </si>
  <si>
    <t>Navy 10 Cincinnati 20</t>
  </si>
  <si>
    <t>(22) Syracuse 9 Pittsburgh 19</t>
  </si>
  <si>
    <t>UTSA 44 UAB 38</t>
  </si>
  <si>
    <t>Colorado State 16 San José State 28</t>
  </si>
  <si>
    <t>Houston 63 SMU 77</t>
  </si>
  <si>
    <t>James Madison 10 Louisville 34</t>
  </si>
  <si>
    <t>BYU 31 Boise State 28</t>
  </si>
  <si>
    <t>Troy 23 UL Lafayette 17</t>
  </si>
  <si>
    <t>(6) Alabama 31 (17) LSU 32</t>
  </si>
  <si>
    <t>TBA</t>
  </si>
  <si>
    <t>(25) UCF 35 Memphis 28</t>
  </si>
  <si>
    <t>(16) Penn State 45 Indiana 14</t>
  </si>
  <si>
    <t>Middle Tennessee 24 Louisiana Tech 40</t>
  </si>
  <si>
    <t>Hawaii 13 Fresno State 55</t>
  </si>
  <si>
    <t>Florida State 45 Miami 3</t>
  </si>
  <si>
    <t>West Virginia 14 Iowa State 31</t>
  </si>
  <si>
    <t>Georgia State 42 Southern Mississippi 14</t>
  </si>
  <si>
    <t>Florida 41 Texas A&amp;M 24</t>
  </si>
  <si>
    <t>Ball State 27 Kent State 20</t>
  </si>
  <si>
    <t>California 35 (9) USC 41</t>
  </si>
  <si>
    <t>Air Force 13 Army 7</t>
  </si>
  <si>
    <t>Georgia Tech 28 Virginia Tech 27</t>
  </si>
  <si>
    <t>Iowa 24 Purdue 3</t>
  </si>
  <si>
    <t>UTEP 30 Rice 37</t>
  </si>
  <si>
    <t>Western Michigan 9 Bowling Green 13</t>
  </si>
  <si>
    <t>Arizona 20 (12) Utah 45</t>
  </si>
  <si>
    <t>Boise State 41 Nevada 3</t>
  </si>
  <si>
    <t>(23) Washington 37 (6) Oregon 34</t>
  </si>
  <si>
    <t>Florida Atlantic 52 Florida Intl 7</t>
  </si>
  <si>
    <t>James Madison 37 Old Dominion 3</t>
  </si>
  <si>
    <t>Missouri 24 (5) Tennessee 66</t>
  </si>
  <si>
    <t>Oklahoma 20 West Virginia 23</t>
  </si>
  <si>
    <t>Indiana 14 (2) Ohio State 56</t>
  </si>
  <si>
    <t>Pittsburgh 37 Virginia 7</t>
  </si>
  <si>
    <t>Tulsa 10 Memphis 26</t>
  </si>
  <si>
    <t>Ohio 37 Miami-OH 21</t>
  </si>
  <si>
    <t>San José State 27 San Diego State 43</t>
  </si>
  <si>
    <t>Kansas 28 Texas Tech 43</t>
  </si>
  <si>
    <t>Arizona State 18 Washington State 28</t>
  </si>
  <si>
    <t>Wisconsin 10 Iowa 24</t>
  </si>
  <si>
    <t>Louisville 16 (12) Clemson 31</t>
  </si>
  <si>
    <t>North Texas 21 UAB 41</t>
  </si>
  <si>
    <t>UL Monroe 31 Georgia State 28</t>
  </si>
  <si>
    <t>SMU 41 South Florida 23</t>
  </si>
  <si>
    <t>Arizona 34 (10) UCLA 28</t>
  </si>
  <si>
    <t>(14) North Carolina 36 Wake Forest 34</t>
  </si>
  <si>
    <t>(1) Georgia 45 Mississippi State 19</t>
  </si>
  <si>
    <t>(21) UCF 38 (17) Tulane 31</t>
  </si>
  <si>
    <t>Northwestern 3 Minnesota 31</t>
  </si>
  <si>
    <t>New Mexico 3 Air Force 35</t>
  </si>
  <si>
    <t>Rice 10 Western Kentucky 45</t>
  </si>
  <si>
    <t>Georgia Southern 17 UL Lafayette 36</t>
  </si>
  <si>
    <t>Ball State 21 Toledo 28</t>
  </si>
  <si>
    <t>California 10 Oregon State 38</t>
  </si>
  <si>
    <t>(22) Kansas State 31 Baylor 3</t>
  </si>
  <si>
    <t>Boston College 21 (16) NC State 20</t>
  </si>
  <si>
    <t>Appalachian State 21 Marshall 28</t>
  </si>
  <si>
    <t>Nebraska 3 (3) Michigan 34</t>
  </si>
  <si>
    <t>(19) Liberty 33 UConn 36</t>
  </si>
  <si>
    <t>Vanderbilt 24 (24) Kentucky 21</t>
  </si>
  <si>
    <t>Fresno State 37 UNLV 30</t>
  </si>
  <si>
    <t>Buffalo 27 Central Michigan 31</t>
  </si>
  <si>
    <t>Utah State 41 Hawaii 34</t>
  </si>
  <si>
    <t>Stanford 7 (13) Utah 42</t>
  </si>
  <si>
    <t>Florida State 38 Syracuse 3</t>
  </si>
  <si>
    <t>Texas State 21 South Alabama 38</t>
  </si>
  <si>
    <t>Louisiana Tech 7 UTSA 51</t>
  </si>
  <si>
    <t>Rutgers 21 Michigan State 27</t>
  </si>
  <si>
    <t>(8) LSU 13 Arkansas 10</t>
  </si>
  <si>
    <t>East Carolina 25 Cincinnati 27</t>
  </si>
  <si>
    <t>Northern Illinois 24 Western Michigan 21</t>
  </si>
  <si>
    <t>(11) Alabama 30 (9) Ole Miss 24</t>
  </si>
  <si>
    <t>Army 9 Troy 10</t>
  </si>
  <si>
    <t>Charlotte 14 Middle Tennessee 24</t>
  </si>
  <si>
    <t>EMU 34 Akron 28</t>
  </si>
  <si>
    <t>Maryland 0 (15) Penn State 30</t>
  </si>
  <si>
    <t>Lamar 14 New Mexico State 51</t>
  </si>
  <si>
    <t>(25) Notre Dame 35 Navy 32</t>
  </si>
  <si>
    <t>Southern Mississippi 23 Coastal Carolina 26</t>
  </si>
  <si>
    <t>South Carolina 6 Florida 38</t>
  </si>
  <si>
    <t>Miami 35 Georgia Tech 14</t>
  </si>
  <si>
    <t>Purdue 31 (20) Illinois 24</t>
  </si>
  <si>
    <t>Colorado 17 (7) USC 55</t>
  </si>
  <si>
    <t>Kent State 40 Bowling Green 6</t>
  </si>
  <si>
    <t>Texas A&amp;M 10 Auburn 13</t>
  </si>
  <si>
    <t>(4) TCU 17 (18) Texas 10</t>
  </si>
  <si>
    <t>Wyoming 14 Colorado State 13</t>
  </si>
  <si>
    <t>Iowa State 14 Oklahoma State 20</t>
  </si>
  <si>
    <t>UMASS 33 Arkansas State 35</t>
  </si>
  <si>
    <t>Virginia Tech 7 Duke 24</t>
  </si>
  <si>
    <t>Temple 36 Houston 43</t>
  </si>
  <si>
    <t>(23) Coastal Carolina 0 Virginia 0</t>
  </si>
  <si>
    <t>ESPN2 or ACCN</t>
  </si>
  <si>
    <t>Fresno State 41 Nevada 14</t>
  </si>
  <si>
    <t>(10) Utah 17 (13) Oregon 20</t>
  </si>
  <si>
    <t>(24) Oklahoma State 13 Oklahoma 28</t>
  </si>
  <si>
    <t>New Mexico State 14 Missouri 45</t>
  </si>
  <si>
    <t>(2) Ohio State 43 Maryland 30</t>
  </si>
  <si>
    <t>Florida Atlantic 21 Middle Tennessee 49</t>
  </si>
  <si>
    <t>Old Dominion 14 Appalachian State 27</t>
  </si>
  <si>
    <t>South Florida 42 Tulsa 48</t>
  </si>
  <si>
    <t>Ohio 32 Ball State 18</t>
  </si>
  <si>
    <t>(5) Tennessee 38 South Carolina 63</t>
  </si>
  <si>
    <t>Miami 10 (9) Clemson 40</t>
  </si>
  <si>
    <t>Texas 55 Kansas 14</t>
  </si>
  <si>
    <t>UL Monroe 16 Troy 34</t>
  </si>
  <si>
    <t>Washington State 31 Arizona 20</t>
  </si>
  <si>
    <t>Wisconsin 15 Nebraska 14</t>
  </si>
  <si>
    <t>San Diego State 34 New Mexico 10</t>
  </si>
  <si>
    <t>Miami-OH 29 Northern Illinois 23</t>
  </si>
  <si>
    <t>(6) USC 48 (16) UCLA 45</t>
  </si>
  <si>
    <t>Syracuse 35 Wake Forest 45</t>
  </si>
  <si>
    <t>Texas Tech 14 Iowa State 10</t>
  </si>
  <si>
    <t>Marshall 23 Georgia Southern 10</t>
  </si>
  <si>
    <t>Western Kentucky 17 Auburn 41</t>
  </si>
  <si>
    <t>Iowa 13 Minnesota 10</t>
  </si>
  <si>
    <t>East Tennessee State 7 Mississippi State 56</t>
  </si>
  <si>
    <t>SMU 24 (22) Tulane 59</t>
  </si>
  <si>
    <t>Bowling Green 42 Toledo 35</t>
  </si>
  <si>
    <t>UNLV 25 Hawaii 31</t>
  </si>
  <si>
    <t>Florida Intl 6 UTEP 40</t>
  </si>
  <si>
    <t>(1) Georgia 16 Kentucky 6</t>
  </si>
  <si>
    <t>Boston College 0 (19) Notre Dame 44</t>
  </si>
  <si>
    <t>(17) Kansas State 48 West Virginia 31</t>
  </si>
  <si>
    <t>Oregon State 31 Arizona State 7</t>
  </si>
  <si>
    <t>Illinois 17 (3) Michigan 19</t>
  </si>
  <si>
    <t>UConn 17 Army 34</t>
  </si>
  <si>
    <t>Western Michigan 12 Central Michigan 10</t>
  </si>
  <si>
    <t>San José State 31 Utah State 35</t>
  </si>
  <si>
    <t>(14) Ole Miss 27 Arkansas 42</t>
  </si>
  <si>
    <t>Stanford 20 California 27</t>
  </si>
  <si>
    <t>(21) Cincinnati 23 Temple 3</t>
  </si>
  <si>
    <t>South Alabama 27 Southern Mississippi 20</t>
  </si>
  <si>
    <t>UTSA 41 Rice 7</t>
  </si>
  <si>
    <t>Florida 24 Vanderbilt 31</t>
  </si>
  <si>
    <t>Indiana 39 Michigan State 31</t>
  </si>
  <si>
    <t>Utah Tech 26 BYU 52</t>
  </si>
  <si>
    <t>(12) Penn State 55 Rutgers 10</t>
  </si>
  <si>
    <t>(25) NC State 10 Louisville 25</t>
  </si>
  <si>
    <t>Louisiana Tech 21 Charlotte 26</t>
  </si>
  <si>
    <t>Austin Peay 0 (8) Alabama 34</t>
  </si>
  <si>
    <t>UAB 10 (7) LSU 41</t>
  </si>
  <si>
    <t>Georgia Tech 21 (11) North Carolina 17</t>
  </si>
  <si>
    <t>North Alabama 0 Memphis 59</t>
  </si>
  <si>
    <t>UL Lafayette 17 (20) Florida State 49</t>
  </si>
  <si>
    <t>Colorado 7 (15) Washington 54</t>
  </si>
  <si>
    <t>Houston 42 East Carolina 3</t>
  </si>
  <si>
    <t>EMU 31 Kent State 24</t>
  </si>
  <si>
    <t>Duke 26 Pittsburgh 28</t>
  </si>
  <si>
    <t>Virginia Tech 23 Liberty 22</t>
  </si>
  <si>
    <t>Colorado State 12 Air Force 24</t>
  </si>
  <si>
    <t>Georgia State 40 James Madison 42</t>
  </si>
  <si>
    <t>Navy 17 (18) UCF 14</t>
  </si>
  <si>
    <t>Boise State 20 Wyoming 17</t>
  </si>
  <si>
    <t>Arkansas State 13 Texas State 16</t>
  </si>
  <si>
    <t>Northwestern 9 Purdue 17</t>
  </si>
  <si>
    <t>UMASS 3 Texas A&amp;M 20</t>
  </si>
  <si>
    <t>(4) TCU 29 Baylor 28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</si>
</sst>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h:mm am/pm"/>
    <numFmt numFmtId="165" formatCode="0.00000"/>
    <numFmt numFmtId="166" formatCode="ddd, mm/dd, h:mm am/pm"/>
    <numFmt numFmtId="167" formatCode="m/d/yy"/>
    <numFmt numFmtId="168" formatCode="m/d"/>
    <numFmt numFmtId="169" formatCode="M/d/yyyy"/>
  </numFmts>
  <fonts count="21">
    <font>
      <sz val="10.0"/>
      <color rgb="FF000000"/>
      <name val="Arial"/>
    </font>
    <font>
      <sz val="10.0"/>
    </font>
    <font>
      <sz val="16.0"/>
    </font>
    <font>
      <sz val="18.0"/>
    </font>
    <font/>
    <font>
      <b/>
      <u/>
      <sz val="12.0"/>
      <color rgb="FF0000FF"/>
    </font>
    <font>
      <b/>
      <sz val="12.0"/>
    </font>
    <font>
      <b/>
      <name val="Arial"/>
    </font>
    <font>
      <name val="Arial"/>
    </font>
    <font>
      <sz val="12.0"/>
    </font>
    <font>
      <sz val="10.0"/>
      <color rgb="FF000000"/>
    </font>
    <font>
      <b/>
      <sz val="10.0"/>
    </font>
    <font>
      <b/>
      <sz val="11.0"/>
      <color rgb="FF000000"/>
      <name val="Arial"/>
    </font>
    <font>
      <color rgb="FF000000"/>
      <name val="Arial"/>
    </font>
    <font>
      <sz val="11.0"/>
      <color rgb="FF000000"/>
      <name val="Inconsolata"/>
    </font>
    <font>
      <b/>
    </font>
    <font>
      <sz val="9.0"/>
    </font>
    <font>
      <color rgb="FF000000"/>
    </font>
    <font>
      <color rgb="FFFFFFFF"/>
    </font>
    <font>
      <sz val="11.0"/>
      <color rgb="FFF7981D"/>
    </font>
    <font>
      <b/>
      <sz val="12.0"/>
      <color rgb="FF2B2C2D"/>
      <name val="Arial"/>
    </font>
  </fonts>
  <fills count="17">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CFE2F3"/>
        <bgColor rgb="FFCFE2F3"/>
      </patternFill>
    </fill>
    <fill>
      <patternFill patternType="solid">
        <fgColor rgb="FFEFEFEF"/>
        <bgColor rgb="FFEFEFEF"/>
      </patternFill>
    </fill>
    <fill>
      <patternFill patternType="solid">
        <fgColor rgb="FFFFCC99"/>
        <bgColor rgb="FFFFCC99"/>
      </patternFill>
    </fill>
    <fill>
      <patternFill patternType="solid">
        <fgColor rgb="FFF4CCCC"/>
        <bgColor rgb="FFF4CCCC"/>
      </patternFill>
    </fill>
    <fill>
      <patternFill patternType="solid">
        <fgColor rgb="FFFFF2CC"/>
        <bgColor rgb="FFFFF2CC"/>
      </patternFill>
    </fill>
    <fill>
      <patternFill patternType="solid">
        <fgColor rgb="FF2CEFFF"/>
        <bgColor rgb="FF2CEFFF"/>
      </patternFill>
    </fill>
    <fill>
      <patternFill patternType="solid">
        <fgColor rgb="FFFCE122"/>
        <bgColor rgb="FFFCE122"/>
      </patternFill>
    </fill>
    <fill>
      <patternFill patternType="solid">
        <fgColor rgb="FFE1DDCF"/>
        <bgColor rgb="FFE1DDCF"/>
      </patternFill>
    </fill>
    <fill>
      <patternFill patternType="solid">
        <fgColor rgb="FFFFFF00"/>
        <bgColor rgb="FFFFFF00"/>
      </patternFill>
    </fill>
    <fill>
      <patternFill patternType="solid">
        <fgColor rgb="FF00FF00"/>
        <bgColor rgb="FF00FF00"/>
      </patternFill>
    </fill>
    <fill>
      <patternFill patternType="solid">
        <fgColor rgb="FFD9D9D9"/>
        <bgColor rgb="FFD9D9D9"/>
      </patternFill>
    </fill>
    <fill>
      <patternFill patternType="solid">
        <fgColor rgb="FFF3F3F3"/>
        <bgColor rgb="FFF3F3F3"/>
      </patternFill>
    </fill>
    <fill>
      <patternFill patternType="solid">
        <fgColor rgb="FFFF9900"/>
        <bgColor rgb="FFFF9900"/>
      </patternFill>
    </fill>
  </fills>
  <borders count="23">
    <border/>
    <border>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border>
    <border>
      <left style="dotted">
        <color rgb="FF000000"/>
      </left>
      <bottom style="thin">
        <color rgb="FF000000"/>
      </bottom>
    </border>
    <border>
      <left style="dotted">
        <color rgb="FF000000"/>
      </left>
    </border>
    <border>
      <left style="medium">
        <color rgb="FF0000FF"/>
      </left>
      <top style="medium">
        <color rgb="FF0000FF"/>
      </top>
      <bottom style="medium">
        <color rgb="FF0000FF"/>
      </bottom>
    </border>
    <border>
      <top style="medium">
        <color rgb="FF0000FF"/>
      </top>
      <bottom style="medium">
        <color rgb="FF0000FF"/>
      </bottom>
    </border>
    <border>
      <right style="medium">
        <color rgb="FF0000FF"/>
      </right>
      <top style="medium">
        <color rgb="FF0000FF"/>
      </top>
      <bottom style="medium">
        <color rgb="FF0000FF"/>
      </bottom>
    </border>
    <border>
      <right style="thin">
        <color rgb="FF000000"/>
      </right>
      <top style="thin">
        <color rgb="FF000000"/>
      </top>
    </border>
    <border>
      <left style="medium">
        <color rgb="FF000000"/>
      </left>
      <right style="medium">
        <color rgb="FF000000"/>
      </right>
      <top style="medium">
        <color rgb="FF000000"/>
      </top>
    </border>
    <border>
      <left style="thin">
        <color rgb="FF990000"/>
      </left>
    </border>
    <border>
      <left style="medium">
        <color rgb="FFFF0000"/>
      </left>
      <right style="medium">
        <color rgb="FFFF0000"/>
      </right>
      <top style="medium">
        <color rgb="FFFF0000"/>
      </top>
      <bottom style="medium">
        <color rgb="FFFF0000"/>
      </bottom>
    </border>
    <border>
      <left style="thick">
        <color rgb="FFFF3333"/>
      </left>
      <right style="thick">
        <color rgb="FFFF3333"/>
      </right>
      <bottom style="thick">
        <color rgb="FFFF3333"/>
      </bottom>
    </border>
    <border>
      <left style="thin">
        <color rgb="FF0000FF"/>
      </left>
      <right style="thin">
        <color rgb="FF0000FF"/>
      </right>
      <top style="thin">
        <color rgb="FF0000FF"/>
      </top>
      <bottom style="thin">
        <color rgb="FF0000FF"/>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1" fillId="2" fontId="1" numFmtId="0" xfId="0" applyAlignment="1" applyBorder="1" applyFont="1">
      <alignment horizontal="left" readingOrder="0" vertical="bottom"/>
    </xf>
    <xf borderId="0" fillId="0" fontId="2" numFmtId="0" xfId="0" applyAlignment="1" applyFont="1">
      <alignment readingOrder="0"/>
    </xf>
    <xf borderId="2" fillId="2" fontId="1" numFmtId="0" xfId="0" applyAlignment="1" applyBorder="1" applyFont="1">
      <alignment horizontal="left" readingOrder="0" vertical="bottom"/>
    </xf>
    <xf borderId="3" fillId="0" fontId="2" numFmtId="0" xfId="0" applyAlignment="1" applyBorder="1" applyFont="1">
      <alignment readingOrder="0"/>
    </xf>
    <xf borderId="2" fillId="2" fontId="1" numFmtId="0" xfId="0" applyAlignment="1" applyBorder="1" applyFont="1">
      <alignment horizontal="left" readingOrder="0" shrinkToFit="0" vertical="bottom" wrapText="0"/>
    </xf>
    <xf borderId="0" fillId="0" fontId="3" numFmtId="0" xfId="0" applyAlignment="1" applyFont="1">
      <alignment readingOrder="0"/>
    </xf>
    <xf borderId="1" fillId="2" fontId="1" numFmtId="0" xfId="0" applyAlignment="1" applyBorder="1" applyFont="1">
      <alignment horizontal="left" readingOrder="0" shrinkToFit="0" vertical="bottom" wrapText="0"/>
    </xf>
    <xf borderId="4" fillId="0" fontId="2" numFmtId="0" xfId="0" applyAlignment="1" applyBorder="1" applyFont="1">
      <alignment readingOrder="0"/>
    </xf>
    <xf borderId="1" fillId="2" fontId="1" numFmtId="0" xfId="0" applyAlignment="1" applyBorder="1" applyFont="1">
      <alignment horizontal="left" readingOrder="0" shrinkToFit="0" vertical="bottom" wrapText="1"/>
    </xf>
    <xf borderId="0" fillId="3" fontId="4" numFmtId="0" xfId="0" applyAlignment="1" applyFill="1" applyFont="1">
      <alignment horizontal="center" readingOrder="0"/>
    </xf>
    <xf borderId="5" fillId="2" fontId="1" numFmtId="0" xfId="0" applyAlignment="1" applyBorder="1" applyFont="1">
      <alignment horizontal="left" readingOrder="0" shrinkToFit="0" vertical="bottom" wrapText="1"/>
    </xf>
    <xf borderId="6" fillId="4" fontId="5" numFmtId="0" xfId="0" applyAlignment="1" applyBorder="1" applyFill="1" applyFont="1">
      <alignment readingOrder="0"/>
    </xf>
    <xf borderId="0" fillId="3" fontId="4" numFmtId="164" xfId="0" applyAlignment="1" applyFont="1" applyNumberFormat="1">
      <alignment horizontal="center" readingOrder="0"/>
    </xf>
    <xf borderId="7" fillId="2" fontId="6" numFmtId="0" xfId="0" applyAlignment="1" applyBorder="1" applyFont="1">
      <alignment horizontal="center" readingOrder="0"/>
    </xf>
    <xf borderId="8" fillId="0" fontId="4" numFmtId="0" xfId="0" applyBorder="1" applyFont="1"/>
    <xf borderId="0" fillId="2" fontId="7" numFmtId="0" xfId="0" applyAlignment="1" applyFont="1">
      <alignment vertical="bottom"/>
    </xf>
    <xf borderId="9" fillId="0" fontId="4" numFmtId="0" xfId="0" applyBorder="1" applyFont="1"/>
    <xf borderId="0" fillId="3" fontId="4" numFmtId="0" xfId="0" applyAlignment="1" applyFont="1">
      <alignment horizontal="center" readingOrder="0"/>
    </xf>
    <xf borderId="10" fillId="3" fontId="4" numFmtId="0" xfId="0" applyAlignment="1" applyBorder="1" applyFont="1">
      <alignment horizontal="center" readingOrder="0"/>
    </xf>
    <xf borderId="0" fillId="3" fontId="4" numFmtId="0" xfId="0" applyAlignment="1" applyFont="1">
      <alignment readingOrder="0"/>
    </xf>
    <xf borderId="10" fillId="3" fontId="4" numFmtId="3" xfId="0" applyAlignment="1" applyBorder="1" applyFont="1" applyNumberFormat="1">
      <alignment horizontal="center" readingOrder="0"/>
    </xf>
    <xf borderId="10" fillId="3" fontId="1" numFmtId="0" xfId="0" applyAlignment="1" applyBorder="1" applyFont="1">
      <alignment readingOrder="0" vertical="bottom"/>
    </xf>
    <xf borderId="7" fillId="5" fontId="6" numFmtId="0" xfId="0" applyAlignment="1" applyBorder="1" applyFill="1" applyFont="1">
      <alignment horizontal="center" readingOrder="0" shrinkToFit="0" wrapText="1"/>
    </xf>
    <xf borderId="6" fillId="3" fontId="1" numFmtId="0" xfId="0" applyAlignment="1" applyBorder="1" applyFont="1">
      <alignment readingOrder="0" vertical="bottom"/>
    </xf>
    <xf borderId="0" fillId="0" fontId="4" numFmtId="0" xfId="0" applyAlignment="1" applyFont="1">
      <alignment readingOrder="0"/>
    </xf>
    <xf borderId="0" fillId="3" fontId="1" numFmtId="0" xfId="0" applyAlignment="1" applyFont="1">
      <alignment readingOrder="0" vertical="bottom"/>
    </xf>
    <xf borderId="10" fillId="3" fontId="8" numFmtId="0" xfId="0" applyAlignment="1" applyBorder="1" applyFont="1">
      <alignment readingOrder="0" vertical="bottom"/>
    </xf>
    <xf borderId="0" fillId="6" fontId="4" numFmtId="0" xfId="0" applyAlignment="1" applyFill="1" applyFont="1">
      <alignment horizontal="center" readingOrder="0"/>
    </xf>
    <xf borderId="10" fillId="3" fontId="1" numFmtId="0" xfId="0" applyAlignment="1" applyBorder="1" applyFont="1">
      <alignment horizontal="left" readingOrder="0" vertical="bottom"/>
    </xf>
    <xf borderId="11" fillId="7" fontId="6" numFmtId="0" xfId="0" applyAlignment="1" applyBorder="1" applyFill="1" applyFont="1">
      <alignment horizontal="center" readingOrder="0" shrinkToFit="0" wrapText="1"/>
    </xf>
    <xf borderId="4" fillId="3" fontId="1" numFmtId="0" xfId="0" applyAlignment="1" applyBorder="1" applyFont="1">
      <alignment horizontal="left" readingOrder="0" vertical="bottom"/>
    </xf>
    <xf borderId="0" fillId="3" fontId="1" numFmtId="0" xfId="0" applyAlignment="1" applyFont="1">
      <alignment horizontal="left" readingOrder="0" vertical="bottom"/>
    </xf>
    <xf borderId="2" fillId="4" fontId="6" numFmtId="0" xfId="0" applyAlignment="1" applyBorder="1" applyFont="1">
      <alignment readingOrder="0"/>
    </xf>
    <xf borderId="11" fillId="3" fontId="1" numFmtId="0" xfId="0" applyAlignment="1" applyBorder="1" applyFont="1">
      <alignment horizontal="left" readingOrder="0" vertical="bottom"/>
    </xf>
    <xf borderId="2" fillId="2" fontId="6" numFmtId="0" xfId="0" applyAlignment="1" applyBorder="1" applyFont="1">
      <alignment readingOrder="0"/>
    </xf>
    <xf borderId="1" fillId="2" fontId="6" numFmtId="0" xfId="0" applyAlignment="1" applyBorder="1" applyFont="1">
      <alignment readingOrder="0"/>
    </xf>
    <xf borderId="12" fillId="2" fontId="6" numFmtId="0" xfId="0" applyAlignment="1" applyBorder="1" applyFont="1">
      <alignment readingOrder="0"/>
    </xf>
    <xf borderId="2" fillId="8" fontId="6" numFmtId="0" xfId="0" applyAlignment="1" applyBorder="1" applyFill="1" applyFont="1">
      <alignment readingOrder="0" shrinkToFit="0" wrapText="1"/>
    </xf>
    <xf borderId="1" fillId="8" fontId="6" numFmtId="0" xfId="0" applyAlignment="1" applyBorder="1" applyFont="1">
      <alignment readingOrder="0" shrinkToFit="0" wrapText="1"/>
    </xf>
    <xf borderId="0" fillId="9" fontId="4" numFmtId="0" xfId="0" applyAlignment="1" applyFill="1" applyFont="1">
      <alignment horizontal="center" readingOrder="0"/>
    </xf>
    <xf borderId="2" fillId="7" fontId="6" numFmtId="0" xfId="0" applyAlignment="1" applyBorder="1" applyFont="1">
      <alignment readingOrder="0" shrinkToFit="0" wrapText="1"/>
    </xf>
    <xf borderId="0" fillId="0" fontId="2" numFmtId="0" xfId="0" applyFont="1"/>
    <xf borderId="1" fillId="7" fontId="6" numFmtId="0" xfId="0" applyAlignment="1" applyBorder="1" applyFont="1">
      <alignment readingOrder="0" shrinkToFit="0" wrapText="1"/>
    </xf>
    <xf borderId="5" fillId="7" fontId="6" numFmtId="0" xfId="0" applyAlignment="1" applyBorder="1" applyFont="1">
      <alignment readingOrder="0" shrinkToFit="0" wrapText="1"/>
    </xf>
    <xf borderId="5" fillId="0" fontId="4" numFmtId="0" xfId="0" applyBorder="1" applyFont="1"/>
    <xf borderId="3" fillId="0" fontId="2" numFmtId="0" xfId="0" applyBorder="1" applyFont="1"/>
    <xf borderId="0" fillId="10" fontId="4" numFmtId="0" xfId="0" applyAlignment="1" applyFill="1" applyFont="1">
      <alignment horizontal="center" readingOrder="0"/>
    </xf>
    <xf borderId="4" fillId="0" fontId="2" numFmtId="0" xfId="0" applyBorder="1" applyFont="1"/>
    <xf borderId="0" fillId="0" fontId="3" numFmtId="0" xfId="0" applyFont="1"/>
    <xf borderId="0" fillId="11" fontId="4" numFmtId="0" xfId="0" applyAlignment="1" applyFill="1" applyFont="1">
      <alignment horizontal="center" readingOrder="0"/>
    </xf>
    <xf borderId="4" fillId="0" fontId="9" numFmtId="165" xfId="0" applyBorder="1" applyFont="1" applyNumberFormat="1"/>
    <xf borderId="4" fillId="0" fontId="9" numFmtId="1" xfId="0" applyAlignment="1" applyBorder="1" applyFont="1" applyNumberFormat="1">
      <alignment horizontal="center"/>
    </xf>
    <xf borderId="0" fillId="0" fontId="9" numFmtId="1" xfId="0" applyAlignment="1" applyFont="1" applyNumberFormat="1">
      <alignment horizontal="center"/>
    </xf>
    <xf borderId="13" fillId="0" fontId="9" numFmtId="1" xfId="0" applyAlignment="1" applyBorder="1" applyFont="1" applyNumberFormat="1">
      <alignment horizontal="center"/>
    </xf>
    <xf borderId="0" fillId="3" fontId="8" numFmtId="0" xfId="0" applyAlignment="1" applyFont="1">
      <alignment vertical="bottom"/>
    </xf>
    <xf borderId="4" fillId="0" fontId="9" numFmtId="0" xfId="0" applyAlignment="1" applyBorder="1" applyFont="1">
      <alignment horizontal="center"/>
    </xf>
    <xf borderId="0" fillId="0" fontId="9" numFmtId="0" xfId="0" applyAlignment="1" applyFont="1">
      <alignment horizontal="center"/>
    </xf>
    <xf borderId="11" fillId="0" fontId="9" numFmtId="0" xfId="0" applyAlignment="1" applyBorder="1" applyFont="1">
      <alignment horizontal="center"/>
    </xf>
    <xf borderId="0" fillId="3" fontId="8" numFmtId="0" xfId="0" applyAlignment="1" applyFont="1">
      <alignment horizontal="center" vertical="bottom"/>
    </xf>
    <xf borderId="0" fillId="3" fontId="4" numFmtId="0" xfId="0" applyAlignment="1" applyFont="1">
      <alignment readingOrder="0"/>
    </xf>
    <xf borderId="0" fillId="3" fontId="4" numFmtId="3" xfId="0" applyAlignment="1" applyFont="1" applyNumberFormat="1">
      <alignment horizontal="center" readingOrder="0"/>
    </xf>
    <xf borderId="4" fillId="0" fontId="4" numFmtId="0" xfId="0" applyAlignment="1" applyBorder="1" applyFont="1">
      <alignment readingOrder="0"/>
    </xf>
    <xf borderId="0" fillId="3" fontId="8" numFmtId="0" xfId="0" applyAlignment="1" applyFont="1">
      <alignment readingOrder="0" vertical="bottom"/>
    </xf>
    <xf borderId="4" fillId="0" fontId="9" numFmtId="165" xfId="0" applyAlignment="1" applyBorder="1" applyFont="1" applyNumberFormat="1">
      <alignment readingOrder="0"/>
    </xf>
    <xf borderId="0" fillId="0" fontId="4" numFmtId="0" xfId="0" applyAlignment="1" applyFont="1">
      <alignment readingOrder="0"/>
    </xf>
    <xf borderId="4" fillId="3" fontId="1" numFmtId="0" xfId="0" applyAlignment="1" applyBorder="1" applyFont="1">
      <alignment readingOrder="0" vertical="bottom"/>
    </xf>
    <xf borderId="11" fillId="0" fontId="9" numFmtId="1" xfId="0" applyAlignment="1" applyBorder="1" applyFont="1" applyNumberFormat="1">
      <alignment horizontal="center"/>
    </xf>
    <xf borderId="2" fillId="0" fontId="9" numFmtId="165" xfId="0" applyAlignment="1" applyBorder="1" applyFont="1" applyNumberFormat="1">
      <alignment readingOrder="0"/>
    </xf>
    <xf borderId="2" fillId="0" fontId="9" numFmtId="1" xfId="0" applyAlignment="1" applyBorder="1" applyFont="1" applyNumberFormat="1">
      <alignment horizontal="center"/>
    </xf>
    <xf borderId="1" fillId="0" fontId="9" numFmtId="1" xfId="0" applyAlignment="1" applyBorder="1" applyFont="1" applyNumberFormat="1">
      <alignment horizontal="center"/>
    </xf>
    <xf borderId="12" fillId="0" fontId="9" numFmtId="1" xfId="0" applyAlignment="1" applyBorder="1" applyFont="1" applyNumberFormat="1">
      <alignment horizontal="center"/>
    </xf>
    <xf borderId="2" fillId="0" fontId="9" numFmtId="0" xfId="0" applyAlignment="1" applyBorder="1" applyFont="1">
      <alignment horizontal="center"/>
    </xf>
    <xf borderId="1" fillId="0" fontId="9" numFmtId="0" xfId="0" applyAlignment="1" applyBorder="1" applyFont="1">
      <alignment horizontal="center"/>
    </xf>
    <xf borderId="5" fillId="0" fontId="9" numFmtId="0" xfId="0" applyAlignment="1" applyBorder="1" applyFont="1">
      <alignment horizontal="center"/>
    </xf>
    <xf borderId="5" fillId="0" fontId="9" numFmtId="1" xfId="0" applyAlignment="1" applyBorder="1" applyFont="1" applyNumberFormat="1">
      <alignment horizontal="center"/>
    </xf>
    <xf borderId="0" fillId="0" fontId="9" numFmtId="0" xfId="0" applyAlignment="1" applyFont="1">
      <alignment readingOrder="0"/>
    </xf>
    <xf borderId="4" fillId="0" fontId="9" numFmtId="0" xfId="0" applyAlignment="1" applyBorder="1" applyFont="1">
      <alignment readingOrder="0"/>
    </xf>
    <xf borderId="4" fillId="0" fontId="9" numFmtId="0" xfId="0" applyBorder="1" applyFont="1"/>
    <xf borderId="0" fillId="0" fontId="9" numFmtId="0" xfId="0" applyFont="1"/>
    <xf borderId="11" fillId="0" fontId="9" numFmtId="0" xfId="0" applyBorder="1" applyFont="1"/>
    <xf borderId="0" fillId="0" fontId="9" numFmtId="165" xfId="0" applyAlignment="1" applyFont="1" applyNumberFormat="1">
      <alignment readingOrder="0"/>
    </xf>
    <xf borderId="4" fillId="0" fontId="9" numFmtId="1" xfId="0" applyAlignment="1" applyBorder="1" applyFont="1" applyNumberFormat="1">
      <alignment readingOrder="0"/>
    </xf>
    <xf borderId="0" fillId="3" fontId="4" numFmtId="0" xfId="0" applyAlignment="1" applyFont="1">
      <alignment horizontal="center"/>
    </xf>
    <xf borderId="11" fillId="0" fontId="4" numFmtId="0" xfId="0" applyBorder="1" applyFont="1"/>
    <xf borderId="3" fillId="0" fontId="3" numFmtId="0" xfId="0" applyBorder="1" applyFont="1"/>
    <xf borderId="4" fillId="0" fontId="3" numFmtId="0" xfId="0" applyAlignment="1" applyBorder="1" applyFont="1">
      <alignment readingOrder="0"/>
    </xf>
    <xf borderId="4" fillId="0" fontId="3" numFmtId="0" xfId="0" applyBorder="1" applyFont="1"/>
    <xf borderId="5" fillId="2" fontId="1" numFmtId="0" xfId="0" applyAlignment="1" applyBorder="1" applyFont="1">
      <alignment horizontal="left" readingOrder="0" vertical="bottom"/>
    </xf>
    <xf borderId="1" fillId="2" fontId="1" numFmtId="0" xfId="0" applyAlignment="1" applyBorder="1" applyFont="1">
      <alignment horizontal="left" vertical="bottom"/>
    </xf>
    <xf borderId="0" fillId="2" fontId="8" numFmtId="0" xfId="0" applyAlignment="1" applyFont="1">
      <alignment vertical="bottom"/>
    </xf>
    <xf borderId="0" fillId="3" fontId="8" numFmtId="164" xfId="0" applyAlignment="1" applyFont="1" applyNumberFormat="1">
      <alignment horizontal="center" vertical="bottom"/>
    </xf>
    <xf borderId="0" fillId="12" fontId="8" numFmtId="164" xfId="0" applyAlignment="1" applyFill="1" applyFont="1" applyNumberFormat="1">
      <alignment horizontal="center" vertical="bottom"/>
    </xf>
    <xf borderId="14" fillId="6" fontId="10" numFmtId="0" xfId="0" applyAlignment="1" applyBorder="1" applyFont="1">
      <alignment horizontal="center" readingOrder="0"/>
    </xf>
    <xf borderId="15" fillId="0" fontId="4" numFmtId="0" xfId="0" applyBorder="1" applyFont="1"/>
    <xf borderId="16" fillId="0" fontId="4" numFmtId="0" xfId="0" applyBorder="1" applyFont="1"/>
    <xf borderId="6" fillId="13" fontId="11" numFmtId="165" xfId="0" applyAlignment="1" applyBorder="1" applyFill="1" applyFont="1" applyNumberFormat="1">
      <alignment horizontal="center" readingOrder="0" vertical="bottom"/>
    </xf>
    <xf borderId="17" fillId="0" fontId="4" numFmtId="0" xfId="0" applyBorder="1" applyFont="1"/>
    <xf borderId="0" fillId="0" fontId="7" numFmtId="0" xfId="0" applyAlignment="1" applyFont="1">
      <alignment vertical="bottom"/>
    </xf>
    <xf borderId="0" fillId="12" fontId="7" numFmtId="0" xfId="0" applyAlignment="1" applyFont="1">
      <alignment vertical="bottom"/>
    </xf>
    <xf borderId="0" fillId="12" fontId="7" numFmtId="0" xfId="0" applyAlignment="1" applyFont="1">
      <alignment vertical="bottom"/>
    </xf>
    <xf borderId="1" fillId="2" fontId="8" numFmtId="0" xfId="0" applyAlignment="1" applyBorder="1" applyFont="1">
      <alignment vertical="bottom"/>
    </xf>
    <xf borderId="5" fillId="2" fontId="8" numFmtId="0" xfId="0" applyAlignment="1" applyBorder="1" applyFont="1">
      <alignment vertical="bottom"/>
    </xf>
    <xf borderId="2" fillId="2" fontId="7" numFmtId="0" xfId="0" applyAlignment="1" applyBorder="1" applyFont="1">
      <alignment vertical="bottom"/>
    </xf>
    <xf borderId="1" fillId="2" fontId="7" numFmtId="0" xfId="0" applyAlignment="1" applyBorder="1" applyFont="1">
      <alignment vertical="bottom"/>
    </xf>
    <xf borderId="5" fillId="2" fontId="7" numFmtId="0" xfId="0" applyAlignment="1" applyBorder="1" applyFont="1">
      <alignment vertical="bottom"/>
    </xf>
    <xf borderId="1" fillId="2" fontId="7" numFmtId="0" xfId="0" applyAlignment="1" applyBorder="1" applyFont="1">
      <alignment shrinkToFit="0" vertical="bottom" wrapText="1"/>
    </xf>
    <xf borderId="0" fillId="3" fontId="12" numFmtId="0" xfId="0" applyAlignment="1" applyFont="1">
      <alignment vertical="bottom"/>
    </xf>
    <xf borderId="0" fillId="0" fontId="7" numFmtId="0" xfId="0" applyAlignment="1" applyFont="1">
      <alignment vertical="bottom"/>
    </xf>
    <xf borderId="10" fillId="0" fontId="4" numFmtId="0" xfId="0" applyAlignment="1" applyBorder="1" applyFont="1">
      <alignment readingOrder="0"/>
    </xf>
    <xf borderId="10" fillId="0" fontId="1" numFmtId="165" xfId="0" applyAlignment="1" applyBorder="1" applyFont="1" applyNumberFormat="1">
      <alignment horizontal="left" readingOrder="0" vertical="bottom"/>
    </xf>
    <xf borderId="6" fillId="13" fontId="11" numFmtId="0" xfId="0" applyAlignment="1" applyBorder="1" applyFont="1">
      <alignment horizontal="center" readingOrder="0" vertical="bottom"/>
    </xf>
    <xf borderId="10" fillId="3" fontId="1" numFmtId="0" xfId="0" applyAlignment="1" applyBorder="1" applyFont="1">
      <alignment vertical="bottom"/>
    </xf>
    <xf borderId="4" fillId="12" fontId="11" numFmtId="0" xfId="0" applyAlignment="1" applyBorder="1" applyFont="1">
      <alignment horizontal="center" readingOrder="0" vertical="bottom"/>
    </xf>
    <xf borderId="10" fillId="2" fontId="1" numFmtId="0" xfId="0" applyAlignment="1" applyBorder="1" applyFont="1">
      <alignment readingOrder="0" vertical="bottom"/>
    </xf>
    <xf borderId="11" fillId="12" fontId="11" numFmtId="0" xfId="0" applyAlignment="1" applyBorder="1" applyFont="1">
      <alignment horizontal="center" readingOrder="0" vertical="bottom"/>
    </xf>
    <xf borderId="5" fillId="12" fontId="11" numFmtId="0" xfId="0" applyAlignment="1" applyBorder="1" applyFont="1">
      <alignment horizontal="center" readingOrder="0" vertical="bottom"/>
    </xf>
    <xf borderId="2" fillId="12" fontId="11" numFmtId="0" xfId="0" applyAlignment="1" applyBorder="1" applyFont="1">
      <alignment horizontal="center" readingOrder="0" vertical="bottom"/>
    </xf>
    <xf borderId="10" fillId="0" fontId="4" numFmtId="0" xfId="0" applyAlignment="1" applyBorder="1" applyFont="1">
      <alignment readingOrder="0" shrinkToFit="0" wrapText="1"/>
    </xf>
    <xf borderId="10" fillId="0" fontId="1" numFmtId="0" xfId="0" applyAlignment="1" applyBorder="1" applyFont="1">
      <alignment horizontal="left" readingOrder="0" vertical="bottom"/>
    </xf>
    <xf borderId="17" fillId="0" fontId="1" numFmtId="0" xfId="0" applyAlignment="1" applyBorder="1" applyFont="1">
      <alignment horizontal="left" readingOrder="0" vertical="bottom"/>
    </xf>
    <xf borderId="0" fillId="0" fontId="8" numFmtId="0" xfId="0" applyAlignment="1" applyFont="1">
      <alignment horizontal="right" shrinkToFit="0" vertical="bottom" wrapText="1"/>
    </xf>
    <xf borderId="0" fillId="0" fontId="8" numFmtId="0" xfId="0" applyAlignment="1" applyFont="1">
      <alignment vertical="bottom"/>
    </xf>
    <xf borderId="0" fillId="0" fontId="8" numFmtId="3" xfId="0" applyAlignment="1" applyFont="1" applyNumberFormat="1">
      <alignment horizontal="right" shrinkToFit="0" vertical="bottom" wrapText="1"/>
    </xf>
    <xf borderId="0" fillId="0" fontId="8" numFmtId="166" xfId="0" applyAlignment="1" applyFont="1" applyNumberFormat="1">
      <alignment horizontal="right" vertical="bottom"/>
    </xf>
    <xf borderId="0" fillId="0" fontId="8" numFmtId="0" xfId="0" applyAlignment="1" applyFont="1">
      <alignment horizontal="right" vertical="bottom"/>
    </xf>
    <xf borderId="11" fillId="0" fontId="13" numFmtId="3" xfId="0" applyAlignment="1" applyBorder="1" applyFont="1" applyNumberFormat="1">
      <alignment horizontal="right" vertical="bottom"/>
    </xf>
    <xf borderId="0" fillId="3" fontId="14" numFmtId="0" xfId="0" applyAlignment="1" applyFont="1">
      <alignment horizontal="right" vertical="bottom"/>
    </xf>
    <xf borderId="0" fillId="0" fontId="8" numFmtId="3" xfId="0" applyAlignment="1" applyFont="1" applyNumberFormat="1">
      <alignment horizontal="right" vertical="bottom"/>
    </xf>
    <xf borderId="4" fillId="0" fontId="1" numFmtId="0" xfId="0" applyAlignment="1" applyBorder="1" applyFont="1">
      <alignment horizontal="left" readingOrder="0" vertical="bottom"/>
    </xf>
    <xf borderId="11" fillId="0" fontId="1" numFmtId="0" xfId="0" applyAlignment="1" applyBorder="1" applyFont="1">
      <alignment horizontal="left" readingOrder="0" vertical="bottom"/>
    </xf>
    <xf borderId="0" fillId="0" fontId="1" numFmtId="165" xfId="0" applyAlignment="1" applyFont="1" applyNumberFormat="1">
      <alignment horizontal="left" readingOrder="0" vertical="bottom"/>
    </xf>
    <xf borderId="0" fillId="3" fontId="1" numFmtId="0" xfId="0" applyAlignment="1" applyFont="1">
      <alignment vertical="bottom"/>
    </xf>
    <xf borderId="0" fillId="2" fontId="1" numFmtId="0" xfId="0" applyAlignment="1" applyFont="1">
      <alignment readingOrder="0"/>
    </xf>
    <xf borderId="0" fillId="0" fontId="4" numFmtId="0" xfId="0" applyAlignment="1" applyFont="1">
      <alignment readingOrder="0" shrinkToFit="0" wrapText="1"/>
    </xf>
    <xf borderId="0" fillId="0" fontId="1" numFmtId="0" xfId="0" applyAlignment="1" applyFont="1">
      <alignment horizontal="left" readingOrder="0" vertical="bottom"/>
    </xf>
    <xf borderId="0" fillId="0" fontId="4" numFmtId="165" xfId="0" applyAlignment="1" applyFont="1" applyNumberFormat="1">
      <alignment horizontal="left" readingOrder="0"/>
    </xf>
    <xf borderId="0" fillId="2" fontId="1" numFmtId="0" xfId="0" applyFont="1"/>
    <xf borderId="0" fillId="14" fontId="11" numFmtId="0" xfId="0" applyAlignment="1" applyFill="1" applyFont="1">
      <alignment readingOrder="0"/>
    </xf>
    <xf borderId="1" fillId="14" fontId="11" numFmtId="165" xfId="0" applyAlignment="1" applyBorder="1" applyFont="1" applyNumberFormat="1">
      <alignment readingOrder="0"/>
    </xf>
    <xf borderId="1" fillId="14" fontId="11" numFmtId="0" xfId="0" applyAlignment="1" applyBorder="1" applyFont="1">
      <alignment readingOrder="0"/>
    </xf>
    <xf borderId="0" fillId="0" fontId="1" numFmtId="0" xfId="0" applyFont="1"/>
    <xf borderId="0" fillId="2" fontId="1" numFmtId="0" xfId="0" applyAlignment="1" applyFont="1">
      <alignment readingOrder="0" vertical="bottom"/>
    </xf>
    <xf borderId="0" fillId="0" fontId="1" numFmtId="165" xfId="0" applyFont="1" applyNumberFormat="1"/>
    <xf borderId="0" fillId="3" fontId="1" numFmtId="165" xfId="0" applyFont="1" applyNumberFormat="1"/>
    <xf borderId="0" fillId="2" fontId="1" numFmtId="0" xfId="0" applyAlignment="1" applyFont="1">
      <alignment vertical="bottom"/>
    </xf>
    <xf borderId="0" fillId="3" fontId="1" numFmtId="0" xfId="0" applyFont="1"/>
    <xf borderId="0" fillId="3" fontId="11" numFmtId="0" xfId="0" applyFont="1"/>
    <xf borderId="1" fillId="14" fontId="15" numFmtId="0" xfId="0" applyBorder="1" applyFont="1"/>
    <xf borderId="0" fillId="14" fontId="15" numFmtId="0" xfId="0" applyFont="1"/>
    <xf borderId="0" fillId="0" fontId="4" numFmtId="0" xfId="0" applyAlignment="1" applyFont="1">
      <alignment horizontal="left" readingOrder="0"/>
    </xf>
    <xf borderId="0" fillId="0" fontId="16" numFmtId="0" xfId="0" applyAlignment="1" applyFont="1">
      <alignment vertical="bottom"/>
    </xf>
    <xf borderId="0" fillId="15" fontId="1" numFmtId="0" xfId="0" applyAlignment="1" applyFill="1" applyFont="1">
      <alignment horizontal="left" readingOrder="0" vertical="bottom"/>
    </xf>
    <xf borderId="0" fillId="0" fontId="16" numFmtId="0" xfId="0" applyAlignment="1" applyFont="1">
      <alignment readingOrder="0" vertical="bottom"/>
    </xf>
    <xf borderId="0" fillId="15" fontId="1" numFmtId="0" xfId="0" applyAlignment="1" applyFont="1">
      <alignment vertical="bottom"/>
    </xf>
    <xf borderId="1" fillId="0" fontId="4" numFmtId="0" xfId="0" applyAlignment="1" applyBorder="1" applyFont="1">
      <alignment readingOrder="0"/>
    </xf>
    <xf borderId="1" fillId="0" fontId="4" numFmtId="0" xfId="0" applyBorder="1" applyFont="1"/>
    <xf borderId="1" fillId="3" fontId="1" numFmtId="0" xfId="0" applyAlignment="1" applyBorder="1" applyFont="1">
      <alignment vertical="bottom"/>
    </xf>
    <xf borderId="1" fillId="2" fontId="1" numFmtId="0" xfId="0" applyAlignment="1" applyBorder="1" applyFont="1">
      <alignment readingOrder="0" vertical="bottom"/>
    </xf>
    <xf borderId="1" fillId="0" fontId="4" numFmtId="0" xfId="0" applyAlignment="1" applyBorder="1" applyFont="1">
      <alignment readingOrder="0" shrinkToFit="0" wrapText="1"/>
    </xf>
    <xf borderId="0" fillId="15" fontId="1" numFmtId="0" xfId="0" applyAlignment="1" applyFont="1">
      <alignment readingOrder="0" vertical="bottom"/>
    </xf>
    <xf borderId="0" fillId="0" fontId="16" numFmtId="0" xfId="0" applyAlignment="1" applyFont="1">
      <alignment readingOrder="0" vertical="bottom"/>
    </xf>
    <xf borderId="0" fillId="3" fontId="14" numFmtId="0" xfId="0" applyFont="1"/>
    <xf borderId="1" fillId="16" fontId="4" numFmtId="0" xfId="0" applyAlignment="1" applyBorder="1" applyFill="1" applyFont="1">
      <alignment horizontal="center" readingOrder="0"/>
    </xf>
    <xf borderId="5" fillId="16" fontId="4" numFmtId="0" xfId="0" applyAlignment="1" applyBorder="1" applyFont="1">
      <alignment horizontal="center" readingOrder="0"/>
    </xf>
    <xf borderId="1" fillId="16" fontId="4" numFmtId="165" xfId="0" applyAlignment="1" applyBorder="1" applyFont="1" applyNumberFormat="1">
      <alignment horizontal="center" readingOrder="0"/>
    </xf>
    <xf borderId="0" fillId="13" fontId="11" numFmtId="0" xfId="0" applyAlignment="1" applyFont="1">
      <alignment horizontal="center" readingOrder="0" vertical="bottom"/>
    </xf>
    <xf borderId="0" fillId="12" fontId="11" numFmtId="0" xfId="0" applyAlignment="1" applyFont="1">
      <alignment horizontal="center" readingOrder="0" vertical="bottom"/>
    </xf>
    <xf borderId="6" fillId="0" fontId="4" numFmtId="0" xfId="0" applyBorder="1" applyFont="1"/>
    <xf borderId="17" fillId="0" fontId="1" numFmtId="0" xfId="0" applyAlignment="1" applyBorder="1" applyFont="1">
      <alignment horizontal="left" readingOrder="0" vertical="bottom"/>
    </xf>
    <xf borderId="6" fillId="0" fontId="4" numFmtId="0" xfId="0" applyBorder="1" applyFont="1"/>
    <xf borderId="4" fillId="0" fontId="4" numFmtId="0" xfId="0" applyBorder="1" applyFont="1"/>
    <xf borderId="11" fillId="0" fontId="1" numFmtId="0" xfId="0" applyAlignment="1" applyBorder="1" applyFont="1">
      <alignment horizontal="left" readingOrder="0" vertical="bottom"/>
    </xf>
    <xf borderId="4" fillId="0" fontId="4" numFmtId="0" xfId="0" applyBorder="1" applyFont="1"/>
    <xf borderId="0" fillId="3" fontId="1" numFmtId="0" xfId="0" applyAlignment="1" applyFont="1">
      <alignment vertical="bottom"/>
    </xf>
    <xf borderId="0" fillId="0" fontId="4" numFmtId="167" xfId="0" applyAlignment="1" applyFont="1" applyNumberFormat="1">
      <alignment readingOrder="0"/>
    </xf>
    <xf borderId="0" fillId="0" fontId="4" numFmtId="168" xfId="0" applyAlignment="1" applyFont="1" applyNumberFormat="1">
      <alignment readingOrder="0"/>
    </xf>
    <xf borderId="1" fillId="0" fontId="1" numFmtId="0" xfId="0" applyAlignment="1" applyBorder="1" applyFont="1">
      <alignment horizontal="left" readingOrder="0" vertical="bottom"/>
    </xf>
    <xf borderId="1" fillId="3" fontId="4" numFmtId="0" xfId="0" applyAlignment="1" applyBorder="1" applyFont="1">
      <alignment horizontal="center" readingOrder="0" shrinkToFit="0" wrapText="1"/>
    </xf>
    <xf borderId="0" fillId="0" fontId="17" numFmtId="165" xfId="0" applyAlignment="1" applyFont="1" applyNumberFormat="1">
      <alignment horizontal="left" readingOrder="0"/>
    </xf>
    <xf borderId="0" fillId="0" fontId="18" numFmtId="165" xfId="0" applyAlignment="1" applyFont="1" applyNumberFormat="1">
      <alignment horizontal="center"/>
    </xf>
    <xf borderId="0" fillId="3" fontId="19" numFmtId="165" xfId="0" applyFont="1" applyNumberFormat="1"/>
    <xf borderId="2" fillId="0" fontId="4" numFmtId="0" xfId="0" applyBorder="1" applyFont="1"/>
    <xf borderId="5" fillId="0" fontId="1" numFmtId="0" xfId="0" applyAlignment="1" applyBorder="1" applyFont="1">
      <alignment horizontal="left" readingOrder="0" vertical="bottom"/>
    </xf>
    <xf borderId="1" fillId="0" fontId="4" numFmtId="0" xfId="0" applyBorder="1" applyFont="1"/>
    <xf borderId="2" fillId="0" fontId="4" numFmtId="0" xfId="0" applyBorder="1" applyFont="1"/>
    <xf borderId="0" fillId="0" fontId="4" numFmtId="2" xfId="0" applyFont="1" applyNumberFormat="1"/>
    <xf borderId="0" fillId="0" fontId="4" numFmtId="14" xfId="0" applyAlignment="1" applyFont="1" applyNumberFormat="1">
      <alignment readingOrder="0"/>
    </xf>
    <xf borderId="0" fillId="0" fontId="4" numFmtId="0" xfId="0" applyFont="1"/>
    <xf borderId="0" fillId="0" fontId="15" numFmtId="0" xfId="0" applyAlignment="1" applyFont="1">
      <alignment readingOrder="0"/>
    </xf>
    <xf borderId="0" fillId="3" fontId="20" numFmtId="0" xfId="0" applyAlignment="1" applyFont="1">
      <alignment horizontal="left" readingOrder="0" shrinkToFit="0" vertical="top" wrapText="0"/>
    </xf>
    <xf borderId="0" fillId="0" fontId="4" numFmtId="0" xfId="0" applyAlignment="1" applyFont="1">
      <alignment horizontal="center" readingOrder="0"/>
    </xf>
    <xf borderId="18" fillId="0" fontId="4" numFmtId="0" xfId="0" applyAlignment="1" applyBorder="1" applyFont="1">
      <alignment horizontal="center" readingOrder="0"/>
    </xf>
    <xf borderId="19" fillId="0" fontId="4" numFmtId="0" xfId="0" applyAlignment="1" applyBorder="1" applyFont="1">
      <alignment horizontal="center" readingOrder="0"/>
    </xf>
    <xf borderId="20" fillId="0" fontId="4" numFmtId="0" xfId="0" applyAlignment="1" applyBorder="1" applyFont="1">
      <alignment horizontal="center" readingOrder="0"/>
    </xf>
    <xf borderId="21" fillId="0" fontId="4" numFmtId="0" xfId="0" applyAlignment="1" applyBorder="1" applyFont="1">
      <alignment horizontal="center" readingOrder="0"/>
    </xf>
    <xf borderId="0" fillId="0" fontId="15" numFmtId="0" xfId="0" applyAlignment="1" applyFont="1">
      <alignment horizontal="center" readingOrder="0"/>
    </xf>
    <xf borderId="22" fillId="0" fontId="4" numFmtId="0" xfId="0" applyAlignment="1" applyBorder="1" applyFont="1">
      <alignment horizontal="center" readingOrder="0"/>
    </xf>
    <xf borderId="2" fillId="2" fontId="1" numFmtId="0" xfId="0" applyAlignment="1" applyBorder="1" applyFont="1">
      <alignment horizontal="left" readingOrder="0" shrinkToFit="0" vertical="bottom" wrapText="1"/>
    </xf>
    <xf borderId="0" fillId="2" fontId="1" numFmtId="169" xfId="0" applyAlignment="1" applyFont="1" applyNumberFormat="1">
      <alignment horizontal="left" readingOrder="0" vertical="bottom"/>
    </xf>
    <xf borderId="0" fillId="15" fontId="1" numFmtId="0" xfId="0" applyAlignment="1" applyFont="1">
      <alignment readingOrder="0" vertical="bottom"/>
    </xf>
    <xf borderId="0" fillId="0" fontId="8" numFmtId="0" xfId="0" applyAlignment="1" applyFont="1">
      <alignment vertical="bottom"/>
    </xf>
    <xf borderId="0" fillId="2" fontId="1" numFmtId="0" xfId="0" applyFont="1"/>
    <xf borderId="11" fillId="0" fontId="8" numFmtId="3" xfId="0" applyAlignment="1" applyBorder="1" applyFont="1" applyNumberFormat="1">
      <alignment horizontal="right" vertical="bottom"/>
    </xf>
    <xf borderId="0" fillId="2" fontId="1" numFmtId="0" xfId="0" applyAlignment="1" applyFont="1">
      <alignment vertical="bottom"/>
    </xf>
  </cellXfs>
  <cellStyles count="1">
    <cellStyle xfId="0" name="Normal" builtinId="0"/>
  </cellStyles>
  <dxfs count="11">
    <dxf>
      <font/>
      <fill>
        <patternFill patternType="none"/>
      </fill>
      <border/>
    </dxf>
    <dxf>
      <font/>
      <fill>
        <patternFill patternType="solid">
          <fgColor rgb="FFFFFFFF"/>
          <bgColor rgb="FFFFFFFF"/>
        </patternFill>
      </fill>
      <border/>
    </dxf>
    <dxf>
      <font/>
      <fill>
        <patternFill patternType="solid">
          <fgColor rgb="FF8BC34A"/>
          <bgColor rgb="FF8BC34A"/>
        </patternFill>
      </fill>
      <border/>
    </dxf>
    <dxf>
      <font/>
      <fill>
        <patternFill patternType="solid">
          <fgColor rgb="FFF3F3F3"/>
          <bgColor rgb="FFF3F3F3"/>
        </patternFill>
      </fill>
      <border/>
    </dxf>
    <dxf>
      <font/>
      <fill>
        <patternFill patternType="solid">
          <fgColor rgb="FFEEF7E3"/>
          <bgColor rgb="FFEEF7E3"/>
        </patternFill>
      </fill>
      <border/>
    </dxf>
    <dxf>
      <font/>
      <fill>
        <patternFill patternType="none"/>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E599"/>
          <bgColor rgb="FFFFE599"/>
        </patternFill>
      </fill>
      <border/>
    </dxf>
    <dxf>
      <font>
        <b/>
      </font>
      <fill>
        <patternFill patternType="none"/>
      </fill>
      <border/>
    </dxf>
    <dxf>
      <font>
        <strike/>
      </font>
      <fill>
        <patternFill patternType="none"/>
      </fill>
      <border/>
    </dxf>
  </dxfs>
  <tableStyles count="2">
    <tableStyle count="2" pivot="0" name="Standings-style">
      <tableStyleElement dxfId="1" type="firstRowStripe"/>
      <tableStyleElement dxfId="3" type="secondRowStripe"/>
    </tableStyle>
    <tableStyle count="3" pivot="0" name="Active Games-style">
      <tableStyleElement dxfId="2"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ke Lombardo" id="{30e5a50f-ce8a-4386-9b82-97dbeb56eeb7}" providerId="google-sheets"/>
  <x18tc:person displayName="bradlytle@gmail.com" id="{5a23ccf3-3433-4d77-9726-312e258da802}" userId="bradlytle@gmail.com" providerId="google-sheets"/>
  <x18tc:person displayName="Brad Lytle" id="{bba4531c-44bf-4ef9-969a-5cc9fd68e957}" providerId="google-sheets"/>
</x18tc:personList>
</file>

<file path=xl/tables/table1.xml><?xml version="1.0" encoding="utf-8"?>
<table xmlns="http://schemas.openxmlformats.org/spreadsheetml/2006/main" headerRowCount="0" ref="A3:M15"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tandings-style" showColumnStripes="0" showFirstColumn="1" showLastColumn="1" showRowStripes="1"/>
</table>
</file>

<file path=xl/tables/table2.xml><?xml version="1.0" encoding="utf-8"?>
<table xmlns="http://schemas.openxmlformats.org/spreadsheetml/2006/main" headerRowCount="0" ref="A1:S586"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Active Games-style" showColumnStripes="0" showFirstColumn="1" showLastColumn="1" showRowStripes="1"/>
  <extLst>
    <ext uri="GoogleSheetsCustomDataVersion1">
      <go:sheetsCustomData xmlns:go="http://customooxmlschemas.google.com/" headerRowCount="1"/>
    </ext>
  </extLst>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32" dT="2022-09-03T12:21:54.00" personId="{30e5a50f-ce8a-4386-9b82-97dbeb56eeb7}" id="{12abb4b7-421a-4b1f-82de-55b4acc9569d}" done="1">
    <x18tc:text xml:space="preserve">@bradlytle@gmail.com this game hasn’t been played yet and I’m credited for a win. Please don’t fix this.</x18tc:text>
    <x18tc:mentions>
      <x18tc:mention mentionpersonId="{5a23ccf3-3433-4d77-9726-312e258da802}" mentionId="{2ff3c3bd-db16-40b0-85b4-b071e5527d6b}" startIndex="0" length="20"/>
    </x18tc:mentions>
  </x18tc:threadedComment>
  <x18tc:threadedComment ref="D132" dT="2022-09-03T12:48:58.00" personId="{bba4531c-44bf-4ef9-969a-5cc9fd68e957}" id="{b060d5a1-9832-49b1-82ac-8a9b7f84f3d8}" parentId="{12abb4b7-421a-4b1f-82de-55b4acc9569d}">
    <x18tc:text xml:space="preserve">Working as intended, that's season record, fsu demolished a cupcake in week 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1.5"/>
    <col customWidth="1" min="2" max="2" width="5.5"/>
    <col customWidth="1" min="3" max="3" width="7.75"/>
    <col customWidth="1" min="4" max="4" width="7.0"/>
    <col customWidth="1" min="5" max="5" width="6.63"/>
    <col customWidth="1" min="6" max="6" width="7.88"/>
    <col customWidth="1" min="7" max="7" width="9.0"/>
    <col customWidth="1" min="8" max="8" width="5.88"/>
    <col customWidth="1" min="9" max="9" width="7.75"/>
    <col customWidth="1" min="10" max="10" width="9.88"/>
    <col customWidth="1" min="11" max="11" width="8.5"/>
    <col customWidth="1" min="12" max="12" width="7.75"/>
    <col customWidth="1" min="13" max="13" width="12.63"/>
  </cols>
  <sheetData>
    <row r="1">
      <c r="A1" s="13" t="str">
        <f>HYPERLINK("https://docs.google.com/document/d/1-e84tTr9zFoIfOR2Z7Z-1lI4YO7v6GoaThMqj1UrcXE/edit","Rules")</f>
        <v>Rules</v>
      </c>
      <c r="B1" s="15" t="s">
        <v>33</v>
      </c>
      <c r="C1" s="16"/>
      <c r="D1" s="16"/>
      <c r="E1" s="18"/>
      <c r="F1" s="24" t="s">
        <v>55</v>
      </c>
      <c r="G1" s="16"/>
      <c r="H1" s="16"/>
      <c r="I1" s="16"/>
      <c r="J1" s="16"/>
      <c r="K1" s="16"/>
      <c r="L1" s="18"/>
      <c r="M1" s="31" t="s">
        <v>61</v>
      </c>
    </row>
    <row r="2">
      <c r="A2" s="34" t="s">
        <v>64</v>
      </c>
      <c r="B2" s="36" t="s">
        <v>65</v>
      </c>
      <c r="C2" s="37" t="s">
        <v>68</v>
      </c>
      <c r="D2" s="38" t="s">
        <v>69</v>
      </c>
      <c r="E2" s="37" t="s">
        <v>72</v>
      </c>
      <c r="F2" s="39" t="s">
        <v>73</v>
      </c>
      <c r="G2" s="40" t="s">
        <v>76</v>
      </c>
      <c r="H2" s="40" t="s">
        <v>65</v>
      </c>
      <c r="I2" s="40" t="s">
        <v>78</v>
      </c>
      <c r="J2" s="42" t="s">
        <v>80</v>
      </c>
      <c r="K2" s="44" t="s">
        <v>81</v>
      </c>
      <c r="L2" s="45" t="s">
        <v>84</v>
      </c>
      <c r="M2" s="46"/>
    </row>
    <row r="3">
      <c r="A3" s="52" t="str">
        <f t="array" ref="A3:M15">sort(A17:M29,2,false,3,true,7,false,8,true,1,true)</f>
        <v>DavEmily</v>
      </c>
      <c r="B3" s="53">
        <v>72.0</v>
      </c>
      <c r="C3" s="54">
        <v>49.0</v>
      </c>
      <c r="D3" s="55">
        <v>39.0</v>
      </c>
      <c r="E3" s="54">
        <v>33.0</v>
      </c>
      <c r="F3" s="57">
        <v>10.0</v>
      </c>
      <c r="G3" s="58">
        <v>10.0</v>
      </c>
      <c r="H3" s="58">
        <v>6.0</v>
      </c>
      <c r="I3" s="58">
        <v>0.0</v>
      </c>
      <c r="J3" s="57">
        <v>1.0</v>
      </c>
      <c r="K3" s="58">
        <v>0.0</v>
      </c>
      <c r="L3" s="59">
        <v>0.0</v>
      </c>
      <c r="M3" s="59">
        <v>6.0</v>
      </c>
    </row>
    <row r="4">
      <c r="A4" s="52" t="s">
        <v>103</v>
      </c>
      <c r="B4" s="53">
        <v>71.0</v>
      </c>
      <c r="C4" s="54">
        <v>49.0</v>
      </c>
      <c r="D4" s="55">
        <v>41.0</v>
      </c>
      <c r="E4" s="54">
        <v>30.0</v>
      </c>
      <c r="F4" s="57">
        <v>10.0</v>
      </c>
      <c r="G4" s="58">
        <v>10.0</v>
      </c>
      <c r="H4" s="58">
        <v>6.0</v>
      </c>
      <c r="I4" s="58">
        <v>0.0</v>
      </c>
      <c r="J4" s="57">
        <v>0.0</v>
      </c>
      <c r="K4" s="58">
        <v>0.0</v>
      </c>
      <c r="L4" s="59">
        <v>0.0</v>
      </c>
      <c r="M4" s="59">
        <v>6.0</v>
      </c>
    </row>
    <row r="5">
      <c r="A5" s="52" t="s">
        <v>109</v>
      </c>
      <c r="B5" s="53">
        <v>70.0</v>
      </c>
      <c r="C5" s="54">
        <v>50.0</v>
      </c>
      <c r="D5" s="55">
        <v>39.0</v>
      </c>
      <c r="E5" s="54">
        <v>31.0</v>
      </c>
      <c r="F5" s="57">
        <v>10.0</v>
      </c>
      <c r="G5" s="58">
        <v>10.0</v>
      </c>
      <c r="H5" s="58">
        <v>4.0</v>
      </c>
      <c r="I5" s="58">
        <v>0.0</v>
      </c>
      <c r="J5" s="57">
        <v>0.0</v>
      </c>
      <c r="K5" s="58">
        <v>0.0</v>
      </c>
      <c r="L5" s="59">
        <v>0.0</v>
      </c>
      <c r="M5" s="59">
        <v>4.0</v>
      </c>
    </row>
    <row r="6">
      <c r="A6" s="52" t="s">
        <v>116</v>
      </c>
      <c r="B6" s="53">
        <v>67.0</v>
      </c>
      <c r="C6" s="53">
        <v>52.0</v>
      </c>
      <c r="D6" s="55">
        <v>42.0</v>
      </c>
      <c r="E6" s="54">
        <v>25.0</v>
      </c>
      <c r="F6" s="57">
        <v>7.0</v>
      </c>
      <c r="G6" s="58">
        <v>7.0</v>
      </c>
      <c r="H6" s="58">
        <v>3.0</v>
      </c>
      <c r="I6" s="58">
        <v>0.0</v>
      </c>
      <c r="J6" s="57">
        <v>0.0</v>
      </c>
      <c r="K6" s="58">
        <v>0.0</v>
      </c>
      <c r="L6" s="59">
        <v>0.0</v>
      </c>
      <c r="M6" s="59">
        <v>3.0</v>
      </c>
    </row>
    <row r="7">
      <c r="A7" s="52" t="s">
        <v>59</v>
      </c>
      <c r="B7" s="53">
        <v>65.0</v>
      </c>
      <c r="C7" s="54">
        <v>55.0</v>
      </c>
      <c r="D7" s="55">
        <v>40.0</v>
      </c>
      <c r="E7" s="54">
        <v>25.0</v>
      </c>
      <c r="F7" s="57">
        <v>9.0</v>
      </c>
      <c r="G7" s="58">
        <v>9.0</v>
      </c>
      <c r="H7" s="58">
        <v>4.0</v>
      </c>
      <c r="I7" s="58">
        <v>0.0</v>
      </c>
      <c r="J7" s="57">
        <v>0.0</v>
      </c>
      <c r="K7" s="58">
        <v>0.0</v>
      </c>
      <c r="L7" s="59">
        <v>0.0</v>
      </c>
      <c r="M7" s="59">
        <v>4.0</v>
      </c>
    </row>
    <row r="8">
      <c r="A8" s="52" t="s">
        <v>131</v>
      </c>
      <c r="B8" s="53">
        <v>64.0</v>
      </c>
      <c r="C8" s="54">
        <v>56.0</v>
      </c>
      <c r="D8" s="55">
        <v>39.0</v>
      </c>
      <c r="E8" s="54">
        <v>25.0</v>
      </c>
      <c r="F8" s="57">
        <v>10.0</v>
      </c>
      <c r="G8" s="58">
        <v>10.0</v>
      </c>
      <c r="H8" s="58">
        <v>3.0</v>
      </c>
      <c r="I8" s="58">
        <v>0.0</v>
      </c>
      <c r="J8" s="57">
        <v>0.0</v>
      </c>
      <c r="K8" s="58">
        <v>0.0</v>
      </c>
      <c r="L8" s="59">
        <v>0.0</v>
      </c>
      <c r="M8" s="59">
        <v>3.0</v>
      </c>
    </row>
    <row r="9">
      <c r="A9" s="52" t="s">
        <v>138</v>
      </c>
      <c r="B9" s="53">
        <v>64.0</v>
      </c>
      <c r="C9" s="54">
        <v>56.0</v>
      </c>
      <c r="D9" s="55">
        <v>26.0</v>
      </c>
      <c r="E9" s="54">
        <v>38.0</v>
      </c>
      <c r="F9" s="57">
        <v>10.0</v>
      </c>
      <c r="G9" s="58">
        <v>10.0</v>
      </c>
      <c r="H9" s="58">
        <v>3.0</v>
      </c>
      <c r="I9" s="58">
        <v>0.0</v>
      </c>
      <c r="J9" s="57">
        <v>0.0</v>
      </c>
      <c r="K9" s="58">
        <v>0.0</v>
      </c>
      <c r="L9" s="59">
        <v>0.0</v>
      </c>
      <c r="M9" s="59">
        <v>3.0</v>
      </c>
    </row>
    <row r="10">
      <c r="A10" s="52" t="s">
        <v>141</v>
      </c>
      <c r="B10" s="53">
        <v>61.0</v>
      </c>
      <c r="C10" s="54">
        <v>58.0</v>
      </c>
      <c r="D10" s="55">
        <v>32.0</v>
      </c>
      <c r="E10" s="54">
        <v>29.0</v>
      </c>
      <c r="F10" s="57">
        <v>9.0</v>
      </c>
      <c r="G10" s="58">
        <v>9.0</v>
      </c>
      <c r="H10" s="58">
        <v>7.0</v>
      </c>
      <c r="I10" s="58">
        <v>0.0</v>
      </c>
      <c r="J10" s="57">
        <v>0.0</v>
      </c>
      <c r="K10" s="58">
        <v>0.0</v>
      </c>
      <c r="L10" s="59">
        <v>0.0</v>
      </c>
      <c r="M10" s="59">
        <v>7.0</v>
      </c>
    </row>
    <row r="11">
      <c r="A11" s="65" t="s">
        <v>144</v>
      </c>
      <c r="B11" s="53">
        <v>60.0</v>
      </c>
      <c r="C11" s="54">
        <v>59.0</v>
      </c>
      <c r="D11" s="55">
        <v>25.0</v>
      </c>
      <c r="E11" s="54">
        <v>35.0</v>
      </c>
      <c r="F11" s="57">
        <v>10.0</v>
      </c>
      <c r="G11" s="58">
        <v>10.0</v>
      </c>
      <c r="H11" s="58">
        <v>6.0</v>
      </c>
      <c r="I11" s="58">
        <v>0.0</v>
      </c>
      <c r="J11" s="57">
        <v>0.0</v>
      </c>
      <c r="K11" s="58">
        <v>0.0</v>
      </c>
      <c r="L11" s="59">
        <v>0.0</v>
      </c>
      <c r="M11" s="59">
        <v>6.0</v>
      </c>
    </row>
    <row r="12">
      <c r="A12" s="65" t="s">
        <v>148</v>
      </c>
      <c r="B12" s="53">
        <v>59.0</v>
      </c>
      <c r="C12" s="54">
        <v>60.0</v>
      </c>
      <c r="D12" s="55">
        <v>30.0</v>
      </c>
      <c r="E12" s="54">
        <v>29.0</v>
      </c>
      <c r="F12" s="57">
        <v>10.0</v>
      </c>
      <c r="G12" s="58">
        <v>9.0</v>
      </c>
      <c r="H12" s="58">
        <v>4.0</v>
      </c>
      <c r="I12" s="58">
        <v>1.0</v>
      </c>
      <c r="J12" s="57">
        <v>0.0</v>
      </c>
      <c r="K12" s="58">
        <v>0.0</v>
      </c>
      <c r="L12" s="59">
        <v>0.0</v>
      </c>
      <c r="M12" s="59">
        <v>4.0</v>
      </c>
    </row>
    <row r="13">
      <c r="A13" s="65" t="s">
        <v>154</v>
      </c>
      <c r="B13" s="53">
        <v>59.0</v>
      </c>
      <c r="C13" s="54">
        <v>61.0</v>
      </c>
      <c r="D13" s="55">
        <v>32.0</v>
      </c>
      <c r="E13" s="54">
        <v>27.0</v>
      </c>
      <c r="F13" s="57">
        <v>10.0</v>
      </c>
      <c r="G13" s="58">
        <v>10.0</v>
      </c>
      <c r="H13" s="58">
        <v>4.0</v>
      </c>
      <c r="I13" s="58">
        <v>0.0</v>
      </c>
      <c r="J13" s="57">
        <v>0.0</v>
      </c>
      <c r="K13" s="58">
        <v>0.0</v>
      </c>
      <c r="L13" s="59">
        <v>0.0</v>
      </c>
      <c r="M13" s="59">
        <v>4.0</v>
      </c>
    </row>
    <row r="14">
      <c r="A14" s="65" t="s">
        <v>53</v>
      </c>
      <c r="B14" s="53">
        <v>58.0</v>
      </c>
      <c r="C14" s="54">
        <v>60.0</v>
      </c>
      <c r="D14" s="55">
        <v>34.0</v>
      </c>
      <c r="E14" s="54">
        <v>24.0</v>
      </c>
      <c r="F14" s="57">
        <v>10.0</v>
      </c>
      <c r="G14" s="58">
        <v>9.0</v>
      </c>
      <c r="H14" s="58">
        <v>3.0</v>
      </c>
      <c r="I14" s="58">
        <v>1.0</v>
      </c>
      <c r="J14" s="57">
        <v>0.0</v>
      </c>
      <c r="K14" s="58">
        <v>0.0</v>
      </c>
      <c r="L14" s="59">
        <v>0.0</v>
      </c>
      <c r="M14" s="68">
        <v>3.0</v>
      </c>
    </row>
    <row r="15">
      <c r="A15" s="69" t="s">
        <v>166</v>
      </c>
      <c r="B15" s="70">
        <v>57.0</v>
      </c>
      <c r="C15" s="71">
        <v>64.0</v>
      </c>
      <c r="D15" s="72">
        <v>29.0</v>
      </c>
      <c r="E15" s="71">
        <v>28.0</v>
      </c>
      <c r="F15" s="73">
        <v>10.0</v>
      </c>
      <c r="G15" s="74">
        <v>10.0</v>
      </c>
      <c r="H15" s="74">
        <v>4.0</v>
      </c>
      <c r="I15" s="74">
        <v>0.0</v>
      </c>
      <c r="J15" s="73">
        <v>0.0</v>
      </c>
      <c r="K15" s="74">
        <v>0.0</v>
      </c>
      <c r="L15" s="75">
        <v>0.0</v>
      </c>
      <c r="M15" s="76">
        <v>4.0</v>
      </c>
    </row>
    <row r="16" hidden="1">
      <c r="A16" s="77"/>
      <c r="B16" s="78"/>
      <c r="C16" s="77"/>
      <c r="D16" s="77"/>
      <c r="E16" s="77"/>
      <c r="F16" s="79"/>
      <c r="G16" s="80"/>
      <c r="H16" s="80"/>
      <c r="I16" s="80"/>
      <c r="J16" s="80"/>
      <c r="K16" s="80"/>
      <c r="L16" s="81"/>
      <c r="M16" s="81"/>
    </row>
    <row r="17" hidden="1">
      <c r="A17" s="82" t="str">
        <f t="array" ref="A17:A29">'Draft Order'!B2:B29</f>
        <v>Jeannine</v>
      </c>
      <c r="B17" s="83">
        <f>sumif('Current Week'!$B:$B,$A17,'Current Week'!D:D)</f>
        <v>58</v>
      </c>
      <c r="C17" s="83">
        <f>sumif('Current Week'!$B:$B,$A17,'Current Week'!E:E)</f>
        <v>60</v>
      </c>
      <c r="D17" s="83">
        <f>sumifs('Current Week'!D:D,'Current Week'!$B:$B,$A17,'Current Week'!AN:AN,"Power 5")</f>
        <v>34</v>
      </c>
      <c r="E17" s="83">
        <f>sumifs('Current Week'!D:D,'Current Week'!$B:$B,$A17,'Current Week'!AN:AN,"Group of 5")</f>
        <v>24</v>
      </c>
      <c r="F17" s="79">
        <f>10-countifs('Current Week'!B:B,A17,'Current Week'!G:G,"")</f>
        <v>10</v>
      </c>
      <c r="G17" s="80">
        <f>IFERROR(__xludf.DUMMYFUNCTION("COUNTA(iferror(filter('Current Week'!B:B,'Current Week'!B:B=A17,left('Current Week'!G:G,5)=""FINAL"")))"),9.0)</f>
        <v>9</v>
      </c>
      <c r="H17" s="80">
        <f>countifs('Current Week'!B:B,A17,'Current Week'!AO:AO,"=TRUE")</f>
        <v>3</v>
      </c>
      <c r="I17">
        <f t="shared" ref="I17:I29" si="1">F17-G17</f>
        <v>1</v>
      </c>
      <c r="J17">
        <f>IFERROR(__xludf.DUMMYFUNCTION("countifs('Current Week'!B:B,A17,'Current Week'!K:K,""&lt;0"")+counta(iferror(filter('Current Week'!B:B,'Current Week'!B:B=A17,'Current Week'!F:F&lt;&gt;"""",'Current Week'!K:K="""",'Current Week'!H:H="""")))"),0.0)</f>
        <v>0</v>
      </c>
      <c r="K17">
        <f>IFERROR(__xludf.DUMMYFUNCTION("counta(iferror(filter('Current Week'!B:B,'Current Week'!B:B=A17,'Current Week'!K:K&gt;0,not(iserror(find(""FINAL"",'Current Week'!G:G))),'Current Week'!AO:AO=TRUE)))+counta(iferror(filter('Current Week'!B:B,'Current Week'!B:B=A17,'Current Week'!K:K="""",not("&amp;"iserror(find(""FINAL"",'Current Week'!G:G))),'Current Week'!AO:AO=TRUE,'Current Week'!H:H="""")))"),0.0)</f>
        <v>0</v>
      </c>
      <c r="L17">
        <f>IFERROR(__xludf.DUMMYFUNCTION("counta(iferror(filter('Current Week'!B:B,'Current Week'!B:B=A17,'Current Week'!K:K&lt;0,not(iserror(find(""FINAL"",'Current Week'!G:G))),'Current Week'!AO:AO&lt;&gt;TRUE)))"),0.0)</f>
        <v>0</v>
      </c>
      <c r="M17" s="85">
        <f>IFERROR(__xludf.DUMMYFUNCTION("H17+counta(iferror(filter('Current Week'!B:B,'Current Week'!B:B=A17,'Current Week'!K:K&lt;0,iserror(find(""FINAL"",'Current Week'!G:G)))))+counta(iferror(filter('Current Week'!B:B,'Current Week'!B:B=A17,'Current Week'!F:F&lt;&gt;"""",'Current Week'!J:J="""",'Curre"&amp;"nt Week'!H:H="""",iserror(find(""FINAL"",'Current Week'!G:G)))))"),3.0)</f>
        <v>3</v>
      </c>
    </row>
    <row r="18" hidden="1">
      <c r="A18" s="82" t="s">
        <v>131</v>
      </c>
      <c r="B18" s="83">
        <f>sumif('Current Week'!$B:$B,$A18,'Current Week'!D:D)</f>
        <v>64</v>
      </c>
      <c r="C18" s="83">
        <f>sumif('Current Week'!$B:$B,$A18,'Current Week'!E:E)</f>
        <v>56</v>
      </c>
      <c r="D18" s="83">
        <f>sumifs('Current Week'!D:D,'Current Week'!$B:$B,$A18,'Current Week'!AN:AN,"Power 5")</f>
        <v>39</v>
      </c>
      <c r="E18" s="83">
        <f>sumifs('Current Week'!D:D,'Current Week'!$B:$B,$A18,'Current Week'!AN:AN,"Group of 5")</f>
        <v>25</v>
      </c>
      <c r="F18" s="79">
        <f>10-countifs('Current Week'!B:B,A18,'Current Week'!G:G,"")</f>
        <v>10</v>
      </c>
      <c r="G18" s="80">
        <f>IFERROR(__xludf.DUMMYFUNCTION("COUNTA(iferror(filter('Current Week'!B:B,'Current Week'!B:B=A18,left('Current Week'!G:G,5)=""FINAL"")))"),10.0)</f>
        <v>10</v>
      </c>
      <c r="H18" s="80">
        <f>countifs('Current Week'!B:B,A18,'Current Week'!AO:AO,"=TRUE")</f>
        <v>3</v>
      </c>
      <c r="I18">
        <f t="shared" si="1"/>
        <v>0</v>
      </c>
      <c r="J18">
        <f>IFERROR(__xludf.DUMMYFUNCTION("countifs('Current Week'!B:B,A18,'Current Week'!K:K,""&lt;0"")+counta(iferror(filter('Current Week'!B:B,'Current Week'!B:B=A18,'Current Week'!F:F&lt;&gt;"""",'Current Week'!K:K="""",'Current Week'!H:H="""")))"),0.0)</f>
        <v>0</v>
      </c>
      <c r="K18">
        <f>IFERROR(__xludf.DUMMYFUNCTION("counta(iferror(filter('Current Week'!B:B,'Current Week'!B:B=A18,'Current Week'!K:K&gt;0,not(iserror(find(""FINAL"",'Current Week'!G:G))),'Current Week'!AO:AO=TRUE)))+counta(iferror(filter('Current Week'!B:B,'Current Week'!B:B=A18,'Current Week'!K:K="""",not("&amp;"iserror(find(""FINAL"",'Current Week'!G:G))),'Current Week'!AO:AO=TRUE,'Current Week'!H:H="""")))"),0.0)</f>
        <v>0</v>
      </c>
      <c r="L18">
        <f>IFERROR(__xludf.DUMMYFUNCTION("counta(iferror(filter('Current Week'!B:B,'Current Week'!B:B=A18,'Current Week'!K:K&lt;0,not(iserror(find(""FINAL"",'Current Week'!G:G))),'Current Week'!AO:AO&lt;&gt;TRUE)))"),0.0)</f>
        <v>0</v>
      </c>
      <c r="M18" s="85">
        <f>IFERROR(__xludf.DUMMYFUNCTION("H18+counta(iferror(filter('Current Week'!B:B,'Current Week'!B:B=A18,'Current Week'!K:K&lt;0,iserror(find(""FINAL"",'Current Week'!G:G)))))+counta(iferror(filter('Current Week'!B:B,'Current Week'!B:B=A18,'Current Week'!F:F&lt;&gt;"""",'Current Week'!J:J="""",'Curre"&amp;"nt Week'!H:H="""",iserror(find(""FINAL"",'Current Week'!G:G)))))"),3.0)</f>
        <v>3</v>
      </c>
    </row>
    <row r="19" hidden="1">
      <c r="A19" s="82" t="s">
        <v>178</v>
      </c>
      <c r="B19" s="83">
        <f>sumif('Current Week'!$B:$B,$A19,'Current Week'!D:D)</f>
        <v>72</v>
      </c>
      <c r="C19" s="83">
        <f>sumif('Current Week'!$B:$B,$A19,'Current Week'!E:E)</f>
        <v>49</v>
      </c>
      <c r="D19" s="83">
        <f>sumifs('Current Week'!D:D,'Current Week'!$B:$B,$A19,'Current Week'!AN:AN,"Power 5")</f>
        <v>39</v>
      </c>
      <c r="E19" s="83">
        <f>sumifs('Current Week'!D:D,'Current Week'!$B:$B,$A19,'Current Week'!AN:AN,"Group of 5")</f>
        <v>33</v>
      </c>
      <c r="F19" s="79">
        <f>10-countifs('Current Week'!B:B,A19,'Current Week'!G:G,"")</f>
        <v>10</v>
      </c>
      <c r="G19" s="80">
        <f>IFERROR(__xludf.DUMMYFUNCTION("COUNTA(iferror(filter('Current Week'!B:B,'Current Week'!B:B=A19,left('Current Week'!G:G,5)=""FINAL"")))"),10.0)</f>
        <v>10</v>
      </c>
      <c r="H19" s="80">
        <f>countifs('Current Week'!B:B,A19,'Current Week'!AO:AO,"=TRUE")</f>
        <v>6</v>
      </c>
      <c r="I19">
        <f t="shared" si="1"/>
        <v>0</v>
      </c>
      <c r="J19">
        <f>IFERROR(__xludf.DUMMYFUNCTION("countifs('Current Week'!B:B,A19,'Current Week'!K:K,""&lt;0"")+counta(iferror(filter('Current Week'!B:B,'Current Week'!B:B=A19,'Current Week'!F:F&lt;&gt;"""",'Current Week'!K:K="""",'Current Week'!H:H="""")))"),1.0)</f>
        <v>1</v>
      </c>
      <c r="K19">
        <f>IFERROR(__xludf.DUMMYFUNCTION("counta(iferror(filter('Current Week'!B:B,'Current Week'!B:B=A19,'Current Week'!K:K&gt;0,not(iserror(find(""FINAL"",'Current Week'!G:G))),'Current Week'!AO:AO=TRUE)))+counta(iferror(filter('Current Week'!B:B,'Current Week'!B:B=A19,'Current Week'!K:K="""",not("&amp;"iserror(find(""FINAL"",'Current Week'!G:G))),'Current Week'!AO:AO=TRUE,'Current Week'!H:H="""")))"),0.0)</f>
        <v>0</v>
      </c>
      <c r="L19">
        <f>IFERROR(__xludf.DUMMYFUNCTION("counta(iferror(filter('Current Week'!B:B,'Current Week'!B:B=A19,'Current Week'!K:K&lt;0,not(iserror(find(""FINAL"",'Current Week'!G:G))),'Current Week'!AO:AO&lt;&gt;TRUE)))"),0.0)</f>
        <v>0</v>
      </c>
      <c r="M19" s="85">
        <f>IFERROR(__xludf.DUMMYFUNCTION("H19+counta(iferror(filter('Current Week'!B:B,'Current Week'!B:B=A19,'Current Week'!K:K&lt;0,iserror(find(""FINAL"",'Current Week'!G:G)))))+counta(iferror(filter('Current Week'!B:B,'Current Week'!B:B=A19,'Current Week'!F:F&lt;&gt;"""",'Current Week'!J:J="""",'Curre"&amp;"nt Week'!H:H="""",iserror(find(""FINAL"",'Current Week'!G:G)))))"),6.0)</f>
        <v>6</v>
      </c>
    </row>
    <row r="20" hidden="1">
      <c r="A20" s="82" t="s">
        <v>59</v>
      </c>
      <c r="B20" s="83">
        <f>sumif('Current Week'!$B:$B,$A20,'Current Week'!D:D)</f>
        <v>65</v>
      </c>
      <c r="C20" s="83">
        <f>sumif('Current Week'!$B:$B,$A20,'Current Week'!E:E)</f>
        <v>55</v>
      </c>
      <c r="D20" s="83">
        <f>sumifs('Current Week'!D:D,'Current Week'!$B:$B,$A20,'Current Week'!AN:AN,"Power 5")</f>
        <v>40</v>
      </c>
      <c r="E20" s="83">
        <f>sumifs('Current Week'!D:D,'Current Week'!$B:$B,$A20,'Current Week'!AN:AN,"Group of 5")</f>
        <v>25</v>
      </c>
      <c r="F20" s="79">
        <f>10-countifs('Current Week'!B:B,A20,'Current Week'!G:G,"")</f>
        <v>9</v>
      </c>
      <c r="G20" s="80">
        <f>IFERROR(__xludf.DUMMYFUNCTION("COUNTA(iferror(filter('Current Week'!B:B,'Current Week'!B:B=A20,left('Current Week'!G:G,5)=""FINAL"")))"),9.0)</f>
        <v>9</v>
      </c>
      <c r="H20" s="80">
        <f>countifs('Current Week'!B:B,A20,'Current Week'!AO:AO,"=TRUE")</f>
        <v>4</v>
      </c>
      <c r="I20">
        <f t="shared" si="1"/>
        <v>0</v>
      </c>
      <c r="J20">
        <f>IFERROR(__xludf.DUMMYFUNCTION("countifs('Current Week'!B:B,A20,'Current Week'!K:K,""&lt;0"")+counta(iferror(filter('Current Week'!B:B,'Current Week'!B:B=A20,'Current Week'!F:F&lt;&gt;"""",'Current Week'!K:K="""",'Current Week'!H:H="""")))"),0.0)</f>
        <v>0</v>
      </c>
      <c r="K20">
        <f>IFERROR(__xludf.DUMMYFUNCTION("counta(iferror(filter('Current Week'!B:B,'Current Week'!B:B=A20,'Current Week'!K:K&gt;0,not(iserror(find(""FINAL"",'Current Week'!G:G))),'Current Week'!AO:AO=TRUE)))+counta(iferror(filter('Current Week'!B:B,'Current Week'!B:B=A20,'Current Week'!K:K="""",not("&amp;"iserror(find(""FINAL"",'Current Week'!G:G))),'Current Week'!AO:AO=TRUE,'Current Week'!H:H="""")))"),0.0)</f>
        <v>0</v>
      </c>
      <c r="L20">
        <f>IFERROR(__xludf.DUMMYFUNCTION("counta(iferror(filter('Current Week'!B:B,'Current Week'!B:B=A20,'Current Week'!K:K&lt;0,not(iserror(find(""FINAL"",'Current Week'!G:G))),'Current Week'!AO:AO&lt;&gt;TRUE)))"),0.0)</f>
        <v>0</v>
      </c>
      <c r="M20" s="85">
        <f>IFERROR(__xludf.DUMMYFUNCTION("H20+counta(iferror(filter('Current Week'!B:B,'Current Week'!B:B=A20,'Current Week'!K:K&lt;0,iserror(find(""FINAL"",'Current Week'!G:G)))))+counta(iferror(filter('Current Week'!B:B,'Current Week'!B:B=A20,'Current Week'!F:F&lt;&gt;"""",'Current Week'!J:J="""",'Curre"&amp;"nt Week'!H:H="""",iserror(find(""FINAL"",'Current Week'!G:G)))))"),4.0)</f>
        <v>4</v>
      </c>
    </row>
    <row r="21" hidden="1">
      <c r="A21" s="82" t="s">
        <v>138</v>
      </c>
      <c r="B21" s="83">
        <f>sumif('Current Week'!$B:$B,$A21,'Current Week'!D:D)</f>
        <v>64</v>
      </c>
      <c r="C21" s="83">
        <f>sumif('Current Week'!$B:$B,$A21,'Current Week'!E:E)</f>
        <v>56</v>
      </c>
      <c r="D21" s="83">
        <f>sumifs('Current Week'!D:D,'Current Week'!$B:$B,$A21,'Current Week'!AN:AN,"Power 5")</f>
        <v>26</v>
      </c>
      <c r="E21" s="83">
        <f>sumifs('Current Week'!D:D,'Current Week'!$B:$B,$A21,'Current Week'!AN:AN,"Group of 5")</f>
        <v>38</v>
      </c>
      <c r="F21" s="79">
        <f>10-countifs('Current Week'!B:B,A21,'Current Week'!G:G,"")</f>
        <v>10</v>
      </c>
      <c r="G21" s="80">
        <f>IFERROR(__xludf.DUMMYFUNCTION("COUNTA(iferror(filter('Current Week'!B:B,'Current Week'!B:B=A21,left('Current Week'!G:G,5)=""FINAL"")))"),10.0)</f>
        <v>10</v>
      </c>
      <c r="H21" s="80">
        <f>countifs('Current Week'!B:B,A21,'Current Week'!AO:AO,"=TRUE")</f>
        <v>3</v>
      </c>
      <c r="I21">
        <f t="shared" si="1"/>
        <v>0</v>
      </c>
      <c r="J21">
        <f>IFERROR(__xludf.DUMMYFUNCTION("countifs('Current Week'!B:B,A21,'Current Week'!K:K,""&lt;0"")+counta(iferror(filter('Current Week'!B:B,'Current Week'!B:B=A21,'Current Week'!F:F&lt;&gt;"""",'Current Week'!K:K="""",'Current Week'!H:H="""")))"),0.0)</f>
        <v>0</v>
      </c>
      <c r="K21">
        <f>IFERROR(__xludf.DUMMYFUNCTION("counta(iferror(filter('Current Week'!B:B,'Current Week'!B:B=A21,'Current Week'!K:K&gt;0,not(iserror(find(""FINAL"",'Current Week'!G:G))),'Current Week'!AO:AO=TRUE)))+counta(iferror(filter('Current Week'!B:B,'Current Week'!B:B=A21,'Current Week'!K:K="""",not("&amp;"iserror(find(""FINAL"",'Current Week'!G:G))),'Current Week'!AO:AO=TRUE,'Current Week'!H:H="""")))"),0.0)</f>
        <v>0</v>
      </c>
      <c r="L21">
        <f>IFERROR(__xludf.DUMMYFUNCTION("counta(iferror(filter('Current Week'!B:B,'Current Week'!B:B=A21,'Current Week'!K:K&lt;0,not(iserror(find(""FINAL"",'Current Week'!G:G))),'Current Week'!AO:AO&lt;&gt;TRUE)))"),0.0)</f>
        <v>0</v>
      </c>
      <c r="M21" s="85">
        <f>IFERROR(__xludf.DUMMYFUNCTION("H21+counta(iferror(filter('Current Week'!B:B,'Current Week'!B:B=A21,'Current Week'!K:K&lt;0,iserror(find(""FINAL"",'Current Week'!G:G)))))+counta(iferror(filter('Current Week'!B:B,'Current Week'!B:B=A21,'Current Week'!F:F&lt;&gt;"""",'Current Week'!J:J="""",'Curre"&amp;"nt Week'!H:H="""",iserror(find(""FINAL"",'Current Week'!G:G)))))"),3.0)</f>
        <v>3</v>
      </c>
    </row>
    <row r="22" hidden="1">
      <c r="A22" s="82" t="s">
        <v>141</v>
      </c>
      <c r="B22" s="83">
        <f>sumif('Current Week'!$B:$B,$A22,'Current Week'!D:D)</f>
        <v>61</v>
      </c>
      <c r="C22" s="83">
        <f>sumif('Current Week'!$B:$B,$A22,'Current Week'!E:E)</f>
        <v>58</v>
      </c>
      <c r="D22" s="83">
        <f>sumifs('Current Week'!D:D,'Current Week'!$B:$B,$A22,'Current Week'!AN:AN,"Power 5")</f>
        <v>32</v>
      </c>
      <c r="E22" s="83">
        <f>sumifs('Current Week'!D:D,'Current Week'!$B:$B,$A22,'Current Week'!AN:AN,"Group of 5")</f>
        <v>29</v>
      </c>
      <c r="F22" s="79">
        <f>10-countifs('Current Week'!B:B,A22,'Current Week'!G:G,"")</f>
        <v>9</v>
      </c>
      <c r="G22" s="80">
        <f>IFERROR(__xludf.DUMMYFUNCTION("COUNTA(iferror(filter('Current Week'!B:B,'Current Week'!B:B=A22,left('Current Week'!G:G,5)=""FINAL"")))"),9.0)</f>
        <v>9</v>
      </c>
      <c r="H22" s="80">
        <f>countifs('Current Week'!B:B,A22,'Current Week'!AO:AO,"=TRUE")</f>
        <v>7</v>
      </c>
      <c r="I22">
        <f t="shared" si="1"/>
        <v>0</v>
      </c>
      <c r="J22">
        <f>IFERROR(__xludf.DUMMYFUNCTION("countifs('Current Week'!B:B,A22,'Current Week'!K:K,""&lt;0"")+counta(iferror(filter('Current Week'!B:B,'Current Week'!B:B=A22,'Current Week'!F:F&lt;&gt;"""",'Current Week'!K:K="""",'Current Week'!H:H="""")))"),0.0)</f>
        <v>0</v>
      </c>
      <c r="K22">
        <f>IFERROR(__xludf.DUMMYFUNCTION("counta(iferror(filter('Current Week'!B:B,'Current Week'!B:B=A22,'Current Week'!K:K&gt;0,not(iserror(find(""FINAL"",'Current Week'!G:G))),'Current Week'!AO:AO=TRUE)))+counta(iferror(filter('Current Week'!B:B,'Current Week'!B:B=A22,'Current Week'!K:K="""",not("&amp;"iserror(find(""FINAL"",'Current Week'!G:G))),'Current Week'!AO:AO=TRUE,'Current Week'!H:H="""")))"),0.0)</f>
        <v>0</v>
      </c>
      <c r="L22">
        <f>IFERROR(__xludf.DUMMYFUNCTION("counta(iferror(filter('Current Week'!B:B,'Current Week'!B:B=A22,'Current Week'!K:K&lt;0,not(iserror(find(""FINAL"",'Current Week'!G:G))),'Current Week'!AO:AO&lt;&gt;TRUE)))"),0.0)</f>
        <v>0</v>
      </c>
      <c r="M22" s="85">
        <f>IFERROR(__xludf.DUMMYFUNCTION("H22+counta(iferror(filter('Current Week'!B:B,'Current Week'!B:B=A22,'Current Week'!K:K&lt;0,iserror(find(""FINAL"",'Current Week'!G:G)))))+counta(iferror(filter('Current Week'!B:B,'Current Week'!B:B=A22,'Current Week'!F:F&lt;&gt;"""",'Current Week'!J:J="""",'Curre"&amp;"nt Week'!H:H="""",iserror(find(""FINAL"",'Current Week'!G:G)))))"),7.0)</f>
        <v>7</v>
      </c>
    </row>
    <row r="23" hidden="1">
      <c r="A23" s="82" t="s">
        <v>109</v>
      </c>
      <c r="B23" s="83">
        <f>sumif('Current Week'!$B:$B,$A23,'Current Week'!D:D)</f>
        <v>70</v>
      </c>
      <c r="C23" s="83">
        <f>sumif('Current Week'!$B:$B,$A23,'Current Week'!E:E)</f>
        <v>50</v>
      </c>
      <c r="D23" s="83">
        <f>sumifs('Current Week'!D:D,'Current Week'!$B:$B,$A23,'Current Week'!AN:AN,"Power 5")</f>
        <v>39</v>
      </c>
      <c r="E23" s="83">
        <f>sumifs('Current Week'!D:D,'Current Week'!$B:$B,$A23,'Current Week'!AN:AN,"Group of 5")</f>
        <v>31</v>
      </c>
      <c r="F23" s="79">
        <f>10-countifs('Current Week'!B:B,A23,'Current Week'!G:G,"")</f>
        <v>10</v>
      </c>
      <c r="G23" s="80">
        <f>IFERROR(__xludf.DUMMYFUNCTION("COUNTA(iferror(filter('Current Week'!B:B,'Current Week'!B:B=A23,left('Current Week'!G:G,5)=""FINAL"")))"),10.0)</f>
        <v>10</v>
      </c>
      <c r="H23" s="80">
        <f>countifs('Current Week'!B:B,A23,'Current Week'!AO:AO,"=TRUE")</f>
        <v>4</v>
      </c>
      <c r="I23">
        <f t="shared" si="1"/>
        <v>0</v>
      </c>
      <c r="J23">
        <f>IFERROR(__xludf.DUMMYFUNCTION("countifs('Current Week'!B:B,A23,'Current Week'!K:K,""&lt;0"")+counta(iferror(filter('Current Week'!B:B,'Current Week'!B:B=A23,'Current Week'!F:F&lt;&gt;"""",'Current Week'!K:K="""",'Current Week'!H:H="""")))"),0.0)</f>
        <v>0</v>
      </c>
      <c r="K23">
        <f>IFERROR(__xludf.DUMMYFUNCTION("counta(iferror(filter('Current Week'!B:B,'Current Week'!B:B=A23,'Current Week'!K:K&gt;0,not(iserror(find(""FINAL"",'Current Week'!G:G))),'Current Week'!AO:AO=TRUE)))+counta(iferror(filter('Current Week'!B:B,'Current Week'!B:B=A23,'Current Week'!K:K="""",not("&amp;"iserror(find(""FINAL"",'Current Week'!G:G))),'Current Week'!AO:AO=TRUE,'Current Week'!H:H="""")))"),0.0)</f>
        <v>0</v>
      </c>
      <c r="L23">
        <f>IFERROR(__xludf.DUMMYFUNCTION("counta(iferror(filter('Current Week'!B:B,'Current Week'!B:B=A23,'Current Week'!K:K&lt;0,not(iserror(find(""FINAL"",'Current Week'!G:G))),'Current Week'!AO:AO&lt;&gt;TRUE)))"),0.0)</f>
        <v>0</v>
      </c>
      <c r="M23" s="85">
        <f>IFERROR(__xludf.DUMMYFUNCTION("H23+counta(iferror(filter('Current Week'!B:B,'Current Week'!B:B=A23,'Current Week'!K:K&lt;0,iserror(find(""FINAL"",'Current Week'!G:G)))))+counta(iferror(filter('Current Week'!B:B,'Current Week'!B:B=A23,'Current Week'!F:F&lt;&gt;"""",'Current Week'!J:J="""",'Curre"&amp;"nt Week'!H:H="""",iserror(find(""FINAL"",'Current Week'!G:G)))))"),4.0)</f>
        <v>4</v>
      </c>
    </row>
    <row r="24" hidden="1">
      <c r="A24" s="82" t="s">
        <v>144</v>
      </c>
      <c r="B24" s="83">
        <f>sumif('Current Week'!$B:$B,$A24,'Current Week'!D:D)</f>
        <v>60</v>
      </c>
      <c r="C24" s="83">
        <f>sumif('Current Week'!$B:$B,$A24,'Current Week'!E:E)</f>
        <v>59</v>
      </c>
      <c r="D24" s="83">
        <f>sumifs('Current Week'!D:D,'Current Week'!$B:$B,$A24,'Current Week'!AN:AN,"Power 5")</f>
        <v>25</v>
      </c>
      <c r="E24" s="83">
        <f>sumifs('Current Week'!D:D,'Current Week'!$B:$B,$A24,'Current Week'!AN:AN,"Group of 5")</f>
        <v>35</v>
      </c>
      <c r="F24" s="79">
        <f>10-countifs('Current Week'!B:B,A24,'Current Week'!G:G,"")</f>
        <v>10</v>
      </c>
      <c r="G24" s="80">
        <f>IFERROR(__xludf.DUMMYFUNCTION("COUNTA(iferror(filter('Current Week'!B:B,'Current Week'!B:B=A24,left('Current Week'!G:G,5)=""FINAL"")))"),10.0)</f>
        <v>10</v>
      </c>
      <c r="H24" s="80">
        <f>countifs('Current Week'!B:B,A24,'Current Week'!AO:AO,"=TRUE")</f>
        <v>6</v>
      </c>
      <c r="I24">
        <f t="shared" si="1"/>
        <v>0</v>
      </c>
      <c r="J24">
        <f>IFERROR(__xludf.DUMMYFUNCTION("countifs('Current Week'!B:B,A24,'Current Week'!K:K,""&lt;0"")+counta(iferror(filter('Current Week'!B:B,'Current Week'!B:B=A24,'Current Week'!F:F&lt;&gt;"""",'Current Week'!K:K="""",'Current Week'!H:H="""")))"),0.0)</f>
        <v>0</v>
      </c>
      <c r="K24">
        <f>IFERROR(__xludf.DUMMYFUNCTION("counta(iferror(filter('Current Week'!B:B,'Current Week'!B:B=A24,'Current Week'!K:K&gt;0,not(iserror(find(""FINAL"",'Current Week'!G:G))),'Current Week'!AO:AO=TRUE)))+counta(iferror(filter('Current Week'!B:B,'Current Week'!B:B=A24,'Current Week'!K:K="""",not("&amp;"iserror(find(""FINAL"",'Current Week'!G:G))),'Current Week'!AO:AO=TRUE,'Current Week'!H:H="""")))"),0.0)</f>
        <v>0</v>
      </c>
      <c r="L24">
        <f>IFERROR(__xludf.DUMMYFUNCTION("counta(iferror(filter('Current Week'!B:B,'Current Week'!B:B=A24,'Current Week'!K:K&lt;0,not(iserror(find(""FINAL"",'Current Week'!G:G))),'Current Week'!AO:AO&lt;&gt;TRUE)))"),0.0)</f>
        <v>0</v>
      </c>
      <c r="M24" s="85">
        <f>IFERROR(__xludf.DUMMYFUNCTION("H24+counta(iferror(filter('Current Week'!B:B,'Current Week'!B:B=A24,'Current Week'!K:K&lt;0,iserror(find(""FINAL"",'Current Week'!G:G)))))+counta(iferror(filter('Current Week'!B:B,'Current Week'!B:B=A24,'Current Week'!F:F&lt;&gt;"""",'Current Week'!J:J="""",'Curre"&amp;"nt Week'!H:H="""",iserror(find(""FINAL"",'Current Week'!G:G)))))"),6.0)</f>
        <v>6</v>
      </c>
    </row>
    <row r="25" hidden="1">
      <c r="A25" s="82" t="s">
        <v>166</v>
      </c>
      <c r="B25" s="83">
        <f>sumif('Current Week'!$B:$B,$A25,'Current Week'!D:D)</f>
        <v>57</v>
      </c>
      <c r="C25" s="83">
        <f>sumif('Current Week'!$B:$B,$A25,'Current Week'!E:E)</f>
        <v>64</v>
      </c>
      <c r="D25" s="83">
        <f>sumifs('Current Week'!D:D,'Current Week'!$B:$B,$A25,'Current Week'!AN:AN,"Power 5")</f>
        <v>29</v>
      </c>
      <c r="E25" s="83">
        <f>sumifs('Current Week'!D:D,'Current Week'!$B:$B,$A25,'Current Week'!AN:AN,"Group of 5")</f>
        <v>28</v>
      </c>
      <c r="F25" s="79">
        <f>10-countifs('Current Week'!B:B,A25,'Current Week'!G:G,"")</f>
        <v>10</v>
      </c>
      <c r="G25" s="80">
        <f>IFERROR(__xludf.DUMMYFUNCTION("COUNTA(iferror(filter('Current Week'!B:B,'Current Week'!B:B=A25,left('Current Week'!G:G,5)=""FINAL"")))"),10.0)</f>
        <v>10</v>
      </c>
      <c r="H25" s="80">
        <f>countifs('Current Week'!B:B,A25,'Current Week'!AO:AO,"=TRUE")</f>
        <v>4</v>
      </c>
      <c r="I25">
        <f t="shared" si="1"/>
        <v>0</v>
      </c>
      <c r="J25">
        <f>IFERROR(__xludf.DUMMYFUNCTION("countifs('Current Week'!B:B,A25,'Current Week'!K:K,""&lt;0"")+counta(iferror(filter('Current Week'!B:B,'Current Week'!B:B=A25,'Current Week'!F:F&lt;&gt;"""",'Current Week'!K:K="""",'Current Week'!H:H="""")))"),0.0)</f>
        <v>0</v>
      </c>
      <c r="K25">
        <f>IFERROR(__xludf.DUMMYFUNCTION("counta(iferror(filter('Current Week'!B:B,'Current Week'!B:B=A25,'Current Week'!K:K&gt;0,not(iserror(find(""FINAL"",'Current Week'!G:G))),'Current Week'!AO:AO=TRUE)))+counta(iferror(filter('Current Week'!B:B,'Current Week'!B:B=A25,'Current Week'!K:K="""",not("&amp;"iserror(find(""FINAL"",'Current Week'!G:G))),'Current Week'!AO:AO=TRUE,'Current Week'!H:H="""")))"),0.0)</f>
        <v>0</v>
      </c>
      <c r="L25">
        <f>IFERROR(__xludf.DUMMYFUNCTION("counta(iferror(filter('Current Week'!B:B,'Current Week'!B:B=A25,'Current Week'!K:K&lt;0,not(iserror(find(""FINAL"",'Current Week'!G:G))),'Current Week'!AO:AO&lt;&gt;TRUE)))"),0.0)</f>
        <v>0</v>
      </c>
      <c r="M25" s="85">
        <f>IFERROR(__xludf.DUMMYFUNCTION("H25+counta(iferror(filter('Current Week'!B:B,'Current Week'!B:B=A25,'Current Week'!K:K&lt;0,iserror(find(""FINAL"",'Current Week'!G:G)))))+counta(iferror(filter('Current Week'!B:B,'Current Week'!B:B=A25,'Current Week'!F:F&lt;&gt;"""",'Current Week'!J:J="""",'Curre"&amp;"nt Week'!H:H="""",iserror(find(""FINAL"",'Current Week'!G:G)))))"),4.0)</f>
        <v>4</v>
      </c>
    </row>
    <row r="26" hidden="1">
      <c r="A26" s="82" t="s">
        <v>116</v>
      </c>
      <c r="B26" s="83">
        <f>sumif('Current Week'!$B:$B,$A26,'Current Week'!D:D)</f>
        <v>67</v>
      </c>
      <c r="C26" s="83">
        <f>sumif('Current Week'!$B:$B,$A26,'Current Week'!E:E)</f>
        <v>52</v>
      </c>
      <c r="D26" s="83">
        <f>sumifs('Current Week'!D:D,'Current Week'!$B:$B,$A26,'Current Week'!AN:AN,"Power 5")</f>
        <v>42</v>
      </c>
      <c r="E26" s="83">
        <f>sumifs('Current Week'!D:D,'Current Week'!$B:$B,$A26,'Current Week'!AN:AN,"Group of 5")</f>
        <v>25</v>
      </c>
      <c r="F26" s="79">
        <f>10-countifs('Current Week'!B:B,A26,'Current Week'!G:G,"")</f>
        <v>7</v>
      </c>
      <c r="G26" s="80">
        <f>IFERROR(__xludf.DUMMYFUNCTION("COUNTA(iferror(filter('Current Week'!B:B,'Current Week'!B:B=A26,left('Current Week'!G:G,5)=""FINAL"")))"),7.0)</f>
        <v>7</v>
      </c>
      <c r="H26" s="80">
        <f>countifs('Current Week'!B:B,A26,'Current Week'!AO:AO,"=TRUE")</f>
        <v>3</v>
      </c>
      <c r="I26">
        <f t="shared" si="1"/>
        <v>0</v>
      </c>
      <c r="J26">
        <f>IFERROR(__xludf.DUMMYFUNCTION("countifs('Current Week'!B:B,A26,'Current Week'!K:K,""&lt;0"")+counta(iferror(filter('Current Week'!B:B,'Current Week'!B:B=A26,'Current Week'!F:F&lt;&gt;"""",'Current Week'!K:K="""",'Current Week'!H:H="""")))"),0.0)</f>
        <v>0</v>
      </c>
      <c r="K26">
        <f>IFERROR(__xludf.DUMMYFUNCTION("counta(iferror(filter('Current Week'!B:B,'Current Week'!B:B=A26,'Current Week'!K:K&gt;0,not(iserror(find(""FINAL"",'Current Week'!G:G))),'Current Week'!AO:AO=TRUE)))+counta(iferror(filter('Current Week'!B:B,'Current Week'!B:B=A26,'Current Week'!K:K="""",not("&amp;"iserror(find(""FINAL"",'Current Week'!G:G))),'Current Week'!AO:AO=TRUE,'Current Week'!H:H="""")))"),0.0)</f>
        <v>0</v>
      </c>
      <c r="L26">
        <f>IFERROR(__xludf.DUMMYFUNCTION("counta(iferror(filter('Current Week'!B:B,'Current Week'!B:B=A26,'Current Week'!K:K&lt;0,not(iserror(find(""FINAL"",'Current Week'!G:G))),'Current Week'!AO:AO&lt;&gt;TRUE)))"),0.0)</f>
        <v>0</v>
      </c>
      <c r="M26" s="85">
        <f>IFERROR(__xludf.DUMMYFUNCTION("H26+counta(iferror(filter('Current Week'!B:B,'Current Week'!B:B=A26,'Current Week'!K:K&lt;0,iserror(find(""FINAL"",'Current Week'!G:G)))))+counta(iferror(filter('Current Week'!B:B,'Current Week'!B:B=A26,'Current Week'!F:F&lt;&gt;"""",'Current Week'!J:J="""",'Curre"&amp;"nt Week'!H:H="""",iserror(find(""FINAL"",'Current Week'!G:G)))))"),3.0)</f>
        <v>3</v>
      </c>
    </row>
    <row r="27" hidden="1">
      <c r="A27" s="82" t="s">
        <v>148</v>
      </c>
      <c r="B27" s="83">
        <f>sumif('Current Week'!$B:$B,$A27,'Current Week'!D:D)</f>
        <v>59</v>
      </c>
      <c r="C27" s="83">
        <f>sumif('Current Week'!$B:$B,$A27,'Current Week'!E:E)</f>
        <v>60</v>
      </c>
      <c r="D27" s="83">
        <f>sumifs('Current Week'!D:D,'Current Week'!$B:$B,$A27,'Current Week'!AN:AN,"Power 5")</f>
        <v>30</v>
      </c>
      <c r="E27" s="83">
        <f>sumifs('Current Week'!D:D,'Current Week'!$B:$B,$A27,'Current Week'!AN:AN,"Group of 5")</f>
        <v>29</v>
      </c>
      <c r="F27" s="79">
        <f>10-countifs('Current Week'!B:B,A27,'Current Week'!G:G,"")</f>
        <v>10</v>
      </c>
      <c r="G27" s="80">
        <f>IFERROR(__xludf.DUMMYFUNCTION("COUNTA(iferror(filter('Current Week'!B:B,'Current Week'!B:B=A27,left('Current Week'!G:G,5)=""FINAL"")))"),9.0)</f>
        <v>9</v>
      </c>
      <c r="H27" s="80">
        <f>countifs('Current Week'!B:B,A27,'Current Week'!AO:AO,"=TRUE")</f>
        <v>4</v>
      </c>
      <c r="I27">
        <f t="shared" si="1"/>
        <v>1</v>
      </c>
      <c r="J27">
        <f>IFERROR(__xludf.DUMMYFUNCTION("countifs('Current Week'!B:B,A27,'Current Week'!K:K,""&lt;0"")+counta(iferror(filter('Current Week'!B:B,'Current Week'!B:B=A27,'Current Week'!F:F&lt;&gt;"""",'Current Week'!K:K="""",'Current Week'!H:H="""")))"),0.0)</f>
        <v>0</v>
      </c>
      <c r="K27">
        <f>IFERROR(__xludf.DUMMYFUNCTION("counta(iferror(filter('Current Week'!B:B,'Current Week'!B:B=A27,'Current Week'!K:K&gt;0,not(iserror(find(""FINAL"",'Current Week'!G:G))),'Current Week'!AO:AO=TRUE)))+counta(iferror(filter('Current Week'!B:B,'Current Week'!B:B=A27,'Current Week'!K:K="""",not("&amp;"iserror(find(""FINAL"",'Current Week'!G:G))),'Current Week'!AO:AO=TRUE,'Current Week'!H:H="""")))"),0.0)</f>
        <v>0</v>
      </c>
      <c r="L27">
        <f>IFERROR(__xludf.DUMMYFUNCTION("counta(iferror(filter('Current Week'!B:B,'Current Week'!B:B=A27,'Current Week'!K:K&lt;0,not(iserror(find(""FINAL"",'Current Week'!G:G))),'Current Week'!AO:AO&lt;&gt;TRUE)))"),0.0)</f>
        <v>0</v>
      </c>
      <c r="M27" s="85">
        <f>IFERROR(__xludf.DUMMYFUNCTION("H27+counta(iferror(filter('Current Week'!B:B,'Current Week'!B:B=A27,'Current Week'!K:K&lt;0,iserror(find(""FINAL"",'Current Week'!G:G)))))+counta(iferror(filter('Current Week'!B:B,'Current Week'!B:B=A27,'Current Week'!F:F&lt;&gt;"""",'Current Week'!J:J="""",'Curre"&amp;"nt Week'!H:H="""",iserror(find(""FINAL"",'Current Week'!G:G)))))"),4.0)</f>
        <v>4</v>
      </c>
    </row>
    <row r="28" hidden="1">
      <c r="A28" s="82" t="s">
        <v>103</v>
      </c>
      <c r="B28" s="83">
        <f>sumif('Current Week'!$B:$B,$A28,'Current Week'!D:D)</f>
        <v>71</v>
      </c>
      <c r="C28" s="83">
        <f>sumif('Current Week'!$B:$B,$A28,'Current Week'!E:E)</f>
        <v>49</v>
      </c>
      <c r="D28" s="83">
        <f>sumifs('Current Week'!D:D,'Current Week'!$B:$B,$A28,'Current Week'!AN:AN,"Power 5")</f>
        <v>41</v>
      </c>
      <c r="E28" s="83">
        <f>sumifs('Current Week'!D:D,'Current Week'!$B:$B,$A28,'Current Week'!AN:AN,"Group of 5")</f>
        <v>30</v>
      </c>
      <c r="F28" s="79">
        <f>10-countifs('Current Week'!B:B,A28,'Current Week'!G:G,"")</f>
        <v>10</v>
      </c>
      <c r="G28" s="80">
        <f>IFERROR(__xludf.DUMMYFUNCTION("COUNTA(iferror(filter('Current Week'!B:B,'Current Week'!B:B=A28,left('Current Week'!G:G,5)=""FINAL"")))"),10.0)</f>
        <v>10</v>
      </c>
      <c r="H28" s="80">
        <f>countifs('Current Week'!B:B,A28,'Current Week'!AO:AO,"=TRUE")</f>
        <v>6</v>
      </c>
      <c r="I28">
        <f t="shared" si="1"/>
        <v>0</v>
      </c>
      <c r="J28">
        <f>IFERROR(__xludf.DUMMYFUNCTION("countifs('Current Week'!B:B,A28,'Current Week'!K:K,""&lt;0"")+counta(iferror(filter('Current Week'!B:B,'Current Week'!B:B=A28,'Current Week'!F:F&lt;&gt;"""",'Current Week'!K:K="""",'Current Week'!H:H="""")))"),0.0)</f>
        <v>0</v>
      </c>
      <c r="K28">
        <f>IFERROR(__xludf.DUMMYFUNCTION("counta(iferror(filter('Current Week'!B:B,'Current Week'!B:B=A28,'Current Week'!K:K&gt;0,not(iserror(find(""FINAL"",'Current Week'!G:G))),'Current Week'!AO:AO=TRUE)))+counta(iferror(filter('Current Week'!B:B,'Current Week'!B:B=A28,'Current Week'!K:K="""",not("&amp;"iserror(find(""FINAL"",'Current Week'!G:G))),'Current Week'!AO:AO=TRUE,'Current Week'!H:H="""")))"),0.0)</f>
        <v>0</v>
      </c>
      <c r="L28">
        <f>IFERROR(__xludf.DUMMYFUNCTION("counta(iferror(filter('Current Week'!B:B,'Current Week'!B:B=A28,'Current Week'!K:K&lt;0,not(iserror(find(""FINAL"",'Current Week'!G:G))),'Current Week'!AO:AO&lt;&gt;TRUE)))"),0.0)</f>
        <v>0</v>
      </c>
      <c r="M28" s="85">
        <f>IFERROR(__xludf.DUMMYFUNCTION("H28+counta(iferror(filter('Current Week'!B:B,'Current Week'!B:B=A28,'Current Week'!K:K&lt;0,iserror(find(""FINAL"",'Current Week'!G:G)))))+counta(iferror(filter('Current Week'!B:B,'Current Week'!B:B=A28,'Current Week'!F:F&lt;&gt;"""",'Current Week'!J:J="""",'Curre"&amp;"nt Week'!H:H="""",iserror(find(""FINAL"",'Current Week'!G:G)))))"),6.0)</f>
        <v>6</v>
      </c>
    </row>
    <row r="29" hidden="1">
      <c r="A29" s="82" t="s">
        <v>154</v>
      </c>
      <c r="B29" s="83">
        <f>sumif('Current Week'!$B:$B,$A29,'Current Week'!D:D)</f>
        <v>59</v>
      </c>
      <c r="C29" s="83">
        <f>sumif('Current Week'!$B:$B,$A29,'Current Week'!E:E)</f>
        <v>61</v>
      </c>
      <c r="D29" s="83">
        <f>sumifs('Current Week'!D:D,'Current Week'!$B:$B,$A29,'Current Week'!AN:AN,"Power 5")</f>
        <v>32</v>
      </c>
      <c r="E29" s="83">
        <f>sumifs('Current Week'!D:D,'Current Week'!$B:$B,$A29,'Current Week'!AN:AN,"Group of 5")</f>
        <v>27</v>
      </c>
      <c r="F29" s="79">
        <f>10-countifs('Current Week'!B:B,A29,'Current Week'!G:G,"")</f>
        <v>10</v>
      </c>
      <c r="G29" s="80">
        <f>IFERROR(__xludf.DUMMYFUNCTION("COUNTA(iferror(filter('Current Week'!B:B,'Current Week'!B:B=A29,left('Current Week'!G:G,5)=""FINAL"")))"),10.0)</f>
        <v>10</v>
      </c>
      <c r="H29" s="80">
        <f>countifs('Current Week'!B:B,A29,'Current Week'!AO:AO,"=TRUE")</f>
        <v>4</v>
      </c>
      <c r="I29">
        <f t="shared" si="1"/>
        <v>0</v>
      </c>
      <c r="J29">
        <f>IFERROR(__xludf.DUMMYFUNCTION("countifs('Current Week'!B:B,A29,'Current Week'!K:K,""&lt;0"")+counta(iferror(filter('Current Week'!B:B,'Current Week'!B:B=A29,'Current Week'!F:F&lt;&gt;"""",'Current Week'!K:K="""",'Current Week'!H:H="""")))"),0.0)</f>
        <v>0</v>
      </c>
      <c r="K29">
        <f>IFERROR(__xludf.DUMMYFUNCTION("counta(iferror(filter('Current Week'!B:B,'Current Week'!B:B=A29,'Current Week'!K:K&gt;0,not(iserror(find(""FINAL"",'Current Week'!G:G))),'Current Week'!AO:AO=TRUE)))+counta(iferror(filter('Current Week'!B:B,'Current Week'!B:B=A29,'Current Week'!K:K="""",not("&amp;"iserror(find(""FINAL"",'Current Week'!G:G))),'Current Week'!AO:AO=TRUE,'Current Week'!H:H="""")))"),0.0)</f>
        <v>0</v>
      </c>
      <c r="L29">
        <f>IFERROR(__xludf.DUMMYFUNCTION("counta(iferror(filter('Current Week'!B:B,'Current Week'!B:B=A29,'Current Week'!K:K&lt;0,not(iserror(find(""FINAL"",'Current Week'!G:G))),'Current Week'!AO:AO&lt;&gt;TRUE)))"),0.0)</f>
        <v>0</v>
      </c>
      <c r="M29" s="85">
        <f>IFERROR(__xludf.DUMMYFUNCTION("H29+counta(iferror(filter('Current Week'!B:B,'Current Week'!B:B=A29,'Current Week'!K:K&lt;0,iserror(find(""FINAL"",'Current Week'!G:G)))))+counta(iferror(filter('Current Week'!B:B,'Current Week'!B:B=A29,'Current Week'!F:F&lt;&gt;"""",'Current Week'!J:J="""",'Curre"&amp;"nt Week'!H:H="""",iserror(find(""FINAL"",'Current Week'!G:G)))))"),4.0)</f>
        <v>4</v>
      </c>
    </row>
  </sheetData>
  <mergeCells count="3">
    <mergeCell ref="B1:E1"/>
    <mergeCell ref="F1:L1"/>
    <mergeCell ref="M1:M2"/>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hidden="1" min="1" max="1" width="11.38"/>
    <col customWidth="1" min="2" max="2" width="10.63"/>
    <col customWidth="1" min="3" max="3" width="17.75"/>
    <col customWidth="1" min="4" max="4" width="3.88"/>
    <col customWidth="1" min="5" max="5" width="4.5"/>
    <col customWidth="1" min="6" max="6" width="35.38"/>
    <col customWidth="1" min="7" max="7" width="17.38"/>
    <col customWidth="1" min="8" max="8" width="11.13"/>
    <col customWidth="1" min="9" max="9" width="9.63"/>
    <col customWidth="1" min="10" max="10" width="8.0"/>
    <col customWidth="1" min="11" max="11" width="8.75"/>
    <col customWidth="1" min="12" max="12" width="10.38"/>
    <col customWidth="1" min="13" max="13" width="9.38"/>
    <col customWidth="1" hidden="1" min="14" max="14" width="9.38"/>
    <col customWidth="1" hidden="1" min="15" max="33" width="9.63"/>
    <col customWidth="1" hidden="1" min="34" max="34" width="5.63"/>
    <col customWidth="1" hidden="1" min="35" max="35" width="5.75"/>
    <col customWidth="1" hidden="1" min="36" max="41" width="9.63"/>
  </cols>
  <sheetData>
    <row r="1" ht="32.25" customHeight="1">
      <c r="A1" s="1">
        <v>100.0</v>
      </c>
      <c r="B1" s="1">
        <v>100.0</v>
      </c>
      <c r="C1" s="2" t="s">
        <v>0</v>
      </c>
      <c r="D1" s="2" t="s">
        <v>2</v>
      </c>
      <c r="E1" s="2" t="s">
        <v>3</v>
      </c>
      <c r="F1" s="4" t="s">
        <v>4</v>
      </c>
      <c r="G1" s="2" t="s">
        <v>7</v>
      </c>
      <c r="H1" s="2" t="s">
        <v>8</v>
      </c>
      <c r="I1" s="2" t="s">
        <v>9</v>
      </c>
      <c r="J1" s="6" t="s">
        <v>10</v>
      </c>
      <c r="K1" s="8" t="s">
        <v>13</v>
      </c>
      <c r="L1" s="10" t="s">
        <v>15</v>
      </c>
      <c r="M1" s="12" t="s">
        <v>18</v>
      </c>
      <c r="N1" s="2" t="s">
        <v>23</v>
      </c>
      <c r="O1" s="2" t="s">
        <v>24</v>
      </c>
      <c r="P1" s="2" t="s">
        <v>26</v>
      </c>
      <c r="Q1" s="2" t="s">
        <v>27</v>
      </c>
      <c r="R1" s="2" t="s">
        <v>29</v>
      </c>
      <c r="S1" s="2" t="s">
        <v>30</v>
      </c>
      <c r="T1" s="2" t="s">
        <v>31</v>
      </c>
      <c r="U1" s="2" t="s">
        <v>32</v>
      </c>
      <c r="V1" s="2" t="s">
        <v>34</v>
      </c>
      <c r="W1" s="2" t="s">
        <v>35</v>
      </c>
      <c r="X1" s="2" t="s">
        <v>36</v>
      </c>
      <c r="Y1" s="2" t="s">
        <v>37</v>
      </c>
      <c r="Z1" s="2" t="s">
        <v>38</v>
      </c>
      <c r="AA1" s="2" t="s">
        <v>39</v>
      </c>
      <c r="AB1" s="2" t="s">
        <v>40</v>
      </c>
      <c r="AC1" s="2" t="s">
        <v>41</v>
      </c>
      <c r="AD1" s="2" t="s">
        <v>42</v>
      </c>
      <c r="AE1" s="2" t="s">
        <v>43</v>
      </c>
      <c r="AF1" s="2" t="s">
        <v>44</v>
      </c>
      <c r="AG1" s="2" t="s">
        <v>45</v>
      </c>
      <c r="AH1" s="2" t="s">
        <v>46</v>
      </c>
      <c r="AI1" s="2" t="s">
        <v>47</v>
      </c>
      <c r="AJ1" s="2" t="s">
        <v>19</v>
      </c>
      <c r="AK1" s="2" t="s">
        <v>48</v>
      </c>
      <c r="AL1" s="2" t="s">
        <v>49</v>
      </c>
      <c r="AM1" s="17" t="s">
        <v>50</v>
      </c>
      <c r="AN1" s="17" t="s">
        <v>51</v>
      </c>
      <c r="AO1" s="17" t="s">
        <v>52</v>
      </c>
    </row>
    <row r="2">
      <c r="A2" s="19">
        <v>101.0</v>
      </c>
      <c r="B2" s="20" t="s">
        <v>53</v>
      </c>
      <c r="C2" s="21" t="s">
        <v>54</v>
      </c>
      <c r="D2" s="22">
        <v>9.0</v>
      </c>
      <c r="E2" s="23">
        <v>3.0</v>
      </c>
      <c r="F2" s="25" t="s">
        <v>56</v>
      </c>
      <c r="G2" s="27" t="s">
        <v>57</v>
      </c>
      <c r="H2" s="28" t="s">
        <v>59</v>
      </c>
      <c r="I2" s="30" t="s">
        <v>58</v>
      </c>
      <c r="J2" s="32"/>
      <c r="K2" s="33"/>
      <c r="L2" s="33"/>
      <c r="M2" s="35"/>
      <c r="N2" s="27"/>
      <c r="O2" s="27"/>
      <c r="P2" s="27"/>
      <c r="Q2" s="27"/>
      <c r="R2" s="27"/>
      <c r="S2" s="27"/>
      <c r="T2" s="27"/>
      <c r="U2" s="27"/>
      <c r="V2" s="27"/>
      <c r="W2" s="27"/>
      <c r="X2" s="27"/>
      <c r="Y2" s="27"/>
      <c r="Z2" s="27"/>
      <c r="AA2" s="27"/>
      <c r="AB2" s="27"/>
      <c r="AC2" s="27"/>
      <c r="AD2" s="27"/>
      <c r="AE2" s="27"/>
      <c r="AF2" s="27"/>
      <c r="AG2" s="27"/>
      <c r="AH2" s="30">
        <v>442.0</v>
      </c>
      <c r="AI2" s="23">
        <v>291.0</v>
      </c>
      <c r="AJ2" s="27">
        <v>0.0</v>
      </c>
      <c r="AK2" s="27" t="b">
        <v>0</v>
      </c>
      <c r="AL2" s="27">
        <v>7.18333333333333</v>
      </c>
      <c r="AM2" s="56" t="str">
        <f t="array" ref="AM2">vlookup(C2,{DraftTracker!F:F,DraftTracker!E:E},2,0)</f>
        <v>Pac12</v>
      </c>
      <c r="AN2" s="56" t="str">
        <f>VLOOKUP(AM2,P5G5!A:B,2,0)</f>
        <v>Power 5</v>
      </c>
      <c r="AO2" s="60" t="b">
        <f>IFERROR(__xludf.DUMMYFUNCTION("iferror(if(not(iserror(find(""FINAL"",G2))),max(arrayformula(value(REGEXEXTRACT(F2,""^""&amp;C2&amp;"" ([\d]+)|[^a-zA-Z] ""&amp;C2&amp;"" ([\d]+)""))))=max(value(REGEXEXTRACT(F2,"" ([\d]+)"")),value(REGEXEXTRACT(F2,""([\d]+)$""))),""""))"),FALSE)</f>
        <v>0</v>
      </c>
    </row>
    <row r="3">
      <c r="A3" s="19">
        <v>101.0</v>
      </c>
      <c r="B3" s="19" t="s">
        <v>53</v>
      </c>
      <c r="C3" s="61" t="s">
        <v>120</v>
      </c>
      <c r="D3" s="62">
        <v>2.0</v>
      </c>
      <c r="E3" s="27">
        <v>10.0</v>
      </c>
      <c r="F3" s="63" t="s">
        <v>123</v>
      </c>
      <c r="G3" s="27" t="s">
        <v>57</v>
      </c>
      <c r="H3" s="64" t="s">
        <v>59</v>
      </c>
      <c r="I3" s="33" t="s">
        <v>129</v>
      </c>
      <c r="J3" s="32"/>
      <c r="K3" s="33"/>
      <c r="L3" s="33"/>
      <c r="M3" s="35"/>
      <c r="N3" s="27"/>
      <c r="O3" s="27"/>
      <c r="P3" s="27"/>
      <c r="Q3" s="27"/>
      <c r="R3" s="27"/>
      <c r="S3" s="27"/>
      <c r="T3" s="27"/>
      <c r="U3" s="27"/>
      <c r="V3" s="27"/>
      <c r="W3" s="27"/>
      <c r="X3" s="27"/>
      <c r="Y3" s="27"/>
      <c r="Z3" s="27"/>
      <c r="AA3" s="27"/>
      <c r="AB3" s="27"/>
      <c r="AC3" s="27"/>
      <c r="AD3" s="27"/>
      <c r="AE3" s="27"/>
      <c r="AF3" s="27"/>
      <c r="AG3" s="27"/>
      <c r="AH3" s="33">
        <v>204.0</v>
      </c>
      <c r="AI3" s="27">
        <v>344.0</v>
      </c>
      <c r="AJ3" s="27">
        <v>0.0</v>
      </c>
      <c r="AK3" s="27" t="b">
        <v>1</v>
      </c>
      <c r="AL3" s="27">
        <v>40.46666666666667</v>
      </c>
      <c r="AM3" s="56" t="str">
        <f t="array" ref="AM3">vlookup(C3,{DraftTracker!F:F,DraftTracker!E:E},2,0)</f>
        <v>MWC</v>
      </c>
      <c r="AN3" s="56" t="str">
        <f>VLOOKUP(AM3,P5G5!A:B,2,0)</f>
        <v>Group of 5</v>
      </c>
      <c r="AO3" s="60" t="b">
        <f>IFERROR(__xludf.DUMMYFUNCTION("iferror(if(not(iserror(find(""FINAL"",G3))),max(arrayformula(value(REGEXEXTRACT(F3,""^""&amp;C3&amp;"" ([\d]+)|[^a-zA-Z] ""&amp;C3&amp;"" ([\d]+)""))))=max(value(REGEXEXTRACT(F3,"" ([\d]+)"")),value(REGEXEXTRACT(F3,""([\d]+)$""))),""""))"),FALSE)</f>
        <v>0</v>
      </c>
    </row>
    <row r="4">
      <c r="A4" s="19">
        <v>101.0</v>
      </c>
      <c r="B4" s="19" t="s">
        <v>53</v>
      </c>
      <c r="C4" s="21" t="s">
        <v>155</v>
      </c>
      <c r="D4" s="62">
        <v>3.0</v>
      </c>
      <c r="E4" s="27">
        <v>7.0</v>
      </c>
      <c r="F4" s="67" t="s">
        <v>158</v>
      </c>
      <c r="G4" s="64" t="s">
        <v>161</v>
      </c>
      <c r="H4" s="64" t="s">
        <v>148</v>
      </c>
      <c r="I4" s="33" t="s">
        <v>162</v>
      </c>
      <c r="J4" s="32"/>
      <c r="K4" s="33"/>
      <c r="L4" s="33"/>
      <c r="M4" s="35"/>
      <c r="N4" s="27"/>
      <c r="O4" s="27"/>
      <c r="P4" s="27"/>
      <c r="Q4" s="27"/>
      <c r="R4" s="27"/>
      <c r="S4" s="27"/>
      <c r="T4" s="27"/>
      <c r="U4" s="27"/>
      <c r="V4" s="27"/>
      <c r="W4" s="27"/>
      <c r="X4" s="27"/>
      <c r="Y4" s="27"/>
      <c r="Z4" s="27"/>
      <c r="AA4" s="27"/>
      <c r="AB4" s="27"/>
      <c r="AC4" s="27"/>
      <c r="AD4" s="27"/>
      <c r="AE4" s="27"/>
      <c r="AF4" s="27"/>
      <c r="AG4" s="27"/>
      <c r="AH4" s="33">
        <v>170.0</v>
      </c>
      <c r="AI4" s="27">
        <v>240.0</v>
      </c>
      <c r="AJ4" s="27">
        <v>0.0</v>
      </c>
      <c r="AK4" s="27" t="b">
        <v>1</v>
      </c>
      <c r="AL4" s="27">
        <v>59.0</v>
      </c>
      <c r="AM4" s="56" t="str">
        <f t="array" ref="AM4">vlookup(C4,{DraftTracker!F:F,DraftTracker!E:E},2,0)</f>
        <v>ACC</v>
      </c>
      <c r="AN4" s="56" t="str">
        <f>VLOOKUP(AM4,P5G5!A:B,2,0)</f>
        <v>Power 5</v>
      </c>
      <c r="AO4" s="60" t="str">
        <f>IFERROR(__xludf.DUMMYFUNCTION("iferror(if(not(iserror(find(""FINAL"",G4))),max(arrayformula(value(REGEXEXTRACT(F4,""^""&amp;C4&amp;"" ([\d]+)|[^a-zA-Z] ""&amp;C4&amp;"" ([\d]+)""))))=max(value(REGEXEXTRACT(F4,"" ([\d]+)"")),value(REGEXEXTRACT(F4,""([\d]+)$""))),""""))"),"")</f>
        <v/>
      </c>
    </row>
    <row r="5">
      <c r="A5" s="19">
        <v>101.0</v>
      </c>
      <c r="B5" s="19" t="s">
        <v>53</v>
      </c>
      <c r="C5" s="21" t="s">
        <v>168</v>
      </c>
      <c r="D5" s="62">
        <v>11.0</v>
      </c>
      <c r="E5" s="27">
        <v>1.0</v>
      </c>
      <c r="F5" s="67" t="s">
        <v>169</v>
      </c>
      <c r="G5" s="27" t="s">
        <v>57</v>
      </c>
      <c r="H5" s="27" t="s">
        <v>59</v>
      </c>
      <c r="I5" s="33"/>
      <c r="J5" s="32"/>
      <c r="K5" s="33"/>
      <c r="L5" s="33"/>
      <c r="M5" s="35"/>
      <c r="N5" s="27"/>
      <c r="O5" s="27"/>
      <c r="P5" s="27"/>
      <c r="Q5" s="27"/>
      <c r="R5" s="27"/>
      <c r="S5" s="27"/>
      <c r="T5" s="27"/>
      <c r="U5" s="27"/>
      <c r="V5" s="27"/>
      <c r="W5" s="27"/>
      <c r="X5" s="27"/>
      <c r="Y5" s="27"/>
      <c r="Z5" s="27"/>
      <c r="AA5" s="27"/>
      <c r="AB5" s="27"/>
      <c r="AC5" s="27"/>
      <c r="AD5" s="27"/>
      <c r="AE5" s="27"/>
      <c r="AF5" s="27"/>
      <c r="AG5" s="27"/>
      <c r="AH5" s="33">
        <v>534.0</v>
      </c>
      <c r="AI5" s="27">
        <v>231.0</v>
      </c>
      <c r="AJ5" s="27">
        <v>2.0</v>
      </c>
      <c r="AK5" s="27" t="b">
        <v>0</v>
      </c>
      <c r="AL5" s="27">
        <v>100.0</v>
      </c>
      <c r="AM5" s="56" t="str">
        <f t="array" ref="AM5">vlookup(C5,{DraftTracker!F:F,DraftTracker!E:E},2,0)</f>
        <v>Big Ten</v>
      </c>
      <c r="AN5" s="56" t="str">
        <f>VLOOKUP(AM5,P5G5!A:B,2,0)</f>
        <v>Power 5</v>
      </c>
      <c r="AO5" s="60" t="b">
        <f>IFERROR(__xludf.DUMMYFUNCTION("iferror(if(not(iserror(find(""FINAL"",G5))),max(arrayformula(value(REGEXEXTRACT(F5,""^""&amp;C5&amp;"" ([\d]+)|[^a-zA-Z] ""&amp;C5&amp;"" ([\d]+)""))))=max(value(REGEXEXTRACT(F5,"" ([\d]+)"")),value(REGEXEXTRACT(F5,""([\d]+)$""))),""""))"),FALSE)</f>
        <v>0</v>
      </c>
    </row>
    <row r="6">
      <c r="A6" s="19">
        <v>101.0</v>
      </c>
      <c r="B6" s="19" t="s">
        <v>53</v>
      </c>
      <c r="C6" s="21" t="s">
        <v>170</v>
      </c>
      <c r="D6" s="62">
        <v>3.0</v>
      </c>
      <c r="E6" s="27">
        <v>9.0</v>
      </c>
      <c r="F6" s="67" t="s">
        <v>171</v>
      </c>
      <c r="G6" s="27" t="s">
        <v>57</v>
      </c>
      <c r="H6" s="27" t="s">
        <v>138</v>
      </c>
      <c r="I6" s="33"/>
      <c r="J6" s="32"/>
      <c r="K6" s="33"/>
      <c r="L6" s="33"/>
      <c r="M6" s="35"/>
      <c r="N6" s="27"/>
      <c r="O6" s="27"/>
      <c r="P6" s="27"/>
      <c r="Q6" s="27"/>
      <c r="R6" s="27"/>
      <c r="S6" s="27"/>
      <c r="T6" s="27"/>
      <c r="U6" s="27"/>
      <c r="V6" s="27"/>
      <c r="W6" s="27"/>
      <c r="X6" s="27"/>
      <c r="Y6" s="27"/>
      <c r="Z6" s="27"/>
      <c r="AA6" s="27"/>
      <c r="AB6" s="27"/>
      <c r="AC6" s="27"/>
      <c r="AD6" s="27"/>
      <c r="AE6" s="27"/>
      <c r="AF6" s="27"/>
      <c r="AG6" s="27"/>
      <c r="AH6" s="33">
        <v>234.0</v>
      </c>
      <c r="AI6" s="27">
        <v>319.0</v>
      </c>
      <c r="AJ6" s="27">
        <v>2.0</v>
      </c>
      <c r="AK6" s="27" t="b">
        <v>1</v>
      </c>
      <c r="AL6" s="27">
        <v>100.0</v>
      </c>
      <c r="AM6" s="56" t="str">
        <f t="array" ref="AM6">vlookup(C6,{DraftTracker!F:F,DraftTracker!E:E},2,0)</f>
        <v>Sun Belt</v>
      </c>
      <c r="AN6" s="56" t="str">
        <f>VLOOKUP(AM6,P5G5!A:B,2,0)</f>
        <v>Group of 5</v>
      </c>
      <c r="AO6" s="60" t="b">
        <f>IFERROR(__xludf.DUMMYFUNCTION("iferror(if(not(iserror(find(""FINAL"",G6))),max(arrayformula(value(REGEXEXTRACT(F6,""^""&amp;C6&amp;"" ([\d]+)|[^a-zA-Z] ""&amp;C6&amp;"" ([\d]+)""))))=max(value(REGEXEXTRACT(F6,"" ([\d]+)"")),value(REGEXEXTRACT(F6,""([\d]+)$""))),""""))"),FALSE)</f>
        <v>0</v>
      </c>
    </row>
    <row r="7">
      <c r="A7" s="19">
        <v>101.0</v>
      </c>
      <c r="B7" s="19" t="s">
        <v>53</v>
      </c>
      <c r="C7" s="21" t="s">
        <v>173</v>
      </c>
      <c r="D7" s="62">
        <v>6.0</v>
      </c>
      <c r="E7" s="27">
        <v>6.0</v>
      </c>
      <c r="F7" s="67" t="s">
        <v>174</v>
      </c>
      <c r="G7" s="27" t="s">
        <v>57</v>
      </c>
      <c r="H7" s="27" t="s">
        <v>138</v>
      </c>
      <c r="I7" s="33"/>
      <c r="J7" s="32"/>
      <c r="K7" s="33"/>
      <c r="L7" s="33"/>
      <c r="M7" s="35"/>
      <c r="N7" s="27"/>
      <c r="O7" s="27"/>
      <c r="P7" s="27"/>
      <c r="Q7" s="27"/>
      <c r="R7" s="27"/>
      <c r="S7" s="27"/>
      <c r="T7" s="27"/>
      <c r="U7" s="27"/>
      <c r="V7" s="27"/>
      <c r="W7" s="27"/>
      <c r="X7" s="27"/>
      <c r="Y7" s="27"/>
      <c r="Z7" s="27"/>
      <c r="AA7" s="27"/>
      <c r="AB7" s="27"/>
      <c r="AC7" s="27"/>
      <c r="AD7" s="27"/>
      <c r="AE7" s="27"/>
      <c r="AF7" s="27"/>
      <c r="AG7" s="27"/>
      <c r="AH7" s="33">
        <v>306.0</v>
      </c>
      <c r="AI7" s="27">
        <v>300.0</v>
      </c>
      <c r="AJ7" s="27">
        <v>2.0</v>
      </c>
      <c r="AK7" s="27" t="b">
        <v>0</v>
      </c>
      <c r="AL7" s="27">
        <v>100.0</v>
      </c>
      <c r="AM7" s="56" t="str">
        <f t="array" ref="AM7">vlookup(C7,{DraftTracker!F:F,DraftTracker!E:E},2,0)</f>
        <v>SEC</v>
      </c>
      <c r="AN7" s="56" t="str">
        <f>VLOOKUP(AM7,P5G5!A:B,2,0)</f>
        <v>Power 5</v>
      </c>
      <c r="AO7" s="60" t="b">
        <f>IFERROR(__xludf.DUMMYFUNCTION("iferror(if(not(iserror(find(""FINAL"",G7))),max(arrayformula(value(REGEXEXTRACT(F7,""^""&amp;C7&amp;"" ([\d]+)|[^a-zA-Z] ""&amp;C7&amp;"" ([\d]+)""))))=max(value(REGEXEXTRACT(F7,"" ([\d]+)"")),value(REGEXEXTRACT(F7,""([\d]+)$""))),""""))"),TRUE)</f>
        <v>1</v>
      </c>
    </row>
    <row r="8">
      <c r="A8" s="19">
        <v>101.0</v>
      </c>
      <c r="B8" s="19" t="s">
        <v>53</v>
      </c>
      <c r="C8" s="21" t="s">
        <v>176</v>
      </c>
      <c r="D8" s="62">
        <v>9.0</v>
      </c>
      <c r="E8" s="27">
        <v>3.0</v>
      </c>
      <c r="F8" s="67" t="s">
        <v>177</v>
      </c>
      <c r="G8" s="27" t="s">
        <v>57</v>
      </c>
      <c r="H8" s="27" t="s">
        <v>148</v>
      </c>
      <c r="I8" s="33"/>
      <c r="J8" s="32"/>
      <c r="K8" s="33"/>
      <c r="L8" s="33"/>
      <c r="M8" s="35"/>
      <c r="N8" s="27"/>
      <c r="O8" s="27"/>
      <c r="P8" s="27"/>
      <c r="Q8" s="27"/>
      <c r="R8" s="27"/>
      <c r="S8" s="27"/>
      <c r="T8" s="27"/>
      <c r="U8" s="27"/>
      <c r="V8" s="27"/>
      <c r="W8" s="27"/>
      <c r="X8" s="27"/>
      <c r="Y8" s="27"/>
      <c r="Z8" s="27"/>
      <c r="AA8" s="27"/>
      <c r="AB8" s="27"/>
      <c r="AC8" s="27"/>
      <c r="AD8" s="27"/>
      <c r="AE8" s="27"/>
      <c r="AF8" s="27"/>
      <c r="AG8" s="27"/>
      <c r="AH8" s="33">
        <v>408.0</v>
      </c>
      <c r="AI8" s="27">
        <v>352.0</v>
      </c>
      <c r="AJ8" s="27">
        <v>2.0</v>
      </c>
      <c r="AK8" s="27" t="b">
        <v>0</v>
      </c>
      <c r="AL8" s="27">
        <v>100.0</v>
      </c>
      <c r="AM8" s="56" t="str">
        <f t="array" ref="AM8">vlookup(C8,{DraftTracker!F:F,DraftTracker!E:E},2,0)</f>
        <v>MAC</v>
      </c>
      <c r="AN8" s="56" t="str">
        <f>VLOOKUP(AM8,P5G5!A:B,2,0)</f>
        <v>Group of 5</v>
      </c>
      <c r="AO8" s="60" t="b">
        <f>IFERROR(__xludf.DUMMYFUNCTION("iferror(if(not(iserror(find(""FINAL"",G8))),max(arrayformula(value(REGEXEXTRACT(F8,""^""&amp;C8&amp;"" ([\d]+)|[^a-zA-Z] ""&amp;C8&amp;"" ([\d]+)""))))=max(value(REGEXEXTRACT(F8,"" ([\d]+)"")),value(REGEXEXTRACT(F8,""([\d]+)$""))),""""))"),TRUE)</f>
        <v>1</v>
      </c>
    </row>
    <row r="9">
      <c r="A9" s="19">
        <v>101.0</v>
      </c>
      <c r="B9" s="19" t="s">
        <v>53</v>
      </c>
      <c r="C9" s="21" t="s">
        <v>181</v>
      </c>
      <c r="D9" s="62">
        <v>5.0</v>
      </c>
      <c r="E9" s="27">
        <v>7.0</v>
      </c>
      <c r="F9" s="67" t="s">
        <v>182</v>
      </c>
      <c r="G9" s="27" t="s">
        <v>183</v>
      </c>
      <c r="H9" s="27" t="s">
        <v>178</v>
      </c>
      <c r="I9" s="33"/>
      <c r="J9" s="32"/>
      <c r="K9" s="33"/>
      <c r="L9" s="33"/>
      <c r="M9" s="35"/>
      <c r="N9" s="27"/>
      <c r="O9" s="27"/>
      <c r="P9" s="27"/>
      <c r="Q9" s="27"/>
      <c r="R9" s="27"/>
      <c r="S9" s="27"/>
      <c r="T9" s="27"/>
      <c r="U9" s="27"/>
      <c r="V9" s="27"/>
      <c r="W9" s="27"/>
      <c r="X9" s="27"/>
      <c r="Y9" s="27"/>
      <c r="Z9" s="27"/>
      <c r="AA9" s="27"/>
      <c r="AB9" s="27"/>
      <c r="AC9" s="27"/>
      <c r="AD9" s="27"/>
      <c r="AE9" s="27"/>
      <c r="AF9" s="27"/>
      <c r="AG9" s="27"/>
      <c r="AH9" s="33">
        <v>357.0</v>
      </c>
      <c r="AI9" s="27">
        <v>319.0</v>
      </c>
      <c r="AJ9" s="27">
        <v>2.0</v>
      </c>
      <c r="AK9" s="27" t="b">
        <v>0</v>
      </c>
      <c r="AL9" s="27">
        <v>100.0</v>
      </c>
      <c r="AM9" s="56" t="str">
        <f t="array" ref="AM9">vlookup(C9,{DraftTracker!F:F,DraftTracker!E:E},2,0)</f>
        <v>CUSA</v>
      </c>
      <c r="AN9" s="56" t="str">
        <f>VLOOKUP(AM9,P5G5!A:B,2,0)</f>
        <v>Group of 5</v>
      </c>
      <c r="AO9" s="60" t="b">
        <f>IFERROR(__xludf.DUMMYFUNCTION("iferror(if(not(iserror(find(""FINAL"",G9))),max(arrayformula(value(REGEXEXTRACT(F9,""^""&amp;C9&amp;"" ([\d]+)|[^a-zA-Z] ""&amp;C9&amp;"" ([\d]+)""))))=max(value(REGEXEXTRACT(F9,"" ([\d]+)"")),value(REGEXEXTRACT(F9,""([\d]+)$""))),""""))"),FALSE)</f>
        <v>0</v>
      </c>
    </row>
    <row r="10">
      <c r="A10" s="19">
        <v>101.0</v>
      </c>
      <c r="B10" s="19" t="s">
        <v>53</v>
      </c>
      <c r="C10" s="21" t="s">
        <v>184</v>
      </c>
      <c r="D10" s="62">
        <v>5.0</v>
      </c>
      <c r="E10" s="27">
        <v>7.0</v>
      </c>
      <c r="F10" s="67" t="s">
        <v>185</v>
      </c>
      <c r="G10" s="27" t="s">
        <v>183</v>
      </c>
      <c r="H10" s="27" t="s">
        <v>178</v>
      </c>
      <c r="I10" s="33" t="s">
        <v>88</v>
      </c>
      <c r="J10" s="32"/>
      <c r="K10" s="33"/>
      <c r="L10" s="33"/>
      <c r="M10" s="35"/>
      <c r="N10" s="27"/>
      <c r="O10" s="27"/>
      <c r="P10" s="27"/>
      <c r="Q10" s="27"/>
      <c r="R10" s="27"/>
      <c r="S10" s="27"/>
      <c r="T10" s="27"/>
      <c r="U10" s="27"/>
      <c r="V10" s="27"/>
      <c r="W10" s="27"/>
      <c r="X10" s="27"/>
      <c r="Y10" s="27"/>
      <c r="Z10" s="27"/>
      <c r="AA10" s="27"/>
      <c r="AB10" s="27"/>
      <c r="AC10" s="27"/>
      <c r="AD10" s="27"/>
      <c r="AE10" s="27"/>
      <c r="AF10" s="27"/>
      <c r="AG10" s="27"/>
      <c r="AH10" s="33">
        <v>347.0</v>
      </c>
      <c r="AI10" s="27">
        <v>304.0</v>
      </c>
      <c r="AJ10" s="27">
        <v>3.0</v>
      </c>
      <c r="AK10" s="27" t="b">
        <v>0</v>
      </c>
      <c r="AL10" s="27">
        <v>100.0</v>
      </c>
      <c r="AM10" s="56" t="str">
        <f t="array" ref="AM10">vlookup(C10,{DraftTracker!F:F,DraftTracker!E:E},2,0)</f>
        <v>Big 12</v>
      </c>
      <c r="AN10" s="56" t="str">
        <f>VLOOKUP(AM10,P5G5!A:B,2,0)</f>
        <v>Power 5</v>
      </c>
      <c r="AO10" s="60" t="str">
        <f>IFERROR(__xludf.DUMMYFUNCTION("iferror(if(not(iserror(find(""FINAL"",G10))),max(arrayformula(value(REGEXEXTRACT(F10,""^""&amp;C10&amp;"" ([\d]+)|[^a-zA-Z] ""&amp;C10&amp;"" ([\d]+)""))))=max(value(REGEXEXTRACT(F10,"" ([\d]+)"")),value(REGEXEXTRACT(F10,""([\d]+)$""))),""""))"),"")</f>
        <v/>
      </c>
    </row>
    <row r="11">
      <c r="A11" s="19">
        <v>101.0</v>
      </c>
      <c r="B11" s="19" t="s">
        <v>53</v>
      </c>
      <c r="C11" s="21" t="s">
        <v>195</v>
      </c>
      <c r="D11" s="62">
        <v>5.0</v>
      </c>
      <c r="E11" s="27">
        <v>7.0</v>
      </c>
      <c r="F11" s="67" t="s">
        <v>196</v>
      </c>
      <c r="G11" s="27" t="s">
        <v>183</v>
      </c>
      <c r="H11" s="27" t="s">
        <v>154</v>
      </c>
      <c r="I11" s="33" t="s">
        <v>119</v>
      </c>
      <c r="J11" s="32"/>
      <c r="K11" s="33"/>
      <c r="L11" s="33"/>
      <c r="M11" s="35"/>
      <c r="N11" s="27"/>
      <c r="O11" s="27"/>
      <c r="P11" s="27"/>
      <c r="Q11" s="27"/>
      <c r="R11" s="27"/>
      <c r="S11" s="27"/>
      <c r="T11" s="27"/>
      <c r="U11" s="27"/>
      <c r="V11" s="27"/>
      <c r="W11" s="27"/>
      <c r="X11" s="27"/>
      <c r="Y11" s="27"/>
      <c r="Z11" s="27"/>
      <c r="AA11" s="27"/>
      <c r="AB11" s="27"/>
      <c r="AC11" s="27"/>
      <c r="AD11" s="27"/>
      <c r="AE11" s="27"/>
      <c r="AF11" s="27"/>
      <c r="AG11" s="27"/>
      <c r="AH11" s="33">
        <v>330.0</v>
      </c>
      <c r="AI11" s="27">
        <v>367.0</v>
      </c>
      <c r="AJ11" s="27">
        <v>3.0</v>
      </c>
      <c r="AK11" s="27" t="b">
        <v>0</v>
      </c>
      <c r="AL11" s="27">
        <v>100.0</v>
      </c>
      <c r="AM11" s="56" t="str">
        <f t="array" ref="AM11">vlookup(C11,{DraftTracker!F:F,DraftTracker!E:E},2,0)</f>
        <v>AAC</v>
      </c>
      <c r="AN11" s="56" t="str">
        <f>VLOOKUP(AM11,P5G5!A:B,2,0)</f>
        <v>Group of 5</v>
      </c>
      <c r="AO11" s="60" t="b">
        <f>IFERROR(__xludf.DUMMYFUNCTION("iferror(if(not(iserror(find(""FINAL"",G11))),max(arrayformula(value(REGEXEXTRACT(F11,""^""&amp;C11&amp;"" ([\d]+)|[^a-zA-Z] ""&amp;C11&amp;"" ([\d]+)""))))=max(value(REGEXEXTRACT(F11,"" ([\d]+)"")),value(REGEXEXTRACT(F11,""([\d]+)$""))),""""))"),TRUE)</f>
        <v>1</v>
      </c>
    </row>
    <row r="12">
      <c r="A12" s="1">
        <v>102.0</v>
      </c>
      <c r="B12" s="1"/>
      <c r="C12" s="2"/>
      <c r="D12" s="2"/>
      <c r="E12" s="2"/>
      <c r="F12" s="4"/>
      <c r="G12" s="2"/>
      <c r="H12" s="2"/>
      <c r="I12" s="2"/>
      <c r="J12" s="4"/>
      <c r="K12" s="2"/>
      <c r="L12" s="2"/>
      <c r="M12" s="89"/>
      <c r="N12" s="2"/>
      <c r="O12" s="90"/>
      <c r="P12" s="2"/>
      <c r="Q12" s="90"/>
      <c r="R12" s="2"/>
      <c r="S12" s="90"/>
      <c r="T12" s="2"/>
      <c r="U12" s="90"/>
      <c r="V12" s="2"/>
      <c r="W12" s="90"/>
      <c r="X12" s="2"/>
      <c r="Y12" s="90"/>
      <c r="Z12" s="2"/>
      <c r="AA12" s="90"/>
      <c r="AB12" s="2"/>
      <c r="AC12" s="90"/>
      <c r="AD12" s="2"/>
      <c r="AE12" s="90"/>
      <c r="AF12" s="2"/>
      <c r="AG12" s="2"/>
      <c r="AH12" s="2"/>
      <c r="AI12" s="2"/>
      <c r="AJ12" s="2"/>
      <c r="AK12" s="2"/>
      <c r="AL12" s="2"/>
      <c r="AM12" s="91" t="str">
        <f t="array" ref="AM12">vlookup(C12,{DraftTracker!F:F,DraftTracker!E:E},2,0)</f>
        <v>#N/A</v>
      </c>
      <c r="AN12" s="91" t="str">
        <f>VLOOKUP(AM12,P5G5!A:B,2,0)</f>
        <v>#N/A</v>
      </c>
      <c r="AO12" s="56" t="str">
        <f>IFERROR(__xludf.DUMMYFUNCTION("iferror(if(not(iserror(find(""FINAL"",G12))),max(arrayformula(value(REGEXEXTRACT(F12,""^""&amp;C12&amp;"" ([\d]+)|[^a-zA-Z] ""&amp;C12&amp;"" ([\d]+)""))))=max(value(REGEXEXTRACT(F12,"" ([\d]+)"")),value(REGEXEXTRACT(F12,""([\d]+)$""))),""""))"),"")</f>
        <v/>
      </c>
    </row>
    <row r="13">
      <c r="A13" s="19">
        <v>103.0</v>
      </c>
      <c r="B13" s="20" t="s">
        <v>131</v>
      </c>
      <c r="C13" s="21" t="s">
        <v>197</v>
      </c>
      <c r="D13" s="22">
        <v>6.0</v>
      </c>
      <c r="E13" s="23">
        <v>6.0</v>
      </c>
      <c r="F13" s="25" t="s">
        <v>198</v>
      </c>
      <c r="G13" s="64" t="s">
        <v>57</v>
      </c>
      <c r="H13" s="28" t="s">
        <v>178</v>
      </c>
      <c r="I13" s="30" t="s">
        <v>82</v>
      </c>
      <c r="J13" s="32"/>
      <c r="K13" s="33"/>
      <c r="L13" s="33"/>
      <c r="M13" s="35"/>
      <c r="N13" s="27"/>
      <c r="O13" s="27"/>
      <c r="P13" s="27"/>
      <c r="Q13" s="27"/>
      <c r="R13" s="27"/>
      <c r="S13" s="27"/>
      <c r="T13" s="27"/>
      <c r="U13" s="27"/>
      <c r="V13" s="27"/>
      <c r="W13" s="27"/>
      <c r="X13" s="27"/>
      <c r="Y13" s="27"/>
      <c r="Z13" s="27"/>
      <c r="AA13" s="27"/>
      <c r="AB13" s="27"/>
      <c r="AC13" s="27"/>
      <c r="AD13" s="27"/>
      <c r="AE13" s="27"/>
      <c r="AF13" s="27"/>
      <c r="AG13" s="27"/>
      <c r="AH13" s="30">
        <v>302.0</v>
      </c>
      <c r="AI13" s="23">
        <v>223.0</v>
      </c>
      <c r="AJ13" s="27">
        <v>0.0</v>
      </c>
      <c r="AK13" s="27" t="b">
        <v>0</v>
      </c>
      <c r="AL13" s="27">
        <v>0.29999999999999716</v>
      </c>
      <c r="AM13" s="56" t="str">
        <f t="array" ref="AM13">vlookup(C13,{DraftTracker!F:F,DraftTracker!E:E},2,0)</f>
        <v>Big Ten</v>
      </c>
      <c r="AN13" s="56" t="str">
        <f>VLOOKUP(AM13,P5G5!A:B,2,0)</f>
        <v>Power 5</v>
      </c>
      <c r="AO13" s="60" t="b">
        <f>IFERROR(__xludf.DUMMYFUNCTION("iferror(if(not(iserror(find(""FINAL"",G13))),max(arrayformula(value(REGEXEXTRACT(F13,""^""&amp;C13&amp;"" ([\d]+)|[^a-zA-Z] ""&amp;C13&amp;"" ([\d]+)""))))=max(value(REGEXEXTRACT(F13,"" ([\d]+)"")),value(REGEXEXTRACT(F13,""([\d]+)$""))),""""))"),FALSE)</f>
        <v>0</v>
      </c>
    </row>
    <row r="14">
      <c r="A14" s="19">
        <v>103.0</v>
      </c>
      <c r="B14" s="19" t="s">
        <v>131</v>
      </c>
      <c r="C14" s="21" t="s">
        <v>199</v>
      </c>
      <c r="D14" s="62">
        <v>4.0</v>
      </c>
      <c r="E14" s="27">
        <v>8.0</v>
      </c>
      <c r="F14" s="63" t="s">
        <v>200</v>
      </c>
      <c r="G14" s="64" t="s">
        <v>57</v>
      </c>
      <c r="H14" s="64" t="s">
        <v>144</v>
      </c>
      <c r="I14" s="33" t="s">
        <v>133</v>
      </c>
      <c r="J14" s="32"/>
      <c r="K14" s="33"/>
      <c r="L14" s="33"/>
      <c r="M14" s="35"/>
      <c r="N14" s="27"/>
      <c r="O14" s="27"/>
      <c r="P14" s="27"/>
      <c r="Q14" s="27"/>
      <c r="R14" s="27"/>
      <c r="S14" s="27"/>
      <c r="T14" s="27"/>
      <c r="U14" s="27"/>
      <c r="V14" s="27"/>
      <c r="W14" s="27"/>
      <c r="X14" s="27"/>
      <c r="Y14" s="27"/>
      <c r="Z14" s="27"/>
      <c r="AA14" s="27"/>
      <c r="AB14" s="27"/>
      <c r="AC14" s="27"/>
      <c r="AD14" s="27"/>
      <c r="AE14" s="27"/>
      <c r="AF14" s="27"/>
      <c r="AG14" s="27"/>
      <c r="AH14" s="33">
        <v>258.0</v>
      </c>
      <c r="AI14" s="27">
        <v>393.0</v>
      </c>
      <c r="AJ14" s="27">
        <v>0.0</v>
      </c>
      <c r="AK14" s="27" t="b">
        <v>1</v>
      </c>
      <c r="AL14" s="27">
        <v>18.6</v>
      </c>
      <c r="AM14" s="56" t="str">
        <f t="array" ref="AM14">vlookup(C14,{DraftTracker!F:F,DraftTracker!E:E},2,0)</f>
        <v>Sun Belt</v>
      </c>
      <c r="AN14" s="56" t="str">
        <f>VLOOKUP(AM14,P5G5!A:B,2,0)</f>
        <v>Group of 5</v>
      </c>
      <c r="AO14" s="60" t="b">
        <f>IFERROR(__xludf.DUMMYFUNCTION("iferror(if(not(iserror(find(""FINAL"",G14))),max(arrayformula(value(REGEXEXTRACT(F14,""^""&amp;C14&amp;"" ([\d]+)|[^a-zA-Z] ""&amp;C14&amp;"" ([\d]+)""))))=max(value(REGEXEXTRACT(F14,"" ([\d]+)"")),value(REGEXEXTRACT(F14,""([\d]+)$""))),""""))"),FALSE)</f>
        <v>0</v>
      </c>
    </row>
    <row r="15">
      <c r="A15" s="19">
        <v>103.0</v>
      </c>
      <c r="B15" s="19" t="s">
        <v>131</v>
      </c>
      <c r="C15" s="21" t="s">
        <v>204</v>
      </c>
      <c r="D15" s="62">
        <v>7.0</v>
      </c>
      <c r="E15" s="27">
        <v>5.0</v>
      </c>
      <c r="F15" s="67" t="s">
        <v>205</v>
      </c>
      <c r="G15" s="64" t="s">
        <v>57</v>
      </c>
      <c r="H15" s="64" t="s">
        <v>116</v>
      </c>
      <c r="I15" s="33"/>
      <c r="J15" s="32"/>
      <c r="K15" s="33"/>
      <c r="L15" s="33"/>
      <c r="M15" s="35"/>
      <c r="N15" s="27"/>
      <c r="O15" s="27"/>
      <c r="P15" s="27"/>
      <c r="Q15" s="27"/>
      <c r="R15" s="27"/>
      <c r="S15" s="27"/>
      <c r="T15" s="27"/>
      <c r="U15" s="27"/>
      <c r="V15" s="27"/>
      <c r="W15" s="27"/>
      <c r="X15" s="27"/>
      <c r="Y15" s="27"/>
      <c r="Z15" s="27"/>
      <c r="AA15" s="27"/>
      <c r="AB15" s="27"/>
      <c r="AC15" s="27"/>
      <c r="AD15" s="27"/>
      <c r="AE15" s="27"/>
      <c r="AF15" s="27"/>
      <c r="AG15" s="27"/>
      <c r="AH15" s="33">
        <v>414.0</v>
      </c>
      <c r="AI15" s="27">
        <v>361.0</v>
      </c>
      <c r="AJ15" s="27">
        <v>2.0</v>
      </c>
      <c r="AK15" s="27" t="b">
        <v>1</v>
      </c>
      <c r="AL15" s="27">
        <v>100.0</v>
      </c>
      <c r="AM15" s="56" t="str">
        <f t="array" ref="AM15">vlookup(C15,{DraftTracker!F:F,DraftTracker!E:E},2,0)</f>
        <v>CUSA</v>
      </c>
      <c r="AN15" s="56" t="str">
        <f>VLOOKUP(AM15,P5G5!A:B,2,0)</f>
        <v>Group of 5</v>
      </c>
      <c r="AO15" s="60" t="b">
        <f>IFERROR(__xludf.DUMMYFUNCTION("iferror(if(not(iserror(find(""FINAL"",G15))),max(arrayformula(value(REGEXEXTRACT(F15,""^""&amp;C15&amp;"" ([\d]+)|[^a-zA-Z] ""&amp;C15&amp;"" ([\d]+)""))))=max(value(REGEXEXTRACT(F15,"" ([\d]+)"")),value(REGEXEXTRACT(F15,""([\d]+)$""))),""""))"),TRUE)</f>
        <v>1</v>
      </c>
    </row>
    <row r="16">
      <c r="A16" s="19">
        <v>103.0</v>
      </c>
      <c r="B16" s="19" t="s">
        <v>131</v>
      </c>
      <c r="C16" s="21" t="s">
        <v>206</v>
      </c>
      <c r="D16" s="62">
        <v>10.0</v>
      </c>
      <c r="E16" s="27">
        <v>2.0</v>
      </c>
      <c r="F16" s="67" t="s">
        <v>207</v>
      </c>
      <c r="G16" s="27" t="s">
        <v>57</v>
      </c>
      <c r="H16" s="27" t="s">
        <v>154</v>
      </c>
      <c r="I16" s="33"/>
      <c r="J16" s="32"/>
      <c r="K16" s="33"/>
      <c r="L16" s="33"/>
      <c r="M16" s="35"/>
      <c r="N16" s="27"/>
      <c r="O16" s="27"/>
      <c r="P16" s="27"/>
      <c r="Q16" s="27"/>
      <c r="R16" s="27"/>
      <c r="S16" s="27"/>
      <c r="T16" s="27"/>
      <c r="U16" s="27"/>
      <c r="V16" s="27"/>
      <c r="W16" s="27"/>
      <c r="X16" s="27"/>
      <c r="Y16" s="27"/>
      <c r="Z16" s="27"/>
      <c r="AA16" s="27"/>
      <c r="AB16" s="27"/>
      <c r="AC16" s="27"/>
      <c r="AD16" s="27"/>
      <c r="AE16" s="27"/>
      <c r="AF16" s="27"/>
      <c r="AG16" s="27"/>
      <c r="AH16" s="33">
        <v>412.0</v>
      </c>
      <c r="AI16" s="27">
        <v>251.0</v>
      </c>
      <c r="AJ16" s="27">
        <v>2.0</v>
      </c>
      <c r="AK16" s="27" t="b">
        <v>1</v>
      </c>
      <c r="AL16" s="27">
        <v>100.0</v>
      </c>
      <c r="AM16" s="56" t="str">
        <f t="array" ref="AM16">vlookup(C16,{DraftTracker!F:F,DraftTracker!E:E},2,0)</f>
        <v>ACC</v>
      </c>
      <c r="AN16" s="56" t="str">
        <f>VLOOKUP(AM16,P5G5!A:B,2,0)</f>
        <v>Power 5</v>
      </c>
      <c r="AO16" s="60" t="b">
        <f>IFERROR(__xludf.DUMMYFUNCTION("iferror(if(not(iserror(find(""FINAL"",G16))),max(arrayformula(value(REGEXEXTRACT(F16,""^""&amp;C16&amp;"" ([\d]+)|[^a-zA-Z] ""&amp;C16&amp;"" ([\d]+)""))))=max(value(REGEXEXTRACT(F16,"" ([\d]+)"")),value(REGEXEXTRACT(F16,""([\d]+)$""))),""""))"),FALSE)</f>
        <v>0</v>
      </c>
    </row>
    <row r="17">
      <c r="A17" s="19">
        <v>103.0</v>
      </c>
      <c r="B17" s="19" t="s">
        <v>131</v>
      </c>
      <c r="C17" s="21" t="s">
        <v>208</v>
      </c>
      <c r="D17" s="62">
        <v>6.0</v>
      </c>
      <c r="E17" s="27">
        <v>6.0</v>
      </c>
      <c r="F17" s="67" t="s">
        <v>209</v>
      </c>
      <c r="G17" s="27" t="s">
        <v>57</v>
      </c>
      <c r="H17" s="27" t="s">
        <v>116</v>
      </c>
      <c r="I17" s="33"/>
      <c r="J17" s="32"/>
      <c r="K17" s="33"/>
      <c r="L17" s="33"/>
      <c r="M17" s="35"/>
      <c r="N17" s="27"/>
      <c r="O17" s="27"/>
      <c r="P17" s="27"/>
      <c r="Q17" s="27"/>
      <c r="R17" s="27"/>
      <c r="S17" s="27"/>
      <c r="T17" s="27"/>
      <c r="U17" s="27"/>
      <c r="V17" s="27"/>
      <c r="W17" s="27"/>
      <c r="X17" s="27"/>
      <c r="Y17" s="27"/>
      <c r="Z17" s="27"/>
      <c r="AA17" s="27"/>
      <c r="AB17" s="27"/>
      <c r="AC17" s="27"/>
      <c r="AD17" s="27"/>
      <c r="AE17" s="27"/>
      <c r="AF17" s="27"/>
      <c r="AG17" s="27"/>
      <c r="AH17" s="33">
        <v>243.0</v>
      </c>
      <c r="AI17" s="27">
        <v>270.0</v>
      </c>
      <c r="AJ17" s="27">
        <v>2.0</v>
      </c>
      <c r="AK17" s="27" t="b">
        <v>1</v>
      </c>
      <c r="AL17" s="27">
        <v>100.0</v>
      </c>
      <c r="AM17" s="56" t="str">
        <f t="array" ref="AM17">vlookup(C17,{DraftTracker!F:F,DraftTracker!E:E},2,0)</f>
        <v>MAC</v>
      </c>
      <c r="AN17" s="56" t="str">
        <f>VLOOKUP(AM17,P5G5!A:B,2,0)</f>
        <v>Group of 5</v>
      </c>
      <c r="AO17" s="60" t="b">
        <f>IFERROR(__xludf.DUMMYFUNCTION("iferror(if(not(iserror(find(""FINAL"",G17))),max(arrayformula(value(REGEXEXTRACT(F17,""^""&amp;C17&amp;"" ([\d]+)|[^a-zA-Z] ""&amp;C17&amp;"" ([\d]+)""))))=max(value(REGEXEXTRACT(F17,"" ([\d]+)"")),value(REGEXEXTRACT(F17,""([\d]+)$""))),""""))"),TRUE)</f>
        <v>1</v>
      </c>
    </row>
    <row r="18">
      <c r="A18" s="19">
        <v>103.0</v>
      </c>
      <c r="B18" s="19" t="s">
        <v>131</v>
      </c>
      <c r="C18" s="21" t="s">
        <v>210</v>
      </c>
      <c r="D18" s="62">
        <v>1.0</v>
      </c>
      <c r="E18" s="27">
        <v>11.0</v>
      </c>
      <c r="F18" s="67" t="s">
        <v>211</v>
      </c>
      <c r="G18" s="27" t="s">
        <v>57</v>
      </c>
      <c r="H18" s="27" t="s">
        <v>148</v>
      </c>
      <c r="I18" s="33" t="s">
        <v>105</v>
      </c>
      <c r="J18" s="32"/>
      <c r="K18" s="33"/>
      <c r="L18" s="33"/>
      <c r="M18" s="35"/>
      <c r="N18" s="27"/>
      <c r="O18" s="27"/>
      <c r="P18" s="27"/>
      <c r="Q18" s="27"/>
      <c r="R18" s="27"/>
      <c r="S18" s="27"/>
      <c r="T18" s="27"/>
      <c r="U18" s="27"/>
      <c r="V18" s="27"/>
      <c r="W18" s="27"/>
      <c r="X18" s="27"/>
      <c r="Y18" s="27"/>
      <c r="Z18" s="27"/>
      <c r="AA18" s="27"/>
      <c r="AB18" s="27"/>
      <c r="AC18" s="27"/>
      <c r="AD18" s="27"/>
      <c r="AE18" s="27"/>
      <c r="AF18" s="27"/>
      <c r="AG18" s="27"/>
      <c r="AH18" s="33">
        <v>297.0</v>
      </c>
      <c r="AI18" s="27">
        <v>448.0</v>
      </c>
      <c r="AJ18" s="27">
        <v>3.0</v>
      </c>
      <c r="AK18" s="27" t="b">
        <v>0</v>
      </c>
      <c r="AL18" s="27">
        <v>100.0</v>
      </c>
      <c r="AM18" s="56" t="str">
        <f t="array" ref="AM18">vlookup(C18,{DraftTracker!F:F,DraftTracker!E:E},2,0)</f>
        <v>AAC</v>
      </c>
      <c r="AN18" s="56" t="str">
        <f>VLOOKUP(AM18,P5G5!A:B,2,0)</f>
        <v>Group of 5</v>
      </c>
      <c r="AO18" s="60" t="str">
        <f>IFERROR(__xludf.DUMMYFUNCTION("iferror(if(not(iserror(find(""FINAL"",G18))),max(arrayformula(value(REGEXEXTRACT(F18,""^""&amp;C18&amp;"" ([\d]+)|[^a-zA-Z] ""&amp;C18&amp;"" ([\d]+)""))))=max(value(REGEXEXTRACT(F18,"" ([\d]+)"")),value(REGEXEXTRACT(F18,""([\d]+)$""))),""""))"),"")</f>
        <v/>
      </c>
    </row>
    <row r="19">
      <c r="A19" s="19">
        <v>103.0</v>
      </c>
      <c r="B19" s="19" t="s">
        <v>131</v>
      </c>
      <c r="C19" s="21" t="s">
        <v>214</v>
      </c>
      <c r="D19" s="62">
        <v>10.0</v>
      </c>
      <c r="E19" s="27">
        <v>2.0</v>
      </c>
      <c r="F19" s="67" t="s">
        <v>215</v>
      </c>
      <c r="G19" s="27" t="s">
        <v>57</v>
      </c>
      <c r="H19" s="27" t="s">
        <v>138</v>
      </c>
      <c r="I19" s="33" t="s">
        <v>111</v>
      </c>
      <c r="J19" s="32"/>
      <c r="K19" s="33"/>
      <c r="L19" s="33"/>
      <c r="M19" s="35"/>
      <c r="N19" s="27"/>
      <c r="O19" s="27"/>
      <c r="P19" s="27"/>
      <c r="Q19" s="27"/>
      <c r="R19" s="27"/>
      <c r="S19" s="27"/>
      <c r="T19" s="27"/>
      <c r="U19" s="27"/>
      <c r="V19" s="27"/>
      <c r="W19" s="27"/>
      <c r="X19" s="27"/>
      <c r="Y19" s="27"/>
      <c r="Z19" s="27"/>
      <c r="AA19" s="27"/>
      <c r="AB19" s="27"/>
      <c r="AC19" s="27"/>
      <c r="AD19" s="27"/>
      <c r="AE19" s="27"/>
      <c r="AF19" s="27"/>
      <c r="AG19" s="27"/>
      <c r="AH19" s="33">
        <v>512.0</v>
      </c>
      <c r="AI19" s="27">
        <v>282.0</v>
      </c>
      <c r="AJ19" s="27">
        <v>3.0</v>
      </c>
      <c r="AK19" s="27" t="b">
        <v>0</v>
      </c>
      <c r="AL19" s="27">
        <v>100.0</v>
      </c>
      <c r="AM19" s="56" t="str">
        <f t="array" ref="AM19">vlookup(C19,{DraftTracker!F:F,DraftTracker!E:E},2,0)</f>
        <v>SEC</v>
      </c>
      <c r="AN19" s="56" t="str">
        <f>VLOOKUP(AM19,P5G5!A:B,2,0)</f>
        <v>Power 5</v>
      </c>
      <c r="AO19" s="60" t="b">
        <f>IFERROR(__xludf.DUMMYFUNCTION("iferror(if(not(iserror(find(""FINAL"",G19))),max(arrayformula(value(REGEXEXTRACT(F19,""^""&amp;C19&amp;"" ([\d]+)|[^a-zA-Z] ""&amp;C19&amp;"" ([\d]+)""))))=max(value(REGEXEXTRACT(F19,"" ([\d]+)"")),value(REGEXEXTRACT(F19,""([\d]+)$""))),""""))"),TRUE)</f>
        <v>1</v>
      </c>
    </row>
    <row r="20">
      <c r="A20" s="19">
        <v>103.0</v>
      </c>
      <c r="B20" s="19" t="s">
        <v>131</v>
      </c>
      <c r="C20" s="21" t="s">
        <v>217</v>
      </c>
      <c r="D20" s="62">
        <v>6.0</v>
      </c>
      <c r="E20" s="27">
        <v>6.0</v>
      </c>
      <c r="F20" s="67" t="s">
        <v>218</v>
      </c>
      <c r="G20" s="27" t="s">
        <v>57</v>
      </c>
      <c r="H20" s="27" t="s">
        <v>59</v>
      </c>
      <c r="I20" s="33" t="s">
        <v>74</v>
      </c>
      <c r="J20" s="32"/>
      <c r="K20" s="33"/>
      <c r="L20" s="33"/>
      <c r="M20" s="35"/>
      <c r="N20" s="27"/>
      <c r="O20" s="27"/>
      <c r="P20" s="27"/>
      <c r="Q20" s="27"/>
      <c r="R20" s="27"/>
      <c r="S20" s="27"/>
      <c r="T20" s="27"/>
      <c r="U20" s="27"/>
      <c r="V20" s="27"/>
      <c r="W20" s="27"/>
      <c r="X20" s="27"/>
      <c r="Y20" s="27"/>
      <c r="Z20" s="27"/>
      <c r="AA20" s="27"/>
      <c r="AB20" s="27"/>
      <c r="AC20" s="27"/>
      <c r="AD20" s="27"/>
      <c r="AE20" s="27"/>
      <c r="AF20" s="27"/>
      <c r="AG20" s="27"/>
      <c r="AH20" s="33">
        <v>383.0</v>
      </c>
      <c r="AI20" s="27">
        <v>359.0</v>
      </c>
      <c r="AJ20" s="27">
        <v>3.0</v>
      </c>
      <c r="AK20" s="27" t="b">
        <v>0</v>
      </c>
      <c r="AL20" s="27">
        <v>100.0</v>
      </c>
      <c r="AM20" s="56" t="str">
        <f t="array" ref="AM20">vlookup(C20,{DraftTracker!F:F,DraftTracker!E:E},2,0)</f>
        <v>Big 12</v>
      </c>
      <c r="AN20" s="56" t="str">
        <f>VLOOKUP(AM20,P5G5!A:B,2,0)</f>
        <v>Power 5</v>
      </c>
      <c r="AO20" s="60" t="b">
        <f>IFERROR(__xludf.DUMMYFUNCTION("iferror(if(not(iserror(find(""FINAL"",G20))),max(arrayformula(value(REGEXEXTRACT(F20,""^""&amp;C20&amp;"" ([\d]+)|[^a-zA-Z] ""&amp;C20&amp;"" ([\d]+)""))))=max(value(REGEXEXTRACT(F20,"" ([\d]+)"")),value(REGEXEXTRACT(F20,""([\d]+)$""))),""""))"),FALSE)</f>
        <v>0</v>
      </c>
    </row>
    <row r="21">
      <c r="A21" s="19">
        <v>103.0</v>
      </c>
      <c r="B21" s="19" t="s">
        <v>131</v>
      </c>
      <c r="C21" s="21" t="s">
        <v>219</v>
      </c>
      <c r="D21" s="62">
        <v>7.0</v>
      </c>
      <c r="E21" s="27">
        <v>5.0</v>
      </c>
      <c r="F21" s="67" t="s">
        <v>220</v>
      </c>
      <c r="G21" s="27" t="s">
        <v>57</v>
      </c>
      <c r="H21" s="27" t="s">
        <v>103</v>
      </c>
      <c r="I21" s="33" t="s">
        <v>126</v>
      </c>
      <c r="J21" s="32"/>
      <c r="K21" s="33"/>
      <c r="L21" s="33"/>
      <c r="M21" s="35"/>
      <c r="N21" s="27"/>
      <c r="O21" s="27"/>
      <c r="P21" s="27"/>
      <c r="Q21" s="27"/>
      <c r="R21" s="27"/>
      <c r="S21" s="27"/>
      <c r="T21" s="27"/>
      <c r="U21" s="27"/>
      <c r="V21" s="27"/>
      <c r="W21" s="27"/>
      <c r="X21" s="27"/>
      <c r="Y21" s="27"/>
      <c r="Z21" s="27"/>
      <c r="AA21" s="27"/>
      <c r="AB21" s="27"/>
      <c r="AC21" s="27"/>
      <c r="AD21" s="27"/>
      <c r="AE21" s="27"/>
      <c r="AF21" s="27"/>
      <c r="AG21" s="27"/>
      <c r="AH21" s="33">
        <v>253.0</v>
      </c>
      <c r="AI21" s="27">
        <v>229.0</v>
      </c>
      <c r="AJ21" s="27">
        <v>3.0</v>
      </c>
      <c r="AK21" s="27" t="b">
        <v>1</v>
      </c>
      <c r="AL21" s="27">
        <v>100.0</v>
      </c>
      <c r="AM21" s="56" t="str">
        <f t="array" ref="AM21">vlookup(C21,{DraftTracker!F:F,DraftTracker!E:E},2,0)</f>
        <v>MWC</v>
      </c>
      <c r="AN21" s="56" t="str">
        <f>VLOOKUP(AM21,P5G5!A:B,2,0)</f>
        <v>Group of 5</v>
      </c>
      <c r="AO21" s="60" t="str">
        <f>IFERROR(__xludf.DUMMYFUNCTION("iferror(if(not(iserror(find(""FINAL"",G21))),max(arrayformula(value(REGEXEXTRACT(F21,""^""&amp;C21&amp;"" ([\d]+)|[^a-zA-Z] ""&amp;C21&amp;"" ([\d]+)""))))=max(value(REGEXEXTRACT(F21,"" ([\d]+)"")),value(REGEXEXTRACT(F21,""([\d]+)$""))),""""))"),"")</f>
        <v/>
      </c>
    </row>
    <row r="22">
      <c r="A22" s="19">
        <v>103.0</v>
      </c>
      <c r="B22" s="19" t="s">
        <v>131</v>
      </c>
      <c r="C22" s="21" t="s">
        <v>222</v>
      </c>
      <c r="D22" s="62">
        <v>7.0</v>
      </c>
      <c r="E22" s="27">
        <v>5.0</v>
      </c>
      <c r="F22" s="67" t="s">
        <v>223</v>
      </c>
      <c r="G22" s="27" t="s">
        <v>57</v>
      </c>
      <c r="H22" s="27" t="s">
        <v>148</v>
      </c>
      <c r="I22" s="33" t="s">
        <v>82</v>
      </c>
      <c r="J22" s="32"/>
      <c r="K22" s="33"/>
      <c r="L22" s="33"/>
      <c r="M22" s="35"/>
      <c r="N22" s="27"/>
      <c r="O22" s="27"/>
      <c r="P22" s="27"/>
      <c r="Q22" s="27"/>
      <c r="R22" s="27"/>
      <c r="S22" s="27"/>
      <c r="T22" s="27"/>
      <c r="U22" s="27"/>
      <c r="V22" s="27"/>
      <c r="W22" s="27"/>
      <c r="X22" s="27"/>
      <c r="Y22" s="27"/>
      <c r="Z22" s="27"/>
      <c r="AA22" s="27"/>
      <c r="AB22" s="27"/>
      <c r="AC22" s="27"/>
      <c r="AD22" s="27"/>
      <c r="AE22" s="27"/>
      <c r="AF22" s="27"/>
      <c r="AG22" s="27"/>
      <c r="AH22" s="33">
        <v>300.0</v>
      </c>
      <c r="AI22" s="27">
        <v>218.0</v>
      </c>
      <c r="AJ22" s="27">
        <v>3.0</v>
      </c>
      <c r="AK22" s="27" t="b">
        <v>0</v>
      </c>
      <c r="AL22" s="27">
        <v>100.0</v>
      </c>
      <c r="AM22" s="56" t="str">
        <f t="array" ref="AM22">vlookup(C22,{DraftTracker!F:F,DraftTracker!E:E},2,0)</f>
        <v>Pac12</v>
      </c>
      <c r="AN22" s="56" t="str">
        <f>VLOOKUP(AM22,P5G5!A:B,2,0)</f>
        <v>Power 5</v>
      </c>
      <c r="AO22" s="60" t="str">
        <f>IFERROR(__xludf.DUMMYFUNCTION("iferror(if(not(iserror(find(""FINAL"",G22))),max(arrayformula(value(REGEXEXTRACT(F22,""^""&amp;C22&amp;"" ([\d]+)|[^a-zA-Z] ""&amp;C22&amp;"" ([\d]+)""))))=max(value(REGEXEXTRACT(F22,"" ([\d]+)"")),value(REGEXEXTRACT(F22,""([\d]+)$""))),""""))"),"")</f>
        <v/>
      </c>
    </row>
    <row r="23">
      <c r="A23" s="1">
        <v>104.0</v>
      </c>
      <c r="B23" s="1"/>
      <c r="C23" s="2"/>
      <c r="D23" s="2"/>
      <c r="E23" s="2"/>
      <c r="F23" s="4"/>
      <c r="G23" s="2"/>
      <c r="H23" s="2"/>
      <c r="I23" s="2"/>
      <c r="J23" s="4"/>
      <c r="K23" s="2"/>
      <c r="L23" s="2"/>
      <c r="M23" s="89"/>
      <c r="N23" s="2"/>
      <c r="O23" s="90"/>
      <c r="P23" s="2"/>
      <c r="Q23" s="90"/>
      <c r="R23" s="2"/>
      <c r="S23" s="90"/>
      <c r="T23" s="2"/>
      <c r="U23" s="90"/>
      <c r="V23" s="2"/>
      <c r="W23" s="90"/>
      <c r="X23" s="2"/>
      <c r="Y23" s="90"/>
      <c r="Z23" s="2"/>
      <c r="AA23" s="90"/>
      <c r="AB23" s="2"/>
      <c r="AC23" s="90"/>
      <c r="AD23" s="2"/>
      <c r="AE23" s="90"/>
      <c r="AF23" s="2"/>
      <c r="AG23" s="2"/>
      <c r="AH23" s="2"/>
      <c r="AI23" s="2"/>
      <c r="AJ23" s="2"/>
      <c r="AK23" s="2"/>
      <c r="AL23" s="2"/>
      <c r="AM23" s="91" t="str">
        <f t="array" ref="AM23">vlookup(C23,{DraftTracker!F:F,DraftTracker!E:E},2,0)</f>
        <v>#N/A</v>
      </c>
      <c r="AN23" s="91" t="str">
        <f>VLOOKUP(AM23,P5G5!A:B,2,0)</f>
        <v>#N/A</v>
      </c>
      <c r="AO23" s="56" t="str">
        <f>IFERROR(__xludf.DUMMYFUNCTION("iferror(if(not(iserror(find(""FINAL"",G23))),max(arrayformula(value(REGEXEXTRACT(F23,""^""&amp;C23&amp;"" ([\d]+)|[^a-zA-Z] ""&amp;C23&amp;"" ([\d]+)""))))=max(value(REGEXEXTRACT(F23,"" ([\d]+)"")),value(REGEXEXTRACT(F23,""([\d]+)$""))),""""))"),"")</f>
        <v/>
      </c>
    </row>
    <row r="24">
      <c r="A24" s="19">
        <v>105.0</v>
      </c>
      <c r="B24" s="20" t="s">
        <v>178</v>
      </c>
      <c r="C24" s="21" t="s">
        <v>240</v>
      </c>
      <c r="D24" s="22">
        <v>8.0</v>
      </c>
      <c r="E24" s="23">
        <v>4.0</v>
      </c>
      <c r="F24" s="25" t="s">
        <v>198</v>
      </c>
      <c r="G24" s="27" t="s">
        <v>57</v>
      </c>
      <c r="H24" s="28" t="s">
        <v>131</v>
      </c>
      <c r="I24" s="30" t="s">
        <v>82</v>
      </c>
      <c r="J24" s="32"/>
      <c r="K24" s="33"/>
      <c r="L24" s="33"/>
      <c r="M24" s="35"/>
      <c r="N24" s="27"/>
      <c r="O24" s="27"/>
      <c r="P24" s="27"/>
      <c r="Q24" s="27"/>
      <c r="R24" s="27"/>
      <c r="S24" s="27"/>
      <c r="T24" s="27"/>
      <c r="U24" s="27"/>
      <c r="V24" s="27"/>
      <c r="W24" s="27"/>
      <c r="X24" s="27"/>
      <c r="Y24" s="27"/>
      <c r="Z24" s="27"/>
      <c r="AA24" s="27"/>
      <c r="AB24" s="27"/>
      <c r="AC24" s="27"/>
      <c r="AD24" s="27"/>
      <c r="AE24" s="27"/>
      <c r="AF24" s="27"/>
      <c r="AG24" s="27"/>
      <c r="AH24" s="30">
        <v>316.0</v>
      </c>
      <c r="AI24" s="23">
        <v>144.0</v>
      </c>
      <c r="AJ24" s="27">
        <v>0.0</v>
      </c>
      <c r="AK24" s="27" t="b">
        <v>1</v>
      </c>
      <c r="AL24" s="27">
        <v>0.29999999999999716</v>
      </c>
      <c r="AM24" s="56" t="str">
        <f t="array" ref="AM24">vlookup(C24,{DraftTracker!F:F,DraftTracker!E:E},2,0)</f>
        <v>Big Ten</v>
      </c>
      <c r="AN24" s="56" t="str">
        <f>VLOOKUP(AM24,P5G5!A:B,2,0)</f>
        <v>Power 5</v>
      </c>
      <c r="AO24" s="56" t="b">
        <f>IFERROR(__xludf.DUMMYFUNCTION("iferror(if(not(iserror(find(""FINAL"",G24))),max(arrayformula(value(REGEXEXTRACT(F24,""^""&amp;C24&amp;"" ([\d]+)|[^a-zA-Z] ""&amp;C24&amp;"" ([\d]+)""))))=max(value(REGEXEXTRACT(F24,"" ([\d]+)"")),value(REGEXEXTRACT(F24,""([\d]+)$""))),""""))"),TRUE)</f>
        <v>1</v>
      </c>
    </row>
    <row r="25">
      <c r="A25" s="19">
        <v>105.0</v>
      </c>
      <c r="B25" s="19" t="s">
        <v>178</v>
      </c>
      <c r="C25" s="21" t="s">
        <v>257</v>
      </c>
      <c r="D25" s="62">
        <v>6.0</v>
      </c>
      <c r="E25" s="27">
        <v>6.0</v>
      </c>
      <c r="F25" s="63" t="s">
        <v>258</v>
      </c>
      <c r="G25" s="27" t="s">
        <v>57</v>
      </c>
      <c r="H25" s="64" t="s">
        <v>59</v>
      </c>
      <c r="I25" s="33" t="s">
        <v>133</v>
      </c>
      <c r="J25" s="32"/>
      <c r="K25" s="33"/>
      <c r="L25" s="33"/>
      <c r="M25" s="35"/>
      <c r="N25" s="27"/>
      <c r="O25" s="27"/>
      <c r="P25" s="27"/>
      <c r="Q25" s="27"/>
      <c r="R25" s="27"/>
      <c r="S25" s="27"/>
      <c r="T25" s="27"/>
      <c r="U25" s="27"/>
      <c r="V25" s="27"/>
      <c r="W25" s="27"/>
      <c r="X25" s="27"/>
      <c r="Y25" s="27"/>
      <c r="Z25" s="27"/>
      <c r="AA25" s="27"/>
      <c r="AB25" s="27"/>
      <c r="AC25" s="27"/>
      <c r="AD25" s="27"/>
      <c r="AE25" s="27"/>
      <c r="AF25" s="27"/>
      <c r="AG25" s="27"/>
      <c r="AH25" s="33">
        <v>353.0</v>
      </c>
      <c r="AI25" s="27">
        <v>340.0</v>
      </c>
      <c r="AJ25" s="27">
        <v>0.0</v>
      </c>
      <c r="AK25" s="27" t="b">
        <v>1</v>
      </c>
      <c r="AL25" s="27">
        <v>39.6</v>
      </c>
      <c r="AM25" s="56" t="str">
        <f t="array" ref="AM25">vlookup(C25,{DraftTracker!F:F,DraftTracker!E:E},2,0)</f>
        <v>Sun Belt</v>
      </c>
      <c r="AN25" s="56" t="str">
        <f>VLOOKUP(AM25,P5G5!A:B,2,0)</f>
        <v>Group of 5</v>
      </c>
      <c r="AO25" s="60" t="b">
        <f>IFERROR(__xludf.DUMMYFUNCTION("iferror(if(not(iserror(find(""FINAL"",G25))),max(arrayformula(value(REGEXEXTRACT(F25,""^""&amp;C25&amp;"" ([\d]+)|[^a-zA-Z] ""&amp;C25&amp;"" ([\d]+)""))))=max(value(REGEXEXTRACT(F25,"" ([\d]+)"")),value(REGEXEXTRACT(F25,""([\d]+)$""))),""""))"),TRUE)</f>
        <v>1</v>
      </c>
    </row>
    <row r="26">
      <c r="A26" s="19">
        <v>105.0</v>
      </c>
      <c r="B26" s="19" t="s">
        <v>178</v>
      </c>
      <c r="C26" s="21" t="s">
        <v>259</v>
      </c>
      <c r="D26" s="62">
        <v>7.0</v>
      </c>
      <c r="E26" s="27">
        <v>5.0</v>
      </c>
      <c r="F26" s="67" t="s">
        <v>260</v>
      </c>
      <c r="G26" s="64" t="s">
        <v>57</v>
      </c>
      <c r="H26" s="64"/>
      <c r="I26" s="33"/>
      <c r="J26" s="32"/>
      <c r="K26" s="33"/>
      <c r="L26" s="33"/>
      <c r="M26" s="35"/>
      <c r="N26" s="27"/>
      <c r="O26" s="27"/>
      <c r="P26" s="27"/>
      <c r="Q26" s="27"/>
      <c r="R26" s="27"/>
      <c r="S26" s="27"/>
      <c r="T26" s="27"/>
      <c r="U26" s="27"/>
      <c r="V26" s="27"/>
      <c r="W26" s="27"/>
      <c r="X26" s="27"/>
      <c r="Y26" s="27"/>
      <c r="Z26" s="27"/>
      <c r="AA26" s="27"/>
      <c r="AB26" s="27"/>
      <c r="AC26" s="27"/>
      <c r="AD26" s="27"/>
      <c r="AE26" s="27"/>
      <c r="AF26" s="27"/>
      <c r="AG26" s="27"/>
      <c r="AH26" s="33">
        <v>442.0</v>
      </c>
      <c r="AI26" s="27">
        <v>351.0</v>
      </c>
      <c r="AJ26" s="27">
        <v>2.0</v>
      </c>
      <c r="AK26" s="27" t="b">
        <v>1</v>
      </c>
      <c r="AL26" s="27">
        <v>100.0</v>
      </c>
      <c r="AM26" s="56" t="str">
        <f t="array" ref="AM26">vlookup(C26,{DraftTracker!F:F,DraftTracker!E:E},2,0)</f>
        <v>ACC</v>
      </c>
      <c r="AN26" s="56" t="str">
        <f>VLOOKUP(AM26,P5G5!A:B,2,0)</f>
        <v>Power 5</v>
      </c>
      <c r="AO26" s="60" t="b">
        <f>IFERROR(__xludf.DUMMYFUNCTION("iferror(if(not(iserror(find(""FINAL"",G26))),max(arrayformula(value(REGEXEXTRACT(F26,""^""&amp;C26&amp;"" ([\d]+)|[^a-zA-Z] ""&amp;C26&amp;"" ([\d]+)""))))=max(value(REGEXEXTRACT(F26,"" ([\d]+)"")),value(REGEXEXTRACT(F26,""([\d]+)$""))),""""))"),FALSE)</f>
        <v>0</v>
      </c>
    </row>
    <row r="27">
      <c r="A27" s="19">
        <v>105.0</v>
      </c>
      <c r="B27" s="19" t="s">
        <v>178</v>
      </c>
      <c r="C27" s="21" t="s">
        <v>261</v>
      </c>
      <c r="D27" s="62">
        <v>9.0</v>
      </c>
      <c r="E27" s="27">
        <v>3.0</v>
      </c>
      <c r="F27" s="67" t="s">
        <v>262</v>
      </c>
      <c r="G27" s="27" t="s">
        <v>57</v>
      </c>
      <c r="H27" s="27" t="s">
        <v>166</v>
      </c>
      <c r="I27" s="33"/>
      <c r="J27" s="32"/>
      <c r="K27" s="33"/>
      <c r="L27" s="33"/>
      <c r="M27" s="35"/>
      <c r="N27" s="27"/>
      <c r="O27" s="27"/>
      <c r="P27" s="27"/>
      <c r="Q27" s="27"/>
      <c r="R27" s="27"/>
      <c r="S27" s="27"/>
      <c r="T27" s="27"/>
      <c r="U27" s="27"/>
      <c r="V27" s="27"/>
      <c r="W27" s="27"/>
      <c r="X27" s="27"/>
      <c r="Y27" s="27"/>
      <c r="Z27" s="27"/>
      <c r="AA27" s="27"/>
      <c r="AB27" s="27"/>
      <c r="AC27" s="27"/>
      <c r="AD27" s="27"/>
      <c r="AE27" s="27"/>
      <c r="AF27" s="27"/>
      <c r="AG27" s="27"/>
      <c r="AH27" s="33">
        <v>475.0</v>
      </c>
      <c r="AI27" s="27">
        <v>340.0</v>
      </c>
      <c r="AJ27" s="27">
        <v>2.0</v>
      </c>
      <c r="AK27" s="27" t="b">
        <v>1</v>
      </c>
      <c r="AL27" s="27">
        <v>100.0</v>
      </c>
      <c r="AM27" s="56" t="str">
        <f t="array" ref="AM27">vlookup(C27,{DraftTracker!F:F,DraftTracker!E:E},2,0)</f>
        <v>Pac12</v>
      </c>
      <c r="AN27" s="56" t="str">
        <f>VLOOKUP(AM27,P5G5!A:B,2,0)</f>
        <v>Power 5</v>
      </c>
      <c r="AO27" s="60" t="b">
        <f>IFERROR(__xludf.DUMMYFUNCTION("iferror(if(not(iserror(find(""FINAL"",G27))),max(arrayformula(value(REGEXEXTRACT(F27,""^""&amp;C27&amp;"" ([\d]+)|[^a-zA-Z] ""&amp;C27&amp;"" ([\d]+)""))))=max(value(REGEXEXTRACT(F27,"" ([\d]+)"")),value(REGEXEXTRACT(F27,""([\d]+)$""))),""""))"),TRUE)</f>
        <v>1</v>
      </c>
    </row>
    <row r="28">
      <c r="A28" s="19">
        <v>105.0</v>
      </c>
      <c r="B28" s="19" t="s">
        <v>178</v>
      </c>
      <c r="C28" s="21" t="s">
        <v>263</v>
      </c>
      <c r="D28" s="62">
        <v>2.0</v>
      </c>
      <c r="E28" s="27">
        <v>10.0</v>
      </c>
      <c r="F28" s="67" t="s">
        <v>264</v>
      </c>
      <c r="G28" s="27" t="s">
        <v>57</v>
      </c>
      <c r="H28" s="27" t="s">
        <v>116</v>
      </c>
      <c r="I28" s="33"/>
      <c r="J28" s="32"/>
      <c r="K28" s="33"/>
      <c r="L28" s="33"/>
      <c r="M28" s="35"/>
      <c r="N28" s="27"/>
      <c r="O28" s="27"/>
      <c r="P28" s="27"/>
      <c r="Q28" s="27"/>
      <c r="R28" s="27"/>
      <c r="S28" s="27"/>
      <c r="T28" s="27"/>
      <c r="U28" s="27"/>
      <c r="V28" s="27"/>
      <c r="W28" s="27"/>
      <c r="X28" s="27"/>
      <c r="Y28" s="27"/>
      <c r="Z28" s="27"/>
      <c r="AA28" s="27"/>
      <c r="AB28" s="27"/>
      <c r="AC28" s="27"/>
      <c r="AD28" s="27"/>
      <c r="AE28" s="27"/>
      <c r="AF28" s="27"/>
      <c r="AG28" s="27"/>
      <c r="AH28" s="33">
        <v>157.0</v>
      </c>
      <c r="AI28" s="27">
        <v>312.0</v>
      </c>
      <c r="AJ28" s="27">
        <v>2.0</v>
      </c>
      <c r="AK28" s="27" t="b">
        <v>0</v>
      </c>
      <c r="AL28" s="27">
        <v>100.0</v>
      </c>
      <c r="AM28" s="56" t="str">
        <f t="array" ref="AM28">vlookup(C28,{DraftTracker!F:F,DraftTracker!E:E},2,0)</f>
        <v>MWC</v>
      </c>
      <c r="AN28" s="56" t="str">
        <f>VLOOKUP(AM28,P5G5!A:B,2,0)</f>
        <v>Group of 5</v>
      </c>
      <c r="AO28" s="60" t="b">
        <f>IFERROR(__xludf.DUMMYFUNCTION("iferror(if(not(iserror(find(""FINAL"",G28))),max(arrayformula(value(REGEXEXTRACT(F28,""^""&amp;C28&amp;"" ([\d]+)|[^a-zA-Z] ""&amp;C28&amp;"" ([\d]+)""))))=max(value(REGEXEXTRACT(F28,"" ([\d]+)"")),value(REGEXEXTRACT(F28,""([\d]+)$""))),""""))"),FALSE)</f>
        <v>0</v>
      </c>
    </row>
    <row r="29">
      <c r="A29" s="19">
        <v>105.0</v>
      </c>
      <c r="B29" s="19" t="s">
        <v>178</v>
      </c>
      <c r="C29" s="21" t="s">
        <v>265</v>
      </c>
      <c r="D29" s="62">
        <v>7.0</v>
      </c>
      <c r="E29" s="27">
        <v>5.0</v>
      </c>
      <c r="F29" s="67" t="s">
        <v>266</v>
      </c>
      <c r="G29" s="27" t="s">
        <v>57</v>
      </c>
      <c r="H29" s="27" t="s">
        <v>154</v>
      </c>
      <c r="I29" s="33"/>
      <c r="J29" s="32"/>
      <c r="K29" s="33"/>
      <c r="L29" s="33"/>
      <c r="M29" s="35"/>
      <c r="N29" s="27"/>
      <c r="O29" s="27"/>
      <c r="P29" s="27"/>
      <c r="Q29" s="27"/>
      <c r="R29" s="27"/>
      <c r="S29" s="27"/>
      <c r="T29" s="27"/>
      <c r="U29" s="27"/>
      <c r="V29" s="27"/>
      <c r="W29" s="27"/>
      <c r="X29" s="27"/>
      <c r="Y29" s="27"/>
      <c r="Z29" s="27"/>
      <c r="AA29" s="27"/>
      <c r="AB29" s="27"/>
      <c r="AC29" s="27"/>
      <c r="AD29" s="27"/>
      <c r="AE29" s="27"/>
      <c r="AF29" s="27"/>
      <c r="AG29" s="27"/>
      <c r="AH29" s="33">
        <v>400.0</v>
      </c>
      <c r="AI29" s="27">
        <v>325.0</v>
      </c>
      <c r="AJ29" s="27">
        <v>2.0</v>
      </c>
      <c r="AK29" s="27" t="b">
        <v>1</v>
      </c>
      <c r="AL29" s="27">
        <v>100.0</v>
      </c>
      <c r="AM29" s="56" t="str">
        <f t="array" ref="AM29">vlookup(C29,{DraftTracker!F:F,DraftTracker!E:E},2,0)</f>
        <v>MAC</v>
      </c>
      <c r="AN29" s="56" t="str">
        <f>VLOOKUP(AM29,P5G5!A:B,2,0)</f>
        <v>Group of 5</v>
      </c>
      <c r="AO29" s="60" t="b">
        <f>IFERROR(__xludf.DUMMYFUNCTION("iferror(if(not(iserror(find(""FINAL"",G29))),max(arrayformula(value(REGEXEXTRACT(F29,""^""&amp;C29&amp;"" ([\d]+)|[^a-zA-Z] ""&amp;C29&amp;"" ([\d]+)""))))=max(value(REGEXEXTRACT(F29,"" ([\d]+)"")),value(REGEXEXTRACT(F29,""([\d]+)$""))),""""))"),FALSE)</f>
        <v>0</v>
      </c>
    </row>
    <row r="30">
      <c r="A30" s="19">
        <v>105.0</v>
      </c>
      <c r="B30" s="19" t="s">
        <v>178</v>
      </c>
      <c r="C30" s="21" t="s">
        <v>267</v>
      </c>
      <c r="D30" s="62">
        <v>10.0</v>
      </c>
      <c r="E30" s="27">
        <v>2.0</v>
      </c>
      <c r="F30" s="67" t="s">
        <v>268</v>
      </c>
      <c r="G30" s="27" t="s">
        <v>57</v>
      </c>
      <c r="H30" s="27" t="s">
        <v>138</v>
      </c>
      <c r="I30" s="33"/>
      <c r="J30" s="32"/>
      <c r="K30" s="33"/>
      <c r="L30" s="33"/>
      <c r="M30" s="35"/>
      <c r="N30" s="27"/>
      <c r="O30" s="27"/>
      <c r="P30" s="27"/>
      <c r="Q30" s="27"/>
      <c r="R30" s="27"/>
      <c r="S30" s="27"/>
      <c r="T30" s="27"/>
      <c r="U30" s="27"/>
      <c r="V30" s="27"/>
      <c r="W30" s="27"/>
      <c r="X30" s="27"/>
      <c r="Y30" s="27"/>
      <c r="Z30" s="27"/>
      <c r="AA30" s="27"/>
      <c r="AB30" s="27"/>
      <c r="AC30" s="27"/>
      <c r="AD30" s="27"/>
      <c r="AE30" s="27"/>
      <c r="AF30" s="27"/>
      <c r="AG30" s="27"/>
      <c r="AH30" s="33">
        <v>413.0</v>
      </c>
      <c r="AI30" s="27">
        <v>238.0</v>
      </c>
      <c r="AJ30" s="27">
        <v>2.0</v>
      </c>
      <c r="AK30" s="27" t="b">
        <v>0</v>
      </c>
      <c r="AL30" s="27">
        <v>100.0</v>
      </c>
      <c r="AM30" s="56" t="str">
        <f t="array" ref="AM30">vlookup(C30,{DraftTracker!F:F,DraftTracker!E:E},2,0)</f>
        <v>AAC</v>
      </c>
      <c r="AN30" s="56" t="str">
        <f>VLOOKUP(AM30,P5G5!A:B,2,0)</f>
        <v>Group of 5</v>
      </c>
      <c r="AO30" s="60" t="b">
        <f>IFERROR(__xludf.DUMMYFUNCTION("iferror(if(not(iserror(find(""FINAL"",G30))),max(arrayformula(value(REGEXEXTRACT(F30,""^""&amp;C30&amp;"" ([\d]+)|[^a-zA-Z] ""&amp;C30&amp;"" ([\d]+)""))))=max(value(REGEXEXTRACT(F30,"" ([\d]+)"")),value(REGEXEXTRACT(F30,""([\d]+)$""))),""""))"),TRUE)</f>
        <v>1</v>
      </c>
    </row>
    <row r="31">
      <c r="A31" s="19">
        <v>105.0</v>
      </c>
      <c r="B31" s="19" t="s">
        <v>178</v>
      </c>
      <c r="C31" s="21" t="s">
        <v>269</v>
      </c>
      <c r="D31" s="62">
        <v>8.0</v>
      </c>
      <c r="E31" s="27">
        <v>4.0</v>
      </c>
      <c r="F31" s="67" t="s">
        <v>270</v>
      </c>
      <c r="G31" s="27" t="s">
        <v>57</v>
      </c>
      <c r="H31" s="27" t="s">
        <v>103</v>
      </c>
      <c r="I31" s="33"/>
      <c r="J31" s="32"/>
      <c r="K31" s="33"/>
      <c r="L31" s="33"/>
      <c r="M31" s="35"/>
      <c r="N31" s="27"/>
      <c r="O31" s="27"/>
      <c r="P31" s="27"/>
      <c r="Q31" s="27"/>
      <c r="R31" s="27"/>
      <c r="S31" s="27"/>
      <c r="T31" s="27"/>
      <c r="U31" s="27"/>
      <c r="V31" s="27"/>
      <c r="W31" s="27"/>
      <c r="X31" s="27"/>
      <c r="Y31" s="27"/>
      <c r="Z31" s="27"/>
      <c r="AA31" s="27"/>
      <c r="AB31" s="27"/>
      <c r="AC31" s="27"/>
      <c r="AD31" s="27"/>
      <c r="AE31" s="27"/>
      <c r="AF31" s="27"/>
      <c r="AG31" s="27"/>
      <c r="AH31" s="33">
        <v>392.0</v>
      </c>
      <c r="AI31" s="27">
        <v>290.0</v>
      </c>
      <c r="AJ31" s="27">
        <v>2.0</v>
      </c>
      <c r="AK31" s="27" t="b">
        <v>1</v>
      </c>
      <c r="AL31" s="27">
        <v>100.0</v>
      </c>
      <c r="AM31" s="56" t="str">
        <f t="array" ref="AM31">vlookup(C31,{DraftTracker!F:F,DraftTracker!E:E},2,0)</f>
        <v>SEC</v>
      </c>
      <c r="AN31" s="56" t="str">
        <f>VLOOKUP(AM31,P5G5!A:B,2,0)</f>
        <v>Power 5</v>
      </c>
      <c r="AO31" s="60" t="b">
        <f>IFERROR(__xludf.DUMMYFUNCTION("iferror(if(not(iserror(find(""FINAL"",G31))),max(arrayformula(value(REGEXEXTRACT(F31,""^""&amp;C31&amp;"" ([\d]+)|[^a-zA-Z] ""&amp;C31&amp;"" ([\d]+)""))))=max(value(REGEXEXTRACT(F31,"" ([\d]+)"")),value(REGEXEXTRACT(F31,""([\d]+)$""))),""""))"),TRUE)</f>
        <v>1</v>
      </c>
    </row>
    <row r="32">
      <c r="A32" s="19">
        <v>105.0</v>
      </c>
      <c r="B32" s="19" t="s">
        <v>178</v>
      </c>
      <c r="C32" s="21" t="s">
        <v>271</v>
      </c>
      <c r="D32" s="62">
        <v>8.0</v>
      </c>
      <c r="E32" s="27">
        <v>5.0</v>
      </c>
      <c r="F32" s="67" t="s">
        <v>182</v>
      </c>
      <c r="G32" s="27" t="s">
        <v>183</v>
      </c>
      <c r="H32" s="27" t="s">
        <v>53</v>
      </c>
      <c r="I32" s="33"/>
      <c r="J32" s="32"/>
      <c r="K32" s="33"/>
      <c r="L32" s="33"/>
      <c r="M32" s="35"/>
      <c r="N32" s="27"/>
      <c r="O32" s="27"/>
      <c r="P32" s="27"/>
      <c r="Q32" s="27"/>
      <c r="R32" s="27"/>
      <c r="S32" s="27"/>
      <c r="T32" s="27"/>
      <c r="U32" s="27"/>
      <c r="V32" s="27"/>
      <c r="W32" s="27"/>
      <c r="X32" s="27"/>
      <c r="Y32" s="27"/>
      <c r="Z32" s="27"/>
      <c r="AA32" s="27"/>
      <c r="AB32" s="27"/>
      <c r="AC32" s="27"/>
      <c r="AD32" s="27"/>
      <c r="AE32" s="27"/>
      <c r="AF32" s="27"/>
      <c r="AG32" s="27"/>
      <c r="AH32" s="33">
        <v>466.0</v>
      </c>
      <c r="AI32" s="27">
        <v>305.0</v>
      </c>
      <c r="AJ32" s="27">
        <v>2.0</v>
      </c>
      <c r="AK32" s="27" t="b">
        <v>1</v>
      </c>
      <c r="AL32" s="27">
        <v>100.0</v>
      </c>
      <c r="AM32" s="56" t="str">
        <f t="array" ref="AM32">vlookup(C32,{DraftTracker!F:F,DraftTracker!E:E},2,0)</f>
        <v>CUSA</v>
      </c>
      <c r="AN32" s="56" t="str">
        <f>VLOOKUP(AM32,P5G5!A:B,2,0)</f>
        <v>Group of 5</v>
      </c>
      <c r="AO32" s="60" t="b">
        <f>IFERROR(__xludf.DUMMYFUNCTION("iferror(if(not(iserror(find(""FINAL"",G32))),max(arrayformula(value(REGEXEXTRACT(F32,""^""&amp;C32&amp;"" ([\d]+)|[^a-zA-Z] ""&amp;C32&amp;"" ([\d]+)""))))=max(value(REGEXEXTRACT(F32,"" ([\d]+)"")),value(REGEXEXTRACT(F32,""([\d]+)$""))),""""))"),TRUE)</f>
        <v>1</v>
      </c>
    </row>
    <row r="33">
      <c r="A33" s="19">
        <v>105.0</v>
      </c>
      <c r="B33" s="19" t="s">
        <v>178</v>
      </c>
      <c r="C33" s="21" t="s">
        <v>272</v>
      </c>
      <c r="D33" s="62">
        <v>7.0</v>
      </c>
      <c r="E33" s="27">
        <v>5.0</v>
      </c>
      <c r="F33" s="67" t="s">
        <v>273</v>
      </c>
      <c r="G33" s="27" t="s">
        <v>183</v>
      </c>
      <c r="H33" s="27" t="s">
        <v>53</v>
      </c>
      <c r="I33" s="33" t="s">
        <v>88</v>
      </c>
      <c r="J33" s="32"/>
      <c r="K33" s="33"/>
      <c r="L33" s="33"/>
      <c r="M33" s="35"/>
      <c r="N33" s="27"/>
      <c r="O33" s="27"/>
      <c r="P33" s="27"/>
      <c r="Q33" s="27"/>
      <c r="R33" s="27"/>
      <c r="S33" s="27"/>
      <c r="T33" s="27"/>
      <c r="U33" s="27"/>
      <c r="V33" s="27"/>
      <c r="W33" s="27"/>
      <c r="X33" s="27"/>
      <c r="Y33" s="27"/>
      <c r="Z33" s="27"/>
      <c r="AA33" s="27"/>
      <c r="AB33" s="27"/>
      <c r="AC33" s="27"/>
      <c r="AD33" s="27"/>
      <c r="AE33" s="27"/>
      <c r="AF33" s="27"/>
      <c r="AG33" s="27"/>
      <c r="AH33" s="33">
        <v>352.0</v>
      </c>
      <c r="AI33" s="27">
        <v>306.0</v>
      </c>
      <c r="AJ33" s="27">
        <v>3.0</v>
      </c>
      <c r="AK33" s="27" t="b">
        <v>1</v>
      </c>
      <c r="AL33" s="27">
        <v>100.0</v>
      </c>
      <c r="AM33" s="56" t="str">
        <f t="array" ref="AM33">vlookup(C33,{DraftTracker!F:F,DraftTracker!E:E},2,0)</f>
        <v>Big 12</v>
      </c>
      <c r="AN33" s="56" t="str">
        <f>VLOOKUP(AM33,P5G5!A:B,2,0)</f>
        <v>Power 5</v>
      </c>
      <c r="AO33" s="60" t="str">
        <f>IFERROR(__xludf.DUMMYFUNCTION("iferror(if(not(iserror(find(""FINAL"",G33))),max(arrayformula(value(REGEXEXTRACT(F33,""^""&amp;C33&amp;"" ([\d]+)|[^a-zA-Z] ""&amp;C33&amp;"" ([\d]+)""))))=max(value(REGEXEXTRACT(F33,"" ([\d]+)"")),value(REGEXEXTRACT(F33,""([\d]+)$""))),""""))"),"")</f>
        <v/>
      </c>
    </row>
    <row r="34">
      <c r="A34" s="1">
        <v>106.0</v>
      </c>
      <c r="B34" s="1"/>
      <c r="C34" s="2"/>
      <c r="D34" s="2"/>
      <c r="E34" s="2"/>
      <c r="F34" s="4"/>
      <c r="G34" s="2"/>
      <c r="H34" s="2"/>
      <c r="I34" s="2"/>
      <c r="J34" s="4"/>
      <c r="K34" s="2"/>
      <c r="L34" s="2"/>
      <c r="M34" s="89"/>
      <c r="N34" s="2"/>
      <c r="O34" s="2"/>
      <c r="P34" s="2"/>
      <c r="Q34" s="2"/>
      <c r="R34" s="2"/>
      <c r="S34" s="2"/>
      <c r="T34" s="2"/>
      <c r="U34" s="2"/>
      <c r="V34" s="2"/>
      <c r="W34" s="2"/>
      <c r="X34" s="2"/>
      <c r="Y34" s="2"/>
      <c r="Z34" s="2"/>
      <c r="AA34" s="2"/>
      <c r="AB34" s="2"/>
      <c r="AC34" s="2"/>
      <c r="AD34" s="2"/>
      <c r="AE34" s="2"/>
      <c r="AF34" s="2"/>
      <c r="AG34" s="2"/>
      <c r="AH34" s="2"/>
      <c r="AI34" s="2"/>
      <c r="AJ34" s="2"/>
      <c r="AK34" s="2"/>
      <c r="AL34" s="2"/>
      <c r="AM34" s="91" t="str">
        <f t="array" ref="AM34">vlookup(C34,{DraftTracker!F:F,DraftTracker!E:E},2,0)</f>
        <v>#N/A</v>
      </c>
      <c r="AN34" s="91" t="str">
        <f>VLOOKUP(AM34,P5G5!A:B,2,0)</f>
        <v>#N/A</v>
      </c>
      <c r="AO34" s="56" t="str">
        <f>IFERROR(__xludf.DUMMYFUNCTION("iferror(if(not(iserror(find(""FINAL"",G34))),max(arrayformula(value(REGEXEXTRACT(F34,""^""&amp;C34&amp;"" ([\d]+)|[^a-zA-Z] ""&amp;C34&amp;"" ([\d]+)""))))=max(value(REGEXEXTRACT(F34,"" ([\d]+)"")),value(REGEXEXTRACT(F34,""([\d]+)$""))),""""))"),"")</f>
        <v/>
      </c>
    </row>
    <row r="35">
      <c r="A35" s="19">
        <v>107.0</v>
      </c>
      <c r="B35" s="20" t="s">
        <v>59</v>
      </c>
      <c r="C35" s="21" t="s">
        <v>274</v>
      </c>
      <c r="D35" s="22">
        <v>9.0</v>
      </c>
      <c r="E35" s="23">
        <v>3.0</v>
      </c>
      <c r="F35" s="25" t="s">
        <v>56</v>
      </c>
      <c r="G35" s="27" t="s">
        <v>183</v>
      </c>
      <c r="H35" s="28" t="s">
        <v>53</v>
      </c>
      <c r="I35" s="30" t="s">
        <v>58</v>
      </c>
      <c r="J35" s="32"/>
      <c r="K35" s="33"/>
      <c r="L35" s="33"/>
      <c r="M35" s="35"/>
      <c r="N35" s="27"/>
      <c r="O35" s="27"/>
      <c r="P35" s="27"/>
      <c r="Q35" s="27"/>
      <c r="R35" s="27"/>
      <c r="S35" s="27"/>
      <c r="T35" s="27"/>
      <c r="U35" s="27"/>
      <c r="V35" s="27"/>
      <c r="W35" s="27"/>
      <c r="X35" s="27"/>
      <c r="Y35" s="27"/>
      <c r="Z35" s="27"/>
      <c r="AA35" s="27"/>
      <c r="AB35" s="27"/>
      <c r="AC35" s="27"/>
      <c r="AD35" s="27"/>
      <c r="AE35" s="27"/>
      <c r="AF35" s="27"/>
      <c r="AG35" s="27"/>
      <c r="AH35" s="30">
        <v>351.0</v>
      </c>
      <c r="AI35" s="23">
        <v>223.0</v>
      </c>
      <c r="AJ35" s="27">
        <v>0.0</v>
      </c>
      <c r="AK35" s="27" t="b">
        <v>1</v>
      </c>
      <c r="AL35" s="27">
        <v>7.18333333333333</v>
      </c>
      <c r="AM35" s="56" t="str">
        <f t="array" ref="AM35">vlookup(C35,{DraftTracker!F:F,DraftTracker!E:E},2,0)</f>
        <v>Pac12</v>
      </c>
      <c r="AN35" s="56" t="str">
        <f>VLOOKUP(AM35,P5G5!A:B,2,0)</f>
        <v>Power 5</v>
      </c>
      <c r="AO35" s="60" t="b">
        <f>IFERROR(__xludf.DUMMYFUNCTION("iferror(if(not(iserror(find(""FINAL"",G35))),max(arrayformula(value(REGEXEXTRACT(F35,""^""&amp;C35&amp;"" ([\d]+)|[^a-zA-Z] ""&amp;C35&amp;"" ([\d]+)""))))=max(value(REGEXEXTRACT(F35,"" ([\d]+)"")),value(REGEXEXTRACT(F35,""([\d]+)$""))),""""))"),TRUE)</f>
        <v>1</v>
      </c>
    </row>
    <row r="36">
      <c r="A36" s="19">
        <v>107.0</v>
      </c>
      <c r="B36" s="19" t="s">
        <v>59</v>
      </c>
      <c r="C36" s="21" t="s">
        <v>275</v>
      </c>
      <c r="D36" s="62">
        <v>4.0</v>
      </c>
      <c r="E36" s="27">
        <v>8.0</v>
      </c>
      <c r="F36" s="63" t="s">
        <v>276</v>
      </c>
      <c r="G36" s="27" t="s">
        <v>183</v>
      </c>
      <c r="H36" s="64" t="s">
        <v>109</v>
      </c>
      <c r="I36" s="33"/>
      <c r="J36" s="32"/>
      <c r="K36" s="33"/>
      <c r="L36" s="33"/>
      <c r="M36" s="35"/>
      <c r="N36" s="27"/>
      <c r="O36" s="27"/>
      <c r="P36" s="27"/>
      <c r="Q36" s="27"/>
      <c r="R36" s="27"/>
      <c r="S36" s="27"/>
      <c r="T36" s="27"/>
      <c r="U36" s="27"/>
      <c r="V36" s="27"/>
      <c r="W36" s="27"/>
      <c r="X36" s="27"/>
      <c r="Y36" s="27"/>
      <c r="Z36" s="27"/>
      <c r="AA36" s="27"/>
      <c r="AB36" s="27"/>
      <c r="AC36" s="27"/>
      <c r="AD36" s="27"/>
      <c r="AE36" s="27"/>
      <c r="AF36" s="27"/>
      <c r="AG36" s="27"/>
      <c r="AH36" s="33">
        <v>196.0</v>
      </c>
      <c r="AI36" s="27">
        <v>414.0</v>
      </c>
      <c r="AJ36" s="27">
        <v>0.0</v>
      </c>
      <c r="AK36" s="27" t="b">
        <v>0</v>
      </c>
      <c r="AL36" s="27">
        <v>36.93333333333334</v>
      </c>
      <c r="AM36" s="56" t="str">
        <f t="array" ref="AM36">vlookup(C36,{DraftTracker!F:F,DraftTracker!E:E},2,0)</f>
        <v>CUSA</v>
      </c>
      <c r="AN36" s="56" t="str">
        <f>VLOOKUP(AM36,P5G5!A:B,2,0)</f>
        <v>Group of 5</v>
      </c>
      <c r="AO36" s="60" t="b">
        <f>IFERROR(__xludf.DUMMYFUNCTION("iferror(if(not(iserror(find(""FINAL"",G36))),max(arrayformula(value(REGEXEXTRACT(F36,""^""&amp;C36&amp;"" ([\d]+)|[^a-zA-Z] ""&amp;C36&amp;"" ([\d]+)""))))=max(value(REGEXEXTRACT(F36,"" ([\d]+)"")),value(REGEXEXTRACT(F36,""([\d]+)$""))),""""))"),FALSE)</f>
        <v>0</v>
      </c>
    </row>
    <row r="37">
      <c r="A37" s="19">
        <v>107.0</v>
      </c>
      <c r="B37" s="19" t="s">
        <v>59</v>
      </c>
      <c r="C37" s="21" t="s">
        <v>277</v>
      </c>
      <c r="D37" s="62">
        <v>6.0</v>
      </c>
      <c r="E37" s="27">
        <v>6.0</v>
      </c>
      <c r="F37" s="67" t="s">
        <v>278</v>
      </c>
      <c r="G37" s="27" t="s">
        <v>183</v>
      </c>
      <c r="H37" s="64" t="s">
        <v>178</v>
      </c>
      <c r="I37" s="33" t="s">
        <v>133</v>
      </c>
      <c r="J37" s="32"/>
      <c r="K37" s="33"/>
      <c r="L37" s="33"/>
      <c r="M37" s="35"/>
      <c r="N37" s="27"/>
      <c r="O37" s="27"/>
      <c r="P37" s="27"/>
      <c r="Q37" s="27"/>
      <c r="R37" s="27"/>
      <c r="S37" s="27"/>
      <c r="T37" s="27"/>
      <c r="U37" s="27"/>
      <c r="V37" s="27"/>
      <c r="W37" s="27"/>
      <c r="X37" s="27"/>
      <c r="Y37" s="27"/>
      <c r="Z37" s="27"/>
      <c r="AA37" s="27"/>
      <c r="AB37" s="27"/>
      <c r="AC37" s="27"/>
      <c r="AD37" s="27"/>
      <c r="AE37" s="27"/>
      <c r="AF37" s="27"/>
      <c r="AG37" s="27"/>
      <c r="AH37" s="33">
        <v>371.0</v>
      </c>
      <c r="AI37" s="27">
        <v>270.0</v>
      </c>
      <c r="AJ37" s="27">
        <v>0.0</v>
      </c>
      <c r="AK37" s="27" t="b">
        <v>0</v>
      </c>
      <c r="AL37" s="27">
        <v>39.6</v>
      </c>
      <c r="AM37" s="56" t="str">
        <f t="array" ref="AM37">vlookup(C37,{DraftTracker!F:F,DraftTracker!E:E},2,0)</f>
        <v>Sun Belt</v>
      </c>
      <c r="AN37" s="56" t="str">
        <f>VLOOKUP(AM37,P5G5!A:B,2,0)</f>
        <v>Group of 5</v>
      </c>
      <c r="AO37" s="60" t="b">
        <f>IFERROR(__xludf.DUMMYFUNCTION("iferror(if(not(iserror(find(""FINAL"",G37))),max(arrayformula(value(REGEXEXTRACT(F37,""^""&amp;C37&amp;"" ([\d]+)|[^a-zA-Z] ""&amp;C37&amp;"" ([\d]+)""))))=max(value(REGEXEXTRACT(F37,"" ([\d]+)"")),value(REGEXEXTRACT(F37,""([\d]+)$""))),""""))"),TRUE)</f>
        <v>1</v>
      </c>
    </row>
    <row r="38">
      <c r="A38" s="19">
        <v>107.0</v>
      </c>
      <c r="B38" s="19" t="s">
        <v>59</v>
      </c>
      <c r="C38" s="21" t="s">
        <v>279</v>
      </c>
      <c r="D38" s="62">
        <v>5.0</v>
      </c>
      <c r="E38" s="27">
        <v>7.0</v>
      </c>
      <c r="F38" s="67" t="s">
        <v>280</v>
      </c>
      <c r="G38" s="27" t="s">
        <v>183</v>
      </c>
      <c r="H38" s="27" t="s">
        <v>53</v>
      </c>
      <c r="I38" s="33" t="s">
        <v>129</v>
      </c>
      <c r="J38" s="32"/>
      <c r="K38" s="33"/>
      <c r="L38" s="33"/>
      <c r="M38" s="35"/>
      <c r="N38" s="27"/>
      <c r="O38" s="27"/>
      <c r="P38" s="27"/>
      <c r="Q38" s="27"/>
      <c r="R38" s="27"/>
      <c r="S38" s="27"/>
      <c r="T38" s="27"/>
      <c r="U38" s="27"/>
      <c r="V38" s="27"/>
      <c r="W38" s="27"/>
      <c r="X38" s="27"/>
      <c r="Y38" s="27"/>
      <c r="Z38" s="27"/>
      <c r="AA38" s="27"/>
      <c r="AB38" s="27"/>
      <c r="AC38" s="27"/>
      <c r="AD38" s="27"/>
      <c r="AE38" s="27"/>
      <c r="AF38" s="27"/>
      <c r="AG38" s="27"/>
      <c r="AH38" s="33">
        <v>289.0</v>
      </c>
      <c r="AI38" s="27">
        <v>320.0</v>
      </c>
      <c r="AJ38" s="27">
        <v>0.0</v>
      </c>
      <c r="AK38" s="27" t="b">
        <v>0</v>
      </c>
      <c r="AL38" s="27">
        <v>40.46666666666667</v>
      </c>
      <c r="AM38" s="56" t="str">
        <f t="array" ref="AM38">vlookup(C38,{DraftTracker!F:F,DraftTracker!E:E},2,0)</f>
        <v>MWC</v>
      </c>
      <c r="AN38" s="56" t="str">
        <f>VLOOKUP(AM38,P5G5!A:B,2,0)</f>
        <v>Group of 5</v>
      </c>
      <c r="AO38" s="60" t="b">
        <f>IFERROR(__xludf.DUMMYFUNCTION("iferror(if(not(iserror(find(""FINAL"",G38))),max(arrayformula(value(REGEXEXTRACT(F38,""^""&amp;C38&amp;"" ([\d]+)|[^a-zA-Z] ""&amp;C38&amp;"" ([\d]+)""))))=max(value(REGEXEXTRACT(F38,"" ([\d]+)"")),value(REGEXEXTRACT(F38,""([\d]+)$""))),""""))"),FALSE)</f>
        <v>0</v>
      </c>
    </row>
    <row r="39">
      <c r="A39" s="19">
        <v>107.0</v>
      </c>
      <c r="B39" s="19" t="s">
        <v>59</v>
      </c>
      <c r="C39" s="21" t="s">
        <v>281</v>
      </c>
      <c r="D39" s="62">
        <v>6.0</v>
      </c>
      <c r="E39" s="27">
        <v>6.0</v>
      </c>
      <c r="F39" s="67"/>
      <c r="G39" s="27"/>
      <c r="H39" s="27"/>
      <c r="I39" s="33"/>
      <c r="J39" s="32"/>
      <c r="K39" s="33"/>
      <c r="L39" s="33"/>
      <c r="M39" s="35"/>
      <c r="N39" s="27"/>
      <c r="O39" s="27"/>
      <c r="P39" s="27"/>
      <c r="Q39" s="27"/>
      <c r="R39" s="27"/>
      <c r="S39" s="27"/>
      <c r="T39" s="27"/>
      <c r="U39" s="27"/>
      <c r="V39" s="27"/>
      <c r="W39" s="27"/>
      <c r="X39" s="27"/>
      <c r="Y39" s="27"/>
      <c r="Z39" s="27"/>
      <c r="AA39" s="27"/>
      <c r="AB39" s="27"/>
      <c r="AC39" s="27"/>
      <c r="AD39" s="27"/>
      <c r="AE39" s="27"/>
      <c r="AF39" s="27"/>
      <c r="AG39" s="27"/>
      <c r="AH39" s="33">
        <v>238.0</v>
      </c>
      <c r="AI39" s="27">
        <v>313.0</v>
      </c>
      <c r="AJ39" s="27">
        <v>0.0</v>
      </c>
      <c r="AK39" s="27" t="b">
        <v>1</v>
      </c>
      <c r="AL39" s="27">
        <v>59.0</v>
      </c>
      <c r="AM39" s="56" t="str">
        <f t="array" ref="AM39">vlookup(C39,{DraftTracker!F:F,DraftTracker!E:E},2,0)</f>
        <v>AAC</v>
      </c>
      <c r="AN39" s="56" t="str">
        <f>VLOOKUP(AM39,P5G5!A:B,2,0)</f>
        <v>Group of 5</v>
      </c>
      <c r="AO39" s="60" t="str">
        <f>IFERROR(__xludf.DUMMYFUNCTION("iferror(if(not(iserror(find(""FINAL"",G39))),max(arrayformula(value(REGEXEXTRACT(F39,""^""&amp;C39&amp;"" ([\d]+)|[^a-zA-Z] ""&amp;C39&amp;"" ([\d]+)""))))=max(value(REGEXEXTRACT(F39,"" ([\d]+)"")),value(REGEXEXTRACT(F39,""([\d]+)$""))),""""))"),"")</f>
        <v/>
      </c>
    </row>
    <row r="40">
      <c r="A40" s="19">
        <v>107.0</v>
      </c>
      <c r="B40" s="19" t="s">
        <v>59</v>
      </c>
      <c r="C40" s="21" t="s">
        <v>283</v>
      </c>
      <c r="D40" s="62">
        <v>7.0</v>
      </c>
      <c r="E40" s="27">
        <v>5.0</v>
      </c>
      <c r="F40" s="27"/>
      <c r="G40" s="27" t="s">
        <v>57</v>
      </c>
      <c r="H40" s="27" t="s">
        <v>141</v>
      </c>
      <c r="I40" s="33"/>
      <c r="J40" s="32"/>
      <c r="K40" s="33"/>
      <c r="L40" s="33"/>
      <c r="M40" s="35"/>
      <c r="N40" s="27"/>
      <c r="O40" s="27"/>
      <c r="P40" s="27"/>
      <c r="Q40" s="27"/>
      <c r="R40" s="27"/>
      <c r="S40" s="27"/>
      <c r="T40" s="27"/>
      <c r="U40" s="27"/>
      <c r="V40" s="27"/>
      <c r="W40" s="27"/>
      <c r="X40" s="27"/>
      <c r="Y40" s="27"/>
      <c r="Z40" s="27"/>
      <c r="AA40" s="27"/>
      <c r="AB40" s="27"/>
      <c r="AC40" s="27"/>
      <c r="AD40" s="27"/>
      <c r="AE40" s="27"/>
      <c r="AF40" s="27"/>
      <c r="AG40" s="27"/>
      <c r="AH40" s="33">
        <v>265.0</v>
      </c>
      <c r="AI40" s="27">
        <v>229.0</v>
      </c>
      <c r="AJ40" s="27">
        <v>2.0</v>
      </c>
      <c r="AK40" s="27" t="b">
        <v>0</v>
      </c>
      <c r="AL40" s="27">
        <v>100.0</v>
      </c>
      <c r="AM40" s="56" t="str">
        <f t="array" ref="AM40">vlookup(C40,{DraftTracker!F:F,DraftTracker!E:E},2,0)</f>
        <v>SEC</v>
      </c>
      <c r="AN40" s="56" t="str">
        <f>VLOOKUP(AM40,P5G5!A:B,2,0)</f>
        <v>Power 5</v>
      </c>
      <c r="AO40" s="60" t="str">
        <f>IFERROR(__xludf.DUMMYFUNCTION("iferror(if(not(iserror(find(""FINAL"",G40))),max(arrayformula(value(REGEXEXTRACT(F40,""^""&amp;C40&amp;"" ([\d]+)|[^a-zA-Z] ""&amp;C40&amp;"" ([\d]+)""))))=max(value(REGEXEXTRACT(F40,"" ([\d]+)"")),value(REGEXEXTRACT(F40,""([\d]+)$""))),""""))"),"")</f>
        <v/>
      </c>
    </row>
    <row r="41">
      <c r="A41" s="19">
        <v>107.0</v>
      </c>
      <c r="B41" s="19" t="s">
        <v>59</v>
      </c>
      <c r="C41" s="21" t="s">
        <v>284</v>
      </c>
      <c r="D41" s="62">
        <v>12.0</v>
      </c>
      <c r="E41" s="27">
        <v>0.0</v>
      </c>
      <c r="F41" s="67" t="s">
        <v>169</v>
      </c>
      <c r="G41" s="27" t="s">
        <v>57</v>
      </c>
      <c r="H41" s="27" t="s">
        <v>53</v>
      </c>
      <c r="I41" s="33"/>
      <c r="J41" s="32"/>
      <c r="K41" s="33"/>
      <c r="L41" s="33"/>
      <c r="M41" s="35"/>
      <c r="N41" s="27"/>
      <c r="O41" s="27"/>
      <c r="P41" s="27"/>
      <c r="Q41" s="27"/>
      <c r="R41" s="27"/>
      <c r="S41" s="27"/>
      <c r="T41" s="27"/>
      <c r="U41" s="27"/>
      <c r="V41" s="27"/>
      <c r="W41" s="27"/>
      <c r="X41" s="27"/>
      <c r="Y41" s="27"/>
      <c r="Z41" s="27"/>
      <c r="AA41" s="27"/>
      <c r="AB41" s="27"/>
      <c r="AC41" s="27"/>
      <c r="AD41" s="27"/>
      <c r="AE41" s="27"/>
      <c r="AF41" s="27"/>
      <c r="AG41" s="27"/>
      <c r="AH41" s="33">
        <v>478.0</v>
      </c>
      <c r="AI41" s="27">
        <v>152.0</v>
      </c>
      <c r="AJ41" s="27">
        <v>2.0</v>
      </c>
      <c r="AK41" s="27" t="b">
        <v>1</v>
      </c>
      <c r="AL41" s="27">
        <v>100.0</v>
      </c>
      <c r="AM41" s="56" t="str">
        <f t="array" ref="AM41">vlookup(C41,{DraftTracker!F:F,DraftTracker!E:E},2,0)</f>
        <v>Big Ten</v>
      </c>
      <c r="AN41" s="56" t="str">
        <f>VLOOKUP(AM41,P5G5!A:B,2,0)</f>
        <v>Power 5</v>
      </c>
      <c r="AO41" s="60" t="b">
        <f>IFERROR(__xludf.DUMMYFUNCTION("iferror(if(not(iserror(find(""FINAL"",G41))),max(arrayformula(value(REGEXEXTRACT(F41,""^""&amp;C41&amp;"" ([\d]+)|[^a-zA-Z] ""&amp;C41&amp;"" ([\d]+)""))))=max(value(REGEXEXTRACT(F41,"" ([\d]+)"")),value(REGEXEXTRACT(F41,""([\d]+)$""))),""""))"),TRUE)</f>
        <v>1</v>
      </c>
    </row>
    <row r="42">
      <c r="A42" s="19">
        <v>107.0</v>
      </c>
      <c r="B42" s="19" t="s">
        <v>59</v>
      </c>
      <c r="C42" s="21" t="s">
        <v>285</v>
      </c>
      <c r="D42" s="62">
        <v>4.0</v>
      </c>
      <c r="E42" s="27">
        <v>8.0</v>
      </c>
      <c r="F42" s="67" t="s">
        <v>286</v>
      </c>
      <c r="G42" s="27" t="s">
        <v>57</v>
      </c>
      <c r="H42" s="27" t="s">
        <v>103</v>
      </c>
      <c r="I42" s="33"/>
      <c r="J42" s="32"/>
      <c r="K42" s="33"/>
      <c r="L42" s="33"/>
      <c r="M42" s="35"/>
      <c r="N42" s="27"/>
      <c r="O42" s="27"/>
      <c r="P42" s="27"/>
      <c r="Q42" s="27"/>
      <c r="R42" s="27"/>
      <c r="S42" s="27"/>
      <c r="T42" s="27"/>
      <c r="U42" s="27"/>
      <c r="V42" s="27"/>
      <c r="W42" s="27"/>
      <c r="X42" s="27"/>
      <c r="Y42" s="27"/>
      <c r="Z42" s="27"/>
      <c r="AA42" s="27"/>
      <c r="AB42" s="27"/>
      <c r="AC42" s="27"/>
      <c r="AD42" s="27"/>
      <c r="AE42" s="27"/>
      <c r="AF42" s="27"/>
      <c r="AG42" s="27"/>
      <c r="AH42" s="33">
        <v>297.0</v>
      </c>
      <c r="AI42" s="27">
        <v>338.0</v>
      </c>
      <c r="AJ42" s="27">
        <v>2.0</v>
      </c>
      <c r="AK42" s="27" t="b">
        <v>0</v>
      </c>
      <c r="AL42" s="27">
        <v>100.0</v>
      </c>
      <c r="AM42" s="56" t="str">
        <f t="array" ref="AM42">vlookup(C42,{DraftTracker!F:F,DraftTracker!E:E},2,0)</f>
        <v>MAC</v>
      </c>
      <c r="AN42" s="56" t="str">
        <f>VLOOKUP(AM42,P5G5!A:B,2,0)</f>
        <v>Group of 5</v>
      </c>
      <c r="AO42" s="60" t="b">
        <f>IFERROR(__xludf.DUMMYFUNCTION("iferror(if(not(iserror(find(""FINAL"",G42))),max(arrayformula(value(REGEXEXTRACT(F42,""^""&amp;C42&amp;"" ([\d]+)|[^a-zA-Z] ""&amp;C42&amp;"" ([\d]+)""))))=max(value(REGEXEXTRACT(F42,"" ([\d]+)"")),value(REGEXEXTRACT(F42,""([\d]+)$""))),""""))"),FALSE)</f>
        <v>0</v>
      </c>
    </row>
    <row r="43">
      <c r="A43" s="19">
        <v>107.0</v>
      </c>
      <c r="B43" s="19" t="s">
        <v>59</v>
      </c>
      <c r="C43" s="21" t="s">
        <v>289</v>
      </c>
      <c r="D43" s="62">
        <v>3.0</v>
      </c>
      <c r="E43" s="27">
        <v>9.0</v>
      </c>
      <c r="F43" s="67" t="s">
        <v>290</v>
      </c>
      <c r="G43" s="27" t="s">
        <v>57</v>
      </c>
      <c r="H43" s="27" t="s">
        <v>138</v>
      </c>
      <c r="I43" s="33" t="s">
        <v>115</v>
      </c>
      <c r="J43" s="32"/>
      <c r="K43" s="33"/>
      <c r="L43" s="33"/>
      <c r="M43" s="35"/>
      <c r="N43" s="27"/>
      <c r="O43" s="27"/>
      <c r="P43" s="27"/>
      <c r="Q43" s="27"/>
      <c r="R43" s="27"/>
      <c r="S43" s="27"/>
      <c r="T43" s="27"/>
      <c r="U43" s="27"/>
      <c r="V43" s="27"/>
      <c r="W43" s="27"/>
      <c r="X43" s="27"/>
      <c r="Y43" s="27"/>
      <c r="Z43" s="27"/>
      <c r="AA43" s="27"/>
      <c r="AB43" s="27"/>
      <c r="AC43" s="27"/>
      <c r="AD43" s="27"/>
      <c r="AE43" s="27"/>
      <c r="AF43" s="27"/>
      <c r="AG43" s="27"/>
      <c r="AH43" s="33">
        <v>190.0</v>
      </c>
      <c r="AI43" s="27">
        <v>332.0</v>
      </c>
      <c r="AJ43" s="27">
        <v>3.0</v>
      </c>
      <c r="AK43" s="27" t="b">
        <v>0</v>
      </c>
      <c r="AL43" s="27">
        <v>100.0</v>
      </c>
      <c r="AM43" s="56" t="str">
        <f t="array" ref="AM43">vlookup(C43,{DraftTracker!F:F,DraftTracker!E:E},2,0)</f>
        <v>ACC</v>
      </c>
      <c r="AN43" s="56" t="str">
        <f>VLOOKUP(AM43,P5G5!A:B,2,0)</f>
        <v>Power 5</v>
      </c>
      <c r="AO43" s="60" t="str">
        <f>IFERROR(__xludf.DUMMYFUNCTION("iferror(if(not(iserror(find(""FINAL"",G43))),max(arrayformula(value(REGEXEXTRACT(F43,""^""&amp;C43&amp;"" ([\d]+)|[^a-zA-Z] ""&amp;C43&amp;"" ([\d]+)""))))=max(value(REGEXEXTRACT(F43,"" ([\d]+)"")),value(REGEXEXTRACT(F43,""([\d]+)$""))),""""))"),"")</f>
        <v/>
      </c>
    </row>
    <row r="44">
      <c r="A44" s="19">
        <v>107.0</v>
      </c>
      <c r="B44" s="19" t="s">
        <v>59</v>
      </c>
      <c r="C44" s="21" t="s">
        <v>291</v>
      </c>
      <c r="D44" s="62">
        <v>9.0</v>
      </c>
      <c r="E44" s="27">
        <v>3.0</v>
      </c>
      <c r="F44" s="67" t="s">
        <v>218</v>
      </c>
      <c r="G44" s="27" t="s">
        <v>57</v>
      </c>
      <c r="H44" s="27" t="s">
        <v>131</v>
      </c>
      <c r="I44" s="33" t="s">
        <v>74</v>
      </c>
      <c r="J44" s="32"/>
      <c r="K44" s="33"/>
      <c r="L44" s="33"/>
      <c r="M44" s="35"/>
      <c r="N44" s="27"/>
      <c r="O44" s="27"/>
      <c r="P44" s="27"/>
      <c r="Q44" s="27"/>
      <c r="R44" s="27"/>
      <c r="S44" s="27"/>
      <c r="T44" s="27"/>
      <c r="U44" s="27"/>
      <c r="V44" s="27"/>
      <c r="W44" s="27"/>
      <c r="X44" s="27"/>
      <c r="Y44" s="27"/>
      <c r="Z44" s="27"/>
      <c r="AA44" s="27"/>
      <c r="AB44" s="27"/>
      <c r="AC44" s="27"/>
      <c r="AD44" s="27"/>
      <c r="AE44" s="27"/>
      <c r="AF44" s="27"/>
      <c r="AG44" s="27"/>
      <c r="AH44" s="33">
        <v>354.0</v>
      </c>
      <c r="AI44" s="27">
        <v>206.0</v>
      </c>
      <c r="AJ44" s="27">
        <v>3.0</v>
      </c>
      <c r="AK44" s="27" t="b">
        <v>1</v>
      </c>
      <c r="AL44" s="27">
        <v>100.0</v>
      </c>
      <c r="AM44" s="56" t="str">
        <f t="array" ref="AM44">vlookup(C44,{DraftTracker!F:F,DraftTracker!E:E},2,0)</f>
        <v>Big 12</v>
      </c>
      <c r="AN44" s="56" t="str">
        <f>VLOOKUP(AM44,P5G5!A:B,2,0)</f>
        <v>Power 5</v>
      </c>
      <c r="AO44" s="60" t="b">
        <f>IFERROR(__xludf.DUMMYFUNCTION("iferror(if(not(iserror(find(""FINAL"",G44))),max(arrayformula(value(REGEXEXTRACT(F44,""^""&amp;C44&amp;"" ([\d]+)|[^a-zA-Z] ""&amp;C44&amp;"" ([\d]+)""))))=max(value(REGEXEXTRACT(F44,"" ([\d]+)"")),value(REGEXEXTRACT(F44,""([\d]+)$""))),""""))"),TRUE)</f>
        <v>1</v>
      </c>
    </row>
    <row r="45">
      <c r="A45" s="1">
        <v>108.0</v>
      </c>
      <c r="B45" s="1"/>
      <c r="C45" s="2"/>
      <c r="D45" s="2"/>
      <c r="E45" s="2"/>
      <c r="F45" s="4"/>
      <c r="G45" s="2"/>
      <c r="H45" s="2"/>
      <c r="I45" s="2"/>
      <c r="J45" s="4"/>
      <c r="K45" s="2"/>
      <c r="L45" s="2"/>
      <c r="M45" s="89"/>
      <c r="N45" s="2"/>
      <c r="O45" s="90"/>
      <c r="P45" s="2"/>
      <c r="Q45" s="90"/>
      <c r="R45" s="2"/>
      <c r="S45" s="90"/>
      <c r="T45" s="2"/>
      <c r="U45" s="90"/>
      <c r="V45" s="2"/>
      <c r="W45" s="90"/>
      <c r="X45" s="2"/>
      <c r="Y45" s="90"/>
      <c r="Z45" s="2"/>
      <c r="AA45" s="90"/>
      <c r="AB45" s="2"/>
      <c r="AC45" s="90"/>
      <c r="AD45" s="2"/>
      <c r="AE45" s="90"/>
      <c r="AF45" s="2"/>
      <c r="AG45" s="2"/>
      <c r="AH45" s="2"/>
      <c r="AI45" s="2"/>
      <c r="AJ45" s="2"/>
      <c r="AK45" s="2"/>
      <c r="AL45" s="2"/>
      <c r="AM45" s="91" t="str">
        <f t="array" ref="AM45">vlookup(C45,{DraftTracker!F:F,DraftTracker!E:E},2,0)</f>
        <v>#N/A</v>
      </c>
      <c r="AN45" s="91" t="str">
        <f>VLOOKUP(AM45,P5G5!A:B,2,0)</f>
        <v>#N/A</v>
      </c>
      <c r="AO45" s="56" t="str">
        <f>IFERROR(__xludf.DUMMYFUNCTION("iferror(if(not(iserror(find(""FINAL"",G45))),max(arrayformula(value(REGEXEXTRACT(F45,""^""&amp;C45&amp;"" ([\d]+)|[^a-zA-Z] ""&amp;C45&amp;"" ([\d]+)""))))=max(value(REGEXEXTRACT(F45,"" ([\d]+)"")),value(REGEXEXTRACT(F45,""([\d]+)$""))),""""))"),"")</f>
        <v/>
      </c>
    </row>
    <row r="46">
      <c r="A46" s="19">
        <v>109.0</v>
      </c>
      <c r="B46" s="20" t="s">
        <v>138</v>
      </c>
      <c r="C46" s="21" t="s">
        <v>294</v>
      </c>
      <c r="D46" s="22">
        <v>5.0</v>
      </c>
      <c r="E46" s="23">
        <v>7.0</v>
      </c>
      <c r="F46" s="25" t="s">
        <v>295</v>
      </c>
      <c r="G46" s="27" t="s">
        <v>57</v>
      </c>
      <c r="H46" s="28" t="s">
        <v>109</v>
      </c>
      <c r="I46" s="30" t="s">
        <v>88</v>
      </c>
      <c r="J46" s="32"/>
      <c r="K46" s="33"/>
      <c r="L46" s="33"/>
      <c r="M46" s="35"/>
      <c r="N46" s="27"/>
      <c r="O46" s="27"/>
      <c r="P46" s="27"/>
      <c r="Q46" s="27"/>
      <c r="R46" s="27"/>
      <c r="S46" s="27"/>
      <c r="T46" s="27"/>
      <c r="U46" s="27"/>
      <c r="V46" s="27"/>
      <c r="W46" s="27"/>
      <c r="X46" s="27"/>
      <c r="Y46" s="27"/>
      <c r="Z46" s="27"/>
      <c r="AA46" s="27"/>
      <c r="AB46" s="27"/>
      <c r="AC46" s="27"/>
      <c r="AD46" s="27"/>
      <c r="AE46" s="27"/>
      <c r="AF46" s="27"/>
      <c r="AG46" s="27"/>
      <c r="AH46" s="30">
        <v>277.0</v>
      </c>
      <c r="AI46" s="23">
        <v>294.0</v>
      </c>
      <c r="AJ46" s="27">
        <v>0.0</v>
      </c>
      <c r="AK46" s="27" t="b">
        <v>1</v>
      </c>
      <c r="AL46" s="27">
        <v>9.866666666666667</v>
      </c>
      <c r="AM46" s="56" t="str">
        <f t="array" ref="AM46">vlookup(C46,{DraftTracker!F:F,DraftTracker!E:E},2,0)</f>
        <v>Big Ten</v>
      </c>
      <c r="AN46" s="56" t="str">
        <f>VLOOKUP(AM46,P5G5!A:B,2,0)</f>
        <v>Power 5</v>
      </c>
      <c r="AO46" s="60" t="b">
        <f>IFERROR(__xludf.DUMMYFUNCTION("iferror(if(not(iserror(find(""FINAL"",G46))),max(arrayformula(value(REGEXEXTRACT(F46,""^""&amp;C46&amp;"" ([\d]+)|[^a-zA-Z] ""&amp;C46&amp;"" ([\d]+)""))))=max(value(REGEXEXTRACT(F46,"" ([\d]+)"")),value(REGEXEXTRACT(F46,""([\d]+)$""))),""""))"),FALSE)</f>
        <v>0</v>
      </c>
    </row>
    <row r="47">
      <c r="A47" s="19">
        <v>109.0</v>
      </c>
      <c r="B47" s="19" t="s">
        <v>138</v>
      </c>
      <c r="C47" s="21" t="s">
        <v>296</v>
      </c>
      <c r="D47" s="62">
        <v>10.0</v>
      </c>
      <c r="E47" s="27">
        <v>2.0</v>
      </c>
      <c r="F47" s="63" t="s">
        <v>297</v>
      </c>
      <c r="G47" s="64" t="s">
        <v>57</v>
      </c>
      <c r="H47" s="64" t="s">
        <v>154</v>
      </c>
      <c r="I47" s="33"/>
      <c r="J47" s="32"/>
      <c r="K47" s="33"/>
      <c r="L47" s="33"/>
      <c r="M47" s="35"/>
      <c r="N47" s="27"/>
      <c r="O47" s="27"/>
      <c r="P47" s="27"/>
      <c r="Q47" s="27"/>
      <c r="R47" s="27"/>
      <c r="S47" s="27"/>
      <c r="T47" s="27"/>
      <c r="U47" s="27"/>
      <c r="V47" s="27"/>
      <c r="W47" s="27"/>
      <c r="X47" s="27"/>
      <c r="Y47" s="27"/>
      <c r="Z47" s="27"/>
      <c r="AA47" s="27"/>
      <c r="AB47" s="27"/>
      <c r="AC47" s="27"/>
      <c r="AD47" s="27"/>
      <c r="AE47" s="27"/>
      <c r="AF47" s="27"/>
      <c r="AG47" s="27"/>
      <c r="AH47" s="33">
        <v>421.0</v>
      </c>
      <c r="AI47" s="27">
        <v>287.0</v>
      </c>
      <c r="AJ47" s="27">
        <v>2.0</v>
      </c>
      <c r="AK47" s="27" t="b">
        <v>1</v>
      </c>
      <c r="AL47" s="27">
        <v>100.0</v>
      </c>
      <c r="AM47" s="56" t="str">
        <f t="array" ref="AM47">vlookup(C47,{DraftTracker!F:F,DraftTracker!E:E},2,0)</f>
        <v>CUSA</v>
      </c>
      <c r="AN47" s="56" t="str">
        <f>VLOOKUP(AM47,P5G5!A:B,2,0)</f>
        <v>Group of 5</v>
      </c>
      <c r="AO47" s="60" t="b">
        <f>IFERROR(__xludf.DUMMYFUNCTION("iferror(if(not(iserror(find(""FINAL"",G47))),max(arrayformula(value(REGEXEXTRACT(F47,""^""&amp;C47&amp;"" ([\d]+)|[^a-zA-Z] ""&amp;C47&amp;"" ([\d]+)""))))=max(value(REGEXEXTRACT(F47,"" ([\d]+)"")),value(REGEXEXTRACT(F47,""([\d]+)$""))),""""))"),TRUE)</f>
        <v>1</v>
      </c>
    </row>
    <row r="48">
      <c r="A48" s="19">
        <v>109.0</v>
      </c>
      <c r="B48" s="19" t="s">
        <v>138</v>
      </c>
      <c r="C48" s="21" t="s">
        <v>298</v>
      </c>
      <c r="D48" s="62">
        <v>3.0</v>
      </c>
      <c r="E48" s="27">
        <v>9.0</v>
      </c>
      <c r="F48" s="67" t="s">
        <v>299</v>
      </c>
      <c r="G48" s="64" t="s">
        <v>57</v>
      </c>
      <c r="H48" s="64" t="s">
        <v>141</v>
      </c>
      <c r="I48" s="33"/>
      <c r="J48" s="32"/>
      <c r="K48" s="33"/>
      <c r="L48" s="33"/>
      <c r="M48" s="35"/>
      <c r="N48" s="27"/>
      <c r="O48" s="27"/>
      <c r="P48" s="27"/>
      <c r="Q48" s="27"/>
      <c r="R48" s="27"/>
      <c r="S48" s="27"/>
      <c r="T48" s="27"/>
      <c r="U48" s="27"/>
      <c r="V48" s="27"/>
      <c r="W48" s="27"/>
      <c r="X48" s="27"/>
      <c r="Y48" s="27"/>
      <c r="Z48" s="27"/>
      <c r="AA48" s="27"/>
      <c r="AB48" s="27"/>
      <c r="AC48" s="27"/>
      <c r="AD48" s="27"/>
      <c r="AE48" s="27"/>
      <c r="AF48" s="27"/>
      <c r="AG48" s="27"/>
      <c r="AH48" s="33">
        <v>327.0</v>
      </c>
      <c r="AI48" s="27">
        <v>393.0</v>
      </c>
      <c r="AJ48" s="27">
        <v>2.0</v>
      </c>
      <c r="AK48" s="27" t="b">
        <v>0</v>
      </c>
      <c r="AL48" s="27">
        <v>100.0</v>
      </c>
      <c r="AM48" s="56" t="str">
        <f t="array" ref="AM48">vlookup(C48,{DraftTracker!F:F,DraftTracker!E:E},2,0)</f>
        <v>MAC</v>
      </c>
      <c r="AN48" s="56" t="str">
        <f>VLOOKUP(AM48,P5G5!A:B,2,0)</f>
        <v>Group of 5</v>
      </c>
      <c r="AO48" s="60" t="b">
        <f>IFERROR(__xludf.DUMMYFUNCTION("iferror(if(not(iserror(find(""FINAL"",G48))),max(arrayformula(value(REGEXEXTRACT(F48,""^""&amp;C48&amp;"" ([\d]+)|[^a-zA-Z] ""&amp;C48&amp;"" ([\d]+)""))))=max(value(REGEXEXTRACT(F48,"" ([\d]+)"")),value(REGEXEXTRACT(F48,""([\d]+)$""))),""""))"),FALSE)</f>
        <v>0</v>
      </c>
    </row>
    <row r="49">
      <c r="A49" s="19">
        <v>109.0</v>
      </c>
      <c r="B49" s="19" t="s">
        <v>138</v>
      </c>
      <c r="C49" s="21" t="s">
        <v>302</v>
      </c>
      <c r="D49" s="62">
        <v>10.0</v>
      </c>
      <c r="E49" s="27">
        <v>2.0</v>
      </c>
      <c r="F49" s="67" t="s">
        <v>171</v>
      </c>
      <c r="G49" s="27" t="s">
        <v>57</v>
      </c>
      <c r="H49" s="27" t="s">
        <v>53</v>
      </c>
      <c r="I49" s="33"/>
      <c r="J49" s="32"/>
      <c r="K49" s="33"/>
      <c r="L49" s="33"/>
      <c r="M49" s="35"/>
      <c r="N49" s="27"/>
      <c r="O49" s="27"/>
      <c r="P49" s="27"/>
      <c r="Q49" s="27"/>
      <c r="R49" s="27"/>
      <c r="S49" s="27"/>
      <c r="T49" s="27"/>
      <c r="U49" s="27"/>
      <c r="V49" s="27"/>
      <c r="W49" s="27"/>
      <c r="X49" s="27"/>
      <c r="Y49" s="27"/>
      <c r="Z49" s="27"/>
      <c r="AA49" s="27"/>
      <c r="AB49" s="27"/>
      <c r="AC49" s="27"/>
      <c r="AD49" s="27"/>
      <c r="AE49" s="27"/>
      <c r="AF49" s="27"/>
      <c r="AG49" s="27"/>
      <c r="AH49" s="33">
        <v>383.0</v>
      </c>
      <c r="AI49" s="27">
        <v>233.0</v>
      </c>
      <c r="AJ49" s="27">
        <v>2.0</v>
      </c>
      <c r="AK49" s="27" t="b">
        <v>0</v>
      </c>
      <c r="AL49" s="27">
        <v>100.0</v>
      </c>
      <c r="AM49" s="56" t="str">
        <f t="array" ref="AM49">vlookup(C49,{DraftTracker!F:F,DraftTracker!E:E},2,0)</f>
        <v>Sun Belt</v>
      </c>
      <c r="AN49" s="56" t="str">
        <f>VLOOKUP(AM49,P5G5!A:B,2,0)</f>
        <v>Group of 5</v>
      </c>
      <c r="AO49" s="60" t="b">
        <f>IFERROR(__xludf.DUMMYFUNCTION("iferror(if(not(iserror(find(""FINAL"",G49))),max(arrayformula(value(REGEXEXTRACT(F49,""^""&amp;C49&amp;"" ([\d]+)|[^a-zA-Z] ""&amp;C49&amp;"" ([\d]+)""))))=max(value(REGEXEXTRACT(F49,"" ([\d]+)"")),value(REGEXEXTRACT(F49,""([\d]+)$""))),""""))"),TRUE)</f>
        <v>1</v>
      </c>
    </row>
    <row r="50">
      <c r="A50" s="19">
        <v>109.0</v>
      </c>
      <c r="B50" s="19" t="s">
        <v>138</v>
      </c>
      <c r="C50" s="21" t="s">
        <v>303</v>
      </c>
      <c r="D50" s="62">
        <v>6.0</v>
      </c>
      <c r="E50" s="27">
        <v>6.0</v>
      </c>
      <c r="F50" s="67" t="s">
        <v>174</v>
      </c>
      <c r="G50" s="27" t="s">
        <v>57</v>
      </c>
      <c r="H50" s="27" t="s">
        <v>53</v>
      </c>
      <c r="I50" s="33"/>
      <c r="J50" s="32"/>
      <c r="K50" s="33"/>
      <c r="L50" s="33"/>
      <c r="M50" s="35"/>
      <c r="N50" s="27"/>
      <c r="O50" s="27"/>
      <c r="P50" s="27"/>
      <c r="Q50" s="27"/>
      <c r="R50" s="27"/>
      <c r="S50" s="27"/>
      <c r="T50" s="27"/>
      <c r="U50" s="27"/>
      <c r="V50" s="27"/>
      <c r="W50" s="27"/>
      <c r="X50" s="27"/>
      <c r="Y50" s="27"/>
      <c r="Z50" s="27"/>
      <c r="AA50" s="27"/>
      <c r="AB50" s="27"/>
      <c r="AC50" s="27"/>
      <c r="AD50" s="27"/>
      <c r="AE50" s="27"/>
      <c r="AF50" s="27"/>
      <c r="AG50" s="27"/>
      <c r="AH50" s="33">
        <v>368.0</v>
      </c>
      <c r="AI50" s="27">
        <v>345.0</v>
      </c>
      <c r="AJ50" s="27">
        <v>2.0</v>
      </c>
      <c r="AK50" s="27" t="b">
        <v>1</v>
      </c>
      <c r="AL50" s="27">
        <v>100.0</v>
      </c>
      <c r="AM50" s="56" t="str">
        <f t="array" ref="AM50">vlookup(C50,{DraftTracker!F:F,DraftTracker!E:E},2,0)</f>
        <v>SEC</v>
      </c>
      <c r="AN50" s="56" t="str">
        <f>VLOOKUP(AM50,P5G5!A:B,2,0)</f>
        <v>Power 5</v>
      </c>
      <c r="AO50" s="60" t="b">
        <f>IFERROR(__xludf.DUMMYFUNCTION("iferror(if(not(iserror(find(""FINAL"",G50))),max(arrayformula(value(REGEXEXTRACT(F50,""^""&amp;C50&amp;"" ([\d]+)|[^a-zA-Z] ""&amp;C50&amp;"" ([\d]+)""))))=max(value(REGEXEXTRACT(F50,"" ([\d]+)"")),value(REGEXEXTRACT(F50,""([\d]+)$""))),""""))"),FALSE)</f>
        <v>0</v>
      </c>
    </row>
    <row r="51">
      <c r="A51" s="19">
        <v>109.0</v>
      </c>
      <c r="B51" s="19" t="s">
        <v>138</v>
      </c>
      <c r="C51" s="21" t="s">
        <v>304</v>
      </c>
      <c r="D51" s="62">
        <v>6.0</v>
      </c>
      <c r="E51" s="27">
        <v>6.0</v>
      </c>
      <c r="F51" s="67" t="s">
        <v>305</v>
      </c>
      <c r="G51" s="27" t="s">
        <v>57</v>
      </c>
      <c r="H51" s="27" t="s">
        <v>148</v>
      </c>
      <c r="I51" s="33"/>
      <c r="J51" s="32"/>
      <c r="K51" s="33"/>
      <c r="L51" s="33"/>
      <c r="M51" s="35"/>
      <c r="N51" s="27"/>
      <c r="O51" s="27"/>
      <c r="P51" s="27"/>
      <c r="Q51" s="27"/>
      <c r="R51" s="27"/>
      <c r="S51" s="27"/>
      <c r="T51" s="27"/>
      <c r="U51" s="27"/>
      <c r="V51" s="27"/>
      <c r="W51" s="27"/>
      <c r="X51" s="27"/>
      <c r="Y51" s="27"/>
      <c r="Z51" s="27"/>
      <c r="AA51" s="27"/>
      <c r="AB51" s="27"/>
      <c r="AC51" s="27"/>
      <c r="AD51" s="27"/>
      <c r="AE51" s="27"/>
      <c r="AF51" s="27"/>
      <c r="AG51" s="27"/>
      <c r="AH51" s="33">
        <v>279.0</v>
      </c>
      <c r="AI51" s="27">
        <v>367.0</v>
      </c>
      <c r="AJ51" s="27">
        <v>2.0</v>
      </c>
      <c r="AK51" s="27" t="b">
        <v>0</v>
      </c>
      <c r="AL51" s="27">
        <v>100.0</v>
      </c>
      <c r="AM51" s="56" t="str">
        <f t="array" ref="AM51">vlookup(C51,{DraftTracker!F:F,DraftTracker!E:E},2,0)</f>
        <v>MWC</v>
      </c>
      <c r="AN51" s="56" t="str">
        <f>VLOOKUP(AM51,P5G5!A:B,2,0)</f>
        <v>Group of 5</v>
      </c>
      <c r="AO51" s="60" t="b">
        <f>IFERROR(__xludf.DUMMYFUNCTION("iferror(if(not(iserror(find(""FINAL"",G51))),max(arrayformula(value(REGEXEXTRACT(F51,""^""&amp;C51&amp;"" ([\d]+)|[^a-zA-Z] ""&amp;C51&amp;"" ([\d]+)""))))=max(value(REGEXEXTRACT(F51,"" ([\d]+)"")),value(REGEXEXTRACT(F51,""([\d]+)$""))),""""))"),FALSE)</f>
        <v>0</v>
      </c>
    </row>
    <row r="52">
      <c r="A52" s="19">
        <v>109.0</v>
      </c>
      <c r="B52" s="19" t="s">
        <v>138</v>
      </c>
      <c r="C52" s="21" t="s">
        <v>282</v>
      </c>
      <c r="D52" s="62">
        <v>9.0</v>
      </c>
      <c r="E52" s="27">
        <v>3.0</v>
      </c>
      <c r="F52" s="67" t="s">
        <v>268</v>
      </c>
      <c r="G52" s="27" t="s">
        <v>57</v>
      </c>
      <c r="H52" s="27" t="s">
        <v>178</v>
      </c>
      <c r="I52" s="33"/>
      <c r="J52" s="32"/>
      <c r="K52" s="33"/>
      <c r="L52" s="33"/>
      <c r="M52" s="35"/>
      <c r="N52" s="27"/>
      <c r="O52" s="27"/>
      <c r="P52" s="27"/>
      <c r="Q52" s="27"/>
      <c r="R52" s="27"/>
      <c r="S52" s="27"/>
      <c r="T52" s="27"/>
      <c r="U52" s="27"/>
      <c r="V52" s="27"/>
      <c r="W52" s="27"/>
      <c r="X52" s="27"/>
      <c r="Y52" s="27"/>
      <c r="Z52" s="27"/>
      <c r="AA52" s="27"/>
      <c r="AB52" s="27"/>
      <c r="AC52" s="27"/>
      <c r="AD52" s="27"/>
      <c r="AE52" s="27"/>
      <c r="AF52" s="27"/>
      <c r="AG52" s="27"/>
      <c r="AH52" s="33">
        <v>373.0</v>
      </c>
      <c r="AI52" s="27">
        <v>244.0</v>
      </c>
      <c r="AJ52" s="27">
        <v>2.0</v>
      </c>
      <c r="AK52" s="27" t="b">
        <v>1</v>
      </c>
      <c r="AL52" s="27">
        <v>100.0</v>
      </c>
      <c r="AM52" s="56" t="str">
        <f t="array" ref="AM52">vlookup(C52,{DraftTracker!F:F,DraftTracker!E:E},2,0)</f>
        <v>AAC</v>
      </c>
      <c r="AN52" s="56" t="str">
        <f>VLOOKUP(AM52,P5G5!A:B,2,0)</f>
        <v>Group of 5</v>
      </c>
      <c r="AO52" s="60" t="b">
        <f>IFERROR(__xludf.DUMMYFUNCTION("iferror(if(not(iserror(find(""FINAL"",G52))),max(arrayformula(value(REGEXEXTRACT(F52,""^""&amp;C52&amp;"" ([\d]+)|[^a-zA-Z] ""&amp;C52&amp;"" ([\d]+)""))))=max(value(REGEXEXTRACT(F52,"" ([\d]+)"")),value(REGEXEXTRACT(F52,""([\d]+)$""))),""""))"),FALSE)</f>
        <v>0</v>
      </c>
    </row>
    <row r="53">
      <c r="A53" s="19">
        <v>109.0</v>
      </c>
      <c r="B53" s="19" t="s">
        <v>138</v>
      </c>
      <c r="C53" s="21" t="s">
        <v>308</v>
      </c>
      <c r="D53" s="62">
        <v>7.0</v>
      </c>
      <c r="E53" s="27">
        <v>5.0</v>
      </c>
      <c r="F53" s="67" t="s">
        <v>290</v>
      </c>
      <c r="G53" s="27" t="s">
        <v>57</v>
      </c>
      <c r="H53" s="27" t="s">
        <v>59</v>
      </c>
      <c r="I53" s="33" t="s">
        <v>115</v>
      </c>
      <c r="J53" s="32"/>
      <c r="K53" s="33"/>
      <c r="L53" s="33"/>
      <c r="M53" s="35"/>
      <c r="N53" s="27"/>
      <c r="O53" s="27"/>
      <c r="P53" s="27"/>
      <c r="Q53" s="27"/>
      <c r="R53" s="27"/>
      <c r="S53" s="27"/>
      <c r="T53" s="27"/>
      <c r="U53" s="27"/>
      <c r="V53" s="27"/>
      <c r="W53" s="27"/>
      <c r="X53" s="27"/>
      <c r="Y53" s="27"/>
      <c r="Z53" s="27"/>
      <c r="AA53" s="27"/>
      <c r="AB53" s="27"/>
      <c r="AC53" s="27"/>
      <c r="AD53" s="27"/>
      <c r="AE53" s="27"/>
      <c r="AF53" s="27"/>
      <c r="AG53" s="27"/>
      <c r="AH53" s="33">
        <v>308.0</v>
      </c>
      <c r="AI53" s="27">
        <v>249.0</v>
      </c>
      <c r="AJ53" s="27">
        <v>3.0</v>
      </c>
      <c r="AK53" s="27" t="b">
        <v>1</v>
      </c>
      <c r="AL53" s="27">
        <v>100.0</v>
      </c>
      <c r="AM53" s="56" t="str">
        <f t="array" ref="AM53">vlookup(C53,{DraftTracker!F:F,DraftTracker!E:E},2,0)</f>
        <v>ACC</v>
      </c>
      <c r="AN53" s="56" t="str">
        <f>VLOOKUP(AM53,P5G5!A:B,2,0)</f>
        <v>Power 5</v>
      </c>
      <c r="AO53" s="60" t="b">
        <f>IFERROR(__xludf.DUMMYFUNCTION("iferror(if(not(iserror(find(""FINAL"",G53))),max(arrayformula(value(REGEXEXTRACT(F53,""^""&amp;C53&amp;"" ([\d]+)|[^a-zA-Z] ""&amp;C53&amp;"" ([\d]+)""))))=max(value(REGEXEXTRACT(F53,"" ([\d]+)"")),value(REGEXEXTRACT(F53,""([\d]+)$""))),""""))"),TRUE)</f>
        <v>1</v>
      </c>
    </row>
    <row r="54">
      <c r="A54" s="19">
        <v>109.0</v>
      </c>
      <c r="B54" s="19" t="s">
        <v>138</v>
      </c>
      <c r="C54" s="21" t="s">
        <v>309</v>
      </c>
      <c r="D54" s="62">
        <v>5.0</v>
      </c>
      <c r="E54" s="27">
        <v>7.0</v>
      </c>
      <c r="F54" s="67" t="s">
        <v>310</v>
      </c>
      <c r="G54" s="27" t="s">
        <v>57</v>
      </c>
      <c r="H54" s="27" t="s">
        <v>131</v>
      </c>
      <c r="I54" s="33" t="s">
        <v>111</v>
      </c>
      <c r="J54" s="32"/>
      <c r="K54" s="33"/>
      <c r="L54" s="33"/>
      <c r="M54" s="35"/>
      <c r="N54" s="27"/>
      <c r="O54" s="27"/>
      <c r="P54" s="27"/>
      <c r="Q54" s="27"/>
      <c r="R54" s="27"/>
      <c r="S54" s="27"/>
      <c r="T54" s="27"/>
      <c r="U54" s="27"/>
      <c r="V54" s="27"/>
      <c r="W54" s="27"/>
      <c r="X54" s="27"/>
      <c r="Y54" s="27"/>
      <c r="Z54" s="27"/>
      <c r="AA54" s="27"/>
      <c r="AB54" s="27"/>
      <c r="AC54" s="27"/>
      <c r="AD54" s="27"/>
      <c r="AE54" s="27"/>
      <c r="AF54" s="27"/>
      <c r="AG54" s="27"/>
      <c r="AH54" s="33">
        <v>295.0</v>
      </c>
      <c r="AI54" s="27">
        <v>376.0</v>
      </c>
      <c r="AJ54" s="27">
        <v>3.0</v>
      </c>
      <c r="AK54" s="27" t="b">
        <v>1</v>
      </c>
      <c r="AL54" s="27">
        <v>100.0</v>
      </c>
      <c r="AM54" s="56" t="str">
        <f t="array" ref="AM54">vlookup(C54,{DraftTracker!F:F,DraftTracker!E:E},2,0)</f>
        <v>Big 12</v>
      </c>
      <c r="AN54" s="56" t="str">
        <f>VLOOKUP(AM54,P5G5!A:B,2,0)</f>
        <v>Power 5</v>
      </c>
      <c r="AO54" s="60" t="str">
        <f>IFERROR(__xludf.DUMMYFUNCTION("iferror(if(not(iserror(find(""FINAL"",G54))),max(arrayformula(value(REGEXEXTRACT(F54,""^""&amp;C54&amp;"" ([\d]+)|[^a-zA-Z] ""&amp;C54&amp;"" ([\d]+)""))))=max(value(REGEXEXTRACT(F54,"" ([\d]+)"")),value(REGEXEXTRACT(F54,""([\d]+)$""))),""""))"),"")</f>
        <v/>
      </c>
    </row>
    <row r="55">
      <c r="A55" s="19">
        <v>109.0</v>
      </c>
      <c r="B55" s="19" t="s">
        <v>138</v>
      </c>
      <c r="C55" s="21" t="s">
        <v>311</v>
      </c>
      <c r="D55" s="62">
        <v>3.0</v>
      </c>
      <c r="E55" s="27">
        <v>9.0</v>
      </c>
      <c r="F55" s="67" t="s">
        <v>312</v>
      </c>
      <c r="G55" s="27" t="s">
        <v>57</v>
      </c>
      <c r="H55" s="27" t="s">
        <v>141</v>
      </c>
      <c r="I55" s="33" t="s">
        <v>88</v>
      </c>
      <c r="J55" s="32"/>
      <c r="K55" s="33"/>
      <c r="L55" s="33"/>
      <c r="M55" s="35"/>
      <c r="N55" s="27"/>
      <c r="O55" s="27"/>
      <c r="P55" s="27"/>
      <c r="Q55" s="27"/>
      <c r="R55" s="27"/>
      <c r="S55" s="27"/>
      <c r="T55" s="27"/>
      <c r="U55" s="27"/>
      <c r="V55" s="27"/>
      <c r="W55" s="27"/>
      <c r="X55" s="27"/>
      <c r="Y55" s="27"/>
      <c r="Z55" s="27"/>
      <c r="AA55" s="27"/>
      <c r="AB55" s="27"/>
      <c r="AC55" s="27"/>
      <c r="AD55" s="27"/>
      <c r="AE55" s="27"/>
      <c r="AF55" s="27"/>
      <c r="AG55" s="27"/>
      <c r="AH55" s="33">
        <v>230.0</v>
      </c>
      <c r="AI55" s="27">
        <v>351.0</v>
      </c>
      <c r="AJ55" s="27">
        <v>3.0</v>
      </c>
      <c r="AK55" s="27" t="b">
        <v>0</v>
      </c>
      <c r="AL55" s="27">
        <v>100.0</v>
      </c>
      <c r="AM55" s="56" t="str">
        <f t="array" ref="AM55">vlookup(C55,{DraftTracker!F:F,DraftTracker!E:E},2,0)</f>
        <v>Pac12</v>
      </c>
      <c r="AN55" s="56" t="str">
        <f>VLOOKUP(AM55,P5G5!A:B,2,0)</f>
        <v>Power 5</v>
      </c>
      <c r="AO55" s="60" t="str">
        <f>IFERROR(__xludf.DUMMYFUNCTION("iferror(if(not(iserror(find(""FINAL"",G55))),max(arrayformula(value(REGEXEXTRACT(F55,""^""&amp;C55&amp;"" ([\d]+)|[^a-zA-Z] ""&amp;C55&amp;"" ([\d]+)""))))=max(value(REGEXEXTRACT(F55,"" ([\d]+)"")),value(REGEXEXTRACT(F55,""([\d]+)$""))),""""))"),"")</f>
        <v/>
      </c>
    </row>
    <row r="56">
      <c r="A56" s="1">
        <v>110.0</v>
      </c>
      <c r="B56" s="1"/>
      <c r="C56" s="2"/>
      <c r="D56" s="2"/>
      <c r="E56" s="2"/>
      <c r="F56" s="4"/>
      <c r="G56" s="2"/>
      <c r="H56" s="2"/>
      <c r="I56" s="2"/>
      <c r="J56" s="4"/>
      <c r="K56" s="2"/>
      <c r="L56" s="2"/>
      <c r="M56" s="89"/>
      <c r="N56" s="2"/>
      <c r="O56" s="90"/>
      <c r="P56" s="2"/>
      <c r="Q56" s="90"/>
      <c r="R56" s="2"/>
      <c r="S56" s="90"/>
      <c r="T56" s="2"/>
      <c r="U56" s="90"/>
      <c r="V56" s="2"/>
      <c r="W56" s="90"/>
      <c r="X56" s="2"/>
      <c r="Y56" s="90"/>
      <c r="Z56" s="2"/>
      <c r="AA56" s="90"/>
      <c r="AB56" s="2"/>
      <c r="AC56" s="90"/>
      <c r="AD56" s="2"/>
      <c r="AE56" s="90"/>
      <c r="AF56" s="2"/>
      <c r="AG56" s="2"/>
      <c r="AH56" s="2"/>
      <c r="AI56" s="2"/>
      <c r="AJ56" s="2"/>
      <c r="AK56" s="2"/>
      <c r="AL56" s="2"/>
      <c r="AM56" s="91" t="str">
        <f t="array" ref="AM56">vlookup(C56,{DraftTracker!F:F,DraftTracker!E:E},2,0)</f>
        <v>#N/A</v>
      </c>
      <c r="AN56" s="91" t="str">
        <f>VLOOKUP(AM56,P5G5!A:B,2,0)</f>
        <v>#N/A</v>
      </c>
      <c r="AO56" s="56" t="str">
        <f>IFERROR(__xludf.DUMMYFUNCTION("iferror(if(not(iserror(find(""FINAL"",G56))),max(arrayformula(value(REGEXEXTRACT(F56,""^""&amp;C56&amp;"" ([\d]+)|[^a-zA-Z] ""&amp;C56&amp;"" ([\d]+)""))))=max(value(REGEXEXTRACT(F56,"" ([\d]+)"")),value(REGEXEXTRACT(F56,""([\d]+)$""))),""""))"),"")</f>
        <v/>
      </c>
    </row>
    <row r="57">
      <c r="A57" s="19">
        <v>111.0</v>
      </c>
      <c r="B57" s="20" t="s">
        <v>141</v>
      </c>
      <c r="C57" s="21" t="s">
        <v>314</v>
      </c>
      <c r="D57" s="22">
        <v>7.0</v>
      </c>
      <c r="E57" s="23">
        <v>5.0</v>
      </c>
      <c r="F57" s="25" t="s">
        <v>315</v>
      </c>
      <c r="G57" s="27" t="s">
        <v>57</v>
      </c>
      <c r="H57" s="28" t="s">
        <v>109</v>
      </c>
      <c r="I57" s="30" t="s">
        <v>105</v>
      </c>
      <c r="J57" s="32"/>
      <c r="K57" s="33"/>
      <c r="L57" s="33"/>
      <c r="M57" s="35"/>
      <c r="N57" s="27"/>
      <c r="O57" s="27"/>
      <c r="P57" s="27"/>
      <c r="Q57" s="27"/>
      <c r="R57" s="27"/>
      <c r="S57" s="27"/>
      <c r="T57" s="27"/>
      <c r="U57" s="27"/>
      <c r="V57" s="27"/>
      <c r="W57" s="27"/>
      <c r="X57" s="27"/>
      <c r="Y57" s="27"/>
      <c r="Z57" s="27"/>
      <c r="AA57" s="27"/>
      <c r="AB57" s="27"/>
      <c r="AC57" s="27"/>
      <c r="AD57" s="27"/>
      <c r="AE57" s="27"/>
      <c r="AF57" s="27"/>
      <c r="AG57" s="27"/>
      <c r="AH57" s="30">
        <v>427.0</v>
      </c>
      <c r="AI57" s="23">
        <v>385.0</v>
      </c>
      <c r="AJ57" s="27">
        <v>0.0</v>
      </c>
      <c r="AK57" s="27" t="b">
        <v>1</v>
      </c>
      <c r="AL57" s="27">
        <v>-0.20000000000000284</v>
      </c>
      <c r="AM57" s="56" t="str">
        <f t="array" ref="AM57">vlookup(C57,{DraftTracker!F:F,DraftTracker!E:E},2,0)</f>
        <v>AAC</v>
      </c>
      <c r="AN57" s="56" t="str">
        <f>VLOOKUP(AM57,P5G5!A:B,2,0)</f>
        <v>Group of 5</v>
      </c>
      <c r="AO57" s="60" t="b">
        <f>IFERROR(__xludf.DUMMYFUNCTION("iferror(if(not(iserror(find(""FINAL"",G57))),max(arrayformula(value(REGEXEXTRACT(F57,""^""&amp;C57&amp;"" ([\d]+)|[^a-zA-Z] ""&amp;C57&amp;"" ([\d]+)""))))=max(value(REGEXEXTRACT(F57,"" ([\d]+)"")),value(REGEXEXTRACT(F57,""([\d]+)$""))),""""))"),TRUE)</f>
        <v>1</v>
      </c>
    </row>
    <row r="58">
      <c r="A58" s="19">
        <v>111.0</v>
      </c>
      <c r="B58" s="19" t="s">
        <v>141</v>
      </c>
      <c r="C58" s="21" t="s">
        <v>287</v>
      </c>
      <c r="D58" s="62">
        <v>10.0</v>
      </c>
      <c r="E58" s="27">
        <v>2.0</v>
      </c>
      <c r="F58" s="63" t="s">
        <v>288</v>
      </c>
      <c r="G58" s="27" t="s">
        <v>57</v>
      </c>
      <c r="H58" s="64" t="s">
        <v>166</v>
      </c>
      <c r="I58" s="33" t="s">
        <v>66</v>
      </c>
      <c r="J58" s="32"/>
      <c r="K58" s="33"/>
      <c r="L58" s="33"/>
      <c r="M58" s="35"/>
      <c r="N58" s="27"/>
      <c r="O58" s="27"/>
      <c r="P58" s="27"/>
      <c r="Q58" s="27"/>
      <c r="R58" s="27"/>
      <c r="S58" s="27"/>
      <c r="T58" s="27"/>
      <c r="U58" s="27"/>
      <c r="V58" s="27"/>
      <c r="W58" s="27"/>
      <c r="X58" s="27"/>
      <c r="Y58" s="27"/>
      <c r="Z58" s="27"/>
      <c r="AA58" s="27"/>
      <c r="AB58" s="27"/>
      <c r="AC58" s="27"/>
      <c r="AD58" s="27"/>
      <c r="AE58" s="27"/>
      <c r="AF58" s="27"/>
      <c r="AG58" s="27"/>
      <c r="AH58" s="33">
        <v>440.0</v>
      </c>
      <c r="AI58" s="27">
        <v>189.0</v>
      </c>
      <c r="AJ58" s="27">
        <v>0.0</v>
      </c>
      <c r="AK58" s="27" t="b">
        <v>0</v>
      </c>
      <c r="AL58" s="27">
        <v>1.06666666666667</v>
      </c>
      <c r="AM58" s="56" t="str">
        <f t="array" ref="AM58">vlookup(C58,{DraftTracker!F:F,DraftTracker!E:E},2,0)</f>
        <v>SEC</v>
      </c>
      <c r="AN58" s="56" t="str">
        <f>VLOOKUP(AM58,P5G5!A:B,2,0)</f>
        <v>Power 5</v>
      </c>
      <c r="AO58" s="60" t="b">
        <f>IFERROR(__xludf.DUMMYFUNCTION("iferror(if(not(iserror(find(""FINAL"",G58))),max(arrayformula(value(REGEXEXTRACT(F58,""^""&amp;C58&amp;"" ([\d]+)|[^a-zA-Z] ""&amp;C58&amp;"" ([\d]+)""))))=max(value(REGEXEXTRACT(F58,"" ([\d]+)"")),value(REGEXEXTRACT(F58,""([\d]+)$""))),""""))"),TRUE)</f>
        <v>1</v>
      </c>
    </row>
    <row r="59">
      <c r="A59" s="19">
        <v>111.0</v>
      </c>
      <c r="B59" s="19" t="s">
        <v>141</v>
      </c>
      <c r="C59" s="21" t="s">
        <v>317</v>
      </c>
      <c r="D59" s="62">
        <v>3.0</v>
      </c>
      <c r="E59" s="27">
        <v>9.0</v>
      </c>
      <c r="F59" s="67"/>
      <c r="G59" s="64"/>
      <c r="H59" s="64"/>
      <c r="I59" s="33"/>
      <c r="J59" s="32"/>
      <c r="K59" s="33"/>
      <c r="L59" s="33"/>
      <c r="M59" s="35"/>
      <c r="N59" s="27"/>
      <c r="O59" s="27"/>
      <c r="P59" s="27"/>
      <c r="Q59" s="27"/>
      <c r="R59" s="27"/>
      <c r="S59" s="27"/>
      <c r="T59" s="27"/>
      <c r="U59" s="27"/>
      <c r="V59" s="27"/>
      <c r="W59" s="27"/>
      <c r="X59" s="27"/>
      <c r="Y59" s="27"/>
      <c r="Z59" s="27"/>
      <c r="AA59" s="27"/>
      <c r="AB59" s="27"/>
      <c r="AC59" s="27"/>
      <c r="AD59" s="27"/>
      <c r="AE59" s="27"/>
      <c r="AF59" s="27"/>
      <c r="AG59" s="27"/>
      <c r="AH59" s="33">
        <v>293.0</v>
      </c>
      <c r="AI59" s="27">
        <v>473.0</v>
      </c>
      <c r="AJ59" s="27">
        <v>0.0</v>
      </c>
      <c r="AK59" s="27" t="b">
        <v>0</v>
      </c>
      <c r="AL59" s="27">
        <v>59.0</v>
      </c>
      <c r="AM59" s="56" t="str">
        <f t="array" ref="AM59">vlookup(C59,{DraftTracker!F:F,DraftTracker!E:E},2,0)</f>
        <v>CUSA</v>
      </c>
      <c r="AN59" s="56" t="str">
        <f>VLOOKUP(AM59,P5G5!A:B,2,0)</f>
        <v>Group of 5</v>
      </c>
      <c r="AO59" s="60" t="str">
        <f>IFERROR(__xludf.DUMMYFUNCTION("iferror(if(not(iserror(find(""FINAL"",G59))),max(arrayformula(value(REGEXEXTRACT(F59,""^""&amp;C59&amp;"" ([\d]+)|[^a-zA-Z] ""&amp;C59&amp;"" ([\d]+)""))))=max(value(REGEXEXTRACT(F59,"" ([\d]+)"")),value(REGEXEXTRACT(F59,""([\d]+)$""))),""""))"),"")</f>
        <v/>
      </c>
    </row>
    <row r="60">
      <c r="A60" s="19">
        <v>111.0</v>
      </c>
      <c r="B60" s="19" t="s">
        <v>141</v>
      </c>
      <c r="C60" s="21" t="s">
        <v>318</v>
      </c>
      <c r="D60" s="62">
        <v>10.0</v>
      </c>
      <c r="E60" s="27">
        <v>2.0</v>
      </c>
      <c r="F60" s="67" t="s">
        <v>319</v>
      </c>
      <c r="G60" s="27" t="s">
        <v>57</v>
      </c>
      <c r="H60" s="27" t="s">
        <v>154</v>
      </c>
      <c r="I60" s="33"/>
      <c r="J60" s="32"/>
      <c r="K60" s="33"/>
      <c r="L60" s="33"/>
      <c r="M60" s="35"/>
      <c r="N60" s="27"/>
      <c r="O60" s="27"/>
      <c r="P60" s="27"/>
      <c r="Q60" s="27"/>
      <c r="R60" s="27"/>
      <c r="S60" s="27"/>
      <c r="T60" s="27"/>
      <c r="U60" s="27"/>
      <c r="V60" s="27"/>
      <c r="W60" s="27"/>
      <c r="X60" s="27"/>
      <c r="Y60" s="27"/>
      <c r="Z60" s="27"/>
      <c r="AA60" s="27"/>
      <c r="AB60" s="27"/>
      <c r="AC60" s="27"/>
      <c r="AD60" s="27"/>
      <c r="AE60" s="27"/>
      <c r="AF60" s="27"/>
      <c r="AG60" s="27"/>
      <c r="AH60" s="33">
        <v>295.0</v>
      </c>
      <c r="AI60" s="27">
        <v>202.0</v>
      </c>
      <c r="AJ60" s="27">
        <v>2.0</v>
      </c>
      <c r="AK60" s="27" t="b">
        <v>0</v>
      </c>
      <c r="AL60" s="27">
        <v>100.0</v>
      </c>
      <c r="AM60" s="56" t="str">
        <f t="array" ref="AM60">vlookup(C60,{DraftTracker!F:F,DraftTracker!E:E},2,0)</f>
        <v>Sun Belt</v>
      </c>
      <c r="AN60" s="56" t="str">
        <f>VLOOKUP(AM60,P5G5!A:B,2,0)</f>
        <v>Group of 5</v>
      </c>
      <c r="AO60" s="60" t="b">
        <f>IFERROR(__xludf.DUMMYFUNCTION("iferror(if(not(iserror(find(""FINAL"",G60))),max(arrayformula(value(REGEXEXTRACT(F60,""^""&amp;C60&amp;"" ([\d]+)|[^a-zA-Z] ""&amp;C60&amp;"" ([\d]+)""))))=max(value(REGEXEXTRACT(F60,"" ([\d]+)"")),value(REGEXEXTRACT(F60,""([\d]+)$""))),""""))"),TRUE)</f>
        <v>1</v>
      </c>
    </row>
    <row r="61">
      <c r="A61" s="19">
        <v>111.0</v>
      </c>
      <c r="B61" s="19" t="s">
        <v>141</v>
      </c>
      <c r="C61" s="21" t="s">
        <v>349</v>
      </c>
      <c r="D61" s="62">
        <v>7.0</v>
      </c>
      <c r="E61" s="27">
        <v>4.0</v>
      </c>
      <c r="F61" s="67" t="s">
        <v>350</v>
      </c>
      <c r="G61" s="27" t="s">
        <v>57</v>
      </c>
      <c r="H61" s="27" t="s">
        <v>166</v>
      </c>
      <c r="I61" s="33"/>
      <c r="J61" s="32"/>
      <c r="K61" s="33"/>
      <c r="L61" s="33"/>
      <c r="M61" s="35"/>
      <c r="N61" s="27"/>
      <c r="O61" s="27"/>
      <c r="P61" s="27"/>
      <c r="Q61" s="27"/>
      <c r="R61" s="27"/>
      <c r="S61" s="27"/>
      <c r="T61" s="27"/>
      <c r="U61" s="27"/>
      <c r="V61" s="27"/>
      <c r="W61" s="27"/>
      <c r="X61" s="27"/>
      <c r="Y61" s="27"/>
      <c r="Z61" s="27"/>
      <c r="AA61" s="27"/>
      <c r="AB61" s="27"/>
      <c r="AC61" s="27"/>
      <c r="AD61" s="27"/>
      <c r="AE61" s="27"/>
      <c r="AF61" s="27"/>
      <c r="AG61" s="27"/>
      <c r="AH61" s="33">
        <v>302.0</v>
      </c>
      <c r="AI61" s="27">
        <v>223.0</v>
      </c>
      <c r="AJ61" s="27">
        <v>2.0</v>
      </c>
      <c r="AK61" s="27" t="b">
        <v>0</v>
      </c>
      <c r="AL61" s="27">
        <v>100.0</v>
      </c>
      <c r="AM61" s="56" t="str">
        <f t="array" ref="AM61">vlookup(C61,{DraftTracker!F:F,DraftTracker!E:E},2,0)</f>
        <v>MWC</v>
      </c>
      <c r="AN61" s="56" t="str">
        <f>VLOOKUP(AM61,P5G5!A:B,2,0)</f>
        <v>Group of 5</v>
      </c>
      <c r="AO61" s="60" t="b">
        <f>IFERROR(__xludf.DUMMYFUNCTION("iferror(if(not(iserror(find(""FINAL"",G61))),max(arrayformula(value(REGEXEXTRACT(F61,""^""&amp;C61&amp;"" ([\d]+)|[^a-zA-Z] ""&amp;C61&amp;"" ([\d]+)""))))=max(value(REGEXEXTRACT(F61,"" ([\d]+)"")),value(REGEXEXTRACT(F61,""([\d]+)$""))),""""))"),TRUE)</f>
        <v>1</v>
      </c>
    </row>
    <row r="62">
      <c r="A62" s="19">
        <v>111.0</v>
      </c>
      <c r="B62" s="19" t="s">
        <v>141</v>
      </c>
      <c r="C62" s="21" t="s">
        <v>353</v>
      </c>
      <c r="D62" s="62">
        <v>7.0</v>
      </c>
      <c r="E62" s="27">
        <v>5.0</v>
      </c>
      <c r="F62" s="67" t="s">
        <v>376</v>
      </c>
      <c r="G62" s="27" t="s">
        <v>57</v>
      </c>
      <c r="H62" s="27" t="s">
        <v>59</v>
      </c>
      <c r="I62" s="33"/>
      <c r="J62" s="32"/>
      <c r="K62" s="33"/>
      <c r="L62" s="33"/>
      <c r="M62" s="35"/>
      <c r="N62" s="27"/>
      <c r="O62" s="27"/>
      <c r="P62" s="27"/>
      <c r="Q62" s="27"/>
      <c r="R62" s="27"/>
      <c r="S62" s="27"/>
      <c r="T62" s="27"/>
      <c r="U62" s="27"/>
      <c r="V62" s="27"/>
      <c r="W62" s="27"/>
      <c r="X62" s="27"/>
      <c r="Y62" s="27"/>
      <c r="Z62" s="27"/>
      <c r="AA62" s="27"/>
      <c r="AB62" s="27"/>
      <c r="AC62" s="27"/>
      <c r="AD62" s="27"/>
      <c r="AE62" s="27"/>
      <c r="AF62" s="27"/>
      <c r="AG62" s="27"/>
      <c r="AH62" s="33">
        <v>326.0</v>
      </c>
      <c r="AI62" s="27">
        <v>242.0</v>
      </c>
      <c r="AJ62" s="27">
        <v>2.0</v>
      </c>
      <c r="AK62" s="27" t="b">
        <v>1</v>
      </c>
      <c r="AL62" s="27">
        <v>100.0</v>
      </c>
      <c r="AM62" s="56" t="str">
        <f t="array" ref="AM62">vlookup(C62,{DraftTracker!F:F,DraftTracker!E:E},2,0)</f>
        <v>ACC</v>
      </c>
      <c r="AN62" s="56" t="str">
        <f>VLOOKUP(AM62,P5G5!A:B,2,0)</f>
        <v>Power 5</v>
      </c>
      <c r="AO62" s="60" t="b">
        <f>IFERROR(__xludf.DUMMYFUNCTION("iferror(if(not(iserror(find(""FINAL"",G62))),max(arrayformula(value(REGEXEXTRACT(F62,""^""&amp;C62&amp;"" ([\d]+)|[^a-zA-Z] ""&amp;C62&amp;"" ([\d]+)""))))=max(value(REGEXEXTRACT(F62,"" ([\d]+)"")),value(REGEXEXTRACT(F62,""([\d]+)$""))),""""))"),FALSE)</f>
        <v>0</v>
      </c>
    </row>
    <row r="63">
      <c r="A63" s="19">
        <v>111.0</v>
      </c>
      <c r="B63" s="19" t="s">
        <v>141</v>
      </c>
      <c r="C63" s="21" t="s">
        <v>323</v>
      </c>
      <c r="D63" s="62">
        <v>2.0</v>
      </c>
      <c r="E63" s="27">
        <v>10.0</v>
      </c>
      <c r="F63" s="67" t="s">
        <v>299</v>
      </c>
      <c r="G63" s="27" t="s">
        <v>57</v>
      </c>
      <c r="H63" s="27" t="s">
        <v>138</v>
      </c>
      <c r="I63" s="33"/>
      <c r="J63" s="32"/>
      <c r="K63" s="33"/>
      <c r="L63" s="33"/>
      <c r="M63" s="35"/>
      <c r="N63" s="27"/>
      <c r="O63" s="27"/>
      <c r="P63" s="27"/>
      <c r="Q63" s="27"/>
      <c r="R63" s="27"/>
      <c r="S63" s="27"/>
      <c r="T63" s="27"/>
      <c r="U63" s="27"/>
      <c r="V63" s="27"/>
      <c r="W63" s="27"/>
      <c r="X63" s="27"/>
      <c r="Y63" s="27"/>
      <c r="Z63" s="27"/>
      <c r="AA63" s="27"/>
      <c r="AB63" s="27"/>
      <c r="AC63" s="27"/>
      <c r="AD63" s="27"/>
      <c r="AE63" s="27"/>
      <c r="AF63" s="27"/>
      <c r="AG63" s="27"/>
      <c r="AH63" s="33">
        <v>239.0</v>
      </c>
      <c r="AI63" s="27">
        <v>379.0</v>
      </c>
      <c r="AJ63" s="27">
        <v>2.0</v>
      </c>
      <c r="AK63" s="27" t="b">
        <v>1</v>
      </c>
      <c r="AL63" s="27">
        <v>100.0</v>
      </c>
      <c r="AM63" s="56" t="str">
        <f t="array" ref="AM63">vlookup(C63,{DraftTracker!F:F,DraftTracker!E:E},2,0)</f>
        <v>MAC</v>
      </c>
      <c r="AN63" s="56" t="str">
        <f>VLOOKUP(AM63,P5G5!A:B,2,0)</f>
        <v>Group of 5</v>
      </c>
      <c r="AO63" s="60" t="b">
        <f>IFERROR(__xludf.DUMMYFUNCTION("iferror(if(not(iserror(find(""FINAL"",G63))),max(arrayformula(value(REGEXEXTRACT(F63,""^""&amp;C63&amp;"" ([\d]+)|[^a-zA-Z] ""&amp;C63&amp;"" ([\d]+)""))))=max(value(REGEXEXTRACT(F63,"" ([\d]+)"")),value(REGEXEXTRACT(F63,""([\d]+)$""))),""""))"),TRUE)</f>
        <v>1</v>
      </c>
    </row>
    <row r="64">
      <c r="A64" s="19">
        <v>111.0</v>
      </c>
      <c r="B64" s="19" t="s">
        <v>141</v>
      </c>
      <c r="C64" s="21" t="s">
        <v>386</v>
      </c>
      <c r="D64" s="62">
        <v>4.0</v>
      </c>
      <c r="E64" s="27">
        <v>8.0</v>
      </c>
      <c r="F64" s="67" t="s">
        <v>390</v>
      </c>
      <c r="G64" s="27" t="s">
        <v>57</v>
      </c>
      <c r="H64" s="27" t="s">
        <v>103</v>
      </c>
      <c r="I64" s="33"/>
      <c r="J64" s="32"/>
      <c r="K64" s="33"/>
      <c r="L64" s="33"/>
      <c r="M64" s="35"/>
      <c r="N64" s="27"/>
      <c r="O64" s="27"/>
      <c r="P64" s="27"/>
      <c r="Q64" s="27"/>
      <c r="R64" s="27"/>
      <c r="S64" s="27"/>
      <c r="T64" s="27"/>
      <c r="U64" s="27"/>
      <c r="V64" s="27"/>
      <c r="W64" s="27"/>
      <c r="X64" s="27"/>
      <c r="Y64" s="27"/>
      <c r="Z64" s="27"/>
      <c r="AA64" s="27"/>
      <c r="AB64" s="27"/>
      <c r="AC64" s="27"/>
      <c r="AD64" s="27"/>
      <c r="AE64" s="27"/>
      <c r="AF64" s="27"/>
      <c r="AG64" s="27"/>
      <c r="AH64" s="33">
        <v>209.0</v>
      </c>
      <c r="AI64" s="27">
        <v>351.0</v>
      </c>
      <c r="AJ64" s="27">
        <v>2.0</v>
      </c>
      <c r="AK64" s="27" t="b">
        <v>1</v>
      </c>
      <c r="AL64" s="27">
        <v>100.0</v>
      </c>
      <c r="AM64" s="56" t="str">
        <f t="array" ref="AM64">vlookup(C64,{DraftTracker!F:F,DraftTracker!E:E},2,0)</f>
        <v>Pac12</v>
      </c>
      <c r="AN64" s="56" t="str">
        <f>VLOOKUP(AM64,P5G5!A:B,2,0)</f>
        <v>Power 5</v>
      </c>
      <c r="AO64" s="60" t="b">
        <f>IFERROR(__xludf.DUMMYFUNCTION("iferror(if(not(iserror(find(""FINAL"",G64))),max(arrayformula(value(REGEXEXTRACT(F64,""^""&amp;C64&amp;"" ([\d]+)|[^a-zA-Z] ""&amp;C64&amp;"" ([\d]+)""))))=max(value(REGEXEXTRACT(F64,"" ([\d]+)"")),value(REGEXEXTRACT(F64,""([\d]+)$""))),""""))"),FALSE)</f>
        <v>0</v>
      </c>
    </row>
    <row r="65">
      <c r="A65" s="19">
        <v>111.0</v>
      </c>
      <c r="B65" s="19" t="s">
        <v>141</v>
      </c>
      <c r="C65" s="21" t="s">
        <v>365</v>
      </c>
      <c r="D65" s="62">
        <v>4.0</v>
      </c>
      <c r="E65" s="27">
        <v>8.0</v>
      </c>
      <c r="F65" s="67" t="s">
        <v>391</v>
      </c>
      <c r="G65" s="27" t="s">
        <v>57</v>
      </c>
      <c r="H65" s="27" t="s">
        <v>116</v>
      </c>
      <c r="I65" s="33"/>
      <c r="J65" s="32"/>
      <c r="K65" s="33"/>
      <c r="L65" s="33"/>
      <c r="M65" s="35"/>
      <c r="N65" s="27"/>
      <c r="O65" s="27"/>
      <c r="P65" s="27"/>
      <c r="Q65" s="27"/>
      <c r="R65" s="27"/>
      <c r="S65" s="27"/>
      <c r="T65" s="27"/>
      <c r="U65" s="27"/>
      <c r="V65" s="27"/>
      <c r="W65" s="27"/>
      <c r="X65" s="27"/>
      <c r="Y65" s="27"/>
      <c r="Z65" s="27"/>
      <c r="AA65" s="27"/>
      <c r="AB65" s="27"/>
      <c r="AC65" s="27"/>
      <c r="AD65" s="27"/>
      <c r="AE65" s="27"/>
      <c r="AF65" s="27"/>
      <c r="AG65" s="27"/>
      <c r="AH65" s="33">
        <v>271.0</v>
      </c>
      <c r="AI65" s="27">
        <v>331.0</v>
      </c>
      <c r="AJ65" s="27">
        <v>2.0</v>
      </c>
      <c r="AK65" s="27" t="b">
        <v>1</v>
      </c>
      <c r="AL65" s="27">
        <v>100.0</v>
      </c>
      <c r="AM65" s="56" t="str">
        <f t="array" ref="AM65">vlookup(C65,{DraftTracker!F:F,DraftTracker!E:E},2,0)</f>
        <v>Big Ten</v>
      </c>
      <c r="AN65" s="56" t="str">
        <f>VLOOKUP(AM65,P5G5!A:B,2,0)</f>
        <v>Power 5</v>
      </c>
      <c r="AO65" s="60" t="b">
        <f>IFERROR(__xludf.DUMMYFUNCTION("iferror(if(not(iserror(find(""FINAL"",G65))),max(arrayformula(value(REGEXEXTRACT(F65,""^""&amp;C65&amp;"" ([\d]+)|[^a-zA-Z] ""&amp;C65&amp;"" ([\d]+)""))))=max(value(REGEXEXTRACT(F65,"" ([\d]+)"")),value(REGEXEXTRACT(F65,""([\d]+)$""))),""""))"),TRUE)</f>
        <v>1</v>
      </c>
    </row>
    <row r="66">
      <c r="A66" s="19">
        <v>111.0</v>
      </c>
      <c r="B66" s="19" t="s">
        <v>141</v>
      </c>
      <c r="C66" s="21" t="s">
        <v>393</v>
      </c>
      <c r="D66" s="62">
        <v>7.0</v>
      </c>
      <c r="E66" s="27">
        <v>5.0</v>
      </c>
      <c r="F66" s="67" t="s">
        <v>312</v>
      </c>
      <c r="G66" s="27" t="s">
        <v>57</v>
      </c>
      <c r="H66" s="27" t="s">
        <v>138</v>
      </c>
      <c r="I66" s="33" t="s">
        <v>88</v>
      </c>
      <c r="J66" s="32"/>
      <c r="K66" s="33"/>
      <c r="L66" s="33"/>
      <c r="M66" s="35"/>
      <c r="N66" s="27"/>
      <c r="O66" s="27"/>
      <c r="P66" s="27"/>
      <c r="Q66" s="27"/>
      <c r="R66" s="27"/>
      <c r="S66" s="27"/>
      <c r="T66" s="27"/>
      <c r="U66" s="27"/>
      <c r="V66" s="27"/>
      <c r="W66" s="27"/>
      <c r="X66" s="27"/>
      <c r="Y66" s="27"/>
      <c r="Z66" s="27"/>
      <c r="AA66" s="27"/>
      <c r="AB66" s="27"/>
      <c r="AC66" s="27"/>
      <c r="AD66" s="27"/>
      <c r="AE66" s="27"/>
      <c r="AF66" s="27"/>
      <c r="AG66" s="27"/>
      <c r="AH66" s="33">
        <v>348.0</v>
      </c>
      <c r="AI66" s="27">
        <v>334.0</v>
      </c>
      <c r="AJ66" s="27">
        <v>3.0</v>
      </c>
      <c r="AK66" s="27" t="b">
        <v>1</v>
      </c>
      <c r="AL66" s="27">
        <v>100.0</v>
      </c>
      <c r="AM66" s="56" t="str">
        <f t="array" ref="AM66">vlookup(C66,{DraftTracker!F:F,DraftTracker!E:E},2,0)</f>
        <v>Big 12</v>
      </c>
      <c r="AN66" s="56" t="str">
        <f>VLOOKUP(AM66,P5G5!A:B,2,0)</f>
        <v>Power 5</v>
      </c>
      <c r="AO66" s="60" t="b">
        <f>IFERROR(__xludf.DUMMYFUNCTION("iferror(if(not(iserror(find(""FINAL"",G66))),max(arrayformula(value(REGEXEXTRACT(F66,""^""&amp;C66&amp;"" ([\d]+)|[^a-zA-Z] ""&amp;C66&amp;"" ([\d]+)""))))=max(value(REGEXEXTRACT(F66,"" ([\d]+)"")),value(REGEXEXTRACT(F66,""([\d]+)$""))),""""))"),TRUE)</f>
        <v>1</v>
      </c>
    </row>
    <row r="67">
      <c r="A67" s="1">
        <v>112.0</v>
      </c>
      <c r="B67" s="1"/>
      <c r="C67" s="2"/>
      <c r="D67" s="2"/>
      <c r="E67" s="2"/>
      <c r="F67" s="4"/>
      <c r="G67" s="2"/>
      <c r="H67" s="2"/>
      <c r="I67" s="2"/>
      <c r="J67" s="4"/>
      <c r="K67" s="2"/>
      <c r="L67" s="2"/>
      <c r="M67" s="89"/>
      <c r="N67" s="2"/>
      <c r="O67" s="90"/>
      <c r="P67" s="2"/>
      <c r="Q67" s="90"/>
      <c r="R67" s="2"/>
      <c r="S67" s="90"/>
      <c r="T67" s="2"/>
      <c r="U67" s="90"/>
      <c r="V67" s="2"/>
      <c r="W67" s="90"/>
      <c r="X67" s="2"/>
      <c r="Y67" s="90"/>
      <c r="Z67" s="2"/>
      <c r="AA67" s="90"/>
      <c r="AB67" s="2"/>
      <c r="AC67" s="90"/>
      <c r="AD67" s="2"/>
      <c r="AE67" s="90"/>
      <c r="AF67" s="2"/>
      <c r="AG67" s="2"/>
      <c r="AH67" s="2"/>
      <c r="AI67" s="2"/>
      <c r="AJ67" s="2"/>
      <c r="AK67" s="2"/>
      <c r="AL67" s="2"/>
      <c r="AM67" s="91" t="str">
        <f t="array" ref="AM67">vlookup(C67,{DraftTracker!F:F,DraftTracker!E:E},2,0)</f>
        <v>#N/A</v>
      </c>
      <c r="AN67" s="91" t="str">
        <f>VLOOKUP(AM67,P5G5!A:B,2,0)</f>
        <v>#N/A</v>
      </c>
      <c r="AO67" s="56" t="str">
        <f>IFERROR(__xludf.DUMMYFUNCTION("iferror(if(not(iserror(find(""FINAL"",G67))),max(arrayformula(value(REGEXEXTRACT(F67,""^""&amp;C67&amp;"" ([\d]+)|[^a-zA-Z] ""&amp;C67&amp;"" ([\d]+)""))))=max(value(REGEXEXTRACT(F67,"" ([\d]+)"")),value(REGEXEXTRACT(F67,""([\d]+)$""))),""""))"),"")</f>
        <v/>
      </c>
    </row>
    <row r="68">
      <c r="A68" s="19">
        <v>113.0</v>
      </c>
      <c r="B68" s="20" t="s">
        <v>109</v>
      </c>
      <c r="C68" s="21" t="s">
        <v>339</v>
      </c>
      <c r="D68" s="22">
        <v>6.0</v>
      </c>
      <c r="E68" s="23">
        <v>6.0</v>
      </c>
      <c r="F68" s="25" t="s">
        <v>315</v>
      </c>
      <c r="G68" s="27" t="s">
        <v>57</v>
      </c>
      <c r="H68" s="28" t="s">
        <v>141</v>
      </c>
      <c r="I68" s="30" t="s">
        <v>105</v>
      </c>
      <c r="J68" s="32"/>
      <c r="K68" s="33"/>
      <c r="L68" s="33"/>
      <c r="M68" s="35"/>
      <c r="N68" s="27"/>
      <c r="O68" s="27"/>
      <c r="P68" s="27"/>
      <c r="Q68" s="27"/>
      <c r="R68" s="27"/>
      <c r="S68" s="27"/>
      <c r="T68" s="27"/>
      <c r="U68" s="27"/>
      <c r="V68" s="27"/>
      <c r="W68" s="27"/>
      <c r="X68" s="27"/>
      <c r="Y68" s="27"/>
      <c r="Z68" s="27"/>
      <c r="AA68" s="27"/>
      <c r="AB68" s="27"/>
      <c r="AC68" s="27"/>
      <c r="AD68" s="27"/>
      <c r="AE68" s="27"/>
      <c r="AF68" s="27"/>
      <c r="AG68" s="27"/>
      <c r="AH68" s="30">
        <v>390.0</v>
      </c>
      <c r="AI68" s="23">
        <v>294.0</v>
      </c>
      <c r="AJ68" s="27">
        <v>0.0</v>
      </c>
      <c r="AK68" s="27" t="b">
        <v>0</v>
      </c>
      <c r="AL68" s="27">
        <v>-0.20000000000000284</v>
      </c>
      <c r="AM68" s="56" t="str">
        <f t="array" ref="AM68">vlookup(C68,{DraftTracker!F:F,DraftTracker!E:E},2,0)</f>
        <v>AAC</v>
      </c>
      <c r="AN68" s="56" t="str">
        <f>VLOOKUP(AM68,P5G5!A:B,2,0)</f>
        <v>Group of 5</v>
      </c>
      <c r="AO68" s="60" t="b">
        <f>IFERROR(__xludf.DUMMYFUNCTION("iferror(if(not(iserror(find(""FINAL"",G68))),max(arrayformula(value(REGEXEXTRACT(F68,""^""&amp;C68&amp;"" ([\d]+)|[^a-zA-Z] ""&amp;C68&amp;"" ([\d]+)""))))=max(value(REGEXEXTRACT(F68,"" ([\d]+)"")),value(REGEXEXTRACT(F68,""([\d]+)$""))),""""))"),FALSE)</f>
        <v>0</v>
      </c>
    </row>
    <row r="69">
      <c r="A69" s="19">
        <v>113.0</v>
      </c>
      <c r="B69" s="19" t="s">
        <v>109</v>
      </c>
      <c r="C69" s="21" t="s">
        <v>375</v>
      </c>
      <c r="D69" s="62">
        <v>10.0</v>
      </c>
      <c r="E69" s="27">
        <v>2.0</v>
      </c>
      <c r="F69" s="63" t="s">
        <v>295</v>
      </c>
      <c r="G69" s="27" t="s">
        <v>57</v>
      </c>
      <c r="H69" s="64" t="s">
        <v>138</v>
      </c>
      <c r="I69" s="33" t="s">
        <v>88</v>
      </c>
      <c r="J69" s="32"/>
      <c r="K69" s="33"/>
      <c r="L69" s="33"/>
      <c r="M69" s="35"/>
      <c r="N69" s="27"/>
      <c r="O69" s="27"/>
      <c r="P69" s="27"/>
      <c r="Q69" s="27"/>
      <c r="R69" s="27"/>
      <c r="S69" s="27"/>
      <c r="T69" s="27"/>
      <c r="U69" s="27"/>
      <c r="V69" s="27"/>
      <c r="W69" s="27"/>
      <c r="X69" s="27"/>
      <c r="Y69" s="27"/>
      <c r="Z69" s="27"/>
      <c r="AA69" s="27"/>
      <c r="AB69" s="27"/>
      <c r="AC69" s="27"/>
      <c r="AD69" s="27"/>
      <c r="AE69" s="27"/>
      <c r="AF69" s="27"/>
      <c r="AG69" s="27"/>
      <c r="AH69" s="33">
        <v>395.0</v>
      </c>
      <c r="AI69" s="27">
        <v>200.0</v>
      </c>
      <c r="AJ69" s="27">
        <v>0.0</v>
      </c>
      <c r="AK69" s="27" t="b">
        <v>0</v>
      </c>
      <c r="AL69" s="27">
        <v>9.866666666666667</v>
      </c>
      <c r="AM69" s="56" t="str">
        <f t="array" ref="AM69">vlookup(C69,{DraftTracker!F:F,DraftTracker!E:E},2,0)</f>
        <v>Big Ten</v>
      </c>
      <c r="AN69" s="56" t="str">
        <f>VLOOKUP(AM69,P5G5!A:B,2,0)</f>
        <v>Power 5</v>
      </c>
      <c r="AO69" s="60" t="b">
        <f>IFERROR(__xludf.DUMMYFUNCTION("iferror(if(not(iserror(find(""FINAL"",G69))),max(arrayformula(value(REGEXEXTRACT(F69,""^""&amp;C69&amp;"" ([\d]+)|[^a-zA-Z] ""&amp;C69&amp;"" ([\d]+)""))))=max(value(REGEXEXTRACT(F69,"" ([\d]+)"")),value(REGEXEXTRACT(F69,""([\d]+)$""))),""""))"),TRUE)</f>
        <v>1</v>
      </c>
    </row>
    <row r="70">
      <c r="A70" s="19">
        <v>113.0</v>
      </c>
      <c r="B70" s="19" t="s">
        <v>109</v>
      </c>
      <c r="C70" s="21" t="s">
        <v>292</v>
      </c>
      <c r="D70" s="62">
        <v>6.0</v>
      </c>
      <c r="E70" s="27">
        <v>6.0</v>
      </c>
      <c r="F70" s="67" t="s">
        <v>293</v>
      </c>
      <c r="G70" s="27" t="s">
        <v>57</v>
      </c>
      <c r="H70" s="64" t="s">
        <v>148</v>
      </c>
      <c r="I70" s="33" t="s">
        <v>133</v>
      </c>
      <c r="J70" s="32"/>
      <c r="K70" s="33"/>
      <c r="L70" s="33"/>
      <c r="M70" s="35"/>
      <c r="N70" s="27"/>
      <c r="O70" s="27"/>
      <c r="P70" s="27"/>
      <c r="Q70" s="27"/>
      <c r="R70" s="27"/>
      <c r="S70" s="27"/>
      <c r="T70" s="27"/>
      <c r="U70" s="27"/>
      <c r="V70" s="27"/>
      <c r="W70" s="27"/>
      <c r="X70" s="27"/>
      <c r="Y70" s="27"/>
      <c r="Z70" s="27"/>
      <c r="AA70" s="27"/>
      <c r="AB70" s="27"/>
      <c r="AC70" s="27"/>
      <c r="AD70" s="27"/>
      <c r="AE70" s="27"/>
      <c r="AF70" s="27"/>
      <c r="AG70" s="27"/>
      <c r="AH70" s="33">
        <v>283.0</v>
      </c>
      <c r="AI70" s="27">
        <v>261.0</v>
      </c>
      <c r="AJ70" s="27">
        <v>0.0</v>
      </c>
      <c r="AK70" s="27" t="b">
        <v>0</v>
      </c>
      <c r="AL70" s="27">
        <v>26.583333333333336</v>
      </c>
      <c r="AM70" s="56" t="str">
        <f t="array" ref="AM70">vlookup(C70,{DraftTracker!F:F,DraftTracker!E:E},2,0)</f>
        <v>Sun Belt</v>
      </c>
      <c r="AN70" s="56" t="str">
        <f>VLOOKUP(AM70,P5G5!A:B,2,0)</f>
        <v>Group of 5</v>
      </c>
      <c r="AO70" s="60" t="b">
        <f>IFERROR(__xludf.DUMMYFUNCTION("iferror(if(not(iserror(find(""FINAL"",G70))),max(arrayformula(value(REGEXEXTRACT(F70,""^""&amp;C70&amp;"" ([\d]+)|[^a-zA-Z] ""&amp;C70&amp;"" ([\d]+)""))))=max(value(REGEXEXTRACT(F70,"" ([\d]+)"")),value(REGEXEXTRACT(F70,""([\d]+)$""))),""""))"),TRUE)</f>
        <v>1</v>
      </c>
    </row>
    <row r="71">
      <c r="A71" s="19">
        <v>113.0</v>
      </c>
      <c r="B71" s="19" t="s">
        <v>109</v>
      </c>
      <c r="C71" s="21" t="s">
        <v>343</v>
      </c>
      <c r="D71" s="62">
        <v>7.0</v>
      </c>
      <c r="E71" s="27">
        <v>5.0</v>
      </c>
      <c r="F71" s="67" t="s">
        <v>276</v>
      </c>
      <c r="G71" s="27" t="s">
        <v>57</v>
      </c>
      <c r="H71" s="27" t="s">
        <v>59</v>
      </c>
      <c r="I71" s="33" t="s">
        <v>149</v>
      </c>
      <c r="J71" s="32"/>
      <c r="K71" s="33"/>
      <c r="L71" s="33"/>
      <c r="M71" s="35"/>
      <c r="N71" s="27"/>
      <c r="O71" s="27"/>
      <c r="P71" s="27"/>
      <c r="Q71" s="27"/>
      <c r="R71" s="27"/>
      <c r="S71" s="27"/>
      <c r="T71" s="27"/>
      <c r="U71" s="27"/>
      <c r="V71" s="27"/>
      <c r="W71" s="27"/>
      <c r="X71" s="27"/>
      <c r="Y71" s="27"/>
      <c r="Z71" s="27"/>
      <c r="AA71" s="27"/>
      <c r="AB71" s="27"/>
      <c r="AC71" s="27"/>
      <c r="AD71" s="27"/>
      <c r="AE71" s="27"/>
      <c r="AF71" s="27"/>
      <c r="AG71" s="27"/>
      <c r="AH71" s="33">
        <v>317.0</v>
      </c>
      <c r="AI71" s="27">
        <v>309.0</v>
      </c>
      <c r="AJ71" s="27">
        <v>0.0</v>
      </c>
      <c r="AK71" s="27" t="b">
        <v>1</v>
      </c>
      <c r="AL71" s="27">
        <v>36.93333333333334</v>
      </c>
      <c r="AM71" s="56" t="str">
        <f t="array" ref="AM71">vlookup(C71,{DraftTracker!F:F,DraftTracker!E:E},2,0)</f>
        <v>CUSA</v>
      </c>
      <c r="AN71" s="56" t="str">
        <f>VLOOKUP(AM71,P5G5!A:B,2,0)</f>
        <v>Group of 5</v>
      </c>
      <c r="AO71" s="60" t="b">
        <f>IFERROR(__xludf.DUMMYFUNCTION("iferror(if(not(iserror(find(""FINAL"",G71))),max(arrayformula(value(REGEXEXTRACT(F71,""^""&amp;C71&amp;"" ([\d]+)|[^a-zA-Z] ""&amp;C71&amp;"" ([\d]+)""))))=max(value(REGEXEXTRACT(F71,"" ([\d]+)"")),value(REGEXEXTRACT(F71,""([\d]+)$""))),""""))"),TRUE)</f>
        <v>1</v>
      </c>
    </row>
    <row r="72">
      <c r="A72" s="19">
        <v>113.0</v>
      </c>
      <c r="B72" s="19" t="s">
        <v>109</v>
      </c>
      <c r="C72" s="21" t="s">
        <v>394</v>
      </c>
      <c r="D72" s="62">
        <v>6.0</v>
      </c>
      <c r="E72" s="27">
        <v>6.0</v>
      </c>
      <c r="F72" s="67" t="s">
        <v>395</v>
      </c>
      <c r="G72" s="27" t="s">
        <v>57</v>
      </c>
      <c r="H72" s="27" t="s">
        <v>166</v>
      </c>
      <c r="I72" s="33"/>
      <c r="J72" s="32"/>
      <c r="K72" s="33"/>
      <c r="L72" s="33"/>
      <c r="M72" s="35"/>
      <c r="N72" s="27"/>
      <c r="O72" s="27"/>
      <c r="P72" s="27"/>
      <c r="Q72" s="27"/>
      <c r="R72" s="27"/>
      <c r="S72" s="27"/>
      <c r="T72" s="27"/>
      <c r="U72" s="27"/>
      <c r="V72" s="27"/>
      <c r="W72" s="27"/>
      <c r="X72" s="27"/>
      <c r="Y72" s="27"/>
      <c r="Z72" s="27"/>
      <c r="AA72" s="27"/>
      <c r="AB72" s="27"/>
      <c r="AC72" s="27"/>
      <c r="AD72" s="27"/>
      <c r="AE72" s="27"/>
      <c r="AF72" s="27"/>
      <c r="AG72" s="27"/>
      <c r="AH72" s="33">
        <v>242.0</v>
      </c>
      <c r="AI72" s="27">
        <v>289.0</v>
      </c>
      <c r="AJ72" s="27">
        <v>2.0</v>
      </c>
      <c r="AK72" s="27" t="b">
        <v>0</v>
      </c>
      <c r="AL72" s="27">
        <v>100.0</v>
      </c>
      <c r="AM72" s="56" t="str">
        <f t="array" ref="AM72">vlookup(C72,{DraftTracker!F:F,DraftTracker!E:E},2,0)</f>
        <v>MWC</v>
      </c>
      <c r="AN72" s="56" t="str">
        <f>VLOOKUP(AM72,P5G5!A:B,2,0)</f>
        <v>Group of 5</v>
      </c>
      <c r="AO72" s="60" t="b">
        <f>IFERROR(__xludf.DUMMYFUNCTION("iferror(if(not(iserror(find(""FINAL"",G72))),max(arrayformula(value(REGEXEXTRACT(F72,""^""&amp;C72&amp;"" ([\d]+)|[^a-zA-Z] ""&amp;C72&amp;"" ([\d]+)""))))=max(value(REGEXEXTRACT(F72,"" ([\d]+)"")),value(REGEXEXTRACT(F72,""([\d]+)$""))),""""))"),TRUE)</f>
        <v>1</v>
      </c>
    </row>
    <row r="73">
      <c r="A73" s="19">
        <v>113.0</v>
      </c>
      <c r="B73" s="19" t="s">
        <v>109</v>
      </c>
      <c r="C73" s="21" t="s">
        <v>328</v>
      </c>
      <c r="D73" s="62">
        <v>3.0</v>
      </c>
      <c r="E73" s="27">
        <v>9.0</v>
      </c>
      <c r="F73" s="67" t="s">
        <v>397</v>
      </c>
      <c r="G73" s="27" t="s">
        <v>57</v>
      </c>
      <c r="H73" s="27" t="s">
        <v>103</v>
      </c>
      <c r="I73" s="33"/>
      <c r="J73" s="32"/>
      <c r="K73" s="33"/>
      <c r="L73" s="33"/>
      <c r="M73" s="35"/>
      <c r="N73" s="27"/>
      <c r="O73" s="27"/>
      <c r="P73" s="27"/>
      <c r="Q73" s="27"/>
      <c r="R73" s="27"/>
      <c r="S73" s="27"/>
      <c r="T73" s="27"/>
      <c r="U73" s="27"/>
      <c r="V73" s="27"/>
      <c r="W73" s="27"/>
      <c r="X73" s="27"/>
      <c r="Y73" s="27"/>
      <c r="Z73" s="27"/>
      <c r="AA73" s="27"/>
      <c r="AB73" s="27"/>
      <c r="AC73" s="27"/>
      <c r="AD73" s="27"/>
      <c r="AE73" s="27"/>
      <c r="AF73" s="27"/>
      <c r="AG73" s="27"/>
      <c r="AH73" s="33">
        <v>313.0</v>
      </c>
      <c r="AI73" s="27">
        <v>377.0</v>
      </c>
      <c r="AJ73" s="27">
        <v>2.0</v>
      </c>
      <c r="AK73" s="27" t="b">
        <v>1</v>
      </c>
      <c r="AL73" s="27">
        <v>100.0</v>
      </c>
      <c r="AM73" s="56" t="str">
        <f t="array" ref="AM73">vlookup(C73,{DraftTracker!F:F,DraftTracker!E:E},2,0)</f>
        <v>Pac12</v>
      </c>
      <c r="AN73" s="56" t="str">
        <f>VLOOKUP(AM73,P5G5!A:B,2,0)</f>
        <v>Power 5</v>
      </c>
      <c r="AO73" s="60" t="b">
        <f>IFERROR(__xludf.DUMMYFUNCTION("iferror(if(not(iserror(find(""FINAL"",G73))),max(arrayformula(value(REGEXEXTRACT(F73,""^""&amp;C73&amp;"" ([\d]+)|[^a-zA-Z] ""&amp;C73&amp;"" ([\d]+)""))))=max(value(REGEXEXTRACT(F73,"" ([\d]+)"")),value(REGEXEXTRACT(F73,""([\d]+)$""))),""""))"),FALSE)</f>
        <v>0</v>
      </c>
    </row>
    <row r="74">
      <c r="A74" s="19">
        <v>113.0</v>
      </c>
      <c r="B74" s="19" t="s">
        <v>109</v>
      </c>
      <c r="C74" s="21" t="s">
        <v>344</v>
      </c>
      <c r="D74" s="62">
        <v>6.0</v>
      </c>
      <c r="E74" s="27">
        <v>6.0</v>
      </c>
      <c r="F74" s="67" t="s">
        <v>402</v>
      </c>
      <c r="G74" s="27" t="s">
        <v>183</v>
      </c>
      <c r="H74" s="27" t="s">
        <v>144</v>
      </c>
      <c r="I74" s="33"/>
      <c r="J74" s="32"/>
      <c r="K74" s="33"/>
      <c r="L74" s="33"/>
      <c r="M74" s="35"/>
      <c r="N74" s="27"/>
      <c r="O74" s="27"/>
      <c r="P74" s="27"/>
      <c r="Q74" s="27"/>
      <c r="R74" s="27"/>
      <c r="S74" s="27"/>
      <c r="T74" s="27"/>
      <c r="U74" s="27"/>
      <c r="V74" s="27"/>
      <c r="W74" s="27"/>
      <c r="X74" s="27"/>
      <c r="Y74" s="27"/>
      <c r="Z74" s="27"/>
      <c r="AA74" s="27"/>
      <c r="AB74" s="27"/>
      <c r="AC74" s="27"/>
      <c r="AD74" s="27"/>
      <c r="AE74" s="27"/>
      <c r="AF74" s="27"/>
      <c r="AG74" s="27"/>
      <c r="AH74" s="33">
        <v>325.0</v>
      </c>
      <c r="AI74" s="27">
        <v>304.0</v>
      </c>
      <c r="AJ74" s="27">
        <v>2.0</v>
      </c>
      <c r="AK74" s="27" t="b">
        <v>1</v>
      </c>
      <c r="AL74" s="27">
        <v>100.0</v>
      </c>
      <c r="AM74" s="56" t="str">
        <f t="array" ref="AM74">vlookup(C74,{DraftTracker!F:F,DraftTracker!E:E},2,0)</f>
        <v>MAC</v>
      </c>
      <c r="AN74" s="56" t="str">
        <f>VLOOKUP(AM74,P5G5!A:B,2,0)</f>
        <v>Group of 5</v>
      </c>
      <c r="AO74" s="60" t="b">
        <f>IFERROR(__xludf.DUMMYFUNCTION("iferror(if(not(iserror(find(""FINAL"",G74))),max(arrayformula(value(REGEXEXTRACT(F74,""^""&amp;C74&amp;"" ([\d]+)|[^a-zA-Z] ""&amp;C74&amp;"" ([\d]+)""))))=max(value(REGEXEXTRACT(F74,"" ([\d]+)"")),value(REGEXEXTRACT(F74,""([\d]+)$""))),""""))"),FALSE)</f>
        <v>0</v>
      </c>
    </row>
    <row r="75">
      <c r="A75" s="19">
        <v>113.0</v>
      </c>
      <c r="B75" s="19" t="s">
        <v>109</v>
      </c>
      <c r="C75" s="21" t="s">
        <v>367</v>
      </c>
      <c r="D75" s="62">
        <v>9.0</v>
      </c>
      <c r="E75" s="27">
        <v>3.0</v>
      </c>
      <c r="F75" s="67" t="s">
        <v>406</v>
      </c>
      <c r="G75" s="27" t="s">
        <v>183</v>
      </c>
      <c r="H75" s="27" t="s">
        <v>154</v>
      </c>
      <c r="I75" s="33"/>
      <c r="J75" s="32"/>
      <c r="K75" s="33"/>
      <c r="L75" s="33"/>
      <c r="M75" s="35"/>
      <c r="N75" s="27"/>
      <c r="O75" s="27"/>
      <c r="P75" s="27"/>
      <c r="Q75" s="27"/>
      <c r="R75" s="27"/>
      <c r="S75" s="27"/>
      <c r="T75" s="27"/>
      <c r="U75" s="27"/>
      <c r="V75" s="27"/>
      <c r="W75" s="27"/>
      <c r="X75" s="27"/>
      <c r="Y75" s="27"/>
      <c r="Z75" s="27"/>
      <c r="AA75" s="27"/>
      <c r="AB75" s="27"/>
      <c r="AC75" s="27"/>
      <c r="AD75" s="27"/>
      <c r="AE75" s="27"/>
      <c r="AF75" s="27"/>
      <c r="AG75" s="27"/>
      <c r="AH75" s="33">
        <v>445.0</v>
      </c>
      <c r="AI75" s="27">
        <v>364.0</v>
      </c>
      <c r="AJ75" s="27">
        <v>2.0</v>
      </c>
      <c r="AK75" s="27" t="b">
        <v>1</v>
      </c>
      <c r="AL75" s="27">
        <v>100.0</v>
      </c>
      <c r="AM75" s="56" t="str">
        <f t="array" ref="AM75">vlookup(C75,{DraftTracker!F:F,DraftTracker!E:E},2,0)</f>
        <v>ACC</v>
      </c>
      <c r="AN75" s="56" t="str">
        <f>VLOOKUP(AM75,P5G5!A:B,2,0)</f>
        <v>Power 5</v>
      </c>
      <c r="AO75" s="60" t="b">
        <f>IFERROR(__xludf.DUMMYFUNCTION("iferror(if(not(iserror(find(""FINAL"",G75))),max(arrayformula(value(REGEXEXTRACT(F75,""^""&amp;C75&amp;"" ([\d]+)|[^a-zA-Z] ""&amp;C75&amp;"" ([\d]+)""))))=max(value(REGEXEXTRACT(F75,"" ([\d]+)"")),value(REGEXEXTRACT(F75,""([\d]+)$""))),""""))"),FALSE)</f>
        <v>0</v>
      </c>
    </row>
    <row r="76">
      <c r="A76" s="19">
        <v>113.0</v>
      </c>
      <c r="B76" s="19" t="s">
        <v>109</v>
      </c>
      <c r="C76" s="21" t="s">
        <v>360</v>
      </c>
      <c r="D76" s="62">
        <v>9.0</v>
      </c>
      <c r="E76" s="27">
        <v>3.0</v>
      </c>
      <c r="F76" s="67" t="s">
        <v>407</v>
      </c>
      <c r="G76" s="27" t="s">
        <v>183</v>
      </c>
      <c r="H76" s="27" t="s">
        <v>148</v>
      </c>
      <c r="I76" s="33" t="s">
        <v>82</v>
      </c>
      <c r="J76" s="32"/>
      <c r="K76" s="33"/>
      <c r="L76" s="33"/>
      <c r="M76" s="35"/>
      <c r="N76" s="27"/>
      <c r="O76" s="27"/>
      <c r="P76" s="27"/>
      <c r="Q76" s="27"/>
      <c r="R76" s="27"/>
      <c r="S76" s="27"/>
      <c r="T76" s="27"/>
      <c r="U76" s="27"/>
      <c r="V76" s="27"/>
      <c r="W76" s="27"/>
      <c r="X76" s="27"/>
      <c r="Y76" s="27"/>
      <c r="Z76" s="27"/>
      <c r="AA76" s="27"/>
      <c r="AB76" s="27"/>
      <c r="AC76" s="27"/>
      <c r="AD76" s="27"/>
      <c r="AE76" s="27"/>
      <c r="AF76" s="27"/>
      <c r="AG76" s="27"/>
      <c r="AH76" s="33">
        <v>367.0</v>
      </c>
      <c r="AI76" s="27">
        <v>220.0</v>
      </c>
      <c r="AJ76" s="27">
        <v>3.0</v>
      </c>
      <c r="AK76" s="27" t="b">
        <v>0</v>
      </c>
      <c r="AL76" s="27">
        <v>100.0</v>
      </c>
      <c r="AM76" s="56" t="str">
        <f t="array" ref="AM76">vlookup(C76,{DraftTracker!F:F,DraftTracker!E:E},2,0)</f>
        <v>SEC</v>
      </c>
      <c r="AN76" s="56" t="str">
        <f>VLOOKUP(AM76,P5G5!A:B,2,0)</f>
        <v>Power 5</v>
      </c>
      <c r="AO76" s="60" t="b">
        <f>IFERROR(__xludf.DUMMYFUNCTION("iferror(if(not(iserror(find(""FINAL"",G76))),max(arrayformula(value(REGEXEXTRACT(F76,""^""&amp;C76&amp;"" ([\d]+)|[^a-zA-Z] ""&amp;C76&amp;"" ([\d]+)""))))=max(value(REGEXEXTRACT(F76,"" ([\d]+)"")),value(REGEXEXTRACT(F76,""([\d]+)$""))),""""))"),FALSE)</f>
        <v>0</v>
      </c>
    </row>
    <row r="77">
      <c r="A77" s="19">
        <v>113.0</v>
      </c>
      <c r="B77" s="19" t="s">
        <v>109</v>
      </c>
      <c r="C77" s="21" t="s">
        <v>400</v>
      </c>
      <c r="D77" s="62">
        <v>8.0</v>
      </c>
      <c r="E77" s="27">
        <v>4.0</v>
      </c>
      <c r="F77" s="67" t="s">
        <v>408</v>
      </c>
      <c r="G77" s="27" t="s">
        <v>183</v>
      </c>
      <c r="H77" s="27" t="s">
        <v>116</v>
      </c>
      <c r="I77" s="33" t="s">
        <v>58</v>
      </c>
      <c r="J77" s="32"/>
      <c r="K77" s="33"/>
      <c r="L77" s="33"/>
      <c r="M77" s="35"/>
      <c r="N77" s="27"/>
      <c r="O77" s="27"/>
      <c r="P77" s="27"/>
      <c r="Q77" s="27"/>
      <c r="R77" s="27"/>
      <c r="S77" s="27"/>
      <c r="T77" s="27"/>
      <c r="U77" s="27"/>
      <c r="V77" s="27"/>
      <c r="W77" s="27"/>
      <c r="X77" s="27"/>
      <c r="Y77" s="27"/>
      <c r="Z77" s="27"/>
      <c r="AA77" s="27"/>
      <c r="AB77" s="27"/>
      <c r="AC77" s="27"/>
      <c r="AD77" s="27"/>
      <c r="AE77" s="27"/>
      <c r="AF77" s="27"/>
      <c r="AG77" s="27"/>
      <c r="AH77" s="33">
        <v>341.0</v>
      </c>
      <c r="AI77" s="27">
        <v>223.0</v>
      </c>
      <c r="AJ77" s="27">
        <v>3.0</v>
      </c>
      <c r="AK77" s="27" t="b">
        <v>1</v>
      </c>
      <c r="AL77" s="27">
        <v>100.0</v>
      </c>
      <c r="AM77" s="56" t="str">
        <f t="array" ref="AM77">vlookup(C77,{DraftTracker!F:F,DraftTracker!E:E},2,0)</f>
        <v>Big 12</v>
      </c>
      <c r="AN77" s="56" t="str">
        <f>VLOOKUP(AM77,P5G5!A:B,2,0)</f>
        <v>Power 5</v>
      </c>
      <c r="AO77" s="60" t="b">
        <f>IFERROR(__xludf.DUMMYFUNCTION("iferror(if(not(iserror(find(""FINAL"",G77))),max(arrayformula(value(REGEXEXTRACT(F77,""^""&amp;C77&amp;"" ([\d]+)|[^a-zA-Z] ""&amp;C77&amp;"" ([\d]+)""))))=max(value(REGEXEXTRACT(F77,"" ([\d]+)"")),value(REGEXEXTRACT(F77,""([\d]+)$""))),""""))"),FALSE)</f>
        <v>0</v>
      </c>
    </row>
    <row r="78">
      <c r="A78" s="1">
        <v>114.0</v>
      </c>
      <c r="B78" s="1"/>
      <c r="C78" s="2"/>
      <c r="D78" s="2"/>
      <c r="E78" s="2"/>
      <c r="F78" s="4"/>
      <c r="G78" s="2"/>
      <c r="H78" s="2"/>
      <c r="I78" s="2"/>
      <c r="J78" s="4"/>
      <c r="K78" s="2"/>
      <c r="L78" s="2"/>
      <c r="M78" s="89"/>
      <c r="N78" s="2"/>
      <c r="O78" s="90"/>
      <c r="P78" s="2"/>
      <c r="Q78" s="90"/>
      <c r="R78" s="2"/>
      <c r="S78" s="90"/>
      <c r="T78" s="2"/>
      <c r="U78" s="90"/>
      <c r="V78" s="2"/>
      <c r="W78" s="90"/>
      <c r="X78" s="2"/>
      <c r="Y78" s="90"/>
      <c r="Z78" s="2"/>
      <c r="AA78" s="90"/>
      <c r="AB78" s="2"/>
      <c r="AC78" s="90"/>
      <c r="AD78" s="2"/>
      <c r="AE78" s="90"/>
      <c r="AF78" s="2"/>
      <c r="AG78" s="2"/>
      <c r="AH78" s="2"/>
      <c r="AI78" s="2"/>
      <c r="AJ78" s="2"/>
      <c r="AK78" s="2"/>
      <c r="AL78" s="2"/>
      <c r="AM78" s="91" t="str">
        <f t="array" ref="AM78">vlookup(C78,{DraftTracker!F:F,DraftTracker!E:E},2,0)</f>
        <v>#N/A</v>
      </c>
      <c r="AN78" s="91" t="str">
        <f>VLOOKUP(AM78,P5G5!A:B,2,0)</f>
        <v>#N/A</v>
      </c>
      <c r="AO78" s="56" t="str">
        <f>IFERROR(__xludf.DUMMYFUNCTION("iferror(if(not(iserror(find(""FINAL"",G78))),max(arrayformula(value(REGEXEXTRACT(F78,""^""&amp;C78&amp;"" ([\d]+)|[^a-zA-Z] ""&amp;C78&amp;"" ([\d]+)""))))=max(value(REGEXEXTRACT(F78,"" ([\d]+)"")),value(REGEXEXTRACT(F78,""([\d]+)$""))),""""))"),"")</f>
        <v/>
      </c>
    </row>
    <row r="79">
      <c r="A79" s="19">
        <v>115.0</v>
      </c>
      <c r="B79" s="20" t="s">
        <v>144</v>
      </c>
      <c r="C79" s="21" t="s">
        <v>338</v>
      </c>
      <c r="D79" s="22">
        <v>6.0</v>
      </c>
      <c r="E79" s="23">
        <v>6.0</v>
      </c>
      <c r="F79" s="25" t="s">
        <v>409</v>
      </c>
      <c r="G79" s="27" t="s">
        <v>183</v>
      </c>
      <c r="H79" s="28" t="s">
        <v>131</v>
      </c>
      <c r="I79" s="30" t="s">
        <v>133</v>
      </c>
      <c r="J79" s="32"/>
      <c r="K79" s="33"/>
      <c r="L79" s="33"/>
      <c r="M79" s="35"/>
      <c r="N79" s="27"/>
      <c r="O79" s="27"/>
      <c r="P79" s="27"/>
      <c r="Q79" s="27"/>
      <c r="R79" s="27"/>
      <c r="S79" s="27"/>
      <c r="T79" s="27"/>
      <c r="U79" s="27"/>
      <c r="V79" s="27"/>
      <c r="W79" s="27"/>
      <c r="X79" s="27"/>
      <c r="Y79" s="27"/>
      <c r="Z79" s="27"/>
      <c r="AA79" s="27"/>
      <c r="AB79" s="27"/>
      <c r="AC79" s="27"/>
      <c r="AD79" s="27"/>
      <c r="AE79" s="27"/>
      <c r="AF79" s="27"/>
      <c r="AG79" s="27"/>
      <c r="AH79" s="30">
        <v>271.0</v>
      </c>
      <c r="AI79" s="23">
        <v>272.0</v>
      </c>
      <c r="AJ79" s="27">
        <v>0.0</v>
      </c>
      <c r="AK79" s="27" t="b">
        <v>0</v>
      </c>
      <c r="AL79" s="27">
        <v>18.6</v>
      </c>
      <c r="AM79" s="56" t="str">
        <f t="array" ref="AM79">vlookup(C79,{DraftTracker!F:F,DraftTracker!E:E},2,0)</f>
        <v>CUSA</v>
      </c>
      <c r="AN79" s="56" t="str">
        <f>VLOOKUP(AM79,P5G5!A:B,2,0)</f>
        <v>Group of 5</v>
      </c>
      <c r="AO79" s="60" t="b">
        <f>IFERROR(__xludf.DUMMYFUNCTION("iferror(if(not(iserror(find(""FINAL"",G79))),max(arrayformula(value(REGEXEXTRACT(F79,""^""&amp;C79&amp;"" ([\d]+)|[^a-zA-Z] ""&amp;C79&amp;"" ([\d]+)""))))=max(value(REGEXEXTRACT(F79,"" ([\d]+)"")),value(REGEXEXTRACT(F79,""([\d]+)$""))),""""))"),TRUE)</f>
        <v>1</v>
      </c>
    </row>
    <row r="80">
      <c r="A80" s="19">
        <v>115.0</v>
      </c>
      <c r="B80" s="19" t="s">
        <v>144</v>
      </c>
      <c r="C80" s="21" t="s">
        <v>342</v>
      </c>
      <c r="D80" s="62">
        <v>1.0</v>
      </c>
      <c r="E80" s="27">
        <v>11.0</v>
      </c>
      <c r="F80" s="63" t="s">
        <v>392</v>
      </c>
      <c r="G80" s="27" t="s">
        <v>183</v>
      </c>
      <c r="H80" s="64" t="s">
        <v>154</v>
      </c>
      <c r="I80" s="33" t="s">
        <v>93</v>
      </c>
      <c r="J80" s="32"/>
      <c r="K80" s="33"/>
      <c r="L80" s="33"/>
      <c r="M80" s="35"/>
      <c r="N80" s="27"/>
      <c r="O80" s="27"/>
      <c r="P80" s="27"/>
      <c r="Q80" s="27"/>
      <c r="R80" s="27"/>
      <c r="S80" s="27"/>
      <c r="T80" s="27"/>
      <c r="U80" s="27"/>
      <c r="V80" s="27"/>
      <c r="W80" s="27"/>
      <c r="X80" s="27"/>
      <c r="Y80" s="27"/>
      <c r="Z80" s="27"/>
      <c r="AA80" s="27"/>
      <c r="AB80" s="27"/>
      <c r="AC80" s="27"/>
      <c r="AD80" s="27"/>
      <c r="AE80" s="27"/>
      <c r="AF80" s="27"/>
      <c r="AG80" s="27"/>
      <c r="AH80" s="33">
        <v>164.0</v>
      </c>
      <c r="AI80" s="27">
        <v>471.0</v>
      </c>
      <c r="AJ80" s="27">
        <v>0.0</v>
      </c>
      <c r="AK80" s="27" t="b">
        <v>0</v>
      </c>
      <c r="AL80" s="27">
        <v>100.0</v>
      </c>
      <c r="AM80" s="56" t="str">
        <f t="array" ref="AM80">vlookup(C80,{DraftTracker!F:F,DraftTracker!E:E},2,0)</f>
        <v>Pac12</v>
      </c>
      <c r="AN80" s="56" t="str">
        <f>VLOOKUP(AM80,P5G5!A:B,2,0)</f>
        <v>Power 5</v>
      </c>
      <c r="AO80" s="60" t="b">
        <f>IFERROR(__xludf.DUMMYFUNCTION("iferror(if(not(iserror(find(""FINAL"",G80))),max(arrayformula(value(REGEXEXTRACT(F80,""^""&amp;C80&amp;"" ([\d]+)|[^a-zA-Z] ""&amp;C80&amp;"" ([\d]+)""))))=max(value(REGEXEXTRACT(F80,"" ([\d]+)"")),value(REGEXEXTRACT(F80,""([\d]+)$""))),""""))"),FALSE)</f>
        <v>0</v>
      </c>
    </row>
    <row r="81">
      <c r="A81" s="19">
        <v>115.0</v>
      </c>
      <c r="B81" s="19" t="s">
        <v>144</v>
      </c>
      <c r="C81" s="21" t="s">
        <v>321</v>
      </c>
      <c r="D81" s="62">
        <v>8.0</v>
      </c>
      <c r="E81" s="27">
        <v>4.0</v>
      </c>
      <c r="F81" s="67" t="s">
        <v>411</v>
      </c>
      <c r="G81" s="64" t="s">
        <v>57</v>
      </c>
      <c r="H81" s="64" t="s">
        <v>154</v>
      </c>
      <c r="I81" s="33"/>
      <c r="J81" s="32"/>
      <c r="K81" s="33"/>
      <c r="L81" s="33"/>
      <c r="M81" s="35"/>
      <c r="N81" s="27"/>
      <c r="O81" s="27"/>
      <c r="P81" s="27"/>
      <c r="Q81" s="27"/>
      <c r="R81" s="27"/>
      <c r="S81" s="27"/>
      <c r="T81" s="27"/>
      <c r="U81" s="27"/>
      <c r="V81" s="27"/>
      <c r="W81" s="27"/>
      <c r="X81" s="27"/>
      <c r="Y81" s="27"/>
      <c r="Z81" s="27"/>
      <c r="AA81" s="27"/>
      <c r="AB81" s="27"/>
      <c r="AC81" s="27"/>
      <c r="AD81" s="27"/>
      <c r="AE81" s="27"/>
      <c r="AF81" s="27"/>
      <c r="AG81" s="27"/>
      <c r="AH81" s="33">
        <v>305.0</v>
      </c>
      <c r="AI81" s="27">
        <v>147.0</v>
      </c>
      <c r="AJ81" s="27">
        <v>2.0</v>
      </c>
      <c r="AK81" s="27" t="b">
        <v>1</v>
      </c>
      <c r="AL81" s="27">
        <v>100.0</v>
      </c>
      <c r="AM81" s="56" t="str">
        <f t="array" ref="AM81">vlookup(C81,{DraftTracker!F:F,DraftTracker!E:E},2,0)</f>
        <v>Big Ten</v>
      </c>
      <c r="AN81" s="56" t="str">
        <f>VLOOKUP(AM81,P5G5!A:B,2,0)</f>
        <v>Power 5</v>
      </c>
      <c r="AO81" s="60" t="b">
        <f>IFERROR(__xludf.DUMMYFUNCTION("iferror(if(not(iserror(find(""FINAL"",G81))),max(arrayformula(value(REGEXEXTRACT(F81,""^""&amp;C81&amp;"" ([\d]+)|[^a-zA-Z] ""&amp;C81&amp;"" ([\d]+)""))))=max(value(REGEXEXTRACT(F81,"" ([\d]+)"")),value(REGEXEXTRACT(F81,""([\d]+)$""))),""""))"),TRUE)</f>
        <v>1</v>
      </c>
    </row>
    <row r="82">
      <c r="A82" s="19">
        <v>115.0</v>
      </c>
      <c r="B82" s="19" t="s">
        <v>144</v>
      </c>
      <c r="C82" s="21" t="s">
        <v>325</v>
      </c>
      <c r="D82" s="62">
        <v>7.0</v>
      </c>
      <c r="E82" s="27">
        <v>5.0</v>
      </c>
      <c r="F82" s="67" t="s">
        <v>412</v>
      </c>
      <c r="G82" s="27" t="s">
        <v>57</v>
      </c>
      <c r="H82" s="27" t="s">
        <v>103</v>
      </c>
      <c r="I82" s="33"/>
      <c r="J82" s="32"/>
      <c r="K82" s="33"/>
      <c r="L82" s="33"/>
      <c r="M82" s="35"/>
      <c r="N82" s="27"/>
      <c r="O82" s="27"/>
      <c r="P82" s="27"/>
      <c r="Q82" s="27"/>
      <c r="R82" s="27"/>
      <c r="S82" s="27"/>
      <c r="T82" s="27"/>
      <c r="U82" s="27"/>
      <c r="V82" s="27"/>
      <c r="W82" s="27"/>
      <c r="X82" s="27"/>
      <c r="Y82" s="27"/>
      <c r="Z82" s="27"/>
      <c r="AA82" s="27"/>
      <c r="AB82" s="27"/>
      <c r="AC82" s="27"/>
      <c r="AD82" s="27"/>
      <c r="AE82" s="27"/>
      <c r="AF82" s="27"/>
      <c r="AG82" s="27"/>
      <c r="AH82" s="33">
        <v>370.0</v>
      </c>
      <c r="AI82" s="27">
        <v>324.0</v>
      </c>
      <c r="AJ82" s="27">
        <v>2.0</v>
      </c>
      <c r="AK82" s="27" t="b">
        <v>1</v>
      </c>
      <c r="AL82" s="27">
        <v>100.0</v>
      </c>
      <c r="AM82" s="56" t="str">
        <f t="array" ref="AM82">vlookup(C82,{DraftTracker!F:F,DraftTracker!E:E},2,0)</f>
        <v>AAC</v>
      </c>
      <c r="AN82" s="56" t="str">
        <f>VLOOKUP(AM82,P5G5!A:B,2,0)</f>
        <v>Group of 5</v>
      </c>
      <c r="AO82" s="60" t="b">
        <f>IFERROR(__xludf.DUMMYFUNCTION("iferror(if(not(iserror(find(""FINAL"",G82))),max(arrayformula(value(REGEXEXTRACT(F82,""^""&amp;C82&amp;"" ([\d]+)|[^a-zA-Z] ""&amp;C82&amp;"" ([\d]+)""))))=max(value(REGEXEXTRACT(F82,"" ([\d]+)"")),value(REGEXEXTRACT(F82,""([\d]+)$""))),""""))"),TRUE)</f>
        <v>1</v>
      </c>
    </row>
    <row r="83">
      <c r="A83" s="19">
        <v>115.0</v>
      </c>
      <c r="B83" s="19" t="s">
        <v>144</v>
      </c>
      <c r="C83" s="21" t="s">
        <v>371</v>
      </c>
      <c r="D83" s="62">
        <v>5.0</v>
      </c>
      <c r="E83" s="27">
        <v>7.0</v>
      </c>
      <c r="F83" s="67" t="s">
        <v>414</v>
      </c>
      <c r="G83" s="27" t="s">
        <v>57</v>
      </c>
      <c r="H83" s="27" t="s">
        <v>116</v>
      </c>
      <c r="I83" s="33"/>
      <c r="J83" s="32"/>
      <c r="K83" s="33"/>
      <c r="L83" s="33"/>
      <c r="M83" s="35"/>
      <c r="N83" s="27"/>
      <c r="O83" s="27"/>
      <c r="P83" s="27"/>
      <c r="Q83" s="27"/>
      <c r="R83" s="27"/>
      <c r="S83" s="27"/>
      <c r="T83" s="27"/>
      <c r="U83" s="27"/>
      <c r="V83" s="27"/>
      <c r="W83" s="27"/>
      <c r="X83" s="27"/>
      <c r="Y83" s="27"/>
      <c r="Z83" s="27"/>
      <c r="AA83" s="27"/>
      <c r="AB83" s="27"/>
      <c r="AC83" s="27"/>
      <c r="AD83" s="27"/>
      <c r="AE83" s="27"/>
      <c r="AF83" s="27"/>
      <c r="AG83" s="27"/>
      <c r="AH83" s="33">
        <v>367.0</v>
      </c>
      <c r="AI83" s="27">
        <v>395.0</v>
      </c>
      <c r="AJ83" s="27">
        <v>2.0</v>
      </c>
      <c r="AK83" s="27" t="b">
        <v>0</v>
      </c>
      <c r="AL83" s="27">
        <v>100.0</v>
      </c>
      <c r="AM83" s="56" t="str">
        <f t="array" ref="AM83">vlookup(C83,{DraftTracker!F:F,DraftTracker!E:E},2,0)</f>
        <v>Big 12</v>
      </c>
      <c r="AN83" s="56" t="str">
        <f>VLOOKUP(AM83,P5G5!A:B,2,0)</f>
        <v>Power 5</v>
      </c>
      <c r="AO83" s="60" t="b">
        <f>IFERROR(__xludf.DUMMYFUNCTION("iferror(if(not(iserror(find(""FINAL"",G83))),max(arrayformula(value(REGEXEXTRACT(F83,""^""&amp;C83&amp;"" ([\d]+)|[^a-zA-Z] ""&amp;C83&amp;"" ([\d]+)""))))=max(value(REGEXEXTRACT(F83,"" ([\d]+)"")),value(REGEXEXTRACT(F83,""([\d]+)$""))),""""))"),TRUE)</f>
        <v>1</v>
      </c>
    </row>
    <row r="84">
      <c r="A84" s="19">
        <v>115.0</v>
      </c>
      <c r="B84" s="19" t="s">
        <v>144</v>
      </c>
      <c r="C84" s="21" t="s">
        <v>300</v>
      </c>
      <c r="D84" s="62">
        <v>9.0</v>
      </c>
      <c r="E84" s="27">
        <v>2.0</v>
      </c>
      <c r="F84" s="67" t="s">
        <v>301</v>
      </c>
      <c r="G84" s="27" t="s">
        <v>57</v>
      </c>
      <c r="H84" s="27" t="s">
        <v>116</v>
      </c>
      <c r="I84" s="33"/>
      <c r="J84" s="32"/>
      <c r="K84" s="33"/>
      <c r="L84" s="33"/>
      <c r="M84" s="35"/>
      <c r="N84" s="27"/>
      <c r="O84" s="27"/>
      <c r="P84" s="27"/>
      <c r="Q84" s="27"/>
      <c r="R84" s="27"/>
      <c r="S84" s="27"/>
      <c r="T84" s="27"/>
      <c r="U84" s="27"/>
      <c r="V84" s="27"/>
      <c r="W84" s="27"/>
      <c r="X84" s="27"/>
      <c r="Y84" s="27"/>
      <c r="Z84" s="27"/>
      <c r="AA84" s="27"/>
      <c r="AB84" s="27"/>
      <c r="AC84" s="27"/>
      <c r="AD84" s="27"/>
      <c r="AE84" s="27"/>
      <c r="AF84" s="27"/>
      <c r="AG84" s="27"/>
      <c r="AH84" s="33">
        <v>323.0</v>
      </c>
      <c r="AI84" s="27">
        <v>316.0</v>
      </c>
      <c r="AJ84" s="27">
        <v>2.0</v>
      </c>
      <c r="AK84" s="27" t="b">
        <v>0</v>
      </c>
      <c r="AL84" s="27">
        <v>100.0</v>
      </c>
      <c r="AM84" s="56" t="str">
        <f t="array" ref="AM84">vlookup(C84,{DraftTracker!F:F,DraftTracker!E:E},2,0)</f>
        <v>Sun Belt</v>
      </c>
      <c r="AN84" s="56" t="str">
        <f>VLOOKUP(AM84,P5G5!A:B,2,0)</f>
        <v>Group of 5</v>
      </c>
      <c r="AO84" s="60" t="b">
        <f>IFERROR(__xludf.DUMMYFUNCTION("iferror(if(not(iserror(find(""FINAL"",G84))),max(arrayformula(value(REGEXEXTRACT(F84,""^""&amp;C84&amp;"" ([\d]+)|[^a-zA-Z] ""&amp;C84&amp;"" ([\d]+)""))))=max(value(REGEXEXTRACT(F84,"" ([\d]+)"")),value(REGEXEXTRACT(F84,""([\d]+)$""))),""""))"),FALSE)</f>
        <v>0</v>
      </c>
    </row>
    <row r="85">
      <c r="A85" s="19">
        <v>115.0</v>
      </c>
      <c r="B85" s="19" t="s">
        <v>144</v>
      </c>
      <c r="C85" s="21" t="s">
        <v>345</v>
      </c>
      <c r="D85" s="62">
        <v>8.0</v>
      </c>
      <c r="E85" s="27">
        <v>4.0</v>
      </c>
      <c r="F85" s="67" t="s">
        <v>413</v>
      </c>
      <c r="G85" s="27" t="s">
        <v>57</v>
      </c>
      <c r="H85" s="27" t="s">
        <v>154</v>
      </c>
      <c r="I85" s="33"/>
      <c r="J85" s="32"/>
      <c r="K85" s="33"/>
      <c r="L85" s="33"/>
      <c r="M85" s="35"/>
      <c r="N85" s="27"/>
      <c r="O85" s="27"/>
      <c r="P85" s="27"/>
      <c r="Q85" s="27"/>
      <c r="R85" s="27"/>
      <c r="S85" s="27"/>
      <c r="T85" s="27"/>
      <c r="U85" s="27"/>
      <c r="V85" s="27"/>
      <c r="W85" s="27"/>
      <c r="X85" s="27"/>
      <c r="Y85" s="27"/>
      <c r="Z85" s="27"/>
      <c r="AA85" s="27"/>
      <c r="AB85" s="27"/>
      <c r="AC85" s="27"/>
      <c r="AD85" s="27"/>
      <c r="AE85" s="27"/>
      <c r="AF85" s="27"/>
      <c r="AG85" s="27"/>
      <c r="AH85" s="33">
        <v>371.0</v>
      </c>
      <c r="AI85" s="27">
        <v>250.0</v>
      </c>
      <c r="AJ85" s="27">
        <v>2.0</v>
      </c>
      <c r="AK85" s="27" t="b">
        <v>0</v>
      </c>
      <c r="AL85" s="27">
        <v>100.0</v>
      </c>
      <c r="AM85" s="56" t="str">
        <f t="array" ref="AM85">vlookup(C85,{DraftTracker!F:F,DraftTracker!E:E},2,0)</f>
        <v>MWC</v>
      </c>
      <c r="AN85" s="56" t="str">
        <f>VLOOKUP(AM85,P5G5!A:B,2,0)</f>
        <v>Group of 5</v>
      </c>
      <c r="AO85" s="60" t="b">
        <f>IFERROR(__xludf.DUMMYFUNCTION("iferror(if(not(iserror(find(""FINAL"",G85))),max(arrayformula(value(REGEXEXTRACT(F85,""^""&amp;C85&amp;"" ([\d]+)|[^a-zA-Z] ""&amp;C85&amp;"" ([\d]+)""))))=max(value(REGEXEXTRACT(F85,"" ([\d]+)"")),value(REGEXEXTRACT(F85,""([\d]+)$""))),""""))"),TRUE)</f>
        <v>1</v>
      </c>
    </row>
    <row r="86">
      <c r="A86" s="19">
        <v>115.0</v>
      </c>
      <c r="B86" s="19" t="s">
        <v>144</v>
      </c>
      <c r="C86" s="21" t="s">
        <v>346</v>
      </c>
      <c r="D86" s="62">
        <v>6.0</v>
      </c>
      <c r="E86" s="27">
        <v>6.0</v>
      </c>
      <c r="F86" s="67" t="s">
        <v>416</v>
      </c>
      <c r="G86" s="27" t="s">
        <v>57</v>
      </c>
      <c r="H86" s="27" t="s">
        <v>103</v>
      </c>
      <c r="I86" s="33"/>
      <c r="J86" s="32"/>
      <c r="K86" s="33"/>
      <c r="L86" s="33"/>
      <c r="M86" s="35"/>
      <c r="N86" s="27"/>
      <c r="O86" s="27"/>
      <c r="P86" s="27"/>
      <c r="Q86" s="27"/>
      <c r="R86" s="27"/>
      <c r="S86" s="27"/>
      <c r="T86" s="27"/>
      <c r="U86" s="27"/>
      <c r="V86" s="27"/>
      <c r="W86" s="27"/>
      <c r="X86" s="27"/>
      <c r="Y86" s="27"/>
      <c r="Z86" s="27"/>
      <c r="AA86" s="27"/>
      <c r="AB86" s="27"/>
      <c r="AC86" s="27"/>
      <c r="AD86" s="27"/>
      <c r="AE86" s="27"/>
      <c r="AF86" s="27"/>
      <c r="AG86" s="27"/>
      <c r="AH86" s="33">
        <v>381.0</v>
      </c>
      <c r="AI86" s="27">
        <v>345.0</v>
      </c>
      <c r="AJ86" s="27">
        <v>2.0</v>
      </c>
      <c r="AK86" s="27" t="b">
        <v>0</v>
      </c>
      <c r="AL86" s="27">
        <v>100.0</v>
      </c>
      <c r="AM86" s="56" t="str">
        <f t="array" ref="AM86">vlookup(C86,{DraftTracker!F:F,DraftTracker!E:E},2,0)</f>
        <v>SEC</v>
      </c>
      <c r="AN86" s="56" t="str">
        <f>VLOOKUP(AM86,P5G5!A:B,2,0)</f>
        <v>Power 5</v>
      </c>
      <c r="AO86" s="60" t="b">
        <f>IFERROR(__xludf.DUMMYFUNCTION("iferror(if(not(iserror(find(""FINAL"",G86))),max(arrayformula(value(REGEXEXTRACT(F86,""^""&amp;C86&amp;"" ([\d]+)|[^a-zA-Z] ""&amp;C86&amp;"" ([\d]+)""))))=max(value(REGEXEXTRACT(F86,"" ([\d]+)"")),value(REGEXEXTRACT(F86,""([\d]+)$""))),""""))"),FALSE)</f>
        <v>0</v>
      </c>
    </row>
    <row r="87">
      <c r="A87" s="19">
        <v>115.0</v>
      </c>
      <c r="B87" s="19" t="s">
        <v>144</v>
      </c>
      <c r="C87" s="21" t="s">
        <v>359</v>
      </c>
      <c r="D87" s="62">
        <v>5.0</v>
      </c>
      <c r="E87" s="27">
        <v>7.0</v>
      </c>
      <c r="F87" s="67" t="s">
        <v>402</v>
      </c>
      <c r="G87" s="27" t="s">
        <v>183</v>
      </c>
      <c r="H87" s="27" t="s">
        <v>109</v>
      </c>
      <c r="I87" s="33"/>
      <c r="J87" s="32"/>
      <c r="K87" s="33"/>
      <c r="L87" s="33"/>
      <c r="M87" s="35"/>
      <c r="N87" s="27"/>
      <c r="O87" s="27"/>
      <c r="P87" s="27"/>
      <c r="Q87" s="27"/>
      <c r="R87" s="27"/>
      <c r="S87" s="27"/>
      <c r="T87" s="27"/>
      <c r="U87" s="27"/>
      <c r="V87" s="27"/>
      <c r="W87" s="27"/>
      <c r="X87" s="27"/>
      <c r="Y87" s="27"/>
      <c r="Z87" s="27"/>
      <c r="AA87" s="27"/>
      <c r="AB87" s="27"/>
      <c r="AC87" s="27"/>
      <c r="AD87" s="27"/>
      <c r="AE87" s="27"/>
      <c r="AF87" s="27"/>
      <c r="AG87" s="27"/>
      <c r="AH87" s="33">
        <v>341.0</v>
      </c>
      <c r="AI87" s="27">
        <v>348.0</v>
      </c>
      <c r="AJ87" s="27">
        <v>2.0</v>
      </c>
      <c r="AK87" s="27" t="b">
        <v>0</v>
      </c>
      <c r="AL87" s="27">
        <v>100.0</v>
      </c>
      <c r="AM87" s="56" t="str">
        <f t="array" ref="AM87">vlookup(C87,{DraftTracker!F:F,DraftTracker!E:E},2,0)</f>
        <v>MAC</v>
      </c>
      <c r="AN87" s="56" t="str">
        <f>VLOOKUP(AM87,P5G5!A:B,2,0)</f>
        <v>Group of 5</v>
      </c>
      <c r="AO87" s="60" t="b">
        <f>IFERROR(__xludf.DUMMYFUNCTION("iferror(if(not(iserror(find(""FINAL"",G87))),max(arrayformula(value(REGEXEXTRACT(F87,""^""&amp;C87&amp;"" ([\d]+)|[^a-zA-Z] ""&amp;C87&amp;"" ([\d]+)""))))=max(value(REGEXEXTRACT(F87,"" ([\d]+)"")),value(REGEXEXTRACT(F87,""([\d]+)$""))),""""))"),TRUE)</f>
        <v>1</v>
      </c>
    </row>
    <row r="88">
      <c r="A88" s="19">
        <v>115.0</v>
      </c>
      <c r="B88" s="19" t="s">
        <v>144</v>
      </c>
      <c r="C88" s="21" t="s">
        <v>357</v>
      </c>
      <c r="D88" s="62">
        <v>5.0</v>
      </c>
      <c r="E88" s="27">
        <v>7.0</v>
      </c>
      <c r="F88" s="67" t="s">
        <v>417</v>
      </c>
      <c r="G88" s="27" t="s">
        <v>183</v>
      </c>
      <c r="H88" s="27" t="s">
        <v>166</v>
      </c>
      <c r="I88" s="33" t="s">
        <v>97</v>
      </c>
      <c r="J88" s="32"/>
      <c r="K88" s="33"/>
      <c r="L88" s="33"/>
      <c r="M88" s="35"/>
      <c r="N88" s="27"/>
      <c r="O88" s="27"/>
      <c r="P88" s="27"/>
      <c r="Q88" s="27"/>
      <c r="R88" s="27"/>
      <c r="S88" s="27"/>
      <c r="T88" s="27"/>
      <c r="U88" s="27"/>
      <c r="V88" s="27"/>
      <c r="W88" s="27"/>
      <c r="X88" s="27"/>
      <c r="Y88" s="27"/>
      <c r="Z88" s="27"/>
      <c r="AA88" s="27"/>
      <c r="AB88" s="27"/>
      <c r="AC88" s="27"/>
      <c r="AD88" s="27"/>
      <c r="AE88" s="27"/>
      <c r="AF88" s="27"/>
      <c r="AG88" s="27"/>
      <c r="AH88" s="33">
        <v>267.0</v>
      </c>
      <c r="AI88" s="27">
        <v>279.0</v>
      </c>
      <c r="AJ88" s="27">
        <v>3.0</v>
      </c>
      <c r="AK88" s="27" t="b">
        <v>0</v>
      </c>
      <c r="AL88" s="27">
        <v>100.0</v>
      </c>
      <c r="AM88" s="56" t="str">
        <f t="array" ref="AM88">vlookup(C88,{DraftTracker!F:F,DraftTracker!E:E},2,0)</f>
        <v>ACC</v>
      </c>
      <c r="AN88" s="56" t="str">
        <f>VLOOKUP(AM88,P5G5!A:B,2,0)</f>
        <v>Power 5</v>
      </c>
      <c r="AO88" s="60" t="str">
        <f>IFERROR(__xludf.DUMMYFUNCTION("iferror(if(not(iserror(find(""FINAL"",G88))),max(arrayformula(value(REGEXEXTRACT(F88,""^""&amp;C88&amp;"" ([\d]+)|[^a-zA-Z] ""&amp;C88&amp;"" ([\d]+)""))))=max(value(REGEXEXTRACT(F88,"" ([\d]+)"")),value(REGEXEXTRACT(F88,""([\d]+)$""))),""""))"),"")</f>
        <v/>
      </c>
    </row>
    <row r="89">
      <c r="A89" s="1">
        <v>116.0</v>
      </c>
      <c r="B89" s="1"/>
      <c r="C89" s="2"/>
      <c r="D89" s="2"/>
      <c r="E89" s="2"/>
      <c r="F89" s="4"/>
      <c r="G89" s="2"/>
      <c r="H89" s="2"/>
      <c r="I89" s="2"/>
      <c r="J89" s="4"/>
      <c r="K89" s="2"/>
      <c r="L89" s="2"/>
      <c r="M89" s="89"/>
      <c r="N89" s="2"/>
      <c r="O89" s="2"/>
      <c r="P89" s="2"/>
      <c r="Q89" s="2"/>
      <c r="R89" s="2"/>
      <c r="S89" s="2"/>
      <c r="T89" s="2"/>
      <c r="U89" s="2"/>
      <c r="V89" s="2"/>
      <c r="W89" s="2"/>
      <c r="X89" s="2"/>
      <c r="Y89" s="2"/>
      <c r="Z89" s="2"/>
      <c r="AA89" s="2"/>
      <c r="AB89" s="2"/>
      <c r="AC89" s="2"/>
      <c r="AD89" s="2"/>
      <c r="AE89" s="2"/>
      <c r="AF89" s="2"/>
      <c r="AG89" s="2"/>
      <c r="AH89" s="2"/>
      <c r="AI89" s="2"/>
      <c r="AJ89" s="2"/>
      <c r="AK89" s="2"/>
      <c r="AL89" s="2"/>
      <c r="AM89" s="91" t="str">
        <f t="array" ref="AM89">vlookup(C89,{DraftTracker!F:F,DraftTracker!E:E},2,0)</f>
        <v>#N/A</v>
      </c>
      <c r="AN89" s="91" t="str">
        <f>VLOOKUP(AM89,P5G5!A:B,2,0)</f>
        <v>#N/A</v>
      </c>
      <c r="AO89" s="56" t="str">
        <f>IFERROR(__xludf.DUMMYFUNCTION("iferror(if(not(iserror(find(""FINAL"",G89))),max(arrayformula(value(REGEXEXTRACT(F89,""^""&amp;C89&amp;"" ([\d]+)|[^a-zA-Z] ""&amp;C89&amp;"" ([\d]+)""))))=max(value(REGEXEXTRACT(F89,"" ([\d]+)"")),value(REGEXEXTRACT(F89,""([\d]+)$""))),""""))"),"")</f>
        <v/>
      </c>
    </row>
    <row r="90">
      <c r="A90" s="19">
        <v>117.0</v>
      </c>
      <c r="B90" s="20" t="s">
        <v>166</v>
      </c>
      <c r="C90" s="21" t="s">
        <v>337</v>
      </c>
      <c r="D90" s="22">
        <v>5.0</v>
      </c>
      <c r="E90" s="23">
        <v>7.0</v>
      </c>
      <c r="F90" s="25" t="s">
        <v>288</v>
      </c>
      <c r="G90" s="27" t="s">
        <v>183</v>
      </c>
      <c r="H90" s="28" t="s">
        <v>141</v>
      </c>
      <c r="I90" s="30" t="s">
        <v>66</v>
      </c>
      <c r="J90" s="32"/>
      <c r="K90" s="33"/>
      <c r="L90" s="33"/>
      <c r="M90" s="35"/>
      <c r="N90" s="27"/>
      <c r="O90" s="27"/>
      <c r="P90" s="27"/>
      <c r="Q90" s="27"/>
      <c r="R90" s="27"/>
      <c r="S90" s="27"/>
      <c r="T90" s="27"/>
      <c r="U90" s="27"/>
      <c r="V90" s="27"/>
      <c r="W90" s="27"/>
      <c r="X90" s="27"/>
      <c r="Y90" s="27"/>
      <c r="Z90" s="27"/>
      <c r="AA90" s="27"/>
      <c r="AB90" s="27"/>
      <c r="AC90" s="27"/>
      <c r="AD90" s="27"/>
      <c r="AE90" s="27"/>
      <c r="AF90" s="27"/>
      <c r="AG90" s="27"/>
      <c r="AH90" s="30">
        <v>270.0</v>
      </c>
      <c r="AI90" s="23">
        <v>305.0</v>
      </c>
      <c r="AJ90" s="27">
        <v>0.0</v>
      </c>
      <c r="AK90" s="27" t="b">
        <v>1</v>
      </c>
      <c r="AL90" s="27">
        <v>1.06666666666667</v>
      </c>
      <c r="AM90" s="56" t="str">
        <f t="array" ref="AM90">vlookup(C90,{DraftTracker!F:F,DraftTracker!E:E},2,0)</f>
        <v>SEC</v>
      </c>
      <c r="AN90" s="56" t="str">
        <f>VLOOKUP(AM90,P5G5!A:B,2,0)</f>
        <v>Power 5</v>
      </c>
      <c r="AO90" s="60" t="b">
        <f>IFERROR(__xludf.DUMMYFUNCTION("iferror(if(not(iserror(find(""FINAL"",G90))),max(arrayformula(value(REGEXEXTRACT(F90,""^""&amp;C90&amp;"" ([\d]+)|[^a-zA-Z] ""&amp;C90&amp;"" ([\d]+)""))))=max(value(REGEXEXTRACT(F90,"" ([\d]+)"")),value(REGEXEXTRACT(F90,""([\d]+)$""))),""""))"),FALSE)</f>
        <v>0</v>
      </c>
    </row>
    <row r="91">
      <c r="A91" s="19">
        <v>117.0</v>
      </c>
      <c r="B91" s="19" t="s">
        <v>166</v>
      </c>
      <c r="C91" s="21" t="s">
        <v>334</v>
      </c>
      <c r="D91" s="62">
        <v>3.0</v>
      </c>
      <c r="E91" s="27">
        <v>9.0</v>
      </c>
      <c r="F91" s="63" t="s">
        <v>396</v>
      </c>
      <c r="G91" s="27" t="s">
        <v>183</v>
      </c>
      <c r="H91" s="64" t="s">
        <v>103</v>
      </c>
      <c r="I91" s="33" t="s">
        <v>126</v>
      </c>
      <c r="J91" s="32"/>
      <c r="K91" s="33"/>
      <c r="L91" s="33"/>
      <c r="M91" s="35"/>
      <c r="N91" s="27"/>
      <c r="O91" s="27"/>
      <c r="P91" s="27"/>
      <c r="Q91" s="27"/>
      <c r="R91" s="27"/>
      <c r="S91" s="27"/>
      <c r="T91" s="27"/>
      <c r="U91" s="27"/>
      <c r="V91" s="27"/>
      <c r="W91" s="27"/>
      <c r="X91" s="27"/>
      <c r="Y91" s="27"/>
      <c r="Z91" s="27"/>
      <c r="AA91" s="27"/>
      <c r="AB91" s="27"/>
      <c r="AC91" s="27"/>
      <c r="AD91" s="27"/>
      <c r="AE91" s="27"/>
      <c r="AF91" s="27"/>
      <c r="AG91" s="27"/>
      <c r="AH91" s="33">
        <v>321.0</v>
      </c>
      <c r="AI91" s="27">
        <v>418.0</v>
      </c>
      <c r="AJ91" s="27">
        <v>0.0</v>
      </c>
      <c r="AK91" s="27" t="b">
        <v>0</v>
      </c>
      <c r="AL91" s="27">
        <v>1.1499999999999986</v>
      </c>
      <c r="AM91" s="56" t="str">
        <f t="array" ref="AM91">vlookup(C91,{DraftTracker!F:F,DraftTracker!E:E},2,0)</f>
        <v>CUSA</v>
      </c>
      <c r="AN91" s="56" t="str">
        <f>VLOOKUP(AM91,P5G5!A:B,2,0)</f>
        <v>Group of 5</v>
      </c>
      <c r="AO91" s="60" t="b">
        <f>IFERROR(__xludf.DUMMYFUNCTION("iferror(if(not(iserror(find(""FINAL"",G91))),max(arrayformula(value(REGEXEXTRACT(F91,""^""&amp;C91&amp;"" ([\d]+)|[^a-zA-Z] ""&amp;C91&amp;"" ([\d]+)""))))=max(value(REGEXEXTRACT(F91,"" ([\d]+)"")),value(REGEXEXTRACT(F91,""([\d]+)$""))),""""))"),FALSE)</f>
        <v>0</v>
      </c>
    </row>
    <row r="92">
      <c r="A92" s="19">
        <v>117.0</v>
      </c>
      <c r="B92" s="19" t="s">
        <v>166</v>
      </c>
      <c r="C92" s="21" t="s">
        <v>327</v>
      </c>
      <c r="D92" s="62">
        <v>4.0</v>
      </c>
      <c r="E92" s="27">
        <v>8.0</v>
      </c>
      <c r="F92" s="67" t="s">
        <v>418</v>
      </c>
      <c r="G92" s="64" t="s">
        <v>57</v>
      </c>
      <c r="H92" s="64" t="s">
        <v>148</v>
      </c>
      <c r="I92" s="33"/>
      <c r="J92" s="32"/>
      <c r="K92" s="33"/>
      <c r="L92" s="33"/>
      <c r="M92" s="35"/>
      <c r="N92" s="27"/>
      <c r="O92" s="27"/>
      <c r="P92" s="27"/>
      <c r="Q92" s="27"/>
      <c r="R92" s="27"/>
      <c r="S92" s="27"/>
      <c r="T92" s="27"/>
      <c r="U92" s="27"/>
      <c r="V92" s="27"/>
      <c r="W92" s="27"/>
      <c r="X92" s="27"/>
      <c r="Y92" s="27"/>
      <c r="Z92" s="27"/>
      <c r="AA92" s="27"/>
      <c r="AB92" s="27"/>
      <c r="AC92" s="27"/>
      <c r="AD92" s="27"/>
      <c r="AE92" s="27"/>
      <c r="AF92" s="27"/>
      <c r="AG92" s="27"/>
      <c r="AH92" s="33">
        <v>279.0</v>
      </c>
      <c r="AI92" s="27">
        <v>407.0</v>
      </c>
      <c r="AJ92" s="27">
        <v>2.0</v>
      </c>
      <c r="AK92" s="27" t="b">
        <v>1</v>
      </c>
      <c r="AL92" s="27">
        <v>100.0</v>
      </c>
      <c r="AM92" s="56" t="str">
        <f t="array" ref="AM92">vlookup(C92,{DraftTracker!F:F,DraftTracker!E:E},2,0)</f>
        <v>Big Ten</v>
      </c>
      <c r="AN92" s="56" t="str">
        <f>VLOOKUP(AM92,P5G5!A:B,2,0)</f>
        <v>Power 5</v>
      </c>
      <c r="AO92" s="60" t="b">
        <f>IFERROR(__xludf.DUMMYFUNCTION("iferror(if(not(iserror(find(""FINAL"",G92))),max(arrayformula(value(REGEXEXTRACT(F92,""^""&amp;C92&amp;"" ([\d]+)|[^a-zA-Z] ""&amp;C92&amp;"" ([\d]+)""))))=max(value(REGEXEXTRACT(F92,"" ([\d]+)"")),value(REGEXEXTRACT(F92,""([\d]+)$""))),""""))"),FALSE)</f>
        <v>0</v>
      </c>
    </row>
    <row r="93">
      <c r="A93" s="19">
        <v>117.0</v>
      </c>
      <c r="B93" s="19" t="s">
        <v>166</v>
      </c>
      <c r="C93" s="21" t="s">
        <v>351</v>
      </c>
      <c r="D93" s="62">
        <v>3.0</v>
      </c>
      <c r="E93" s="27">
        <v>10.0</v>
      </c>
      <c r="F93" s="67" t="s">
        <v>350</v>
      </c>
      <c r="G93" s="27" t="s">
        <v>57</v>
      </c>
      <c r="H93" s="27" t="s">
        <v>141</v>
      </c>
      <c r="I93" s="33"/>
      <c r="J93" s="32"/>
      <c r="K93" s="33"/>
      <c r="L93" s="33"/>
      <c r="M93" s="35"/>
      <c r="N93" s="27"/>
      <c r="O93" s="27"/>
      <c r="P93" s="27"/>
      <c r="Q93" s="27"/>
      <c r="R93" s="27"/>
      <c r="S93" s="27"/>
      <c r="T93" s="27"/>
      <c r="U93" s="27"/>
      <c r="V93" s="27"/>
      <c r="W93" s="27"/>
      <c r="X93" s="27"/>
      <c r="Y93" s="27"/>
      <c r="Z93" s="27"/>
      <c r="AA93" s="27"/>
      <c r="AB93" s="27"/>
      <c r="AC93" s="27"/>
      <c r="AD93" s="27"/>
      <c r="AE93" s="27"/>
      <c r="AF93" s="27"/>
      <c r="AG93" s="27"/>
      <c r="AH93" s="33">
        <v>257.0</v>
      </c>
      <c r="AI93" s="27">
        <v>451.0</v>
      </c>
      <c r="AJ93" s="27">
        <v>2.0</v>
      </c>
      <c r="AK93" s="27" t="b">
        <v>1</v>
      </c>
      <c r="AL93" s="27">
        <v>100.0</v>
      </c>
      <c r="AM93" s="56" t="str">
        <f t="array" ref="AM93">vlookup(C93,{DraftTracker!F:F,DraftTracker!E:E},2,0)</f>
        <v>MWC</v>
      </c>
      <c r="AN93" s="56" t="str">
        <f>VLOOKUP(AM93,P5G5!A:B,2,0)</f>
        <v>Group of 5</v>
      </c>
      <c r="AO93" s="60" t="b">
        <f>IFERROR(__xludf.DUMMYFUNCTION("iferror(if(not(iserror(find(""FINAL"",G93))),max(arrayformula(value(REGEXEXTRACT(F93,""^""&amp;C93&amp;"" ([\d]+)|[^a-zA-Z] ""&amp;C93&amp;"" ([\d]+)""))))=max(value(REGEXEXTRACT(F93,"" ([\d]+)"")),value(REGEXEXTRACT(F93,""([\d]+)$""))),""""))"),FALSE)</f>
        <v>0</v>
      </c>
    </row>
    <row r="94">
      <c r="A94" s="19">
        <v>117.0</v>
      </c>
      <c r="B94" s="19" t="s">
        <v>166</v>
      </c>
      <c r="C94" s="21" t="s">
        <v>399</v>
      </c>
      <c r="D94" s="62">
        <v>8.0</v>
      </c>
      <c r="E94" s="27">
        <v>4.0</v>
      </c>
      <c r="F94" s="67" t="s">
        <v>395</v>
      </c>
      <c r="G94" s="27" t="s">
        <v>57</v>
      </c>
      <c r="H94" s="27" t="s">
        <v>109</v>
      </c>
      <c r="I94" s="33"/>
      <c r="J94" s="32"/>
      <c r="K94" s="33"/>
      <c r="L94" s="33"/>
      <c r="M94" s="35"/>
      <c r="N94" s="27"/>
      <c r="O94" s="27"/>
      <c r="P94" s="27"/>
      <c r="Q94" s="27"/>
      <c r="R94" s="27"/>
      <c r="S94" s="27"/>
      <c r="T94" s="27"/>
      <c r="U94" s="27"/>
      <c r="V94" s="27"/>
      <c r="W94" s="27"/>
      <c r="X94" s="27"/>
      <c r="Y94" s="27"/>
      <c r="Z94" s="27"/>
      <c r="AA94" s="27"/>
      <c r="AB94" s="27"/>
      <c r="AC94" s="27"/>
      <c r="AD94" s="27"/>
      <c r="AE94" s="27"/>
      <c r="AF94" s="27"/>
      <c r="AG94" s="27"/>
      <c r="AH94" s="33">
        <v>339.0</v>
      </c>
      <c r="AI94" s="27">
        <v>299.0</v>
      </c>
      <c r="AJ94" s="27">
        <v>2.0</v>
      </c>
      <c r="AK94" s="27" t="b">
        <v>1</v>
      </c>
      <c r="AL94" s="27">
        <v>100.0</v>
      </c>
      <c r="AM94" s="56" t="str">
        <f t="array" ref="AM94">vlookup(C94,{DraftTracker!F:F,DraftTracker!E:E},2,0)</f>
        <v>MAC</v>
      </c>
      <c r="AN94" s="56" t="str">
        <f>VLOOKUP(AM94,P5G5!A:B,2,0)</f>
        <v>Group of 5</v>
      </c>
      <c r="AO94" s="60" t="b">
        <f>IFERROR(__xludf.DUMMYFUNCTION("iferror(if(not(iserror(find(""FINAL"",G94))),max(arrayformula(value(REGEXEXTRACT(F94,""^""&amp;C94&amp;"" ([\d]+)|[^a-zA-Z] ""&amp;C94&amp;"" ([\d]+)""))))=max(value(REGEXEXTRACT(F94,"" ([\d]+)"")),value(REGEXEXTRACT(F94,""([\d]+)$""))),""""))"),FALSE)</f>
        <v>0</v>
      </c>
    </row>
    <row r="95">
      <c r="A95" s="19">
        <v>117.0</v>
      </c>
      <c r="B95" s="19" t="s">
        <v>166</v>
      </c>
      <c r="C95" s="21" t="s">
        <v>306</v>
      </c>
      <c r="D95" s="62">
        <v>8.0</v>
      </c>
      <c r="E95" s="27">
        <v>4.0</v>
      </c>
      <c r="F95" s="67" t="s">
        <v>307</v>
      </c>
      <c r="G95" s="27" t="s">
        <v>57</v>
      </c>
      <c r="H95" s="27" t="s">
        <v>103</v>
      </c>
      <c r="I95" s="33"/>
      <c r="J95" s="32"/>
      <c r="K95" s="33"/>
      <c r="L95" s="33"/>
      <c r="M95" s="35"/>
      <c r="N95" s="27"/>
      <c r="O95" s="27"/>
      <c r="P95" s="27"/>
      <c r="Q95" s="27"/>
      <c r="R95" s="27"/>
      <c r="S95" s="27"/>
      <c r="T95" s="27"/>
      <c r="U95" s="27"/>
      <c r="V95" s="27"/>
      <c r="W95" s="27"/>
      <c r="X95" s="27"/>
      <c r="Y95" s="27"/>
      <c r="Z95" s="27"/>
      <c r="AA95" s="27"/>
      <c r="AB95" s="27"/>
      <c r="AC95" s="27"/>
      <c r="AD95" s="27"/>
      <c r="AE95" s="27"/>
      <c r="AF95" s="27"/>
      <c r="AG95" s="27"/>
      <c r="AH95" s="33">
        <v>290.0</v>
      </c>
      <c r="AI95" s="27">
        <v>194.0</v>
      </c>
      <c r="AJ95" s="27">
        <v>2.0</v>
      </c>
      <c r="AK95" s="27" t="b">
        <v>0</v>
      </c>
      <c r="AL95" s="27">
        <v>100.0</v>
      </c>
      <c r="AM95" s="56" t="str">
        <f t="array" ref="AM95">vlookup(C95,{DraftTracker!F:F,DraftTracker!E:E},2,0)</f>
        <v>Sun Belt</v>
      </c>
      <c r="AN95" s="56" t="str">
        <f>VLOOKUP(AM95,P5G5!A:B,2,0)</f>
        <v>Group of 5</v>
      </c>
      <c r="AO95" s="60" t="b">
        <f>IFERROR(__xludf.DUMMYFUNCTION("iferror(if(not(iserror(find(""FINAL"",G95))),max(arrayformula(value(REGEXEXTRACT(F95,""^""&amp;C95&amp;"" ([\d]+)|[^a-zA-Z] ""&amp;C95&amp;"" ([\d]+)""))))=max(value(REGEXEXTRACT(F95,"" ([\d]+)"")),value(REGEXEXTRACT(F95,""([\d]+)$""))),""""))"),TRUE)</f>
        <v>1</v>
      </c>
    </row>
    <row r="96">
      <c r="A96" s="19">
        <v>117.0</v>
      </c>
      <c r="B96" s="19" t="s">
        <v>166</v>
      </c>
      <c r="C96" s="21" t="s">
        <v>398</v>
      </c>
      <c r="D96" s="62">
        <v>6.0</v>
      </c>
      <c r="E96" s="27">
        <v>6.0</v>
      </c>
      <c r="F96" s="67" t="s">
        <v>410</v>
      </c>
      <c r="G96" s="27" t="s">
        <v>57</v>
      </c>
      <c r="H96" s="27" t="s">
        <v>148</v>
      </c>
      <c r="I96" s="33"/>
      <c r="J96" s="32"/>
      <c r="K96" s="33"/>
      <c r="L96" s="33"/>
      <c r="M96" s="35"/>
      <c r="N96" s="27"/>
      <c r="O96" s="27"/>
      <c r="P96" s="27"/>
      <c r="Q96" s="27"/>
      <c r="R96" s="27"/>
      <c r="S96" s="27"/>
      <c r="T96" s="27"/>
      <c r="U96" s="27"/>
      <c r="V96" s="27"/>
      <c r="W96" s="27"/>
      <c r="X96" s="27"/>
      <c r="Y96" s="27"/>
      <c r="Z96" s="27"/>
      <c r="AA96" s="27"/>
      <c r="AB96" s="27"/>
      <c r="AC96" s="27"/>
      <c r="AD96" s="27"/>
      <c r="AE96" s="27"/>
      <c r="AF96" s="27"/>
      <c r="AG96" s="27"/>
      <c r="AH96" s="33">
        <v>323.0</v>
      </c>
      <c r="AI96" s="27">
        <v>253.0</v>
      </c>
      <c r="AJ96" s="27">
        <v>2.0</v>
      </c>
      <c r="AK96" s="27" t="b">
        <v>1</v>
      </c>
      <c r="AL96" s="27">
        <v>100.0</v>
      </c>
      <c r="AM96" s="56" t="str">
        <f t="array" ref="AM96">vlookup(C96,{DraftTracker!F:F,DraftTracker!E:E},2,0)</f>
        <v>AAC</v>
      </c>
      <c r="AN96" s="56" t="str">
        <f>VLOOKUP(AM96,P5G5!A:B,2,0)</f>
        <v>Group of 5</v>
      </c>
      <c r="AO96" s="60" t="b">
        <f>IFERROR(__xludf.DUMMYFUNCTION("iferror(if(not(iserror(find(""FINAL"",G96))),max(arrayformula(value(REGEXEXTRACT(F96,""^""&amp;C96&amp;"" ([\d]+)|[^a-zA-Z] ""&amp;C96&amp;"" ([\d]+)""))))=max(value(REGEXEXTRACT(F96,"" ([\d]+)"")),value(REGEXEXTRACT(F96,""([\d]+)$""))),""""))"),TRUE)</f>
        <v>1</v>
      </c>
    </row>
    <row r="97">
      <c r="A97" s="19">
        <v>117.0</v>
      </c>
      <c r="B97" s="19" t="s">
        <v>166</v>
      </c>
      <c r="C97" s="21" t="s">
        <v>333</v>
      </c>
      <c r="D97" s="62">
        <v>4.0</v>
      </c>
      <c r="E97" s="27">
        <v>8.0</v>
      </c>
      <c r="F97" s="67" t="s">
        <v>262</v>
      </c>
      <c r="G97" s="27" t="s">
        <v>57</v>
      </c>
      <c r="H97" s="27" t="s">
        <v>178</v>
      </c>
      <c r="I97" s="33"/>
      <c r="J97" s="32"/>
      <c r="K97" s="33"/>
      <c r="L97" s="33"/>
      <c r="M97" s="35"/>
      <c r="N97" s="27"/>
      <c r="O97" s="27"/>
      <c r="P97" s="27"/>
      <c r="Q97" s="27"/>
      <c r="R97" s="27"/>
      <c r="S97" s="27"/>
      <c r="T97" s="27"/>
      <c r="U97" s="27"/>
      <c r="V97" s="27"/>
      <c r="W97" s="27"/>
      <c r="X97" s="27"/>
      <c r="Y97" s="27"/>
      <c r="Z97" s="27"/>
      <c r="AA97" s="27"/>
      <c r="AB97" s="27"/>
      <c r="AC97" s="27"/>
      <c r="AD97" s="27"/>
      <c r="AE97" s="27"/>
      <c r="AF97" s="27"/>
      <c r="AG97" s="27"/>
      <c r="AH97" s="33">
        <v>287.0</v>
      </c>
      <c r="AI97" s="27">
        <v>334.0</v>
      </c>
      <c r="AJ97" s="27">
        <v>2.0</v>
      </c>
      <c r="AK97" s="27" t="b">
        <v>0</v>
      </c>
      <c r="AL97" s="27">
        <v>100.0</v>
      </c>
      <c r="AM97" s="56" t="str">
        <f t="array" ref="AM97">vlookup(C97,{DraftTracker!F:F,DraftTracker!E:E},2,0)</f>
        <v>Pac12</v>
      </c>
      <c r="AN97" s="56" t="str">
        <f>VLOOKUP(AM97,P5G5!A:B,2,0)</f>
        <v>Power 5</v>
      </c>
      <c r="AO97" s="60" t="b">
        <f>IFERROR(__xludf.DUMMYFUNCTION("iferror(if(not(iserror(find(""FINAL"",G97))),max(arrayformula(value(REGEXEXTRACT(F97,""^""&amp;C97&amp;"" ([\d]+)|[^a-zA-Z] ""&amp;C97&amp;"" ([\d]+)""))))=max(value(REGEXEXTRACT(F97,"" ([\d]+)"")),value(REGEXEXTRACT(F97,""([\d]+)$""))),""""))"),FALSE)</f>
        <v>0</v>
      </c>
    </row>
    <row r="98">
      <c r="A98" s="19">
        <v>117.0</v>
      </c>
      <c r="B98" s="19" t="s">
        <v>166</v>
      </c>
      <c r="C98" s="21" t="s">
        <v>364</v>
      </c>
      <c r="D98" s="62">
        <v>8.0</v>
      </c>
      <c r="E98" s="27">
        <v>4.0</v>
      </c>
      <c r="F98" s="67" t="s">
        <v>419</v>
      </c>
      <c r="G98" s="27" t="s">
        <v>57</v>
      </c>
      <c r="H98" s="27" t="s">
        <v>154</v>
      </c>
      <c r="I98" s="33"/>
      <c r="J98" s="32"/>
      <c r="K98" s="33"/>
      <c r="L98" s="33"/>
      <c r="M98" s="35"/>
      <c r="N98" s="27"/>
      <c r="O98" s="27"/>
      <c r="P98" s="27"/>
      <c r="Q98" s="27"/>
      <c r="R98" s="27"/>
      <c r="S98" s="27"/>
      <c r="T98" s="27"/>
      <c r="U98" s="27"/>
      <c r="V98" s="27"/>
      <c r="W98" s="27"/>
      <c r="X98" s="27"/>
      <c r="Y98" s="27"/>
      <c r="Z98" s="27"/>
      <c r="AA98" s="27"/>
      <c r="AB98" s="27"/>
      <c r="AC98" s="27"/>
      <c r="AD98" s="27"/>
      <c r="AE98" s="27"/>
      <c r="AF98" s="27"/>
      <c r="AG98" s="27"/>
      <c r="AH98" s="33">
        <v>428.0</v>
      </c>
      <c r="AI98" s="27">
        <v>254.0</v>
      </c>
      <c r="AJ98" s="27">
        <v>2.0</v>
      </c>
      <c r="AK98" s="27" t="b">
        <v>1</v>
      </c>
      <c r="AL98" s="27">
        <v>100.0</v>
      </c>
      <c r="AM98" s="56" t="str">
        <f t="array" ref="AM98">vlookup(C98,{DraftTracker!F:F,DraftTracker!E:E},2,0)</f>
        <v>Big 12</v>
      </c>
      <c r="AN98" s="56" t="str">
        <f>VLOOKUP(AM98,P5G5!A:B,2,0)</f>
        <v>Power 5</v>
      </c>
      <c r="AO98" s="60" t="b">
        <f>IFERROR(__xludf.DUMMYFUNCTION("iferror(if(not(iserror(find(""FINAL"",G98))),max(arrayformula(value(REGEXEXTRACT(F98,""^""&amp;C98&amp;"" ([\d]+)|[^a-zA-Z] ""&amp;C98&amp;"" ([\d]+)""))))=max(value(REGEXEXTRACT(F98,"" ([\d]+)"")),value(REGEXEXTRACT(F98,""([\d]+)$""))),""""))"),TRUE)</f>
        <v>1</v>
      </c>
    </row>
    <row r="99">
      <c r="A99" s="19">
        <v>117.0</v>
      </c>
      <c r="B99" s="19" t="s">
        <v>166</v>
      </c>
      <c r="C99" s="21" t="s">
        <v>370</v>
      </c>
      <c r="D99" s="62">
        <v>8.0</v>
      </c>
      <c r="E99" s="27">
        <v>4.0</v>
      </c>
      <c r="F99" s="67" t="s">
        <v>417</v>
      </c>
      <c r="G99" s="27" t="s">
        <v>183</v>
      </c>
      <c r="H99" s="27" t="s">
        <v>144</v>
      </c>
      <c r="I99" s="33" t="s">
        <v>97</v>
      </c>
      <c r="J99" s="32"/>
      <c r="K99" s="33"/>
      <c r="L99" s="33"/>
      <c r="M99" s="35"/>
      <c r="N99" s="27"/>
      <c r="O99" s="27"/>
      <c r="P99" s="27"/>
      <c r="Q99" s="27"/>
      <c r="R99" s="27"/>
      <c r="S99" s="27"/>
      <c r="T99" s="27"/>
      <c r="U99" s="27"/>
      <c r="V99" s="27"/>
      <c r="W99" s="27"/>
      <c r="X99" s="27"/>
      <c r="Y99" s="27"/>
      <c r="Z99" s="27"/>
      <c r="AA99" s="27"/>
      <c r="AB99" s="27"/>
      <c r="AC99" s="27"/>
      <c r="AD99" s="27"/>
      <c r="AE99" s="27"/>
      <c r="AF99" s="27"/>
      <c r="AG99" s="27"/>
      <c r="AH99" s="33">
        <v>328.0</v>
      </c>
      <c r="AI99" s="27">
        <v>265.0</v>
      </c>
      <c r="AJ99" s="27">
        <v>3.0</v>
      </c>
      <c r="AK99" s="27" t="b">
        <v>1</v>
      </c>
      <c r="AL99" s="27">
        <v>100.0</v>
      </c>
      <c r="AM99" s="56" t="str">
        <f t="array" ref="AM99">vlookup(C99,{DraftTracker!F:F,DraftTracker!E:E},2,0)</f>
        <v>ACC</v>
      </c>
      <c r="AN99" s="56" t="str">
        <f>VLOOKUP(AM99,P5G5!A:B,2,0)</f>
        <v>Power 5</v>
      </c>
      <c r="AO99" s="60" t="b">
        <f>IFERROR(__xludf.DUMMYFUNCTION("iferror(if(not(iserror(find(""FINAL"",G99))),max(arrayformula(value(REGEXEXTRACT(F99,""^""&amp;C99&amp;"" ([\d]+)|[^a-zA-Z] ""&amp;C99&amp;"" ([\d]+)""))))=max(value(REGEXEXTRACT(F99,"" ([\d]+)"")),value(REGEXEXTRACT(F99,""([\d]+)$""))),""""))"),TRUE)</f>
        <v>1</v>
      </c>
    </row>
    <row r="100">
      <c r="A100" s="1">
        <v>118.0</v>
      </c>
      <c r="B100" s="1"/>
      <c r="C100" s="2"/>
      <c r="D100" s="2"/>
      <c r="E100" s="2"/>
      <c r="F100" s="4"/>
      <c r="G100" s="2"/>
      <c r="H100" s="2"/>
      <c r="I100" s="2"/>
      <c r="J100" s="4"/>
      <c r="K100" s="2"/>
      <c r="L100" s="2"/>
      <c r="M100" s="89"/>
      <c r="N100" s="2"/>
      <c r="O100" s="90"/>
      <c r="P100" s="2"/>
      <c r="Q100" s="90"/>
      <c r="R100" s="2"/>
      <c r="S100" s="90"/>
      <c r="T100" s="2"/>
      <c r="U100" s="90"/>
      <c r="V100" s="2"/>
      <c r="W100" s="90"/>
      <c r="X100" s="2"/>
      <c r="Y100" s="90"/>
      <c r="Z100" s="2"/>
      <c r="AA100" s="90"/>
      <c r="AB100" s="2"/>
      <c r="AC100" s="90"/>
      <c r="AD100" s="2"/>
      <c r="AE100" s="90"/>
      <c r="AF100" s="2"/>
      <c r="AG100" s="2"/>
      <c r="AH100" s="2"/>
      <c r="AI100" s="2"/>
      <c r="AJ100" s="2"/>
      <c r="AK100" s="2"/>
      <c r="AL100" s="2"/>
      <c r="AM100" s="91" t="str">
        <f t="array" ref="AM100">vlookup(C100,{DraftTracker!F:F,DraftTracker!E:E},2,0)</f>
        <v>#N/A</v>
      </c>
      <c r="AN100" s="91" t="str">
        <f>VLOOKUP(AM100,P5G5!A:B,2,0)</f>
        <v>#N/A</v>
      </c>
      <c r="AO100" s="56" t="str">
        <f>IFERROR(__xludf.DUMMYFUNCTION("iferror(if(not(iserror(find(""FINAL"",G100))),max(arrayformula(value(REGEXEXTRACT(F100,""^""&amp;C100&amp;"" ([\d]+)|[^a-zA-Z] ""&amp;C100&amp;"" ([\d]+)""))))=max(value(REGEXEXTRACT(F100,"" ([\d]+)"")),value(REGEXEXTRACT(F100,""([\d]+)$""))),""""))"),"")</f>
        <v/>
      </c>
    </row>
    <row r="101">
      <c r="A101" s="19">
        <v>119.0</v>
      </c>
      <c r="B101" s="20" t="s">
        <v>116</v>
      </c>
      <c r="C101" s="21" t="s">
        <v>348</v>
      </c>
      <c r="D101" s="22">
        <v>5.0</v>
      </c>
      <c r="E101" s="23">
        <v>7.0</v>
      </c>
      <c r="F101" s="25"/>
      <c r="G101" s="28"/>
      <c r="H101" s="28"/>
      <c r="I101" s="30" t="s">
        <v>82</v>
      </c>
      <c r="J101" s="32"/>
      <c r="K101" s="33"/>
      <c r="L101" s="33"/>
      <c r="M101" s="35"/>
      <c r="N101" s="27"/>
      <c r="O101" s="27"/>
      <c r="P101" s="27"/>
      <c r="Q101" s="27"/>
      <c r="R101" s="27"/>
      <c r="S101" s="27"/>
      <c r="T101" s="27"/>
      <c r="U101" s="27"/>
      <c r="V101" s="27"/>
      <c r="W101" s="27"/>
      <c r="X101" s="27"/>
      <c r="Y101" s="27"/>
      <c r="Z101" s="27"/>
      <c r="AA101" s="27"/>
      <c r="AB101" s="27"/>
      <c r="AC101" s="27"/>
      <c r="AD101" s="27"/>
      <c r="AE101" s="27"/>
      <c r="AF101" s="27"/>
      <c r="AG101" s="27"/>
      <c r="AH101" s="30">
        <v>206.0</v>
      </c>
      <c r="AI101" s="23">
        <v>341.0</v>
      </c>
      <c r="AJ101" s="27">
        <v>0.0</v>
      </c>
      <c r="AK101" s="27" t="b">
        <v>1</v>
      </c>
      <c r="AL101" s="27">
        <v>59.0</v>
      </c>
      <c r="AM101" s="56" t="str">
        <f t="array" ref="AM101">vlookup(C101,{DraftTracker!F:F,DraftTracker!E:E},2,0)</f>
        <v>ACC</v>
      </c>
      <c r="AN101" s="56" t="str">
        <f>VLOOKUP(AM101,P5G5!A:B,2,0)</f>
        <v>Power 5</v>
      </c>
      <c r="AO101" s="60" t="str">
        <f>IFERROR(__xludf.DUMMYFUNCTION("iferror(if(not(iserror(find(""FINAL"",G101))),max(arrayformula(value(REGEXEXTRACT(F101,""^""&amp;C101&amp;"" ([\d]+)|[^a-zA-Z] ""&amp;C101&amp;"" ([\d]+)""))))=max(value(REGEXEXTRACT(F101,"" ([\d]+)"")),value(REGEXEXTRACT(F101,""([\d]+)$""))),""""))"),"")</f>
        <v/>
      </c>
    </row>
    <row r="102">
      <c r="A102" s="19">
        <v>119.0</v>
      </c>
      <c r="B102" s="19" t="s">
        <v>116</v>
      </c>
      <c r="C102" s="21" t="s">
        <v>313</v>
      </c>
      <c r="D102" s="62">
        <v>12.0</v>
      </c>
      <c r="E102" s="27">
        <v>0.0</v>
      </c>
      <c r="F102" s="63"/>
      <c r="G102" s="64"/>
      <c r="H102" s="64"/>
      <c r="I102" s="33" t="s">
        <v>82</v>
      </c>
      <c r="J102" s="32"/>
      <c r="K102" s="33"/>
      <c r="L102" s="33"/>
      <c r="M102" s="35"/>
      <c r="N102" s="27"/>
      <c r="O102" s="27"/>
      <c r="P102" s="27"/>
      <c r="Q102" s="27"/>
      <c r="R102" s="27"/>
      <c r="S102" s="27"/>
      <c r="T102" s="27"/>
      <c r="U102" s="27"/>
      <c r="V102" s="27"/>
      <c r="W102" s="27"/>
      <c r="X102" s="27"/>
      <c r="Y102" s="27"/>
      <c r="Z102" s="27"/>
      <c r="AA102" s="27"/>
      <c r="AB102" s="27"/>
      <c r="AC102" s="27"/>
      <c r="AD102" s="27"/>
      <c r="AE102" s="27"/>
      <c r="AF102" s="27"/>
      <c r="AG102" s="27"/>
      <c r="AH102" s="33">
        <v>459.0</v>
      </c>
      <c r="AI102" s="27">
        <v>136.0</v>
      </c>
      <c r="AJ102" s="27">
        <v>0.0</v>
      </c>
      <c r="AK102" s="27" t="b">
        <v>1</v>
      </c>
      <c r="AL102" s="27">
        <v>59.0</v>
      </c>
      <c r="AM102" s="56" t="str">
        <f t="array" ref="AM102">vlookup(C102,{DraftTracker!F:F,DraftTracker!E:E},2,0)</f>
        <v>SEC</v>
      </c>
      <c r="AN102" s="56" t="str">
        <f>VLOOKUP(AM102,P5G5!A:B,2,0)</f>
        <v>Power 5</v>
      </c>
      <c r="AO102" s="60" t="str">
        <f>IFERROR(__xludf.DUMMYFUNCTION("iferror(if(not(iserror(find(""FINAL"",G102))),max(arrayformula(value(REGEXEXTRACT(F102,""^""&amp;C102&amp;"" ([\d]+)|[^a-zA-Z] ""&amp;C102&amp;"" ([\d]+)""))))=max(value(REGEXEXTRACT(F102,"" ([\d]+)"")),value(REGEXEXTRACT(F102,""([\d]+)$""))),""""))"),"")</f>
        <v/>
      </c>
    </row>
    <row r="103">
      <c r="A103" s="19">
        <v>119.0</v>
      </c>
      <c r="B103" s="19" t="s">
        <v>116</v>
      </c>
      <c r="C103" s="21" t="s">
        <v>347</v>
      </c>
      <c r="D103" s="62">
        <v>4.0</v>
      </c>
      <c r="E103" s="27">
        <v>8.0</v>
      </c>
      <c r="F103" s="67"/>
      <c r="G103" s="64"/>
      <c r="H103" s="64"/>
      <c r="I103" s="33"/>
      <c r="J103" s="32"/>
      <c r="K103" s="33"/>
      <c r="L103" s="33"/>
      <c r="M103" s="35"/>
      <c r="N103" s="27"/>
      <c r="O103" s="27"/>
      <c r="P103" s="27"/>
      <c r="Q103" s="27"/>
      <c r="R103" s="27"/>
      <c r="S103" s="27"/>
      <c r="T103" s="27"/>
      <c r="U103" s="27"/>
      <c r="V103" s="27"/>
      <c r="W103" s="27"/>
      <c r="X103" s="27"/>
      <c r="Y103" s="27"/>
      <c r="Z103" s="27"/>
      <c r="AA103" s="27"/>
      <c r="AB103" s="27"/>
      <c r="AC103" s="27"/>
      <c r="AD103" s="27"/>
      <c r="AE103" s="27"/>
      <c r="AF103" s="27"/>
      <c r="AG103" s="27"/>
      <c r="AH103" s="33">
        <v>246.0</v>
      </c>
      <c r="AI103" s="27">
        <v>272.0</v>
      </c>
      <c r="AJ103" s="27">
        <v>0.0</v>
      </c>
      <c r="AK103" s="27" t="b">
        <v>1</v>
      </c>
      <c r="AL103" s="27">
        <v>59.0</v>
      </c>
      <c r="AM103" s="56" t="str">
        <f t="array" ref="AM103">vlookup(C103,{DraftTracker!F:F,DraftTracker!E:E},2,0)</f>
        <v>AAC</v>
      </c>
      <c r="AN103" s="56" t="str">
        <f>VLOOKUP(AM103,P5G5!A:B,2,0)</f>
        <v>Group of 5</v>
      </c>
      <c r="AO103" s="60" t="str">
        <f>IFERROR(__xludf.DUMMYFUNCTION("iferror(if(not(iserror(find(""FINAL"",G103))),max(arrayformula(value(REGEXEXTRACT(F103,""^""&amp;C103&amp;"" ([\d]+)|[^a-zA-Z] ""&amp;C103&amp;"" ([\d]+)""))))=max(value(REGEXEXTRACT(F103,"" ([\d]+)"")),value(REGEXEXTRACT(F103,""([\d]+)$""))),""""))"),"")</f>
        <v/>
      </c>
    </row>
    <row r="104">
      <c r="A104" s="19">
        <v>119.0</v>
      </c>
      <c r="B104" s="19" t="s">
        <v>116</v>
      </c>
      <c r="C104" s="21" t="s">
        <v>355</v>
      </c>
      <c r="D104" s="62">
        <v>5.0</v>
      </c>
      <c r="E104" s="27">
        <v>7.0</v>
      </c>
      <c r="F104" s="67" t="s">
        <v>205</v>
      </c>
      <c r="G104" s="27" t="s">
        <v>57</v>
      </c>
      <c r="H104" s="27" t="s">
        <v>131</v>
      </c>
      <c r="I104" s="33"/>
      <c r="J104" s="32"/>
      <c r="K104" s="33"/>
      <c r="L104" s="33"/>
      <c r="M104" s="35"/>
      <c r="N104" s="27"/>
      <c r="O104" s="27"/>
      <c r="P104" s="27"/>
      <c r="Q104" s="27"/>
      <c r="R104" s="27"/>
      <c r="S104" s="27"/>
      <c r="T104" s="27"/>
      <c r="U104" s="27"/>
      <c r="V104" s="27"/>
      <c r="W104" s="27"/>
      <c r="X104" s="27"/>
      <c r="Y104" s="27"/>
      <c r="Z104" s="27"/>
      <c r="AA104" s="27"/>
      <c r="AB104" s="27"/>
      <c r="AC104" s="27"/>
      <c r="AD104" s="27"/>
      <c r="AE104" s="27"/>
      <c r="AF104" s="27"/>
      <c r="AG104" s="27"/>
      <c r="AH104" s="33">
        <v>304.0</v>
      </c>
      <c r="AI104" s="27">
        <v>406.0</v>
      </c>
      <c r="AJ104" s="27">
        <v>2.0</v>
      </c>
      <c r="AK104" s="27" t="b">
        <v>0</v>
      </c>
      <c r="AL104" s="27">
        <v>100.0</v>
      </c>
      <c r="AM104" s="56" t="str">
        <f t="array" ref="AM104">vlookup(C104,{DraftTracker!F:F,DraftTracker!E:E},2,0)</f>
        <v>CUSA</v>
      </c>
      <c r="AN104" s="56" t="str">
        <f>VLOOKUP(AM104,P5G5!A:B,2,0)</f>
        <v>Group of 5</v>
      </c>
      <c r="AO104" s="60" t="b">
        <f>IFERROR(__xludf.DUMMYFUNCTION("iferror(if(not(iserror(find(""FINAL"",G104))),max(arrayformula(value(REGEXEXTRACT(F104,""^""&amp;C104&amp;"" ([\d]+)|[^a-zA-Z] ""&amp;C104&amp;"" ([\d]+)""))))=max(value(REGEXEXTRACT(F104,"" ([\d]+)"")),value(REGEXEXTRACT(F104,""([\d]+)$""))),""""))"),FALSE)</f>
        <v>0</v>
      </c>
    </row>
    <row r="105">
      <c r="A105" s="19">
        <v>119.0</v>
      </c>
      <c r="B105" s="19" t="s">
        <v>116</v>
      </c>
      <c r="C105" s="21" t="s">
        <v>354</v>
      </c>
      <c r="D105" s="62">
        <v>7.0</v>
      </c>
      <c r="E105" s="27">
        <v>5.0</v>
      </c>
      <c r="F105" s="67" t="s">
        <v>414</v>
      </c>
      <c r="G105" s="27" t="s">
        <v>57</v>
      </c>
      <c r="H105" s="27" t="s">
        <v>144</v>
      </c>
      <c r="I105" s="33"/>
      <c r="J105" s="32"/>
      <c r="K105" s="33"/>
      <c r="L105" s="33"/>
      <c r="M105" s="35"/>
      <c r="N105" s="27"/>
      <c r="O105" s="27"/>
      <c r="P105" s="27"/>
      <c r="Q105" s="27"/>
      <c r="R105" s="27"/>
      <c r="S105" s="27"/>
      <c r="T105" s="27"/>
      <c r="U105" s="27"/>
      <c r="V105" s="27"/>
      <c r="W105" s="27"/>
      <c r="X105" s="27"/>
      <c r="Y105" s="27"/>
      <c r="Z105" s="27"/>
      <c r="AA105" s="27"/>
      <c r="AB105" s="27"/>
      <c r="AC105" s="27"/>
      <c r="AD105" s="27"/>
      <c r="AE105" s="27"/>
      <c r="AF105" s="27"/>
      <c r="AG105" s="27"/>
      <c r="AH105" s="33">
        <v>381.0</v>
      </c>
      <c r="AI105" s="27">
        <v>352.0</v>
      </c>
      <c r="AJ105" s="27">
        <v>2.0</v>
      </c>
      <c r="AK105" s="27" t="b">
        <v>1</v>
      </c>
      <c r="AL105" s="27">
        <v>100.0</v>
      </c>
      <c r="AM105" s="56" t="str">
        <f t="array" ref="AM105">vlookup(C105,{DraftTracker!F:F,DraftTracker!E:E},2,0)</f>
        <v>Big 12</v>
      </c>
      <c r="AN105" s="56" t="str">
        <f>VLOOKUP(AM105,P5G5!A:B,2,0)</f>
        <v>Power 5</v>
      </c>
      <c r="AO105" s="60" t="b">
        <f>IFERROR(__xludf.DUMMYFUNCTION("iferror(if(not(iserror(find(""FINAL"",G105))),max(arrayformula(value(REGEXEXTRACT(F105,""^""&amp;C105&amp;"" ([\d]+)|[^a-zA-Z] ""&amp;C105&amp;"" ([\d]+)""))))=max(value(REGEXEXTRACT(F105,"" ([\d]+)"")),value(REGEXEXTRACT(F105,""([\d]+)$""))),""""))"),FALSE)</f>
        <v>0</v>
      </c>
    </row>
    <row r="106">
      <c r="A106" s="19">
        <v>119.0</v>
      </c>
      <c r="B106" s="19" t="s">
        <v>116</v>
      </c>
      <c r="C106" s="21" t="s">
        <v>388</v>
      </c>
      <c r="D106" s="62">
        <v>8.0</v>
      </c>
      <c r="E106" s="27">
        <v>3.0</v>
      </c>
      <c r="F106" s="67" t="s">
        <v>301</v>
      </c>
      <c r="G106" s="27" t="s">
        <v>57</v>
      </c>
      <c r="H106" s="27" t="s">
        <v>144</v>
      </c>
      <c r="I106" s="33"/>
      <c r="J106" s="32"/>
      <c r="K106" s="33"/>
      <c r="L106" s="33"/>
      <c r="M106" s="35"/>
      <c r="N106" s="27"/>
      <c r="O106" s="27"/>
      <c r="P106" s="27"/>
      <c r="Q106" s="27"/>
      <c r="R106" s="27"/>
      <c r="S106" s="27"/>
      <c r="T106" s="27"/>
      <c r="U106" s="27"/>
      <c r="V106" s="27"/>
      <c r="W106" s="27"/>
      <c r="X106" s="27"/>
      <c r="Y106" s="27"/>
      <c r="Z106" s="27"/>
      <c r="AA106" s="27"/>
      <c r="AB106" s="27"/>
      <c r="AC106" s="27"/>
      <c r="AD106" s="27"/>
      <c r="AE106" s="27"/>
      <c r="AF106" s="27"/>
      <c r="AG106" s="27"/>
      <c r="AH106" s="33">
        <v>407.0</v>
      </c>
      <c r="AI106" s="27">
        <v>230.0</v>
      </c>
      <c r="AJ106" s="27">
        <v>2.0</v>
      </c>
      <c r="AK106" s="27" t="b">
        <v>1</v>
      </c>
      <c r="AL106" s="27">
        <v>100.0</v>
      </c>
      <c r="AM106" s="56" t="str">
        <f t="array" ref="AM106">vlookup(C106,{DraftTracker!F:F,DraftTracker!E:E},2,0)</f>
        <v>Sun Belt</v>
      </c>
      <c r="AN106" s="56" t="str">
        <f>VLOOKUP(AM106,P5G5!A:B,2,0)</f>
        <v>Group of 5</v>
      </c>
      <c r="AO106" s="60" t="b">
        <f>IFERROR(__xludf.DUMMYFUNCTION("iferror(if(not(iserror(find(""FINAL"",G106))),max(arrayformula(value(REGEXEXTRACT(F106,""^""&amp;C106&amp;"" ([\d]+)|[^a-zA-Z] ""&amp;C106&amp;"" ([\d]+)""))))=max(value(REGEXEXTRACT(F106,"" ([\d]+)"")),value(REGEXEXTRACT(F106,""([\d]+)$""))),""""))"),TRUE)</f>
        <v>1</v>
      </c>
    </row>
    <row r="107">
      <c r="A107" s="19">
        <v>119.0</v>
      </c>
      <c r="B107" s="19" t="s">
        <v>116</v>
      </c>
      <c r="C107" s="21" t="s">
        <v>332</v>
      </c>
      <c r="D107" s="62">
        <v>7.0</v>
      </c>
      <c r="E107" s="27">
        <v>5.0</v>
      </c>
      <c r="F107" s="67" t="s">
        <v>391</v>
      </c>
      <c r="G107" s="27" t="s">
        <v>57</v>
      </c>
      <c r="H107" s="27" t="s">
        <v>141</v>
      </c>
      <c r="I107" s="33"/>
      <c r="J107" s="32"/>
      <c r="K107" s="33"/>
      <c r="L107" s="33"/>
      <c r="M107" s="35"/>
      <c r="N107" s="27"/>
      <c r="O107" s="27"/>
      <c r="P107" s="27"/>
      <c r="Q107" s="27"/>
      <c r="R107" s="27"/>
      <c r="S107" s="27"/>
      <c r="T107" s="27"/>
      <c r="U107" s="27"/>
      <c r="V107" s="27"/>
      <c r="W107" s="27"/>
      <c r="X107" s="27"/>
      <c r="Y107" s="27"/>
      <c r="Z107" s="27"/>
      <c r="AA107" s="27"/>
      <c r="AB107" s="27"/>
      <c r="AC107" s="27"/>
      <c r="AD107" s="27"/>
      <c r="AE107" s="27"/>
      <c r="AF107" s="27"/>
      <c r="AG107" s="27"/>
      <c r="AH107" s="33">
        <v>209.0</v>
      </c>
      <c r="AI107" s="27">
        <v>173.0</v>
      </c>
      <c r="AJ107" s="27">
        <v>2.0</v>
      </c>
      <c r="AK107" s="27" t="b">
        <v>0</v>
      </c>
      <c r="AL107" s="27">
        <v>100.0</v>
      </c>
      <c r="AM107" s="56" t="str">
        <f t="array" ref="AM107">vlookup(C107,{DraftTracker!F:F,DraftTracker!E:E},2,0)</f>
        <v>Big Ten</v>
      </c>
      <c r="AN107" s="56" t="str">
        <f>VLOOKUP(AM107,P5G5!A:B,2,0)</f>
        <v>Power 5</v>
      </c>
      <c r="AO107" s="60" t="b">
        <f>IFERROR(__xludf.DUMMYFUNCTION("iferror(if(not(iserror(find(""FINAL"",G107))),max(arrayformula(value(REGEXEXTRACT(F107,""^""&amp;C107&amp;"" ([\d]+)|[^a-zA-Z] ""&amp;C107&amp;"" ([\d]+)""))))=max(value(REGEXEXTRACT(F107,"" ([\d]+)"")),value(REGEXEXTRACT(F107,""([\d]+)$""))),""""))"),FALSE)</f>
        <v>0</v>
      </c>
    </row>
    <row r="108">
      <c r="A108" s="19">
        <v>119.0</v>
      </c>
      <c r="B108" s="19" t="s">
        <v>116</v>
      </c>
      <c r="C108" s="21" t="s">
        <v>336</v>
      </c>
      <c r="D108" s="62">
        <v>3.0</v>
      </c>
      <c r="E108" s="27">
        <v>9.0</v>
      </c>
      <c r="F108" s="67" t="s">
        <v>264</v>
      </c>
      <c r="G108" s="27" t="s">
        <v>57</v>
      </c>
      <c r="H108" s="27" t="s">
        <v>178</v>
      </c>
      <c r="I108" s="33"/>
      <c r="J108" s="32"/>
      <c r="K108" s="33"/>
      <c r="L108" s="33"/>
      <c r="M108" s="35"/>
      <c r="N108" s="27"/>
      <c r="O108" s="27"/>
      <c r="P108" s="27"/>
      <c r="Q108" s="27"/>
      <c r="R108" s="27"/>
      <c r="S108" s="27"/>
      <c r="T108" s="27"/>
      <c r="U108" s="27"/>
      <c r="V108" s="27"/>
      <c r="W108" s="27"/>
      <c r="X108" s="27"/>
      <c r="Y108" s="27"/>
      <c r="Z108" s="27"/>
      <c r="AA108" s="27"/>
      <c r="AB108" s="27"/>
      <c r="AC108" s="27"/>
      <c r="AD108" s="27"/>
      <c r="AE108" s="27"/>
      <c r="AF108" s="27"/>
      <c r="AG108" s="27"/>
      <c r="AH108" s="33">
        <v>158.0</v>
      </c>
      <c r="AI108" s="27">
        <v>323.0</v>
      </c>
      <c r="AJ108" s="27">
        <v>2.0</v>
      </c>
      <c r="AK108" s="27" t="b">
        <v>1</v>
      </c>
      <c r="AL108" s="27">
        <v>100.0</v>
      </c>
      <c r="AM108" s="56" t="str">
        <f t="array" ref="AM108">vlookup(C108,{DraftTracker!F:F,DraftTracker!E:E},2,0)</f>
        <v>MWC</v>
      </c>
      <c r="AN108" s="56" t="str">
        <f>VLOOKUP(AM108,P5G5!A:B,2,0)</f>
        <v>Group of 5</v>
      </c>
      <c r="AO108" s="60" t="b">
        <f>IFERROR(__xludf.DUMMYFUNCTION("iferror(if(not(iserror(find(""FINAL"",G108))),max(arrayformula(value(REGEXEXTRACT(F108,""^""&amp;C108&amp;"" ([\d]+)|[^a-zA-Z] ""&amp;C108&amp;"" ([\d]+)""))))=max(value(REGEXEXTRACT(F108,"" ([\d]+)"")),value(REGEXEXTRACT(F108,""([\d]+)$""))),""""))"),TRUE)</f>
        <v>1</v>
      </c>
    </row>
    <row r="109">
      <c r="A109" s="19">
        <v>119.0</v>
      </c>
      <c r="B109" s="19" t="s">
        <v>116</v>
      </c>
      <c r="C109" s="21" t="s">
        <v>329</v>
      </c>
      <c r="D109" s="62">
        <v>5.0</v>
      </c>
      <c r="E109" s="27">
        <v>7.0</v>
      </c>
      <c r="F109" s="67" t="s">
        <v>209</v>
      </c>
      <c r="G109" s="27" t="s">
        <v>57</v>
      </c>
      <c r="H109" s="27" t="s">
        <v>131</v>
      </c>
      <c r="I109" s="33"/>
      <c r="J109" s="32"/>
      <c r="K109" s="33"/>
      <c r="L109" s="33"/>
      <c r="M109" s="35"/>
      <c r="N109" s="27"/>
      <c r="O109" s="27"/>
      <c r="P109" s="27"/>
      <c r="Q109" s="27"/>
      <c r="R109" s="27"/>
      <c r="S109" s="27"/>
      <c r="T109" s="27"/>
      <c r="U109" s="27"/>
      <c r="V109" s="27"/>
      <c r="W109" s="27"/>
      <c r="X109" s="27"/>
      <c r="Y109" s="27"/>
      <c r="Z109" s="27"/>
      <c r="AA109" s="27"/>
      <c r="AB109" s="27"/>
      <c r="AC109" s="27"/>
      <c r="AD109" s="27"/>
      <c r="AE109" s="27"/>
      <c r="AF109" s="27"/>
      <c r="AG109" s="27"/>
      <c r="AH109" s="33">
        <v>279.0</v>
      </c>
      <c r="AI109" s="27">
        <v>323.0</v>
      </c>
      <c r="AJ109" s="27">
        <v>2.0</v>
      </c>
      <c r="AK109" s="27" t="b">
        <v>0</v>
      </c>
      <c r="AL109" s="27">
        <v>100.0</v>
      </c>
      <c r="AM109" s="56" t="str">
        <f t="array" ref="AM109">vlookup(C109,{DraftTracker!F:F,DraftTracker!E:E},2,0)</f>
        <v>MAC</v>
      </c>
      <c r="AN109" s="56" t="str">
        <f>VLOOKUP(AM109,P5G5!A:B,2,0)</f>
        <v>Group of 5</v>
      </c>
      <c r="AO109" s="60" t="b">
        <f>IFERROR(__xludf.DUMMYFUNCTION("iferror(if(not(iserror(find(""FINAL"",G109))),max(arrayformula(value(REGEXEXTRACT(F109,""^""&amp;C109&amp;"" ([\d]+)|[^a-zA-Z] ""&amp;C109&amp;"" ([\d]+)""))))=max(value(REGEXEXTRACT(F109,"" ([\d]+)"")),value(REGEXEXTRACT(F109,""([\d]+)$""))),""""))"),FALSE)</f>
        <v>0</v>
      </c>
    </row>
    <row r="110">
      <c r="A110" s="19">
        <v>119.0</v>
      </c>
      <c r="B110" s="19" t="s">
        <v>116</v>
      </c>
      <c r="C110" s="21" t="s">
        <v>369</v>
      </c>
      <c r="D110" s="62">
        <v>11.0</v>
      </c>
      <c r="E110" s="27">
        <v>1.0</v>
      </c>
      <c r="F110" s="67" t="s">
        <v>408</v>
      </c>
      <c r="G110" s="27" t="s">
        <v>57</v>
      </c>
      <c r="H110" s="27" t="s">
        <v>109</v>
      </c>
      <c r="I110" s="33" t="s">
        <v>58</v>
      </c>
      <c r="J110" s="32"/>
      <c r="K110" s="33"/>
      <c r="L110" s="33"/>
      <c r="M110" s="35"/>
      <c r="N110" s="27"/>
      <c r="O110" s="27"/>
      <c r="P110" s="27"/>
      <c r="Q110" s="27"/>
      <c r="R110" s="27"/>
      <c r="S110" s="27"/>
      <c r="T110" s="27"/>
      <c r="U110" s="27"/>
      <c r="V110" s="27"/>
      <c r="W110" s="27"/>
      <c r="X110" s="27"/>
      <c r="Y110" s="27"/>
      <c r="Z110" s="27"/>
      <c r="AA110" s="27"/>
      <c r="AB110" s="27"/>
      <c r="AC110" s="27"/>
      <c r="AD110" s="27"/>
      <c r="AE110" s="27"/>
      <c r="AF110" s="27"/>
      <c r="AG110" s="27"/>
      <c r="AH110" s="33">
        <v>472.0</v>
      </c>
      <c r="AI110" s="27">
        <v>289.0</v>
      </c>
      <c r="AJ110" s="27">
        <v>3.0</v>
      </c>
      <c r="AK110" s="27" t="b">
        <v>0</v>
      </c>
      <c r="AL110" s="27">
        <v>100.0</v>
      </c>
      <c r="AM110" s="56" t="str">
        <f t="array" ref="AM110">vlookup(C110,{DraftTracker!F:F,DraftTracker!E:E},2,0)</f>
        <v>Pac12</v>
      </c>
      <c r="AN110" s="56" t="str">
        <f>VLOOKUP(AM110,P5G5!A:B,2,0)</f>
        <v>Power 5</v>
      </c>
      <c r="AO110" s="60" t="b">
        <f>IFERROR(__xludf.DUMMYFUNCTION("iferror(if(not(iserror(find(""FINAL"",G110))),max(arrayformula(value(REGEXEXTRACT(F110,""^""&amp;C110&amp;"" ([\d]+)|[^a-zA-Z] ""&amp;C110&amp;"" ([\d]+)""))))=max(value(REGEXEXTRACT(F110,"" ([\d]+)"")),value(REGEXEXTRACT(F110,""([\d]+)$""))),""""))"),TRUE)</f>
        <v>1</v>
      </c>
    </row>
    <row r="111">
      <c r="A111" s="1">
        <v>120.0</v>
      </c>
      <c r="B111" s="1"/>
      <c r="C111" s="2"/>
      <c r="D111" s="2"/>
      <c r="E111" s="2"/>
      <c r="F111" s="4"/>
      <c r="G111" s="2"/>
      <c r="H111" s="2"/>
      <c r="I111" s="2"/>
      <c r="J111" s="4"/>
      <c r="K111" s="2"/>
      <c r="L111" s="2"/>
      <c r="M111" s="89"/>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91" t="str">
        <f t="array" ref="AM111">vlookup(C111,{DraftTracker!F:F,DraftTracker!E:E},2,0)</f>
        <v>#N/A</v>
      </c>
      <c r="AN111" s="91" t="str">
        <f>VLOOKUP(AM111,P5G5!A:B,2,0)</f>
        <v>#N/A</v>
      </c>
      <c r="AO111" s="56" t="str">
        <f>IFERROR(__xludf.DUMMYFUNCTION("iferror(if(not(iserror(find(""FINAL"",G111))),max(arrayformula(value(REGEXEXTRACT(F111,""^""&amp;C111&amp;"" ([\d]+)|[^a-zA-Z] ""&amp;C111&amp;"" ([\d]+)""))))=max(value(REGEXEXTRACT(F111,"" ([\d]+)"")),value(REGEXEXTRACT(F111,""([\d]+)$""))),""""))"),"")</f>
        <v/>
      </c>
    </row>
    <row r="112">
      <c r="A112" s="19">
        <v>121.0</v>
      </c>
      <c r="B112" s="20" t="s">
        <v>148</v>
      </c>
      <c r="C112" s="21" t="s">
        <v>326</v>
      </c>
      <c r="D112" s="22">
        <v>4.0</v>
      </c>
      <c r="E112" s="23">
        <v>8.0</v>
      </c>
      <c r="F112" s="25" t="s">
        <v>420</v>
      </c>
      <c r="G112" s="27" t="s">
        <v>57</v>
      </c>
      <c r="H112" s="28" t="s">
        <v>103</v>
      </c>
      <c r="I112" s="30" t="s">
        <v>74</v>
      </c>
      <c r="J112" s="32"/>
      <c r="K112" s="33"/>
      <c r="L112" s="33"/>
      <c r="M112" s="35"/>
      <c r="N112" s="27"/>
      <c r="O112" s="175"/>
      <c r="P112" s="27"/>
      <c r="Q112" s="175"/>
      <c r="R112" s="27"/>
      <c r="S112" s="175"/>
      <c r="T112" s="27"/>
      <c r="U112" s="175"/>
      <c r="V112" s="27"/>
      <c r="W112" s="175"/>
      <c r="X112" s="27"/>
      <c r="Y112" s="175"/>
      <c r="Z112" s="27"/>
      <c r="AA112" s="175"/>
      <c r="AB112" s="27"/>
      <c r="AC112" s="27"/>
      <c r="AD112" s="27"/>
      <c r="AE112" s="27"/>
      <c r="AF112" s="27"/>
      <c r="AG112" s="27"/>
      <c r="AH112" s="30">
        <v>228.0</v>
      </c>
      <c r="AI112" s="23">
        <v>181.0</v>
      </c>
      <c r="AJ112" s="27">
        <v>0.0</v>
      </c>
      <c r="AK112" s="27" t="b">
        <v>0</v>
      </c>
      <c r="AL112" s="27">
        <v>13.833333333333336</v>
      </c>
      <c r="AM112" s="56" t="str">
        <f t="array" ref="AM112">vlookup(C112,{DraftTracker!F:F,DraftTracker!E:E},2,0)</f>
        <v>Big 12</v>
      </c>
      <c r="AN112" s="56" t="str">
        <f>VLOOKUP(AM112,P5G5!A:B,2,0)</f>
        <v>Power 5</v>
      </c>
      <c r="AO112" s="60" t="b">
        <f>IFERROR(__xludf.DUMMYFUNCTION("iferror(if(not(iserror(find(""FINAL"",G112))),max(arrayformula(value(REGEXEXTRACT(F112,""^""&amp;C112&amp;"" ([\d]+)|[^a-zA-Z] ""&amp;C112&amp;"" ([\d]+)""))))=max(value(REGEXEXTRACT(F112,"" ([\d]+)"")),value(REGEXEXTRACT(F112,""([\d]+)$""))),""""))"),FALSE)</f>
        <v>0</v>
      </c>
    </row>
    <row r="113">
      <c r="A113" s="19">
        <v>121.0</v>
      </c>
      <c r="B113" s="19" t="s">
        <v>148</v>
      </c>
      <c r="C113" s="21" t="s">
        <v>380</v>
      </c>
      <c r="D113" s="62">
        <v>4.0</v>
      </c>
      <c r="E113" s="27">
        <v>8.0</v>
      </c>
      <c r="F113" s="63" t="s">
        <v>293</v>
      </c>
      <c r="G113" s="27" t="s">
        <v>57</v>
      </c>
      <c r="H113" s="64" t="s">
        <v>109</v>
      </c>
      <c r="I113" s="33" t="s">
        <v>133</v>
      </c>
      <c r="J113" s="32"/>
      <c r="K113" s="33"/>
      <c r="L113" s="33"/>
      <c r="M113" s="35"/>
      <c r="N113" s="27"/>
      <c r="O113" s="27"/>
      <c r="P113" s="27"/>
      <c r="Q113" s="27"/>
      <c r="R113" s="27"/>
      <c r="S113" s="27"/>
      <c r="T113" s="27"/>
      <c r="U113" s="27"/>
      <c r="V113" s="27"/>
      <c r="W113" s="27"/>
      <c r="X113" s="27"/>
      <c r="Y113" s="27"/>
      <c r="Z113" s="27"/>
      <c r="AA113" s="27"/>
      <c r="AB113" s="27"/>
      <c r="AC113" s="27"/>
      <c r="AD113" s="27"/>
      <c r="AE113" s="27"/>
      <c r="AF113" s="27"/>
      <c r="AG113" s="27"/>
      <c r="AH113" s="33">
        <v>240.0</v>
      </c>
      <c r="AI113" s="27">
        <v>275.0</v>
      </c>
      <c r="AJ113" s="27">
        <v>0.0</v>
      </c>
      <c r="AK113" s="27" t="b">
        <v>1</v>
      </c>
      <c r="AL113" s="27">
        <v>26.583333333333336</v>
      </c>
      <c r="AM113" s="56" t="str">
        <f t="array" ref="AM113">vlookup(C113,{DraftTracker!F:F,DraftTracker!E:E},2,0)</f>
        <v>Sun Belt</v>
      </c>
      <c r="AN113" s="56" t="str">
        <f>VLOOKUP(AM113,P5G5!A:B,2,0)</f>
        <v>Group of 5</v>
      </c>
      <c r="AO113" s="60" t="b">
        <f>IFERROR(__xludf.DUMMYFUNCTION("iferror(if(not(iserror(find(""FINAL"",G113))),max(arrayformula(value(REGEXEXTRACT(F113,""^""&amp;C113&amp;"" ([\d]+)|[^a-zA-Z] ""&amp;C113&amp;"" ([\d]+)""))))=max(value(REGEXEXTRACT(F113,"" ([\d]+)"")),value(REGEXEXTRACT(F113,""([\d]+)$""))),""""))"),FALSE)</f>
        <v>0</v>
      </c>
    </row>
    <row r="114">
      <c r="A114" s="19">
        <v>121.0</v>
      </c>
      <c r="B114" s="19" t="s">
        <v>148</v>
      </c>
      <c r="C114" s="21" t="s">
        <v>384</v>
      </c>
      <c r="D114" s="62">
        <v>3.0</v>
      </c>
      <c r="E114" s="27">
        <v>8.0</v>
      </c>
      <c r="F114" s="67" t="s">
        <v>158</v>
      </c>
      <c r="G114" s="64" t="s">
        <v>161</v>
      </c>
      <c r="H114" s="64" t="s">
        <v>53</v>
      </c>
      <c r="I114" s="33" t="s">
        <v>162</v>
      </c>
      <c r="J114" s="32"/>
      <c r="K114" s="33"/>
      <c r="L114" s="33"/>
      <c r="M114" s="35"/>
      <c r="N114" s="27"/>
      <c r="O114" s="27"/>
      <c r="P114" s="27"/>
      <c r="Q114" s="27"/>
      <c r="R114" s="27"/>
      <c r="S114" s="27"/>
      <c r="T114" s="27"/>
      <c r="U114" s="27"/>
      <c r="V114" s="27"/>
      <c r="W114" s="27"/>
      <c r="X114" s="27"/>
      <c r="Y114" s="27"/>
      <c r="Z114" s="27"/>
      <c r="AA114" s="27"/>
      <c r="AB114" s="27"/>
      <c r="AC114" s="27"/>
      <c r="AD114" s="27"/>
      <c r="AE114" s="27"/>
      <c r="AF114" s="27"/>
      <c r="AG114" s="27"/>
      <c r="AH114" s="33">
        <v>212.0</v>
      </c>
      <c r="AI114" s="27">
        <v>272.0</v>
      </c>
      <c r="AJ114" s="27">
        <v>0.0</v>
      </c>
      <c r="AK114" s="27" t="b">
        <v>0</v>
      </c>
      <c r="AL114" s="27">
        <v>59.0</v>
      </c>
      <c r="AM114" s="56" t="str">
        <f t="array" ref="AM114">vlookup(C114,{DraftTracker!F:F,DraftTracker!E:E},2,0)</f>
        <v>ACC</v>
      </c>
      <c r="AN114" s="56" t="str">
        <f>VLOOKUP(AM114,P5G5!A:B,2,0)</f>
        <v>Power 5</v>
      </c>
      <c r="AO114" s="60" t="str">
        <f>IFERROR(__xludf.DUMMYFUNCTION("iferror(if(not(iserror(find(""FINAL"",G114))),max(arrayformula(value(REGEXEXTRACT(F114,""^""&amp;C114&amp;"" ([\d]+)|[^a-zA-Z] ""&amp;C114&amp;"" ([\d]+)""))))=max(value(REGEXEXTRACT(F114,"" ([\d]+)"")),value(REGEXEXTRACT(F114,""([\d]+)$""))),""""))"),"")</f>
        <v/>
      </c>
    </row>
    <row r="115">
      <c r="A115" s="19">
        <v>121.0</v>
      </c>
      <c r="B115" s="19" t="s">
        <v>148</v>
      </c>
      <c r="C115" s="21" t="s">
        <v>381</v>
      </c>
      <c r="D115" s="62">
        <v>8.0</v>
      </c>
      <c r="E115" s="27">
        <v>4.0</v>
      </c>
      <c r="F115" s="67" t="s">
        <v>418</v>
      </c>
      <c r="G115" s="27" t="s">
        <v>57</v>
      </c>
      <c r="H115" s="27" t="s">
        <v>166</v>
      </c>
      <c r="I115" s="33"/>
      <c r="J115" s="32"/>
      <c r="K115" s="33"/>
      <c r="L115" s="33"/>
      <c r="M115" s="33"/>
      <c r="N115" s="27"/>
      <c r="O115" s="27"/>
      <c r="P115" s="27"/>
      <c r="Q115" s="27"/>
      <c r="R115" s="27"/>
      <c r="S115" s="27"/>
      <c r="T115" s="27"/>
      <c r="U115" s="27"/>
      <c r="V115" s="27"/>
      <c r="W115" s="27"/>
      <c r="X115" s="27"/>
      <c r="Y115" s="27"/>
      <c r="Z115" s="27"/>
      <c r="AA115" s="27"/>
      <c r="AB115" s="27"/>
      <c r="AC115" s="27"/>
      <c r="AD115" s="27"/>
      <c r="AE115" s="27"/>
      <c r="AF115" s="27"/>
      <c r="AG115" s="27"/>
      <c r="AH115" s="33">
        <v>343.0</v>
      </c>
      <c r="AI115" s="27">
        <v>277.0</v>
      </c>
      <c r="AJ115" s="27">
        <v>2.0</v>
      </c>
      <c r="AK115" s="27" t="b">
        <v>0</v>
      </c>
      <c r="AL115" s="27">
        <v>100.0</v>
      </c>
      <c r="AM115" s="56" t="str">
        <f t="array" ref="AM115">vlookup(C115,{DraftTracker!F:F,DraftTracker!E:E},2,0)</f>
        <v>Big Ten</v>
      </c>
      <c r="AN115" s="56" t="str">
        <f>VLOOKUP(AM115,P5G5!A:B,2,0)</f>
        <v>Power 5</v>
      </c>
      <c r="AO115" s="60" t="b">
        <f>IFERROR(__xludf.DUMMYFUNCTION("iferror(if(not(iserror(find(""FINAL"",G115))),max(arrayformula(value(REGEXEXTRACT(F115,""^""&amp;C115&amp;"" ([\d]+)|[^a-zA-Z] ""&amp;C115&amp;"" ([\d]+)""))))=max(value(REGEXEXTRACT(F115,"" ([\d]+)"")),value(REGEXEXTRACT(F115,""([\d]+)$""))),""""))"),TRUE)</f>
        <v>1</v>
      </c>
    </row>
    <row r="116">
      <c r="A116" s="19">
        <v>121.0</v>
      </c>
      <c r="B116" s="19" t="s">
        <v>148</v>
      </c>
      <c r="C116" s="21" t="s">
        <v>401</v>
      </c>
      <c r="D116" s="62">
        <v>1.0</v>
      </c>
      <c r="E116" s="27">
        <v>11.0</v>
      </c>
      <c r="F116" s="67" t="s">
        <v>410</v>
      </c>
      <c r="G116" s="27" t="s">
        <v>57</v>
      </c>
      <c r="H116" s="27" t="s">
        <v>166</v>
      </c>
      <c r="I116" s="33"/>
      <c r="J116" s="32"/>
      <c r="K116" s="33"/>
      <c r="L116" s="33"/>
      <c r="M116" s="35"/>
      <c r="N116" s="27"/>
      <c r="O116" s="27"/>
      <c r="P116" s="27"/>
      <c r="Q116" s="27"/>
      <c r="R116" s="27"/>
      <c r="S116" s="27"/>
      <c r="T116" s="27"/>
      <c r="U116" s="27"/>
      <c r="V116" s="27"/>
      <c r="W116" s="27"/>
      <c r="X116" s="27"/>
      <c r="Y116" s="27"/>
      <c r="Z116" s="27"/>
      <c r="AA116" s="27"/>
      <c r="AB116" s="27"/>
      <c r="AC116" s="27"/>
      <c r="AD116" s="27"/>
      <c r="AE116" s="27"/>
      <c r="AF116" s="27"/>
      <c r="AG116" s="27"/>
      <c r="AH116" s="33">
        <v>150.0</v>
      </c>
      <c r="AI116" s="27">
        <v>373.0</v>
      </c>
      <c r="AJ116" s="27">
        <v>2.0</v>
      </c>
      <c r="AK116" s="27" t="b">
        <v>0</v>
      </c>
      <c r="AL116" s="27">
        <v>100.0</v>
      </c>
      <c r="AM116" s="56" t="str">
        <f t="array" ref="AM116">vlookup(C116,{DraftTracker!F:F,DraftTracker!E:E},2,0)</f>
        <v>CUSA</v>
      </c>
      <c r="AN116" s="56" t="str">
        <f>VLOOKUP(AM116,P5G5!A:B,2,0)</f>
        <v>Group of 5</v>
      </c>
      <c r="AO116" s="60" t="b">
        <f>IFERROR(__xludf.DUMMYFUNCTION("iferror(if(not(iserror(find(""FINAL"",G116))),max(arrayformula(value(REGEXEXTRACT(F116,""^""&amp;C116&amp;"" ([\d]+)|[^a-zA-Z] ""&amp;C116&amp;"" ([\d]+)""))))=max(value(REGEXEXTRACT(F116,"" ([\d]+)"")),value(REGEXEXTRACT(F116,""([\d]+)$""))),""""))"),FALSE)</f>
        <v>0</v>
      </c>
    </row>
    <row r="117">
      <c r="A117" s="19">
        <v>121.0</v>
      </c>
      <c r="B117" s="19" t="s">
        <v>148</v>
      </c>
      <c r="C117" s="21" t="s">
        <v>316</v>
      </c>
      <c r="D117" s="62">
        <v>9.0</v>
      </c>
      <c r="E117" s="27">
        <v>3.0</v>
      </c>
      <c r="F117" s="67" t="s">
        <v>305</v>
      </c>
      <c r="G117" s="27" t="s">
        <v>57</v>
      </c>
      <c r="H117" s="27" t="s">
        <v>138</v>
      </c>
      <c r="I117" s="33"/>
      <c r="J117" s="32"/>
      <c r="K117" s="33"/>
      <c r="L117" s="33"/>
      <c r="M117" s="35"/>
      <c r="N117" s="27"/>
      <c r="O117" s="27"/>
      <c r="P117" s="27"/>
      <c r="Q117" s="27"/>
      <c r="R117" s="27"/>
      <c r="S117" s="27"/>
      <c r="T117" s="27"/>
      <c r="U117" s="27"/>
      <c r="V117" s="27"/>
      <c r="W117" s="27"/>
      <c r="X117" s="27"/>
      <c r="Y117" s="27"/>
      <c r="Z117" s="27"/>
      <c r="AA117" s="27"/>
      <c r="AB117" s="27"/>
      <c r="AC117" s="27"/>
      <c r="AD117" s="27"/>
      <c r="AE117" s="27"/>
      <c r="AF117" s="27"/>
      <c r="AG117" s="27"/>
      <c r="AH117" s="33">
        <v>362.0</v>
      </c>
      <c r="AI117" s="27">
        <v>213.0</v>
      </c>
      <c r="AJ117" s="27">
        <v>2.0</v>
      </c>
      <c r="AK117" s="27" t="b">
        <v>1</v>
      </c>
      <c r="AL117" s="27">
        <v>100.0</v>
      </c>
      <c r="AM117" s="56" t="str">
        <f t="array" ref="AM117">vlookup(C117,{DraftTracker!F:F,DraftTracker!E:E},2,0)</f>
        <v>MWC</v>
      </c>
      <c r="AN117" s="56" t="str">
        <f>VLOOKUP(AM117,P5G5!A:B,2,0)</f>
        <v>Group of 5</v>
      </c>
      <c r="AO117" s="60" t="b">
        <f>IFERROR(__xludf.DUMMYFUNCTION("iferror(if(not(iserror(find(""FINAL"",G117))),max(arrayformula(value(REGEXEXTRACT(F117,""^""&amp;C117&amp;"" ([\d]+)|[^a-zA-Z] ""&amp;C117&amp;"" ([\d]+)""))))=max(value(REGEXEXTRACT(F117,"" ([\d]+)"")),value(REGEXEXTRACT(F117,""([\d]+)$""))),""""))"),TRUE)</f>
        <v>1</v>
      </c>
    </row>
    <row r="118">
      <c r="A118" s="19">
        <v>121.0</v>
      </c>
      <c r="B118" s="19" t="s">
        <v>148</v>
      </c>
      <c r="C118" s="21" t="s">
        <v>335</v>
      </c>
      <c r="D118" s="62">
        <v>6.0</v>
      </c>
      <c r="E118" s="27">
        <v>6.0</v>
      </c>
      <c r="F118" s="67" t="s">
        <v>177</v>
      </c>
      <c r="G118" s="27" t="s">
        <v>57</v>
      </c>
      <c r="H118" s="27" t="s">
        <v>53</v>
      </c>
      <c r="I118" s="33"/>
      <c r="J118" s="32"/>
      <c r="K118" s="33"/>
      <c r="L118" s="33"/>
      <c r="M118" s="35"/>
      <c r="N118" s="27"/>
      <c r="O118" s="27"/>
      <c r="P118" s="27"/>
      <c r="Q118" s="27"/>
      <c r="R118" s="27"/>
      <c r="S118" s="27"/>
      <c r="T118" s="27"/>
      <c r="U118" s="27"/>
      <c r="V118" s="27"/>
      <c r="W118" s="27"/>
      <c r="X118" s="27"/>
      <c r="Y118" s="27"/>
      <c r="Z118" s="27"/>
      <c r="AA118" s="27"/>
      <c r="AB118" s="27"/>
      <c r="AC118" s="27"/>
      <c r="AD118" s="27"/>
      <c r="AE118" s="27"/>
      <c r="AF118" s="27"/>
      <c r="AG118" s="27"/>
      <c r="AH118" s="33">
        <v>286.0</v>
      </c>
      <c r="AI118" s="27">
        <v>399.0</v>
      </c>
      <c r="AJ118" s="27">
        <v>2.0</v>
      </c>
      <c r="AK118" s="27" t="b">
        <v>1</v>
      </c>
      <c r="AL118" s="27">
        <v>100.0</v>
      </c>
      <c r="AM118" s="56" t="str">
        <f t="array" ref="AM118">vlookup(C118,{DraftTracker!F:F,DraftTracker!E:E},2,0)</f>
        <v>MAC</v>
      </c>
      <c r="AN118" s="56" t="str">
        <f>VLOOKUP(AM118,P5G5!A:B,2,0)</f>
        <v>Group of 5</v>
      </c>
      <c r="AO118" s="60" t="b">
        <f>IFERROR(__xludf.DUMMYFUNCTION("iferror(if(not(iserror(find(""FINAL"",G118))),max(arrayformula(value(REGEXEXTRACT(F118,""^""&amp;C118&amp;"" ([\d]+)|[^a-zA-Z] ""&amp;C118&amp;"" ([\d]+)""))))=max(value(REGEXEXTRACT(F118,"" ([\d]+)"")),value(REGEXEXTRACT(F118,""([\d]+)$""))),""""))"),FALSE)</f>
        <v>0</v>
      </c>
    </row>
    <row r="119">
      <c r="A119" s="19">
        <v>121.0</v>
      </c>
      <c r="B119" s="19" t="s">
        <v>148</v>
      </c>
      <c r="C119" s="21" t="s">
        <v>387</v>
      </c>
      <c r="D119" s="62">
        <v>5.0</v>
      </c>
      <c r="E119" s="27">
        <v>7.0</v>
      </c>
      <c r="F119" s="67" t="s">
        <v>407</v>
      </c>
      <c r="G119" s="27" t="s">
        <v>57</v>
      </c>
      <c r="H119" s="27" t="s">
        <v>109</v>
      </c>
      <c r="I119" s="33" t="s">
        <v>82</v>
      </c>
      <c r="J119" s="32"/>
      <c r="K119" s="33"/>
      <c r="L119" s="33"/>
      <c r="M119" s="35"/>
      <c r="N119" s="27"/>
      <c r="O119" s="27"/>
      <c r="P119" s="27"/>
      <c r="Q119" s="27"/>
      <c r="R119" s="27"/>
      <c r="S119" s="27"/>
      <c r="T119" s="27"/>
      <c r="U119" s="27"/>
      <c r="V119" s="27"/>
      <c r="W119" s="27"/>
      <c r="X119" s="27"/>
      <c r="Y119" s="27"/>
      <c r="Z119" s="27"/>
      <c r="AA119" s="27"/>
      <c r="AB119" s="27"/>
      <c r="AC119" s="27"/>
      <c r="AD119" s="27"/>
      <c r="AE119" s="27"/>
      <c r="AF119" s="27"/>
      <c r="AG119" s="27"/>
      <c r="AH119" s="33">
        <v>235.0</v>
      </c>
      <c r="AI119" s="27">
        <v>231.0</v>
      </c>
      <c r="AJ119" s="27">
        <v>3.0</v>
      </c>
      <c r="AK119" s="27" t="b">
        <v>1</v>
      </c>
      <c r="AL119" s="27">
        <v>100.0</v>
      </c>
      <c r="AM119" s="56" t="str">
        <f t="array" ref="AM119">vlookup(C119,{DraftTracker!F:F,DraftTracker!E:E},2,0)</f>
        <v>SEC</v>
      </c>
      <c r="AN119" s="56" t="str">
        <f>VLOOKUP(AM119,P5G5!A:B,2,0)</f>
        <v>Power 5</v>
      </c>
      <c r="AO119" s="60" t="str">
        <f>IFERROR(__xludf.DUMMYFUNCTION("iferror(if(not(iserror(find(""FINAL"",G119))),max(arrayformula(value(REGEXEXTRACT(F119,""^""&amp;C119&amp;"" ([\d]+)|[^a-zA-Z] ""&amp;C119&amp;"" ([\d]+)""))))=max(value(REGEXEXTRACT(F119,"" ([\d]+)"")),value(REGEXEXTRACT(F119,""([\d]+)$""))),""""))"),"")</f>
        <v/>
      </c>
    </row>
    <row r="120">
      <c r="A120" s="19">
        <v>121.0</v>
      </c>
      <c r="B120" s="19" t="s">
        <v>148</v>
      </c>
      <c r="C120" s="21" t="s">
        <v>374</v>
      </c>
      <c r="D120" s="62">
        <v>9.0</v>
      </c>
      <c r="E120" s="27">
        <v>3.0</v>
      </c>
      <c r="F120" s="67" t="s">
        <v>211</v>
      </c>
      <c r="G120" s="27" t="s">
        <v>57</v>
      </c>
      <c r="H120" s="27" t="s">
        <v>131</v>
      </c>
      <c r="I120" s="33" t="s">
        <v>105</v>
      </c>
      <c r="J120" s="32"/>
      <c r="K120" s="33"/>
      <c r="L120" s="33"/>
      <c r="M120" s="35"/>
      <c r="N120" s="27"/>
      <c r="O120" s="27"/>
      <c r="P120" s="27"/>
      <c r="Q120" s="27"/>
      <c r="R120" s="27"/>
      <c r="S120" s="27"/>
      <c r="T120" s="27"/>
      <c r="U120" s="27"/>
      <c r="V120" s="27"/>
      <c r="W120" s="27"/>
      <c r="X120" s="27"/>
      <c r="Y120" s="27"/>
      <c r="Z120" s="27"/>
      <c r="AA120" s="27"/>
      <c r="AB120" s="27"/>
      <c r="AC120" s="27"/>
      <c r="AD120" s="27"/>
      <c r="AE120" s="27"/>
      <c r="AF120" s="27"/>
      <c r="AG120" s="27"/>
      <c r="AH120" s="33">
        <v>373.0</v>
      </c>
      <c r="AI120" s="27">
        <v>217.0</v>
      </c>
      <c r="AJ120" s="27">
        <v>3.0</v>
      </c>
      <c r="AK120" s="27" t="b">
        <v>1</v>
      </c>
      <c r="AL120" s="27">
        <v>100.0</v>
      </c>
      <c r="AM120" s="56" t="str">
        <f t="array" ref="AM120">vlookup(C120,{DraftTracker!F:F,DraftTracker!E:E},2,0)</f>
        <v>AAC</v>
      </c>
      <c r="AN120" s="56" t="str">
        <f>VLOOKUP(AM120,P5G5!A:B,2,0)</f>
        <v>Group of 5</v>
      </c>
      <c r="AO120" s="60" t="b">
        <f>IFERROR(__xludf.DUMMYFUNCTION("iferror(if(not(iserror(find(""FINAL"",G120))),max(arrayformula(value(REGEXEXTRACT(F120,""^""&amp;C120&amp;"" ([\d]+)|[^a-zA-Z] ""&amp;C120&amp;"" ([\d]+)""))))=max(value(REGEXEXTRACT(F120,"" ([\d]+)"")),value(REGEXEXTRACT(F120,""([\d]+)$""))),""""))"),TRUE)</f>
        <v>1</v>
      </c>
    </row>
    <row r="121">
      <c r="A121" s="19">
        <v>121.0</v>
      </c>
      <c r="B121" s="19" t="s">
        <v>148</v>
      </c>
      <c r="C121" s="21" t="s">
        <v>377</v>
      </c>
      <c r="D121" s="62">
        <v>10.0</v>
      </c>
      <c r="E121" s="27">
        <v>2.0</v>
      </c>
      <c r="F121" s="67" t="s">
        <v>421</v>
      </c>
      <c r="G121" s="27" t="s">
        <v>57</v>
      </c>
      <c r="H121" s="27" t="s">
        <v>131</v>
      </c>
      <c r="I121" s="33" t="s">
        <v>82</v>
      </c>
      <c r="J121" s="32"/>
      <c r="K121" s="33"/>
      <c r="L121" s="33"/>
      <c r="M121" s="35"/>
      <c r="N121" s="27"/>
      <c r="O121" s="27"/>
      <c r="P121" s="27"/>
      <c r="Q121" s="27"/>
      <c r="R121" s="27"/>
      <c r="S121" s="27"/>
      <c r="T121" s="27"/>
      <c r="U121" s="27"/>
      <c r="V121" s="27"/>
      <c r="W121" s="27"/>
      <c r="X121" s="27"/>
      <c r="Y121" s="27"/>
      <c r="Z121" s="27"/>
      <c r="AA121" s="27"/>
      <c r="AB121" s="27"/>
      <c r="AC121" s="27"/>
      <c r="AD121" s="27"/>
      <c r="AE121" s="27"/>
      <c r="AF121" s="27"/>
      <c r="AG121" s="27"/>
      <c r="AH121" s="33">
        <v>438.0</v>
      </c>
      <c r="AI121" s="27">
        <v>283.0</v>
      </c>
      <c r="AJ121" s="27">
        <v>3.0</v>
      </c>
      <c r="AK121" s="27" t="b">
        <v>1</v>
      </c>
      <c r="AL121" s="27">
        <v>100.0</v>
      </c>
      <c r="AM121" s="56" t="str">
        <f t="array" ref="AM121">vlookup(C121,{DraftTracker!F:F,DraftTracker!E:E},2,0)</f>
        <v>Pac12</v>
      </c>
      <c r="AN121" s="56" t="str">
        <f>VLOOKUP(AM121,P5G5!A:B,2,0)</f>
        <v>Power 5</v>
      </c>
      <c r="AO121" s="60" t="b">
        <f>IFERROR(__xludf.DUMMYFUNCTION("iferror(if(not(iserror(find(""FINAL"",G121))),max(arrayformula(value(REGEXEXTRACT(F121,""^""&amp;C121&amp;"" ([\d]+)|[^a-zA-Z] ""&amp;C121&amp;"" ([\d]+)""))))=max(value(REGEXEXTRACT(F121,"" ([\d]+)"")),value(REGEXEXTRACT(F121,""([\d]+)$""))),""""))"),TRUE)</f>
        <v>1</v>
      </c>
    </row>
    <row r="122">
      <c r="A122" s="1">
        <v>122.0</v>
      </c>
      <c r="B122" s="2"/>
      <c r="C122" s="2"/>
      <c r="D122" s="2"/>
      <c r="E122" s="2"/>
      <c r="F122" s="4"/>
      <c r="G122" s="2"/>
      <c r="H122" s="2"/>
      <c r="I122" s="2"/>
      <c r="J122" s="4"/>
      <c r="K122" s="2"/>
      <c r="L122" s="2"/>
      <c r="M122" s="89"/>
      <c r="N122" s="2"/>
      <c r="O122" s="90"/>
      <c r="P122" s="2"/>
      <c r="Q122" s="90"/>
      <c r="R122" s="2"/>
      <c r="S122" s="90"/>
      <c r="T122" s="2"/>
      <c r="U122" s="90"/>
      <c r="V122" s="2"/>
      <c r="W122" s="90"/>
      <c r="X122" s="2"/>
      <c r="Y122" s="90"/>
      <c r="Z122" s="2"/>
      <c r="AA122" s="90"/>
      <c r="AB122" s="2"/>
      <c r="AC122" s="90"/>
      <c r="AD122" s="2"/>
      <c r="AE122" s="90"/>
      <c r="AF122" s="2"/>
      <c r="AG122" s="2"/>
      <c r="AH122" s="2"/>
      <c r="AI122" s="2"/>
      <c r="AJ122" s="2"/>
      <c r="AK122" s="2"/>
      <c r="AL122" s="2"/>
      <c r="AM122" s="91" t="str">
        <f t="array" ref="AM122">vlookup(C122,{DraftTracker!F:F,DraftTracker!E:E},2,0)</f>
        <v>#N/A</v>
      </c>
      <c r="AN122" s="91" t="str">
        <f>VLOOKUP(AM122,P5G5!A:B,2,0)</f>
        <v>#N/A</v>
      </c>
      <c r="AO122" s="56" t="str">
        <f>IFERROR(__xludf.DUMMYFUNCTION("iferror(if(not(iserror(find(""FINAL"",G122))),max(arrayformula(value(REGEXEXTRACT(F122,""^""&amp;C122&amp;"" ([\d]+)|[^a-zA-Z] ""&amp;C122&amp;"" ([\d]+)""))))=max(value(REGEXEXTRACT(F122,"" ([\d]+)"")),value(REGEXEXTRACT(F122,""([\d]+)$""))),""""))"),"")</f>
        <v/>
      </c>
    </row>
    <row r="123">
      <c r="A123" s="19">
        <v>123.0</v>
      </c>
      <c r="B123" s="19" t="s">
        <v>103</v>
      </c>
      <c r="C123" s="21" t="s">
        <v>378</v>
      </c>
      <c r="D123" s="62">
        <v>6.0</v>
      </c>
      <c r="E123" s="27">
        <v>6.0</v>
      </c>
      <c r="F123" s="63" t="s">
        <v>396</v>
      </c>
      <c r="G123" s="27" t="s">
        <v>57</v>
      </c>
      <c r="H123" s="64" t="s">
        <v>166</v>
      </c>
      <c r="I123" s="33" t="s">
        <v>126</v>
      </c>
      <c r="J123" s="32"/>
      <c r="K123" s="33"/>
      <c r="L123" s="33"/>
      <c r="M123" s="35"/>
      <c r="N123" s="27"/>
      <c r="O123" s="27"/>
      <c r="P123" s="27"/>
      <c r="Q123" s="27"/>
      <c r="R123" s="27"/>
      <c r="S123" s="27"/>
      <c r="T123" s="27"/>
      <c r="U123" s="27"/>
      <c r="V123" s="27"/>
      <c r="W123" s="27"/>
      <c r="X123" s="27"/>
      <c r="Y123" s="27"/>
      <c r="Z123" s="27"/>
      <c r="AA123" s="27"/>
      <c r="AB123" s="27"/>
      <c r="AC123" s="27"/>
      <c r="AD123" s="27"/>
      <c r="AE123" s="27"/>
      <c r="AF123" s="27"/>
      <c r="AG123" s="27"/>
      <c r="AH123" s="33">
        <v>330.0</v>
      </c>
      <c r="AI123" s="27">
        <v>254.0</v>
      </c>
      <c r="AJ123" s="27">
        <v>0.0</v>
      </c>
      <c r="AK123" s="27" t="b">
        <v>1</v>
      </c>
      <c r="AL123" s="27">
        <v>1.1499999999999986</v>
      </c>
      <c r="AM123" s="56" t="str">
        <f t="array" ref="AM123">vlookup(C123,{DraftTracker!F:F,DraftTracker!E:E},2,0)</f>
        <v>CUSA</v>
      </c>
      <c r="AN123" s="56" t="str">
        <f>VLOOKUP(AM123,P5G5!A:B,2,0)</f>
        <v>Group of 5</v>
      </c>
      <c r="AO123" s="56" t="b">
        <f>IFERROR(__xludf.DUMMYFUNCTION("iferror(if(not(iserror(find(""FINAL"",G123))),max(arrayformula(value(REGEXEXTRACT(F123,""^""&amp;C123&amp;"" ([\d]+)|[^a-zA-Z] ""&amp;C123&amp;"" ([\d]+)""))))=max(value(REGEXEXTRACT(F123,"" ([\d]+)"")),value(REGEXEXTRACT(F123,""([\d]+)$""))),""""))"),TRUE)</f>
        <v>1</v>
      </c>
    </row>
    <row r="124">
      <c r="A124" s="19">
        <v>123.0</v>
      </c>
      <c r="B124" s="19" t="s">
        <v>103</v>
      </c>
      <c r="C124" s="21" t="s">
        <v>358</v>
      </c>
      <c r="D124" s="62">
        <v>12.0</v>
      </c>
      <c r="E124" s="27">
        <v>0.0</v>
      </c>
      <c r="F124" s="67" t="s">
        <v>420</v>
      </c>
      <c r="G124" s="27" t="s">
        <v>57</v>
      </c>
      <c r="H124" s="64" t="s">
        <v>148</v>
      </c>
      <c r="I124" s="33" t="s">
        <v>74</v>
      </c>
      <c r="J124" s="32"/>
      <c r="K124" s="33"/>
      <c r="L124" s="33"/>
      <c r="M124" s="35"/>
      <c r="N124" s="27"/>
      <c r="O124" s="27"/>
      <c r="P124" s="27"/>
      <c r="Q124" s="27"/>
      <c r="R124" s="27"/>
      <c r="S124" s="27"/>
      <c r="T124" s="27"/>
      <c r="U124" s="27"/>
      <c r="V124" s="27"/>
      <c r="W124" s="27"/>
      <c r="X124" s="27"/>
      <c r="Y124" s="27"/>
      <c r="Z124" s="27"/>
      <c r="AA124" s="27"/>
      <c r="AB124" s="27"/>
      <c r="AC124" s="27"/>
      <c r="AD124" s="27"/>
      <c r="AE124" s="27"/>
      <c r="AF124" s="27"/>
      <c r="AG124" s="27"/>
      <c r="AH124" s="33">
        <v>434.0</v>
      </c>
      <c r="AI124" s="27">
        <v>280.0</v>
      </c>
      <c r="AJ124" s="27">
        <v>0.0</v>
      </c>
      <c r="AK124" s="27" t="b">
        <v>1</v>
      </c>
      <c r="AL124" s="27">
        <v>13.833333333333336</v>
      </c>
      <c r="AM124" s="56" t="str">
        <f t="array" ref="AM124">vlookup(C124,{DraftTracker!F:F,DraftTracker!E:E},2,0)</f>
        <v>Big 12</v>
      </c>
      <c r="AN124" s="56" t="str">
        <f>VLOOKUP(AM124,P5G5!A:B,2,0)</f>
        <v>Power 5</v>
      </c>
      <c r="AO124" s="60" t="b">
        <f>IFERROR(__xludf.DUMMYFUNCTION("iferror(if(not(iserror(find(""FINAL"",G124))),max(arrayformula(value(REGEXEXTRACT(F124,""^""&amp;C124&amp;"" ([\d]+)|[^a-zA-Z] ""&amp;C124&amp;"" ([\d]+)""))))=max(value(REGEXEXTRACT(F124,"" ([\d]+)"")),value(REGEXEXTRACT(F124,""([\d]+)$""))),""""))"),TRUE)</f>
        <v>1</v>
      </c>
    </row>
    <row r="125">
      <c r="A125" s="19">
        <v>123.0</v>
      </c>
      <c r="B125" s="19" t="s">
        <v>103</v>
      </c>
      <c r="C125" s="21" t="s">
        <v>362</v>
      </c>
      <c r="D125" s="62">
        <v>3.0</v>
      </c>
      <c r="E125" s="27">
        <v>9.0</v>
      </c>
      <c r="F125" s="67" t="s">
        <v>412</v>
      </c>
      <c r="G125" s="27" t="s">
        <v>57</v>
      </c>
      <c r="H125" s="27" t="s">
        <v>144</v>
      </c>
      <c r="I125" s="33"/>
      <c r="J125" s="32"/>
      <c r="K125" s="33"/>
      <c r="L125" s="33"/>
      <c r="M125" s="35"/>
      <c r="N125" s="27"/>
      <c r="O125" s="27"/>
      <c r="P125" s="27"/>
      <c r="Q125" s="27"/>
      <c r="R125" s="27"/>
      <c r="S125" s="27"/>
      <c r="T125" s="27"/>
      <c r="U125" s="27"/>
      <c r="V125" s="27"/>
      <c r="W125" s="27"/>
      <c r="X125" s="27"/>
      <c r="Y125" s="27"/>
      <c r="Z125" s="27"/>
      <c r="AA125" s="27"/>
      <c r="AB125" s="27"/>
      <c r="AC125" s="27"/>
      <c r="AD125" s="27"/>
      <c r="AE125" s="27"/>
      <c r="AF125" s="27"/>
      <c r="AG125" s="27"/>
      <c r="AH125" s="33">
        <v>263.0</v>
      </c>
      <c r="AI125" s="27">
        <v>351.0</v>
      </c>
      <c r="AJ125" s="27">
        <v>2.0</v>
      </c>
      <c r="AK125" s="27" t="b">
        <v>0</v>
      </c>
      <c r="AL125" s="27">
        <v>100.0</v>
      </c>
      <c r="AM125" s="56" t="str">
        <f t="array" ref="AM125">vlookup(C125,{DraftTracker!F:F,DraftTracker!E:E},2,0)</f>
        <v>AAC</v>
      </c>
      <c r="AN125" s="56" t="str">
        <f>VLOOKUP(AM125,P5G5!A:B,2,0)</f>
        <v>Group of 5</v>
      </c>
      <c r="AO125" s="60" t="b">
        <f>IFERROR(__xludf.DUMMYFUNCTION("iferror(if(not(iserror(find(""FINAL"",G125))),max(arrayformula(value(REGEXEXTRACT(F125,""^""&amp;C125&amp;"" ([\d]+)|[^a-zA-Z] ""&amp;C125&amp;"" ([\d]+)""))))=max(value(REGEXEXTRACT(F125,"" ([\d]+)"")),value(REGEXEXTRACT(F125,""([\d]+)$""))),""""))"),FALSE)</f>
        <v>0</v>
      </c>
    </row>
    <row r="126">
      <c r="A126" s="19">
        <v>123.0</v>
      </c>
      <c r="B126" s="19" t="s">
        <v>103</v>
      </c>
      <c r="C126" s="21" t="s">
        <v>361</v>
      </c>
      <c r="D126" s="62">
        <v>4.0</v>
      </c>
      <c r="E126" s="27">
        <v>8.0</v>
      </c>
      <c r="F126" s="67" t="s">
        <v>307</v>
      </c>
      <c r="G126" s="27" t="s">
        <v>57</v>
      </c>
      <c r="H126" s="27" t="s">
        <v>166</v>
      </c>
      <c r="I126" s="33"/>
      <c r="J126" s="32"/>
      <c r="K126" s="33"/>
      <c r="L126" s="33"/>
      <c r="M126" s="35"/>
      <c r="N126" s="27"/>
      <c r="O126" s="27"/>
      <c r="P126" s="27"/>
      <c r="Q126" s="27"/>
      <c r="R126" s="27"/>
      <c r="S126" s="27"/>
      <c r="T126" s="27"/>
      <c r="U126" s="27"/>
      <c r="V126" s="27"/>
      <c r="W126" s="27"/>
      <c r="X126" s="27"/>
      <c r="Y126" s="27"/>
      <c r="Z126" s="27"/>
      <c r="AA126" s="27"/>
      <c r="AB126" s="27"/>
      <c r="AC126" s="27"/>
      <c r="AD126" s="27"/>
      <c r="AE126" s="27"/>
      <c r="AF126" s="27"/>
      <c r="AG126" s="27"/>
      <c r="AH126" s="33">
        <v>360.0</v>
      </c>
      <c r="AI126" s="27">
        <v>374.0</v>
      </c>
      <c r="AJ126" s="27">
        <v>2.0</v>
      </c>
      <c r="AK126" s="27" t="b">
        <v>1</v>
      </c>
      <c r="AL126" s="27">
        <v>100.0</v>
      </c>
      <c r="AM126" s="56" t="str">
        <f t="array" ref="AM126">vlookup(C126,{DraftTracker!F:F,DraftTracker!E:E},2,0)</f>
        <v>Sun Belt</v>
      </c>
      <c r="AN126" s="56" t="str">
        <f>VLOOKUP(AM126,P5G5!A:B,2,0)</f>
        <v>Group of 5</v>
      </c>
      <c r="AO126" s="60" t="b">
        <f>IFERROR(__xludf.DUMMYFUNCTION("iferror(if(not(iserror(find(""FINAL"",G126))),max(arrayformula(value(REGEXEXTRACT(F126,""^""&amp;C126&amp;"" ([\d]+)|[^a-zA-Z] ""&amp;C126&amp;"" ([\d]+)""))))=max(value(REGEXEXTRACT(F126,"" ([\d]+)"")),value(REGEXEXTRACT(F126,""([\d]+)$""))),""""))"),FALSE)</f>
        <v>0</v>
      </c>
    </row>
    <row r="127">
      <c r="A127" s="19">
        <v>123.0</v>
      </c>
      <c r="B127" s="19" t="s">
        <v>103</v>
      </c>
      <c r="C127" s="21" t="s">
        <v>341</v>
      </c>
      <c r="D127" s="62">
        <v>7.0</v>
      </c>
      <c r="E127" s="27">
        <v>5.0</v>
      </c>
      <c r="F127" s="67" t="s">
        <v>390</v>
      </c>
      <c r="G127" s="27" t="s">
        <v>57</v>
      </c>
      <c r="H127" s="27" t="s">
        <v>141</v>
      </c>
      <c r="I127" s="33"/>
      <c r="J127" s="32"/>
      <c r="K127" s="33"/>
      <c r="L127" s="33"/>
      <c r="M127" s="35"/>
      <c r="N127" s="27"/>
      <c r="O127" s="27"/>
      <c r="P127" s="27"/>
      <c r="Q127" s="27"/>
      <c r="R127" s="27"/>
      <c r="S127" s="27"/>
      <c r="T127" s="27"/>
      <c r="U127" s="27"/>
      <c r="V127" s="27"/>
      <c r="W127" s="27"/>
      <c r="X127" s="27"/>
      <c r="Y127" s="27"/>
      <c r="Z127" s="27"/>
      <c r="AA127" s="27"/>
      <c r="AB127" s="27"/>
      <c r="AC127" s="27"/>
      <c r="AD127" s="27"/>
      <c r="AE127" s="27"/>
      <c r="AF127" s="27"/>
      <c r="AG127" s="27"/>
      <c r="AH127" s="33">
        <v>350.0</v>
      </c>
      <c r="AI127" s="27">
        <v>289.0</v>
      </c>
      <c r="AJ127" s="27">
        <v>2.0</v>
      </c>
      <c r="AK127" s="27" t="b">
        <v>0</v>
      </c>
      <c r="AL127" s="27">
        <v>100.0</v>
      </c>
      <c r="AM127" s="56" t="str">
        <f t="array" ref="AM127">vlookup(C127,{DraftTracker!F:F,DraftTracker!E:E},2,0)</f>
        <v>Big Ten</v>
      </c>
      <c r="AN127" s="56" t="str">
        <f>VLOOKUP(AM127,P5G5!A:B,2,0)</f>
        <v>Power 5</v>
      </c>
      <c r="AO127" s="60" t="b">
        <f>IFERROR(__xludf.DUMMYFUNCTION("iferror(if(not(iserror(find(""FINAL"",G127))),max(arrayformula(value(REGEXEXTRACT(F127,""^""&amp;C127&amp;"" ([\d]+)|[^a-zA-Z] ""&amp;C127&amp;"" ([\d]+)""))))=max(value(REGEXEXTRACT(F127,"" ([\d]+)"")),value(REGEXEXTRACT(F127,""([\d]+)$""))),""""))"),TRUE)</f>
        <v>1</v>
      </c>
    </row>
    <row r="128">
      <c r="A128" s="19">
        <v>123.0</v>
      </c>
      <c r="B128" s="19" t="s">
        <v>103</v>
      </c>
      <c r="C128" s="21" t="s">
        <v>340</v>
      </c>
      <c r="D128" s="62">
        <v>9.0</v>
      </c>
      <c r="E128" s="27">
        <v>3.0</v>
      </c>
      <c r="F128" s="67" t="s">
        <v>416</v>
      </c>
      <c r="G128" s="27" t="s">
        <v>57</v>
      </c>
      <c r="H128" s="27" t="s">
        <v>144</v>
      </c>
      <c r="I128" s="33"/>
      <c r="J128" s="32"/>
      <c r="K128" s="33"/>
      <c r="L128" s="33"/>
      <c r="M128" s="35"/>
      <c r="N128" s="27"/>
      <c r="O128" s="27"/>
      <c r="P128" s="27"/>
      <c r="Q128" s="27"/>
      <c r="R128" s="27"/>
      <c r="S128" s="27"/>
      <c r="T128" s="27"/>
      <c r="U128" s="27"/>
      <c r="V128" s="27"/>
      <c r="W128" s="27"/>
      <c r="X128" s="27"/>
      <c r="Y128" s="27"/>
      <c r="Z128" s="27"/>
      <c r="AA128" s="27"/>
      <c r="AB128" s="27"/>
      <c r="AC128" s="27"/>
      <c r="AD128" s="27"/>
      <c r="AE128" s="27"/>
      <c r="AF128" s="27"/>
      <c r="AG128" s="27"/>
      <c r="AH128" s="33">
        <v>434.0</v>
      </c>
      <c r="AI128" s="27">
        <v>236.0</v>
      </c>
      <c r="AJ128" s="27">
        <v>2.0</v>
      </c>
      <c r="AK128" s="27" t="b">
        <v>1</v>
      </c>
      <c r="AL128" s="27">
        <v>100.0</v>
      </c>
      <c r="AM128" s="56" t="str">
        <f t="array" ref="AM128">vlookup(C128,{DraftTracker!F:F,DraftTracker!E:E},2,0)</f>
        <v>ACC</v>
      </c>
      <c r="AN128" s="56" t="str">
        <f>VLOOKUP(AM128,P5G5!A:B,2,0)</f>
        <v>Power 5</v>
      </c>
      <c r="AO128" s="60" t="b">
        <f>IFERROR(__xludf.DUMMYFUNCTION("iferror(if(not(iserror(find(""FINAL"",G128))),max(arrayformula(value(REGEXEXTRACT(F128,""^""&amp;C128&amp;"" ([\d]+)|[^a-zA-Z] ""&amp;C128&amp;"" ([\d]+)""))))=max(value(REGEXEXTRACT(F128,"" ([\d]+)"")),value(REGEXEXTRACT(F128,""([\d]+)$""))),""""))"),TRUE)</f>
        <v>1</v>
      </c>
    </row>
    <row r="129">
      <c r="A129" s="19">
        <v>123.0</v>
      </c>
      <c r="B129" s="19" t="s">
        <v>103</v>
      </c>
      <c r="C129" s="21" t="s">
        <v>322</v>
      </c>
      <c r="D129" s="62">
        <v>5.0</v>
      </c>
      <c r="E129" s="27">
        <v>7.0</v>
      </c>
      <c r="F129" s="67" t="s">
        <v>397</v>
      </c>
      <c r="G129" s="27" t="s">
        <v>57</v>
      </c>
      <c r="H129" s="27" t="s">
        <v>109</v>
      </c>
      <c r="I129" s="33"/>
      <c r="J129" s="32"/>
      <c r="K129" s="33"/>
      <c r="L129" s="33"/>
      <c r="M129" s="35"/>
      <c r="N129" s="27"/>
      <c r="O129" s="27"/>
      <c r="P129" s="27"/>
      <c r="Q129" s="27"/>
      <c r="R129" s="27"/>
      <c r="S129" s="27"/>
      <c r="T129" s="27"/>
      <c r="U129" s="27"/>
      <c r="V129" s="27"/>
      <c r="W129" s="27"/>
      <c r="X129" s="27"/>
      <c r="Y129" s="27"/>
      <c r="Z129" s="27"/>
      <c r="AA129" s="27"/>
      <c r="AB129" s="27"/>
      <c r="AC129" s="27"/>
      <c r="AD129" s="27"/>
      <c r="AE129" s="27"/>
      <c r="AF129" s="27"/>
      <c r="AG129" s="27"/>
      <c r="AH129" s="33">
        <v>370.0</v>
      </c>
      <c r="AI129" s="27">
        <v>438.0</v>
      </c>
      <c r="AJ129" s="27">
        <v>2.0</v>
      </c>
      <c r="AK129" s="27" t="b">
        <v>0</v>
      </c>
      <c r="AL129" s="27">
        <v>100.0</v>
      </c>
      <c r="AM129" s="56" t="str">
        <f t="array" ref="AM129">vlookup(C129,{DraftTracker!F:F,DraftTracker!E:E},2,0)</f>
        <v>Pac12</v>
      </c>
      <c r="AN129" s="56" t="str">
        <f>VLOOKUP(AM129,P5G5!A:B,2,0)</f>
        <v>Power 5</v>
      </c>
      <c r="AO129" s="60" t="b">
        <f>IFERROR(__xludf.DUMMYFUNCTION("iferror(if(not(iserror(find(""FINAL"",G129))),max(arrayformula(value(REGEXEXTRACT(F129,""^""&amp;C129&amp;"" ([\d]+)|[^a-zA-Z] ""&amp;C129&amp;"" ([\d]+)""))))=max(value(REGEXEXTRACT(F129,"" ([\d]+)"")),value(REGEXEXTRACT(F129,""([\d]+)$""))),""""))"),TRUE)</f>
        <v>1</v>
      </c>
    </row>
    <row r="130">
      <c r="A130" s="19">
        <v>123.0</v>
      </c>
      <c r="B130" s="19" t="s">
        <v>103</v>
      </c>
      <c r="C130" s="21" t="s">
        <v>356</v>
      </c>
      <c r="D130" s="62">
        <v>8.0</v>
      </c>
      <c r="E130" s="27">
        <v>4.0</v>
      </c>
      <c r="F130" s="67" t="s">
        <v>286</v>
      </c>
      <c r="G130" s="27" t="s">
        <v>57</v>
      </c>
      <c r="H130" s="27" t="s">
        <v>59</v>
      </c>
      <c r="I130" s="33"/>
      <c r="J130" s="32"/>
      <c r="K130" s="33"/>
      <c r="L130" s="33"/>
      <c r="M130" s="35"/>
      <c r="N130" s="27"/>
      <c r="O130" s="27"/>
      <c r="P130" s="27"/>
      <c r="Q130" s="27"/>
      <c r="R130" s="27"/>
      <c r="S130" s="27"/>
      <c r="T130" s="27"/>
      <c r="U130" s="27"/>
      <c r="V130" s="27"/>
      <c r="W130" s="27"/>
      <c r="X130" s="27"/>
      <c r="Y130" s="27"/>
      <c r="Z130" s="27"/>
      <c r="AA130" s="27"/>
      <c r="AB130" s="27"/>
      <c r="AC130" s="27"/>
      <c r="AD130" s="27"/>
      <c r="AE130" s="27"/>
      <c r="AF130" s="27"/>
      <c r="AG130" s="27"/>
      <c r="AH130" s="33">
        <v>346.0</v>
      </c>
      <c r="AI130" s="27">
        <v>343.0</v>
      </c>
      <c r="AJ130" s="27">
        <v>2.0</v>
      </c>
      <c r="AK130" s="27" t="b">
        <v>1</v>
      </c>
      <c r="AL130" s="27">
        <v>100.0</v>
      </c>
      <c r="AM130" s="56" t="str">
        <f t="array" ref="AM130">vlookup(C130,{DraftTracker!F:F,DraftTracker!E:E},2,0)</f>
        <v>MAC</v>
      </c>
      <c r="AN130" s="56" t="str">
        <f>VLOOKUP(AM130,P5G5!A:B,2,0)</f>
        <v>Group of 5</v>
      </c>
      <c r="AO130" s="60" t="b">
        <f>IFERROR(__xludf.DUMMYFUNCTION("iferror(if(not(iserror(find(""FINAL"",G130))),max(arrayformula(value(REGEXEXTRACT(F130,""^""&amp;C130&amp;"" ([\d]+)|[^a-zA-Z] ""&amp;C130&amp;"" ([\d]+)""))))=max(value(REGEXEXTRACT(F130,"" ([\d]+)"")),value(REGEXEXTRACT(F130,""([\d]+)$""))),""""))"),TRUE)</f>
        <v>1</v>
      </c>
    </row>
    <row r="131">
      <c r="A131" s="19">
        <v>123.0</v>
      </c>
      <c r="B131" s="19" t="s">
        <v>103</v>
      </c>
      <c r="C131" s="21" t="s">
        <v>373</v>
      </c>
      <c r="D131" s="62">
        <v>8.0</v>
      </c>
      <c r="E131" s="27">
        <v>4.0</v>
      </c>
      <c r="F131" s="67" t="s">
        <v>270</v>
      </c>
      <c r="G131" s="27" t="s">
        <v>57</v>
      </c>
      <c r="H131" s="27" t="s">
        <v>178</v>
      </c>
      <c r="I131" s="33"/>
      <c r="J131" s="32"/>
      <c r="K131" s="33"/>
      <c r="L131" s="33"/>
      <c r="M131" s="35"/>
      <c r="N131" s="27"/>
      <c r="O131" s="27"/>
      <c r="P131" s="27"/>
      <c r="Q131" s="27"/>
      <c r="R131" s="27"/>
      <c r="S131" s="27"/>
      <c r="T131" s="27"/>
      <c r="U131" s="27"/>
      <c r="V131" s="27"/>
      <c r="W131" s="27"/>
      <c r="X131" s="27"/>
      <c r="Y131" s="27"/>
      <c r="Z131" s="27"/>
      <c r="AA131" s="27"/>
      <c r="AB131" s="27"/>
      <c r="AC131" s="27"/>
      <c r="AD131" s="27"/>
      <c r="AE131" s="27"/>
      <c r="AF131" s="27"/>
      <c r="AG131" s="27"/>
      <c r="AH131" s="33">
        <v>410.0</v>
      </c>
      <c r="AI131" s="27">
        <v>290.0</v>
      </c>
      <c r="AJ131" s="27">
        <v>2.0</v>
      </c>
      <c r="AK131" s="27" t="b">
        <v>0</v>
      </c>
      <c r="AL131" s="27">
        <v>100.0</v>
      </c>
      <c r="AM131" s="56" t="str">
        <f t="array" ref="AM131">vlookup(C131,{DraftTracker!F:F,DraftTracker!E:E},2,0)</f>
        <v>SEC</v>
      </c>
      <c r="AN131" s="56" t="str">
        <f>VLOOKUP(AM131,P5G5!A:B,2,0)</f>
        <v>Power 5</v>
      </c>
      <c r="AO131" s="60" t="b">
        <f>IFERROR(__xludf.DUMMYFUNCTION("iferror(if(not(iserror(find(""FINAL"",G131))),max(arrayformula(value(REGEXEXTRACT(F131,""^""&amp;C131&amp;"" ([\d]+)|[^a-zA-Z] ""&amp;C131&amp;"" ([\d]+)""))))=max(value(REGEXEXTRACT(F131,"" ([\d]+)"")),value(REGEXEXTRACT(F131,""([\d]+)$""))),""""))"),FALSE)</f>
        <v>0</v>
      </c>
    </row>
    <row r="132">
      <c r="A132" s="19">
        <v>123.0</v>
      </c>
      <c r="B132" s="19" t="s">
        <v>103</v>
      </c>
      <c r="C132" s="21" t="s">
        <v>324</v>
      </c>
      <c r="D132" s="62">
        <v>9.0</v>
      </c>
      <c r="E132" s="27">
        <v>3.0</v>
      </c>
      <c r="F132" s="67" t="s">
        <v>385</v>
      </c>
      <c r="G132" s="27" t="s">
        <v>57</v>
      </c>
      <c r="H132" s="27" t="s">
        <v>131</v>
      </c>
      <c r="I132" s="33" t="s">
        <v>126</v>
      </c>
      <c r="J132" s="32"/>
      <c r="K132" s="33"/>
      <c r="L132" s="33"/>
      <c r="M132" s="35"/>
      <c r="N132" s="27"/>
      <c r="O132" s="27"/>
      <c r="P132" s="27"/>
      <c r="Q132" s="27"/>
      <c r="R132" s="27"/>
      <c r="S132" s="27"/>
      <c r="T132" s="27"/>
      <c r="U132" s="27"/>
      <c r="V132" s="27"/>
      <c r="W132" s="27"/>
      <c r="X132" s="27"/>
      <c r="Y132" s="27"/>
      <c r="Z132" s="27"/>
      <c r="AA132" s="27"/>
      <c r="AB132" s="27"/>
      <c r="AC132" s="27"/>
      <c r="AD132" s="27"/>
      <c r="AE132" s="27"/>
      <c r="AF132" s="27"/>
      <c r="AG132" s="27"/>
      <c r="AH132" s="33">
        <v>319.0</v>
      </c>
      <c r="AI132" s="27">
        <v>156.0</v>
      </c>
      <c r="AJ132" s="27">
        <v>3.0</v>
      </c>
      <c r="AK132" s="27" t="b">
        <v>0</v>
      </c>
      <c r="AL132" s="27">
        <v>100.0</v>
      </c>
      <c r="AM132" s="56" t="str">
        <f t="array" ref="AM132">vlookup(C132,{DraftTracker!F:F,DraftTracker!E:E},2,0)</f>
        <v>MWC</v>
      </c>
      <c r="AN132" s="56" t="str">
        <f>VLOOKUP(AM132,P5G5!A:B,2,0)</f>
        <v>Group of 5</v>
      </c>
      <c r="AO132" s="60" t="str">
        <f>IFERROR(__xludf.DUMMYFUNCTION("iferror(if(not(iserror(find(""FINAL"",G132))),max(arrayformula(value(REGEXEXTRACT(F132,""^""&amp;C132&amp;"" ([\d]+)|[^a-zA-Z] ""&amp;C132&amp;"" ([\d]+)""))))=max(value(REGEXEXTRACT(F132,"" ([\d]+)"")),value(REGEXEXTRACT(F132,""([\d]+)$""))),""""))"),"")</f>
        <v/>
      </c>
    </row>
    <row r="133">
      <c r="A133" s="1">
        <v>124.0</v>
      </c>
      <c r="B133" s="1"/>
      <c r="C133" s="2"/>
      <c r="D133" s="2"/>
      <c r="E133" s="2"/>
      <c r="F133" s="4"/>
      <c r="G133" s="2"/>
      <c r="H133" s="2"/>
      <c r="I133" s="2"/>
      <c r="J133" s="4"/>
      <c r="K133" s="2"/>
      <c r="L133" s="2"/>
      <c r="M133" s="89"/>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91" t="str">
        <f t="array" ref="AM133">vlookup(C133,{DraftTracker!F:F,DraftTracker!E:E},2,0)</f>
        <v>#N/A</v>
      </c>
      <c r="AN133" s="91" t="str">
        <f>VLOOKUP(AM133,P5G5!A:B,2,0)</f>
        <v>#N/A</v>
      </c>
      <c r="AO133" s="56" t="str">
        <f>IFERROR(__xludf.DUMMYFUNCTION("iferror(if(not(iserror(find(""FINAL"",G133))),max(arrayformula(value(REGEXEXTRACT(F133,""^""&amp;C133&amp;"" ([\d]+)|[^a-zA-Z] ""&amp;C133&amp;"" ([\d]+)""))))=max(value(REGEXEXTRACT(F133,"" ([\d]+)"")),value(REGEXEXTRACT(F133,""([\d]+)$""))),""""))"),"")</f>
        <v/>
      </c>
    </row>
    <row r="134">
      <c r="A134" s="19">
        <v>125.0</v>
      </c>
      <c r="B134" s="20" t="s">
        <v>154</v>
      </c>
      <c r="C134" s="21" t="s">
        <v>372</v>
      </c>
      <c r="D134" s="22">
        <v>9.0</v>
      </c>
      <c r="E134" s="23">
        <v>3.0</v>
      </c>
      <c r="F134" s="25" t="s">
        <v>392</v>
      </c>
      <c r="G134" s="27" t="s">
        <v>57</v>
      </c>
      <c r="H134" s="28" t="s">
        <v>144</v>
      </c>
      <c r="I134" s="30" t="s">
        <v>93</v>
      </c>
      <c r="J134" s="32"/>
      <c r="K134" s="33"/>
      <c r="L134" s="33"/>
      <c r="M134" s="35"/>
      <c r="N134" s="27"/>
      <c r="O134" s="27"/>
      <c r="P134" s="27"/>
      <c r="Q134" s="27"/>
      <c r="R134" s="27"/>
      <c r="S134" s="27"/>
      <c r="T134" s="27"/>
      <c r="U134" s="27"/>
      <c r="V134" s="27"/>
      <c r="W134" s="27"/>
      <c r="X134" s="27"/>
      <c r="Y134" s="27"/>
      <c r="Z134" s="27"/>
      <c r="AA134" s="27"/>
      <c r="AB134" s="27"/>
      <c r="AC134" s="27"/>
      <c r="AD134" s="27"/>
      <c r="AE134" s="27"/>
      <c r="AF134" s="27"/>
      <c r="AG134" s="27"/>
      <c r="AH134" s="30">
        <v>410.0</v>
      </c>
      <c r="AI134" s="23">
        <v>220.0</v>
      </c>
      <c r="AJ134" s="27">
        <v>0.0</v>
      </c>
      <c r="AK134" s="27" t="b">
        <v>1</v>
      </c>
      <c r="AL134" s="27">
        <v>100.0</v>
      </c>
      <c r="AM134" s="56" t="str">
        <f t="array" ref="AM134">vlookup(C134,{DraftTracker!F:F,DraftTracker!E:E},2,0)</f>
        <v>Pac12</v>
      </c>
      <c r="AN134" s="56" t="str">
        <f>VLOOKUP(AM134,P5G5!A:B,2,0)</f>
        <v>Power 5</v>
      </c>
      <c r="AO134" s="60" t="b">
        <f>IFERROR(__xludf.DUMMYFUNCTION("iferror(if(not(iserror(find(""FINAL"",G134))),max(arrayformula(value(REGEXEXTRACT(F134,""^""&amp;C134&amp;"" ([\d]+)|[^a-zA-Z] ""&amp;C134&amp;"" ([\d]+)""))))=max(value(REGEXEXTRACT(F134,"" ([\d]+)"")),value(REGEXEXTRACT(F134,""([\d]+)$""))),""""))"),TRUE)</f>
        <v>1</v>
      </c>
    </row>
    <row r="135">
      <c r="A135" s="19">
        <v>125.0</v>
      </c>
      <c r="B135" s="19" t="s">
        <v>154</v>
      </c>
      <c r="C135" s="21" t="s">
        <v>366</v>
      </c>
      <c r="D135" s="62">
        <v>5.0</v>
      </c>
      <c r="E135" s="27">
        <v>7.0</v>
      </c>
      <c r="F135" s="63" t="s">
        <v>297</v>
      </c>
      <c r="G135" s="64" t="s">
        <v>57</v>
      </c>
      <c r="H135" s="64" t="s">
        <v>138</v>
      </c>
      <c r="I135" s="33"/>
      <c r="J135" s="32"/>
      <c r="K135" s="33"/>
      <c r="L135" s="33"/>
      <c r="M135" s="35"/>
      <c r="N135" s="27"/>
      <c r="O135" s="27"/>
      <c r="P135" s="27"/>
      <c r="Q135" s="27"/>
      <c r="R135" s="27"/>
      <c r="S135" s="27"/>
      <c r="T135" s="27"/>
      <c r="U135" s="27"/>
      <c r="V135" s="27"/>
      <c r="W135" s="27"/>
      <c r="X135" s="27"/>
      <c r="Y135" s="27"/>
      <c r="Z135" s="27"/>
      <c r="AA135" s="27"/>
      <c r="AB135" s="27"/>
      <c r="AC135" s="27"/>
      <c r="AD135" s="27"/>
      <c r="AE135" s="27"/>
      <c r="AF135" s="27"/>
      <c r="AG135" s="27"/>
      <c r="AH135" s="33">
        <v>262.0</v>
      </c>
      <c r="AI135" s="27">
        <v>290.0</v>
      </c>
      <c r="AJ135" s="27">
        <v>2.0</v>
      </c>
      <c r="AK135" s="27" t="b">
        <v>0</v>
      </c>
      <c r="AL135" s="27">
        <v>100.0</v>
      </c>
      <c r="AM135" s="56" t="str">
        <f t="array" ref="AM135">vlookup(C135,{DraftTracker!F:F,DraftTracker!E:E},2,0)</f>
        <v>CUSA</v>
      </c>
      <c r="AN135" s="56" t="str">
        <f>VLOOKUP(AM135,P5G5!A:B,2,0)</f>
        <v>Group of 5</v>
      </c>
      <c r="AO135" s="60" t="b">
        <f>IFERROR(__xludf.DUMMYFUNCTION("iferror(if(not(iserror(find(""FINAL"",G135))),max(arrayformula(value(REGEXEXTRACT(F135,""^""&amp;C135&amp;"" ([\d]+)|[^a-zA-Z] ""&amp;C135&amp;"" ([\d]+)""))))=max(value(REGEXEXTRACT(F135,"" ([\d]+)"")),value(REGEXEXTRACT(F135,""([\d]+)$""))),""""))"),FALSE)</f>
        <v>0</v>
      </c>
    </row>
    <row r="136">
      <c r="A136" s="19">
        <v>125.0</v>
      </c>
      <c r="B136" s="19" t="s">
        <v>154</v>
      </c>
      <c r="C136" s="21" t="s">
        <v>352</v>
      </c>
      <c r="D136" s="62">
        <v>3.0</v>
      </c>
      <c r="E136" s="27">
        <v>9.0</v>
      </c>
      <c r="F136" s="67" t="s">
        <v>319</v>
      </c>
      <c r="G136" s="64" t="s">
        <v>57</v>
      </c>
      <c r="H136" s="64" t="s">
        <v>141</v>
      </c>
      <c r="I136" s="33"/>
      <c r="J136" s="32"/>
      <c r="K136" s="33"/>
      <c r="L136" s="33"/>
      <c r="M136" s="35"/>
      <c r="N136" s="27"/>
      <c r="O136" s="27"/>
      <c r="P136" s="27"/>
      <c r="Q136" s="27"/>
      <c r="R136" s="27"/>
      <c r="S136" s="27"/>
      <c r="T136" s="27"/>
      <c r="U136" s="27"/>
      <c r="V136" s="27"/>
      <c r="W136" s="27"/>
      <c r="X136" s="27"/>
      <c r="Y136" s="27"/>
      <c r="Z136" s="27"/>
      <c r="AA136" s="27"/>
      <c r="AB136" s="27"/>
      <c r="AC136" s="27"/>
      <c r="AD136" s="27"/>
      <c r="AE136" s="27"/>
      <c r="AF136" s="27"/>
      <c r="AG136" s="27"/>
      <c r="AH136" s="33">
        <v>300.0</v>
      </c>
      <c r="AI136" s="27">
        <v>377.0</v>
      </c>
      <c r="AJ136" s="27">
        <v>2.0</v>
      </c>
      <c r="AK136" s="27" t="b">
        <v>1</v>
      </c>
      <c r="AL136" s="27">
        <v>100.0</v>
      </c>
      <c r="AM136" s="56" t="str">
        <f t="array" ref="AM136">vlookup(C136,{DraftTracker!F:F,DraftTracker!E:E},2,0)</f>
        <v>Sun Belt</v>
      </c>
      <c r="AN136" s="56" t="str">
        <f>VLOOKUP(AM136,P5G5!A:B,2,0)</f>
        <v>Group of 5</v>
      </c>
      <c r="AO136" s="60" t="b">
        <f>IFERROR(__xludf.DUMMYFUNCTION("iferror(if(not(iserror(find(""FINAL"",G136))),max(arrayformula(value(REGEXEXTRACT(F136,""^""&amp;C136&amp;"" ([\d]+)|[^a-zA-Z] ""&amp;C136&amp;"" ([\d]+)""))))=max(value(REGEXEXTRACT(F136,"" ([\d]+)"")),value(REGEXEXTRACT(F136,""([\d]+)$""))),""""))"),FALSE)</f>
        <v>0</v>
      </c>
    </row>
    <row r="137">
      <c r="A137" s="19">
        <v>125.0</v>
      </c>
      <c r="B137" s="19" t="s">
        <v>154</v>
      </c>
      <c r="C137" s="21" t="s">
        <v>368</v>
      </c>
      <c r="D137" s="62">
        <v>1.0</v>
      </c>
      <c r="E137" s="27">
        <v>11.0</v>
      </c>
      <c r="F137" s="67" t="s">
        <v>411</v>
      </c>
      <c r="G137" s="27" t="s">
        <v>57</v>
      </c>
      <c r="H137" s="27" t="s">
        <v>144</v>
      </c>
      <c r="I137" s="33"/>
      <c r="J137" s="32"/>
      <c r="K137" s="33"/>
      <c r="L137" s="33"/>
      <c r="M137" s="35"/>
      <c r="N137" s="27"/>
      <c r="O137" s="27"/>
      <c r="P137" s="27"/>
      <c r="Q137" s="27"/>
      <c r="R137" s="27"/>
      <c r="S137" s="27"/>
      <c r="T137" s="27"/>
      <c r="U137" s="27"/>
      <c r="V137" s="27"/>
      <c r="W137" s="27"/>
      <c r="X137" s="27"/>
      <c r="Y137" s="27"/>
      <c r="Z137" s="27"/>
      <c r="AA137" s="27"/>
      <c r="AB137" s="27"/>
      <c r="AC137" s="27"/>
      <c r="AD137" s="27"/>
      <c r="AE137" s="27"/>
      <c r="AF137" s="27"/>
      <c r="AG137" s="27"/>
      <c r="AH137" s="33">
        <v>165.0</v>
      </c>
      <c r="AI137" s="27">
        <v>340.0</v>
      </c>
      <c r="AJ137" s="27">
        <v>2.0</v>
      </c>
      <c r="AK137" s="27" t="b">
        <v>0</v>
      </c>
      <c r="AL137" s="27">
        <v>100.0</v>
      </c>
      <c r="AM137" s="56" t="str">
        <f t="array" ref="AM137">vlookup(C137,{DraftTracker!F:F,DraftTracker!E:E},2,0)</f>
        <v>Big Ten</v>
      </c>
      <c r="AN137" s="56" t="str">
        <f>VLOOKUP(AM137,P5G5!A:B,2,0)</f>
        <v>Power 5</v>
      </c>
      <c r="AO137" s="60" t="b">
        <f>IFERROR(__xludf.DUMMYFUNCTION("iferror(if(not(iserror(find(""FINAL"",G137))),max(arrayformula(value(REGEXEXTRACT(F137,""^""&amp;C137&amp;"" ([\d]+)|[^a-zA-Z] ""&amp;C137&amp;"" ([\d]+)""))))=max(value(REGEXEXTRACT(F137,"" ([\d]+)"")),value(REGEXEXTRACT(F137,""([\d]+)$""))),""""))"),FALSE)</f>
        <v>0</v>
      </c>
    </row>
    <row r="138">
      <c r="A138" s="19">
        <v>125.0</v>
      </c>
      <c r="B138" s="19" t="s">
        <v>154</v>
      </c>
      <c r="C138" s="21" t="s">
        <v>379</v>
      </c>
      <c r="D138" s="62">
        <v>8.0</v>
      </c>
      <c r="E138" s="27">
        <v>4.0</v>
      </c>
      <c r="F138" s="67" t="s">
        <v>207</v>
      </c>
      <c r="G138" s="27" t="s">
        <v>57</v>
      </c>
      <c r="H138" s="27" t="s">
        <v>131</v>
      </c>
      <c r="I138" s="33"/>
      <c r="J138" s="32"/>
      <c r="K138" s="33"/>
      <c r="L138" s="33"/>
      <c r="M138" s="35"/>
      <c r="N138" s="27"/>
      <c r="O138" s="27"/>
      <c r="P138" s="27"/>
      <c r="Q138" s="27"/>
      <c r="R138" s="27"/>
      <c r="S138" s="27"/>
      <c r="T138" s="27"/>
      <c r="U138" s="27"/>
      <c r="V138" s="27"/>
      <c r="W138" s="27"/>
      <c r="X138" s="27"/>
      <c r="Y138" s="27"/>
      <c r="Z138" s="27"/>
      <c r="AA138" s="27"/>
      <c r="AB138" s="27"/>
      <c r="AC138" s="27"/>
      <c r="AD138" s="27"/>
      <c r="AE138" s="27"/>
      <c r="AF138" s="27"/>
      <c r="AG138" s="27"/>
      <c r="AH138" s="33">
        <v>380.0</v>
      </c>
      <c r="AI138" s="27">
        <v>330.0</v>
      </c>
      <c r="AJ138" s="27">
        <v>2.0</v>
      </c>
      <c r="AK138" s="27" t="b">
        <v>0</v>
      </c>
      <c r="AL138" s="27">
        <v>100.0</v>
      </c>
      <c r="AM138" s="56" t="str">
        <f t="array" ref="AM138">vlookup(C138,{DraftTracker!F:F,DraftTracker!E:E},2,0)</f>
        <v>SEC</v>
      </c>
      <c r="AN138" s="56" t="str">
        <f>VLOOKUP(AM138,P5G5!A:B,2,0)</f>
        <v>Power 5</v>
      </c>
      <c r="AO138" s="60" t="b">
        <f>IFERROR(__xludf.DUMMYFUNCTION("iferror(if(not(iserror(find(""FINAL"",G138))),max(arrayformula(value(REGEXEXTRACT(F138,""^""&amp;C138&amp;"" ([\d]+)|[^a-zA-Z] ""&amp;C138&amp;"" ([\d]+)""))))=max(value(REGEXEXTRACT(F138,"" ([\d]+)"")),value(REGEXEXTRACT(F138,""([\d]+)$""))),""""))"),TRUE)</f>
        <v>1</v>
      </c>
    </row>
    <row r="139">
      <c r="A139" s="19">
        <v>125.0</v>
      </c>
      <c r="B139" s="19" t="s">
        <v>154</v>
      </c>
      <c r="C139" s="21" t="s">
        <v>383</v>
      </c>
      <c r="D139" s="62">
        <v>7.0</v>
      </c>
      <c r="E139" s="27">
        <v>5.0</v>
      </c>
      <c r="F139" s="67" t="s">
        <v>413</v>
      </c>
      <c r="G139" s="27" t="s">
        <v>57</v>
      </c>
      <c r="H139" s="27" t="s">
        <v>144</v>
      </c>
      <c r="I139" s="33"/>
      <c r="J139" s="32"/>
      <c r="K139" s="33"/>
      <c r="L139" s="33"/>
      <c r="M139" s="35"/>
      <c r="N139" s="27"/>
      <c r="O139" s="27"/>
      <c r="P139" s="27"/>
      <c r="Q139" s="27"/>
      <c r="R139" s="27"/>
      <c r="S139" s="27"/>
      <c r="T139" s="27"/>
      <c r="U139" s="27"/>
      <c r="V139" s="27"/>
      <c r="W139" s="27"/>
      <c r="X139" s="27"/>
      <c r="Y139" s="27"/>
      <c r="Z139" s="27"/>
      <c r="AA139" s="27"/>
      <c r="AB139" s="27"/>
      <c r="AC139" s="27"/>
      <c r="AD139" s="27"/>
      <c r="AE139" s="27"/>
      <c r="AF139" s="27"/>
      <c r="AG139" s="27"/>
      <c r="AH139" s="33">
        <v>249.0</v>
      </c>
      <c r="AI139" s="27">
        <v>281.0</v>
      </c>
      <c r="AJ139" s="27">
        <v>2.0</v>
      </c>
      <c r="AK139" s="27" t="b">
        <v>1</v>
      </c>
      <c r="AL139" s="27">
        <v>100.0</v>
      </c>
      <c r="AM139" s="56" t="str">
        <f t="array" ref="AM139">vlookup(C139,{DraftTracker!F:F,DraftTracker!E:E},2,0)</f>
        <v>MWC</v>
      </c>
      <c r="AN139" s="56" t="str">
        <f>VLOOKUP(AM139,P5G5!A:B,2,0)</f>
        <v>Group of 5</v>
      </c>
      <c r="AO139" s="60" t="b">
        <f>IFERROR(__xludf.DUMMYFUNCTION("iferror(if(not(iserror(find(""FINAL"",G139))),max(arrayformula(value(REGEXEXTRACT(F139,""^""&amp;C139&amp;"" ([\d]+)|[^a-zA-Z] ""&amp;C139&amp;"" ([\d]+)""))))=max(value(REGEXEXTRACT(F139,"" ([\d]+)"")),value(REGEXEXTRACT(F139,""([\d]+)$""))),""""))"),FALSE)</f>
        <v>0</v>
      </c>
    </row>
    <row r="140">
      <c r="A140" s="19">
        <v>125.0</v>
      </c>
      <c r="B140" s="19" t="s">
        <v>154</v>
      </c>
      <c r="C140" s="21" t="s">
        <v>382</v>
      </c>
      <c r="D140" s="62">
        <v>5.0</v>
      </c>
      <c r="E140" s="27">
        <v>7.0</v>
      </c>
      <c r="F140" s="67" t="s">
        <v>266</v>
      </c>
      <c r="G140" s="27" t="s">
        <v>57</v>
      </c>
      <c r="H140" s="27" t="s">
        <v>178</v>
      </c>
      <c r="I140" s="33"/>
      <c r="J140" s="32"/>
      <c r="K140" s="33"/>
      <c r="L140" s="33"/>
      <c r="M140" s="35"/>
      <c r="N140" s="27"/>
      <c r="O140" s="27"/>
      <c r="P140" s="27"/>
      <c r="Q140" s="27"/>
      <c r="R140" s="27"/>
      <c r="S140" s="27"/>
      <c r="T140" s="27"/>
      <c r="U140" s="27"/>
      <c r="V140" s="27"/>
      <c r="W140" s="27"/>
      <c r="X140" s="27"/>
      <c r="Y140" s="27"/>
      <c r="Z140" s="27"/>
      <c r="AA140" s="27"/>
      <c r="AB140" s="27"/>
      <c r="AC140" s="27"/>
      <c r="AD140" s="27"/>
      <c r="AE140" s="27"/>
      <c r="AF140" s="27"/>
      <c r="AG140" s="27"/>
      <c r="AH140" s="33">
        <v>228.0</v>
      </c>
      <c r="AI140" s="27">
        <v>289.0</v>
      </c>
      <c r="AJ140" s="27">
        <v>2.0</v>
      </c>
      <c r="AK140" s="27" t="b">
        <v>0</v>
      </c>
      <c r="AL140" s="27">
        <v>100.0</v>
      </c>
      <c r="AM140" s="56" t="str">
        <f t="array" ref="AM140">vlookup(C140,{DraftTracker!F:F,DraftTracker!E:E},2,0)</f>
        <v>MAC</v>
      </c>
      <c r="AN140" s="56" t="str">
        <f>VLOOKUP(AM140,P5G5!A:B,2,0)</f>
        <v>Group of 5</v>
      </c>
      <c r="AO140" s="60" t="b">
        <f>IFERROR(__xludf.DUMMYFUNCTION("iferror(if(not(iserror(find(""FINAL"",G140))),max(arrayformula(value(REGEXEXTRACT(F140,""^""&amp;C140&amp;"" ([\d]+)|[^a-zA-Z] ""&amp;C140&amp;"" ([\d]+)""))))=max(value(REGEXEXTRACT(F140,"" ([\d]+)"")),value(REGEXEXTRACT(F140,""([\d]+)$""))),""""))"),TRUE)</f>
        <v>1</v>
      </c>
    </row>
    <row r="141">
      <c r="A141" s="19">
        <v>125.0</v>
      </c>
      <c r="B141" s="19" t="s">
        <v>154</v>
      </c>
      <c r="C141" s="21" t="s">
        <v>320</v>
      </c>
      <c r="D141" s="62">
        <v>6.0</v>
      </c>
      <c r="E141" s="27">
        <v>6.0</v>
      </c>
      <c r="F141" s="67" t="s">
        <v>419</v>
      </c>
      <c r="G141" s="27" t="s">
        <v>57</v>
      </c>
      <c r="H141" s="27" t="s">
        <v>166</v>
      </c>
      <c r="I141" s="33"/>
      <c r="J141" s="32"/>
      <c r="K141" s="33"/>
      <c r="L141" s="33"/>
      <c r="M141" s="35"/>
      <c r="N141" s="27"/>
      <c r="O141" s="27"/>
      <c r="P141" s="27"/>
      <c r="Q141" s="27"/>
      <c r="R141" s="27"/>
      <c r="S141" s="27"/>
      <c r="T141" s="27"/>
      <c r="U141" s="27"/>
      <c r="V141" s="27"/>
      <c r="W141" s="27"/>
      <c r="X141" s="27"/>
      <c r="Y141" s="27"/>
      <c r="Z141" s="27"/>
      <c r="AA141" s="27"/>
      <c r="AB141" s="27"/>
      <c r="AC141" s="27"/>
      <c r="AD141" s="27"/>
      <c r="AE141" s="27"/>
      <c r="AF141" s="27"/>
      <c r="AG141" s="27"/>
      <c r="AH141" s="33">
        <v>403.0</v>
      </c>
      <c r="AI141" s="27">
        <v>319.0</v>
      </c>
      <c r="AJ141" s="27">
        <v>2.0</v>
      </c>
      <c r="AK141" s="27" t="b">
        <v>0</v>
      </c>
      <c r="AL141" s="27">
        <v>100.0</v>
      </c>
      <c r="AM141" s="56" t="str">
        <f t="array" ref="AM141">vlookup(C141,{DraftTracker!F:F,DraftTracker!E:E},2,0)</f>
        <v>Big 12</v>
      </c>
      <c r="AN141" s="56" t="str">
        <f>VLOOKUP(AM141,P5G5!A:B,2,0)</f>
        <v>Power 5</v>
      </c>
      <c r="AO141" s="60" t="b">
        <f>IFERROR(__xludf.DUMMYFUNCTION("iferror(if(not(iserror(find(""FINAL"",G141))),max(arrayformula(value(REGEXEXTRACT(F141,""^""&amp;C141&amp;"" ([\d]+)|[^a-zA-Z] ""&amp;C141&amp;"" ([\d]+)""))))=max(value(REGEXEXTRACT(F141,"" ([\d]+)"")),value(REGEXEXTRACT(F141,""([\d]+)$""))),""""))"),FALSE)</f>
        <v>0</v>
      </c>
    </row>
    <row r="142">
      <c r="A142" s="19">
        <v>125.0</v>
      </c>
      <c r="B142" s="19" t="s">
        <v>154</v>
      </c>
      <c r="C142" s="21" t="s">
        <v>363</v>
      </c>
      <c r="D142" s="62">
        <v>8.0</v>
      </c>
      <c r="E142" s="27">
        <v>4.0</v>
      </c>
      <c r="F142" s="67" t="s">
        <v>406</v>
      </c>
      <c r="G142" s="27" t="s">
        <v>183</v>
      </c>
      <c r="H142" s="27" t="s">
        <v>109</v>
      </c>
      <c r="I142" s="33"/>
      <c r="J142" s="32"/>
      <c r="K142" s="33"/>
      <c r="L142" s="33"/>
      <c r="M142" s="35"/>
      <c r="N142" s="27"/>
      <c r="O142" s="27"/>
      <c r="P142" s="27"/>
      <c r="Q142" s="27"/>
      <c r="R142" s="27"/>
      <c r="S142" s="27"/>
      <c r="T142" s="27"/>
      <c r="U142" s="27"/>
      <c r="V142" s="27"/>
      <c r="W142" s="27"/>
      <c r="X142" s="27"/>
      <c r="Y142" s="27"/>
      <c r="Z142" s="27"/>
      <c r="AA142" s="27"/>
      <c r="AB142" s="27"/>
      <c r="AC142" s="27"/>
      <c r="AD142" s="27"/>
      <c r="AE142" s="27"/>
      <c r="AF142" s="27"/>
      <c r="AG142" s="27"/>
      <c r="AH142" s="33">
        <v>304.0</v>
      </c>
      <c r="AI142" s="27">
        <v>233.0</v>
      </c>
      <c r="AJ142" s="27">
        <v>2.0</v>
      </c>
      <c r="AK142" s="27" t="b">
        <v>0</v>
      </c>
      <c r="AL142" s="27">
        <v>100.0</v>
      </c>
      <c r="AM142" s="56" t="str">
        <f t="array" ref="AM142">vlookup(C142,{DraftTracker!F:F,DraftTracker!E:E},2,0)</f>
        <v>ACC</v>
      </c>
      <c r="AN142" s="56" t="str">
        <f>VLOOKUP(AM142,P5G5!A:B,2,0)</f>
        <v>Power 5</v>
      </c>
      <c r="AO142" s="60" t="b">
        <f>IFERROR(__xludf.DUMMYFUNCTION("iferror(if(not(iserror(find(""FINAL"",G142))),max(arrayformula(value(REGEXEXTRACT(F142,""^""&amp;C142&amp;"" ([\d]+)|[^a-zA-Z] ""&amp;C142&amp;"" ([\d]+)""))))=max(value(REGEXEXTRACT(F142,"" ([\d]+)"")),value(REGEXEXTRACT(F142,""([\d]+)$""))),""""))"),TRUE)</f>
        <v>1</v>
      </c>
    </row>
    <row r="143">
      <c r="A143" s="19">
        <v>125.0</v>
      </c>
      <c r="B143" s="19" t="s">
        <v>154</v>
      </c>
      <c r="C143" s="21" t="s">
        <v>330</v>
      </c>
      <c r="D143" s="62">
        <v>7.0</v>
      </c>
      <c r="E143" s="27">
        <v>5.0</v>
      </c>
      <c r="F143" s="67" t="s">
        <v>196</v>
      </c>
      <c r="G143" s="27" t="s">
        <v>57</v>
      </c>
      <c r="H143" s="27" t="s">
        <v>53</v>
      </c>
      <c r="I143" s="33" t="s">
        <v>119</v>
      </c>
      <c r="J143" s="32"/>
      <c r="K143" s="33"/>
      <c r="L143" s="33"/>
      <c r="M143" s="35"/>
      <c r="N143" s="27"/>
      <c r="O143" s="27"/>
      <c r="P143" s="27"/>
      <c r="Q143" s="27"/>
      <c r="R143" s="27"/>
      <c r="S143" s="27"/>
      <c r="T143" s="27"/>
      <c r="U143" s="27"/>
      <c r="V143" s="27"/>
      <c r="W143" s="27"/>
      <c r="X143" s="27"/>
      <c r="Y143" s="27"/>
      <c r="Z143" s="27"/>
      <c r="AA143" s="27"/>
      <c r="AB143" s="27"/>
      <c r="AC143" s="27"/>
      <c r="AD143" s="27"/>
      <c r="AE143" s="27"/>
      <c r="AF143" s="27"/>
      <c r="AG143" s="27"/>
      <c r="AH143" s="33">
        <v>416.0</v>
      </c>
      <c r="AI143" s="27">
        <v>365.0</v>
      </c>
      <c r="AJ143" s="27">
        <v>3.0</v>
      </c>
      <c r="AK143" s="27" t="b">
        <v>1</v>
      </c>
      <c r="AL143" s="27">
        <v>100.0</v>
      </c>
      <c r="AM143" s="56" t="str">
        <f t="array" ref="AM143">vlookup(C143,{DraftTracker!F:F,DraftTracker!E:E},2,0)</f>
        <v>AAC</v>
      </c>
      <c r="AN143" s="56" t="str">
        <f>VLOOKUP(AM143,P5G5!A:B,2,0)</f>
        <v>Group of 5</v>
      </c>
      <c r="AO143" s="60" t="str">
        <f>IFERROR(__xludf.DUMMYFUNCTION("iferror(if(not(iserror(find(""FINAL"",G143))),max(arrayformula(value(REGEXEXTRACT(F143,""^""&amp;C143&amp;"" ([\d]+)|[^a-zA-Z] ""&amp;C143&amp;"" ([\d]+)""))))=max(value(REGEXEXTRACT(F143,"" ([\d]+)"")),value(REGEXEXTRACT(F143,""([\d]+)$""))),""""))"),"")</f>
        <v/>
      </c>
    </row>
    <row r="144">
      <c r="A144" s="19"/>
      <c r="B144" s="19"/>
      <c r="C144" s="21"/>
      <c r="D144" s="62"/>
      <c r="E144" s="27"/>
      <c r="F144" s="27"/>
      <c r="G144" s="27"/>
      <c r="H144" s="27"/>
      <c r="I144" s="33"/>
      <c r="J144" s="33"/>
      <c r="K144" s="33"/>
      <c r="L144" s="33"/>
      <c r="M144" s="33"/>
      <c r="N144" s="27"/>
      <c r="O144" s="27"/>
      <c r="P144" s="27"/>
      <c r="Q144" s="27"/>
      <c r="R144" s="27"/>
      <c r="S144" s="27"/>
      <c r="T144" s="27"/>
      <c r="U144" s="27"/>
      <c r="V144" s="27"/>
      <c r="W144" s="27"/>
      <c r="X144" s="27"/>
      <c r="Y144" s="27"/>
      <c r="Z144" s="27"/>
      <c r="AA144" s="27"/>
      <c r="AB144" s="27"/>
      <c r="AC144" s="27"/>
      <c r="AD144" s="27"/>
      <c r="AE144" s="27"/>
      <c r="AF144" s="27"/>
      <c r="AG144" s="27"/>
      <c r="AH144" s="33"/>
      <c r="AI144" s="27"/>
      <c r="AJ144" s="27"/>
      <c r="AK144" s="27"/>
      <c r="AL144" s="27"/>
      <c r="AM144" s="56"/>
      <c r="AN144" s="56"/>
      <c r="AO144" s="60"/>
    </row>
    <row r="145">
      <c r="A145" s="19"/>
      <c r="B145" s="19" t="s">
        <v>442</v>
      </c>
      <c r="C145" s="21" t="s">
        <v>331</v>
      </c>
      <c r="D145" s="62">
        <v>8.0</v>
      </c>
      <c r="E145" s="27">
        <v>4.0</v>
      </c>
      <c r="F145" s="27"/>
      <c r="G145" s="27"/>
      <c r="H145" s="27"/>
      <c r="I145" s="33"/>
      <c r="J145" s="33"/>
      <c r="K145" s="33"/>
      <c r="L145" s="33"/>
      <c r="M145" s="33"/>
      <c r="N145" s="27"/>
      <c r="O145" s="27"/>
      <c r="P145" s="27"/>
      <c r="Q145" s="27"/>
      <c r="R145" s="27"/>
      <c r="S145" s="27"/>
      <c r="T145" s="27"/>
      <c r="U145" s="27"/>
      <c r="V145" s="27"/>
      <c r="W145" s="27"/>
      <c r="X145" s="27"/>
      <c r="Y145" s="27"/>
      <c r="Z145" s="27"/>
      <c r="AA145" s="27"/>
      <c r="AB145" s="27"/>
      <c r="AC145" s="27"/>
      <c r="AD145" s="27"/>
      <c r="AE145" s="27"/>
      <c r="AF145" s="27"/>
      <c r="AG145" s="27"/>
      <c r="AH145" s="33"/>
      <c r="AI145" s="27"/>
      <c r="AJ145" s="27"/>
      <c r="AK145" s="27"/>
      <c r="AL145" s="27"/>
      <c r="AM145" s="56"/>
      <c r="AN145" s="56"/>
      <c r="AO145" s="60"/>
    </row>
  </sheetData>
  <autoFilter ref="$B$1:$AO$143"/>
  <customSheetViews>
    <customSheetView guid="{2F5D6978-8103-4982-A952-A82121131D60}" filter="1" showAutoFilter="1">
      <autoFilter ref="$A$1:$AN$143">
        <filterColumn colId="6">
          <customFilters>
            <customFilter val="*Thu*"/>
          </customFilters>
        </filterColumn>
        <filterColumn colId="36">
          <customFilters>
            <customFilter val="FALSE"/>
          </customFilters>
        </filterColumn>
        <sortState ref="A1:AN143">
          <sortCondition ref="H1:H143"/>
        </sortState>
      </autoFilter>
    </customSheetView>
    <customSheetView guid="{55197CA4-C382-4087-B714-D270EC12E062}" filter="1" showAutoFilter="1">
      <autoFilter ref="$A$1:$AN$143">
        <filterColumn colId="1">
          <customFilters>
            <customFilter val="Dan"/>
          </customFilters>
        </filterColumn>
        <sortState ref="A1:AN143">
          <sortCondition descending="1" ref="J1:J143"/>
          <sortCondition ref="K1:K143"/>
          <sortCondition ref="H1:H143"/>
        </sortState>
      </autoFilter>
    </customSheetView>
    <customSheetView guid="{12049E95-2524-4B51-8555-B3E9CEF3639F}" filter="1" showAutoFilter="1">
      <autoFilter ref="$A$1:$AN$143">
        <filterColumn colId="1">
          <customFilters>
            <customFilter val="DavEmily"/>
          </customFilters>
        </filterColumn>
        <sortState ref="A1:AN143">
          <sortCondition ref="J1:J143"/>
          <sortCondition ref="K1:K143"/>
          <sortCondition ref="H1:H143"/>
        </sortState>
      </autoFilter>
    </customSheetView>
    <customSheetView guid="{9FFA2913-0C5E-49E8-8CE6-D2C91F47CFC0}" filter="1" showAutoFilter="1">
      <autoFilter ref="$A$1:$AN$143">
        <filterColumn colId="1">
          <customFilters>
            <customFilter val="Masa"/>
          </customFilters>
        </filterColumn>
        <sortState ref="A1:AN143">
          <sortCondition ref="J1:J143"/>
          <sortCondition ref="K1:K143"/>
          <sortCondition ref="H1:H143"/>
        </sortState>
      </autoFilter>
    </customSheetView>
    <customSheetView guid="{2D43EF9E-1F73-403A-AC90-798DF65423A2}" filter="1" showAutoFilter="1">
      <autoFilter ref="$A$1:$AN$143">
        <filterColumn colId="1">
          <customFilters>
            <customFilter val="Gary"/>
          </customFilters>
        </filterColumn>
        <sortState ref="A1:AN143">
          <sortCondition ref="J1:J143"/>
          <sortCondition ref="K1:K143"/>
          <sortCondition ref="H1:H143"/>
        </sortState>
      </autoFilter>
    </customSheetView>
    <customSheetView guid="{459BBE37-5475-41C7-8303-B094B5F99377}" filter="1" showAutoFilter="1">
      <autoFilter ref="$A$1:$AN$143">
        <filterColumn colId="6">
          <customFilters>
            <customFilter val="*Tue*"/>
          </customFilters>
        </filterColumn>
        <filterColumn colId="36">
          <customFilters>
            <customFilter val="FALSE"/>
          </customFilters>
        </filterColumn>
        <sortState ref="A1:AN143">
          <sortCondition ref="H1:H143"/>
        </sortState>
      </autoFilter>
    </customSheetView>
    <customSheetView guid="{02C0F99D-E58B-47F0-A01F-CB0E1A13572A}" filter="1" showAutoFilter="1">
      <autoFilter ref="$A$1:$AN$143">
        <filterColumn colId="5">
          <filters>
            <filter val="Rice 17 North Texas 21"/>
            <filter val="Arizona State 35 Arizona 38"/>
            <filter val="Illinois 41 Northwestern 3"/>
            <filter val="Virginia 0 Virginia Tech 0"/>
            <filter val="Purdue 30 Indiana 16"/>
            <filter val="Rutgers 0 Maryland 37"/>
            <filter val="UL Lafayette 26 Texas State 6"/>
            <filter val="Baylor 27 (24) Texas 38"/>
            <filter val="Arkansas 27 Missouri 29"/>
            <filter val="Wyoming 0 Fresno State 30"/>
            <filter val="UTEP 31 (25) UTSA 34"/>
            <filter val="Michigan State 16 (10) Penn State 21"/>
            <filter val="(15) Notre Dame 0 at (5) USC 1"/>
            <filter val="Army 44 UMASS 7"/>
            <filter val="(20) Tulane 27 (21) Cincinnati 24"/>
            <filter val="Old Dominion 20 South Alabama 27"/>
            <filter val="(23) Coastal Carolina 7 James Madison 47"/>
            <filter val="Georgia State 23 Marshall 28"/>
            <filter val="Southern Mississippi 11 UL Monroe 10"/>
            <filter val="UAB 37 Louisiana Tech 27"/>
            <filter val="Hawaii 14 San José State 27"/>
            <filter val="West Virginia 24 Oklahoma State 19"/>
            <filter val="Mississippi State 24 (19) Ole Miss 22"/>
            <filter val="Western Kentucky 32 Florida Atlantic 31"/>
            <filter val="(11) Tennessee 50 at Vanderbilt 0"/>
            <filter val="(9) Oregon 34 (22) Oregon State 38"/>
            <filter val="Kansas 0 at (13) Kansas State 1"/>
            <filter val="Pittsburgh 1 at Miami 0"/>
            <filter val="Appalachian State 13 Georgia Southern 14"/>
            <filter val="NC State 30 (17) North Carolina 27"/>
            <filter val="Air Force at San Diego State"/>
            <filter val="Syracuse 1 at Boston College 0"/>
            <filter val="Utah State 23 Boise State 42"/>
            <filter val="Nebraska 24 Iowa 17"/>
            <filter val="Troy 48 Arkansas State 19"/>
            <filter val="Kent State 30 Buffalo 27"/>
            <filter val="Minnesota 23 Wisconsin 16"/>
            <filter val="(12) Washington 54 at Washington State 33"/>
            <filter val="Appalachian State 13 Georgia Southern 7"/>
            <filter val="BYU 1 at Stanford 0"/>
            <filter val="Tulsa 1 at Houston 0"/>
            <filter val="(6) LSU 0 at Texas A&amp;M 1"/>
            <filter val="Nevada 13 UNLV 14"/>
            <filter val="(3) Michigan 45 (2) Ohio State 23"/>
            <filter val="Southern Mississippi 20 UL Monroe 10"/>
            <filter val="South Carolina 31 (8) Clemson 30"/>
            <filter val="Louisville 13 Kentucky 26"/>
            <filter val="New Mexico 0 Colorado State 17"/>
            <filter val="Iowa State 7 (4) TCU 55"/>
            <filter val="(18) UCLA 35 California 28"/>
            <filter val="Nevada 15 UNLV 14"/>
            <filter val="Bowling Green 14 Ohio 38"/>
            <filter val="UCF 1 at South Florida 0"/>
            <filter val="Oklahoma 0 at Texas Tech 1"/>
            <filter val="Toledo 14 Western Michigan 20"/>
            <filter val="Florida 38 (16) Florida State 45"/>
            <filter val="Wake Forest 31 Duke 34"/>
            <filter val="(14) Utah 56 Colorado 14"/>
            <filter val="Middle Tennessee 13 Florida Intl 0"/>
            <filter val="Ball State 17 Miami-OH 18"/>
            <filter val="(11) Tennessee 1 at Vanderbilt 0"/>
            <filter val="New Mexico State 49 Liberty 14"/>
            <filter val="Akron 44 Northern Illinois 12"/>
            <filter val="Memphis 31 SMU 34"/>
            <filter val="Auburn 27 (7) Alabama 42"/>
            <filter val="East Carolina 49 Temple 46"/>
            <filter val="Central Michigan 19 EMU 38"/>
            <filter val="Air Force 1 at San Diego State 0"/>
          </filters>
        </filterColumn>
        <filterColumn colId="36">
          <customFilters>
            <customFilter val="FALSE"/>
          </customFilters>
        </filterColumn>
        <filterColumn colId="35">
          <customFilters>
            <customFilter val="0"/>
          </customFilters>
        </filterColumn>
        <sortState ref="A1:AN143">
          <sortCondition ref="K1:K143"/>
        </sortState>
      </autoFilter>
    </customSheetView>
    <customSheetView guid="{37C5CCA2-12E9-4D53-9A80-E756718B0AE1}" filter="1" showAutoFilter="1">
      <autoFilter ref="$A$1:$AN$143">
        <filterColumn colId="1">
          <customFilters>
            <customFilter val="Nick G."/>
          </customFilters>
        </filterColumn>
        <sortState ref="A1:AN143">
          <sortCondition ref="J1:J143"/>
          <sortCondition ref="K1:K143"/>
          <sortCondition ref="H1:H143"/>
        </sortState>
      </autoFilter>
    </customSheetView>
    <customSheetView guid="{40762A54-BFDE-42BC-863F-2F595046741E}" filter="1" showAutoFilter="1">
      <autoFilter ref="$A$1:$AN$143">
        <filterColumn colId="1">
          <customFilters>
            <customFilter val="Nico"/>
          </customFilters>
        </filterColumn>
        <sortState ref="A1:AN143">
          <sortCondition ref="J1:J143"/>
          <sortCondition ref="K1:K143"/>
          <sortCondition ref="H1:H143"/>
        </sortState>
      </autoFilter>
    </customSheetView>
    <customSheetView guid="{085EA3B2-06B2-45C4-BB8E-184FF995CD26}" filter="1" showAutoFilter="1">
      <autoFilter ref="$A$1:$AN$143">
        <filterColumn colId="1">
          <customFilters>
            <customFilter val="Janice/Mike"/>
          </customFilters>
        </filterColumn>
        <sortState ref="A1:AN143">
          <sortCondition ref="J1:J143"/>
          <sortCondition ref="K1:K143"/>
          <sortCondition ref="H1:H143"/>
        </sortState>
      </autoFilter>
    </customSheetView>
    <customSheetView guid="{2CF210AC-0513-4CB5-BB15-BAB7D8C083F6}" filter="1" showAutoFilter="1">
      <autoFilter ref="$A$1:$AN$143">
        <filterColumn colId="6">
          <customFilters>
            <customFilter val="*Sat*"/>
          </customFilters>
        </filterColumn>
        <filterColumn colId="11">
          <filters blank="1"/>
        </filterColumn>
        <sortState ref="A1:AN143">
          <sortCondition ref="H1:H143"/>
        </sortState>
      </autoFilter>
    </customSheetView>
    <customSheetView guid="{802FD5F3-B69D-4F32-90D0-BC76C46B9B10}" filter="1" showAutoFilter="1">
      <autoFilter ref="$A$1:$AN$143">
        <filterColumn colId="1">
          <customFilters>
            <customFilter val="Josh"/>
          </customFilters>
        </filterColumn>
        <sortState ref="A1:AN143">
          <sortCondition ref="J1:J143"/>
          <sortCondition ref="K1:K143"/>
          <sortCondition ref="H1:H143"/>
        </sortState>
      </autoFilter>
    </customSheetView>
    <customSheetView guid="{DDFBFD07-4084-4A23-B76E-9F49148DA71D}" filter="1" showAutoFilter="1">
      <autoFilter ref="$A$1:$AN$143">
        <filterColumn colId="1">
          <customFilters>
            <customFilter val="Jeannine"/>
          </customFilters>
        </filterColumn>
        <sortState ref="A1:AN143">
          <sortCondition ref="J1:J143"/>
          <sortCondition ref="K1:K143"/>
          <sortCondition ref="H1:H143"/>
        </sortState>
      </autoFilter>
    </customSheetView>
    <customSheetView guid="{BDFB5449-0979-4AB6-9420-C893E2A2A325}" filter="1" showAutoFilter="1">
      <autoFilter ref="$A$1:$AN$143">
        <filterColumn colId="6">
          <customFilters>
            <customFilter val="*Wed*"/>
          </customFilters>
        </filterColumn>
        <filterColumn colId="36">
          <customFilters>
            <customFilter val="FALSE"/>
          </customFilters>
        </filterColumn>
        <sortState ref="A1:AN143">
          <sortCondition ref="H1:H143"/>
        </sortState>
      </autoFilter>
    </customSheetView>
    <customSheetView guid="{6EBE0E87-58AE-4F21-898B-79ACFB69CE16}" filter="1" showAutoFilter="1">
      <autoFilter ref="$A$1:$AN$143">
        <filterColumn colId="1">
          <customFilters>
            <customFilter val="Brad"/>
          </customFilters>
        </filterColumn>
        <sortState ref="A1:AN143">
          <sortCondition ref="J1:J143"/>
          <sortCondition ref="K1:K143"/>
          <sortCondition ref="H1:H143"/>
        </sortState>
      </autoFilter>
    </customSheetView>
    <customSheetView guid="{7CD311F9-65F8-4EE1-9E67-A99DAF34F968}" filter="1" showAutoFilter="1">
      <autoFilter ref="$A$1:$AN$143">
        <filterColumn colId="1">
          <customFilters>
            <customFilter val="Vu"/>
          </customFilters>
        </filterColumn>
        <sortState ref="A1:AN143">
          <sortCondition ref="J1:J143"/>
          <sortCondition ref="H1:H143"/>
        </sortState>
      </autoFilter>
    </customSheetView>
    <customSheetView guid="{9B0E0977-C867-4A74-95C4-33B4AEE20C98}" filter="1" showAutoFilter="1">
      <autoFilter ref="$A$1:$AN$143">
        <filterColumn colId="6">
          <customFilters>
            <customFilter val="*Fri*"/>
          </customFilters>
        </filterColumn>
        <filterColumn colId="36">
          <customFilters>
            <customFilter val="FALSE"/>
          </customFilters>
        </filterColumn>
        <sortState ref="A1:AN143">
          <sortCondition ref="H1:H143"/>
        </sortState>
      </autoFilter>
    </customSheetView>
    <customSheetView guid="{0EF448C2-5CE7-4E1D-809C-F055ED054EB3}" filter="1" showAutoFilter="1">
      <autoFilter ref="$A$1:$AN$143">
        <filterColumn colId="1">
          <customFilters>
            <customFilter val="Nick A."/>
          </customFilters>
        </filterColumn>
        <sortState ref="A1:AN143">
          <sortCondition ref="J1:J143"/>
          <sortCondition ref="K1:K143"/>
          <sortCondition ref="H1:H143"/>
        </sortState>
      </autoFilter>
    </customSheetView>
    <customSheetView guid="{9AB158C9-5499-47BD-8070-3B6DE9608496}" filter="1" showAutoFilter="1">
      <autoFilter ref="$A$1:$AN$143">
        <filterColumn colId="1">
          <customFilters>
            <customFilter val="Justin"/>
          </customFilters>
        </filterColumn>
        <sortState ref="A1:AN143">
          <sortCondition ref="J1:J143"/>
          <sortCondition ref="K1:K143"/>
          <sortCondition ref="H1:H143"/>
        </sortState>
      </autoFilter>
    </customSheetView>
  </customSheetViews>
  <conditionalFormatting sqref="C2:C11 C13:C22 C24:C33 C35:C44 C46:C55 C57:C66 C68:C77 C79:C88 C90:C99 C101:C110 C112:C121 C123:C132 C134:C145">
    <cfRule type="expression" dxfId="10" priority="1">
      <formula>and(not(AO2),AO2&lt;&gt;"")</formula>
    </cfRule>
  </conditionalFormatting>
  <conditionalFormatting sqref="C2:C11 C13:C22 C24:C33 C35:C44 C46:C55 C57:C66 C68:C77 C79:C88 C90:C99 C101:C110 C112:C121 C123:C132 C134:C145">
    <cfRule type="expression" dxfId="9" priority="2">
      <formula>AO2</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49.88"/>
    <col customWidth="1" min="2" max="2" width="26.63"/>
    <col customWidth="1" min="3" max="3" width="27.38"/>
    <col customWidth="1" min="4" max="4" width="12.88"/>
    <col customWidth="1" min="5" max="5" width="22.63"/>
    <col customWidth="1" min="6" max="6" width="7.38"/>
    <col customWidth="1" min="7" max="7" width="6.88"/>
    <col customWidth="1" hidden="1" min="8" max="8" width="18.5"/>
    <col customWidth="1" hidden="1" min="9" max="9" width="7.63"/>
    <col customWidth="1" hidden="1" min="10" max="19" width="4.5"/>
  </cols>
  <sheetData>
    <row r="1">
      <c r="A1" s="3" t="s">
        <v>1</v>
      </c>
      <c r="B1" s="3" t="s">
        <v>5</v>
      </c>
      <c r="C1" s="5" t="s">
        <v>6</v>
      </c>
      <c r="D1" s="3" t="s">
        <v>11</v>
      </c>
      <c r="E1" s="7" t="s">
        <v>12</v>
      </c>
      <c r="F1" s="9" t="s">
        <v>14</v>
      </c>
      <c r="G1" s="3" t="s">
        <v>17</v>
      </c>
      <c r="H1" s="3" t="s">
        <v>19</v>
      </c>
      <c r="I1" s="7" t="s">
        <v>20</v>
      </c>
      <c r="J1" s="7" t="s">
        <v>21</v>
      </c>
      <c r="K1" s="7" t="s">
        <v>22</v>
      </c>
      <c r="L1" s="7" t="s">
        <v>25</v>
      </c>
      <c r="M1" s="7" t="s">
        <v>28</v>
      </c>
      <c r="N1" s="7"/>
      <c r="O1" s="7"/>
      <c r="P1" s="7"/>
      <c r="Q1" s="7"/>
      <c r="R1" s="7"/>
      <c r="S1" s="7"/>
    </row>
    <row r="2">
      <c r="A2" s="43" t="str">
        <f>IFERROR(__xludf.DUMMYFUNCTION("iferror(sort({FILTER('Current Week'!F:G,'Current Week'!AK:AK=FALSE,'Current Week'!F:F&lt;&gt;"""",'Current Week'!AL:AL&lt;100),ARRAYFORMULA(if(FILTER('Current Week'!H:H,'Current Week'!AK:AK=FALSE,'Current Week'!F:F&lt;&gt;"""",'Current Week'!AL:AL&lt;100)="""","""",FILTER("&amp;"'Current Week'!H:H,'Current Week'!AK:AK=FALSE,'Current Week'!F:F&lt;&gt;"""",'Current Week'!AL:AL&lt;100)&amp;"" vs "")&amp;FILTER('Current Week'!B:B,'Current Week'!AK:AK=FALSE,'Current Week'!F:F&lt;&gt;"""",'Current Week'!AL:AL&lt;100)),FILTER('Current Week'!I:I,'Current Week'!AK"&amp;":AK=FALSE,'Current Week'!F:F&lt;&gt;"""",'Current Week'!AL:AL&lt;100),FILTER('Current Week'!C:C,'Current Week'!AK:AK=FALSE,'Current Week'!F:F&lt;&gt;"""",'Current Week'!AL:AL&lt;100),FILTER('Current Week'!J:K,'Current Week'!AK:AK=FALSE,'Current Week'!F:F&lt;&gt;"""",'Current Wee"&amp;"k'!AL:AL&lt;100),FILTER('Current Week'!AL:AL,'Current Week'!AK:AK=FALSE,'Current Week'!F:F&lt;&gt;"""",'Current Week'!AL:AL&lt;100),FILTER('Current Week'!AJ:AJ,'Current Week'!AK:AK=FALSE,'Current Week'!F:F&lt;&gt;"""",'Current Week'!AL:AL&lt;100)},9,1,8,1,2,1),""No Active Gam"&amp;"es"")"),"Memphis 31 SMU 34")</f>
        <v>Memphis 31 SMU 34</v>
      </c>
      <c r="B2" s="43" t="str">
        <f>IFERROR(__xludf.DUMMYFUNCTION("""COMPUTED_VALUE"""),"FINAL")</f>
        <v>FINAL</v>
      </c>
      <c r="C2" s="47" t="str">
        <f>IFERROR(__xludf.DUMMYFUNCTION("""COMPUTED_VALUE"""),"Josh vs Brad")</f>
        <v>Josh vs Brad</v>
      </c>
      <c r="D2" s="43" t="str">
        <f>IFERROR(__xludf.DUMMYFUNCTION("""COMPUTED_VALUE"""),"ESPN2")</f>
        <v>ESPN2</v>
      </c>
      <c r="E2" s="49" t="str">
        <f>IFERROR(__xludf.DUMMYFUNCTION("""COMPUTED_VALUE"""),"Memphis")</f>
        <v>Memphis</v>
      </c>
      <c r="F2" s="43"/>
      <c r="G2" s="50"/>
      <c r="H2" s="50">
        <f>IFERROR(__xludf.DUMMYFUNCTION("""COMPUTED_VALUE"""),-0.20000000000000284)</f>
        <v>-0.2</v>
      </c>
      <c r="I2" s="50">
        <f>IFERROR(__xludf.DUMMYFUNCTION("""COMPUTED_VALUE"""),0.0)</f>
        <v>0</v>
      </c>
      <c r="J2" s="50" t="str">
        <f>IFERROR(__xludf.DUMMYFUNCTION("arrayformula(if(A2:A586="""","""",REGEXEXTRACT(A2:A586,E2:E586&amp;"" (\d*)"")))"),"31")</f>
        <v>31</v>
      </c>
      <c r="K2" s="50" t="str">
        <f>IFERROR(__xludf.DUMMYFUNCTION("arrayformula(if(A2:A586="""","""",REGEXEXTRACT(mid(A2:A586,if(FIND(E2:E586,A2:A586)=1,len(E2:E586)+1,1),99),""\w+ (\d+)"")))"),"34")</f>
        <v>34</v>
      </c>
      <c r="L2" s="50">
        <f t="array" ref="L2:L586">if(A2:A586="","",J2:J586-K2:K586)</f>
        <v>-3</v>
      </c>
      <c r="M2" s="50">
        <f t="array" ref="M2:M586">if(A2:A586="","",if(F2:F586="",-30,F2:F586))</f>
        <v>-30</v>
      </c>
      <c r="N2" s="50"/>
      <c r="O2" s="50"/>
      <c r="P2" s="50"/>
      <c r="Q2" s="50"/>
      <c r="R2" s="50"/>
      <c r="S2" s="50"/>
    </row>
    <row r="3">
      <c r="A3" s="43" t="str">
        <f>IFERROR(__xludf.DUMMYFUNCTION("""COMPUTED_VALUE"""),"Minnesota 23 Wisconsin 16")</f>
        <v>Minnesota 23 Wisconsin 16</v>
      </c>
      <c r="B3" s="43" t="str">
        <f>IFERROR(__xludf.DUMMYFUNCTION("""COMPUTED_VALUE"""),"FINAL")</f>
        <v>FINAL</v>
      </c>
      <c r="C3" s="47" t="str">
        <f>IFERROR(__xludf.DUMMYFUNCTION("""COMPUTED_VALUE"""),"DavEmily vs Dan")</f>
        <v>DavEmily vs Dan</v>
      </c>
      <c r="D3" s="43" t="str">
        <f>IFERROR(__xludf.DUMMYFUNCTION("""COMPUTED_VALUE"""),"ESPN")</f>
        <v>ESPN</v>
      </c>
      <c r="E3" s="49" t="str">
        <f>IFERROR(__xludf.DUMMYFUNCTION("""COMPUTED_VALUE"""),"Wisconsin")</f>
        <v>Wisconsin</v>
      </c>
      <c r="F3" s="43"/>
      <c r="G3" s="50"/>
      <c r="H3" s="50">
        <f>IFERROR(__xludf.DUMMYFUNCTION("""COMPUTED_VALUE"""),0.29999999999999716)</f>
        <v>0.3</v>
      </c>
      <c r="I3" s="50">
        <f>IFERROR(__xludf.DUMMYFUNCTION("""COMPUTED_VALUE"""),0.0)</f>
        <v>0</v>
      </c>
      <c r="J3" s="50" t="str">
        <f>IFERROR(__xludf.DUMMYFUNCTION("""COMPUTED_VALUE"""),"16")</f>
        <v>16</v>
      </c>
      <c r="K3" s="50" t="str">
        <f>IFERROR(__xludf.DUMMYFUNCTION("""COMPUTED_VALUE"""),"23")</f>
        <v>23</v>
      </c>
      <c r="L3" s="50">
        <v>-7.0</v>
      </c>
      <c r="M3" s="50">
        <v>-30.0</v>
      </c>
      <c r="N3" s="50"/>
      <c r="O3" s="50"/>
      <c r="P3" s="50"/>
      <c r="Q3" s="50"/>
      <c r="R3" s="50"/>
      <c r="S3" s="50"/>
    </row>
    <row r="4">
      <c r="A4" s="43" t="str">
        <f>IFERROR(__xludf.DUMMYFUNCTION("""COMPUTED_VALUE"""),"Auburn 27 (7) Alabama 42")</f>
        <v>Auburn 27 (7) Alabama 42</v>
      </c>
      <c r="B4" s="43" t="str">
        <f>IFERROR(__xludf.DUMMYFUNCTION("""COMPUTED_VALUE"""),"FINAL")</f>
        <v>FINAL</v>
      </c>
      <c r="C4" s="47" t="str">
        <f>IFERROR(__xludf.DUMMYFUNCTION("""COMPUTED_VALUE"""),"Nick A. vs Josh")</f>
        <v>Nick A. vs Josh</v>
      </c>
      <c r="D4" s="43" t="str">
        <f>IFERROR(__xludf.DUMMYFUNCTION("""COMPUTED_VALUE"""),"CBS")</f>
        <v>CBS</v>
      </c>
      <c r="E4" s="49" t="str">
        <f>IFERROR(__xludf.DUMMYFUNCTION("""COMPUTED_VALUE"""),"Alabama")</f>
        <v>Alabama</v>
      </c>
      <c r="F4" s="43"/>
      <c r="G4" s="50"/>
      <c r="H4" s="50">
        <f>IFERROR(__xludf.DUMMYFUNCTION("""COMPUTED_VALUE"""),1.06666666666667)</f>
        <v>1.066666667</v>
      </c>
      <c r="I4" s="50">
        <f>IFERROR(__xludf.DUMMYFUNCTION("""COMPUTED_VALUE"""),0.0)</f>
        <v>0</v>
      </c>
      <c r="J4" s="50" t="str">
        <f>IFERROR(__xludf.DUMMYFUNCTION("""COMPUTED_VALUE"""),"42")</f>
        <v>42</v>
      </c>
      <c r="K4" s="50" t="str">
        <f>IFERROR(__xludf.DUMMYFUNCTION("""COMPUTED_VALUE"""),"27")</f>
        <v>27</v>
      </c>
      <c r="L4" s="50">
        <v>15.0</v>
      </c>
      <c r="M4" s="50">
        <v>-30.0</v>
      </c>
      <c r="N4" s="50"/>
      <c r="O4" s="50"/>
      <c r="P4" s="50"/>
      <c r="Q4" s="50"/>
      <c r="R4" s="50"/>
      <c r="S4" s="50"/>
    </row>
    <row r="5">
      <c r="A5" s="43" t="str">
        <f>IFERROR(__xludf.DUMMYFUNCTION("""COMPUTED_VALUE"""),"UAB 37 Louisiana Tech 27")</f>
        <v>UAB 37 Louisiana Tech 27</v>
      </c>
      <c r="B5" s="43" t="str">
        <f>IFERROR(__xludf.DUMMYFUNCTION("""COMPUTED_VALUE"""),"FINAL ")</f>
        <v>FINAL </v>
      </c>
      <c r="C5" s="47" t="str">
        <f>IFERROR(__xludf.DUMMYFUNCTION("""COMPUTED_VALUE"""),"Janice/Mike vs Nick A.")</f>
        <v>Janice/Mike vs Nick A.</v>
      </c>
      <c r="D5" s="43" t="str">
        <f>IFERROR(__xludf.DUMMYFUNCTION("""COMPUTED_VALUE"""),"CBSSN")</f>
        <v>CBSSN</v>
      </c>
      <c r="E5" s="49" t="str">
        <f>IFERROR(__xludf.DUMMYFUNCTION("""COMPUTED_VALUE"""),"Louisiana Tech")</f>
        <v>Louisiana Tech</v>
      </c>
      <c r="F5" s="43"/>
      <c r="G5" s="50"/>
      <c r="H5" s="50">
        <f>IFERROR(__xludf.DUMMYFUNCTION("""COMPUTED_VALUE"""),1.1499999999999986)</f>
        <v>1.15</v>
      </c>
      <c r="I5" s="50">
        <f>IFERROR(__xludf.DUMMYFUNCTION("""COMPUTED_VALUE"""),0.0)</f>
        <v>0</v>
      </c>
      <c r="J5" s="50" t="str">
        <f>IFERROR(__xludf.DUMMYFUNCTION("""COMPUTED_VALUE"""),"27")</f>
        <v>27</v>
      </c>
      <c r="K5" s="50" t="str">
        <f>IFERROR(__xludf.DUMMYFUNCTION("""COMPUTED_VALUE"""),"37")</f>
        <v>37</v>
      </c>
      <c r="L5" s="50">
        <v>-10.0</v>
      </c>
      <c r="M5" s="50">
        <v>-30.0</v>
      </c>
      <c r="N5" s="50"/>
      <c r="O5" s="50"/>
      <c r="P5" s="50"/>
      <c r="Q5" s="50"/>
      <c r="R5" s="50"/>
      <c r="S5" s="50"/>
    </row>
    <row r="6">
      <c r="A6" s="43" t="str">
        <f>IFERROR(__xludf.DUMMYFUNCTION("""COMPUTED_VALUE"""),"(9) Oregon 34 (22) Oregon State 38")</f>
        <v>(9) Oregon 34 (22) Oregon State 38</v>
      </c>
      <c r="B6" s="43" t="str">
        <f>IFERROR(__xludf.DUMMYFUNCTION("""COMPUTED_VALUE"""),"FINAL")</f>
        <v>FINAL</v>
      </c>
      <c r="C6" s="47" t="str">
        <f>IFERROR(__xludf.DUMMYFUNCTION("""COMPUTED_VALUE"""),"Nick G. vs Jeannine")</f>
        <v>Nick G. vs Jeannine</v>
      </c>
      <c r="D6" s="43" t="str">
        <f>IFERROR(__xludf.DUMMYFUNCTION("""COMPUTED_VALUE"""),"ABC")</f>
        <v>ABC</v>
      </c>
      <c r="E6" s="49" t="str">
        <f>IFERROR(__xludf.DUMMYFUNCTION("""COMPUTED_VALUE"""),"Oregon")</f>
        <v>Oregon</v>
      </c>
      <c r="F6" s="43"/>
      <c r="G6" s="50"/>
      <c r="H6" s="50">
        <f>IFERROR(__xludf.DUMMYFUNCTION("""COMPUTED_VALUE"""),7.18333333333333)</f>
        <v>7.183333333</v>
      </c>
      <c r="I6" s="50">
        <f>IFERROR(__xludf.DUMMYFUNCTION("""COMPUTED_VALUE"""),0.0)</f>
        <v>0</v>
      </c>
      <c r="J6" s="50" t="str">
        <f>IFERROR(__xludf.DUMMYFUNCTION("""COMPUTED_VALUE"""),"34")</f>
        <v>34</v>
      </c>
      <c r="K6" s="50" t="str">
        <f>IFERROR(__xludf.DUMMYFUNCTION("""COMPUTED_VALUE"""),"34")</f>
        <v>34</v>
      </c>
      <c r="L6" s="50">
        <v>0.0</v>
      </c>
      <c r="M6" s="50">
        <v>-30.0</v>
      </c>
      <c r="N6" s="50"/>
      <c r="O6" s="50"/>
      <c r="P6" s="50"/>
      <c r="Q6" s="50"/>
      <c r="R6" s="50"/>
      <c r="S6" s="50"/>
    </row>
    <row r="7">
      <c r="A7" s="43" t="str">
        <f>IFERROR(__xludf.DUMMYFUNCTION("""COMPUTED_VALUE"""),"Michigan State 16 (10) Penn State 21")</f>
        <v>Michigan State 16 (10) Penn State 21</v>
      </c>
      <c r="B7" s="43" t="str">
        <f>IFERROR(__xludf.DUMMYFUNCTION("""COMPUTED_VALUE"""),"FINAL")</f>
        <v>FINAL</v>
      </c>
      <c r="C7" s="47" t="str">
        <f>IFERROR(__xludf.DUMMYFUNCTION("""COMPUTED_VALUE"""),"Masa vs Brad")</f>
        <v>Masa vs Brad</v>
      </c>
      <c r="D7" s="43" t="str">
        <f>IFERROR(__xludf.DUMMYFUNCTION("""COMPUTED_VALUE"""),"FS1")</f>
        <v>FS1</v>
      </c>
      <c r="E7" s="49" t="str">
        <f>IFERROR(__xludf.DUMMYFUNCTION("""COMPUTED_VALUE"""),"Penn State")</f>
        <v>Penn State</v>
      </c>
      <c r="F7" s="43"/>
      <c r="G7" s="50"/>
      <c r="H7" s="50">
        <f>IFERROR(__xludf.DUMMYFUNCTION("""COMPUTED_VALUE"""),9.866666666666667)</f>
        <v>9.866666667</v>
      </c>
      <c r="I7" s="50">
        <f>IFERROR(__xludf.DUMMYFUNCTION("""COMPUTED_VALUE"""),0.0)</f>
        <v>0</v>
      </c>
      <c r="J7" s="50" t="str">
        <f>IFERROR(__xludf.DUMMYFUNCTION("""COMPUTED_VALUE"""),"21")</f>
        <v>21</v>
      </c>
      <c r="K7" s="50" t="str">
        <f>IFERROR(__xludf.DUMMYFUNCTION("""COMPUTED_VALUE"""),"16")</f>
        <v>16</v>
      </c>
      <c r="L7" s="50">
        <v>5.0</v>
      </c>
      <c r="M7" s="50">
        <v>-30.0</v>
      </c>
      <c r="N7" s="50"/>
      <c r="O7" s="50"/>
      <c r="P7" s="50"/>
      <c r="Q7" s="50"/>
      <c r="R7" s="50"/>
      <c r="S7" s="50"/>
    </row>
    <row r="8">
      <c r="A8" s="43" t="str">
        <f>IFERROR(__xludf.DUMMYFUNCTION("""COMPUTED_VALUE"""),"Iowa State 7 (4) TCU 55")</f>
        <v>Iowa State 7 (4) TCU 55</v>
      </c>
      <c r="B8" s="43" t="str">
        <f>IFERROR(__xludf.DUMMYFUNCTION("""COMPUTED_VALUE"""),"FINAL")</f>
        <v>FINAL</v>
      </c>
      <c r="C8" s="47" t="str">
        <f>IFERROR(__xludf.DUMMYFUNCTION("""COMPUTED_VALUE"""),"Janice/Mike vs Vu")</f>
        <v>Janice/Mike vs Vu</v>
      </c>
      <c r="D8" s="43" t="str">
        <f>IFERROR(__xludf.DUMMYFUNCTION("""COMPUTED_VALUE"""),"FOX")</f>
        <v>FOX</v>
      </c>
      <c r="E8" s="49" t="str">
        <f>IFERROR(__xludf.DUMMYFUNCTION("""COMPUTED_VALUE"""),"Iowa State")</f>
        <v>Iowa State</v>
      </c>
      <c r="F8" s="43"/>
      <c r="G8" s="50"/>
      <c r="H8" s="50">
        <f>IFERROR(__xludf.DUMMYFUNCTION("""COMPUTED_VALUE"""),13.833333333333336)</f>
        <v>13.83333333</v>
      </c>
      <c r="I8" s="50">
        <f>IFERROR(__xludf.DUMMYFUNCTION("""COMPUTED_VALUE"""),0.0)</f>
        <v>0</v>
      </c>
      <c r="J8" s="50" t="str">
        <f>IFERROR(__xludf.DUMMYFUNCTION("""COMPUTED_VALUE"""),"7")</f>
        <v>7</v>
      </c>
      <c r="K8" s="50" t="str">
        <f>IFERROR(__xludf.DUMMYFUNCTION("""COMPUTED_VALUE"""),"55")</f>
        <v>55</v>
      </c>
      <c r="L8" s="50">
        <v>-48.0</v>
      </c>
      <c r="M8" s="50">
        <v>-30.0</v>
      </c>
      <c r="N8" s="50"/>
      <c r="O8" s="50"/>
      <c r="P8" s="50"/>
      <c r="Q8" s="50"/>
      <c r="R8" s="50"/>
      <c r="S8" s="50"/>
    </row>
    <row r="9">
      <c r="A9" s="43" t="str">
        <f>IFERROR(__xludf.DUMMYFUNCTION("""COMPUTED_VALUE"""),"Southern Mississippi 11 UL Monroe 10")</f>
        <v>Southern Mississippi 11 UL Monroe 10</v>
      </c>
      <c r="B9" s="43" t="str">
        <f>IFERROR(__xludf.DUMMYFUNCTION("""COMPUTED_VALUE"""),"FINAL ")</f>
        <v>FINAL </v>
      </c>
      <c r="C9" s="47" t="str">
        <f>IFERROR(__xludf.DUMMYFUNCTION("""COMPUTED_VALUE"""),"Dan vs Gary")</f>
        <v>Dan vs Gary</v>
      </c>
      <c r="D9" s="43" t="str">
        <f>IFERROR(__xludf.DUMMYFUNCTION("""COMPUTED_VALUE"""),"espn+")</f>
        <v>espn+</v>
      </c>
      <c r="E9" s="49" t="str">
        <f>IFERROR(__xludf.DUMMYFUNCTION("""COMPUTED_VALUE"""),"Southern Mississippi")</f>
        <v>Southern Mississippi</v>
      </c>
      <c r="F9" s="43"/>
      <c r="G9" s="50"/>
      <c r="H9" s="50">
        <f>IFERROR(__xludf.DUMMYFUNCTION("""COMPUTED_VALUE"""),18.6)</f>
        <v>18.6</v>
      </c>
      <c r="I9" s="50">
        <f>IFERROR(__xludf.DUMMYFUNCTION("""COMPUTED_VALUE"""),0.0)</f>
        <v>0</v>
      </c>
      <c r="J9" s="50" t="str">
        <f>IFERROR(__xludf.DUMMYFUNCTION("""COMPUTED_VALUE"""),"11")</f>
        <v>11</v>
      </c>
      <c r="K9" s="50" t="str">
        <f>IFERROR(__xludf.DUMMYFUNCTION("""COMPUTED_VALUE"""),"10")</f>
        <v>10</v>
      </c>
      <c r="L9" s="50">
        <v>1.0</v>
      </c>
      <c r="M9" s="50">
        <v>-30.0</v>
      </c>
      <c r="N9" s="50"/>
      <c r="O9" s="50"/>
      <c r="P9" s="50"/>
      <c r="Q9" s="50"/>
      <c r="R9" s="50"/>
      <c r="S9" s="50"/>
    </row>
    <row r="10">
      <c r="A10" s="43" t="str">
        <f>IFERROR(__xludf.DUMMYFUNCTION("""COMPUTED_VALUE"""),"UL Lafayette 26 Texas State 6")</f>
        <v>UL Lafayette 26 Texas State 6</v>
      </c>
      <c r="B10" s="43" t="str">
        <f>IFERROR(__xludf.DUMMYFUNCTION("""COMPUTED_VALUE"""),"FINAL")</f>
        <v>FINAL</v>
      </c>
      <c r="C10" s="47" t="str">
        <f>IFERROR(__xludf.DUMMYFUNCTION("""COMPUTED_VALUE"""),"Vu vs Brad")</f>
        <v>Vu vs Brad</v>
      </c>
      <c r="D10" s="43" t="str">
        <f>IFERROR(__xludf.DUMMYFUNCTION("""COMPUTED_VALUE"""),"espn+")</f>
        <v>espn+</v>
      </c>
      <c r="E10" s="49" t="str">
        <f>IFERROR(__xludf.DUMMYFUNCTION("""COMPUTED_VALUE"""),"UL Lafayette")</f>
        <v>UL Lafayette</v>
      </c>
      <c r="F10" s="43"/>
      <c r="G10" s="50"/>
      <c r="H10" s="50">
        <f>IFERROR(__xludf.DUMMYFUNCTION("""COMPUTED_VALUE"""),26.583333333333336)</f>
        <v>26.58333333</v>
      </c>
      <c r="I10" s="50">
        <f>IFERROR(__xludf.DUMMYFUNCTION("""COMPUTED_VALUE"""),0.0)</f>
        <v>0</v>
      </c>
      <c r="J10" s="50" t="str">
        <f>IFERROR(__xludf.DUMMYFUNCTION("""COMPUTED_VALUE"""),"26")</f>
        <v>26</v>
      </c>
      <c r="K10" s="50" t="str">
        <f>IFERROR(__xludf.DUMMYFUNCTION("""COMPUTED_VALUE"""),"6")</f>
        <v>6</v>
      </c>
      <c r="L10" s="50">
        <v>20.0</v>
      </c>
      <c r="M10" s="50">
        <v>-30.0</v>
      </c>
      <c r="N10" s="50"/>
      <c r="O10" s="50"/>
      <c r="P10" s="50"/>
      <c r="Q10" s="50"/>
      <c r="R10" s="50"/>
      <c r="S10" s="50"/>
    </row>
    <row r="11">
      <c r="A11" s="43" t="str">
        <f>IFERROR(__xludf.DUMMYFUNCTION("""COMPUTED_VALUE"""),"Middle Tennessee 13 Florida Intl 0")</f>
        <v>Middle Tennessee 13 Florida Intl 0</v>
      </c>
      <c r="B11" s="43" t="str">
        <f>IFERROR(__xludf.DUMMYFUNCTION("""COMPUTED_VALUE"""),"FINAL ")</f>
        <v>FINAL </v>
      </c>
      <c r="C11" s="47" t="str">
        <f>IFERROR(__xludf.DUMMYFUNCTION("""COMPUTED_VALUE"""),"Brad vs Nick G.")</f>
        <v>Brad vs Nick G.</v>
      </c>
      <c r="D11" s="43"/>
      <c r="E11" s="49" t="str">
        <f>IFERROR(__xludf.DUMMYFUNCTION("""COMPUTED_VALUE"""),"Florida Intl")</f>
        <v>Florida Intl</v>
      </c>
      <c r="F11" s="43"/>
      <c r="G11" s="50"/>
      <c r="H11" s="50">
        <f>IFERROR(__xludf.DUMMYFUNCTION("""COMPUTED_VALUE"""),36.93333333333334)</f>
        <v>36.93333333</v>
      </c>
      <c r="I11" s="50">
        <f>IFERROR(__xludf.DUMMYFUNCTION("""COMPUTED_VALUE"""),0.0)</f>
        <v>0</v>
      </c>
      <c r="J11" s="50" t="str">
        <f>IFERROR(__xludf.DUMMYFUNCTION("""COMPUTED_VALUE"""),"0")</f>
        <v>0</v>
      </c>
      <c r="K11" s="50" t="str">
        <f>IFERROR(__xludf.DUMMYFUNCTION("""COMPUTED_VALUE"""),"13")</f>
        <v>13</v>
      </c>
      <c r="L11" s="50">
        <v>-13.0</v>
      </c>
      <c r="M11" s="50">
        <v>-30.0</v>
      </c>
      <c r="N11" s="50"/>
      <c r="O11" s="50"/>
      <c r="P11" s="50"/>
      <c r="Q11" s="50"/>
      <c r="R11" s="50"/>
      <c r="S11" s="50"/>
    </row>
    <row r="12">
      <c r="A12" s="43" t="str">
        <f>IFERROR(__xludf.DUMMYFUNCTION("""COMPUTED_VALUE"""),"Appalachian State 13 Georgia Southern 7")</f>
        <v>Appalachian State 13 Georgia Southern 7</v>
      </c>
      <c r="B12" s="43" t="str">
        <f>IFERROR(__xludf.DUMMYFUNCTION("""COMPUTED_VALUE"""),"FINAL ")</f>
        <v>FINAL </v>
      </c>
      <c r="C12" s="47" t="str">
        <f>IFERROR(__xludf.DUMMYFUNCTION("""COMPUTED_VALUE"""),"DavEmily vs Nick G.")</f>
        <v>DavEmily vs Nick G.</v>
      </c>
      <c r="D12" s="43" t="str">
        <f>IFERROR(__xludf.DUMMYFUNCTION("""COMPUTED_VALUE"""),"espn+")</f>
        <v>espn+</v>
      </c>
      <c r="E12" s="49" t="str">
        <f>IFERROR(__xludf.DUMMYFUNCTION("""COMPUTED_VALUE"""),"Appalachian State")</f>
        <v>Appalachian State</v>
      </c>
      <c r="F12" s="43"/>
      <c r="G12" s="50"/>
      <c r="H12" s="50">
        <f>IFERROR(__xludf.DUMMYFUNCTION("""COMPUTED_VALUE"""),39.6)</f>
        <v>39.6</v>
      </c>
      <c r="I12" s="50">
        <f>IFERROR(__xludf.DUMMYFUNCTION("""COMPUTED_VALUE"""),0.0)</f>
        <v>0</v>
      </c>
      <c r="J12" s="50" t="str">
        <f>IFERROR(__xludf.DUMMYFUNCTION("""COMPUTED_VALUE"""),"13")</f>
        <v>13</v>
      </c>
      <c r="K12" s="50" t="str">
        <f>IFERROR(__xludf.DUMMYFUNCTION("""COMPUTED_VALUE"""),"7")</f>
        <v>7</v>
      </c>
      <c r="L12" s="50">
        <v>6.0</v>
      </c>
      <c r="M12" s="50">
        <v>-30.0</v>
      </c>
      <c r="N12" s="50"/>
      <c r="O12" s="50"/>
      <c r="P12" s="50"/>
      <c r="Q12" s="50"/>
      <c r="R12" s="50"/>
      <c r="S12" s="50"/>
    </row>
    <row r="13">
      <c r="A13" s="43" t="str">
        <f>IFERROR(__xludf.DUMMYFUNCTION("""COMPUTED_VALUE"""),"Nevada 15 UNLV 14")</f>
        <v>Nevada 15 UNLV 14</v>
      </c>
      <c r="B13" s="43" t="str">
        <f>IFERROR(__xludf.DUMMYFUNCTION("""COMPUTED_VALUE"""),"FINAL ")</f>
        <v>FINAL </v>
      </c>
      <c r="C13" s="47" t="str">
        <f>IFERROR(__xludf.DUMMYFUNCTION("""COMPUTED_VALUE"""),"Jeannine vs Nick G.")</f>
        <v>Jeannine vs Nick G.</v>
      </c>
      <c r="D13" s="43" t="str">
        <f>IFERROR(__xludf.DUMMYFUNCTION("""COMPUTED_VALUE"""),"MWC")</f>
        <v>MWC</v>
      </c>
      <c r="E13" s="49" t="str">
        <f>IFERROR(__xludf.DUMMYFUNCTION("""COMPUTED_VALUE"""),"UNLV")</f>
        <v>UNLV</v>
      </c>
      <c r="F13" s="43"/>
      <c r="G13" s="50"/>
      <c r="H13" s="50">
        <f>IFERROR(__xludf.DUMMYFUNCTION("""COMPUTED_VALUE"""),40.46666666666667)</f>
        <v>40.46666667</v>
      </c>
      <c r="I13" s="50">
        <f>IFERROR(__xludf.DUMMYFUNCTION("""COMPUTED_VALUE"""),0.0)</f>
        <v>0</v>
      </c>
      <c r="J13" s="50" t="str">
        <f>IFERROR(__xludf.DUMMYFUNCTION("""COMPUTED_VALUE"""),"14")</f>
        <v>14</v>
      </c>
      <c r="K13" s="50" t="str">
        <f>IFERROR(__xludf.DUMMYFUNCTION("""COMPUTED_VALUE"""),"15")</f>
        <v>15</v>
      </c>
      <c r="L13" s="50">
        <v>-1.0</v>
      </c>
      <c r="M13" s="50">
        <v>-30.0</v>
      </c>
      <c r="N13" s="50"/>
      <c r="O13" s="50"/>
      <c r="P13" s="50"/>
      <c r="Q13" s="50"/>
      <c r="R13" s="50"/>
      <c r="S13" s="50"/>
    </row>
    <row r="14">
      <c r="A14" s="43" t="str">
        <f>IFERROR(__xludf.DUMMYFUNCTION("""COMPUTED_VALUE"""),"Virginia 0 Virginia Tech 0")</f>
        <v>Virginia 0 Virginia Tech 0</v>
      </c>
      <c r="B14" s="43" t="str">
        <f>IFERROR(__xludf.DUMMYFUNCTION("""COMPUTED_VALUE"""),"CANCELLED")</f>
        <v>CANCELLED</v>
      </c>
      <c r="C14" s="47" t="str">
        <f>IFERROR(__xludf.DUMMYFUNCTION("""COMPUTED_VALUE"""),"Jeannine vs Vu")</f>
        <v>Jeannine vs Vu</v>
      </c>
      <c r="D14" s="43" t="str">
        <f>IFERROR(__xludf.DUMMYFUNCTION("""COMPUTED_VALUE"""),"Canceled")</f>
        <v>Canceled</v>
      </c>
      <c r="E14" s="49" t="str">
        <f>IFERROR(__xludf.DUMMYFUNCTION("""COMPUTED_VALUE"""),"Virginia Tech")</f>
        <v>Virginia Tech</v>
      </c>
      <c r="F14" s="43"/>
      <c r="G14" s="50"/>
      <c r="H14" s="50">
        <f>IFERROR(__xludf.DUMMYFUNCTION("""COMPUTED_VALUE"""),59.0)</f>
        <v>59</v>
      </c>
      <c r="I14" s="50">
        <f>IFERROR(__xludf.DUMMYFUNCTION("""COMPUTED_VALUE"""),0.0)</f>
        <v>0</v>
      </c>
      <c r="J14" s="50" t="str">
        <f>IFERROR(__xludf.DUMMYFUNCTION("""COMPUTED_VALUE"""),"0")</f>
        <v>0</v>
      </c>
      <c r="K14" s="50" t="str">
        <f>IFERROR(__xludf.DUMMYFUNCTION("""COMPUTED_VALUE"""),"0")</f>
        <v>0</v>
      </c>
      <c r="L14" s="50">
        <v>0.0</v>
      </c>
      <c r="M14" s="50">
        <v>-30.0</v>
      </c>
      <c r="N14" s="50"/>
      <c r="O14" s="50"/>
      <c r="P14" s="50"/>
      <c r="Q14" s="50"/>
      <c r="R14" s="50"/>
      <c r="S14" s="50"/>
    </row>
    <row r="15">
      <c r="A15" s="43"/>
      <c r="B15" s="43"/>
      <c r="C15" s="47"/>
      <c r="D15" s="43"/>
      <c r="E15" s="49"/>
      <c r="F15" s="43"/>
      <c r="G15" s="50"/>
      <c r="H15" s="50"/>
      <c r="I15" s="50"/>
      <c r="J15" s="50" t="str">
        <f>IFERROR(__xludf.DUMMYFUNCTION("""COMPUTED_VALUE"""),"")</f>
        <v/>
      </c>
      <c r="K15" s="50" t="str">
        <f>IFERROR(__xludf.DUMMYFUNCTION("""COMPUTED_VALUE"""),"")</f>
        <v/>
      </c>
      <c r="L15" s="50" t="s">
        <v>175</v>
      </c>
      <c r="M15" s="50" t="s">
        <v>175</v>
      </c>
      <c r="N15" s="50"/>
      <c r="O15" s="50"/>
      <c r="P15" s="50"/>
      <c r="Q15" s="50"/>
      <c r="R15" s="50"/>
      <c r="S15" s="50"/>
    </row>
    <row r="16">
      <c r="A16" s="43"/>
      <c r="B16" s="43"/>
      <c r="C16" s="47"/>
      <c r="D16" s="43"/>
      <c r="E16" s="49"/>
      <c r="F16" s="43"/>
      <c r="G16" s="50"/>
      <c r="H16" s="50"/>
      <c r="I16" s="50"/>
      <c r="J16" s="50" t="str">
        <f>IFERROR(__xludf.DUMMYFUNCTION("""COMPUTED_VALUE"""),"")</f>
        <v/>
      </c>
      <c r="K16" s="50" t="str">
        <f>IFERROR(__xludf.DUMMYFUNCTION("""COMPUTED_VALUE"""),"")</f>
        <v/>
      </c>
      <c r="L16" s="50" t="s">
        <v>175</v>
      </c>
      <c r="M16" s="50" t="s">
        <v>175</v>
      </c>
      <c r="N16" s="50"/>
      <c r="O16" s="50"/>
      <c r="P16" s="50"/>
      <c r="Q16" s="50"/>
      <c r="R16" s="50"/>
      <c r="S16" s="50"/>
    </row>
    <row r="17">
      <c r="A17" s="43"/>
      <c r="B17" s="43"/>
      <c r="C17" s="47"/>
      <c r="D17" s="43"/>
      <c r="E17" s="49"/>
      <c r="F17" s="43"/>
      <c r="G17" s="50"/>
      <c r="H17" s="50"/>
      <c r="I17" s="50"/>
      <c r="J17" s="50" t="str">
        <f>IFERROR(__xludf.DUMMYFUNCTION("""COMPUTED_VALUE"""),"")</f>
        <v/>
      </c>
      <c r="K17" s="50" t="str">
        <f>IFERROR(__xludf.DUMMYFUNCTION("""COMPUTED_VALUE"""),"")</f>
        <v/>
      </c>
      <c r="L17" s="50" t="s">
        <v>175</v>
      </c>
      <c r="M17" s="50" t="s">
        <v>175</v>
      </c>
      <c r="N17" s="50"/>
      <c r="O17" s="50"/>
      <c r="P17" s="50"/>
      <c r="Q17" s="50"/>
      <c r="R17" s="50"/>
      <c r="S17" s="50"/>
    </row>
    <row r="18">
      <c r="A18" s="43"/>
      <c r="B18" s="43"/>
      <c r="C18" s="47"/>
      <c r="D18" s="43"/>
      <c r="E18" s="49"/>
      <c r="F18" s="43"/>
      <c r="G18" s="50"/>
      <c r="H18" s="50"/>
      <c r="I18" s="50"/>
      <c r="J18" s="50" t="str">
        <f>IFERROR(__xludf.DUMMYFUNCTION("""COMPUTED_VALUE"""),"")</f>
        <v/>
      </c>
      <c r="K18" s="50" t="str">
        <f>IFERROR(__xludf.DUMMYFUNCTION("""COMPUTED_VALUE"""),"")</f>
        <v/>
      </c>
      <c r="L18" s="50" t="s">
        <v>175</v>
      </c>
      <c r="M18" s="50" t="s">
        <v>175</v>
      </c>
      <c r="N18" s="50"/>
      <c r="O18" s="50"/>
      <c r="P18" s="50"/>
      <c r="Q18" s="50"/>
      <c r="R18" s="50"/>
      <c r="S18" s="50"/>
    </row>
    <row r="19">
      <c r="A19" s="43"/>
      <c r="B19" s="43"/>
      <c r="C19" s="47"/>
      <c r="D19" s="43"/>
      <c r="E19" s="49"/>
      <c r="F19" s="43"/>
      <c r="G19" s="50"/>
      <c r="H19" s="50"/>
      <c r="I19" s="50"/>
      <c r="J19" s="50" t="str">
        <f>IFERROR(__xludf.DUMMYFUNCTION("""COMPUTED_VALUE"""),"")</f>
        <v/>
      </c>
      <c r="K19" s="50" t="str">
        <f>IFERROR(__xludf.DUMMYFUNCTION("""COMPUTED_VALUE"""),"")</f>
        <v/>
      </c>
      <c r="L19" s="50" t="s">
        <v>175</v>
      </c>
      <c r="M19" s="50" t="s">
        <v>175</v>
      </c>
      <c r="N19" s="50"/>
      <c r="O19" s="50"/>
      <c r="P19" s="50"/>
      <c r="Q19" s="50"/>
      <c r="R19" s="50"/>
      <c r="S19" s="50"/>
    </row>
    <row r="20">
      <c r="A20" s="43"/>
      <c r="B20" s="43"/>
      <c r="C20" s="47"/>
      <c r="D20" s="43"/>
      <c r="E20" s="49"/>
      <c r="F20" s="43"/>
      <c r="G20" s="50"/>
      <c r="H20" s="50"/>
      <c r="I20" s="50"/>
      <c r="J20" s="50" t="str">
        <f>IFERROR(__xludf.DUMMYFUNCTION("""COMPUTED_VALUE"""),"")</f>
        <v/>
      </c>
      <c r="K20" s="50" t="str">
        <f>IFERROR(__xludf.DUMMYFUNCTION("""COMPUTED_VALUE"""),"")</f>
        <v/>
      </c>
      <c r="L20" s="50" t="s">
        <v>175</v>
      </c>
      <c r="M20" s="50" t="s">
        <v>175</v>
      </c>
      <c r="N20" s="50"/>
      <c r="O20" s="50"/>
      <c r="P20" s="50"/>
      <c r="Q20" s="50"/>
      <c r="R20" s="50"/>
      <c r="S20" s="50"/>
    </row>
    <row r="21">
      <c r="A21" s="43"/>
      <c r="B21" s="43"/>
      <c r="C21" s="47"/>
      <c r="D21" s="43"/>
      <c r="E21" s="49"/>
      <c r="F21" s="43"/>
      <c r="G21" s="50"/>
      <c r="H21" s="50"/>
      <c r="I21" s="50"/>
      <c r="J21" s="50" t="str">
        <f>IFERROR(__xludf.DUMMYFUNCTION("""COMPUTED_VALUE"""),"")</f>
        <v/>
      </c>
      <c r="K21" s="50" t="str">
        <f>IFERROR(__xludf.DUMMYFUNCTION("""COMPUTED_VALUE"""),"")</f>
        <v/>
      </c>
      <c r="L21" s="50" t="s">
        <v>175</v>
      </c>
      <c r="M21" s="50" t="s">
        <v>175</v>
      </c>
      <c r="N21" s="50"/>
      <c r="O21" s="50"/>
      <c r="P21" s="50"/>
      <c r="Q21" s="50"/>
      <c r="R21" s="50"/>
      <c r="S21" s="50"/>
    </row>
    <row r="22">
      <c r="A22" s="43"/>
      <c r="B22" s="43"/>
      <c r="C22" s="47"/>
      <c r="D22" s="43"/>
      <c r="E22" s="49"/>
      <c r="F22" s="43"/>
      <c r="G22" s="50"/>
      <c r="H22" s="50"/>
      <c r="I22" s="50"/>
      <c r="J22" s="50" t="str">
        <f>IFERROR(__xludf.DUMMYFUNCTION("""COMPUTED_VALUE"""),"")</f>
        <v/>
      </c>
      <c r="K22" s="50" t="str">
        <f>IFERROR(__xludf.DUMMYFUNCTION("""COMPUTED_VALUE"""),"")</f>
        <v/>
      </c>
      <c r="L22" s="50" t="s">
        <v>175</v>
      </c>
      <c r="M22" s="50" t="s">
        <v>175</v>
      </c>
      <c r="N22" s="50"/>
      <c r="O22" s="50"/>
      <c r="P22" s="50"/>
      <c r="Q22" s="50"/>
      <c r="R22" s="50"/>
      <c r="S22" s="50"/>
    </row>
    <row r="23">
      <c r="A23" s="43"/>
      <c r="B23" s="3"/>
      <c r="C23" s="47"/>
      <c r="D23" s="3"/>
      <c r="E23" s="49"/>
      <c r="F23" s="43"/>
      <c r="G23" s="50"/>
      <c r="H23" s="50"/>
      <c r="I23" s="50"/>
      <c r="J23" s="50" t="str">
        <f>IFERROR(__xludf.DUMMYFUNCTION("""COMPUTED_VALUE"""),"")</f>
        <v/>
      </c>
      <c r="K23" s="50" t="str">
        <f>IFERROR(__xludf.DUMMYFUNCTION("""COMPUTED_VALUE"""),"")</f>
        <v/>
      </c>
      <c r="L23" s="50" t="s">
        <v>175</v>
      </c>
      <c r="M23" s="50" t="s">
        <v>175</v>
      </c>
      <c r="N23" s="50"/>
      <c r="O23" s="50"/>
      <c r="P23" s="50"/>
      <c r="Q23" s="50"/>
      <c r="R23" s="50"/>
      <c r="S23" s="50"/>
    </row>
    <row r="24">
      <c r="A24" s="43"/>
      <c r="B24" s="3"/>
      <c r="C24" s="47"/>
      <c r="D24" s="3"/>
      <c r="E24" s="49"/>
      <c r="F24" s="43"/>
      <c r="G24" s="50"/>
      <c r="H24" s="50"/>
      <c r="I24" s="50"/>
      <c r="J24" s="50" t="str">
        <f>IFERROR(__xludf.DUMMYFUNCTION("""COMPUTED_VALUE"""),"")</f>
        <v/>
      </c>
      <c r="K24" s="50" t="str">
        <f>IFERROR(__xludf.DUMMYFUNCTION("""COMPUTED_VALUE"""),"")</f>
        <v/>
      </c>
      <c r="L24" s="50" t="s">
        <v>175</v>
      </c>
      <c r="M24" s="50" t="s">
        <v>175</v>
      </c>
      <c r="N24" s="50"/>
      <c r="O24" s="50"/>
      <c r="P24" s="50"/>
      <c r="Q24" s="50"/>
      <c r="R24" s="50"/>
      <c r="S24" s="50"/>
    </row>
    <row r="25">
      <c r="A25" s="43"/>
      <c r="B25" s="3"/>
      <c r="C25" s="47"/>
      <c r="D25" s="3"/>
      <c r="E25" s="49"/>
      <c r="F25" s="43"/>
      <c r="G25" s="50"/>
      <c r="H25" s="50"/>
      <c r="I25" s="50"/>
      <c r="J25" s="50" t="str">
        <f>IFERROR(__xludf.DUMMYFUNCTION("""COMPUTED_VALUE"""),"")</f>
        <v/>
      </c>
      <c r="K25" s="50" t="str">
        <f>IFERROR(__xludf.DUMMYFUNCTION("""COMPUTED_VALUE"""),"")</f>
        <v/>
      </c>
      <c r="L25" s="50" t="s">
        <v>175</v>
      </c>
      <c r="M25" s="50" t="s">
        <v>175</v>
      </c>
      <c r="N25" s="50"/>
      <c r="O25" s="50"/>
      <c r="P25" s="50"/>
      <c r="Q25" s="50"/>
      <c r="R25" s="50"/>
      <c r="S25" s="50"/>
    </row>
    <row r="26">
      <c r="A26" s="43"/>
      <c r="B26" s="3"/>
      <c r="C26" s="47"/>
      <c r="D26" s="3"/>
      <c r="E26" s="49"/>
      <c r="F26" s="43"/>
      <c r="G26" s="50"/>
      <c r="H26" s="50"/>
      <c r="I26" s="50"/>
      <c r="J26" s="50" t="str">
        <f>IFERROR(__xludf.DUMMYFUNCTION("""COMPUTED_VALUE"""),"")</f>
        <v/>
      </c>
      <c r="K26" s="50" t="str">
        <f>IFERROR(__xludf.DUMMYFUNCTION("""COMPUTED_VALUE"""),"")</f>
        <v/>
      </c>
      <c r="L26" s="50" t="s">
        <v>175</v>
      </c>
      <c r="M26" s="50" t="s">
        <v>175</v>
      </c>
      <c r="N26" s="50"/>
      <c r="O26" s="50"/>
      <c r="P26" s="50"/>
      <c r="Q26" s="50"/>
      <c r="R26" s="50"/>
      <c r="S26" s="50"/>
    </row>
    <row r="27">
      <c r="A27" s="43"/>
      <c r="B27" s="43"/>
      <c r="C27" s="47"/>
      <c r="D27" s="43"/>
      <c r="E27" s="49"/>
      <c r="F27" s="43"/>
      <c r="G27" s="50"/>
      <c r="H27" s="50"/>
      <c r="I27" s="50"/>
      <c r="J27" s="50" t="str">
        <f>IFERROR(__xludf.DUMMYFUNCTION("""COMPUTED_VALUE"""),"")</f>
        <v/>
      </c>
      <c r="K27" s="50" t="str">
        <f>IFERROR(__xludf.DUMMYFUNCTION("""COMPUTED_VALUE"""),"")</f>
        <v/>
      </c>
      <c r="L27" s="50" t="s">
        <v>175</v>
      </c>
      <c r="M27" s="50" t="s">
        <v>175</v>
      </c>
      <c r="N27" s="50"/>
      <c r="O27" s="50"/>
      <c r="P27" s="50"/>
      <c r="Q27" s="50"/>
      <c r="R27" s="50"/>
      <c r="S27" s="50"/>
    </row>
    <row r="28">
      <c r="A28" s="43"/>
      <c r="B28" s="3"/>
      <c r="C28" s="47"/>
      <c r="D28" s="43"/>
      <c r="E28" s="9"/>
      <c r="F28" s="3"/>
      <c r="G28" s="7"/>
      <c r="H28" s="7"/>
      <c r="I28" s="7"/>
      <c r="J28" s="50" t="str">
        <f>IFERROR(__xludf.DUMMYFUNCTION("""COMPUTED_VALUE"""),"")</f>
        <v/>
      </c>
      <c r="K28" s="50" t="str">
        <f>IFERROR(__xludf.DUMMYFUNCTION("""COMPUTED_VALUE"""),"")</f>
        <v/>
      </c>
      <c r="L28" s="7" t="s">
        <v>175</v>
      </c>
      <c r="M28" s="7" t="s">
        <v>175</v>
      </c>
      <c r="N28" s="7"/>
      <c r="O28" s="7"/>
      <c r="P28" s="7"/>
      <c r="Q28" s="7"/>
      <c r="R28" s="7"/>
      <c r="S28" s="7"/>
    </row>
    <row r="29">
      <c r="A29" s="50"/>
      <c r="B29" s="7"/>
      <c r="C29" s="86"/>
      <c r="D29" s="50"/>
      <c r="E29" s="87"/>
      <c r="F29" s="7"/>
      <c r="G29" s="7"/>
      <c r="H29" s="7"/>
      <c r="I29" s="7"/>
      <c r="J29" s="7" t="str">
        <f>IFERROR(__xludf.DUMMYFUNCTION("""COMPUTED_VALUE"""),"")</f>
        <v/>
      </c>
      <c r="K29" s="7" t="str">
        <f>IFERROR(__xludf.DUMMYFUNCTION("""COMPUTED_VALUE"""),"")</f>
        <v/>
      </c>
      <c r="L29" s="7" t="s">
        <v>175</v>
      </c>
      <c r="M29" s="7" t="s">
        <v>175</v>
      </c>
      <c r="N29" s="7"/>
      <c r="O29" s="7"/>
      <c r="P29" s="7"/>
      <c r="Q29" s="7"/>
      <c r="R29" s="7"/>
      <c r="S29" s="7"/>
    </row>
    <row r="30">
      <c r="A30" s="50"/>
      <c r="B30" s="7"/>
      <c r="C30" s="86"/>
      <c r="D30" s="50"/>
      <c r="E30" s="87"/>
      <c r="F30" s="7"/>
      <c r="G30" s="7"/>
      <c r="H30" s="7"/>
      <c r="I30" s="7"/>
      <c r="J30" s="7" t="str">
        <f>IFERROR(__xludf.DUMMYFUNCTION("""COMPUTED_VALUE"""),"")</f>
        <v/>
      </c>
      <c r="K30" s="7" t="str">
        <f>IFERROR(__xludf.DUMMYFUNCTION("""COMPUTED_VALUE"""),"")</f>
        <v/>
      </c>
      <c r="L30" s="7" t="s">
        <v>175</v>
      </c>
      <c r="M30" s="7" t="s">
        <v>175</v>
      </c>
      <c r="N30" s="7"/>
      <c r="O30" s="7"/>
      <c r="P30" s="7"/>
      <c r="Q30" s="7"/>
      <c r="R30" s="7"/>
      <c r="S30" s="7"/>
    </row>
    <row r="31">
      <c r="A31" s="50"/>
      <c r="B31" s="50"/>
      <c r="C31" s="86"/>
      <c r="D31" s="50"/>
      <c r="E31" s="88"/>
      <c r="F31" s="50"/>
      <c r="G31" s="50"/>
      <c r="H31" s="50"/>
      <c r="I31" s="50"/>
      <c r="J31" s="50" t="str">
        <f>IFERROR(__xludf.DUMMYFUNCTION("""COMPUTED_VALUE"""),"")</f>
        <v/>
      </c>
      <c r="K31" s="50" t="str">
        <f>IFERROR(__xludf.DUMMYFUNCTION("""COMPUTED_VALUE"""),"")</f>
        <v/>
      </c>
      <c r="L31" s="50" t="s">
        <v>175</v>
      </c>
      <c r="M31" s="50" t="s">
        <v>175</v>
      </c>
      <c r="N31" s="50"/>
      <c r="O31" s="50"/>
      <c r="P31" s="50"/>
      <c r="Q31" s="50"/>
      <c r="R31" s="50"/>
      <c r="S31" s="50"/>
    </row>
    <row r="32">
      <c r="A32" s="50"/>
      <c r="B32" s="50"/>
      <c r="C32" s="86"/>
      <c r="D32" s="50"/>
      <c r="E32" s="88"/>
      <c r="F32" s="50"/>
      <c r="G32" s="50"/>
      <c r="H32" s="50"/>
      <c r="I32" s="50"/>
      <c r="J32" s="50" t="str">
        <f>IFERROR(__xludf.DUMMYFUNCTION("""COMPUTED_VALUE"""),"")</f>
        <v/>
      </c>
      <c r="K32" s="50" t="str">
        <f>IFERROR(__xludf.DUMMYFUNCTION("""COMPUTED_VALUE"""),"")</f>
        <v/>
      </c>
      <c r="L32" s="50" t="s">
        <v>175</v>
      </c>
      <c r="M32" s="50" t="s">
        <v>175</v>
      </c>
      <c r="N32" s="50"/>
      <c r="O32" s="50"/>
      <c r="P32" s="50"/>
      <c r="Q32" s="50"/>
      <c r="R32" s="50"/>
      <c r="S32" s="50"/>
    </row>
    <row r="33">
      <c r="A33" s="50"/>
      <c r="B33" s="50"/>
      <c r="C33" s="86"/>
      <c r="D33" s="50"/>
      <c r="E33" s="88"/>
      <c r="F33" s="50"/>
      <c r="G33" s="50"/>
      <c r="H33" s="50"/>
      <c r="I33" s="50"/>
      <c r="J33" s="50" t="str">
        <f>IFERROR(__xludf.DUMMYFUNCTION("""COMPUTED_VALUE"""),"")</f>
        <v/>
      </c>
      <c r="K33" s="50" t="str">
        <f>IFERROR(__xludf.DUMMYFUNCTION("""COMPUTED_VALUE"""),"")</f>
        <v/>
      </c>
      <c r="L33" s="50" t="s">
        <v>175</v>
      </c>
      <c r="M33" s="50" t="s">
        <v>175</v>
      </c>
      <c r="N33" s="50"/>
      <c r="O33" s="50"/>
      <c r="P33" s="50"/>
      <c r="Q33" s="50"/>
      <c r="R33" s="50"/>
      <c r="S33" s="50"/>
    </row>
    <row r="34">
      <c r="A34" s="50"/>
      <c r="B34" s="50"/>
      <c r="C34" s="86"/>
      <c r="D34" s="50"/>
      <c r="E34" s="88"/>
      <c r="F34" s="50"/>
      <c r="G34" s="50"/>
      <c r="H34" s="50"/>
      <c r="I34" s="50"/>
      <c r="J34" s="50" t="str">
        <f>IFERROR(__xludf.DUMMYFUNCTION("""COMPUTED_VALUE"""),"")</f>
        <v/>
      </c>
      <c r="K34" s="50" t="str">
        <f>IFERROR(__xludf.DUMMYFUNCTION("""COMPUTED_VALUE"""),"")</f>
        <v/>
      </c>
      <c r="L34" s="50" t="s">
        <v>175</v>
      </c>
      <c r="M34" s="50" t="s">
        <v>175</v>
      </c>
      <c r="N34" s="50"/>
      <c r="O34" s="50"/>
      <c r="P34" s="50"/>
      <c r="Q34" s="50"/>
      <c r="R34" s="50"/>
      <c r="S34" s="50"/>
    </row>
    <row r="35">
      <c r="A35" s="50"/>
      <c r="B35" s="50"/>
      <c r="C35" s="86"/>
      <c r="D35" s="50"/>
      <c r="E35" s="88"/>
      <c r="F35" s="50"/>
      <c r="G35" s="50"/>
      <c r="H35" s="50"/>
      <c r="I35" s="50"/>
      <c r="J35" s="50" t="str">
        <f>IFERROR(__xludf.DUMMYFUNCTION("""COMPUTED_VALUE"""),"")</f>
        <v/>
      </c>
      <c r="K35" s="50" t="str">
        <f>IFERROR(__xludf.DUMMYFUNCTION("""COMPUTED_VALUE"""),"")</f>
        <v/>
      </c>
      <c r="L35" s="50" t="s">
        <v>175</v>
      </c>
      <c r="M35" s="50" t="s">
        <v>175</v>
      </c>
      <c r="N35" s="50"/>
      <c r="O35" s="50"/>
      <c r="P35" s="50"/>
      <c r="Q35" s="50"/>
      <c r="R35" s="50"/>
      <c r="S35" s="50"/>
    </row>
    <row r="36">
      <c r="A36" s="50"/>
      <c r="B36" s="50"/>
      <c r="C36" s="86"/>
      <c r="D36" s="50"/>
      <c r="E36" s="88"/>
      <c r="F36" s="50"/>
      <c r="G36" s="50"/>
      <c r="H36" s="50"/>
      <c r="I36" s="50"/>
      <c r="J36" s="50" t="str">
        <f>IFERROR(__xludf.DUMMYFUNCTION("""COMPUTED_VALUE"""),"")</f>
        <v/>
      </c>
      <c r="K36" s="50" t="str">
        <f>IFERROR(__xludf.DUMMYFUNCTION("""COMPUTED_VALUE"""),"")</f>
        <v/>
      </c>
      <c r="L36" s="50" t="s">
        <v>175</v>
      </c>
      <c r="M36" s="50" t="s">
        <v>175</v>
      </c>
      <c r="N36" s="50"/>
      <c r="O36" s="50"/>
      <c r="P36" s="50"/>
      <c r="Q36" s="50"/>
      <c r="R36" s="50"/>
      <c r="S36" s="50"/>
    </row>
    <row r="37">
      <c r="A37" s="50"/>
      <c r="B37" s="50"/>
      <c r="C37" s="86"/>
      <c r="D37" s="50"/>
      <c r="E37" s="88"/>
      <c r="F37" s="50"/>
      <c r="G37" s="50"/>
      <c r="H37" s="50"/>
      <c r="I37" s="50"/>
      <c r="J37" s="50" t="str">
        <f>IFERROR(__xludf.DUMMYFUNCTION("""COMPUTED_VALUE"""),"")</f>
        <v/>
      </c>
      <c r="K37" s="50" t="str">
        <f>IFERROR(__xludf.DUMMYFUNCTION("""COMPUTED_VALUE"""),"")</f>
        <v/>
      </c>
      <c r="L37" s="50" t="s">
        <v>175</v>
      </c>
      <c r="M37" s="50" t="s">
        <v>175</v>
      </c>
      <c r="N37" s="50"/>
      <c r="O37" s="50"/>
      <c r="P37" s="50"/>
      <c r="Q37" s="50"/>
      <c r="R37" s="50"/>
      <c r="S37" s="50"/>
    </row>
    <row r="38">
      <c r="A38" s="50"/>
      <c r="B38" s="50"/>
      <c r="C38" s="86"/>
      <c r="D38" s="50"/>
      <c r="E38" s="88"/>
      <c r="F38" s="50"/>
      <c r="G38" s="50"/>
      <c r="H38" s="50"/>
      <c r="I38" s="50"/>
      <c r="J38" s="50" t="str">
        <f>IFERROR(__xludf.DUMMYFUNCTION("""COMPUTED_VALUE"""),"")</f>
        <v/>
      </c>
      <c r="K38" s="50" t="str">
        <f>IFERROR(__xludf.DUMMYFUNCTION("""COMPUTED_VALUE"""),"")</f>
        <v/>
      </c>
      <c r="L38" s="50" t="s">
        <v>175</v>
      </c>
      <c r="M38" s="50" t="s">
        <v>175</v>
      </c>
      <c r="N38" s="50"/>
      <c r="O38" s="50"/>
      <c r="P38" s="50"/>
      <c r="Q38" s="50"/>
      <c r="R38" s="50"/>
      <c r="S38" s="50"/>
    </row>
    <row r="39">
      <c r="A39" s="50"/>
      <c r="B39" s="50"/>
      <c r="C39" s="86"/>
      <c r="D39" s="50"/>
      <c r="E39" s="88"/>
      <c r="F39" s="50"/>
      <c r="G39" s="50"/>
      <c r="H39" s="50"/>
      <c r="I39" s="50"/>
      <c r="J39" s="50" t="str">
        <f>IFERROR(__xludf.DUMMYFUNCTION("""COMPUTED_VALUE"""),"")</f>
        <v/>
      </c>
      <c r="K39" s="50" t="str">
        <f>IFERROR(__xludf.DUMMYFUNCTION("""COMPUTED_VALUE"""),"")</f>
        <v/>
      </c>
      <c r="L39" s="50" t="s">
        <v>175</v>
      </c>
      <c r="M39" s="50" t="s">
        <v>175</v>
      </c>
      <c r="N39" s="50"/>
      <c r="O39" s="50"/>
      <c r="P39" s="50"/>
      <c r="Q39" s="50"/>
      <c r="R39" s="50"/>
      <c r="S39" s="50"/>
    </row>
    <row r="40">
      <c r="A40" s="50"/>
      <c r="B40" s="50"/>
      <c r="C40" s="86"/>
      <c r="D40" s="50"/>
      <c r="E40" s="88"/>
      <c r="F40" s="50"/>
      <c r="G40" s="50"/>
      <c r="H40" s="50"/>
      <c r="I40" s="50"/>
      <c r="J40" s="50" t="str">
        <f>IFERROR(__xludf.DUMMYFUNCTION("""COMPUTED_VALUE"""),"")</f>
        <v/>
      </c>
      <c r="K40" s="50" t="str">
        <f>IFERROR(__xludf.DUMMYFUNCTION("""COMPUTED_VALUE"""),"")</f>
        <v/>
      </c>
      <c r="L40" s="50" t="s">
        <v>175</v>
      </c>
      <c r="M40" s="50" t="s">
        <v>175</v>
      </c>
      <c r="N40" s="50"/>
      <c r="O40" s="50"/>
      <c r="P40" s="50"/>
      <c r="Q40" s="50"/>
      <c r="R40" s="50"/>
      <c r="S40" s="50"/>
    </row>
    <row r="41">
      <c r="A41" s="50"/>
      <c r="B41" s="50"/>
      <c r="C41" s="86"/>
      <c r="D41" s="50"/>
      <c r="E41" s="88"/>
      <c r="F41" s="50"/>
      <c r="G41" s="50"/>
      <c r="H41" s="50"/>
      <c r="I41" s="50"/>
      <c r="J41" s="50" t="str">
        <f>IFERROR(__xludf.DUMMYFUNCTION("""COMPUTED_VALUE"""),"")</f>
        <v/>
      </c>
      <c r="K41" s="50" t="str">
        <f>IFERROR(__xludf.DUMMYFUNCTION("""COMPUTED_VALUE"""),"")</f>
        <v/>
      </c>
      <c r="L41" s="50" t="s">
        <v>175</v>
      </c>
      <c r="M41" s="50" t="s">
        <v>175</v>
      </c>
      <c r="N41" s="50"/>
      <c r="O41" s="50"/>
      <c r="P41" s="50"/>
      <c r="Q41" s="50"/>
      <c r="R41" s="50"/>
      <c r="S41" s="50"/>
    </row>
    <row r="42">
      <c r="A42" s="50"/>
      <c r="B42" s="50"/>
      <c r="C42" s="86"/>
      <c r="D42" s="50"/>
      <c r="E42" s="88"/>
      <c r="F42" s="50"/>
      <c r="G42" s="50"/>
      <c r="H42" s="50"/>
      <c r="I42" s="50"/>
      <c r="J42" s="50" t="str">
        <f>IFERROR(__xludf.DUMMYFUNCTION("""COMPUTED_VALUE"""),"")</f>
        <v/>
      </c>
      <c r="K42" s="50" t="str">
        <f>IFERROR(__xludf.DUMMYFUNCTION("""COMPUTED_VALUE"""),"")</f>
        <v/>
      </c>
      <c r="L42" s="50" t="s">
        <v>175</v>
      </c>
      <c r="M42" s="50" t="s">
        <v>175</v>
      </c>
      <c r="N42" s="50"/>
      <c r="O42" s="50"/>
      <c r="P42" s="50"/>
      <c r="Q42" s="50"/>
      <c r="R42" s="50"/>
      <c r="S42" s="50"/>
    </row>
    <row r="43">
      <c r="A43" s="50"/>
      <c r="B43" s="50"/>
      <c r="C43" s="86"/>
      <c r="D43" s="50"/>
      <c r="E43" s="88"/>
      <c r="F43" s="50"/>
      <c r="G43" s="50"/>
      <c r="H43" s="50"/>
      <c r="I43" s="50"/>
      <c r="J43" s="50" t="str">
        <f>IFERROR(__xludf.DUMMYFUNCTION("""COMPUTED_VALUE"""),"")</f>
        <v/>
      </c>
      <c r="K43" s="50" t="str">
        <f>IFERROR(__xludf.DUMMYFUNCTION("""COMPUTED_VALUE"""),"")</f>
        <v/>
      </c>
      <c r="L43" s="50" t="s">
        <v>175</v>
      </c>
      <c r="M43" s="50" t="s">
        <v>175</v>
      </c>
      <c r="N43" s="50"/>
      <c r="O43" s="50"/>
      <c r="P43" s="50"/>
      <c r="Q43" s="50"/>
      <c r="R43" s="50"/>
      <c r="S43" s="50"/>
    </row>
    <row r="44">
      <c r="A44" s="50"/>
      <c r="B44" s="50"/>
      <c r="C44" s="86"/>
      <c r="D44" s="50"/>
      <c r="E44" s="88"/>
      <c r="F44" s="50"/>
      <c r="G44" s="50"/>
      <c r="H44" s="50"/>
      <c r="I44" s="50"/>
      <c r="J44" s="50" t="str">
        <f>IFERROR(__xludf.DUMMYFUNCTION("""COMPUTED_VALUE"""),"")</f>
        <v/>
      </c>
      <c r="K44" s="50" t="str">
        <f>IFERROR(__xludf.DUMMYFUNCTION("""COMPUTED_VALUE"""),"")</f>
        <v/>
      </c>
      <c r="L44" s="50" t="s">
        <v>175</v>
      </c>
      <c r="M44" s="50" t="s">
        <v>175</v>
      </c>
      <c r="N44" s="50"/>
      <c r="O44" s="50"/>
      <c r="P44" s="50"/>
      <c r="Q44" s="50"/>
      <c r="R44" s="50"/>
      <c r="S44" s="50"/>
    </row>
    <row r="45">
      <c r="A45" s="50"/>
      <c r="B45" s="50"/>
      <c r="C45" s="86"/>
      <c r="D45" s="50"/>
      <c r="E45" s="88"/>
      <c r="F45" s="50"/>
      <c r="G45" s="50"/>
      <c r="H45" s="50"/>
      <c r="I45" s="50"/>
      <c r="J45" s="50" t="str">
        <f>IFERROR(__xludf.DUMMYFUNCTION("""COMPUTED_VALUE"""),"")</f>
        <v/>
      </c>
      <c r="K45" s="50" t="str">
        <f>IFERROR(__xludf.DUMMYFUNCTION("""COMPUTED_VALUE"""),"")</f>
        <v/>
      </c>
      <c r="L45" s="50" t="s">
        <v>175</v>
      </c>
      <c r="M45" s="50" t="s">
        <v>175</v>
      </c>
      <c r="N45" s="50"/>
      <c r="O45" s="50"/>
      <c r="P45" s="50"/>
      <c r="Q45" s="50"/>
      <c r="R45" s="50"/>
      <c r="S45" s="50"/>
    </row>
    <row r="46">
      <c r="A46" s="50"/>
      <c r="B46" s="50"/>
      <c r="C46" s="86"/>
      <c r="D46" s="50"/>
      <c r="E46" s="88"/>
      <c r="F46" s="50"/>
      <c r="G46" s="50"/>
      <c r="H46" s="50"/>
      <c r="I46" s="50"/>
      <c r="J46" s="50" t="str">
        <f>IFERROR(__xludf.DUMMYFUNCTION("""COMPUTED_VALUE"""),"")</f>
        <v/>
      </c>
      <c r="K46" s="50" t="str">
        <f>IFERROR(__xludf.DUMMYFUNCTION("""COMPUTED_VALUE"""),"")</f>
        <v/>
      </c>
      <c r="L46" s="50" t="s">
        <v>175</v>
      </c>
      <c r="M46" s="50" t="s">
        <v>175</v>
      </c>
      <c r="N46" s="50"/>
      <c r="O46" s="50"/>
      <c r="P46" s="50"/>
      <c r="Q46" s="50"/>
      <c r="R46" s="50"/>
      <c r="S46" s="50"/>
    </row>
    <row r="47">
      <c r="A47" s="50"/>
      <c r="B47" s="50"/>
      <c r="C47" s="86"/>
      <c r="D47" s="50"/>
      <c r="E47" s="88"/>
      <c r="F47" s="50"/>
      <c r="G47" s="50"/>
      <c r="H47" s="50"/>
      <c r="I47" s="50"/>
      <c r="J47" s="50" t="str">
        <f>IFERROR(__xludf.DUMMYFUNCTION("""COMPUTED_VALUE"""),"")</f>
        <v/>
      </c>
      <c r="K47" s="50" t="str">
        <f>IFERROR(__xludf.DUMMYFUNCTION("""COMPUTED_VALUE"""),"")</f>
        <v/>
      </c>
      <c r="L47" s="50" t="s">
        <v>175</v>
      </c>
      <c r="M47" s="50" t="s">
        <v>175</v>
      </c>
      <c r="N47" s="50"/>
      <c r="O47" s="50"/>
      <c r="P47" s="50"/>
      <c r="Q47" s="50"/>
      <c r="R47" s="50"/>
      <c r="S47" s="50"/>
    </row>
    <row r="48">
      <c r="A48" s="50"/>
      <c r="B48" s="50"/>
      <c r="C48" s="86"/>
      <c r="D48" s="50"/>
      <c r="E48" s="88"/>
      <c r="F48" s="50"/>
      <c r="G48" s="50"/>
      <c r="H48" s="50"/>
      <c r="I48" s="50"/>
      <c r="J48" s="50" t="str">
        <f>IFERROR(__xludf.DUMMYFUNCTION("""COMPUTED_VALUE"""),"")</f>
        <v/>
      </c>
      <c r="K48" s="50" t="str">
        <f>IFERROR(__xludf.DUMMYFUNCTION("""COMPUTED_VALUE"""),"")</f>
        <v/>
      </c>
      <c r="L48" s="50" t="s">
        <v>175</v>
      </c>
      <c r="M48" s="50" t="s">
        <v>175</v>
      </c>
      <c r="N48" s="50"/>
      <c r="O48" s="50"/>
      <c r="P48" s="50"/>
      <c r="Q48" s="50"/>
      <c r="R48" s="50"/>
      <c r="S48" s="50"/>
    </row>
    <row r="49">
      <c r="A49" s="50"/>
      <c r="B49" s="50"/>
      <c r="C49" s="86"/>
      <c r="D49" s="50"/>
      <c r="E49" s="88"/>
      <c r="F49" s="50"/>
      <c r="G49" s="50"/>
      <c r="H49" s="50"/>
      <c r="I49" s="50"/>
      <c r="J49" s="50" t="str">
        <f>IFERROR(__xludf.DUMMYFUNCTION("""COMPUTED_VALUE"""),"")</f>
        <v/>
      </c>
      <c r="K49" s="50" t="str">
        <f>IFERROR(__xludf.DUMMYFUNCTION("""COMPUTED_VALUE"""),"")</f>
        <v/>
      </c>
      <c r="L49" s="50" t="s">
        <v>175</v>
      </c>
      <c r="M49" s="50" t="s">
        <v>175</v>
      </c>
      <c r="N49" s="50"/>
      <c r="O49" s="50"/>
      <c r="P49" s="50"/>
      <c r="Q49" s="50"/>
      <c r="R49" s="50"/>
      <c r="S49" s="50"/>
    </row>
    <row r="50">
      <c r="A50" s="50"/>
      <c r="B50" s="50"/>
      <c r="C50" s="86"/>
      <c r="D50" s="50"/>
      <c r="E50" s="88"/>
      <c r="F50" s="50"/>
      <c r="G50" s="50"/>
      <c r="H50" s="50"/>
      <c r="I50" s="50"/>
      <c r="J50" s="50" t="str">
        <f>IFERROR(__xludf.DUMMYFUNCTION("""COMPUTED_VALUE"""),"")</f>
        <v/>
      </c>
      <c r="K50" s="50" t="str">
        <f>IFERROR(__xludf.DUMMYFUNCTION("""COMPUTED_VALUE"""),"")</f>
        <v/>
      </c>
      <c r="L50" s="50" t="s">
        <v>175</v>
      </c>
      <c r="M50" s="50" t="s">
        <v>175</v>
      </c>
      <c r="N50" s="50"/>
      <c r="O50" s="50"/>
      <c r="P50" s="50"/>
      <c r="Q50" s="50"/>
      <c r="R50" s="50"/>
      <c r="S50" s="50"/>
    </row>
    <row r="51">
      <c r="A51" s="50"/>
      <c r="B51" s="50"/>
      <c r="C51" s="86"/>
      <c r="D51" s="50"/>
      <c r="E51" s="88"/>
      <c r="F51" s="50"/>
      <c r="G51" s="50"/>
      <c r="H51" s="50"/>
      <c r="I51" s="50"/>
      <c r="J51" s="50" t="str">
        <f>IFERROR(__xludf.DUMMYFUNCTION("""COMPUTED_VALUE"""),"")</f>
        <v/>
      </c>
      <c r="K51" s="50" t="str">
        <f>IFERROR(__xludf.DUMMYFUNCTION("""COMPUTED_VALUE"""),"")</f>
        <v/>
      </c>
      <c r="L51" s="50" t="s">
        <v>175</v>
      </c>
      <c r="M51" s="50" t="s">
        <v>175</v>
      </c>
      <c r="N51" s="50"/>
      <c r="O51" s="50"/>
      <c r="P51" s="50"/>
      <c r="Q51" s="50"/>
      <c r="R51" s="50"/>
      <c r="S51" s="50"/>
    </row>
    <row r="52">
      <c r="A52" s="50"/>
      <c r="B52" s="50"/>
      <c r="C52" s="86"/>
      <c r="D52" s="50"/>
      <c r="E52" s="88"/>
      <c r="F52" s="50"/>
      <c r="G52" s="50"/>
      <c r="H52" s="50"/>
      <c r="I52" s="50"/>
      <c r="J52" s="50" t="str">
        <f>IFERROR(__xludf.DUMMYFUNCTION("""COMPUTED_VALUE"""),"")</f>
        <v/>
      </c>
      <c r="K52" s="50" t="str">
        <f>IFERROR(__xludf.DUMMYFUNCTION("""COMPUTED_VALUE"""),"")</f>
        <v/>
      </c>
      <c r="L52" s="50" t="s">
        <v>175</v>
      </c>
      <c r="M52" s="50" t="s">
        <v>175</v>
      </c>
      <c r="N52" s="50"/>
      <c r="O52" s="50"/>
      <c r="P52" s="50"/>
      <c r="Q52" s="50"/>
      <c r="R52" s="50"/>
      <c r="S52" s="50"/>
    </row>
    <row r="53">
      <c r="A53" s="50"/>
      <c r="B53" s="50"/>
      <c r="C53" s="86"/>
      <c r="D53" s="50"/>
      <c r="E53" s="88"/>
      <c r="F53" s="50"/>
      <c r="G53" s="50"/>
      <c r="H53" s="50"/>
      <c r="I53" s="50"/>
      <c r="J53" s="50" t="str">
        <f>IFERROR(__xludf.DUMMYFUNCTION("""COMPUTED_VALUE"""),"")</f>
        <v/>
      </c>
      <c r="K53" s="50" t="str">
        <f>IFERROR(__xludf.DUMMYFUNCTION("""COMPUTED_VALUE"""),"")</f>
        <v/>
      </c>
      <c r="L53" s="50" t="s">
        <v>175</v>
      </c>
      <c r="M53" s="50" t="s">
        <v>175</v>
      </c>
      <c r="N53" s="50"/>
      <c r="O53" s="50"/>
      <c r="P53" s="50"/>
      <c r="Q53" s="50"/>
      <c r="R53" s="50"/>
      <c r="S53" s="50"/>
    </row>
    <row r="54">
      <c r="A54" s="50"/>
      <c r="B54" s="50"/>
      <c r="C54" s="86"/>
      <c r="D54" s="50"/>
      <c r="E54" s="88"/>
      <c r="F54" s="50"/>
      <c r="G54" s="50"/>
      <c r="H54" s="50"/>
      <c r="I54" s="50"/>
      <c r="J54" s="50" t="str">
        <f>IFERROR(__xludf.DUMMYFUNCTION("""COMPUTED_VALUE"""),"")</f>
        <v/>
      </c>
      <c r="K54" s="50" t="str">
        <f>IFERROR(__xludf.DUMMYFUNCTION("""COMPUTED_VALUE"""),"")</f>
        <v/>
      </c>
      <c r="L54" s="50" t="s">
        <v>175</v>
      </c>
      <c r="M54" s="50" t="s">
        <v>175</v>
      </c>
      <c r="N54" s="50"/>
      <c r="O54" s="50"/>
      <c r="P54" s="50"/>
      <c r="Q54" s="50"/>
      <c r="R54" s="50"/>
      <c r="S54" s="50"/>
    </row>
    <row r="55">
      <c r="A55" s="50"/>
      <c r="B55" s="50"/>
      <c r="C55" s="86"/>
      <c r="D55" s="50"/>
      <c r="E55" s="88"/>
      <c r="F55" s="50"/>
      <c r="G55" s="50"/>
      <c r="H55" s="50"/>
      <c r="I55" s="50"/>
      <c r="J55" s="50" t="str">
        <f>IFERROR(__xludf.DUMMYFUNCTION("""COMPUTED_VALUE"""),"")</f>
        <v/>
      </c>
      <c r="K55" s="50" t="str">
        <f>IFERROR(__xludf.DUMMYFUNCTION("""COMPUTED_VALUE"""),"")</f>
        <v/>
      </c>
      <c r="L55" s="50" t="s">
        <v>175</v>
      </c>
      <c r="M55" s="50" t="s">
        <v>175</v>
      </c>
      <c r="N55" s="50"/>
      <c r="O55" s="50"/>
      <c r="P55" s="50"/>
      <c r="Q55" s="50"/>
      <c r="R55" s="50"/>
      <c r="S55" s="50"/>
    </row>
    <row r="56">
      <c r="A56" s="50"/>
      <c r="B56" s="50"/>
      <c r="C56" s="86"/>
      <c r="D56" s="50"/>
      <c r="E56" s="88"/>
      <c r="F56" s="50"/>
      <c r="G56" s="50"/>
      <c r="H56" s="50"/>
      <c r="I56" s="50"/>
      <c r="J56" s="50" t="str">
        <f>IFERROR(__xludf.DUMMYFUNCTION("""COMPUTED_VALUE"""),"")</f>
        <v/>
      </c>
      <c r="K56" s="50" t="str">
        <f>IFERROR(__xludf.DUMMYFUNCTION("""COMPUTED_VALUE"""),"")</f>
        <v/>
      </c>
      <c r="L56" s="50" t="s">
        <v>175</v>
      </c>
      <c r="M56" s="50" t="s">
        <v>175</v>
      </c>
      <c r="N56" s="50"/>
      <c r="O56" s="50"/>
      <c r="P56" s="50"/>
      <c r="Q56" s="50"/>
      <c r="R56" s="50"/>
      <c r="S56" s="50"/>
    </row>
    <row r="57">
      <c r="A57" s="50"/>
      <c r="B57" s="50"/>
      <c r="C57" s="86"/>
      <c r="D57" s="50"/>
      <c r="E57" s="88"/>
      <c r="F57" s="50"/>
      <c r="G57" s="50"/>
      <c r="H57" s="50"/>
      <c r="I57" s="50"/>
      <c r="J57" s="50" t="str">
        <f>IFERROR(__xludf.DUMMYFUNCTION("""COMPUTED_VALUE"""),"")</f>
        <v/>
      </c>
      <c r="K57" s="50" t="str">
        <f>IFERROR(__xludf.DUMMYFUNCTION("""COMPUTED_VALUE"""),"")</f>
        <v/>
      </c>
      <c r="L57" s="50" t="s">
        <v>175</v>
      </c>
      <c r="M57" s="50" t="s">
        <v>175</v>
      </c>
      <c r="N57" s="50"/>
      <c r="O57" s="50"/>
      <c r="P57" s="50"/>
      <c r="Q57" s="50"/>
      <c r="R57" s="50"/>
      <c r="S57" s="50"/>
    </row>
    <row r="58">
      <c r="A58" s="50"/>
      <c r="B58" s="50"/>
      <c r="C58" s="86"/>
      <c r="D58" s="50"/>
      <c r="E58" s="88"/>
      <c r="F58" s="50"/>
      <c r="G58" s="50"/>
      <c r="H58" s="50"/>
      <c r="I58" s="50"/>
      <c r="J58" s="50" t="str">
        <f>IFERROR(__xludf.DUMMYFUNCTION("""COMPUTED_VALUE"""),"")</f>
        <v/>
      </c>
      <c r="K58" s="50" t="str">
        <f>IFERROR(__xludf.DUMMYFUNCTION("""COMPUTED_VALUE"""),"")</f>
        <v/>
      </c>
      <c r="L58" s="50" t="s">
        <v>175</v>
      </c>
      <c r="M58" s="50" t="s">
        <v>175</v>
      </c>
      <c r="N58" s="50"/>
      <c r="O58" s="50"/>
      <c r="P58" s="50"/>
      <c r="Q58" s="50"/>
      <c r="R58" s="50"/>
      <c r="S58" s="50"/>
    </row>
    <row r="59">
      <c r="A59" s="50"/>
      <c r="B59" s="50"/>
      <c r="C59" s="86"/>
      <c r="D59" s="50"/>
      <c r="E59" s="88"/>
      <c r="F59" s="50"/>
      <c r="G59" s="50"/>
      <c r="H59" s="50"/>
      <c r="I59" s="50"/>
      <c r="J59" s="50" t="str">
        <f>IFERROR(__xludf.DUMMYFUNCTION("""COMPUTED_VALUE"""),"")</f>
        <v/>
      </c>
      <c r="K59" s="50" t="str">
        <f>IFERROR(__xludf.DUMMYFUNCTION("""COMPUTED_VALUE"""),"")</f>
        <v/>
      </c>
      <c r="L59" s="50" t="s">
        <v>175</v>
      </c>
      <c r="M59" s="50" t="s">
        <v>175</v>
      </c>
      <c r="N59" s="50"/>
      <c r="O59" s="50"/>
      <c r="P59" s="50"/>
      <c r="Q59" s="50"/>
      <c r="R59" s="50"/>
      <c r="S59" s="50"/>
    </row>
    <row r="60">
      <c r="A60" s="50"/>
      <c r="B60" s="50"/>
      <c r="C60" s="86"/>
      <c r="D60" s="50"/>
      <c r="E60" s="88"/>
      <c r="F60" s="50"/>
      <c r="G60" s="50"/>
      <c r="H60" s="50"/>
      <c r="I60" s="50"/>
      <c r="J60" s="50" t="str">
        <f>IFERROR(__xludf.DUMMYFUNCTION("""COMPUTED_VALUE"""),"")</f>
        <v/>
      </c>
      <c r="K60" s="50" t="str">
        <f>IFERROR(__xludf.DUMMYFUNCTION("""COMPUTED_VALUE"""),"")</f>
        <v/>
      </c>
      <c r="L60" s="50" t="s">
        <v>175</v>
      </c>
      <c r="M60" s="50" t="s">
        <v>175</v>
      </c>
      <c r="N60" s="50"/>
      <c r="O60" s="50"/>
      <c r="P60" s="50"/>
      <c r="Q60" s="50"/>
      <c r="R60" s="50"/>
      <c r="S60" s="50"/>
    </row>
    <row r="61">
      <c r="A61" s="50"/>
      <c r="B61" s="50"/>
      <c r="C61" s="86"/>
      <c r="D61" s="50"/>
      <c r="E61" s="88"/>
      <c r="F61" s="50"/>
      <c r="G61" s="50"/>
      <c r="H61" s="50"/>
      <c r="I61" s="50"/>
      <c r="J61" s="50" t="str">
        <f>IFERROR(__xludf.DUMMYFUNCTION("""COMPUTED_VALUE"""),"")</f>
        <v/>
      </c>
      <c r="K61" s="50" t="str">
        <f>IFERROR(__xludf.DUMMYFUNCTION("""COMPUTED_VALUE"""),"")</f>
        <v/>
      </c>
      <c r="L61" s="50" t="s">
        <v>175</v>
      </c>
      <c r="M61" s="50" t="s">
        <v>175</v>
      </c>
      <c r="N61" s="50"/>
      <c r="O61" s="50"/>
      <c r="P61" s="50"/>
      <c r="Q61" s="50"/>
      <c r="R61" s="50"/>
      <c r="S61" s="50"/>
    </row>
    <row r="62">
      <c r="A62" s="50"/>
      <c r="B62" s="50"/>
      <c r="C62" s="86"/>
      <c r="D62" s="50"/>
      <c r="E62" s="88"/>
      <c r="F62" s="50"/>
      <c r="G62" s="50"/>
      <c r="H62" s="50"/>
      <c r="I62" s="50"/>
      <c r="J62" s="50" t="str">
        <f>IFERROR(__xludf.DUMMYFUNCTION("""COMPUTED_VALUE"""),"")</f>
        <v/>
      </c>
      <c r="K62" s="50" t="str">
        <f>IFERROR(__xludf.DUMMYFUNCTION("""COMPUTED_VALUE"""),"")</f>
        <v/>
      </c>
      <c r="L62" s="50" t="s">
        <v>175</v>
      </c>
      <c r="M62" s="50" t="s">
        <v>175</v>
      </c>
      <c r="N62" s="50"/>
      <c r="O62" s="50"/>
      <c r="P62" s="50"/>
      <c r="Q62" s="50"/>
      <c r="R62" s="50"/>
      <c r="S62" s="50"/>
    </row>
    <row r="63">
      <c r="A63" s="50"/>
      <c r="B63" s="50"/>
      <c r="C63" s="86"/>
      <c r="D63" s="50"/>
      <c r="E63" s="88"/>
      <c r="F63" s="50"/>
      <c r="G63" s="50"/>
      <c r="H63" s="50"/>
      <c r="I63" s="50"/>
      <c r="J63" s="50" t="str">
        <f>IFERROR(__xludf.DUMMYFUNCTION("""COMPUTED_VALUE"""),"")</f>
        <v/>
      </c>
      <c r="K63" s="50" t="str">
        <f>IFERROR(__xludf.DUMMYFUNCTION("""COMPUTED_VALUE"""),"")</f>
        <v/>
      </c>
      <c r="L63" s="50" t="s">
        <v>175</v>
      </c>
      <c r="M63" s="50" t="s">
        <v>175</v>
      </c>
      <c r="N63" s="50"/>
      <c r="O63" s="50"/>
      <c r="P63" s="50"/>
      <c r="Q63" s="50"/>
      <c r="R63" s="50"/>
      <c r="S63" s="50"/>
    </row>
    <row r="64">
      <c r="A64" s="50"/>
      <c r="B64" s="50"/>
      <c r="C64" s="86"/>
      <c r="D64" s="50"/>
      <c r="E64" s="88"/>
      <c r="F64" s="50"/>
      <c r="G64" s="50"/>
      <c r="H64" s="50"/>
      <c r="I64" s="50"/>
      <c r="J64" s="50" t="str">
        <f>IFERROR(__xludf.DUMMYFUNCTION("""COMPUTED_VALUE"""),"")</f>
        <v/>
      </c>
      <c r="K64" s="50" t="str">
        <f>IFERROR(__xludf.DUMMYFUNCTION("""COMPUTED_VALUE"""),"")</f>
        <v/>
      </c>
      <c r="L64" s="50" t="s">
        <v>175</v>
      </c>
      <c r="M64" s="50" t="s">
        <v>175</v>
      </c>
      <c r="N64" s="50"/>
      <c r="O64" s="50"/>
      <c r="P64" s="50"/>
      <c r="Q64" s="50"/>
      <c r="R64" s="50"/>
      <c r="S64" s="50"/>
    </row>
    <row r="65">
      <c r="A65" s="50"/>
      <c r="B65" s="50"/>
      <c r="C65" s="86"/>
      <c r="D65" s="50"/>
      <c r="E65" s="88"/>
      <c r="F65" s="50"/>
      <c r="G65" s="50"/>
      <c r="H65" s="50"/>
      <c r="I65" s="50"/>
      <c r="J65" s="50" t="str">
        <f>IFERROR(__xludf.DUMMYFUNCTION("""COMPUTED_VALUE"""),"")</f>
        <v/>
      </c>
      <c r="K65" s="50" t="str">
        <f>IFERROR(__xludf.DUMMYFUNCTION("""COMPUTED_VALUE"""),"")</f>
        <v/>
      </c>
      <c r="L65" s="50" t="s">
        <v>175</v>
      </c>
      <c r="M65" s="50" t="s">
        <v>175</v>
      </c>
      <c r="N65" s="50"/>
      <c r="O65" s="50"/>
      <c r="P65" s="50"/>
      <c r="Q65" s="50"/>
      <c r="R65" s="50"/>
      <c r="S65" s="50"/>
    </row>
    <row r="66">
      <c r="A66" s="50"/>
      <c r="B66" s="50"/>
      <c r="C66" s="86"/>
      <c r="D66" s="50"/>
      <c r="E66" s="88"/>
      <c r="F66" s="50"/>
      <c r="G66" s="50"/>
      <c r="H66" s="50"/>
      <c r="I66" s="50"/>
      <c r="J66" s="50" t="str">
        <f>IFERROR(__xludf.DUMMYFUNCTION("""COMPUTED_VALUE"""),"")</f>
        <v/>
      </c>
      <c r="K66" s="50" t="str">
        <f>IFERROR(__xludf.DUMMYFUNCTION("""COMPUTED_VALUE"""),"")</f>
        <v/>
      </c>
      <c r="L66" s="50" t="s">
        <v>175</v>
      </c>
      <c r="M66" s="50" t="s">
        <v>175</v>
      </c>
      <c r="N66" s="50"/>
      <c r="O66" s="50"/>
      <c r="P66" s="50"/>
      <c r="Q66" s="50"/>
      <c r="R66" s="50"/>
      <c r="S66" s="50"/>
    </row>
    <row r="67">
      <c r="A67" s="50"/>
      <c r="B67" s="50"/>
      <c r="C67" s="86"/>
      <c r="D67" s="50"/>
      <c r="E67" s="88"/>
      <c r="F67" s="50"/>
      <c r="G67" s="50"/>
      <c r="H67" s="50"/>
      <c r="I67" s="50"/>
      <c r="J67" s="50" t="str">
        <f>IFERROR(__xludf.DUMMYFUNCTION("""COMPUTED_VALUE"""),"")</f>
        <v/>
      </c>
      <c r="K67" s="50" t="str">
        <f>IFERROR(__xludf.DUMMYFUNCTION("""COMPUTED_VALUE"""),"")</f>
        <v/>
      </c>
      <c r="L67" s="50" t="s">
        <v>175</v>
      </c>
      <c r="M67" s="50" t="s">
        <v>175</v>
      </c>
      <c r="N67" s="50"/>
      <c r="O67" s="50"/>
      <c r="P67" s="50"/>
      <c r="Q67" s="50"/>
      <c r="R67" s="50"/>
      <c r="S67" s="50"/>
    </row>
    <row r="68">
      <c r="A68" s="50"/>
      <c r="B68" s="50"/>
      <c r="C68" s="86"/>
      <c r="D68" s="50"/>
      <c r="E68" s="88"/>
      <c r="F68" s="50"/>
      <c r="G68" s="50"/>
      <c r="H68" s="50"/>
      <c r="I68" s="50"/>
      <c r="J68" s="50" t="str">
        <f>IFERROR(__xludf.DUMMYFUNCTION("""COMPUTED_VALUE"""),"")</f>
        <v/>
      </c>
      <c r="K68" s="50" t="str">
        <f>IFERROR(__xludf.DUMMYFUNCTION("""COMPUTED_VALUE"""),"")</f>
        <v/>
      </c>
      <c r="L68" s="50" t="s">
        <v>175</v>
      </c>
      <c r="M68" s="50" t="s">
        <v>175</v>
      </c>
      <c r="N68" s="50"/>
      <c r="O68" s="50"/>
      <c r="P68" s="50"/>
      <c r="Q68" s="50"/>
      <c r="R68" s="50"/>
      <c r="S68" s="50"/>
    </row>
    <row r="69">
      <c r="A69" s="50"/>
      <c r="B69" s="50"/>
      <c r="C69" s="86"/>
      <c r="D69" s="50"/>
      <c r="E69" s="88"/>
      <c r="F69" s="50"/>
      <c r="G69" s="50"/>
      <c r="H69" s="50"/>
      <c r="I69" s="50"/>
      <c r="J69" s="50" t="str">
        <f>IFERROR(__xludf.DUMMYFUNCTION("""COMPUTED_VALUE"""),"")</f>
        <v/>
      </c>
      <c r="K69" s="50" t="str">
        <f>IFERROR(__xludf.DUMMYFUNCTION("""COMPUTED_VALUE"""),"")</f>
        <v/>
      </c>
      <c r="L69" s="50" t="s">
        <v>175</v>
      </c>
      <c r="M69" s="50" t="s">
        <v>175</v>
      </c>
      <c r="N69" s="50"/>
      <c r="O69" s="50"/>
      <c r="P69" s="50"/>
      <c r="Q69" s="50"/>
      <c r="R69" s="50"/>
      <c r="S69" s="50"/>
    </row>
    <row r="70">
      <c r="A70" s="50"/>
      <c r="B70" s="50"/>
      <c r="C70" s="86"/>
      <c r="D70" s="50"/>
      <c r="E70" s="88"/>
      <c r="F70" s="50"/>
      <c r="G70" s="50"/>
      <c r="H70" s="50"/>
      <c r="I70" s="50"/>
      <c r="J70" s="50" t="str">
        <f>IFERROR(__xludf.DUMMYFUNCTION("""COMPUTED_VALUE"""),"")</f>
        <v/>
      </c>
      <c r="K70" s="50" t="str">
        <f>IFERROR(__xludf.DUMMYFUNCTION("""COMPUTED_VALUE"""),"")</f>
        <v/>
      </c>
      <c r="L70" s="50" t="s">
        <v>175</v>
      </c>
      <c r="M70" s="50" t="s">
        <v>175</v>
      </c>
      <c r="N70" s="50"/>
      <c r="O70" s="50"/>
      <c r="P70" s="50"/>
      <c r="Q70" s="50"/>
      <c r="R70" s="50"/>
      <c r="S70" s="50"/>
    </row>
    <row r="71">
      <c r="A71" s="50"/>
      <c r="B71" s="50"/>
      <c r="C71" s="86"/>
      <c r="D71" s="50"/>
      <c r="E71" s="88"/>
      <c r="F71" s="50"/>
      <c r="G71" s="50"/>
      <c r="H71" s="50"/>
      <c r="I71" s="50"/>
      <c r="J71" s="50" t="str">
        <f>IFERROR(__xludf.DUMMYFUNCTION("""COMPUTED_VALUE"""),"")</f>
        <v/>
      </c>
      <c r="K71" s="50" t="str">
        <f>IFERROR(__xludf.DUMMYFUNCTION("""COMPUTED_VALUE"""),"")</f>
        <v/>
      </c>
      <c r="L71" s="50" t="s">
        <v>175</v>
      </c>
      <c r="M71" s="50" t="s">
        <v>175</v>
      </c>
      <c r="N71" s="50"/>
      <c r="O71" s="50"/>
      <c r="P71" s="50"/>
      <c r="Q71" s="50"/>
      <c r="R71" s="50"/>
      <c r="S71" s="50"/>
    </row>
    <row r="72">
      <c r="A72" s="50"/>
      <c r="B72" s="50"/>
      <c r="C72" s="86"/>
      <c r="D72" s="50"/>
      <c r="E72" s="88"/>
      <c r="F72" s="50"/>
      <c r="G72" s="50"/>
      <c r="H72" s="50"/>
      <c r="I72" s="50"/>
      <c r="J72" s="50" t="str">
        <f>IFERROR(__xludf.DUMMYFUNCTION("""COMPUTED_VALUE"""),"")</f>
        <v/>
      </c>
      <c r="K72" s="50" t="str">
        <f>IFERROR(__xludf.DUMMYFUNCTION("""COMPUTED_VALUE"""),"")</f>
        <v/>
      </c>
      <c r="L72" s="50" t="s">
        <v>175</v>
      </c>
      <c r="M72" s="50" t="s">
        <v>175</v>
      </c>
      <c r="N72" s="50"/>
      <c r="O72" s="50"/>
      <c r="P72" s="50"/>
      <c r="Q72" s="50"/>
      <c r="R72" s="50"/>
      <c r="S72" s="50"/>
    </row>
    <row r="73">
      <c r="A73" s="50"/>
      <c r="B73" s="50"/>
      <c r="C73" s="86"/>
      <c r="D73" s="50"/>
      <c r="E73" s="88"/>
      <c r="F73" s="50"/>
      <c r="G73" s="50"/>
      <c r="H73" s="50"/>
      <c r="I73" s="50"/>
      <c r="J73" s="50" t="str">
        <f>IFERROR(__xludf.DUMMYFUNCTION("""COMPUTED_VALUE"""),"")</f>
        <v/>
      </c>
      <c r="K73" s="50" t="str">
        <f>IFERROR(__xludf.DUMMYFUNCTION("""COMPUTED_VALUE"""),"")</f>
        <v/>
      </c>
      <c r="L73" s="50" t="s">
        <v>175</v>
      </c>
      <c r="M73" s="50" t="s">
        <v>175</v>
      </c>
      <c r="N73" s="50"/>
      <c r="O73" s="50"/>
      <c r="P73" s="50"/>
      <c r="Q73" s="50"/>
      <c r="R73" s="50"/>
      <c r="S73" s="50"/>
    </row>
    <row r="74">
      <c r="A74" s="50"/>
      <c r="B74" s="50"/>
      <c r="C74" s="50"/>
      <c r="D74" s="50"/>
      <c r="E74" s="50"/>
      <c r="F74" s="50"/>
      <c r="G74" s="50"/>
      <c r="H74" s="50"/>
      <c r="I74" s="50"/>
      <c r="J74" s="50" t="str">
        <f>IFERROR(__xludf.DUMMYFUNCTION("""COMPUTED_VALUE"""),"")</f>
        <v/>
      </c>
      <c r="K74" s="50" t="str">
        <f>IFERROR(__xludf.DUMMYFUNCTION("""COMPUTED_VALUE"""),"")</f>
        <v/>
      </c>
      <c r="L74" s="50" t="s">
        <v>175</v>
      </c>
      <c r="M74" s="50" t="s">
        <v>175</v>
      </c>
      <c r="N74" s="50"/>
      <c r="O74" s="50"/>
      <c r="P74" s="50"/>
      <c r="Q74" s="50"/>
      <c r="R74" s="50"/>
      <c r="S74" s="50"/>
    </row>
    <row r="75">
      <c r="A75" s="50"/>
      <c r="B75" s="50"/>
      <c r="C75" s="50"/>
      <c r="D75" s="50"/>
      <c r="E75" s="50"/>
      <c r="F75" s="50"/>
      <c r="G75" s="50"/>
      <c r="H75" s="50"/>
      <c r="I75" s="50"/>
      <c r="J75" s="50" t="str">
        <f>IFERROR(__xludf.DUMMYFUNCTION("""COMPUTED_VALUE"""),"")</f>
        <v/>
      </c>
      <c r="K75" s="50" t="str">
        <f>IFERROR(__xludf.DUMMYFUNCTION("""COMPUTED_VALUE"""),"")</f>
        <v/>
      </c>
      <c r="L75" s="50" t="s">
        <v>175</v>
      </c>
      <c r="M75" s="50" t="s">
        <v>175</v>
      </c>
      <c r="N75" s="50"/>
      <c r="O75" s="50"/>
      <c r="P75" s="50"/>
      <c r="Q75" s="50"/>
      <c r="R75" s="50"/>
      <c r="S75" s="50"/>
    </row>
    <row r="76">
      <c r="A76" s="50"/>
      <c r="B76" s="50"/>
      <c r="C76" s="50"/>
      <c r="D76" s="50"/>
      <c r="E76" s="50"/>
      <c r="F76" s="50"/>
      <c r="G76" s="50"/>
      <c r="H76" s="50"/>
      <c r="I76" s="50"/>
      <c r="J76" s="50" t="str">
        <f>IFERROR(__xludf.DUMMYFUNCTION("""COMPUTED_VALUE"""),"")</f>
        <v/>
      </c>
      <c r="K76" s="50" t="str">
        <f>IFERROR(__xludf.DUMMYFUNCTION("""COMPUTED_VALUE"""),"")</f>
        <v/>
      </c>
      <c r="L76" s="50" t="s">
        <v>175</v>
      </c>
      <c r="M76" s="50" t="s">
        <v>175</v>
      </c>
      <c r="N76" s="50"/>
      <c r="O76" s="50"/>
      <c r="P76" s="50"/>
      <c r="Q76" s="50"/>
      <c r="R76" s="50"/>
      <c r="S76" s="50"/>
    </row>
    <row r="77">
      <c r="A77" s="50"/>
      <c r="B77" s="50"/>
      <c r="C77" s="50"/>
      <c r="D77" s="50"/>
      <c r="E77" s="50"/>
      <c r="F77" s="50"/>
      <c r="G77" s="50"/>
      <c r="H77" s="50"/>
      <c r="I77" s="50"/>
      <c r="J77" s="50" t="str">
        <f>IFERROR(__xludf.DUMMYFUNCTION("""COMPUTED_VALUE"""),"")</f>
        <v/>
      </c>
      <c r="K77" s="50" t="str">
        <f>IFERROR(__xludf.DUMMYFUNCTION("""COMPUTED_VALUE"""),"")</f>
        <v/>
      </c>
      <c r="L77" s="50" t="s">
        <v>175</v>
      </c>
      <c r="M77" s="50" t="s">
        <v>175</v>
      </c>
      <c r="N77" s="50"/>
      <c r="O77" s="50"/>
      <c r="P77" s="50"/>
      <c r="Q77" s="50"/>
      <c r="R77" s="50"/>
      <c r="S77" s="50"/>
    </row>
    <row r="78">
      <c r="A78" s="50"/>
      <c r="B78" s="50"/>
      <c r="C78" s="50"/>
      <c r="D78" s="50"/>
      <c r="E78" s="50"/>
      <c r="F78" s="50"/>
      <c r="G78" s="50"/>
      <c r="H78" s="50"/>
      <c r="I78" s="50"/>
      <c r="J78" s="50" t="str">
        <f>IFERROR(__xludf.DUMMYFUNCTION("""COMPUTED_VALUE"""),"")</f>
        <v/>
      </c>
      <c r="K78" s="50" t="str">
        <f>IFERROR(__xludf.DUMMYFUNCTION("""COMPUTED_VALUE"""),"")</f>
        <v/>
      </c>
      <c r="L78" s="50" t="s">
        <v>175</v>
      </c>
      <c r="M78" s="50" t="s">
        <v>175</v>
      </c>
      <c r="N78" s="50"/>
      <c r="O78" s="50"/>
      <c r="P78" s="50"/>
      <c r="Q78" s="50"/>
      <c r="R78" s="50"/>
      <c r="S78" s="50"/>
    </row>
    <row r="79">
      <c r="A79" s="50"/>
      <c r="B79" s="50"/>
      <c r="C79" s="50"/>
      <c r="D79" s="50"/>
      <c r="E79" s="50"/>
      <c r="F79" s="50"/>
      <c r="G79" s="50"/>
      <c r="H79" s="50"/>
      <c r="I79" s="50"/>
      <c r="J79" s="50" t="str">
        <f>IFERROR(__xludf.DUMMYFUNCTION("""COMPUTED_VALUE"""),"")</f>
        <v/>
      </c>
      <c r="K79" s="50" t="str">
        <f>IFERROR(__xludf.DUMMYFUNCTION("""COMPUTED_VALUE"""),"")</f>
        <v/>
      </c>
      <c r="L79" s="50" t="s">
        <v>175</v>
      </c>
      <c r="M79" s="50" t="s">
        <v>175</v>
      </c>
      <c r="N79" s="50"/>
      <c r="O79" s="50"/>
      <c r="P79" s="50"/>
      <c r="Q79" s="50"/>
      <c r="R79" s="50"/>
      <c r="S79" s="50"/>
    </row>
    <row r="80">
      <c r="A80" s="50"/>
      <c r="B80" s="50"/>
      <c r="C80" s="50"/>
      <c r="D80" s="50"/>
      <c r="E80" s="50"/>
      <c r="F80" s="50"/>
      <c r="G80" s="50"/>
      <c r="H80" s="50"/>
      <c r="I80" s="50"/>
      <c r="J80" s="50" t="str">
        <f>IFERROR(__xludf.DUMMYFUNCTION("""COMPUTED_VALUE"""),"")</f>
        <v/>
      </c>
      <c r="K80" s="50" t="str">
        <f>IFERROR(__xludf.DUMMYFUNCTION("""COMPUTED_VALUE"""),"")</f>
        <v/>
      </c>
      <c r="L80" s="50" t="s">
        <v>175</v>
      </c>
      <c r="M80" s="50" t="s">
        <v>175</v>
      </c>
      <c r="N80" s="50"/>
      <c r="O80" s="50"/>
      <c r="P80" s="50"/>
      <c r="Q80" s="50"/>
      <c r="R80" s="50"/>
      <c r="S80" s="50"/>
    </row>
    <row r="81">
      <c r="A81" s="50"/>
      <c r="B81" s="50"/>
      <c r="C81" s="50"/>
      <c r="D81" s="50"/>
      <c r="E81" s="50"/>
      <c r="F81" s="50"/>
      <c r="G81" s="50"/>
      <c r="H81" s="50"/>
      <c r="I81" s="50"/>
      <c r="J81" s="50" t="str">
        <f>IFERROR(__xludf.DUMMYFUNCTION("""COMPUTED_VALUE"""),"")</f>
        <v/>
      </c>
      <c r="K81" s="50" t="str">
        <f>IFERROR(__xludf.DUMMYFUNCTION("""COMPUTED_VALUE"""),"")</f>
        <v/>
      </c>
      <c r="L81" s="50" t="s">
        <v>175</v>
      </c>
      <c r="M81" s="50" t="s">
        <v>175</v>
      </c>
      <c r="N81" s="50"/>
      <c r="O81" s="50"/>
      <c r="P81" s="50"/>
      <c r="Q81" s="50"/>
      <c r="R81" s="50"/>
      <c r="S81" s="50"/>
    </row>
    <row r="82">
      <c r="A82" s="50"/>
      <c r="B82" s="50"/>
      <c r="C82" s="50"/>
      <c r="D82" s="50"/>
      <c r="E82" s="50"/>
      <c r="F82" s="50"/>
      <c r="G82" s="50"/>
      <c r="H82" s="50"/>
      <c r="I82" s="50"/>
      <c r="J82" s="50" t="str">
        <f>IFERROR(__xludf.DUMMYFUNCTION("""COMPUTED_VALUE"""),"")</f>
        <v/>
      </c>
      <c r="K82" s="50" t="str">
        <f>IFERROR(__xludf.DUMMYFUNCTION("""COMPUTED_VALUE"""),"")</f>
        <v/>
      </c>
      <c r="L82" s="50" t="s">
        <v>175</v>
      </c>
      <c r="M82" s="50" t="s">
        <v>175</v>
      </c>
      <c r="N82" s="50"/>
      <c r="O82" s="50"/>
      <c r="P82" s="50"/>
      <c r="Q82" s="50"/>
      <c r="R82" s="50"/>
      <c r="S82" s="50"/>
    </row>
    <row r="83">
      <c r="A83" s="50"/>
      <c r="B83" s="50"/>
      <c r="C83" s="50"/>
      <c r="D83" s="50"/>
      <c r="E83" s="50"/>
      <c r="F83" s="50"/>
      <c r="G83" s="50"/>
      <c r="H83" s="50"/>
      <c r="I83" s="50"/>
      <c r="J83" s="50" t="str">
        <f>IFERROR(__xludf.DUMMYFUNCTION("""COMPUTED_VALUE"""),"")</f>
        <v/>
      </c>
      <c r="K83" s="50" t="str">
        <f>IFERROR(__xludf.DUMMYFUNCTION("""COMPUTED_VALUE"""),"")</f>
        <v/>
      </c>
      <c r="L83" s="50" t="s">
        <v>175</v>
      </c>
      <c r="M83" s="50" t="s">
        <v>175</v>
      </c>
      <c r="N83" s="50"/>
      <c r="O83" s="50"/>
      <c r="P83" s="50"/>
      <c r="Q83" s="50"/>
      <c r="R83" s="50"/>
      <c r="S83" s="50"/>
    </row>
    <row r="84">
      <c r="A84" s="50"/>
      <c r="B84" s="50"/>
      <c r="C84" s="50"/>
      <c r="D84" s="50"/>
      <c r="E84" s="50"/>
      <c r="F84" s="50"/>
      <c r="G84" s="50"/>
      <c r="H84" s="50"/>
      <c r="I84" s="50"/>
      <c r="J84" s="50" t="str">
        <f>IFERROR(__xludf.DUMMYFUNCTION("""COMPUTED_VALUE"""),"")</f>
        <v/>
      </c>
      <c r="K84" s="50" t="str">
        <f>IFERROR(__xludf.DUMMYFUNCTION("""COMPUTED_VALUE"""),"")</f>
        <v/>
      </c>
      <c r="L84" s="50" t="s">
        <v>175</v>
      </c>
      <c r="M84" s="50" t="s">
        <v>175</v>
      </c>
      <c r="N84" s="50"/>
      <c r="O84" s="50"/>
      <c r="P84" s="50"/>
      <c r="Q84" s="50"/>
      <c r="R84" s="50"/>
      <c r="S84" s="50"/>
    </row>
    <row r="85">
      <c r="A85" s="50"/>
      <c r="B85" s="50"/>
      <c r="C85" s="50"/>
      <c r="D85" s="50"/>
      <c r="E85" s="50"/>
      <c r="F85" s="50"/>
      <c r="G85" s="50"/>
      <c r="H85" s="50"/>
      <c r="I85" s="50"/>
      <c r="J85" s="50" t="str">
        <f>IFERROR(__xludf.DUMMYFUNCTION("""COMPUTED_VALUE"""),"")</f>
        <v/>
      </c>
      <c r="K85" s="50" t="str">
        <f>IFERROR(__xludf.DUMMYFUNCTION("""COMPUTED_VALUE"""),"")</f>
        <v/>
      </c>
      <c r="L85" s="50" t="s">
        <v>175</v>
      </c>
      <c r="M85" s="50" t="s">
        <v>175</v>
      </c>
      <c r="N85" s="50"/>
      <c r="O85" s="50"/>
      <c r="P85" s="50"/>
      <c r="Q85" s="50"/>
      <c r="R85" s="50"/>
      <c r="S85" s="50"/>
    </row>
    <row r="86">
      <c r="A86" s="50"/>
      <c r="B86" s="50"/>
      <c r="C86" s="50"/>
      <c r="D86" s="50"/>
      <c r="E86" s="50"/>
      <c r="F86" s="50"/>
      <c r="G86" s="50"/>
      <c r="H86" s="50"/>
      <c r="I86" s="50"/>
      <c r="J86" s="50" t="str">
        <f>IFERROR(__xludf.DUMMYFUNCTION("""COMPUTED_VALUE"""),"")</f>
        <v/>
      </c>
      <c r="K86" s="50" t="str">
        <f>IFERROR(__xludf.DUMMYFUNCTION("""COMPUTED_VALUE"""),"")</f>
        <v/>
      </c>
      <c r="L86" s="50" t="s">
        <v>175</v>
      </c>
      <c r="M86" s="50" t="s">
        <v>175</v>
      </c>
      <c r="N86" s="50"/>
      <c r="O86" s="50"/>
      <c r="P86" s="50"/>
      <c r="Q86" s="50"/>
      <c r="R86" s="50"/>
      <c r="S86" s="50"/>
    </row>
    <row r="87">
      <c r="A87" s="50"/>
      <c r="B87" s="50"/>
      <c r="C87" s="50"/>
      <c r="D87" s="50"/>
      <c r="E87" s="50"/>
      <c r="F87" s="50"/>
      <c r="G87" s="50"/>
      <c r="H87" s="50"/>
      <c r="I87" s="50"/>
      <c r="J87" s="50" t="str">
        <f>IFERROR(__xludf.DUMMYFUNCTION("""COMPUTED_VALUE"""),"")</f>
        <v/>
      </c>
      <c r="K87" s="50" t="str">
        <f>IFERROR(__xludf.DUMMYFUNCTION("""COMPUTED_VALUE"""),"")</f>
        <v/>
      </c>
      <c r="L87" s="50" t="s">
        <v>175</v>
      </c>
      <c r="M87" s="50" t="s">
        <v>175</v>
      </c>
      <c r="N87" s="50"/>
      <c r="O87" s="50"/>
      <c r="P87" s="50"/>
      <c r="Q87" s="50"/>
      <c r="R87" s="50"/>
      <c r="S87" s="50"/>
    </row>
    <row r="88">
      <c r="A88" s="50"/>
      <c r="B88" s="50"/>
      <c r="C88" s="50"/>
      <c r="D88" s="50"/>
      <c r="E88" s="50"/>
      <c r="F88" s="50"/>
      <c r="G88" s="50"/>
      <c r="H88" s="50"/>
      <c r="I88" s="50"/>
      <c r="J88" s="50" t="str">
        <f>IFERROR(__xludf.DUMMYFUNCTION("""COMPUTED_VALUE"""),"")</f>
        <v/>
      </c>
      <c r="K88" s="50" t="str">
        <f>IFERROR(__xludf.DUMMYFUNCTION("""COMPUTED_VALUE"""),"")</f>
        <v/>
      </c>
      <c r="L88" s="50" t="s">
        <v>175</v>
      </c>
      <c r="M88" s="50" t="s">
        <v>175</v>
      </c>
      <c r="N88" s="50"/>
      <c r="O88" s="50"/>
      <c r="P88" s="50"/>
      <c r="Q88" s="50"/>
      <c r="R88" s="50"/>
      <c r="S88" s="50"/>
    </row>
    <row r="89">
      <c r="A89" s="50"/>
      <c r="B89" s="50"/>
      <c r="C89" s="50"/>
      <c r="D89" s="50"/>
      <c r="E89" s="50"/>
      <c r="F89" s="50"/>
      <c r="G89" s="50"/>
      <c r="H89" s="50"/>
      <c r="I89" s="50"/>
      <c r="J89" s="50" t="str">
        <f>IFERROR(__xludf.DUMMYFUNCTION("""COMPUTED_VALUE"""),"")</f>
        <v/>
      </c>
      <c r="K89" s="50" t="str">
        <f>IFERROR(__xludf.DUMMYFUNCTION("""COMPUTED_VALUE"""),"")</f>
        <v/>
      </c>
      <c r="L89" s="50" t="s">
        <v>175</v>
      </c>
      <c r="M89" s="50" t="s">
        <v>175</v>
      </c>
      <c r="N89" s="50"/>
      <c r="O89" s="50"/>
      <c r="P89" s="50"/>
      <c r="Q89" s="50"/>
      <c r="R89" s="50"/>
      <c r="S89" s="50"/>
    </row>
    <row r="90">
      <c r="A90" s="50"/>
      <c r="B90" s="50"/>
      <c r="C90" s="50"/>
      <c r="D90" s="50"/>
      <c r="E90" s="50"/>
      <c r="F90" s="50"/>
      <c r="G90" s="50"/>
      <c r="H90" s="50"/>
      <c r="I90" s="50"/>
      <c r="J90" s="50" t="str">
        <f>IFERROR(__xludf.DUMMYFUNCTION("""COMPUTED_VALUE"""),"")</f>
        <v/>
      </c>
      <c r="K90" s="50" t="str">
        <f>IFERROR(__xludf.DUMMYFUNCTION("""COMPUTED_VALUE"""),"")</f>
        <v/>
      </c>
      <c r="L90" s="50" t="s">
        <v>175</v>
      </c>
      <c r="M90" s="50" t="s">
        <v>175</v>
      </c>
      <c r="N90" s="50"/>
      <c r="O90" s="50"/>
      <c r="P90" s="50"/>
      <c r="Q90" s="50"/>
      <c r="R90" s="50"/>
      <c r="S90" s="50"/>
    </row>
    <row r="91">
      <c r="A91" s="50"/>
      <c r="B91" s="50"/>
      <c r="C91" s="50"/>
      <c r="D91" s="50"/>
      <c r="E91" s="50"/>
      <c r="F91" s="50"/>
      <c r="G91" s="50"/>
      <c r="H91" s="50"/>
      <c r="I91" s="50"/>
      <c r="J91" s="50" t="str">
        <f>IFERROR(__xludf.DUMMYFUNCTION("""COMPUTED_VALUE"""),"")</f>
        <v/>
      </c>
      <c r="K91" s="50" t="str">
        <f>IFERROR(__xludf.DUMMYFUNCTION("""COMPUTED_VALUE"""),"")</f>
        <v/>
      </c>
      <c r="L91" s="50" t="s">
        <v>175</v>
      </c>
      <c r="M91" s="50" t="s">
        <v>175</v>
      </c>
      <c r="N91" s="50"/>
      <c r="O91" s="50"/>
      <c r="P91" s="50"/>
      <c r="Q91" s="50"/>
      <c r="R91" s="50"/>
      <c r="S91" s="50"/>
    </row>
    <row r="92">
      <c r="A92" s="50"/>
      <c r="B92" s="50"/>
      <c r="C92" s="50"/>
      <c r="D92" s="50"/>
      <c r="E92" s="50"/>
      <c r="F92" s="50"/>
      <c r="G92" s="50"/>
      <c r="H92" s="50"/>
      <c r="I92" s="50"/>
      <c r="J92" s="50" t="str">
        <f>IFERROR(__xludf.DUMMYFUNCTION("""COMPUTED_VALUE"""),"")</f>
        <v/>
      </c>
      <c r="K92" s="50" t="str">
        <f>IFERROR(__xludf.DUMMYFUNCTION("""COMPUTED_VALUE"""),"")</f>
        <v/>
      </c>
      <c r="L92" s="50" t="s">
        <v>175</v>
      </c>
      <c r="M92" s="50" t="s">
        <v>175</v>
      </c>
      <c r="N92" s="50"/>
      <c r="O92" s="50"/>
      <c r="P92" s="50"/>
      <c r="Q92" s="50"/>
      <c r="R92" s="50"/>
      <c r="S92" s="50"/>
    </row>
    <row r="93">
      <c r="A93" s="50"/>
      <c r="B93" s="50"/>
      <c r="C93" s="50"/>
      <c r="D93" s="50"/>
      <c r="E93" s="50"/>
      <c r="F93" s="50"/>
      <c r="G93" s="50"/>
      <c r="H93" s="50"/>
      <c r="I93" s="50"/>
      <c r="J93" s="50" t="str">
        <f>IFERROR(__xludf.DUMMYFUNCTION("""COMPUTED_VALUE"""),"")</f>
        <v/>
      </c>
      <c r="K93" s="50" t="str">
        <f>IFERROR(__xludf.DUMMYFUNCTION("""COMPUTED_VALUE"""),"")</f>
        <v/>
      </c>
      <c r="L93" s="50" t="s">
        <v>175</v>
      </c>
      <c r="M93" s="50" t="s">
        <v>175</v>
      </c>
      <c r="N93" s="50"/>
      <c r="O93" s="50"/>
      <c r="P93" s="50"/>
      <c r="Q93" s="50"/>
      <c r="R93" s="50"/>
      <c r="S93" s="50"/>
    </row>
    <row r="94">
      <c r="A94" s="50"/>
      <c r="B94" s="50"/>
      <c r="C94" s="50"/>
      <c r="D94" s="50"/>
      <c r="E94" s="50"/>
      <c r="F94" s="50"/>
      <c r="G94" s="50"/>
      <c r="H94" s="50"/>
      <c r="I94" s="50"/>
      <c r="J94" s="50" t="str">
        <f>IFERROR(__xludf.DUMMYFUNCTION("""COMPUTED_VALUE"""),"")</f>
        <v/>
      </c>
      <c r="K94" s="50" t="str">
        <f>IFERROR(__xludf.DUMMYFUNCTION("""COMPUTED_VALUE"""),"")</f>
        <v/>
      </c>
      <c r="L94" s="50" t="s">
        <v>175</v>
      </c>
      <c r="M94" s="50" t="s">
        <v>175</v>
      </c>
      <c r="N94" s="50"/>
      <c r="O94" s="50"/>
      <c r="P94" s="50"/>
      <c r="Q94" s="50"/>
      <c r="R94" s="50"/>
      <c r="S94" s="50"/>
    </row>
    <row r="95">
      <c r="A95" s="50"/>
      <c r="B95" s="50"/>
      <c r="C95" s="50"/>
      <c r="D95" s="50"/>
      <c r="E95" s="50"/>
      <c r="F95" s="50"/>
      <c r="G95" s="50"/>
      <c r="H95" s="50"/>
      <c r="I95" s="50"/>
      <c r="J95" s="50" t="str">
        <f>IFERROR(__xludf.DUMMYFUNCTION("""COMPUTED_VALUE"""),"")</f>
        <v/>
      </c>
      <c r="K95" s="50" t="str">
        <f>IFERROR(__xludf.DUMMYFUNCTION("""COMPUTED_VALUE"""),"")</f>
        <v/>
      </c>
      <c r="L95" s="50" t="s">
        <v>175</v>
      </c>
      <c r="M95" s="50" t="s">
        <v>175</v>
      </c>
      <c r="N95" s="50"/>
      <c r="O95" s="50"/>
      <c r="P95" s="50"/>
      <c r="Q95" s="50"/>
      <c r="R95" s="50"/>
      <c r="S95" s="50"/>
    </row>
    <row r="96">
      <c r="A96" s="50"/>
      <c r="B96" s="50"/>
      <c r="C96" s="50"/>
      <c r="D96" s="50"/>
      <c r="E96" s="50"/>
      <c r="F96" s="50"/>
      <c r="G96" s="50"/>
      <c r="H96" s="50"/>
      <c r="I96" s="50"/>
      <c r="J96" s="50" t="str">
        <f>IFERROR(__xludf.DUMMYFUNCTION("""COMPUTED_VALUE"""),"")</f>
        <v/>
      </c>
      <c r="K96" s="50" t="str">
        <f>IFERROR(__xludf.DUMMYFUNCTION("""COMPUTED_VALUE"""),"")</f>
        <v/>
      </c>
      <c r="L96" s="50" t="s">
        <v>175</v>
      </c>
      <c r="M96" s="50" t="s">
        <v>175</v>
      </c>
      <c r="N96" s="50"/>
      <c r="O96" s="50"/>
      <c r="P96" s="50"/>
      <c r="Q96" s="50"/>
      <c r="R96" s="50"/>
      <c r="S96" s="50"/>
    </row>
    <row r="97">
      <c r="A97" s="50"/>
      <c r="B97" s="50"/>
      <c r="C97" s="50"/>
      <c r="D97" s="50"/>
      <c r="E97" s="50"/>
      <c r="F97" s="50"/>
      <c r="G97" s="50"/>
      <c r="H97" s="50"/>
      <c r="I97" s="50"/>
      <c r="J97" s="50" t="str">
        <f>IFERROR(__xludf.DUMMYFUNCTION("""COMPUTED_VALUE"""),"")</f>
        <v/>
      </c>
      <c r="K97" s="50" t="str">
        <f>IFERROR(__xludf.DUMMYFUNCTION("""COMPUTED_VALUE"""),"")</f>
        <v/>
      </c>
      <c r="L97" s="50" t="s">
        <v>175</v>
      </c>
      <c r="M97" s="50" t="s">
        <v>175</v>
      </c>
      <c r="N97" s="50"/>
      <c r="O97" s="50"/>
      <c r="P97" s="50"/>
      <c r="Q97" s="50"/>
      <c r="R97" s="50"/>
      <c r="S97" s="50"/>
    </row>
    <row r="98">
      <c r="A98" s="50"/>
      <c r="B98" s="50"/>
      <c r="C98" s="50"/>
      <c r="D98" s="50"/>
      <c r="E98" s="50"/>
      <c r="F98" s="50"/>
      <c r="G98" s="50"/>
      <c r="H98" s="50"/>
      <c r="I98" s="50"/>
      <c r="J98" s="50" t="str">
        <f>IFERROR(__xludf.DUMMYFUNCTION("""COMPUTED_VALUE"""),"")</f>
        <v/>
      </c>
      <c r="K98" s="50" t="str">
        <f>IFERROR(__xludf.DUMMYFUNCTION("""COMPUTED_VALUE"""),"")</f>
        <v/>
      </c>
      <c r="L98" s="50" t="s">
        <v>175</v>
      </c>
      <c r="M98" s="50" t="s">
        <v>175</v>
      </c>
      <c r="N98" s="50"/>
      <c r="O98" s="50"/>
      <c r="P98" s="50"/>
      <c r="Q98" s="50"/>
      <c r="R98" s="50"/>
      <c r="S98" s="50"/>
    </row>
    <row r="99">
      <c r="A99" s="50"/>
      <c r="B99" s="50"/>
      <c r="C99" s="50"/>
      <c r="D99" s="50"/>
      <c r="E99" s="50"/>
      <c r="F99" s="50"/>
      <c r="G99" s="50"/>
      <c r="H99" s="50"/>
      <c r="I99" s="50"/>
      <c r="J99" s="50" t="str">
        <f>IFERROR(__xludf.DUMMYFUNCTION("""COMPUTED_VALUE"""),"")</f>
        <v/>
      </c>
      <c r="K99" s="50" t="str">
        <f>IFERROR(__xludf.DUMMYFUNCTION("""COMPUTED_VALUE"""),"")</f>
        <v/>
      </c>
      <c r="L99" s="50" t="s">
        <v>175</v>
      </c>
      <c r="M99" s="50" t="s">
        <v>175</v>
      </c>
      <c r="N99" s="50"/>
      <c r="O99" s="50"/>
      <c r="P99" s="50"/>
      <c r="Q99" s="50"/>
      <c r="R99" s="50"/>
      <c r="S99" s="50"/>
    </row>
    <row r="100">
      <c r="A100" s="50"/>
      <c r="B100" s="50"/>
      <c r="C100" s="50"/>
      <c r="D100" s="50"/>
      <c r="E100" s="50"/>
      <c r="F100" s="50"/>
      <c r="G100" s="50"/>
      <c r="H100" s="50"/>
      <c r="I100" s="50"/>
      <c r="J100" s="50" t="str">
        <f>IFERROR(__xludf.DUMMYFUNCTION("""COMPUTED_VALUE"""),"")</f>
        <v/>
      </c>
      <c r="K100" s="50" t="str">
        <f>IFERROR(__xludf.DUMMYFUNCTION("""COMPUTED_VALUE"""),"")</f>
        <v/>
      </c>
      <c r="L100" s="50" t="s">
        <v>175</v>
      </c>
      <c r="M100" s="50" t="s">
        <v>175</v>
      </c>
      <c r="N100" s="50"/>
      <c r="O100" s="50"/>
      <c r="P100" s="50"/>
      <c r="Q100" s="50"/>
      <c r="R100" s="50"/>
      <c r="S100" s="50"/>
    </row>
    <row r="101">
      <c r="A101" s="50"/>
      <c r="B101" s="50"/>
      <c r="C101" s="50"/>
      <c r="D101" s="50"/>
      <c r="E101" s="50"/>
      <c r="F101" s="50"/>
      <c r="G101" s="50"/>
      <c r="H101" s="50"/>
      <c r="I101" s="50"/>
      <c r="J101" s="50" t="str">
        <f>IFERROR(__xludf.DUMMYFUNCTION("""COMPUTED_VALUE"""),"")</f>
        <v/>
      </c>
      <c r="K101" s="50" t="str">
        <f>IFERROR(__xludf.DUMMYFUNCTION("""COMPUTED_VALUE"""),"")</f>
        <v/>
      </c>
      <c r="L101" s="50" t="s">
        <v>175</v>
      </c>
      <c r="M101" s="50" t="s">
        <v>175</v>
      </c>
      <c r="N101" s="50"/>
      <c r="O101" s="50"/>
      <c r="P101" s="50"/>
      <c r="Q101" s="50"/>
      <c r="R101" s="50"/>
      <c r="S101" s="50"/>
    </row>
    <row r="102">
      <c r="A102" s="50"/>
      <c r="B102" s="50"/>
      <c r="C102" s="50"/>
      <c r="D102" s="50"/>
      <c r="E102" s="50"/>
      <c r="F102" s="50"/>
      <c r="G102" s="50"/>
      <c r="H102" s="50"/>
      <c r="I102" s="50"/>
      <c r="J102" s="50" t="str">
        <f>IFERROR(__xludf.DUMMYFUNCTION("""COMPUTED_VALUE"""),"")</f>
        <v/>
      </c>
      <c r="K102" s="50" t="str">
        <f>IFERROR(__xludf.DUMMYFUNCTION("""COMPUTED_VALUE"""),"")</f>
        <v/>
      </c>
      <c r="L102" s="50" t="s">
        <v>175</v>
      </c>
      <c r="M102" s="50" t="s">
        <v>175</v>
      </c>
      <c r="N102" s="50"/>
      <c r="O102" s="50"/>
      <c r="P102" s="50"/>
      <c r="Q102" s="50"/>
      <c r="R102" s="50"/>
      <c r="S102" s="50"/>
    </row>
    <row r="103">
      <c r="A103" s="50"/>
      <c r="B103" s="50"/>
      <c r="C103" s="50"/>
      <c r="D103" s="50"/>
      <c r="E103" s="50"/>
      <c r="F103" s="50"/>
      <c r="G103" s="50"/>
      <c r="H103" s="50"/>
      <c r="I103" s="50"/>
      <c r="J103" s="50" t="str">
        <f>IFERROR(__xludf.DUMMYFUNCTION("""COMPUTED_VALUE"""),"")</f>
        <v/>
      </c>
      <c r="K103" s="50" t="str">
        <f>IFERROR(__xludf.DUMMYFUNCTION("""COMPUTED_VALUE"""),"")</f>
        <v/>
      </c>
      <c r="L103" s="50" t="s">
        <v>175</v>
      </c>
      <c r="M103" s="50" t="s">
        <v>175</v>
      </c>
      <c r="N103" s="50"/>
      <c r="O103" s="50"/>
      <c r="P103" s="50"/>
      <c r="Q103" s="50"/>
      <c r="R103" s="50"/>
      <c r="S103" s="50"/>
    </row>
    <row r="104">
      <c r="A104" s="50"/>
      <c r="B104" s="50"/>
      <c r="C104" s="50"/>
      <c r="D104" s="50"/>
      <c r="E104" s="50"/>
      <c r="F104" s="50"/>
      <c r="G104" s="50"/>
      <c r="H104" s="50"/>
      <c r="I104" s="50"/>
      <c r="J104" s="50" t="str">
        <f>IFERROR(__xludf.DUMMYFUNCTION("""COMPUTED_VALUE"""),"")</f>
        <v/>
      </c>
      <c r="K104" s="50" t="str">
        <f>IFERROR(__xludf.DUMMYFUNCTION("""COMPUTED_VALUE"""),"")</f>
        <v/>
      </c>
      <c r="L104" s="50" t="s">
        <v>175</v>
      </c>
      <c r="M104" s="50" t="s">
        <v>175</v>
      </c>
      <c r="N104" s="50"/>
      <c r="O104" s="50"/>
      <c r="P104" s="50"/>
      <c r="Q104" s="50"/>
      <c r="R104" s="50"/>
      <c r="S104" s="50"/>
    </row>
    <row r="105">
      <c r="A105" s="50"/>
      <c r="B105" s="50"/>
      <c r="C105" s="50"/>
      <c r="D105" s="50"/>
      <c r="E105" s="50"/>
      <c r="F105" s="50"/>
      <c r="G105" s="50"/>
      <c r="H105" s="50"/>
      <c r="I105" s="50"/>
      <c r="J105" s="50" t="str">
        <f>IFERROR(__xludf.DUMMYFUNCTION("""COMPUTED_VALUE"""),"")</f>
        <v/>
      </c>
      <c r="K105" s="50" t="str">
        <f>IFERROR(__xludf.DUMMYFUNCTION("""COMPUTED_VALUE"""),"")</f>
        <v/>
      </c>
      <c r="L105" s="50" t="s">
        <v>175</v>
      </c>
      <c r="M105" s="50" t="s">
        <v>175</v>
      </c>
      <c r="N105" s="50"/>
      <c r="O105" s="50"/>
      <c r="P105" s="50"/>
      <c r="Q105" s="50"/>
      <c r="R105" s="50"/>
      <c r="S105" s="50"/>
    </row>
    <row r="106">
      <c r="A106" s="50"/>
      <c r="B106" s="50"/>
      <c r="C106" s="50"/>
      <c r="D106" s="50"/>
      <c r="E106" s="50"/>
      <c r="F106" s="50"/>
      <c r="G106" s="50"/>
      <c r="H106" s="50"/>
      <c r="I106" s="50"/>
      <c r="J106" s="50" t="str">
        <f>IFERROR(__xludf.DUMMYFUNCTION("""COMPUTED_VALUE"""),"")</f>
        <v/>
      </c>
      <c r="K106" s="50" t="str">
        <f>IFERROR(__xludf.DUMMYFUNCTION("""COMPUTED_VALUE"""),"")</f>
        <v/>
      </c>
      <c r="L106" s="50" t="s">
        <v>175</v>
      </c>
      <c r="M106" s="50" t="s">
        <v>175</v>
      </c>
      <c r="N106" s="50"/>
      <c r="O106" s="50"/>
      <c r="P106" s="50"/>
      <c r="Q106" s="50"/>
      <c r="R106" s="50"/>
      <c r="S106" s="50"/>
    </row>
    <row r="107">
      <c r="A107" s="50"/>
      <c r="B107" s="50"/>
      <c r="C107" s="50"/>
      <c r="D107" s="50"/>
      <c r="E107" s="50"/>
      <c r="F107" s="50"/>
      <c r="G107" s="50"/>
      <c r="H107" s="50"/>
      <c r="I107" s="50"/>
      <c r="J107" s="50" t="str">
        <f>IFERROR(__xludf.DUMMYFUNCTION("""COMPUTED_VALUE"""),"")</f>
        <v/>
      </c>
      <c r="K107" s="50" t="str">
        <f>IFERROR(__xludf.DUMMYFUNCTION("""COMPUTED_VALUE"""),"")</f>
        <v/>
      </c>
      <c r="L107" s="50" t="s">
        <v>175</v>
      </c>
      <c r="M107" s="50" t="s">
        <v>175</v>
      </c>
      <c r="N107" s="50"/>
      <c r="O107" s="50"/>
      <c r="P107" s="50"/>
      <c r="Q107" s="50"/>
      <c r="R107" s="50"/>
      <c r="S107" s="50"/>
    </row>
    <row r="108">
      <c r="A108" s="50"/>
      <c r="B108" s="50"/>
      <c r="C108" s="50"/>
      <c r="D108" s="50"/>
      <c r="E108" s="50"/>
      <c r="F108" s="50"/>
      <c r="G108" s="50"/>
      <c r="H108" s="50"/>
      <c r="I108" s="50"/>
      <c r="J108" s="50" t="str">
        <f>IFERROR(__xludf.DUMMYFUNCTION("""COMPUTED_VALUE"""),"")</f>
        <v/>
      </c>
      <c r="K108" s="50" t="str">
        <f>IFERROR(__xludf.DUMMYFUNCTION("""COMPUTED_VALUE"""),"")</f>
        <v/>
      </c>
      <c r="L108" s="50" t="s">
        <v>175</v>
      </c>
      <c r="M108" s="50" t="s">
        <v>175</v>
      </c>
      <c r="N108" s="50"/>
      <c r="O108" s="50"/>
      <c r="P108" s="50"/>
      <c r="Q108" s="50"/>
      <c r="R108" s="50"/>
      <c r="S108" s="50"/>
    </row>
    <row r="109">
      <c r="A109" s="50"/>
      <c r="B109" s="50"/>
      <c r="C109" s="50"/>
      <c r="D109" s="50"/>
      <c r="E109" s="50"/>
      <c r="F109" s="50"/>
      <c r="G109" s="50"/>
      <c r="H109" s="50"/>
      <c r="I109" s="50"/>
      <c r="J109" s="50" t="str">
        <f>IFERROR(__xludf.DUMMYFUNCTION("""COMPUTED_VALUE"""),"")</f>
        <v/>
      </c>
      <c r="K109" s="50" t="str">
        <f>IFERROR(__xludf.DUMMYFUNCTION("""COMPUTED_VALUE"""),"")</f>
        <v/>
      </c>
      <c r="L109" s="50" t="s">
        <v>175</v>
      </c>
      <c r="M109" s="50" t="s">
        <v>175</v>
      </c>
      <c r="N109" s="50"/>
      <c r="O109" s="50"/>
      <c r="P109" s="50"/>
      <c r="Q109" s="50"/>
      <c r="R109" s="50"/>
      <c r="S109" s="50"/>
    </row>
    <row r="110">
      <c r="A110" s="50"/>
      <c r="B110" s="50"/>
      <c r="C110" s="50"/>
      <c r="D110" s="50"/>
      <c r="E110" s="50"/>
      <c r="F110" s="50"/>
      <c r="G110" s="50"/>
      <c r="H110" s="50"/>
      <c r="I110" s="50"/>
      <c r="J110" s="50" t="str">
        <f>IFERROR(__xludf.DUMMYFUNCTION("""COMPUTED_VALUE"""),"")</f>
        <v/>
      </c>
      <c r="K110" s="50" t="str">
        <f>IFERROR(__xludf.DUMMYFUNCTION("""COMPUTED_VALUE"""),"")</f>
        <v/>
      </c>
      <c r="L110" s="50" t="s">
        <v>175</v>
      </c>
      <c r="M110" s="50" t="s">
        <v>175</v>
      </c>
      <c r="N110" s="50"/>
      <c r="O110" s="50"/>
      <c r="P110" s="50"/>
      <c r="Q110" s="50"/>
      <c r="R110" s="50"/>
      <c r="S110" s="50"/>
    </row>
    <row r="111">
      <c r="A111" s="50"/>
      <c r="B111" s="50"/>
      <c r="C111" s="50"/>
      <c r="D111" s="50"/>
      <c r="E111" s="50"/>
      <c r="F111" s="50"/>
      <c r="G111" s="50"/>
      <c r="H111" s="50"/>
      <c r="I111" s="50"/>
      <c r="J111" s="50" t="str">
        <f>IFERROR(__xludf.DUMMYFUNCTION("""COMPUTED_VALUE"""),"")</f>
        <v/>
      </c>
      <c r="K111" s="50" t="str">
        <f>IFERROR(__xludf.DUMMYFUNCTION("""COMPUTED_VALUE"""),"")</f>
        <v/>
      </c>
      <c r="L111" s="50" t="s">
        <v>175</v>
      </c>
      <c r="M111" s="50" t="s">
        <v>175</v>
      </c>
      <c r="N111" s="50"/>
      <c r="O111" s="50"/>
      <c r="P111" s="50"/>
      <c r="Q111" s="50"/>
      <c r="R111" s="50"/>
      <c r="S111" s="50"/>
    </row>
    <row r="112">
      <c r="A112" s="50"/>
      <c r="B112" s="50"/>
      <c r="C112" s="50"/>
      <c r="D112" s="50"/>
      <c r="E112" s="50"/>
      <c r="F112" s="50"/>
      <c r="G112" s="50"/>
      <c r="H112" s="50"/>
      <c r="I112" s="50"/>
      <c r="J112" s="50" t="str">
        <f>IFERROR(__xludf.DUMMYFUNCTION("""COMPUTED_VALUE"""),"")</f>
        <v/>
      </c>
      <c r="K112" s="50" t="str">
        <f>IFERROR(__xludf.DUMMYFUNCTION("""COMPUTED_VALUE"""),"")</f>
        <v/>
      </c>
      <c r="L112" s="50" t="s">
        <v>175</v>
      </c>
      <c r="M112" s="50" t="s">
        <v>175</v>
      </c>
      <c r="N112" s="50"/>
      <c r="O112" s="50"/>
      <c r="P112" s="50"/>
      <c r="Q112" s="50"/>
      <c r="R112" s="50"/>
      <c r="S112" s="50"/>
    </row>
    <row r="113">
      <c r="A113" s="50"/>
      <c r="B113" s="50"/>
      <c r="C113" s="50"/>
      <c r="D113" s="50"/>
      <c r="E113" s="50"/>
      <c r="F113" s="50"/>
      <c r="G113" s="50"/>
      <c r="H113" s="50"/>
      <c r="I113" s="50"/>
      <c r="J113" s="50" t="str">
        <f>IFERROR(__xludf.DUMMYFUNCTION("""COMPUTED_VALUE"""),"")</f>
        <v/>
      </c>
      <c r="K113" s="50" t="str">
        <f>IFERROR(__xludf.DUMMYFUNCTION("""COMPUTED_VALUE"""),"")</f>
        <v/>
      </c>
      <c r="L113" s="50" t="s">
        <v>175</v>
      </c>
      <c r="M113" s="50" t="s">
        <v>175</v>
      </c>
      <c r="N113" s="50"/>
      <c r="O113" s="50"/>
      <c r="P113" s="50"/>
      <c r="Q113" s="50"/>
      <c r="R113" s="50"/>
      <c r="S113" s="50"/>
    </row>
    <row r="114">
      <c r="A114" s="50"/>
      <c r="B114" s="50"/>
      <c r="C114" s="50"/>
      <c r="D114" s="50"/>
      <c r="E114" s="50"/>
      <c r="F114" s="50"/>
      <c r="G114" s="50"/>
      <c r="H114" s="50"/>
      <c r="I114" s="50"/>
      <c r="J114" s="50" t="str">
        <f>IFERROR(__xludf.DUMMYFUNCTION("""COMPUTED_VALUE"""),"")</f>
        <v/>
      </c>
      <c r="K114" s="50" t="str">
        <f>IFERROR(__xludf.DUMMYFUNCTION("""COMPUTED_VALUE"""),"")</f>
        <v/>
      </c>
      <c r="L114" s="50" t="s">
        <v>175</v>
      </c>
      <c r="M114" s="50" t="s">
        <v>175</v>
      </c>
      <c r="N114" s="50"/>
      <c r="O114" s="50"/>
      <c r="P114" s="50"/>
      <c r="Q114" s="50"/>
      <c r="R114" s="50"/>
      <c r="S114" s="50"/>
    </row>
    <row r="115">
      <c r="A115" s="50"/>
      <c r="B115" s="50"/>
      <c r="C115" s="50"/>
      <c r="D115" s="50"/>
      <c r="E115" s="50"/>
      <c r="F115" s="50"/>
      <c r="G115" s="50"/>
      <c r="H115" s="50"/>
      <c r="I115" s="50"/>
      <c r="J115" s="50" t="str">
        <f>IFERROR(__xludf.DUMMYFUNCTION("""COMPUTED_VALUE"""),"")</f>
        <v/>
      </c>
      <c r="K115" s="50" t="str">
        <f>IFERROR(__xludf.DUMMYFUNCTION("""COMPUTED_VALUE"""),"")</f>
        <v/>
      </c>
      <c r="L115" s="50" t="s">
        <v>175</v>
      </c>
      <c r="M115" s="50" t="s">
        <v>175</v>
      </c>
      <c r="N115" s="50"/>
      <c r="O115" s="50"/>
      <c r="P115" s="50"/>
      <c r="Q115" s="50"/>
      <c r="R115" s="50"/>
      <c r="S115" s="50"/>
    </row>
    <row r="116">
      <c r="A116" s="50"/>
      <c r="B116" s="50"/>
      <c r="C116" s="50"/>
      <c r="D116" s="50"/>
      <c r="E116" s="50"/>
      <c r="F116" s="50"/>
      <c r="G116" s="50"/>
      <c r="H116" s="50"/>
      <c r="I116" s="50"/>
      <c r="J116" s="50" t="str">
        <f>IFERROR(__xludf.DUMMYFUNCTION("""COMPUTED_VALUE"""),"")</f>
        <v/>
      </c>
      <c r="K116" s="50" t="str">
        <f>IFERROR(__xludf.DUMMYFUNCTION("""COMPUTED_VALUE"""),"")</f>
        <v/>
      </c>
      <c r="L116" s="50" t="s">
        <v>175</v>
      </c>
      <c r="M116" s="50" t="s">
        <v>175</v>
      </c>
      <c r="N116" s="50"/>
      <c r="O116" s="50"/>
      <c r="P116" s="50"/>
      <c r="Q116" s="50"/>
      <c r="R116" s="50"/>
      <c r="S116" s="50"/>
    </row>
    <row r="117">
      <c r="A117" s="50"/>
      <c r="B117" s="50"/>
      <c r="C117" s="50"/>
      <c r="D117" s="50"/>
      <c r="E117" s="50"/>
      <c r="F117" s="50"/>
      <c r="G117" s="50"/>
      <c r="H117" s="50"/>
      <c r="I117" s="50"/>
      <c r="J117" s="50" t="str">
        <f>IFERROR(__xludf.DUMMYFUNCTION("""COMPUTED_VALUE"""),"")</f>
        <v/>
      </c>
      <c r="K117" s="50" t="str">
        <f>IFERROR(__xludf.DUMMYFUNCTION("""COMPUTED_VALUE"""),"")</f>
        <v/>
      </c>
      <c r="L117" s="50" t="s">
        <v>175</v>
      </c>
      <c r="M117" s="50" t="s">
        <v>175</v>
      </c>
      <c r="N117" s="50"/>
      <c r="O117" s="50"/>
      <c r="P117" s="50"/>
      <c r="Q117" s="50"/>
      <c r="R117" s="50"/>
      <c r="S117" s="50"/>
    </row>
    <row r="118">
      <c r="A118" s="50"/>
      <c r="B118" s="50"/>
      <c r="C118" s="50"/>
      <c r="D118" s="50"/>
      <c r="E118" s="50"/>
      <c r="F118" s="50"/>
      <c r="G118" s="50"/>
      <c r="H118" s="50"/>
      <c r="I118" s="50"/>
      <c r="J118" s="50" t="str">
        <f>IFERROR(__xludf.DUMMYFUNCTION("""COMPUTED_VALUE"""),"")</f>
        <v/>
      </c>
      <c r="K118" s="50" t="str">
        <f>IFERROR(__xludf.DUMMYFUNCTION("""COMPUTED_VALUE"""),"")</f>
        <v/>
      </c>
      <c r="L118" s="50" t="s">
        <v>175</v>
      </c>
      <c r="M118" s="50" t="s">
        <v>175</v>
      </c>
      <c r="N118" s="50"/>
      <c r="O118" s="50"/>
      <c r="P118" s="50"/>
      <c r="Q118" s="50"/>
      <c r="R118" s="50"/>
      <c r="S118" s="50"/>
    </row>
    <row r="119">
      <c r="A119" s="50"/>
      <c r="B119" s="50"/>
      <c r="C119" s="50"/>
      <c r="D119" s="50"/>
      <c r="E119" s="50"/>
      <c r="F119" s="50"/>
      <c r="G119" s="50"/>
      <c r="H119" s="50"/>
      <c r="I119" s="50"/>
      <c r="J119" s="50" t="str">
        <f>IFERROR(__xludf.DUMMYFUNCTION("""COMPUTED_VALUE"""),"")</f>
        <v/>
      </c>
      <c r="K119" s="50" t="str">
        <f>IFERROR(__xludf.DUMMYFUNCTION("""COMPUTED_VALUE"""),"")</f>
        <v/>
      </c>
      <c r="L119" s="50" t="s">
        <v>175</v>
      </c>
      <c r="M119" s="50" t="s">
        <v>175</v>
      </c>
      <c r="N119" s="50"/>
      <c r="O119" s="50"/>
      <c r="P119" s="50"/>
      <c r="Q119" s="50"/>
      <c r="R119" s="50"/>
      <c r="S119" s="50"/>
    </row>
    <row r="120">
      <c r="A120" s="50"/>
      <c r="B120" s="50"/>
      <c r="C120" s="50"/>
      <c r="D120" s="50"/>
      <c r="E120" s="50"/>
      <c r="F120" s="50"/>
      <c r="G120" s="50"/>
      <c r="H120" s="50"/>
      <c r="I120" s="50"/>
      <c r="J120" s="50" t="str">
        <f>IFERROR(__xludf.DUMMYFUNCTION("""COMPUTED_VALUE"""),"")</f>
        <v/>
      </c>
      <c r="K120" s="50" t="str">
        <f>IFERROR(__xludf.DUMMYFUNCTION("""COMPUTED_VALUE"""),"")</f>
        <v/>
      </c>
      <c r="L120" s="50" t="s">
        <v>175</v>
      </c>
      <c r="M120" s="50" t="s">
        <v>175</v>
      </c>
      <c r="N120" s="50"/>
      <c r="O120" s="50"/>
      <c r="P120" s="50"/>
      <c r="Q120" s="50"/>
      <c r="R120" s="50"/>
      <c r="S120" s="50"/>
    </row>
    <row r="121">
      <c r="A121" s="50"/>
      <c r="B121" s="50"/>
      <c r="C121" s="50"/>
      <c r="D121" s="50"/>
      <c r="E121" s="50"/>
      <c r="F121" s="50"/>
      <c r="G121" s="50"/>
      <c r="H121" s="50"/>
      <c r="I121" s="50"/>
      <c r="J121" s="50" t="str">
        <f>IFERROR(__xludf.DUMMYFUNCTION("""COMPUTED_VALUE"""),"")</f>
        <v/>
      </c>
      <c r="K121" s="50" t="str">
        <f>IFERROR(__xludf.DUMMYFUNCTION("""COMPUTED_VALUE"""),"")</f>
        <v/>
      </c>
      <c r="L121" s="50" t="s">
        <v>175</v>
      </c>
      <c r="M121" s="50" t="s">
        <v>175</v>
      </c>
      <c r="N121" s="50"/>
      <c r="O121" s="50"/>
      <c r="P121" s="50"/>
      <c r="Q121" s="50"/>
      <c r="R121" s="50"/>
      <c r="S121" s="50"/>
    </row>
    <row r="122">
      <c r="A122" s="50"/>
      <c r="B122" s="50"/>
      <c r="C122" s="50"/>
      <c r="D122" s="50"/>
      <c r="E122" s="50"/>
      <c r="F122" s="50"/>
      <c r="G122" s="50"/>
      <c r="H122" s="50"/>
      <c r="I122" s="50"/>
      <c r="J122" s="50" t="str">
        <f>IFERROR(__xludf.DUMMYFUNCTION("""COMPUTED_VALUE"""),"")</f>
        <v/>
      </c>
      <c r="K122" s="50" t="str">
        <f>IFERROR(__xludf.DUMMYFUNCTION("""COMPUTED_VALUE"""),"")</f>
        <v/>
      </c>
      <c r="L122" s="50" t="s">
        <v>175</v>
      </c>
      <c r="M122" s="50" t="s">
        <v>175</v>
      </c>
      <c r="N122" s="50"/>
      <c r="O122" s="50"/>
      <c r="P122" s="50"/>
      <c r="Q122" s="50"/>
      <c r="R122" s="50"/>
      <c r="S122" s="50"/>
    </row>
    <row r="123">
      <c r="A123" s="50"/>
      <c r="B123" s="50"/>
      <c r="C123" s="50"/>
      <c r="D123" s="50"/>
      <c r="E123" s="50"/>
      <c r="F123" s="50"/>
      <c r="G123" s="50"/>
      <c r="H123" s="50"/>
      <c r="I123" s="50"/>
      <c r="J123" s="50" t="str">
        <f>IFERROR(__xludf.DUMMYFUNCTION("""COMPUTED_VALUE"""),"")</f>
        <v/>
      </c>
      <c r="K123" s="50" t="str">
        <f>IFERROR(__xludf.DUMMYFUNCTION("""COMPUTED_VALUE"""),"")</f>
        <v/>
      </c>
      <c r="L123" s="50" t="s">
        <v>175</v>
      </c>
      <c r="M123" s="50" t="s">
        <v>175</v>
      </c>
      <c r="N123" s="50"/>
      <c r="O123" s="50"/>
      <c r="P123" s="50"/>
      <c r="Q123" s="50"/>
      <c r="R123" s="50"/>
      <c r="S123" s="50"/>
    </row>
    <row r="124">
      <c r="A124" s="50"/>
      <c r="B124" s="50"/>
      <c r="C124" s="50"/>
      <c r="D124" s="50"/>
      <c r="E124" s="50"/>
      <c r="F124" s="50"/>
      <c r="G124" s="50"/>
      <c r="H124" s="50"/>
      <c r="I124" s="50"/>
      <c r="J124" s="50" t="str">
        <f>IFERROR(__xludf.DUMMYFUNCTION("""COMPUTED_VALUE"""),"")</f>
        <v/>
      </c>
      <c r="K124" s="50" t="str">
        <f>IFERROR(__xludf.DUMMYFUNCTION("""COMPUTED_VALUE"""),"")</f>
        <v/>
      </c>
      <c r="L124" s="50" t="s">
        <v>175</v>
      </c>
      <c r="M124" s="50" t="s">
        <v>175</v>
      </c>
      <c r="N124" s="50"/>
      <c r="O124" s="50"/>
      <c r="P124" s="50"/>
      <c r="Q124" s="50"/>
      <c r="R124" s="50"/>
      <c r="S124" s="50"/>
    </row>
    <row r="125">
      <c r="A125" s="50"/>
      <c r="B125" s="50"/>
      <c r="C125" s="50"/>
      <c r="D125" s="50"/>
      <c r="E125" s="50"/>
      <c r="F125" s="50"/>
      <c r="G125" s="50"/>
      <c r="H125" s="50"/>
      <c r="I125" s="50"/>
      <c r="J125" s="50" t="str">
        <f>IFERROR(__xludf.DUMMYFUNCTION("""COMPUTED_VALUE"""),"")</f>
        <v/>
      </c>
      <c r="K125" s="50" t="str">
        <f>IFERROR(__xludf.DUMMYFUNCTION("""COMPUTED_VALUE"""),"")</f>
        <v/>
      </c>
      <c r="L125" s="50" t="s">
        <v>175</v>
      </c>
      <c r="M125" s="50" t="s">
        <v>175</v>
      </c>
      <c r="N125" s="50"/>
      <c r="O125" s="50"/>
      <c r="P125" s="50"/>
      <c r="Q125" s="50"/>
      <c r="R125" s="50"/>
      <c r="S125" s="50"/>
    </row>
    <row r="126">
      <c r="A126" s="50"/>
      <c r="B126" s="50"/>
      <c r="C126" s="50"/>
      <c r="D126" s="50"/>
      <c r="E126" s="50"/>
      <c r="F126" s="50"/>
      <c r="G126" s="50"/>
      <c r="H126" s="50"/>
      <c r="I126" s="50"/>
      <c r="J126" s="50" t="str">
        <f>IFERROR(__xludf.DUMMYFUNCTION("""COMPUTED_VALUE"""),"")</f>
        <v/>
      </c>
      <c r="K126" s="50" t="str">
        <f>IFERROR(__xludf.DUMMYFUNCTION("""COMPUTED_VALUE"""),"")</f>
        <v/>
      </c>
      <c r="L126" s="50" t="s">
        <v>175</v>
      </c>
      <c r="M126" s="50" t="s">
        <v>175</v>
      </c>
      <c r="N126" s="50"/>
      <c r="O126" s="50"/>
      <c r="P126" s="50"/>
      <c r="Q126" s="50"/>
      <c r="R126" s="50"/>
      <c r="S126" s="50"/>
    </row>
    <row r="127">
      <c r="A127" s="50"/>
      <c r="B127" s="50"/>
      <c r="C127" s="50"/>
      <c r="D127" s="50"/>
      <c r="E127" s="50"/>
      <c r="F127" s="50"/>
      <c r="G127" s="50"/>
      <c r="H127" s="50"/>
      <c r="I127" s="50"/>
      <c r="J127" s="50" t="str">
        <f>IFERROR(__xludf.DUMMYFUNCTION("""COMPUTED_VALUE"""),"")</f>
        <v/>
      </c>
      <c r="K127" s="50" t="str">
        <f>IFERROR(__xludf.DUMMYFUNCTION("""COMPUTED_VALUE"""),"")</f>
        <v/>
      </c>
      <c r="L127" s="50" t="s">
        <v>175</v>
      </c>
      <c r="M127" s="50" t="s">
        <v>175</v>
      </c>
      <c r="N127" s="50"/>
      <c r="O127" s="50"/>
      <c r="P127" s="50"/>
      <c r="Q127" s="50"/>
      <c r="R127" s="50"/>
      <c r="S127" s="50"/>
    </row>
    <row r="128">
      <c r="A128" s="50"/>
      <c r="B128" s="50"/>
      <c r="C128" s="50"/>
      <c r="D128" s="50"/>
      <c r="E128" s="50"/>
      <c r="F128" s="50"/>
      <c r="G128" s="50"/>
      <c r="H128" s="50"/>
      <c r="I128" s="50"/>
      <c r="J128" s="50" t="str">
        <f>IFERROR(__xludf.DUMMYFUNCTION("""COMPUTED_VALUE"""),"")</f>
        <v/>
      </c>
      <c r="K128" s="50" t="str">
        <f>IFERROR(__xludf.DUMMYFUNCTION("""COMPUTED_VALUE"""),"")</f>
        <v/>
      </c>
      <c r="L128" s="50" t="s">
        <v>175</v>
      </c>
      <c r="M128" s="50" t="s">
        <v>175</v>
      </c>
      <c r="N128" s="50"/>
      <c r="O128" s="50"/>
      <c r="P128" s="50"/>
      <c r="Q128" s="50"/>
      <c r="R128" s="50"/>
      <c r="S128" s="50"/>
    </row>
    <row r="129">
      <c r="A129" s="50"/>
      <c r="B129" s="50"/>
      <c r="C129" s="50"/>
      <c r="D129" s="50"/>
      <c r="E129" s="50"/>
      <c r="F129" s="50"/>
      <c r="G129" s="50"/>
      <c r="H129" s="50"/>
      <c r="I129" s="50"/>
      <c r="J129" s="50" t="str">
        <f>IFERROR(__xludf.DUMMYFUNCTION("""COMPUTED_VALUE"""),"")</f>
        <v/>
      </c>
      <c r="K129" s="50" t="str">
        <f>IFERROR(__xludf.DUMMYFUNCTION("""COMPUTED_VALUE"""),"")</f>
        <v/>
      </c>
      <c r="L129" s="50" t="s">
        <v>175</v>
      </c>
      <c r="M129" s="50" t="s">
        <v>175</v>
      </c>
      <c r="N129" s="50"/>
      <c r="O129" s="50"/>
      <c r="P129" s="50"/>
      <c r="Q129" s="50"/>
      <c r="R129" s="50"/>
      <c r="S129" s="50"/>
    </row>
    <row r="130">
      <c r="A130" s="50"/>
      <c r="B130" s="50"/>
      <c r="C130" s="50"/>
      <c r="D130" s="50"/>
      <c r="E130" s="50"/>
      <c r="F130" s="50"/>
      <c r="G130" s="50"/>
      <c r="H130" s="50"/>
      <c r="I130" s="50"/>
      <c r="J130" s="50" t="str">
        <f>IFERROR(__xludf.DUMMYFUNCTION("""COMPUTED_VALUE"""),"")</f>
        <v/>
      </c>
      <c r="K130" s="50" t="str">
        <f>IFERROR(__xludf.DUMMYFUNCTION("""COMPUTED_VALUE"""),"")</f>
        <v/>
      </c>
      <c r="L130" s="50" t="s">
        <v>175</v>
      </c>
      <c r="M130" s="50" t="s">
        <v>175</v>
      </c>
      <c r="N130" s="50"/>
      <c r="O130" s="50"/>
      <c r="P130" s="50"/>
      <c r="Q130" s="50"/>
      <c r="R130" s="50"/>
      <c r="S130" s="50"/>
    </row>
    <row r="131">
      <c r="A131" s="50"/>
      <c r="B131" s="50"/>
      <c r="C131" s="50"/>
      <c r="D131" s="50"/>
      <c r="E131" s="50"/>
      <c r="F131" s="50"/>
      <c r="G131" s="50"/>
      <c r="H131" s="50"/>
      <c r="I131" s="50"/>
      <c r="J131" s="50" t="str">
        <f>IFERROR(__xludf.DUMMYFUNCTION("""COMPUTED_VALUE"""),"")</f>
        <v/>
      </c>
      <c r="K131" s="50" t="str">
        <f>IFERROR(__xludf.DUMMYFUNCTION("""COMPUTED_VALUE"""),"")</f>
        <v/>
      </c>
      <c r="L131" s="50" t="s">
        <v>175</v>
      </c>
      <c r="M131" s="50" t="s">
        <v>175</v>
      </c>
      <c r="N131" s="50"/>
      <c r="O131" s="50"/>
      <c r="P131" s="50"/>
      <c r="Q131" s="50"/>
      <c r="R131" s="50"/>
      <c r="S131" s="50"/>
    </row>
    <row r="132">
      <c r="A132" s="50"/>
      <c r="B132" s="50"/>
      <c r="C132" s="50"/>
      <c r="D132" s="50"/>
      <c r="E132" s="50"/>
      <c r="F132" s="50"/>
      <c r="G132" s="50"/>
      <c r="H132" s="50"/>
      <c r="I132" s="50"/>
      <c r="J132" s="50" t="str">
        <f>IFERROR(__xludf.DUMMYFUNCTION("""COMPUTED_VALUE"""),"")</f>
        <v/>
      </c>
      <c r="K132" s="50" t="str">
        <f>IFERROR(__xludf.DUMMYFUNCTION("""COMPUTED_VALUE"""),"")</f>
        <v/>
      </c>
      <c r="L132" s="50" t="s">
        <v>175</v>
      </c>
      <c r="M132" s="50" t="s">
        <v>175</v>
      </c>
      <c r="N132" s="50"/>
      <c r="O132" s="50"/>
      <c r="P132" s="50"/>
      <c r="Q132" s="50"/>
      <c r="R132" s="50"/>
      <c r="S132" s="50"/>
    </row>
    <row r="133">
      <c r="A133" s="50"/>
      <c r="B133" s="50"/>
      <c r="C133" s="50"/>
      <c r="D133" s="50"/>
      <c r="E133" s="50"/>
      <c r="F133" s="50"/>
      <c r="G133" s="50"/>
      <c r="H133" s="50"/>
      <c r="I133" s="50"/>
      <c r="J133" s="50" t="str">
        <f>IFERROR(__xludf.DUMMYFUNCTION("""COMPUTED_VALUE"""),"")</f>
        <v/>
      </c>
      <c r="K133" s="50" t="str">
        <f>IFERROR(__xludf.DUMMYFUNCTION("""COMPUTED_VALUE"""),"")</f>
        <v/>
      </c>
      <c r="L133" s="50" t="s">
        <v>175</v>
      </c>
      <c r="M133" s="50" t="s">
        <v>175</v>
      </c>
      <c r="N133" s="50"/>
      <c r="O133" s="50"/>
      <c r="P133" s="50"/>
      <c r="Q133" s="50"/>
      <c r="R133" s="50"/>
      <c r="S133" s="50"/>
    </row>
    <row r="134">
      <c r="A134" s="50"/>
      <c r="B134" s="50"/>
      <c r="C134" s="50"/>
      <c r="D134" s="50"/>
      <c r="E134" s="50"/>
      <c r="F134" s="50"/>
      <c r="G134" s="50"/>
      <c r="H134" s="50"/>
      <c r="I134" s="50"/>
      <c r="J134" s="50" t="str">
        <f>IFERROR(__xludf.DUMMYFUNCTION("""COMPUTED_VALUE"""),"")</f>
        <v/>
      </c>
      <c r="K134" s="50" t="str">
        <f>IFERROR(__xludf.DUMMYFUNCTION("""COMPUTED_VALUE"""),"")</f>
        <v/>
      </c>
      <c r="L134" s="50" t="s">
        <v>175</v>
      </c>
      <c r="M134" s="50" t="s">
        <v>175</v>
      </c>
      <c r="N134" s="50"/>
      <c r="O134" s="50"/>
      <c r="P134" s="50"/>
      <c r="Q134" s="50"/>
      <c r="R134" s="50"/>
      <c r="S134" s="50"/>
    </row>
    <row r="135">
      <c r="A135" s="50"/>
      <c r="B135" s="50"/>
      <c r="C135" s="50"/>
      <c r="D135" s="50"/>
      <c r="E135" s="50"/>
      <c r="F135" s="50"/>
      <c r="G135" s="50"/>
      <c r="H135" s="50"/>
      <c r="I135" s="50"/>
      <c r="J135" s="50" t="str">
        <f>IFERROR(__xludf.DUMMYFUNCTION("""COMPUTED_VALUE"""),"")</f>
        <v/>
      </c>
      <c r="K135" s="50" t="str">
        <f>IFERROR(__xludf.DUMMYFUNCTION("""COMPUTED_VALUE"""),"")</f>
        <v/>
      </c>
      <c r="L135" s="50" t="s">
        <v>175</v>
      </c>
      <c r="M135" s="50" t="s">
        <v>175</v>
      </c>
      <c r="N135" s="50"/>
      <c r="O135" s="50"/>
      <c r="P135" s="50"/>
      <c r="Q135" s="50"/>
      <c r="R135" s="50"/>
      <c r="S135" s="50"/>
    </row>
    <row r="136">
      <c r="A136" s="50"/>
      <c r="B136" s="50"/>
      <c r="C136" s="50"/>
      <c r="D136" s="50"/>
      <c r="E136" s="50"/>
      <c r="F136" s="50"/>
      <c r="G136" s="50"/>
      <c r="H136" s="50"/>
      <c r="I136" s="50"/>
      <c r="J136" s="50" t="str">
        <f>IFERROR(__xludf.DUMMYFUNCTION("""COMPUTED_VALUE"""),"")</f>
        <v/>
      </c>
      <c r="K136" s="50" t="str">
        <f>IFERROR(__xludf.DUMMYFUNCTION("""COMPUTED_VALUE"""),"")</f>
        <v/>
      </c>
      <c r="L136" s="50" t="s">
        <v>175</v>
      </c>
      <c r="M136" s="50" t="s">
        <v>175</v>
      </c>
      <c r="N136" s="50"/>
      <c r="O136" s="50"/>
      <c r="P136" s="50"/>
      <c r="Q136" s="50"/>
      <c r="R136" s="50"/>
      <c r="S136" s="50"/>
    </row>
    <row r="137">
      <c r="A137" s="50"/>
      <c r="B137" s="50"/>
      <c r="C137" s="50"/>
      <c r="D137" s="50"/>
      <c r="E137" s="50"/>
      <c r="F137" s="50"/>
      <c r="G137" s="50"/>
      <c r="H137" s="50"/>
      <c r="I137" s="50"/>
      <c r="J137" s="50" t="str">
        <f>IFERROR(__xludf.DUMMYFUNCTION("""COMPUTED_VALUE"""),"")</f>
        <v/>
      </c>
      <c r="K137" s="50" t="str">
        <f>IFERROR(__xludf.DUMMYFUNCTION("""COMPUTED_VALUE"""),"")</f>
        <v/>
      </c>
      <c r="L137" s="50" t="s">
        <v>175</v>
      </c>
      <c r="M137" s="50" t="s">
        <v>175</v>
      </c>
      <c r="N137" s="50"/>
      <c r="O137" s="50"/>
      <c r="P137" s="50"/>
      <c r="Q137" s="50"/>
      <c r="R137" s="50"/>
      <c r="S137" s="50"/>
    </row>
    <row r="138">
      <c r="A138" s="50"/>
      <c r="B138" s="50"/>
      <c r="C138" s="50"/>
      <c r="D138" s="50"/>
      <c r="E138" s="50"/>
      <c r="F138" s="50"/>
      <c r="G138" s="50"/>
      <c r="H138" s="50"/>
      <c r="I138" s="50"/>
      <c r="J138" s="50" t="str">
        <f>IFERROR(__xludf.DUMMYFUNCTION("""COMPUTED_VALUE"""),"")</f>
        <v/>
      </c>
      <c r="K138" s="50" t="str">
        <f>IFERROR(__xludf.DUMMYFUNCTION("""COMPUTED_VALUE"""),"")</f>
        <v/>
      </c>
      <c r="L138" s="50" t="s">
        <v>175</v>
      </c>
      <c r="M138" s="50" t="s">
        <v>175</v>
      </c>
      <c r="N138" s="50"/>
      <c r="O138" s="50"/>
      <c r="P138" s="50"/>
      <c r="Q138" s="50"/>
      <c r="R138" s="50"/>
      <c r="S138" s="50"/>
    </row>
    <row r="139">
      <c r="A139" s="50"/>
      <c r="B139" s="50"/>
      <c r="C139" s="50"/>
      <c r="D139" s="50"/>
      <c r="E139" s="50"/>
      <c r="F139" s="50"/>
      <c r="G139" s="50"/>
      <c r="H139" s="50"/>
      <c r="I139" s="50"/>
      <c r="J139" s="50" t="str">
        <f>IFERROR(__xludf.DUMMYFUNCTION("""COMPUTED_VALUE"""),"")</f>
        <v/>
      </c>
      <c r="K139" s="50" t="str">
        <f>IFERROR(__xludf.DUMMYFUNCTION("""COMPUTED_VALUE"""),"")</f>
        <v/>
      </c>
      <c r="L139" s="50" t="s">
        <v>175</v>
      </c>
      <c r="M139" s="50" t="s">
        <v>175</v>
      </c>
      <c r="N139" s="50"/>
      <c r="O139" s="50"/>
      <c r="P139" s="50"/>
      <c r="Q139" s="50"/>
      <c r="R139" s="50"/>
      <c r="S139" s="50"/>
    </row>
    <row r="140">
      <c r="A140" s="50"/>
      <c r="B140" s="50"/>
      <c r="C140" s="50"/>
      <c r="D140" s="50"/>
      <c r="E140" s="50"/>
      <c r="F140" s="50"/>
      <c r="G140" s="50"/>
      <c r="H140" s="50"/>
      <c r="I140" s="50"/>
      <c r="J140" s="50" t="str">
        <f>IFERROR(__xludf.DUMMYFUNCTION("""COMPUTED_VALUE"""),"")</f>
        <v/>
      </c>
      <c r="K140" s="50" t="str">
        <f>IFERROR(__xludf.DUMMYFUNCTION("""COMPUTED_VALUE"""),"")</f>
        <v/>
      </c>
      <c r="L140" s="50" t="s">
        <v>175</v>
      </c>
      <c r="M140" s="50" t="s">
        <v>175</v>
      </c>
      <c r="N140" s="50"/>
      <c r="O140" s="50"/>
      <c r="P140" s="50"/>
      <c r="Q140" s="50"/>
      <c r="R140" s="50"/>
      <c r="S140" s="50"/>
    </row>
    <row r="141">
      <c r="A141" s="50"/>
      <c r="B141" s="50"/>
      <c r="C141" s="50"/>
      <c r="D141" s="50"/>
      <c r="E141" s="50"/>
      <c r="F141" s="50"/>
      <c r="G141" s="50"/>
      <c r="H141" s="50"/>
      <c r="I141" s="50"/>
      <c r="J141" s="50" t="str">
        <f>IFERROR(__xludf.DUMMYFUNCTION("""COMPUTED_VALUE"""),"")</f>
        <v/>
      </c>
      <c r="K141" s="50" t="str">
        <f>IFERROR(__xludf.DUMMYFUNCTION("""COMPUTED_VALUE"""),"")</f>
        <v/>
      </c>
      <c r="L141" s="50" t="s">
        <v>175</v>
      </c>
      <c r="M141" s="50" t="s">
        <v>175</v>
      </c>
      <c r="N141" s="50"/>
      <c r="O141" s="50"/>
      <c r="P141" s="50"/>
      <c r="Q141" s="50"/>
      <c r="R141" s="50"/>
      <c r="S141" s="50"/>
    </row>
    <row r="142">
      <c r="A142" s="50"/>
      <c r="B142" s="50"/>
      <c r="C142" s="50"/>
      <c r="D142" s="50"/>
      <c r="E142" s="50"/>
      <c r="F142" s="50"/>
      <c r="G142" s="50"/>
      <c r="H142" s="50"/>
      <c r="I142" s="50"/>
      <c r="J142" s="50" t="str">
        <f>IFERROR(__xludf.DUMMYFUNCTION("""COMPUTED_VALUE"""),"")</f>
        <v/>
      </c>
      <c r="K142" s="50" t="str">
        <f>IFERROR(__xludf.DUMMYFUNCTION("""COMPUTED_VALUE"""),"")</f>
        <v/>
      </c>
      <c r="L142" s="50" t="s">
        <v>175</v>
      </c>
      <c r="M142" s="50" t="s">
        <v>175</v>
      </c>
      <c r="N142" s="50"/>
      <c r="O142" s="50"/>
      <c r="P142" s="50"/>
      <c r="Q142" s="50"/>
      <c r="R142" s="50"/>
      <c r="S142" s="50"/>
    </row>
    <row r="143">
      <c r="A143" s="50"/>
      <c r="B143" s="50"/>
      <c r="C143" s="50"/>
      <c r="D143" s="50"/>
      <c r="E143" s="50"/>
      <c r="F143" s="50"/>
      <c r="G143" s="50"/>
      <c r="H143" s="50"/>
      <c r="I143" s="50"/>
      <c r="J143" s="50" t="str">
        <f>IFERROR(__xludf.DUMMYFUNCTION("""COMPUTED_VALUE"""),"")</f>
        <v/>
      </c>
      <c r="K143" s="50" t="str">
        <f>IFERROR(__xludf.DUMMYFUNCTION("""COMPUTED_VALUE"""),"")</f>
        <v/>
      </c>
      <c r="L143" s="50" t="s">
        <v>175</v>
      </c>
      <c r="M143" s="50" t="s">
        <v>175</v>
      </c>
      <c r="N143" s="50"/>
      <c r="O143" s="50"/>
      <c r="P143" s="50"/>
      <c r="Q143" s="50"/>
      <c r="R143" s="50"/>
      <c r="S143" s="50"/>
    </row>
    <row r="144">
      <c r="A144" s="50"/>
      <c r="B144" s="50"/>
      <c r="C144" s="50"/>
      <c r="D144" s="50"/>
      <c r="E144" s="50"/>
      <c r="F144" s="50"/>
      <c r="G144" s="50"/>
      <c r="H144" s="50"/>
      <c r="I144" s="50"/>
      <c r="J144" s="50" t="str">
        <f>IFERROR(__xludf.DUMMYFUNCTION("""COMPUTED_VALUE"""),"")</f>
        <v/>
      </c>
      <c r="K144" s="50" t="str">
        <f>IFERROR(__xludf.DUMMYFUNCTION("""COMPUTED_VALUE"""),"")</f>
        <v/>
      </c>
      <c r="L144" s="50" t="s">
        <v>175</v>
      </c>
      <c r="M144" s="50" t="s">
        <v>175</v>
      </c>
      <c r="N144" s="50"/>
      <c r="O144" s="50"/>
      <c r="P144" s="50"/>
      <c r="Q144" s="50"/>
      <c r="R144" s="50"/>
      <c r="S144" s="50"/>
    </row>
    <row r="145">
      <c r="A145" s="50"/>
      <c r="B145" s="50"/>
      <c r="C145" s="50"/>
      <c r="D145" s="50"/>
      <c r="E145" s="50"/>
      <c r="F145" s="50"/>
      <c r="G145" s="50"/>
      <c r="H145" s="50"/>
      <c r="I145" s="50"/>
      <c r="J145" s="50" t="str">
        <f>IFERROR(__xludf.DUMMYFUNCTION("""COMPUTED_VALUE"""),"")</f>
        <v/>
      </c>
      <c r="K145" s="50" t="str">
        <f>IFERROR(__xludf.DUMMYFUNCTION("""COMPUTED_VALUE"""),"")</f>
        <v/>
      </c>
      <c r="L145" s="50" t="s">
        <v>175</v>
      </c>
      <c r="M145" s="50" t="s">
        <v>175</v>
      </c>
      <c r="N145" s="50"/>
      <c r="O145" s="50"/>
      <c r="P145" s="50"/>
      <c r="Q145" s="50"/>
      <c r="R145" s="50"/>
      <c r="S145" s="50"/>
    </row>
    <row r="146">
      <c r="A146" s="50"/>
      <c r="B146" s="50"/>
      <c r="C146" s="50"/>
      <c r="D146" s="50"/>
      <c r="E146" s="50"/>
      <c r="F146" s="50"/>
      <c r="G146" s="50"/>
      <c r="H146" s="50"/>
      <c r="I146" s="50"/>
      <c r="J146" s="50" t="str">
        <f>IFERROR(__xludf.DUMMYFUNCTION("""COMPUTED_VALUE"""),"")</f>
        <v/>
      </c>
      <c r="K146" s="50" t="str">
        <f>IFERROR(__xludf.DUMMYFUNCTION("""COMPUTED_VALUE"""),"")</f>
        <v/>
      </c>
      <c r="L146" s="50" t="s">
        <v>175</v>
      </c>
      <c r="M146" s="50" t="s">
        <v>175</v>
      </c>
      <c r="N146" s="50"/>
      <c r="O146" s="50"/>
      <c r="P146" s="50"/>
      <c r="Q146" s="50"/>
      <c r="R146" s="50"/>
      <c r="S146" s="50"/>
    </row>
    <row r="147">
      <c r="A147" s="50"/>
      <c r="B147" s="50"/>
      <c r="C147" s="50"/>
      <c r="D147" s="50"/>
      <c r="E147" s="50"/>
      <c r="F147" s="50"/>
      <c r="G147" s="50"/>
      <c r="H147" s="50"/>
      <c r="I147" s="50"/>
      <c r="J147" s="50" t="str">
        <f>IFERROR(__xludf.DUMMYFUNCTION("""COMPUTED_VALUE"""),"")</f>
        <v/>
      </c>
      <c r="K147" s="50" t="str">
        <f>IFERROR(__xludf.DUMMYFUNCTION("""COMPUTED_VALUE"""),"")</f>
        <v/>
      </c>
      <c r="L147" s="50" t="s">
        <v>175</v>
      </c>
      <c r="M147" s="50" t="s">
        <v>175</v>
      </c>
      <c r="N147" s="50"/>
      <c r="O147" s="50"/>
      <c r="P147" s="50"/>
      <c r="Q147" s="50"/>
      <c r="R147" s="50"/>
      <c r="S147" s="50"/>
    </row>
    <row r="148">
      <c r="A148" s="50"/>
      <c r="B148" s="50"/>
      <c r="C148" s="50"/>
      <c r="D148" s="50"/>
      <c r="E148" s="50"/>
      <c r="F148" s="50"/>
      <c r="G148" s="50"/>
      <c r="H148" s="50"/>
      <c r="I148" s="50"/>
      <c r="J148" s="50" t="str">
        <f>IFERROR(__xludf.DUMMYFUNCTION("""COMPUTED_VALUE"""),"")</f>
        <v/>
      </c>
      <c r="K148" s="50" t="str">
        <f>IFERROR(__xludf.DUMMYFUNCTION("""COMPUTED_VALUE"""),"")</f>
        <v/>
      </c>
      <c r="L148" s="50" t="s">
        <v>175</v>
      </c>
      <c r="M148" s="50" t="s">
        <v>175</v>
      </c>
      <c r="N148" s="50"/>
      <c r="O148" s="50"/>
      <c r="P148" s="50"/>
      <c r="Q148" s="50"/>
      <c r="R148" s="50"/>
      <c r="S148" s="50"/>
    </row>
    <row r="149">
      <c r="A149" s="50"/>
      <c r="B149" s="50"/>
      <c r="C149" s="50"/>
      <c r="D149" s="50"/>
      <c r="E149" s="50"/>
      <c r="F149" s="50"/>
      <c r="G149" s="50"/>
      <c r="H149" s="50"/>
      <c r="I149" s="50"/>
      <c r="J149" s="50" t="str">
        <f>IFERROR(__xludf.DUMMYFUNCTION("""COMPUTED_VALUE"""),"")</f>
        <v/>
      </c>
      <c r="K149" s="50" t="str">
        <f>IFERROR(__xludf.DUMMYFUNCTION("""COMPUTED_VALUE"""),"")</f>
        <v/>
      </c>
      <c r="L149" s="50" t="s">
        <v>175</v>
      </c>
      <c r="M149" s="50" t="s">
        <v>175</v>
      </c>
      <c r="N149" s="50"/>
      <c r="O149" s="50"/>
      <c r="P149" s="50"/>
      <c r="Q149" s="50"/>
      <c r="R149" s="50"/>
      <c r="S149" s="50"/>
    </row>
    <row r="150">
      <c r="A150" s="50"/>
      <c r="B150" s="50"/>
      <c r="C150" s="50"/>
      <c r="D150" s="50"/>
      <c r="E150" s="50"/>
      <c r="F150" s="50"/>
      <c r="G150" s="50"/>
      <c r="H150" s="50"/>
      <c r="I150" s="50"/>
      <c r="J150" s="50" t="str">
        <f>IFERROR(__xludf.DUMMYFUNCTION("""COMPUTED_VALUE"""),"")</f>
        <v/>
      </c>
      <c r="K150" s="50" t="str">
        <f>IFERROR(__xludf.DUMMYFUNCTION("""COMPUTED_VALUE"""),"")</f>
        <v/>
      </c>
      <c r="L150" s="50" t="s">
        <v>175</v>
      </c>
      <c r="M150" s="50" t="s">
        <v>175</v>
      </c>
      <c r="N150" s="50"/>
      <c r="O150" s="50"/>
      <c r="P150" s="50"/>
      <c r="Q150" s="50"/>
      <c r="R150" s="50"/>
      <c r="S150" s="50"/>
    </row>
    <row r="151">
      <c r="A151" s="50"/>
      <c r="B151" s="50"/>
      <c r="C151" s="50"/>
      <c r="D151" s="50"/>
      <c r="E151" s="50"/>
      <c r="F151" s="50"/>
      <c r="G151" s="50"/>
      <c r="H151" s="50"/>
      <c r="I151" s="50"/>
      <c r="J151" s="50" t="str">
        <f>IFERROR(__xludf.DUMMYFUNCTION("""COMPUTED_VALUE"""),"")</f>
        <v/>
      </c>
      <c r="K151" s="50" t="str">
        <f>IFERROR(__xludf.DUMMYFUNCTION("""COMPUTED_VALUE"""),"")</f>
        <v/>
      </c>
      <c r="L151" s="50" t="s">
        <v>175</v>
      </c>
      <c r="M151" s="50" t="s">
        <v>175</v>
      </c>
      <c r="N151" s="50"/>
      <c r="O151" s="50"/>
      <c r="P151" s="50"/>
      <c r="Q151" s="50"/>
      <c r="R151" s="50"/>
      <c r="S151" s="50"/>
    </row>
    <row r="152">
      <c r="A152" s="50"/>
      <c r="B152" s="50"/>
      <c r="C152" s="50"/>
      <c r="D152" s="50"/>
      <c r="E152" s="50"/>
      <c r="F152" s="50"/>
      <c r="G152" s="50"/>
      <c r="H152" s="50"/>
      <c r="I152" s="50"/>
      <c r="J152" s="50" t="str">
        <f>IFERROR(__xludf.DUMMYFUNCTION("""COMPUTED_VALUE"""),"")</f>
        <v/>
      </c>
      <c r="K152" s="50" t="str">
        <f>IFERROR(__xludf.DUMMYFUNCTION("""COMPUTED_VALUE"""),"")</f>
        <v/>
      </c>
      <c r="L152" s="50" t="s">
        <v>175</v>
      </c>
      <c r="M152" s="50" t="s">
        <v>175</v>
      </c>
      <c r="N152" s="50"/>
      <c r="O152" s="50"/>
      <c r="P152" s="50"/>
      <c r="Q152" s="50"/>
      <c r="R152" s="50"/>
      <c r="S152" s="50"/>
    </row>
    <row r="153">
      <c r="A153" s="50"/>
      <c r="B153" s="50"/>
      <c r="C153" s="50"/>
      <c r="D153" s="50"/>
      <c r="E153" s="50"/>
      <c r="F153" s="50"/>
      <c r="G153" s="50"/>
      <c r="H153" s="50"/>
      <c r="I153" s="50"/>
      <c r="J153" s="50" t="str">
        <f>IFERROR(__xludf.DUMMYFUNCTION("""COMPUTED_VALUE"""),"")</f>
        <v/>
      </c>
      <c r="K153" s="50" t="str">
        <f>IFERROR(__xludf.DUMMYFUNCTION("""COMPUTED_VALUE"""),"")</f>
        <v/>
      </c>
      <c r="L153" s="50" t="s">
        <v>175</v>
      </c>
      <c r="M153" s="50" t="s">
        <v>175</v>
      </c>
      <c r="N153" s="50"/>
      <c r="O153" s="50"/>
      <c r="P153" s="50"/>
      <c r="Q153" s="50"/>
      <c r="R153" s="50"/>
      <c r="S153" s="50"/>
    </row>
    <row r="154">
      <c r="A154" s="50"/>
      <c r="B154" s="50"/>
      <c r="C154" s="50"/>
      <c r="D154" s="50"/>
      <c r="E154" s="50"/>
      <c r="F154" s="50"/>
      <c r="G154" s="50"/>
      <c r="H154" s="50"/>
      <c r="I154" s="50"/>
      <c r="J154" s="50" t="str">
        <f>IFERROR(__xludf.DUMMYFUNCTION("""COMPUTED_VALUE"""),"")</f>
        <v/>
      </c>
      <c r="K154" s="50" t="str">
        <f>IFERROR(__xludf.DUMMYFUNCTION("""COMPUTED_VALUE"""),"")</f>
        <v/>
      </c>
      <c r="L154" s="50" t="s">
        <v>175</v>
      </c>
      <c r="M154" s="50" t="s">
        <v>175</v>
      </c>
      <c r="N154" s="50"/>
      <c r="O154" s="50"/>
      <c r="P154" s="50"/>
      <c r="Q154" s="50"/>
      <c r="R154" s="50"/>
      <c r="S154" s="50"/>
    </row>
    <row r="155">
      <c r="A155" s="50"/>
      <c r="B155" s="50"/>
      <c r="C155" s="50"/>
      <c r="D155" s="50"/>
      <c r="E155" s="50"/>
      <c r="F155" s="50"/>
      <c r="G155" s="50"/>
      <c r="H155" s="50"/>
      <c r="I155" s="50"/>
      <c r="J155" s="50" t="str">
        <f>IFERROR(__xludf.DUMMYFUNCTION("""COMPUTED_VALUE"""),"")</f>
        <v/>
      </c>
      <c r="K155" s="50" t="str">
        <f>IFERROR(__xludf.DUMMYFUNCTION("""COMPUTED_VALUE"""),"")</f>
        <v/>
      </c>
      <c r="L155" s="50" t="s">
        <v>175</v>
      </c>
      <c r="M155" s="50" t="s">
        <v>175</v>
      </c>
      <c r="N155" s="50"/>
      <c r="O155" s="50"/>
      <c r="P155" s="50"/>
      <c r="Q155" s="50"/>
      <c r="R155" s="50"/>
      <c r="S155" s="50"/>
    </row>
    <row r="156">
      <c r="A156" s="50"/>
      <c r="B156" s="50"/>
      <c r="C156" s="50"/>
      <c r="D156" s="50"/>
      <c r="E156" s="50"/>
      <c r="F156" s="50"/>
      <c r="G156" s="50"/>
      <c r="H156" s="50"/>
      <c r="I156" s="50"/>
      <c r="J156" s="50" t="str">
        <f>IFERROR(__xludf.DUMMYFUNCTION("""COMPUTED_VALUE"""),"")</f>
        <v/>
      </c>
      <c r="K156" s="50" t="str">
        <f>IFERROR(__xludf.DUMMYFUNCTION("""COMPUTED_VALUE"""),"")</f>
        <v/>
      </c>
      <c r="L156" s="50" t="s">
        <v>175</v>
      </c>
      <c r="M156" s="50" t="s">
        <v>175</v>
      </c>
      <c r="N156" s="50"/>
      <c r="O156" s="50"/>
      <c r="P156" s="50"/>
      <c r="Q156" s="50"/>
      <c r="R156" s="50"/>
      <c r="S156" s="50"/>
    </row>
    <row r="157">
      <c r="A157" s="50"/>
      <c r="B157" s="50"/>
      <c r="C157" s="50"/>
      <c r="D157" s="50"/>
      <c r="E157" s="50"/>
      <c r="F157" s="50"/>
      <c r="G157" s="50"/>
      <c r="H157" s="50"/>
      <c r="I157" s="50"/>
      <c r="J157" s="50" t="str">
        <f>IFERROR(__xludf.DUMMYFUNCTION("""COMPUTED_VALUE"""),"")</f>
        <v/>
      </c>
      <c r="K157" s="50" t="str">
        <f>IFERROR(__xludf.DUMMYFUNCTION("""COMPUTED_VALUE"""),"")</f>
        <v/>
      </c>
      <c r="L157" s="50" t="s">
        <v>175</v>
      </c>
      <c r="M157" s="50" t="s">
        <v>175</v>
      </c>
      <c r="N157" s="50"/>
      <c r="O157" s="50"/>
      <c r="P157" s="50"/>
      <c r="Q157" s="50"/>
      <c r="R157" s="50"/>
      <c r="S157" s="50"/>
    </row>
    <row r="158">
      <c r="A158" s="50"/>
      <c r="B158" s="50"/>
      <c r="C158" s="50"/>
      <c r="D158" s="50"/>
      <c r="E158" s="50"/>
      <c r="F158" s="50"/>
      <c r="G158" s="50"/>
      <c r="H158" s="50"/>
      <c r="I158" s="50"/>
      <c r="J158" s="50" t="str">
        <f>IFERROR(__xludf.DUMMYFUNCTION("""COMPUTED_VALUE"""),"")</f>
        <v/>
      </c>
      <c r="K158" s="50" t="str">
        <f>IFERROR(__xludf.DUMMYFUNCTION("""COMPUTED_VALUE"""),"")</f>
        <v/>
      </c>
      <c r="L158" s="50" t="s">
        <v>175</v>
      </c>
      <c r="M158" s="50" t="s">
        <v>175</v>
      </c>
      <c r="N158" s="50"/>
      <c r="O158" s="50"/>
      <c r="P158" s="50"/>
      <c r="Q158" s="50"/>
      <c r="R158" s="50"/>
      <c r="S158" s="50"/>
    </row>
    <row r="159">
      <c r="A159" s="50"/>
      <c r="B159" s="50"/>
      <c r="C159" s="50"/>
      <c r="D159" s="50"/>
      <c r="E159" s="50"/>
      <c r="F159" s="50"/>
      <c r="G159" s="50"/>
      <c r="H159" s="50"/>
      <c r="I159" s="50"/>
      <c r="J159" s="50" t="str">
        <f>IFERROR(__xludf.DUMMYFUNCTION("""COMPUTED_VALUE"""),"")</f>
        <v/>
      </c>
      <c r="K159" s="50" t="str">
        <f>IFERROR(__xludf.DUMMYFUNCTION("""COMPUTED_VALUE"""),"")</f>
        <v/>
      </c>
      <c r="L159" s="50" t="s">
        <v>175</v>
      </c>
      <c r="M159" s="50" t="s">
        <v>175</v>
      </c>
      <c r="N159" s="50"/>
      <c r="O159" s="50"/>
      <c r="P159" s="50"/>
      <c r="Q159" s="50"/>
      <c r="R159" s="50"/>
      <c r="S159" s="50"/>
    </row>
    <row r="160">
      <c r="A160" s="50"/>
      <c r="B160" s="50"/>
      <c r="C160" s="50"/>
      <c r="D160" s="50"/>
      <c r="E160" s="50"/>
      <c r="F160" s="50"/>
      <c r="G160" s="50"/>
      <c r="H160" s="50"/>
      <c r="I160" s="50"/>
      <c r="J160" s="50" t="str">
        <f>IFERROR(__xludf.DUMMYFUNCTION("""COMPUTED_VALUE"""),"")</f>
        <v/>
      </c>
      <c r="K160" s="50" t="str">
        <f>IFERROR(__xludf.DUMMYFUNCTION("""COMPUTED_VALUE"""),"")</f>
        <v/>
      </c>
      <c r="L160" s="50" t="s">
        <v>175</v>
      </c>
      <c r="M160" s="50" t="s">
        <v>175</v>
      </c>
      <c r="N160" s="50"/>
      <c r="O160" s="50"/>
      <c r="P160" s="50"/>
      <c r="Q160" s="50"/>
      <c r="R160" s="50"/>
      <c r="S160" s="50"/>
    </row>
    <row r="161">
      <c r="A161" s="50"/>
      <c r="B161" s="50"/>
      <c r="C161" s="50"/>
      <c r="D161" s="50"/>
      <c r="E161" s="50"/>
      <c r="F161" s="50"/>
      <c r="G161" s="50"/>
      <c r="H161" s="50"/>
      <c r="I161" s="50"/>
      <c r="J161" s="50" t="str">
        <f>IFERROR(__xludf.DUMMYFUNCTION("""COMPUTED_VALUE"""),"")</f>
        <v/>
      </c>
      <c r="K161" s="50" t="str">
        <f>IFERROR(__xludf.DUMMYFUNCTION("""COMPUTED_VALUE"""),"")</f>
        <v/>
      </c>
      <c r="L161" s="50" t="s">
        <v>175</v>
      </c>
      <c r="M161" s="50" t="s">
        <v>175</v>
      </c>
      <c r="N161" s="50"/>
      <c r="O161" s="50"/>
      <c r="P161" s="50"/>
      <c r="Q161" s="50"/>
      <c r="R161" s="50"/>
      <c r="S161" s="50"/>
    </row>
    <row r="162">
      <c r="A162" s="50"/>
      <c r="B162" s="50"/>
      <c r="C162" s="50"/>
      <c r="D162" s="50"/>
      <c r="E162" s="50"/>
      <c r="F162" s="50"/>
      <c r="G162" s="50"/>
      <c r="H162" s="50"/>
      <c r="I162" s="50"/>
      <c r="J162" s="50" t="str">
        <f>IFERROR(__xludf.DUMMYFUNCTION("""COMPUTED_VALUE"""),"")</f>
        <v/>
      </c>
      <c r="K162" s="50" t="str">
        <f>IFERROR(__xludf.DUMMYFUNCTION("""COMPUTED_VALUE"""),"")</f>
        <v/>
      </c>
      <c r="L162" s="50" t="s">
        <v>175</v>
      </c>
      <c r="M162" s="50" t="s">
        <v>175</v>
      </c>
      <c r="N162" s="50"/>
      <c r="O162" s="50"/>
      <c r="P162" s="50"/>
      <c r="Q162" s="50"/>
      <c r="R162" s="50"/>
      <c r="S162" s="50"/>
    </row>
    <row r="163">
      <c r="A163" s="50"/>
      <c r="B163" s="50"/>
      <c r="C163" s="50"/>
      <c r="D163" s="50"/>
      <c r="E163" s="50"/>
      <c r="F163" s="50"/>
      <c r="G163" s="50"/>
      <c r="H163" s="50"/>
      <c r="I163" s="50"/>
      <c r="J163" s="50" t="str">
        <f>IFERROR(__xludf.DUMMYFUNCTION("""COMPUTED_VALUE"""),"")</f>
        <v/>
      </c>
      <c r="K163" s="50" t="str">
        <f>IFERROR(__xludf.DUMMYFUNCTION("""COMPUTED_VALUE"""),"")</f>
        <v/>
      </c>
      <c r="L163" s="50" t="s">
        <v>175</v>
      </c>
      <c r="M163" s="50" t="s">
        <v>175</v>
      </c>
      <c r="N163" s="50"/>
      <c r="O163" s="50"/>
      <c r="P163" s="50"/>
      <c r="Q163" s="50"/>
      <c r="R163" s="50"/>
      <c r="S163" s="50"/>
    </row>
    <row r="164">
      <c r="A164" s="50"/>
      <c r="B164" s="50"/>
      <c r="C164" s="50"/>
      <c r="D164" s="50"/>
      <c r="E164" s="50"/>
      <c r="F164" s="50"/>
      <c r="G164" s="50"/>
      <c r="H164" s="50"/>
      <c r="I164" s="50"/>
      <c r="J164" s="50" t="str">
        <f>IFERROR(__xludf.DUMMYFUNCTION("""COMPUTED_VALUE"""),"")</f>
        <v/>
      </c>
      <c r="K164" s="50" t="str">
        <f>IFERROR(__xludf.DUMMYFUNCTION("""COMPUTED_VALUE"""),"")</f>
        <v/>
      </c>
      <c r="L164" s="50" t="s">
        <v>175</v>
      </c>
      <c r="M164" s="50" t="s">
        <v>175</v>
      </c>
      <c r="N164" s="50"/>
      <c r="O164" s="50"/>
      <c r="P164" s="50"/>
      <c r="Q164" s="50"/>
      <c r="R164" s="50"/>
      <c r="S164" s="50"/>
    </row>
    <row r="165">
      <c r="A165" s="50"/>
      <c r="B165" s="50"/>
      <c r="C165" s="50"/>
      <c r="D165" s="50"/>
      <c r="E165" s="50"/>
      <c r="F165" s="50"/>
      <c r="G165" s="50"/>
      <c r="H165" s="50"/>
      <c r="I165" s="50"/>
      <c r="J165" s="50" t="str">
        <f>IFERROR(__xludf.DUMMYFUNCTION("""COMPUTED_VALUE"""),"")</f>
        <v/>
      </c>
      <c r="K165" s="50" t="str">
        <f>IFERROR(__xludf.DUMMYFUNCTION("""COMPUTED_VALUE"""),"")</f>
        <v/>
      </c>
      <c r="L165" s="50" t="s">
        <v>175</v>
      </c>
      <c r="M165" s="50" t="s">
        <v>175</v>
      </c>
      <c r="N165" s="50"/>
      <c r="O165" s="50"/>
      <c r="P165" s="50"/>
      <c r="Q165" s="50"/>
      <c r="R165" s="50"/>
      <c r="S165" s="50"/>
    </row>
    <row r="166">
      <c r="A166" s="50"/>
      <c r="B166" s="50"/>
      <c r="C166" s="50"/>
      <c r="D166" s="50"/>
      <c r="E166" s="50"/>
      <c r="F166" s="50"/>
      <c r="G166" s="50"/>
      <c r="H166" s="50"/>
      <c r="I166" s="50"/>
      <c r="J166" s="50" t="str">
        <f>IFERROR(__xludf.DUMMYFUNCTION("""COMPUTED_VALUE"""),"")</f>
        <v/>
      </c>
      <c r="K166" s="50" t="str">
        <f>IFERROR(__xludf.DUMMYFUNCTION("""COMPUTED_VALUE"""),"")</f>
        <v/>
      </c>
      <c r="L166" s="50" t="s">
        <v>175</v>
      </c>
      <c r="M166" s="50" t="s">
        <v>175</v>
      </c>
      <c r="N166" s="50"/>
      <c r="O166" s="50"/>
      <c r="P166" s="50"/>
      <c r="Q166" s="50"/>
      <c r="R166" s="50"/>
      <c r="S166" s="50"/>
    </row>
    <row r="167">
      <c r="A167" s="50"/>
      <c r="B167" s="50"/>
      <c r="C167" s="50"/>
      <c r="D167" s="50"/>
      <c r="E167" s="50"/>
      <c r="F167" s="50"/>
      <c r="G167" s="50"/>
      <c r="H167" s="50"/>
      <c r="I167" s="50"/>
      <c r="J167" s="50" t="str">
        <f>IFERROR(__xludf.DUMMYFUNCTION("""COMPUTED_VALUE"""),"")</f>
        <v/>
      </c>
      <c r="K167" s="50" t="str">
        <f>IFERROR(__xludf.DUMMYFUNCTION("""COMPUTED_VALUE"""),"")</f>
        <v/>
      </c>
      <c r="L167" s="50" t="s">
        <v>175</v>
      </c>
      <c r="M167" s="50" t="s">
        <v>175</v>
      </c>
      <c r="N167" s="50"/>
      <c r="O167" s="50"/>
      <c r="P167" s="50"/>
      <c r="Q167" s="50"/>
      <c r="R167" s="50"/>
      <c r="S167" s="50"/>
    </row>
    <row r="168">
      <c r="A168" s="50"/>
      <c r="B168" s="50"/>
      <c r="C168" s="50"/>
      <c r="D168" s="50"/>
      <c r="E168" s="50"/>
      <c r="F168" s="50"/>
      <c r="G168" s="50"/>
      <c r="H168" s="50"/>
      <c r="I168" s="50"/>
      <c r="J168" s="50" t="str">
        <f>IFERROR(__xludf.DUMMYFUNCTION("""COMPUTED_VALUE"""),"")</f>
        <v/>
      </c>
      <c r="K168" s="50" t="str">
        <f>IFERROR(__xludf.DUMMYFUNCTION("""COMPUTED_VALUE"""),"")</f>
        <v/>
      </c>
      <c r="L168" s="50" t="s">
        <v>175</v>
      </c>
      <c r="M168" s="50" t="s">
        <v>175</v>
      </c>
      <c r="N168" s="50"/>
      <c r="O168" s="50"/>
      <c r="P168" s="50"/>
      <c r="Q168" s="50"/>
      <c r="R168" s="50"/>
      <c r="S168" s="50"/>
    </row>
    <row r="169">
      <c r="A169" s="50"/>
      <c r="B169" s="50"/>
      <c r="C169" s="50"/>
      <c r="D169" s="50"/>
      <c r="E169" s="50"/>
      <c r="F169" s="50"/>
      <c r="G169" s="50"/>
      <c r="H169" s="50"/>
      <c r="I169" s="50"/>
      <c r="J169" s="50" t="str">
        <f>IFERROR(__xludf.DUMMYFUNCTION("""COMPUTED_VALUE"""),"")</f>
        <v/>
      </c>
      <c r="K169" s="50" t="str">
        <f>IFERROR(__xludf.DUMMYFUNCTION("""COMPUTED_VALUE"""),"")</f>
        <v/>
      </c>
      <c r="L169" s="50" t="s">
        <v>175</v>
      </c>
      <c r="M169" s="50" t="s">
        <v>175</v>
      </c>
      <c r="N169" s="50"/>
      <c r="O169" s="50"/>
      <c r="P169" s="50"/>
      <c r="Q169" s="50"/>
      <c r="R169" s="50"/>
      <c r="S169" s="50"/>
    </row>
    <row r="170">
      <c r="A170" s="50"/>
      <c r="B170" s="50"/>
      <c r="C170" s="50"/>
      <c r="D170" s="50"/>
      <c r="E170" s="50"/>
      <c r="F170" s="50"/>
      <c r="G170" s="50"/>
      <c r="H170" s="50"/>
      <c r="I170" s="50"/>
      <c r="J170" s="50" t="str">
        <f>IFERROR(__xludf.DUMMYFUNCTION("""COMPUTED_VALUE"""),"")</f>
        <v/>
      </c>
      <c r="K170" s="50" t="str">
        <f>IFERROR(__xludf.DUMMYFUNCTION("""COMPUTED_VALUE"""),"")</f>
        <v/>
      </c>
      <c r="L170" s="50" t="s">
        <v>175</v>
      </c>
      <c r="M170" s="50" t="s">
        <v>175</v>
      </c>
      <c r="N170" s="50"/>
      <c r="O170" s="50"/>
      <c r="P170" s="50"/>
      <c r="Q170" s="50"/>
      <c r="R170" s="50"/>
      <c r="S170" s="50"/>
    </row>
    <row r="171">
      <c r="A171" s="50"/>
      <c r="B171" s="50"/>
      <c r="C171" s="50"/>
      <c r="D171" s="50"/>
      <c r="E171" s="50"/>
      <c r="F171" s="50"/>
      <c r="G171" s="50"/>
      <c r="H171" s="50"/>
      <c r="I171" s="50"/>
      <c r="J171" s="50" t="str">
        <f>IFERROR(__xludf.DUMMYFUNCTION("""COMPUTED_VALUE"""),"")</f>
        <v/>
      </c>
      <c r="K171" s="50" t="str">
        <f>IFERROR(__xludf.DUMMYFUNCTION("""COMPUTED_VALUE"""),"")</f>
        <v/>
      </c>
      <c r="L171" s="50" t="s">
        <v>175</v>
      </c>
      <c r="M171" s="50" t="s">
        <v>175</v>
      </c>
      <c r="N171" s="50"/>
      <c r="O171" s="50"/>
      <c r="P171" s="50"/>
      <c r="Q171" s="50"/>
      <c r="R171" s="50"/>
      <c r="S171" s="50"/>
    </row>
    <row r="172">
      <c r="A172" s="50"/>
      <c r="B172" s="50"/>
      <c r="C172" s="50"/>
      <c r="D172" s="50"/>
      <c r="E172" s="50"/>
      <c r="F172" s="50"/>
      <c r="G172" s="50"/>
      <c r="H172" s="50"/>
      <c r="I172" s="50"/>
      <c r="J172" s="50" t="str">
        <f>IFERROR(__xludf.DUMMYFUNCTION("""COMPUTED_VALUE"""),"")</f>
        <v/>
      </c>
      <c r="K172" s="50" t="str">
        <f>IFERROR(__xludf.DUMMYFUNCTION("""COMPUTED_VALUE"""),"")</f>
        <v/>
      </c>
      <c r="L172" s="50" t="s">
        <v>175</v>
      </c>
      <c r="M172" s="50" t="s">
        <v>175</v>
      </c>
      <c r="N172" s="50"/>
      <c r="O172" s="50"/>
      <c r="P172" s="50"/>
      <c r="Q172" s="50"/>
      <c r="R172" s="50"/>
      <c r="S172" s="50"/>
    </row>
    <row r="173">
      <c r="A173" s="50"/>
      <c r="B173" s="50"/>
      <c r="C173" s="50"/>
      <c r="D173" s="50"/>
      <c r="E173" s="50"/>
      <c r="F173" s="50"/>
      <c r="G173" s="50"/>
      <c r="H173" s="50"/>
      <c r="I173" s="50"/>
      <c r="J173" s="50" t="str">
        <f>IFERROR(__xludf.DUMMYFUNCTION("""COMPUTED_VALUE"""),"")</f>
        <v/>
      </c>
      <c r="K173" s="50" t="str">
        <f>IFERROR(__xludf.DUMMYFUNCTION("""COMPUTED_VALUE"""),"")</f>
        <v/>
      </c>
      <c r="L173" s="50" t="s">
        <v>175</v>
      </c>
      <c r="M173" s="50" t="s">
        <v>175</v>
      </c>
      <c r="N173" s="50"/>
      <c r="O173" s="50"/>
      <c r="P173" s="50"/>
      <c r="Q173" s="50"/>
      <c r="R173" s="50"/>
      <c r="S173" s="50"/>
    </row>
    <row r="174">
      <c r="A174" s="50"/>
      <c r="B174" s="50"/>
      <c r="C174" s="50"/>
      <c r="D174" s="50"/>
      <c r="E174" s="50"/>
      <c r="F174" s="50"/>
      <c r="G174" s="50"/>
      <c r="H174" s="50"/>
      <c r="I174" s="50"/>
      <c r="J174" s="50" t="str">
        <f>IFERROR(__xludf.DUMMYFUNCTION("""COMPUTED_VALUE"""),"")</f>
        <v/>
      </c>
      <c r="K174" s="50" t="str">
        <f>IFERROR(__xludf.DUMMYFUNCTION("""COMPUTED_VALUE"""),"")</f>
        <v/>
      </c>
      <c r="L174" s="50" t="s">
        <v>175</v>
      </c>
      <c r="M174" s="50" t="s">
        <v>175</v>
      </c>
      <c r="N174" s="50"/>
      <c r="O174" s="50"/>
      <c r="P174" s="50"/>
      <c r="Q174" s="50"/>
      <c r="R174" s="50"/>
      <c r="S174" s="50"/>
    </row>
    <row r="175">
      <c r="A175" s="50"/>
      <c r="B175" s="50"/>
      <c r="C175" s="50"/>
      <c r="D175" s="50"/>
      <c r="E175" s="50"/>
      <c r="F175" s="50"/>
      <c r="G175" s="50"/>
      <c r="H175" s="50"/>
      <c r="I175" s="50"/>
      <c r="J175" s="50" t="str">
        <f>IFERROR(__xludf.DUMMYFUNCTION("""COMPUTED_VALUE"""),"")</f>
        <v/>
      </c>
      <c r="K175" s="50" t="str">
        <f>IFERROR(__xludf.DUMMYFUNCTION("""COMPUTED_VALUE"""),"")</f>
        <v/>
      </c>
      <c r="L175" s="50" t="s">
        <v>175</v>
      </c>
      <c r="M175" s="50" t="s">
        <v>175</v>
      </c>
      <c r="N175" s="50"/>
      <c r="O175" s="50"/>
      <c r="P175" s="50"/>
      <c r="Q175" s="50"/>
      <c r="R175" s="50"/>
      <c r="S175" s="50"/>
    </row>
    <row r="176">
      <c r="A176" s="50"/>
      <c r="B176" s="50"/>
      <c r="C176" s="50"/>
      <c r="D176" s="50"/>
      <c r="E176" s="50"/>
      <c r="F176" s="50"/>
      <c r="G176" s="50"/>
      <c r="H176" s="50"/>
      <c r="I176" s="50"/>
      <c r="J176" s="50" t="str">
        <f>IFERROR(__xludf.DUMMYFUNCTION("""COMPUTED_VALUE"""),"")</f>
        <v/>
      </c>
      <c r="K176" s="50" t="str">
        <f>IFERROR(__xludf.DUMMYFUNCTION("""COMPUTED_VALUE"""),"")</f>
        <v/>
      </c>
      <c r="L176" s="50" t="s">
        <v>175</v>
      </c>
      <c r="M176" s="50" t="s">
        <v>175</v>
      </c>
      <c r="N176" s="50"/>
      <c r="O176" s="50"/>
      <c r="P176" s="50"/>
      <c r="Q176" s="50"/>
      <c r="R176" s="50"/>
      <c r="S176" s="50"/>
    </row>
    <row r="177">
      <c r="A177" s="50"/>
      <c r="B177" s="50"/>
      <c r="C177" s="50"/>
      <c r="D177" s="50"/>
      <c r="E177" s="50"/>
      <c r="F177" s="50"/>
      <c r="G177" s="50"/>
      <c r="H177" s="50"/>
      <c r="I177" s="50"/>
      <c r="J177" s="50" t="str">
        <f>IFERROR(__xludf.DUMMYFUNCTION("""COMPUTED_VALUE"""),"")</f>
        <v/>
      </c>
      <c r="K177" s="50" t="str">
        <f>IFERROR(__xludf.DUMMYFUNCTION("""COMPUTED_VALUE"""),"")</f>
        <v/>
      </c>
      <c r="L177" s="50" t="s">
        <v>175</v>
      </c>
      <c r="M177" s="50" t="s">
        <v>175</v>
      </c>
      <c r="N177" s="50"/>
      <c r="O177" s="50"/>
      <c r="P177" s="50"/>
      <c r="Q177" s="50"/>
      <c r="R177" s="50"/>
      <c r="S177" s="50"/>
    </row>
    <row r="178">
      <c r="A178" s="50"/>
      <c r="B178" s="50"/>
      <c r="C178" s="50"/>
      <c r="D178" s="50"/>
      <c r="E178" s="50"/>
      <c r="F178" s="50"/>
      <c r="G178" s="50"/>
      <c r="H178" s="50"/>
      <c r="I178" s="50"/>
      <c r="J178" s="50" t="str">
        <f>IFERROR(__xludf.DUMMYFUNCTION("""COMPUTED_VALUE"""),"")</f>
        <v/>
      </c>
      <c r="K178" s="50" t="str">
        <f>IFERROR(__xludf.DUMMYFUNCTION("""COMPUTED_VALUE"""),"")</f>
        <v/>
      </c>
      <c r="L178" s="50" t="s">
        <v>175</v>
      </c>
      <c r="M178" s="50" t="s">
        <v>175</v>
      </c>
      <c r="N178" s="50"/>
      <c r="O178" s="50"/>
      <c r="P178" s="50"/>
      <c r="Q178" s="50"/>
      <c r="R178" s="50"/>
      <c r="S178" s="50"/>
    </row>
    <row r="179">
      <c r="A179" s="50"/>
      <c r="B179" s="50"/>
      <c r="C179" s="50"/>
      <c r="D179" s="50"/>
      <c r="E179" s="50"/>
      <c r="F179" s="50"/>
      <c r="G179" s="50"/>
      <c r="H179" s="50"/>
      <c r="I179" s="50"/>
      <c r="J179" s="50" t="str">
        <f>IFERROR(__xludf.DUMMYFUNCTION("""COMPUTED_VALUE"""),"")</f>
        <v/>
      </c>
      <c r="K179" s="50" t="str">
        <f>IFERROR(__xludf.DUMMYFUNCTION("""COMPUTED_VALUE"""),"")</f>
        <v/>
      </c>
      <c r="L179" s="50" t="s">
        <v>175</v>
      </c>
      <c r="M179" s="50" t="s">
        <v>175</v>
      </c>
      <c r="N179" s="50"/>
      <c r="O179" s="50"/>
      <c r="P179" s="50"/>
      <c r="Q179" s="50"/>
      <c r="R179" s="50"/>
      <c r="S179" s="50"/>
    </row>
    <row r="180">
      <c r="A180" s="50"/>
      <c r="B180" s="50"/>
      <c r="C180" s="50"/>
      <c r="D180" s="50"/>
      <c r="E180" s="50"/>
      <c r="F180" s="50"/>
      <c r="G180" s="50"/>
      <c r="H180" s="50"/>
      <c r="I180" s="50"/>
      <c r="J180" s="50" t="str">
        <f>IFERROR(__xludf.DUMMYFUNCTION("""COMPUTED_VALUE"""),"")</f>
        <v/>
      </c>
      <c r="K180" s="50" t="str">
        <f>IFERROR(__xludf.DUMMYFUNCTION("""COMPUTED_VALUE"""),"")</f>
        <v/>
      </c>
      <c r="L180" s="50" t="s">
        <v>175</v>
      </c>
      <c r="M180" s="50" t="s">
        <v>175</v>
      </c>
      <c r="N180" s="50"/>
      <c r="O180" s="50"/>
      <c r="P180" s="50"/>
      <c r="Q180" s="50"/>
      <c r="R180" s="50"/>
      <c r="S180" s="50"/>
    </row>
    <row r="181">
      <c r="A181" s="50"/>
      <c r="B181" s="50"/>
      <c r="C181" s="50"/>
      <c r="D181" s="50"/>
      <c r="E181" s="50"/>
      <c r="F181" s="50"/>
      <c r="G181" s="50"/>
      <c r="H181" s="50"/>
      <c r="I181" s="50"/>
      <c r="J181" s="50" t="str">
        <f>IFERROR(__xludf.DUMMYFUNCTION("""COMPUTED_VALUE"""),"")</f>
        <v/>
      </c>
      <c r="K181" s="50" t="str">
        <f>IFERROR(__xludf.DUMMYFUNCTION("""COMPUTED_VALUE"""),"")</f>
        <v/>
      </c>
      <c r="L181" s="50" t="s">
        <v>175</v>
      </c>
      <c r="M181" s="50" t="s">
        <v>175</v>
      </c>
      <c r="N181" s="50"/>
      <c r="O181" s="50"/>
      <c r="P181" s="50"/>
      <c r="Q181" s="50"/>
      <c r="R181" s="50"/>
      <c r="S181" s="50"/>
    </row>
    <row r="182">
      <c r="A182" s="50"/>
      <c r="B182" s="50"/>
      <c r="C182" s="50"/>
      <c r="D182" s="50"/>
      <c r="E182" s="50"/>
      <c r="F182" s="50"/>
      <c r="G182" s="50"/>
      <c r="H182" s="50"/>
      <c r="I182" s="50"/>
      <c r="J182" s="50" t="str">
        <f>IFERROR(__xludf.DUMMYFUNCTION("""COMPUTED_VALUE"""),"")</f>
        <v/>
      </c>
      <c r="K182" s="50" t="str">
        <f>IFERROR(__xludf.DUMMYFUNCTION("""COMPUTED_VALUE"""),"")</f>
        <v/>
      </c>
      <c r="L182" s="50" t="s">
        <v>175</v>
      </c>
      <c r="M182" s="50" t="s">
        <v>175</v>
      </c>
      <c r="N182" s="50"/>
      <c r="O182" s="50"/>
      <c r="P182" s="50"/>
      <c r="Q182" s="50"/>
      <c r="R182" s="50"/>
      <c r="S182" s="50"/>
    </row>
    <row r="183">
      <c r="A183" s="50"/>
      <c r="B183" s="50"/>
      <c r="C183" s="50"/>
      <c r="D183" s="50"/>
      <c r="E183" s="50"/>
      <c r="F183" s="50"/>
      <c r="G183" s="50"/>
      <c r="H183" s="50"/>
      <c r="I183" s="50"/>
      <c r="J183" s="50" t="str">
        <f>IFERROR(__xludf.DUMMYFUNCTION("""COMPUTED_VALUE"""),"")</f>
        <v/>
      </c>
      <c r="K183" s="50" t="str">
        <f>IFERROR(__xludf.DUMMYFUNCTION("""COMPUTED_VALUE"""),"")</f>
        <v/>
      </c>
      <c r="L183" s="50" t="s">
        <v>175</v>
      </c>
      <c r="M183" s="50" t="s">
        <v>175</v>
      </c>
      <c r="N183" s="50"/>
      <c r="O183" s="50"/>
      <c r="P183" s="50"/>
      <c r="Q183" s="50"/>
      <c r="R183" s="50"/>
      <c r="S183" s="50"/>
    </row>
    <row r="184">
      <c r="A184" s="50"/>
      <c r="B184" s="50"/>
      <c r="C184" s="50"/>
      <c r="D184" s="50"/>
      <c r="E184" s="50"/>
      <c r="F184" s="50"/>
      <c r="G184" s="50"/>
      <c r="H184" s="50"/>
      <c r="I184" s="50"/>
      <c r="J184" s="50" t="str">
        <f>IFERROR(__xludf.DUMMYFUNCTION("""COMPUTED_VALUE"""),"")</f>
        <v/>
      </c>
      <c r="K184" s="50" t="str">
        <f>IFERROR(__xludf.DUMMYFUNCTION("""COMPUTED_VALUE"""),"")</f>
        <v/>
      </c>
      <c r="L184" s="50" t="s">
        <v>175</v>
      </c>
      <c r="M184" s="50" t="s">
        <v>175</v>
      </c>
      <c r="N184" s="50"/>
      <c r="O184" s="50"/>
      <c r="P184" s="50"/>
      <c r="Q184" s="50"/>
      <c r="R184" s="50"/>
      <c r="S184" s="50"/>
    </row>
    <row r="185">
      <c r="A185" s="50"/>
      <c r="B185" s="50"/>
      <c r="C185" s="50"/>
      <c r="D185" s="50"/>
      <c r="E185" s="50"/>
      <c r="F185" s="50"/>
      <c r="G185" s="50"/>
      <c r="H185" s="50"/>
      <c r="I185" s="50"/>
      <c r="J185" s="50" t="str">
        <f>IFERROR(__xludf.DUMMYFUNCTION("""COMPUTED_VALUE"""),"")</f>
        <v/>
      </c>
      <c r="K185" s="50" t="str">
        <f>IFERROR(__xludf.DUMMYFUNCTION("""COMPUTED_VALUE"""),"")</f>
        <v/>
      </c>
      <c r="L185" s="50" t="s">
        <v>175</v>
      </c>
      <c r="M185" s="50" t="s">
        <v>175</v>
      </c>
      <c r="N185" s="50"/>
      <c r="O185" s="50"/>
      <c r="P185" s="50"/>
      <c r="Q185" s="50"/>
      <c r="R185" s="50"/>
      <c r="S185" s="50"/>
    </row>
    <row r="186">
      <c r="A186" s="50"/>
      <c r="B186" s="50"/>
      <c r="C186" s="50"/>
      <c r="D186" s="50"/>
      <c r="E186" s="50"/>
      <c r="F186" s="50"/>
      <c r="G186" s="50"/>
      <c r="H186" s="50"/>
      <c r="I186" s="50"/>
      <c r="J186" s="50" t="str">
        <f>IFERROR(__xludf.DUMMYFUNCTION("""COMPUTED_VALUE"""),"")</f>
        <v/>
      </c>
      <c r="K186" s="50" t="str">
        <f>IFERROR(__xludf.DUMMYFUNCTION("""COMPUTED_VALUE"""),"")</f>
        <v/>
      </c>
      <c r="L186" s="50" t="s">
        <v>175</v>
      </c>
      <c r="M186" s="50" t="s">
        <v>175</v>
      </c>
      <c r="N186" s="50"/>
      <c r="O186" s="50"/>
      <c r="P186" s="50"/>
      <c r="Q186" s="50"/>
      <c r="R186" s="50"/>
      <c r="S186" s="50"/>
    </row>
    <row r="187">
      <c r="A187" s="50"/>
      <c r="B187" s="50"/>
      <c r="C187" s="50"/>
      <c r="D187" s="50"/>
      <c r="E187" s="50"/>
      <c r="F187" s="50"/>
      <c r="G187" s="50"/>
      <c r="H187" s="50"/>
      <c r="I187" s="50"/>
      <c r="J187" s="50" t="str">
        <f>IFERROR(__xludf.DUMMYFUNCTION("""COMPUTED_VALUE"""),"")</f>
        <v/>
      </c>
      <c r="K187" s="50" t="str">
        <f>IFERROR(__xludf.DUMMYFUNCTION("""COMPUTED_VALUE"""),"")</f>
        <v/>
      </c>
      <c r="L187" s="50" t="s">
        <v>175</v>
      </c>
      <c r="M187" s="50" t="s">
        <v>175</v>
      </c>
      <c r="N187" s="50"/>
      <c r="O187" s="50"/>
      <c r="P187" s="50"/>
      <c r="Q187" s="50"/>
      <c r="R187" s="50"/>
      <c r="S187" s="50"/>
    </row>
    <row r="188">
      <c r="A188" s="50"/>
      <c r="B188" s="50"/>
      <c r="C188" s="50"/>
      <c r="D188" s="50"/>
      <c r="E188" s="50"/>
      <c r="F188" s="50"/>
      <c r="G188" s="50"/>
      <c r="H188" s="50"/>
      <c r="I188" s="50"/>
      <c r="J188" s="50" t="str">
        <f>IFERROR(__xludf.DUMMYFUNCTION("""COMPUTED_VALUE"""),"")</f>
        <v/>
      </c>
      <c r="K188" s="50" t="str">
        <f>IFERROR(__xludf.DUMMYFUNCTION("""COMPUTED_VALUE"""),"")</f>
        <v/>
      </c>
      <c r="L188" s="50" t="s">
        <v>175</v>
      </c>
      <c r="M188" s="50" t="s">
        <v>175</v>
      </c>
      <c r="N188" s="50"/>
      <c r="O188" s="50"/>
      <c r="P188" s="50"/>
      <c r="Q188" s="50"/>
      <c r="R188" s="50"/>
      <c r="S188" s="50"/>
    </row>
    <row r="189">
      <c r="A189" s="50"/>
      <c r="B189" s="50"/>
      <c r="C189" s="50"/>
      <c r="D189" s="50"/>
      <c r="E189" s="50"/>
      <c r="F189" s="50"/>
      <c r="G189" s="50"/>
      <c r="H189" s="50"/>
      <c r="I189" s="50"/>
      <c r="J189" s="50" t="str">
        <f>IFERROR(__xludf.DUMMYFUNCTION("""COMPUTED_VALUE"""),"")</f>
        <v/>
      </c>
      <c r="K189" s="50" t="str">
        <f>IFERROR(__xludf.DUMMYFUNCTION("""COMPUTED_VALUE"""),"")</f>
        <v/>
      </c>
      <c r="L189" s="50" t="s">
        <v>175</v>
      </c>
      <c r="M189" s="50" t="s">
        <v>175</v>
      </c>
      <c r="N189" s="50"/>
      <c r="O189" s="50"/>
      <c r="P189" s="50"/>
      <c r="Q189" s="50"/>
      <c r="R189" s="50"/>
      <c r="S189" s="50"/>
    </row>
    <row r="190">
      <c r="A190" s="50"/>
      <c r="B190" s="50"/>
      <c r="C190" s="50"/>
      <c r="D190" s="50"/>
      <c r="E190" s="50"/>
      <c r="F190" s="50"/>
      <c r="G190" s="50"/>
      <c r="H190" s="50"/>
      <c r="I190" s="50"/>
      <c r="J190" s="50" t="str">
        <f>IFERROR(__xludf.DUMMYFUNCTION("""COMPUTED_VALUE"""),"")</f>
        <v/>
      </c>
      <c r="K190" s="50" t="str">
        <f>IFERROR(__xludf.DUMMYFUNCTION("""COMPUTED_VALUE"""),"")</f>
        <v/>
      </c>
      <c r="L190" s="50" t="s">
        <v>175</v>
      </c>
      <c r="M190" s="50" t="s">
        <v>175</v>
      </c>
      <c r="N190" s="50"/>
      <c r="O190" s="50"/>
      <c r="P190" s="50"/>
      <c r="Q190" s="50"/>
      <c r="R190" s="50"/>
      <c r="S190" s="50"/>
    </row>
    <row r="191">
      <c r="A191" s="50"/>
      <c r="B191" s="50"/>
      <c r="C191" s="50"/>
      <c r="D191" s="50"/>
      <c r="E191" s="50"/>
      <c r="F191" s="50"/>
      <c r="G191" s="50"/>
      <c r="H191" s="50"/>
      <c r="I191" s="50"/>
      <c r="J191" s="50" t="str">
        <f>IFERROR(__xludf.DUMMYFUNCTION("""COMPUTED_VALUE"""),"")</f>
        <v/>
      </c>
      <c r="K191" s="50" t="str">
        <f>IFERROR(__xludf.DUMMYFUNCTION("""COMPUTED_VALUE"""),"")</f>
        <v/>
      </c>
      <c r="L191" s="50" t="s">
        <v>175</v>
      </c>
      <c r="M191" s="50" t="s">
        <v>175</v>
      </c>
      <c r="N191" s="50"/>
      <c r="O191" s="50"/>
      <c r="P191" s="50"/>
      <c r="Q191" s="50"/>
      <c r="R191" s="50"/>
      <c r="S191" s="50"/>
    </row>
    <row r="192">
      <c r="A192" s="50"/>
      <c r="B192" s="50"/>
      <c r="C192" s="50"/>
      <c r="D192" s="50"/>
      <c r="E192" s="50"/>
      <c r="F192" s="50"/>
      <c r="G192" s="50"/>
      <c r="H192" s="50"/>
      <c r="I192" s="50"/>
      <c r="J192" s="50" t="str">
        <f>IFERROR(__xludf.DUMMYFUNCTION("""COMPUTED_VALUE"""),"")</f>
        <v/>
      </c>
      <c r="K192" s="50" t="str">
        <f>IFERROR(__xludf.DUMMYFUNCTION("""COMPUTED_VALUE"""),"")</f>
        <v/>
      </c>
      <c r="L192" s="50" t="s">
        <v>175</v>
      </c>
      <c r="M192" s="50" t="s">
        <v>175</v>
      </c>
      <c r="N192" s="50"/>
      <c r="O192" s="50"/>
      <c r="P192" s="50"/>
      <c r="Q192" s="50"/>
      <c r="R192" s="50"/>
      <c r="S192" s="50"/>
    </row>
    <row r="193">
      <c r="A193" s="50"/>
      <c r="B193" s="50"/>
      <c r="C193" s="50"/>
      <c r="D193" s="50"/>
      <c r="E193" s="50"/>
      <c r="F193" s="50"/>
      <c r="G193" s="50"/>
      <c r="H193" s="50"/>
      <c r="I193" s="50"/>
      <c r="J193" s="50" t="str">
        <f>IFERROR(__xludf.DUMMYFUNCTION("""COMPUTED_VALUE"""),"")</f>
        <v/>
      </c>
      <c r="K193" s="50" t="str">
        <f>IFERROR(__xludf.DUMMYFUNCTION("""COMPUTED_VALUE"""),"")</f>
        <v/>
      </c>
      <c r="L193" s="50" t="s">
        <v>175</v>
      </c>
      <c r="M193" s="50" t="s">
        <v>175</v>
      </c>
      <c r="N193" s="50"/>
      <c r="O193" s="50"/>
      <c r="P193" s="50"/>
      <c r="Q193" s="50"/>
      <c r="R193" s="50"/>
      <c r="S193" s="50"/>
    </row>
    <row r="194">
      <c r="A194" s="50"/>
      <c r="B194" s="50"/>
      <c r="C194" s="50"/>
      <c r="D194" s="50"/>
      <c r="E194" s="50"/>
      <c r="F194" s="50"/>
      <c r="G194" s="50"/>
      <c r="H194" s="50"/>
      <c r="I194" s="50"/>
      <c r="J194" s="50" t="str">
        <f>IFERROR(__xludf.DUMMYFUNCTION("""COMPUTED_VALUE"""),"")</f>
        <v/>
      </c>
      <c r="K194" s="50" t="str">
        <f>IFERROR(__xludf.DUMMYFUNCTION("""COMPUTED_VALUE"""),"")</f>
        <v/>
      </c>
      <c r="L194" s="50" t="s">
        <v>175</v>
      </c>
      <c r="M194" s="50" t="s">
        <v>175</v>
      </c>
      <c r="N194" s="50"/>
      <c r="O194" s="50"/>
      <c r="P194" s="50"/>
      <c r="Q194" s="50"/>
      <c r="R194" s="50"/>
      <c r="S194" s="50"/>
    </row>
    <row r="195">
      <c r="A195" s="50"/>
      <c r="B195" s="50"/>
      <c r="C195" s="50"/>
      <c r="D195" s="50"/>
      <c r="E195" s="50"/>
      <c r="F195" s="50"/>
      <c r="G195" s="50"/>
      <c r="H195" s="50"/>
      <c r="I195" s="50"/>
      <c r="J195" s="50" t="str">
        <f>IFERROR(__xludf.DUMMYFUNCTION("""COMPUTED_VALUE"""),"")</f>
        <v/>
      </c>
      <c r="K195" s="50" t="str">
        <f>IFERROR(__xludf.DUMMYFUNCTION("""COMPUTED_VALUE"""),"")</f>
        <v/>
      </c>
      <c r="L195" s="50" t="s">
        <v>175</v>
      </c>
      <c r="M195" s="50" t="s">
        <v>175</v>
      </c>
      <c r="N195" s="50"/>
      <c r="O195" s="50"/>
      <c r="P195" s="50"/>
      <c r="Q195" s="50"/>
      <c r="R195" s="50"/>
      <c r="S195" s="50"/>
    </row>
    <row r="196">
      <c r="A196" s="50"/>
      <c r="B196" s="50"/>
      <c r="C196" s="50"/>
      <c r="D196" s="50"/>
      <c r="E196" s="50"/>
      <c r="F196" s="50"/>
      <c r="G196" s="50"/>
      <c r="H196" s="50"/>
      <c r="I196" s="50"/>
      <c r="J196" s="50" t="str">
        <f>IFERROR(__xludf.DUMMYFUNCTION("""COMPUTED_VALUE"""),"")</f>
        <v/>
      </c>
      <c r="K196" s="50" t="str">
        <f>IFERROR(__xludf.DUMMYFUNCTION("""COMPUTED_VALUE"""),"")</f>
        <v/>
      </c>
      <c r="L196" s="50" t="s">
        <v>175</v>
      </c>
      <c r="M196" s="50" t="s">
        <v>175</v>
      </c>
      <c r="N196" s="50"/>
      <c r="O196" s="50"/>
      <c r="P196" s="50"/>
      <c r="Q196" s="50"/>
      <c r="R196" s="50"/>
      <c r="S196" s="50"/>
    </row>
    <row r="197">
      <c r="A197" s="50"/>
      <c r="B197" s="50"/>
      <c r="C197" s="50"/>
      <c r="D197" s="50"/>
      <c r="E197" s="50"/>
      <c r="F197" s="50"/>
      <c r="G197" s="50"/>
      <c r="H197" s="50"/>
      <c r="I197" s="50"/>
      <c r="J197" s="50" t="str">
        <f>IFERROR(__xludf.DUMMYFUNCTION("""COMPUTED_VALUE"""),"")</f>
        <v/>
      </c>
      <c r="K197" s="50" t="str">
        <f>IFERROR(__xludf.DUMMYFUNCTION("""COMPUTED_VALUE"""),"")</f>
        <v/>
      </c>
      <c r="L197" s="50" t="s">
        <v>175</v>
      </c>
      <c r="M197" s="50" t="s">
        <v>175</v>
      </c>
      <c r="N197" s="50"/>
      <c r="O197" s="50"/>
      <c r="P197" s="50"/>
      <c r="Q197" s="50"/>
      <c r="R197" s="50"/>
      <c r="S197" s="50"/>
    </row>
    <row r="198">
      <c r="A198" s="50"/>
      <c r="B198" s="50"/>
      <c r="C198" s="50"/>
      <c r="D198" s="50"/>
      <c r="E198" s="50"/>
      <c r="F198" s="50"/>
      <c r="G198" s="50"/>
      <c r="H198" s="50"/>
      <c r="I198" s="50"/>
      <c r="J198" s="50" t="str">
        <f>IFERROR(__xludf.DUMMYFUNCTION("""COMPUTED_VALUE"""),"")</f>
        <v/>
      </c>
      <c r="K198" s="50" t="str">
        <f>IFERROR(__xludf.DUMMYFUNCTION("""COMPUTED_VALUE"""),"")</f>
        <v/>
      </c>
      <c r="L198" s="50" t="s">
        <v>175</v>
      </c>
      <c r="M198" s="50" t="s">
        <v>175</v>
      </c>
      <c r="N198" s="50"/>
      <c r="O198" s="50"/>
      <c r="P198" s="50"/>
      <c r="Q198" s="50"/>
      <c r="R198" s="50"/>
      <c r="S198" s="50"/>
    </row>
    <row r="199">
      <c r="A199" s="50"/>
      <c r="B199" s="50"/>
      <c r="C199" s="50"/>
      <c r="D199" s="50"/>
      <c r="E199" s="50"/>
      <c r="F199" s="50"/>
      <c r="G199" s="50"/>
      <c r="H199" s="50"/>
      <c r="I199" s="50"/>
      <c r="J199" s="50" t="str">
        <f>IFERROR(__xludf.DUMMYFUNCTION("""COMPUTED_VALUE"""),"")</f>
        <v/>
      </c>
      <c r="K199" s="50" t="str">
        <f>IFERROR(__xludf.DUMMYFUNCTION("""COMPUTED_VALUE"""),"")</f>
        <v/>
      </c>
      <c r="L199" s="50" t="s">
        <v>175</v>
      </c>
      <c r="M199" s="50" t="s">
        <v>175</v>
      </c>
      <c r="N199" s="50"/>
      <c r="O199" s="50"/>
      <c r="P199" s="50"/>
      <c r="Q199" s="50"/>
      <c r="R199" s="50"/>
      <c r="S199" s="50"/>
    </row>
    <row r="200">
      <c r="A200" s="50"/>
      <c r="B200" s="50"/>
      <c r="C200" s="50"/>
      <c r="D200" s="50"/>
      <c r="E200" s="50"/>
      <c r="F200" s="50"/>
      <c r="G200" s="50"/>
      <c r="H200" s="50"/>
      <c r="I200" s="50"/>
      <c r="J200" s="50" t="str">
        <f>IFERROR(__xludf.DUMMYFUNCTION("""COMPUTED_VALUE"""),"")</f>
        <v/>
      </c>
      <c r="K200" s="50" t="str">
        <f>IFERROR(__xludf.DUMMYFUNCTION("""COMPUTED_VALUE"""),"")</f>
        <v/>
      </c>
      <c r="L200" s="50" t="s">
        <v>175</v>
      </c>
      <c r="M200" s="50" t="s">
        <v>175</v>
      </c>
      <c r="N200" s="50"/>
      <c r="O200" s="50"/>
      <c r="P200" s="50"/>
      <c r="Q200" s="50"/>
      <c r="R200" s="50"/>
      <c r="S200" s="50"/>
    </row>
    <row r="201">
      <c r="A201" s="50"/>
      <c r="B201" s="50"/>
      <c r="C201" s="50"/>
      <c r="D201" s="50"/>
      <c r="E201" s="50"/>
      <c r="F201" s="50"/>
      <c r="G201" s="50"/>
      <c r="H201" s="50"/>
      <c r="I201" s="50"/>
      <c r="J201" s="50" t="str">
        <f>IFERROR(__xludf.DUMMYFUNCTION("""COMPUTED_VALUE"""),"")</f>
        <v/>
      </c>
      <c r="K201" s="50" t="str">
        <f>IFERROR(__xludf.DUMMYFUNCTION("""COMPUTED_VALUE"""),"")</f>
        <v/>
      </c>
      <c r="L201" s="50" t="s">
        <v>175</v>
      </c>
      <c r="M201" s="50" t="s">
        <v>175</v>
      </c>
      <c r="N201" s="50"/>
      <c r="O201" s="50"/>
      <c r="P201" s="50"/>
      <c r="Q201" s="50"/>
      <c r="R201" s="50"/>
      <c r="S201" s="50"/>
    </row>
    <row r="202">
      <c r="A202" s="50"/>
      <c r="B202" s="50"/>
      <c r="C202" s="50"/>
      <c r="D202" s="50"/>
      <c r="E202" s="50"/>
      <c r="F202" s="50"/>
      <c r="G202" s="50"/>
      <c r="H202" s="50"/>
      <c r="I202" s="50"/>
      <c r="J202" s="50" t="str">
        <f>IFERROR(__xludf.DUMMYFUNCTION("""COMPUTED_VALUE"""),"")</f>
        <v/>
      </c>
      <c r="K202" s="50" t="str">
        <f>IFERROR(__xludf.DUMMYFUNCTION("""COMPUTED_VALUE"""),"")</f>
        <v/>
      </c>
      <c r="L202" s="50" t="s">
        <v>175</v>
      </c>
      <c r="M202" s="50" t="s">
        <v>175</v>
      </c>
      <c r="N202" s="50"/>
      <c r="O202" s="50"/>
      <c r="P202" s="50"/>
      <c r="Q202" s="50"/>
      <c r="R202" s="50"/>
      <c r="S202" s="50"/>
    </row>
    <row r="203">
      <c r="A203" s="50"/>
      <c r="B203" s="50"/>
      <c r="C203" s="50"/>
      <c r="D203" s="50"/>
      <c r="E203" s="50"/>
      <c r="F203" s="50"/>
      <c r="G203" s="50"/>
      <c r="H203" s="50"/>
      <c r="I203" s="50"/>
      <c r="J203" s="50" t="str">
        <f>IFERROR(__xludf.DUMMYFUNCTION("""COMPUTED_VALUE"""),"")</f>
        <v/>
      </c>
      <c r="K203" s="50" t="str">
        <f>IFERROR(__xludf.DUMMYFUNCTION("""COMPUTED_VALUE"""),"")</f>
        <v/>
      </c>
      <c r="L203" s="50" t="s">
        <v>175</v>
      </c>
      <c r="M203" s="50" t="s">
        <v>175</v>
      </c>
      <c r="N203" s="50"/>
      <c r="O203" s="50"/>
      <c r="P203" s="50"/>
      <c r="Q203" s="50"/>
      <c r="R203" s="50"/>
      <c r="S203" s="50"/>
    </row>
    <row r="204">
      <c r="A204" s="50"/>
      <c r="B204" s="50"/>
      <c r="C204" s="50"/>
      <c r="D204" s="50"/>
      <c r="E204" s="50"/>
      <c r="F204" s="50"/>
      <c r="G204" s="50"/>
      <c r="H204" s="50"/>
      <c r="I204" s="50"/>
      <c r="J204" s="50" t="str">
        <f>IFERROR(__xludf.DUMMYFUNCTION("""COMPUTED_VALUE"""),"")</f>
        <v/>
      </c>
      <c r="K204" s="50" t="str">
        <f>IFERROR(__xludf.DUMMYFUNCTION("""COMPUTED_VALUE"""),"")</f>
        <v/>
      </c>
      <c r="L204" s="50" t="s">
        <v>175</v>
      </c>
      <c r="M204" s="50" t="s">
        <v>175</v>
      </c>
      <c r="N204" s="50"/>
      <c r="O204" s="50"/>
      <c r="P204" s="50"/>
      <c r="Q204" s="50"/>
      <c r="R204" s="50"/>
      <c r="S204" s="50"/>
    </row>
    <row r="205">
      <c r="A205" s="50"/>
      <c r="B205" s="50"/>
      <c r="C205" s="50"/>
      <c r="D205" s="50"/>
      <c r="E205" s="50"/>
      <c r="F205" s="50"/>
      <c r="G205" s="50"/>
      <c r="H205" s="50"/>
      <c r="I205" s="50"/>
      <c r="J205" s="50" t="str">
        <f>IFERROR(__xludf.DUMMYFUNCTION("""COMPUTED_VALUE"""),"")</f>
        <v/>
      </c>
      <c r="K205" s="50" t="str">
        <f>IFERROR(__xludf.DUMMYFUNCTION("""COMPUTED_VALUE"""),"")</f>
        <v/>
      </c>
      <c r="L205" s="50" t="s">
        <v>175</v>
      </c>
      <c r="M205" s="50" t="s">
        <v>175</v>
      </c>
      <c r="N205" s="50"/>
      <c r="O205" s="50"/>
      <c r="P205" s="50"/>
      <c r="Q205" s="50"/>
      <c r="R205" s="50"/>
      <c r="S205" s="50"/>
    </row>
    <row r="206">
      <c r="A206" s="50"/>
      <c r="B206" s="50"/>
      <c r="C206" s="50"/>
      <c r="D206" s="50"/>
      <c r="E206" s="50"/>
      <c r="F206" s="50"/>
      <c r="G206" s="50"/>
      <c r="H206" s="50"/>
      <c r="I206" s="50"/>
      <c r="J206" s="50" t="str">
        <f>IFERROR(__xludf.DUMMYFUNCTION("""COMPUTED_VALUE"""),"")</f>
        <v/>
      </c>
      <c r="K206" s="50" t="str">
        <f>IFERROR(__xludf.DUMMYFUNCTION("""COMPUTED_VALUE"""),"")</f>
        <v/>
      </c>
      <c r="L206" s="50" t="s">
        <v>175</v>
      </c>
      <c r="M206" s="50" t="s">
        <v>175</v>
      </c>
      <c r="N206" s="50"/>
      <c r="O206" s="50"/>
      <c r="P206" s="50"/>
      <c r="Q206" s="50"/>
      <c r="R206" s="50"/>
      <c r="S206" s="50"/>
    </row>
    <row r="207">
      <c r="A207" s="50"/>
      <c r="B207" s="50"/>
      <c r="C207" s="50"/>
      <c r="D207" s="50"/>
      <c r="E207" s="50"/>
      <c r="F207" s="50"/>
      <c r="G207" s="50"/>
      <c r="H207" s="50"/>
      <c r="I207" s="50"/>
      <c r="J207" s="50" t="str">
        <f>IFERROR(__xludf.DUMMYFUNCTION("""COMPUTED_VALUE"""),"")</f>
        <v/>
      </c>
      <c r="K207" s="50" t="str">
        <f>IFERROR(__xludf.DUMMYFUNCTION("""COMPUTED_VALUE"""),"")</f>
        <v/>
      </c>
      <c r="L207" s="50" t="s">
        <v>175</v>
      </c>
      <c r="M207" s="50" t="s">
        <v>175</v>
      </c>
      <c r="N207" s="50"/>
      <c r="O207" s="50"/>
      <c r="P207" s="50"/>
      <c r="Q207" s="50"/>
      <c r="R207" s="50"/>
      <c r="S207" s="50"/>
    </row>
    <row r="208">
      <c r="A208" s="50"/>
      <c r="B208" s="50"/>
      <c r="C208" s="50"/>
      <c r="D208" s="50"/>
      <c r="E208" s="50"/>
      <c r="F208" s="50"/>
      <c r="G208" s="50"/>
      <c r="H208" s="50"/>
      <c r="I208" s="50"/>
      <c r="J208" s="50" t="str">
        <f>IFERROR(__xludf.DUMMYFUNCTION("""COMPUTED_VALUE"""),"")</f>
        <v/>
      </c>
      <c r="K208" s="50" t="str">
        <f>IFERROR(__xludf.DUMMYFUNCTION("""COMPUTED_VALUE"""),"")</f>
        <v/>
      </c>
      <c r="L208" s="50" t="s">
        <v>175</v>
      </c>
      <c r="M208" s="50" t="s">
        <v>175</v>
      </c>
      <c r="N208" s="50"/>
      <c r="O208" s="50"/>
      <c r="P208" s="50"/>
      <c r="Q208" s="50"/>
      <c r="R208" s="50"/>
      <c r="S208" s="50"/>
    </row>
    <row r="209">
      <c r="A209" s="50"/>
      <c r="B209" s="50"/>
      <c r="C209" s="50"/>
      <c r="D209" s="50"/>
      <c r="E209" s="50"/>
      <c r="F209" s="50"/>
      <c r="G209" s="50"/>
      <c r="H209" s="50"/>
      <c r="I209" s="50"/>
      <c r="J209" s="50" t="str">
        <f>IFERROR(__xludf.DUMMYFUNCTION("""COMPUTED_VALUE"""),"")</f>
        <v/>
      </c>
      <c r="K209" s="50" t="str">
        <f>IFERROR(__xludf.DUMMYFUNCTION("""COMPUTED_VALUE"""),"")</f>
        <v/>
      </c>
      <c r="L209" s="50" t="s">
        <v>175</v>
      </c>
      <c r="M209" s="50" t="s">
        <v>175</v>
      </c>
      <c r="N209" s="50"/>
      <c r="O209" s="50"/>
      <c r="P209" s="50"/>
      <c r="Q209" s="50"/>
      <c r="R209" s="50"/>
      <c r="S209" s="50"/>
    </row>
    <row r="210">
      <c r="A210" s="50"/>
      <c r="B210" s="50"/>
      <c r="C210" s="50"/>
      <c r="D210" s="50"/>
      <c r="E210" s="50"/>
      <c r="F210" s="50"/>
      <c r="G210" s="50"/>
      <c r="H210" s="50"/>
      <c r="I210" s="50"/>
      <c r="J210" s="50" t="str">
        <f>IFERROR(__xludf.DUMMYFUNCTION("""COMPUTED_VALUE"""),"")</f>
        <v/>
      </c>
      <c r="K210" s="50" t="str">
        <f>IFERROR(__xludf.DUMMYFUNCTION("""COMPUTED_VALUE"""),"")</f>
        <v/>
      </c>
      <c r="L210" s="50" t="s">
        <v>175</v>
      </c>
      <c r="M210" s="50" t="s">
        <v>175</v>
      </c>
      <c r="N210" s="50"/>
      <c r="O210" s="50"/>
      <c r="P210" s="50"/>
      <c r="Q210" s="50"/>
      <c r="R210" s="50"/>
      <c r="S210" s="50"/>
    </row>
    <row r="211">
      <c r="A211" s="50"/>
      <c r="B211" s="50"/>
      <c r="C211" s="50"/>
      <c r="D211" s="50"/>
      <c r="E211" s="50"/>
      <c r="F211" s="50"/>
      <c r="G211" s="50"/>
      <c r="H211" s="50"/>
      <c r="I211" s="50"/>
      <c r="J211" s="50" t="str">
        <f>IFERROR(__xludf.DUMMYFUNCTION("""COMPUTED_VALUE"""),"")</f>
        <v/>
      </c>
      <c r="K211" s="50" t="str">
        <f>IFERROR(__xludf.DUMMYFUNCTION("""COMPUTED_VALUE"""),"")</f>
        <v/>
      </c>
      <c r="L211" s="50" t="s">
        <v>175</v>
      </c>
      <c r="M211" s="50" t="s">
        <v>175</v>
      </c>
      <c r="N211" s="50"/>
      <c r="O211" s="50"/>
      <c r="P211" s="50"/>
      <c r="Q211" s="50"/>
      <c r="R211" s="50"/>
      <c r="S211" s="50"/>
    </row>
    <row r="212">
      <c r="A212" s="50"/>
      <c r="B212" s="50"/>
      <c r="C212" s="50"/>
      <c r="D212" s="50"/>
      <c r="E212" s="50"/>
      <c r="F212" s="50"/>
      <c r="G212" s="50"/>
      <c r="H212" s="50"/>
      <c r="I212" s="50"/>
      <c r="J212" s="50" t="str">
        <f>IFERROR(__xludf.DUMMYFUNCTION("""COMPUTED_VALUE"""),"")</f>
        <v/>
      </c>
      <c r="K212" s="50" t="str">
        <f>IFERROR(__xludf.DUMMYFUNCTION("""COMPUTED_VALUE"""),"")</f>
        <v/>
      </c>
      <c r="L212" s="50" t="s">
        <v>175</v>
      </c>
      <c r="M212" s="50" t="s">
        <v>175</v>
      </c>
      <c r="N212" s="50"/>
      <c r="O212" s="50"/>
      <c r="P212" s="50"/>
      <c r="Q212" s="50"/>
      <c r="R212" s="50"/>
      <c r="S212" s="50"/>
    </row>
    <row r="213">
      <c r="A213" s="50"/>
      <c r="B213" s="50"/>
      <c r="C213" s="50"/>
      <c r="D213" s="50"/>
      <c r="E213" s="50"/>
      <c r="F213" s="50"/>
      <c r="G213" s="50"/>
      <c r="H213" s="50"/>
      <c r="I213" s="50"/>
      <c r="J213" s="50" t="str">
        <f>IFERROR(__xludf.DUMMYFUNCTION("""COMPUTED_VALUE"""),"")</f>
        <v/>
      </c>
      <c r="K213" s="50" t="str">
        <f>IFERROR(__xludf.DUMMYFUNCTION("""COMPUTED_VALUE"""),"")</f>
        <v/>
      </c>
      <c r="L213" s="50" t="s">
        <v>175</v>
      </c>
      <c r="M213" s="50" t="s">
        <v>175</v>
      </c>
      <c r="N213" s="50"/>
      <c r="O213" s="50"/>
      <c r="P213" s="50"/>
      <c r="Q213" s="50"/>
      <c r="R213" s="50"/>
      <c r="S213" s="50"/>
    </row>
    <row r="214">
      <c r="A214" s="50"/>
      <c r="B214" s="50"/>
      <c r="C214" s="50"/>
      <c r="D214" s="50"/>
      <c r="E214" s="50"/>
      <c r="F214" s="50"/>
      <c r="G214" s="50"/>
      <c r="H214" s="50"/>
      <c r="I214" s="50"/>
      <c r="J214" s="50" t="str">
        <f>IFERROR(__xludf.DUMMYFUNCTION("""COMPUTED_VALUE"""),"")</f>
        <v/>
      </c>
      <c r="K214" s="50" t="str">
        <f>IFERROR(__xludf.DUMMYFUNCTION("""COMPUTED_VALUE"""),"")</f>
        <v/>
      </c>
      <c r="L214" s="50" t="s">
        <v>175</v>
      </c>
      <c r="M214" s="50" t="s">
        <v>175</v>
      </c>
      <c r="N214" s="50"/>
      <c r="O214" s="50"/>
      <c r="P214" s="50"/>
      <c r="Q214" s="50"/>
      <c r="R214" s="50"/>
      <c r="S214" s="50"/>
    </row>
    <row r="215">
      <c r="A215" s="50"/>
      <c r="B215" s="50"/>
      <c r="C215" s="50"/>
      <c r="D215" s="50"/>
      <c r="E215" s="50"/>
      <c r="F215" s="50"/>
      <c r="G215" s="50"/>
      <c r="H215" s="50"/>
      <c r="I215" s="50"/>
      <c r="J215" s="50" t="str">
        <f>IFERROR(__xludf.DUMMYFUNCTION("""COMPUTED_VALUE"""),"")</f>
        <v/>
      </c>
      <c r="K215" s="50" t="str">
        <f>IFERROR(__xludf.DUMMYFUNCTION("""COMPUTED_VALUE"""),"")</f>
        <v/>
      </c>
      <c r="L215" s="50" t="s">
        <v>175</v>
      </c>
      <c r="M215" s="50" t="s">
        <v>175</v>
      </c>
      <c r="N215" s="50"/>
      <c r="O215" s="50"/>
      <c r="P215" s="50"/>
      <c r="Q215" s="50"/>
      <c r="R215" s="50"/>
      <c r="S215" s="50"/>
    </row>
    <row r="216">
      <c r="A216" s="50"/>
      <c r="B216" s="50"/>
      <c r="C216" s="50"/>
      <c r="D216" s="50"/>
      <c r="E216" s="50"/>
      <c r="F216" s="50"/>
      <c r="G216" s="50"/>
      <c r="H216" s="50"/>
      <c r="I216" s="50"/>
      <c r="J216" s="50" t="str">
        <f>IFERROR(__xludf.DUMMYFUNCTION("""COMPUTED_VALUE"""),"")</f>
        <v/>
      </c>
      <c r="K216" s="50" t="str">
        <f>IFERROR(__xludf.DUMMYFUNCTION("""COMPUTED_VALUE"""),"")</f>
        <v/>
      </c>
      <c r="L216" s="50" t="s">
        <v>175</v>
      </c>
      <c r="M216" s="50" t="s">
        <v>175</v>
      </c>
      <c r="N216" s="50"/>
      <c r="O216" s="50"/>
      <c r="P216" s="50"/>
      <c r="Q216" s="50"/>
      <c r="R216" s="50"/>
      <c r="S216" s="50"/>
    </row>
    <row r="217">
      <c r="A217" s="50"/>
      <c r="B217" s="50"/>
      <c r="C217" s="50"/>
      <c r="D217" s="50"/>
      <c r="E217" s="50"/>
      <c r="F217" s="50"/>
      <c r="G217" s="50"/>
      <c r="H217" s="50"/>
      <c r="I217" s="50"/>
      <c r="J217" s="50" t="str">
        <f>IFERROR(__xludf.DUMMYFUNCTION("""COMPUTED_VALUE"""),"")</f>
        <v/>
      </c>
      <c r="K217" s="50" t="str">
        <f>IFERROR(__xludf.DUMMYFUNCTION("""COMPUTED_VALUE"""),"")</f>
        <v/>
      </c>
      <c r="L217" s="50" t="s">
        <v>175</v>
      </c>
      <c r="M217" s="50" t="s">
        <v>175</v>
      </c>
      <c r="N217" s="50"/>
      <c r="O217" s="50"/>
      <c r="P217" s="50"/>
      <c r="Q217" s="50"/>
      <c r="R217" s="50"/>
      <c r="S217" s="50"/>
    </row>
    <row r="218">
      <c r="A218" s="50"/>
      <c r="B218" s="50"/>
      <c r="C218" s="50"/>
      <c r="D218" s="50"/>
      <c r="E218" s="50"/>
      <c r="F218" s="50"/>
      <c r="G218" s="50"/>
      <c r="H218" s="50"/>
      <c r="I218" s="50"/>
      <c r="J218" s="50" t="str">
        <f>IFERROR(__xludf.DUMMYFUNCTION("""COMPUTED_VALUE"""),"")</f>
        <v/>
      </c>
      <c r="K218" s="50" t="str">
        <f>IFERROR(__xludf.DUMMYFUNCTION("""COMPUTED_VALUE"""),"")</f>
        <v/>
      </c>
      <c r="L218" s="50" t="s">
        <v>175</v>
      </c>
      <c r="M218" s="50" t="s">
        <v>175</v>
      </c>
      <c r="N218" s="50"/>
      <c r="O218" s="50"/>
      <c r="P218" s="50"/>
      <c r="Q218" s="50"/>
      <c r="R218" s="50"/>
      <c r="S218" s="50"/>
    </row>
    <row r="219">
      <c r="A219" s="50"/>
      <c r="B219" s="50"/>
      <c r="C219" s="50"/>
      <c r="D219" s="50"/>
      <c r="E219" s="50"/>
      <c r="F219" s="50"/>
      <c r="G219" s="50"/>
      <c r="H219" s="50"/>
      <c r="I219" s="50"/>
      <c r="J219" s="50" t="str">
        <f>IFERROR(__xludf.DUMMYFUNCTION("""COMPUTED_VALUE"""),"")</f>
        <v/>
      </c>
      <c r="K219" s="50" t="str">
        <f>IFERROR(__xludf.DUMMYFUNCTION("""COMPUTED_VALUE"""),"")</f>
        <v/>
      </c>
      <c r="L219" s="50" t="s">
        <v>175</v>
      </c>
      <c r="M219" s="50" t="s">
        <v>175</v>
      </c>
      <c r="N219" s="50"/>
      <c r="O219" s="50"/>
      <c r="P219" s="50"/>
      <c r="Q219" s="50"/>
      <c r="R219" s="50"/>
      <c r="S219" s="50"/>
    </row>
    <row r="220">
      <c r="A220" s="50"/>
      <c r="B220" s="50"/>
      <c r="C220" s="50"/>
      <c r="D220" s="50"/>
      <c r="E220" s="50"/>
      <c r="F220" s="50"/>
      <c r="G220" s="50"/>
      <c r="H220" s="50"/>
      <c r="I220" s="50"/>
      <c r="J220" s="50" t="str">
        <f>IFERROR(__xludf.DUMMYFUNCTION("""COMPUTED_VALUE"""),"")</f>
        <v/>
      </c>
      <c r="K220" s="50" t="str">
        <f>IFERROR(__xludf.DUMMYFUNCTION("""COMPUTED_VALUE"""),"")</f>
        <v/>
      </c>
      <c r="L220" s="50" t="s">
        <v>175</v>
      </c>
      <c r="M220" s="50" t="s">
        <v>175</v>
      </c>
      <c r="N220" s="50"/>
      <c r="O220" s="50"/>
      <c r="P220" s="50"/>
      <c r="Q220" s="50"/>
      <c r="R220" s="50"/>
      <c r="S220" s="50"/>
    </row>
    <row r="221">
      <c r="A221" s="50"/>
      <c r="B221" s="50"/>
      <c r="C221" s="50"/>
      <c r="D221" s="50"/>
      <c r="E221" s="50"/>
      <c r="F221" s="50"/>
      <c r="G221" s="50"/>
      <c r="H221" s="50"/>
      <c r="I221" s="50"/>
      <c r="J221" s="50" t="str">
        <f>IFERROR(__xludf.DUMMYFUNCTION("""COMPUTED_VALUE"""),"")</f>
        <v/>
      </c>
      <c r="K221" s="50" t="str">
        <f>IFERROR(__xludf.DUMMYFUNCTION("""COMPUTED_VALUE"""),"")</f>
        <v/>
      </c>
      <c r="L221" s="50" t="s">
        <v>175</v>
      </c>
      <c r="M221" s="50" t="s">
        <v>175</v>
      </c>
      <c r="N221" s="50"/>
      <c r="O221" s="50"/>
      <c r="P221" s="50"/>
      <c r="Q221" s="50"/>
      <c r="R221" s="50"/>
      <c r="S221" s="50"/>
    </row>
    <row r="222">
      <c r="A222" s="50"/>
      <c r="B222" s="50"/>
      <c r="C222" s="50"/>
      <c r="D222" s="50"/>
      <c r="E222" s="50"/>
      <c r="F222" s="50"/>
      <c r="G222" s="50"/>
      <c r="H222" s="50"/>
      <c r="I222" s="50"/>
      <c r="J222" s="50" t="str">
        <f>IFERROR(__xludf.DUMMYFUNCTION("""COMPUTED_VALUE"""),"")</f>
        <v/>
      </c>
      <c r="K222" s="50" t="str">
        <f>IFERROR(__xludf.DUMMYFUNCTION("""COMPUTED_VALUE"""),"")</f>
        <v/>
      </c>
      <c r="L222" s="50" t="s">
        <v>175</v>
      </c>
      <c r="M222" s="50" t="s">
        <v>175</v>
      </c>
      <c r="N222" s="50"/>
      <c r="O222" s="50"/>
      <c r="P222" s="50"/>
      <c r="Q222" s="50"/>
      <c r="R222" s="50"/>
      <c r="S222" s="50"/>
    </row>
    <row r="223">
      <c r="A223" s="50"/>
      <c r="B223" s="50"/>
      <c r="C223" s="50"/>
      <c r="D223" s="50"/>
      <c r="E223" s="50"/>
      <c r="F223" s="50"/>
      <c r="G223" s="50"/>
      <c r="H223" s="50"/>
      <c r="I223" s="50"/>
      <c r="J223" s="50" t="str">
        <f>IFERROR(__xludf.DUMMYFUNCTION("""COMPUTED_VALUE"""),"")</f>
        <v/>
      </c>
      <c r="K223" s="50" t="str">
        <f>IFERROR(__xludf.DUMMYFUNCTION("""COMPUTED_VALUE"""),"")</f>
        <v/>
      </c>
      <c r="L223" s="50" t="s">
        <v>175</v>
      </c>
      <c r="M223" s="50" t="s">
        <v>175</v>
      </c>
      <c r="N223" s="50"/>
      <c r="O223" s="50"/>
      <c r="P223" s="50"/>
      <c r="Q223" s="50"/>
      <c r="R223" s="50"/>
      <c r="S223" s="50"/>
    </row>
    <row r="224">
      <c r="A224" s="50"/>
      <c r="B224" s="50"/>
      <c r="C224" s="50"/>
      <c r="D224" s="50"/>
      <c r="E224" s="50"/>
      <c r="F224" s="50"/>
      <c r="G224" s="50"/>
      <c r="H224" s="50"/>
      <c r="I224" s="50"/>
      <c r="J224" s="50" t="str">
        <f>IFERROR(__xludf.DUMMYFUNCTION("""COMPUTED_VALUE"""),"")</f>
        <v/>
      </c>
      <c r="K224" s="50" t="str">
        <f>IFERROR(__xludf.DUMMYFUNCTION("""COMPUTED_VALUE"""),"")</f>
        <v/>
      </c>
      <c r="L224" s="50" t="s">
        <v>175</v>
      </c>
      <c r="M224" s="50" t="s">
        <v>175</v>
      </c>
      <c r="N224" s="50"/>
      <c r="O224" s="50"/>
      <c r="P224" s="50"/>
      <c r="Q224" s="50"/>
      <c r="R224" s="50"/>
      <c r="S224" s="50"/>
    </row>
    <row r="225">
      <c r="A225" s="50"/>
      <c r="B225" s="50"/>
      <c r="C225" s="50"/>
      <c r="D225" s="50"/>
      <c r="E225" s="50"/>
      <c r="F225" s="50"/>
      <c r="G225" s="50"/>
      <c r="H225" s="50"/>
      <c r="I225" s="50"/>
      <c r="J225" s="50" t="str">
        <f>IFERROR(__xludf.DUMMYFUNCTION("""COMPUTED_VALUE"""),"")</f>
        <v/>
      </c>
      <c r="K225" s="50" t="str">
        <f>IFERROR(__xludf.DUMMYFUNCTION("""COMPUTED_VALUE"""),"")</f>
        <v/>
      </c>
      <c r="L225" s="50" t="s">
        <v>175</v>
      </c>
      <c r="M225" s="50" t="s">
        <v>175</v>
      </c>
      <c r="N225" s="50"/>
      <c r="O225" s="50"/>
      <c r="P225" s="50"/>
      <c r="Q225" s="50"/>
      <c r="R225" s="50"/>
      <c r="S225" s="50"/>
    </row>
    <row r="226">
      <c r="A226" s="50"/>
      <c r="B226" s="50"/>
      <c r="C226" s="50"/>
      <c r="D226" s="50"/>
      <c r="E226" s="50"/>
      <c r="F226" s="50"/>
      <c r="G226" s="50"/>
      <c r="H226" s="50"/>
      <c r="I226" s="50"/>
      <c r="J226" s="50" t="str">
        <f>IFERROR(__xludf.DUMMYFUNCTION("""COMPUTED_VALUE"""),"")</f>
        <v/>
      </c>
      <c r="K226" s="50" t="str">
        <f>IFERROR(__xludf.DUMMYFUNCTION("""COMPUTED_VALUE"""),"")</f>
        <v/>
      </c>
      <c r="L226" s="50" t="s">
        <v>175</v>
      </c>
      <c r="M226" s="50" t="s">
        <v>175</v>
      </c>
      <c r="N226" s="50"/>
      <c r="O226" s="50"/>
      <c r="P226" s="50"/>
      <c r="Q226" s="50"/>
      <c r="R226" s="50"/>
      <c r="S226" s="50"/>
    </row>
    <row r="227">
      <c r="A227" s="50"/>
      <c r="B227" s="50"/>
      <c r="C227" s="50"/>
      <c r="D227" s="50"/>
      <c r="E227" s="50"/>
      <c r="F227" s="50"/>
      <c r="G227" s="50"/>
      <c r="H227" s="50"/>
      <c r="I227" s="50"/>
      <c r="J227" s="50" t="str">
        <f>IFERROR(__xludf.DUMMYFUNCTION("""COMPUTED_VALUE"""),"")</f>
        <v/>
      </c>
      <c r="K227" s="50" t="str">
        <f>IFERROR(__xludf.DUMMYFUNCTION("""COMPUTED_VALUE"""),"")</f>
        <v/>
      </c>
      <c r="L227" s="50" t="s">
        <v>175</v>
      </c>
      <c r="M227" s="50" t="s">
        <v>175</v>
      </c>
      <c r="N227" s="50"/>
      <c r="O227" s="50"/>
      <c r="P227" s="50"/>
      <c r="Q227" s="50"/>
      <c r="R227" s="50"/>
      <c r="S227" s="50"/>
    </row>
    <row r="228">
      <c r="A228" s="50"/>
      <c r="B228" s="50"/>
      <c r="C228" s="50"/>
      <c r="D228" s="50"/>
      <c r="E228" s="50"/>
      <c r="F228" s="50"/>
      <c r="G228" s="50"/>
      <c r="H228" s="50"/>
      <c r="I228" s="50"/>
      <c r="J228" s="50" t="str">
        <f>IFERROR(__xludf.DUMMYFUNCTION("""COMPUTED_VALUE"""),"")</f>
        <v/>
      </c>
      <c r="K228" s="50" t="str">
        <f>IFERROR(__xludf.DUMMYFUNCTION("""COMPUTED_VALUE"""),"")</f>
        <v/>
      </c>
      <c r="L228" s="50" t="s">
        <v>175</v>
      </c>
      <c r="M228" s="50" t="s">
        <v>175</v>
      </c>
      <c r="N228" s="50"/>
      <c r="O228" s="50"/>
      <c r="P228" s="50"/>
      <c r="Q228" s="50"/>
      <c r="R228" s="50"/>
      <c r="S228" s="50"/>
    </row>
    <row r="229">
      <c r="A229" s="50"/>
      <c r="B229" s="50"/>
      <c r="C229" s="50"/>
      <c r="D229" s="50"/>
      <c r="E229" s="50"/>
      <c r="F229" s="50"/>
      <c r="G229" s="50"/>
      <c r="H229" s="50"/>
      <c r="I229" s="50"/>
      <c r="J229" s="50" t="str">
        <f>IFERROR(__xludf.DUMMYFUNCTION("""COMPUTED_VALUE"""),"")</f>
        <v/>
      </c>
      <c r="K229" s="50" t="str">
        <f>IFERROR(__xludf.DUMMYFUNCTION("""COMPUTED_VALUE"""),"")</f>
        <v/>
      </c>
      <c r="L229" s="50" t="s">
        <v>175</v>
      </c>
      <c r="M229" s="50" t="s">
        <v>175</v>
      </c>
      <c r="N229" s="50"/>
      <c r="O229" s="50"/>
      <c r="P229" s="50"/>
      <c r="Q229" s="50"/>
      <c r="R229" s="50"/>
      <c r="S229" s="50"/>
    </row>
    <row r="230">
      <c r="A230" s="50"/>
      <c r="B230" s="50"/>
      <c r="C230" s="50"/>
      <c r="D230" s="50"/>
      <c r="E230" s="50"/>
      <c r="F230" s="50"/>
      <c r="G230" s="50"/>
      <c r="H230" s="50"/>
      <c r="I230" s="50"/>
      <c r="J230" s="50" t="str">
        <f>IFERROR(__xludf.DUMMYFUNCTION("""COMPUTED_VALUE"""),"")</f>
        <v/>
      </c>
      <c r="K230" s="50" t="str">
        <f>IFERROR(__xludf.DUMMYFUNCTION("""COMPUTED_VALUE"""),"")</f>
        <v/>
      </c>
      <c r="L230" s="50" t="s">
        <v>175</v>
      </c>
      <c r="M230" s="50" t="s">
        <v>175</v>
      </c>
      <c r="N230" s="50"/>
      <c r="O230" s="50"/>
      <c r="P230" s="50"/>
      <c r="Q230" s="50"/>
      <c r="R230" s="50"/>
      <c r="S230" s="50"/>
    </row>
    <row r="231">
      <c r="A231" s="50"/>
      <c r="B231" s="50"/>
      <c r="C231" s="50"/>
      <c r="D231" s="50"/>
      <c r="E231" s="50"/>
      <c r="F231" s="50"/>
      <c r="G231" s="50"/>
      <c r="H231" s="50"/>
      <c r="I231" s="50"/>
      <c r="J231" s="50" t="str">
        <f>IFERROR(__xludf.DUMMYFUNCTION("""COMPUTED_VALUE"""),"")</f>
        <v/>
      </c>
      <c r="K231" s="50" t="str">
        <f>IFERROR(__xludf.DUMMYFUNCTION("""COMPUTED_VALUE"""),"")</f>
        <v/>
      </c>
      <c r="L231" s="50" t="s">
        <v>175</v>
      </c>
      <c r="M231" s="50" t="s">
        <v>175</v>
      </c>
      <c r="N231" s="50"/>
      <c r="O231" s="50"/>
      <c r="P231" s="50"/>
      <c r="Q231" s="50"/>
      <c r="R231" s="50"/>
      <c r="S231" s="50"/>
    </row>
    <row r="232">
      <c r="A232" s="50"/>
      <c r="B232" s="50"/>
      <c r="C232" s="50"/>
      <c r="D232" s="50"/>
      <c r="E232" s="50"/>
      <c r="F232" s="50"/>
      <c r="G232" s="50"/>
      <c r="H232" s="50"/>
      <c r="I232" s="50"/>
      <c r="J232" s="50" t="str">
        <f>IFERROR(__xludf.DUMMYFUNCTION("""COMPUTED_VALUE"""),"")</f>
        <v/>
      </c>
      <c r="K232" s="50" t="str">
        <f>IFERROR(__xludf.DUMMYFUNCTION("""COMPUTED_VALUE"""),"")</f>
        <v/>
      </c>
      <c r="L232" s="50" t="s">
        <v>175</v>
      </c>
      <c r="M232" s="50" t="s">
        <v>175</v>
      </c>
      <c r="N232" s="50"/>
      <c r="O232" s="50"/>
      <c r="P232" s="50"/>
      <c r="Q232" s="50"/>
      <c r="R232" s="50"/>
      <c r="S232" s="50"/>
    </row>
    <row r="233">
      <c r="A233" s="50"/>
      <c r="B233" s="50"/>
      <c r="C233" s="50"/>
      <c r="D233" s="50"/>
      <c r="E233" s="50"/>
      <c r="F233" s="50"/>
      <c r="G233" s="50"/>
      <c r="H233" s="50"/>
      <c r="I233" s="50"/>
      <c r="J233" s="50" t="str">
        <f>IFERROR(__xludf.DUMMYFUNCTION("""COMPUTED_VALUE"""),"")</f>
        <v/>
      </c>
      <c r="K233" s="50" t="str">
        <f>IFERROR(__xludf.DUMMYFUNCTION("""COMPUTED_VALUE"""),"")</f>
        <v/>
      </c>
      <c r="L233" s="50" t="s">
        <v>175</v>
      </c>
      <c r="M233" s="50" t="s">
        <v>175</v>
      </c>
      <c r="N233" s="50"/>
      <c r="O233" s="50"/>
      <c r="P233" s="50"/>
      <c r="Q233" s="50"/>
      <c r="R233" s="50"/>
      <c r="S233" s="50"/>
    </row>
    <row r="234">
      <c r="A234" s="50"/>
      <c r="B234" s="50"/>
      <c r="C234" s="50"/>
      <c r="D234" s="50"/>
      <c r="E234" s="50"/>
      <c r="F234" s="50"/>
      <c r="G234" s="50"/>
      <c r="H234" s="50"/>
      <c r="I234" s="50"/>
      <c r="J234" s="50" t="str">
        <f>IFERROR(__xludf.DUMMYFUNCTION("""COMPUTED_VALUE"""),"")</f>
        <v/>
      </c>
      <c r="K234" s="50" t="str">
        <f>IFERROR(__xludf.DUMMYFUNCTION("""COMPUTED_VALUE"""),"")</f>
        <v/>
      </c>
      <c r="L234" s="50" t="s">
        <v>175</v>
      </c>
      <c r="M234" s="50" t="s">
        <v>175</v>
      </c>
      <c r="N234" s="50"/>
      <c r="O234" s="50"/>
      <c r="P234" s="50"/>
      <c r="Q234" s="50"/>
      <c r="R234" s="50"/>
      <c r="S234" s="50"/>
    </row>
    <row r="235">
      <c r="A235" s="50"/>
      <c r="B235" s="50"/>
      <c r="C235" s="50"/>
      <c r="D235" s="50"/>
      <c r="E235" s="50"/>
      <c r="F235" s="50"/>
      <c r="G235" s="50"/>
      <c r="H235" s="50"/>
      <c r="I235" s="50"/>
      <c r="J235" s="50" t="str">
        <f>IFERROR(__xludf.DUMMYFUNCTION("""COMPUTED_VALUE"""),"")</f>
        <v/>
      </c>
      <c r="K235" s="50" t="str">
        <f>IFERROR(__xludf.DUMMYFUNCTION("""COMPUTED_VALUE"""),"")</f>
        <v/>
      </c>
      <c r="L235" s="50" t="s">
        <v>175</v>
      </c>
      <c r="M235" s="50" t="s">
        <v>175</v>
      </c>
      <c r="N235" s="50"/>
      <c r="O235" s="50"/>
      <c r="P235" s="50"/>
      <c r="Q235" s="50"/>
      <c r="R235" s="50"/>
      <c r="S235" s="50"/>
    </row>
    <row r="236">
      <c r="A236" s="50"/>
      <c r="B236" s="50"/>
      <c r="C236" s="50"/>
      <c r="D236" s="50"/>
      <c r="E236" s="50"/>
      <c r="F236" s="50"/>
      <c r="G236" s="50"/>
      <c r="H236" s="50"/>
      <c r="I236" s="50"/>
      <c r="J236" s="50" t="str">
        <f>IFERROR(__xludf.DUMMYFUNCTION("""COMPUTED_VALUE"""),"")</f>
        <v/>
      </c>
      <c r="K236" s="50" t="str">
        <f>IFERROR(__xludf.DUMMYFUNCTION("""COMPUTED_VALUE"""),"")</f>
        <v/>
      </c>
      <c r="L236" s="50" t="s">
        <v>175</v>
      </c>
      <c r="M236" s="50" t="s">
        <v>175</v>
      </c>
      <c r="N236" s="50"/>
      <c r="O236" s="50"/>
      <c r="P236" s="50"/>
      <c r="Q236" s="50"/>
      <c r="R236" s="50"/>
      <c r="S236" s="50"/>
    </row>
    <row r="237">
      <c r="A237" s="50"/>
      <c r="B237" s="50"/>
      <c r="C237" s="50"/>
      <c r="D237" s="50"/>
      <c r="E237" s="50"/>
      <c r="F237" s="50"/>
      <c r="G237" s="50"/>
      <c r="H237" s="50"/>
      <c r="I237" s="50"/>
      <c r="J237" s="50" t="str">
        <f>IFERROR(__xludf.DUMMYFUNCTION("""COMPUTED_VALUE"""),"")</f>
        <v/>
      </c>
      <c r="K237" s="50" t="str">
        <f>IFERROR(__xludf.DUMMYFUNCTION("""COMPUTED_VALUE"""),"")</f>
        <v/>
      </c>
      <c r="L237" s="50" t="s">
        <v>175</v>
      </c>
      <c r="M237" s="50" t="s">
        <v>175</v>
      </c>
      <c r="N237" s="50"/>
      <c r="O237" s="50"/>
      <c r="P237" s="50"/>
      <c r="Q237" s="50"/>
      <c r="R237" s="50"/>
      <c r="S237" s="50"/>
    </row>
    <row r="238">
      <c r="A238" s="50"/>
      <c r="B238" s="50"/>
      <c r="C238" s="50"/>
      <c r="D238" s="50"/>
      <c r="E238" s="50"/>
      <c r="F238" s="50"/>
      <c r="G238" s="50"/>
      <c r="H238" s="50"/>
      <c r="I238" s="50"/>
      <c r="J238" s="50" t="str">
        <f>IFERROR(__xludf.DUMMYFUNCTION("""COMPUTED_VALUE"""),"")</f>
        <v/>
      </c>
      <c r="K238" s="50" t="str">
        <f>IFERROR(__xludf.DUMMYFUNCTION("""COMPUTED_VALUE"""),"")</f>
        <v/>
      </c>
      <c r="L238" s="50" t="s">
        <v>175</v>
      </c>
      <c r="M238" s="50" t="s">
        <v>175</v>
      </c>
      <c r="N238" s="50"/>
      <c r="O238" s="50"/>
      <c r="P238" s="50"/>
      <c r="Q238" s="50"/>
      <c r="R238" s="50"/>
      <c r="S238" s="50"/>
    </row>
    <row r="239">
      <c r="A239" s="50"/>
      <c r="B239" s="50"/>
      <c r="C239" s="50"/>
      <c r="D239" s="50"/>
      <c r="E239" s="50"/>
      <c r="F239" s="50"/>
      <c r="G239" s="50"/>
      <c r="H239" s="50"/>
      <c r="I239" s="50"/>
      <c r="J239" s="50" t="str">
        <f>IFERROR(__xludf.DUMMYFUNCTION("""COMPUTED_VALUE"""),"")</f>
        <v/>
      </c>
      <c r="K239" s="50" t="str">
        <f>IFERROR(__xludf.DUMMYFUNCTION("""COMPUTED_VALUE"""),"")</f>
        <v/>
      </c>
      <c r="L239" s="50" t="s">
        <v>175</v>
      </c>
      <c r="M239" s="50" t="s">
        <v>175</v>
      </c>
      <c r="N239" s="50"/>
      <c r="O239" s="50"/>
      <c r="P239" s="50"/>
      <c r="Q239" s="50"/>
      <c r="R239" s="50"/>
      <c r="S239" s="50"/>
    </row>
    <row r="240">
      <c r="A240" s="50"/>
      <c r="B240" s="50"/>
      <c r="C240" s="50"/>
      <c r="D240" s="50"/>
      <c r="E240" s="50"/>
      <c r="F240" s="50"/>
      <c r="G240" s="50"/>
      <c r="H240" s="50"/>
      <c r="I240" s="50"/>
      <c r="J240" s="50" t="str">
        <f>IFERROR(__xludf.DUMMYFUNCTION("""COMPUTED_VALUE"""),"")</f>
        <v/>
      </c>
      <c r="K240" s="50" t="str">
        <f>IFERROR(__xludf.DUMMYFUNCTION("""COMPUTED_VALUE"""),"")</f>
        <v/>
      </c>
      <c r="L240" s="50" t="s">
        <v>175</v>
      </c>
      <c r="M240" s="50" t="s">
        <v>175</v>
      </c>
      <c r="N240" s="50"/>
      <c r="O240" s="50"/>
      <c r="P240" s="50"/>
      <c r="Q240" s="50"/>
      <c r="R240" s="50"/>
      <c r="S240" s="50"/>
    </row>
    <row r="241">
      <c r="A241" s="50"/>
      <c r="B241" s="50"/>
      <c r="C241" s="50"/>
      <c r="D241" s="50"/>
      <c r="E241" s="50"/>
      <c r="F241" s="50"/>
      <c r="G241" s="50"/>
      <c r="H241" s="50"/>
      <c r="I241" s="50"/>
      <c r="J241" s="50" t="str">
        <f>IFERROR(__xludf.DUMMYFUNCTION("""COMPUTED_VALUE"""),"")</f>
        <v/>
      </c>
      <c r="K241" s="50" t="str">
        <f>IFERROR(__xludf.DUMMYFUNCTION("""COMPUTED_VALUE"""),"")</f>
        <v/>
      </c>
      <c r="L241" s="50" t="s">
        <v>175</v>
      </c>
      <c r="M241" s="50" t="s">
        <v>175</v>
      </c>
      <c r="N241" s="50"/>
      <c r="O241" s="50"/>
      <c r="P241" s="50"/>
      <c r="Q241" s="50"/>
      <c r="R241" s="50"/>
      <c r="S241" s="50"/>
    </row>
    <row r="242">
      <c r="A242" s="50"/>
      <c r="B242" s="50"/>
      <c r="C242" s="50"/>
      <c r="D242" s="50"/>
      <c r="E242" s="50"/>
      <c r="F242" s="50"/>
      <c r="G242" s="50"/>
      <c r="H242" s="50"/>
      <c r="I242" s="50"/>
      <c r="J242" s="50" t="str">
        <f>IFERROR(__xludf.DUMMYFUNCTION("""COMPUTED_VALUE"""),"")</f>
        <v/>
      </c>
      <c r="K242" s="50" t="str">
        <f>IFERROR(__xludf.DUMMYFUNCTION("""COMPUTED_VALUE"""),"")</f>
        <v/>
      </c>
      <c r="L242" s="50" t="s">
        <v>175</v>
      </c>
      <c r="M242" s="50" t="s">
        <v>175</v>
      </c>
      <c r="N242" s="50"/>
      <c r="O242" s="50"/>
      <c r="P242" s="50"/>
      <c r="Q242" s="50"/>
      <c r="R242" s="50"/>
      <c r="S242" s="50"/>
    </row>
    <row r="243">
      <c r="A243" s="50"/>
      <c r="B243" s="50"/>
      <c r="C243" s="50"/>
      <c r="D243" s="50"/>
      <c r="E243" s="50"/>
      <c r="F243" s="50"/>
      <c r="G243" s="50"/>
      <c r="H243" s="50"/>
      <c r="I243" s="50"/>
      <c r="J243" s="50" t="str">
        <f>IFERROR(__xludf.DUMMYFUNCTION("""COMPUTED_VALUE"""),"")</f>
        <v/>
      </c>
      <c r="K243" s="50" t="str">
        <f>IFERROR(__xludf.DUMMYFUNCTION("""COMPUTED_VALUE"""),"")</f>
        <v/>
      </c>
      <c r="L243" s="50" t="s">
        <v>175</v>
      </c>
      <c r="M243" s="50" t="s">
        <v>175</v>
      </c>
      <c r="N243" s="50"/>
      <c r="O243" s="50"/>
      <c r="P243" s="50"/>
      <c r="Q243" s="50"/>
      <c r="R243" s="50"/>
      <c r="S243" s="50"/>
    </row>
    <row r="244">
      <c r="A244" s="50"/>
      <c r="B244" s="50"/>
      <c r="C244" s="50"/>
      <c r="D244" s="50"/>
      <c r="E244" s="50"/>
      <c r="F244" s="50"/>
      <c r="G244" s="50"/>
      <c r="H244" s="50"/>
      <c r="I244" s="50"/>
      <c r="J244" s="50" t="str">
        <f>IFERROR(__xludf.DUMMYFUNCTION("""COMPUTED_VALUE"""),"")</f>
        <v/>
      </c>
      <c r="K244" s="50" t="str">
        <f>IFERROR(__xludf.DUMMYFUNCTION("""COMPUTED_VALUE"""),"")</f>
        <v/>
      </c>
      <c r="L244" s="50" t="s">
        <v>175</v>
      </c>
      <c r="M244" s="50" t="s">
        <v>175</v>
      </c>
      <c r="N244" s="50"/>
      <c r="O244" s="50"/>
      <c r="P244" s="50"/>
      <c r="Q244" s="50"/>
      <c r="R244" s="50"/>
      <c r="S244" s="50"/>
    </row>
    <row r="245">
      <c r="A245" s="50"/>
      <c r="B245" s="50"/>
      <c r="C245" s="50"/>
      <c r="D245" s="50"/>
      <c r="E245" s="50"/>
      <c r="F245" s="50"/>
      <c r="G245" s="50"/>
      <c r="H245" s="50"/>
      <c r="I245" s="50"/>
      <c r="J245" s="50" t="str">
        <f>IFERROR(__xludf.DUMMYFUNCTION("""COMPUTED_VALUE"""),"")</f>
        <v/>
      </c>
      <c r="K245" s="50" t="str">
        <f>IFERROR(__xludf.DUMMYFUNCTION("""COMPUTED_VALUE"""),"")</f>
        <v/>
      </c>
      <c r="L245" s="50" t="s">
        <v>175</v>
      </c>
      <c r="M245" s="50" t="s">
        <v>175</v>
      </c>
      <c r="N245" s="50"/>
      <c r="O245" s="50"/>
      <c r="P245" s="50"/>
      <c r="Q245" s="50"/>
      <c r="R245" s="50"/>
      <c r="S245" s="50"/>
    </row>
    <row r="246">
      <c r="A246" s="50"/>
      <c r="B246" s="50"/>
      <c r="C246" s="50"/>
      <c r="D246" s="50"/>
      <c r="E246" s="50"/>
      <c r="F246" s="50"/>
      <c r="G246" s="50"/>
      <c r="H246" s="50"/>
      <c r="I246" s="50"/>
      <c r="J246" s="50" t="str">
        <f>IFERROR(__xludf.DUMMYFUNCTION("""COMPUTED_VALUE"""),"")</f>
        <v/>
      </c>
      <c r="K246" s="50" t="str">
        <f>IFERROR(__xludf.DUMMYFUNCTION("""COMPUTED_VALUE"""),"")</f>
        <v/>
      </c>
      <c r="L246" s="50" t="s">
        <v>175</v>
      </c>
      <c r="M246" s="50" t="s">
        <v>175</v>
      </c>
      <c r="N246" s="50"/>
      <c r="O246" s="50"/>
      <c r="P246" s="50"/>
      <c r="Q246" s="50"/>
      <c r="R246" s="50"/>
      <c r="S246" s="50"/>
    </row>
    <row r="247">
      <c r="A247" s="50"/>
      <c r="B247" s="50"/>
      <c r="C247" s="50"/>
      <c r="D247" s="50"/>
      <c r="E247" s="50"/>
      <c r="F247" s="50"/>
      <c r="G247" s="50"/>
      <c r="H247" s="50"/>
      <c r="I247" s="50"/>
      <c r="J247" s="50" t="str">
        <f>IFERROR(__xludf.DUMMYFUNCTION("""COMPUTED_VALUE"""),"")</f>
        <v/>
      </c>
      <c r="K247" s="50" t="str">
        <f>IFERROR(__xludf.DUMMYFUNCTION("""COMPUTED_VALUE"""),"")</f>
        <v/>
      </c>
      <c r="L247" s="50" t="s">
        <v>175</v>
      </c>
      <c r="M247" s="50" t="s">
        <v>175</v>
      </c>
      <c r="N247" s="50"/>
      <c r="O247" s="50"/>
      <c r="P247" s="50"/>
      <c r="Q247" s="50"/>
      <c r="R247" s="50"/>
      <c r="S247" s="50"/>
    </row>
    <row r="248">
      <c r="A248" s="50"/>
      <c r="B248" s="50"/>
      <c r="C248" s="50"/>
      <c r="D248" s="50"/>
      <c r="E248" s="50"/>
      <c r="F248" s="50"/>
      <c r="G248" s="50"/>
      <c r="H248" s="50"/>
      <c r="I248" s="50"/>
      <c r="J248" s="50" t="str">
        <f>IFERROR(__xludf.DUMMYFUNCTION("""COMPUTED_VALUE"""),"")</f>
        <v/>
      </c>
      <c r="K248" s="50" t="str">
        <f>IFERROR(__xludf.DUMMYFUNCTION("""COMPUTED_VALUE"""),"")</f>
        <v/>
      </c>
      <c r="L248" s="50" t="s">
        <v>175</v>
      </c>
      <c r="M248" s="50" t="s">
        <v>175</v>
      </c>
      <c r="N248" s="50"/>
      <c r="O248" s="50"/>
      <c r="P248" s="50"/>
      <c r="Q248" s="50"/>
      <c r="R248" s="50"/>
      <c r="S248" s="50"/>
    </row>
    <row r="249">
      <c r="A249" s="50"/>
      <c r="B249" s="50"/>
      <c r="C249" s="50"/>
      <c r="D249" s="50"/>
      <c r="E249" s="50"/>
      <c r="F249" s="50"/>
      <c r="G249" s="50"/>
      <c r="H249" s="50"/>
      <c r="I249" s="50"/>
      <c r="J249" s="50" t="str">
        <f>IFERROR(__xludf.DUMMYFUNCTION("""COMPUTED_VALUE"""),"")</f>
        <v/>
      </c>
      <c r="K249" s="50" t="str">
        <f>IFERROR(__xludf.DUMMYFUNCTION("""COMPUTED_VALUE"""),"")</f>
        <v/>
      </c>
      <c r="L249" s="50" t="s">
        <v>175</v>
      </c>
      <c r="M249" s="50" t="s">
        <v>175</v>
      </c>
      <c r="N249" s="50"/>
      <c r="O249" s="50"/>
      <c r="P249" s="50"/>
      <c r="Q249" s="50"/>
      <c r="R249" s="50"/>
      <c r="S249" s="50"/>
    </row>
    <row r="250">
      <c r="A250" s="50"/>
      <c r="B250" s="50"/>
      <c r="C250" s="50"/>
      <c r="D250" s="50"/>
      <c r="E250" s="50"/>
      <c r="F250" s="50"/>
      <c r="G250" s="50"/>
      <c r="H250" s="50"/>
      <c r="I250" s="50"/>
      <c r="J250" s="50" t="str">
        <f>IFERROR(__xludf.DUMMYFUNCTION("""COMPUTED_VALUE"""),"")</f>
        <v/>
      </c>
      <c r="K250" s="50" t="str">
        <f>IFERROR(__xludf.DUMMYFUNCTION("""COMPUTED_VALUE"""),"")</f>
        <v/>
      </c>
      <c r="L250" s="50" t="s">
        <v>175</v>
      </c>
      <c r="M250" s="50" t="s">
        <v>175</v>
      </c>
      <c r="N250" s="50"/>
      <c r="O250" s="50"/>
      <c r="P250" s="50"/>
      <c r="Q250" s="50"/>
      <c r="R250" s="50"/>
      <c r="S250" s="50"/>
    </row>
    <row r="251">
      <c r="A251" s="50"/>
      <c r="B251" s="50"/>
      <c r="C251" s="50"/>
      <c r="D251" s="50"/>
      <c r="E251" s="50"/>
      <c r="F251" s="50"/>
      <c r="G251" s="50"/>
      <c r="H251" s="50"/>
      <c r="I251" s="50"/>
      <c r="J251" s="50" t="str">
        <f>IFERROR(__xludf.DUMMYFUNCTION("""COMPUTED_VALUE"""),"")</f>
        <v/>
      </c>
      <c r="K251" s="50" t="str">
        <f>IFERROR(__xludf.DUMMYFUNCTION("""COMPUTED_VALUE"""),"")</f>
        <v/>
      </c>
      <c r="L251" s="50" t="s">
        <v>175</v>
      </c>
      <c r="M251" s="50" t="s">
        <v>175</v>
      </c>
      <c r="N251" s="50"/>
      <c r="O251" s="50"/>
      <c r="P251" s="50"/>
      <c r="Q251" s="50"/>
      <c r="R251" s="50"/>
      <c r="S251" s="50"/>
    </row>
    <row r="252">
      <c r="A252" s="50"/>
      <c r="B252" s="50"/>
      <c r="C252" s="50"/>
      <c r="D252" s="50"/>
      <c r="E252" s="50"/>
      <c r="F252" s="50"/>
      <c r="G252" s="50"/>
      <c r="H252" s="50"/>
      <c r="I252" s="50"/>
      <c r="J252" s="50" t="str">
        <f>IFERROR(__xludf.DUMMYFUNCTION("""COMPUTED_VALUE"""),"")</f>
        <v/>
      </c>
      <c r="K252" s="50" t="str">
        <f>IFERROR(__xludf.DUMMYFUNCTION("""COMPUTED_VALUE"""),"")</f>
        <v/>
      </c>
      <c r="L252" s="50" t="s">
        <v>175</v>
      </c>
      <c r="M252" s="50" t="s">
        <v>175</v>
      </c>
      <c r="N252" s="50"/>
      <c r="O252" s="50"/>
      <c r="P252" s="50"/>
      <c r="Q252" s="50"/>
      <c r="R252" s="50"/>
      <c r="S252" s="50"/>
    </row>
    <row r="253">
      <c r="A253" s="50"/>
      <c r="B253" s="50"/>
      <c r="C253" s="50"/>
      <c r="D253" s="50"/>
      <c r="E253" s="50"/>
      <c r="F253" s="50"/>
      <c r="G253" s="50"/>
      <c r="H253" s="50"/>
      <c r="I253" s="50"/>
      <c r="J253" s="50" t="str">
        <f>IFERROR(__xludf.DUMMYFUNCTION("""COMPUTED_VALUE"""),"")</f>
        <v/>
      </c>
      <c r="K253" s="50" t="str">
        <f>IFERROR(__xludf.DUMMYFUNCTION("""COMPUTED_VALUE"""),"")</f>
        <v/>
      </c>
      <c r="L253" s="50" t="s">
        <v>175</v>
      </c>
      <c r="M253" s="50" t="s">
        <v>175</v>
      </c>
      <c r="N253" s="50"/>
      <c r="O253" s="50"/>
      <c r="P253" s="50"/>
      <c r="Q253" s="50"/>
      <c r="R253" s="50"/>
      <c r="S253" s="50"/>
    </row>
    <row r="254">
      <c r="A254" s="50"/>
      <c r="B254" s="50"/>
      <c r="C254" s="50"/>
      <c r="D254" s="50"/>
      <c r="E254" s="50"/>
      <c r="F254" s="50"/>
      <c r="G254" s="50"/>
      <c r="H254" s="50"/>
      <c r="I254" s="50"/>
      <c r="J254" s="50" t="str">
        <f>IFERROR(__xludf.DUMMYFUNCTION("""COMPUTED_VALUE"""),"")</f>
        <v/>
      </c>
      <c r="K254" s="50" t="str">
        <f>IFERROR(__xludf.DUMMYFUNCTION("""COMPUTED_VALUE"""),"")</f>
        <v/>
      </c>
      <c r="L254" s="50" t="s">
        <v>175</v>
      </c>
      <c r="M254" s="50" t="s">
        <v>175</v>
      </c>
      <c r="N254" s="50"/>
      <c r="O254" s="50"/>
      <c r="P254" s="50"/>
      <c r="Q254" s="50"/>
      <c r="R254" s="50"/>
      <c r="S254" s="50"/>
    </row>
    <row r="255">
      <c r="A255" s="50"/>
      <c r="B255" s="50"/>
      <c r="C255" s="50"/>
      <c r="D255" s="50"/>
      <c r="E255" s="50"/>
      <c r="F255" s="50"/>
      <c r="G255" s="50"/>
      <c r="H255" s="50"/>
      <c r="I255" s="50"/>
      <c r="J255" s="50" t="str">
        <f>IFERROR(__xludf.DUMMYFUNCTION("""COMPUTED_VALUE"""),"")</f>
        <v/>
      </c>
      <c r="K255" s="50" t="str">
        <f>IFERROR(__xludf.DUMMYFUNCTION("""COMPUTED_VALUE"""),"")</f>
        <v/>
      </c>
      <c r="L255" s="50" t="s">
        <v>175</v>
      </c>
      <c r="M255" s="50" t="s">
        <v>175</v>
      </c>
      <c r="N255" s="50"/>
      <c r="O255" s="50"/>
      <c r="P255" s="50"/>
      <c r="Q255" s="50"/>
      <c r="R255" s="50"/>
      <c r="S255" s="50"/>
    </row>
    <row r="256">
      <c r="A256" s="50"/>
      <c r="B256" s="50"/>
      <c r="C256" s="50"/>
      <c r="D256" s="50"/>
      <c r="E256" s="50"/>
      <c r="F256" s="50"/>
      <c r="G256" s="50"/>
      <c r="H256" s="50"/>
      <c r="I256" s="50"/>
      <c r="J256" s="50" t="str">
        <f>IFERROR(__xludf.DUMMYFUNCTION("""COMPUTED_VALUE"""),"")</f>
        <v/>
      </c>
      <c r="K256" s="50" t="str">
        <f>IFERROR(__xludf.DUMMYFUNCTION("""COMPUTED_VALUE"""),"")</f>
        <v/>
      </c>
      <c r="L256" s="50" t="s">
        <v>175</v>
      </c>
      <c r="M256" s="50" t="s">
        <v>175</v>
      </c>
      <c r="N256" s="50"/>
      <c r="O256" s="50"/>
      <c r="P256" s="50"/>
      <c r="Q256" s="50"/>
      <c r="R256" s="50"/>
      <c r="S256" s="50"/>
    </row>
    <row r="257">
      <c r="A257" s="50"/>
      <c r="B257" s="50"/>
      <c r="C257" s="50"/>
      <c r="D257" s="50"/>
      <c r="E257" s="50"/>
      <c r="F257" s="50"/>
      <c r="G257" s="50"/>
      <c r="H257" s="50"/>
      <c r="I257" s="50"/>
      <c r="J257" s="50" t="str">
        <f>IFERROR(__xludf.DUMMYFUNCTION("""COMPUTED_VALUE"""),"")</f>
        <v/>
      </c>
      <c r="K257" s="50" t="str">
        <f>IFERROR(__xludf.DUMMYFUNCTION("""COMPUTED_VALUE"""),"")</f>
        <v/>
      </c>
      <c r="L257" s="50" t="s">
        <v>175</v>
      </c>
      <c r="M257" s="50" t="s">
        <v>175</v>
      </c>
      <c r="N257" s="50"/>
      <c r="O257" s="50"/>
      <c r="P257" s="50"/>
      <c r="Q257" s="50"/>
      <c r="R257" s="50"/>
      <c r="S257" s="50"/>
    </row>
    <row r="258">
      <c r="A258" s="50"/>
      <c r="B258" s="50"/>
      <c r="C258" s="50"/>
      <c r="D258" s="50"/>
      <c r="E258" s="50"/>
      <c r="F258" s="50"/>
      <c r="G258" s="50"/>
      <c r="H258" s="50"/>
      <c r="I258" s="50"/>
      <c r="J258" s="50" t="str">
        <f>IFERROR(__xludf.DUMMYFUNCTION("""COMPUTED_VALUE"""),"")</f>
        <v/>
      </c>
      <c r="K258" s="50" t="str">
        <f>IFERROR(__xludf.DUMMYFUNCTION("""COMPUTED_VALUE"""),"")</f>
        <v/>
      </c>
      <c r="L258" s="50" t="s">
        <v>175</v>
      </c>
      <c r="M258" s="50" t="s">
        <v>175</v>
      </c>
      <c r="N258" s="50"/>
      <c r="O258" s="50"/>
      <c r="P258" s="50"/>
      <c r="Q258" s="50"/>
      <c r="R258" s="50"/>
      <c r="S258" s="50"/>
    </row>
    <row r="259">
      <c r="A259" s="50"/>
      <c r="B259" s="50"/>
      <c r="C259" s="50"/>
      <c r="D259" s="50"/>
      <c r="E259" s="50"/>
      <c r="F259" s="50"/>
      <c r="G259" s="50"/>
      <c r="H259" s="50"/>
      <c r="I259" s="50"/>
      <c r="J259" s="50" t="str">
        <f>IFERROR(__xludf.DUMMYFUNCTION("""COMPUTED_VALUE"""),"")</f>
        <v/>
      </c>
      <c r="K259" s="50" t="str">
        <f>IFERROR(__xludf.DUMMYFUNCTION("""COMPUTED_VALUE"""),"")</f>
        <v/>
      </c>
      <c r="L259" s="50" t="s">
        <v>175</v>
      </c>
      <c r="M259" s="50" t="s">
        <v>175</v>
      </c>
      <c r="N259" s="50"/>
      <c r="O259" s="50"/>
      <c r="P259" s="50"/>
      <c r="Q259" s="50"/>
      <c r="R259" s="50"/>
      <c r="S259" s="50"/>
    </row>
    <row r="260">
      <c r="A260" s="50"/>
      <c r="B260" s="50"/>
      <c r="C260" s="50"/>
      <c r="D260" s="50"/>
      <c r="E260" s="50"/>
      <c r="F260" s="50"/>
      <c r="G260" s="50"/>
      <c r="H260" s="50"/>
      <c r="I260" s="50"/>
      <c r="J260" s="50" t="str">
        <f>IFERROR(__xludf.DUMMYFUNCTION("""COMPUTED_VALUE"""),"")</f>
        <v/>
      </c>
      <c r="K260" s="50" t="str">
        <f>IFERROR(__xludf.DUMMYFUNCTION("""COMPUTED_VALUE"""),"")</f>
        <v/>
      </c>
      <c r="L260" s="50" t="s">
        <v>175</v>
      </c>
      <c r="M260" s="50" t="s">
        <v>175</v>
      </c>
      <c r="N260" s="50"/>
      <c r="O260" s="50"/>
      <c r="P260" s="50"/>
      <c r="Q260" s="50"/>
      <c r="R260" s="50"/>
      <c r="S260" s="50"/>
    </row>
    <row r="261">
      <c r="A261" s="50"/>
      <c r="B261" s="50"/>
      <c r="C261" s="50"/>
      <c r="D261" s="50"/>
      <c r="E261" s="50"/>
      <c r="F261" s="50"/>
      <c r="G261" s="50"/>
      <c r="H261" s="50"/>
      <c r="I261" s="50"/>
      <c r="J261" s="50" t="str">
        <f>IFERROR(__xludf.DUMMYFUNCTION("""COMPUTED_VALUE"""),"")</f>
        <v/>
      </c>
      <c r="K261" s="50" t="str">
        <f>IFERROR(__xludf.DUMMYFUNCTION("""COMPUTED_VALUE"""),"")</f>
        <v/>
      </c>
      <c r="L261" s="50" t="s">
        <v>175</v>
      </c>
      <c r="M261" s="50" t="s">
        <v>175</v>
      </c>
      <c r="N261" s="50"/>
      <c r="O261" s="50"/>
      <c r="P261" s="50"/>
      <c r="Q261" s="50"/>
      <c r="R261" s="50"/>
      <c r="S261" s="50"/>
    </row>
    <row r="262">
      <c r="A262" s="50"/>
      <c r="B262" s="50"/>
      <c r="C262" s="50"/>
      <c r="D262" s="50"/>
      <c r="E262" s="50"/>
      <c r="F262" s="50"/>
      <c r="G262" s="50"/>
      <c r="H262" s="50"/>
      <c r="I262" s="50"/>
      <c r="J262" s="50" t="str">
        <f>IFERROR(__xludf.DUMMYFUNCTION("""COMPUTED_VALUE"""),"")</f>
        <v/>
      </c>
      <c r="K262" s="50" t="str">
        <f>IFERROR(__xludf.DUMMYFUNCTION("""COMPUTED_VALUE"""),"")</f>
        <v/>
      </c>
      <c r="L262" s="50" t="s">
        <v>175</v>
      </c>
      <c r="M262" s="50" t="s">
        <v>175</v>
      </c>
      <c r="N262" s="50"/>
      <c r="O262" s="50"/>
      <c r="P262" s="50"/>
      <c r="Q262" s="50"/>
      <c r="R262" s="50"/>
      <c r="S262" s="50"/>
    </row>
    <row r="263">
      <c r="A263" s="50"/>
      <c r="B263" s="50"/>
      <c r="C263" s="50"/>
      <c r="D263" s="50"/>
      <c r="E263" s="50"/>
      <c r="F263" s="50"/>
      <c r="G263" s="50"/>
      <c r="H263" s="50"/>
      <c r="I263" s="50"/>
      <c r="J263" s="50" t="str">
        <f>IFERROR(__xludf.DUMMYFUNCTION("""COMPUTED_VALUE"""),"")</f>
        <v/>
      </c>
      <c r="K263" s="50" t="str">
        <f>IFERROR(__xludf.DUMMYFUNCTION("""COMPUTED_VALUE"""),"")</f>
        <v/>
      </c>
      <c r="L263" s="50" t="s">
        <v>175</v>
      </c>
      <c r="M263" s="50" t="s">
        <v>175</v>
      </c>
      <c r="N263" s="50"/>
      <c r="O263" s="50"/>
      <c r="P263" s="50"/>
      <c r="Q263" s="50"/>
      <c r="R263" s="50"/>
      <c r="S263" s="50"/>
    </row>
    <row r="264">
      <c r="A264" s="50"/>
      <c r="B264" s="50"/>
      <c r="C264" s="50"/>
      <c r="D264" s="50"/>
      <c r="E264" s="50"/>
      <c r="F264" s="50"/>
      <c r="G264" s="50"/>
      <c r="H264" s="50"/>
      <c r="I264" s="50"/>
      <c r="J264" s="50" t="str">
        <f>IFERROR(__xludf.DUMMYFUNCTION("""COMPUTED_VALUE"""),"")</f>
        <v/>
      </c>
      <c r="K264" s="50" t="str">
        <f>IFERROR(__xludf.DUMMYFUNCTION("""COMPUTED_VALUE"""),"")</f>
        <v/>
      </c>
      <c r="L264" s="50" t="s">
        <v>175</v>
      </c>
      <c r="M264" s="50" t="s">
        <v>175</v>
      </c>
      <c r="N264" s="50"/>
      <c r="O264" s="50"/>
      <c r="P264" s="50"/>
      <c r="Q264" s="50"/>
      <c r="R264" s="50"/>
      <c r="S264" s="50"/>
    </row>
    <row r="265">
      <c r="A265" s="50"/>
      <c r="B265" s="50"/>
      <c r="C265" s="50"/>
      <c r="D265" s="50"/>
      <c r="E265" s="50"/>
      <c r="F265" s="50"/>
      <c r="G265" s="50"/>
      <c r="H265" s="50"/>
      <c r="I265" s="50"/>
      <c r="J265" s="50" t="str">
        <f>IFERROR(__xludf.DUMMYFUNCTION("""COMPUTED_VALUE"""),"")</f>
        <v/>
      </c>
      <c r="K265" s="50" t="str">
        <f>IFERROR(__xludf.DUMMYFUNCTION("""COMPUTED_VALUE"""),"")</f>
        <v/>
      </c>
      <c r="L265" s="50" t="s">
        <v>175</v>
      </c>
      <c r="M265" s="50" t="s">
        <v>175</v>
      </c>
      <c r="N265" s="50"/>
      <c r="O265" s="50"/>
      <c r="P265" s="50"/>
      <c r="Q265" s="50"/>
      <c r="R265" s="50"/>
      <c r="S265" s="50"/>
    </row>
    <row r="266">
      <c r="A266" s="50"/>
      <c r="B266" s="50"/>
      <c r="C266" s="50"/>
      <c r="D266" s="50"/>
      <c r="E266" s="50"/>
      <c r="F266" s="50"/>
      <c r="G266" s="50"/>
      <c r="H266" s="50"/>
      <c r="I266" s="50"/>
      <c r="J266" s="50" t="str">
        <f>IFERROR(__xludf.DUMMYFUNCTION("""COMPUTED_VALUE"""),"")</f>
        <v/>
      </c>
      <c r="K266" s="50" t="str">
        <f>IFERROR(__xludf.DUMMYFUNCTION("""COMPUTED_VALUE"""),"")</f>
        <v/>
      </c>
      <c r="L266" s="50" t="s">
        <v>175</v>
      </c>
      <c r="M266" s="50" t="s">
        <v>175</v>
      </c>
      <c r="N266" s="50"/>
      <c r="O266" s="50"/>
      <c r="P266" s="50"/>
      <c r="Q266" s="50"/>
      <c r="R266" s="50"/>
      <c r="S266" s="50"/>
    </row>
    <row r="267">
      <c r="A267" s="50"/>
      <c r="B267" s="50"/>
      <c r="C267" s="50"/>
      <c r="D267" s="50"/>
      <c r="E267" s="50"/>
      <c r="F267" s="50"/>
      <c r="G267" s="50"/>
      <c r="H267" s="50"/>
      <c r="I267" s="50"/>
      <c r="J267" s="50" t="str">
        <f>IFERROR(__xludf.DUMMYFUNCTION("""COMPUTED_VALUE"""),"")</f>
        <v/>
      </c>
      <c r="K267" s="50" t="str">
        <f>IFERROR(__xludf.DUMMYFUNCTION("""COMPUTED_VALUE"""),"")</f>
        <v/>
      </c>
      <c r="L267" s="50" t="s">
        <v>175</v>
      </c>
      <c r="M267" s="50" t="s">
        <v>175</v>
      </c>
      <c r="N267" s="50"/>
      <c r="O267" s="50"/>
      <c r="P267" s="50"/>
      <c r="Q267" s="50"/>
      <c r="R267" s="50"/>
      <c r="S267" s="50"/>
    </row>
    <row r="268">
      <c r="A268" s="50"/>
      <c r="B268" s="50"/>
      <c r="C268" s="50"/>
      <c r="D268" s="50"/>
      <c r="E268" s="50"/>
      <c r="F268" s="50"/>
      <c r="G268" s="50"/>
      <c r="H268" s="50"/>
      <c r="I268" s="50"/>
      <c r="J268" s="50" t="str">
        <f>IFERROR(__xludf.DUMMYFUNCTION("""COMPUTED_VALUE"""),"")</f>
        <v/>
      </c>
      <c r="K268" s="50" t="str">
        <f>IFERROR(__xludf.DUMMYFUNCTION("""COMPUTED_VALUE"""),"")</f>
        <v/>
      </c>
      <c r="L268" s="50" t="s">
        <v>175</v>
      </c>
      <c r="M268" s="50" t="s">
        <v>175</v>
      </c>
      <c r="N268" s="50"/>
      <c r="O268" s="50"/>
      <c r="P268" s="50"/>
      <c r="Q268" s="50"/>
      <c r="R268" s="50"/>
      <c r="S268" s="50"/>
    </row>
    <row r="269">
      <c r="A269" s="50"/>
      <c r="B269" s="50"/>
      <c r="C269" s="50"/>
      <c r="D269" s="50"/>
      <c r="E269" s="50"/>
      <c r="F269" s="50"/>
      <c r="G269" s="50"/>
      <c r="H269" s="50"/>
      <c r="I269" s="50"/>
      <c r="J269" s="50" t="str">
        <f>IFERROR(__xludf.DUMMYFUNCTION("""COMPUTED_VALUE"""),"")</f>
        <v/>
      </c>
      <c r="K269" s="50" t="str">
        <f>IFERROR(__xludf.DUMMYFUNCTION("""COMPUTED_VALUE"""),"")</f>
        <v/>
      </c>
      <c r="L269" s="50" t="s">
        <v>175</v>
      </c>
      <c r="M269" s="50" t="s">
        <v>175</v>
      </c>
      <c r="N269" s="50"/>
      <c r="O269" s="50"/>
      <c r="P269" s="50"/>
      <c r="Q269" s="50"/>
      <c r="R269" s="50"/>
      <c r="S269" s="50"/>
    </row>
    <row r="270">
      <c r="A270" s="50"/>
      <c r="B270" s="50"/>
      <c r="C270" s="50"/>
      <c r="D270" s="50"/>
      <c r="E270" s="50"/>
      <c r="F270" s="50"/>
      <c r="G270" s="50"/>
      <c r="H270" s="50"/>
      <c r="I270" s="50"/>
      <c r="J270" s="50" t="str">
        <f>IFERROR(__xludf.DUMMYFUNCTION("""COMPUTED_VALUE"""),"")</f>
        <v/>
      </c>
      <c r="K270" s="50" t="str">
        <f>IFERROR(__xludf.DUMMYFUNCTION("""COMPUTED_VALUE"""),"")</f>
        <v/>
      </c>
      <c r="L270" s="50" t="s">
        <v>175</v>
      </c>
      <c r="M270" s="50" t="s">
        <v>175</v>
      </c>
      <c r="N270" s="50"/>
      <c r="O270" s="50"/>
      <c r="P270" s="50"/>
      <c r="Q270" s="50"/>
      <c r="R270" s="50"/>
      <c r="S270" s="50"/>
    </row>
    <row r="271">
      <c r="A271" s="50"/>
      <c r="B271" s="50"/>
      <c r="C271" s="50"/>
      <c r="D271" s="50"/>
      <c r="E271" s="50"/>
      <c r="F271" s="50"/>
      <c r="G271" s="50"/>
      <c r="H271" s="50"/>
      <c r="I271" s="50"/>
      <c r="J271" s="50" t="str">
        <f>IFERROR(__xludf.DUMMYFUNCTION("""COMPUTED_VALUE"""),"")</f>
        <v/>
      </c>
      <c r="K271" s="50" t="str">
        <f>IFERROR(__xludf.DUMMYFUNCTION("""COMPUTED_VALUE"""),"")</f>
        <v/>
      </c>
      <c r="L271" s="50" t="s">
        <v>175</v>
      </c>
      <c r="M271" s="50" t="s">
        <v>175</v>
      </c>
      <c r="N271" s="50"/>
      <c r="O271" s="50"/>
      <c r="P271" s="50"/>
      <c r="Q271" s="50"/>
      <c r="R271" s="50"/>
      <c r="S271" s="50"/>
    </row>
    <row r="272">
      <c r="A272" s="50"/>
      <c r="B272" s="50"/>
      <c r="C272" s="50"/>
      <c r="D272" s="50"/>
      <c r="E272" s="50"/>
      <c r="F272" s="50"/>
      <c r="G272" s="50"/>
      <c r="H272" s="50"/>
      <c r="I272" s="50"/>
      <c r="J272" s="50" t="str">
        <f>IFERROR(__xludf.DUMMYFUNCTION("""COMPUTED_VALUE"""),"")</f>
        <v/>
      </c>
      <c r="K272" s="50" t="str">
        <f>IFERROR(__xludf.DUMMYFUNCTION("""COMPUTED_VALUE"""),"")</f>
        <v/>
      </c>
      <c r="L272" s="50" t="s">
        <v>175</v>
      </c>
      <c r="M272" s="50" t="s">
        <v>175</v>
      </c>
      <c r="N272" s="50"/>
      <c r="O272" s="50"/>
      <c r="P272" s="50"/>
      <c r="Q272" s="50"/>
      <c r="R272" s="50"/>
      <c r="S272" s="50"/>
    </row>
    <row r="273">
      <c r="A273" s="50"/>
      <c r="B273" s="50"/>
      <c r="C273" s="50"/>
      <c r="D273" s="50"/>
      <c r="E273" s="50"/>
      <c r="F273" s="50"/>
      <c r="G273" s="50"/>
      <c r="H273" s="50"/>
      <c r="I273" s="50"/>
      <c r="J273" s="50" t="str">
        <f>IFERROR(__xludf.DUMMYFUNCTION("""COMPUTED_VALUE"""),"")</f>
        <v/>
      </c>
      <c r="K273" s="50" t="str">
        <f>IFERROR(__xludf.DUMMYFUNCTION("""COMPUTED_VALUE"""),"")</f>
        <v/>
      </c>
      <c r="L273" s="50" t="s">
        <v>175</v>
      </c>
      <c r="M273" s="50" t="s">
        <v>175</v>
      </c>
      <c r="N273" s="50"/>
      <c r="O273" s="50"/>
      <c r="P273" s="50"/>
      <c r="Q273" s="50"/>
      <c r="R273" s="50"/>
      <c r="S273" s="50"/>
    </row>
    <row r="274">
      <c r="A274" s="50"/>
      <c r="B274" s="50"/>
      <c r="C274" s="50"/>
      <c r="D274" s="50"/>
      <c r="E274" s="50"/>
      <c r="F274" s="50"/>
      <c r="G274" s="50"/>
      <c r="H274" s="50"/>
      <c r="I274" s="50"/>
      <c r="J274" s="50" t="str">
        <f>IFERROR(__xludf.DUMMYFUNCTION("""COMPUTED_VALUE"""),"")</f>
        <v/>
      </c>
      <c r="K274" s="50" t="str">
        <f>IFERROR(__xludf.DUMMYFUNCTION("""COMPUTED_VALUE"""),"")</f>
        <v/>
      </c>
      <c r="L274" s="50" t="s">
        <v>175</v>
      </c>
      <c r="M274" s="50" t="s">
        <v>175</v>
      </c>
      <c r="N274" s="50"/>
      <c r="O274" s="50"/>
      <c r="P274" s="50"/>
      <c r="Q274" s="50"/>
      <c r="R274" s="50"/>
      <c r="S274" s="50"/>
    </row>
    <row r="275">
      <c r="A275" s="50"/>
      <c r="B275" s="50"/>
      <c r="C275" s="50"/>
      <c r="D275" s="50"/>
      <c r="E275" s="50"/>
      <c r="F275" s="50"/>
      <c r="G275" s="50"/>
      <c r="H275" s="50"/>
      <c r="I275" s="50"/>
      <c r="J275" s="50" t="str">
        <f>IFERROR(__xludf.DUMMYFUNCTION("""COMPUTED_VALUE"""),"")</f>
        <v/>
      </c>
      <c r="K275" s="50" t="str">
        <f>IFERROR(__xludf.DUMMYFUNCTION("""COMPUTED_VALUE"""),"")</f>
        <v/>
      </c>
      <c r="L275" s="50" t="s">
        <v>175</v>
      </c>
      <c r="M275" s="50" t="s">
        <v>175</v>
      </c>
      <c r="N275" s="50"/>
      <c r="O275" s="50"/>
      <c r="P275" s="50"/>
      <c r="Q275" s="50"/>
      <c r="R275" s="50"/>
      <c r="S275" s="50"/>
    </row>
    <row r="276">
      <c r="A276" s="50"/>
      <c r="B276" s="50"/>
      <c r="C276" s="50"/>
      <c r="D276" s="50"/>
      <c r="E276" s="50"/>
      <c r="F276" s="50"/>
      <c r="G276" s="50"/>
      <c r="H276" s="50"/>
      <c r="I276" s="50"/>
      <c r="J276" s="50" t="str">
        <f>IFERROR(__xludf.DUMMYFUNCTION("""COMPUTED_VALUE"""),"")</f>
        <v/>
      </c>
      <c r="K276" s="50" t="str">
        <f>IFERROR(__xludf.DUMMYFUNCTION("""COMPUTED_VALUE"""),"")</f>
        <v/>
      </c>
      <c r="L276" s="50" t="s">
        <v>175</v>
      </c>
      <c r="M276" s="50" t="s">
        <v>175</v>
      </c>
      <c r="N276" s="50"/>
      <c r="O276" s="50"/>
      <c r="P276" s="50"/>
      <c r="Q276" s="50"/>
      <c r="R276" s="50"/>
      <c r="S276" s="50"/>
    </row>
    <row r="277">
      <c r="A277" s="50"/>
      <c r="B277" s="50"/>
      <c r="C277" s="50"/>
      <c r="D277" s="50"/>
      <c r="E277" s="50"/>
      <c r="F277" s="50"/>
      <c r="G277" s="50"/>
      <c r="H277" s="50"/>
      <c r="I277" s="50"/>
      <c r="J277" s="50" t="str">
        <f>IFERROR(__xludf.DUMMYFUNCTION("""COMPUTED_VALUE"""),"")</f>
        <v/>
      </c>
      <c r="K277" s="50" t="str">
        <f>IFERROR(__xludf.DUMMYFUNCTION("""COMPUTED_VALUE"""),"")</f>
        <v/>
      </c>
      <c r="L277" s="50" t="s">
        <v>175</v>
      </c>
      <c r="M277" s="50" t="s">
        <v>175</v>
      </c>
      <c r="N277" s="50"/>
      <c r="O277" s="50"/>
      <c r="P277" s="50"/>
      <c r="Q277" s="50"/>
      <c r="R277" s="50"/>
      <c r="S277" s="50"/>
    </row>
    <row r="278">
      <c r="A278" s="50"/>
      <c r="B278" s="50"/>
      <c r="C278" s="50"/>
      <c r="D278" s="50"/>
      <c r="E278" s="50"/>
      <c r="F278" s="50"/>
      <c r="G278" s="50"/>
      <c r="H278" s="50"/>
      <c r="I278" s="50"/>
      <c r="J278" s="50" t="str">
        <f>IFERROR(__xludf.DUMMYFUNCTION("""COMPUTED_VALUE"""),"")</f>
        <v/>
      </c>
      <c r="K278" s="50" t="str">
        <f>IFERROR(__xludf.DUMMYFUNCTION("""COMPUTED_VALUE"""),"")</f>
        <v/>
      </c>
      <c r="L278" s="50" t="s">
        <v>175</v>
      </c>
      <c r="M278" s="50" t="s">
        <v>175</v>
      </c>
      <c r="N278" s="50"/>
      <c r="O278" s="50"/>
      <c r="P278" s="50"/>
      <c r="Q278" s="50"/>
      <c r="R278" s="50"/>
      <c r="S278" s="50"/>
    </row>
    <row r="279">
      <c r="A279" s="50"/>
      <c r="B279" s="50"/>
      <c r="C279" s="50"/>
      <c r="D279" s="50"/>
      <c r="E279" s="50"/>
      <c r="F279" s="50"/>
      <c r="G279" s="50"/>
      <c r="H279" s="50"/>
      <c r="I279" s="50"/>
      <c r="J279" s="50" t="str">
        <f>IFERROR(__xludf.DUMMYFUNCTION("""COMPUTED_VALUE"""),"")</f>
        <v/>
      </c>
      <c r="K279" s="50" t="str">
        <f>IFERROR(__xludf.DUMMYFUNCTION("""COMPUTED_VALUE"""),"")</f>
        <v/>
      </c>
      <c r="L279" s="50" t="s">
        <v>175</v>
      </c>
      <c r="M279" s="50" t="s">
        <v>175</v>
      </c>
      <c r="N279" s="50"/>
      <c r="O279" s="50"/>
      <c r="P279" s="50"/>
      <c r="Q279" s="50"/>
      <c r="R279" s="50"/>
      <c r="S279" s="50"/>
    </row>
    <row r="280">
      <c r="A280" s="50"/>
      <c r="B280" s="50"/>
      <c r="C280" s="50"/>
      <c r="D280" s="50"/>
      <c r="E280" s="50"/>
      <c r="F280" s="50"/>
      <c r="G280" s="50"/>
      <c r="H280" s="50"/>
      <c r="I280" s="50"/>
      <c r="J280" s="50" t="str">
        <f>IFERROR(__xludf.DUMMYFUNCTION("""COMPUTED_VALUE"""),"")</f>
        <v/>
      </c>
      <c r="K280" s="50" t="str">
        <f>IFERROR(__xludf.DUMMYFUNCTION("""COMPUTED_VALUE"""),"")</f>
        <v/>
      </c>
      <c r="L280" s="50" t="s">
        <v>175</v>
      </c>
      <c r="M280" s="50" t="s">
        <v>175</v>
      </c>
      <c r="N280" s="50"/>
      <c r="O280" s="50"/>
      <c r="P280" s="50"/>
      <c r="Q280" s="50"/>
      <c r="R280" s="50"/>
      <c r="S280" s="50"/>
    </row>
    <row r="281">
      <c r="A281" s="50"/>
      <c r="B281" s="50"/>
      <c r="C281" s="50"/>
      <c r="D281" s="50"/>
      <c r="E281" s="50"/>
      <c r="F281" s="50"/>
      <c r="G281" s="50"/>
      <c r="H281" s="50"/>
      <c r="I281" s="50"/>
      <c r="J281" s="50" t="str">
        <f>IFERROR(__xludf.DUMMYFUNCTION("""COMPUTED_VALUE"""),"")</f>
        <v/>
      </c>
      <c r="K281" s="50" t="str">
        <f>IFERROR(__xludf.DUMMYFUNCTION("""COMPUTED_VALUE"""),"")</f>
        <v/>
      </c>
      <c r="L281" s="50" t="s">
        <v>175</v>
      </c>
      <c r="M281" s="50" t="s">
        <v>175</v>
      </c>
      <c r="N281" s="50"/>
      <c r="O281" s="50"/>
      <c r="P281" s="50"/>
      <c r="Q281" s="50"/>
      <c r="R281" s="50"/>
      <c r="S281" s="50"/>
    </row>
    <row r="282">
      <c r="A282" s="50"/>
      <c r="B282" s="50"/>
      <c r="C282" s="50"/>
      <c r="D282" s="50"/>
      <c r="E282" s="50"/>
      <c r="F282" s="50"/>
      <c r="G282" s="50"/>
      <c r="H282" s="50"/>
      <c r="I282" s="50"/>
      <c r="J282" s="50" t="str">
        <f>IFERROR(__xludf.DUMMYFUNCTION("""COMPUTED_VALUE"""),"")</f>
        <v/>
      </c>
      <c r="K282" s="50" t="str">
        <f>IFERROR(__xludf.DUMMYFUNCTION("""COMPUTED_VALUE"""),"")</f>
        <v/>
      </c>
      <c r="L282" s="50" t="s">
        <v>175</v>
      </c>
      <c r="M282" s="50" t="s">
        <v>175</v>
      </c>
      <c r="N282" s="50"/>
      <c r="O282" s="50"/>
      <c r="P282" s="50"/>
      <c r="Q282" s="50"/>
      <c r="R282" s="50"/>
      <c r="S282" s="50"/>
    </row>
    <row r="283">
      <c r="A283" s="50"/>
      <c r="B283" s="50"/>
      <c r="C283" s="50"/>
      <c r="D283" s="50"/>
      <c r="E283" s="50"/>
      <c r="F283" s="50"/>
      <c r="G283" s="50"/>
      <c r="H283" s="50"/>
      <c r="I283" s="50"/>
      <c r="J283" s="50" t="str">
        <f>IFERROR(__xludf.DUMMYFUNCTION("""COMPUTED_VALUE"""),"")</f>
        <v/>
      </c>
      <c r="K283" s="50" t="str">
        <f>IFERROR(__xludf.DUMMYFUNCTION("""COMPUTED_VALUE"""),"")</f>
        <v/>
      </c>
      <c r="L283" s="50" t="s">
        <v>175</v>
      </c>
      <c r="M283" s="50" t="s">
        <v>175</v>
      </c>
      <c r="N283" s="50"/>
      <c r="O283" s="50"/>
      <c r="P283" s="50"/>
      <c r="Q283" s="50"/>
      <c r="R283" s="50"/>
      <c r="S283" s="50"/>
    </row>
    <row r="284">
      <c r="A284" s="50"/>
      <c r="B284" s="50"/>
      <c r="C284" s="50"/>
      <c r="D284" s="50"/>
      <c r="E284" s="50"/>
      <c r="F284" s="50"/>
      <c r="G284" s="50"/>
      <c r="H284" s="50"/>
      <c r="I284" s="50"/>
      <c r="J284" s="50" t="str">
        <f>IFERROR(__xludf.DUMMYFUNCTION("""COMPUTED_VALUE"""),"")</f>
        <v/>
      </c>
      <c r="K284" s="50" t="str">
        <f>IFERROR(__xludf.DUMMYFUNCTION("""COMPUTED_VALUE"""),"")</f>
        <v/>
      </c>
      <c r="L284" s="50" t="s">
        <v>175</v>
      </c>
      <c r="M284" s="50" t="s">
        <v>175</v>
      </c>
      <c r="N284" s="50"/>
      <c r="O284" s="50"/>
      <c r="P284" s="50"/>
      <c r="Q284" s="50"/>
      <c r="R284" s="50"/>
      <c r="S284" s="50"/>
    </row>
    <row r="285">
      <c r="A285" s="50"/>
      <c r="B285" s="50"/>
      <c r="C285" s="50"/>
      <c r="D285" s="50"/>
      <c r="E285" s="50"/>
      <c r="F285" s="50"/>
      <c r="G285" s="50"/>
      <c r="H285" s="50"/>
      <c r="I285" s="50"/>
      <c r="J285" s="50" t="str">
        <f>IFERROR(__xludf.DUMMYFUNCTION("""COMPUTED_VALUE"""),"")</f>
        <v/>
      </c>
      <c r="K285" s="50" t="str">
        <f>IFERROR(__xludf.DUMMYFUNCTION("""COMPUTED_VALUE"""),"")</f>
        <v/>
      </c>
      <c r="L285" s="50" t="s">
        <v>175</v>
      </c>
      <c r="M285" s="50" t="s">
        <v>175</v>
      </c>
      <c r="N285" s="50"/>
      <c r="O285" s="50"/>
      <c r="P285" s="50"/>
      <c r="Q285" s="50"/>
      <c r="R285" s="50"/>
      <c r="S285" s="50"/>
    </row>
    <row r="286">
      <c r="A286" s="50"/>
      <c r="B286" s="50"/>
      <c r="C286" s="50"/>
      <c r="D286" s="50"/>
      <c r="E286" s="50"/>
      <c r="F286" s="50"/>
      <c r="G286" s="50"/>
      <c r="H286" s="50"/>
      <c r="I286" s="50"/>
      <c r="J286" s="50" t="str">
        <f>IFERROR(__xludf.DUMMYFUNCTION("""COMPUTED_VALUE"""),"")</f>
        <v/>
      </c>
      <c r="K286" s="50" t="str">
        <f>IFERROR(__xludf.DUMMYFUNCTION("""COMPUTED_VALUE"""),"")</f>
        <v/>
      </c>
      <c r="L286" s="50" t="s">
        <v>175</v>
      </c>
      <c r="M286" s="50" t="s">
        <v>175</v>
      </c>
      <c r="N286" s="50"/>
      <c r="O286" s="50"/>
      <c r="P286" s="50"/>
      <c r="Q286" s="50"/>
      <c r="R286" s="50"/>
      <c r="S286" s="50"/>
    </row>
    <row r="287">
      <c r="A287" s="50"/>
      <c r="B287" s="50"/>
      <c r="C287" s="50"/>
      <c r="D287" s="50"/>
      <c r="E287" s="50"/>
      <c r="F287" s="50"/>
      <c r="G287" s="50"/>
      <c r="H287" s="50"/>
      <c r="I287" s="50"/>
      <c r="J287" s="50" t="str">
        <f>IFERROR(__xludf.DUMMYFUNCTION("""COMPUTED_VALUE"""),"")</f>
        <v/>
      </c>
      <c r="K287" s="50" t="str">
        <f>IFERROR(__xludf.DUMMYFUNCTION("""COMPUTED_VALUE"""),"")</f>
        <v/>
      </c>
      <c r="L287" s="50" t="s">
        <v>175</v>
      </c>
      <c r="M287" s="50" t="s">
        <v>175</v>
      </c>
      <c r="N287" s="50"/>
      <c r="O287" s="50"/>
      <c r="P287" s="50"/>
      <c r="Q287" s="50"/>
      <c r="R287" s="50"/>
      <c r="S287" s="50"/>
    </row>
    <row r="288">
      <c r="A288" s="50"/>
      <c r="B288" s="50"/>
      <c r="C288" s="50"/>
      <c r="D288" s="50"/>
      <c r="E288" s="50"/>
      <c r="F288" s="50"/>
      <c r="G288" s="50"/>
      <c r="H288" s="50"/>
      <c r="I288" s="50"/>
      <c r="J288" s="50" t="str">
        <f>IFERROR(__xludf.DUMMYFUNCTION("""COMPUTED_VALUE"""),"")</f>
        <v/>
      </c>
      <c r="K288" s="50" t="str">
        <f>IFERROR(__xludf.DUMMYFUNCTION("""COMPUTED_VALUE"""),"")</f>
        <v/>
      </c>
      <c r="L288" s="50" t="s">
        <v>175</v>
      </c>
      <c r="M288" s="50" t="s">
        <v>175</v>
      </c>
      <c r="N288" s="50"/>
      <c r="O288" s="50"/>
      <c r="P288" s="50"/>
      <c r="Q288" s="50"/>
      <c r="R288" s="50"/>
      <c r="S288" s="50"/>
    </row>
    <row r="289">
      <c r="A289" s="50"/>
      <c r="B289" s="50"/>
      <c r="C289" s="50"/>
      <c r="D289" s="50"/>
      <c r="E289" s="50"/>
      <c r="F289" s="50"/>
      <c r="G289" s="50"/>
      <c r="H289" s="50"/>
      <c r="I289" s="50"/>
      <c r="J289" s="50" t="str">
        <f>IFERROR(__xludf.DUMMYFUNCTION("""COMPUTED_VALUE"""),"")</f>
        <v/>
      </c>
      <c r="K289" s="50" t="str">
        <f>IFERROR(__xludf.DUMMYFUNCTION("""COMPUTED_VALUE"""),"")</f>
        <v/>
      </c>
      <c r="L289" s="50" t="s">
        <v>175</v>
      </c>
      <c r="M289" s="50" t="s">
        <v>175</v>
      </c>
      <c r="N289" s="50"/>
      <c r="O289" s="50"/>
      <c r="P289" s="50"/>
      <c r="Q289" s="50"/>
      <c r="R289" s="50"/>
      <c r="S289" s="50"/>
    </row>
    <row r="290">
      <c r="A290" s="50"/>
      <c r="B290" s="50"/>
      <c r="C290" s="50"/>
      <c r="D290" s="50"/>
      <c r="E290" s="50"/>
      <c r="F290" s="50"/>
      <c r="G290" s="50"/>
      <c r="H290" s="50"/>
      <c r="I290" s="50"/>
      <c r="J290" s="50" t="str">
        <f>IFERROR(__xludf.DUMMYFUNCTION("""COMPUTED_VALUE"""),"")</f>
        <v/>
      </c>
      <c r="K290" s="50" t="str">
        <f>IFERROR(__xludf.DUMMYFUNCTION("""COMPUTED_VALUE"""),"")</f>
        <v/>
      </c>
      <c r="L290" s="50" t="s">
        <v>175</v>
      </c>
      <c r="M290" s="50" t="s">
        <v>175</v>
      </c>
      <c r="N290" s="50"/>
      <c r="O290" s="50"/>
      <c r="P290" s="50"/>
      <c r="Q290" s="50"/>
      <c r="R290" s="50"/>
      <c r="S290" s="50"/>
    </row>
    <row r="291">
      <c r="A291" s="50"/>
      <c r="B291" s="50"/>
      <c r="C291" s="50"/>
      <c r="D291" s="50"/>
      <c r="E291" s="50"/>
      <c r="F291" s="50"/>
      <c r="G291" s="50"/>
      <c r="H291" s="50"/>
      <c r="I291" s="50"/>
      <c r="J291" s="50" t="str">
        <f>IFERROR(__xludf.DUMMYFUNCTION("""COMPUTED_VALUE"""),"")</f>
        <v/>
      </c>
      <c r="K291" s="50" t="str">
        <f>IFERROR(__xludf.DUMMYFUNCTION("""COMPUTED_VALUE"""),"")</f>
        <v/>
      </c>
      <c r="L291" s="50" t="s">
        <v>175</v>
      </c>
      <c r="M291" s="50" t="s">
        <v>175</v>
      </c>
      <c r="N291" s="50"/>
      <c r="O291" s="50"/>
      <c r="P291" s="50"/>
      <c r="Q291" s="50"/>
      <c r="R291" s="50"/>
      <c r="S291" s="50"/>
    </row>
    <row r="292">
      <c r="A292" s="50"/>
      <c r="B292" s="50"/>
      <c r="C292" s="50"/>
      <c r="D292" s="50"/>
      <c r="E292" s="50"/>
      <c r="F292" s="50"/>
      <c r="G292" s="50"/>
      <c r="H292" s="50"/>
      <c r="I292" s="50"/>
      <c r="J292" s="50" t="str">
        <f>IFERROR(__xludf.DUMMYFUNCTION("""COMPUTED_VALUE"""),"")</f>
        <v/>
      </c>
      <c r="K292" s="50" t="str">
        <f>IFERROR(__xludf.DUMMYFUNCTION("""COMPUTED_VALUE"""),"")</f>
        <v/>
      </c>
      <c r="L292" s="50" t="s">
        <v>175</v>
      </c>
      <c r="M292" s="50" t="s">
        <v>175</v>
      </c>
      <c r="N292" s="50"/>
      <c r="O292" s="50"/>
      <c r="P292" s="50"/>
      <c r="Q292" s="50"/>
      <c r="R292" s="50"/>
      <c r="S292" s="50"/>
    </row>
    <row r="293">
      <c r="A293" s="50"/>
      <c r="B293" s="50"/>
      <c r="C293" s="50"/>
      <c r="D293" s="50"/>
      <c r="E293" s="50"/>
      <c r="F293" s="50"/>
      <c r="G293" s="50"/>
      <c r="H293" s="50"/>
      <c r="I293" s="50"/>
      <c r="J293" s="50" t="str">
        <f>IFERROR(__xludf.DUMMYFUNCTION("""COMPUTED_VALUE"""),"")</f>
        <v/>
      </c>
      <c r="K293" s="50" t="str">
        <f>IFERROR(__xludf.DUMMYFUNCTION("""COMPUTED_VALUE"""),"")</f>
        <v/>
      </c>
      <c r="L293" s="50" t="s">
        <v>175</v>
      </c>
      <c r="M293" s="50" t="s">
        <v>175</v>
      </c>
      <c r="N293" s="50"/>
      <c r="O293" s="50"/>
      <c r="P293" s="50"/>
      <c r="Q293" s="50"/>
      <c r="R293" s="50"/>
      <c r="S293" s="50"/>
    </row>
    <row r="294">
      <c r="A294" s="50"/>
      <c r="B294" s="50"/>
      <c r="C294" s="50"/>
      <c r="D294" s="50"/>
      <c r="E294" s="50"/>
      <c r="F294" s="50"/>
      <c r="G294" s="50"/>
      <c r="H294" s="50"/>
      <c r="I294" s="50"/>
      <c r="J294" s="50" t="str">
        <f>IFERROR(__xludf.DUMMYFUNCTION("""COMPUTED_VALUE"""),"")</f>
        <v/>
      </c>
      <c r="K294" s="50" t="str">
        <f>IFERROR(__xludf.DUMMYFUNCTION("""COMPUTED_VALUE"""),"")</f>
        <v/>
      </c>
      <c r="L294" s="50" t="s">
        <v>175</v>
      </c>
      <c r="M294" s="50" t="s">
        <v>175</v>
      </c>
      <c r="N294" s="50"/>
      <c r="O294" s="50"/>
      <c r="P294" s="50"/>
      <c r="Q294" s="50"/>
      <c r="R294" s="50"/>
      <c r="S294" s="50"/>
    </row>
    <row r="295">
      <c r="A295" s="50"/>
      <c r="B295" s="50"/>
      <c r="C295" s="50"/>
      <c r="D295" s="50"/>
      <c r="E295" s="50"/>
      <c r="F295" s="50"/>
      <c r="G295" s="50"/>
      <c r="H295" s="50"/>
      <c r="I295" s="50"/>
      <c r="J295" s="50" t="str">
        <f>IFERROR(__xludf.DUMMYFUNCTION("""COMPUTED_VALUE"""),"")</f>
        <v/>
      </c>
      <c r="K295" s="50" t="str">
        <f>IFERROR(__xludf.DUMMYFUNCTION("""COMPUTED_VALUE"""),"")</f>
        <v/>
      </c>
      <c r="L295" s="50" t="s">
        <v>175</v>
      </c>
      <c r="M295" s="50" t="s">
        <v>175</v>
      </c>
      <c r="N295" s="50"/>
      <c r="O295" s="50"/>
      <c r="P295" s="50"/>
      <c r="Q295" s="50"/>
      <c r="R295" s="50"/>
      <c r="S295" s="50"/>
    </row>
    <row r="296">
      <c r="A296" s="50"/>
      <c r="B296" s="50"/>
      <c r="C296" s="50"/>
      <c r="D296" s="50"/>
      <c r="E296" s="50"/>
      <c r="F296" s="50"/>
      <c r="G296" s="50"/>
      <c r="H296" s="50"/>
      <c r="I296" s="50"/>
      <c r="J296" s="50" t="str">
        <f>IFERROR(__xludf.DUMMYFUNCTION("""COMPUTED_VALUE"""),"")</f>
        <v/>
      </c>
      <c r="K296" s="50" t="str">
        <f>IFERROR(__xludf.DUMMYFUNCTION("""COMPUTED_VALUE"""),"")</f>
        <v/>
      </c>
      <c r="L296" s="50" t="s">
        <v>175</v>
      </c>
      <c r="M296" s="50" t="s">
        <v>175</v>
      </c>
      <c r="N296" s="50"/>
      <c r="O296" s="50"/>
      <c r="P296" s="50"/>
      <c r="Q296" s="50"/>
      <c r="R296" s="50"/>
      <c r="S296" s="50"/>
    </row>
    <row r="297">
      <c r="A297" s="50"/>
      <c r="B297" s="50"/>
      <c r="C297" s="50"/>
      <c r="D297" s="50"/>
      <c r="E297" s="50"/>
      <c r="F297" s="50"/>
      <c r="G297" s="50"/>
      <c r="H297" s="50"/>
      <c r="I297" s="50"/>
      <c r="J297" s="50" t="str">
        <f>IFERROR(__xludf.DUMMYFUNCTION("""COMPUTED_VALUE"""),"")</f>
        <v/>
      </c>
      <c r="K297" s="50" t="str">
        <f>IFERROR(__xludf.DUMMYFUNCTION("""COMPUTED_VALUE"""),"")</f>
        <v/>
      </c>
      <c r="L297" s="50" t="s">
        <v>175</v>
      </c>
      <c r="M297" s="50" t="s">
        <v>175</v>
      </c>
      <c r="N297" s="50"/>
      <c r="O297" s="50"/>
      <c r="P297" s="50"/>
      <c r="Q297" s="50"/>
      <c r="R297" s="50"/>
      <c r="S297" s="50"/>
    </row>
    <row r="298">
      <c r="A298" s="50"/>
      <c r="B298" s="50"/>
      <c r="C298" s="50"/>
      <c r="D298" s="50"/>
      <c r="E298" s="50"/>
      <c r="F298" s="50"/>
      <c r="G298" s="50"/>
      <c r="H298" s="50"/>
      <c r="I298" s="50"/>
      <c r="J298" s="50" t="str">
        <f>IFERROR(__xludf.DUMMYFUNCTION("""COMPUTED_VALUE"""),"")</f>
        <v/>
      </c>
      <c r="K298" s="50" t="str">
        <f>IFERROR(__xludf.DUMMYFUNCTION("""COMPUTED_VALUE"""),"")</f>
        <v/>
      </c>
      <c r="L298" s="50" t="s">
        <v>175</v>
      </c>
      <c r="M298" s="50" t="s">
        <v>175</v>
      </c>
      <c r="N298" s="50"/>
      <c r="O298" s="50"/>
      <c r="P298" s="50"/>
      <c r="Q298" s="50"/>
      <c r="R298" s="50"/>
      <c r="S298" s="50"/>
    </row>
    <row r="299">
      <c r="A299" s="50"/>
      <c r="B299" s="50"/>
      <c r="C299" s="50"/>
      <c r="D299" s="50"/>
      <c r="E299" s="50"/>
      <c r="F299" s="50"/>
      <c r="G299" s="50"/>
      <c r="H299" s="50"/>
      <c r="I299" s="50"/>
      <c r="J299" s="50" t="str">
        <f>IFERROR(__xludf.DUMMYFUNCTION("""COMPUTED_VALUE"""),"")</f>
        <v/>
      </c>
      <c r="K299" s="50" t="str">
        <f>IFERROR(__xludf.DUMMYFUNCTION("""COMPUTED_VALUE"""),"")</f>
        <v/>
      </c>
      <c r="L299" s="50" t="s">
        <v>175</v>
      </c>
      <c r="M299" s="50" t="s">
        <v>175</v>
      </c>
      <c r="N299" s="50"/>
      <c r="O299" s="50"/>
      <c r="P299" s="50"/>
      <c r="Q299" s="50"/>
      <c r="R299" s="50"/>
      <c r="S299" s="50"/>
    </row>
    <row r="300">
      <c r="A300" s="50"/>
      <c r="B300" s="50"/>
      <c r="C300" s="50"/>
      <c r="D300" s="50"/>
      <c r="E300" s="50"/>
      <c r="F300" s="50"/>
      <c r="G300" s="50"/>
      <c r="H300" s="50"/>
      <c r="I300" s="50"/>
      <c r="J300" s="50" t="str">
        <f>IFERROR(__xludf.DUMMYFUNCTION("""COMPUTED_VALUE"""),"")</f>
        <v/>
      </c>
      <c r="K300" s="50" t="str">
        <f>IFERROR(__xludf.DUMMYFUNCTION("""COMPUTED_VALUE"""),"")</f>
        <v/>
      </c>
      <c r="L300" s="50" t="s">
        <v>175</v>
      </c>
      <c r="M300" s="50" t="s">
        <v>175</v>
      </c>
      <c r="N300" s="50"/>
      <c r="O300" s="50"/>
      <c r="P300" s="50"/>
      <c r="Q300" s="50"/>
      <c r="R300" s="50"/>
      <c r="S300" s="50"/>
    </row>
    <row r="301">
      <c r="A301" s="50"/>
      <c r="B301" s="50"/>
      <c r="C301" s="50"/>
      <c r="D301" s="50"/>
      <c r="E301" s="50"/>
      <c r="F301" s="50"/>
      <c r="G301" s="50"/>
      <c r="H301" s="50"/>
      <c r="I301" s="50"/>
      <c r="J301" s="50" t="str">
        <f>IFERROR(__xludf.DUMMYFUNCTION("""COMPUTED_VALUE"""),"")</f>
        <v/>
      </c>
      <c r="K301" s="50" t="str">
        <f>IFERROR(__xludf.DUMMYFUNCTION("""COMPUTED_VALUE"""),"")</f>
        <v/>
      </c>
      <c r="L301" s="50" t="s">
        <v>175</v>
      </c>
      <c r="M301" s="50" t="s">
        <v>175</v>
      </c>
      <c r="N301" s="50"/>
      <c r="O301" s="50"/>
      <c r="P301" s="50"/>
      <c r="Q301" s="50"/>
      <c r="R301" s="50"/>
      <c r="S301" s="50"/>
    </row>
    <row r="302">
      <c r="A302" s="50"/>
      <c r="B302" s="50"/>
      <c r="C302" s="50"/>
      <c r="D302" s="50"/>
      <c r="E302" s="50"/>
      <c r="F302" s="50"/>
      <c r="G302" s="50"/>
      <c r="H302" s="50"/>
      <c r="I302" s="50"/>
      <c r="J302" s="50" t="str">
        <f>IFERROR(__xludf.DUMMYFUNCTION("""COMPUTED_VALUE"""),"")</f>
        <v/>
      </c>
      <c r="K302" s="50" t="str">
        <f>IFERROR(__xludf.DUMMYFUNCTION("""COMPUTED_VALUE"""),"")</f>
        <v/>
      </c>
      <c r="L302" s="50" t="s">
        <v>175</v>
      </c>
      <c r="M302" s="50" t="s">
        <v>175</v>
      </c>
      <c r="N302" s="50"/>
      <c r="O302" s="50"/>
      <c r="P302" s="50"/>
      <c r="Q302" s="50"/>
      <c r="R302" s="50"/>
      <c r="S302" s="50"/>
    </row>
    <row r="303">
      <c r="A303" s="50"/>
      <c r="B303" s="50"/>
      <c r="C303" s="50"/>
      <c r="D303" s="50"/>
      <c r="E303" s="50"/>
      <c r="F303" s="50"/>
      <c r="G303" s="50"/>
      <c r="H303" s="50"/>
      <c r="I303" s="50"/>
      <c r="J303" s="50" t="str">
        <f>IFERROR(__xludf.DUMMYFUNCTION("""COMPUTED_VALUE"""),"")</f>
        <v/>
      </c>
      <c r="K303" s="50" t="str">
        <f>IFERROR(__xludf.DUMMYFUNCTION("""COMPUTED_VALUE"""),"")</f>
        <v/>
      </c>
      <c r="L303" s="50" t="s">
        <v>175</v>
      </c>
      <c r="M303" s="50" t="s">
        <v>175</v>
      </c>
      <c r="N303" s="50"/>
      <c r="O303" s="50"/>
      <c r="P303" s="50"/>
      <c r="Q303" s="50"/>
      <c r="R303" s="50"/>
      <c r="S303" s="50"/>
    </row>
    <row r="304">
      <c r="A304" s="50"/>
      <c r="B304" s="50"/>
      <c r="C304" s="50"/>
      <c r="D304" s="50"/>
      <c r="E304" s="50"/>
      <c r="F304" s="50"/>
      <c r="G304" s="50"/>
      <c r="H304" s="50"/>
      <c r="I304" s="50"/>
      <c r="J304" s="50" t="str">
        <f>IFERROR(__xludf.DUMMYFUNCTION("""COMPUTED_VALUE"""),"")</f>
        <v/>
      </c>
      <c r="K304" s="50" t="str">
        <f>IFERROR(__xludf.DUMMYFUNCTION("""COMPUTED_VALUE"""),"")</f>
        <v/>
      </c>
      <c r="L304" s="50" t="s">
        <v>175</v>
      </c>
      <c r="M304" s="50" t="s">
        <v>175</v>
      </c>
      <c r="N304" s="50"/>
      <c r="O304" s="50"/>
      <c r="P304" s="50"/>
      <c r="Q304" s="50"/>
      <c r="R304" s="50"/>
      <c r="S304" s="50"/>
    </row>
    <row r="305">
      <c r="A305" s="50"/>
      <c r="B305" s="50"/>
      <c r="C305" s="50"/>
      <c r="D305" s="50"/>
      <c r="E305" s="50"/>
      <c r="F305" s="50"/>
      <c r="G305" s="50"/>
      <c r="H305" s="50"/>
      <c r="I305" s="50"/>
      <c r="J305" s="50" t="str">
        <f>IFERROR(__xludf.DUMMYFUNCTION("""COMPUTED_VALUE"""),"")</f>
        <v/>
      </c>
      <c r="K305" s="50" t="str">
        <f>IFERROR(__xludf.DUMMYFUNCTION("""COMPUTED_VALUE"""),"")</f>
        <v/>
      </c>
      <c r="L305" s="50" t="s">
        <v>175</v>
      </c>
      <c r="M305" s="50" t="s">
        <v>175</v>
      </c>
      <c r="N305" s="50"/>
      <c r="O305" s="50"/>
      <c r="P305" s="50"/>
      <c r="Q305" s="50"/>
      <c r="R305" s="50"/>
      <c r="S305" s="50"/>
    </row>
    <row r="306">
      <c r="A306" s="50"/>
      <c r="B306" s="50"/>
      <c r="C306" s="50"/>
      <c r="D306" s="50"/>
      <c r="E306" s="50"/>
      <c r="F306" s="50"/>
      <c r="G306" s="50"/>
      <c r="H306" s="50"/>
      <c r="I306" s="50"/>
      <c r="J306" s="50" t="str">
        <f>IFERROR(__xludf.DUMMYFUNCTION("""COMPUTED_VALUE"""),"")</f>
        <v/>
      </c>
      <c r="K306" s="50" t="str">
        <f>IFERROR(__xludf.DUMMYFUNCTION("""COMPUTED_VALUE"""),"")</f>
        <v/>
      </c>
      <c r="L306" s="50" t="s">
        <v>175</v>
      </c>
      <c r="M306" s="50" t="s">
        <v>175</v>
      </c>
      <c r="N306" s="50"/>
      <c r="O306" s="50"/>
      <c r="P306" s="50"/>
      <c r="Q306" s="50"/>
      <c r="R306" s="50"/>
      <c r="S306" s="50"/>
    </row>
    <row r="307">
      <c r="A307" s="50"/>
      <c r="B307" s="50"/>
      <c r="C307" s="50"/>
      <c r="D307" s="50"/>
      <c r="E307" s="50"/>
      <c r="F307" s="50"/>
      <c r="G307" s="50"/>
      <c r="H307" s="50"/>
      <c r="I307" s="50"/>
      <c r="J307" s="50" t="str">
        <f>IFERROR(__xludf.DUMMYFUNCTION("""COMPUTED_VALUE"""),"")</f>
        <v/>
      </c>
      <c r="K307" s="50" t="str">
        <f>IFERROR(__xludf.DUMMYFUNCTION("""COMPUTED_VALUE"""),"")</f>
        <v/>
      </c>
      <c r="L307" s="50" t="s">
        <v>175</v>
      </c>
      <c r="M307" s="50" t="s">
        <v>175</v>
      </c>
      <c r="N307" s="50"/>
      <c r="O307" s="50"/>
      <c r="P307" s="50"/>
      <c r="Q307" s="50"/>
      <c r="R307" s="50"/>
      <c r="S307" s="50"/>
    </row>
    <row r="308">
      <c r="A308" s="50"/>
      <c r="B308" s="50"/>
      <c r="C308" s="50"/>
      <c r="D308" s="50"/>
      <c r="E308" s="50"/>
      <c r="F308" s="50"/>
      <c r="G308" s="50"/>
      <c r="H308" s="50"/>
      <c r="I308" s="50"/>
      <c r="J308" s="50" t="str">
        <f>IFERROR(__xludf.DUMMYFUNCTION("""COMPUTED_VALUE"""),"")</f>
        <v/>
      </c>
      <c r="K308" s="50" t="str">
        <f>IFERROR(__xludf.DUMMYFUNCTION("""COMPUTED_VALUE"""),"")</f>
        <v/>
      </c>
      <c r="L308" s="50" t="s">
        <v>175</v>
      </c>
      <c r="M308" s="50" t="s">
        <v>175</v>
      </c>
      <c r="N308" s="50"/>
      <c r="O308" s="50"/>
      <c r="P308" s="50"/>
      <c r="Q308" s="50"/>
      <c r="R308" s="50"/>
      <c r="S308" s="50"/>
    </row>
    <row r="309">
      <c r="A309" s="50"/>
      <c r="B309" s="50"/>
      <c r="C309" s="50"/>
      <c r="D309" s="50"/>
      <c r="E309" s="50"/>
      <c r="F309" s="50"/>
      <c r="G309" s="50"/>
      <c r="H309" s="50"/>
      <c r="I309" s="50"/>
      <c r="J309" s="50" t="str">
        <f>IFERROR(__xludf.DUMMYFUNCTION("""COMPUTED_VALUE"""),"")</f>
        <v/>
      </c>
      <c r="K309" s="50" t="str">
        <f>IFERROR(__xludf.DUMMYFUNCTION("""COMPUTED_VALUE"""),"")</f>
        <v/>
      </c>
      <c r="L309" s="50" t="s">
        <v>175</v>
      </c>
      <c r="M309" s="50" t="s">
        <v>175</v>
      </c>
      <c r="N309" s="50"/>
      <c r="O309" s="50"/>
      <c r="P309" s="50"/>
      <c r="Q309" s="50"/>
      <c r="R309" s="50"/>
      <c r="S309" s="50"/>
    </row>
    <row r="310">
      <c r="A310" s="50"/>
      <c r="B310" s="50"/>
      <c r="C310" s="50"/>
      <c r="D310" s="50"/>
      <c r="E310" s="50"/>
      <c r="F310" s="50"/>
      <c r="G310" s="50"/>
      <c r="H310" s="50"/>
      <c r="I310" s="50"/>
      <c r="J310" s="50" t="str">
        <f>IFERROR(__xludf.DUMMYFUNCTION("""COMPUTED_VALUE"""),"")</f>
        <v/>
      </c>
      <c r="K310" s="50" t="str">
        <f>IFERROR(__xludf.DUMMYFUNCTION("""COMPUTED_VALUE"""),"")</f>
        <v/>
      </c>
      <c r="L310" s="50" t="s">
        <v>175</v>
      </c>
      <c r="M310" s="50" t="s">
        <v>175</v>
      </c>
      <c r="N310" s="50"/>
      <c r="O310" s="50"/>
      <c r="P310" s="50"/>
      <c r="Q310" s="50"/>
      <c r="R310" s="50"/>
      <c r="S310" s="50"/>
    </row>
    <row r="311">
      <c r="A311" s="50"/>
      <c r="B311" s="50"/>
      <c r="C311" s="50"/>
      <c r="D311" s="50"/>
      <c r="E311" s="50"/>
      <c r="F311" s="50"/>
      <c r="G311" s="50"/>
      <c r="H311" s="50"/>
      <c r="I311" s="50"/>
      <c r="J311" s="50" t="str">
        <f>IFERROR(__xludf.DUMMYFUNCTION("""COMPUTED_VALUE"""),"")</f>
        <v/>
      </c>
      <c r="K311" s="50" t="str">
        <f>IFERROR(__xludf.DUMMYFUNCTION("""COMPUTED_VALUE"""),"")</f>
        <v/>
      </c>
      <c r="L311" s="50" t="s">
        <v>175</v>
      </c>
      <c r="M311" s="50" t="s">
        <v>175</v>
      </c>
      <c r="N311" s="50"/>
      <c r="O311" s="50"/>
      <c r="P311" s="50"/>
      <c r="Q311" s="50"/>
      <c r="R311" s="50"/>
      <c r="S311" s="50"/>
    </row>
    <row r="312">
      <c r="A312" s="50"/>
      <c r="B312" s="50"/>
      <c r="C312" s="50"/>
      <c r="D312" s="50"/>
      <c r="E312" s="50"/>
      <c r="F312" s="50"/>
      <c r="G312" s="50"/>
      <c r="H312" s="50"/>
      <c r="I312" s="50"/>
      <c r="J312" s="50" t="str">
        <f>IFERROR(__xludf.DUMMYFUNCTION("""COMPUTED_VALUE"""),"")</f>
        <v/>
      </c>
      <c r="K312" s="50" t="str">
        <f>IFERROR(__xludf.DUMMYFUNCTION("""COMPUTED_VALUE"""),"")</f>
        <v/>
      </c>
      <c r="L312" s="50" t="s">
        <v>175</v>
      </c>
      <c r="M312" s="50" t="s">
        <v>175</v>
      </c>
      <c r="N312" s="50"/>
      <c r="O312" s="50"/>
      <c r="P312" s="50"/>
      <c r="Q312" s="50"/>
      <c r="R312" s="50"/>
      <c r="S312" s="50"/>
    </row>
    <row r="313">
      <c r="A313" s="50"/>
      <c r="B313" s="50"/>
      <c r="C313" s="50"/>
      <c r="D313" s="50"/>
      <c r="E313" s="50"/>
      <c r="F313" s="50"/>
      <c r="G313" s="50"/>
      <c r="H313" s="50"/>
      <c r="I313" s="50"/>
      <c r="J313" s="50" t="str">
        <f>IFERROR(__xludf.DUMMYFUNCTION("""COMPUTED_VALUE"""),"")</f>
        <v/>
      </c>
      <c r="K313" s="50" t="str">
        <f>IFERROR(__xludf.DUMMYFUNCTION("""COMPUTED_VALUE"""),"")</f>
        <v/>
      </c>
      <c r="L313" s="50" t="s">
        <v>175</v>
      </c>
      <c r="M313" s="50" t="s">
        <v>175</v>
      </c>
      <c r="N313" s="50"/>
      <c r="O313" s="50"/>
      <c r="P313" s="50"/>
      <c r="Q313" s="50"/>
      <c r="R313" s="50"/>
      <c r="S313" s="50"/>
    </row>
    <row r="314">
      <c r="A314" s="50"/>
      <c r="B314" s="50"/>
      <c r="C314" s="50"/>
      <c r="D314" s="50"/>
      <c r="E314" s="50"/>
      <c r="F314" s="50"/>
      <c r="G314" s="50"/>
      <c r="H314" s="50"/>
      <c r="I314" s="50"/>
      <c r="J314" s="50" t="str">
        <f>IFERROR(__xludf.DUMMYFUNCTION("""COMPUTED_VALUE"""),"")</f>
        <v/>
      </c>
      <c r="K314" s="50" t="str">
        <f>IFERROR(__xludf.DUMMYFUNCTION("""COMPUTED_VALUE"""),"")</f>
        <v/>
      </c>
      <c r="L314" s="50" t="s">
        <v>175</v>
      </c>
      <c r="M314" s="50" t="s">
        <v>175</v>
      </c>
      <c r="N314" s="50"/>
      <c r="O314" s="50"/>
      <c r="P314" s="50"/>
      <c r="Q314" s="50"/>
      <c r="R314" s="50"/>
      <c r="S314" s="50"/>
    </row>
    <row r="315">
      <c r="A315" s="50"/>
      <c r="B315" s="50"/>
      <c r="C315" s="50"/>
      <c r="D315" s="50"/>
      <c r="E315" s="50"/>
      <c r="F315" s="50"/>
      <c r="G315" s="50"/>
      <c r="H315" s="50"/>
      <c r="I315" s="50"/>
      <c r="J315" s="50" t="str">
        <f>IFERROR(__xludf.DUMMYFUNCTION("""COMPUTED_VALUE"""),"")</f>
        <v/>
      </c>
      <c r="K315" s="50" t="str">
        <f>IFERROR(__xludf.DUMMYFUNCTION("""COMPUTED_VALUE"""),"")</f>
        <v/>
      </c>
      <c r="L315" s="50" t="s">
        <v>175</v>
      </c>
      <c r="M315" s="50" t="s">
        <v>175</v>
      </c>
      <c r="N315" s="50"/>
      <c r="O315" s="50"/>
      <c r="P315" s="50"/>
      <c r="Q315" s="50"/>
      <c r="R315" s="50"/>
      <c r="S315" s="50"/>
    </row>
    <row r="316">
      <c r="A316" s="50"/>
      <c r="B316" s="50"/>
      <c r="C316" s="50"/>
      <c r="D316" s="50"/>
      <c r="E316" s="50"/>
      <c r="F316" s="50"/>
      <c r="G316" s="50"/>
      <c r="H316" s="50"/>
      <c r="I316" s="50"/>
      <c r="J316" s="50" t="str">
        <f>IFERROR(__xludf.DUMMYFUNCTION("""COMPUTED_VALUE"""),"")</f>
        <v/>
      </c>
      <c r="K316" s="50" t="str">
        <f>IFERROR(__xludf.DUMMYFUNCTION("""COMPUTED_VALUE"""),"")</f>
        <v/>
      </c>
      <c r="L316" s="50" t="s">
        <v>175</v>
      </c>
      <c r="M316" s="50" t="s">
        <v>175</v>
      </c>
      <c r="N316" s="50"/>
      <c r="O316" s="50"/>
      <c r="P316" s="50"/>
      <c r="Q316" s="50"/>
      <c r="R316" s="50"/>
      <c r="S316" s="50"/>
    </row>
    <row r="317">
      <c r="A317" s="50"/>
      <c r="B317" s="50"/>
      <c r="C317" s="50"/>
      <c r="D317" s="50"/>
      <c r="E317" s="50"/>
      <c r="F317" s="50"/>
      <c r="G317" s="50"/>
      <c r="H317" s="50"/>
      <c r="I317" s="50"/>
      <c r="J317" s="50" t="str">
        <f>IFERROR(__xludf.DUMMYFUNCTION("""COMPUTED_VALUE"""),"")</f>
        <v/>
      </c>
      <c r="K317" s="50" t="str">
        <f>IFERROR(__xludf.DUMMYFUNCTION("""COMPUTED_VALUE"""),"")</f>
        <v/>
      </c>
      <c r="L317" s="50" t="s">
        <v>175</v>
      </c>
      <c r="M317" s="50" t="s">
        <v>175</v>
      </c>
      <c r="N317" s="50"/>
      <c r="O317" s="50"/>
      <c r="P317" s="50"/>
      <c r="Q317" s="50"/>
      <c r="R317" s="50"/>
      <c r="S317" s="50"/>
    </row>
    <row r="318">
      <c r="A318" s="50"/>
      <c r="B318" s="50"/>
      <c r="C318" s="50"/>
      <c r="D318" s="50"/>
      <c r="E318" s="50"/>
      <c r="F318" s="50"/>
      <c r="G318" s="50"/>
      <c r="H318" s="50"/>
      <c r="I318" s="50"/>
      <c r="J318" s="50" t="str">
        <f>IFERROR(__xludf.DUMMYFUNCTION("""COMPUTED_VALUE"""),"")</f>
        <v/>
      </c>
      <c r="K318" s="50" t="str">
        <f>IFERROR(__xludf.DUMMYFUNCTION("""COMPUTED_VALUE"""),"")</f>
        <v/>
      </c>
      <c r="L318" s="50" t="s">
        <v>175</v>
      </c>
      <c r="M318" s="50" t="s">
        <v>175</v>
      </c>
      <c r="N318" s="50"/>
      <c r="O318" s="50"/>
      <c r="P318" s="50"/>
      <c r="Q318" s="50"/>
      <c r="R318" s="50"/>
      <c r="S318" s="50"/>
    </row>
    <row r="319">
      <c r="A319" s="50"/>
      <c r="B319" s="50"/>
      <c r="C319" s="50"/>
      <c r="D319" s="50"/>
      <c r="E319" s="50"/>
      <c r="F319" s="50"/>
      <c r="G319" s="50"/>
      <c r="H319" s="50"/>
      <c r="I319" s="50"/>
      <c r="J319" s="50" t="str">
        <f>IFERROR(__xludf.DUMMYFUNCTION("""COMPUTED_VALUE"""),"")</f>
        <v/>
      </c>
      <c r="K319" s="50" t="str">
        <f>IFERROR(__xludf.DUMMYFUNCTION("""COMPUTED_VALUE"""),"")</f>
        <v/>
      </c>
      <c r="L319" s="50" t="s">
        <v>175</v>
      </c>
      <c r="M319" s="50" t="s">
        <v>175</v>
      </c>
      <c r="N319" s="50"/>
      <c r="O319" s="50"/>
      <c r="P319" s="50"/>
      <c r="Q319" s="50"/>
      <c r="R319" s="50"/>
      <c r="S319" s="50"/>
    </row>
    <row r="320">
      <c r="A320" s="50"/>
      <c r="B320" s="50"/>
      <c r="C320" s="50"/>
      <c r="D320" s="50"/>
      <c r="E320" s="50"/>
      <c r="F320" s="50"/>
      <c r="G320" s="50"/>
      <c r="H320" s="50"/>
      <c r="I320" s="50"/>
      <c r="J320" s="50" t="str">
        <f>IFERROR(__xludf.DUMMYFUNCTION("""COMPUTED_VALUE"""),"")</f>
        <v/>
      </c>
      <c r="K320" s="50" t="str">
        <f>IFERROR(__xludf.DUMMYFUNCTION("""COMPUTED_VALUE"""),"")</f>
        <v/>
      </c>
      <c r="L320" s="50" t="s">
        <v>175</v>
      </c>
      <c r="M320" s="50" t="s">
        <v>175</v>
      </c>
      <c r="N320" s="50"/>
      <c r="O320" s="50"/>
      <c r="P320" s="50"/>
      <c r="Q320" s="50"/>
      <c r="R320" s="50"/>
      <c r="S320" s="50"/>
    </row>
    <row r="321">
      <c r="A321" s="50"/>
      <c r="B321" s="50"/>
      <c r="C321" s="50"/>
      <c r="D321" s="50"/>
      <c r="E321" s="50"/>
      <c r="F321" s="50"/>
      <c r="G321" s="50"/>
      <c r="H321" s="50"/>
      <c r="I321" s="50"/>
      <c r="J321" s="50" t="str">
        <f>IFERROR(__xludf.DUMMYFUNCTION("""COMPUTED_VALUE"""),"")</f>
        <v/>
      </c>
      <c r="K321" s="50" t="str">
        <f>IFERROR(__xludf.DUMMYFUNCTION("""COMPUTED_VALUE"""),"")</f>
        <v/>
      </c>
      <c r="L321" s="50" t="s">
        <v>175</v>
      </c>
      <c r="M321" s="50" t="s">
        <v>175</v>
      </c>
      <c r="N321" s="50"/>
      <c r="O321" s="50"/>
      <c r="P321" s="50"/>
      <c r="Q321" s="50"/>
      <c r="R321" s="50"/>
      <c r="S321" s="50"/>
    </row>
    <row r="322">
      <c r="A322" s="50"/>
      <c r="B322" s="50"/>
      <c r="C322" s="50"/>
      <c r="D322" s="50"/>
      <c r="E322" s="50"/>
      <c r="F322" s="50"/>
      <c r="G322" s="50"/>
      <c r="H322" s="50"/>
      <c r="I322" s="50"/>
      <c r="J322" s="50" t="str">
        <f>IFERROR(__xludf.DUMMYFUNCTION("""COMPUTED_VALUE"""),"")</f>
        <v/>
      </c>
      <c r="K322" s="50" t="str">
        <f>IFERROR(__xludf.DUMMYFUNCTION("""COMPUTED_VALUE"""),"")</f>
        <v/>
      </c>
      <c r="L322" s="50" t="s">
        <v>175</v>
      </c>
      <c r="M322" s="50" t="s">
        <v>175</v>
      </c>
      <c r="N322" s="50"/>
      <c r="O322" s="50"/>
      <c r="P322" s="50"/>
      <c r="Q322" s="50"/>
      <c r="R322" s="50"/>
      <c r="S322" s="50"/>
    </row>
    <row r="323">
      <c r="A323" s="50"/>
      <c r="B323" s="50"/>
      <c r="C323" s="50"/>
      <c r="D323" s="50"/>
      <c r="E323" s="50"/>
      <c r="F323" s="50"/>
      <c r="G323" s="50"/>
      <c r="H323" s="50"/>
      <c r="I323" s="50"/>
      <c r="J323" s="50" t="str">
        <f>IFERROR(__xludf.DUMMYFUNCTION("""COMPUTED_VALUE"""),"")</f>
        <v/>
      </c>
      <c r="K323" s="50" t="str">
        <f>IFERROR(__xludf.DUMMYFUNCTION("""COMPUTED_VALUE"""),"")</f>
        <v/>
      </c>
      <c r="L323" s="50" t="s">
        <v>175</v>
      </c>
      <c r="M323" s="50" t="s">
        <v>175</v>
      </c>
      <c r="N323" s="50"/>
      <c r="O323" s="50"/>
      <c r="P323" s="50"/>
      <c r="Q323" s="50"/>
      <c r="R323" s="50"/>
      <c r="S323" s="50"/>
    </row>
    <row r="324">
      <c r="A324" s="50"/>
      <c r="B324" s="50"/>
      <c r="C324" s="50"/>
      <c r="D324" s="50"/>
      <c r="E324" s="50"/>
      <c r="F324" s="50"/>
      <c r="G324" s="50"/>
      <c r="H324" s="50"/>
      <c r="I324" s="50"/>
      <c r="J324" s="50" t="str">
        <f>IFERROR(__xludf.DUMMYFUNCTION("""COMPUTED_VALUE"""),"")</f>
        <v/>
      </c>
      <c r="K324" s="50" t="str">
        <f>IFERROR(__xludf.DUMMYFUNCTION("""COMPUTED_VALUE"""),"")</f>
        <v/>
      </c>
      <c r="L324" s="50" t="s">
        <v>175</v>
      </c>
      <c r="M324" s="50" t="s">
        <v>175</v>
      </c>
      <c r="N324" s="50"/>
      <c r="O324" s="50"/>
      <c r="P324" s="50"/>
      <c r="Q324" s="50"/>
      <c r="R324" s="50"/>
      <c r="S324" s="50"/>
    </row>
    <row r="325">
      <c r="A325" s="50"/>
      <c r="B325" s="50"/>
      <c r="C325" s="50"/>
      <c r="D325" s="50"/>
      <c r="E325" s="50"/>
      <c r="F325" s="50"/>
      <c r="G325" s="50"/>
      <c r="H325" s="50"/>
      <c r="I325" s="50"/>
      <c r="J325" s="50" t="str">
        <f>IFERROR(__xludf.DUMMYFUNCTION("""COMPUTED_VALUE"""),"")</f>
        <v/>
      </c>
      <c r="K325" s="50" t="str">
        <f>IFERROR(__xludf.DUMMYFUNCTION("""COMPUTED_VALUE"""),"")</f>
        <v/>
      </c>
      <c r="L325" s="50" t="s">
        <v>175</v>
      </c>
      <c r="M325" s="50" t="s">
        <v>175</v>
      </c>
      <c r="N325" s="50"/>
      <c r="O325" s="50"/>
      <c r="P325" s="50"/>
      <c r="Q325" s="50"/>
      <c r="R325" s="50"/>
      <c r="S325" s="50"/>
    </row>
    <row r="326">
      <c r="A326" s="50"/>
      <c r="B326" s="50"/>
      <c r="C326" s="50"/>
      <c r="D326" s="50"/>
      <c r="E326" s="50"/>
      <c r="F326" s="50"/>
      <c r="G326" s="50"/>
      <c r="H326" s="50"/>
      <c r="I326" s="50"/>
      <c r="J326" s="50" t="str">
        <f>IFERROR(__xludf.DUMMYFUNCTION("""COMPUTED_VALUE"""),"")</f>
        <v/>
      </c>
      <c r="K326" s="50" t="str">
        <f>IFERROR(__xludf.DUMMYFUNCTION("""COMPUTED_VALUE"""),"")</f>
        <v/>
      </c>
      <c r="L326" s="50" t="s">
        <v>175</v>
      </c>
      <c r="M326" s="50" t="s">
        <v>175</v>
      </c>
      <c r="N326" s="50"/>
      <c r="O326" s="50"/>
      <c r="P326" s="50"/>
      <c r="Q326" s="50"/>
      <c r="R326" s="50"/>
      <c r="S326" s="50"/>
    </row>
    <row r="327">
      <c r="A327" s="50"/>
      <c r="B327" s="50"/>
      <c r="C327" s="50"/>
      <c r="D327" s="50"/>
      <c r="E327" s="50"/>
      <c r="F327" s="50"/>
      <c r="G327" s="50"/>
      <c r="H327" s="50"/>
      <c r="I327" s="50"/>
      <c r="J327" s="50" t="str">
        <f>IFERROR(__xludf.DUMMYFUNCTION("""COMPUTED_VALUE"""),"")</f>
        <v/>
      </c>
      <c r="K327" s="50" t="str">
        <f>IFERROR(__xludf.DUMMYFUNCTION("""COMPUTED_VALUE"""),"")</f>
        <v/>
      </c>
      <c r="L327" s="50" t="s">
        <v>175</v>
      </c>
      <c r="M327" s="50" t="s">
        <v>175</v>
      </c>
      <c r="N327" s="50"/>
      <c r="O327" s="50"/>
      <c r="P327" s="50"/>
      <c r="Q327" s="50"/>
      <c r="R327" s="50"/>
      <c r="S327" s="50"/>
    </row>
    <row r="328">
      <c r="A328" s="50"/>
      <c r="B328" s="50"/>
      <c r="C328" s="50"/>
      <c r="D328" s="50"/>
      <c r="E328" s="50"/>
      <c r="F328" s="50"/>
      <c r="G328" s="50"/>
      <c r="H328" s="50"/>
      <c r="I328" s="50"/>
      <c r="J328" s="50" t="str">
        <f>IFERROR(__xludf.DUMMYFUNCTION("""COMPUTED_VALUE"""),"")</f>
        <v/>
      </c>
      <c r="K328" s="50" t="str">
        <f>IFERROR(__xludf.DUMMYFUNCTION("""COMPUTED_VALUE"""),"")</f>
        <v/>
      </c>
      <c r="L328" s="50" t="s">
        <v>175</v>
      </c>
      <c r="M328" s="50" t="s">
        <v>175</v>
      </c>
      <c r="N328" s="50"/>
      <c r="O328" s="50"/>
      <c r="P328" s="50"/>
      <c r="Q328" s="50"/>
      <c r="R328" s="50"/>
      <c r="S328" s="50"/>
    </row>
    <row r="329">
      <c r="A329" s="50"/>
      <c r="B329" s="50"/>
      <c r="C329" s="50"/>
      <c r="D329" s="50"/>
      <c r="E329" s="50"/>
      <c r="F329" s="50"/>
      <c r="G329" s="50"/>
      <c r="H329" s="50"/>
      <c r="I329" s="50"/>
      <c r="J329" s="50" t="str">
        <f>IFERROR(__xludf.DUMMYFUNCTION("""COMPUTED_VALUE"""),"")</f>
        <v/>
      </c>
      <c r="K329" s="50" t="str">
        <f>IFERROR(__xludf.DUMMYFUNCTION("""COMPUTED_VALUE"""),"")</f>
        <v/>
      </c>
      <c r="L329" s="50" t="s">
        <v>175</v>
      </c>
      <c r="M329" s="50" t="s">
        <v>175</v>
      </c>
      <c r="N329" s="50"/>
      <c r="O329" s="50"/>
      <c r="P329" s="50"/>
      <c r="Q329" s="50"/>
      <c r="R329" s="50"/>
      <c r="S329" s="50"/>
    </row>
    <row r="330">
      <c r="A330" s="50"/>
      <c r="B330" s="50"/>
      <c r="C330" s="50"/>
      <c r="D330" s="50"/>
      <c r="E330" s="50"/>
      <c r="F330" s="50"/>
      <c r="G330" s="50"/>
      <c r="H330" s="50"/>
      <c r="I330" s="50"/>
      <c r="J330" s="50" t="str">
        <f>IFERROR(__xludf.DUMMYFUNCTION("""COMPUTED_VALUE"""),"")</f>
        <v/>
      </c>
      <c r="K330" s="50" t="str">
        <f>IFERROR(__xludf.DUMMYFUNCTION("""COMPUTED_VALUE"""),"")</f>
        <v/>
      </c>
      <c r="L330" s="50" t="s">
        <v>175</v>
      </c>
      <c r="M330" s="50" t="s">
        <v>175</v>
      </c>
      <c r="N330" s="50"/>
      <c r="O330" s="50"/>
      <c r="P330" s="50"/>
      <c r="Q330" s="50"/>
      <c r="R330" s="50"/>
      <c r="S330" s="50"/>
    </row>
    <row r="331">
      <c r="A331" s="50"/>
      <c r="B331" s="50"/>
      <c r="C331" s="50"/>
      <c r="D331" s="50"/>
      <c r="E331" s="50"/>
      <c r="F331" s="50"/>
      <c r="G331" s="50"/>
      <c r="H331" s="50"/>
      <c r="I331" s="50"/>
      <c r="J331" s="50" t="str">
        <f>IFERROR(__xludf.DUMMYFUNCTION("""COMPUTED_VALUE"""),"")</f>
        <v/>
      </c>
      <c r="K331" s="50" t="str">
        <f>IFERROR(__xludf.DUMMYFUNCTION("""COMPUTED_VALUE"""),"")</f>
        <v/>
      </c>
      <c r="L331" s="50" t="s">
        <v>175</v>
      </c>
      <c r="M331" s="50" t="s">
        <v>175</v>
      </c>
      <c r="N331" s="50"/>
      <c r="O331" s="50"/>
      <c r="P331" s="50"/>
      <c r="Q331" s="50"/>
      <c r="R331" s="50"/>
      <c r="S331" s="50"/>
    </row>
    <row r="332">
      <c r="A332" s="50"/>
      <c r="B332" s="50"/>
      <c r="C332" s="50"/>
      <c r="D332" s="50"/>
      <c r="E332" s="50"/>
      <c r="F332" s="50"/>
      <c r="G332" s="50"/>
      <c r="H332" s="50"/>
      <c r="I332" s="50"/>
      <c r="J332" s="50" t="str">
        <f>IFERROR(__xludf.DUMMYFUNCTION("""COMPUTED_VALUE"""),"")</f>
        <v/>
      </c>
      <c r="K332" s="50" t="str">
        <f>IFERROR(__xludf.DUMMYFUNCTION("""COMPUTED_VALUE"""),"")</f>
        <v/>
      </c>
      <c r="L332" s="50" t="s">
        <v>175</v>
      </c>
      <c r="M332" s="50" t="s">
        <v>175</v>
      </c>
      <c r="N332" s="50"/>
      <c r="O332" s="50"/>
      <c r="P332" s="50"/>
      <c r="Q332" s="50"/>
      <c r="R332" s="50"/>
      <c r="S332" s="50"/>
    </row>
    <row r="333">
      <c r="A333" s="50"/>
      <c r="B333" s="50"/>
      <c r="C333" s="50"/>
      <c r="D333" s="50"/>
      <c r="E333" s="50"/>
      <c r="F333" s="50"/>
      <c r="G333" s="50"/>
      <c r="H333" s="50"/>
      <c r="I333" s="50"/>
      <c r="J333" s="50" t="str">
        <f>IFERROR(__xludf.DUMMYFUNCTION("""COMPUTED_VALUE"""),"")</f>
        <v/>
      </c>
      <c r="K333" s="50" t="str">
        <f>IFERROR(__xludf.DUMMYFUNCTION("""COMPUTED_VALUE"""),"")</f>
        <v/>
      </c>
      <c r="L333" s="50" t="s">
        <v>175</v>
      </c>
      <c r="M333" s="50" t="s">
        <v>175</v>
      </c>
      <c r="N333" s="50"/>
      <c r="O333" s="50"/>
      <c r="P333" s="50"/>
      <c r="Q333" s="50"/>
      <c r="R333" s="50"/>
      <c r="S333" s="50"/>
    </row>
    <row r="334">
      <c r="A334" s="50"/>
      <c r="B334" s="50"/>
      <c r="C334" s="50"/>
      <c r="D334" s="50"/>
      <c r="E334" s="50"/>
      <c r="F334" s="50"/>
      <c r="G334" s="50"/>
      <c r="H334" s="50"/>
      <c r="I334" s="50"/>
      <c r="J334" s="50" t="str">
        <f>IFERROR(__xludf.DUMMYFUNCTION("""COMPUTED_VALUE"""),"")</f>
        <v/>
      </c>
      <c r="K334" s="50" t="str">
        <f>IFERROR(__xludf.DUMMYFUNCTION("""COMPUTED_VALUE"""),"")</f>
        <v/>
      </c>
      <c r="L334" s="50" t="s">
        <v>175</v>
      </c>
      <c r="M334" s="50" t="s">
        <v>175</v>
      </c>
      <c r="N334" s="50"/>
      <c r="O334" s="50"/>
      <c r="P334" s="50"/>
      <c r="Q334" s="50"/>
      <c r="R334" s="50"/>
      <c r="S334" s="50"/>
    </row>
    <row r="335">
      <c r="A335" s="50"/>
      <c r="B335" s="50"/>
      <c r="C335" s="50"/>
      <c r="D335" s="50"/>
      <c r="E335" s="50"/>
      <c r="F335" s="50"/>
      <c r="G335" s="50"/>
      <c r="H335" s="50"/>
      <c r="I335" s="50"/>
      <c r="J335" s="50" t="str">
        <f>IFERROR(__xludf.DUMMYFUNCTION("""COMPUTED_VALUE"""),"")</f>
        <v/>
      </c>
      <c r="K335" s="50" t="str">
        <f>IFERROR(__xludf.DUMMYFUNCTION("""COMPUTED_VALUE"""),"")</f>
        <v/>
      </c>
      <c r="L335" s="50" t="s">
        <v>175</v>
      </c>
      <c r="M335" s="50" t="s">
        <v>175</v>
      </c>
      <c r="N335" s="50"/>
      <c r="O335" s="50"/>
      <c r="P335" s="50"/>
      <c r="Q335" s="50"/>
      <c r="R335" s="50"/>
      <c r="S335" s="50"/>
    </row>
    <row r="336">
      <c r="A336" s="50"/>
      <c r="B336" s="50"/>
      <c r="C336" s="50"/>
      <c r="D336" s="50"/>
      <c r="E336" s="50"/>
      <c r="F336" s="50"/>
      <c r="G336" s="50"/>
      <c r="H336" s="50"/>
      <c r="I336" s="50"/>
      <c r="J336" s="50" t="str">
        <f>IFERROR(__xludf.DUMMYFUNCTION("""COMPUTED_VALUE"""),"")</f>
        <v/>
      </c>
      <c r="K336" s="50" t="str">
        <f>IFERROR(__xludf.DUMMYFUNCTION("""COMPUTED_VALUE"""),"")</f>
        <v/>
      </c>
      <c r="L336" s="50" t="s">
        <v>175</v>
      </c>
      <c r="M336" s="50" t="s">
        <v>175</v>
      </c>
      <c r="N336" s="50"/>
      <c r="O336" s="50"/>
      <c r="P336" s="50"/>
      <c r="Q336" s="50"/>
      <c r="R336" s="50"/>
      <c r="S336" s="50"/>
    </row>
    <row r="337">
      <c r="A337" s="50"/>
      <c r="B337" s="50"/>
      <c r="C337" s="50"/>
      <c r="D337" s="50"/>
      <c r="E337" s="50"/>
      <c r="F337" s="50"/>
      <c r="G337" s="50"/>
      <c r="H337" s="50"/>
      <c r="I337" s="50"/>
      <c r="J337" s="50" t="str">
        <f>IFERROR(__xludf.DUMMYFUNCTION("""COMPUTED_VALUE"""),"")</f>
        <v/>
      </c>
      <c r="K337" s="50" t="str">
        <f>IFERROR(__xludf.DUMMYFUNCTION("""COMPUTED_VALUE"""),"")</f>
        <v/>
      </c>
      <c r="L337" s="50" t="s">
        <v>175</v>
      </c>
      <c r="M337" s="50" t="s">
        <v>175</v>
      </c>
      <c r="N337" s="50"/>
      <c r="O337" s="50"/>
      <c r="P337" s="50"/>
      <c r="Q337" s="50"/>
      <c r="R337" s="50"/>
      <c r="S337" s="50"/>
    </row>
    <row r="338">
      <c r="A338" s="50"/>
      <c r="B338" s="50"/>
      <c r="C338" s="50"/>
      <c r="D338" s="50"/>
      <c r="E338" s="50"/>
      <c r="F338" s="50"/>
      <c r="G338" s="50"/>
      <c r="H338" s="50"/>
      <c r="I338" s="50"/>
      <c r="J338" s="50" t="str">
        <f>IFERROR(__xludf.DUMMYFUNCTION("""COMPUTED_VALUE"""),"")</f>
        <v/>
      </c>
      <c r="K338" s="50" t="str">
        <f>IFERROR(__xludf.DUMMYFUNCTION("""COMPUTED_VALUE"""),"")</f>
        <v/>
      </c>
      <c r="L338" s="50" t="s">
        <v>175</v>
      </c>
      <c r="M338" s="50" t="s">
        <v>175</v>
      </c>
      <c r="N338" s="50"/>
      <c r="O338" s="50"/>
      <c r="P338" s="50"/>
      <c r="Q338" s="50"/>
      <c r="R338" s="50"/>
      <c r="S338" s="50"/>
    </row>
    <row r="339">
      <c r="A339" s="50"/>
      <c r="B339" s="50"/>
      <c r="C339" s="50"/>
      <c r="D339" s="50"/>
      <c r="E339" s="50"/>
      <c r="F339" s="50"/>
      <c r="G339" s="50"/>
      <c r="H339" s="50"/>
      <c r="I339" s="50"/>
      <c r="J339" s="50" t="str">
        <f>IFERROR(__xludf.DUMMYFUNCTION("""COMPUTED_VALUE"""),"")</f>
        <v/>
      </c>
      <c r="K339" s="50" t="str">
        <f>IFERROR(__xludf.DUMMYFUNCTION("""COMPUTED_VALUE"""),"")</f>
        <v/>
      </c>
      <c r="L339" s="50" t="s">
        <v>175</v>
      </c>
      <c r="M339" s="50" t="s">
        <v>175</v>
      </c>
      <c r="N339" s="50"/>
      <c r="O339" s="50"/>
      <c r="P339" s="50"/>
      <c r="Q339" s="50"/>
      <c r="R339" s="50"/>
      <c r="S339" s="50"/>
    </row>
    <row r="340">
      <c r="A340" s="50"/>
      <c r="B340" s="50"/>
      <c r="C340" s="50"/>
      <c r="D340" s="50"/>
      <c r="E340" s="50"/>
      <c r="F340" s="50"/>
      <c r="G340" s="50"/>
      <c r="H340" s="50"/>
      <c r="I340" s="50"/>
      <c r="J340" s="50" t="str">
        <f>IFERROR(__xludf.DUMMYFUNCTION("""COMPUTED_VALUE"""),"")</f>
        <v/>
      </c>
      <c r="K340" s="50" t="str">
        <f>IFERROR(__xludf.DUMMYFUNCTION("""COMPUTED_VALUE"""),"")</f>
        <v/>
      </c>
      <c r="L340" s="50" t="s">
        <v>175</v>
      </c>
      <c r="M340" s="50" t="s">
        <v>175</v>
      </c>
      <c r="N340" s="50"/>
      <c r="O340" s="50"/>
      <c r="P340" s="50"/>
      <c r="Q340" s="50"/>
      <c r="R340" s="50"/>
      <c r="S340" s="50"/>
    </row>
    <row r="341">
      <c r="A341" s="50"/>
      <c r="B341" s="50"/>
      <c r="C341" s="50"/>
      <c r="D341" s="50"/>
      <c r="E341" s="50"/>
      <c r="F341" s="50"/>
      <c r="G341" s="50"/>
      <c r="H341" s="50"/>
      <c r="I341" s="50"/>
      <c r="J341" s="50" t="str">
        <f>IFERROR(__xludf.DUMMYFUNCTION("""COMPUTED_VALUE"""),"")</f>
        <v/>
      </c>
      <c r="K341" s="50" t="str">
        <f>IFERROR(__xludf.DUMMYFUNCTION("""COMPUTED_VALUE"""),"")</f>
        <v/>
      </c>
      <c r="L341" s="50" t="s">
        <v>175</v>
      </c>
      <c r="M341" s="50" t="s">
        <v>175</v>
      </c>
      <c r="N341" s="50"/>
      <c r="O341" s="50"/>
      <c r="P341" s="50"/>
      <c r="Q341" s="50"/>
      <c r="R341" s="50"/>
      <c r="S341" s="50"/>
    </row>
    <row r="342">
      <c r="A342" s="50"/>
      <c r="B342" s="50"/>
      <c r="C342" s="50"/>
      <c r="D342" s="50"/>
      <c r="E342" s="50"/>
      <c r="F342" s="50"/>
      <c r="G342" s="50"/>
      <c r="H342" s="50"/>
      <c r="I342" s="50"/>
      <c r="J342" s="50" t="str">
        <f>IFERROR(__xludf.DUMMYFUNCTION("""COMPUTED_VALUE"""),"")</f>
        <v/>
      </c>
      <c r="K342" s="50" t="str">
        <f>IFERROR(__xludf.DUMMYFUNCTION("""COMPUTED_VALUE"""),"")</f>
        <v/>
      </c>
      <c r="L342" s="50" t="s">
        <v>175</v>
      </c>
      <c r="M342" s="50" t="s">
        <v>175</v>
      </c>
      <c r="N342" s="50"/>
      <c r="O342" s="50"/>
      <c r="P342" s="50"/>
      <c r="Q342" s="50"/>
      <c r="R342" s="50"/>
      <c r="S342" s="50"/>
    </row>
    <row r="343">
      <c r="A343" s="50"/>
      <c r="B343" s="50"/>
      <c r="C343" s="50"/>
      <c r="D343" s="50"/>
      <c r="E343" s="50"/>
      <c r="F343" s="50"/>
      <c r="G343" s="50"/>
      <c r="H343" s="50"/>
      <c r="I343" s="50"/>
      <c r="J343" s="50" t="str">
        <f>IFERROR(__xludf.DUMMYFUNCTION("""COMPUTED_VALUE"""),"")</f>
        <v/>
      </c>
      <c r="K343" s="50" t="str">
        <f>IFERROR(__xludf.DUMMYFUNCTION("""COMPUTED_VALUE"""),"")</f>
        <v/>
      </c>
      <c r="L343" s="50" t="s">
        <v>175</v>
      </c>
      <c r="M343" s="50" t="s">
        <v>175</v>
      </c>
      <c r="N343" s="50"/>
      <c r="O343" s="50"/>
      <c r="P343" s="50"/>
      <c r="Q343" s="50"/>
      <c r="R343" s="50"/>
      <c r="S343" s="50"/>
    </row>
    <row r="344">
      <c r="A344" s="50"/>
      <c r="B344" s="50"/>
      <c r="C344" s="50"/>
      <c r="D344" s="50"/>
      <c r="E344" s="50"/>
      <c r="F344" s="50"/>
      <c r="G344" s="50"/>
      <c r="H344" s="50"/>
      <c r="I344" s="50"/>
      <c r="J344" s="50" t="str">
        <f>IFERROR(__xludf.DUMMYFUNCTION("""COMPUTED_VALUE"""),"")</f>
        <v/>
      </c>
      <c r="K344" s="50" t="str">
        <f>IFERROR(__xludf.DUMMYFUNCTION("""COMPUTED_VALUE"""),"")</f>
        <v/>
      </c>
      <c r="L344" s="50" t="s">
        <v>175</v>
      </c>
      <c r="M344" s="50" t="s">
        <v>175</v>
      </c>
      <c r="N344" s="50"/>
      <c r="O344" s="50"/>
      <c r="P344" s="50"/>
      <c r="Q344" s="50"/>
      <c r="R344" s="50"/>
      <c r="S344" s="50"/>
    </row>
    <row r="345">
      <c r="A345" s="50"/>
      <c r="B345" s="50"/>
      <c r="C345" s="50"/>
      <c r="D345" s="50"/>
      <c r="E345" s="50"/>
      <c r="F345" s="50"/>
      <c r="G345" s="50"/>
      <c r="H345" s="50"/>
      <c r="I345" s="50"/>
      <c r="J345" s="50" t="str">
        <f>IFERROR(__xludf.DUMMYFUNCTION("""COMPUTED_VALUE"""),"")</f>
        <v/>
      </c>
      <c r="K345" s="50" t="str">
        <f>IFERROR(__xludf.DUMMYFUNCTION("""COMPUTED_VALUE"""),"")</f>
        <v/>
      </c>
      <c r="L345" s="50" t="s">
        <v>175</v>
      </c>
      <c r="M345" s="50" t="s">
        <v>175</v>
      </c>
      <c r="N345" s="50"/>
      <c r="O345" s="50"/>
      <c r="P345" s="50"/>
      <c r="Q345" s="50"/>
      <c r="R345" s="50"/>
      <c r="S345" s="50"/>
    </row>
    <row r="346">
      <c r="A346" s="50"/>
      <c r="B346" s="50"/>
      <c r="C346" s="50"/>
      <c r="D346" s="50"/>
      <c r="E346" s="50"/>
      <c r="F346" s="50"/>
      <c r="G346" s="50"/>
      <c r="H346" s="50"/>
      <c r="I346" s="50"/>
      <c r="J346" s="50" t="str">
        <f>IFERROR(__xludf.DUMMYFUNCTION("""COMPUTED_VALUE"""),"")</f>
        <v/>
      </c>
      <c r="K346" s="50" t="str">
        <f>IFERROR(__xludf.DUMMYFUNCTION("""COMPUTED_VALUE"""),"")</f>
        <v/>
      </c>
      <c r="L346" s="50" t="s">
        <v>175</v>
      </c>
      <c r="M346" s="50" t="s">
        <v>175</v>
      </c>
      <c r="N346" s="50"/>
      <c r="O346" s="50"/>
      <c r="P346" s="50"/>
      <c r="Q346" s="50"/>
      <c r="R346" s="50"/>
      <c r="S346" s="50"/>
    </row>
    <row r="347">
      <c r="A347" s="50"/>
      <c r="B347" s="50"/>
      <c r="C347" s="50"/>
      <c r="D347" s="50"/>
      <c r="E347" s="50"/>
      <c r="F347" s="50"/>
      <c r="G347" s="50"/>
      <c r="H347" s="50"/>
      <c r="I347" s="50"/>
      <c r="J347" s="50" t="str">
        <f>IFERROR(__xludf.DUMMYFUNCTION("""COMPUTED_VALUE"""),"")</f>
        <v/>
      </c>
      <c r="K347" s="50" t="str">
        <f>IFERROR(__xludf.DUMMYFUNCTION("""COMPUTED_VALUE"""),"")</f>
        <v/>
      </c>
      <c r="L347" s="50" t="s">
        <v>175</v>
      </c>
      <c r="M347" s="50" t="s">
        <v>175</v>
      </c>
      <c r="N347" s="50"/>
      <c r="O347" s="50"/>
      <c r="P347" s="50"/>
      <c r="Q347" s="50"/>
      <c r="R347" s="50"/>
      <c r="S347" s="50"/>
    </row>
    <row r="348">
      <c r="A348" s="50"/>
      <c r="B348" s="50"/>
      <c r="C348" s="50"/>
      <c r="D348" s="50"/>
      <c r="E348" s="50"/>
      <c r="F348" s="50"/>
      <c r="G348" s="50"/>
      <c r="H348" s="50"/>
      <c r="I348" s="50"/>
      <c r="J348" s="50" t="str">
        <f>IFERROR(__xludf.DUMMYFUNCTION("""COMPUTED_VALUE"""),"")</f>
        <v/>
      </c>
      <c r="K348" s="50" t="str">
        <f>IFERROR(__xludf.DUMMYFUNCTION("""COMPUTED_VALUE"""),"")</f>
        <v/>
      </c>
      <c r="L348" s="50" t="s">
        <v>175</v>
      </c>
      <c r="M348" s="50" t="s">
        <v>175</v>
      </c>
      <c r="N348" s="50"/>
      <c r="O348" s="50"/>
      <c r="P348" s="50"/>
      <c r="Q348" s="50"/>
      <c r="R348" s="50"/>
      <c r="S348" s="50"/>
    </row>
    <row r="349">
      <c r="A349" s="50"/>
      <c r="B349" s="50"/>
      <c r="C349" s="50"/>
      <c r="D349" s="50"/>
      <c r="E349" s="50"/>
      <c r="F349" s="50"/>
      <c r="G349" s="50"/>
      <c r="H349" s="50"/>
      <c r="I349" s="50"/>
      <c r="J349" s="50" t="str">
        <f>IFERROR(__xludf.DUMMYFUNCTION("""COMPUTED_VALUE"""),"")</f>
        <v/>
      </c>
      <c r="K349" s="50" t="str">
        <f>IFERROR(__xludf.DUMMYFUNCTION("""COMPUTED_VALUE"""),"")</f>
        <v/>
      </c>
      <c r="L349" s="50" t="s">
        <v>175</v>
      </c>
      <c r="M349" s="50" t="s">
        <v>175</v>
      </c>
      <c r="N349" s="50"/>
      <c r="O349" s="50"/>
      <c r="P349" s="50"/>
      <c r="Q349" s="50"/>
      <c r="R349" s="50"/>
      <c r="S349" s="50"/>
    </row>
    <row r="350">
      <c r="A350" s="50"/>
      <c r="B350" s="50"/>
      <c r="C350" s="50"/>
      <c r="D350" s="50"/>
      <c r="E350" s="50"/>
      <c r="F350" s="50"/>
      <c r="G350" s="50"/>
      <c r="H350" s="50"/>
      <c r="I350" s="50"/>
      <c r="J350" s="50" t="str">
        <f>IFERROR(__xludf.DUMMYFUNCTION("""COMPUTED_VALUE"""),"")</f>
        <v/>
      </c>
      <c r="K350" s="50" t="str">
        <f>IFERROR(__xludf.DUMMYFUNCTION("""COMPUTED_VALUE"""),"")</f>
        <v/>
      </c>
      <c r="L350" s="50" t="s">
        <v>175</v>
      </c>
      <c r="M350" s="50" t="s">
        <v>175</v>
      </c>
      <c r="N350" s="50"/>
      <c r="O350" s="50"/>
      <c r="P350" s="50"/>
      <c r="Q350" s="50"/>
      <c r="R350" s="50"/>
      <c r="S350" s="50"/>
    </row>
    <row r="351">
      <c r="A351" s="50"/>
      <c r="B351" s="50"/>
      <c r="C351" s="50"/>
      <c r="D351" s="50"/>
      <c r="E351" s="50"/>
      <c r="F351" s="50"/>
      <c r="G351" s="50"/>
      <c r="H351" s="50"/>
      <c r="I351" s="50"/>
      <c r="J351" s="50" t="str">
        <f>IFERROR(__xludf.DUMMYFUNCTION("""COMPUTED_VALUE"""),"")</f>
        <v/>
      </c>
      <c r="K351" s="50" t="str">
        <f>IFERROR(__xludf.DUMMYFUNCTION("""COMPUTED_VALUE"""),"")</f>
        <v/>
      </c>
      <c r="L351" s="50" t="s">
        <v>175</v>
      </c>
      <c r="M351" s="50" t="s">
        <v>175</v>
      </c>
      <c r="N351" s="50"/>
      <c r="O351" s="50"/>
      <c r="P351" s="50"/>
      <c r="Q351" s="50"/>
      <c r="R351" s="50"/>
      <c r="S351" s="50"/>
    </row>
    <row r="352">
      <c r="A352" s="50"/>
      <c r="B352" s="50"/>
      <c r="C352" s="50"/>
      <c r="D352" s="50"/>
      <c r="E352" s="50"/>
      <c r="F352" s="50"/>
      <c r="G352" s="50"/>
      <c r="H352" s="50"/>
      <c r="I352" s="50"/>
      <c r="J352" s="50" t="str">
        <f>IFERROR(__xludf.DUMMYFUNCTION("""COMPUTED_VALUE"""),"")</f>
        <v/>
      </c>
      <c r="K352" s="50" t="str">
        <f>IFERROR(__xludf.DUMMYFUNCTION("""COMPUTED_VALUE"""),"")</f>
        <v/>
      </c>
      <c r="L352" s="50" t="s">
        <v>175</v>
      </c>
      <c r="M352" s="50" t="s">
        <v>175</v>
      </c>
      <c r="N352" s="50"/>
      <c r="O352" s="50"/>
      <c r="P352" s="50"/>
      <c r="Q352" s="50"/>
      <c r="R352" s="50"/>
      <c r="S352" s="50"/>
    </row>
    <row r="353">
      <c r="A353" s="50"/>
      <c r="B353" s="50"/>
      <c r="C353" s="50"/>
      <c r="D353" s="50"/>
      <c r="E353" s="50"/>
      <c r="F353" s="50"/>
      <c r="G353" s="50"/>
      <c r="H353" s="50"/>
      <c r="I353" s="50"/>
      <c r="J353" s="50" t="str">
        <f>IFERROR(__xludf.DUMMYFUNCTION("""COMPUTED_VALUE"""),"")</f>
        <v/>
      </c>
      <c r="K353" s="50" t="str">
        <f>IFERROR(__xludf.DUMMYFUNCTION("""COMPUTED_VALUE"""),"")</f>
        <v/>
      </c>
      <c r="L353" s="50" t="s">
        <v>175</v>
      </c>
      <c r="M353" s="50" t="s">
        <v>175</v>
      </c>
      <c r="N353" s="50"/>
      <c r="O353" s="50"/>
      <c r="P353" s="50"/>
      <c r="Q353" s="50"/>
      <c r="R353" s="50"/>
      <c r="S353" s="50"/>
    </row>
    <row r="354">
      <c r="A354" s="50"/>
      <c r="B354" s="50"/>
      <c r="C354" s="50"/>
      <c r="D354" s="50"/>
      <c r="E354" s="50"/>
      <c r="F354" s="50"/>
      <c r="G354" s="50"/>
      <c r="H354" s="50"/>
      <c r="I354" s="50"/>
      <c r="J354" s="50" t="str">
        <f>IFERROR(__xludf.DUMMYFUNCTION("""COMPUTED_VALUE"""),"")</f>
        <v/>
      </c>
      <c r="K354" s="50" t="str">
        <f>IFERROR(__xludf.DUMMYFUNCTION("""COMPUTED_VALUE"""),"")</f>
        <v/>
      </c>
      <c r="L354" s="50" t="s">
        <v>175</v>
      </c>
      <c r="M354" s="50" t="s">
        <v>175</v>
      </c>
      <c r="N354" s="50"/>
      <c r="O354" s="50"/>
      <c r="P354" s="50"/>
      <c r="Q354" s="50"/>
      <c r="R354" s="50"/>
      <c r="S354" s="50"/>
    </row>
    <row r="355">
      <c r="A355" s="50"/>
      <c r="B355" s="50"/>
      <c r="C355" s="50"/>
      <c r="D355" s="50"/>
      <c r="E355" s="50"/>
      <c r="F355" s="50"/>
      <c r="G355" s="50"/>
      <c r="H355" s="50"/>
      <c r="I355" s="50"/>
      <c r="J355" s="50" t="str">
        <f>IFERROR(__xludf.DUMMYFUNCTION("""COMPUTED_VALUE"""),"")</f>
        <v/>
      </c>
      <c r="K355" s="50" t="str">
        <f>IFERROR(__xludf.DUMMYFUNCTION("""COMPUTED_VALUE"""),"")</f>
        <v/>
      </c>
      <c r="L355" s="50" t="s">
        <v>175</v>
      </c>
      <c r="M355" s="50" t="s">
        <v>175</v>
      </c>
      <c r="N355" s="50"/>
      <c r="O355" s="50"/>
      <c r="P355" s="50"/>
      <c r="Q355" s="50"/>
      <c r="R355" s="50"/>
      <c r="S355" s="50"/>
    </row>
    <row r="356">
      <c r="A356" s="50"/>
      <c r="B356" s="50"/>
      <c r="C356" s="50"/>
      <c r="D356" s="50"/>
      <c r="E356" s="50"/>
      <c r="F356" s="50"/>
      <c r="G356" s="50"/>
      <c r="H356" s="50"/>
      <c r="I356" s="50"/>
      <c r="J356" s="50" t="str">
        <f>IFERROR(__xludf.DUMMYFUNCTION("""COMPUTED_VALUE"""),"")</f>
        <v/>
      </c>
      <c r="K356" s="50" t="str">
        <f>IFERROR(__xludf.DUMMYFUNCTION("""COMPUTED_VALUE"""),"")</f>
        <v/>
      </c>
      <c r="L356" s="50" t="s">
        <v>175</v>
      </c>
      <c r="M356" s="50" t="s">
        <v>175</v>
      </c>
      <c r="N356" s="50"/>
      <c r="O356" s="50"/>
      <c r="P356" s="50"/>
      <c r="Q356" s="50"/>
      <c r="R356" s="50"/>
      <c r="S356" s="50"/>
    </row>
    <row r="357">
      <c r="A357" s="50"/>
      <c r="B357" s="50"/>
      <c r="C357" s="50"/>
      <c r="D357" s="50"/>
      <c r="E357" s="50"/>
      <c r="F357" s="50"/>
      <c r="G357" s="50"/>
      <c r="H357" s="50"/>
      <c r="I357" s="50"/>
      <c r="J357" s="50" t="str">
        <f>IFERROR(__xludf.DUMMYFUNCTION("""COMPUTED_VALUE"""),"")</f>
        <v/>
      </c>
      <c r="K357" s="50" t="str">
        <f>IFERROR(__xludf.DUMMYFUNCTION("""COMPUTED_VALUE"""),"")</f>
        <v/>
      </c>
      <c r="L357" s="50" t="s">
        <v>175</v>
      </c>
      <c r="M357" s="50" t="s">
        <v>175</v>
      </c>
      <c r="N357" s="50"/>
      <c r="O357" s="50"/>
      <c r="P357" s="50"/>
      <c r="Q357" s="50"/>
      <c r="R357" s="50"/>
      <c r="S357" s="50"/>
    </row>
    <row r="358">
      <c r="A358" s="50"/>
      <c r="B358" s="50"/>
      <c r="C358" s="50"/>
      <c r="D358" s="50"/>
      <c r="E358" s="50"/>
      <c r="F358" s="50"/>
      <c r="G358" s="50"/>
      <c r="H358" s="50"/>
      <c r="I358" s="50"/>
      <c r="J358" s="50" t="str">
        <f>IFERROR(__xludf.DUMMYFUNCTION("""COMPUTED_VALUE"""),"")</f>
        <v/>
      </c>
      <c r="K358" s="50" t="str">
        <f>IFERROR(__xludf.DUMMYFUNCTION("""COMPUTED_VALUE"""),"")</f>
        <v/>
      </c>
      <c r="L358" s="50" t="s">
        <v>175</v>
      </c>
      <c r="M358" s="50" t="s">
        <v>175</v>
      </c>
      <c r="N358" s="50"/>
      <c r="O358" s="50"/>
      <c r="P358" s="50"/>
      <c r="Q358" s="50"/>
      <c r="R358" s="50"/>
      <c r="S358" s="50"/>
    </row>
    <row r="359">
      <c r="A359" s="50"/>
      <c r="B359" s="50"/>
      <c r="C359" s="50"/>
      <c r="D359" s="50"/>
      <c r="E359" s="50"/>
      <c r="F359" s="50"/>
      <c r="G359" s="50"/>
      <c r="H359" s="50"/>
      <c r="I359" s="50"/>
      <c r="J359" s="50" t="str">
        <f>IFERROR(__xludf.DUMMYFUNCTION("""COMPUTED_VALUE"""),"")</f>
        <v/>
      </c>
      <c r="K359" s="50" t="str">
        <f>IFERROR(__xludf.DUMMYFUNCTION("""COMPUTED_VALUE"""),"")</f>
        <v/>
      </c>
      <c r="L359" s="50" t="s">
        <v>175</v>
      </c>
      <c r="M359" s="50" t="s">
        <v>175</v>
      </c>
      <c r="N359" s="50"/>
      <c r="O359" s="50"/>
      <c r="P359" s="50"/>
      <c r="Q359" s="50"/>
      <c r="R359" s="50"/>
      <c r="S359" s="50"/>
    </row>
    <row r="360">
      <c r="A360" s="50"/>
      <c r="B360" s="50"/>
      <c r="C360" s="50"/>
      <c r="D360" s="50"/>
      <c r="E360" s="50"/>
      <c r="F360" s="50"/>
      <c r="G360" s="50"/>
      <c r="H360" s="50"/>
      <c r="I360" s="50"/>
      <c r="J360" s="50" t="str">
        <f>IFERROR(__xludf.DUMMYFUNCTION("""COMPUTED_VALUE"""),"")</f>
        <v/>
      </c>
      <c r="K360" s="50" t="str">
        <f>IFERROR(__xludf.DUMMYFUNCTION("""COMPUTED_VALUE"""),"")</f>
        <v/>
      </c>
      <c r="L360" s="50" t="s">
        <v>175</v>
      </c>
      <c r="M360" s="50" t="s">
        <v>175</v>
      </c>
      <c r="N360" s="50"/>
      <c r="O360" s="50"/>
      <c r="P360" s="50"/>
      <c r="Q360" s="50"/>
      <c r="R360" s="50"/>
      <c r="S360" s="50"/>
    </row>
    <row r="361">
      <c r="A361" s="50"/>
      <c r="B361" s="50"/>
      <c r="C361" s="50"/>
      <c r="D361" s="50"/>
      <c r="E361" s="50"/>
      <c r="F361" s="50"/>
      <c r="G361" s="50"/>
      <c r="H361" s="50"/>
      <c r="I361" s="50"/>
      <c r="J361" s="50" t="str">
        <f>IFERROR(__xludf.DUMMYFUNCTION("""COMPUTED_VALUE"""),"")</f>
        <v/>
      </c>
      <c r="K361" s="50" t="str">
        <f>IFERROR(__xludf.DUMMYFUNCTION("""COMPUTED_VALUE"""),"")</f>
        <v/>
      </c>
      <c r="L361" s="50" t="s">
        <v>175</v>
      </c>
      <c r="M361" s="50" t="s">
        <v>175</v>
      </c>
      <c r="N361" s="50"/>
      <c r="O361" s="50"/>
      <c r="P361" s="50"/>
      <c r="Q361" s="50"/>
      <c r="R361" s="50"/>
      <c r="S361" s="50"/>
    </row>
    <row r="362">
      <c r="A362" s="50"/>
      <c r="B362" s="50"/>
      <c r="C362" s="50"/>
      <c r="D362" s="50"/>
      <c r="E362" s="50"/>
      <c r="F362" s="50"/>
      <c r="G362" s="50"/>
      <c r="H362" s="50"/>
      <c r="I362" s="50"/>
      <c r="J362" s="50" t="str">
        <f>IFERROR(__xludf.DUMMYFUNCTION("""COMPUTED_VALUE"""),"")</f>
        <v/>
      </c>
      <c r="K362" s="50" t="str">
        <f>IFERROR(__xludf.DUMMYFUNCTION("""COMPUTED_VALUE"""),"")</f>
        <v/>
      </c>
      <c r="L362" s="50" t="s">
        <v>175</v>
      </c>
      <c r="M362" s="50" t="s">
        <v>175</v>
      </c>
      <c r="N362" s="50"/>
      <c r="O362" s="50"/>
      <c r="P362" s="50"/>
      <c r="Q362" s="50"/>
      <c r="R362" s="50"/>
      <c r="S362" s="50"/>
    </row>
    <row r="363">
      <c r="A363" s="50"/>
      <c r="B363" s="50"/>
      <c r="C363" s="50"/>
      <c r="D363" s="50"/>
      <c r="E363" s="50"/>
      <c r="F363" s="50"/>
      <c r="G363" s="50"/>
      <c r="H363" s="50"/>
      <c r="I363" s="50"/>
      <c r="J363" s="50" t="str">
        <f>IFERROR(__xludf.DUMMYFUNCTION("""COMPUTED_VALUE"""),"")</f>
        <v/>
      </c>
      <c r="K363" s="50" t="str">
        <f>IFERROR(__xludf.DUMMYFUNCTION("""COMPUTED_VALUE"""),"")</f>
        <v/>
      </c>
      <c r="L363" s="50" t="s">
        <v>175</v>
      </c>
      <c r="M363" s="50" t="s">
        <v>175</v>
      </c>
      <c r="N363" s="50"/>
      <c r="O363" s="50"/>
      <c r="P363" s="50"/>
      <c r="Q363" s="50"/>
      <c r="R363" s="50"/>
      <c r="S363" s="50"/>
    </row>
    <row r="364">
      <c r="A364" s="50"/>
      <c r="B364" s="50"/>
      <c r="C364" s="50"/>
      <c r="D364" s="50"/>
      <c r="E364" s="50"/>
      <c r="F364" s="50"/>
      <c r="G364" s="50"/>
      <c r="H364" s="50"/>
      <c r="I364" s="50"/>
      <c r="J364" s="50" t="str">
        <f>IFERROR(__xludf.DUMMYFUNCTION("""COMPUTED_VALUE"""),"")</f>
        <v/>
      </c>
      <c r="K364" s="50" t="str">
        <f>IFERROR(__xludf.DUMMYFUNCTION("""COMPUTED_VALUE"""),"")</f>
        <v/>
      </c>
      <c r="L364" s="50" t="s">
        <v>175</v>
      </c>
      <c r="M364" s="50" t="s">
        <v>175</v>
      </c>
      <c r="N364" s="50"/>
      <c r="O364" s="50"/>
      <c r="P364" s="50"/>
      <c r="Q364" s="50"/>
      <c r="R364" s="50"/>
      <c r="S364" s="50"/>
    </row>
    <row r="365">
      <c r="A365" s="50"/>
      <c r="B365" s="50"/>
      <c r="C365" s="50"/>
      <c r="D365" s="50"/>
      <c r="E365" s="50"/>
      <c r="F365" s="50"/>
      <c r="G365" s="50"/>
      <c r="H365" s="50"/>
      <c r="I365" s="50"/>
      <c r="J365" s="50" t="str">
        <f>IFERROR(__xludf.DUMMYFUNCTION("""COMPUTED_VALUE"""),"")</f>
        <v/>
      </c>
      <c r="K365" s="50" t="str">
        <f>IFERROR(__xludf.DUMMYFUNCTION("""COMPUTED_VALUE"""),"")</f>
        <v/>
      </c>
      <c r="L365" s="50" t="s">
        <v>175</v>
      </c>
      <c r="M365" s="50" t="s">
        <v>175</v>
      </c>
      <c r="N365" s="50"/>
      <c r="O365" s="50"/>
      <c r="P365" s="50"/>
      <c r="Q365" s="50"/>
      <c r="R365" s="50"/>
      <c r="S365" s="50"/>
    </row>
    <row r="366">
      <c r="A366" s="50"/>
      <c r="B366" s="50"/>
      <c r="C366" s="50"/>
      <c r="D366" s="50"/>
      <c r="E366" s="50"/>
      <c r="F366" s="50"/>
      <c r="G366" s="50"/>
      <c r="H366" s="50"/>
      <c r="I366" s="50"/>
      <c r="J366" s="50" t="str">
        <f>IFERROR(__xludf.DUMMYFUNCTION("""COMPUTED_VALUE"""),"")</f>
        <v/>
      </c>
      <c r="K366" s="50" t="str">
        <f>IFERROR(__xludf.DUMMYFUNCTION("""COMPUTED_VALUE"""),"")</f>
        <v/>
      </c>
      <c r="L366" s="50" t="s">
        <v>175</v>
      </c>
      <c r="M366" s="50" t="s">
        <v>175</v>
      </c>
      <c r="N366" s="50"/>
      <c r="O366" s="50"/>
      <c r="P366" s="50"/>
      <c r="Q366" s="50"/>
      <c r="R366" s="50"/>
      <c r="S366" s="50"/>
    </row>
    <row r="367">
      <c r="A367" s="50"/>
      <c r="B367" s="50"/>
      <c r="C367" s="50"/>
      <c r="D367" s="50"/>
      <c r="E367" s="50"/>
      <c r="F367" s="50"/>
      <c r="G367" s="50"/>
      <c r="H367" s="50"/>
      <c r="I367" s="50"/>
      <c r="J367" s="50" t="str">
        <f>IFERROR(__xludf.DUMMYFUNCTION("""COMPUTED_VALUE"""),"")</f>
        <v/>
      </c>
      <c r="K367" s="50" t="str">
        <f>IFERROR(__xludf.DUMMYFUNCTION("""COMPUTED_VALUE"""),"")</f>
        <v/>
      </c>
      <c r="L367" s="50" t="s">
        <v>175</v>
      </c>
      <c r="M367" s="50" t="s">
        <v>175</v>
      </c>
      <c r="N367" s="50"/>
      <c r="O367" s="50"/>
      <c r="P367" s="50"/>
      <c r="Q367" s="50"/>
      <c r="R367" s="50"/>
      <c r="S367" s="50"/>
    </row>
    <row r="368">
      <c r="A368" s="50"/>
      <c r="B368" s="50"/>
      <c r="C368" s="50"/>
      <c r="D368" s="50"/>
      <c r="E368" s="50"/>
      <c r="F368" s="50"/>
      <c r="G368" s="50"/>
      <c r="H368" s="50"/>
      <c r="I368" s="50"/>
      <c r="J368" s="50" t="str">
        <f>IFERROR(__xludf.DUMMYFUNCTION("""COMPUTED_VALUE"""),"")</f>
        <v/>
      </c>
      <c r="K368" s="50" t="str">
        <f>IFERROR(__xludf.DUMMYFUNCTION("""COMPUTED_VALUE"""),"")</f>
        <v/>
      </c>
      <c r="L368" s="50" t="s">
        <v>175</v>
      </c>
      <c r="M368" s="50" t="s">
        <v>175</v>
      </c>
      <c r="N368" s="50"/>
      <c r="O368" s="50"/>
      <c r="P368" s="50"/>
      <c r="Q368" s="50"/>
      <c r="R368" s="50"/>
      <c r="S368" s="50"/>
    </row>
    <row r="369">
      <c r="A369" s="50"/>
      <c r="B369" s="50"/>
      <c r="C369" s="50"/>
      <c r="D369" s="50"/>
      <c r="E369" s="50"/>
      <c r="F369" s="50"/>
      <c r="G369" s="50"/>
      <c r="H369" s="50"/>
      <c r="I369" s="50"/>
      <c r="J369" s="50" t="str">
        <f>IFERROR(__xludf.DUMMYFUNCTION("""COMPUTED_VALUE"""),"")</f>
        <v/>
      </c>
      <c r="K369" s="50" t="str">
        <f>IFERROR(__xludf.DUMMYFUNCTION("""COMPUTED_VALUE"""),"")</f>
        <v/>
      </c>
      <c r="L369" s="50" t="s">
        <v>175</v>
      </c>
      <c r="M369" s="50" t="s">
        <v>175</v>
      </c>
      <c r="N369" s="50"/>
      <c r="O369" s="50"/>
      <c r="P369" s="50"/>
      <c r="Q369" s="50"/>
      <c r="R369" s="50"/>
      <c r="S369" s="50"/>
    </row>
    <row r="370">
      <c r="A370" s="50"/>
      <c r="B370" s="50"/>
      <c r="C370" s="50"/>
      <c r="D370" s="50"/>
      <c r="E370" s="50"/>
      <c r="F370" s="50"/>
      <c r="G370" s="50"/>
      <c r="H370" s="50"/>
      <c r="I370" s="50"/>
      <c r="J370" s="50" t="str">
        <f>IFERROR(__xludf.DUMMYFUNCTION("""COMPUTED_VALUE"""),"")</f>
        <v/>
      </c>
      <c r="K370" s="50" t="str">
        <f>IFERROR(__xludf.DUMMYFUNCTION("""COMPUTED_VALUE"""),"")</f>
        <v/>
      </c>
      <c r="L370" s="50" t="s">
        <v>175</v>
      </c>
      <c r="M370" s="50" t="s">
        <v>175</v>
      </c>
      <c r="N370" s="50"/>
      <c r="O370" s="50"/>
      <c r="P370" s="50"/>
      <c r="Q370" s="50"/>
      <c r="R370" s="50"/>
      <c r="S370" s="50"/>
    </row>
    <row r="371">
      <c r="A371" s="50"/>
      <c r="B371" s="50"/>
      <c r="C371" s="50"/>
      <c r="D371" s="50"/>
      <c r="E371" s="50"/>
      <c r="F371" s="50"/>
      <c r="G371" s="50"/>
      <c r="H371" s="50"/>
      <c r="I371" s="50"/>
      <c r="J371" s="50" t="str">
        <f>IFERROR(__xludf.DUMMYFUNCTION("""COMPUTED_VALUE"""),"")</f>
        <v/>
      </c>
      <c r="K371" s="50" t="str">
        <f>IFERROR(__xludf.DUMMYFUNCTION("""COMPUTED_VALUE"""),"")</f>
        <v/>
      </c>
      <c r="L371" s="50" t="s">
        <v>175</v>
      </c>
      <c r="M371" s="50" t="s">
        <v>175</v>
      </c>
      <c r="N371" s="50"/>
      <c r="O371" s="50"/>
      <c r="P371" s="50"/>
      <c r="Q371" s="50"/>
      <c r="R371" s="50"/>
      <c r="S371" s="50"/>
    </row>
    <row r="372">
      <c r="A372" s="50"/>
      <c r="B372" s="50"/>
      <c r="C372" s="50"/>
      <c r="D372" s="50"/>
      <c r="E372" s="50"/>
      <c r="F372" s="50"/>
      <c r="G372" s="50"/>
      <c r="H372" s="50"/>
      <c r="I372" s="50"/>
      <c r="J372" s="50" t="str">
        <f>IFERROR(__xludf.DUMMYFUNCTION("""COMPUTED_VALUE"""),"")</f>
        <v/>
      </c>
      <c r="K372" s="50" t="str">
        <f>IFERROR(__xludf.DUMMYFUNCTION("""COMPUTED_VALUE"""),"")</f>
        <v/>
      </c>
      <c r="L372" s="50" t="s">
        <v>175</v>
      </c>
      <c r="M372" s="50" t="s">
        <v>175</v>
      </c>
      <c r="N372" s="50"/>
      <c r="O372" s="50"/>
      <c r="P372" s="50"/>
      <c r="Q372" s="50"/>
      <c r="R372" s="50"/>
      <c r="S372" s="50"/>
    </row>
    <row r="373">
      <c r="A373" s="50"/>
      <c r="B373" s="50"/>
      <c r="C373" s="50"/>
      <c r="D373" s="50"/>
      <c r="E373" s="50"/>
      <c r="F373" s="50"/>
      <c r="G373" s="50"/>
      <c r="H373" s="50"/>
      <c r="I373" s="50"/>
      <c r="J373" s="50" t="str">
        <f>IFERROR(__xludf.DUMMYFUNCTION("""COMPUTED_VALUE"""),"")</f>
        <v/>
      </c>
      <c r="K373" s="50" t="str">
        <f>IFERROR(__xludf.DUMMYFUNCTION("""COMPUTED_VALUE"""),"")</f>
        <v/>
      </c>
      <c r="L373" s="50" t="s">
        <v>175</v>
      </c>
      <c r="M373" s="50" t="s">
        <v>175</v>
      </c>
      <c r="N373" s="50"/>
      <c r="O373" s="50"/>
      <c r="P373" s="50"/>
      <c r="Q373" s="50"/>
      <c r="R373" s="50"/>
      <c r="S373" s="50"/>
    </row>
    <row r="374">
      <c r="A374" s="50"/>
      <c r="B374" s="50"/>
      <c r="C374" s="50"/>
      <c r="D374" s="50"/>
      <c r="E374" s="50"/>
      <c r="F374" s="50"/>
      <c r="G374" s="50"/>
      <c r="H374" s="50"/>
      <c r="I374" s="50"/>
      <c r="J374" s="50" t="str">
        <f>IFERROR(__xludf.DUMMYFUNCTION("""COMPUTED_VALUE"""),"")</f>
        <v/>
      </c>
      <c r="K374" s="50" t="str">
        <f>IFERROR(__xludf.DUMMYFUNCTION("""COMPUTED_VALUE"""),"")</f>
        <v/>
      </c>
      <c r="L374" s="50" t="s">
        <v>175</v>
      </c>
      <c r="M374" s="50" t="s">
        <v>175</v>
      </c>
      <c r="N374" s="50"/>
      <c r="O374" s="50"/>
      <c r="P374" s="50"/>
      <c r="Q374" s="50"/>
      <c r="R374" s="50"/>
      <c r="S374" s="50"/>
    </row>
    <row r="375">
      <c r="A375" s="50"/>
      <c r="B375" s="50"/>
      <c r="C375" s="50"/>
      <c r="D375" s="50"/>
      <c r="E375" s="50"/>
      <c r="F375" s="50"/>
      <c r="G375" s="50"/>
      <c r="H375" s="50"/>
      <c r="I375" s="50"/>
      <c r="J375" s="50" t="str">
        <f>IFERROR(__xludf.DUMMYFUNCTION("""COMPUTED_VALUE"""),"")</f>
        <v/>
      </c>
      <c r="K375" s="50" t="str">
        <f>IFERROR(__xludf.DUMMYFUNCTION("""COMPUTED_VALUE"""),"")</f>
        <v/>
      </c>
      <c r="L375" s="50" t="s">
        <v>175</v>
      </c>
      <c r="M375" s="50" t="s">
        <v>175</v>
      </c>
      <c r="N375" s="50"/>
      <c r="O375" s="50"/>
      <c r="P375" s="50"/>
      <c r="Q375" s="50"/>
      <c r="R375" s="50"/>
      <c r="S375" s="50"/>
    </row>
    <row r="376">
      <c r="A376" s="50"/>
      <c r="B376" s="50"/>
      <c r="C376" s="50"/>
      <c r="D376" s="50"/>
      <c r="E376" s="50"/>
      <c r="F376" s="50"/>
      <c r="G376" s="50"/>
      <c r="H376" s="50"/>
      <c r="I376" s="50"/>
      <c r="J376" s="50" t="str">
        <f>IFERROR(__xludf.DUMMYFUNCTION("""COMPUTED_VALUE"""),"")</f>
        <v/>
      </c>
      <c r="K376" s="50" t="str">
        <f>IFERROR(__xludf.DUMMYFUNCTION("""COMPUTED_VALUE"""),"")</f>
        <v/>
      </c>
      <c r="L376" s="50" t="s">
        <v>175</v>
      </c>
      <c r="M376" s="50" t="s">
        <v>175</v>
      </c>
      <c r="N376" s="50"/>
      <c r="O376" s="50"/>
      <c r="P376" s="50"/>
      <c r="Q376" s="50"/>
      <c r="R376" s="50"/>
      <c r="S376" s="50"/>
    </row>
    <row r="377">
      <c r="A377" s="50"/>
      <c r="B377" s="50"/>
      <c r="C377" s="50"/>
      <c r="D377" s="50"/>
      <c r="E377" s="50"/>
      <c r="F377" s="50"/>
      <c r="G377" s="50"/>
      <c r="H377" s="50"/>
      <c r="I377" s="50"/>
      <c r="J377" s="50" t="str">
        <f>IFERROR(__xludf.DUMMYFUNCTION("""COMPUTED_VALUE"""),"")</f>
        <v/>
      </c>
      <c r="K377" s="50" t="str">
        <f>IFERROR(__xludf.DUMMYFUNCTION("""COMPUTED_VALUE"""),"")</f>
        <v/>
      </c>
      <c r="L377" s="50" t="s">
        <v>175</v>
      </c>
      <c r="M377" s="50" t="s">
        <v>175</v>
      </c>
      <c r="N377" s="50"/>
      <c r="O377" s="50"/>
      <c r="P377" s="50"/>
      <c r="Q377" s="50"/>
      <c r="R377" s="50"/>
      <c r="S377" s="50"/>
    </row>
    <row r="378">
      <c r="A378" s="50"/>
      <c r="B378" s="50"/>
      <c r="C378" s="50"/>
      <c r="D378" s="50"/>
      <c r="E378" s="50"/>
      <c r="F378" s="50"/>
      <c r="G378" s="50"/>
      <c r="H378" s="50"/>
      <c r="I378" s="50"/>
      <c r="J378" s="50" t="str">
        <f>IFERROR(__xludf.DUMMYFUNCTION("""COMPUTED_VALUE"""),"")</f>
        <v/>
      </c>
      <c r="K378" s="50" t="str">
        <f>IFERROR(__xludf.DUMMYFUNCTION("""COMPUTED_VALUE"""),"")</f>
        <v/>
      </c>
      <c r="L378" s="50" t="s">
        <v>175</v>
      </c>
      <c r="M378" s="50" t="s">
        <v>175</v>
      </c>
      <c r="N378" s="50"/>
      <c r="O378" s="50"/>
      <c r="P378" s="50"/>
      <c r="Q378" s="50"/>
      <c r="R378" s="50"/>
      <c r="S378" s="50"/>
    </row>
    <row r="379">
      <c r="A379" s="50"/>
      <c r="B379" s="50"/>
      <c r="C379" s="50"/>
      <c r="D379" s="50"/>
      <c r="E379" s="50"/>
      <c r="F379" s="50"/>
      <c r="G379" s="50"/>
      <c r="H379" s="50"/>
      <c r="I379" s="50"/>
      <c r="J379" s="50" t="str">
        <f>IFERROR(__xludf.DUMMYFUNCTION("""COMPUTED_VALUE"""),"")</f>
        <v/>
      </c>
      <c r="K379" s="50" t="str">
        <f>IFERROR(__xludf.DUMMYFUNCTION("""COMPUTED_VALUE"""),"")</f>
        <v/>
      </c>
      <c r="L379" s="50" t="s">
        <v>175</v>
      </c>
      <c r="M379" s="50" t="s">
        <v>175</v>
      </c>
      <c r="N379" s="50"/>
      <c r="O379" s="50"/>
      <c r="P379" s="50"/>
      <c r="Q379" s="50"/>
      <c r="R379" s="50"/>
      <c r="S379" s="50"/>
    </row>
    <row r="380">
      <c r="A380" s="50"/>
      <c r="B380" s="50"/>
      <c r="C380" s="50"/>
      <c r="D380" s="50"/>
      <c r="E380" s="50"/>
      <c r="F380" s="50"/>
      <c r="G380" s="50"/>
      <c r="H380" s="50"/>
      <c r="I380" s="50"/>
      <c r="J380" s="50" t="str">
        <f>IFERROR(__xludf.DUMMYFUNCTION("""COMPUTED_VALUE"""),"")</f>
        <v/>
      </c>
      <c r="K380" s="50" t="str">
        <f>IFERROR(__xludf.DUMMYFUNCTION("""COMPUTED_VALUE"""),"")</f>
        <v/>
      </c>
      <c r="L380" s="50" t="s">
        <v>175</v>
      </c>
      <c r="M380" s="50" t="s">
        <v>175</v>
      </c>
      <c r="N380" s="50"/>
      <c r="O380" s="50"/>
      <c r="P380" s="50"/>
      <c r="Q380" s="50"/>
      <c r="R380" s="50"/>
      <c r="S380" s="50"/>
    </row>
    <row r="381">
      <c r="A381" s="50"/>
      <c r="B381" s="50"/>
      <c r="C381" s="50"/>
      <c r="D381" s="50"/>
      <c r="E381" s="50"/>
      <c r="F381" s="50"/>
      <c r="G381" s="50"/>
      <c r="H381" s="50"/>
      <c r="I381" s="50"/>
      <c r="J381" s="50" t="str">
        <f>IFERROR(__xludf.DUMMYFUNCTION("""COMPUTED_VALUE"""),"")</f>
        <v/>
      </c>
      <c r="K381" s="50" t="str">
        <f>IFERROR(__xludf.DUMMYFUNCTION("""COMPUTED_VALUE"""),"")</f>
        <v/>
      </c>
      <c r="L381" s="50" t="s">
        <v>175</v>
      </c>
      <c r="M381" s="50" t="s">
        <v>175</v>
      </c>
      <c r="N381" s="50"/>
      <c r="O381" s="50"/>
      <c r="P381" s="50"/>
      <c r="Q381" s="50"/>
      <c r="R381" s="50"/>
      <c r="S381" s="50"/>
    </row>
    <row r="382">
      <c r="A382" s="50"/>
      <c r="B382" s="50"/>
      <c r="C382" s="50"/>
      <c r="D382" s="50"/>
      <c r="E382" s="50"/>
      <c r="F382" s="50"/>
      <c r="G382" s="50"/>
      <c r="H382" s="50"/>
      <c r="I382" s="50"/>
      <c r="J382" s="50" t="str">
        <f>IFERROR(__xludf.DUMMYFUNCTION("""COMPUTED_VALUE"""),"")</f>
        <v/>
      </c>
      <c r="K382" s="50" t="str">
        <f>IFERROR(__xludf.DUMMYFUNCTION("""COMPUTED_VALUE"""),"")</f>
        <v/>
      </c>
      <c r="L382" s="50" t="s">
        <v>175</v>
      </c>
      <c r="M382" s="50" t="s">
        <v>175</v>
      </c>
      <c r="N382" s="50"/>
      <c r="O382" s="50"/>
      <c r="P382" s="50"/>
      <c r="Q382" s="50"/>
      <c r="R382" s="50"/>
      <c r="S382" s="50"/>
    </row>
    <row r="383">
      <c r="A383" s="50"/>
      <c r="B383" s="50"/>
      <c r="C383" s="50"/>
      <c r="D383" s="50"/>
      <c r="E383" s="50"/>
      <c r="F383" s="50"/>
      <c r="G383" s="50"/>
      <c r="H383" s="50"/>
      <c r="I383" s="50"/>
      <c r="J383" s="50" t="str">
        <f>IFERROR(__xludf.DUMMYFUNCTION("""COMPUTED_VALUE"""),"")</f>
        <v/>
      </c>
      <c r="K383" s="50" t="str">
        <f>IFERROR(__xludf.DUMMYFUNCTION("""COMPUTED_VALUE"""),"")</f>
        <v/>
      </c>
      <c r="L383" s="50" t="s">
        <v>175</v>
      </c>
      <c r="M383" s="50" t="s">
        <v>175</v>
      </c>
      <c r="N383" s="50"/>
      <c r="O383" s="50"/>
      <c r="P383" s="50"/>
      <c r="Q383" s="50"/>
      <c r="R383" s="50"/>
      <c r="S383" s="50"/>
    </row>
    <row r="384">
      <c r="A384" s="50"/>
      <c r="B384" s="50"/>
      <c r="C384" s="50"/>
      <c r="D384" s="50"/>
      <c r="E384" s="50"/>
      <c r="F384" s="50"/>
      <c r="G384" s="50"/>
      <c r="H384" s="50"/>
      <c r="I384" s="50"/>
      <c r="J384" s="50" t="str">
        <f>IFERROR(__xludf.DUMMYFUNCTION("""COMPUTED_VALUE"""),"")</f>
        <v/>
      </c>
      <c r="K384" s="50" t="str">
        <f>IFERROR(__xludf.DUMMYFUNCTION("""COMPUTED_VALUE"""),"")</f>
        <v/>
      </c>
      <c r="L384" s="50" t="s">
        <v>175</v>
      </c>
      <c r="M384" s="50" t="s">
        <v>175</v>
      </c>
      <c r="N384" s="50"/>
      <c r="O384" s="50"/>
      <c r="P384" s="50"/>
      <c r="Q384" s="50"/>
      <c r="R384" s="50"/>
      <c r="S384" s="50"/>
    </row>
    <row r="385">
      <c r="A385" s="50"/>
      <c r="B385" s="50"/>
      <c r="C385" s="50"/>
      <c r="D385" s="50"/>
      <c r="E385" s="50"/>
      <c r="F385" s="50"/>
      <c r="G385" s="50"/>
      <c r="H385" s="50"/>
      <c r="I385" s="50"/>
      <c r="J385" s="50" t="str">
        <f>IFERROR(__xludf.DUMMYFUNCTION("""COMPUTED_VALUE"""),"")</f>
        <v/>
      </c>
      <c r="K385" s="50" t="str">
        <f>IFERROR(__xludf.DUMMYFUNCTION("""COMPUTED_VALUE"""),"")</f>
        <v/>
      </c>
      <c r="L385" s="50" t="s">
        <v>175</v>
      </c>
      <c r="M385" s="50" t="s">
        <v>175</v>
      </c>
      <c r="N385" s="50"/>
      <c r="O385" s="50"/>
      <c r="P385" s="50"/>
      <c r="Q385" s="50"/>
      <c r="R385" s="50"/>
      <c r="S385" s="50"/>
    </row>
    <row r="386">
      <c r="A386" s="50"/>
      <c r="B386" s="50"/>
      <c r="C386" s="50"/>
      <c r="D386" s="50"/>
      <c r="E386" s="50"/>
      <c r="F386" s="50"/>
      <c r="G386" s="50"/>
      <c r="H386" s="50"/>
      <c r="I386" s="50"/>
      <c r="J386" s="50" t="str">
        <f>IFERROR(__xludf.DUMMYFUNCTION("""COMPUTED_VALUE"""),"")</f>
        <v/>
      </c>
      <c r="K386" s="50" t="str">
        <f>IFERROR(__xludf.DUMMYFUNCTION("""COMPUTED_VALUE"""),"")</f>
        <v/>
      </c>
      <c r="L386" s="50" t="s">
        <v>175</v>
      </c>
      <c r="M386" s="50" t="s">
        <v>175</v>
      </c>
      <c r="N386" s="50"/>
      <c r="O386" s="50"/>
      <c r="P386" s="50"/>
      <c r="Q386" s="50"/>
      <c r="R386" s="50"/>
      <c r="S386" s="50"/>
    </row>
    <row r="387">
      <c r="A387" s="50"/>
      <c r="B387" s="50"/>
      <c r="C387" s="50"/>
      <c r="D387" s="50"/>
      <c r="E387" s="50"/>
      <c r="F387" s="50"/>
      <c r="G387" s="50"/>
      <c r="H387" s="50"/>
      <c r="I387" s="50"/>
      <c r="J387" s="50" t="str">
        <f>IFERROR(__xludf.DUMMYFUNCTION("""COMPUTED_VALUE"""),"")</f>
        <v/>
      </c>
      <c r="K387" s="50" t="str">
        <f>IFERROR(__xludf.DUMMYFUNCTION("""COMPUTED_VALUE"""),"")</f>
        <v/>
      </c>
      <c r="L387" s="50" t="s">
        <v>175</v>
      </c>
      <c r="M387" s="50" t="s">
        <v>175</v>
      </c>
      <c r="N387" s="50"/>
      <c r="O387" s="50"/>
      <c r="P387" s="50"/>
      <c r="Q387" s="50"/>
      <c r="R387" s="50"/>
      <c r="S387" s="50"/>
    </row>
    <row r="388">
      <c r="A388" s="50"/>
      <c r="B388" s="50"/>
      <c r="C388" s="50"/>
      <c r="D388" s="50"/>
      <c r="E388" s="50"/>
      <c r="F388" s="50"/>
      <c r="G388" s="50"/>
      <c r="H388" s="50"/>
      <c r="I388" s="50"/>
      <c r="J388" s="50" t="str">
        <f>IFERROR(__xludf.DUMMYFUNCTION("""COMPUTED_VALUE"""),"")</f>
        <v/>
      </c>
      <c r="K388" s="50" t="str">
        <f>IFERROR(__xludf.DUMMYFUNCTION("""COMPUTED_VALUE"""),"")</f>
        <v/>
      </c>
      <c r="L388" s="50" t="s">
        <v>175</v>
      </c>
      <c r="M388" s="50" t="s">
        <v>175</v>
      </c>
      <c r="N388" s="50"/>
      <c r="O388" s="50"/>
      <c r="P388" s="50"/>
      <c r="Q388" s="50"/>
      <c r="R388" s="50"/>
      <c r="S388" s="50"/>
    </row>
    <row r="389">
      <c r="A389" s="50"/>
      <c r="B389" s="50"/>
      <c r="C389" s="50"/>
      <c r="D389" s="50"/>
      <c r="E389" s="50"/>
      <c r="F389" s="50"/>
      <c r="G389" s="50"/>
      <c r="H389" s="50"/>
      <c r="I389" s="50"/>
      <c r="J389" s="50" t="str">
        <f>IFERROR(__xludf.DUMMYFUNCTION("""COMPUTED_VALUE"""),"")</f>
        <v/>
      </c>
      <c r="K389" s="50" t="str">
        <f>IFERROR(__xludf.DUMMYFUNCTION("""COMPUTED_VALUE"""),"")</f>
        <v/>
      </c>
      <c r="L389" s="50" t="s">
        <v>175</v>
      </c>
      <c r="M389" s="50" t="s">
        <v>175</v>
      </c>
      <c r="N389" s="50"/>
      <c r="O389" s="50"/>
      <c r="P389" s="50"/>
      <c r="Q389" s="50"/>
      <c r="R389" s="50"/>
      <c r="S389" s="50"/>
    </row>
    <row r="390">
      <c r="A390" s="50"/>
      <c r="B390" s="50"/>
      <c r="C390" s="50"/>
      <c r="D390" s="50"/>
      <c r="E390" s="50"/>
      <c r="F390" s="50"/>
      <c r="G390" s="50"/>
      <c r="H390" s="50"/>
      <c r="I390" s="50"/>
      <c r="J390" s="50" t="str">
        <f>IFERROR(__xludf.DUMMYFUNCTION("""COMPUTED_VALUE"""),"")</f>
        <v/>
      </c>
      <c r="K390" s="50" t="str">
        <f>IFERROR(__xludf.DUMMYFUNCTION("""COMPUTED_VALUE"""),"")</f>
        <v/>
      </c>
      <c r="L390" s="50" t="s">
        <v>175</v>
      </c>
      <c r="M390" s="50" t="s">
        <v>175</v>
      </c>
      <c r="N390" s="50"/>
      <c r="O390" s="50"/>
      <c r="P390" s="50"/>
      <c r="Q390" s="50"/>
      <c r="R390" s="50"/>
      <c r="S390" s="50"/>
    </row>
    <row r="391">
      <c r="A391" s="50"/>
      <c r="B391" s="50"/>
      <c r="C391" s="50"/>
      <c r="D391" s="50"/>
      <c r="E391" s="50"/>
      <c r="F391" s="50"/>
      <c r="G391" s="50"/>
      <c r="H391" s="50"/>
      <c r="I391" s="50"/>
      <c r="J391" s="50" t="str">
        <f>IFERROR(__xludf.DUMMYFUNCTION("""COMPUTED_VALUE"""),"")</f>
        <v/>
      </c>
      <c r="K391" s="50" t="str">
        <f>IFERROR(__xludf.DUMMYFUNCTION("""COMPUTED_VALUE"""),"")</f>
        <v/>
      </c>
      <c r="L391" s="50" t="s">
        <v>175</v>
      </c>
      <c r="M391" s="50" t="s">
        <v>175</v>
      </c>
      <c r="N391" s="50"/>
      <c r="O391" s="50"/>
      <c r="P391" s="50"/>
      <c r="Q391" s="50"/>
      <c r="R391" s="50"/>
      <c r="S391" s="50"/>
    </row>
    <row r="392">
      <c r="A392" s="50"/>
      <c r="B392" s="50"/>
      <c r="C392" s="50"/>
      <c r="D392" s="50"/>
      <c r="E392" s="50"/>
      <c r="F392" s="50"/>
      <c r="G392" s="50"/>
      <c r="H392" s="50"/>
      <c r="I392" s="50"/>
      <c r="J392" s="50" t="str">
        <f>IFERROR(__xludf.DUMMYFUNCTION("""COMPUTED_VALUE"""),"")</f>
        <v/>
      </c>
      <c r="K392" s="50" t="str">
        <f>IFERROR(__xludf.DUMMYFUNCTION("""COMPUTED_VALUE"""),"")</f>
        <v/>
      </c>
      <c r="L392" s="50" t="s">
        <v>175</v>
      </c>
      <c r="M392" s="50" t="s">
        <v>175</v>
      </c>
      <c r="N392" s="50"/>
      <c r="O392" s="50"/>
      <c r="P392" s="50"/>
      <c r="Q392" s="50"/>
      <c r="R392" s="50"/>
      <c r="S392" s="50"/>
    </row>
    <row r="393">
      <c r="A393" s="50"/>
      <c r="B393" s="50"/>
      <c r="C393" s="50"/>
      <c r="D393" s="50"/>
      <c r="E393" s="50"/>
      <c r="F393" s="50"/>
      <c r="G393" s="50"/>
      <c r="H393" s="50"/>
      <c r="I393" s="50"/>
      <c r="J393" s="50" t="str">
        <f>IFERROR(__xludf.DUMMYFUNCTION("""COMPUTED_VALUE"""),"")</f>
        <v/>
      </c>
      <c r="K393" s="50" t="str">
        <f>IFERROR(__xludf.DUMMYFUNCTION("""COMPUTED_VALUE"""),"")</f>
        <v/>
      </c>
      <c r="L393" s="50" t="s">
        <v>175</v>
      </c>
      <c r="M393" s="50" t="s">
        <v>175</v>
      </c>
      <c r="N393" s="50"/>
      <c r="O393" s="50"/>
      <c r="P393" s="50"/>
      <c r="Q393" s="50"/>
      <c r="R393" s="50"/>
      <c r="S393" s="50"/>
    </row>
    <row r="394">
      <c r="A394" s="50"/>
      <c r="B394" s="50"/>
      <c r="C394" s="50"/>
      <c r="D394" s="50"/>
      <c r="E394" s="50"/>
      <c r="F394" s="50"/>
      <c r="G394" s="50"/>
      <c r="H394" s="50"/>
      <c r="I394" s="50"/>
      <c r="J394" s="50" t="str">
        <f>IFERROR(__xludf.DUMMYFUNCTION("""COMPUTED_VALUE"""),"")</f>
        <v/>
      </c>
      <c r="K394" s="50" t="str">
        <f>IFERROR(__xludf.DUMMYFUNCTION("""COMPUTED_VALUE"""),"")</f>
        <v/>
      </c>
      <c r="L394" s="50" t="s">
        <v>175</v>
      </c>
      <c r="M394" s="50" t="s">
        <v>175</v>
      </c>
      <c r="N394" s="50"/>
      <c r="O394" s="50"/>
      <c r="P394" s="50"/>
      <c r="Q394" s="50"/>
      <c r="R394" s="50"/>
      <c r="S394" s="50"/>
    </row>
    <row r="395">
      <c r="A395" s="50"/>
      <c r="B395" s="50"/>
      <c r="C395" s="50"/>
      <c r="D395" s="50"/>
      <c r="E395" s="50"/>
      <c r="F395" s="50"/>
      <c r="G395" s="50"/>
      <c r="H395" s="50"/>
      <c r="I395" s="50"/>
      <c r="J395" s="50" t="str">
        <f>IFERROR(__xludf.DUMMYFUNCTION("""COMPUTED_VALUE"""),"")</f>
        <v/>
      </c>
      <c r="K395" s="50" t="str">
        <f>IFERROR(__xludf.DUMMYFUNCTION("""COMPUTED_VALUE"""),"")</f>
        <v/>
      </c>
      <c r="L395" s="50" t="s">
        <v>175</v>
      </c>
      <c r="M395" s="50" t="s">
        <v>175</v>
      </c>
      <c r="N395" s="50"/>
      <c r="O395" s="50"/>
      <c r="P395" s="50"/>
      <c r="Q395" s="50"/>
      <c r="R395" s="50"/>
      <c r="S395" s="50"/>
    </row>
    <row r="396">
      <c r="A396" s="50"/>
      <c r="B396" s="50"/>
      <c r="C396" s="50"/>
      <c r="D396" s="50"/>
      <c r="E396" s="50"/>
      <c r="F396" s="50"/>
      <c r="G396" s="50"/>
      <c r="H396" s="50"/>
      <c r="I396" s="50"/>
      <c r="J396" s="50" t="str">
        <f>IFERROR(__xludf.DUMMYFUNCTION("""COMPUTED_VALUE"""),"")</f>
        <v/>
      </c>
      <c r="K396" s="50" t="str">
        <f>IFERROR(__xludf.DUMMYFUNCTION("""COMPUTED_VALUE"""),"")</f>
        <v/>
      </c>
      <c r="L396" s="50" t="s">
        <v>175</v>
      </c>
      <c r="M396" s="50" t="s">
        <v>175</v>
      </c>
      <c r="N396" s="50"/>
      <c r="O396" s="50"/>
      <c r="P396" s="50"/>
      <c r="Q396" s="50"/>
      <c r="R396" s="50"/>
      <c r="S396" s="50"/>
    </row>
    <row r="397">
      <c r="A397" s="50"/>
      <c r="B397" s="50"/>
      <c r="C397" s="50"/>
      <c r="D397" s="50"/>
      <c r="E397" s="50"/>
      <c r="F397" s="50"/>
      <c r="G397" s="50"/>
      <c r="H397" s="50"/>
      <c r="I397" s="50"/>
      <c r="J397" s="50" t="str">
        <f>IFERROR(__xludf.DUMMYFUNCTION("""COMPUTED_VALUE"""),"")</f>
        <v/>
      </c>
      <c r="K397" s="50" t="str">
        <f>IFERROR(__xludf.DUMMYFUNCTION("""COMPUTED_VALUE"""),"")</f>
        <v/>
      </c>
      <c r="L397" s="50" t="s">
        <v>175</v>
      </c>
      <c r="M397" s="50" t="s">
        <v>175</v>
      </c>
      <c r="N397" s="50"/>
      <c r="O397" s="50"/>
      <c r="P397" s="50"/>
      <c r="Q397" s="50"/>
      <c r="R397" s="50"/>
      <c r="S397" s="50"/>
    </row>
    <row r="398">
      <c r="A398" s="50"/>
      <c r="B398" s="50"/>
      <c r="C398" s="50"/>
      <c r="D398" s="50"/>
      <c r="E398" s="50"/>
      <c r="F398" s="50"/>
      <c r="G398" s="50"/>
      <c r="H398" s="50"/>
      <c r="I398" s="50"/>
      <c r="J398" s="50" t="str">
        <f>IFERROR(__xludf.DUMMYFUNCTION("""COMPUTED_VALUE"""),"")</f>
        <v/>
      </c>
      <c r="K398" s="50" t="str">
        <f>IFERROR(__xludf.DUMMYFUNCTION("""COMPUTED_VALUE"""),"")</f>
        <v/>
      </c>
      <c r="L398" s="50" t="s">
        <v>175</v>
      </c>
      <c r="M398" s="50" t="s">
        <v>175</v>
      </c>
      <c r="N398" s="50"/>
      <c r="O398" s="50"/>
      <c r="P398" s="50"/>
      <c r="Q398" s="50"/>
      <c r="R398" s="50"/>
      <c r="S398" s="50"/>
    </row>
    <row r="399">
      <c r="A399" s="50"/>
      <c r="B399" s="50"/>
      <c r="C399" s="50"/>
      <c r="D399" s="50"/>
      <c r="E399" s="50"/>
      <c r="F399" s="50"/>
      <c r="G399" s="50"/>
      <c r="H399" s="50"/>
      <c r="I399" s="50"/>
      <c r="J399" s="50" t="str">
        <f>IFERROR(__xludf.DUMMYFUNCTION("""COMPUTED_VALUE"""),"")</f>
        <v/>
      </c>
      <c r="K399" s="50" t="str">
        <f>IFERROR(__xludf.DUMMYFUNCTION("""COMPUTED_VALUE"""),"")</f>
        <v/>
      </c>
      <c r="L399" s="50" t="s">
        <v>175</v>
      </c>
      <c r="M399" s="50" t="s">
        <v>175</v>
      </c>
      <c r="N399" s="50"/>
      <c r="O399" s="50"/>
      <c r="P399" s="50"/>
      <c r="Q399" s="50"/>
      <c r="R399" s="50"/>
      <c r="S399" s="50"/>
    </row>
    <row r="400">
      <c r="A400" s="50"/>
      <c r="B400" s="50"/>
      <c r="C400" s="50"/>
      <c r="D400" s="50"/>
      <c r="E400" s="50"/>
      <c r="F400" s="50"/>
      <c r="G400" s="50"/>
      <c r="H400" s="50"/>
      <c r="I400" s="50"/>
      <c r="J400" s="50" t="str">
        <f>IFERROR(__xludf.DUMMYFUNCTION("""COMPUTED_VALUE"""),"")</f>
        <v/>
      </c>
      <c r="K400" s="50" t="str">
        <f>IFERROR(__xludf.DUMMYFUNCTION("""COMPUTED_VALUE"""),"")</f>
        <v/>
      </c>
      <c r="L400" s="50" t="s">
        <v>175</v>
      </c>
      <c r="M400" s="50" t="s">
        <v>175</v>
      </c>
      <c r="N400" s="50"/>
      <c r="O400" s="50"/>
      <c r="P400" s="50"/>
      <c r="Q400" s="50"/>
      <c r="R400" s="50"/>
      <c r="S400" s="50"/>
    </row>
    <row r="401">
      <c r="A401" s="50"/>
      <c r="B401" s="50"/>
      <c r="C401" s="50"/>
      <c r="D401" s="50"/>
      <c r="E401" s="50"/>
      <c r="F401" s="50"/>
      <c r="G401" s="50"/>
      <c r="H401" s="50"/>
      <c r="I401" s="50"/>
      <c r="J401" s="50" t="str">
        <f>IFERROR(__xludf.DUMMYFUNCTION("""COMPUTED_VALUE"""),"")</f>
        <v/>
      </c>
      <c r="K401" s="50" t="str">
        <f>IFERROR(__xludf.DUMMYFUNCTION("""COMPUTED_VALUE"""),"")</f>
        <v/>
      </c>
      <c r="L401" s="50" t="s">
        <v>175</v>
      </c>
      <c r="M401" s="50" t="s">
        <v>175</v>
      </c>
      <c r="N401" s="50"/>
      <c r="O401" s="50"/>
      <c r="P401" s="50"/>
      <c r="Q401" s="50"/>
      <c r="R401" s="50"/>
      <c r="S401" s="50"/>
    </row>
    <row r="402">
      <c r="A402" s="50"/>
      <c r="B402" s="50"/>
      <c r="C402" s="50"/>
      <c r="D402" s="50"/>
      <c r="E402" s="50"/>
      <c r="F402" s="50"/>
      <c r="G402" s="50"/>
      <c r="H402" s="50"/>
      <c r="I402" s="50"/>
      <c r="J402" s="50" t="str">
        <f>IFERROR(__xludf.DUMMYFUNCTION("""COMPUTED_VALUE"""),"")</f>
        <v/>
      </c>
      <c r="K402" s="50" t="str">
        <f>IFERROR(__xludf.DUMMYFUNCTION("""COMPUTED_VALUE"""),"")</f>
        <v/>
      </c>
      <c r="L402" s="50" t="s">
        <v>175</v>
      </c>
      <c r="M402" s="50" t="s">
        <v>175</v>
      </c>
      <c r="N402" s="50"/>
      <c r="O402" s="50"/>
      <c r="P402" s="50"/>
      <c r="Q402" s="50"/>
      <c r="R402" s="50"/>
      <c r="S402" s="50"/>
    </row>
    <row r="403">
      <c r="A403" s="50"/>
      <c r="B403" s="50"/>
      <c r="C403" s="50"/>
      <c r="D403" s="50"/>
      <c r="E403" s="50"/>
      <c r="F403" s="50"/>
      <c r="G403" s="50"/>
      <c r="H403" s="50"/>
      <c r="I403" s="50"/>
      <c r="J403" s="50" t="str">
        <f>IFERROR(__xludf.DUMMYFUNCTION("""COMPUTED_VALUE"""),"")</f>
        <v/>
      </c>
      <c r="K403" s="50" t="str">
        <f>IFERROR(__xludf.DUMMYFUNCTION("""COMPUTED_VALUE"""),"")</f>
        <v/>
      </c>
      <c r="L403" s="50" t="s">
        <v>175</v>
      </c>
      <c r="M403" s="50" t="s">
        <v>175</v>
      </c>
      <c r="N403" s="50"/>
      <c r="O403" s="50"/>
      <c r="P403" s="50"/>
      <c r="Q403" s="50"/>
      <c r="R403" s="50"/>
      <c r="S403" s="50"/>
    </row>
    <row r="404">
      <c r="A404" s="50"/>
      <c r="B404" s="50"/>
      <c r="C404" s="50"/>
      <c r="D404" s="50"/>
      <c r="E404" s="50"/>
      <c r="F404" s="50"/>
      <c r="G404" s="50"/>
      <c r="H404" s="50"/>
      <c r="I404" s="50"/>
      <c r="J404" s="50" t="str">
        <f>IFERROR(__xludf.DUMMYFUNCTION("""COMPUTED_VALUE"""),"")</f>
        <v/>
      </c>
      <c r="K404" s="50" t="str">
        <f>IFERROR(__xludf.DUMMYFUNCTION("""COMPUTED_VALUE"""),"")</f>
        <v/>
      </c>
      <c r="L404" s="50" t="s">
        <v>175</v>
      </c>
      <c r="M404" s="50" t="s">
        <v>175</v>
      </c>
      <c r="N404" s="50"/>
      <c r="O404" s="50"/>
      <c r="P404" s="50"/>
      <c r="Q404" s="50"/>
      <c r="R404" s="50"/>
      <c r="S404" s="50"/>
    </row>
    <row r="405">
      <c r="A405" s="50"/>
      <c r="B405" s="50"/>
      <c r="C405" s="50"/>
      <c r="D405" s="50"/>
      <c r="E405" s="50"/>
      <c r="F405" s="50"/>
      <c r="G405" s="50"/>
      <c r="H405" s="50"/>
      <c r="I405" s="50"/>
      <c r="J405" s="50" t="str">
        <f>IFERROR(__xludf.DUMMYFUNCTION("""COMPUTED_VALUE"""),"")</f>
        <v/>
      </c>
      <c r="K405" s="50" t="str">
        <f>IFERROR(__xludf.DUMMYFUNCTION("""COMPUTED_VALUE"""),"")</f>
        <v/>
      </c>
      <c r="L405" s="50" t="s">
        <v>175</v>
      </c>
      <c r="M405" s="50" t="s">
        <v>175</v>
      </c>
      <c r="N405" s="50"/>
      <c r="O405" s="50"/>
      <c r="P405" s="50"/>
      <c r="Q405" s="50"/>
      <c r="R405" s="50"/>
      <c r="S405" s="50"/>
    </row>
    <row r="406">
      <c r="A406" s="50"/>
      <c r="B406" s="50"/>
      <c r="C406" s="50"/>
      <c r="D406" s="50"/>
      <c r="E406" s="50"/>
      <c r="F406" s="50"/>
      <c r="G406" s="50"/>
      <c r="H406" s="50"/>
      <c r="I406" s="50"/>
      <c r="J406" s="50" t="str">
        <f>IFERROR(__xludf.DUMMYFUNCTION("""COMPUTED_VALUE"""),"")</f>
        <v/>
      </c>
      <c r="K406" s="50" t="str">
        <f>IFERROR(__xludf.DUMMYFUNCTION("""COMPUTED_VALUE"""),"")</f>
        <v/>
      </c>
      <c r="L406" s="50" t="s">
        <v>175</v>
      </c>
      <c r="M406" s="50" t="s">
        <v>175</v>
      </c>
      <c r="N406" s="50"/>
      <c r="O406" s="50"/>
      <c r="P406" s="50"/>
      <c r="Q406" s="50"/>
      <c r="R406" s="50"/>
      <c r="S406" s="50"/>
    </row>
    <row r="407">
      <c r="A407" s="50"/>
      <c r="B407" s="50"/>
      <c r="C407" s="50"/>
      <c r="D407" s="50"/>
      <c r="E407" s="50"/>
      <c r="F407" s="50"/>
      <c r="G407" s="50"/>
      <c r="H407" s="50"/>
      <c r="I407" s="50"/>
      <c r="J407" s="50" t="str">
        <f>IFERROR(__xludf.DUMMYFUNCTION("""COMPUTED_VALUE"""),"")</f>
        <v/>
      </c>
      <c r="K407" s="50" t="str">
        <f>IFERROR(__xludf.DUMMYFUNCTION("""COMPUTED_VALUE"""),"")</f>
        <v/>
      </c>
      <c r="L407" s="50" t="s">
        <v>175</v>
      </c>
      <c r="M407" s="50" t="s">
        <v>175</v>
      </c>
      <c r="N407" s="50"/>
      <c r="O407" s="50"/>
      <c r="P407" s="50"/>
      <c r="Q407" s="50"/>
      <c r="R407" s="50"/>
      <c r="S407" s="50"/>
    </row>
    <row r="408">
      <c r="A408" s="50"/>
      <c r="B408" s="50"/>
      <c r="C408" s="50"/>
      <c r="D408" s="50"/>
      <c r="E408" s="50"/>
      <c r="F408" s="50"/>
      <c r="G408" s="50"/>
      <c r="H408" s="50"/>
      <c r="I408" s="50"/>
      <c r="J408" s="50" t="str">
        <f>IFERROR(__xludf.DUMMYFUNCTION("""COMPUTED_VALUE"""),"")</f>
        <v/>
      </c>
      <c r="K408" s="50" t="str">
        <f>IFERROR(__xludf.DUMMYFUNCTION("""COMPUTED_VALUE"""),"")</f>
        <v/>
      </c>
      <c r="L408" s="50" t="s">
        <v>175</v>
      </c>
      <c r="M408" s="50" t="s">
        <v>175</v>
      </c>
      <c r="N408" s="50"/>
      <c r="O408" s="50"/>
      <c r="P408" s="50"/>
      <c r="Q408" s="50"/>
      <c r="R408" s="50"/>
      <c r="S408" s="50"/>
    </row>
    <row r="409">
      <c r="A409" s="50"/>
      <c r="B409" s="50"/>
      <c r="C409" s="50"/>
      <c r="D409" s="50"/>
      <c r="E409" s="50"/>
      <c r="F409" s="50"/>
      <c r="G409" s="50"/>
      <c r="H409" s="50"/>
      <c r="I409" s="50"/>
      <c r="J409" s="50" t="str">
        <f>IFERROR(__xludf.DUMMYFUNCTION("""COMPUTED_VALUE"""),"")</f>
        <v/>
      </c>
      <c r="K409" s="50" t="str">
        <f>IFERROR(__xludf.DUMMYFUNCTION("""COMPUTED_VALUE"""),"")</f>
        <v/>
      </c>
      <c r="L409" s="50" t="s">
        <v>175</v>
      </c>
      <c r="M409" s="50" t="s">
        <v>175</v>
      </c>
      <c r="N409" s="50"/>
      <c r="O409" s="50"/>
      <c r="P409" s="50"/>
      <c r="Q409" s="50"/>
      <c r="R409" s="50"/>
      <c r="S409" s="50"/>
    </row>
    <row r="410">
      <c r="A410" s="50"/>
      <c r="B410" s="50"/>
      <c r="C410" s="50"/>
      <c r="D410" s="50"/>
      <c r="E410" s="50"/>
      <c r="F410" s="50"/>
      <c r="G410" s="50"/>
      <c r="H410" s="50"/>
      <c r="I410" s="50"/>
      <c r="J410" s="50" t="str">
        <f>IFERROR(__xludf.DUMMYFUNCTION("""COMPUTED_VALUE"""),"")</f>
        <v/>
      </c>
      <c r="K410" s="50" t="str">
        <f>IFERROR(__xludf.DUMMYFUNCTION("""COMPUTED_VALUE"""),"")</f>
        <v/>
      </c>
      <c r="L410" s="50" t="s">
        <v>175</v>
      </c>
      <c r="M410" s="50" t="s">
        <v>175</v>
      </c>
      <c r="N410" s="50"/>
      <c r="O410" s="50"/>
      <c r="P410" s="50"/>
      <c r="Q410" s="50"/>
      <c r="R410" s="50"/>
      <c r="S410" s="50"/>
    </row>
    <row r="411">
      <c r="A411" s="50"/>
      <c r="B411" s="50"/>
      <c r="C411" s="50"/>
      <c r="D411" s="50"/>
      <c r="E411" s="50"/>
      <c r="F411" s="50"/>
      <c r="G411" s="50"/>
      <c r="H411" s="50"/>
      <c r="I411" s="50"/>
      <c r="J411" s="50" t="str">
        <f>IFERROR(__xludf.DUMMYFUNCTION("""COMPUTED_VALUE"""),"")</f>
        <v/>
      </c>
      <c r="K411" s="50" t="str">
        <f>IFERROR(__xludf.DUMMYFUNCTION("""COMPUTED_VALUE"""),"")</f>
        <v/>
      </c>
      <c r="L411" s="50" t="s">
        <v>175</v>
      </c>
      <c r="M411" s="50" t="s">
        <v>175</v>
      </c>
      <c r="N411" s="50"/>
      <c r="O411" s="50"/>
      <c r="P411" s="50"/>
      <c r="Q411" s="50"/>
      <c r="R411" s="50"/>
      <c r="S411" s="50"/>
    </row>
    <row r="412">
      <c r="A412" s="50"/>
      <c r="B412" s="50"/>
      <c r="C412" s="50"/>
      <c r="D412" s="50"/>
      <c r="E412" s="50"/>
      <c r="F412" s="50"/>
      <c r="G412" s="50"/>
      <c r="H412" s="50"/>
      <c r="I412" s="50"/>
      <c r="J412" s="50" t="str">
        <f>IFERROR(__xludf.DUMMYFUNCTION("""COMPUTED_VALUE"""),"")</f>
        <v/>
      </c>
      <c r="K412" s="50" t="str">
        <f>IFERROR(__xludf.DUMMYFUNCTION("""COMPUTED_VALUE"""),"")</f>
        <v/>
      </c>
      <c r="L412" s="50" t="s">
        <v>175</v>
      </c>
      <c r="M412" s="50" t="s">
        <v>175</v>
      </c>
      <c r="N412" s="50"/>
      <c r="O412" s="50"/>
      <c r="P412" s="50"/>
      <c r="Q412" s="50"/>
      <c r="R412" s="50"/>
      <c r="S412" s="50"/>
    </row>
    <row r="413">
      <c r="A413" s="50"/>
      <c r="B413" s="50"/>
      <c r="C413" s="50"/>
      <c r="D413" s="50"/>
      <c r="E413" s="50"/>
      <c r="F413" s="50"/>
      <c r="G413" s="50"/>
      <c r="H413" s="50"/>
      <c r="I413" s="50"/>
      <c r="J413" s="50" t="str">
        <f>IFERROR(__xludf.DUMMYFUNCTION("""COMPUTED_VALUE"""),"")</f>
        <v/>
      </c>
      <c r="K413" s="50" t="str">
        <f>IFERROR(__xludf.DUMMYFUNCTION("""COMPUTED_VALUE"""),"")</f>
        <v/>
      </c>
      <c r="L413" s="50" t="s">
        <v>175</v>
      </c>
      <c r="M413" s="50" t="s">
        <v>175</v>
      </c>
      <c r="N413" s="50"/>
      <c r="O413" s="50"/>
      <c r="P413" s="50"/>
      <c r="Q413" s="50"/>
      <c r="R413" s="50"/>
      <c r="S413" s="50"/>
    </row>
    <row r="414">
      <c r="A414" s="50"/>
      <c r="B414" s="50"/>
      <c r="C414" s="50"/>
      <c r="D414" s="50"/>
      <c r="E414" s="50"/>
      <c r="F414" s="50"/>
      <c r="G414" s="50"/>
      <c r="H414" s="50"/>
      <c r="I414" s="50"/>
      <c r="J414" s="50" t="str">
        <f>IFERROR(__xludf.DUMMYFUNCTION("""COMPUTED_VALUE"""),"")</f>
        <v/>
      </c>
      <c r="K414" s="50" t="str">
        <f>IFERROR(__xludf.DUMMYFUNCTION("""COMPUTED_VALUE"""),"")</f>
        <v/>
      </c>
      <c r="L414" s="50" t="s">
        <v>175</v>
      </c>
      <c r="M414" s="50" t="s">
        <v>175</v>
      </c>
      <c r="N414" s="50"/>
      <c r="O414" s="50"/>
      <c r="P414" s="50"/>
      <c r="Q414" s="50"/>
      <c r="R414" s="50"/>
      <c r="S414" s="50"/>
    </row>
    <row r="415">
      <c r="A415" s="50"/>
      <c r="B415" s="50"/>
      <c r="C415" s="50"/>
      <c r="D415" s="50"/>
      <c r="E415" s="50"/>
      <c r="F415" s="50"/>
      <c r="G415" s="50"/>
      <c r="H415" s="50"/>
      <c r="I415" s="50"/>
      <c r="J415" s="50" t="str">
        <f>IFERROR(__xludf.DUMMYFUNCTION("""COMPUTED_VALUE"""),"")</f>
        <v/>
      </c>
      <c r="K415" s="50" t="str">
        <f>IFERROR(__xludf.DUMMYFUNCTION("""COMPUTED_VALUE"""),"")</f>
        <v/>
      </c>
      <c r="L415" s="50" t="s">
        <v>175</v>
      </c>
      <c r="M415" s="50" t="s">
        <v>175</v>
      </c>
      <c r="N415" s="50"/>
      <c r="O415" s="50"/>
      <c r="P415" s="50"/>
      <c r="Q415" s="50"/>
      <c r="R415" s="50"/>
      <c r="S415" s="50"/>
    </row>
    <row r="416">
      <c r="A416" s="50"/>
      <c r="B416" s="50"/>
      <c r="C416" s="50"/>
      <c r="D416" s="50"/>
      <c r="E416" s="50"/>
      <c r="F416" s="50"/>
      <c r="G416" s="50"/>
      <c r="H416" s="50"/>
      <c r="I416" s="50"/>
      <c r="J416" s="50" t="str">
        <f>IFERROR(__xludf.DUMMYFUNCTION("""COMPUTED_VALUE"""),"")</f>
        <v/>
      </c>
      <c r="K416" s="50" t="str">
        <f>IFERROR(__xludf.DUMMYFUNCTION("""COMPUTED_VALUE"""),"")</f>
        <v/>
      </c>
      <c r="L416" s="50" t="s">
        <v>175</v>
      </c>
      <c r="M416" s="50" t="s">
        <v>175</v>
      </c>
      <c r="N416" s="50"/>
      <c r="O416" s="50"/>
      <c r="P416" s="50"/>
      <c r="Q416" s="50"/>
      <c r="R416" s="50"/>
      <c r="S416" s="50"/>
    </row>
    <row r="417">
      <c r="A417" s="50"/>
      <c r="B417" s="50"/>
      <c r="C417" s="50"/>
      <c r="D417" s="50"/>
      <c r="E417" s="50"/>
      <c r="F417" s="50"/>
      <c r="G417" s="50"/>
      <c r="H417" s="50"/>
      <c r="I417" s="50"/>
      <c r="J417" s="50" t="str">
        <f>IFERROR(__xludf.DUMMYFUNCTION("""COMPUTED_VALUE"""),"")</f>
        <v/>
      </c>
      <c r="K417" s="50" t="str">
        <f>IFERROR(__xludf.DUMMYFUNCTION("""COMPUTED_VALUE"""),"")</f>
        <v/>
      </c>
      <c r="L417" s="50" t="s">
        <v>175</v>
      </c>
      <c r="M417" s="50" t="s">
        <v>175</v>
      </c>
      <c r="N417" s="50"/>
      <c r="O417" s="50"/>
      <c r="P417" s="50"/>
      <c r="Q417" s="50"/>
      <c r="R417" s="50"/>
      <c r="S417" s="50"/>
    </row>
    <row r="418">
      <c r="A418" s="50"/>
      <c r="B418" s="50"/>
      <c r="C418" s="50"/>
      <c r="D418" s="50"/>
      <c r="E418" s="50"/>
      <c r="F418" s="50"/>
      <c r="G418" s="50"/>
      <c r="H418" s="50"/>
      <c r="I418" s="50"/>
      <c r="J418" s="50" t="str">
        <f>IFERROR(__xludf.DUMMYFUNCTION("""COMPUTED_VALUE"""),"")</f>
        <v/>
      </c>
      <c r="K418" s="50" t="str">
        <f>IFERROR(__xludf.DUMMYFUNCTION("""COMPUTED_VALUE"""),"")</f>
        <v/>
      </c>
      <c r="L418" s="50" t="s">
        <v>175</v>
      </c>
      <c r="M418" s="50" t="s">
        <v>175</v>
      </c>
      <c r="N418" s="50"/>
      <c r="O418" s="50"/>
      <c r="P418" s="50"/>
      <c r="Q418" s="50"/>
      <c r="R418" s="50"/>
      <c r="S418" s="50"/>
    </row>
    <row r="419">
      <c r="A419" s="50"/>
      <c r="B419" s="50"/>
      <c r="C419" s="50"/>
      <c r="D419" s="50"/>
      <c r="E419" s="50"/>
      <c r="F419" s="50"/>
      <c r="G419" s="50"/>
      <c r="H419" s="50"/>
      <c r="I419" s="50"/>
      <c r="J419" s="50" t="str">
        <f>IFERROR(__xludf.DUMMYFUNCTION("""COMPUTED_VALUE"""),"")</f>
        <v/>
      </c>
      <c r="K419" s="50" t="str">
        <f>IFERROR(__xludf.DUMMYFUNCTION("""COMPUTED_VALUE"""),"")</f>
        <v/>
      </c>
      <c r="L419" s="50" t="s">
        <v>175</v>
      </c>
      <c r="M419" s="50" t="s">
        <v>175</v>
      </c>
      <c r="N419" s="50"/>
      <c r="O419" s="50"/>
      <c r="P419" s="50"/>
      <c r="Q419" s="50"/>
      <c r="R419" s="50"/>
      <c r="S419" s="50"/>
    </row>
    <row r="420">
      <c r="A420" s="50"/>
      <c r="B420" s="50"/>
      <c r="C420" s="50"/>
      <c r="D420" s="50"/>
      <c r="E420" s="50"/>
      <c r="F420" s="50"/>
      <c r="G420" s="50"/>
      <c r="H420" s="50"/>
      <c r="I420" s="50"/>
      <c r="J420" s="50" t="str">
        <f>IFERROR(__xludf.DUMMYFUNCTION("""COMPUTED_VALUE"""),"")</f>
        <v/>
      </c>
      <c r="K420" s="50" t="str">
        <f>IFERROR(__xludf.DUMMYFUNCTION("""COMPUTED_VALUE"""),"")</f>
        <v/>
      </c>
      <c r="L420" s="50" t="s">
        <v>175</v>
      </c>
      <c r="M420" s="50" t="s">
        <v>175</v>
      </c>
      <c r="N420" s="50"/>
      <c r="O420" s="50"/>
      <c r="P420" s="50"/>
      <c r="Q420" s="50"/>
      <c r="R420" s="50"/>
      <c r="S420" s="50"/>
    </row>
    <row r="421">
      <c r="A421" s="50"/>
      <c r="B421" s="50"/>
      <c r="C421" s="50"/>
      <c r="D421" s="50"/>
      <c r="E421" s="50"/>
      <c r="F421" s="50"/>
      <c r="G421" s="50"/>
      <c r="H421" s="50"/>
      <c r="I421" s="50"/>
      <c r="J421" s="50" t="str">
        <f>IFERROR(__xludf.DUMMYFUNCTION("""COMPUTED_VALUE"""),"")</f>
        <v/>
      </c>
      <c r="K421" s="50" t="str">
        <f>IFERROR(__xludf.DUMMYFUNCTION("""COMPUTED_VALUE"""),"")</f>
        <v/>
      </c>
      <c r="L421" s="50" t="s">
        <v>175</v>
      </c>
      <c r="M421" s="50" t="s">
        <v>175</v>
      </c>
      <c r="N421" s="50"/>
      <c r="O421" s="50"/>
      <c r="P421" s="50"/>
      <c r="Q421" s="50"/>
      <c r="R421" s="50"/>
      <c r="S421" s="50"/>
    </row>
    <row r="422">
      <c r="A422" s="50"/>
      <c r="B422" s="50"/>
      <c r="C422" s="50"/>
      <c r="D422" s="50"/>
      <c r="E422" s="50"/>
      <c r="F422" s="50"/>
      <c r="G422" s="50"/>
      <c r="H422" s="50"/>
      <c r="I422" s="50"/>
      <c r="J422" s="50" t="str">
        <f>IFERROR(__xludf.DUMMYFUNCTION("""COMPUTED_VALUE"""),"")</f>
        <v/>
      </c>
      <c r="K422" s="50" t="str">
        <f>IFERROR(__xludf.DUMMYFUNCTION("""COMPUTED_VALUE"""),"")</f>
        <v/>
      </c>
      <c r="L422" s="50" t="s">
        <v>175</v>
      </c>
      <c r="M422" s="50" t="s">
        <v>175</v>
      </c>
      <c r="N422" s="50"/>
      <c r="O422" s="50"/>
      <c r="P422" s="50"/>
      <c r="Q422" s="50"/>
      <c r="R422" s="50"/>
      <c r="S422" s="50"/>
    </row>
    <row r="423">
      <c r="A423" s="50"/>
      <c r="B423" s="50"/>
      <c r="C423" s="50"/>
      <c r="D423" s="50"/>
      <c r="E423" s="50"/>
      <c r="F423" s="50"/>
      <c r="G423" s="50"/>
      <c r="H423" s="50"/>
      <c r="I423" s="50"/>
      <c r="J423" s="50" t="str">
        <f>IFERROR(__xludf.DUMMYFUNCTION("""COMPUTED_VALUE"""),"")</f>
        <v/>
      </c>
      <c r="K423" s="50" t="str">
        <f>IFERROR(__xludf.DUMMYFUNCTION("""COMPUTED_VALUE"""),"")</f>
        <v/>
      </c>
      <c r="L423" s="50" t="s">
        <v>175</v>
      </c>
      <c r="M423" s="50" t="s">
        <v>175</v>
      </c>
      <c r="N423" s="50"/>
      <c r="O423" s="50"/>
      <c r="P423" s="50"/>
      <c r="Q423" s="50"/>
      <c r="R423" s="50"/>
      <c r="S423" s="50"/>
    </row>
    <row r="424">
      <c r="A424" s="50"/>
      <c r="B424" s="50"/>
      <c r="C424" s="50"/>
      <c r="D424" s="50"/>
      <c r="E424" s="50"/>
      <c r="F424" s="50"/>
      <c r="G424" s="50"/>
      <c r="H424" s="50"/>
      <c r="I424" s="50"/>
      <c r="J424" s="50" t="str">
        <f>IFERROR(__xludf.DUMMYFUNCTION("""COMPUTED_VALUE"""),"")</f>
        <v/>
      </c>
      <c r="K424" s="50" t="str">
        <f>IFERROR(__xludf.DUMMYFUNCTION("""COMPUTED_VALUE"""),"")</f>
        <v/>
      </c>
      <c r="L424" s="50" t="s">
        <v>175</v>
      </c>
      <c r="M424" s="50" t="s">
        <v>175</v>
      </c>
      <c r="N424" s="50"/>
      <c r="O424" s="50"/>
      <c r="P424" s="50"/>
      <c r="Q424" s="50"/>
      <c r="R424" s="50"/>
      <c r="S424" s="50"/>
    </row>
    <row r="425">
      <c r="A425" s="50"/>
      <c r="B425" s="50"/>
      <c r="C425" s="50"/>
      <c r="D425" s="50"/>
      <c r="E425" s="50"/>
      <c r="F425" s="50"/>
      <c r="G425" s="50"/>
      <c r="H425" s="50"/>
      <c r="I425" s="50"/>
      <c r="J425" s="50" t="str">
        <f>IFERROR(__xludf.DUMMYFUNCTION("""COMPUTED_VALUE"""),"")</f>
        <v/>
      </c>
      <c r="K425" s="50" t="str">
        <f>IFERROR(__xludf.DUMMYFUNCTION("""COMPUTED_VALUE"""),"")</f>
        <v/>
      </c>
      <c r="L425" s="50" t="s">
        <v>175</v>
      </c>
      <c r="M425" s="50" t="s">
        <v>175</v>
      </c>
      <c r="N425" s="50"/>
      <c r="O425" s="50"/>
      <c r="P425" s="50"/>
      <c r="Q425" s="50"/>
      <c r="R425" s="50"/>
      <c r="S425" s="50"/>
    </row>
    <row r="426">
      <c r="A426" s="50"/>
      <c r="B426" s="50"/>
      <c r="C426" s="50"/>
      <c r="D426" s="50"/>
      <c r="E426" s="50"/>
      <c r="F426" s="50"/>
      <c r="G426" s="50"/>
      <c r="H426" s="50"/>
      <c r="I426" s="50"/>
      <c r="J426" s="50" t="str">
        <f>IFERROR(__xludf.DUMMYFUNCTION("""COMPUTED_VALUE"""),"")</f>
        <v/>
      </c>
      <c r="K426" s="50" t="str">
        <f>IFERROR(__xludf.DUMMYFUNCTION("""COMPUTED_VALUE"""),"")</f>
        <v/>
      </c>
      <c r="L426" s="50" t="s">
        <v>175</v>
      </c>
      <c r="M426" s="50" t="s">
        <v>175</v>
      </c>
      <c r="N426" s="50"/>
      <c r="O426" s="50"/>
      <c r="P426" s="50"/>
      <c r="Q426" s="50"/>
      <c r="R426" s="50"/>
      <c r="S426" s="50"/>
    </row>
    <row r="427">
      <c r="A427" s="50"/>
      <c r="B427" s="50"/>
      <c r="C427" s="50"/>
      <c r="D427" s="50"/>
      <c r="E427" s="50"/>
      <c r="F427" s="50"/>
      <c r="G427" s="50"/>
      <c r="H427" s="50"/>
      <c r="I427" s="50"/>
      <c r="J427" s="50" t="str">
        <f>IFERROR(__xludf.DUMMYFUNCTION("""COMPUTED_VALUE"""),"")</f>
        <v/>
      </c>
      <c r="K427" s="50" t="str">
        <f>IFERROR(__xludf.DUMMYFUNCTION("""COMPUTED_VALUE"""),"")</f>
        <v/>
      </c>
      <c r="L427" s="50" t="s">
        <v>175</v>
      </c>
      <c r="M427" s="50" t="s">
        <v>175</v>
      </c>
      <c r="N427" s="50"/>
      <c r="O427" s="50"/>
      <c r="P427" s="50"/>
      <c r="Q427" s="50"/>
      <c r="R427" s="50"/>
      <c r="S427" s="50"/>
    </row>
    <row r="428">
      <c r="A428" s="50"/>
      <c r="B428" s="50"/>
      <c r="C428" s="50"/>
      <c r="D428" s="50"/>
      <c r="E428" s="50"/>
      <c r="F428" s="50"/>
      <c r="G428" s="50"/>
      <c r="H428" s="50"/>
      <c r="I428" s="50"/>
      <c r="J428" s="50" t="str">
        <f>IFERROR(__xludf.DUMMYFUNCTION("""COMPUTED_VALUE"""),"")</f>
        <v/>
      </c>
      <c r="K428" s="50" t="str">
        <f>IFERROR(__xludf.DUMMYFUNCTION("""COMPUTED_VALUE"""),"")</f>
        <v/>
      </c>
      <c r="L428" s="50" t="s">
        <v>175</v>
      </c>
      <c r="M428" s="50" t="s">
        <v>175</v>
      </c>
      <c r="N428" s="50"/>
      <c r="O428" s="50"/>
      <c r="P428" s="50"/>
      <c r="Q428" s="50"/>
      <c r="R428" s="50"/>
      <c r="S428" s="50"/>
    </row>
    <row r="429">
      <c r="A429" s="50"/>
      <c r="B429" s="50"/>
      <c r="C429" s="50"/>
      <c r="D429" s="50"/>
      <c r="E429" s="50"/>
      <c r="F429" s="50"/>
      <c r="G429" s="50"/>
      <c r="H429" s="50"/>
      <c r="I429" s="50"/>
      <c r="J429" s="50" t="str">
        <f>IFERROR(__xludf.DUMMYFUNCTION("""COMPUTED_VALUE"""),"")</f>
        <v/>
      </c>
      <c r="K429" s="50" t="str">
        <f>IFERROR(__xludf.DUMMYFUNCTION("""COMPUTED_VALUE"""),"")</f>
        <v/>
      </c>
      <c r="L429" s="50" t="s">
        <v>175</v>
      </c>
      <c r="M429" s="50" t="s">
        <v>175</v>
      </c>
      <c r="N429" s="50"/>
      <c r="O429" s="50"/>
      <c r="P429" s="50"/>
      <c r="Q429" s="50"/>
      <c r="R429" s="50"/>
      <c r="S429" s="50"/>
    </row>
    <row r="430">
      <c r="A430" s="50"/>
      <c r="B430" s="50"/>
      <c r="C430" s="50"/>
      <c r="D430" s="50"/>
      <c r="E430" s="50"/>
      <c r="F430" s="50"/>
      <c r="G430" s="50"/>
      <c r="H430" s="50"/>
      <c r="I430" s="50"/>
      <c r="J430" s="50" t="str">
        <f>IFERROR(__xludf.DUMMYFUNCTION("""COMPUTED_VALUE"""),"")</f>
        <v/>
      </c>
      <c r="K430" s="50" t="str">
        <f>IFERROR(__xludf.DUMMYFUNCTION("""COMPUTED_VALUE"""),"")</f>
        <v/>
      </c>
      <c r="L430" s="50" t="s">
        <v>175</v>
      </c>
      <c r="M430" s="50" t="s">
        <v>175</v>
      </c>
      <c r="N430" s="50"/>
      <c r="O430" s="50"/>
      <c r="P430" s="50"/>
      <c r="Q430" s="50"/>
      <c r="R430" s="50"/>
      <c r="S430" s="50"/>
    </row>
    <row r="431">
      <c r="A431" s="50"/>
      <c r="B431" s="50"/>
      <c r="C431" s="50"/>
      <c r="D431" s="50"/>
      <c r="E431" s="50"/>
      <c r="F431" s="50"/>
      <c r="G431" s="50"/>
      <c r="H431" s="50"/>
      <c r="I431" s="50"/>
      <c r="J431" s="50" t="str">
        <f>IFERROR(__xludf.DUMMYFUNCTION("""COMPUTED_VALUE"""),"")</f>
        <v/>
      </c>
      <c r="K431" s="50" t="str">
        <f>IFERROR(__xludf.DUMMYFUNCTION("""COMPUTED_VALUE"""),"")</f>
        <v/>
      </c>
      <c r="L431" s="50" t="s">
        <v>175</v>
      </c>
      <c r="M431" s="50" t="s">
        <v>175</v>
      </c>
      <c r="N431" s="50"/>
      <c r="O431" s="50"/>
      <c r="P431" s="50"/>
      <c r="Q431" s="50"/>
      <c r="R431" s="50"/>
      <c r="S431" s="50"/>
    </row>
    <row r="432">
      <c r="A432" s="50"/>
      <c r="B432" s="50"/>
      <c r="C432" s="50"/>
      <c r="D432" s="50"/>
      <c r="E432" s="50"/>
      <c r="F432" s="50"/>
      <c r="G432" s="50"/>
      <c r="H432" s="50"/>
      <c r="I432" s="50"/>
      <c r="J432" s="50" t="str">
        <f>IFERROR(__xludf.DUMMYFUNCTION("""COMPUTED_VALUE"""),"")</f>
        <v/>
      </c>
      <c r="K432" s="50" t="str">
        <f>IFERROR(__xludf.DUMMYFUNCTION("""COMPUTED_VALUE"""),"")</f>
        <v/>
      </c>
      <c r="L432" s="50" t="s">
        <v>175</v>
      </c>
      <c r="M432" s="50" t="s">
        <v>175</v>
      </c>
      <c r="N432" s="50"/>
      <c r="O432" s="50"/>
      <c r="P432" s="50"/>
      <c r="Q432" s="50"/>
      <c r="R432" s="50"/>
      <c r="S432" s="50"/>
    </row>
    <row r="433">
      <c r="A433" s="50"/>
      <c r="B433" s="50"/>
      <c r="C433" s="50"/>
      <c r="D433" s="50"/>
      <c r="E433" s="50"/>
      <c r="F433" s="50"/>
      <c r="G433" s="50"/>
      <c r="H433" s="50"/>
      <c r="I433" s="50"/>
      <c r="J433" s="50" t="str">
        <f>IFERROR(__xludf.DUMMYFUNCTION("""COMPUTED_VALUE"""),"")</f>
        <v/>
      </c>
      <c r="K433" s="50" t="str">
        <f>IFERROR(__xludf.DUMMYFUNCTION("""COMPUTED_VALUE"""),"")</f>
        <v/>
      </c>
      <c r="L433" s="50" t="s">
        <v>175</v>
      </c>
      <c r="M433" s="50" t="s">
        <v>175</v>
      </c>
      <c r="N433" s="50"/>
      <c r="O433" s="50"/>
      <c r="P433" s="50"/>
      <c r="Q433" s="50"/>
      <c r="R433" s="50"/>
      <c r="S433" s="50"/>
    </row>
    <row r="434">
      <c r="A434" s="50"/>
      <c r="B434" s="50"/>
      <c r="C434" s="50"/>
      <c r="D434" s="50"/>
      <c r="E434" s="50"/>
      <c r="F434" s="50"/>
      <c r="G434" s="50"/>
      <c r="H434" s="50"/>
      <c r="I434" s="50"/>
      <c r="J434" s="50" t="str">
        <f>IFERROR(__xludf.DUMMYFUNCTION("""COMPUTED_VALUE"""),"")</f>
        <v/>
      </c>
      <c r="K434" s="50" t="str">
        <f>IFERROR(__xludf.DUMMYFUNCTION("""COMPUTED_VALUE"""),"")</f>
        <v/>
      </c>
      <c r="L434" s="50" t="s">
        <v>175</v>
      </c>
      <c r="M434" s="50" t="s">
        <v>175</v>
      </c>
      <c r="N434" s="50"/>
      <c r="O434" s="50"/>
      <c r="P434" s="50"/>
      <c r="Q434" s="50"/>
      <c r="R434" s="50"/>
      <c r="S434" s="50"/>
    </row>
    <row r="435">
      <c r="A435" s="50"/>
      <c r="B435" s="50"/>
      <c r="C435" s="50"/>
      <c r="D435" s="50"/>
      <c r="E435" s="50"/>
      <c r="F435" s="50"/>
      <c r="G435" s="50"/>
      <c r="H435" s="50"/>
      <c r="I435" s="50"/>
      <c r="J435" s="50" t="str">
        <f>IFERROR(__xludf.DUMMYFUNCTION("""COMPUTED_VALUE"""),"")</f>
        <v/>
      </c>
      <c r="K435" s="50" t="str">
        <f>IFERROR(__xludf.DUMMYFUNCTION("""COMPUTED_VALUE"""),"")</f>
        <v/>
      </c>
      <c r="L435" s="50" t="s">
        <v>175</v>
      </c>
      <c r="M435" s="50" t="s">
        <v>175</v>
      </c>
      <c r="N435" s="50"/>
      <c r="O435" s="50"/>
      <c r="P435" s="50"/>
      <c r="Q435" s="50"/>
      <c r="R435" s="50"/>
      <c r="S435" s="50"/>
    </row>
    <row r="436">
      <c r="A436" s="50"/>
      <c r="B436" s="50"/>
      <c r="C436" s="50"/>
      <c r="D436" s="50"/>
      <c r="E436" s="50"/>
      <c r="F436" s="50"/>
      <c r="G436" s="50"/>
      <c r="H436" s="50"/>
      <c r="I436" s="50"/>
      <c r="J436" s="50" t="str">
        <f>IFERROR(__xludf.DUMMYFUNCTION("""COMPUTED_VALUE"""),"")</f>
        <v/>
      </c>
      <c r="K436" s="50" t="str">
        <f>IFERROR(__xludf.DUMMYFUNCTION("""COMPUTED_VALUE"""),"")</f>
        <v/>
      </c>
      <c r="L436" s="50" t="s">
        <v>175</v>
      </c>
      <c r="M436" s="50" t="s">
        <v>175</v>
      </c>
      <c r="N436" s="50"/>
      <c r="O436" s="50"/>
      <c r="P436" s="50"/>
      <c r="Q436" s="50"/>
      <c r="R436" s="50"/>
      <c r="S436" s="50"/>
    </row>
    <row r="437">
      <c r="A437" s="50"/>
      <c r="B437" s="50"/>
      <c r="C437" s="50"/>
      <c r="D437" s="50"/>
      <c r="E437" s="50"/>
      <c r="F437" s="50"/>
      <c r="G437" s="50"/>
      <c r="H437" s="50"/>
      <c r="I437" s="50"/>
      <c r="J437" s="50" t="str">
        <f>IFERROR(__xludf.DUMMYFUNCTION("""COMPUTED_VALUE"""),"")</f>
        <v/>
      </c>
      <c r="K437" s="50" t="str">
        <f>IFERROR(__xludf.DUMMYFUNCTION("""COMPUTED_VALUE"""),"")</f>
        <v/>
      </c>
      <c r="L437" s="50" t="s">
        <v>175</v>
      </c>
      <c r="M437" s="50" t="s">
        <v>175</v>
      </c>
      <c r="N437" s="50"/>
      <c r="O437" s="50"/>
      <c r="P437" s="50"/>
      <c r="Q437" s="50"/>
      <c r="R437" s="50"/>
      <c r="S437" s="50"/>
    </row>
    <row r="438">
      <c r="A438" s="50"/>
      <c r="B438" s="50"/>
      <c r="C438" s="50"/>
      <c r="D438" s="50"/>
      <c r="E438" s="50"/>
      <c r="F438" s="50"/>
      <c r="G438" s="50"/>
      <c r="H438" s="50"/>
      <c r="I438" s="50"/>
      <c r="J438" s="50" t="str">
        <f>IFERROR(__xludf.DUMMYFUNCTION("""COMPUTED_VALUE"""),"")</f>
        <v/>
      </c>
      <c r="K438" s="50" t="str">
        <f>IFERROR(__xludf.DUMMYFUNCTION("""COMPUTED_VALUE"""),"")</f>
        <v/>
      </c>
      <c r="L438" s="50" t="s">
        <v>175</v>
      </c>
      <c r="M438" s="50" t="s">
        <v>175</v>
      </c>
      <c r="N438" s="50"/>
      <c r="O438" s="50"/>
      <c r="P438" s="50"/>
      <c r="Q438" s="50"/>
      <c r="R438" s="50"/>
      <c r="S438" s="50"/>
    </row>
    <row r="439">
      <c r="A439" s="50"/>
      <c r="B439" s="50"/>
      <c r="C439" s="50"/>
      <c r="D439" s="50"/>
      <c r="E439" s="50"/>
      <c r="F439" s="50"/>
      <c r="G439" s="50"/>
      <c r="H439" s="50"/>
      <c r="I439" s="50"/>
      <c r="J439" s="50" t="str">
        <f>IFERROR(__xludf.DUMMYFUNCTION("""COMPUTED_VALUE"""),"")</f>
        <v/>
      </c>
      <c r="K439" s="50" t="str">
        <f>IFERROR(__xludf.DUMMYFUNCTION("""COMPUTED_VALUE"""),"")</f>
        <v/>
      </c>
      <c r="L439" s="50" t="s">
        <v>175</v>
      </c>
      <c r="M439" s="50" t="s">
        <v>175</v>
      </c>
      <c r="N439" s="50"/>
      <c r="O439" s="50"/>
      <c r="P439" s="50"/>
      <c r="Q439" s="50"/>
      <c r="R439" s="50"/>
      <c r="S439" s="50"/>
    </row>
    <row r="440">
      <c r="A440" s="50"/>
      <c r="B440" s="50"/>
      <c r="C440" s="50"/>
      <c r="D440" s="50"/>
      <c r="E440" s="50"/>
      <c r="F440" s="50"/>
      <c r="G440" s="50"/>
      <c r="H440" s="50"/>
      <c r="I440" s="50"/>
      <c r="J440" s="50" t="str">
        <f>IFERROR(__xludf.DUMMYFUNCTION("""COMPUTED_VALUE"""),"")</f>
        <v/>
      </c>
      <c r="K440" s="50" t="str">
        <f>IFERROR(__xludf.DUMMYFUNCTION("""COMPUTED_VALUE"""),"")</f>
        <v/>
      </c>
      <c r="L440" s="50" t="s">
        <v>175</v>
      </c>
      <c r="M440" s="50" t="s">
        <v>175</v>
      </c>
      <c r="N440" s="50"/>
      <c r="O440" s="50"/>
      <c r="P440" s="50"/>
      <c r="Q440" s="50"/>
      <c r="R440" s="50"/>
      <c r="S440" s="50"/>
    </row>
    <row r="441">
      <c r="A441" s="50"/>
      <c r="B441" s="50"/>
      <c r="C441" s="50"/>
      <c r="D441" s="50"/>
      <c r="E441" s="50"/>
      <c r="F441" s="50"/>
      <c r="G441" s="50"/>
      <c r="H441" s="50"/>
      <c r="I441" s="50"/>
      <c r="J441" s="50" t="str">
        <f>IFERROR(__xludf.DUMMYFUNCTION("""COMPUTED_VALUE"""),"")</f>
        <v/>
      </c>
      <c r="K441" s="50" t="str">
        <f>IFERROR(__xludf.DUMMYFUNCTION("""COMPUTED_VALUE"""),"")</f>
        <v/>
      </c>
      <c r="L441" s="50" t="s">
        <v>175</v>
      </c>
      <c r="M441" s="50" t="s">
        <v>175</v>
      </c>
      <c r="N441" s="50"/>
      <c r="O441" s="50"/>
      <c r="P441" s="50"/>
      <c r="Q441" s="50"/>
      <c r="R441" s="50"/>
      <c r="S441" s="50"/>
    </row>
    <row r="442">
      <c r="A442" s="50"/>
      <c r="B442" s="50"/>
      <c r="C442" s="50"/>
      <c r="D442" s="50"/>
      <c r="E442" s="50"/>
      <c r="F442" s="50"/>
      <c r="G442" s="50"/>
      <c r="H442" s="50"/>
      <c r="I442" s="50"/>
      <c r="J442" s="50" t="str">
        <f>IFERROR(__xludf.DUMMYFUNCTION("""COMPUTED_VALUE"""),"")</f>
        <v/>
      </c>
      <c r="K442" s="50" t="str">
        <f>IFERROR(__xludf.DUMMYFUNCTION("""COMPUTED_VALUE"""),"")</f>
        <v/>
      </c>
      <c r="L442" s="50" t="s">
        <v>175</v>
      </c>
      <c r="M442" s="50" t="s">
        <v>175</v>
      </c>
      <c r="N442" s="50"/>
      <c r="O442" s="50"/>
      <c r="P442" s="50"/>
      <c r="Q442" s="50"/>
      <c r="R442" s="50"/>
      <c r="S442" s="50"/>
    </row>
    <row r="443">
      <c r="A443" s="50"/>
      <c r="B443" s="50"/>
      <c r="C443" s="50"/>
      <c r="D443" s="50"/>
      <c r="E443" s="50"/>
      <c r="F443" s="50"/>
      <c r="G443" s="50"/>
      <c r="H443" s="50"/>
      <c r="I443" s="50"/>
      <c r="J443" s="50" t="str">
        <f>IFERROR(__xludf.DUMMYFUNCTION("""COMPUTED_VALUE"""),"")</f>
        <v/>
      </c>
      <c r="K443" s="50" t="str">
        <f>IFERROR(__xludf.DUMMYFUNCTION("""COMPUTED_VALUE"""),"")</f>
        <v/>
      </c>
      <c r="L443" s="50" t="s">
        <v>175</v>
      </c>
      <c r="M443" s="50" t="s">
        <v>175</v>
      </c>
      <c r="N443" s="50"/>
      <c r="O443" s="50"/>
      <c r="P443" s="50"/>
      <c r="Q443" s="50"/>
      <c r="R443" s="50"/>
      <c r="S443" s="50"/>
    </row>
    <row r="444">
      <c r="A444" s="50"/>
      <c r="B444" s="50"/>
      <c r="C444" s="50"/>
      <c r="D444" s="50"/>
      <c r="E444" s="50"/>
      <c r="F444" s="50"/>
      <c r="G444" s="50"/>
      <c r="H444" s="50"/>
      <c r="I444" s="50"/>
      <c r="J444" s="50" t="str">
        <f>IFERROR(__xludf.DUMMYFUNCTION("""COMPUTED_VALUE"""),"")</f>
        <v/>
      </c>
      <c r="K444" s="50" t="str">
        <f>IFERROR(__xludf.DUMMYFUNCTION("""COMPUTED_VALUE"""),"")</f>
        <v/>
      </c>
      <c r="L444" s="50" t="s">
        <v>175</v>
      </c>
      <c r="M444" s="50" t="s">
        <v>175</v>
      </c>
      <c r="N444" s="50"/>
      <c r="O444" s="50"/>
      <c r="P444" s="50"/>
      <c r="Q444" s="50"/>
      <c r="R444" s="50"/>
      <c r="S444" s="50"/>
    </row>
    <row r="445">
      <c r="A445" s="50"/>
      <c r="B445" s="50"/>
      <c r="C445" s="50"/>
      <c r="D445" s="50"/>
      <c r="E445" s="50"/>
      <c r="F445" s="50"/>
      <c r="G445" s="50"/>
      <c r="H445" s="50"/>
      <c r="I445" s="50"/>
      <c r="J445" s="50" t="str">
        <f>IFERROR(__xludf.DUMMYFUNCTION("""COMPUTED_VALUE"""),"")</f>
        <v/>
      </c>
      <c r="K445" s="50" t="str">
        <f>IFERROR(__xludf.DUMMYFUNCTION("""COMPUTED_VALUE"""),"")</f>
        <v/>
      </c>
      <c r="L445" s="50" t="s">
        <v>175</v>
      </c>
      <c r="M445" s="50" t="s">
        <v>175</v>
      </c>
      <c r="N445" s="50"/>
      <c r="O445" s="50"/>
      <c r="P445" s="50"/>
      <c r="Q445" s="50"/>
      <c r="R445" s="50"/>
      <c r="S445" s="50"/>
    </row>
    <row r="446">
      <c r="A446" s="50"/>
      <c r="B446" s="50"/>
      <c r="C446" s="50"/>
      <c r="D446" s="50"/>
      <c r="E446" s="50"/>
      <c r="F446" s="50"/>
      <c r="G446" s="50"/>
      <c r="H446" s="50"/>
      <c r="I446" s="50"/>
      <c r="J446" s="50" t="str">
        <f>IFERROR(__xludf.DUMMYFUNCTION("""COMPUTED_VALUE"""),"")</f>
        <v/>
      </c>
      <c r="K446" s="50" t="str">
        <f>IFERROR(__xludf.DUMMYFUNCTION("""COMPUTED_VALUE"""),"")</f>
        <v/>
      </c>
      <c r="L446" s="50" t="s">
        <v>175</v>
      </c>
      <c r="M446" s="50" t="s">
        <v>175</v>
      </c>
      <c r="N446" s="50"/>
      <c r="O446" s="50"/>
      <c r="P446" s="50"/>
      <c r="Q446" s="50"/>
      <c r="R446" s="50"/>
      <c r="S446" s="50"/>
    </row>
    <row r="447">
      <c r="A447" s="50"/>
      <c r="B447" s="50"/>
      <c r="C447" s="50"/>
      <c r="D447" s="50"/>
      <c r="E447" s="50"/>
      <c r="F447" s="50"/>
      <c r="G447" s="50"/>
      <c r="H447" s="50"/>
      <c r="I447" s="50"/>
      <c r="J447" s="50" t="str">
        <f>IFERROR(__xludf.DUMMYFUNCTION("""COMPUTED_VALUE"""),"")</f>
        <v/>
      </c>
      <c r="K447" s="50" t="str">
        <f>IFERROR(__xludf.DUMMYFUNCTION("""COMPUTED_VALUE"""),"")</f>
        <v/>
      </c>
      <c r="L447" s="50" t="s">
        <v>175</v>
      </c>
      <c r="M447" s="50" t="s">
        <v>175</v>
      </c>
      <c r="N447" s="50"/>
      <c r="O447" s="50"/>
      <c r="P447" s="50"/>
      <c r="Q447" s="50"/>
      <c r="R447" s="50"/>
      <c r="S447" s="50"/>
    </row>
    <row r="448">
      <c r="A448" s="50"/>
      <c r="B448" s="50"/>
      <c r="C448" s="50"/>
      <c r="D448" s="50"/>
      <c r="E448" s="50"/>
      <c r="F448" s="50"/>
      <c r="G448" s="50"/>
      <c r="H448" s="50"/>
      <c r="I448" s="50"/>
      <c r="J448" s="50" t="str">
        <f>IFERROR(__xludf.DUMMYFUNCTION("""COMPUTED_VALUE"""),"")</f>
        <v/>
      </c>
      <c r="K448" s="50" t="str">
        <f>IFERROR(__xludf.DUMMYFUNCTION("""COMPUTED_VALUE"""),"")</f>
        <v/>
      </c>
      <c r="L448" s="50" t="s">
        <v>175</v>
      </c>
      <c r="M448" s="50" t="s">
        <v>175</v>
      </c>
      <c r="N448" s="50"/>
      <c r="O448" s="50"/>
      <c r="P448" s="50"/>
      <c r="Q448" s="50"/>
      <c r="R448" s="50"/>
      <c r="S448" s="50"/>
    </row>
    <row r="449">
      <c r="A449" s="50"/>
      <c r="B449" s="50"/>
      <c r="C449" s="50"/>
      <c r="D449" s="50"/>
      <c r="E449" s="50"/>
      <c r="F449" s="50"/>
      <c r="G449" s="50"/>
      <c r="H449" s="50"/>
      <c r="I449" s="50"/>
      <c r="J449" s="50" t="str">
        <f>IFERROR(__xludf.DUMMYFUNCTION("""COMPUTED_VALUE"""),"")</f>
        <v/>
      </c>
      <c r="K449" s="50" t="str">
        <f>IFERROR(__xludf.DUMMYFUNCTION("""COMPUTED_VALUE"""),"")</f>
        <v/>
      </c>
      <c r="L449" s="50" t="s">
        <v>175</v>
      </c>
      <c r="M449" s="50" t="s">
        <v>175</v>
      </c>
      <c r="N449" s="50"/>
      <c r="O449" s="50"/>
      <c r="P449" s="50"/>
      <c r="Q449" s="50"/>
      <c r="R449" s="50"/>
      <c r="S449" s="50"/>
    </row>
    <row r="450">
      <c r="A450" s="50"/>
      <c r="B450" s="50"/>
      <c r="C450" s="50"/>
      <c r="D450" s="50"/>
      <c r="E450" s="50"/>
      <c r="F450" s="50"/>
      <c r="G450" s="50"/>
      <c r="H450" s="50"/>
      <c r="I450" s="50"/>
      <c r="J450" s="50" t="str">
        <f>IFERROR(__xludf.DUMMYFUNCTION("""COMPUTED_VALUE"""),"")</f>
        <v/>
      </c>
      <c r="K450" s="50" t="str">
        <f>IFERROR(__xludf.DUMMYFUNCTION("""COMPUTED_VALUE"""),"")</f>
        <v/>
      </c>
      <c r="L450" s="50" t="s">
        <v>175</v>
      </c>
      <c r="M450" s="50" t="s">
        <v>175</v>
      </c>
      <c r="N450" s="50"/>
      <c r="O450" s="50"/>
      <c r="P450" s="50"/>
      <c r="Q450" s="50"/>
      <c r="R450" s="50"/>
      <c r="S450" s="50"/>
    </row>
    <row r="451">
      <c r="A451" s="50"/>
      <c r="B451" s="50"/>
      <c r="C451" s="50"/>
      <c r="D451" s="50"/>
      <c r="E451" s="50"/>
      <c r="F451" s="50"/>
      <c r="G451" s="50"/>
      <c r="H451" s="50"/>
      <c r="I451" s="50"/>
      <c r="J451" s="50" t="str">
        <f>IFERROR(__xludf.DUMMYFUNCTION("""COMPUTED_VALUE"""),"")</f>
        <v/>
      </c>
      <c r="K451" s="50" t="str">
        <f>IFERROR(__xludf.DUMMYFUNCTION("""COMPUTED_VALUE"""),"")</f>
        <v/>
      </c>
      <c r="L451" s="50" t="s">
        <v>175</v>
      </c>
      <c r="M451" s="50" t="s">
        <v>175</v>
      </c>
      <c r="N451" s="50"/>
      <c r="O451" s="50"/>
      <c r="P451" s="50"/>
      <c r="Q451" s="50"/>
      <c r="R451" s="50"/>
      <c r="S451" s="50"/>
    </row>
    <row r="452">
      <c r="A452" s="50"/>
      <c r="B452" s="50"/>
      <c r="C452" s="50"/>
      <c r="D452" s="50"/>
      <c r="E452" s="50"/>
      <c r="F452" s="50"/>
      <c r="G452" s="50"/>
      <c r="H452" s="50"/>
      <c r="I452" s="50"/>
      <c r="J452" s="50" t="str">
        <f>IFERROR(__xludf.DUMMYFUNCTION("""COMPUTED_VALUE"""),"")</f>
        <v/>
      </c>
      <c r="K452" s="50" t="str">
        <f>IFERROR(__xludf.DUMMYFUNCTION("""COMPUTED_VALUE"""),"")</f>
        <v/>
      </c>
      <c r="L452" s="50" t="s">
        <v>175</v>
      </c>
      <c r="M452" s="50" t="s">
        <v>175</v>
      </c>
      <c r="N452" s="50"/>
      <c r="O452" s="50"/>
      <c r="P452" s="50"/>
      <c r="Q452" s="50"/>
      <c r="R452" s="50"/>
      <c r="S452" s="50"/>
    </row>
    <row r="453">
      <c r="A453" s="50"/>
      <c r="B453" s="50"/>
      <c r="C453" s="50"/>
      <c r="D453" s="50"/>
      <c r="E453" s="50"/>
      <c r="F453" s="50"/>
      <c r="G453" s="50"/>
      <c r="H453" s="50"/>
      <c r="I453" s="50"/>
      <c r="J453" s="50" t="str">
        <f>IFERROR(__xludf.DUMMYFUNCTION("""COMPUTED_VALUE"""),"")</f>
        <v/>
      </c>
      <c r="K453" s="50" t="str">
        <f>IFERROR(__xludf.DUMMYFUNCTION("""COMPUTED_VALUE"""),"")</f>
        <v/>
      </c>
      <c r="L453" s="50" t="s">
        <v>175</v>
      </c>
      <c r="M453" s="50" t="s">
        <v>175</v>
      </c>
      <c r="N453" s="50"/>
      <c r="O453" s="50"/>
      <c r="P453" s="50"/>
      <c r="Q453" s="50"/>
      <c r="R453" s="50"/>
      <c r="S453" s="50"/>
    </row>
    <row r="454">
      <c r="A454" s="50"/>
      <c r="B454" s="50"/>
      <c r="C454" s="50"/>
      <c r="D454" s="50"/>
      <c r="E454" s="50"/>
      <c r="F454" s="50"/>
      <c r="G454" s="50"/>
      <c r="H454" s="50"/>
      <c r="I454" s="50"/>
      <c r="J454" s="50" t="str">
        <f>IFERROR(__xludf.DUMMYFUNCTION("""COMPUTED_VALUE"""),"")</f>
        <v/>
      </c>
      <c r="K454" s="50" t="str">
        <f>IFERROR(__xludf.DUMMYFUNCTION("""COMPUTED_VALUE"""),"")</f>
        <v/>
      </c>
      <c r="L454" s="50" t="s">
        <v>175</v>
      </c>
      <c r="M454" s="50" t="s">
        <v>175</v>
      </c>
      <c r="N454" s="50"/>
      <c r="O454" s="50"/>
      <c r="P454" s="50"/>
      <c r="Q454" s="50"/>
      <c r="R454" s="50"/>
      <c r="S454" s="50"/>
    </row>
    <row r="455">
      <c r="A455" s="50"/>
      <c r="B455" s="50"/>
      <c r="C455" s="50"/>
      <c r="D455" s="50"/>
      <c r="E455" s="50"/>
      <c r="F455" s="50"/>
      <c r="G455" s="50"/>
      <c r="H455" s="50"/>
      <c r="I455" s="50"/>
      <c r="J455" s="50" t="str">
        <f>IFERROR(__xludf.DUMMYFUNCTION("""COMPUTED_VALUE"""),"")</f>
        <v/>
      </c>
      <c r="K455" s="50" t="str">
        <f>IFERROR(__xludf.DUMMYFUNCTION("""COMPUTED_VALUE"""),"")</f>
        <v/>
      </c>
      <c r="L455" s="50" t="s">
        <v>175</v>
      </c>
      <c r="M455" s="50" t="s">
        <v>175</v>
      </c>
      <c r="N455" s="50"/>
      <c r="O455" s="50"/>
      <c r="P455" s="50"/>
      <c r="Q455" s="50"/>
      <c r="R455" s="50"/>
      <c r="S455" s="50"/>
    </row>
    <row r="456">
      <c r="A456" s="50"/>
      <c r="B456" s="50"/>
      <c r="C456" s="50"/>
      <c r="D456" s="50"/>
      <c r="E456" s="50"/>
      <c r="F456" s="50"/>
      <c r="G456" s="50"/>
      <c r="H456" s="50"/>
      <c r="I456" s="50"/>
      <c r="J456" s="50" t="str">
        <f>IFERROR(__xludf.DUMMYFUNCTION("""COMPUTED_VALUE"""),"")</f>
        <v/>
      </c>
      <c r="K456" s="50" t="str">
        <f>IFERROR(__xludf.DUMMYFUNCTION("""COMPUTED_VALUE"""),"")</f>
        <v/>
      </c>
      <c r="L456" s="50" t="s">
        <v>175</v>
      </c>
      <c r="M456" s="50" t="s">
        <v>175</v>
      </c>
      <c r="N456" s="50"/>
      <c r="O456" s="50"/>
      <c r="P456" s="50"/>
      <c r="Q456" s="50"/>
      <c r="R456" s="50"/>
      <c r="S456" s="50"/>
    </row>
    <row r="457">
      <c r="A457" s="50"/>
      <c r="B457" s="50"/>
      <c r="C457" s="50"/>
      <c r="D457" s="50"/>
      <c r="E457" s="50"/>
      <c r="F457" s="50"/>
      <c r="G457" s="50"/>
      <c r="H457" s="50"/>
      <c r="I457" s="50"/>
      <c r="J457" s="50" t="str">
        <f>IFERROR(__xludf.DUMMYFUNCTION("""COMPUTED_VALUE"""),"")</f>
        <v/>
      </c>
      <c r="K457" s="50" t="str">
        <f>IFERROR(__xludf.DUMMYFUNCTION("""COMPUTED_VALUE"""),"")</f>
        <v/>
      </c>
      <c r="L457" s="50" t="s">
        <v>175</v>
      </c>
      <c r="M457" s="50" t="s">
        <v>175</v>
      </c>
      <c r="N457" s="50"/>
      <c r="O457" s="50"/>
      <c r="P457" s="50"/>
      <c r="Q457" s="50"/>
      <c r="R457" s="50"/>
      <c r="S457" s="50"/>
    </row>
    <row r="458">
      <c r="A458" s="50"/>
      <c r="B458" s="50"/>
      <c r="C458" s="50"/>
      <c r="D458" s="50"/>
      <c r="E458" s="50"/>
      <c r="F458" s="50"/>
      <c r="G458" s="50"/>
      <c r="H458" s="50"/>
      <c r="I458" s="50"/>
      <c r="J458" s="50" t="str">
        <f>IFERROR(__xludf.DUMMYFUNCTION("""COMPUTED_VALUE"""),"")</f>
        <v/>
      </c>
      <c r="K458" s="50" t="str">
        <f>IFERROR(__xludf.DUMMYFUNCTION("""COMPUTED_VALUE"""),"")</f>
        <v/>
      </c>
      <c r="L458" s="50" t="s">
        <v>175</v>
      </c>
      <c r="M458" s="50" t="s">
        <v>175</v>
      </c>
      <c r="N458" s="50"/>
      <c r="O458" s="50"/>
      <c r="P458" s="50"/>
      <c r="Q458" s="50"/>
      <c r="R458" s="50"/>
      <c r="S458" s="50"/>
    </row>
    <row r="459">
      <c r="A459" s="50"/>
      <c r="B459" s="50"/>
      <c r="C459" s="50"/>
      <c r="D459" s="50"/>
      <c r="E459" s="50"/>
      <c r="F459" s="50"/>
      <c r="G459" s="50"/>
      <c r="H459" s="50"/>
      <c r="I459" s="50"/>
      <c r="J459" s="50" t="str">
        <f>IFERROR(__xludf.DUMMYFUNCTION("""COMPUTED_VALUE"""),"")</f>
        <v/>
      </c>
      <c r="K459" s="50" t="str">
        <f>IFERROR(__xludf.DUMMYFUNCTION("""COMPUTED_VALUE"""),"")</f>
        <v/>
      </c>
      <c r="L459" s="50" t="s">
        <v>175</v>
      </c>
      <c r="M459" s="50" t="s">
        <v>175</v>
      </c>
      <c r="N459" s="50"/>
      <c r="O459" s="50"/>
      <c r="P459" s="50"/>
      <c r="Q459" s="50"/>
      <c r="R459" s="50"/>
      <c r="S459" s="50"/>
    </row>
    <row r="460">
      <c r="A460" s="50"/>
      <c r="B460" s="50"/>
      <c r="C460" s="50"/>
      <c r="D460" s="50"/>
      <c r="E460" s="50"/>
      <c r="F460" s="50"/>
      <c r="G460" s="50"/>
      <c r="H460" s="50"/>
      <c r="I460" s="50"/>
      <c r="J460" s="50" t="str">
        <f>IFERROR(__xludf.DUMMYFUNCTION("""COMPUTED_VALUE"""),"")</f>
        <v/>
      </c>
      <c r="K460" s="50" t="str">
        <f>IFERROR(__xludf.DUMMYFUNCTION("""COMPUTED_VALUE"""),"")</f>
        <v/>
      </c>
      <c r="L460" s="50" t="s">
        <v>175</v>
      </c>
      <c r="M460" s="50" t="s">
        <v>175</v>
      </c>
      <c r="N460" s="50"/>
      <c r="O460" s="50"/>
      <c r="P460" s="50"/>
      <c r="Q460" s="50"/>
      <c r="R460" s="50"/>
      <c r="S460" s="50"/>
    </row>
    <row r="461">
      <c r="A461" s="50"/>
      <c r="B461" s="50"/>
      <c r="C461" s="50"/>
      <c r="D461" s="50"/>
      <c r="E461" s="50"/>
      <c r="F461" s="50"/>
      <c r="G461" s="50"/>
      <c r="H461" s="50"/>
      <c r="I461" s="50"/>
      <c r="J461" s="50" t="str">
        <f>IFERROR(__xludf.DUMMYFUNCTION("""COMPUTED_VALUE"""),"")</f>
        <v/>
      </c>
      <c r="K461" s="50" t="str">
        <f>IFERROR(__xludf.DUMMYFUNCTION("""COMPUTED_VALUE"""),"")</f>
        <v/>
      </c>
      <c r="L461" s="50" t="s">
        <v>175</v>
      </c>
      <c r="M461" s="50" t="s">
        <v>175</v>
      </c>
      <c r="N461" s="50"/>
      <c r="O461" s="50"/>
      <c r="P461" s="50"/>
      <c r="Q461" s="50"/>
      <c r="R461" s="50"/>
      <c r="S461" s="50"/>
    </row>
    <row r="462">
      <c r="A462" s="50"/>
      <c r="B462" s="50"/>
      <c r="C462" s="50"/>
      <c r="D462" s="50"/>
      <c r="E462" s="50"/>
      <c r="F462" s="50"/>
      <c r="G462" s="50"/>
      <c r="H462" s="50"/>
      <c r="I462" s="50"/>
      <c r="J462" s="50" t="str">
        <f>IFERROR(__xludf.DUMMYFUNCTION("""COMPUTED_VALUE"""),"")</f>
        <v/>
      </c>
      <c r="K462" s="50" t="str">
        <f>IFERROR(__xludf.DUMMYFUNCTION("""COMPUTED_VALUE"""),"")</f>
        <v/>
      </c>
      <c r="L462" s="50" t="s">
        <v>175</v>
      </c>
      <c r="M462" s="50" t="s">
        <v>175</v>
      </c>
      <c r="N462" s="50"/>
      <c r="O462" s="50"/>
      <c r="P462" s="50"/>
      <c r="Q462" s="50"/>
      <c r="R462" s="50"/>
      <c r="S462" s="50"/>
    </row>
    <row r="463">
      <c r="A463" s="50"/>
      <c r="B463" s="50"/>
      <c r="C463" s="50"/>
      <c r="D463" s="50"/>
      <c r="E463" s="50"/>
      <c r="F463" s="50"/>
      <c r="G463" s="50"/>
      <c r="H463" s="50"/>
      <c r="I463" s="50"/>
      <c r="J463" s="50" t="str">
        <f>IFERROR(__xludf.DUMMYFUNCTION("""COMPUTED_VALUE"""),"")</f>
        <v/>
      </c>
      <c r="K463" s="50" t="str">
        <f>IFERROR(__xludf.DUMMYFUNCTION("""COMPUTED_VALUE"""),"")</f>
        <v/>
      </c>
      <c r="L463" s="50" t="s">
        <v>175</v>
      </c>
      <c r="M463" s="50" t="s">
        <v>175</v>
      </c>
      <c r="N463" s="50"/>
      <c r="O463" s="50"/>
      <c r="P463" s="50"/>
      <c r="Q463" s="50"/>
      <c r="R463" s="50"/>
      <c r="S463" s="50"/>
    </row>
    <row r="464">
      <c r="A464" s="50"/>
      <c r="B464" s="50"/>
      <c r="C464" s="50"/>
      <c r="D464" s="50"/>
      <c r="E464" s="50"/>
      <c r="F464" s="50"/>
      <c r="G464" s="50"/>
      <c r="H464" s="50"/>
      <c r="I464" s="50"/>
      <c r="J464" s="50" t="str">
        <f>IFERROR(__xludf.DUMMYFUNCTION("""COMPUTED_VALUE"""),"")</f>
        <v/>
      </c>
      <c r="K464" s="50" t="str">
        <f>IFERROR(__xludf.DUMMYFUNCTION("""COMPUTED_VALUE"""),"")</f>
        <v/>
      </c>
      <c r="L464" s="50" t="s">
        <v>175</v>
      </c>
      <c r="M464" s="50" t="s">
        <v>175</v>
      </c>
      <c r="N464" s="50"/>
      <c r="O464" s="50"/>
      <c r="P464" s="50"/>
      <c r="Q464" s="50"/>
      <c r="R464" s="50"/>
      <c r="S464" s="50"/>
    </row>
    <row r="465">
      <c r="A465" s="50"/>
      <c r="B465" s="50"/>
      <c r="C465" s="50"/>
      <c r="D465" s="50"/>
      <c r="E465" s="50"/>
      <c r="F465" s="50"/>
      <c r="G465" s="50"/>
      <c r="H465" s="50"/>
      <c r="I465" s="50"/>
      <c r="J465" s="50" t="str">
        <f>IFERROR(__xludf.DUMMYFUNCTION("""COMPUTED_VALUE"""),"")</f>
        <v/>
      </c>
      <c r="K465" s="50" t="str">
        <f>IFERROR(__xludf.DUMMYFUNCTION("""COMPUTED_VALUE"""),"")</f>
        <v/>
      </c>
      <c r="L465" s="50" t="s">
        <v>175</v>
      </c>
      <c r="M465" s="50" t="s">
        <v>175</v>
      </c>
      <c r="N465" s="50"/>
      <c r="O465" s="50"/>
      <c r="P465" s="50"/>
      <c r="Q465" s="50"/>
      <c r="R465" s="50"/>
      <c r="S465" s="50"/>
    </row>
    <row r="466">
      <c r="A466" s="50"/>
      <c r="B466" s="50"/>
      <c r="C466" s="50"/>
      <c r="D466" s="50"/>
      <c r="E466" s="50"/>
      <c r="F466" s="50"/>
      <c r="G466" s="50"/>
      <c r="H466" s="50"/>
      <c r="I466" s="50"/>
      <c r="J466" s="50" t="str">
        <f>IFERROR(__xludf.DUMMYFUNCTION("""COMPUTED_VALUE"""),"")</f>
        <v/>
      </c>
      <c r="K466" s="50" t="str">
        <f>IFERROR(__xludf.DUMMYFUNCTION("""COMPUTED_VALUE"""),"")</f>
        <v/>
      </c>
      <c r="L466" s="50" t="s">
        <v>175</v>
      </c>
      <c r="M466" s="50" t="s">
        <v>175</v>
      </c>
      <c r="N466" s="50"/>
      <c r="O466" s="50"/>
      <c r="P466" s="50"/>
      <c r="Q466" s="50"/>
      <c r="R466" s="50"/>
      <c r="S466" s="50"/>
    </row>
    <row r="467">
      <c r="A467" s="50"/>
      <c r="B467" s="50"/>
      <c r="C467" s="50"/>
      <c r="D467" s="50"/>
      <c r="E467" s="50"/>
      <c r="F467" s="50"/>
      <c r="G467" s="50"/>
      <c r="H467" s="50"/>
      <c r="I467" s="50"/>
      <c r="J467" s="50" t="str">
        <f>IFERROR(__xludf.DUMMYFUNCTION("""COMPUTED_VALUE"""),"")</f>
        <v/>
      </c>
      <c r="K467" s="50" t="str">
        <f>IFERROR(__xludf.DUMMYFUNCTION("""COMPUTED_VALUE"""),"")</f>
        <v/>
      </c>
      <c r="L467" s="50" t="s">
        <v>175</v>
      </c>
      <c r="M467" s="50" t="s">
        <v>175</v>
      </c>
      <c r="N467" s="50"/>
      <c r="O467" s="50"/>
      <c r="P467" s="50"/>
      <c r="Q467" s="50"/>
      <c r="R467" s="50"/>
      <c r="S467" s="50"/>
    </row>
    <row r="468">
      <c r="A468" s="50"/>
      <c r="B468" s="50"/>
      <c r="C468" s="50"/>
      <c r="D468" s="50"/>
      <c r="E468" s="50"/>
      <c r="F468" s="50"/>
      <c r="G468" s="50"/>
      <c r="H468" s="50"/>
      <c r="I468" s="50"/>
      <c r="J468" s="50" t="str">
        <f>IFERROR(__xludf.DUMMYFUNCTION("""COMPUTED_VALUE"""),"")</f>
        <v/>
      </c>
      <c r="K468" s="50" t="str">
        <f>IFERROR(__xludf.DUMMYFUNCTION("""COMPUTED_VALUE"""),"")</f>
        <v/>
      </c>
      <c r="L468" s="50" t="s">
        <v>175</v>
      </c>
      <c r="M468" s="50" t="s">
        <v>175</v>
      </c>
      <c r="N468" s="50"/>
      <c r="O468" s="50"/>
      <c r="P468" s="50"/>
      <c r="Q468" s="50"/>
      <c r="R468" s="50"/>
      <c r="S468" s="50"/>
    </row>
    <row r="469">
      <c r="A469" s="50"/>
      <c r="B469" s="50"/>
      <c r="C469" s="50"/>
      <c r="D469" s="50"/>
      <c r="E469" s="50"/>
      <c r="F469" s="50"/>
      <c r="G469" s="50"/>
      <c r="H469" s="50"/>
      <c r="I469" s="50"/>
      <c r="J469" s="50" t="str">
        <f>IFERROR(__xludf.DUMMYFUNCTION("""COMPUTED_VALUE"""),"")</f>
        <v/>
      </c>
      <c r="K469" s="50" t="str">
        <f>IFERROR(__xludf.DUMMYFUNCTION("""COMPUTED_VALUE"""),"")</f>
        <v/>
      </c>
      <c r="L469" s="50" t="s">
        <v>175</v>
      </c>
      <c r="M469" s="50" t="s">
        <v>175</v>
      </c>
      <c r="N469" s="50"/>
      <c r="O469" s="50"/>
      <c r="P469" s="50"/>
      <c r="Q469" s="50"/>
      <c r="R469" s="50"/>
      <c r="S469" s="50"/>
    </row>
    <row r="470">
      <c r="A470" s="50"/>
      <c r="B470" s="50"/>
      <c r="C470" s="50"/>
      <c r="D470" s="50"/>
      <c r="E470" s="50"/>
      <c r="F470" s="50"/>
      <c r="G470" s="50"/>
      <c r="H470" s="50"/>
      <c r="I470" s="50"/>
      <c r="J470" s="50" t="str">
        <f>IFERROR(__xludf.DUMMYFUNCTION("""COMPUTED_VALUE"""),"")</f>
        <v/>
      </c>
      <c r="K470" s="50" t="str">
        <f>IFERROR(__xludf.DUMMYFUNCTION("""COMPUTED_VALUE"""),"")</f>
        <v/>
      </c>
      <c r="L470" s="50" t="s">
        <v>175</v>
      </c>
      <c r="M470" s="50" t="s">
        <v>175</v>
      </c>
      <c r="N470" s="50"/>
      <c r="O470" s="50"/>
      <c r="P470" s="50"/>
      <c r="Q470" s="50"/>
      <c r="R470" s="50"/>
      <c r="S470" s="50"/>
    </row>
    <row r="471">
      <c r="A471" s="50"/>
      <c r="B471" s="50"/>
      <c r="C471" s="50"/>
      <c r="D471" s="50"/>
      <c r="E471" s="50"/>
      <c r="F471" s="50"/>
      <c r="G471" s="50"/>
      <c r="H471" s="50"/>
      <c r="I471" s="50"/>
      <c r="J471" s="50" t="str">
        <f>IFERROR(__xludf.DUMMYFUNCTION("""COMPUTED_VALUE"""),"")</f>
        <v/>
      </c>
      <c r="K471" s="50" t="str">
        <f>IFERROR(__xludf.DUMMYFUNCTION("""COMPUTED_VALUE"""),"")</f>
        <v/>
      </c>
      <c r="L471" s="50" t="s">
        <v>175</v>
      </c>
      <c r="M471" s="50" t="s">
        <v>175</v>
      </c>
      <c r="N471" s="50"/>
      <c r="O471" s="50"/>
      <c r="P471" s="50"/>
      <c r="Q471" s="50"/>
      <c r="R471" s="50"/>
      <c r="S471" s="50"/>
    </row>
    <row r="472">
      <c r="A472" s="50"/>
      <c r="B472" s="50"/>
      <c r="C472" s="50"/>
      <c r="D472" s="50"/>
      <c r="E472" s="50"/>
      <c r="F472" s="50"/>
      <c r="G472" s="50"/>
      <c r="H472" s="50"/>
      <c r="I472" s="50"/>
      <c r="J472" s="50" t="str">
        <f>IFERROR(__xludf.DUMMYFUNCTION("""COMPUTED_VALUE"""),"")</f>
        <v/>
      </c>
      <c r="K472" s="50" t="str">
        <f>IFERROR(__xludf.DUMMYFUNCTION("""COMPUTED_VALUE"""),"")</f>
        <v/>
      </c>
      <c r="L472" s="50" t="s">
        <v>175</v>
      </c>
      <c r="M472" s="50" t="s">
        <v>175</v>
      </c>
      <c r="N472" s="50"/>
      <c r="O472" s="50"/>
      <c r="P472" s="50"/>
      <c r="Q472" s="50"/>
      <c r="R472" s="50"/>
      <c r="S472" s="50"/>
    </row>
    <row r="473">
      <c r="A473" s="50"/>
      <c r="B473" s="50"/>
      <c r="C473" s="50"/>
      <c r="D473" s="50"/>
      <c r="E473" s="50"/>
      <c r="F473" s="50"/>
      <c r="G473" s="50"/>
      <c r="H473" s="50"/>
      <c r="I473" s="50"/>
      <c r="J473" s="50" t="str">
        <f>IFERROR(__xludf.DUMMYFUNCTION("""COMPUTED_VALUE"""),"")</f>
        <v/>
      </c>
      <c r="K473" s="50" t="str">
        <f>IFERROR(__xludf.DUMMYFUNCTION("""COMPUTED_VALUE"""),"")</f>
        <v/>
      </c>
      <c r="L473" s="50" t="s">
        <v>175</v>
      </c>
      <c r="M473" s="50" t="s">
        <v>175</v>
      </c>
      <c r="N473" s="50"/>
      <c r="O473" s="50"/>
      <c r="P473" s="50"/>
      <c r="Q473" s="50"/>
      <c r="R473" s="50"/>
      <c r="S473" s="50"/>
    </row>
    <row r="474">
      <c r="A474" s="50"/>
      <c r="B474" s="50"/>
      <c r="C474" s="50"/>
      <c r="D474" s="50"/>
      <c r="E474" s="50"/>
      <c r="F474" s="50"/>
      <c r="G474" s="50"/>
      <c r="H474" s="50"/>
      <c r="I474" s="50"/>
      <c r="J474" s="50" t="str">
        <f>IFERROR(__xludf.DUMMYFUNCTION("""COMPUTED_VALUE"""),"")</f>
        <v/>
      </c>
      <c r="K474" s="50" t="str">
        <f>IFERROR(__xludf.DUMMYFUNCTION("""COMPUTED_VALUE"""),"")</f>
        <v/>
      </c>
      <c r="L474" s="50" t="s">
        <v>175</v>
      </c>
      <c r="M474" s="50" t="s">
        <v>175</v>
      </c>
      <c r="N474" s="50"/>
      <c r="O474" s="50"/>
      <c r="P474" s="50"/>
      <c r="Q474" s="50"/>
      <c r="R474" s="50"/>
      <c r="S474" s="50"/>
    </row>
    <row r="475">
      <c r="A475" s="50"/>
      <c r="B475" s="50"/>
      <c r="C475" s="50"/>
      <c r="D475" s="50"/>
      <c r="E475" s="50"/>
      <c r="F475" s="50"/>
      <c r="G475" s="50"/>
      <c r="H475" s="50"/>
      <c r="I475" s="50"/>
      <c r="J475" s="50" t="str">
        <f>IFERROR(__xludf.DUMMYFUNCTION("""COMPUTED_VALUE"""),"")</f>
        <v/>
      </c>
      <c r="K475" s="50" t="str">
        <f>IFERROR(__xludf.DUMMYFUNCTION("""COMPUTED_VALUE"""),"")</f>
        <v/>
      </c>
      <c r="L475" s="50" t="s">
        <v>175</v>
      </c>
      <c r="M475" s="50" t="s">
        <v>175</v>
      </c>
      <c r="N475" s="50"/>
      <c r="O475" s="50"/>
      <c r="P475" s="50"/>
      <c r="Q475" s="50"/>
      <c r="R475" s="50"/>
      <c r="S475" s="50"/>
    </row>
    <row r="476">
      <c r="A476" s="50"/>
      <c r="B476" s="50"/>
      <c r="C476" s="50"/>
      <c r="D476" s="50"/>
      <c r="E476" s="50"/>
      <c r="F476" s="50"/>
      <c r="G476" s="50"/>
      <c r="H476" s="50"/>
      <c r="I476" s="50"/>
      <c r="J476" s="50" t="str">
        <f>IFERROR(__xludf.DUMMYFUNCTION("""COMPUTED_VALUE"""),"")</f>
        <v/>
      </c>
      <c r="K476" s="50" t="str">
        <f>IFERROR(__xludf.DUMMYFUNCTION("""COMPUTED_VALUE"""),"")</f>
        <v/>
      </c>
      <c r="L476" s="50" t="s">
        <v>175</v>
      </c>
      <c r="M476" s="50" t="s">
        <v>175</v>
      </c>
      <c r="N476" s="50"/>
      <c r="O476" s="50"/>
      <c r="P476" s="50"/>
      <c r="Q476" s="50"/>
      <c r="R476" s="50"/>
      <c r="S476" s="50"/>
    </row>
    <row r="477">
      <c r="A477" s="50"/>
      <c r="B477" s="50"/>
      <c r="C477" s="50"/>
      <c r="D477" s="50"/>
      <c r="E477" s="50"/>
      <c r="F477" s="50"/>
      <c r="G477" s="50"/>
      <c r="H477" s="50"/>
      <c r="I477" s="50"/>
      <c r="J477" s="50" t="str">
        <f>IFERROR(__xludf.DUMMYFUNCTION("""COMPUTED_VALUE"""),"")</f>
        <v/>
      </c>
      <c r="K477" s="50" t="str">
        <f>IFERROR(__xludf.DUMMYFUNCTION("""COMPUTED_VALUE"""),"")</f>
        <v/>
      </c>
      <c r="L477" s="50" t="s">
        <v>175</v>
      </c>
      <c r="M477" s="50" t="s">
        <v>175</v>
      </c>
      <c r="N477" s="50"/>
      <c r="O477" s="50"/>
      <c r="P477" s="50"/>
      <c r="Q477" s="50"/>
      <c r="R477" s="50"/>
      <c r="S477" s="50"/>
    </row>
    <row r="478">
      <c r="A478" s="50"/>
      <c r="B478" s="50"/>
      <c r="C478" s="50"/>
      <c r="D478" s="50"/>
      <c r="E478" s="50"/>
      <c r="F478" s="50"/>
      <c r="G478" s="50"/>
      <c r="H478" s="50"/>
      <c r="I478" s="50"/>
      <c r="J478" s="50" t="str">
        <f>IFERROR(__xludf.DUMMYFUNCTION("""COMPUTED_VALUE"""),"")</f>
        <v/>
      </c>
      <c r="K478" s="50" t="str">
        <f>IFERROR(__xludf.DUMMYFUNCTION("""COMPUTED_VALUE"""),"")</f>
        <v/>
      </c>
      <c r="L478" s="50" t="s">
        <v>175</v>
      </c>
      <c r="M478" s="50" t="s">
        <v>175</v>
      </c>
      <c r="N478" s="50"/>
      <c r="O478" s="50"/>
      <c r="P478" s="50"/>
      <c r="Q478" s="50"/>
      <c r="R478" s="50"/>
      <c r="S478" s="50"/>
    </row>
    <row r="479">
      <c r="A479" s="50"/>
      <c r="B479" s="50"/>
      <c r="C479" s="50"/>
      <c r="D479" s="50"/>
      <c r="E479" s="50"/>
      <c r="F479" s="50"/>
      <c r="G479" s="50"/>
      <c r="H479" s="50"/>
      <c r="I479" s="50"/>
      <c r="J479" s="50" t="str">
        <f>IFERROR(__xludf.DUMMYFUNCTION("""COMPUTED_VALUE"""),"")</f>
        <v/>
      </c>
      <c r="K479" s="50" t="str">
        <f>IFERROR(__xludf.DUMMYFUNCTION("""COMPUTED_VALUE"""),"")</f>
        <v/>
      </c>
      <c r="L479" s="50" t="s">
        <v>175</v>
      </c>
      <c r="M479" s="50" t="s">
        <v>175</v>
      </c>
      <c r="N479" s="50"/>
      <c r="O479" s="50"/>
      <c r="P479" s="50"/>
      <c r="Q479" s="50"/>
      <c r="R479" s="50"/>
      <c r="S479" s="50"/>
    </row>
    <row r="480">
      <c r="A480" s="50"/>
      <c r="B480" s="50"/>
      <c r="C480" s="50"/>
      <c r="D480" s="50"/>
      <c r="E480" s="50"/>
      <c r="F480" s="50"/>
      <c r="G480" s="50"/>
      <c r="H480" s="50"/>
      <c r="I480" s="50"/>
      <c r="J480" s="50" t="str">
        <f>IFERROR(__xludf.DUMMYFUNCTION("""COMPUTED_VALUE"""),"")</f>
        <v/>
      </c>
      <c r="K480" s="50" t="str">
        <f>IFERROR(__xludf.DUMMYFUNCTION("""COMPUTED_VALUE"""),"")</f>
        <v/>
      </c>
      <c r="L480" s="50" t="s">
        <v>175</v>
      </c>
      <c r="M480" s="50" t="s">
        <v>175</v>
      </c>
      <c r="N480" s="50"/>
      <c r="O480" s="50"/>
      <c r="P480" s="50"/>
      <c r="Q480" s="50"/>
      <c r="R480" s="50"/>
      <c r="S480" s="50"/>
    </row>
    <row r="481">
      <c r="A481" s="50"/>
      <c r="B481" s="50"/>
      <c r="C481" s="50"/>
      <c r="D481" s="50"/>
      <c r="E481" s="50"/>
      <c r="F481" s="50"/>
      <c r="G481" s="50"/>
      <c r="H481" s="50"/>
      <c r="I481" s="50"/>
      <c r="J481" s="50" t="str">
        <f>IFERROR(__xludf.DUMMYFUNCTION("""COMPUTED_VALUE"""),"")</f>
        <v/>
      </c>
      <c r="K481" s="50" t="str">
        <f>IFERROR(__xludf.DUMMYFUNCTION("""COMPUTED_VALUE"""),"")</f>
        <v/>
      </c>
      <c r="L481" s="50" t="s">
        <v>175</v>
      </c>
      <c r="M481" s="50" t="s">
        <v>175</v>
      </c>
      <c r="N481" s="50"/>
      <c r="O481" s="50"/>
      <c r="P481" s="50"/>
      <c r="Q481" s="50"/>
      <c r="R481" s="50"/>
      <c r="S481" s="50"/>
    </row>
    <row r="482">
      <c r="A482" s="50"/>
      <c r="B482" s="50"/>
      <c r="C482" s="50"/>
      <c r="D482" s="50"/>
      <c r="E482" s="50"/>
      <c r="F482" s="50"/>
      <c r="G482" s="50"/>
      <c r="H482" s="50"/>
      <c r="I482" s="50"/>
      <c r="J482" s="50" t="str">
        <f>IFERROR(__xludf.DUMMYFUNCTION("""COMPUTED_VALUE"""),"")</f>
        <v/>
      </c>
      <c r="K482" s="50" t="str">
        <f>IFERROR(__xludf.DUMMYFUNCTION("""COMPUTED_VALUE"""),"")</f>
        <v/>
      </c>
      <c r="L482" s="50" t="s">
        <v>175</v>
      </c>
      <c r="M482" s="50" t="s">
        <v>175</v>
      </c>
      <c r="N482" s="50"/>
      <c r="O482" s="50"/>
      <c r="P482" s="50"/>
      <c r="Q482" s="50"/>
      <c r="R482" s="50"/>
      <c r="S482" s="50"/>
    </row>
    <row r="483">
      <c r="A483" s="50"/>
      <c r="B483" s="50"/>
      <c r="C483" s="50"/>
      <c r="D483" s="50"/>
      <c r="E483" s="50"/>
      <c r="F483" s="50"/>
      <c r="G483" s="50"/>
      <c r="H483" s="50"/>
      <c r="I483" s="50"/>
      <c r="J483" s="50" t="str">
        <f>IFERROR(__xludf.DUMMYFUNCTION("""COMPUTED_VALUE"""),"")</f>
        <v/>
      </c>
      <c r="K483" s="50" t="str">
        <f>IFERROR(__xludf.DUMMYFUNCTION("""COMPUTED_VALUE"""),"")</f>
        <v/>
      </c>
      <c r="L483" s="50" t="s">
        <v>175</v>
      </c>
      <c r="M483" s="50" t="s">
        <v>175</v>
      </c>
      <c r="N483" s="50"/>
      <c r="O483" s="50"/>
      <c r="P483" s="50"/>
      <c r="Q483" s="50"/>
      <c r="R483" s="50"/>
      <c r="S483" s="50"/>
    </row>
    <row r="484">
      <c r="A484" s="50"/>
      <c r="B484" s="50"/>
      <c r="C484" s="50"/>
      <c r="D484" s="50"/>
      <c r="E484" s="50"/>
      <c r="F484" s="50"/>
      <c r="G484" s="50"/>
      <c r="H484" s="50"/>
      <c r="I484" s="50"/>
      <c r="J484" s="50" t="str">
        <f>IFERROR(__xludf.DUMMYFUNCTION("""COMPUTED_VALUE"""),"")</f>
        <v/>
      </c>
      <c r="K484" s="50" t="str">
        <f>IFERROR(__xludf.DUMMYFUNCTION("""COMPUTED_VALUE"""),"")</f>
        <v/>
      </c>
      <c r="L484" s="50" t="s">
        <v>175</v>
      </c>
      <c r="M484" s="50" t="s">
        <v>175</v>
      </c>
      <c r="N484" s="50"/>
      <c r="O484" s="50"/>
      <c r="P484" s="50"/>
      <c r="Q484" s="50"/>
      <c r="R484" s="50"/>
      <c r="S484" s="50"/>
    </row>
    <row r="485">
      <c r="A485" s="50"/>
      <c r="B485" s="50"/>
      <c r="C485" s="50"/>
      <c r="D485" s="50"/>
      <c r="E485" s="50"/>
      <c r="F485" s="50"/>
      <c r="G485" s="50"/>
      <c r="H485" s="50"/>
      <c r="I485" s="50"/>
      <c r="J485" s="50" t="str">
        <f>IFERROR(__xludf.DUMMYFUNCTION("""COMPUTED_VALUE"""),"")</f>
        <v/>
      </c>
      <c r="K485" s="50" t="str">
        <f>IFERROR(__xludf.DUMMYFUNCTION("""COMPUTED_VALUE"""),"")</f>
        <v/>
      </c>
      <c r="L485" s="50" t="s">
        <v>175</v>
      </c>
      <c r="M485" s="50" t="s">
        <v>175</v>
      </c>
      <c r="N485" s="50"/>
      <c r="O485" s="50"/>
      <c r="P485" s="50"/>
      <c r="Q485" s="50"/>
      <c r="R485" s="50"/>
      <c r="S485" s="50"/>
    </row>
    <row r="486">
      <c r="A486" s="50"/>
      <c r="B486" s="50"/>
      <c r="C486" s="50"/>
      <c r="D486" s="50"/>
      <c r="E486" s="50"/>
      <c r="F486" s="50"/>
      <c r="G486" s="50"/>
      <c r="H486" s="50"/>
      <c r="I486" s="50"/>
      <c r="J486" s="50" t="str">
        <f>IFERROR(__xludf.DUMMYFUNCTION("""COMPUTED_VALUE"""),"")</f>
        <v/>
      </c>
      <c r="K486" s="50" t="str">
        <f>IFERROR(__xludf.DUMMYFUNCTION("""COMPUTED_VALUE"""),"")</f>
        <v/>
      </c>
      <c r="L486" s="50" t="s">
        <v>175</v>
      </c>
      <c r="M486" s="50" t="s">
        <v>175</v>
      </c>
      <c r="N486" s="50"/>
      <c r="O486" s="50"/>
      <c r="P486" s="50"/>
      <c r="Q486" s="50"/>
      <c r="R486" s="50"/>
      <c r="S486" s="50"/>
    </row>
    <row r="487">
      <c r="A487" s="50"/>
      <c r="B487" s="50"/>
      <c r="C487" s="50"/>
      <c r="D487" s="50"/>
      <c r="E487" s="50"/>
      <c r="F487" s="50"/>
      <c r="G487" s="50"/>
      <c r="H487" s="50"/>
      <c r="I487" s="50"/>
      <c r="J487" s="50" t="str">
        <f>IFERROR(__xludf.DUMMYFUNCTION("""COMPUTED_VALUE"""),"")</f>
        <v/>
      </c>
      <c r="K487" s="50" t="str">
        <f>IFERROR(__xludf.DUMMYFUNCTION("""COMPUTED_VALUE"""),"")</f>
        <v/>
      </c>
      <c r="L487" s="50" t="s">
        <v>175</v>
      </c>
      <c r="M487" s="50" t="s">
        <v>175</v>
      </c>
      <c r="N487" s="50"/>
      <c r="O487" s="50"/>
      <c r="P487" s="50"/>
      <c r="Q487" s="50"/>
      <c r="R487" s="50"/>
      <c r="S487" s="50"/>
    </row>
    <row r="488">
      <c r="A488" s="50"/>
      <c r="B488" s="50"/>
      <c r="C488" s="50"/>
      <c r="D488" s="50"/>
      <c r="E488" s="50"/>
      <c r="F488" s="50"/>
      <c r="G488" s="50"/>
      <c r="H488" s="50"/>
      <c r="I488" s="50"/>
      <c r="J488" s="50" t="str">
        <f>IFERROR(__xludf.DUMMYFUNCTION("""COMPUTED_VALUE"""),"")</f>
        <v/>
      </c>
      <c r="K488" s="50" t="str">
        <f>IFERROR(__xludf.DUMMYFUNCTION("""COMPUTED_VALUE"""),"")</f>
        <v/>
      </c>
      <c r="L488" s="50" t="s">
        <v>175</v>
      </c>
      <c r="M488" s="50" t="s">
        <v>175</v>
      </c>
      <c r="N488" s="50"/>
      <c r="O488" s="50"/>
      <c r="P488" s="50"/>
      <c r="Q488" s="50"/>
      <c r="R488" s="50"/>
      <c r="S488" s="50"/>
    </row>
    <row r="489">
      <c r="A489" s="50"/>
      <c r="B489" s="50"/>
      <c r="C489" s="50"/>
      <c r="D489" s="50"/>
      <c r="E489" s="50"/>
      <c r="F489" s="50"/>
      <c r="G489" s="50"/>
      <c r="H489" s="50"/>
      <c r="I489" s="50"/>
      <c r="J489" s="50" t="str">
        <f>IFERROR(__xludf.DUMMYFUNCTION("""COMPUTED_VALUE"""),"")</f>
        <v/>
      </c>
      <c r="K489" s="50" t="str">
        <f>IFERROR(__xludf.DUMMYFUNCTION("""COMPUTED_VALUE"""),"")</f>
        <v/>
      </c>
      <c r="L489" s="50" t="s">
        <v>175</v>
      </c>
      <c r="M489" s="50" t="s">
        <v>175</v>
      </c>
      <c r="N489" s="50"/>
      <c r="O489" s="50"/>
      <c r="P489" s="50"/>
      <c r="Q489" s="50"/>
      <c r="R489" s="50"/>
      <c r="S489" s="50"/>
    </row>
    <row r="490">
      <c r="A490" s="50"/>
      <c r="B490" s="50"/>
      <c r="C490" s="50"/>
      <c r="D490" s="50"/>
      <c r="E490" s="50"/>
      <c r="F490" s="50"/>
      <c r="G490" s="50"/>
      <c r="H490" s="50"/>
      <c r="I490" s="50"/>
      <c r="J490" s="50" t="str">
        <f>IFERROR(__xludf.DUMMYFUNCTION("""COMPUTED_VALUE"""),"")</f>
        <v/>
      </c>
      <c r="K490" s="50" t="str">
        <f>IFERROR(__xludf.DUMMYFUNCTION("""COMPUTED_VALUE"""),"")</f>
        <v/>
      </c>
      <c r="L490" s="50" t="s">
        <v>175</v>
      </c>
      <c r="M490" s="50" t="s">
        <v>175</v>
      </c>
      <c r="N490" s="50"/>
      <c r="O490" s="50"/>
      <c r="P490" s="50"/>
      <c r="Q490" s="50"/>
      <c r="R490" s="50"/>
      <c r="S490" s="50"/>
    </row>
    <row r="491">
      <c r="A491" s="50"/>
      <c r="B491" s="50"/>
      <c r="C491" s="50"/>
      <c r="D491" s="50"/>
      <c r="E491" s="50"/>
      <c r="F491" s="50"/>
      <c r="G491" s="50"/>
      <c r="H491" s="50"/>
      <c r="I491" s="50"/>
      <c r="J491" s="50" t="str">
        <f>IFERROR(__xludf.DUMMYFUNCTION("""COMPUTED_VALUE"""),"")</f>
        <v/>
      </c>
      <c r="K491" s="50" t="str">
        <f>IFERROR(__xludf.DUMMYFUNCTION("""COMPUTED_VALUE"""),"")</f>
        <v/>
      </c>
      <c r="L491" s="50" t="s">
        <v>175</v>
      </c>
      <c r="M491" s="50" t="s">
        <v>175</v>
      </c>
      <c r="N491" s="50"/>
      <c r="O491" s="50"/>
      <c r="P491" s="50"/>
      <c r="Q491" s="50"/>
      <c r="R491" s="50"/>
      <c r="S491" s="50"/>
    </row>
    <row r="492">
      <c r="A492" s="50"/>
      <c r="B492" s="50"/>
      <c r="C492" s="50"/>
      <c r="D492" s="50"/>
      <c r="E492" s="50"/>
      <c r="F492" s="50"/>
      <c r="G492" s="50"/>
      <c r="H492" s="50"/>
      <c r="I492" s="50"/>
      <c r="J492" s="50" t="str">
        <f>IFERROR(__xludf.DUMMYFUNCTION("""COMPUTED_VALUE"""),"")</f>
        <v/>
      </c>
      <c r="K492" s="50" t="str">
        <f>IFERROR(__xludf.DUMMYFUNCTION("""COMPUTED_VALUE"""),"")</f>
        <v/>
      </c>
      <c r="L492" s="50" t="s">
        <v>175</v>
      </c>
      <c r="M492" s="50" t="s">
        <v>175</v>
      </c>
      <c r="N492" s="50"/>
      <c r="O492" s="50"/>
      <c r="P492" s="50"/>
      <c r="Q492" s="50"/>
      <c r="R492" s="50"/>
      <c r="S492" s="50"/>
    </row>
    <row r="493">
      <c r="A493" s="50"/>
      <c r="B493" s="50"/>
      <c r="C493" s="50"/>
      <c r="D493" s="50"/>
      <c r="E493" s="50"/>
      <c r="F493" s="50"/>
      <c r="G493" s="50"/>
      <c r="H493" s="50"/>
      <c r="I493" s="50"/>
      <c r="J493" s="50" t="str">
        <f>IFERROR(__xludf.DUMMYFUNCTION("""COMPUTED_VALUE"""),"")</f>
        <v/>
      </c>
      <c r="K493" s="50" t="str">
        <f>IFERROR(__xludf.DUMMYFUNCTION("""COMPUTED_VALUE"""),"")</f>
        <v/>
      </c>
      <c r="L493" s="50" t="s">
        <v>175</v>
      </c>
      <c r="M493" s="50" t="s">
        <v>175</v>
      </c>
      <c r="N493" s="50"/>
      <c r="O493" s="50"/>
      <c r="P493" s="50"/>
      <c r="Q493" s="50"/>
      <c r="R493" s="50"/>
      <c r="S493" s="50"/>
    </row>
    <row r="494">
      <c r="A494" s="50"/>
      <c r="B494" s="50"/>
      <c r="C494" s="50"/>
      <c r="D494" s="50"/>
      <c r="E494" s="50"/>
      <c r="F494" s="50"/>
      <c r="G494" s="50"/>
      <c r="H494" s="50"/>
      <c r="I494" s="50"/>
      <c r="J494" s="50" t="str">
        <f>IFERROR(__xludf.DUMMYFUNCTION("""COMPUTED_VALUE"""),"")</f>
        <v/>
      </c>
      <c r="K494" s="50" t="str">
        <f>IFERROR(__xludf.DUMMYFUNCTION("""COMPUTED_VALUE"""),"")</f>
        <v/>
      </c>
      <c r="L494" s="50" t="s">
        <v>175</v>
      </c>
      <c r="M494" s="50" t="s">
        <v>175</v>
      </c>
      <c r="N494" s="50"/>
      <c r="O494" s="50"/>
      <c r="P494" s="50"/>
      <c r="Q494" s="50"/>
      <c r="R494" s="50"/>
      <c r="S494" s="50"/>
    </row>
    <row r="495">
      <c r="A495" s="50"/>
      <c r="B495" s="50"/>
      <c r="C495" s="50"/>
      <c r="D495" s="50"/>
      <c r="E495" s="50"/>
      <c r="F495" s="50"/>
      <c r="G495" s="50"/>
      <c r="H495" s="50"/>
      <c r="I495" s="50"/>
      <c r="J495" s="50" t="str">
        <f>IFERROR(__xludf.DUMMYFUNCTION("""COMPUTED_VALUE"""),"")</f>
        <v/>
      </c>
      <c r="K495" s="50" t="str">
        <f>IFERROR(__xludf.DUMMYFUNCTION("""COMPUTED_VALUE"""),"")</f>
        <v/>
      </c>
      <c r="L495" s="50" t="s">
        <v>175</v>
      </c>
      <c r="M495" s="50" t="s">
        <v>175</v>
      </c>
      <c r="N495" s="50"/>
      <c r="O495" s="50"/>
      <c r="P495" s="50"/>
      <c r="Q495" s="50"/>
      <c r="R495" s="50"/>
      <c r="S495" s="50"/>
    </row>
    <row r="496">
      <c r="A496" s="50"/>
      <c r="B496" s="50"/>
      <c r="C496" s="50"/>
      <c r="D496" s="50"/>
      <c r="E496" s="50"/>
      <c r="F496" s="50"/>
      <c r="G496" s="50"/>
      <c r="H496" s="50"/>
      <c r="I496" s="50"/>
      <c r="J496" s="50" t="str">
        <f>IFERROR(__xludf.DUMMYFUNCTION("""COMPUTED_VALUE"""),"")</f>
        <v/>
      </c>
      <c r="K496" s="50" t="str">
        <f>IFERROR(__xludf.DUMMYFUNCTION("""COMPUTED_VALUE"""),"")</f>
        <v/>
      </c>
      <c r="L496" s="50" t="s">
        <v>175</v>
      </c>
      <c r="M496" s="50" t="s">
        <v>175</v>
      </c>
      <c r="N496" s="50"/>
      <c r="O496" s="50"/>
      <c r="P496" s="50"/>
      <c r="Q496" s="50"/>
      <c r="R496" s="50"/>
      <c r="S496" s="50"/>
    </row>
    <row r="497">
      <c r="A497" s="50"/>
      <c r="B497" s="50"/>
      <c r="C497" s="50"/>
      <c r="D497" s="50"/>
      <c r="E497" s="50"/>
      <c r="F497" s="50"/>
      <c r="G497" s="50"/>
      <c r="H497" s="50"/>
      <c r="I497" s="50"/>
      <c r="J497" s="50" t="str">
        <f>IFERROR(__xludf.DUMMYFUNCTION("""COMPUTED_VALUE"""),"")</f>
        <v/>
      </c>
      <c r="K497" s="50" t="str">
        <f>IFERROR(__xludf.DUMMYFUNCTION("""COMPUTED_VALUE"""),"")</f>
        <v/>
      </c>
      <c r="L497" s="50" t="s">
        <v>175</v>
      </c>
      <c r="M497" s="50" t="s">
        <v>175</v>
      </c>
      <c r="N497" s="50"/>
      <c r="O497" s="50"/>
      <c r="P497" s="50"/>
      <c r="Q497" s="50"/>
      <c r="R497" s="50"/>
      <c r="S497" s="50"/>
    </row>
    <row r="498">
      <c r="A498" s="50"/>
      <c r="B498" s="50"/>
      <c r="C498" s="50"/>
      <c r="D498" s="50"/>
      <c r="E498" s="50"/>
      <c r="F498" s="50"/>
      <c r="G498" s="50"/>
      <c r="H498" s="50"/>
      <c r="I498" s="50"/>
      <c r="J498" s="50" t="str">
        <f>IFERROR(__xludf.DUMMYFUNCTION("""COMPUTED_VALUE"""),"")</f>
        <v/>
      </c>
      <c r="K498" s="50" t="str">
        <f>IFERROR(__xludf.DUMMYFUNCTION("""COMPUTED_VALUE"""),"")</f>
        <v/>
      </c>
      <c r="L498" s="50" t="s">
        <v>175</v>
      </c>
      <c r="M498" s="50" t="s">
        <v>175</v>
      </c>
      <c r="N498" s="50"/>
      <c r="O498" s="50"/>
      <c r="P498" s="50"/>
      <c r="Q498" s="50"/>
      <c r="R498" s="50"/>
      <c r="S498" s="50"/>
    </row>
    <row r="499">
      <c r="A499" s="50"/>
      <c r="B499" s="50"/>
      <c r="C499" s="50"/>
      <c r="D499" s="50"/>
      <c r="E499" s="50"/>
      <c r="F499" s="50"/>
      <c r="G499" s="50"/>
      <c r="H499" s="50"/>
      <c r="I499" s="50"/>
      <c r="J499" s="50" t="str">
        <f>IFERROR(__xludf.DUMMYFUNCTION("""COMPUTED_VALUE"""),"")</f>
        <v/>
      </c>
      <c r="K499" s="50" t="str">
        <f>IFERROR(__xludf.DUMMYFUNCTION("""COMPUTED_VALUE"""),"")</f>
        <v/>
      </c>
      <c r="L499" s="50" t="s">
        <v>175</v>
      </c>
      <c r="M499" s="50" t="s">
        <v>175</v>
      </c>
      <c r="N499" s="50"/>
      <c r="O499" s="50"/>
      <c r="P499" s="50"/>
      <c r="Q499" s="50"/>
      <c r="R499" s="50"/>
      <c r="S499" s="50"/>
    </row>
    <row r="500">
      <c r="A500" s="50"/>
      <c r="B500" s="50"/>
      <c r="C500" s="50"/>
      <c r="D500" s="50"/>
      <c r="E500" s="50"/>
      <c r="F500" s="50"/>
      <c r="G500" s="50"/>
      <c r="H500" s="50"/>
      <c r="I500" s="50"/>
      <c r="J500" s="50" t="str">
        <f>IFERROR(__xludf.DUMMYFUNCTION("""COMPUTED_VALUE"""),"")</f>
        <v/>
      </c>
      <c r="K500" s="50" t="str">
        <f>IFERROR(__xludf.DUMMYFUNCTION("""COMPUTED_VALUE"""),"")</f>
        <v/>
      </c>
      <c r="L500" s="50" t="s">
        <v>175</v>
      </c>
      <c r="M500" s="50" t="s">
        <v>175</v>
      </c>
      <c r="N500" s="50"/>
      <c r="O500" s="50"/>
      <c r="P500" s="50"/>
      <c r="Q500" s="50"/>
      <c r="R500" s="50"/>
      <c r="S500" s="50"/>
    </row>
    <row r="501">
      <c r="A501" s="50"/>
      <c r="B501" s="50"/>
      <c r="C501" s="50"/>
      <c r="D501" s="50"/>
      <c r="E501" s="50"/>
      <c r="F501" s="50"/>
      <c r="G501" s="50"/>
      <c r="H501" s="50"/>
      <c r="I501" s="50"/>
      <c r="J501" s="50" t="str">
        <f>IFERROR(__xludf.DUMMYFUNCTION("""COMPUTED_VALUE"""),"")</f>
        <v/>
      </c>
      <c r="K501" s="50" t="str">
        <f>IFERROR(__xludf.DUMMYFUNCTION("""COMPUTED_VALUE"""),"")</f>
        <v/>
      </c>
      <c r="L501" s="50" t="s">
        <v>175</v>
      </c>
      <c r="M501" s="50" t="s">
        <v>175</v>
      </c>
      <c r="N501" s="50"/>
      <c r="O501" s="50"/>
      <c r="P501" s="50"/>
      <c r="Q501" s="50"/>
      <c r="R501" s="50"/>
      <c r="S501" s="50"/>
    </row>
    <row r="502">
      <c r="A502" s="50"/>
      <c r="B502" s="50"/>
      <c r="C502" s="50"/>
      <c r="D502" s="50"/>
      <c r="E502" s="50"/>
      <c r="F502" s="50"/>
      <c r="G502" s="50"/>
      <c r="H502" s="50"/>
      <c r="I502" s="50"/>
      <c r="J502" s="50" t="str">
        <f>IFERROR(__xludf.DUMMYFUNCTION("""COMPUTED_VALUE"""),"")</f>
        <v/>
      </c>
      <c r="K502" s="50" t="str">
        <f>IFERROR(__xludf.DUMMYFUNCTION("""COMPUTED_VALUE"""),"")</f>
        <v/>
      </c>
      <c r="L502" s="50" t="s">
        <v>175</v>
      </c>
      <c r="M502" s="50" t="s">
        <v>175</v>
      </c>
      <c r="N502" s="50"/>
      <c r="O502" s="50"/>
      <c r="P502" s="50"/>
      <c r="Q502" s="50"/>
      <c r="R502" s="50"/>
      <c r="S502" s="50"/>
    </row>
    <row r="503">
      <c r="A503" s="50"/>
      <c r="B503" s="50"/>
      <c r="C503" s="50"/>
      <c r="D503" s="50"/>
      <c r="E503" s="50"/>
      <c r="F503" s="50"/>
      <c r="G503" s="50"/>
      <c r="H503" s="50"/>
      <c r="I503" s="50"/>
      <c r="J503" s="50" t="str">
        <f>IFERROR(__xludf.DUMMYFUNCTION("""COMPUTED_VALUE"""),"")</f>
        <v/>
      </c>
      <c r="K503" s="50" t="str">
        <f>IFERROR(__xludf.DUMMYFUNCTION("""COMPUTED_VALUE"""),"")</f>
        <v/>
      </c>
      <c r="L503" s="50" t="s">
        <v>175</v>
      </c>
      <c r="M503" s="50" t="s">
        <v>175</v>
      </c>
      <c r="N503" s="50"/>
      <c r="O503" s="50"/>
      <c r="P503" s="50"/>
      <c r="Q503" s="50"/>
      <c r="R503" s="50"/>
      <c r="S503" s="50"/>
    </row>
    <row r="504">
      <c r="A504" s="50"/>
      <c r="B504" s="50"/>
      <c r="C504" s="50"/>
      <c r="D504" s="50"/>
      <c r="E504" s="50"/>
      <c r="F504" s="50"/>
      <c r="G504" s="50"/>
      <c r="H504" s="50"/>
      <c r="I504" s="50"/>
      <c r="J504" s="50" t="str">
        <f>IFERROR(__xludf.DUMMYFUNCTION("""COMPUTED_VALUE"""),"")</f>
        <v/>
      </c>
      <c r="K504" s="50" t="str">
        <f>IFERROR(__xludf.DUMMYFUNCTION("""COMPUTED_VALUE"""),"")</f>
        <v/>
      </c>
      <c r="L504" s="50" t="s">
        <v>175</v>
      </c>
      <c r="M504" s="50" t="s">
        <v>175</v>
      </c>
      <c r="N504" s="50"/>
      <c r="O504" s="50"/>
      <c r="P504" s="50"/>
      <c r="Q504" s="50"/>
      <c r="R504" s="50"/>
      <c r="S504" s="50"/>
    </row>
    <row r="505">
      <c r="A505" s="50"/>
      <c r="B505" s="50"/>
      <c r="C505" s="50"/>
      <c r="D505" s="50"/>
      <c r="E505" s="50"/>
      <c r="F505" s="50"/>
      <c r="G505" s="50"/>
      <c r="H505" s="50"/>
      <c r="I505" s="50"/>
      <c r="J505" s="50" t="str">
        <f>IFERROR(__xludf.DUMMYFUNCTION("""COMPUTED_VALUE"""),"")</f>
        <v/>
      </c>
      <c r="K505" s="50" t="str">
        <f>IFERROR(__xludf.DUMMYFUNCTION("""COMPUTED_VALUE"""),"")</f>
        <v/>
      </c>
      <c r="L505" s="50" t="s">
        <v>175</v>
      </c>
      <c r="M505" s="50" t="s">
        <v>175</v>
      </c>
      <c r="N505" s="50"/>
      <c r="O505" s="50"/>
      <c r="P505" s="50"/>
      <c r="Q505" s="50"/>
      <c r="R505" s="50"/>
      <c r="S505" s="50"/>
    </row>
    <row r="506">
      <c r="A506" s="50"/>
      <c r="B506" s="50"/>
      <c r="C506" s="50"/>
      <c r="D506" s="50"/>
      <c r="E506" s="50"/>
      <c r="F506" s="50"/>
      <c r="G506" s="50"/>
      <c r="H506" s="50"/>
      <c r="I506" s="50"/>
      <c r="J506" s="50" t="str">
        <f>IFERROR(__xludf.DUMMYFUNCTION("""COMPUTED_VALUE"""),"")</f>
        <v/>
      </c>
      <c r="K506" s="50" t="str">
        <f>IFERROR(__xludf.DUMMYFUNCTION("""COMPUTED_VALUE"""),"")</f>
        <v/>
      </c>
      <c r="L506" s="50" t="s">
        <v>175</v>
      </c>
      <c r="M506" s="50" t="s">
        <v>175</v>
      </c>
      <c r="N506" s="50"/>
      <c r="O506" s="50"/>
      <c r="P506" s="50"/>
      <c r="Q506" s="50"/>
      <c r="R506" s="50"/>
      <c r="S506" s="50"/>
    </row>
    <row r="507">
      <c r="A507" s="50"/>
      <c r="B507" s="50"/>
      <c r="C507" s="50"/>
      <c r="D507" s="50"/>
      <c r="E507" s="50"/>
      <c r="F507" s="50"/>
      <c r="G507" s="50"/>
      <c r="H507" s="50"/>
      <c r="I507" s="50"/>
      <c r="J507" s="50" t="str">
        <f>IFERROR(__xludf.DUMMYFUNCTION("""COMPUTED_VALUE"""),"")</f>
        <v/>
      </c>
      <c r="K507" s="50" t="str">
        <f>IFERROR(__xludf.DUMMYFUNCTION("""COMPUTED_VALUE"""),"")</f>
        <v/>
      </c>
      <c r="L507" s="50" t="s">
        <v>175</v>
      </c>
      <c r="M507" s="50" t="s">
        <v>175</v>
      </c>
      <c r="N507" s="50"/>
      <c r="O507" s="50"/>
      <c r="P507" s="50"/>
      <c r="Q507" s="50"/>
      <c r="R507" s="50"/>
      <c r="S507" s="50"/>
    </row>
    <row r="508">
      <c r="A508" s="50"/>
      <c r="B508" s="50"/>
      <c r="C508" s="50"/>
      <c r="D508" s="50"/>
      <c r="E508" s="50"/>
      <c r="F508" s="50"/>
      <c r="G508" s="50"/>
      <c r="H508" s="50"/>
      <c r="I508" s="50"/>
      <c r="J508" s="50" t="str">
        <f>IFERROR(__xludf.DUMMYFUNCTION("""COMPUTED_VALUE"""),"")</f>
        <v/>
      </c>
      <c r="K508" s="50" t="str">
        <f>IFERROR(__xludf.DUMMYFUNCTION("""COMPUTED_VALUE"""),"")</f>
        <v/>
      </c>
      <c r="L508" s="50" t="s">
        <v>175</v>
      </c>
      <c r="M508" s="50" t="s">
        <v>175</v>
      </c>
      <c r="N508" s="50"/>
      <c r="O508" s="50"/>
      <c r="P508" s="50"/>
      <c r="Q508" s="50"/>
      <c r="R508" s="50"/>
      <c r="S508" s="50"/>
    </row>
    <row r="509">
      <c r="A509" s="50"/>
      <c r="B509" s="50"/>
      <c r="C509" s="50"/>
      <c r="D509" s="50"/>
      <c r="E509" s="50"/>
      <c r="F509" s="50"/>
      <c r="G509" s="50"/>
      <c r="H509" s="50"/>
      <c r="I509" s="50"/>
      <c r="J509" s="50" t="str">
        <f>IFERROR(__xludf.DUMMYFUNCTION("""COMPUTED_VALUE"""),"")</f>
        <v/>
      </c>
      <c r="K509" s="50" t="str">
        <f>IFERROR(__xludf.DUMMYFUNCTION("""COMPUTED_VALUE"""),"")</f>
        <v/>
      </c>
      <c r="L509" s="50" t="s">
        <v>175</v>
      </c>
      <c r="M509" s="50" t="s">
        <v>175</v>
      </c>
      <c r="N509" s="50"/>
      <c r="O509" s="50"/>
      <c r="P509" s="50"/>
      <c r="Q509" s="50"/>
      <c r="R509" s="50"/>
      <c r="S509" s="50"/>
    </row>
    <row r="510">
      <c r="A510" s="50"/>
      <c r="B510" s="50"/>
      <c r="C510" s="50"/>
      <c r="D510" s="50"/>
      <c r="E510" s="50"/>
      <c r="F510" s="50"/>
      <c r="G510" s="50"/>
      <c r="H510" s="50"/>
      <c r="I510" s="50"/>
      <c r="J510" s="50" t="str">
        <f>IFERROR(__xludf.DUMMYFUNCTION("""COMPUTED_VALUE"""),"")</f>
        <v/>
      </c>
      <c r="K510" s="50" t="str">
        <f>IFERROR(__xludf.DUMMYFUNCTION("""COMPUTED_VALUE"""),"")</f>
        <v/>
      </c>
      <c r="L510" s="50" t="s">
        <v>175</v>
      </c>
      <c r="M510" s="50" t="s">
        <v>175</v>
      </c>
      <c r="N510" s="50"/>
      <c r="O510" s="50"/>
      <c r="P510" s="50"/>
      <c r="Q510" s="50"/>
      <c r="R510" s="50"/>
      <c r="S510" s="50"/>
    </row>
    <row r="511">
      <c r="A511" s="50"/>
      <c r="B511" s="50"/>
      <c r="C511" s="50"/>
      <c r="D511" s="50"/>
      <c r="E511" s="50"/>
      <c r="F511" s="50"/>
      <c r="G511" s="50"/>
      <c r="H511" s="50"/>
      <c r="I511" s="50"/>
      <c r="J511" s="50" t="str">
        <f>IFERROR(__xludf.DUMMYFUNCTION("""COMPUTED_VALUE"""),"")</f>
        <v/>
      </c>
      <c r="K511" s="50" t="str">
        <f>IFERROR(__xludf.DUMMYFUNCTION("""COMPUTED_VALUE"""),"")</f>
        <v/>
      </c>
      <c r="L511" s="50" t="s">
        <v>175</v>
      </c>
      <c r="M511" s="50" t="s">
        <v>175</v>
      </c>
      <c r="N511" s="50"/>
      <c r="O511" s="50"/>
      <c r="P511" s="50"/>
      <c r="Q511" s="50"/>
      <c r="R511" s="50"/>
      <c r="S511" s="50"/>
    </row>
    <row r="512">
      <c r="A512" s="50"/>
      <c r="B512" s="50"/>
      <c r="C512" s="50"/>
      <c r="D512" s="50"/>
      <c r="E512" s="50"/>
      <c r="F512" s="50"/>
      <c r="G512" s="50"/>
      <c r="H512" s="50"/>
      <c r="I512" s="50"/>
      <c r="J512" s="50" t="str">
        <f>IFERROR(__xludf.DUMMYFUNCTION("""COMPUTED_VALUE"""),"")</f>
        <v/>
      </c>
      <c r="K512" s="50" t="str">
        <f>IFERROR(__xludf.DUMMYFUNCTION("""COMPUTED_VALUE"""),"")</f>
        <v/>
      </c>
      <c r="L512" s="50" t="s">
        <v>175</v>
      </c>
      <c r="M512" s="50" t="s">
        <v>175</v>
      </c>
      <c r="N512" s="50"/>
      <c r="O512" s="50"/>
      <c r="P512" s="50"/>
      <c r="Q512" s="50"/>
      <c r="R512" s="50"/>
      <c r="S512" s="50"/>
    </row>
    <row r="513">
      <c r="A513" s="50"/>
      <c r="B513" s="50"/>
      <c r="C513" s="50"/>
      <c r="D513" s="50"/>
      <c r="E513" s="50"/>
      <c r="F513" s="50"/>
      <c r="G513" s="50"/>
      <c r="H513" s="50"/>
      <c r="I513" s="50"/>
      <c r="J513" s="50" t="str">
        <f>IFERROR(__xludf.DUMMYFUNCTION("""COMPUTED_VALUE"""),"")</f>
        <v/>
      </c>
      <c r="K513" s="50" t="str">
        <f>IFERROR(__xludf.DUMMYFUNCTION("""COMPUTED_VALUE"""),"")</f>
        <v/>
      </c>
      <c r="L513" s="50" t="s">
        <v>175</v>
      </c>
      <c r="M513" s="50" t="s">
        <v>175</v>
      </c>
      <c r="N513" s="50"/>
      <c r="O513" s="50"/>
      <c r="P513" s="50"/>
      <c r="Q513" s="50"/>
      <c r="R513" s="50"/>
      <c r="S513" s="50"/>
    </row>
    <row r="514">
      <c r="A514" s="50"/>
      <c r="B514" s="50"/>
      <c r="C514" s="50"/>
      <c r="D514" s="50"/>
      <c r="E514" s="50"/>
      <c r="F514" s="50"/>
      <c r="G514" s="50"/>
      <c r="H514" s="50"/>
      <c r="I514" s="50"/>
      <c r="J514" s="50" t="str">
        <f>IFERROR(__xludf.DUMMYFUNCTION("""COMPUTED_VALUE"""),"")</f>
        <v/>
      </c>
      <c r="K514" s="50" t="str">
        <f>IFERROR(__xludf.DUMMYFUNCTION("""COMPUTED_VALUE"""),"")</f>
        <v/>
      </c>
      <c r="L514" s="50" t="s">
        <v>175</v>
      </c>
      <c r="M514" s="50" t="s">
        <v>175</v>
      </c>
      <c r="N514" s="50"/>
      <c r="O514" s="50"/>
      <c r="P514" s="50"/>
      <c r="Q514" s="50"/>
      <c r="R514" s="50"/>
      <c r="S514" s="50"/>
    </row>
    <row r="515">
      <c r="A515" s="50"/>
      <c r="B515" s="50"/>
      <c r="C515" s="50"/>
      <c r="D515" s="50"/>
      <c r="E515" s="50"/>
      <c r="F515" s="50"/>
      <c r="G515" s="50"/>
      <c r="H515" s="50"/>
      <c r="I515" s="50"/>
      <c r="J515" s="50" t="str">
        <f>IFERROR(__xludf.DUMMYFUNCTION("""COMPUTED_VALUE"""),"")</f>
        <v/>
      </c>
      <c r="K515" s="50" t="str">
        <f>IFERROR(__xludf.DUMMYFUNCTION("""COMPUTED_VALUE"""),"")</f>
        <v/>
      </c>
      <c r="L515" s="50" t="s">
        <v>175</v>
      </c>
      <c r="M515" s="50" t="s">
        <v>175</v>
      </c>
      <c r="N515" s="50"/>
      <c r="O515" s="50"/>
      <c r="P515" s="50"/>
      <c r="Q515" s="50"/>
      <c r="R515" s="50"/>
      <c r="S515" s="50"/>
    </row>
    <row r="516">
      <c r="A516" s="50"/>
      <c r="B516" s="50"/>
      <c r="C516" s="50"/>
      <c r="D516" s="50"/>
      <c r="E516" s="50"/>
      <c r="F516" s="50"/>
      <c r="G516" s="50"/>
      <c r="H516" s="50"/>
      <c r="I516" s="50"/>
      <c r="J516" s="50" t="str">
        <f>IFERROR(__xludf.DUMMYFUNCTION("""COMPUTED_VALUE"""),"")</f>
        <v/>
      </c>
      <c r="K516" s="50" t="str">
        <f>IFERROR(__xludf.DUMMYFUNCTION("""COMPUTED_VALUE"""),"")</f>
        <v/>
      </c>
      <c r="L516" s="50" t="s">
        <v>175</v>
      </c>
      <c r="M516" s="50" t="s">
        <v>175</v>
      </c>
      <c r="N516" s="50"/>
      <c r="O516" s="50"/>
      <c r="P516" s="50"/>
      <c r="Q516" s="50"/>
      <c r="R516" s="50"/>
      <c r="S516" s="50"/>
    </row>
    <row r="517">
      <c r="A517" s="50"/>
      <c r="B517" s="50"/>
      <c r="C517" s="50"/>
      <c r="D517" s="50"/>
      <c r="E517" s="50"/>
      <c r="F517" s="50"/>
      <c r="G517" s="50"/>
      <c r="H517" s="50"/>
      <c r="I517" s="50"/>
      <c r="J517" s="50" t="str">
        <f>IFERROR(__xludf.DUMMYFUNCTION("""COMPUTED_VALUE"""),"")</f>
        <v/>
      </c>
      <c r="K517" s="50" t="str">
        <f>IFERROR(__xludf.DUMMYFUNCTION("""COMPUTED_VALUE"""),"")</f>
        <v/>
      </c>
      <c r="L517" s="50" t="s">
        <v>175</v>
      </c>
      <c r="M517" s="50" t="s">
        <v>175</v>
      </c>
      <c r="N517" s="50"/>
      <c r="O517" s="50"/>
      <c r="P517" s="50"/>
      <c r="Q517" s="50"/>
      <c r="R517" s="50"/>
      <c r="S517" s="50"/>
    </row>
    <row r="518">
      <c r="A518" s="50"/>
      <c r="B518" s="50"/>
      <c r="C518" s="50"/>
      <c r="D518" s="50"/>
      <c r="E518" s="50"/>
      <c r="F518" s="50"/>
      <c r="G518" s="50"/>
      <c r="H518" s="50"/>
      <c r="I518" s="50"/>
      <c r="J518" s="50" t="str">
        <f>IFERROR(__xludf.DUMMYFUNCTION("""COMPUTED_VALUE"""),"")</f>
        <v/>
      </c>
      <c r="K518" s="50" t="str">
        <f>IFERROR(__xludf.DUMMYFUNCTION("""COMPUTED_VALUE"""),"")</f>
        <v/>
      </c>
      <c r="L518" s="50" t="s">
        <v>175</v>
      </c>
      <c r="M518" s="50" t="s">
        <v>175</v>
      </c>
      <c r="N518" s="50"/>
      <c r="O518" s="50"/>
      <c r="P518" s="50"/>
      <c r="Q518" s="50"/>
      <c r="R518" s="50"/>
      <c r="S518" s="50"/>
    </row>
    <row r="519">
      <c r="A519" s="50"/>
      <c r="B519" s="50"/>
      <c r="C519" s="50"/>
      <c r="D519" s="50"/>
      <c r="E519" s="50"/>
      <c r="F519" s="50"/>
      <c r="G519" s="50"/>
      <c r="H519" s="50"/>
      <c r="I519" s="50"/>
      <c r="J519" s="50" t="str">
        <f>IFERROR(__xludf.DUMMYFUNCTION("""COMPUTED_VALUE"""),"")</f>
        <v/>
      </c>
      <c r="K519" s="50" t="str">
        <f>IFERROR(__xludf.DUMMYFUNCTION("""COMPUTED_VALUE"""),"")</f>
        <v/>
      </c>
      <c r="L519" s="50" t="s">
        <v>175</v>
      </c>
      <c r="M519" s="50" t="s">
        <v>175</v>
      </c>
      <c r="N519" s="50"/>
      <c r="O519" s="50"/>
      <c r="P519" s="50"/>
      <c r="Q519" s="50"/>
      <c r="R519" s="50"/>
      <c r="S519" s="50"/>
    </row>
    <row r="520">
      <c r="A520" s="50"/>
      <c r="B520" s="50"/>
      <c r="C520" s="50"/>
      <c r="D520" s="50"/>
      <c r="E520" s="50"/>
      <c r="F520" s="50"/>
      <c r="G520" s="50"/>
      <c r="H520" s="50"/>
      <c r="I520" s="50"/>
      <c r="J520" s="50" t="str">
        <f>IFERROR(__xludf.DUMMYFUNCTION("""COMPUTED_VALUE"""),"")</f>
        <v/>
      </c>
      <c r="K520" s="50" t="str">
        <f>IFERROR(__xludf.DUMMYFUNCTION("""COMPUTED_VALUE"""),"")</f>
        <v/>
      </c>
      <c r="L520" s="50" t="s">
        <v>175</v>
      </c>
      <c r="M520" s="50" t="s">
        <v>175</v>
      </c>
      <c r="N520" s="50"/>
      <c r="O520" s="50"/>
      <c r="P520" s="50"/>
      <c r="Q520" s="50"/>
      <c r="R520" s="50"/>
      <c r="S520" s="50"/>
    </row>
    <row r="521">
      <c r="A521" s="50"/>
      <c r="B521" s="50"/>
      <c r="C521" s="50"/>
      <c r="D521" s="50"/>
      <c r="E521" s="50"/>
      <c r="F521" s="50"/>
      <c r="G521" s="50"/>
      <c r="H521" s="50"/>
      <c r="I521" s="50"/>
      <c r="J521" s="50" t="str">
        <f>IFERROR(__xludf.DUMMYFUNCTION("""COMPUTED_VALUE"""),"")</f>
        <v/>
      </c>
      <c r="K521" s="50" t="str">
        <f>IFERROR(__xludf.DUMMYFUNCTION("""COMPUTED_VALUE"""),"")</f>
        <v/>
      </c>
      <c r="L521" s="50" t="s">
        <v>175</v>
      </c>
      <c r="M521" s="50" t="s">
        <v>175</v>
      </c>
      <c r="N521" s="50"/>
      <c r="O521" s="50"/>
      <c r="P521" s="50"/>
      <c r="Q521" s="50"/>
      <c r="R521" s="50"/>
      <c r="S521" s="50"/>
    </row>
    <row r="522">
      <c r="A522" s="50"/>
      <c r="B522" s="50"/>
      <c r="C522" s="50"/>
      <c r="D522" s="50"/>
      <c r="E522" s="50"/>
      <c r="F522" s="50"/>
      <c r="G522" s="50"/>
      <c r="H522" s="50"/>
      <c r="I522" s="50"/>
      <c r="J522" s="50" t="str">
        <f>IFERROR(__xludf.DUMMYFUNCTION("""COMPUTED_VALUE"""),"")</f>
        <v/>
      </c>
      <c r="K522" s="50" t="str">
        <f>IFERROR(__xludf.DUMMYFUNCTION("""COMPUTED_VALUE"""),"")</f>
        <v/>
      </c>
      <c r="L522" s="50" t="s">
        <v>175</v>
      </c>
      <c r="M522" s="50" t="s">
        <v>175</v>
      </c>
      <c r="N522" s="50"/>
      <c r="O522" s="50"/>
      <c r="P522" s="50"/>
      <c r="Q522" s="50"/>
      <c r="R522" s="50"/>
      <c r="S522" s="50"/>
    </row>
    <row r="523">
      <c r="A523" s="50"/>
      <c r="B523" s="50"/>
      <c r="C523" s="50"/>
      <c r="D523" s="50"/>
      <c r="E523" s="50"/>
      <c r="F523" s="50"/>
      <c r="G523" s="50"/>
      <c r="H523" s="50"/>
      <c r="I523" s="50"/>
      <c r="J523" s="50" t="str">
        <f>IFERROR(__xludf.DUMMYFUNCTION("""COMPUTED_VALUE"""),"")</f>
        <v/>
      </c>
      <c r="K523" s="50" t="str">
        <f>IFERROR(__xludf.DUMMYFUNCTION("""COMPUTED_VALUE"""),"")</f>
        <v/>
      </c>
      <c r="L523" s="50" t="s">
        <v>175</v>
      </c>
      <c r="M523" s="50" t="s">
        <v>175</v>
      </c>
      <c r="N523" s="50"/>
      <c r="O523" s="50"/>
      <c r="P523" s="50"/>
      <c r="Q523" s="50"/>
      <c r="R523" s="50"/>
      <c r="S523" s="50"/>
    </row>
    <row r="524">
      <c r="A524" s="50"/>
      <c r="B524" s="50"/>
      <c r="C524" s="50"/>
      <c r="D524" s="50"/>
      <c r="E524" s="50"/>
      <c r="F524" s="50"/>
      <c r="G524" s="50"/>
      <c r="H524" s="50"/>
      <c r="I524" s="50"/>
      <c r="J524" s="50" t="str">
        <f>IFERROR(__xludf.DUMMYFUNCTION("""COMPUTED_VALUE"""),"")</f>
        <v/>
      </c>
      <c r="K524" s="50" t="str">
        <f>IFERROR(__xludf.DUMMYFUNCTION("""COMPUTED_VALUE"""),"")</f>
        <v/>
      </c>
      <c r="L524" s="50" t="s">
        <v>175</v>
      </c>
      <c r="M524" s="50" t="s">
        <v>175</v>
      </c>
      <c r="N524" s="50"/>
      <c r="O524" s="50"/>
      <c r="P524" s="50"/>
      <c r="Q524" s="50"/>
      <c r="R524" s="50"/>
      <c r="S524" s="50"/>
    </row>
    <row r="525">
      <c r="A525" s="50"/>
      <c r="B525" s="50"/>
      <c r="C525" s="50"/>
      <c r="D525" s="50"/>
      <c r="E525" s="50"/>
      <c r="F525" s="50"/>
      <c r="G525" s="50"/>
      <c r="H525" s="50"/>
      <c r="I525" s="50"/>
      <c r="J525" s="50" t="str">
        <f>IFERROR(__xludf.DUMMYFUNCTION("""COMPUTED_VALUE"""),"")</f>
        <v/>
      </c>
      <c r="K525" s="50" t="str">
        <f>IFERROR(__xludf.DUMMYFUNCTION("""COMPUTED_VALUE"""),"")</f>
        <v/>
      </c>
      <c r="L525" s="50" t="s">
        <v>175</v>
      </c>
      <c r="M525" s="50" t="s">
        <v>175</v>
      </c>
      <c r="N525" s="50"/>
      <c r="O525" s="50"/>
      <c r="P525" s="50"/>
      <c r="Q525" s="50"/>
      <c r="R525" s="50"/>
      <c r="S525" s="50"/>
    </row>
    <row r="526">
      <c r="A526" s="50"/>
      <c r="B526" s="50"/>
      <c r="C526" s="50"/>
      <c r="D526" s="50"/>
      <c r="E526" s="50"/>
      <c r="F526" s="50"/>
      <c r="G526" s="50"/>
      <c r="H526" s="50"/>
      <c r="I526" s="50"/>
      <c r="J526" s="50" t="str">
        <f>IFERROR(__xludf.DUMMYFUNCTION("""COMPUTED_VALUE"""),"")</f>
        <v/>
      </c>
      <c r="K526" s="50" t="str">
        <f>IFERROR(__xludf.DUMMYFUNCTION("""COMPUTED_VALUE"""),"")</f>
        <v/>
      </c>
      <c r="L526" s="50" t="s">
        <v>175</v>
      </c>
      <c r="M526" s="50" t="s">
        <v>175</v>
      </c>
      <c r="N526" s="50"/>
      <c r="O526" s="50"/>
      <c r="P526" s="50"/>
      <c r="Q526" s="50"/>
      <c r="R526" s="50"/>
      <c r="S526" s="50"/>
    </row>
    <row r="527">
      <c r="A527" s="50"/>
      <c r="B527" s="50"/>
      <c r="C527" s="50"/>
      <c r="D527" s="50"/>
      <c r="E527" s="50"/>
      <c r="F527" s="50"/>
      <c r="G527" s="50"/>
      <c r="H527" s="50"/>
      <c r="I527" s="50"/>
      <c r="J527" s="50" t="str">
        <f>IFERROR(__xludf.DUMMYFUNCTION("""COMPUTED_VALUE"""),"")</f>
        <v/>
      </c>
      <c r="K527" s="50" t="str">
        <f>IFERROR(__xludf.DUMMYFUNCTION("""COMPUTED_VALUE"""),"")</f>
        <v/>
      </c>
      <c r="L527" s="50" t="s">
        <v>175</v>
      </c>
      <c r="M527" s="50" t="s">
        <v>175</v>
      </c>
      <c r="N527" s="50"/>
      <c r="O527" s="50"/>
      <c r="P527" s="50"/>
      <c r="Q527" s="50"/>
      <c r="R527" s="50"/>
      <c r="S527" s="50"/>
    </row>
    <row r="528">
      <c r="A528" s="50"/>
      <c r="B528" s="50"/>
      <c r="C528" s="50"/>
      <c r="D528" s="50"/>
      <c r="E528" s="50"/>
      <c r="F528" s="50"/>
      <c r="G528" s="50"/>
      <c r="H528" s="50"/>
      <c r="I528" s="50"/>
      <c r="J528" s="50" t="str">
        <f>IFERROR(__xludf.DUMMYFUNCTION("""COMPUTED_VALUE"""),"")</f>
        <v/>
      </c>
      <c r="K528" s="50" t="str">
        <f>IFERROR(__xludf.DUMMYFUNCTION("""COMPUTED_VALUE"""),"")</f>
        <v/>
      </c>
      <c r="L528" s="50" t="s">
        <v>175</v>
      </c>
      <c r="M528" s="50" t="s">
        <v>175</v>
      </c>
      <c r="N528" s="50"/>
      <c r="O528" s="50"/>
      <c r="P528" s="50"/>
      <c r="Q528" s="50"/>
      <c r="R528" s="50"/>
      <c r="S528" s="50"/>
    </row>
    <row r="529">
      <c r="A529" s="50"/>
      <c r="B529" s="50"/>
      <c r="C529" s="50"/>
      <c r="D529" s="50"/>
      <c r="E529" s="50"/>
      <c r="F529" s="50"/>
      <c r="G529" s="50"/>
      <c r="H529" s="50"/>
      <c r="I529" s="50"/>
      <c r="J529" s="50" t="str">
        <f>IFERROR(__xludf.DUMMYFUNCTION("""COMPUTED_VALUE"""),"")</f>
        <v/>
      </c>
      <c r="K529" s="50" t="str">
        <f>IFERROR(__xludf.DUMMYFUNCTION("""COMPUTED_VALUE"""),"")</f>
        <v/>
      </c>
      <c r="L529" s="50" t="s">
        <v>175</v>
      </c>
      <c r="M529" s="50" t="s">
        <v>175</v>
      </c>
      <c r="N529" s="50"/>
      <c r="O529" s="50"/>
      <c r="P529" s="50"/>
      <c r="Q529" s="50"/>
      <c r="R529" s="50"/>
      <c r="S529" s="50"/>
    </row>
    <row r="530">
      <c r="A530" s="50"/>
      <c r="B530" s="50"/>
      <c r="C530" s="50"/>
      <c r="D530" s="50"/>
      <c r="E530" s="50"/>
      <c r="F530" s="50"/>
      <c r="G530" s="50"/>
      <c r="H530" s="50"/>
      <c r="I530" s="50"/>
      <c r="J530" s="50" t="str">
        <f>IFERROR(__xludf.DUMMYFUNCTION("""COMPUTED_VALUE"""),"")</f>
        <v/>
      </c>
      <c r="K530" s="50" t="str">
        <f>IFERROR(__xludf.DUMMYFUNCTION("""COMPUTED_VALUE"""),"")</f>
        <v/>
      </c>
      <c r="L530" s="50" t="s">
        <v>175</v>
      </c>
      <c r="M530" s="50" t="s">
        <v>175</v>
      </c>
      <c r="N530" s="50"/>
      <c r="O530" s="50"/>
      <c r="P530" s="50"/>
      <c r="Q530" s="50"/>
      <c r="R530" s="50"/>
      <c r="S530" s="50"/>
    </row>
    <row r="531">
      <c r="A531" s="50"/>
      <c r="B531" s="50"/>
      <c r="C531" s="50"/>
      <c r="D531" s="50"/>
      <c r="E531" s="50"/>
      <c r="F531" s="50"/>
      <c r="G531" s="50"/>
      <c r="H531" s="50"/>
      <c r="I531" s="50"/>
      <c r="J531" s="50" t="str">
        <f>IFERROR(__xludf.DUMMYFUNCTION("""COMPUTED_VALUE"""),"")</f>
        <v/>
      </c>
      <c r="K531" s="50" t="str">
        <f>IFERROR(__xludf.DUMMYFUNCTION("""COMPUTED_VALUE"""),"")</f>
        <v/>
      </c>
      <c r="L531" s="50" t="s">
        <v>175</v>
      </c>
      <c r="M531" s="50" t="s">
        <v>175</v>
      </c>
      <c r="N531" s="50"/>
      <c r="O531" s="50"/>
      <c r="P531" s="50"/>
      <c r="Q531" s="50"/>
      <c r="R531" s="50"/>
      <c r="S531" s="50"/>
    </row>
    <row r="532">
      <c r="A532" s="50"/>
      <c r="B532" s="50"/>
      <c r="C532" s="50"/>
      <c r="D532" s="50"/>
      <c r="E532" s="50"/>
      <c r="F532" s="50"/>
      <c r="G532" s="50"/>
      <c r="H532" s="50"/>
      <c r="I532" s="50"/>
      <c r="J532" s="50" t="str">
        <f>IFERROR(__xludf.DUMMYFUNCTION("""COMPUTED_VALUE"""),"")</f>
        <v/>
      </c>
      <c r="K532" s="50" t="str">
        <f>IFERROR(__xludf.DUMMYFUNCTION("""COMPUTED_VALUE"""),"")</f>
        <v/>
      </c>
      <c r="L532" s="50" t="s">
        <v>175</v>
      </c>
      <c r="M532" s="50" t="s">
        <v>175</v>
      </c>
      <c r="N532" s="50"/>
      <c r="O532" s="50"/>
      <c r="P532" s="50"/>
      <c r="Q532" s="50"/>
      <c r="R532" s="50"/>
      <c r="S532" s="50"/>
    </row>
    <row r="533">
      <c r="A533" s="50"/>
      <c r="B533" s="50"/>
      <c r="C533" s="50"/>
      <c r="D533" s="50"/>
      <c r="E533" s="50"/>
      <c r="F533" s="50"/>
      <c r="G533" s="50"/>
      <c r="H533" s="50"/>
      <c r="I533" s="50"/>
      <c r="J533" s="50" t="str">
        <f>IFERROR(__xludf.DUMMYFUNCTION("""COMPUTED_VALUE"""),"")</f>
        <v/>
      </c>
      <c r="K533" s="50" t="str">
        <f>IFERROR(__xludf.DUMMYFUNCTION("""COMPUTED_VALUE"""),"")</f>
        <v/>
      </c>
      <c r="L533" s="50" t="s">
        <v>175</v>
      </c>
      <c r="M533" s="50" t="s">
        <v>175</v>
      </c>
      <c r="N533" s="50"/>
      <c r="O533" s="50"/>
      <c r="P533" s="50"/>
      <c r="Q533" s="50"/>
      <c r="R533" s="50"/>
      <c r="S533" s="50"/>
    </row>
    <row r="534">
      <c r="A534" s="50"/>
      <c r="B534" s="50"/>
      <c r="C534" s="50"/>
      <c r="D534" s="50"/>
      <c r="E534" s="50"/>
      <c r="F534" s="50"/>
      <c r="G534" s="50"/>
      <c r="H534" s="50"/>
      <c r="I534" s="50"/>
      <c r="J534" s="50" t="str">
        <f>IFERROR(__xludf.DUMMYFUNCTION("""COMPUTED_VALUE"""),"")</f>
        <v/>
      </c>
      <c r="K534" s="50" t="str">
        <f>IFERROR(__xludf.DUMMYFUNCTION("""COMPUTED_VALUE"""),"")</f>
        <v/>
      </c>
      <c r="L534" s="50" t="s">
        <v>175</v>
      </c>
      <c r="M534" s="50" t="s">
        <v>175</v>
      </c>
      <c r="N534" s="50"/>
      <c r="O534" s="50"/>
      <c r="P534" s="50"/>
      <c r="Q534" s="50"/>
      <c r="R534" s="50"/>
      <c r="S534" s="50"/>
    </row>
    <row r="535">
      <c r="A535" s="50"/>
      <c r="B535" s="50"/>
      <c r="C535" s="50"/>
      <c r="D535" s="50"/>
      <c r="E535" s="50"/>
      <c r="F535" s="50"/>
      <c r="G535" s="50"/>
      <c r="H535" s="50"/>
      <c r="I535" s="50"/>
      <c r="J535" s="50" t="str">
        <f>IFERROR(__xludf.DUMMYFUNCTION("""COMPUTED_VALUE"""),"")</f>
        <v/>
      </c>
      <c r="K535" s="50" t="str">
        <f>IFERROR(__xludf.DUMMYFUNCTION("""COMPUTED_VALUE"""),"")</f>
        <v/>
      </c>
      <c r="L535" s="50" t="s">
        <v>175</v>
      </c>
      <c r="M535" s="50" t="s">
        <v>175</v>
      </c>
      <c r="N535" s="50"/>
      <c r="O535" s="50"/>
      <c r="P535" s="50"/>
      <c r="Q535" s="50"/>
      <c r="R535" s="50"/>
      <c r="S535" s="50"/>
    </row>
    <row r="536">
      <c r="A536" s="50"/>
      <c r="B536" s="50"/>
      <c r="C536" s="50"/>
      <c r="D536" s="50"/>
      <c r="E536" s="50"/>
      <c r="F536" s="50"/>
      <c r="G536" s="50"/>
      <c r="H536" s="50"/>
      <c r="I536" s="50"/>
      <c r="J536" s="50" t="str">
        <f>IFERROR(__xludf.DUMMYFUNCTION("""COMPUTED_VALUE"""),"")</f>
        <v/>
      </c>
      <c r="K536" s="50" t="str">
        <f>IFERROR(__xludf.DUMMYFUNCTION("""COMPUTED_VALUE"""),"")</f>
        <v/>
      </c>
      <c r="L536" s="50" t="s">
        <v>175</v>
      </c>
      <c r="M536" s="50" t="s">
        <v>175</v>
      </c>
      <c r="N536" s="50"/>
      <c r="O536" s="50"/>
      <c r="P536" s="50"/>
      <c r="Q536" s="50"/>
      <c r="R536" s="50"/>
      <c r="S536" s="50"/>
    </row>
    <row r="537">
      <c r="A537" s="50"/>
      <c r="B537" s="50"/>
      <c r="C537" s="50"/>
      <c r="D537" s="50"/>
      <c r="E537" s="50"/>
      <c r="F537" s="50"/>
      <c r="G537" s="50"/>
      <c r="H537" s="50"/>
      <c r="I537" s="50"/>
      <c r="J537" s="50" t="str">
        <f>IFERROR(__xludf.DUMMYFUNCTION("""COMPUTED_VALUE"""),"")</f>
        <v/>
      </c>
      <c r="K537" s="50" t="str">
        <f>IFERROR(__xludf.DUMMYFUNCTION("""COMPUTED_VALUE"""),"")</f>
        <v/>
      </c>
      <c r="L537" s="50" t="s">
        <v>175</v>
      </c>
      <c r="M537" s="50" t="s">
        <v>175</v>
      </c>
      <c r="N537" s="50"/>
      <c r="O537" s="50"/>
      <c r="P537" s="50"/>
      <c r="Q537" s="50"/>
      <c r="R537" s="50"/>
      <c r="S537" s="50"/>
    </row>
    <row r="538">
      <c r="A538" s="50"/>
      <c r="B538" s="50"/>
      <c r="C538" s="50"/>
      <c r="D538" s="50"/>
      <c r="E538" s="50"/>
      <c r="F538" s="50"/>
      <c r="G538" s="50"/>
      <c r="H538" s="50"/>
      <c r="I538" s="50"/>
      <c r="J538" s="50" t="str">
        <f>IFERROR(__xludf.DUMMYFUNCTION("""COMPUTED_VALUE"""),"")</f>
        <v/>
      </c>
      <c r="K538" s="50" t="str">
        <f>IFERROR(__xludf.DUMMYFUNCTION("""COMPUTED_VALUE"""),"")</f>
        <v/>
      </c>
      <c r="L538" s="50" t="s">
        <v>175</v>
      </c>
      <c r="M538" s="50" t="s">
        <v>175</v>
      </c>
      <c r="N538" s="50"/>
      <c r="O538" s="50"/>
      <c r="P538" s="50"/>
      <c r="Q538" s="50"/>
      <c r="R538" s="50"/>
      <c r="S538" s="50"/>
    </row>
    <row r="539">
      <c r="A539" s="50"/>
      <c r="B539" s="50"/>
      <c r="C539" s="50"/>
      <c r="D539" s="50"/>
      <c r="E539" s="50"/>
      <c r="F539" s="50"/>
      <c r="G539" s="50"/>
      <c r="H539" s="50"/>
      <c r="I539" s="50"/>
      <c r="J539" s="50" t="str">
        <f>IFERROR(__xludf.DUMMYFUNCTION("""COMPUTED_VALUE"""),"")</f>
        <v/>
      </c>
      <c r="K539" s="50" t="str">
        <f>IFERROR(__xludf.DUMMYFUNCTION("""COMPUTED_VALUE"""),"")</f>
        <v/>
      </c>
      <c r="L539" s="50" t="s">
        <v>175</v>
      </c>
      <c r="M539" s="50" t="s">
        <v>175</v>
      </c>
      <c r="N539" s="50"/>
      <c r="O539" s="50"/>
      <c r="P539" s="50"/>
      <c r="Q539" s="50"/>
      <c r="R539" s="50"/>
      <c r="S539" s="50"/>
    </row>
    <row r="540">
      <c r="A540" s="50"/>
      <c r="B540" s="50"/>
      <c r="C540" s="50"/>
      <c r="D540" s="50"/>
      <c r="E540" s="50"/>
      <c r="F540" s="50"/>
      <c r="G540" s="50"/>
      <c r="H540" s="50"/>
      <c r="I540" s="50"/>
      <c r="J540" s="50" t="str">
        <f>IFERROR(__xludf.DUMMYFUNCTION("""COMPUTED_VALUE"""),"")</f>
        <v/>
      </c>
      <c r="K540" s="50" t="str">
        <f>IFERROR(__xludf.DUMMYFUNCTION("""COMPUTED_VALUE"""),"")</f>
        <v/>
      </c>
      <c r="L540" s="50" t="s">
        <v>175</v>
      </c>
      <c r="M540" s="50" t="s">
        <v>175</v>
      </c>
      <c r="N540" s="50"/>
      <c r="O540" s="50"/>
      <c r="P540" s="50"/>
      <c r="Q540" s="50"/>
      <c r="R540" s="50"/>
      <c r="S540" s="50"/>
    </row>
    <row r="541">
      <c r="A541" s="50"/>
      <c r="B541" s="50"/>
      <c r="C541" s="50"/>
      <c r="D541" s="50"/>
      <c r="E541" s="50"/>
      <c r="F541" s="50"/>
      <c r="G541" s="50"/>
      <c r="H541" s="50"/>
      <c r="I541" s="50"/>
      <c r="J541" s="50" t="str">
        <f>IFERROR(__xludf.DUMMYFUNCTION("""COMPUTED_VALUE"""),"")</f>
        <v/>
      </c>
      <c r="K541" s="50" t="str">
        <f>IFERROR(__xludf.DUMMYFUNCTION("""COMPUTED_VALUE"""),"")</f>
        <v/>
      </c>
      <c r="L541" s="50" t="s">
        <v>175</v>
      </c>
      <c r="M541" s="50" t="s">
        <v>175</v>
      </c>
      <c r="N541" s="50"/>
      <c r="O541" s="50"/>
      <c r="P541" s="50"/>
      <c r="Q541" s="50"/>
      <c r="R541" s="50"/>
      <c r="S541" s="50"/>
    </row>
    <row r="542">
      <c r="A542" s="50"/>
      <c r="B542" s="50"/>
      <c r="C542" s="50"/>
      <c r="D542" s="50"/>
      <c r="E542" s="50"/>
      <c r="F542" s="50"/>
      <c r="G542" s="50"/>
      <c r="H542" s="50"/>
      <c r="I542" s="50"/>
      <c r="J542" s="50" t="str">
        <f>IFERROR(__xludf.DUMMYFUNCTION("""COMPUTED_VALUE"""),"")</f>
        <v/>
      </c>
      <c r="K542" s="50" t="str">
        <f>IFERROR(__xludf.DUMMYFUNCTION("""COMPUTED_VALUE"""),"")</f>
        <v/>
      </c>
      <c r="L542" s="50" t="s">
        <v>175</v>
      </c>
      <c r="M542" s="50" t="s">
        <v>175</v>
      </c>
      <c r="N542" s="50"/>
      <c r="O542" s="50"/>
      <c r="P542" s="50"/>
      <c r="Q542" s="50"/>
      <c r="R542" s="50"/>
      <c r="S542" s="50"/>
    </row>
    <row r="543">
      <c r="A543" s="50"/>
      <c r="B543" s="50"/>
      <c r="C543" s="50"/>
      <c r="D543" s="50"/>
      <c r="E543" s="50"/>
      <c r="F543" s="50"/>
      <c r="G543" s="50"/>
      <c r="H543" s="50"/>
      <c r="I543" s="50"/>
      <c r="J543" s="50" t="str">
        <f>IFERROR(__xludf.DUMMYFUNCTION("""COMPUTED_VALUE"""),"")</f>
        <v/>
      </c>
      <c r="K543" s="50" t="str">
        <f>IFERROR(__xludf.DUMMYFUNCTION("""COMPUTED_VALUE"""),"")</f>
        <v/>
      </c>
      <c r="L543" s="50" t="s">
        <v>175</v>
      </c>
      <c r="M543" s="50" t="s">
        <v>175</v>
      </c>
      <c r="N543" s="50"/>
      <c r="O543" s="50"/>
      <c r="P543" s="50"/>
      <c r="Q543" s="50"/>
      <c r="R543" s="50"/>
      <c r="S543" s="50"/>
    </row>
    <row r="544">
      <c r="A544" s="50"/>
      <c r="B544" s="50"/>
      <c r="C544" s="50"/>
      <c r="D544" s="50"/>
      <c r="E544" s="50"/>
      <c r="F544" s="50"/>
      <c r="G544" s="50"/>
      <c r="H544" s="50"/>
      <c r="I544" s="50"/>
      <c r="J544" s="50" t="str">
        <f>IFERROR(__xludf.DUMMYFUNCTION("""COMPUTED_VALUE"""),"")</f>
        <v/>
      </c>
      <c r="K544" s="50" t="str">
        <f>IFERROR(__xludf.DUMMYFUNCTION("""COMPUTED_VALUE"""),"")</f>
        <v/>
      </c>
      <c r="L544" s="50" t="s">
        <v>175</v>
      </c>
      <c r="M544" s="50" t="s">
        <v>175</v>
      </c>
      <c r="N544" s="50"/>
      <c r="O544" s="50"/>
      <c r="P544" s="50"/>
      <c r="Q544" s="50"/>
      <c r="R544" s="50"/>
      <c r="S544" s="50"/>
    </row>
    <row r="545">
      <c r="A545" s="50"/>
      <c r="B545" s="50"/>
      <c r="C545" s="50"/>
      <c r="D545" s="50"/>
      <c r="E545" s="50"/>
      <c r="F545" s="50"/>
      <c r="G545" s="50"/>
      <c r="H545" s="50"/>
      <c r="I545" s="50"/>
      <c r="J545" s="50" t="str">
        <f>IFERROR(__xludf.DUMMYFUNCTION("""COMPUTED_VALUE"""),"")</f>
        <v/>
      </c>
      <c r="K545" s="50" t="str">
        <f>IFERROR(__xludf.DUMMYFUNCTION("""COMPUTED_VALUE"""),"")</f>
        <v/>
      </c>
      <c r="L545" s="50" t="s">
        <v>175</v>
      </c>
      <c r="M545" s="50" t="s">
        <v>175</v>
      </c>
      <c r="N545" s="50"/>
      <c r="O545" s="50"/>
      <c r="P545" s="50"/>
      <c r="Q545" s="50"/>
      <c r="R545" s="50"/>
      <c r="S545" s="50"/>
    </row>
    <row r="546">
      <c r="A546" s="50"/>
      <c r="B546" s="50"/>
      <c r="C546" s="50"/>
      <c r="D546" s="50"/>
      <c r="E546" s="50"/>
      <c r="F546" s="50"/>
      <c r="G546" s="50"/>
      <c r="H546" s="50"/>
      <c r="I546" s="50"/>
      <c r="J546" s="50" t="str">
        <f>IFERROR(__xludf.DUMMYFUNCTION("""COMPUTED_VALUE"""),"")</f>
        <v/>
      </c>
      <c r="K546" s="50" t="str">
        <f>IFERROR(__xludf.DUMMYFUNCTION("""COMPUTED_VALUE"""),"")</f>
        <v/>
      </c>
      <c r="L546" s="50" t="s">
        <v>175</v>
      </c>
      <c r="M546" s="50" t="s">
        <v>175</v>
      </c>
      <c r="N546" s="50"/>
      <c r="O546" s="50"/>
      <c r="P546" s="50"/>
      <c r="Q546" s="50"/>
      <c r="R546" s="50"/>
      <c r="S546" s="50"/>
    </row>
    <row r="547">
      <c r="A547" s="50"/>
      <c r="B547" s="50"/>
      <c r="C547" s="50"/>
      <c r="D547" s="50"/>
      <c r="E547" s="50"/>
      <c r="F547" s="50"/>
      <c r="G547" s="50"/>
      <c r="H547" s="50"/>
      <c r="I547" s="50"/>
      <c r="J547" s="50" t="str">
        <f>IFERROR(__xludf.DUMMYFUNCTION("""COMPUTED_VALUE"""),"")</f>
        <v/>
      </c>
      <c r="K547" s="50" t="str">
        <f>IFERROR(__xludf.DUMMYFUNCTION("""COMPUTED_VALUE"""),"")</f>
        <v/>
      </c>
      <c r="L547" s="50" t="s">
        <v>175</v>
      </c>
      <c r="M547" s="50" t="s">
        <v>175</v>
      </c>
      <c r="N547" s="50"/>
      <c r="O547" s="50"/>
      <c r="P547" s="50"/>
      <c r="Q547" s="50"/>
      <c r="R547" s="50"/>
      <c r="S547" s="50"/>
    </row>
    <row r="548">
      <c r="A548" s="50"/>
      <c r="B548" s="50"/>
      <c r="C548" s="50"/>
      <c r="D548" s="50"/>
      <c r="E548" s="50"/>
      <c r="F548" s="50"/>
      <c r="G548" s="50"/>
      <c r="H548" s="50"/>
      <c r="I548" s="50"/>
      <c r="J548" s="50" t="str">
        <f>IFERROR(__xludf.DUMMYFUNCTION("""COMPUTED_VALUE"""),"")</f>
        <v/>
      </c>
      <c r="K548" s="50" t="str">
        <f>IFERROR(__xludf.DUMMYFUNCTION("""COMPUTED_VALUE"""),"")</f>
        <v/>
      </c>
      <c r="L548" s="50" t="s">
        <v>175</v>
      </c>
      <c r="M548" s="50" t="s">
        <v>175</v>
      </c>
      <c r="N548" s="50"/>
      <c r="O548" s="50"/>
      <c r="P548" s="50"/>
      <c r="Q548" s="50"/>
      <c r="R548" s="50"/>
      <c r="S548" s="50"/>
    </row>
    <row r="549">
      <c r="A549" s="50"/>
      <c r="B549" s="50"/>
      <c r="C549" s="50"/>
      <c r="D549" s="50"/>
      <c r="E549" s="50"/>
      <c r="F549" s="50"/>
      <c r="G549" s="50"/>
      <c r="H549" s="50"/>
      <c r="I549" s="50"/>
      <c r="J549" s="50" t="str">
        <f>IFERROR(__xludf.DUMMYFUNCTION("""COMPUTED_VALUE"""),"")</f>
        <v/>
      </c>
      <c r="K549" s="50" t="str">
        <f>IFERROR(__xludf.DUMMYFUNCTION("""COMPUTED_VALUE"""),"")</f>
        <v/>
      </c>
      <c r="L549" s="50" t="s">
        <v>175</v>
      </c>
      <c r="M549" s="50" t="s">
        <v>175</v>
      </c>
      <c r="N549" s="50"/>
      <c r="O549" s="50"/>
      <c r="P549" s="50"/>
      <c r="Q549" s="50"/>
      <c r="R549" s="50"/>
      <c r="S549" s="50"/>
    </row>
    <row r="550">
      <c r="A550" s="50"/>
      <c r="B550" s="50"/>
      <c r="C550" s="50"/>
      <c r="D550" s="50"/>
      <c r="E550" s="50"/>
      <c r="F550" s="50"/>
      <c r="G550" s="50"/>
      <c r="H550" s="50"/>
      <c r="I550" s="50"/>
      <c r="J550" s="50" t="str">
        <f>IFERROR(__xludf.DUMMYFUNCTION("""COMPUTED_VALUE"""),"")</f>
        <v/>
      </c>
      <c r="K550" s="50" t="str">
        <f>IFERROR(__xludf.DUMMYFUNCTION("""COMPUTED_VALUE"""),"")</f>
        <v/>
      </c>
      <c r="L550" s="50" t="s">
        <v>175</v>
      </c>
      <c r="M550" s="50" t="s">
        <v>175</v>
      </c>
      <c r="N550" s="50"/>
      <c r="O550" s="50"/>
      <c r="P550" s="50"/>
      <c r="Q550" s="50"/>
      <c r="R550" s="50"/>
      <c r="S550" s="50"/>
    </row>
    <row r="551">
      <c r="A551" s="50"/>
      <c r="B551" s="50"/>
      <c r="C551" s="50"/>
      <c r="D551" s="50"/>
      <c r="E551" s="50"/>
      <c r="F551" s="50"/>
      <c r="G551" s="50"/>
      <c r="H551" s="50"/>
      <c r="I551" s="50"/>
      <c r="J551" s="50" t="str">
        <f>IFERROR(__xludf.DUMMYFUNCTION("""COMPUTED_VALUE"""),"")</f>
        <v/>
      </c>
      <c r="K551" s="50" t="str">
        <f>IFERROR(__xludf.DUMMYFUNCTION("""COMPUTED_VALUE"""),"")</f>
        <v/>
      </c>
      <c r="L551" s="50" t="s">
        <v>175</v>
      </c>
      <c r="M551" s="50" t="s">
        <v>175</v>
      </c>
      <c r="N551" s="50"/>
      <c r="O551" s="50"/>
      <c r="P551" s="50"/>
      <c r="Q551" s="50"/>
      <c r="R551" s="50"/>
      <c r="S551" s="50"/>
    </row>
    <row r="552">
      <c r="A552" s="50"/>
      <c r="B552" s="50"/>
      <c r="C552" s="50"/>
      <c r="D552" s="50"/>
      <c r="E552" s="50"/>
      <c r="F552" s="50"/>
      <c r="G552" s="50"/>
      <c r="H552" s="50"/>
      <c r="I552" s="50"/>
      <c r="J552" s="50" t="str">
        <f>IFERROR(__xludf.DUMMYFUNCTION("""COMPUTED_VALUE"""),"")</f>
        <v/>
      </c>
      <c r="K552" s="50" t="str">
        <f>IFERROR(__xludf.DUMMYFUNCTION("""COMPUTED_VALUE"""),"")</f>
        <v/>
      </c>
      <c r="L552" s="50" t="s">
        <v>175</v>
      </c>
      <c r="M552" s="50" t="s">
        <v>175</v>
      </c>
      <c r="N552" s="50"/>
      <c r="O552" s="50"/>
      <c r="P552" s="50"/>
      <c r="Q552" s="50"/>
      <c r="R552" s="50"/>
      <c r="S552" s="50"/>
    </row>
    <row r="553">
      <c r="A553" s="50"/>
      <c r="B553" s="50"/>
      <c r="C553" s="50"/>
      <c r="D553" s="50"/>
      <c r="E553" s="50"/>
      <c r="F553" s="50"/>
      <c r="G553" s="50"/>
      <c r="H553" s="50"/>
      <c r="I553" s="50"/>
      <c r="J553" s="50" t="str">
        <f>IFERROR(__xludf.DUMMYFUNCTION("""COMPUTED_VALUE"""),"")</f>
        <v/>
      </c>
      <c r="K553" s="50" t="str">
        <f>IFERROR(__xludf.DUMMYFUNCTION("""COMPUTED_VALUE"""),"")</f>
        <v/>
      </c>
      <c r="L553" s="50" t="s">
        <v>175</v>
      </c>
      <c r="M553" s="50" t="s">
        <v>175</v>
      </c>
      <c r="N553" s="50"/>
      <c r="O553" s="50"/>
      <c r="P553" s="50"/>
      <c r="Q553" s="50"/>
      <c r="R553" s="50"/>
      <c r="S553" s="50"/>
    </row>
    <row r="554">
      <c r="A554" s="50"/>
      <c r="B554" s="50"/>
      <c r="C554" s="50"/>
      <c r="D554" s="50"/>
      <c r="E554" s="50"/>
      <c r="F554" s="50"/>
      <c r="G554" s="50"/>
      <c r="H554" s="50"/>
      <c r="I554" s="50"/>
      <c r="J554" s="50" t="str">
        <f>IFERROR(__xludf.DUMMYFUNCTION("""COMPUTED_VALUE"""),"")</f>
        <v/>
      </c>
      <c r="K554" s="50" t="str">
        <f>IFERROR(__xludf.DUMMYFUNCTION("""COMPUTED_VALUE"""),"")</f>
        <v/>
      </c>
      <c r="L554" s="50" t="s">
        <v>175</v>
      </c>
      <c r="M554" s="50" t="s">
        <v>175</v>
      </c>
      <c r="N554" s="50"/>
      <c r="O554" s="50"/>
      <c r="P554" s="50"/>
      <c r="Q554" s="50"/>
      <c r="R554" s="50"/>
      <c r="S554" s="50"/>
    </row>
    <row r="555">
      <c r="A555" s="50"/>
      <c r="B555" s="50"/>
      <c r="C555" s="50"/>
      <c r="D555" s="50"/>
      <c r="E555" s="50"/>
      <c r="F555" s="50"/>
      <c r="G555" s="50"/>
      <c r="H555" s="50"/>
      <c r="I555" s="50"/>
      <c r="J555" s="50" t="str">
        <f>IFERROR(__xludf.DUMMYFUNCTION("""COMPUTED_VALUE"""),"")</f>
        <v/>
      </c>
      <c r="K555" s="50" t="str">
        <f>IFERROR(__xludf.DUMMYFUNCTION("""COMPUTED_VALUE"""),"")</f>
        <v/>
      </c>
      <c r="L555" s="50" t="s">
        <v>175</v>
      </c>
      <c r="M555" s="50" t="s">
        <v>175</v>
      </c>
      <c r="N555" s="50"/>
      <c r="O555" s="50"/>
      <c r="P555" s="50"/>
      <c r="Q555" s="50"/>
      <c r="R555" s="50"/>
      <c r="S555" s="50"/>
    </row>
    <row r="556">
      <c r="A556" s="50"/>
      <c r="B556" s="50"/>
      <c r="C556" s="50"/>
      <c r="D556" s="50"/>
      <c r="E556" s="50"/>
      <c r="F556" s="50"/>
      <c r="G556" s="50"/>
      <c r="H556" s="50"/>
      <c r="I556" s="50"/>
      <c r="J556" s="50" t="str">
        <f>IFERROR(__xludf.DUMMYFUNCTION("""COMPUTED_VALUE"""),"")</f>
        <v/>
      </c>
      <c r="K556" s="50" t="str">
        <f>IFERROR(__xludf.DUMMYFUNCTION("""COMPUTED_VALUE"""),"")</f>
        <v/>
      </c>
      <c r="L556" s="50" t="s">
        <v>175</v>
      </c>
      <c r="M556" s="50" t="s">
        <v>175</v>
      </c>
      <c r="N556" s="50"/>
      <c r="O556" s="50"/>
      <c r="P556" s="50"/>
      <c r="Q556" s="50"/>
      <c r="R556" s="50"/>
      <c r="S556" s="50"/>
    </row>
    <row r="557">
      <c r="A557" s="50"/>
      <c r="B557" s="50"/>
      <c r="C557" s="50"/>
      <c r="D557" s="50"/>
      <c r="E557" s="50"/>
      <c r="F557" s="50"/>
      <c r="G557" s="50"/>
      <c r="H557" s="50"/>
      <c r="I557" s="50"/>
      <c r="J557" s="50" t="str">
        <f>IFERROR(__xludf.DUMMYFUNCTION("""COMPUTED_VALUE"""),"")</f>
        <v/>
      </c>
      <c r="K557" s="50" t="str">
        <f>IFERROR(__xludf.DUMMYFUNCTION("""COMPUTED_VALUE"""),"")</f>
        <v/>
      </c>
      <c r="L557" s="50" t="s">
        <v>175</v>
      </c>
      <c r="M557" s="50" t="s">
        <v>175</v>
      </c>
      <c r="N557" s="50"/>
      <c r="O557" s="50"/>
      <c r="P557" s="50"/>
      <c r="Q557" s="50"/>
      <c r="R557" s="50"/>
      <c r="S557" s="50"/>
    </row>
    <row r="558">
      <c r="A558" s="50"/>
      <c r="B558" s="50"/>
      <c r="C558" s="50"/>
      <c r="D558" s="50"/>
      <c r="E558" s="50"/>
      <c r="F558" s="50"/>
      <c r="G558" s="50"/>
      <c r="H558" s="50"/>
      <c r="I558" s="50"/>
      <c r="J558" s="50" t="str">
        <f>IFERROR(__xludf.DUMMYFUNCTION("""COMPUTED_VALUE"""),"")</f>
        <v/>
      </c>
      <c r="K558" s="50" t="str">
        <f>IFERROR(__xludf.DUMMYFUNCTION("""COMPUTED_VALUE"""),"")</f>
        <v/>
      </c>
      <c r="L558" s="50" t="s">
        <v>175</v>
      </c>
      <c r="M558" s="50" t="s">
        <v>175</v>
      </c>
      <c r="N558" s="50"/>
      <c r="O558" s="50"/>
      <c r="P558" s="50"/>
      <c r="Q558" s="50"/>
      <c r="R558" s="50"/>
      <c r="S558" s="50"/>
    </row>
    <row r="559">
      <c r="A559" s="50"/>
      <c r="B559" s="50"/>
      <c r="C559" s="50"/>
      <c r="D559" s="50"/>
      <c r="E559" s="50"/>
      <c r="F559" s="50"/>
      <c r="G559" s="50"/>
      <c r="H559" s="50"/>
      <c r="I559" s="50"/>
      <c r="J559" s="50" t="str">
        <f>IFERROR(__xludf.DUMMYFUNCTION("""COMPUTED_VALUE"""),"")</f>
        <v/>
      </c>
      <c r="K559" s="50" t="str">
        <f>IFERROR(__xludf.DUMMYFUNCTION("""COMPUTED_VALUE"""),"")</f>
        <v/>
      </c>
      <c r="L559" s="50" t="s">
        <v>175</v>
      </c>
      <c r="M559" s="50" t="s">
        <v>175</v>
      </c>
      <c r="N559" s="50"/>
      <c r="O559" s="50"/>
      <c r="P559" s="50"/>
      <c r="Q559" s="50"/>
      <c r="R559" s="50"/>
      <c r="S559" s="50"/>
    </row>
    <row r="560">
      <c r="A560" s="50"/>
      <c r="B560" s="50"/>
      <c r="C560" s="50"/>
      <c r="D560" s="50"/>
      <c r="E560" s="50"/>
      <c r="F560" s="50"/>
      <c r="G560" s="50"/>
      <c r="H560" s="50"/>
      <c r="I560" s="50"/>
      <c r="J560" s="50" t="str">
        <f>IFERROR(__xludf.DUMMYFUNCTION("""COMPUTED_VALUE"""),"")</f>
        <v/>
      </c>
      <c r="K560" s="50" t="str">
        <f>IFERROR(__xludf.DUMMYFUNCTION("""COMPUTED_VALUE"""),"")</f>
        <v/>
      </c>
      <c r="L560" s="50" t="s">
        <v>175</v>
      </c>
      <c r="M560" s="50" t="s">
        <v>175</v>
      </c>
      <c r="N560" s="50"/>
      <c r="O560" s="50"/>
      <c r="P560" s="50"/>
      <c r="Q560" s="50"/>
      <c r="R560" s="50"/>
      <c r="S560" s="50"/>
    </row>
    <row r="561">
      <c r="A561" s="50"/>
      <c r="B561" s="50"/>
      <c r="C561" s="50"/>
      <c r="D561" s="50"/>
      <c r="E561" s="50"/>
      <c r="F561" s="50"/>
      <c r="G561" s="50"/>
      <c r="H561" s="50"/>
      <c r="I561" s="50"/>
      <c r="J561" s="50" t="str">
        <f>IFERROR(__xludf.DUMMYFUNCTION("""COMPUTED_VALUE"""),"")</f>
        <v/>
      </c>
      <c r="K561" s="50" t="str">
        <f>IFERROR(__xludf.DUMMYFUNCTION("""COMPUTED_VALUE"""),"")</f>
        <v/>
      </c>
      <c r="L561" s="50" t="s">
        <v>175</v>
      </c>
      <c r="M561" s="50" t="s">
        <v>175</v>
      </c>
      <c r="N561" s="50"/>
      <c r="O561" s="50"/>
      <c r="P561" s="50"/>
      <c r="Q561" s="50"/>
      <c r="R561" s="50"/>
      <c r="S561" s="50"/>
    </row>
    <row r="562">
      <c r="A562" s="50"/>
      <c r="B562" s="50"/>
      <c r="C562" s="50"/>
      <c r="D562" s="50"/>
      <c r="E562" s="50"/>
      <c r="F562" s="50"/>
      <c r="G562" s="50"/>
      <c r="H562" s="50"/>
      <c r="I562" s="50"/>
      <c r="J562" s="50" t="str">
        <f>IFERROR(__xludf.DUMMYFUNCTION("""COMPUTED_VALUE"""),"")</f>
        <v/>
      </c>
      <c r="K562" s="50" t="str">
        <f>IFERROR(__xludf.DUMMYFUNCTION("""COMPUTED_VALUE"""),"")</f>
        <v/>
      </c>
      <c r="L562" s="50" t="s">
        <v>175</v>
      </c>
      <c r="M562" s="50" t="s">
        <v>175</v>
      </c>
      <c r="N562" s="50"/>
      <c r="O562" s="50"/>
      <c r="P562" s="50"/>
      <c r="Q562" s="50"/>
      <c r="R562" s="50"/>
      <c r="S562" s="50"/>
    </row>
    <row r="563">
      <c r="A563" s="50"/>
      <c r="B563" s="50"/>
      <c r="C563" s="50"/>
      <c r="D563" s="50"/>
      <c r="E563" s="50"/>
      <c r="F563" s="50"/>
      <c r="G563" s="50"/>
      <c r="H563" s="50"/>
      <c r="I563" s="50"/>
      <c r="J563" s="50" t="str">
        <f>IFERROR(__xludf.DUMMYFUNCTION("""COMPUTED_VALUE"""),"")</f>
        <v/>
      </c>
      <c r="K563" s="50" t="str">
        <f>IFERROR(__xludf.DUMMYFUNCTION("""COMPUTED_VALUE"""),"")</f>
        <v/>
      </c>
      <c r="L563" s="50" t="s">
        <v>175</v>
      </c>
      <c r="M563" s="50" t="s">
        <v>175</v>
      </c>
      <c r="N563" s="50"/>
      <c r="O563" s="50"/>
      <c r="P563" s="50"/>
      <c r="Q563" s="50"/>
      <c r="R563" s="50"/>
      <c r="S563" s="50"/>
    </row>
    <row r="564">
      <c r="A564" s="50"/>
      <c r="B564" s="50"/>
      <c r="C564" s="50"/>
      <c r="D564" s="50"/>
      <c r="E564" s="50"/>
      <c r="F564" s="50"/>
      <c r="G564" s="50"/>
      <c r="H564" s="50"/>
      <c r="I564" s="50"/>
      <c r="J564" s="50" t="str">
        <f>IFERROR(__xludf.DUMMYFUNCTION("""COMPUTED_VALUE"""),"")</f>
        <v/>
      </c>
      <c r="K564" s="50" t="str">
        <f>IFERROR(__xludf.DUMMYFUNCTION("""COMPUTED_VALUE"""),"")</f>
        <v/>
      </c>
      <c r="L564" s="50" t="s">
        <v>175</v>
      </c>
      <c r="M564" s="50" t="s">
        <v>175</v>
      </c>
      <c r="N564" s="50"/>
      <c r="O564" s="50"/>
      <c r="P564" s="50"/>
      <c r="Q564" s="50"/>
      <c r="R564" s="50"/>
      <c r="S564" s="50"/>
    </row>
    <row r="565">
      <c r="A565" s="50"/>
      <c r="B565" s="50"/>
      <c r="C565" s="50"/>
      <c r="D565" s="50"/>
      <c r="E565" s="50"/>
      <c r="F565" s="50"/>
      <c r="G565" s="50"/>
      <c r="H565" s="50"/>
      <c r="I565" s="50"/>
      <c r="J565" s="50" t="str">
        <f>IFERROR(__xludf.DUMMYFUNCTION("""COMPUTED_VALUE"""),"")</f>
        <v/>
      </c>
      <c r="K565" s="50" t="str">
        <f>IFERROR(__xludf.DUMMYFUNCTION("""COMPUTED_VALUE"""),"")</f>
        <v/>
      </c>
      <c r="L565" s="50" t="s">
        <v>175</v>
      </c>
      <c r="M565" s="50" t="s">
        <v>175</v>
      </c>
      <c r="N565" s="50"/>
      <c r="O565" s="50"/>
      <c r="P565" s="50"/>
      <c r="Q565" s="50"/>
      <c r="R565" s="50"/>
      <c r="S565" s="50"/>
    </row>
    <row r="566">
      <c r="A566" s="50"/>
      <c r="B566" s="50"/>
      <c r="C566" s="50"/>
      <c r="D566" s="50"/>
      <c r="E566" s="50"/>
      <c r="F566" s="50"/>
      <c r="G566" s="50"/>
      <c r="H566" s="50"/>
      <c r="I566" s="50"/>
      <c r="J566" s="50" t="str">
        <f>IFERROR(__xludf.DUMMYFUNCTION("""COMPUTED_VALUE"""),"")</f>
        <v/>
      </c>
      <c r="K566" s="50" t="str">
        <f>IFERROR(__xludf.DUMMYFUNCTION("""COMPUTED_VALUE"""),"")</f>
        <v/>
      </c>
      <c r="L566" s="50" t="s">
        <v>175</v>
      </c>
      <c r="M566" s="50" t="s">
        <v>175</v>
      </c>
      <c r="N566" s="50"/>
      <c r="O566" s="50"/>
      <c r="P566" s="50"/>
      <c r="Q566" s="50"/>
      <c r="R566" s="50"/>
      <c r="S566" s="50"/>
    </row>
    <row r="567">
      <c r="A567" s="50"/>
      <c r="B567" s="50"/>
      <c r="C567" s="50"/>
      <c r="D567" s="50"/>
      <c r="E567" s="50"/>
      <c r="F567" s="50"/>
      <c r="G567" s="50"/>
      <c r="H567" s="50"/>
      <c r="I567" s="50"/>
      <c r="J567" s="50" t="str">
        <f>IFERROR(__xludf.DUMMYFUNCTION("""COMPUTED_VALUE"""),"")</f>
        <v/>
      </c>
      <c r="K567" s="50" t="str">
        <f>IFERROR(__xludf.DUMMYFUNCTION("""COMPUTED_VALUE"""),"")</f>
        <v/>
      </c>
      <c r="L567" s="50" t="s">
        <v>175</v>
      </c>
      <c r="M567" s="50" t="s">
        <v>175</v>
      </c>
      <c r="N567" s="50"/>
      <c r="O567" s="50"/>
      <c r="P567" s="50"/>
      <c r="Q567" s="50"/>
      <c r="R567" s="50"/>
      <c r="S567" s="50"/>
    </row>
    <row r="568">
      <c r="A568" s="50"/>
      <c r="B568" s="50"/>
      <c r="C568" s="50"/>
      <c r="D568" s="50"/>
      <c r="E568" s="50"/>
      <c r="F568" s="50"/>
      <c r="G568" s="50"/>
      <c r="H568" s="50"/>
      <c r="I568" s="50"/>
      <c r="J568" s="50" t="str">
        <f>IFERROR(__xludf.DUMMYFUNCTION("""COMPUTED_VALUE"""),"")</f>
        <v/>
      </c>
      <c r="K568" s="50" t="str">
        <f>IFERROR(__xludf.DUMMYFUNCTION("""COMPUTED_VALUE"""),"")</f>
        <v/>
      </c>
      <c r="L568" s="50" t="s">
        <v>175</v>
      </c>
      <c r="M568" s="50" t="s">
        <v>175</v>
      </c>
      <c r="N568" s="50"/>
      <c r="O568" s="50"/>
      <c r="P568" s="50"/>
      <c r="Q568" s="50"/>
      <c r="R568" s="50"/>
      <c r="S568" s="50"/>
    </row>
    <row r="569">
      <c r="A569" s="50"/>
      <c r="B569" s="50"/>
      <c r="C569" s="50"/>
      <c r="D569" s="50"/>
      <c r="E569" s="50"/>
      <c r="F569" s="50"/>
      <c r="G569" s="50"/>
      <c r="H569" s="50"/>
      <c r="I569" s="50"/>
      <c r="J569" s="50" t="str">
        <f>IFERROR(__xludf.DUMMYFUNCTION("""COMPUTED_VALUE"""),"")</f>
        <v/>
      </c>
      <c r="K569" s="50" t="str">
        <f>IFERROR(__xludf.DUMMYFUNCTION("""COMPUTED_VALUE"""),"")</f>
        <v/>
      </c>
      <c r="L569" s="50" t="s">
        <v>175</v>
      </c>
      <c r="M569" s="50" t="s">
        <v>175</v>
      </c>
      <c r="N569" s="50"/>
      <c r="O569" s="50"/>
      <c r="P569" s="50"/>
      <c r="Q569" s="50"/>
      <c r="R569" s="50"/>
      <c r="S569" s="50"/>
    </row>
    <row r="570">
      <c r="A570" s="50"/>
      <c r="B570" s="50"/>
      <c r="C570" s="50"/>
      <c r="D570" s="50"/>
      <c r="E570" s="50"/>
      <c r="F570" s="50"/>
      <c r="G570" s="50"/>
      <c r="H570" s="50"/>
      <c r="I570" s="50"/>
      <c r="J570" s="50" t="str">
        <f>IFERROR(__xludf.DUMMYFUNCTION("""COMPUTED_VALUE"""),"")</f>
        <v/>
      </c>
      <c r="K570" s="50" t="str">
        <f>IFERROR(__xludf.DUMMYFUNCTION("""COMPUTED_VALUE"""),"")</f>
        <v/>
      </c>
      <c r="L570" s="50" t="s">
        <v>175</v>
      </c>
      <c r="M570" s="50" t="s">
        <v>175</v>
      </c>
      <c r="N570" s="50"/>
      <c r="O570" s="50"/>
      <c r="P570" s="50"/>
      <c r="Q570" s="50"/>
      <c r="R570" s="50"/>
      <c r="S570" s="50"/>
    </row>
    <row r="571">
      <c r="A571" s="50"/>
      <c r="B571" s="50"/>
      <c r="C571" s="50"/>
      <c r="D571" s="50"/>
      <c r="E571" s="50"/>
      <c r="F571" s="50"/>
      <c r="G571" s="50"/>
      <c r="H571" s="50"/>
      <c r="I571" s="50"/>
      <c r="J571" s="50" t="str">
        <f>IFERROR(__xludf.DUMMYFUNCTION("""COMPUTED_VALUE"""),"")</f>
        <v/>
      </c>
      <c r="K571" s="50" t="str">
        <f>IFERROR(__xludf.DUMMYFUNCTION("""COMPUTED_VALUE"""),"")</f>
        <v/>
      </c>
      <c r="L571" s="50" t="s">
        <v>175</v>
      </c>
      <c r="M571" s="50" t="s">
        <v>175</v>
      </c>
      <c r="N571" s="50"/>
      <c r="O571" s="50"/>
      <c r="P571" s="50"/>
      <c r="Q571" s="50"/>
      <c r="R571" s="50"/>
      <c r="S571" s="50"/>
    </row>
    <row r="572">
      <c r="A572" s="50"/>
      <c r="B572" s="50"/>
      <c r="C572" s="50"/>
      <c r="D572" s="50"/>
      <c r="E572" s="50"/>
      <c r="F572" s="50"/>
      <c r="G572" s="50"/>
      <c r="H572" s="50"/>
      <c r="I572" s="50"/>
      <c r="J572" s="50" t="str">
        <f>IFERROR(__xludf.DUMMYFUNCTION("""COMPUTED_VALUE"""),"")</f>
        <v/>
      </c>
      <c r="K572" s="50" t="str">
        <f>IFERROR(__xludf.DUMMYFUNCTION("""COMPUTED_VALUE"""),"")</f>
        <v/>
      </c>
      <c r="L572" s="50" t="s">
        <v>175</v>
      </c>
      <c r="M572" s="50" t="s">
        <v>175</v>
      </c>
      <c r="N572" s="50"/>
      <c r="O572" s="50"/>
      <c r="P572" s="50"/>
      <c r="Q572" s="50"/>
      <c r="R572" s="50"/>
      <c r="S572" s="50"/>
    </row>
    <row r="573">
      <c r="A573" s="50"/>
      <c r="B573" s="50"/>
      <c r="C573" s="50"/>
      <c r="D573" s="50"/>
      <c r="E573" s="50"/>
      <c r="F573" s="50"/>
      <c r="G573" s="50"/>
      <c r="H573" s="50"/>
      <c r="I573" s="50"/>
      <c r="J573" s="50" t="str">
        <f>IFERROR(__xludf.DUMMYFUNCTION("""COMPUTED_VALUE"""),"")</f>
        <v/>
      </c>
      <c r="K573" s="50" t="str">
        <f>IFERROR(__xludf.DUMMYFUNCTION("""COMPUTED_VALUE"""),"")</f>
        <v/>
      </c>
      <c r="L573" s="50" t="s">
        <v>175</v>
      </c>
      <c r="M573" s="50" t="s">
        <v>175</v>
      </c>
      <c r="N573" s="50"/>
      <c r="O573" s="50"/>
      <c r="P573" s="50"/>
      <c r="Q573" s="50"/>
      <c r="R573" s="50"/>
      <c r="S573" s="50"/>
    </row>
    <row r="574">
      <c r="A574" s="50"/>
      <c r="B574" s="50"/>
      <c r="C574" s="50"/>
      <c r="D574" s="50"/>
      <c r="E574" s="50"/>
      <c r="F574" s="50"/>
      <c r="G574" s="50"/>
      <c r="H574" s="50"/>
      <c r="I574" s="50"/>
      <c r="J574" s="50" t="str">
        <f>IFERROR(__xludf.DUMMYFUNCTION("""COMPUTED_VALUE"""),"")</f>
        <v/>
      </c>
      <c r="K574" s="50" t="str">
        <f>IFERROR(__xludf.DUMMYFUNCTION("""COMPUTED_VALUE"""),"")</f>
        <v/>
      </c>
      <c r="L574" s="50" t="s">
        <v>175</v>
      </c>
      <c r="M574" s="50" t="s">
        <v>175</v>
      </c>
      <c r="N574" s="50"/>
      <c r="O574" s="50"/>
      <c r="P574" s="50"/>
      <c r="Q574" s="50"/>
      <c r="R574" s="50"/>
      <c r="S574" s="50"/>
    </row>
    <row r="575">
      <c r="A575" s="50"/>
      <c r="B575" s="50"/>
      <c r="C575" s="50"/>
      <c r="D575" s="50"/>
      <c r="E575" s="50"/>
      <c r="F575" s="50"/>
      <c r="G575" s="50"/>
      <c r="H575" s="50"/>
      <c r="I575" s="50"/>
      <c r="J575" s="50" t="str">
        <f>IFERROR(__xludf.DUMMYFUNCTION("""COMPUTED_VALUE"""),"")</f>
        <v/>
      </c>
      <c r="K575" s="50" t="str">
        <f>IFERROR(__xludf.DUMMYFUNCTION("""COMPUTED_VALUE"""),"")</f>
        <v/>
      </c>
      <c r="L575" s="50" t="s">
        <v>175</v>
      </c>
      <c r="M575" s="50" t="s">
        <v>175</v>
      </c>
      <c r="N575" s="50"/>
      <c r="O575" s="50"/>
      <c r="P575" s="50"/>
      <c r="Q575" s="50"/>
      <c r="R575" s="50"/>
      <c r="S575" s="50"/>
    </row>
    <row r="576">
      <c r="A576" s="50"/>
      <c r="B576" s="50"/>
      <c r="C576" s="50"/>
      <c r="D576" s="50"/>
      <c r="E576" s="50"/>
      <c r="F576" s="50"/>
      <c r="G576" s="50"/>
      <c r="H576" s="50"/>
      <c r="I576" s="50"/>
      <c r="J576" s="50" t="str">
        <f>IFERROR(__xludf.DUMMYFUNCTION("""COMPUTED_VALUE"""),"")</f>
        <v/>
      </c>
      <c r="K576" s="50" t="str">
        <f>IFERROR(__xludf.DUMMYFUNCTION("""COMPUTED_VALUE"""),"")</f>
        <v/>
      </c>
      <c r="L576" s="50" t="s">
        <v>175</v>
      </c>
      <c r="M576" s="50" t="s">
        <v>175</v>
      </c>
      <c r="N576" s="50"/>
      <c r="O576" s="50"/>
      <c r="P576" s="50"/>
      <c r="Q576" s="50"/>
      <c r="R576" s="50"/>
      <c r="S576" s="50"/>
    </row>
    <row r="577">
      <c r="A577" s="50"/>
      <c r="B577" s="50"/>
      <c r="C577" s="50"/>
      <c r="D577" s="50"/>
      <c r="E577" s="50"/>
      <c r="F577" s="50"/>
      <c r="G577" s="50"/>
      <c r="H577" s="50"/>
      <c r="I577" s="50"/>
      <c r="J577" s="50" t="str">
        <f>IFERROR(__xludf.DUMMYFUNCTION("""COMPUTED_VALUE"""),"")</f>
        <v/>
      </c>
      <c r="K577" s="50" t="str">
        <f>IFERROR(__xludf.DUMMYFUNCTION("""COMPUTED_VALUE"""),"")</f>
        <v/>
      </c>
      <c r="L577" s="50" t="s">
        <v>175</v>
      </c>
      <c r="M577" s="50" t="s">
        <v>175</v>
      </c>
      <c r="N577" s="50"/>
      <c r="O577" s="50"/>
      <c r="P577" s="50"/>
      <c r="Q577" s="50"/>
      <c r="R577" s="50"/>
      <c r="S577" s="50"/>
    </row>
    <row r="578">
      <c r="A578" s="50"/>
      <c r="B578" s="50"/>
      <c r="C578" s="50"/>
      <c r="D578" s="50"/>
      <c r="E578" s="50"/>
      <c r="F578" s="50"/>
      <c r="G578" s="50"/>
      <c r="H578" s="50"/>
      <c r="I578" s="50"/>
      <c r="J578" s="50" t="str">
        <f>IFERROR(__xludf.DUMMYFUNCTION("""COMPUTED_VALUE"""),"")</f>
        <v/>
      </c>
      <c r="K578" s="50" t="str">
        <f>IFERROR(__xludf.DUMMYFUNCTION("""COMPUTED_VALUE"""),"")</f>
        <v/>
      </c>
      <c r="L578" s="50" t="s">
        <v>175</v>
      </c>
      <c r="M578" s="50" t="s">
        <v>175</v>
      </c>
      <c r="N578" s="50"/>
      <c r="O578" s="50"/>
      <c r="P578" s="50"/>
      <c r="Q578" s="50"/>
      <c r="R578" s="50"/>
      <c r="S578" s="50"/>
    </row>
    <row r="579">
      <c r="A579" s="50"/>
      <c r="B579" s="50"/>
      <c r="C579" s="50"/>
      <c r="D579" s="50"/>
      <c r="E579" s="50"/>
      <c r="F579" s="50"/>
      <c r="G579" s="50"/>
      <c r="H579" s="50"/>
      <c r="I579" s="50"/>
      <c r="J579" s="50" t="str">
        <f>IFERROR(__xludf.DUMMYFUNCTION("""COMPUTED_VALUE"""),"")</f>
        <v/>
      </c>
      <c r="K579" s="50" t="str">
        <f>IFERROR(__xludf.DUMMYFUNCTION("""COMPUTED_VALUE"""),"")</f>
        <v/>
      </c>
      <c r="L579" s="50" t="s">
        <v>175</v>
      </c>
      <c r="M579" s="50" t="s">
        <v>175</v>
      </c>
      <c r="N579" s="50"/>
      <c r="O579" s="50"/>
      <c r="P579" s="50"/>
      <c r="Q579" s="50"/>
      <c r="R579" s="50"/>
      <c r="S579" s="50"/>
    </row>
    <row r="580">
      <c r="A580" s="50"/>
      <c r="B580" s="50"/>
      <c r="C580" s="50"/>
      <c r="D580" s="50"/>
      <c r="E580" s="50"/>
      <c r="F580" s="50"/>
      <c r="G580" s="50"/>
      <c r="H580" s="50"/>
      <c r="I580" s="50"/>
      <c r="J580" s="50" t="str">
        <f>IFERROR(__xludf.DUMMYFUNCTION("""COMPUTED_VALUE"""),"")</f>
        <v/>
      </c>
      <c r="K580" s="50" t="str">
        <f>IFERROR(__xludf.DUMMYFUNCTION("""COMPUTED_VALUE"""),"")</f>
        <v/>
      </c>
      <c r="L580" s="50" t="s">
        <v>175</v>
      </c>
      <c r="M580" s="50" t="s">
        <v>175</v>
      </c>
      <c r="N580" s="50"/>
      <c r="O580" s="50"/>
      <c r="P580" s="50"/>
      <c r="Q580" s="50"/>
      <c r="R580" s="50"/>
      <c r="S580" s="50"/>
    </row>
    <row r="581">
      <c r="A581" s="50"/>
      <c r="B581" s="50"/>
      <c r="C581" s="50"/>
      <c r="D581" s="50"/>
      <c r="E581" s="50"/>
      <c r="F581" s="50"/>
      <c r="G581" s="50"/>
      <c r="H581" s="50"/>
      <c r="I581" s="50"/>
      <c r="J581" s="50" t="str">
        <f>IFERROR(__xludf.DUMMYFUNCTION("""COMPUTED_VALUE"""),"")</f>
        <v/>
      </c>
      <c r="K581" s="50" t="str">
        <f>IFERROR(__xludf.DUMMYFUNCTION("""COMPUTED_VALUE"""),"")</f>
        <v/>
      </c>
      <c r="L581" s="50" t="s">
        <v>175</v>
      </c>
      <c r="M581" s="50" t="s">
        <v>175</v>
      </c>
      <c r="N581" s="50"/>
      <c r="O581" s="50"/>
      <c r="P581" s="50"/>
      <c r="Q581" s="50"/>
      <c r="R581" s="50"/>
      <c r="S581" s="50"/>
    </row>
    <row r="582">
      <c r="A582" s="50"/>
      <c r="B582" s="50"/>
      <c r="C582" s="50"/>
      <c r="D582" s="50"/>
      <c r="E582" s="50"/>
      <c r="F582" s="50"/>
      <c r="G582" s="50"/>
      <c r="H582" s="50"/>
      <c r="I582" s="50"/>
      <c r="J582" s="50" t="str">
        <f>IFERROR(__xludf.DUMMYFUNCTION("""COMPUTED_VALUE"""),"")</f>
        <v/>
      </c>
      <c r="K582" s="50" t="str">
        <f>IFERROR(__xludf.DUMMYFUNCTION("""COMPUTED_VALUE"""),"")</f>
        <v/>
      </c>
      <c r="L582" s="50" t="s">
        <v>175</v>
      </c>
      <c r="M582" s="50" t="s">
        <v>175</v>
      </c>
      <c r="N582" s="50"/>
      <c r="O582" s="50"/>
      <c r="P582" s="50"/>
      <c r="Q582" s="50"/>
      <c r="R582" s="50"/>
      <c r="S582" s="50"/>
    </row>
    <row r="583">
      <c r="A583" s="50"/>
      <c r="B583" s="50"/>
      <c r="C583" s="50"/>
      <c r="D583" s="50"/>
      <c r="E583" s="50"/>
      <c r="F583" s="50"/>
      <c r="G583" s="50"/>
      <c r="H583" s="50"/>
      <c r="I583" s="50"/>
      <c r="J583" s="50" t="str">
        <f>IFERROR(__xludf.DUMMYFUNCTION("""COMPUTED_VALUE"""),"")</f>
        <v/>
      </c>
      <c r="K583" s="50" t="str">
        <f>IFERROR(__xludf.DUMMYFUNCTION("""COMPUTED_VALUE"""),"")</f>
        <v/>
      </c>
      <c r="L583" s="50" t="s">
        <v>175</v>
      </c>
      <c r="M583" s="50" t="s">
        <v>175</v>
      </c>
      <c r="N583" s="50"/>
      <c r="O583" s="50"/>
      <c r="P583" s="50"/>
      <c r="Q583" s="50"/>
      <c r="R583" s="50"/>
      <c r="S583" s="50"/>
    </row>
    <row r="584">
      <c r="A584" s="50"/>
      <c r="B584" s="50"/>
      <c r="C584" s="50"/>
      <c r="D584" s="50"/>
      <c r="E584" s="50"/>
      <c r="F584" s="50"/>
      <c r="G584" s="50"/>
      <c r="H584" s="50"/>
      <c r="I584" s="50"/>
      <c r="J584" s="50" t="str">
        <f>IFERROR(__xludf.DUMMYFUNCTION("""COMPUTED_VALUE"""),"")</f>
        <v/>
      </c>
      <c r="K584" s="50" t="str">
        <f>IFERROR(__xludf.DUMMYFUNCTION("""COMPUTED_VALUE"""),"")</f>
        <v/>
      </c>
      <c r="L584" s="50" t="s">
        <v>175</v>
      </c>
      <c r="M584" s="50" t="s">
        <v>175</v>
      </c>
      <c r="N584" s="50"/>
      <c r="O584" s="50"/>
      <c r="P584" s="50"/>
      <c r="Q584" s="50"/>
      <c r="R584" s="50"/>
      <c r="S584" s="50"/>
    </row>
    <row r="585">
      <c r="A585" s="50"/>
      <c r="B585" s="50"/>
      <c r="C585" s="50"/>
      <c r="D585" s="50"/>
      <c r="E585" s="50"/>
      <c r="F585" s="50"/>
      <c r="G585" s="50"/>
      <c r="H585" s="50"/>
      <c r="I585" s="50"/>
      <c r="J585" s="50" t="str">
        <f>IFERROR(__xludf.DUMMYFUNCTION("""COMPUTED_VALUE"""),"")</f>
        <v/>
      </c>
      <c r="K585" s="50" t="str">
        <f>IFERROR(__xludf.DUMMYFUNCTION("""COMPUTED_VALUE"""),"")</f>
        <v/>
      </c>
      <c r="L585" s="50" t="s">
        <v>175</v>
      </c>
      <c r="M585" s="50" t="s">
        <v>175</v>
      </c>
      <c r="N585" s="50"/>
      <c r="O585" s="50"/>
      <c r="P585" s="50"/>
      <c r="Q585" s="50"/>
      <c r="R585" s="50"/>
      <c r="S585" s="50"/>
    </row>
    <row r="586">
      <c r="A586" s="50"/>
      <c r="B586" s="50"/>
      <c r="C586" s="50"/>
      <c r="D586" s="50"/>
      <c r="E586" s="50"/>
      <c r="F586" s="50"/>
      <c r="G586" s="50"/>
      <c r="H586" s="50"/>
      <c r="I586" s="50"/>
      <c r="J586" s="50" t="str">
        <f>IFERROR(__xludf.DUMMYFUNCTION("""COMPUTED_VALUE"""),"")</f>
        <v/>
      </c>
      <c r="K586" s="50" t="str">
        <f>IFERROR(__xludf.DUMMYFUNCTION("""COMPUTED_VALUE"""),"")</f>
        <v/>
      </c>
      <c r="L586" s="50" t="s">
        <v>175</v>
      </c>
      <c r="M586" s="50" t="s">
        <v>175</v>
      </c>
      <c r="N586" s="50"/>
      <c r="O586" s="50"/>
      <c r="P586" s="50"/>
      <c r="Q586" s="50"/>
      <c r="R586" s="50"/>
      <c r="S586" s="50"/>
    </row>
  </sheetData>
  <conditionalFormatting sqref="A2:B586">
    <cfRule type="expression" dxfId="9" priority="1">
      <formula>$H2:$H586=0</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hidden="1" min="1" max="1" width="7.13"/>
    <col customWidth="1" min="2" max="2" width="14.63"/>
    <col customWidth="1" hidden="1" min="3" max="9" width="8.38"/>
    <col customWidth="1" min="10" max="40" width="8.38"/>
    <col customWidth="1" hidden="1" min="41" max="44" width="8.38"/>
  </cols>
  <sheetData>
    <row r="1">
      <c r="A1" s="11" t="s">
        <v>16</v>
      </c>
      <c r="B1" s="11" t="s">
        <v>16</v>
      </c>
      <c r="C1" s="14">
        <v>0.25</v>
      </c>
      <c r="D1" s="14">
        <v>0.2708333333333333</v>
      </c>
      <c r="E1" s="14">
        <v>0.2916666666666667</v>
      </c>
      <c r="F1" s="14">
        <v>0.3125</v>
      </c>
      <c r="G1" s="14">
        <v>0.3333333333333333</v>
      </c>
      <c r="H1" s="14">
        <v>0.3541666666666667</v>
      </c>
      <c r="I1" s="14">
        <v>0.375</v>
      </c>
      <c r="J1" s="14">
        <v>0.3958333333333333</v>
      </c>
      <c r="K1" s="14">
        <v>0.4166666666666667</v>
      </c>
      <c r="L1" s="14">
        <v>0.4375</v>
      </c>
      <c r="M1" s="14">
        <v>0.4583333333333333</v>
      </c>
      <c r="N1" s="14">
        <v>0.4791666666666667</v>
      </c>
      <c r="O1" s="14">
        <v>0.5</v>
      </c>
      <c r="P1" s="14">
        <v>0.5208333333333334</v>
      </c>
      <c r="Q1" s="14">
        <v>0.5416666666666666</v>
      </c>
      <c r="R1" s="14">
        <v>0.5625</v>
      </c>
      <c r="S1" s="14">
        <v>0.5833333333333334</v>
      </c>
      <c r="T1" s="14">
        <v>0.6041666666666666</v>
      </c>
      <c r="U1" s="14">
        <v>0.625</v>
      </c>
      <c r="V1" s="14">
        <v>0.6458333333333334</v>
      </c>
      <c r="W1" s="14">
        <v>0.6666666666666666</v>
      </c>
      <c r="X1" s="14">
        <v>0.6875</v>
      </c>
      <c r="Y1" s="14">
        <v>0.7083333333333334</v>
      </c>
      <c r="Z1" s="14">
        <v>0.7291666666666666</v>
      </c>
      <c r="AA1" s="14">
        <v>0.75</v>
      </c>
      <c r="AB1" s="14">
        <v>0.7708333333333334</v>
      </c>
      <c r="AC1" s="14">
        <v>0.7916666666666666</v>
      </c>
      <c r="AD1" s="14">
        <v>0.8125</v>
      </c>
      <c r="AE1" s="14">
        <v>0.8333333333333334</v>
      </c>
      <c r="AF1" s="14">
        <v>0.8541666666666666</v>
      </c>
      <c r="AG1" s="14">
        <v>0.875</v>
      </c>
      <c r="AH1" s="14">
        <v>0.8958333333333334</v>
      </c>
      <c r="AI1" s="14">
        <v>0.9166666666666666</v>
      </c>
      <c r="AJ1" s="14">
        <v>0.9375</v>
      </c>
      <c r="AK1" s="14">
        <v>0.9583333333333334</v>
      </c>
      <c r="AL1" s="14">
        <v>0.9791666666666666</v>
      </c>
      <c r="AM1" s="14">
        <v>0.0</v>
      </c>
      <c r="AN1" s="14">
        <v>0.020833333333333332</v>
      </c>
      <c r="AO1" s="14">
        <v>0.041666666666666664</v>
      </c>
      <c r="AP1" s="14">
        <v>0.0625</v>
      </c>
      <c r="AQ1" s="14">
        <v>0.08333333333333333</v>
      </c>
      <c r="AR1" s="14">
        <v>0.10416666666666667</v>
      </c>
    </row>
    <row r="2">
      <c r="A2" s="26">
        <v>1.0</v>
      </c>
      <c r="B2" s="26" t="s">
        <v>58</v>
      </c>
      <c r="M2" s="29" t="s">
        <v>60</v>
      </c>
      <c r="T2" s="29" t="s">
        <v>62</v>
      </c>
      <c r="AB2" s="29" t="s">
        <v>63</v>
      </c>
    </row>
    <row r="3">
      <c r="A3" s="26">
        <v>1.0</v>
      </c>
      <c r="B3" s="26" t="s">
        <v>66</v>
      </c>
      <c r="T3" s="29" t="s">
        <v>67</v>
      </c>
    </row>
    <row r="4">
      <c r="A4" s="26">
        <v>1.0</v>
      </c>
      <c r="B4" s="26" t="s">
        <v>70</v>
      </c>
      <c r="R4" s="29" t="s">
        <v>71</v>
      </c>
    </row>
    <row r="5">
      <c r="A5" s="26">
        <v>2.0</v>
      </c>
      <c r="B5" s="26" t="s">
        <v>74</v>
      </c>
      <c r="M5" s="29" t="s">
        <v>75</v>
      </c>
      <c r="U5" s="29" t="s">
        <v>77</v>
      </c>
      <c r="AC5" s="41" t="s">
        <v>79</v>
      </c>
    </row>
    <row r="6">
      <c r="A6" s="26">
        <v>3.0</v>
      </c>
      <c r="B6" s="26" t="s">
        <v>82</v>
      </c>
      <c r="M6" s="29" t="s">
        <v>83</v>
      </c>
      <c r="T6" s="29" t="s">
        <v>85</v>
      </c>
      <c r="AA6" s="29" t="s">
        <v>86</v>
      </c>
      <c r="AH6" s="48" t="s">
        <v>87</v>
      </c>
    </row>
    <row r="7">
      <c r="A7" s="26">
        <v>4.0</v>
      </c>
      <c r="B7" s="26" t="s">
        <v>88</v>
      </c>
      <c r="M7" s="29" t="s">
        <v>89</v>
      </c>
      <c r="T7" s="29" t="s">
        <v>90</v>
      </c>
      <c r="AA7" s="29" t="s">
        <v>91</v>
      </c>
    </row>
    <row r="8">
      <c r="A8" s="26">
        <v>4.0</v>
      </c>
      <c r="B8" s="26" t="s">
        <v>88</v>
      </c>
      <c r="AG8" s="51" t="s">
        <v>92</v>
      </c>
    </row>
    <row r="9">
      <c r="A9" s="26">
        <v>6.0</v>
      </c>
      <c r="B9" s="26" t="s">
        <v>93</v>
      </c>
      <c r="Q9" s="41" t="s">
        <v>94</v>
      </c>
      <c r="X9" s="41" t="s">
        <v>95</v>
      </c>
      <c r="AE9" s="41" t="s">
        <v>96</v>
      </c>
    </row>
    <row r="10">
      <c r="A10" s="26">
        <v>7.0</v>
      </c>
      <c r="B10" s="26" t="s">
        <v>97</v>
      </c>
      <c r="M10" s="29" t="s">
        <v>98</v>
      </c>
      <c r="T10" s="29" t="s">
        <v>99</v>
      </c>
      <c r="AC10" s="29" t="s">
        <v>100</v>
      </c>
    </row>
    <row r="11">
      <c r="A11" s="26">
        <v>7.0</v>
      </c>
      <c r="B11" s="26" t="s">
        <v>101</v>
      </c>
      <c r="M11" s="29" t="s">
        <v>102</v>
      </c>
      <c r="T11" s="29" t="s">
        <v>104</v>
      </c>
    </row>
    <row r="12">
      <c r="A12" s="26">
        <v>7.0</v>
      </c>
      <c r="B12" s="26" t="s">
        <v>105</v>
      </c>
      <c r="K12" s="51" t="s">
        <v>106</v>
      </c>
      <c r="R12" s="41" t="s">
        <v>107</v>
      </c>
      <c r="X12" s="29" t="s">
        <v>108</v>
      </c>
      <c r="AE12" s="29" t="s">
        <v>110</v>
      </c>
    </row>
    <row r="13">
      <c r="A13" s="26">
        <v>7.0</v>
      </c>
      <c r="B13" s="26" t="s">
        <v>111</v>
      </c>
      <c r="M13" s="29" t="s">
        <v>112</v>
      </c>
      <c r="U13" s="29" t="s">
        <v>113</v>
      </c>
      <c r="AB13" s="29" t="s">
        <v>114</v>
      </c>
    </row>
    <row r="14">
      <c r="A14" s="26">
        <v>8.0</v>
      </c>
      <c r="B14" s="26" t="s">
        <v>115</v>
      </c>
      <c r="M14" s="29" t="s">
        <v>117</v>
      </c>
      <c r="T14" s="29" t="s">
        <v>118</v>
      </c>
    </row>
    <row r="15">
      <c r="A15" s="26">
        <v>8.0</v>
      </c>
      <c r="B15" s="26" t="s">
        <v>119</v>
      </c>
      <c r="U15" s="51" t="s">
        <v>121</v>
      </c>
      <c r="AB15" s="29" t="s">
        <v>122</v>
      </c>
    </row>
    <row r="16">
      <c r="A16" s="26">
        <v>8.0</v>
      </c>
      <c r="B16" s="26" t="s">
        <v>124</v>
      </c>
      <c r="AE16" s="51" t="s">
        <v>125</v>
      </c>
    </row>
    <row r="17">
      <c r="A17" s="26">
        <v>9.0</v>
      </c>
      <c r="B17" s="26" t="s">
        <v>126</v>
      </c>
      <c r="M17" s="51" t="s">
        <v>127</v>
      </c>
      <c r="T17" s="51" t="s">
        <v>128</v>
      </c>
      <c r="AA17" s="51" t="s">
        <v>130</v>
      </c>
      <c r="AH17" s="51" t="s">
        <v>132</v>
      </c>
    </row>
    <row r="18">
      <c r="A18" s="26">
        <v>10.0</v>
      </c>
      <c r="B18" s="26" t="s">
        <v>133</v>
      </c>
      <c r="M18" s="29" t="s">
        <v>134</v>
      </c>
      <c r="T18" s="51" t="s">
        <v>135</v>
      </c>
    </row>
    <row r="19">
      <c r="A19" s="26">
        <v>10.0</v>
      </c>
      <c r="B19" s="26" t="s">
        <v>133</v>
      </c>
      <c r="O19" s="51" t="s">
        <v>136</v>
      </c>
      <c r="Y19" s="51" t="s">
        <v>137</v>
      </c>
    </row>
    <row r="20">
      <c r="A20" s="26">
        <v>10.0</v>
      </c>
      <c r="B20" s="26" t="s">
        <v>133</v>
      </c>
      <c r="Q20" s="51" t="s">
        <v>139</v>
      </c>
    </row>
    <row r="21">
      <c r="A21" s="26">
        <v>10.0</v>
      </c>
      <c r="B21" s="26" t="s">
        <v>133</v>
      </c>
      <c r="Q21" s="29" t="s">
        <v>140</v>
      </c>
    </row>
    <row r="22">
      <c r="A22" s="26">
        <v>10.0</v>
      </c>
      <c r="B22" s="26" t="s">
        <v>133</v>
      </c>
      <c r="Q22" s="51" t="s">
        <v>142</v>
      </c>
    </row>
    <row r="23">
      <c r="A23" s="26">
        <v>10.0</v>
      </c>
      <c r="B23" s="26" t="s">
        <v>133</v>
      </c>
      <c r="Q23" s="51" t="s">
        <v>143</v>
      </c>
    </row>
    <row r="24">
      <c r="A24" s="26">
        <v>10.0</v>
      </c>
      <c r="B24" s="26" t="s">
        <v>133</v>
      </c>
      <c r="R24" s="51" t="s">
        <v>145</v>
      </c>
    </row>
    <row r="25">
      <c r="A25" s="26">
        <v>10.0</v>
      </c>
      <c r="B25" s="26" t="s">
        <v>133</v>
      </c>
      <c r="T25" s="51" t="s">
        <v>146</v>
      </c>
    </row>
    <row r="26">
      <c r="A26" s="26">
        <v>10.0</v>
      </c>
      <c r="B26" s="26" t="s">
        <v>133</v>
      </c>
      <c r="U26" s="51" t="s">
        <v>147</v>
      </c>
    </row>
    <row r="27">
      <c r="A27" s="26">
        <v>10.0</v>
      </c>
      <c r="B27" s="26" t="s">
        <v>149</v>
      </c>
      <c r="T27" s="51" t="s">
        <v>150</v>
      </c>
    </row>
    <row r="28">
      <c r="A28" s="26">
        <v>10.0</v>
      </c>
      <c r="B28" s="26" t="s">
        <v>149</v>
      </c>
      <c r="W28" s="51" t="s">
        <v>151</v>
      </c>
    </row>
    <row r="29">
      <c r="A29" s="26">
        <v>99.0</v>
      </c>
      <c r="B29" s="26" t="s">
        <v>152</v>
      </c>
      <c r="AI29" s="51" t="s">
        <v>153</v>
      </c>
    </row>
    <row r="30">
      <c r="A30" s="66">
        <v>999.0</v>
      </c>
      <c r="B30" s="26" t="s">
        <v>156</v>
      </c>
      <c r="T30" s="51" t="s">
        <v>157</v>
      </c>
    </row>
    <row r="31">
      <c r="A31" s="66">
        <v>999.0</v>
      </c>
      <c r="B31" s="26" t="s">
        <v>159</v>
      </c>
      <c r="T31" s="51" t="s">
        <v>160</v>
      </c>
    </row>
    <row r="32">
      <c r="A32" s="66">
        <v>999.0</v>
      </c>
      <c r="B32" s="26" t="s">
        <v>163</v>
      </c>
      <c r="M32" s="29" t="s">
        <v>164</v>
      </c>
    </row>
    <row r="33">
      <c r="A33" s="66">
        <v>999.0</v>
      </c>
      <c r="B33" s="26" t="s">
        <v>163</v>
      </c>
      <c r="M33" s="29" t="s">
        <v>165</v>
      </c>
    </row>
    <row r="34">
      <c r="A34" s="66">
        <v>999.0</v>
      </c>
      <c r="B34" s="26" t="s">
        <v>163</v>
      </c>
      <c r="M34" s="29" t="s">
        <v>167</v>
      </c>
    </row>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sheetData>
  <mergeCells count="59">
    <mergeCell ref="M18:R18"/>
    <mergeCell ref="T18:Y18"/>
    <mergeCell ref="O19:T19"/>
    <mergeCell ref="Y19:AD19"/>
    <mergeCell ref="Q20:V20"/>
    <mergeCell ref="Q21:V21"/>
    <mergeCell ref="Q22:V22"/>
    <mergeCell ref="T30:Y30"/>
    <mergeCell ref="T31:Y31"/>
    <mergeCell ref="M32:R32"/>
    <mergeCell ref="M33:R33"/>
    <mergeCell ref="M34:R34"/>
    <mergeCell ref="Q23:V23"/>
    <mergeCell ref="R24:W24"/>
    <mergeCell ref="T25:Y25"/>
    <mergeCell ref="U26:Z26"/>
    <mergeCell ref="T27:Y27"/>
    <mergeCell ref="W28:AB28"/>
    <mergeCell ref="AI29:AN29"/>
    <mergeCell ref="M2:R2"/>
    <mergeCell ref="T2:Y2"/>
    <mergeCell ref="AB2:AG2"/>
    <mergeCell ref="T3:Y3"/>
    <mergeCell ref="R4:W4"/>
    <mergeCell ref="U5:Z5"/>
    <mergeCell ref="AC5:AH5"/>
    <mergeCell ref="AH6:AM6"/>
    <mergeCell ref="AG8:AL8"/>
    <mergeCell ref="M5:R5"/>
    <mergeCell ref="M6:R6"/>
    <mergeCell ref="T6:Y6"/>
    <mergeCell ref="AA6:AF6"/>
    <mergeCell ref="M7:R7"/>
    <mergeCell ref="T7:Y7"/>
    <mergeCell ref="AA7:AF7"/>
    <mergeCell ref="Q9:V9"/>
    <mergeCell ref="X9:AC9"/>
    <mergeCell ref="AE9:AJ9"/>
    <mergeCell ref="M10:R10"/>
    <mergeCell ref="T10:Y10"/>
    <mergeCell ref="AC10:AH10"/>
    <mergeCell ref="T11:Y11"/>
    <mergeCell ref="M11:R11"/>
    <mergeCell ref="K12:P12"/>
    <mergeCell ref="R12:W12"/>
    <mergeCell ref="X12:AC12"/>
    <mergeCell ref="AE12:AJ12"/>
    <mergeCell ref="U13:Z13"/>
    <mergeCell ref="AB13:AG13"/>
    <mergeCell ref="T17:Y17"/>
    <mergeCell ref="AA17:AF17"/>
    <mergeCell ref="AH17:AM17"/>
    <mergeCell ref="M13:R13"/>
    <mergeCell ref="M14:R14"/>
    <mergeCell ref="T14:Y14"/>
    <mergeCell ref="U15:Z15"/>
    <mergeCell ref="AB15:AG15"/>
    <mergeCell ref="AE16:AJ16"/>
    <mergeCell ref="M17:R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6" width="5.5"/>
    <col customWidth="1" min="27" max="33" width="5.5"/>
    <col customWidth="1" hidden="1" min="34" max="48" width="5.5"/>
  </cols>
  <sheetData>
    <row r="1">
      <c r="A1" s="11" t="s">
        <v>16</v>
      </c>
      <c r="B1" s="11" t="s">
        <v>11</v>
      </c>
      <c r="C1" s="14">
        <v>0.25</v>
      </c>
      <c r="D1" s="14">
        <v>0.2708333333333333</v>
      </c>
      <c r="E1" s="14">
        <v>0.2916666666666667</v>
      </c>
      <c r="F1" s="14">
        <v>0.3125</v>
      </c>
      <c r="G1" s="14">
        <v>0.3333333333333333</v>
      </c>
      <c r="H1" s="14">
        <v>0.3541666666666667</v>
      </c>
      <c r="I1" s="14">
        <v>0.375</v>
      </c>
      <c r="J1" s="14">
        <v>0.3958333333333333</v>
      </c>
      <c r="K1" s="14">
        <v>0.4166666666666667</v>
      </c>
      <c r="L1" s="14">
        <v>0.4375</v>
      </c>
      <c r="M1" s="14">
        <v>0.4583333333333333</v>
      </c>
      <c r="N1" s="14">
        <v>0.4791666666666667</v>
      </c>
      <c r="O1" s="14">
        <v>0.5</v>
      </c>
      <c r="P1" s="14">
        <v>0.5208333333333334</v>
      </c>
      <c r="Q1" s="14">
        <v>0.5416666666666666</v>
      </c>
      <c r="R1" s="14">
        <v>0.5625</v>
      </c>
      <c r="S1" s="14">
        <v>0.5833333333333334</v>
      </c>
      <c r="T1" s="14">
        <v>0.6041666666666666</v>
      </c>
      <c r="U1" s="14">
        <v>0.625</v>
      </c>
      <c r="V1" s="14">
        <v>0.6458333333333334</v>
      </c>
      <c r="W1" s="14">
        <v>0.6666666666666666</v>
      </c>
      <c r="X1" s="14">
        <v>0.6875</v>
      </c>
      <c r="Y1" s="14">
        <v>0.7083333333333334</v>
      </c>
      <c r="Z1" s="14">
        <v>0.7291666666666666</v>
      </c>
      <c r="AA1" s="14">
        <v>0.75</v>
      </c>
      <c r="AB1" s="14">
        <v>0.7708333333333334</v>
      </c>
      <c r="AC1" s="14">
        <v>0.7916666666666666</v>
      </c>
      <c r="AD1" s="14">
        <v>0.8125</v>
      </c>
      <c r="AE1" s="14">
        <v>0.8333333333333334</v>
      </c>
      <c r="AF1" s="14">
        <v>0.8541666666666666</v>
      </c>
      <c r="AG1" s="14">
        <v>0.875</v>
      </c>
      <c r="AH1" s="14">
        <v>0.8958333333333334</v>
      </c>
      <c r="AI1" s="14">
        <v>0.9166666666666666</v>
      </c>
      <c r="AJ1" s="14">
        <v>0.9375</v>
      </c>
      <c r="AK1" s="14">
        <v>0.9583333333333334</v>
      </c>
      <c r="AL1" s="14">
        <v>0.9791666666666666</v>
      </c>
      <c r="AM1" s="14">
        <v>0.0</v>
      </c>
      <c r="AN1" s="14">
        <v>0.020833333333333332</v>
      </c>
      <c r="AO1" s="14">
        <v>0.041666666666666664</v>
      </c>
      <c r="AP1" s="14">
        <v>0.0625</v>
      </c>
      <c r="AQ1" s="14">
        <v>0.08333333333333333</v>
      </c>
      <c r="AR1" s="14">
        <v>0.10416666666666667</v>
      </c>
      <c r="AS1" s="84"/>
      <c r="AT1" s="84"/>
      <c r="AU1" s="84"/>
      <c r="AV1" s="84"/>
    </row>
    <row r="2">
      <c r="A2" s="26">
        <v>3.0</v>
      </c>
      <c r="B2" s="26" t="s">
        <v>82</v>
      </c>
      <c r="AB2" s="51" t="s">
        <v>172</v>
      </c>
    </row>
    <row r="3" hidden="1"/>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sheetData>
  <mergeCells count="1">
    <mergeCell ref="AB2:A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5" width="5.5"/>
    <col customWidth="1" min="26" max="32" width="5.5"/>
    <col customWidth="1" hidden="1" min="33" max="48" width="5.5"/>
  </cols>
  <sheetData>
    <row r="1">
      <c r="A1" s="11" t="s">
        <v>16</v>
      </c>
      <c r="B1" s="11" t="s">
        <v>11</v>
      </c>
      <c r="C1" s="14">
        <v>0.25</v>
      </c>
      <c r="D1" s="14">
        <v>0.2708333333333333</v>
      </c>
      <c r="E1" s="14">
        <v>0.2916666666666667</v>
      </c>
      <c r="F1" s="14">
        <v>0.3125</v>
      </c>
      <c r="G1" s="14">
        <v>0.3333333333333333</v>
      </c>
      <c r="H1" s="14">
        <v>0.3541666666666667</v>
      </c>
      <c r="I1" s="14">
        <v>0.375</v>
      </c>
      <c r="J1" s="14">
        <v>0.3958333333333333</v>
      </c>
      <c r="K1" s="14">
        <v>0.4166666666666667</v>
      </c>
      <c r="L1" s="14">
        <v>0.4375</v>
      </c>
      <c r="M1" s="14">
        <v>0.4583333333333333</v>
      </c>
      <c r="N1" s="14">
        <v>0.4791666666666667</v>
      </c>
      <c r="O1" s="14">
        <v>0.5</v>
      </c>
      <c r="P1" s="14">
        <v>0.5208333333333334</v>
      </c>
      <c r="Q1" s="14">
        <v>0.5416666666666666</v>
      </c>
      <c r="R1" s="14">
        <v>0.5625</v>
      </c>
      <c r="S1" s="14">
        <v>0.5833333333333334</v>
      </c>
      <c r="T1" s="14">
        <v>0.6041666666666666</v>
      </c>
      <c r="U1" s="14">
        <v>0.625</v>
      </c>
      <c r="V1" s="14">
        <v>0.6458333333333334</v>
      </c>
      <c r="W1" s="14">
        <v>0.6666666666666666</v>
      </c>
      <c r="X1" s="14">
        <v>0.6875</v>
      </c>
      <c r="Y1" s="14">
        <v>0.7083333333333334</v>
      </c>
      <c r="Z1" s="14">
        <v>0.7291666666666666</v>
      </c>
      <c r="AA1" s="14">
        <v>0.75</v>
      </c>
      <c r="AB1" s="14">
        <v>0.7708333333333334</v>
      </c>
      <c r="AC1" s="14">
        <v>0.7916666666666666</v>
      </c>
      <c r="AD1" s="14">
        <v>0.8125</v>
      </c>
      <c r="AE1" s="14">
        <v>0.8333333333333334</v>
      </c>
      <c r="AF1" s="14">
        <v>0.8541666666666666</v>
      </c>
      <c r="AG1" s="14">
        <v>0.875</v>
      </c>
      <c r="AH1" s="14">
        <v>0.8958333333333334</v>
      </c>
      <c r="AI1" s="14">
        <v>0.9166666666666666</v>
      </c>
      <c r="AJ1" s="14">
        <v>0.9375</v>
      </c>
      <c r="AK1" s="14">
        <v>0.9583333333333334</v>
      </c>
      <c r="AL1" s="14">
        <v>0.9791666666666666</v>
      </c>
      <c r="AM1" s="14">
        <v>0.0</v>
      </c>
      <c r="AN1" s="14">
        <v>0.020833333333333332</v>
      </c>
      <c r="AO1" s="14">
        <v>0.041666666666666664</v>
      </c>
      <c r="AP1" s="14">
        <v>0.0625</v>
      </c>
      <c r="AQ1" s="14">
        <v>0.08333333333333333</v>
      </c>
      <c r="AR1" s="14">
        <v>0.10416666666666667</v>
      </c>
      <c r="AS1" s="84"/>
      <c r="AT1" s="84"/>
      <c r="AU1" s="84"/>
      <c r="AV1" s="84"/>
    </row>
    <row r="2">
      <c r="A2" s="26">
        <v>7.0</v>
      </c>
      <c r="B2" s="26" t="s">
        <v>105</v>
      </c>
      <c r="AA2" s="51" t="s">
        <v>179</v>
      </c>
    </row>
    <row r="3">
      <c r="A3" s="26">
        <v>8.0</v>
      </c>
      <c r="B3" s="26" t="s">
        <v>119</v>
      </c>
      <c r="AA3" s="51" t="s">
        <v>180</v>
      </c>
    </row>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sheetData>
  <mergeCells count="2">
    <mergeCell ref="AA2:AF2"/>
    <mergeCell ref="AA3:AF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sheetData>
    <row r="1">
      <c r="A1" t="str">
        <f t="array" ref="A1:K1">transpose(unique(offset('Teams-Conference'!B2:B15,0,(10-10)*2)))</f>
        <v>AAC</v>
      </c>
      <c r="B1" t="s">
        <v>186</v>
      </c>
      <c r="C1" t="s">
        <v>187</v>
      </c>
      <c r="D1" t="s">
        <v>188</v>
      </c>
      <c r="E1" t="s">
        <v>189</v>
      </c>
      <c r="F1" t="s">
        <v>190</v>
      </c>
      <c r="G1" t="s">
        <v>129</v>
      </c>
      <c r="H1" t="s">
        <v>191</v>
      </c>
      <c r="I1" t="s">
        <v>192</v>
      </c>
      <c r="J1" t="s">
        <v>193</v>
      </c>
      <c r="K1" t="s">
        <v>194</v>
      </c>
    </row>
    <row r="2">
      <c r="A2" t="str">
        <f>IFERROR(__xludf.DUMMYFUNCTION("filter(offset('Teams-Conference'!$A:$A,0,(10-10)*2),offset('Teams-Conference'!$B:$B,0,(10-10)*2)=A1)"),"Cincinnati")</f>
        <v>Cincinnati</v>
      </c>
      <c r="B2" t="str">
        <f>IFERROR(__xludf.DUMMYFUNCTION("filter(offset('Teams-Conference'!$A:$A,0,(10-10)*2),offset('Teams-Conference'!$B:$B,0,(10-10)*2)=B1)"),"Boston College")</f>
        <v>Boston College</v>
      </c>
      <c r="C2" t="str">
        <f>IFERROR(__xludf.DUMMYFUNCTION("filter(offset('Teams-Conference'!$A:$A,0,(10-10)*2),offset('Teams-Conference'!$B:$B,0,(10-10)*2)=C1)"),"Baylor")</f>
        <v>Baylor</v>
      </c>
      <c r="D2" t="str">
        <f>IFERROR(__xludf.DUMMYFUNCTION("filter(offset('Teams-Conference'!$A:$A,0,(10-10)*2),offset('Teams-Conference'!$B:$B,0,(10-10)*2)=D1)"),"Illinois")</f>
        <v>Illinois</v>
      </c>
      <c r="E2" t="str">
        <f>IFERROR(__xludf.DUMMYFUNCTION("filter(offset('Teams-Conference'!$A:$A,0,(10-10)*2),offset('Teams-Conference'!$B:$B,0,(10-10)*2)=E1)"),"Florida Intl")</f>
        <v>Florida Intl</v>
      </c>
      <c r="F2" t="str">
        <f>IFERROR(__xludf.DUMMYFUNCTION("filter(offset('Teams-Conference'!$A:$A,0,(10-10)*2),offset('Teams-Conference'!$B:$B,0,(10-10)*2)=F1)"),"Akron")</f>
        <v>Akron</v>
      </c>
      <c r="G2" t="str">
        <f>IFERROR(__xludf.DUMMYFUNCTION("filter(offset('Teams-Conference'!$A:$A,0,(10-10)*2),offset('Teams-Conference'!$B:$B,0,(10-10)*2)=G1)"),"Air Force")</f>
        <v>Air Force</v>
      </c>
      <c r="H2" t="str">
        <f>IFERROR(__xludf.DUMMYFUNCTION("filter(offset('Teams-Conference'!$A:$A,0,(10-10)*2),offset('Teams-Conference'!$B:$B,0,(10-10)*2)=H1)"),"Arizona")</f>
        <v>Arizona</v>
      </c>
      <c r="I2" t="str">
        <f>IFERROR(__xludf.DUMMYFUNCTION("filter(offset('Teams-Conference'!$A:$A,0,(10-10)*2),offset('Teams-Conference'!$B:$B,0,(10-10)*2)=I1)"),"Alabama")</f>
        <v>Alabama</v>
      </c>
      <c r="J2" t="str">
        <f>IFERROR(__xludf.DUMMYFUNCTION("filter(offset('Teams-Conference'!$A:$A,0,(10-10)*2),offset('Teams-Conference'!$B:$B,0,(10-10)*2)=J1)"),"Marshall")</f>
        <v>Marshall</v>
      </c>
      <c r="K2" t="str">
        <f>IFERROR(__xludf.DUMMYFUNCTION("filter(offset('Teams-Conference'!$A:$A,0,(10-10)*2),offset('Teams-Conference'!$B:$B,0,(10-10)*2)=K1)"),"Army")</f>
        <v>Army</v>
      </c>
    </row>
    <row r="3">
      <c r="A3" t="str">
        <f>IFERROR(__xludf.DUMMYFUNCTION("""COMPUTED_VALUE"""),"East Carolina")</f>
        <v>East Carolina</v>
      </c>
      <c r="B3" t="str">
        <f>IFERROR(__xludf.DUMMYFUNCTION("""COMPUTED_VALUE"""),"Clemson")</f>
        <v>Clemson</v>
      </c>
      <c r="C3" t="str">
        <f>IFERROR(__xludf.DUMMYFUNCTION("""COMPUTED_VALUE"""),"Iowa State")</f>
        <v>Iowa State</v>
      </c>
      <c r="D3" t="str">
        <f>IFERROR(__xludf.DUMMYFUNCTION("""COMPUTED_VALUE"""),"Indiana")</f>
        <v>Indiana</v>
      </c>
      <c r="E3" t="str">
        <f>IFERROR(__xludf.DUMMYFUNCTION("""COMPUTED_VALUE"""),"Florida Atlantic")</f>
        <v>Florida Atlantic</v>
      </c>
      <c r="F3" t="str">
        <f>IFERROR(__xludf.DUMMYFUNCTION("""COMPUTED_VALUE"""),"Ball State")</f>
        <v>Ball State</v>
      </c>
      <c r="G3" t="str">
        <f>IFERROR(__xludf.DUMMYFUNCTION("""COMPUTED_VALUE"""),"Boise State")</f>
        <v>Boise State</v>
      </c>
      <c r="H3" t="str">
        <f>IFERROR(__xludf.DUMMYFUNCTION("""COMPUTED_VALUE"""),"Arizona State")</f>
        <v>Arizona State</v>
      </c>
      <c r="I3" t="str">
        <f>IFERROR(__xludf.DUMMYFUNCTION("""COMPUTED_VALUE"""),"Arkansas")</f>
        <v>Arkansas</v>
      </c>
      <c r="J3" t="str">
        <f>IFERROR(__xludf.DUMMYFUNCTION("""COMPUTED_VALUE"""),"Old Dominion")</f>
        <v>Old Dominion</v>
      </c>
      <c r="K3" t="str">
        <f>IFERROR(__xludf.DUMMYFUNCTION("""COMPUTED_VALUE"""),"BYU")</f>
        <v>BYU</v>
      </c>
    </row>
    <row r="4">
      <c r="A4" t="str">
        <f>IFERROR(__xludf.DUMMYFUNCTION("""COMPUTED_VALUE"""),"Houston")</f>
        <v>Houston</v>
      </c>
      <c r="B4" t="str">
        <f>IFERROR(__xludf.DUMMYFUNCTION("""COMPUTED_VALUE"""),"Duke")</f>
        <v>Duke</v>
      </c>
      <c r="C4" t="str">
        <f>IFERROR(__xludf.DUMMYFUNCTION("""COMPUTED_VALUE"""),"Kansas")</f>
        <v>Kansas</v>
      </c>
      <c r="D4" t="str">
        <f>IFERROR(__xludf.DUMMYFUNCTION("""COMPUTED_VALUE"""),"Iowa")</f>
        <v>Iowa</v>
      </c>
      <c r="E4" t="str">
        <f>IFERROR(__xludf.DUMMYFUNCTION("""COMPUTED_VALUE"""),"Louisiana Tech")</f>
        <v>Louisiana Tech</v>
      </c>
      <c r="F4" t="str">
        <f>IFERROR(__xludf.DUMMYFUNCTION("""COMPUTED_VALUE"""),"Bowling Green")</f>
        <v>Bowling Green</v>
      </c>
      <c r="G4" t="str">
        <f>IFERROR(__xludf.DUMMYFUNCTION("""COMPUTED_VALUE"""),"Colorado State")</f>
        <v>Colorado State</v>
      </c>
      <c r="H4" t="str">
        <f>IFERROR(__xludf.DUMMYFUNCTION("""COMPUTED_VALUE"""),"California")</f>
        <v>California</v>
      </c>
      <c r="I4" t="str">
        <f>IFERROR(__xludf.DUMMYFUNCTION("""COMPUTED_VALUE"""),"Auburn")</f>
        <v>Auburn</v>
      </c>
      <c r="J4" t="str">
        <f>IFERROR(__xludf.DUMMYFUNCTION("""COMPUTED_VALUE"""),"Southern Mississippi")</f>
        <v>Southern Mississippi</v>
      </c>
      <c r="K4" t="str">
        <f>IFERROR(__xludf.DUMMYFUNCTION("""COMPUTED_VALUE"""),"Liberty")</f>
        <v>Liberty</v>
      </c>
    </row>
    <row r="5">
      <c r="A5" t="str">
        <f>IFERROR(__xludf.DUMMYFUNCTION("""COMPUTED_VALUE"""),"Memphis")</f>
        <v>Memphis</v>
      </c>
      <c r="B5" t="str">
        <f>IFERROR(__xludf.DUMMYFUNCTION("""COMPUTED_VALUE"""),"Florida State")</f>
        <v>Florida State</v>
      </c>
      <c r="C5" t="str">
        <f>IFERROR(__xludf.DUMMYFUNCTION("""COMPUTED_VALUE"""),"Kansas State")</f>
        <v>Kansas State</v>
      </c>
      <c r="D5" t="str">
        <f>IFERROR(__xludf.DUMMYFUNCTION("""COMPUTED_VALUE"""),"Maryland")</f>
        <v>Maryland</v>
      </c>
      <c r="E5" t="str">
        <f>IFERROR(__xludf.DUMMYFUNCTION("""COMPUTED_VALUE"""),"Middle Tennessee")</f>
        <v>Middle Tennessee</v>
      </c>
      <c r="F5" t="str">
        <f>IFERROR(__xludf.DUMMYFUNCTION("""COMPUTED_VALUE"""),"Buffalo")</f>
        <v>Buffalo</v>
      </c>
      <c r="G5" t="str">
        <f>IFERROR(__xludf.DUMMYFUNCTION("""COMPUTED_VALUE"""),"Fresno State")</f>
        <v>Fresno State</v>
      </c>
      <c r="H5" t="str">
        <f>IFERROR(__xludf.DUMMYFUNCTION("""COMPUTED_VALUE"""),"Colorado")</f>
        <v>Colorado</v>
      </c>
      <c r="I5" t="str">
        <f>IFERROR(__xludf.DUMMYFUNCTION("""COMPUTED_VALUE"""),"Florida")</f>
        <v>Florida</v>
      </c>
      <c r="J5" t="str">
        <f>IFERROR(__xludf.DUMMYFUNCTION("""COMPUTED_VALUE"""),"Appalachian State")</f>
        <v>Appalachian State</v>
      </c>
      <c r="K5" t="str">
        <f>IFERROR(__xludf.DUMMYFUNCTION("""COMPUTED_VALUE"""),"New Mexico State")</f>
        <v>New Mexico State</v>
      </c>
    </row>
    <row r="6">
      <c r="A6" t="str">
        <f>IFERROR(__xludf.DUMMYFUNCTION("""COMPUTED_VALUE"""),"Navy")</f>
        <v>Navy</v>
      </c>
      <c r="B6" t="str">
        <f>IFERROR(__xludf.DUMMYFUNCTION("""COMPUTED_VALUE"""),"Georgia Tech")</f>
        <v>Georgia Tech</v>
      </c>
      <c r="C6" t="str">
        <f>IFERROR(__xludf.DUMMYFUNCTION("""COMPUTED_VALUE"""),"Oklahoma")</f>
        <v>Oklahoma</v>
      </c>
      <c r="D6" t="str">
        <f>IFERROR(__xludf.DUMMYFUNCTION("""COMPUTED_VALUE"""),"Michigan")</f>
        <v>Michigan</v>
      </c>
      <c r="E6" t="str">
        <f>IFERROR(__xludf.DUMMYFUNCTION("""COMPUTED_VALUE"""),"North Texas")</f>
        <v>North Texas</v>
      </c>
      <c r="F6" t="str">
        <f>IFERROR(__xludf.DUMMYFUNCTION("""COMPUTED_VALUE"""),"Central Michigan")</f>
        <v>Central Michigan</v>
      </c>
      <c r="G6" t="str">
        <f>IFERROR(__xludf.DUMMYFUNCTION("""COMPUTED_VALUE"""),"Hawaii")</f>
        <v>Hawaii</v>
      </c>
      <c r="H6" t="str">
        <f>IFERROR(__xludf.DUMMYFUNCTION("""COMPUTED_VALUE"""),"Oregon")</f>
        <v>Oregon</v>
      </c>
      <c r="I6" t="str">
        <f>IFERROR(__xludf.DUMMYFUNCTION("""COMPUTED_VALUE"""),"Georgia")</f>
        <v>Georgia</v>
      </c>
      <c r="J6" t="str">
        <f>IFERROR(__xludf.DUMMYFUNCTION("""COMPUTED_VALUE"""),"Arkansas State")</f>
        <v>Arkansas State</v>
      </c>
      <c r="K6" t="str">
        <f>IFERROR(__xludf.DUMMYFUNCTION("""COMPUTED_VALUE"""),"Notre Dame")</f>
        <v>Notre Dame</v>
      </c>
    </row>
    <row r="7">
      <c r="A7" t="str">
        <f>IFERROR(__xludf.DUMMYFUNCTION("""COMPUTED_VALUE"""),"SMU")</f>
        <v>SMU</v>
      </c>
      <c r="B7" t="str">
        <f>IFERROR(__xludf.DUMMYFUNCTION("""COMPUTED_VALUE"""),"Louisville")</f>
        <v>Louisville</v>
      </c>
      <c r="C7" t="str">
        <f>IFERROR(__xludf.DUMMYFUNCTION("""COMPUTED_VALUE"""),"Oklahoma State")</f>
        <v>Oklahoma State</v>
      </c>
      <c r="D7" t="str">
        <f>IFERROR(__xludf.DUMMYFUNCTION("""COMPUTED_VALUE"""),"Michigan State")</f>
        <v>Michigan State</v>
      </c>
      <c r="E7" t="str">
        <f>IFERROR(__xludf.DUMMYFUNCTION("""COMPUTED_VALUE"""),"Rice")</f>
        <v>Rice</v>
      </c>
      <c r="F7" t="str">
        <f>IFERROR(__xludf.DUMMYFUNCTION("""COMPUTED_VALUE"""),"EMU")</f>
        <v>EMU</v>
      </c>
      <c r="G7" t="str">
        <f>IFERROR(__xludf.DUMMYFUNCTION("""COMPUTED_VALUE"""),"Nevada")</f>
        <v>Nevada</v>
      </c>
      <c r="H7" t="str">
        <f>IFERROR(__xludf.DUMMYFUNCTION("""COMPUTED_VALUE"""),"Oregon State")</f>
        <v>Oregon State</v>
      </c>
      <c r="I7" t="str">
        <f>IFERROR(__xludf.DUMMYFUNCTION("""COMPUTED_VALUE"""),"Kentucky")</f>
        <v>Kentucky</v>
      </c>
      <c r="J7" t="str">
        <f>IFERROR(__xludf.DUMMYFUNCTION("""COMPUTED_VALUE"""),"Georgia Southern")</f>
        <v>Georgia Southern</v>
      </c>
      <c r="K7" t="str">
        <f>IFERROR(__xludf.DUMMYFUNCTION("""COMPUTED_VALUE"""),"UMASS")</f>
        <v>UMASS</v>
      </c>
    </row>
    <row r="8">
      <c r="A8" t="str">
        <f>IFERROR(__xludf.DUMMYFUNCTION("""COMPUTED_VALUE"""),"South Florida")</f>
        <v>South Florida</v>
      </c>
      <c r="B8" t="str">
        <f>IFERROR(__xludf.DUMMYFUNCTION("""COMPUTED_VALUE"""),"Miami")</f>
        <v>Miami</v>
      </c>
      <c r="C8" t="str">
        <f>IFERROR(__xludf.DUMMYFUNCTION("""COMPUTED_VALUE"""),"TCU")</f>
        <v>TCU</v>
      </c>
      <c r="D8" t="str">
        <f>IFERROR(__xludf.DUMMYFUNCTION("""COMPUTED_VALUE"""),"Minnesota")</f>
        <v>Minnesota</v>
      </c>
      <c r="E8" t="str">
        <f>IFERROR(__xludf.DUMMYFUNCTION("""COMPUTED_VALUE"""),"Charlotte")</f>
        <v>Charlotte</v>
      </c>
      <c r="F8" t="str">
        <f>IFERROR(__xludf.DUMMYFUNCTION("""COMPUTED_VALUE"""),"Kent State")</f>
        <v>Kent State</v>
      </c>
      <c r="G8" t="str">
        <f>IFERROR(__xludf.DUMMYFUNCTION("""COMPUTED_VALUE"""),"New Mexico")</f>
        <v>New Mexico</v>
      </c>
      <c r="H8" t="str">
        <f>IFERROR(__xludf.DUMMYFUNCTION("""COMPUTED_VALUE"""),"Stanford")</f>
        <v>Stanford</v>
      </c>
      <c r="I8" t="str">
        <f>IFERROR(__xludf.DUMMYFUNCTION("""COMPUTED_VALUE"""),"LSU")</f>
        <v>LSU</v>
      </c>
      <c r="J8" t="str">
        <f>IFERROR(__xludf.DUMMYFUNCTION("""COMPUTED_VALUE"""),"Georgia State")</f>
        <v>Georgia State</v>
      </c>
      <c r="K8" t="str">
        <f>IFERROR(__xludf.DUMMYFUNCTION("""COMPUTED_VALUE"""),"UConn")</f>
        <v>UConn</v>
      </c>
    </row>
    <row r="9">
      <c r="A9" t="str">
        <f>IFERROR(__xludf.DUMMYFUNCTION("""COMPUTED_VALUE"""),"Temple")</f>
        <v>Temple</v>
      </c>
      <c r="B9" t="str">
        <f>IFERROR(__xludf.DUMMYFUNCTION("""COMPUTED_VALUE"""),"NC State")</f>
        <v>NC State</v>
      </c>
      <c r="C9" t="str">
        <f>IFERROR(__xludf.DUMMYFUNCTION("""COMPUTED_VALUE"""),"Texas")</f>
        <v>Texas</v>
      </c>
      <c r="D9" t="str">
        <f>IFERROR(__xludf.DUMMYFUNCTION("""COMPUTED_VALUE"""),"Nebraska")</f>
        <v>Nebraska</v>
      </c>
      <c r="E9" t="str">
        <f>IFERROR(__xludf.DUMMYFUNCTION("""COMPUTED_VALUE"""),"UTEP")</f>
        <v>UTEP</v>
      </c>
      <c r="F9" t="str">
        <f>IFERROR(__xludf.DUMMYFUNCTION("""COMPUTED_VALUE"""),"Miami-OH")</f>
        <v>Miami-OH</v>
      </c>
      <c r="G9" t="str">
        <f>IFERROR(__xludf.DUMMYFUNCTION("""COMPUTED_VALUE"""),"San Diego State")</f>
        <v>San Diego State</v>
      </c>
      <c r="H9" t="str">
        <f>IFERROR(__xludf.DUMMYFUNCTION("""COMPUTED_VALUE"""),"UCLA")</f>
        <v>UCLA</v>
      </c>
      <c r="I9" t="str">
        <f>IFERROR(__xludf.DUMMYFUNCTION("""COMPUTED_VALUE"""),"Mississippi State")</f>
        <v>Mississippi State</v>
      </c>
      <c r="J9" t="str">
        <f>IFERROR(__xludf.DUMMYFUNCTION("""COMPUTED_VALUE"""),"UL Lafayette")</f>
        <v>UL Lafayette</v>
      </c>
    </row>
    <row r="10">
      <c r="A10" t="str">
        <f>IFERROR(__xludf.DUMMYFUNCTION("""COMPUTED_VALUE"""),"Tulane")</f>
        <v>Tulane</v>
      </c>
      <c r="B10" t="str">
        <f>IFERROR(__xludf.DUMMYFUNCTION("""COMPUTED_VALUE"""),"North Carolina")</f>
        <v>North Carolina</v>
      </c>
      <c r="C10" t="str">
        <f>IFERROR(__xludf.DUMMYFUNCTION("""COMPUTED_VALUE"""),"Texas Tech")</f>
        <v>Texas Tech</v>
      </c>
      <c r="D10" t="str">
        <f>IFERROR(__xludf.DUMMYFUNCTION("""COMPUTED_VALUE"""),"Northwestern")</f>
        <v>Northwestern</v>
      </c>
      <c r="E10" t="str">
        <f>IFERROR(__xludf.DUMMYFUNCTION("""COMPUTED_VALUE"""),"UTSA")</f>
        <v>UTSA</v>
      </c>
      <c r="F10" t="str">
        <f>IFERROR(__xludf.DUMMYFUNCTION("""COMPUTED_VALUE"""),"Northern Illinois")</f>
        <v>Northern Illinois</v>
      </c>
      <c r="G10" t="str">
        <f>IFERROR(__xludf.DUMMYFUNCTION("""COMPUTED_VALUE"""),"San José State")</f>
        <v>San José State</v>
      </c>
      <c r="H10" t="str">
        <f>IFERROR(__xludf.DUMMYFUNCTION("""COMPUTED_VALUE"""),"USC")</f>
        <v>USC</v>
      </c>
      <c r="I10" t="str">
        <f>IFERROR(__xludf.DUMMYFUNCTION("""COMPUTED_VALUE"""),"Missouri")</f>
        <v>Missouri</v>
      </c>
      <c r="J10" t="str">
        <f>IFERROR(__xludf.DUMMYFUNCTION("""COMPUTED_VALUE"""),"UL Monroe")</f>
        <v>UL Monroe</v>
      </c>
    </row>
    <row r="11">
      <c r="A11" t="str">
        <f>IFERROR(__xludf.DUMMYFUNCTION("""COMPUTED_VALUE"""),"Tulsa")</f>
        <v>Tulsa</v>
      </c>
      <c r="B11" t="str">
        <f>IFERROR(__xludf.DUMMYFUNCTION("""COMPUTED_VALUE"""),"Pittsburgh")</f>
        <v>Pittsburgh</v>
      </c>
      <c r="C11" t="str">
        <f>IFERROR(__xludf.DUMMYFUNCTION("""COMPUTED_VALUE"""),"West Virginia")</f>
        <v>West Virginia</v>
      </c>
      <c r="D11" t="str">
        <f>IFERROR(__xludf.DUMMYFUNCTION("""COMPUTED_VALUE"""),"Ohio State")</f>
        <v>Ohio State</v>
      </c>
      <c r="E11" t="str">
        <f>IFERROR(__xludf.DUMMYFUNCTION("""COMPUTED_VALUE"""),"Western Kentucky")</f>
        <v>Western Kentucky</v>
      </c>
      <c r="F11" t="str">
        <f>IFERROR(__xludf.DUMMYFUNCTION("""COMPUTED_VALUE"""),"Ohio")</f>
        <v>Ohio</v>
      </c>
      <c r="G11" t="str">
        <f>IFERROR(__xludf.DUMMYFUNCTION("""COMPUTED_VALUE"""),"UNLV")</f>
        <v>UNLV</v>
      </c>
      <c r="H11" t="str">
        <f>IFERROR(__xludf.DUMMYFUNCTION("""COMPUTED_VALUE"""),"Utah")</f>
        <v>Utah</v>
      </c>
      <c r="I11" t="str">
        <f>IFERROR(__xludf.DUMMYFUNCTION("""COMPUTED_VALUE"""),"Ole Miss")</f>
        <v>Ole Miss</v>
      </c>
      <c r="J11" t="str">
        <f>IFERROR(__xludf.DUMMYFUNCTION("""COMPUTED_VALUE"""),"South Alabama")</f>
        <v>South Alabama</v>
      </c>
    </row>
    <row r="12">
      <c r="A12" t="str">
        <f>IFERROR(__xludf.DUMMYFUNCTION("""COMPUTED_VALUE"""),"UCF")</f>
        <v>UCF</v>
      </c>
      <c r="B12" t="str">
        <f>IFERROR(__xludf.DUMMYFUNCTION("""COMPUTED_VALUE"""),"Syracuse")</f>
        <v>Syracuse</v>
      </c>
      <c r="D12" t="str">
        <f>IFERROR(__xludf.DUMMYFUNCTION("""COMPUTED_VALUE"""),"Penn State")</f>
        <v>Penn State</v>
      </c>
      <c r="E12" t="str">
        <f>IFERROR(__xludf.DUMMYFUNCTION("""COMPUTED_VALUE"""),"UAB")</f>
        <v>UAB</v>
      </c>
      <c r="F12" t="str">
        <f>IFERROR(__xludf.DUMMYFUNCTION("""COMPUTED_VALUE"""),"Toledo")</f>
        <v>Toledo</v>
      </c>
      <c r="G12" t="str">
        <f>IFERROR(__xludf.DUMMYFUNCTION("""COMPUTED_VALUE"""),"Utah State")</f>
        <v>Utah State</v>
      </c>
      <c r="H12" t="str">
        <f>IFERROR(__xludf.DUMMYFUNCTION("""COMPUTED_VALUE"""),"Washington")</f>
        <v>Washington</v>
      </c>
      <c r="I12" t="str">
        <f>IFERROR(__xludf.DUMMYFUNCTION("""COMPUTED_VALUE"""),"South Carolina")</f>
        <v>South Carolina</v>
      </c>
      <c r="J12" t="str">
        <f>IFERROR(__xludf.DUMMYFUNCTION("""COMPUTED_VALUE"""),"Texas State")</f>
        <v>Texas State</v>
      </c>
    </row>
    <row r="13">
      <c r="B13" t="str">
        <f>IFERROR(__xludf.DUMMYFUNCTION("""COMPUTED_VALUE"""),"Virginia")</f>
        <v>Virginia</v>
      </c>
      <c r="D13" t="str">
        <f>IFERROR(__xludf.DUMMYFUNCTION("""COMPUTED_VALUE"""),"Purdue")</f>
        <v>Purdue</v>
      </c>
      <c r="F13" t="str">
        <f>IFERROR(__xludf.DUMMYFUNCTION("""COMPUTED_VALUE"""),"Western Michigan")</f>
        <v>Western Michigan</v>
      </c>
      <c r="G13" t="str">
        <f>IFERROR(__xludf.DUMMYFUNCTION("""COMPUTED_VALUE"""),"Wyoming")</f>
        <v>Wyoming</v>
      </c>
      <c r="H13" t="str">
        <f>IFERROR(__xludf.DUMMYFUNCTION("""COMPUTED_VALUE"""),"Washington State")</f>
        <v>Washington State</v>
      </c>
      <c r="I13" t="str">
        <f>IFERROR(__xludf.DUMMYFUNCTION("""COMPUTED_VALUE"""),"Tennessee")</f>
        <v>Tennessee</v>
      </c>
      <c r="J13" t="str">
        <f>IFERROR(__xludf.DUMMYFUNCTION("""COMPUTED_VALUE"""),"Troy")</f>
        <v>Troy</v>
      </c>
    </row>
    <row r="14">
      <c r="B14" t="str">
        <f>IFERROR(__xludf.DUMMYFUNCTION("""COMPUTED_VALUE"""),"Virginia Tech")</f>
        <v>Virginia Tech</v>
      </c>
      <c r="D14" t="str">
        <f>IFERROR(__xludf.DUMMYFUNCTION("""COMPUTED_VALUE"""),"Rutgers")</f>
        <v>Rutgers</v>
      </c>
      <c r="I14" t="str">
        <f>IFERROR(__xludf.DUMMYFUNCTION("""COMPUTED_VALUE"""),"Texas A&amp;M")</f>
        <v>Texas A&amp;M</v>
      </c>
      <c r="J14" t="str">
        <f>IFERROR(__xludf.DUMMYFUNCTION("""COMPUTED_VALUE"""),"Coastal Carolina")</f>
        <v>Coastal Carolina</v>
      </c>
    </row>
    <row r="15">
      <c r="B15" t="str">
        <f>IFERROR(__xludf.DUMMYFUNCTION("""COMPUTED_VALUE"""),"Wake Forest")</f>
        <v>Wake Forest</v>
      </c>
      <c r="D15" t="str">
        <f>IFERROR(__xludf.DUMMYFUNCTION("""COMPUTED_VALUE"""),"Wisconsin")</f>
        <v>Wisconsin</v>
      </c>
      <c r="I15" t="str">
        <f>IFERROR(__xludf.DUMMYFUNCTION("""COMPUTED_VALUE"""),"Vanderbilt")</f>
        <v>Vanderbilt</v>
      </c>
      <c r="J15" t="str">
        <f>IFERROR(__xludf.DUMMYFUNCTION("""COMPUTED_VALUE"""),"James Madison")</f>
        <v>James Madison</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3" width="5.5"/>
    <col customWidth="1" min="24" max="34" width="5.5"/>
    <col customWidth="1" hidden="1" min="35" max="44" width="5.5"/>
  </cols>
  <sheetData>
    <row r="1">
      <c r="A1" s="11" t="s">
        <v>16</v>
      </c>
      <c r="B1" s="11" t="s">
        <v>11</v>
      </c>
      <c r="C1" s="14">
        <v>0.25</v>
      </c>
      <c r="D1" s="14">
        <v>0.2708333333333333</v>
      </c>
      <c r="E1" s="14">
        <v>0.2916666666666667</v>
      </c>
      <c r="F1" s="14">
        <v>0.3125</v>
      </c>
      <c r="G1" s="14">
        <v>0.3333333333333333</v>
      </c>
      <c r="H1" s="14">
        <v>0.3541666666666667</v>
      </c>
      <c r="I1" s="14">
        <v>0.375</v>
      </c>
      <c r="J1" s="14">
        <v>0.3958333333333333</v>
      </c>
      <c r="K1" s="14">
        <v>0.4166666666666667</v>
      </c>
      <c r="L1" s="14">
        <v>0.4375</v>
      </c>
      <c r="M1" s="14">
        <v>0.4583333333333333</v>
      </c>
      <c r="N1" s="14">
        <v>0.4791666666666667</v>
      </c>
      <c r="O1" s="14">
        <v>0.5</v>
      </c>
      <c r="P1" s="14">
        <v>0.5208333333333334</v>
      </c>
      <c r="Q1" s="14">
        <v>0.5416666666666666</v>
      </c>
      <c r="R1" s="14">
        <v>0.5625</v>
      </c>
      <c r="S1" s="14">
        <v>0.5833333333333334</v>
      </c>
      <c r="T1" s="14">
        <v>0.6041666666666666</v>
      </c>
      <c r="U1" s="14">
        <v>0.625</v>
      </c>
      <c r="V1" s="14">
        <v>0.6458333333333334</v>
      </c>
      <c r="W1" s="14">
        <v>0.6666666666666666</v>
      </c>
      <c r="X1" s="14">
        <v>0.6875</v>
      </c>
      <c r="Y1" s="14">
        <v>0.7083333333333334</v>
      </c>
      <c r="Z1" s="14">
        <v>0.7291666666666666</v>
      </c>
      <c r="AA1" s="14">
        <v>0.75</v>
      </c>
      <c r="AB1" s="14">
        <v>0.7708333333333334</v>
      </c>
      <c r="AC1" s="14">
        <v>0.7916666666666666</v>
      </c>
      <c r="AD1" s="14">
        <v>0.8125</v>
      </c>
      <c r="AE1" s="14">
        <v>0.8333333333333334</v>
      </c>
      <c r="AF1" s="14">
        <v>0.8541666666666666</v>
      </c>
      <c r="AG1" s="14">
        <v>0.875</v>
      </c>
      <c r="AH1" s="14">
        <v>0.8958333333333334</v>
      </c>
      <c r="AI1" s="14">
        <v>0.9166666666666666</v>
      </c>
      <c r="AJ1" s="14">
        <v>0.9375</v>
      </c>
      <c r="AK1" s="14">
        <v>0.9583333333333334</v>
      </c>
      <c r="AL1" s="14">
        <v>0.9791666666666666</v>
      </c>
      <c r="AM1" s="14">
        <v>0.0</v>
      </c>
      <c r="AN1" s="14">
        <v>0.020833333333333332</v>
      </c>
      <c r="AO1" s="14">
        <v>0.041666666666666664</v>
      </c>
      <c r="AP1" s="14">
        <v>0.0625</v>
      </c>
      <c r="AQ1" s="14">
        <v>0.08333333333333333</v>
      </c>
      <c r="AR1" s="14">
        <v>0.10416666666666667</v>
      </c>
    </row>
    <row r="2">
      <c r="A2" s="26">
        <v>7.0</v>
      </c>
      <c r="B2" s="26" t="s">
        <v>105</v>
      </c>
      <c r="Y2" s="51" t="s">
        <v>201</v>
      </c>
    </row>
    <row r="3">
      <c r="A3" s="26">
        <v>8.0</v>
      </c>
      <c r="B3" s="26" t="s">
        <v>119</v>
      </c>
      <c r="AC3" s="51" t="s">
        <v>202</v>
      </c>
    </row>
    <row r="4">
      <c r="A4" s="26">
        <v>9.0</v>
      </c>
      <c r="B4" s="26" t="s">
        <v>126</v>
      </c>
      <c r="AA4" s="51" t="s">
        <v>203</v>
      </c>
    </row>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sheetData>
  <mergeCells count="3">
    <mergeCell ref="Y2:AD2"/>
    <mergeCell ref="AC3:AH3"/>
    <mergeCell ref="AA4:AF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7.13"/>
    <col customWidth="1" min="2" max="2" width="14.25"/>
    <col customWidth="1" hidden="1" min="3" max="11" width="5.5"/>
    <col customWidth="1" hidden="1" min="12" max="12" width="9.25"/>
    <col customWidth="1" hidden="1" min="13" max="24" width="5.5"/>
    <col customWidth="1" hidden="1" min="25" max="25" width="8.13"/>
    <col customWidth="1" hidden="1" min="26" max="29" width="7.38"/>
    <col customWidth="1" min="30" max="36" width="7.38"/>
    <col customWidth="1" min="37" max="38" width="5.5"/>
    <col customWidth="1" hidden="1" min="39" max="44" width="5.5"/>
  </cols>
  <sheetData>
    <row r="1">
      <c r="A1" s="11" t="s">
        <v>16</v>
      </c>
      <c r="B1" s="11" t="s">
        <v>11</v>
      </c>
      <c r="C1" s="14">
        <v>0.25</v>
      </c>
      <c r="D1" s="14">
        <v>0.2708333333333333</v>
      </c>
      <c r="E1" s="14">
        <v>0.2916666666666667</v>
      </c>
      <c r="F1" s="14">
        <v>0.3125</v>
      </c>
      <c r="G1" s="14">
        <v>0.3333333333333333</v>
      </c>
      <c r="H1" s="14">
        <v>0.3541666666666667</v>
      </c>
      <c r="I1" s="14">
        <v>0.375</v>
      </c>
      <c r="J1" s="14">
        <v>0.3958333333333333</v>
      </c>
      <c r="K1" s="14">
        <v>0.4166666666666667</v>
      </c>
      <c r="L1" s="14">
        <v>0.4375</v>
      </c>
      <c r="M1" s="14">
        <v>0.4583333333333333</v>
      </c>
      <c r="N1" s="14">
        <v>0.4791666666666667</v>
      </c>
      <c r="O1" s="14">
        <v>0.5</v>
      </c>
      <c r="P1" s="14">
        <v>0.5208333333333334</v>
      </c>
      <c r="Q1" s="14">
        <v>0.5416666666666666</v>
      </c>
      <c r="R1" s="14">
        <v>0.5625</v>
      </c>
      <c r="S1" s="14">
        <v>0.5833333333333334</v>
      </c>
      <c r="T1" s="14">
        <v>0.6041666666666666</v>
      </c>
      <c r="U1" s="14">
        <v>0.625</v>
      </c>
      <c r="V1" s="14">
        <v>0.6458333333333334</v>
      </c>
      <c r="W1" s="14">
        <v>0.6666666666666666</v>
      </c>
      <c r="X1" s="14">
        <v>0.6875</v>
      </c>
      <c r="Y1" s="14">
        <v>0.7083333333333334</v>
      </c>
      <c r="Z1" s="14">
        <v>0.7291666666666666</v>
      </c>
      <c r="AA1" s="14">
        <v>0.75</v>
      </c>
      <c r="AB1" s="14">
        <v>0.7708333333333334</v>
      </c>
      <c r="AC1" s="14">
        <v>0.7916666666666666</v>
      </c>
      <c r="AD1" s="14">
        <v>0.8125</v>
      </c>
      <c r="AE1" s="14">
        <v>0.8333333333333334</v>
      </c>
      <c r="AF1" s="14">
        <v>0.8541666666666666</v>
      </c>
      <c r="AG1" s="14">
        <v>0.875</v>
      </c>
      <c r="AH1" s="14">
        <v>0.8958333333333334</v>
      </c>
      <c r="AI1" s="14">
        <v>0.9166666666666666</v>
      </c>
      <c r="AJ1" s="14">
        <v>0.9375</v>
      </c>
      <c r="AK1" s="14">
        <v>0.9583333333333334</v>
      </c>
      <c r="AL1" s="14">
        <v>0.9791666666666666</v>
      </c>
      <c r="AM1" s="14">
        <v>0.0</v>
      </c>
      <c r="AN1" s="14">
        <v>0.020833333333333332</v>
      </c>
      <c r="AO1" s="14">
        <v>0.041666666666666664</v>
      </c>
      <c r="AP1" s="14">
        <v>0.0625</v>
      </c>
      <c r="AQ1" s="14">
        <v>0.08333333333333333</v>
      </c>
      <c r="AR1" s="14">
        <v>0.10416666666666667</v>
      </c>
    </row>
    <row r="2">
      <c r="A2" s="26">
        <v>4.0</v>
      </c>
      <c r="B2" s="26" t="s">
        <v>88</v>
      </c>
      <c r="AG2" s="51" t="s">
        <v>212</v>
      </c>
    </row>
    <row r="3">
      <c r="A3" s="26">
        <v>7.0</v>
      </c>
      <c r="B3" s="26" t="s">
        <v>105</v>
      </c>
      <c r="AE3" s="51" t="s">
        <v>213</v>
      </c>
    </row>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sheetData>
  <mergeCells count="2">
    <mergeCell ref="AG2:AL2"/>
    <mergeCell ref="AE3:AJ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13"/>
    <col customWidth="1" min="2" max="2" width="14.25"/>
    <col customWidth="1" min="3" max="11" width="5.5"/>
    <col customWidth="1" min="12" max="12" width="9.25"/>
    <col customWidth="1" min="13" max="48" width="5.5"/>
  </cols>
  <sheetData>
    <row r="1">
      <c r="A1" s="60" t="s">
        <v>16</v>
      </c>
      <c r="B1" s="60" t="s">
        <v>11</v>
      </c>
      <c r="C1" s="92">
        <v>0.25</v>
      </c>
      <c r="D1" s="92">
        <v>0.2708333333333333</v>
      </c>
      <c r="E1" s="92">
        <v>0.2916666666666667</v>
      </c>
      <c r="F1" s="92">
        <v>0.3125</v>
      </c>
      <c r="G1" s="92">
        <v>0.3333333333333333</v>
      </c>
      <c r="H1" s="92">
        <v>0.3541666666666667</v>
      </c>
      <c r="I1" s="92">
        <v>0.375</v>
      </c>
      <c r="J1" s="92">
        <v>0.3958333333333333</v>
      </c>
      <c r="K1" s="92">
        <v>0.4166666666666667</v>
      </c>
      <c r="L1" s="92">
        <v>0.4375</v>
      </c>
      <c r="M1" s="92">
        <v>0.4583333333333333</v>
      </c>
      <c r="N1" s="92">
        <v>0.4791666666666667</v>
      </c>
      <c r="O1" s="92">
        <v>0.5</v>
      </c>
      <c r="P1" s="92">
        <v>0.5208333333333334</v>
      </c>
      <c r="Q1" s="92">
        <v>0.5416666666666666</v>
      </c>
      <c r="R1" s="92">
        <v>0.5625</v>
      </c>
      <c r="S1" s="92">
        <v>0.5833333333333334</v>
      </c>
      <c r="T1" s="92">
        <v>0.6041666666666666</v>
      </c>
      <c r="U1" s="92">
        <v>0.625</v>
      </c>
      <c r="V1" s="92">
        <v>0.6458333333333334</v>
      </c>
      <c r="W1" s="92">
        <v>0.6666666666666666</v>
      </c>
      <c r="X1" s="92">
        <v>0.6875</v>
      </c>
      <c r="Y1" s="92">
        <v>0.7083333333333334</v>
      </c>
      <c r="Z1" s="92">
        <v>0.7291666666666666</v>
      </c>
      <c r="AA1" s="92">
        <v>0.75</v>
      </c>
      <c r="AB1" s="92">
        <v>0.7708333333333334</v>
      </c>
      <c r="AC1" s="92">
        <v>0.7916666666666666</v>
      </c>
      <c r="AD1" s="92">
        <v>0.8125</v>
      </c>
      <c r="AE1" s="92">
        <v>0.8333333333333334</v>
      </c>
      <c r="AF1" s="92">
        <v>0.8541666666666666</v>
      </c>
      <c r="AG1" s="92">
        <v>0.875</v>
      </c>
      <c r="AH1" s="92">
        <v>0.8958333333333334</v>
      </c>
      <c r="AI1" s="93">
        <v>0.9166666666666666</v>
      </c>
      <c r="AJ1" s="92">
        <v>0.9375</v>
      </c>
      <c r="AK1" s="92">
        <v>0.9583333333333334</v>
      </c>
      <c r="AL1" s="92">
        <v>0.9791666666666666</v>
      </c>
      <c r="AM1" s="92">
        <v>0.0</v>
      </c>
      <c r="AN1" s="92">
        <v>0.020833333333333332</v>
      </c>
      <c r="AO1" s="92">
        <v>0.041666666666666664</v>
      </c>
      <c r="AP1" s="92">
        <v>0.0625</v>
      </c>
      <c r="AQ1" s="92">
        <v>0.08333333333333333</v>
      </c>
      <c r="AR1" s="92">
        <v>0.10416666666666667</v>
      </c>
      <c r="AS1" s="84"/>
      <c r="AT1" s="84"/>
      <c r="AU1" s="84"/>
      <c r="AV1" s="84"/>
    </row>
    <row r="2">
      <c r="A2" s="26">
        <v>1.0</v>
      </c>
      <c r="B2" s="26" t="s">
        <v>58</v>
      </c>
      <c r="AB2" s="94" t="s">
        <v>216</v>
      </c>
      <c r="AC2" s="95"/>
      <c r="AD2" s="95"/>
      <c r="AE2" s="95"/>
      <c r="AF2" s="95"/>
      <c r="AG2" s="96"/>
    </row>
  </sheetData>
  <mergeCells count="1">
    <mergeCell ref="AB2:AG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13"/>
    <col customWidth="1" min="2" max="2" width="14.25"/>
    <col customWidth="1" min="3" max="11" width="5.5"/>
    <col customWidth="1" min="12" max="12" width="9.25"/>
    <col customWidth="1" min="13" max="27" width="5.5"/>
    <col customWidth="1" min="28" max="28" width="7.13"/>
    <col customWidth="1" min="29" max="34" width="6.5"/>
    <col customWidth="1" min="35" max="48" width="5.5"/>
  </cols>
  <sheetData>
    <row r="1">
      <c r="A1" s="60" t="s">
        <v>16</v>
      </c>
      <c r="B1" s="60" t="s">
        <v>11</v>
      </c>
      <c r="C1" s="92">
        <v>0.25</v>
      </c>
      <c r="D1" s="92">
        <v>0.2708333333333333</v>
      </c>
      <c r="E1" s="92">
        <v>0.2916666666666667</v>
      </c>
      <c r="F1" s="92">
        <v>0.3125</v>
      </c>
      <c r="G1" s="92">
        <v>0.3333333333333333</v>
      </c>
      <c r="H1" s="92">
        <v>0.3541666666666667</v>
      </c>
      <c r="I1" s="92">
        <v>0.375</v>
      </c>
      <c r="J1" s="92">
        <v>0.3958333333333333</v>
      </c>
      <c r="K1" s="92">
        <v>0.4166666666666667</v>
      </c>
      <c r="L1" s="92">
        <v>0.4375</v>
      </c>
      <c r="M1" s="92">
        <v>0.4583333333333333</v>
      </c>
      <c r="N1" s="92">
        <v>0.4791666666666667</v>
      </c>
      <c r="O1" s="92">
        <v>0.5</v>
      </c>
      <c r="P1" s="92">
        <v>0.5208333333333334</v>
      </c>
      <c r="Q1" s="92">
        <v>0.5416666666666666</v>
      </c>
      <c r="R1" s="92">
        <v>0.5625</v>
      </c>
      <c r="S1" s="92">
        <v>0.5833333333333334</v>
      </c>
      <c r="T1" s="92">
        <v>0.6041666666666666</v>
      </c>
      <c r="U1" s="92">
        <v>0.625</v>
      </c>
      <c r="V1" s="92">
        <v>0.6458333333333334</v>
      </c>
      <c r="W1" s="92">
        <v>0.6666666666666666</v>
      </c>
      <c r="X1" s="92">
        <v>0.6875</v>
      </c>
      <c r="Y1" s="92">
        <v>0.7083333333333334</v>
      </c>
      <c r="Z1" s="92">
        <v>0.7291666666666666</v>
      </c>
      <c r="AA1" s="92">
        <v>0.75</v>
      </c>
      <c r="AB1" s="92">
        <v>0.7708333333333334</v>
      </c>
      <c r="AC1" s="92">
        <v>0.7916666666666666</v>
      </c>
      <c r="AD1" s="92">
        <v>0.8125</v>
      </c>
      <c r="AE1" s="92">
        <v>0.8333333333333334</v>
      </c>
      <c r="AF1" s="92">
        <v>0.8541666666666666</v>
      </c>
      <c r="AG1" s="92">
        <v>0.875</v>
      </c>
      <c r="AH1" s="92">
        <v>0.8958333333333334</v>
      </c>
      <c r="AI1" s="92">
        <v>0.9166666666666666</v>
      </c>
      <c r="AJ1" s="93">
        <v>0.9375</v>
      </c>
      <c r="AK1" s="92">
        <v>0.9583333333333334</v>
      </c>
      <c r="AL1" s="92">
        <v>0.9791666666666666</v>
      </c>
      <c r="AM1" s="92">
        <v>0.0</v>
      </c>
      <c r="AN1" s="92">
        <v>0.020833333333333332</v>
      </c>
      <c r="AO1" s="92">
        <v>0.041666666666666664</v>
      </c>
      <c r="AP1" s="92">
        <v>0.0625</v>
      </c>
      <c r="AQ1" s="92">
        <v>0.08333333333333333</v>
      </c>
      <c r="AR1" s="92">
        <v>0.10416666666666667</v>
      </c>
      <c r="AS1" s="84"/>
      <c r="AT1" s="84"/>
      <c r="AU1" s="84"/>
      <c r="AV1" s="84"/>
    </row>
    <row r="2">
      <c r="A2" s="26">
        <v>3.0</v>
      </c>
      <c r="B2" s="26" t="s">
        <v>82</v>
      </c>
      <c r="AC2" s="29" t="s">
        <v>221</v>
      </c>
    </row>
  </sheetData>
  <mergeCells count="1">
    <mergeCell ref="AC2:AH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cols>
    <col customWidth="1" min="1" max="1" width="6.38"/>
    <col customWidth="1" min="2" max="2" width="11.75"/>
    <col customWidth="1" min="3" max="3" width="6.38"/>
    <col customWidth="1" min="4" max="4" width="13.0"/>
    <col customWidth="1" min="5" max="5" width="5.5"/>
    <col customWidth="1" min="6" max="6" width="11.13"/>
    <col customWidth="1" min="7" max="7" width="7.13"/>
    <col customWidth="1" min="8" max="8" width="12.0"/>
    <col customWidth="1" min="9" max="9" width="7.13"/>
    <col customWidth="1" min="10" max="10" width="15.25"/>
    <col customWidth="1" min="11" max="11" width="6.38"/>
    <col customWidth="1" min="12" max="12" width="14.0"/>
    <col customWidth="1" min="13" max="13" width="6.38"/>
    <col customWidth="1" min="14" max="14" width="13.13"/>
    <col customWidth="1" min="15" max="15" width="6.38"/>
    <col customWidth="1" min="16" max="16" width="10.25"/>
    <col customWidth="1" min="17" max="17" width="6.38"/>
    <col customWidth="1" min="18" max="18" width="10.25"/>
    <col customWidth="1" min="19" max="19" width="6.38"/>
    <col customWidth="1" min="20" max="20" width="10.25"/>
    <col customWidth="1" min="21" max="21" width="6.13"/>
    <col customWidth="1" min="22" max="22" width="12.63"/>
    <col customWidth="1" min="23" max="23" width="6.63"/>
    <col customWidth="1" min="24" max="26" width="11.38"/>
  </cols>
  <sheetData>
    <row r="1">
      <c r="A1" s="97" t="str">
        <f>DraftTracker!D2</f>
        <v>Jeannine</v>
      </c>
      <c r="B1" s="98"/>
      <c r="C1" s="97" t="str">
        <f>DraftTracker!D3</f>
        <v>Dan</v>
      </c>
      <c r="D1" s="98"/>
      <c r="E1" s="97" t="str">
        <f>DraftTracker!D4</f>
        <v>DavEmily</v>
      </c>
      <c r="F1" s="98"/>
      <c r="G1" s="97" t="str">
        <f>DraftTracker!D5</f>
        <v>Nick G.</v>
      </c>
      <c r="H1" s="98"/>
      <c r="I1" s="97" t="str">
        <f>DraftTracker!D6</f>
        <v>Masa</v>
      </c>
      <c r="J1" s="98"/>
      <c r="K1" s="97" t="str">
        <f>DraftTracker!D7</f>
        <v>Josh</v>
      </c>
      <c r="L1" s="98"/>
      <c r="M1" s="97" t="str">
        <f>DraftTracker!D8</f>
        <v>Brad</v>
      </c>
      <c r="N1" s="98"/>
      <c r="O1" s="97" t="str">
        <f>DraftTracker!D9</f>
        <v>Gary</v>
      </c>
      <c r="P1" s="98"/>
      <c r="Q1" s="97" t="str">
        <f>DraftTracker!D10</f>
        <v>Nick A.</v>
      </c>
      <c r="R1" s="98"/>
      <c r="S1" s="97" t="str">
        <f>DraftTracker!D11</f>
        <v>Justin</v>
      </c>
      <c r="T1" s="98"/>
      <c r="U1" s="97" t="str">
        <f>DraftTracker!D12</f>
        <v>Vu</v>
      </c>
      <c r="V1" s="98"/>
      <c r="W1" s="97" t="str">
        <f>DraftTracker!D13</f>
        <v>Janice/Mike</v>
      </c>
      <c r="X1" s="98"/>
      <c r="Y1" s="112" t="str">
        <f>DraftTracker!D14</f>
        <v>Nico</v>
      </c>
      <c r="Z1" s="98"/>
    </row>
    <row r="2">
      <c r="A2" s="114" t="s">
        <v>50</v>
      </c>
      <c r="B2" s="116" t="s">
        <v>0</v>
      </c>
      <c r="C2" s="114" t="s">
        <v>50</v>
      </c>
      <c r="D2" s="117" t="s">
        <v>0</v>
      </c>
      <c r="E2" s="118" t="s">
        <v>50</v>
      </c>
      <c r="F2" s="117" t="s">
        <v>0</v>
      </c>
      <c r="G2" s="118" t="s">
        <v>50</v>
      </c>
      <c r="H2" s="117" t="s">
        <v>0</v>
      </c>
      <c r="I2" s="118" t="s">
        <v>50</v>
      </c>
      <c r="J2" s="117" t="s">
        <v>0</v>
      </c>
      <c r="K2" s="118" t="s">
        <v>50</v>
      </c>
      <c r="L2" s="117" t="s">
        <v>0</v>
      </c>
      <c r="M2" s="118" t="s">
        <v>50</v>
      </c>
      <c r="N2" s="117" t="s">
        <v>0</v>
      </c>
      <c r="O2" s="118" t="s">
        <v>50</v>
      </c>
      <c r="P2" s="117" t="s">
        <v>0</v>
      </c>
      <c r="Q2" s="118" t="s">
        <v>50</v>
      </c>
      <c r="R2" s="117" t="s">
        <v>0</v>
      </c>
      <c r="S2" s="118" t="s">
        <v>50</v>
      </c>
      <c r="T2" s="117" t="s">
        <v>0</v>
      </c>
      <c r="U2" s="118" t="s">
        <v>50</v>
      </c>
      <c r="V2" s="117" t="s">
        <v>0</v>
      </c>
      <c r="W2" s="118" t="s">
        <v>50</v>
      </c>
      <c r="X2" s="117" t="s">
        <v>0</v>
      </c>
      <c r="Y2" s="118" t="s">
        <v>50</v>
      </c>
      <c r="Z2" s="117" t="s">
        <v>0</v>
      </c>
    </row>
    <row r="3">
      <c r="A3" s="120" t="str">
        <f>IFERROR(__xludf.DUMMYFUNCTION("if(iserror(filter('Picks by Player Raw'!A:A,'Picks by Player Raw'!A:A &lt;&gt;A$1,'Picks by Player Raw'!A:A&lt;&gt;"""")),"""",filter('Picks by Player Raw'!A:A,'Picks by Player Raw'!A:A &lt;&gt;A$1,'Picks by Player Raw'!A:A&lt;&gt;""""))"),"Big Ten")</f>
        <v>Big Ten</v>
      </c>
      <c r="B3" s="121" t="str">
        <f>IFERROR(__xludf.DUMMYFUNCTION("if(iserror(filter('Picks by Player Raw'!B:B,'Picks by Player Raw'!B:B &lt;&gt;A$1,'Picks by Player Raw'!B:B&lt;&gt;"""")),"""",filter('Picks by Player Raw'!B:B,'Picks by Player Raw'!B:B &lt;&gt;A$1,'Picks by Player Raw'!B:B&lt;&gt;""""))"),"Ohio State")</f>
        <v>Ohio State</v>
      </c>
      <c r="C3" s="120" t="str">
        <f>IFERROR(__xludf.DUMMYFUNCTION("if(iserror(filter('Picks by Player Raw'!C:C,'Picks by Player Raw'!C:C &lt;&gt;C$1,'Picks by Player Raw'!C:C&lt;&gt;"""")),"""",filter('Picks by Player Raw'!C:C,'Picks by Player Raw'!C:C &lt;&gt;C$1,'Picks by Player Raw'!C:C&lt;&gt;""""))"),"ACC")</f>
        <v>ACC</v>
      </c>
      <c r="D3" s="121" t="str">
        <f>IFERROR(__xludf.DUMMYFUNCTION("if(iserror(filter('Picks by Player Raw'!D:D,'Picks by Player Raw'!D:D &lt;&gt;C$1,'Picks by Player Raw'!D:D&lt;&gt;"""")),"""",filter('Picks by Player Raw'!D:D,'Picks by Player Raw'!D:D &lt;&gt;C$1,'Picks by Player Raw'!D:D&lt;&gt;""""))"),"Clemson")</f>
        <v>Clemson</v>
      </c>
      <c r="E3" s="120" t="str">
        <f>IFERROR(__xludf.DUMMYFUNCTION("if(iserror(filter('Picks by Player Raw'!E:E,'Picks by Player Raw'!E:E &lt;&gt;E$1,'Picks by Player Raw'!E:E&lt;&gt;"""")),"""",filter('Picks by Player Raw'!E:E,'Picks by Player Raw'!E:E &lt;&gt;E$1,'Picks by Player Raw'!E:E&lt;&gt;""""))"),"MAC")</f>
        <v>MAC</v>
      </c>
      <c r="F3" s="121" t="str">
        <f>IFERROR(__xludf.DUMMYFUNCTION("if(iserror(filter('Picks by Player Raw'!F:F,'Picks by Player Raw'!F:F &lt;&gt;E$1,'Picks by Player Raw'!F:F&lt;&gt;"""")),"""",filter('Picks by Player Raw'!F:F,'Picks by Player Raw'!F:F &lt;&gt;E$1,'Picks by Player Raw'!F:F&lt;&gt;""""))"),"Toledo")</f>
        <v>Toledo</v>
      </c>
      <c r="G3" s="120" t="str">
        <f>IFERROR(__xludf.DUMMYFUNCTION("if(iserror(filter('Picks by Player Raw'!G:G,'Picks by Player Raw'!G:G &lt;&gt;G$1,'Picks by Player Raw'!G:G&lt;&gt;"""")),"""",filter('Picks by Player Raw'!G:G,'Picks by Player Raw'!G:G &lt;&gt;G$1,'Picks by Player Raw'!G:G&lt;&gt;""""))"),"Sun Belt")</f>
        <v>Sun Belt</v>
      </c>
      <c r="H3" s="121" t="str">
        <f>IFERROR(__xludf.DUMMYFUNCTION("if(iserror(filter('Picks by Player Raw'!H:H,'Picks by Player Raw'!H:H &lt;&gt;G$1,'Picks by Player Raw'!H:H&lt;&gt;"""")),"""",filter('Picks by Player Raw'!H:H,'Picks by Player Raw'!H:H &lt;&gt;G$1,'Picks by Player Raw'!H:H&lt;&gt;""""))"),"Appalachian State")</f>
        <v>Appalachian State</v>
      </c>
      <c r="I3" s="120" t="str">
        <f>IFERROR(__xludf.DUMMYFUNCTION("if(iserror(filter('Picks by Player Raw'!I:I,'Picks by Player Raw'!I:I &lt;&gt;I$1,'Picks by Player Raw'!I:I&lt;&gt;"""")),"""",filter('Picks by Player Raw'!I:I,'Picks by Player Raw'!I:I &lt;&gt;I$1,'Picks by Player Raw'!I:I&lt;&gt;""""))"),"AAC")</f>
        <v>AAC</v>
      </c>
      <c r="J3" s="121" t="str">
        <f>IFERROR(__xludf.DUMMYFUNCTION("if(iserror(filter('Picks by Player Raw'!J:J,'Picks by Player Raw'!J:J &lt;&gt;I$1,'Picks by Player Raw'!J:J&lt;&gt;"""")),"""",filter('Picks by Player Raw'!J:J,'Picks by Player Raw'!J:J &lt;&gt;I$1,'Picks by Player Raw'!J:J&lt;&gt;""""))"),"Cincinnati")</f>
        <v>Cincinnati</v>
      </c>
      <c r="K3" s="120" t="str">
        <f>IFERROR(__xludf.DUMMYFUNCTION("if(iserror(filter('Picks by Player Raw'!K:K,'Picks by Player Raw'!K:K &lt;&gt;K$1,'Picks by Player Raw'!K:K&lt;&gt;"""")),"""",filter('Picks by Player Raw'!K:K,'Picks by Player Raw'!K:K &lt;&gt;K$1,'Picks by Player Raw'!K:K&lt;&gt;""""))"),"SEC")</f>
        <v>SEC</v>
      </c>
      <c r="L3" s="121" t="str">
        <f>IFERROR(__xludf.DUMMYFUNCTION("if(iserror(filter('Picks by Player Raw'!L:L,'Picks by Player Raw'!L:L &lt;&gt;K$1,'Picks by Player Raw'!L:L&lt;&gt;"""")),"""",filter('Picks by Player Raw'!L:L,'Picks by Player Raw'!L:L &lt;&gt;K$1,'Picks by Player Raw'!L:L&lt;&gt;""""))"),"Alabama")</f>
        <v>Alabama</v>
      </c>
      <c r="M3" s="120" t="str">
        <f>IFERROR(__xludf.DUMMYFUNCTION("if(iserror(filter('Picks by Player Raw'!M:M,'Picks by Player Raw'!M:M &lt;&gt;M$1,'Picks by Player Raw'!M:M&lt;&gt;"""")),"""",filter('Picks by Player Raw'!M:M,'Picks by Player Raw'!M:M &lt;&gt;M$1,'Picks by Player Raw'!M:M&lt;&gt;""""))"),"Sun Belt")</f>
        <v>Sun Belt</v>
      </c>
      <c r="N3" s="121" t="str">
        <f>IFERROR(__xludf.DUMMYFUNCTION("if(iserror(filter('Picks by Player Raw'!N:N,'Picks by Player Raw'!N:N &lt;&gt;M$1,'Picks by Player Raw'!N:N&lt;&gt;"""")),"""",filter('Picks by Player Raw'!N:N,'Picks by Player Raw'!N:N &lt;&gt;M$1,'Picks by Player Raw'!N:N&lt;&gt;""""))"),"UL Lafayette")</f>
        <v>UL Lafayette</v>
      </c>
      <c r="O3" s="120" t="str">
        <f>IFERROR(__xludf.DUMMYFUNCTION("if(iserror(filter('Picks by Player Raw'!O:O,'Picks by Player Raw'!O:O &lt;&gt;O$1,'Picks by Player Raw'!O:O&lt;&gt;"""")),"""",filter('Picks by Player Raw'!O:O,'Picks by Player Raw'!O:O &lt;&gt;O$1,'Picks by Player Raw'!O:O&lt;&gt;""""))"),"Sun Belt")</f>
        <v>Sun Belt</v>
      </c>
      <c r="P3" s="121" t="str">
        <f>IFERROR(__xludf.DUMMYFUNCTION("if(iserror(filter('Picks by Player Raw'!P:P,'Picks by Player Raw'!P:P &lt;&gt;O$1,'Picks by Player Raw'!P:P&lt;&gt;"""")),"""",filter('Picks by Player Raw'!P:P,'Picks by Player Raw'!P:P &lt;&gt;O$1,'Picks by Player Raw'!P:P&lt;&gt;""""))"),"Coastal Carolina")</f>
        <v>Coastal Carolina</v>
      </c>
      <c r="Q3" s="120" t="str">
        <f>IFERROR(__xludf.DUMMYFUNCTION("if(iserror(filter('Picks by Player Raw'!Q:Q,'Picks by Player Raw'!Q:Q &lt;&gt;Q$1,'Picks by Player Raw'!Q:Q&lt;&gt;"""")),"""",filter('Picks by Player Raw'!Q:Q,'Picks by Player Raw'!Q:Q &lt;&gt;Q$1,'Picks by Player Raw'!Q:Q&lt;&gt;""""))"),"Sun Belt")</f>
        <v>Sun Belt</v>
      </c>
      <c r="R3" s="121" t="str">
        <f>IFERROR(__xludf.DUMMYFUNCTION("if(iserror(filter('Picks by Player Raw'!R:R,'Picks by Player Raw'!R:R &lt;&gt;Q$1,'Picks by Player Raw'!R:R&lt;&gt;"""")),"""",filter('Picks by Player Raw'!R:R,'Picks by Player Raw'!R:R &lt;&gt;Q$1,'Picks by Player Raw'!R:R&lt;&gt;""""))"),"Marshall")</f>
        <v>Marshall</v>
      </c>
      <c r="S3" s="120" t="str">
        <f>IFERROR(__xludf.DUMMYFUNCTION("if(iserror(filter('Picks by Player Raw'!S:S,'Picks by Player Raw'!S:S &lt;&gt;S$1,'Picks by Player Raw'!S:S&lt;&gt;"""")),"""",filter('Picks by Player Raw'!S:S,'Picks by Player Raw'!S:S &lt;&gt;S$1,'Picks by Player Raw'!S:S&lt;&gt;""""))"),"SEC")</f>
        <v>SEC</v>
      </c>
      <c r="T3" s="121" t="str">
        <f>IFERROR(__xludf.DUMMYFUNCTION("if(iserror(filter('Picks by Player Raw'!T:T,'Picks by Player Raw'!T:T &lt;&gt;S$1,'Picks by Player Raw'!T:T&lt;&gt;"""")),"""",filter('Picks by Player Raw'!T:T,'Picks by Player Raw'!T:T &lt;&gt;S$1,'Picks by Player Raw'!T:T&lt;&gt;""""))"),"Georgia")</f>
        <v>Georgia</v>
      </c>
      <c r="U3" s="120" t="str">
        <f>IFERROR(__xludf.DUMMYFUNCTION("if(iserror(filter('Picks by Player Raw'!U:U,'Picks by Player Raw'!U:U &lt;&gt;U$1,'Picks by Player Raw'!U:U&lt;&gt;"""")),"""",filter('Picks by Player Raw'!U:U,'Picks by Player Raw'!U:U &lt;&gt;U$1,'Picks by Player Raw'!U:U&lt;&gt;""""))"),"MWC")</f>
        <v>MWC</v>
      </c>
      <c r="V3" s="121" t="str">
        <f>IFERROR(__xludf.DUMMYFUNCTION("if(iserror(filter('Picks by Player Raw'!V:V,'Picks by Player Raw'!V:V &lt;&gt;U$1,'Picks by Player Raw'!V:V&lt;&gt;"""")),"""",filter('Picks by Player Raw'!V:V,'Picks by Player Raw'!V:V &lt;&gt;U$1,'Picks by Player Raw'!V:V&lt;&gt;""""))"),"Boise State")</f>
        <v>Boise State</v>
      </c>
      <c r="W3" s="120" t="str">
        <f>IFERROR(__xludf.DUMMYFUNCTION("if(iserror(filter('Picks by Player Raw'!W:W,'Picks by Player Raw'!W:W &lt;&gt;W$1,'Picks by Player Raw'!W:W&lt;&gt;"""")),"""",filter('Picks by Player Raw'!W:W,'Picks by Player Raw'!W:W &lt;&gt;W$1,'Picks by Player Raw'!W:W&lt;&gt;""""))"),"MWC")</f>
        <v>MWC</v>
      </c>
      <c r="X3" s="121" t="str">
        <f>IFERROR(__xludf.DUMMYFUNCTION("if(iserror(filter('Picks by Player Raw'!X:X,'Picks by Player Raw'!X:X &lt;&gt;W$1,'Picks by Player Raw'!X:X&lt;&gt;"""")),"""",filter('Picks by Player Raw'!X:X,'Picks by Player Raw'!X:X &lt;&gt;W$1,'Picks by Player Raw'!X:X&lt;&gt;""""))"),"Air Force")</f>
        <v>Air Force</v>
      </c>
      <c r="Y3" s="120" t="str">
        <f>IFERROR(__xludf.DUMMYFUNCTION("if(iserror(filter('Picks by Player Raw'!Y:Y,'Picks by Player Raw'!Y:Y &lt;&gt;Y$1,'Picks by Player Raw'!Y:Y&lt;&gt;"""")),"""",filter('Picks by Player Raw'!Y:Y,'Picks by Player Raw'!Y:Y &lt;&gt;Y$1,'Picks by Player Raw'!Y:Y&lt;&gt;""""))"),"Pac12")</f>
        <v>Pac12</v>
      </c>
      <c r="Z3" s="121" t="str">
        <f>IFERROR(__xludf.DUMMYFUNCTION("if(iserror(filter('Picks by Player Raw'!Z:Z,'Picks by Player Raw'!Z:Z &lt;&gt;Y$1,'Picks by Player Raw'!Z:Z&lt;&gt;"""")),"""",filter('Picks by Player Raw'!Z:Z,'Picks by Player Raw'!Z:Z &lt;&gt;Y$1,'Picks by Player Raw'!Z:Z&lt;&gt;""""))"),"Utah")</f>
        <v>Utah</v>
      </c>
    </row>
    <row r="4">
      <c r="A4" s="130" t="str">
        <f>IFERROR(__xludf.DUMMYFUNCTION("""COMPUTED_VALUE"""),"Pac12")</f>
        <v>Pac12</v>
      </c>
      <c r="B4" s="131" t="str">
        <f>IFERROR(__xludf.DUMMYFUNCTION("""COMPUTED_VALUE"""),"Oregon")</f>
        <v>Oregon</v>
      </c>
      <c r="C4" s="130" t="str">
        <f>IFERROR(__xludf.DUMMYFUNCTION("""COMPUTED_VALUE"""),"MAC")</f>
        <v>MAC</v>
      </c>
      <c r="D4" s="131" t="str">
        <f>IFERROR(__xludf.DUMMYFUNCTION("""COMPUTED_VALUE"""),"Miami-OH")</f>
        <v>Miami-OH</v>
      </c>
      <c r="E4" s="130" t="str">
        <f>IFERROR(__xludf.DUMMYFUNCTION("""COMPUTED_VALUE"""),"CUSA")</f>
        <v>CUSA</v>
      </c>
      <c r="F4" s="131" t="str">
        <f>IFERROR(__xludf.DUMMYFUNCTION("""COMPUTED_VALUE"""),"Western Kentucky")</f>
        <v>Western Kentucky</v>
      </c>
      <c r="G4" s="130" t="str">
        <f>IFERROR(__xludf.DUMMYFUNCTION("""COMPUTED_VALUE"""),"MAC")</f>
        <v>MAC</v>
      </c>
      <c r="H4" s="131" t="str">
        <f>IFERROR(__xludf.DUMMYFUNCTION("""COMPUTED_VALUE"""),"Central Michigan")</f>
        <v>Central Michigan</v>
      </c>
      <c r="I4" s="130" t="str">
        <f>IFERROR(__xludf.DUMMYFUNCTION("""COMPUTED_VALUE"""),"CUSA")</f>
        <v>CUSA</v>
      </c>
      <c r="J4" s="131" t="str">
        <f>IFERROR(__xludf.DUMMYFUNCTION("""COMPUTED_VALUE"""),"UTSA")</f>
        <v>UTSA</v>
      </c>
      <c r="K4" s="130" t="str">
        <f>IFERROR(__xludf.DUMMYFUNCTION("""COMPUTED_VALUE"""),"Big 12")</f>
        <v>Big 12</v>
      </c>
      <c r="L4" s="131" t="str">
        <f>IFERROR(__xludf.DUMMYFUNCTION("""COMPUTED_VALUE"""),"BYU")</f>
        <v>BYU</v>
      </c>
      <c r="M4" s="130" t="str">
        <f>IFERROR(__xludf.DUMMYFUNCTION("""COMPUTED_VALUE"""),"AAC")</f>
        <v>AAC</v>
      </c>
      <c r="N4" s="131" t="str">
        <f>IFERROR(__xludf.DUMMYFUNCTION("""COMPUTED_VALUE"""),"Memphis")</f>
        <v>Memphis</v>
      </c>
      <c r="O4" s="130" t="str">
        <f>IFERROR(__xludf.DUMMYFUNCTION("""COMPUTED_VALUE"""),"MWC")</f>
        <v>MWC</v>
      </c>
      <c r="P4" s="131" t="str">
        <f>IFERROR(__xludf.DUMMYFUNCTION("""COMPUTED_VALUE"""),"Fresno State")</f>
        <v>Fresno State</v>
      </c>
      <c r="Q4" s="130" t="str">
        <f>IFERROR(__xludf.DUMMYFUNCTION("""COMPUTED_VALUE"""),"AAC")</f>
        <v>AAC</v>
      </c>
      <c r="R4" s="131" t="str">
        <f>IFERROR(__xludf.DUMMYFUNCTION("""COMPUTED_VALUE"""),"Army")</f>
        <v>Army</v>
      </c>
      <c r="S4" s="130" t="str">
        <f>IFERROR(__xludf.DUMMYFUNCTION("""COMPUTED_VALUE"""),"Pac12")</f>
        <v>Pac12</v>
      </c>
      <c r="T4" s="131" t="str">
        <f>IFERROR(__xludf.DUMMYFUNCTION("""COMPUTED_VALUE"""),"USC")</f>
        <v>USC</v>
      </c>
      <c r="U4" s="130" t="str">
        <f>IFERROR(__xludf.DUMMYFUNCTION("""COMPUTED_VALUE"""),"AAC")</f>
        <v>AAC</v>
      </c>
      <c r="V4" s="131" t="str">
        <f>IFERROR(__xludf.DUMMYFUNCTION("""COMPUTED_VALUE"""),"UCF")</f>
        <v>UCF</v>
      </c>
      <c r="W4" s="130" t="str">
        <f>IFERROR(__xludf.DUMMYFUNCTION("""COMPUTED_VALUE"""),"CUSA")</f>
        <v>CUSA</v>
      </c>
      <c r="X4" s="131" t="str">
        <f>IFERROR(__xludf.DUMMYFUNCTION("""COMPUTED_VALUE"""),"UAB")</f>
        <v>UAB</v>
      </c>
      <c r="Y4" s="130" t="str">
        <f>IFERROR(__xludf.DUMMYFUNCTION("""COMPUTED_VALUE"""),"AAC")</f>
        <v>AAC</v>
      </c>
      <c r="Z4" s="131" t="str">
        <f>IFERROR(__xludf.DUMMYFUNCTION("""COMPUTED_VALUE"""),"Houston")</f>
        <v>Houston</v>
      </c>
    </row>
    <row r="5">
      <c r="A5" s="130" t="str">
        <f>IFERROR(__xludf.DUMMYFUNCTION("""COMPUTED_VALUE"""),"Big 12")</f>
        <v>Big 12</v>
      </c>
      <c r="B5" s="131" t="str">
        <f>IFERROR(__xludf.DUMMYFUNCTION("""COMPUTED_VALUE"""),"Oklahoma")</f>
        <v>Oklahoma</v>
      </c>
      <c r="C5" s="130" t="str">
        <f>IFERROR(__xludf.DUMMYFUNCTION("""COMPUTED_VALUE"""),"MWC")</f>
        <v>MWC</v>
      </c>
      <c r="D5" s="131" t="str">
        <f>IFERROR(__xludf.DUMMYFUNCTION("""COMPUTED_VALUE"""),"San Diego State")</f>
        <v>San Diego State</v>
      </c>
      <c r="E5" s="130" t="str">
        <f>IFERROR(__xludf.DUMMYFUNCTION("""COMPUTED_VALUE"""),"Pac12")</f>
        <v>Pac12</v>
      </c>
      <c r="F5" s="131" t="str">
        <f>IFERROR(__xludf.DUMMYFUNCTION("""COMPUTED_VALUE"""),"UCLA")</f>
        <v>UCLA</v>
      </c>
      <c r="G5" s="130" t="str">
        <f>IFERROR(__xludf.DUMMYFUNCTION("""COMPUTED_VALUE"""),"Big Ten")</f>
        <v>Big Ten</v>
      </c>
      <c r="H5" s="131" t="str">
        <f>IFERROR(__xludf.DUMMYFUNCTION("""COMPUTED_VALUE"""),"Michigan")</f>
        <v>Michigan</v>
      </c>
      <c r="I5" s="130" t="str">
        <f>IFERROR(__xludf.DUMMYFUNCTION("""COMPUTED_VALUE"""),"MWC")</f>
        <v>MWC</v>
      </c>
      <c r="J5" s="131" t="str">
        <f>IFERROR(__xludf.DUMMYFUNCTION("""COMPUTED_VALUE"""),"Utah State")</f>
        <v>Utah State</v>
      </c>
      <c r="K5" s="130" t="str">
        <f>IFERROR(__xludf.DUMMYFUNCTION("""COMPUTED_VALUE"""),"MWC")</f>
        <v>MWC</v>
      </c>
      <c r="L5" s="131" t="str">
        <f>IFERROR(__xludf.DUMMYFUNCTION("""COMPUTED_VALUE"""),"San José State")</f>
        <v>San José State</v>
      </c>
      <c r="M5" s="130" t="str">
        <f>IFERROR(__xludf.DUMMYFUNCTION("""COMPUTED_VALUE"""),"Big 12")</f>
        <v>Big 12</v>
      </c>
      <c r="N5" s="131" t="str">
        <f>IFERROR(__xludf.DUMMYFUNCTION("""COMPUTED_VALUE"""),"Notre Dame")</f>
        <v>Notre Dame</v>
      </c>
      <c r="O5" s="130" t="str">
        <f>IFERROR(__xludf.DUMMYFUNCTION("""COMPUTED_VALUE"""),"ACC")</f>
        <v>ACC</v>
      </c>
      <c r="P5" s="131" t="str">
        <f>IFERROR(__xludf.DUMMYFUNCTION("""COMPUTED_VALUE"""),"Miami")</f>
        <v>Miami</v>
      </c>
      <c r="Q5" s="130" t="str">
        <f>IFERROR(__xludf.DUMMYFUNCTION("""COMPUTED_VALUE"""),"Big 12")</f>
        <v>Big 12</v>
      </c>
      <c r="R5" s="131" t="str">
        <f>IFERROR(__xludf.DUMMYFUNCTION("""COMPUTED_VALUE"""),"Texas")</f>
        <v>Texas</v>
      </c>
      <c r="S5" s="130" t="str">
        <f>IFERROR(__xludf.DUMMYFUNCTION("""COMPUTED_VALUE"""),"Big 12")</f>
        <v>Big 12</v>
      </c>
      <c r="T5" s="131" t="str">
        <f>IFERROR(__xludf.DUMMYFUNCTION("""COMPUTED_VALUE"""),"Oklahoma State")</f>
        <v>Oklahoma State</v>
      </c>
      <c r="U5" s="130" t="str">
        <f>IFERROR(__xludf.DUMMYFUNCTION("""COMPUTED_VALUE"""),"SEC")</f>
        <v>SEC</v>
      </c>
      <c r="V5" s="131" t="str">
        <f>IFERROR(__xludf.DUMMYFUNCTION("""COMPUTED_VALUE"""),"Texas A&amp;M")</f>
        <v>Texas A&amp;M</v>
      </c>
      <c r="W5" s="130" t="str">
        <f>IFERROR(__xludf.DUMMYFUNCTION("""COMPUTED_VALUE"""),"Sun Belt")</f>
        <v>Sun Belt</v>
      </c>
      <c r="X5" s="131" t="str">
        <f>IFERROR(__xludf.DUMMYFUNCTION("""COMPUTED_VALUE"""),"Georgia State")</f>
        <v>Georgia State</v>
      </c>
      <c r="Y5" s="130" t="str">
        <f>IFERROR(__xludf.DUMMYFUNCTION("""COMPUTED_VALUE"""),"ACC")</f>
        <v>ACC</v>
      </c>
      <c r="Z5" s="131" t="str">
        <f>IFERROR(__xludf.DUMMYFUNCTION("""COMPUTED_VALUE"""),"NC State")</f>
        <v>NC State</v>
      </c>
    </row>
    <row r="6">
      <c r="A6" s="130" t="str">
        <f>IFERROR(__xludf.DUMMYFUNCTION("""COMPUTED_VALUE"""),"ACC")</f>
        <v>ACC</v>
      </c>
      <c r="B6" s="131" t="str">
        <f>IFERROR(__xludf.DUMMYFUNCTION("""COMPUTED_VALUE"""),"Virginia")</f>
        <v>Virginia</v>
      </c>
      <c r="C6" s="130" t="str">
        <f>IFERROR(__xludf.DUMMYFUNCTION("""COMPUTED_VALUE"""),"CUSA")</f>
        <v>CUSA</v>
      </c>
      <c r="D6" s="131" t="str">
        <f>IFERROR(__xludf.DUMMYFUNCTION("""COMPUTED_VALUE"""),"North Texas")</f>
        <v>North Texas</v>
      </c>
      <c r="E6" s="130" t="str">
        <f>IFERROR(__xludf.DUMMYFUNCTION("""COMPUTED_VALUE"""),"AAC")</f>
        <v>AAC</v>
      </c>
      <c r="F6" s="131" t="str">
        <f>IFERROR(__xludf.DUMMYFUNCTION("""COMPUTED_VALUE"""),"Tulane")</f>
        <v>Tulane</v>
      </c>
      <c r="G6" s="130" t="str">
        <f>IFERROR(__xludf.DUMMYFUNCTION("""COMPUTED_VALUE"""),"SEC")</f>
        <v>SEC</v>
      </c>
      <c r="H6" s="131" t="str">
        <f>IFERROR(__xludf.DUMMYFUNCTION("""COMPUTED_VALUE"""),"Kentucky")</f>
        <v>Kentucky</v>
      </c>
      <c r="I6" s="130" t="str">
        <f>IFERROR(__xludf.DUMMYFUNCTION("""COMPUTED_VALUE"""),"MAC")</f>
        <v>MAC</v>
      </c>
      <c r="J6" s="131" t="str">
        <f>IFERROR(__xludf.DUMMYFUNCTION("""COMPUTED_VALUE"""),"Northern Illinois")</f>
        <v>Northern Illinois</v>
      </c>
      <c r="K6" s="130" t="str">
        <f>IFERROR(__xludf.DUMMYFUNCTION("""COMPUTED_VALUE"""),"AAC")</f>
        <v>AAC</v>
      </c>
      <c r="L6" s="131" t="str">
        <f>IFERROR(__xludf.DUMMYFUNCTION("""COMPUTED_VALUE"""),"SMU")</f>
        <v>SMU</v>
      </c>
      <c r="M6" s="130" t="str">
        <f>IFERROR(__xludf.DUMMYFUNCTION("""COMPUTED_VALUE"""),"ACC")</f>
        <v>ACC</v>
      </c>
      <c r="N6" s="131" t="str">
        <f>IFERROR(__xludf.DUMMYFUNCTION("""COMPUTED_VALUE"""),"North Carolina")</f>
        <v>North Carolina</v>
      </c>
      <c r="O6" s="130" t="str">
        <f>IFERROR(__xludf.DUMMYFUNCTION("""COMPUTED_VALUE"""),"AAC")</f>
        <v>AAC</v>
      </c>
      <c r="P6" s="131" t="str">
        <f>IFERROR(__xludf.DUMMYFUNCTION("""COMPUTED_VALUE"""),"East Carolina")</f>
        <v>East Carolina</v>
      </c>
      <c r="Q6" s="130" t="str">
        <f>IFERROR(__xludf.DUMMYFUNCTION("""COMPUTED_VALUE"""),"ACC")</f>
        <v>ACC</v>
      </c>
      <c r="R6" s="131" t="str">
        <f>IFERROR(__xludf.DUMMYFUNCTION("""COMPUTED_VALUE"""),"Pittsburgh")</f>
        <v>Pittsburgh</v>
      </c>
      <c r="S6" s="130" t="str">
        <f>IFERROR(__xludf.DUMMYFUNCTION("""COMPUTED_VALUE"""),"MWC")</f>
        <v>MWC</v>
      </c>
      <c r="T6" s="131" t="str">
        <f>IFERROR(__xludf.DUMMYFUNCTION("""COMPUTED_VALUE"""),"Colorado State")</f>
        <v>Colorado State</v>
      </c>
      <c r="U6" s="130" t="str">
        <f>IFERROR(__xludf.DUMMYFUNCTION("""COMPUTED_VALUE"""),"Pac12")</f>
        <v>Pac12</v>
      </c>
      <c r="V6" s="131" t="str">
        <f>IFERROR(__xludf.DUMMYFUNCTION("""COMPUTED_VALUE"""),"Washington")</f>
        <v>Washington</v>
      </c>
      <c r="W6" s="130" t="str">
        <f>IFERROR(__xludf.DUMMYFUNCTION("""COMPUTED_VALUE"""),"Big 12")</f>
        <v>Big 12</v>
      </c>
      <c r="X6" s="131" t="str">
        <f>IFERROR(__xludf.DUMMYFUNCTION("""COMPUTED_VALUE"""),"TCU")</f>
        <v>TCU</v>
      </c>
      <c r="Y6" s="130" t="str">
        <f>IFERROR(__xludf.DUMMYFUNCTION("""COMPUTED_VALUE"""),"Big 12")</f>
        <v>Big 12</v>
      </c>
      <c r="Z6" s="131" t="str">
        <f>IFERROR(__xludf.DUMMYFUNCTION("""COMPUTED_VALUE"""),"Baylor")</f>
        <v>Baylor</v>
      </c>
    </row>
    <row r="7">
      <c r="A7" s="130" t="str">
        <f>IFERROR(__xludf.DUMMYFUNCTION("""COMPUTED_VALUE"""),"AAC")</f>
        <v>AAC</v>
      </c>
      <c r="B7" s="131" t="str">
        <f>IFERROR(__xludf.DUMMYFUNCTION("""COMPUTED_VALUE"""),"Tulsa")</f>
        <v>Tulsa</v>
      </c>
      <c r="C7" s="130" t="str">
        <f>IFERROR(__xludf.DUMMYFUNCTION("""COMPUTED_VALUE"""),"Big Ten")</f>
        <v>Big Ten</v>
      </c>
      <c r="D7" s="131" t="str">
        <f>IFERROR(__xludf.DUMMYFUNCTION("""COMPUTED_VALUE"""),"Wisconsin")</f>
        <v>Wisconsin</v>
      </c>
      <c r="E7" s="130" t="str">
        <f>IFERROR(__xludf.DUMMYFUNCTION("""COMPUTED_VALUE"""),"ACC")</f>
        <v>ACC</v>
      </c>
      <c r="F7" s="131" t="str">
        <f>IFERROR(__xludf.DUMMYFUNCTION("""COMPUTED_VALUE"""),"Wake Forest")</f>
        <v>Wake Forest</v>
      </c>
      <c r="G7" s="130" t="str">
        <f>IFERROR(__xludf.DUMMYFUNCTION("""COMPUTED_VALUE"""),"Pac12")</f>
        <v>Pac12</v>
      </c>
      <c r="H7" s="131" t="str">
        <f>IFERROR(__xludf.DUMMYFUNCTION("""COMPUTED_VALUE"""),"Oregon State")</f>
        <v>Oregon State</v>
      </c>
      <c r="I7" s="130" t="str">
        <f>IFERROR(__xludf.DUMMYFUNCTION("""COMPUTED_VALUE"""),"Big Ten")</f>
        <v>Big Ten</v>
      </c>
      <c r="J7" s="131" t="str">
        <f>IFERROR(__xludf.DUMMYFUNCTION("""COMPUTED_VALUE"""),"Michigan State")</f>
        <v>Michigan State</v>
      </c>
      <c r="K7" s="130" t="str">
        <f>IFERROR(__xludf.DUMMYFUNCTION("""COMPUTED_VALUE"""),"Sun Belt")</f>
        <v>Sun Belt</v>
      </c>
      <c r="L7" s="131" t="str">
        <f>IFERROR(__xludf.DUMMYFUNCTION("""COMPUTED_VALUE"""),"Troy")</f>
        <v>Troy</v>
      </c>
      <c r="M7" s="130" t="str">
        <f>IFERROR(__xludf.DUMMYFUNCTION("""COMPUTED_VALUE"""),"Big Ten")</f>
        <v>Big Ten</v>
      </c>
      <c r="N7" s="131" t="str">
        <f>IFERROR(__xludf.DUMMYFUNCTION("""COMPUTED_VALUE"""),"Penn State")</f>
        <v>Penn State</v>
      </c>
      <c r="O7" s="130" t="str">
        <f>IFERROR(__xludf.DUMMYFUNCTION("""COMPUTED_VALUE"""),"CUSA")</f>
        <v>CUSA</v>
      </c>
      <c r="P7" s="131" t="str">
        <f>IFERROR(__xludf.DUMMYFUNCTION("""COMPUTED_VALUE"""),"Southern Mississippi")</f>
        <v>Southern Mississippi</v>
      </c>
      <c r="Q7" s="130" t="str">
        <f>IFERROR(__xludf.DUMMYFUNCTION("""COMPUTED_VALUE"""),"MAC")</f>
        <v>MAC</v>
      </c>
      <c r="R7" s="131" t="str">
        <f>IFERROR(__xludf.DUMMYFUNCTION("""COMPUTED_VALUE"""),"Liberty")</f>
        <v>Liberty</v>
      </c>
      <c r="S7" s="130" t="str">
        <f>IFERROR(__xludf.DUMMYFUNCTION("""COMPUTED_VALUE"""),"Sun Belt")</f>
        <v>Sun Belt</v>
      </c>
      <c r="T7" s="131" t="str">
        <f>IFERROR(__xludf.DUMMYFUNCTION("""COMPUTED_VALUE"""),"James Madison")</f>
        <v>James Madison</v>
      </c>
      <c r="U7" s="130" t="str">
        <f>IFERROR(__xludf.DUMMYFUNCTION("""COMPUTED_VALUE"""),"Big 12")</f>
        <v>Big 12</v>
      </c>
      <c r="V7" s="131" t="str">
        <f>IFERROR(__xludf.DUMMYFUNCTION("""COMPUTED_VALUE"""),"Iowa State")</f>
        <v>Iowa State</v>
      </c>
      <c r="W7" s="130" t="str">
        <f>IFERROR(__xludf.DUMMYFUNCTION("""COMPUTED_VALUE"""),"MAC")</f>
        <v>MAC</v>
      </c>
      <c r="X7" s="131" t="str">
        <f>IFERROR(__xludf.DUMMYFUNCTION("""COMPUTED_VALUE"""),"EMU")</f>
        <v>EMU</v>
      </c>
      <c r="Y7" s="130" t="str">
        <f>IFERROR(__xludf.DUMMYFUNCTION("""COMPUTED_VALUE"""),"MAC")</f>
        <v>MAC</v>
      </c>
      <c r="Z7" s="131" t="str">
        <f>IFERROR(__xludf.DUMMYFUNCTION("""COMPUTED_VALUE"""),"Western Michigan")</f>
        <v>Western Michigan</v>
      </c>
    </row>
    <row r="8">
      <c r="A8" s="130" t="str">
        <f>IFERROR(__xludf.DUMMYFUNCTION("""COMPUTED_VALUE"""),"CUSA")</f>
        <v>CUSA</v>
      </c>
      <c r="B8" s="131" t="str">
        <f>IFERROR(__xludf.DUMMYFUNCTION("""COMPUTED_VALUE"""),"Florida Atlantic")</f>
        <v>Florida Atlantic</v>
      </c>
      <c r="C8" s="130" t="str">
        <f>IFERROR(__xludf.DUMMYFUNCTION("""COMPUTED_VALUE"""),"Pac12")</f>
        <v>Pac12</v>
      </c>
      <c r="D8" s="131" t="str">
        <f>IFERROR(__xludf.DUMMYFUNCTION("""COMPUTED_VALUE"""),"Washington State")</f>
        <v>Washington State</v>
      </c>
      <c r="E8" s="130" t="str">
        <f>IFERROR(__xludf.DUMMYFUNCTION("""COMPUTED_VALUE"""),"Big 12")</f>
        <v>Big 12</v>
      </c>
      <c r="F8" s="131" t="str">
        <f>IFERROR(__xludf.DUMMYFUNCTION("""COMPUTED_VALUE"""),"Texas Tech")</f>
        <v>Texas Tech</v>
      </c>
      <c r="G8" s="130" t="str">
        <f>IFERROR(__xludf.DUMMYFUNCTION("""COMPUTED_VALUE"""),"Big 12")</f>
        <v>Big 12</v>
      </c>
      <c r="H8" s="131" t="str">
        <f>IFERROR(__xludf.DUMMYFUNCTION("""COMPUTED_VALUE"""),"Kansas State")</f>
        <v>Kansas State</v>
      </c>
      <c r="I8" s="130" t="str">
        <f>IFERROR(__xludf.DUMMYFUNCTION("""COMPUTED_VALUE"""),"SEC")</f>
        <v>SEC</v>
      </c>
      <c r="J8" s="131" t="str">
        <f>IFERROR(__xludf.DUMMYFUNCTION("""COMPUTED_VALUE"""),"Arkansas")</f>
        <v>Arkansas</v>
      </c>
      <c r="K8" s="130" t="str">
        <f>IFERROR(__xludf.DUMMYFUNCTION("""COMPUTED_VALUE"""),"Big Ten")</f>
        <v>Big Ten</v>
      </c>
      <c r="L8" s="131" t="str">
        <f>IFERROR(__xludf.DUMMYFUNCTION("""COMPUTED_VALUE"""),"Nebraska")</f>
        <v>Nebraska</v>
      </c>
      <c r="M8" s="130" t="str">
        <f>IFERROR(__xludf.DUMMYFUNCTION("""COMPUTED_VALUE"""),"CUSA")</f>
        <v>CUSA</v>
      </c>
      <c r="N8" s="131" t="str">
        <f>IFERROR(__xludf.DUMMYFUNCTION("""COMPUTED_VALUE"""),"Middle Tennessee")</f>
        <v>Middle Tennessee</v>
      </c>
      <c r="O8" s="130" t="str">
        <f>IFERROR(__xludf.DUMMYFUNCTION("""COMPUTED_VALUE"""),"MAC")</f>
        <v>MAC</v>
      </c>
      <c r="P8" s="131" t="str">
        <f>IFERROR(__xludf.DUMMYFUNCTION("""COMPUTED_VALUE"""),"Kent State")</f>
        <v>Kent State</v>
      </c>
      <c r="Q8" s="130" t="str">
        <f>IFERROR(__xludf.DUMMYFUNCTION("""COMPUTED_VALUE"""),"MWC")</f>
        <v>MWC</v>
      </c>
      <c r="R8" s="131" t="str">
        <f>IFERROR(__xludf.DUMMYFUNCTION("""COMPUTED_VALUE"""),"Hawaii")</f>
        <v>Hawaii</v>
      </c>
      <c r="S8" s="130" t="str">
        <f>IFERROR(__xludf.DUMMYFUNCTION("""COMPUTED_VALUE"""),"AAC")</f>
        <v>AAC</v>
      </c>
      <c r="T8" s="131" t="str">
        <f>IFERROR(__xludf.DUMMYFUNCTION("""COMPUTED_VALUE"""),"Navy")</f>
        <v>Navy</v>
      </c>
      <c r="U8" s="130" t="str">
        <f>IFERROR(__xludf.DUMMYFUNCTION("""COMPUTED_VALUE"""),"ACC")</f>
        <v>ACC</v>
      </c>
      <c r="V8" s="131" t="str">
        <f>IFERROR(__xludf.DUMMYFUNCTION("""COMPUTED_VALUE"""),"Virginia Tech")</f>
        <v>Virginia Tech</v>
      </c>
      <c r="W8" s="130" t="str">
        <f>IFERROR(__xludf.DUMMYFUNCTION("""COMPUTED_VALUE"""),"ACC")</f>
        <v>ACC</v>
      </c>
      <c r="X8" s="131" t="str">
        <f>IFERROR(__xludf.DUMMYFUNCTION("""COMPUTED_VALUE"""),"Florida State")</f>
        <v>Florida State</v>
      </c>
      <c r="Y8" s="130" t="str">
        <f>IFERROR(__xludf.DUMMYFUNCTION("""COMPUTED_VALUE"""),"MWC")</f>
        <v>MWC</v>
      </c>
      <c r="Z8" s="131" t="str">
        <f>IFERROR(__xludf.DUMMYFUNCTION("""COMPUTED_VALUE"""),"Wyoming")</f>
        <v>Wyoming</v>
      </c>
    </row>
    <row r="9">
      <c r="A9" s="130" t="str">
        <f>IFERROR(__xludf.DUMMYFUNCTION("""COMPUTED_VALUE"""),"MWC")</f>
        <v>MWC</v>
      </c>
      <c r="B9" s="131" t="str">
        <f>IFERROR(__xludf.DUMMYFUNCTION("""COMPUTED_VALUE"""),"Nevada")</f>
        <v>Nevada</v>
      </c>
      <c r="C9" s="130" t="str">
        <f>IFERROR(__xludf.DUMMYFUNCTION("""COMPUTED_VALUE"""),"AAC")</f>
        <v>AAC</v>
      </c>
      <c r="D9" s="131" t="str">
        <f>IFERROR(__xludf.DUMMYFUNCTION("""COMPUTED_VALUE"""),"South Florida")</f>
        <v>South Florida</v>
      </c>
      <c r="E9" s="130" t="str">
        <f>IFERROR(__xludf.DUMMYFUNCTION("""COMPUTED_VALUE"""),"Big Ten")</f>
        <v>Big Ten</v>
      </c>
      <c r="F9" s="131" t="str">
        <f>IFERROR(__xludf.DUMMYFUNCTION("""COMPUTED_VALUE"""),"Minnesota")</f>
        <v>Minnesota</v>
      </c>
      <c r="G9" s="130" t="str">
        <f>IFERROR(__xludf.DUMMYFUNCTION("""COMPUTED_VALUE"""),"ACC")</f>
        <v>ACC</v>
      </c>
      <c r="H9" s="131" t="str">
        <f>IFERROR(__xludf.DUMMYFUNCTION("""COMPUTED_VALUE"""),"Boston College")</f>
        <v>Boston College</v>
      </c>
      <c r="I9" s="130" t="str">
        <f>IFERROR(__xludf.DUMMYFUNCTION("""COMPUTED_VALUE"""),"Sun Belt")</f>
        <v>Sun Belt</v>
      </c>
      <c r="J9" s="131" t="str">
        <f>IFERROR(__xludf.DUMMYFUNCTION("""COMPUTED_VALUE"""),"South Alabama")</f>
        <v>South Alabama</v>
      </c>
      <c r="K9" s="130" t="str">
        <f>IFERROR(__xludf.DUMMYFUNCTION("""COMPUTED_VALUE"""),"ACC")</f>
        <v>ACC</v>
      </c>
      <c r="L9" s="131" t="str">
        <f>IFERROR(__xludf.DUMMYFUNCTION("""COMPUTED_VALUE"""),"Louisville")</f>
        <v>Louisville</v>
      </c>
      <c r="M9" s="130" t="str">
        <f>IFERROR(__xludf.DUMMYFUNCTION("""COMPUTED_VALUE"""),"Pac12")</f>
        <v>Pac12</v>
      </c>
      <c r="N9" s="131" t="str">
        <f>IFERROR(__xludf.DUMMYFUNCTION("""COMPUTED_VALUE"""),"Arizona State")</f>
        <v>Arizona State</v>
      </c>
      <c r="O9" s="130" t="str">
        <f>IFERROR(__xludf.DUMMYFUNCTION("""COMPUTED_VALUE"""),"Big 12")</f>
        <v>Big 12</v>
      </c>
      <c r="P9" s="131" t="str">
        <f>IFERROR(__xludf.DUMMYFUNCTION("""COMPUTED_VALUE"""),"West Virginia")</f>
        <v>West Virginia</v>
      </c>
      <c r="Q9" s="130" t="str">
        <f>IFERROR(__xludf.DUMMYFUNCTION("""COMPUTED_VALUE"""),"Pac12")</f>
        <v>Pac12</v>
      </c>
      <c r="R9" s="131" t="str">
        <f>IFERROR(__xludf.DUMMYFUNCTION("""COMPUTED_VALUE"""),"California")</f>
        <v>California</v>
      </c>
      <c r="S9" s="130" t="str">
        <f>IFERROR(__xludf.DUMMYFUNCTION("""COMPUTED_VALUE"""),"Big Ten")</f>
        <v>Big Ten</v>
      </c>
      <c r="T9" s="131" t="str">
        <f>IFERROR(__xludf.DUMMYFUNCTION("""COMPUTED_VALUE"""),"Iowa")</f>
        <v>Iowa</v>
      </c>
      <c r="U9" s="130" t="str">
        <f>IFERROR(__xludf.DUMMYFUNCTION("""COMPUTED_VALUE"""),"Big Ten")</f>
        <v>Big Ten</v>
      </c>
      <c r="V9" s="131" t="str">
        <f>IFERROR(__xludf.DUMMYFUNCTION("""COMPUTED_VALUE"""),"Purdue")</f>
        <v>Purdue</v>
      </c>
      <c r="W9" s="130" t="str">
        <f>IFERROR(__xludf.DUMMYFUNCTION("""COMPUTED_VALUE"""),"SEC")</f>
        <v>SEC</v>
      </c>
      <c r="X9" s="131" t="str">
        <f>IFERROR(__xludf.DUMMYFUNCTION("""COMPUTED_VALUE"""),"Ole Miss")</f>
        <v>Ole Miss</v>
      </c>
      <c r="Y9" s="130" t="str">
        <f>IFERROR(__xludf.DUMMYFUNCTION("""COMPUTED_VALUE"""),"CUSA")</f>
        <v>CUSA</v>
      </c>
      <c r="Z9" s="131" t="str">
        <f>IFERROR(__xludf.DUMMYFUNCTION("""COMPUTED_VALUE"""),"UTEP")</f>
        <v>UTEP</v>
      </c>
    </row>
    <row r="10">
      <c r="A10" s="130" t="str">
        <f>IFERROR(__xludf.DUMMYFUNCTION("""COMPUTED_VALUE"""),"MAC")</f>
        <v>MAC</v>
      </c>
      <c r="B10" s="131" t="str">
        <f>IFERROR(__xludf.DUMMYFUNCTION("""COMPUTED_VALUE"""),"Ohio")</f>
        <v>Ohio</v>
      </c>
      <c r="C10" s="130" t="str">
        <f>IFERROR(__xludf.DUMMYFUNCTION("""COMPUTED_VALUE"""),"SEC")</f>
        <v>SEC</v>
      </c>
      <c r="D10" s="131" t="str">
        <f>IFERROR(__xludf.DUMMYFUNCTION("""COMPUTED_VALUE"""),"Tennessee")</f>
        <v>Tennessee</v>
      </c>
      <c r="E10" s="130" t="str">
        <f>IFERROR(__xludf.DUMMYFUNCTION("""COMPUTED_VALUE"""),"Sun Belt")</f>
        <v>Sun Belt</v>
      </c>
      <c r="F10" s="131" t="str">
        <f>IFERROR(__xludf.DUMMYFUNCTION("""COMPUTED_VALUE"""),"Georgia Southern")</f>
        <v>Georgia Southern</v>
      </c>
      <c r="G10" s="130" t="str">
        <f>IFERROR(__xludf.DUMMYFUNCTION("""COMPUTED_VALUE"""),"MWC")</f>
        <v>MWC</v>
      </c>
      <c r="H10" s="131" t="str">
        <f>IFERROR(__xludf.DUMMYFUNCTION("""COMPUTED_VALUE"""),"UNLV")</f>
        <v>UNLV</v>
      </c>
      <c r="I10" s="130" t="str">
        <f>IFERROR(__xludf.DUMMYFUNCTION("""COMPUTED_VALUE"""),"ACC")</f>
        <v>ACC</v>
      </c>
      <c r="J10" s="131" t="str">
        <f>IFERROR(__xludf.DUMMYFUNCTION("""COMPUTED_VALUE"""),"Syracuse")</f>
        <v>Syracuse</v>
      </c>
      <c r="K10" s="130" t="str">
        <f>IFERROR(__xludf.DUMMYFUNCTION("""COMPUTED_VALUE"""),"CUSA")</f>
        <v>CUSA</v>
      </c>
      <c r="L10" s="131" t="str">
        <f>IFERROR(__xludf.DUMMYFUNCTION("""COMPUTED_VALUE"""),"Charlotte")</f>
        <v>Charlotte</v>
      </c>
      <c r="M10" s="130" t="str">
        <f>IFERROR(__xludf.DUMMYFUNCTION("""COMPUTED_VALUE"""),"MAC")</f>
        <v>MAC</v>
      </c>
      <c r="N10" s="131" t="str">
        <f>IFERROR(__xludf.DUMMYFUNCTION("""COMPUTED_VALUE"""),"Buffalo")</f>
        <v>Buffalo</v>
      </c>
      <c r="O10" s="130" t="str">
        <f>IFERROR(__xludf.DUMMYFUNCTION("""COMPUTED_VALUE"""),"SEC")</f>
        <v>SEC</v>
      </c>
      <c r="P10" s="131" t="str">
        <f>IFERROR(__xludf.DUMMYFUNCTION("""COMPUTED_VALUE"""),"Florida")</f>
        <v>Florida</v>
      </c>
      <c r="Q10" s="130" t="str">
        <f>IFERROR(__xludf.DUMMYFUNCTION("""COMPUTED_VALUE"""),"CUSA")</f>
        <v>CUSA</v>
      </c>
      <c r="R10" s="131" t="str">
        <f>IFERROR(__xludf.DUMMYFUNCTION("""COMPUTED_VALUE"""),"Louisiana Tech")</f>
        <v>Louisiana Tech</v>
      </c>
      <c r="S10" s="130" t="str">
        <f>IFERROR(__xludf.DUMMYFUNCTION("""COMPUTED_VALUE"""),"MAC")</f>
        <v>MAC</v>
      </c>
      <c r="T10" s="131" t="str">
        <f>IFERROR(__xludf.DUMMYFUNCTION("""COMPUTED_VALUE"""),"Ball State")</f>
        <v>Ball State</v>
      </c>
      <c r="U10" s="130" t="str">
        <f>IFERROR(__xludf.DUMMYFUNCTION("""COMPUTED_VALUE"""),"Sun Belt")</f>
        <v>Sun Belt</v>
      </c>
      <c r="V10" s="131" t="str">
        <f>IFERROR(__xludf.DUMMYFUNCTION("""COMPUTED_VALUE"""),"Texas State")</f>
        <v>Texas State</v>
      </c>
      <c r="W10" s="130" t="str">
        <f>IFERROR(__xludf.DUMMYFUNCTION("""COMPUTED_VALUE"""),"Big Ten")</f>
        <v>Big Ten</v>
      </c>
      <c r="X10" s="131" t="str">
        <f>IFERROR(__xludf.DUMMYFUNCTION("""COMPUTED_VALUE"""),"Maryland")</f>
        <v>Maryland</v>
      </c>
      <c r="Y10" s="130" t="str">
        <f>IFERROR(__xludf.DUMMYFUNCTION("""COMPUTED_VALUE"""),"Sun Belt")</f>
        <v>Sun Belt</v>
      </c>
      <c r="Z10" s="131" t="str">
        <f>IFERROR(__xludf.DUMMYFUNCTION("""COMPUTED_VALUE"""),"Arkansas State")</f>
        <v>Arkansas State</v>
      </c>
    </row>
    <row r="11">
      <c r="A11" s="136" t="str">
        <f>IFERROR(__xludf.DUMMYFUNCTION("""COMPUTED_VALUE"""),"Sun Belt")</f>
        <v>Sun Belt</v>
      </c>
      <c r="B11" s="136" t="str">
        <f>IFERROR(__xludf.DUMMYFUNCTION("""COMPUTED_VALUE"""),"Old Dominion")</f>
        <v>Old Dominion</v>
      </c>
      <c r="C11" s="130" t="str">
        <f>IFERROR(__xludf.DUMMYFUNCTION("""COMPUTED_VALUE"""),"Big 12")</f>
        <v>Big 12</v>
      </c>
      <c r="D11" s="131" t="str">
        <f>IFERROR(__xludf.DUMMYFUNCTION("""COMPUTED_VALUE"""),"Kansas")</f>
        <v>Kansas</v>
      </c>
      <c r="E11" s="136" t="str">
        <f>IFERROR(__xludf.DUMMYFUNCTION("""COMPUTED_VALUE"""),"SEC")</f>
        <v>SEC</v>
      </c>
      <c r="F11" s="136" t="str">
        <f>IFERROR(__xludf.DUMMYFUNCTION("""COMPUTED_VALUE"""),"Mississippi State")</f>
        <v>Mississippi State</v>
      </c>
      <c r="G11" s="130" t="str">
        <f>IFERROR(__xludf.DUMMYFUNCTION("""COMPUTED_VALUE"""),"CUSA")</f>
        <v>CUSA</v>
      </c>
      <c r="H11" s="131" t="str">
        <f>IFERROR(__xludf.DUMMYFUNCTION("""COMPUTED_VALUE"""),"Florida Intl")</f>
        <v>Florida Intl</v>
      </c>
      <c r="I11" s="136" t="str">
        <f>IFERROR(__xludf.DUMMYFUNCTION("""COMPUTED_VALUE"""),"Pac12")</f>
        <v>Pac12</v>
      </c>
      <c r="J11" s="136" t="str">
        <f>IFERROR(__xludf.DUMMYFUNCTION("""COMPUTED_VALUE"""),"Stanford")</f>
        <v>Stanford</v>
      </c>
      <c r="K11" s="130" t="str">
        <f>IFERROR(__xludf.DUMMYFUNCTION("""COMPUTED_VALUE"""),"Pac12")</f>
        <v>Pac12</v>
      </c>
      <c r="L11" s="131" t="str">
        <f>IFERROR(__xludf.DUMMYFUNCTION("""COMPUTED_VALUE"""),"Rutgers")</f>
        <v>Rutgers</v>
      </c>
      <c r="M11" s="130" t="str">
        <f>IFERROR(__xludf.DUMMYFUNCTION("""COMPUTED_VALUE"""),"SEC")</f>
        <v>SEC</v>
      </c>
      <c r="N11" s="131" t="str">
        <f>IFERROR(__xludf.DUMMYFUNCTION("""COMPUTED_VALUE"""),"LSU")</f>
        <v>LSU</v>
      </c>
      <c r="O11" s="136" t="str">
        <f>IFERROR(__xludf.DUMMYFUNCTION("""COMPUTED_VALUE"""),"Big Ten")</f>
        <v>Big Ten</v>
      </c>
      <c r="P11" s="131" t="str">
        <f>IFERROR(__xludf.DUMMYFUNCTION("""COMPUTED_VALUE"""),"Illinois")</f>
        <v>Illinois</v>
      </c>
      <c r="Q11" s="130" t="str">
        <f>IFERROR(__xludf.DUMMYFUNCTION("""COMPUTED_VALUE"""),"SEC")</f>
        <v>SEC</v>
      </c>
      <c r="R11" s="131" t="str">
        <f>IFERROR(__xludf.DUMMYFUNCTION("""COMPUTED_VALUE"""),"Auburn")</f>
        <v>Auburn</v>
      </c>
      <c r="S11" s="130" t="str">
        <f>IFERROR(__xludf.DUMMYFUNCTION("""COMPUTED_VALUE"""),"CUSA")</f>
        <v>CUSA</v>
      </c>
      <c r="T11" s="131" t="str">
        <f>IFERROR(__xludf.DUMMYFUNCTION("""COMPUTED_VALUE"""),"Rice")</f>
        <v>Rice</v>
      </c>
      <c r="U11" s="130" t="str">
        <f>IFERROR(__xludf.DUMMYFUNCTION("""COMPUTED_VALUE"""),"MAC")</f>
        <v>MAC</v>
      </c>
      <c r="V11" s="131" t="str">
        <f>IFERROR(__xludf.DUMMYFUNCTION("""COMPUTED_VALUE"""),"Bowling Green")</f>
        <v>Bowling Green</v>
      </c>
      <c r="W11" s="130" t="str">
        <f>IFERROR(__xludf.DUMMYFUNCTION("""COMPUTED_VALUE"""),"Pac12")</f>
        <v>Pac12</v>
      </c>
      <c r="X11" s="131" t="str">
        <f>IFERROR(__xludf.DUMMYFUNCTION("""COMPUTED_VALUE"""),"Arizona")</f>
        <v>Arizona</v>
      </c>
      <c r="Y11" s="130" t="str">
        <f>IFERROR(__xludf.DUMMYFUNCTION("""COMPUTED_VALUE"""),"Big Ten")</f>
        <v>Big Ten</v>
      </c>
      <c r="Z11" s="131" t="str">
        <f>IFERROR(__xludf.DUMMYFUNCTION("""COMPUTED_VALUE"""),"Northwestern")</f>
        <v>Northwestern</v>
      </c>
    </row>
    <row r="12">
      <c r="A12" s="136" t="str">
        <f>IFERROR(__xludf.DUMMYFUNCTION("""COMPUTED_VALUE"""),"SEC")</f>
        <v>SEC</v>
      </c>
      <c r="B12" s="136" t="str">
        <f>IFERROR(__xludf.DUMMYFUNCTION("""COMPUTED_VALUE"""),"Missouri")</f>
        <v>Missouri</v>
      </c>
      <c r="C12" s="130" t="str">
        <f>IFERROR(__xludf.DUMMYFUNCTION("""COMPUTED_VALUE"""),"Sun Belt")</f>
        <v>Sun Belt</v>
      </c>
      <c r="D12" s="131" t="str">
        <f>IFERROR(__xludf.DUMMYFUNCTION("""COMPUTED_VALUE"""),"UL Monroe")</f>
        <v>UL Monroe</v>
      </c>
      <c r="E12" s="136" t="str">
        <f>IFERROR(__xludf.DUMMYFUNCTION("""COMPUTED_VALUE"""),"MWC")</f>
        <v>MWC</v>
      </c>
      <c r="F12" s="136" t="str">
        <f>IFERROR(__xludf.DUMMYFUNCTION("""COMPUTED_VALUE"""),"New Mexico")</f>
        <v>New Mexico</v>
      </c>
      <c r="G12" s="130" t="str">
        <f>IFERROR(__xludf.DUMMYFUNCTION("""COMPUTED_VALUE"""),"AAC")</f>
        <v>AAC</v>
      </c>
      <c r="H12" s="131" t="str">
        <f>IFERROR(__xludf.DUMMYFUNCTION("""COMPUTED_VALUE"""),"UConn")</f>
        <v>UConn</v>
      </c>
      <c r="I12" s="136" t="str">
        <f>IFERROR(__xludf.DUMMYFUNCTION("""COMPUTED_VALUE"""),"Big 12")</f>
        <v>Big 12</v>
      </c>
      <c r="J12" s="136" t="str">
        <f>IFERROR(__xludf.DUMMYFUNCTION("""COMPUTED_VALUE"""),"Vanderbilt")</f>
        <v>Vanderbilt</v>
      </c>
      <c r="K12" s="130" t="str">
        <f>IFERROR(__xludf.DUMMYFUNCTION("""COMPUTED_VALUE"""),"MAC")</f>
        <v>MAC</v>
      </c>
      <c r="L12" s="131" t="str">
        <f>IFERROR(__xludf.DUMMYFUNCTION("""COMPUTED_VALUE"""),"Akron")</f>
        <v>Akron</v>
      </c>
      <c r="M12" s="130" t="str">
        <f>IFERROR(__xludf.DUMMYFUNCTION("""COMPUTED_VALUE"""),"MWC")</f>
        <v>MWC</v>
      </c>
      <c r="N12" s="131" t="str">
        <f>IFERROR(__xludf.DUMMYFUNCTION("""COMPUTED_VALUE"""),"New Mexico State")</f>
        <v>New Mexico State</v>
      </c>
      <c r="O12" s="136" t="str">
        <f>IFERROR(__xludf.DUMMYFUNCTION("""COMPUTED_VALUE"""),"Pac12")</f>
        <v>Pac12</v>
      </c>
      <c r="P12" s="131" t="str">
        <f>IFERROR(__xludf.DUMMYFUNCTION("""COMPUTED_VALUE"""),"Colorado")</f>
        <v>Colorado</v>
      </c>
      <c r="Q12" s="130" t="str">
        <f>IFERROR(__xludf.DUMMYFUNCTION("""COMPUTED_VALUE"""),"Big Ten")</f>
        <v>Big Ten</v>
      </c>
      <c r="R12" s="131" t="str">
        <f>IFERROR(__xludf.DUMMYFUNCTION("""COMPUTED_VALUE"""),"Indiana")</f>
        <v>Indiana</v>
      </c>
      <c r="S12" s="130" t="str">
        <f>IFERROR(__xludf.DUMMYFUNCTION("""COMPUTED_VALUE"""),"ACC")</f>
        <v>ACC</v>
      </c>
      <c r="T12" s="131" t="str">
        <f>IFERROR(__xludf.DUMMYFUNCTION("""COMPUTED_VALUE"""),"Georgia Tech")</f>
        <v>Georgia Tech</v>
      </c>
      <c r="U12" s="130" t="str">
        <f>IFERROR(__xludf.DUMMYFUNCTION("""COMPUTED_VALUE"""),"CUSA")</f>
        <v>CUSA</v>
      </c>
      <c r="V12" s="131" t="str">
        <f>IFERROR(__xludf.DUMMYFUNCTION("""COMPUTED_VALUE"""),"UMASS")</f>
        <v>UMASS</v>
      </c>
      <c r="W12" s="130" t="str">
        <f>IFERROR(__xludf.DUMMYFUNCTION("""COMPUTED_VALUE"""),"AAC")</f>
        <v>AAC</v>
      </c>
      <c r="X12" s="131" t="str">
        <f>IFERROR(__xludf.DUMMYFUNCTION("""COMPUTED_VALUE"""),"Temple")</f>
        <v>Temple</v>
      </c>
      <c r="Y12" s="130" t="str">
        <f>IFERROR(__xludf.DUMMYFUNCTION("""COMPUTED_VALUE"""),"SEC")</f>
        <v>SEC</v>
      </c>
      <c r="Z12" s="131" t="str">
        <f>IFERROR(__xludf.DUMMYFUNCTION("""COMPUTED_VALUE"""),"South Carolina")</f>
        <v>South Carolina</v>
      </c>
    </row>
  </sheetData>
  <mergeCells count="13">
    <mergeCell ref="O1:P1"/>
    <mergeCell ref="Q1:R1"/>
    <mergeCell ref="S1:T1"/>
    <mergeCell ref="U1:V1"/>
    <mergeCell ref="W1:X1"/>
    <mergeCell ref="Y1:Z1"/>
    <mergeCell ref="A1:B1"/>
    <mergeCell ref="C1:D1"/>
    <mergeCell ref="E1:F1"/>
    <mergeCell ref="G1:H1"/>
    <mergeCell ref="I1:J1"/>
    <mergeCell ref="K1:L1"/>
    <mergeCell ref="M1:N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5"/>
    <col customWidth="1" min="3" max="3" width="4.25"/>
    <col customWidth="1" min="4" max="4" width="10.63"/>
    <col customWidth="1" min="5" max="5" width="9.0"/>
    <col customWidth="1" min="6" max="6" width="17.5"/>
    <col customWidth="1" min="7" max="45" width="36.0"/>
  </cols>
  <sheetData>
    <row r="1" ht="1.5" customHeight="1">
      <c r="A1" s="99" t="s">
        <v>224</v>
      </c>
      <c r="B1" s="100" t="s">
        <v>225</v>
      </c>
      <c r="C1" s="100" t="s">
        <v>226</v>
      </c>
      <c r="D1" s="100" t="s">
        <v>227</v>
      </c>
      <c r="E1" s="100" t="s">
        <v>228</v>
      </c>
      <c r="F1" s="100" t="s">
        <v>229</v>
      </c>
      <c r="G1" s="101" t="s">
        <v>230</v>
      </c>
      <c r="H1" s="100" t="s">
        <v>231</v>
      </c>
      <c r="I1" s="100" t="s">
        <v>232</v>
      </c>
      <c r="J1" s="100" t="s">
        <v>233</v>
      </c>
      <c r="K1" s="100" t="s">
        <v>234</v>
      </c>
      <c r="L1" s="100" t="s">
        <v>235</v>
      </c>
      <c r="M1" s="100" t="s">
        <v>236</v>
      </c>
      <c r="N1" s="100" t="s">
        <v>237</v>
      </c>
      <c r="O1" s="102" t="s">
        <v>2</v>
      </c>
      <c r="P1" s="103" t="s">
        <v>3</v>
      </c>
      <c r="Q1" s="104" t="s">
        <v>4</v>
      </c>
      <c r="R1" s="105" t="s">
        <v>7</v>
      </c>
      <c r="S1" s="105" t="s">
        <v>8</v>
      </c>
      <c r="T1" s="106" t="s">
        <v>9</v>
      </c>
      <c r="U1" s="104" t="s">
        <v>238</v>
      </c>
      <c r="V1" s="105" t="s">
        <v>14</v>
      </c>
      <c r="W1" s="107" t="s">
        <v>15</v>
      </c>
      <c r="X1" s="107" t="s">
        <v>17</v>
      </c>
      <c r="Y1" s="102" t="s">
        <v>46</v>
      </c>
      <c r="Z1" s="102" t="s">
        <v>47</v>
      </c>
      <c r="AA1" s="108" t="s">
        <v>239</v>
      </c>
      <c r="AB1" s="109" t="s">
        <v>236</v>
      </c>
      <c r="AC1" s="109" t="s">
        <v>237</v>
      </c>
      <c r="AD1" s="109" t="s">
        <v>241</v>
      </c>
      <c r="AE1" s="108" t="s">
        <v>242</v>
      </c>
      <c r="AF1" s="108" t="s">
        <v>243</v>
      </c>
      <c r="AG1" s="108" t="s">
        <v>244</v>
      </c>
      <c r="AH1" s="109" t="s">
        <v>245</v>
      </c>
      <c r="AI1" s="109" t="s">
        <v>246</v>
      </c>
      <c r="AJ1" s="109" t="s">
        <v>247</v>
      </c>
      <c r="AK1" s="108" t="s">
        <v>248</v>
      </c>
      <c r="AL1" s="108" t="s">
        <v>249</v>
      </c>
      <c r="AM1" s="108" t="s">
        <v>250</v>
      </c>
      <c r="AN1" s="108" t="s">
        <v>251</v>
      </c>
      <c r="AO1" s="109" t="s">
        <v>252</v>
      </c>
      <c r="AP1" s="109" t="s">
        <v>253</v>
      </c>
      <c r="AQ1" s="109" t="s">
        <v>254</v>
      </c>
      <c r="AR1" s="108" t="s">
        <v>255</v>
      </c>
      <c r="AS1" s="108" t="s">
        <v>256</v>
      </c>
    </row>
    <row r="2">
      <c r="A2" s="110">
        <v>1.0</v>
      </c>
      <c r="B2" s="110">
        <v>1.0</v>
      </c>
      <c r="C2" s="110">
        <v>1.0</v>
      </c>
      <c r="D2" s="111" t="s">
        <v>53</v>
      </c>
      <c r="E2" s="113" t="str">
        <f>if(F2&lt;&gt;"",VLOOKUP(F2,offset('Teams-Conference'!A:B,0,(counta('Draft Order'!B$2:B132)-10)*2),2,0),"")</f>
        <v>Big Ten</v>
      </c>
      <c r="F2" s="115" t="s">
        <v>168</v>
      </c>
      <c r="G2" s="119" t="str">
        <f t="shared" ref="G2:G34" si="1">if(F2&lt;&gt;"",if(match(F2,F:F,0)&lt;ROW(F2),"ERROR: Team already selected in row " &amp; ROW(F2)&amp;".  ","")&amp;if(COUNTIFS(E:E,"="&amp;E2,D:D,"="&amp;D2)&gt;1,"ERROR: Player picked from conference more than once.",if(F1="","ERROR: Previous pick is blank","")),"")</f>
        <v/>
      </c>
      <c r="H2" s="122">
        <f t="shared" ref="H2:H121" si="2">countif(E3:E12,E2)</f>
        <v>0</v>
      </c>
      <c r="I2" s="122">
        <f t="shared" ref="I2:I109" si="3">countif(E3:E24,E2)</f>
        <v>0</v>
      </c>
      <c r="J2" s="123"/>
      <c r="K2" s="123"/>
      <c r="L2" s="122">
        <f t="array" ref="L2:L132">iferror(VLOOKUP(F2:F132,'Current Week'!C:D,2,0),"")</f>
        <v>11</v>
      </c>
      <c r="M2" s="122">
        <f>IFERROR(__xludf.DUMMYFUNCTION("counta(iferror(filter(L1:L$2,E1:E$2=E2,L1:L$2&lt;L2)))"),0.0)</f>
        <v>0</v>
      </c>
      <c r="N2" s="122">
        <f>IFERROR(__xludf.DUMMYFUNCTION("counta(iferror(filter(L3:L$131,E3:E$131=E2,L3:L$134&gt;L2)))"),0.0)</f>
        <v>0</v>
      </c>
      <c r="O2" s="124">
        <f t="array" ref="O2:Z2">XLOOKUP(F2,'Current Week'!C:C,'Current Week'!D:O)</f>
        <v>11</v>
      </c>
      <c r="P2" s="122">
        <v>1.0</v>
      </c>
      <c r="Q2" s="123" t="s">
        <v>169</v>
      </c>
      <c r="R2" s="125" t="s">
        <v>57</v>
      </c>
      <c r="S2" s="123" t="s">
        <v>59</v>
      </c>
      <c r="T2" s="123"/>
      <c r="U2" s="126"/>
      <c r="V2" s="126"/>
      <c r="W2" s="126"/>
      <c r="X2" s="126"/>
      <c r="Y2" s="126"/>
      <c r="Z2" s="126"/>
      <c r="AA2" s="127">
        <f t="shared" ref="AA2:AA132" si="4">$O2-max($O2:$O$395)</f>
        <v>-1</v>
      </c>
      <c r="AB2" s="126">
        <f t="shared" ref="AB2:AB132" si="5">countif($O1:$O$2,"&lt;"&amp;$O2)</f>
        <v>0</v>
      </c>
      <c r="AC2" s="126">
        <f>IFERROR(__xludf.DUMMYFUNCTION("iferror(COUNT(filter($O3:$O$395,$O3:$O$395&gt;$O2)))"),3.0)</f>
        <v>3</v>
      </c>
      <c r="AD2" s="128">
        <f t="shared" ref="AD2:AD132" si="6">if(AA2=0,1,0)</f>
        <v>0</v>
      </c>
      <c r="AE2" s="129">
        <f t="shared" ref="AE2:AE132" si="7">$O2-min($O$2:$O2)</f>
        <v>0</v>
      </c>
      <c r="AF2" s="123" t="str">
        <f>IFERROR(__xludf.DUMMYFUNCTION("iferror(join("","",index(sort(filter($F3:$F$395,$O3:$O$395&gt;$O2),2,false),0,1)))"),"Georgia,Michigan,TCU")</f>
        <v>Georgia,Michigan,TCU</v>
      </c>
      <c r="AG2" s="127">
        <f>IFERROR(__xludf.DUMMYFUNCTION("iferror($O2-max(filter($O2:$O$395,$E2:$E$395=$E$2)))"),-1.0)</f>
        <v>-1</v>
      </c>
      <c r="AH2" s="126">
        <f t="shared" ref="AH2:AH132" si="8">countifs($O1:$O$2,"&lt;"&amp;$O2,$E1:$E$2,$E$2)</f>
        <v>0</v>
      </c>
      <c r="AI2" s="126">
        <f>IFERROR(__xludf.DUMMYFUNCTION("iferror(COUNT(filter($O3:$O$395,$O3:$O$395&gt;$O2,$E2:$E$395=$E$2)))"),0.0)</f>
        <v>0</v>
      </c>
      <c r="AJ2" s="128">
        <f t="shared" ref="AJ2:AJ132" si="9">if(AG2=0,1,0)</f>
        <v>0</v>
      </c>
      <c r="AK2" s="129">
        <f>IFERROR(__xludf.DUMMYFUNCTION("iferror($O2-min(filter($O2:$O$395,$E2:$E$395=$E$2)))"),10.0)</f>
        <v>10</v>
      </c>
      <c r="AL2" s="123" t="str">
        <f>IFERROR(__xludf.DUMMYFUNCTION("iferror(join("","",index(sort(filter($F3:$F$395,$O3:$O$395&gt;$O2,$E3:$E$395=$E$2),2,false),0,1)))"),"Michigan")</f>
        <v>Michigan</v>
      </c>
      <c r="AM2" s="123" t="str">
        <f>IFERROR(__xludf.DUMMYFUNCTION("REGEXREPLACE(join("","",unique({let(conf_picked,filter(E$1:E1,D$1:D1=D2), byrow(unique(TRANSPOSe(Teams!$1:$1)),lambda(rw,if(ISERROR(match(rw,conf_picked,0)),rw,))));iferror(if(#REF!,,transpose(split(#REF!,"","",1,1))))})), ""^,"", """")"),"AAC,ACC,Big 12,Big Ten,Pac12,CUSA,MAC,MWC,SEC,Sun Belt,")</f>
        <v>AAC,ACC,Big 12,Big Ten,Pac12,CUSA,MAC,MWC,SEC,Sun Belt,</v>
      </c>
      <c r="AN2" s="127">
        <f>IFERROR(__xludf.DUMMYFUNCTION("iferror($O2-max(filter($O2:$O$395,arrayformula(isnumber(FIND($E2:$E$395,AM2))))))"),-1.0)</f>
        <v>-1</v>
      </c>
      <c r="AO2" s="126">
        <f t="array" ref="AO2">countifs($O1:$O$2,"&lt;"&amp;$O2,isnumber(FIND($E1:$E$2,AM2)),TRUE)</f>
        <v>0</v>
      </c>
      <c r="AP2" s="126">
        <f>IFERROR(__xludf.DUMMYFUNCTION("iferror(COUNT(filter($O3:$O$395,$O3:$O$395&gt;$O2,arrayformula(isnumber(FIND($E3:$E$395,AM2))))))"),3.0)</f>
        <v>3</v>
      </c>
      <c r="AQ2" s="128">
        <f t="shared" ref="AQ2:AQ132" si="10">if(AN2=0,1,0)</f>
        <v>0</v>
      </c>
      <c r="AR2" s="129">
        <f>IFERROR(__xludf.DUMMYFUNCTION("$O2-min(filter($O2:$O$395,arrayformula(isnumber(FIND($E2:$E$395,AM2)))))"),10.0)</f>
        <v>10</v>
      </c>
      <c r="AS2" s="123" t="str">
        <f>IFERROR(__xludf.DUMMYFUNCTION("iferror(join("","",index(sort(filter($F3:$F$395,$O3:$O$395&gt;$O2,arrayformula(isnumber(FIND($E3:$E$395,AM2)))),2,false),0,1)))"),"Georgia,Michigan,TCU")</f>
        <v>Georgia,Michigan,TCU</v>
      </c>
    </row>
    <row r="3">
      <c r="A3" s="26">
        <v>2.0</v>
      </c>
      <c r="B3" s="26">
        <v>1.0</v>
      </c>
      <c r="C3" s="26">
        <v>2.0</v>
      </c>
      <c r="D3" s="132" t="s">
        <v>131</v>
      </c>
      <c r="E3" s="133" t="str">
        <f>if(F3&lt;&gt;"",VLOOKUP(F3,offset('Teams-Conference'!A:B,0,(counta('Draft Order'!B$2:B132)-10)*2),2,0),"")</f>
        <v>ACC</v>
      </c>
      <c r="F3" s="134" t="s">
        <v>206</v>
      </c>
      <c r="G3" s="135" t="str">
        <f t="shared" si="1"/>
        <v/>
      </c>
      <c r="H3" s="122">
        <f t="shared" si="2"/>
        <v>0</v>
      </c>
      <c r="I3" s="122">
        <f t="shared" si="3"/>
        <v>0</v>
      </c>
      <c r="J3" s="123"/>
      <c r="K3" s="123"/>
      <c r="L3" s="122">
        <v>10.0</v>
      </c>
      <c r="M3" s="122">
        <f>IFERROR(__xludf.DUMMYFUNCTION("counta(iferror(filter(L2:L$2,E2:E$2=E3,L2:L$2&lt;L3)))"),0.0)</f>
        <v>0</v>
      </c>
      <c r="N3" s="122">
        <f>IFERROR(__xludf.DUMMYFUNCTION("counta(iferror(filter(L4:L$131,E4:E$131=E3,L4:L$134&gt;L3)))"),0.0)</f>
        <v>0</v>
      </c>
      <c r="O3" s="124">
        <f t="array" ref="O3:Z3">XLOOKUP(F3,'Current Week'!C:C,'Current Week'!D:O)</f>
        <v>10</v>
      </c>
      <c r="P3" s="122">
        <v>2.0</v>
      </c>
      <c r="Q3" s="123" t="s">
        <v>207</v>
      </c>
      <c r="R3" s="125" t="s">
        <v>57</v>
      </c>
      <c r="S3" s="123" t="s">
        <v>154</v>
      </c>
      <c r="T3" s="123"/>
      <c r="U3" s="126"/>
      <c r="V3" s="126"/>
      <c r="W3" s="126"/>
      <c r="X3" s="126"/>
      <c r="Y3" s="126"/>
      <c r="Z3" s="126"/>
      <c r="AA3" s="127">
        <f t="shared" si="4"/>
        <v>-2</v>
      </c>
      <c r="AB3" s="126">
        <f t="shared" si="5"/>
        <v>0</v>
      </c>
      <c r="AC3" s="126">
        <f>IFERROR(__xludf.DUMMYFUNCTION("iferror(COUNT(filter($O4:$O$395,$O4:$O$395&gt;$O3)))"),4.0)</f>
        <v>4</v>
      </c>
      <c r="AD3" s="128">
        <f t="shared" si="6"/>
        <v>0</v>
      </c>
      <c r="AE3" s="129">
        <f t="shared" si="7"/>
        <v>0</v>
      </c>
      <c r="AF3" s="123" t="str">
        <f>IFERROR(__xludf.DUMMYFUNCTION("iferror(join("","",index(sort(filter($F4:$F$396,$O4:$O$396&gt;$O3),2,false),0,1)))"),"Georgia,USC,Michigan,TCU")</f>
        <v>Georgia,USC,Michigan,TCU</v>
      </c>
      <c r="AG3" s="127">
        <f>IFERROR(__xludf.DUMMYFUNCTION("iferror($O3-max(filter($O3:$O$395,$E3:$E$395=$E$2)))"),-2.0)</f>
        <v>-2</v>
      </c>
      <c r="AH3" s="126">
        <f t="shared" si="8"/>
        <v>0</v>
      </c>
      <c r="AI3" s="126">
        <f>IFERROR(__xludf.DUMMYFUNCTION("iferror(COUNT(filter($O4:$O$395,$O4:$O$395&gt;$O3,$E3:$E$395=$E$2)))"),0.0)</f>
        <v>0</v>
      </c>
      <c r="AJ3" s="128">
        <f t="shared" si="9"/>
        <v>0</v>
      </c>
      <c r="AK3" s="129">
        <f>IFERROR(__xludf.DUMMYFUNCTION("iferror($O3-min(filter($O3:$O$395,$E3:$E$395=$E$2)))"),9.0)</f>
        <v>9</v>
      </c>
      <c r="AL3" s="123" t="str">
        <f>IFERROR(__xludf.DUMMYFUNCTION("iferror(join("","",index(sort(filter($F4:$F$395,$O4:$O$395&gt;$O3,$E4:$E$395=$E$2),2,false),0,1)))"),"Michigan")</f>
        <v>Michigan</v>
      </c>
      <c r="AM3" s="123" t="str">
        <f>IFERROR(__xludf.DUMMYFUNCTION("REGEXREPLACE(join("","",unique({let(conf_picked,filter(E$1:E2,D$1:D2=D3), byrow(unique(TRANSPOSe(Teams!$1:$1)),lambda(rw,if(ISERROR(match(rw,conf_picked,0)),rw,))));iferror(if(#REF!,,transpose(split(#REF!,"","",1,1))))})), ""^,"", """")"),"AAC,ACC,Big 12,Big Ten,Pac12,CUSA,MAC,MWC,SEC,Sun Belt,")</f>
        <v>AAC,ACC,Big 12,Big Ten,Pac12,CUSA,MAC,MWC,SEC,Sun Belt,</v>
      </c>
      <c r="AN3" s="127">
        <f>IFERROR(__xludf.DUMMYFUNCTION("iferror($O3-max(filter($O3:$O$395,arrayformula(isnumber(FIND($E3:$E$395,AM3))))))"),-2.0)</f>
        <v>-2</v>
      </c>
      <c r="AO3" s="126">
        <f t="array" ref="AO3">countifs($O2:$O$2,"&lt;"&amp;$O3,isnumber(FIND($E2:$E$2,AM3)),TRUE)</f>
        <v>0</v>
      </c>
      <c r="AP3" s="126">
        <f>IFERROR(__xludf.DUMMYFUNCTION("iferror(COUNT(filter($O4:$O$395,$O4:$O$395&gt;$O3,arrayformula(isnumber(FIND($E4:$E$395,AM3))))))"),4.0)</f>
        <v>4</v>
      </c>
      <c r="AQ3" s="128">
        <f t="shared" si="10"/>
        <v>0</v>
      </c>
      <c r="AR3" s="129">
        <f>IFERROR(__xludf.DUMMYFUNCTION("$O3-min(filter($O3:$O$395,arrayformula(isnumber(FIND($E3:$E$395,AM3)))))"),9.0)</f>
        <v>9</v>
      </c>
      <c r="AS3" s="123" t="str">
        <f>IFERROR(__xludf.DUMMYFUNCTION("iferror(join("","",index(sort(filter($F4:$F$395,$O4:$O$395&gt;$O3,arrayformula(isnumber(FIND($E4:$E$395,AM3)))),2,false),0,1)))"),"Georgia,USC,Michigan,TCU")</f>
        <v>Georgia,USC,Michigan,TCU</v>
      </c>
    </row>
    <row r="4">
      <c r="A4" s="26">
        <v>3.0</v>
      </c>
      <c r="B4" s="26">
        <v>1.0</v>
      </c>
      <c r="C4" s="26">
        <v>3.0</v>
      </c>
      <c r="D4" s="137" t="s">
        <v>178</v>
      </c>
      <c r="E4" s="133" t="str">
        <f>if(F4&lt;&gt;"",VLOOKUP(F4,offset('Teams-Conference'!A:B,0,(counta('Draft Order'!B$2:B132)-10)*2),2,0),"")</f>
        <v>MAC</v>
      </c>
      <c r="F4" s="138" t="s">
        <v>265</v>
      </c>
      <c r="G4" s="135" t="str">
        <f t="shared" si="1"/>
        <v/>
      </c>
      <c r="H4" s="122">
        <f t="shared" si="2"/>
        <v>0</v>
      </c>
      <c r="I4" s="122">
        <f t="shared" si="3"/>
        <v>2</v>
      </c>
      <c r="J4" s="123"/>
      <c r="K4" s="123"/>
      <c r="L4" s="122">
        <v>7.0</v>
      </c>
      <c r="M4" s="122">
        <f>IFERROR(__xludf.DUMMYFUNCTION("counta(iferror(filter(L$2:L3,E$2:E3=E4,L$2:L3&lt;L4)))"),0.0)</f>
        <v>0</v>
      </c>
      <c r="N4" s="122">
        <f>IFERROR(__xludf.DUMMYFUNCTION("counta(iferror(filter(L5:L$131,E5:E$131=E4,L5:L$134&gt;L4)))"),0.0)</f>
        <v>0</v>
      </c>
      <c r="O4" s="124">
        <f t="array" ref="O4:Z4">XLOOKUP(F4,'Current Week'!C:C,'Current Week'!D:O)</f>
        <v>7</v>
      </c>
      <c r="P4" s="122">
        <v>5.0</v>
      </c>
      <c r="Q4" s="123" t="s">
        <v>266</v>
      </c>
      <c r="R4" s="125" t="s">
        <v>57</v>
      </c>
      <c r="S4" s="123" t="s">
        <v>154</v>
      </c>
      <c r="T4" s="123"/>
      <c r="U4" s="126"/>
      <c r="V4" s="126"/>
      <c r="W4" s="126"/>
      <c r="X4" s="126"/>
      <c r="Y4" s="126"/>
      <c r="Z4" s="126"/>
      <c r="AA4" s="127">
        <f t="shared" si="4"/>
        <v>-5</v>
      </c>
      <c r="AB4" s="126">
        <f t="shared" si="5"/>
        <v>0</v>
      </c>
      <c r="AC4" s="126">
        <f>IFERROR(__xludf.DUMMYFUNCTION("iferror(COUNT(filter($O5:$O$395,$O5:$O$395&gt;$O4)))"),43.0)</f>
        <v>43</v>
      </c>
      <c r="AD4" s="128">
        <f t="shared" si="6"/>
        <v>0</v>
      </c>
      <c r="AE4" s="129">
        <f t="shared" si="7"/>
        <v>0</v>
      </c>
      <c r="AF4" s="123" t="str">
        <f>IFERROR(__xludf.DUMMYFUNCTION("iferror(join("","",index(sort(filter($F5:$F$396,$O5:$O$396&gt;$O4),2,false),0,1)))"),"Cincinnati,Alabama,Coastal Carolina,Marshall,Georgia,Boise State,Air Force,Utah,UCF,USC,Fresno State,UTSA,Western Kentucky,Oregon,UCLA,Michigan,Notre Dame,Texas,NC State,TCU,Washington,Pittsburgh,North Carolina,Tulane,Oregon State,Troy,Penn State,Liberty,"&amp;"James Madison,EMU,Florida State,Kansas State,Minnesota,South Alabama,Purdue,Ole Miss,Tennessee,Ohio,Mississippi State,LSU,Illinois,South Carolina,Duke")</f>
        <v>Cincinnati,Alabama,Coastal Carolina,Marshall,Georgia,Boise State,Air Force,Utah,UCF,USC,Fresno State,UTSA,Western Kentucky,Oregon,UCLA,Michigan,Notre Dame,Texas,NC State,TCU,Washington,Pittsburgh,North Carolina,Tulane,Oregon State,Troy,Penn State,Liberty,James Madison,EMU,Florida State,Kansas State,Minnesota,South Alabama,Purdue,Ole Miss,Tennessee,Ohio,Mississippi State,LSU,Illinois,South Carolina,Duke</v>
      </c>
      <c r="AG4" s="127">
        <f>IFERROR(__xludf.DUMMYFUNCTION("iferror($O4-max(filter($O4:$O$395,$E4:$E$395=$E$2)))"),-5.0)</f>
        <v>-5</v>
      </c>
      <c r="AH4" s="126">
        <f t="shared" si="8"/>
        <v>0</v>
      </c>
      <c r="AI4" s="126">
        <f>IFERROR(__xludf.DUMMYFUNCTION("iferror(COUNT(filter($O5:$O$395,$O5:$O$395&gt;$O4,$E4:$E$395=$E$2)))"),0.0)</f>
        <v>0</v>
      </c>
      <c r="AJ4" s="128">
        <f t="shared" si="9"/>
        <v>0</v>
      </c>
      <c r="AK4" s="129">
        <f>IFERROR(__xludf.DUMMYFUNCTION("iferror($O4-min(filter($O4:$O$395,$E4:$E$395=$E$2)))"),6.0)</f>
        <v>6</v>
      </c>
      <c r="AL4" s="123" t="str">
        <f>IFERROR(__xludf.DUMMYFUNCTION("iferror(join("","",index(sort(filter($F5:$F$395,$O5:$O$395&gt;$O4,$E5:$E$395=$E$2),2,false),0,1)))"),"Michigan,Penn State,Minnesota,Purdue,Illinois")</f>
        <v>Michigan,Penn State,Minnesota,Purdue,Illinois</v>
      </c>
      <c r="AM4" s="123" t="str">
        <f>IFERROR(__xludf.DUMMYFUNCTION("REGEXREPLACE(join("","",unique({let(conf_picked,filter(E$1:E3,D$1:D3=D4), byrow(unique(TRANSPOSe(Teams!$1:$1)),lambda(rw,if(ISERROR(match(rw,conf_picked,0)),rw,))));iferror(if(#REF!,,transpose(split(#REF!,"","",1,1))))})), ""^,"", """")"),"AAC,ACC,Big 12,Big Ten,Pac12,CUSA,MAC,MWC,SEC,Sun Belt,")</f>
        <v>AAC,ACC,Big 12,Big Ten,Pac12,CUSA,MAC,MWC,SEC,Sun Belt,</v>
      </c>
      <c r="AN4" s="127">
        <f>IFERROR(__xludf.DUMMYFUNCTION("iferror($O4-max(filter($O4:$O$395,arrayformula(isnumber(FIND($E4:$E$395,AM4))))))"),-5.0)</f>
        <v>-5</v>
      </c>
      <c r="AO4" s="126">
        <f t="array" ref="AO4">countifs($O$2:$O3,"&lt;"&amp;$O4,isnumber(FIND($E$2:$E3,AM4)),TRUE)</f>
        <v>0</v>
      </c>
      <c r="AP4" s="126">
        <f>IFERROR(__xludf.DUMMYFUNCTION("iferror(COUNT(filter($O5:$O$395,$O5:$O$395&gt;$O4,arrayformula(isnumber(FIND($E5:$E$395,AM4))))))"),43.0)</f>
        <v>43</v>
      </c>
      <c r="AQ4" s="128">
        <f t="shared" si="10"/>
        <v>0</v>
      </c>
      <c r="AR4" s="129">
        <f>IFERROR(__xludf.DUMMYFUNCTION("$O4-min(filter($O4:$O$395,arrayformula(isnumber(FIND($E4:$E$395,AM4)))))"),6.0)</f>
        <v>6</v>
      </c>
      <c r="AS4" s="123" t="str">
        <f>IFERROR(__xludf.DUMMYFUNCTION("iferror(join("","",index(sort(filter($F5:$F$395,$O5:$O$395&gt;$O4,arrayformula(isnumber(FIND($E5:$E$395,AM4)))),2,false),0,1)))"),"Cincinnati,Alabama,Coastal Carolina,Marshall,Georgia,Boise State,Air Force,Utah,UCF,USC,Fresno State,UTSA,Western Kentucky,Oregon,UCLA,Michigan,Notre Dame,Texas,NC State,TCU,Washington,Pittsburgh,North Carolina,Tulane,Oregon State,Troy,Penn State,Liberty,"&amp;"James Madison,EMU,Florida State,Kansas State,Minnesota,South Alabama,Purdue,Ole Miss,Tennessee,Ohio,Mississippi State,LSU,Illinois,South Carolina,Duke")</f>
        <v>Cincinnati,Alabama,Coastal Carolina,Marshall,Georgia,Boise State,Air Force,Utah,UCF,USC,Fresno State,UTSA,Western Kentucky,Oregon,UCLA,Michigan,Notre Dame,Texas,NC State,TCU,Washington,Pittsburgh,North Carolina,Tulane,Oregon State,Troy,Penn State,Liberty,James Madison,EMU,Florida State,Kansas State,Minnesota,South Alabama,Purdue,Ole Miss,Tennessee,Ohio,Mississippi State,LSU,Illinois,South Carolina,Duke</v>
      </c>
    </row>
    <row r="5">
      <c r="A5" s="26">
        <v>4.0</v>
      </c>
      <c r="B5" s="26">
        <v>1.0</v>
      </c>
      <c r="C5" s="26">
        <v>4.0</v>
      </c>
      <c r="D5" s="132" t="s">
        <v>59</v>
      </c>
      <c r="E5" s="133" t="str">
        <f>if(F5&lt;&gt;"",VLOOKUP(F5,offset('Teams-Conference'!A:B,0,(counta('Draft Order'!B$2:B132)-10)*2),2,0),"")</f>
        <v>Sun Belt</v>
      </c>
      <c r="F5" s="134" t="s">
        <v>277</v>
      </c>
      <c r="G5" s="135" t="str">
        <f t="shared" si="1"/>
        <v/>
      </c>
      <c r="H5" s="122">
        <f t="shared" si="2"/>
        <v>3</v>
      </c>
      <c r="I5" s="122">
        <f t="shared" si="3"/>
        <v>3</v>
      </c>
      <c r="J5" s="123"/>
      <c r="K5" s="123"/>
      <c r="L5" s="122">
        <v>6.0</v>
      </c>
      <c r="M5" s="122">
        <f>IFERROR(__xludf.DUMMYFUNCTION("counta(iferror(filter(L$2:L4,E$2:E4=E5,L$2:L4&lt;L5)))"),0.0)</f>
        <v>0</v>
      </c>
      <c r="N5" s="122">
        <f>IFERROR(__xludf.DUMMYFUNCTION("counta(iferror(filter(L6:L$131,E6:E$131=E5,L6:L$134&gt;L5)))"),0.0)</f>
        <v>0</v>
      </c>
      <c r="O5" s="124">
        <f t="array" ref="O5:Z5">XLOOKUP(F5,'Current Week'!C:C,'Current Week'!D:O)</f>
        <v>6</v>
      </c>
      <c r="P5" s="122">
        <v>6.0</v>
      </c>
      <c r="Q5" s="123" t="s">
        <v>278</v>
      </c>
      <c r="R5" s="125" t="s">
        <v>183</v>
      </c>
      <c r="S5" s="123" t="s">
        <v>178</v>
      </c>
      <c r="T5" s="123" t="s">
        <v>133</v>
      </c>
      <c r="U5" s="126"/>
      <c r="V5" s="126"/>
      <c r="W5" s="126"/>
      <c r="X5" s="126"/>
      <c r="Y5" s="126"/>
      <c r="Z5" s="126"/>
      <c r="AA5" s="127">
        <f t="shared" si="4"/>
        <v>-6</v>
      </c>
      <c r="AB5" s="126">
        <f t="shared" si="5"/>
        <v>0</v>
      </c>
      <c r="AC5" s="126">
        <f>IFERROR(__xludf.DUMMYFUNCTION("iferror(COUNT(filter($O6:$O$395,$O6:$O$395&gt;$O5)))"),61.0)</f>
        <v>61</v>
      </c>
      <c r="AD5" s="128">
        <f t="shared" si="6"/>
        <v>0</v>
      </c>
      <c r="AE5" s="129">
        <f t="shared" si="7"/>
        <v>0</v>
      </c>
      <c r="AF5" s="123" t="str">
        <f>IFERROR(__xludf.DUMMYFUNCTION("iferror(join("","",index(sort(filter($F6:$F$396,$O6:$O$396&gt;$O5),2,false),0,1)))"),"Cincinnati,Alabama,Coastal Carolina,Marshall,Georgia,Boise State,Air Force,Utah,Houston,UCF,USC,Fresno State,BYU,UTSA,Western Kentucky,Oregon,San Diego State,UCLA,Michigan,San José State,Notre Dame,Texas,Oklahoma State,NC State,TCU,Washington,Pittsburgh,E"&amp;"ast Carolina,North Carolina,SMU,Kentucky,Tulane,North Texas,Wake Forest,Oregon State,Troy,Penn State,Liberty,James Madison,EMU,Wyoming,Florida State,Middle Tennessee,Kansas State,Texas Tech,Washington State,Minnesota,South Alabama,Louisville,Iowa,Purdue,O"&amp;"le Miss,Maryland,Syracuse,Tennessee,Ohio,Mississippi State,LSU,Illinois,South Carolina,Duke")</f>
        <v>Cincinnati,Alabama,Coastal Carolina,Marshall,Georgia,Boise State,Air Force,Utah,Houston,UCF,USC,Fresno State,BYU,UTSA,Western Kentucky,Oregon,San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5" s="127">
        <f>IFERROR(__xludf.DUMMYFUNCTION("iferror($O5-max(filter($O5:$O$395,$E5:$E$395=$E$2)))"),-6.0)</f>
        <v>-6</v>
      </c>
      <c r="AH5" s="126">
        <f t="shared" si="8"/>
        <v>0</v>
      </c>
      <c r="AI5" s="126">
        <f>IFERROR(__xludf.DUMMYFUNCTION("iferror(COUNT(filter($O6:$O$395,$O6:$O$395&gt;$O5,$E5:$E$395=$E$2)))"),0.0)</f>
        <v>0</v>
      </c>
      <c r="AJ5" s="128">
        <f t="shared" si="9"/>
        <v>0</v>
      </c>
      <c r="AK5" s="129">
        <f>IFERROR(__xludf.DUMMYFUNCTION("iferror($O5-min(filter($O5:$O$395,$E5:$E$395=$E$2)))"),5.0)</f>
        <v>5</v>
      </c>
      <c r="AL5" s="123" t="str">
        <f>IFERROR(__xludf.DUMMYFUNCTION("iferror(join("","",index(sort(filter($F6:$F$395,$O6:$O$395&gt;$O5,$E6:$E$395=$E$2),2,false),0,1)))"),"Michigan,Penn State,Minnesota,Iowa,Purdue,Maryland,Illinois")</f>
        <v>Michigan,Penn State,Minnesota,Iowa,Purdue,Maryland,Illinois</v>
      </c>
      <c r="AM5" s="123" t="str">
        <f>IFERROR(__xludf.DUMMYFUNCTION("REGEXREPLACE(join("","",unique({let(conf_picked,filter(E$1:E4,D$1:D4=D5), byrow(unique(TRANSPOSe(Teams!$1:$1)),lambda(rw,if(ISERROR(match(rw,conf_picked,0)),rw,))));iferror(if(#REF!,,transpose(split(#REF!,"","",1,1))))})), ""^,"", """")"),"AAC,ACC,Big 12,Big Ten,Pac12,CUSA,MAC,MWC,SEC,Sun Belt,")</f>
        <v>AAC,ACC,Big 12,Big Ten,Pac12,CUSA,MAC,MWC,SEC,Sun Belt,</v>
      </c>
      <c r="AN5" s="127">
        <f>IFERROR(__xludf.DUMMYFUNCTION("iferror($O5-max(filter($O5:$O$395,arrayformula(isnumber(FIND($E5:$E$395,AM5))))))"),-6.0)</f>
        <v>-6</v>
      </c>
      <c r="AO5" s="126">
        <f t="array" ref="AO5">countifs($O$2:$O4,"&lt;"&amp;$O5,isnumber(FIND($E$2:$E4,AM5)),TRUE)</f>
        <v>0</v>
      </c>
      <c r="AP5" s="126">
        <f>IFERROR(__xludf.DUMMYFUNCTION("iferror(COUNT(filter($O6:$O$395,$O6:$O$395&gt;$O5,arrayformula(isnumber(FIND($E6:$E$395,AM5))))))"),61.0)</f>
        <v>61</v>
      </c>
      <c r="AQ5" s="128">
        <f t="shared" si="10"/>
        <v>0</v>
      </c>
      <c r="AR5" s="129">
        <f>IFERROR(__xludf.DUMMYFUNCTION("$O5-min(filter($O5:$O$395,arrayformula(isnumber(FIND($E5:$E$395,AM5)))))"),5.0)</f>
        <v>5</v>
      </c>
      <c r="AS5" s="123" t="str">
        <f>IFERROR(__xludf.DUMMYFUNCTION("iferror(join("","",index(sort(filter($F6:$F$395,$O6:$O$395&gt;$O5,arrayformula(isnumber(FIND($E6:$E$395,AM5)))),2,false),0,1)))"),"Cincinnati,Alabama,Coastal Carolina,Marshall,Georgia,Boise State,Air Force,Utah,Houston,UCF,USC,Fresno State,BYU,UTSA,Western Kentucky,Oregon,San Diego State,UCLA,Michigan,San José State,Notre Dame,Texas,Oklahoma State,NC State,TCU,Washington,Pittsburgh,E"&amp;"ast Carolina,North Carolina,SMU,Kentucky,Tulane,North Texas,Wake Forest,Oregon State,Troy,Penn State,Liberty,James Madison,EMU,Wyoming,Florida State,Middle Tennessee,Kansas State,Texas Tech,Washington State,Minnesota,South Alabama,Louisville,Iowa,Purdue,O"&amp;"le Miss,Maryland,Syracuse,Tennessee,Ohio,Mississippi State,LSU,Illinois,South Carolina,Duke")</f>
        <v>Cincinnati,Alabama,Coastal Carolina,Marshall,Georgia,Boise State,Air Force,Utah,Houston,UCF,USC,Fresno State,BYU,UTSA,Western Kentucky,Oregon,San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row>
    <row r="6">
      <c r="A6" s="26">
        <v>5.0</v>
      </c>
      <c r="B6" s="26">
        <v>1.0</v>
      </c>
      <c r="C6" s="26">
        <v>5.0</v>
      </c>
      <c r="D6" s="132" t="s">
        <v>138</v>
      </c>
      <c r="E6" s="133" t="str">
        <f>if(F6&lt;&gt;"",VLOOKUP(F6,offset('Teams-Conference'!A:B,0,(counta('Draft Order'!B$2:B132)-10)*2),2,0),"")</f>
        <v>AAC</v>
      </c>
      <c r="F6" s="143" t="s">
        <v>282</v>
      </c>
      <c r="G6" s="135" t="str">
        <f t="shared" si="1"/>
        <v/>
      </c>
      <c r="H6" s="122">
        <f t="shared" si="2"/>
        <v>1</v>
      </c>
      <c r="I6" s="122">
        <f t="shared" si="3"/>
        <v>4</v>
      </c>
      <c r="J6" s="123"/>
      <c r="K6" s="123"/>
      <c r="L6" s="122">
        <v>9.0</v>
      </c>
      <c r="M6" s="122">
        <f>IFERROR(__xludf.DUMMYFUNCTION("counta(iferror(filter(L$2:L5,E$2:E5=E6,L$2:L5&lt;L6)))"),0.0)</f>
        <v>0</v>
      </c>
      <c r="N6" s="122">
        <f>IFERROR(__xludf.DUMMYFUNCTION("counta(iferror(filter(L7:L$131,E7:E$131=E6,L7:L$134&gt;L6)))"),0.0)</f>
        <v>0</v>
      </c>
      <c r="O6" s="124">
        <f t="array" ref="O6:Z6">XLOOKUP(F6,'Current Week'!C:C,'Current Week'!D:O)</f>
        <v>9</v>
      </c>
      <c r="P6" s="122">
        <v>3.0</v>
      </c>
      <c r="Q6" s="123" t="s">
        <v>268</v>
      </c>
      <c r="R6" s="125" t="s">
        <v>57</v>
      </c>
      <c r="S6" s="123" t="s">
        <v>178</v>
      </c>
      <c r="T6" s="123"/>
      <c r="U6" s="126"/>
      <c r="V6" s="126"/>
      <c r="W6" s="126"/>
      <c r="X6" s="126"/>
      <c r="Y6" s="126"/>
      <c r="Z6" s="126"/>
      <c r="AA6" s="127">
        <f t="shared" si="4"/>
        <v>-3</v>
      </c>
      <c r="AB6" s="126">
        <f t="shared" si="5"/>
        <v>2</v>
      </c>
      <c r="AC6" s="126">
        <f>IFERROR(__xludf.DUMMYFUNCTION("iferror(COUNT(filter($O7:$O$395,$O7:$O$395&gt;$O6)))"),12.0)</f>
        <v>12</v>
      </c>
      <c r="AD6" s="128">
        <f t="shared" si="6"/>
        <v>0</v>
      </c>
      <c r="AE6" s="129">
        <f t="shared" si="7"/>
        <v>3</v>
      </c>
      <c r="AF6" s="123" t="str">
        <f>IFERROR(__xludf.DUMMYFUNCTION("iferror(join("","",index(sort(filter($F7:$F$396,$O7:$O$396&gt;$O6),2,false),0,1)))"),"Alabama,Georgia,USC,UTSA,Michigan,TCU,Washington,Tulane,Troy,Penn State,South Alabama,Tennessee")</f>
        <v>Alabama,Georgia,USC,UTSA,Michigan,TCU,Washington,Tulane,Troy,Penn State,South Alabama,Tennessee</v>
      </c>
      <c r="AG6" s="127">
        <f>IFERROR(__xludf.DUMMYFUNCTION("iferror($O6-max(filter($O6:$O$395,$E6:$E$395=$E$2)))"),-3.0)</f>
        <v>-3</v>
      </c>
      <c r="AH6" s="126">
        <f t="shared" si="8"/>
        <v>0</v>
      </c>
      <c r="AI6" s="126">
        <f>IFERROR(__xludf.DUMMYFUNCTION("iferror(COUNT(filter($O7:$O$395,$O7:$O$395&gt;$O6,$E6:$E$395=$E$2)))"),0.0)</f>
        <v>0</v>
      </c>
      <c r="AJ6" s="128">
        <f t="shared" si="9"/>
        <v>0</v>
      </c>
      <c r="AK6" s="129">
        <f>IFERROR(__xludf.DUMMYFUNCTION("iferror($O6-min(filter($O6:$O$395,$E6:$E$395=$E$2)))"),8.0)</f>
        <v>8</v>
      </c>
      <c r="AL6" s="123" t="str">
        <f>IFERROR(__xludf.DUMMYFUNCTION("iferror(join("","",index(sort(filter($F7:$F$395,$O7:$O$395&gt;$O6,$E7:$E$395=$E$2),2,false),0,1)))"),"Michigan,Penn State")</f>
        <v>Michigan,Penn State</v>
      </c>
      <c r="AM6" s="123" t="str">
        <f>IFERROR(__xludf.DUMMYFUNCTION("REGEXREPLACE(join("","",unique({let(conf_picked,filter(E$1:E5,D$1:D5=D6), byrow(unique(TRANSPOSe(Teams!$1:$1)),lambda(rw,if(ISERROR(match(rw,conf_picked,0)),rw,))));iferror(if(#REF!,,transpose(split(#REF!,"","",1,1))))})), ""^,"", """")"),"AAC,ACC,Big 12,Big Ten,Pac12,CUSA,MAC,MWC,SEC,Sun Belt,")</f>
        <v>AAC,ACC,Big 12,Big Ten,Pac12,CUSA,MAC,MWC,SEC,Sun Belt,</v>
      </c>
      <c r="AN6" s="127">
        <f>IFERROR(__xludf.DUMMYFUNCTION("iferror($O6-max(filter($O6:$O$395,arrayformula(isnumber(FIND($E6:$E$395,AM6))))))"),-3.0)</f>
        <v>-3</v>
      </c>
      <c r="AO6" s="126">
        <f t="array" ref="AO6">countifs($O$2:$O5,"&lt;"&amp;$O6,isnumber(FIND($E$2:$E5,AM6)),TRUE)</f>
        <v>2</v>
      </c>
      <c r="AP6" s="126">
        <f>IFERROR(__xludf.DUMMYFUNCTION("iferror(COUNT(filter($O7:$O$395,$O7:$O$395&gt;$O6,arrayformula(isnumber(FIND($E7:$E$395,AM6))))))"),12.0)</f>
        <v>12</v>
      </c>
      <c r="AQ6" s="128">
        <f t="shared" si="10"/>
        <v>0</v>
      </c>
      <c r="AR6" s="129">
        <f>IFERROR(__xludf.DUMMYFUNCTION("$O6-min(filter($O6:$O$395,arrayformula(isnumber(FIND($E6:$E$395,AM6)))))"),8.0)</f>
        <v>8</v>
      </c>
      <c r="AS6" s="123" t="str">
        <f>IFERROR(__xludf.DUMMYFUNCTION("iferror(join("","",index(sort(filter($F7:$F$395,$O7:$O$395&gt;$O6,arrayformula(isnumber(FIND($E7:$E$395,AM6)))),2,false),0,1)))"),"Alabama,Georgia,USC,UTSA,Michigan,TCU,Washington,Tulane,Troy,Penn State,South Alabama,Tennessee")</f>
        <v>Alabama,Georgia,USC,UTSA,Michigan,TCU,Washington,Tulane,Troy,Penn State,South Alabama,Tennessee</v>
      </c>
    </row>
    <row r="7">
      <c r="A7" s="26">
        <v>6.0</v>
      </c>
      <c r="B7" s="26">
        <v>1.0</v>
      </c>
      <c r="C7" s="26">
        <v>6.0</v>
      </c>
      <c r="D7" s="132" t="s">
        <v>141</v>
      </c>
      <c r="E7" s="133" t="str">
        <f>if(F7&lt;&gt;"",VLOOKUP(F7,offset('Teams-Conference'!A:B,0,(counta('Draft Order'!B$2:B132)-10)*2),2,0),"")</f>
        <v>SEC</v>
      </c>
      <c r="F7" s="138" t="s">
        <v>287</v>
      </c>
      <c r="G7" s="135" t="str">
        <f t="shared" si="1"/>
        <v/>
      </c>
      <c r="H7" s="122">
        <f t="shared" si="2"/>
        <v>1</v>
      </c>
      <c r="I7" s="122">
        <f t="shared" si="3"/>
        <v>1</v>
      </c>
      <c r="J7" s="123"/>
      <c r="K7" s="123"/>
      <c r="L7" s="122">
        <v>10.0</v>
      </c>
      <c r="M7" s="122">
        <f>IFERROR(__xludf.DUMMYFUNCTION("counta(iferror(filter(L$2:L6,E$2:E6=E7,L$2:L6&lt;L7)))"),0.0)</f>
        <v>0</v>
      </c>
      <c r="N7" s="122">
        <f>IFERROR(__xludf.DUMMYFUNCTION("counta(iferror(filter(L8:L$131,E8:E$131=E7,L8:L$134&gt;L7)))"),0.0)</f>
        <v>0</v>
      </c>
      <c r="O7" s="124">
        <f t="array" ref="O7:Z7">XLOOKUP(F7,'Current Week'!C:C,'Current Week'!D:O)</f>
        <v>10</v>
      </c>
      <c r="P7" s="122">
        <v>2.0</v>
      </c>
      <c r="Q7" s="123" t="s">
        <v>288</v>
      </c>
      <c r="R7" s="123" t="s">
        <v>57</v>
      </c>
      <c r="S7" s="123" t="s">
        <v>166</v>
      </c>
      <c r="T7" s="123" t="s">
        <v>66</v>
      </c>
      <c r="U7" s="123"/>
      <c r="V7" s="123"/>
      <c r="W7" s="123"/>
      <c r="X7" s="123"/>
      <c r="Y7" s="126"/>
      <c r="Z7" s="126"/>
      <c r="AA7" s="127">
        <f t="shared" si="4"/>
        <v>-2</v>
      </c>
      <c r="AB7" s="126">
        <f t="shared" si="5"/>
        <v>3</v>
      </c>
      <c r="AC7" s="126">
        <f>IFERROR(__xludf.DUMMYFUNCTION("iferror(COUNT(filter($O8:$O$395,$O8:$O$395&gt;$O7)))"),4.0)</f>
        <v>4</v>
      </c>
      <c r="AD7" s="128">
        <f t="shared" si="6"/>
        <v>0</v>
      </c>
      <c r="AE7" s="129">
        <f t="shared" si="7"/>
        <v>4</v>
      </c>
      <c r="AF7" s="123" t="str">
        <f>IFERROR(__xludf.DUMMYFUNCTION("iferror(join("","",index(sort(filter($F8:$F$396,$O8:$O$396&gt;$O7),2,false),0,1)))"),"Georgia,USC,Michigan,TCU")</f>
        <v>Georgia,USC,Michigan,TCU</v>
      </c>
      <c r="AG7" s="127">
        <f>IFERROR(__xludf.DUMMYFUNCTION("iferror($O7-max(filter($O7:$O$395,$E7:$E$395=$E$2)))"),-2.0)</f>
        <v>-2</v>
      </c>
      <c r="AH7" s="126">
        <f t="shared" si="8"/>
        <v>0</v>
      </c>
      <c r="AI7" s="126">
        <f>IFERROR(__xludf.DUMMYFUNCTION("iferror(COUNT(filter($O8:$O$395,$O8:$O$395&gt;$O7,$E7:$E$395=$E$2)))"),0.0)</f>
        <v>0</v>
      </c>
      <c r="AJ7" s="128">
        <f t="shared" si="9"/>
        <v>0</v>
      </c>
      <c r="AK7" s="129">
        <f>IFERROR(__xludf.DUMMYFUNCTION("iferror($O7-min(filter($O7:$O$395,$E7:$E$395=$E$2)))"),9.0)</f>
        <v>9</v>
      </c>
      <c r="AL7" s="123" t="str">
        <f>IFERROR(__xludf.DUMMYFUNCTION("iferror(join("","",index(sort(filter($F8:$F$395,$O8:$O$395&gt;$O7,$E8:$E$395=$E$2),2,false),0,1)))"),"Michigan")</f>
        <v>Michigan</v>
      </c>
      <c r="AM7" s="123" t="str">
        <f>IFERROR(__xludf.DUMMYFUNCTION("REGEXREPLACE(join("","",unique({let(conf_picked,filter(E$1:E6,D$1:D6=D7), byrow(unique(TRANSPOSe(Teams!$1:$1)),lambda(rw,if(ISERROR(match(rw,conf_picked,0)),rw,))));iferror(if(#REF!,,transpose(split(#REF!,"","",1,1))))})), ""^,"", """")"),"AAC,ACC,Big 12,Big Ten,Pac12,CUSA,MAC,MWC,SEC,Sun Belt,")</f>
        <v>AAC,ACC,Big 12,Big Ten,Pac12,CUSA,MAC,MWC,SEC,Sun Belt,</v>
      </c>
      <c r="AN7" s="127">
        <f>IFERROR(__xludf.DUMMYFUNCTION("iferror($O7-max(filter($O7:$O$395,arrayformula(isnumber(FIND($E7:$E$395,AM7))))))"),-2.0)</f>
        <v>-2</v>
      </c>
      <c r="AO7" s="126">
        <f t="array" ref="AO7">countifs($O$2:$O6,"&lt;"&amp;$O7,isnumber(FIND($E$2:$E6,AM7)),TRUE)</f>
        <v>3</v>
      </c>
      <c r="AP7" s="126">
        <f>IFERROR(__xludf.DUMMYFUNCTION("iferror(COUNT(filter($O8:$O$395,$O8:$O$395&gt;$O7,arrayformula(isnumber(FIND($E8:$E$395,AM7))))))"),4.0)</f>
        <v>4</v>
      </c>
      <c r="AQ7" s="128">
        <f t="shared" si="10"/>
        <v>0</v>
      </c>
      <c r="AR7" s="129">
        <f>IFERROR(__xludf.DUMMYFUNCTION("$O7-min(filter($O7:$O$395,arrayformula(isnumber(FIND($E7:$E$395,AM7)))))"),9.0)</f>
        <v>9</v>
      </c>
      <c r="AS7" s="123" t="str">
        <f>IFERROR(__xludf.DUMMYFUNCTION("iferror(join("","",index(sort(filter($F8:$F$395,$O8:$O$395&gt;$O7,arrayformula(isnumber(FIND($E8:$E$395,AM7)))),2,false),0,1)))"),"Georgia,USC,Michigan,TCU")</f>
        <v>Georgia,USC,Michigan,TCU</v>
      </c>
    </row>
    <row r="8">
      <c r="A8" s="26">
        <v>7.0</v>
      </c>
      <c r="B8" s="26">
        <v>1.0</v>
      </c>
      <c r="C8" s="26">
        <v>7.0</v>
      </c>
      <c r="D8" s="132" t="s">
        <v>109</v>
      </c>
      <c r="E8" s="133" t="str">
        <f>if(F8&lt;&gt;"",VLOOKUP(F8,offset('Teams-Conference'!A:B,0,(counta('Draft Order'!B$2:B132)-10)*2),2,0),"")</f>
        <v>Sun Belt</v>
      </c>
      <c r="F8" s="143" t="s">
        <v>292</v>
      </c>
      <c r="G8" s="135" t="str">
        <f t="shared" si="1"/>
        <v/>
      </c>
      <c r="H8" s="122">
        <f t="shared" si="2"/>
        <v>2</v>
      </c>
      <c r="I8" s="122">
        <f t="shared" si="3"/>
        <v>2</v>
      </c>
      <c r="J8" s="123"/>
      <c r="K8" s="123"/>
      <c r="L8" s="122">
        <v>6.0</v>
      </c>
      <c r="M8" s="122">
        <f>IFERROR(__xludf.DUMMYFUNCTION("counta(iferror(filter(L$2:L7,E$2:E7=E8,L$2:L7&lt;L8)))"),0.0)</f>
        <v>0</v>
      </c>
      <c r="N8" s="122">
        <f>IFERROR(__xludf.DUMMYFUNCTION("counta(iferror(filter(L9:L$131,E9:E$131=E8,L9:L$134&gt;L8)))"),0.0)</f>
        <v>0</v>
      </c>
      <c r="O8" s="124">
        <f t="array" ref="O8:Z8">XLOOKUP(F8,'Current Week'!C:C,'Current Week'!D:O)</f>
        <v>6</v>
      </c>
      <c r="P8" s="122">
        <v>6.0</v>
      </c>
      <c r="Q8" s="123" t="s">
        <v>293</v>
      </c>
      <c r="R8" s="123" t="s">
        <v>57</v>
      </c>
      <c r="S8" s="123" t="s">
        <v>148</v>
      </c>
      <c r="T8" s="123" t="s">
        <v>133</v>
      </c>
      <c r="U8" s="123"/>
      <c r="V8" s="123"/>
      <c r="W8" s="123"/>
      <c r="X8" s="123"/>
      <c r="Y8" s="126"/>
      <c r="Z8" s="126"/>
      <c r="AA8" s="127">
        <f t="shared" si="4"/>
        <v>-6</v>
      </c>
      <c r="AB8" s="126">
        <f t="shared" si="5"/>
        <v>0</v>
      </c>
      <c r="AC8" s="126">
        <f>IFERROR(__xludf.DUMMYFUNCTION("iferror(COUNT(filter($O9:$O$395,$O9:$O$395&gt;$O8)))"),59.0)</f>
        <v>59</v>
      </c>
      <c r="AD8" s="128">
        <f t="shared" si="6"/>
        <v>0</v>
      </c>
      <c r="AE8" s="129">
        <f t="shared" si="7"/>
        <v>0</v>
      </c>
      <c r="AF8" s="123" t="str">
        <f>IFERROR(__xludf.DUMMYFUNCTION("iferror(join("","",index(sort(filter($F9:$F$396,$O9:$O$396&gt;$O8),2,false),0,1)))"),"Coastal Carolina,Marshall,Georgia,Boise State,Air Force,Utah,Houston,UCF,USC,Fresno State,BYU,UTSA,Western Kentucky,Oregon,San Diego State,UCLA,Michigan,San José State,Notre Dame,Texas,Oklahoma State,NC State,TCU,Washington,Pittsburgh,East Carolina,North "&amp;"Carolina,SMU,Kentucky,Tulane,North Texas,Wake Forest,Oregon State,Troy,Penn State,Liberty,James Madison,EMU,Wyoming,Florida State,Middle Tennessee,Kansas State,Texas Tech,Washington State,Minnesota,South Alabama,Louisville,Iowa,Purdue,Ole Miss,Maryland,Sy"&amp;"racuse,Tennessee,Ohio,Mississippi State,LSU,Illinois,South Carolina,Duke")</f>
        <v>Coastal Carolina,Marshall,Georgia,Boise State,Air Force,Utah,Houston,UCF,USC,Fresno State,BYU,UTSA,Western Kentucky,Oregon,San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8" s="127">
        <f>IFERROR(__xludf.DUMMYFUNCTION("iferror($O8-max(filter($O8:$O$395,$E8:$E$395=$E$2)))"),-6.0)</f>
        <v>-6</v>
      </c>
      <c r="AH8" s="126">
        <f t="shared" si="8"/>
        <v>0</v>
      </c>
      <c r="AI8" s="126">
        <f>IFERROR(__xludf.DUMMYFUNCTION("iferror(COUNT(filter($O9:$O$395,$O9:$O$395&gt;$O8,$E8:$E$395=$E$2)))"),0.0)</f>
        <v>0</v>
      </c>
      <c r="AJ8" s="128">
        <f t="shared" si="9"/>
        <v>0</v>
      </c>
      <c r="AK8" s="129">
        <f>IFERROR(__xludf.DUMMYFUNCTION("iferror($O8-min(filter($O8:$O$395,$E8:$E$395=$E$2)))"),5.0)</f>
        <v>5</v>
      </c>
      <c r="AL8" s="123" t="str">
        <f>IFERROR(__xludf.DUMMYFUNCTION("iferror(join("","",index(sort(filter($F9:$F$395,$O9:$O$395&gt;$O8,$E9:$E$395=$E$2),2,false),0,1)))"),"Michigan,Penn State,Minnesota,Iowa,Purdue,Maryland,Illinois")</f>
        <v>Michigan,Penn State,Minnesota,Iowa,Purdue,Maryland,Illinois</v>
      </c>
      <c r="AM8" s="123" t="str">
        <f>IFERROR(__xludf.DUMMYFUNCTION("REGEXREPLACE(join("","",unique({let(conf_picked,filter(E$1:E7,D$1:D7=D8), byrow(unique(TRANSPOSe(Teams!$1:$1)),lambda(rw,if(ISERROR(match(rw,conf_picked,0)),rw,))));iferror(if(#REF!,,transpose(split(#REF!,"","",1,1))))})), ""^,"", """")"),"AAC,ACC,Big 12,Big Ten,Pac12,CUSA,MAC,MWC,SEC,Sun Belt,")</f>
        <v>AAC,ACC,Big 12,Big Ten,Pac12,CUSA,MAC,MWC,SEC,Sun Belt,</v>
      </c>
      <c r="AN8" s="127">
        <f>IFERROR(__xludf.DUMMYFUNCTION("iferror($O8-max(filter($O8:$O$395,arrayformula(isnumber(FIND($E8:$E$395,AM8))))))"),-6.0)</f>
        <v>-6</v>
      </c>
      <c r="AO8" s="126">
        <f t="array" ref="AO8">countifs($O$2:$O7,"&lt;"&amp;$O8,isnumber(FIND($E$2:$E7,AM8)),TRUE)</f>
        <v>0</v>
      </c>
      <c r="AP8" s="126">
        <f>IFERROR(__xludf.DUMMYFUNCTION("iferror(COUNT(filter($O9:$O$395,$O9:$O$395&gt;$O8,arrayformula(isnumber(FIND($E9:$E$395,AM8))))))"),59.0)</f>
        <v>59</v>
      </c>
      <c r="AQ8" s="128">
        <f t="shared" si="10"/>
        <v>0</v>
      </c>
      <c r="AR8" s="129">
        <f>IFERROR(__xludf.DUMMYFUNCTION("$O8-min(filter($O8:$O$395,arrayformula(isnumber(FIND($E8:$E$395,AM8)))))"),5.0)</f>
        <v>5</v>
      </c>
      <c r="AS8" s="123" t="str">
        <f>IFERROR(__xludf.DUMMYFUNCTION("iferror(join("","",index(sort(filter($F9:$F$395,$O9:$O$395&gt;$O8,arrayformula(isnumber(FIND($E9:$E$395,AM8)))),2,false),0,1)))"),"Coastal Carolina,Marshall,Georgia,Boise State,Air Force,Utah,Houston,UCF,USC,Fresno State,BYU,UTSA,Western Kentucky,Oregon,San Diego State,UCLA,Michigan,San José State,Notre Dame,Texas,Oklahoma State,NC State,TCU,Washington,Pittsburgh,East Carolina,North "&amp;"Carolina,SMU,Kentucky,Tulane,North Texas,Wake Forest,Oregon State,Troy,Penn State,Liberty,James Madison,EMU,Wyoming,Florida State,Middle Tennessee,Kansas State,Texas Tech,Washington State,Minnesota,South Alabama,Louisville,Iowa,Purdue,Ole Miss,Maryland,Sy"&amp;"racuse,Tennessee,Ohio,Mississippi State,LSU,Illinois,South Carolina,Duke")</f>
        <v>Coastal Carolina,Marshall,Georgia,Boise State,Air Force,Utah,Houston,UCF,USC,Fresno State,BYU,UTSA,Western Kentucky,Oregon,San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row>
    <row r="9" ht="18.0" customHeight="1">
      <c r="A9" s="26">
        <v>8.0</v>
      </c>
      <c r="B9" s="26">
        <v>1.0</v>
      </c>
      <c r="C9" s="26">
        <v>8.0</v>
      </c>
      <c r="D9" s="132" t="s">
        <v>144</v>
      </c>
      <c r="E9" s="133" t="str">
        <f>if(F9&lt;&gt;"",VLOOKUP(F9,offset('Teams-Conference'!A:B,0,(counta('Draft Order'!B$2:B132)-10)*2),2,0),"")</f>
        <v>Sun Belt</v>
      </c>
      <c r="F9" s="146" t="s">
        <v>300</v>
      </c>
      <c r="G9" s="135" t="str">
        <f t="shared" si="1"/>
        <v/>
      </c>
      <c r="H9" s="122">
        <f t="shared" si="2"/>
        <v>1</v>
      </c>
      <c r="I9" s="122">
        <f t="shared" si="3"/>
        <v>1</v>
      </c>
      <c r="J9" s="123"/>
      <c r="K9" s="123"/>
      <c r="L9" s="122">
        <v>9.0</v>
      </c>
      <c r="M9" s="122">
        <f>IFERROR(__xludf.DUMMYFUNCTION("counta(iferror(filter(L$2:L8,E$2:E8=E9,L$2:L8&lt;L9)))"),2.0)</f>
        <v>2</v>
      </c>
      <c r="N9" s="122">
        <f>IFERROR(__xludf.DUMMYFUNCTION("counta(iferror(filter(L10:L$131,E10:E$131=E9,L10:L$134&gt;L9)))"),0.0)</f>
        <v>0</v>
      </c>
      <c r="O9" s="124">
        <f t="array" ref="O9:Z9">XLOOKUP(F9,'Current Week'!C:C,'Current Week'!D:O)</f>
        <v>9</v>
      </c>
      <c r="P9" s="122">
        <v>2.0</v>
      </c>
      <c r="Q9" s="123" t="s">
        <v>301</v>
      </c>
      <c r="R9" s="123" t="s">
        <v>57</v>
      </c>
      <c r="S9" s="123" t="s">
        <v>116</v>
      </c>
      <c r="T9" s="123"/>
      <c r="U9" s="123"/>
      <c r="V9" s="123"/>
      <c r="W9" s="123"/>
      <c r="X9" s="123"/>
      <c r="Y9" s="126"/>
      <c r="Z9" s="126"/>
      <c r="AA9" s="127">
        <f t="shared" si="4"/>
        <v>-3</v>
      </c>
      <c r="AB9" s="126">
        <f t="shared" si="5"/>
        <v>3</v>
      </c>
      <c r="AC9" s="126">
        <f>IFERROR(__xludf.DUMMYFUNCTION("iferror(COUNT(filter($O10:$O$395,$O10:$O$395&gt;$O9)))"),11.0)</f>
        <v>11</v>
      </c>
      <c r="AD9" s="128">
        <f t="shared" si="6"/>
        <v>0</v>
      </c>
      <c r="AE9" s="129">
        <f t="shared" si="7"/>
        <v>3</v>
      </c>
      <c r="AF9" s="123" t="str">
        <f>IFERROR(__xludf.DUMMYFUNCTION("iferror(join("","",index(sort(filter($F10:$F$396,$O10:$O$396&gt;$O9),2,false),0,1)))"),"Georgia,USC,UTSA,Michigan,TCU,Washington,Tulane,Troy,Penn State,South Alabama,Tennessee")</f>
        <v>Georgia,USC,UTSA,Michigan,TCU,Washington,Tulane,Troy,Penn State,South Alabama,Tennessee</v>
      </c>
      <c r="AG9" s="127">
        <f>IFERROR(__xludf.DUMMYFUNCTION("iferror($O9-max(filter($O9:$O$395,$E9:$E$395=$E$2)))"),-3.0)</f>
        <v>-3</v>
      </c>
      <c r="AH9" s="126">
        <f t="shared" si="8"/>
        <v>0</v>
      </c>
      <c r="AI9" s="126">
        <f>IFERROR(__xludf.DUMMYFUNCTION("iferror(COUNT(filter($O10:$O$395,$O10:$O$395&gt;$O9,$E9:$E$395=$E$2)))"),0.0)</f>
        <v>0</v>
      </c>
      <c r="AJ9" s="128">
        <f t="shared" si="9"/>
        <v>0</v>
      </c>
      <c r="AK9" s="129">
        <f>IFERROR(__xludf.DUMMYFUNCTION("iferror($O9-min(filter($O9:$O$395,$E9:$E$395=$E$2)))"),8.0)</f>
        <v>8</v>
      </c>
      <c r="AL9" s="123" t="str">
        <f>IFERROR(__xludf.DUMMYFUNCTION("iferror(join("","",index(sort(filter($F10:$F$395,$O10:$O$395&gt;$O9,$E10:$E$395=$E$2),2,false),0,1)))"),"Michigan,Penn State")</f>
        <v>Michigan,Penn State</v>
      </c>
      <c r="AM9" s="123" t="str">
        <f>IFERROR(__xludf.DUMMYFUNCTION("REGEXREPLACE(join("","",unique({let(conf_picked,filter(E$1:E8,D$1:D8=D9), byrow(unique(TRANSPOSe(Teams!$1:$1)),lambda(rw,if(ISERROR(match(rw,conf_picked,0)),rw,))));iferror(if(#REF!,,transpose(split(#REF!,"","",1,1))))})), ""^,"", """")"),"AAC,ACC,Big 12,Big Ten,Pac12,CUSA,MAC,MWC,SEC,Sun Belt,")</f>
        <v>AAC,ACC,Big 12,Big Ten,Pac12,CUSA,MAC,MWC,SEC,Sun Belt,</v>
      </c>
      <c r="AN9" s="127">
        <f>IFERROR(__xludf.DUMMYFUNCTION("iferror($O9-max(filter($O9:$O$395,arrayformula(isnumber(FIND($E9:$E$395,AM9))))))"),-3.0)</f>
        <v>-3</v>
      </c>
      <c r="AO9" s="126">
        <f t="array" ref="AO9">countifs($O$2:$O8,"&lt;"&amp;$O9,isnumber(FIND($E$2:$E8,AM9)),TRUE)</f>
        <v>3</v>
      </c>
      <c r="AP9" s="126">
        <f>IFERROR(__xludf.DUMMYFUNCTION("iferror(COUNT(filter($O10:$O$395,$O10:$O$395&gt;$O9,arrayformula(isnumber(FIND($E10:$E$395,AM9))))))"),11.0)</f>
        <v>11</v>
      </c>
      <c r="AQ9" s="128">
        <f t="shared" si="10"/>
        <v>0</v>
      </c>
      <c r="AR9" s="129">
        <f>IFERROR(__xludf.DUMMYFUNCTION("$O9-min(filter($O9:$O$395,arrayformula(isnumber(FIND($E9:$E$395,AM9)))))"),8.0)</f>
        <v>8</v>
      </c>
      <c r="AS9" s="123" t="str">
        <f>IFERROR(__xludf.DUMMYFUNCTION("iferror(join("","",index(sort(filter($F10:$F$395,$O10:$O$395&gt;$O9,arrayformula(isnumber(FIND($E10:$E$395,AM9)))),2,false),0,1)))"),"Georgia,USC,UTSA,Michigan,TCU,Washington,Tulane,Troy,Penn State,South Alabama,Tennessee")</f>
        <v>Georgia,USC,UTSA,Michigan,TCU,Washington,Tulane,Troy,Penn State,South Alabama,Tennessee</v>
      </c>
    </row>
    <row r="10" ht="18.0" customHeight="1">
      <c r="A10" s="26">
        <v>9.0</v>
      </c>
      <c r="B10" s="26">
        <v>1.0</v>
      </c>
      <c r="C10" s="26">
        <v>9.0</v>
      </c>
      <c r="D10" s="132" t="s">
        <v>166</v>
      </c>
      <c r="E10" s="133" t="str">
        <f>if(F10&lt;&gt;"",VLOOKUP(F10,offset('Teams-Conference'!A:B,0,(counta('Draft Order'!B$2:B132)-10)*2),2,0),"")</f>
        <v>Sun Belt</v>
      </c>
      <c r="F10" s="143" t="s">
        <v>306</v>
      </c>
      <c r="G10" s="135" t="str">
        <f t="shared" si="1"/>
        <v/>
      </c>
      <c r="H10" s="122">
        <f t="shared" si="2"/>
        <v>0</v>
      </c>
      <c r="I10" s="122">
        <f t="shared" si="3"/>
        <v>0</v>
      </c>
      <c r="J10" s="123"/>
      <c r="K10" s="123"/>
      <c r="L10" s="122">
        <v>8.0</v>
      </c>
      <c r="M10" s="122">
        <f>IFERROR(__xludf.DUMMYFUNCTION("counta(iferror(filter(L$2:L10,E$2:E10=E10,L$2:L10&lt;L10)))"),2.0)</f>
        <v>2</v>
      </c>
      <c r="N10" s="122">
        <f>IFERROR(__xludf.DUMMYFUNCTION("counta(iferror(filter(L11:L$131,E11:E$131=E10,L11:L$134&gt;L10)))"),0.0)</f>
        <v>0</v>
      </c>
      <c r="O10" s="124">
        <f t="array" ref="O10:Z10">XLOOKUP(F10,'Current Week'!C:C,'Current Week'!D:O)</f>
        <v>8</v>
      </c>
      <c r="P10" s="122">
        <v>4.0</v>
      </c>
      <c r="Q10" s="123" t="s">
        <v>307</v>
      </c>
      <c r="R10" s="125" t="s">
        <v>57</v>
      </c>
      <c r="S10" s="123" t="s">
        <v>103</v>
      </c>
      <c r="T10" s="123"/>
      <c r="U10" s="126"/>
      <c r="V10" s="126"/>
      <c r="W10" s="126"/>
      <c r="X10" s="126"/>
      <c r="Y10" s="126"/>
      <c r="Z10" s="126"/>
      <c r="AA10" s="127">
        <f t="shared" si="4"/>
        <v>-4</v>
      </c>
      <c r="AB10" s="126">
        <f t="shared" si="5"/>
        <v>3</v>
      </c>
      <c r="AC10" s="126">
        <f>IFERROR(__xludf.DUMMYFUNCTION("iferror(COUNT(filter($O11:$O$395,$O11:$O$395&gt;$O10)))"),23.0)</f>
        <v>23</v>
      </c>
      <c r="AD10" s="128">
        <f t="shared" si="6"/>
        <v>0</v>
      </c>
      <c r="AE10" s="129">
        <f t="shared" si="7"/>
        <v>2</v>
      </c>
      <c r="AF10" s="123" t="str">
        <f>IFERROR(__xludf.DUMMYFUNCTION("iferror(join("","",index(sort(filter($F11:$F$396,$O11:$O$396&gt;$O10),2,false),0,1)))"),"Georgia,Boise State,Air Force,Utah,UCF,USC,UTSA,Oregon,UCLA,Michigan,TCU,Washington,North Carolina,Tulane,Oregon State,Troy,Penn State,Florida State,Kansas State,South Alabama,Tennessee,Ohio,LSU")</f>
        <v>Georgia,Boise State,Air Force,Utah,UCF,USC,UTSA,Oregon,UCLA,Michigan,TCU,Washington,North Carolina,Tulane,Oregon State,Troy,Penn State,Florida State,Kansas State,South Alabama,Tennessee,Ohio,LSU</v>
      </c>
      <c r="AG10" s="127">
        <f>IFERROR(__xludf.DUMMYFUNCTION("iferror($O10-max(filter($O10:$O$395,$E10:$E$395=$E$2)))"),-4.0)</f>
        <v>-4</v>
      </c>
      <c r="AH10" s="126">
        <f t="shared" si="8"/>
        <v>0</v>
      </c>
      <c r="AI10" s="126">
        <f>IFERROR(__xludf.DUMMYFUNCTION("iferror(COUNT(filter($O11:$O$395,$O11:$O$395&gt;$O10,$E10:$E$395=$E$2)))"),0.0)</f>
        <v>0</v>
      </c>
      <c r="AJ10" s="128">
        <f t="shared" si="9"/>
        <v>0</v>
      </c>
      <c r="AK10" s="129">
        <f>IFERROR(__xludf.DUMMYFUNCTION("iferror($O10-min(filter($O10:$O$395,$E10:$E$395=$E$2)))"),7.0)</f>
        <v>7</v>
      </c>
      <c r="AL10" s="123" t="str">
        <f>IFERROR(__xludf.DUMMYFUNCTION("iferror(join("","",index(sort(filter($F11:$F$395,$O11:$O$395&gt;$O10,$E11:$E$395=$E$2),2,false),0,1)))"),"Michigan,Penn State")</f>
        <v>Michigan,Penn State</v>
      </c>
      <c r="AM10" s="123" t="str">
        <f>IFERROR(__xludf.DUMMYFUNCTION("REGEXREPLACE(join("","",unique({let(conf_picked,filter(E$1:E9,D$1:D9=D10), byrow(unique(TRANSPOSe(Teams!$1:$1)),lambda(rw,if(ISERROR(match(rw,conf_picked,0)),rw,))));iferror(if(#REF!,,transpose(split(#REF!,"","",1,1))))})), ""^,"", """")"),"AAC,ACC,Big 12,Big Ten,Pac12,CUSA,MAC,MWC,SEC,Sun Belt,")</f>
        <v>AAC,ACC,Big 12,Big Ten,Pac12,CUSA,MAC,MWC,SEC,Sun Belt,</v>
      </c>
      <c r="AN10" s="127">
        <f>IFERROR(__xludf.DUMMYFUNCTION("iferror($O10-max(filter($O10:$O$395,arrayformula(isnumber(FIND($E10:$E$395,AM10))))))"),-4.0)</f>
        <v>-4</v>
      </c>
      <c r="AO10" s="126">
        <f t="array" ref="AO10">countifs($O$2:$O9,"&lt;"&amp;$O10,isnumber(FIND($E$2:$E9,AM10)),TRUE)</f>
        <v>3</v>
      </c>
      <c r="AP10" s="126">
        <f>IFERROR(__xludf.DUMMYFUNCTION("iferror(COUNT(filter($O11:$O$395,$O11:$O$395&gt;$O10,arrayformula(isnumber(FIND($E11:$E$395,AM10))))))"),23.0)</f>
        <v>23</v>
      </c>
      <c r="AQ10" s="128">
        <f t="shared" si="10"/>
        <v>0</v>
      </c>
      <c r="AR10" s="129">
        <f>IFERROR(__xludf.DUMMYFUNCTION("$O10-min(filter($O10:$O$395,arrayformula(isnumber(FIND($E10:$E$395,AM10)))))"),7.0)</f>
        <v>7</v>
      </c>
      <c r="AS10" s="123" t="str">
        <f>IFERROR(__xludf.DUMMYFUNCTION("iferror(join("","",index(sort(filter($F11:$F$395,$O11:$O$395&gt;$O10,arrayformula(isnumber(FIND($E11:$E$395,AM10)))),2,false),0,1)))"),"Georgia,Boise State,Air Force,Utah,UCF,USC,UTSA,Oregon,UCLA,Michigan,TCU,Washington,North Carolina,Tulane,Oregon State,Troy,Penn State,Florida State,Kansas State,South Alabama,Tennessee,Ohio,LSU")</f>
        <v>Georgia,Boise State,Air Force,Utah,UCF,USC,UTSA,Oregon,UCLA,Michigan,TCU,Washington,North Carolina,Tulane,Oregon State,Troy,Penn State,Florida State,Kansas State,South Alabama,Tennessee,Ohio,LSU</v>
      </c>
    </row>
    <row r="11">
      <c r="A11" s="26">
        <v>10.0</v>
      </c>
      <c r="B11" s="26">
        <v>1.0</v>
      </c>
      <c r="C11" s="26">
        <v>10.0</v>
      </c>
      <c r="D11" s="132" t="s">
        <v>116</v>
      </c>
      <c r="E11" s="133" t="str">
        <f>if(F11&lt;&gt;"",VLOOKUP(F11,offset('Teams-Conference'!A:B,0,(counta('Draft Order'!B$2:B132)-10)*2),2,0),"")</f>
        <v>SEC</v>
      </c>
      <c r="F11" s="143" t="s">
        <v>313</v>
      </c>
      <c r="G11" s="135" t="str">
        <f t="shared" si="1"/>
        <v/>
      </c>
      <c r="H11" s="122">
        <f t="shared" si="2"/>
        <v>0</v>
      </c>
      <c r="I11" s="122">
        <f t="shared" si="3"/>
        <v>0</v>
      </c>
      <c r="J11" s="123"/>
      <c r="K11" s="123"/>
      <c r="L11" s="122">
        <v>12.0</v>
      </c>
      <c r="M11" s="122">
        <f>IFERROR(__xludf.DUMMYFUNCTION("counta(iferror(filter(L$2:L10,E$2:E10=E11,L$2:L10&lt;L11)))"),1.0)</f>
        <v>1</v>
      </c>
      <c r="N11" s="122">
        <f>IFERROR(__xludf.DUMMYFUNCTION("counta(iferror(filter(L12:L$131,E12:E$131=E11,L12:L$134&gt;L11)))"),0.0)</f>
        <v>0</v>
      </c>
      <c r="O11" s="124">
        <f t="array" ref="O11:Z11">XLOOKUP(F11,'Current Week'!C:C,'Current Week'!D:O)</f>
        <v>12</v>
      </c>
      <c r="P11" s="122">
        <v>0.0</v>
      </c>
      <c r="Q11" s="123"/>
      <c r="R11" s="123"/>
      <c r="S11" s="123"/>
      <c r="T11" s="123" t="s">
        <v>82</v>
      </c>
      <c r="U11" s="123"/>
      <c r="V11" s="123"/>
      <c r="W11" s="123"/>
      <c r="X11" s="123"/>
      <c r="Y11" s="126"/>
      <c r="Z11" s="126"/>
      <c r="AA11" s="127">
        <f t="shared" si="4"/>
        <v>0</v>
      </c>
      <c r="AB11" s="126">
        <f t="shared" si="5"/>
        <v>9</v>
      </c>
      <c r="AC11" s="126">
        <f>IFERROR(__xludf.DUMMYFUNCTION("iferror(COUNT(filter($O12:$O$395,$O12:$O$395&gt;$O11)))"),0.0)</f>
        <v>0</v>
      </c>
      <c r="AD11" s="128">
        <f t="shared" si="6"/>
        <v>1</v>
      </c>
      <c r="AE11" s="129">
        <f t="shared" si="7"/>
        <v>6</v>
      </c>
      <c r="AF11" s="123" t="str">
        <f>IFERROR(__xludf.DUMMYFUNCTION("iferror(join("","",index(sort(filter($F12:$F$396,$O12:$O$396&gt;$O11),2,false),0,1)))"),"")</f>
        <v/>
      </c>
      <c r="AG11" s="127">
        <f>IFERROR(__xludf.DUMMYFUNCTION("iferror($O11-max(filter($O11:$O$395,$E11:$E$395=$E$2)))"),0.0)</f>
        <v>0</v>
      </c>
      <c r="AH11" s="126">
        <f t="shared" si="8"/>
        <v>1</v>
      </c>
      <c r="AI11" s="126">
        <f>IFERROR(__xludf.DUMMYFUNCTION("iferror(COUNT(filter($O12:$O$395,$O12:$O$395&gt;$O11,$E11:$E$395=$E$2)))"),0.0)</f>
        <v>0</v>
      </c>
      <c r="AJ11" s="128">
        <f t="shared" si="9"/>
        <v>1</v>
      </c>
      <c r="AK11" s="129">
        <f>IFERROR(__xludf.DUMMYFUNCTION("iferror($O11-min(filter($O11:$O$395,$E11:$E$395=$E$2)))"),11.0)</f>
        <v>11</v>
      </c>
      <c r="AL11" s="123" t="str">
        <f>IFERROR(__xludf.DUMMYFUNCTION("iferror(join("","",index(sort(filter($F12:$F$395,$O12:$O$395&gt;$O11,$E12:$E$395=$E$2),2,false),0,1)))"),"")</f>
        <v/>
      </c>
      <c r="AM11" s="123" t="str">
        <f>IFERROR(__xludf.DUMMYFUNCTION("REGEXREPLACE(join("","",unique({let(conf_picked,filter(E$1:E10,D$1:D10=D11), byrow(unique(TRANSPOSe(Teams!$1:$1)),lambda(rw,if(ISERROR(match(rw,conf_picked,0)),rw,))));iferror(if(#REF!,,transpose(split(#REF!,"","",1,1))))})), ""^,"", """")"),"AAC,ACC,Big 12,Big Ten,Pac12,CUSA,MAC,MWC,SEC,Sun Belt,")</f>
        <v>AAC,ACC,Big 12,Big Ten,Pac12,CUSA,MAC,MWC,SEC,Sun Belt,</v>
      </c>
      <c r="AN11" s="127">
        <f>IFERROR(__xludf.DUMMYFUNCTION("iferror($O11-max(filter($O11:$O$395,arrayformula(isnumber(FIND($E11:$E$395,AM11))))))"),0.0)</f>
        <v>0</v>
      </c>
      <c r="AO11" s="126">
        <f t="array" ref="AO11">countifs($O$2:$O10,"&lt;"&amp;$O11,isnumber(FIND($E$2:$E10,AM11)),TRUE)</f>
        <v>9</v>
      </c>
      <c r="AP11" s="126">
        <f>IFERROR(__xludf.DUMMYFUNCTION("iferror(COUNT(filter($O12:$O$395,$O12:$O$395&gt;$O11,arrayformula(isnumber(FIND($E12:$E$395,AM11))))))"),0.0)</f>
        <v>0</v>
      </c>
      <c r="AQ11" s="128">
        <f t="shared" si="10"/>
        <v>1</v>
      </c>
      <c r="AR11" s="129">
        <f>IFERROR(__xludf.DUMMYFUNCTION("$O11-min(filter($O11:$O$395,arrayformula(isnumber(FIND($E11:$E$395,AM11)))))"),11.0)</f>
        <v>11</v>
      </c>
      <c r="AS11" s="123" t="str">
        <f>IFERROR(__xludf.DUMMYFUNCTION("iferror(join("","",index(sort(filter($F12:$F$395,$O12:$O$395&gt;$O11,arrayformula(isnumber(FIND($E12:$E$395,AM11)))),2,false),0,1)))"),"")</f>
        <v/>
      </c>
    </row>
    <row r="12" ht="18.0" customHeight="1">
      <c r="A12" s="26">
        <v>11.0</v>
      </c>
      <c r="B12" s="26">
        <v>1.0</v>
      </c>
      <c r="C12" s="26">
        <v>11.0</v>
      </c>
      <c r="D12" s="132" t="s">
        <v>148</v>
      </c>
      <c r="E12" s="133" t="str">
        <f>if(F12&lt;&gt;"",VLOOKUP(F12,offset('Teams-Conference'!A:B,0,(counta('Draft Order'!B$2:B132)-10)*2),2,0),"")</f>
        <v>MWC</v>
      </c>
      <c r="F12" s="143" t="s">
        <v>316</v>
      </c>
      <c r="G12" s="135" t="str">
        <f t="shared" si="1"/>
        <v/>
      </c>
      <c r="H12" s="122">
        <f t="shared" si="2"/>
        <v>2</v>
      </c>
      <c r="I12" s="122">
        <f t="shared" si="3"/>
        <v>5</v>
      </c>
      <c r="J12" s="122">
        <f t="shared" ref="J12:J132" si="11">countif(E2:E11,E12)</f>
        <v>0</v>
      </c>
      <c r="K12" s="123"/>
      <c r="L12" s="122">
        <v>9.0</v>
      </c>
      <c r="M12" s="122">
        <f>IFERROR(__xludf.DUMMYFUNCTION("counta(iferror(filter(L$2:L11,E$2:E11=E12,L$2:L11&lt;L12)))"),0.0)</f>
        <v>0</v>
      </c>
      <c r="N12" s="122">
        <f>IFERROR(__xludf.DUMMYFUNCTION("counta(iferror(filter(L13:L$131,E13:E$131=E12,L13:L$134&gt;L12)))"),0.0)</f>
        <v>0</v>
      </c>
      <c r="O12" s="124">
        <f t="array" ref="O12:Z12">XLOOKUP(F12,'Current Week'!C:C,'Current Week'!D:O)</f>
        <v>9</v>
      </c>
      <c r="P12" s="122">
        <v>3.0</v>
      </c>
      <c r="Q12" s="123" t="s">
        <v>305</v>
      </c>
      <c r="R12" s="123" t="s">
        <v>57</v>
      </c>
      <c r="S12" s="123" t="s">
        <v>138</v>
      </c>
      <c r="T12" s="123"/>
      <c r="U12" s="123"/>
      <c r="V12" s="123"/>
      <c r="W12" s="123"/>
      <c r="X12" s="123"/>
      <c r="Y12" s="126"/>
      <c r="Z12" s="126"/>
      <c r="AA12" s="127">
        <f t="shared" si="4"/>
        <v>-3</v>
      </c>
      <c r="AB12" s="126">
        <f t="shared" si="5"/>
        <v>4</v>
      </c>
      <c r="AC12" s="126">
        <f>IFERROR(__xludf.DUMMYFUNCTION("iferror(COUNT(filter($O13:$O$395,$O13:$O$395&gt;$O12)))"),10.0)</f>
        <v>10</v>
      </c>
      <c r="AD12" s="128">
        <f t="shared" si="6"/>
        <v>0</v>
      </c>
      <c r="AE12" s="129">
        <f t="shared" si="7"/>
        <v>3</v>
      </c>
      <c r="AF12" s="123" t="str">
        <f>IFERROR(__xludf.DUMMYFUNCTION("iferror(join("","",index(sort(filter($F13:$F$396,$O13:$O$396&gt;$O12),2,false),0,1)))"),"USC,UTSA,Michigan,TCU,Washington,Tulane,Troy,Penn State,South Alabama,Tennessee")</f>
        <v>USC,UTSA,Michigan,TCU,Washington,Tulane,Troy,Penn State,South Alabama,Tennessee</v>
      </c>
      <c r="AG12" s="127">
        <f>IFERROR(__xludf.DUMMYFUNCTION("iferror($O12-max(filter($O12:$O$395,$E12:$E$395=$E$2)))"),-3.0)</f>
        <v>-3</v>
      </c>
      <c r="AH12" s="126">
        <f t="shared" si="8"/>
        <v>0</v>
      </c>
      <c r="AI12" s="126">
        <f>IFERROR(__xludf.DUMMYFUNCTION("iferror(COUNT(filter($O13:$O$395,$O13:$O$395&gt;$O12,$E12:$E$395=$E$2)))"),0.0)</f>
        <v>0</v>
      </c>
      <c r="AJ12" s="128">
        <f t="shared" si="9"/>
        <v>0</v>
      </c>
      <c r="AK12" s="129">
        <f>IFERROR(__xludf.DUMMYFUNCTION("iferror($O12-min(filter($O12:$O$395,$E12:$E$395=$E$2)))"),8.0)</f>
        <v>8</v>
      </c>
      <c r="AL12" s="123" t="str">
        <f>IFERROR(__xludf.DUMMYFUNCTION("iferror(join("","",index(sort(filter($F13:$F$395,$O13:$O$395&gt;$O12,$E13:$E$395=$E$2),2,false),0,1)))"),"Michigan,Penn State")</f>
        <v>Michigan,Penn State</v>
      </c>
      <c r="AM12" s="123" t="str">
        <f>IFERROR(__xludf.DUMMYFUNCTION("REGEXREPLACE(join("","",unique({let(conf_picked,filter(E$1:E11,D$1:D11=D12), byrow(unique(TRANSPOSe(Teams!$1:$1)),lambda(rw,if(ISERROR(match(rw,conf_picked,0)),rw,))));iferror(if(#REF!,,transpose(split(#REF!,"","",1,1))))})), ""^,"", """")"),"AAC,ACC,Big 12,Big Ten,Pac12,CUSA,MAC,MWC,SEC,Sun Belt,")</f>
        <v>AAC,ACC,Big 12,Big Ten,Pac12,CUSA,MAC,MWC,SEC,Sun Belt,</v>
      </c>
      <c r="AN12" s="127">
        <f>IFERROR(__xludf.DUMMYFUNCTION("iferror($O12-max(filter($O12:$O$395,arrayformula(isnumber(FIND($E12:$E$395,AM12))))))"),-3.0)</f>
        <v>-3</v>
      </c>
      <c r="AO12" s="126">
        <f t="array" ref="AO12">countifs($O$2:$O11,"&lt;"&amp;$O12,isnumber(FIND($E$2:$E11,AM12)),TRUE)</f>
        <v>4</v>
      </c>
      <c r="AP12" s="126">
        <f>IFERROR(__xludf.DUMMYFUNCTION("iferror(COUNT(filter($O13:$O$395,$O13:$O$395&gt;$O12,arrayformula(isnumber(FIND($E13:$E$395,AM12))))))"),10.0)</f>
        <v>10</v>
      </c>
      <c r="AQ12" s="128">
        <f t="shared" si="10"/>
        <v>0</v>
      </c>
      <c r="AR12" s="129">
        <f>IFERROR(__xludf.DUMMYFUNCTION("$O12-min(filter($O12:$O$395,arrayformula(isnumber(FIND($E12:$E$395,AM12)))))"),8.0)</f>
        <v>8</v>
      </c>
      <c r="AS12" s="123" t="str">
        <f>IFERROR(__xludf.DUMMYFUNCTION("iferror(join("","",index(sort(filter($F13:$F$395,$O13:$O$395&gt;$O12,arrayformula(isnumber(FIND($E13:$E$395,AM12)))),2,false),0,1)))"),"USC,UTSA,Michigan,TCU,Washington,Tulane,Troy,Penn State,South Alabama,Tennessee")</f>
        <v>USC,UTSA,Michigan,TCU,Washington,Tulane,Troy,Penn State,South Alabama,Tennessee</v>
      </c>
    </row>
    <row r="13">
      <c r="A13" s="26">
        <v>12.0</v>
      </c>
      <c r="B13" s="26">
        <v>1.0</v>
      </c>
      <c r="C13" s="26">
        <v>12.0</v>
      </c>
      <c r="D13" s="132" t="s">
        <v>103</v>
      </c>
      <c r="E13" t="str">
        <f>if(F13&lt;&gt;"",VLOOKUP(F13,offset('Teams-Conference'!A:B,0,(counta('Draft Order'!B$2:B132)-10)*2),2,0),"")</f>
        <v>MWC</v>
      </c>
      <c r="F13" s="143" t="s">
        <v>324</v>
      </c>
      <c r="G13" s="135" t="str">
        <f t="shared" si="1"/>
        <v/>
      </c>
      <c r="H13" s="122">
        <f t="shared" si="2"/>
        <v>1</v>
      </c>
      <c r="I13" s="122">
        <f t="shared" si="3"/>
        <v>4</v>
      </c>
      <c r="J13" s="122">
        <f t="shared" si="11"/>
        <v>1</v>
      </c>
      <c r="K13" s="123"/>
      <c r="L13" s="122">
        <v>9.0</v>
      </c>
      <c r="M13" s="122">
        <f>IFERROR(__xludf.DUMMYFUNCTION("counta(iferror(filter(L$2:L12,E$2:E12=E13,L$2:L12&lt;L13)))"),0.0)</f>
        <v>0</v>
      </c>
      <c r="N13" s="122">
        <f>IFERROR(__xludf.DUMMYFUNCTION("counta(iferror(filter(L14:L$131,E14:E$131=E13,L14:L$134&gt;L13)))"),0.0)</f>
        <v>0</v>
      </c>
      <c r="O13" s="124">
        <f t="array" ref="O13:Z13">XLOOKUP(F13,'Current Week'!C:C,'Current Week'!D:O)</f>
        <v>9</v>
      </c>
      <c r="P13" s="122">
        <v>3.0</v>
      </c>
      <c r="Q13" s="123" t="s">
        <v>385</v>
      </c>
      <c r="R13" s="125" t="s">
        <v>57</v>
      </c>
      <c r="S13" s="123" t="s">
        <v>131</v>
      </c>
      <c r="T13" s="123" t="s">
        <v>126</v>
      </c>
      <c r="U13" s="126"/>
      <c r="V13" s="126"/>
      <c r="W13" s="126"/>
      <c r="X13" s="126"/>
      <c r="Y13" s="126"/>
      <c r="Z13" s="126"/>
      <c r="AA13" s="127">
        <f t="shared" si="4"/>
        <v>-3</v>
      </c>
      <c r="AB13" s="126">
        <f t="shared" si="5"/>
        <v>4</v>
      </c>
      <c r="AC13" s="126">
        <f>IFERROR(__xludf.DUMMYFUNCTION("iferror(COUNT(filter($O14:$O$395,$O14:$O$395&gt;$O13)))"),10.0)</f>
        <v>10</v>
      </c>
      <c r="AD13" s="128">
        <f t="shared" si="6"/>
        <v>0</v>
      </c>
      <c r="AE13" s="129">
        <f t="shared" si="7"/>
        <v>3</v>
      </c>
      <c r="AF13" s="123" t="str">
        <f>IFERROR(__xludf.DUMMYFUNCTION("iferror(join("","",index(sort(filter($F14:$F$396,$O14:$O$396&gt;$O13),2,false),0,1)))"),"USC,UTSA,Michigan,TCU,Washington,Tulane,Troy,Penn State,South Alabama,Tennessee")</f>
        <v>USC,UTSA,Michigan,TCU,Washington,Tulane,Troy,Penn State,South Alabama,Tennessee</v>
      </c>
      <c r="AG13" s="127">
        <f>IFERROR(__xludf.DUMMYFUNCTION("iferror($O13-max(filter($O13:$O$395,$E13:$E$395=$E$2)))"),-3.0)</f>
        <v>-3</v>
      </c>
      <c r="AH13" s="126">
        <f t="shared" si="8"/>
        <v>0</v>
      </c>
      <c r="AI13" s="126">
        <f>IFERROR(__xludf.DUMMYFUNCTION("iferror(COUNT(filter($O14:$O$395,$O14:$O$395&gt;$O13,$E13:$E$395=$E$2)))"),0.0)</f>
        <v>0</v>
      </c>
      <c r="AJ13" s="128">
        <f t="shared" si="9"/>
        <v>0</v>
      </c>
      <c r="AK13" s="129">
        <f>IFERROR(__xludf.DUMMYFUNCTION("iferror($O13-min(filter($O13:$O$395,$E13:$E$395=$E$2)))"),8.0)</f>
        <v>8</v>
      </c>
      <c r="AL13" s="123" t="str">
        <f>IFERROR(__xludf.DUMMYFUNCTION("iferror(join("","",index(sort(filter($F14:$F$395,$O14:$O$395&gt;$O13,$E14:$E$395=$E$2),2,false),0,1)))"),"Michigan,Penn State")</f>
        <v>Michigan,Penn State</v>
      </c>
      <c r="AM13" s="123" t="str">
        <f>IFERROR(__xludf.DUMMYFUNCTION("REGEXREPLACE(join("","",unique({let(conf_picked,filter(E$1:E12,D$1:D12=D13), byrow(unique(TRANSPOSe(Teams!$1:$1)),lambda(rw,if(ISERROR(match(rw,conf_picked,0)),rw,))));iferror(if(#REF!,,transpose(split(#REF!,"","",1,1))))})), ""^,"", """")"),"AAC,ACC,Big 12,Big Ten,Pac12,CUSA,MAC,MWC,SEC,Sun Belt,")</f>
        <v>AAC,ACC,Big 12,Big Ten,Pac12,CUSA,MAC,MWC,SEC,Sun Belt,</v>
      </c>
      <c r="AN13" s="127">
        <f>IFERROR(__xludf.DUMMYFUNCTION("iferror($O13-max(filter($O13:$O$395,arrayformula(isnumber(FIND($E13:$E$395,AM13))))))"),-3.0)</f>
        <v>-3</v>
      </c>
      <c r="AO13" s="126">
        <f t="array" ref="AO13">countifs($O$2:$O12,"&lt;"&amp;$O13,isnumber(FIND($E$2:$E12,AM13)),TRUE)</f>
        <v>4</v>
      </c>
      <c r="AP13" s="126">
        <f>IFERROR(__xludf.DUMMYFUNCTION("iferror(COUNT(filter($O14:$O$395,$O14:$O$395&gt;$O13,arrayformula(isnumber(FIND($E14:$E$395,AM13))))))"),10.0)</f>
        <v>10</v>
      </c>
      <c r="AQ13" s="128">
        <f t="shared" si="10"/>
        <v>0</v>
      </c>
      <c r="AR13" s="129">
        <f>IFERROR(__xludf.DUMMYFUNCTION("$O13-min(filter($O13:$O$395,arrayformula(isnumber(FIND($E13:$E$395,AM13)))))"),8.0)</f>
        <v>8</v>
      </c>
      <c r="AS13" s="123" t="str">
        <f>IFERROR(__xludf.DUMMYFUNCTION("iferror(join("","",index(sort(filter($F14:$F$395,$O14:$O$395&gt;$O13,arrayformula(isnumber(FIND($E14:$E$395,AM13)))),2,false),0,1)))"),"USC,UTSA,Michigan,TCU,Washington,Tulane,Troy,Penn State,South Alabama,Tennessee")</f>
        <v>USC,UTSA,Michigan,TCU,Washington,Tulane,Troy,Penn State,South Alabama,Tennessee</v>
      </c>
    </row>
    <row r="14">
      <c r="A14" s="156">
        <v>13.0</v>
      </c>
      <c r="B14" s="156">
        <v>1.0</v>
      </c>
      <c r="C14" s="156">
        <v>13.0</v>
      </c>
      <c r="D14" s="157" t="s">
        <v>154</v>
      </c>
      <c r="E14" s="158" t="str">
        <f>if(F14&lt;&gt;"",VLOOKUP(F14,offset('Teams-Conference'!A:B,0,(counta('Draft Order'!B$2:B132)-10)*2),2,0),"")</f>
        <v>Pac12</v>
      </c>
      <c r="F14" s="159" t="s">
        <v>372</v>
      </c>
      <c r="G14" s="160" t="str">
        <f t="shared" si="1"/>
        <v/>
      </c>
      <c r="H14" s="122">
        <f t="shared" si="2"/>
        <v>1</v>
      </c>
      <c r="I14" s="122">
        <f t="shared" si="3"/>
        <v>3</v>
      </c>
      <c r="J14" s="122">
        <f t="shared" si="11"/>
        <v>0</v>
      </c>
      <c r="K14" s="123"/>
      <c r="L14" s="122">
        <v>9.0</v>
      </c>
      <c r="M14" s="122">
        <f>IFERROR(__xludf.DUMMYFUNCTION("counta(iferror(filter(L$2:L13,E$2:E13=E14,L$2:L13&lt;L14)))"),0.0)</f>
        <v>0</v>
      </c>
      <c r="N14" s="122">
        <f>IFERROR(__xludf.DUMMYFUNCTION("counta(iferror(filter(L15:L$131,E15:E$131=E14,L15:L$134&gt;L14)))"),0.0)</f>
        <v>0</v>
      </c>
      <c r="O14" s="124">
        <f t="array" ref="O14:Z14">XLOOKUP(F14,'Current Week'!C:C,'Current Week'!D:O)</f>
        <v>9</v>
      </c>
      <c r="P14" s="122">
        <v>3.0</v>
      </c>
      <c r="Q14" s="123" t="s">
        <v>392</v>
      </c>
      <c r="R14" s="123" t="s">
        <v>57</v>
      </c>
      <c r="S14" s="123" t="s">
        <v>144</v>
      </c>
      <c r="T14" s="123" t="s">
        <v>93</v>
      </c>
      <c r="U14" s="123"/>
      <c r="V14" s="123"/>
      <c r="W14" s="123"/>
      <c r="X14" s="123"/>
      <c r="Y14" s="126"/>
      <c r="Z14" s="126"/>
      <c r="AA14" s="127">
        <f t="shared" si="4"/>
        <v>-3</v>
      </c>
      <c r="AB14" s="126">
        <f t="shared" si="5"/>
        <v>4</v>
      </c>
      <c r="AC14" s="126">
        <f>IFERROR(__xludf.DUMMYFUNCTION("iferror(COUNT(filter($O15:$O$395,$O15:$O$395&gt;$O14)))"),10.0)</f>
        <v>10</v>
      </c>
      <c r="AD14" s="128">
        <f t="shared" si="6"/>
        <v>0</v>
      </c>
      <c r="AE14" s="129">
        <f t="shared" si="7"/>
        <v>3</v>
      </c>
      <c r="AF14" s="123" t="str">
        <f>IFERROR(__xludf.DUMMYFUNCTION("iferror(join("","",index(sort(filter($F15:$F$396,$O15:$O$396&gt;$O14),2,false),0,1)))"),"USC,UTSA,Michigan,TCU,Washington,Tulane,Troy,Penn State,South Alabama,Tennessee")</f>
        <v>USC,UTSA,Michigan,TCU,Washington,Tulane,Troy,Penn State,South Alabama,Tennessee</v>
      </c>
      <c r="AG14" s="127">
        <f>IFERROR(__xludf.DUMMYFUNCTION("iferror($O14-max(filter($O14:$O$395,$E14:$E$395=$E$2)))"),-3.0)</f>
        <v>-3</v>
      </c>
      <c r="AH14" s="126">
        <f t="shared" si="8"/>
        <v>0</v>
      </c>
      <c r="AI14" s="126">
        <f>IFERROR(__xludf.DUMMYFUNCTION("iferror(COUNT(filter($O15:$O$395,$O15:$O$395&gt;$O14,$E14:$E$395=$E$2)))"),0.0)</f>
        <v>0</v>
      </c>
      <c r="AJ14" s="128">
        <f t="shared" si="9"/>
        <v>0</v>
      </c>
      <c r="AK14" s="129">
        <f>IFERROR(__xludf.DUMMYFUNCTION("iferror($O14-min(filter($O14:$O$395,$E14:$E$395=$E$2)))"),8.0)</f>
        <v>8</v>
      </c>
      <c r="AL14" s="123" t="str">
        <f>IFERROR(__xludf.DUMMYFUNCTION("iferror(join("","",index(sort(filter($F15:$F$395,$O15:$O$395&gt;$O14,$E15:$E$395=$E$2),2,false),0,1)))"),"Michigan,Penn State")</f>
        <v>Michigan,Penn State</v>
      </c>
      <c r="AM14" s="123" t="str">
        <f>IFERROR(__xludf.DUMMYFUNCTION("REGEXREPLACE(join("","",unique({let(conf_picked,filter(E$1:E13,D$1:D13=D14), byrow(unique(TRANSPOSe(Teams!$1:$1)),lambda(rw,if(ISERROR(match(rw,conf_picked,0)),rw,))));iferror(if(#REF!,,transpose(split(#REF!,"","",1,1))))})), ""^,"", """")"),"AAC,ACC,Big 12,Big Ten,Pac12,CUSA,MAC,MWC,SEC,Sun Belt,")</f>
        <v>AAC,ACC,Big 12,Big Ten,Pac12,CUSA,MAC,MWC,SEC,Sun Belt,</v>
      </c>
      <c r="AN14" s="127">
        <f>IFERROR(__xludf.DUMMYFUNCTION("iferror($O14-max(filter($O14:$O$395,arrayformula(isnumber(FIND($E14:$E$395,AM14))))))"),-3.0)</f>
        <v>-3</v>
      </c>
      <c r="AO14" s="126">
        <f t="array" ref="AO14">countifs($O$2:$O13,"&lt;"&amp;$O14,isnumber(FIND($E$2:$E13,AM14)),TRUE)</f>
        <v>4</v>
      </c>
      <c r="AP14" s="126">
        <f>IFERROR(__xludf.DUMMYFUNCTION("iferror(COUNT(filter($O15:$O$395,$O15:$O$395&gt;$O14,arrayformula(isnumber(FIND($E15:$E$395,AM14))))))"),10.0)</f>
        <v>10</v>
      </c>
      <c r="AQ14" s="128">
        <f t="shared" si="10"/>
        <v>0</v>
      </c>
      <c r="AR14" s="129">
        <f>IFERROR(__xludf.DUMMYFUNCTION("$O14-min(filter($O14:$O$395,arrayformula(isnumber(FIND($E14:$E$395,AM14)))))"),8.0)</f>
        <v>8</v>
      </c>
      <c r="AS14" s="123" t="str">
        <f>IFERROR(__xludf.DUMMYFUNCTION("iferror(join("","",index(sort(filter($F15:$F$395,$O15:$O$395&gt;$O14,arrayformula(isnumber(FIND($E15:$E$395,AM14)))),2,false),0,1)))"),"USC,UTSA,Michigan,TCU,Washington,Tulane,Troy,Penn State,South Alabama,Tennessee")</f>
        <v>USC,UTSA,Michigan,TCU,Washington,Tulane,Troy,Penn State,South Alabama,Tennessee</v>
      </c>
    </row>
    <row r="15">
      <c r="A15" s="110">
        <v>14.0</v>
      </c>
      <c r="B15" s="110">
        <v>2.0</v>
      </c>
      <c r="C15" s="110">
        <v>1.0</v>
      </c>
      <c r="D15" s="111" t="s">
        <v>154</v>
      </c>
      <c r="E15" s="113" t="str">
        <f>if(F15&lt;&gt;"",VLOOKUP(F15,offset('Teams-Conference'!A:B,0,(counta('Draft Order'!B$2:B132)-10)*2),2,0),"")</f>
        <v>AAC</v>
      </c>
      <c r="F15" s="115" t="s">
        <v>330</v>
      </c>
      <c r="G15" s="119" t="str">
        <f t="shared" si="1"/>
        <v/>
      </c>
      <c r="H15" s="122">
        <f t="shared" si="2"/>
        <v>3</v>
      </c>
      <c r="I15" s="122">
        <f t="shared" si="3"/>
        <v>3</v>
      </c>
      <c r="J15" s="122">
        <f t="shared" si="11"/>
        <v>1</v>
      </c>
      <c r="K15" s="123"/>
      <c r="L15" s="122">
        <v>7.0</v>
      </c>
      <c r="M15" s="122">
        <f>IFERROR(__xludf.DUMMYFUNCTION("counta(iferror(filter(L$2:L14,E$2:E14=E15,L$2:L14&lt;L15)))"),0.0)</f>
        <v>0</v>
      </c>
      <c r="N15" s="122">
        <f>IFERROR(__xludf.DUMMYFUNCTION("counta(iferror(filter(L16:L$131,E16:E$131=E15,L16:L$134&gt;L15)))"),0.0)</f>
        <v>0</v>
      </c>
      <c r="O15" s="124">
        <f t="array" ref="O15:Z15">XLOOKUP(F15,'Current Week'!C:C,'Current Week'!D:O)</f>
        <v>7</v>
      </c>
      <c r="P15" s="122">
        <v>5.0</v>
      </c>
      <c r="Q15" s="123" t="s">
        <v>196</v>
      </c>
      <c r="R15" s="123" t="s">
        <v>57</v>
      </c>
      <c r="S15" s="123" t="s">
        <v>53</v>
      </c>
      <c r="T15" s="123" t="s">
        <v>119</v>
      </c>
      <c r="U15" s="126"/>
      <c r="V15" s="126"/>
      <c r="W15" s="126"/>
      <c r="X15" s="126"/>
      <c r="Y15" s="126"/>
      <c r="Z15" s="126"/>
      <c r="AA15" s="127">
        <f t="shared" si="4"/>
        <v>-5</v>
      </c>
      <c r="AB15" s="126">
        <f t="shared" si="5"/>
        <v>2</v>
      </c>
      <c r="AC15" s="126">
        <f>IFERROR(__xludf.DUMMYFUNCTION("iferror(COUNT(filter($O16:$O$395,$O16:$O$395&gt;$O15)))"),35.0)</f>
        <v>35</v>
      </c>
      <c r="AD15" s="128">
        <f t="shared" si="6"/>
        <v>0</v>
      </c>
      <c r="AE15" s="129">
        <f t="shared" si="7"/>
        <v>1</v>
      </c>
      <c r="AF15" s="123" t="str">
        <f>IFERROR(__xludf.DUMMYFUNCTION("iferror(join("","",index(sort(filter($F16:$F$396,$O16:$O$396&gt;$O15),2,false),0,1)))"),"UCF,USC,Fresno State,UTSA,Western Kentucky,Oregon,UCLA,Michigan,Notre Dame,Texas,NC State,TCU,Washington,Pittsburgh,North Carolina,Tulane,Oregon State,Troy,Penn State,Liberty,James Madison,EMU,Florida State,Kansas State,Minnesota,South Alabama,Purdue,Ole "&amp;"Miss,Tennessee,Ohio,Mississippi State,LSU,Illinois,South Carolina,Duke")</f>
        <v>UCF,USC,Fresno State,UTSA,Western Kentucky,Oregon,UCLA,Michigan,Notre Dame,Texas,NC State,TCU,Washington,Pittsburgh,North Carolina,Tulane,Oregon State,Troy,Penn State,Liberty,James Madison,EMU,Florida State,Kansas State,Minnesota,South Alabama,Purdue,Ole Miss,Tennessee,Ohio,Mississippi State,LSU,Illinois,South Carolina,Duke</v>
      </c>
      <c r="AG15" s="127">
        <f>IFERROR(__xludf.DUMMYFUNCTION("iferror($O15-max(filter($O15:$O$395,$E15:$E$395=$E$2)))"),-5.0)</f>
        <v>-5</v>
      </c>
      <c r="AH15" s="126">
        <f t="shared" si="8"/>
        <v>0</v>
      </c>
      <c r="AI15" s="126">
        <f>IFERROR(__xludf.DUMMYFUNCTION("iferror(COUNT(filter($O16:$O$395,$O16:$O$395&gt;$O15,$E15:$E$395=$E$2)))"),0.0)</f>
        <v>0</v>
      </c>
      <c r="AJ15" s="128">
        <f t="shared" si="9"/>
        <v>0</v>
      </c>
      <c r="AK15" s="129">
        <f>IFERROR(__xludf.DUMMYFUNCTION("iferror($O15-min(filter($O15:$O$395,$E15:$E$395=$E$2)))"),6.0)</f>
        <v>6</v>
      </c>
      <c r="AL15" s="123" t="str">
        <f>IFERROR(__xludf.DUMMYFUNCTION("iferror(join("","",index(sort(filter($F16:$F$395,$O16:$O$395&gt;$O15,$E16:$E$395=$E$2),2,false),0,1)))"),"Michigan,Penn State,Minnesota,Purdue,Illinois")</f>
        <v>Michigan,Penn State,Minnesota,Purdue,Illinois</v>
      </c>
      <c r="AM15" s="123" t="str">
        <f>IFERROR(__xludf.DUMMYFUNCTION("REGEXREPLACE(join("","",unique({let(conf_picked,filter(E$1:E14,D$1:D14=D15), byrow(unique(TRANSPOSe(Teams!$1:$1)),lambda(rw,if(ISERROR(match(rw,conf_picked,0)),rw,))));iferror(if(#REF!,,transpose(split(#REF!,"","",1,1))))})), ""^,"", """")"),"AAC,ACC,Big 12,Big Ten,,CUSA,MAC,MWC,SEC,Sun Belt")</f>
        <v>AAC,ACC,Big 12,Big Ten,,CUSA,MAC,MWC,SEC,Sun Belt</v>
      </c>
      <c r="AN15" s="127">
        <f>IFERROR(__xludf.DUMMYFUNCTION("iferror($O15-max(filter($O15:$O$395,arrayformula(isnumber(FIND($E15:$E$395,AM15))))))"),-5.0)</f>
        <v>-5</v>
      </c>
      <c r="AO15" s="126">
        <f t="array" ref="AO15">countifs($O$2:$O14,"&lt;"&amp;$O15,isnumber(FIND($E$2:$E14,AM15)),TRUE)</f>
        <v>2</v>
      </c>
      <c r="AP15" s="126">
        <f>IFERROR(__xludf.DUMMYFUNCTION("iferror(COUNT(filter($O16:$O$395,$O16:$O$395&gt;$O15,arrayformula(isnumber(FIND($E16:$E$395,AM15))))))"),30.0)</f>
        <v>30</v>
      </c>
      <c r="AQ15" s="128">
        <f t="shared" si="10"/>
        <v>0</v>
      </c>
      <c r="AR15" s="129">
        <f>IFERROR(__xludf.DUMMYFUNCTION("$O15-min(filter($O15:$O$395,arrayformula(isnumber(FIND($E15:$E$395,AM15)))))"),6.0)</f>
        <v>6</v>
      </c>
      <c r="AS15" s="123" t="str">
        <f>IFERROR(__xludf.DUMMYFUNCTION("iferror(join("","",index(sort(filter($F16:$F$395,$O16:$O$395&gt;$O15,arrayformula(isnumber(FIND($E16:$E$395,AM15)))),2,false),0,1)))"),"UCF,Fresno State,UTSA,Western Kentucky,Michigan,Notre Dame,Texas,NC State,TCU,Pittsburgh,North Carolina,Tulane,Troy,Penn State,Liberty,James Madison,EMU,Florida State,Kansas State,Minnesota,South Alabama,Purdue,Ole Miss,Tennessee,Ohio,Mississippi State,LS"&amp;"U,Illinois,South Carolina,Duke")</f>
        <v>UCF,Fresno State,UTSA,Western Kentucky,Michigan,Notre Dame,Texas,NC State,TCU,Pittsburgh,North Carolina,Tulane,Troy,Penn State,Liberty,James Madison,EMU,Florida State,Kansas State,Minnesota,South Alabama,Purdue,Ole Miss,Tennessee,Ohio,Mississippi State,LSU,Illinois,South Carolina,Duke</v>
      </c>
    </row>
    <row r="16">
      <c r="A16" s="26">
        <v>15.0</v>
      </c>
      <c r="B16" s="26">
        <v>2.0</v>
      </c>
      <c r="C16" s="26">
        <v>2.0</v>
      </c>
      <c r="D16" s="132" t="s">
        <v>103</v>
      </c>
      <c r="E16" s="133" t="str">
        <f>if(F16&lt;&gt;"",VLOOKUP(F16,offset('Teams-Conference'!A:B,0,(counta('Draft Order'!B$2:B132)-10)*2),2,0),"")</f>
        <v>CUSA</v>
      </c>
      <c r="F16" s="134" t="s">
        <v>378</v>
      </c>
      <c r="G16" s="135" t="str">
        <f t="shared" si="1"/>
        <v/>
      </c>
      <c r="H16" s="122">
        <f t="shared" si="2"/>
        <v>2</v>
      </c>
      <c r="I16" s="122">
        <f t="shared" si="3"/>
        <v>2</v>
      </c>
      <c r="J16" s="122">
        <f t="shared" si="11"/>
        <v>0</v>
      </c>
      <c r="K16" s="123"/>
      <c r="L16" s="122">
        <v>6.0</v>
      </c>
      <c r="M16" s="122">
        <f>IFERROR(__xludf.DUMMYFUNCTION("counta(iferror(filter(L$2:L15,E$2:E15=E16,L$2:L15&lt;L16)))"),0.0)</f>
        <v>0</v>
      </c>
      <c r="N16" s="122">
        <f>IFERROR(__xludf.DUMMYFUNCTION("counta(iferror(filter(L17:L$131,E17:E$131=E16,L17:L$134&gt;L16)))"),0.0)</f>
        <v>0</v>
      </c>
      <c r="O16" s="124">
        <f t="array" ref="O16:Z16">XLOOKUP(F16,'Current Week'!C:C,'Current Week'!D:O)</f>
        <v>6</v>
      </c>
      <c r="P16" s="122">
        <v>6.0</v>
      </c>
      <c r="Q16" s="123" t="s">
        <v>396</v>
      </c>
      <c r="R16" s="125" t="s">
        <v>57</v>
      </c>
      <c r="S16" s="123" t="s">
        <v>166</v>
      </c>
      <c r="T16" s="123" t="s">
        <v>126</v>
      </c>
      <c r="U16" s="126"/>
      <c r="V16" s="126"/>
      <c r="W16" s="126"/>
      <c r="X16" s="126"/>
      <c r="Y16" s="126"/>
      <c r="Z16" s="126"/>
      <c r="AA16" s="127">
        <f t="shared" si="4"/>
        <v>-6</v>
      </c>
      <c r="AB16" s="126">
        <f t="shared" si="5"/>
        <v>0</v>
      </c>
      <c r="AC16" s="126">
        <f>IFERROR(__xludf.DUMMYFUNCTION("iferror(COUNT(filter($O17:$O$395,$O17:$O$395&gt;$O16)))"),52.0)</f>
        <v>52</v>
      </c>
      <c r="AD16" s="128">
        <f t="shared" si="6"/>
        <v>0</v>
      </c>
      <c r="AE16" s="129">
        <f t="shared" si="7"/>
        <v>0</v>
      </c>
      <c r="AF16" s="123" t="str">
        <f>IFERROR(__xludf.DUMMYFUNCTION("iferror(join("","",index(sort(filter($F17:$F$396,$O17:$O$396&gt;$O16),2,false),0,1)))"),"UCF,USC,Fresno State,BYU,UTSA,Western Kentucky,Oregon,San Diego State,UCLA,Michigan,San José State,Notre Dame,Texas,Oklahoma State,NC State,TCU,Washington,Pittsburgh,East Carolina,North Carolina,SMU,Kentucky,Tulane,North Texas,Wake Forest,Oregon State,Tro"&amp;"y,Penn State,Liberty,James Madison,EMU,Wyoming,Florida State,Middle Tennessee,Kansas State,Texas Tech,Washington State,Minnesota,South Alabama,Louisville,Iowa,Purdue,Ole Miss,Maryland,Syracuse,Tennessee,Ohio,Mississippi State,LSU,Illinois,South Carolina,D"&amp;"uke")</f>
        <v>UCF,USC,Fresno State,BYU,UTSA,Western Kentucky,Oregon,San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16" s="127">
        <f>IFERROR(__xludf.DUMMYFUNCTION("iferror($O16-max(filter($O16:$O$395,$E16:$E$395=$E$2)))"),-6.0)</f>
        <v>-6</v>
      </c>
      <c r="AH16" s="126">
        <f t="shared" si="8"/>
        <v>0</v>
      </c>
      <c r="AI16" s="126">
        <f>IFERROR(__xludf.DUMMYFUNCTION("iferror(COUNT(filter($O17:$O$395,$O17:$O$395&gt;$O16,$E16:$E$395=$E$2)))"),0.0)</f>
        <v>0</v>
      </c>
      <c r="AJ16" s="128">
        <f t="shared" si="9"/>
        <v>0</v>
      </c>
      <c r="AK16" s="129">
        <f>IFERROR(__xludf.DUMMYFUNCTION("iferror($O16-min(filter($O16:$O$395,$E16:$E$395=$E$2)))"),5.0)</f>
        <v>5</v>
      </c>
      <c r="AL16" s="123" t="str">
        <f>IFERROR(__xludf.DUMMYFUNCTION("iferror(join("","",index(sort(filter($F17:$F$395,$O17:$O$395&gt;$O16,$E17:$E$395=$E$2),2,false),0,1)))"),"Michigan,Penn State,Minnesota,Iowa,Purdue,Maryland,Illinois")</f>
        <v>Michigan,Penn State,Minnesota,Iowa,Purdue,Maryland,Illinois</v>
      </c>
      <c r="AM16" s="123" t="str">
        <f>IFERROR(__xludf.DUMMYFUNCTION("REGEXREPLACE(join("","",unique({let(conf_picked,filter(E$1:E15,D$1:D15=D16), byrow(unique(TRANSPOSe(Teams!$1:$1)),lambda(rw,if(ISERROR(match(rw,conf_picked,0)),rw,))));iferror(if(#REF!,,transpose(split(#REF!,"","",1,1))))})), ""^,"", """")"),"AAC,ACC,Big 12,Big Ten,Pac12,CUSA,MAC,,SEC,Sun Belt")</f>
        <v>AAC,ACC,Big 12,Big Ten,Pac12,CUSA,MAC,,SEC,Sun Belt</v>
      </c>
      <c r="AN16" s="127">
        <f>IFERROR(__xludf.DUMMYFUNCTION("iferror($O16-max(filter($O16:$O$395,arrayformula(isnumber(FIND($E16:$E$395,AM16))))))"),-6.0)</f>
        <v>-6</v>
      </c>
      <c r="AO16" s="126">
        <f t="array" ref="AO16">countifs($O$2:$O15,"&lt;"&amp;$O16,isnumber(FIND($E$2:$E15,AM16)),TRUE)</f>
        <v>0</v>
      </c>
      <c r="AP16" s="126">
        <f>IFERROR(__xludf.DUMMYFUNCTION("iferror(COUNT(filter($O17:$O$395,$O17:$O$395&gt;$O16,arrayformula(isnumber(FIND($E17:$E$395,AM16))))))"),48.0)</f>
        <v>48</v>
      </c>
      <c r="AQ16" s="128">
        <f t="shared" si="10"/>
        <v>0</v>
      </c>
      <c r="AR16" s="129">
        <f>IFERROR(__xludf.DUMMYFUNCTION("$O16-min(filter($O16:$O$395,arrayformula(isnumber(FIND($E16:$E$395,AM16)))))"),5.0)</f>
        <v>5</v>
      </c>
      <c r="AS16" s="123" t="str">
        <f>IFERROR(__xludf.DUMMYFUNCTION("iferror(join("","",index(sort(filter($F17:$F$395,$O17:$O$395&gt;$O16,arrayformula(isnumber(FIND($E17:$E$395,AM16)))),2,false),0,1)))"),"UCF,USC,BYU,UTSA,Western Kentucky,Oregon,UCLA,Michigan,Notre Dame,Texas,Oklahoma State,NC State,TCU,Washington,Pittsburgh,East Carolina,North Carolina,SMU,Kentucky,Tulane,North Texas,Wake Forest,Oregon State,Troy,Penn State,Liberty,James Madison,EMU,Flori"&amp;"da State,Middle Tennessee,Kansas State,Texas Tech,Washington State,Minnesota,South Alabama,Louisville,Iowa,Purdue,Ole Miss,Maryland,Syracuse,Tennessee,Ohio,Mississippi State,LSU,Illinois,South Carolina,Duke")</f>
        <v>UCF,USC,BYU,UTSA,Western Kentucky,Oregon,UCLA,Michigan,Notre Dame,Texas,Oklahoma State,NC State,TCU,Washington,Pittsburgh,East Carolina,North Carolina,SMU,Kentucky,Tulane,North Texas,Wake Forest,Oregon State,Troy,Penn State,Liberty,James Madison,EMU,Florida State,Middle Tennessee,Kansas State,Texas Tech,Washington State,Minnesota,South Alabama,Louisville,Iowa,Purdue,Ole Miss,Maryland,Syracuse,Tennessee,Ohio,Mississippi State,LSU,Illinois,South Carolina,Duke</v>
      </c>
    </row>
    <row r="17">
      <c r="A17" s="26">
        <v>16.0</v>
      </c>
      <c r="B17" s="26">
        <v>2.0</v>
      </c>
      <c r="C17" s="26">
        <v>3.0</v>
      </c>
      <c r="D17" s="137" t="s">
        <v>148</v>
      </c>
      <c r="E17" s="133" t="str">
        <f>if(F17&lt;&gt;"",VLOOKUP(F17,offset('Teams-Conference'!A:B,0,(counta('Draft Order'!B$2:B132)-10)*2),2,0),"")</f>
        <v>AAC</v>
      </c>
      <c r="F17" s="138" t="s">
        <v>374</v>
      </c>
      <c r="G17" s="135" t="str">
        <f t="shared" si="1"/>
        <v/>
      </c>
      <c r="H17" s="122">
        <f t="shared" si="2"/>
        <v>2</v>
      </c>
      <c r="I17" s="122">
        <f t="shared" si="3"/>
        <v>2</v>
      </c>
      <c r="J17" s="122">
        <f t="shared" si="11"/>
        <v>1</v>
      </c>
      <c r="K17" s="123"/>
      <c r="L17" s="122">
        <v>9.0</v>
      </c>
      <c r="M17" s="122">
        <f>IFERROR(__xludf.DUMMYFUNCTION("counta(iferror(filter(L$2:L16,E$2:E16=E17,L$2:L16&lt;L17)))"),1.0)</f>
        <v>1</v>
      </c>
      <c r="N17" s="122">
        <f>IFERROR(__xludf.DUMMYFUNCTION("counta(iferror(filter(L18:L$131,E18:E$131=E17,L18:L$134&gt;L17)))"),0.0)</f>
        <v>0</v>
      </c>
      <c r="O17" s="124">
        <f t="array" ref="O17:Z17">XLOOKUP(F17,'Current Week'!C:C,'Current Week'!D:O)</f>
        <v>9</v>
      </c>
      <c r="P17" s="122">
        <v>3.0</v>
      </c>
      <c r="Q17" s="123" t="s">
        <v>211</v>
      </c>
      <c r="R17" s="123" t="s">
        <v>57</v>
      </c>
      <c r="S17" s="123" t="s">
        <v>131</v>
      </c>
      <c r="T17" s="123" t="s">
        <v>105</v>
      </c>
      <c r="U17" s="123"/>
      <c r="V17" s="123"/>
      <c r="W17" s="123"/>
      <c r="X17" s="123"/>
      <c r="Y17" s="126"/>
      <c r="Z17" s="126"/>
      <c r="AA17" s="127">
        <f t="shared" si="4"/>
        <v>-3</v>
      </c>
      <c r="AB17" s="126">
        <f t="shared" si="5"/>
        <v>6</v>
      </c>
      <c r="AC17" s="126">
        <f>IFERROR(__xludf.DUMMYFUNCTION("iferror(COUNT(filter($O18:$O$395,$O18:$O$395&gt;$O17)))"),10.0)</f>
        <v>10</v>
      </c>
      <c r="AD17" s="128">
        <f t="shared" si="6"/>
        <v>0</v>
      </c>
      <c r="AE17" s="129">
        <f t="shared" si="7"/>
        <v>3</v>
      </c>
      <c r="AF17" s="123" t="str">
        <f>IFERROR(__xludf.DUMMYFUNCTION("iferror(join("","",index(sort(filter($F18:$F$396,$O18:$O$396&gt;$O17),2,false),0,1)))"),"USC,UTSA,Michigan,TCU,Washington,Tulane,Troy,Penn State,South Alabama,Tennessee")</f>
        <v>USC,UTSA,Michigan,TCU,Washington,Tulane,Troy,Penn State,South Alabama,Tennessee</v>
      </c>
      <c r="AG17" s="127">
        <f>IFERROR(__xludf.DUMMYFUNCTION("iferror($O17-max(filter($O17:$O$395,$E17:$E$395=$E$2)))"),-3.0)</f>
        <v>-3</v>
      </c>
      <c r="AH17" s="126">
        <f t="shared" si="8"/>
        <v>0</v>
      </c>
      <c r="AI17" s="126">
        <f>IFERROR(__xludf.DUMMYFUNCTION("iferror(COUNT(filter($O18:$O$395,$O18:$O$395&gt;$O17,$E17:$E$395=$E$2)))"),0.0)</f>
        <v>0</v>
      </c>
      <c r="AJ17" s="128">
        <f t="shared" si="9"/>
        <v>0</v>
      </c>
      <c r="AK17" s="129">
        <f>IFERROR(__xludf.DUMMYFUNCTION("iferror($O17-min(filter($O17:$O$395,$E17:$E$395=$E$2)))"),8.0)</f>
        <v>8</v>
      </c>
      <c r="AL17" s="123" t="str">
        <f>IFERROR(__xludf.DUMMYFUNCTION("iferror(join("","",index(sort(filter($F18:$F$395,$O18:$O$395&gt;$O17,$E18:$E$395=$E$2),2,false),0,1)))"),"Michigan,Penn State")</f>
        <v>Michigan,Penn State</v>
      </c>
      <c r="AM17" s="123" t="str">
        <f>IFERROR(__xludf.DUMMYFUNCTION("REGEXREPLACE(join("","",unique({let(conf_picked,filter(E$1:E16,D$1:D16=D17), byrow(unique(TRANSPOSe(Teams!$1:$1)),lambda(rw,if(ISERROR(match(rw,conf_picked,0)),rw,))));iferror(if(#REF!,,transpose(split(#REF!,"","",1,1))))})), ""^,"", """")"),"AAC,ACC,Big 12,Big Ten,Pac12,CUSA,MAC,,SEC,Sun Belt")</f>
        <v>AAC,ACC,Big 12,Big Ten,Pac12,CUSA,MAC,,SEC,Sun Belt</v>
      </c>
      <c r="AN17" s="127">
        <f>IFERROR(__xludf.DUMMYFUNCTION("iferror($O17-max(filter($O17:$O$395,arrayformula(isnumber(FIND($E17:$E$395,AM17))))))"),-3.0)</f>
        <v>-3</v>
      </c>
      <c r="AO17" s="126">
        <f t="array" ref="AO17">countifs($O$2:$O16,"&lt;"&amp;$O17,isnumber(FIND($E$2:$E16,AM17)),TRUE)</f>
        <v>6</v>
      </c>
      <c r="AP17" s="126">
        <f>IFERROR(__xludf.DUMMYFUNCTION("iferror(COUNT(filter($O18:$O$395,$O18:$O$395&gt;$O17,arrayformula(isnumber(FIND($E18:$E$395,AM17))))))"),10.0)</f>
        <v>10</v>
      </c>
      <c r="AQ17" s="128">
        <f t="shared" si="10"/>
        <v>0</v>
      </c>
      <c r="AR17" s="129">
        <f>IFERROR(__xludf.DUMMYFUNCTION("$O17-min(filter($O17:$O$395,arrayformula(isnumber(FIND($E17:$E$395,AM17)))))"),8.0)</f>
        <v>8</v>
      </c>
      <c r="AS17" s="123" t="str">
        <f>IFERROR(__xludf.DUMMYFUNCTION("iferror(join("","",index(sort(filter($F18:$F$395,$O18:$O$395&gt;$O17,arrayformula(isnumber(FIND($E18:$E$395,AM17)))),2,false),0,1)))"),"USC,UTSA,Michigan,TCU,Washington,Tulane,Troy,Penn State,South Alabama,Tennessee")</f>
        <v>USC,UTSA,Michigan,TCU,Washington,Tulane,Troy,Penn State,South Alabama,Tennessee</v>
      </c>
    </row>
    <row r="18">
      <c r="A18" s="26">
        <v>17.0</v>
      </c>
      <c r="B18" s="26">
        <v>2.0</v>
      </c>
      <c r="C18" s="26">
        <v>4.0</v>
      </c>
      <c r="D18" s="132" t="s">
        <v>116</v>
      </c>
      <c r="E18" s="133" t="str">
        <f>if(F18&lt;&gt;"",VLOOKUP(F18,offset('Teams-Conference'!A:B,0,(counta('Draft Order'!B$2:B132)-10)*2),2,0),"")</f>
        <v>Pac12</v>
      </c>
      <c r="F18" s="134" t="s">
        <v>369</v>
      </c>
      <c r="G18" s="135" t="str">
        <f t="shared" si="1"/>
        <v/>
      </c>
      <c r="H18" s="122">
        <f t="shared" si="2"/>
        <v>1</v>
      </c>
      <c r="I18" s="122">
        <f t="shared" si="3"/>
        <v>2</v>
      </c>
      <c r="J18" s="122">
        <f t="shared" si="11"/>
        <v>1</v>
      </c>
      <c r="K18" s="123"/>
      <c r="L18" s="122">
        <v>11.0</v>
      </c>
      <c r="M18" s="122">
        <f>IFERROR(__xludf.DUMMYFUNCTION("counta(iferror(filter(L$2:L17,E$2:E17=E18,L$2:L17&lt;L18)))"),1.0)</f>
        <v>1</v>
      </c>
      <c r="N18" s="122">
        <f>IFERROR(__xludf.DUMMYFUNCTION("counta(iferror(filter(L19:L$131,E19:E$131=E18,L19:L$134&gt;L18)))"),0.0)</f>
        <v>0</v>
      </c>
      <c r="O18" s="124">
        <f t="array" ref="O18:Z18">XLOOKUP(F18,'Current Week'!C:C,'Current Week'!D:O)</f>
        <v>11</v>
      </c>
      <c r="P18" s="122">
        <v>1.0</v>
      </c>
      <c r="Q18" s="123" t="s">
        <v>408</v>
      </c>
      <c r="R18" s="123" t="s">
        <v>57</v>
      </c>
      <c r="S18" s="123" t="s">
        <v>109</v>
      </c>
      <c r="T18" s="123" t="s">
        <v>58</v>
      </c>
      <c r="U18" s="123"/>
      <c r="V18" s="123"/>
      <c r="W18" s="123"/>
      <c r="X18" s="123"/>
      <c r="Y18" s="126"/>
      <c r="Z18" s="126"/>
      <c r="AA18" s="127">
        <f t="shared" si="4"/>
        <v>-1</v>
      </c>
      <c r="AB18" s="126">
        <f t="shared" si="5"/>
        <v>14</v>
      </c>
      <c r="AC18" s="126">
        <f>IFERROR(__xludf.DUMMYFUNCTION("iferror(COUNT(filter($O19:$O$395,$O19:$O$395&gt;$O18)))"),2.0)</f>
        <v>2</v>
      </c>
      <c r="AD18" s="128">
        <f t="shared" si="6"/>
        <v>0</v>
      </c>
      <c r="AE18" s="129">
        <f t="shared" si="7"/>
        <v>5</v>
      </c>
      <c r="AF18" s="123" t="str">
        <f>IFERROR(__xludf.DUMMYFUNCTION("iferror(join("","",index(sort(filter($F19:$F$396,$O19:$O$396&gt;$O18),2,false),0,1)))"),"Michigan,TCU")</f>
        <v>Michigan,TCU</v>
      </c>
      <c r="AG18" s="127">
        <f>IFERROR(__xludf.DUMMYFUNCTION("iferror($O18-max(filter($O18:$O$395,$E18:$E$395=$E$2)))"),-1.0)</f>
        <v>-1</v>
      </c>
      <c r="AH18" s="126">
        <f t="shared" si="8"/>
        <v>0</v>
      </c>
      <c r="AI18" s="126">
        <f>IFERROR(__xludf.DUMMYFUNCTION("iferror(COUNT(filter($O19:$O$395,$O19:$O$395&gt;$O18,$E18:$E$395=$E$2)))"),0.0)</f>
        <v>0</v>
      </c>
      <c r="AJ18" s="128">
        <f t="shared" si="9"/>
        <v>0</v>
      </c>
      <c r="AK18" s="129">
        <f>IFERROR(__xludf.DUMMYFUNCTION("iferror($O18-min(filter($O18:$O$395,$E18:$E$395=$E$2)))"),10.0)</f>
        <v>10</v>
      </c>
      <c r="AL18" s="123" t="str">
        <f>IFERROR(__xludf.DUMMYFUNCTION("iferror(join("","",index(sort(filter($F19:$F$395,$O19:$O$395&gt;$O18,$E19:$E$395=$E$2),2,false),0,1)))"),"Michigan")</f>
        <v>Michigan</v>
      </c>
      <c r="AM18" s="123" t="str">
        <f>IFERROR(__xludf.DUMMYFUNCTION("REGEXREPLACE(join("","",unique({let(conf_picked,filter(E$1:E17,D$1:D17=D18), byrow(unique(TRANSPOSe(Teams!$1:$1)),lambda(rw,if(ISERROR(match(rw,conf_picked,0)),rw,))));iferror(if(#REF!,,transpose(split(#REF!,"","",1,1))))})), ""^,"", """")"),"AAC,ACC,Big 12,Big Ten,Pac12,CUSA,MAC,MWC,,Sun Belt")</f>
        <v>AAC,ACC,Big 12,Big Ten,Pac12,CUSA,MAC,MWC,,Sun Belt</v>
      </c>
      <c r="AN18" s="127">
        <f>IFERROR(__xludf.DUMMYFUNCTION("iferror($O18-max(filter($O18:$O$395,arrayformula(isnumber(FIND($E18:$E$395,AM18))))))"),-1.0)</f>
        <v>-1</v>
      </c>
      <c r="AO18" s="126">
        <f t="array" ref="AO18">countifs($O$2:$O17,"&lt;"&amp;$O18,isnumber(FIND($E$2:$E17,AM18)),TRUE)</f>
        <v>13</v>
      </c>
      <c r="AP18" s="126">
        <f>IFERROR(__xludf.DUMMYFUNCTION("iferror(COUNT(filter($O19:$O$395,$O19:$O$395&gt;$O18,arrayformula(isnumber(FIND($E19:$E$395,AM18))))))"),2.0)</f>
        <v>2</v>
      </c>
      <c r="AQ18" s="128">
        <f t="shared" si="10"/>
        <v>0</v>
      </c>
      <c r="AR18" s="129">
        <f>IFERROR(__xludf.DUMMYFUNCTION("$O18-min(filter($O18:$O$395,arrayformula(isnumber(FIND($E18:$E$395,AM18)))))"),10.0)</f>
        <v>10</v>
      </c>
      <c r="AS18" s="123" t="str">
        <f>IFERROR(__xludf.DUMMYFUNCTION("iferror(join("","",index(sort(filter($F19:$F$395,$O19:$O$395&gt;$O18,arrayformula(isnumber(FIND($E19:$E$395,AM18)))),2,false),0,1)))"),"Michigan,TCU")</f>
        <v>Michigan,TCU</v>
      </c>
    </row>
    <row r="19">
      <c r="A19" s="26">
        <v>18.0</v>
      </c>
      <c r="B19" s="26">
        <v>2.0</v>
      </c>
      <c r="C19" s="26">
        <v>5.0</v>
      </c>
      <c r="D19" s="132" t="s">
        <v>166</v>
      </c>
      <c r="E19" s="133" t="str">
        <f>if(F19&lt;&gt;"",VLOOKUP(F19,offset('Teams-Conference'!A:B,0,(counta('Draft Order'!B$2:B132)-10)*2),2,0),"")</f>
        <v>AAC</v>
      </c>
      <c r="F19" s="143" t="s">
        <v>398</v>
      </c>
      <c r="G19" s="135" t="str">
        <f t="shared" si="1"/>
        <v/>
      </c>
      <c r="H19" s="122">
        <f t="shared" si="2"/>
        <v>1</v>
      </c>
      <c r="I19" s="122">
        <f t="shared" si="3"/>
        <v>1</v>
      </c>
      <c r="J19" s="122">
        <f t="shared" si="11"/>
        <v>2</v>
      </c>
      <c r="K19" s="123"/>
      <c r="L19" s="122">
        <v>6.0</v>
      </c>
      <c r="M19" s="122">
        <f>IFERROR(__xludf.DUMMYFUNCTION("counta(iferror(filter(L$2:L18,E$2:E18=E19,L$2:L18&lt;L19)))"),0.0)</f>
        <v>0</v>
      </c>
      <c r="N19" s="122">
        <f>IFERROR(__xludf.DUMMYFUNCTION("counta(iferror(filter(L20:L$131,E20:E$131=E19,L20:L$134&gt;L19)))"),0.0)</f>
        <v>0</v>
      </c>
      <c r="O19" s="124">
        <f t="array" ref="O19:Z19">XLOOKUP(F19,'Current Week'!C:C,'Current Week'!D:O)</f>
        <v>6</v>
      </c>
      <c r="P19" s="122">
        <v>6.0</v>
      </c>
      <c r="Q19" s="123" t="s">
        <v>410</v>
      </c>
      <c r="R19" s="125" t="s">
        <v>57</v>
      </c>
      <c r="S19" s="123" t="s">
        <v>148</v>
      </c>
      <c r="T19" s="123"/>
      <c r="U19" s="126"/>
      <c r="V19" s="126"/>
      <c r="W19" s="126"/>
      <c r="X19" s="126"/>
      <c r="Y19" s="126"/>
      <c r="Z19" s="126"/>
      <c r="AA19" s="127">
        <f t="shared" si="4"/>
        <v>-6</v>
      </c>
      <c r="AB19" s="126">
        <f t="shared" si="5"/>
        <v>0</v>
      </c>
      <c r="AC19" s="126">
        <f>IFERROR(__xludf.DUMMYFUNCTION("iferror(COUNT(filter($O20:$O$395,$O20:$O$395&gt;$O19)))"),50.0)</f>
        <v>50</v>
      </c>
      <c r="AD19" s="128">
        <f t="shared" si="6"/>
        <v>0</v>
      </c>
      <c r="AE19" s="129">
        <f t="shared" si="7"/>
        <v>0</v>
      </c>
      <c r="AF19" s="123" t="str">
        <f>IFERROR(__xludf.DUMMYFUNCTION("iferror(join("","",index(sort(filter($F20:$F$396,$O20:$O$396&gt;$O19),2,false),0,1)))"),"Fresno State,BYU,UTSA,Western Kentucky,Oregon,San Diego State,UCLA,Michigan,San José State,Notre Dame,Texas,Oklahoma State,NC State,TCU,Washington,Pittsburgh,East Carolina,North Carolina,SMU,Kentucky,Tulane,North Texas,Wake Forest,Oregon State,Troy,Penn S"&amp;"tate,Liberty,James Madison,EMU,Wyoming,Florida State,Middle Tennessee,Kansas State,Texas Tech,Washington State,Minnesota,South Alabama,Louisville,Iowa,Purdue,Ole Miss,Maryland,Syracuse,Tennessee,Ohio,Mississippi State,LSU,Illinois,South Carolina,Duke")</f>
        <v>Fresno State,BYU,UTSA,Western Kentucky,Oregon,San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19" s="127">
        <f>IFERROR(__xludf.DUMMYFUNCTION("iferror($O19-max(filter($O19:$O$395,$E19:$E$395=$E$2)))"),-6.0)</f>
        <v>-6</v>
      </c>
      <c r="AH19" s="126">
        <f t="shared" si="8"/>
        <v>0</v>
      </c>
      <c r="AI19" s="126">
        <f>IFERROR(__xludf.DUMMYFUNCTION("iferror(COUNT(filter($O20:$O$395,$O20:$O$395&gt;$O19,$E19:$E$395=$E$2)))"),0.0)</f>
        <v>0</v>
      </c>
      <c r="AJ19" s="128">
        <f t="shared" si="9"/>
        <v>0</v>
      </c>
      <c r="AK19" s="129">
        <f>IFERROR(__xludf.DUMMYFUNCTION("iferror($O19-min(filter($O19:$O$395,$E19:$E$395=$E$2)))"),5.0)</f>
        <v>5</v>
      </c>
      <c r="AL19" s="123" t="str">
        <f>IFERROR(__xludf.DUMMYFUNCTION("iferror(join("","",index(sort(filter($F20:$F$395,$O20:$O$395&gt;$O19,$E20:$E$395=$E$2),2,false),0,1)))"),"Michigan,Penn State,Minnesota,Iowa,Purdue,Maryland,Illinois")</f>
        <v>Michigan,Penn State,Minnesota,Iowa,Purdue,Maryland,Illinois</v>
      </c>
      <c r="AM19" s="123" t="str">
        <f>IFERROR(__xludf.DUMMYFUNCTION("REGEXREPLACE(join("","",unique({let(conf_picked,filter(E$1:E18,D$1:D18=D19), byrow(unique(TRANSPOSe(Teams!$1:$1)),lambda(rw,if(ISERROR(match(rw,conf_picked,0)),rw,))));iferror(if(#REF!,,transpose(split(#REF!,"","",1,1))))})), ""^,"", """")"),"AAC,ACC,Big 12,Big Ten,Pac12,CUSA,MAC,MWC,SEC,")</f>
        <v>AAC,ACC,Big 12,Big Ten,Pac12,CUSA,MAC,MWC,SEC,</v>
      </c>
      <c r="AN19" s="127">
        <f>IFERROR(__xludf.DUMMYFUNCTION("iferror($O19-max(filter($O19:$O$395,arrayformula(isnumber(FIND($E19:$E$395,AM19))))))"),-6.0)</f>
        <v>-6</v>
      </c>
      <c r="AO19" s="126">
        <f t="array" ref="AO19">countifs($O$2:$O18,"&lt;"&amp;$O19,isnumber(FIND($E$2:$E18,AM19)),TRUE)</f>
        <v>0</v>
      </c>
      <c r="AP19" s="126">
        <f>IFERROR(__xludf.DUMMYFUNCTION("iferror(COUNT(filter($O20:$O$395,$O20:$O$395&gt;$O19,arrayformula(isnumber(FIND($E20:$E$395,AM19))))))"),47.0)</f>
        <v>47</v>
      </c>
      <c r="AQ19" s="128">
        <f t="shared" si="10"/>
        <v>0</v>
      </c>
      <c r="AR19" s="129">
        <f>IFERROR(__xludf.DUMMYFUNCTION("$O19-min(filter($O19:$O$395,arrayformula(isnumber(FIND($E19:$E$395,AM19)))))"),5.0)</f>
        <v>5</v>
      </c>
      <c r="AS19" s="123" t="str">
        <f>IFERROR(__xludf.DUMMYFUNCTION("iferror(join("","",index(sort(filter($F20:$F$395,$O20:$O$395&gt;$O19,arrayformula(isnumber(FIND($E20:$E$395,AM19)))),2,false),0,1)))"),"Fresno State,BYU,UTSA,Western Kentucky,Oregon,San Diego State,UCLA,Michigan,San José State,Notre Dame,Texas,Oklahoma State,NC State,TCU,Washington,Pittsburgh,East Carolina,North Carolina,SMU,Kentucky,Tulane,North Texas,Wake Forest,Oregon State,Penn State,"&amp;"Liberty,EMU,Wyoming,Florida State,Middle Tennessee,Kansas State,Texas Tech,Washington State,Minnesota,Louisville,Iowa,Purdue,Ole Miss,Maryland,Syracuse,Tennessee,Ohio,Mississippi State,LSU,Illinois,South Carolina,Duke")</f>
        <v>Fresno State,BYU,UTSA,Western Kentucky,Oregon,San Diego State,UCLA,Michigan,San José State,Notre Dame,Texas,Oklahoma State,NC State,TCU,Washington,Pittsburgh,East Carolina,North Carolina,SMU,Kentucky,Tulane,North Texas,Wake Forest,Oregon State,Penn State,Liberty,EMU,Wyoming,Florida State,Middle Tennessee,Kansas State,Texas Tech,Washington State,Minnesota,Louisville,Iowa,Purdue,Ole Miss,Maryland,Syracuse,Tennessee,Ohio,Mississippi State,LSU,Illinois,South Carolina,Duke</v>
      </c>
    </row>
    <row r="20">
      <c r="A20" s="26">
        <v>19.0</v>
      </c>
      <c r="B20" s="26">
        <v>2.0</v>
      </c>
      <c r="C20" s="26">
        <v>6.0</v>
      </c>
      <c r="D20" s="132" t="s">
        <v>144</v>
      </c>
      <c r="E20" s="133" t="str">
        <f>if(F20&lt;&gt;"",VLOOKUP(F20,offset('Teams-Conference'!A:B,0,(counta('Draft Order'!B$2:B132)-10)*2),2,0),"")</f>
        <v>MWC</v>
      </c>
      <c r="F20" s="138" t="s">
        <v>345</v>
      </c>
      <c r="G20" s="135" t="str">
        <f t="shared" si="1"/>
        <v/>
      </c>
      <c r="H20" s="122">
        <f t="shared" si="2"/>
        <v>1</v>
      </c>
      <c r="I20" s="122">
        <f t="shared" si="3"/>
        <v>3</v>
      </c>
      <c r="J20" s="122">
        <f t="shared" si="11"/>
        <v>2</v>
      </c>
      <c r="K20" s="123"/>
      <c r="L20" s="122">
        <v>8.0</v>
      </c>
      <c r="M20" s="122">
        <f>IFERROR(__xludf.DUMMYFUNCTION("counta(iferror(filter(L$2:L19,E$2:E19=E20,L$2:L19&lt;L20)))"),0.0)</f>
        <v>0</v>
      </c>
      <c r="N20" s="122">
        <f>IFERROR(__xludf.DUMMYFUNCTION("counta(iferror(filter(L21:L$131,E21:E$131=E20,L21:L$134&gt;L20)))"),0.0)</f>
        <v>0</v>
      </c>
      <c r="O20" s="124">
        <f t="array" ref="O20:Z20">XLOOKUP(F20,'Current Week'!C:C,'Current Week'!D:O)</f>
        <v>8</v>
      </c>
      <c r="P20" s="122">
        <v>4.0</v>
      </c>
      <c r="Q20" s="123" t="s">
        <v>413</v>
      </c>
      <c r="R20" s="123" t="s">
        <v>57</v>
      </c>
      <c r="S20" s="123" t="s">
        <v>154</v>
      </c>
      <c r="T20" s="123"/>
      <c r="U20" s="123"/>
      <c r="V20" s="123"/>
      <c r="W20" s="123"/>
      <c r="X20" s="123"/>
      <c r="Y20" s="126"/>
      <c r="Z20" s="126"/>
      <c r="AA20" s="127">
        <f t="shared" si="4"/>
        <v>-4</v>
      </c>
      <c r="AB20" s="126">
        <f t="shared" si="5"/>
        <v>6</v>
      </c>
      <c r="AC20" s="126">
        <f>IFERROR(__xludf.DUMMYFUNCTION("iferror(COUNT(filter($O21:$O$395,$O21:$O$395&gt;$O20)))"),17.0)</f>
        <v>17</v>
      </c>
      <c r="AD20" s="128">
        <f t="shared" si="6"/>
        <v>0</v>
      </c>
      <c r="AE20" s="129">
        <f t="shared" si="7"/>
        <v>2</v>
      </c>
      <c r="AF20" s="123" t="str">
        <f>IFERROR(__xludf.DUMMYFUNCTION("iferror(join("","",index(sort(filter($F21:$F$396,$O21:$O$396&gt;$O20),2,false),0,1)))"),"UTSA,Oregon,UCLA,Michigan,TCU,Washington,North Carolina,Tulane,Oregon State,Troy,Penn State,Florida State,Kansas State,South Alabama,Tennessee,Ohio,LSU")</f>
        <v>UTSA,Oregon,UCLA,Michigan,TCU,Washington,North Carolina,Tulane,Oregon State,Troy,Penn State,Florida State,Kansas State,South Alabama,Tennessee,Ohio,LSU</v>
      </c>
      <c r="AG20" s="127">
        <f>IFERROR(__xludf.DUMMYFUNCTION("iferror($O20-max(filter($O20:$O$395,$E20:$E$395=$E$2)))"),-4.0)</f>
        <v>-4</v>
      </c>
      <c r="AH20" s="126">
        <f t="shared" si="8"/>
        <v>0</v>
      </c>
      <c r="AI20" s="126">
        <f>IFERROR(__xludf.DUMMYFUNCTION("iferror(COUNT(filter($O21:$O$395,$O21:$O$395&gt;$O20,$E20:$E$395=$E$2)))"),0.0)</f>
        <v>0</v>
      </c>
      <c r="AJ20" s="128">
        <f t="shared" si="9"/>
        <v>0</v>
      </c>
      <c r="AK20" s="129">
        <f>IFERROR(__xludf.DUMMYFUNCTION("iferror($O20-min(filter($O20:$O$395,$E20:$E$395=$E$2)))"),7.0)</f>
        <v>7</v>
      </c>
      <c r="AL20" s="123" t="str">
        <f>IFERROR(__xludf.DUMMYFUNCTION("iferror(join("","",index(sort(filter($F21:$F$395,$O21:$O$395&gt;$O20,$E21:$E$395=$E$2),2,false),0,1)))"),"Michigan,Penn State")</f>
        <v>Michigan,Penn State</v>
      </c>
      <c r="AM20" s="123" t="str">
        <f>IFERROR(__xludf.DUMMYFUNCTION("REGEXREPLACE(join("","",unique({let(conf_picked,filter(E$1:E19,D$1:D19=D20), byrow(unique(TRANSPOSe(Teams!$1:$1)),lambda(rw,if(ISERROR(match(rw,conf_picked,0)),rw,))));iferror(if(#REF!,,transpose(split(#REF!,"","",1,1))))})), ""^,"", """")"),"AAC,ACC,Big 12,Big Ten,Pac12,CUSA,MAC,MWC,SEC,")</f>
        <v>AAC,ACC,Big 12,Big Ten,Pac12,CUSA,MAC,MWC,SEC,</v>
      </c>
      <c r="AN20" s="127">
        <f>IFERROR(__xludf.DUMMYFUNCTION("iferror($O20-max(filter($O20:$O$395,arrayformula(isnumber(FIND($E20:$E$395,AM20))))))"),-4.0)</f>
        <v>-4</v>
      </c>
      <c r="AO20" s="126">
        <f t="array" ref="AO20">countifs($O$2:$O19,"&lt;"&amp;$O20,isnumber(FIND($E$2:$E19,AM20)),TRUE)</f>
        <v>4</v>
      </c>
      <c r="AP20" s="126">
        <f>IFERROR(__xludf.DUMMYFUNCTION("iferror(COUNT(filter($O21:$O$395,$O21:$O$395&gt;$O20,arrayformula(isnumber(FIND($E21:$E$395,AM20))))))"),15.0)</f>
        <v>15</v>
      </c>
      <c r="AQ20" s="128">
        <f t="shared" si="10"/>
        <v>0</v>
      </c>
      <c r="AR20" s="129">
        <f>IFERROR(__xludf.DUMMYFUNCTION("$O20-min(filter($O20:$O$395,arrayformula(isnumber(FIND($E20:$E$395,AM20)))))"),7.0)</f>
        <v>7</v>
      </c>
      <c r="AS20" s="123" t="str">
        <f>IFERROR(__xludf.DUMMYFUNCTION("iferror(join("","",index(sort(filter($F21:$F$395,$O21:$O$395&gt;$O20,arrayformula(isnumber(FIND($E21:$E$395,AM20)))),2,false),0,1)))"),"UTSA,Oregon,UCLA,Michigan,TCU,Washington,North Carolina,Tulane,Oregon State,Penn State,Florida State,Kansas State,Tennessee,Ohio,LSU")</f>
        <v>UTSA,Oregon,UCLA,Michigan,TCU,Washington,North Carolina,Tulane,Oregon State,Penn State,Florida State,Kansas State,Tennessee,Ohio,LSU</v>
      </c>
    </row>
    <row r="21">
      <c r="A21" s="26">
        <v>20.0</v>
      </c>
      <c r="B21" s="26">
        <v>2.0</v>
      </c>
      <c r="C21" s="26">
        <v>7.0</v>
      </c>
      <c r="D21" s="132" t="s">
        <v>109</v>
      </c>
      <c r="E21" s="133" t="str">
        <f>if(F21&lt;&gt;"",VLOOKUP(F21,offset('Teams-Conference'!A:B,0,(counta('Draft Order'!B$2:B132)-10)*2),2,0),"")</f>
        <v>AAC</v>
      </c>
      <c r="F21" s="143" t="s">
        <v>339</v>
      </c>
      <c r="G21" s="135" t="str">
        <f t="shared" si="1"/>
        <v/>
      </c>
      <c r="H21" s="122">
        <f t="shared" si="2"/>
        <v>0</v>
      </c>
      <c r="I21" s="122">
        <f t="shared" si="3"/>
        <v>0</v>
      </c>
      <c r="J21" s="122">
        <f t="shared" si="11"/>
        <v>3</v>
      </c>
      <c r="K21" s="123"/>
      <c r="L21" s="122">
        <v>6.0</v>
      </c>
      <c r="M21" s="122">
        <f>IFERROR(__xludf.DUMMYFUNCTION("counta(iferror(filter(L$2:L20,E$2:E20=E21,L$2:L20&lt;L21)))"),0.0)</f>
        <v>0</v>
      </c>
      <c r="N21" s="122">
        <f>IFERROR(__xludf.DUMMYFUNCTION("counta(iferror(filter(L22:L$131,E22:E$131=E21,L22:L$134&gt;L21)))"),0.0)</f>
        <v>0</v>
      </c>
      <c r="O21" s="124">
        <f t="array" ref="O21:Z21">XLOOKUP(F21,'Current Week'!C:C,'Current Week'!D:O)</f>
        <v>6</v>
      </c>
      <c r="P21" s="122">
        <v>6.0</v>
      </c>
      <c r="Q21" s="123" t="s">
        <v>315</v>
      </c>
      <c r="R21" s="123" t="s">
        <v>57</v>
      </c>
      <c r="S21" s="123" t="s">
        <v>141</v>
      </c>
      <c r="T21" s="123" t="s">
        <v>105</v>
      </c>
      <c r="U21" s="123"/>
      <c r="V21" s="123"/>
      <c r="W21" s="123"/>
      <c r="X21" s="123"/>
      <c r="Y21" s="126"/>
      <c r="Z21" s="126"/>
      <c r="AA21" s="127">
        <f t="shared" si="4"/>
        <v>-6</v>
      </c>
      <c r="AB21" s="126">
        <f t="shared" si="5"/>
        <v>0</v>
      </c>
      <c r="AC21" s="126">
        <f>IFERROR(__xludf.DUMMYFUNCTION("iferror(COUNT(filter($O22:$O$395,$O22:$O$395&gt;$O21)))"),49.0)</f>
        <v>49</v>
      </c>
      <c r="AD21" s="128">
        <f t="shared" si="6"/>
        <v>0</v>
      </c>
      <c r="AE21" s="129">
        <f t="shared" si="7"/>
        <v>0</v>
      </c>
      <c r="AF21" s="123" t="str">
        <f>IFERROR(__xludf.DUMMYFUNCTION("iferror(join("","",index(sort(filter($F22:$F$396,$O22:$O$396&gt;$O21),2,false),0,1)))"),"BYU,UTSA,Western Kentucky,Oregon,San Diego State,UCLA,Michigan,San José State,Notre Dame,Texas,Oklahoma State,NC State,TCU,Washington,Pittsburgh,East Carolina,North Carolina,SMU,Kentucky,Tulane,North Texas,Wake Forest,Oregon State,Troy,Penn State,Liberty,"&amp;"James Madison,EMU,Wyoming,Florida State,Middle Tennessee,Kansas State,Texas Tech,Washington State,Minnesota,South Alabama,Louisville,Iowa,Purdue,Ole Miss,Maryland,Syracuse,Tennessee,Ohio,Mississippi State,LSU,Illinois,South Carolina,Duke")</f>
        <v>BYU,UTSA,Western Kentucky,Oregon,San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21" s="127">
        <f>IFERROR(__xludf.DUMMYFUNCTION("iferror($O21-max(filter($O21:$O$395,$E21:$E$395=$E$2)))"),-6.0)</f>
        <v>-6</v>
      </c>
      <c r="AH21" s="126">
        <f t="shared" si="8"/>
        <v>0</v>
      </c>
      <c r="AI21" s="126">
        <f>IFERROR(__xludf.DUMMYFUNCTION("iferror(COUNT(filter($O22:$O$395,$O22:$O$395&gt;$O21,$E21:$E$395=$E$2)))"),0.0)</f>
        <v>0</v>
      </c>
      <c r="AJ21" s="128">
        <f t="shared" si="9"/>
        <v>0</v>
      </c>
      <c r="AK21" s="129">
        <f>IFERROR(__xludf.DUMMYFUNCTION("iferror($O21-min(filter($O21:$O$395,$E21:$E$395=$E$2)))"),5.0)</f>
        <v>5</v>
      </c>
      <c r="AL21" s="123" t="str">
        <f>IFERROR(__xludf.DUMMYFUNCTION("iferror(join("","",index(sort(filter($F22:$F$395,$O22:$O$395&gt;$O21,$E22:$E$395=$E$2),2,false),0,1)))"),"Michigan,Penn State,Minnesota,Iowa,Purdue,Maryland,Illinois")</f>
        <v>Michigan,Penn State,Minnesota,Iowa,Purdue,Maryland,Illinois</v>
      </c>
      <c r="AM21" s="123" t="str">
        <f>IFERROR(__xludf.DUMMYFUNCTION("REGEXREPLACE(join("","",unique({let(conf_picked,filter(E$1:E20,D$1:D20=D21), byrow(unique(TRANSPOSe(Teams!$1:$1)),lambda(rw,if(ISERROR(match(rw,conf_picked,0)),rw,))));iferror(if(#REF!,,transpose(split(#REF!,"","",1,1))))})), ""^,"", """")"),"AAC,ACC,Big 12,Big Ten,Pac12,CUSA,MAC,MWC,SEC,")</f>
        <v>AAC,ACC,Big 12,Big Ten,Pac12,CUSA,MAC,MWC,SEC,</v>
      </c>
      <c r="AN21" s="127">
        <f>IFERROR(__xludf.DUMMYFUNCTION("iferror($O21-max(filter($O21:$O$395,arrayformula(isnumber(FIND($E21:$E$395,AM21))))))"),-6.0)</f>
        <v>-6</v>
      </c>
      <c r="AO21" s="126">
        <f t="array" ref="AO21">countifs($O$2:$O20,"&lt;"&amp;$O21,isnumber(FIND($E$2:$E20,AM21)),TRUE)</f>
        <v>0</v>
      </c>
      <c r="AP21" s="126">
        <f>IFERROR(__xludf.DUMMYFUNCTION("iferror(COUNT(filter($O22:$O$395,$O22:$O$395&gt;$O21,arrayformula(isnumber(FIND($E22:$E$395,AM21))))))"),46.0)</f>
        <v>46</v>
      </c>
      <c r="AQ21" s="128">
        <f t="shared" si="10"/>
        <v>0</v>
      </c>
      <c r="AR21" s="129">
        <f>IFERROR(__xludf.DUMMYFUNCTION("$O21-min(filter($O21:$O$395,arrayformula(isnumber(FIND($E21:$E$395,AM21)))))"),5.0)</f>
        <v>5</v>
      </c>
      <c r="AS21" s="123" t="str">
        <f>IFERROR(__xludf.DUMMYFUNCTION("iferror(join("","",index(sort(filter($F22:$F$395,$O22:$O$395&gt;$O21,arrayformula(isnumber(FIND($E22:$E$395,AM21)))),2,false),0,1)))"),"BYU,UTSA,Western Kentucky,Oregon,San Diego State,UCLA,Michigan,San José State,Notre Dame,Texas,Oklahoma State,NC State,TCU,Washington,Pittsburgh,East Carolina,North Carolina,SMU,Kentucky,Tulane,North Texas,Wake Forest,Oregon State,Penn State,Liberty,EMU,W"&amp;"yoming,Florida State,Middle Tennessee,Kansas State,Texas Tech,Washington State,Minnesota,Louisville,Iowa,Purdue,Ole Miss,Maryland,Syracuse,Tennessee,Ohio,Mississippi State,LSU,Illinois,South Carolina,Duke")</f>
        <v>BYU,UTSA,Western Kentucky,Oregon,San Diego State,UCLA,Michigan,San José State,Notre Dame,Texas,Oklahoma State,NC State,TCU,Washington,Pittsburgh,East Carolina,North Carolina,SMU,Kentucky,Tulane,North Texas,Wake Forest,Oregon State,Penn State,Liberty,EMU,Wyoming,Florida State,Middle Tennessee,Kansas State,Texas Tech,Washington State,Minnesota,Louisville,Iowa,Purdue,Ole Miss,Maryland,Syracuse,Tennessee,Ohio,Mississippi State,LSU,Illinois,South Carolina,Duke</v>
      </c>
    </row>
    <row r="22">
      <c r="A22" s="26">
        <v>21.0</v>
      </c>
      <c r="B22" s="26">
        <v>2.0</v>
      </c>
      <c r="C22" s="26">
        <v>8.0</v>
      </c>
      <c r="D22" s="132" t="s">
        <v>141</v>
      </c>
      <c r="E22" s="133" t="str">
        <f>if(F22&lt;&gt;"",VLOOKUP(F22,offset('Teams-Conference'!A:B,0,(counta('Draft Order'!B$2:B132)-10)*2),2,0),"")</f>
        <v>Big 12</v>
      </c>
      <c r="F22" s="146" t="s">
        <v>393</v>
      </c>
      <c r="G22" s="135" t="str">
        <f t="shared" si="1"/>
        <v/>
      </c>
      <c r="H22" s="122">
        <f t="shared" si="2"/>
        <v>1</v>
      </c>
      <c r="I22" s="122">
        <f t="shared" si="3"/>
        <v>6</v>
      </c>
      <c r="J22" s="122">
        <f t="shared" si="11"/>
        <v>0</v>
      </c>
      <c r="K22" s="123"/>
      <c r="L22" s="122">
        <v>7.0</v>
      </c>
      <c r="M22" s="122">
        <f>IFERROR(__xludf.DUMMYFUNCTION("counta(iferror(filter(L$2:L21,E$2:E21=E22,L$2:L21&lt;L22)))"),0.0)</f>
        <v>0</v>
      </c>
      <c r="N22" s="122">
        <f>IFERROR(__xludf.DUMMYFUNCTION("counta(iferror(filter(L23:L$131,E23:E$131=E22,L23:L$134&gt;L22)))"),0.0)</f>
        <v>0</v>
      </c>
      <c r="O22" s="124">
        <f t="array" ref="O22:Z22">XLOOKUP(F22,'Current Week'!C:C,'Current Week'!D:O)</f>
        <v>7</v>
      </c>
      <c r="P22" s="122">
        <v>5.0</v>
      </c>
      <c r="Q22" s="123" t="s">
        <v>312</v>
      </c>
      <c r="R22" s="123" t="s">
        <v>57</v>
      </c>
      <c r="S22" s="123" t="s">
        <v>138</v>
      </c>
      <c r="T22" s="123" t="s">
        <v>88</v>
      </c>
      <c r="U22" s="123"/>
      <c r="V22" s="123"/>
      <c r="W22" s="123"/>
      <c r="X22" s="123"/>
      <c r="Y22" s="126"/>
      <c r="Z22" s="126"/>
      <c r="AA22" s="127">
        <f t="shared" si="4"/>
        <v>-5</v>
      </c>
      <c r="AB22" s="126">
        <f t="shared" si="5"/>
        <v>5</v>
      </c>
      <c r="AC22" s="126">
        <f>IFERROR(__xludf.DUMMYFUNCTION("iferror(COUNT(filter($O23:$O$395,$O23:$O$395&gt;$O22)))"),32.0)</f>
        <v>32</v>
      </c>
      <c r="AD22" s="128">
        <f t="shared" si="6"/>
        <v>0</v>
      </c>
      <c r="AE22" s="129">
        <f t="shared" si="7"/>
        <v>1</v>
      </c>
      <c r="AF22" s="123" t="str">
        <f>IFERROR(__xludf.DUMMYFUNCTION("iferror(join("","",index(sort(filter($F23:$F$396,$O23:$O$396&gt;$O22),2,false),0,1)))"),"UTSA,Western Kentucky,Oregon,UCLA,Michigan,Notre Dame,Texas,NC State,TCU,Washington,Pittsburgh,North Carolina,Tulane,Oregon State,Troy,Penn State,Liberty,James Madison,EMU,Florida State,Kansas State,Minnesota,South Alabama,Purdue,Ole Miss,Tennessee,Ohio,M"&amp;"ississippi State,LSU,Illinois,South Carolina,Duke")</f>
        <v>UTSA,Western Kentucky,Oregon,UCLA,Michigan,Notre Dame,Texas,NC State,TCU,Washington,Pittsburgh,North Carolina,Tulane,Oregon State,Troy,Penn State,Liberty,James Madison,EMU,Florida State,Kansas State,Minnesota,South Alabama,Purdue,Ole Miss,Tennessee,Ohio,Mississippi State,LSU,Illinois,South Carolina,Duke</v>
      </c>
      <c r="AG22" s="127">
        <f>IFERROR(__xludf.DUMMYFUNCTION("iferror($O22-max(filter($O22:$O$395,$E22:$E$395=$E$2)))"),-5.0)</f>
        <v>-5</v>
      </c>
      <c r="AH22" s="126">
        <f t="shared" si="8"/>
        <v>0</v>
      </c>
      <c r="AI22" s="126">
        <f>IFERROR(__xludf.DUMMYFUNCTION("iferror(COUNT(filter($O23:$O$395,$O23:$O$395&gt;$O22,$E22:$E$395=$E$2)))"),0.0)</f>
        <v>0</v>
      </c>
      <c r="AJ22" s="128">
        <f t="shared" si="9"/>
        <v>0</v>
      </c>
      <c r="AK22" s="129">
        <f>IFERROR(__xludf.DUMMYFUNCTION("iferror($O22-min(filter($O22:$O$395,$E22:$E$395=$E$2)))"),6.0)</f>
        <v>6</v>
      </c>
      <c r="AL22" s="123" t="str">
        <f>IFERROR(__xludf.DUMMYFUNCTION("iferror(join("","",index(sort(filter($F23:$F$395,$O23:$O$395&gt;$O22,$E23:$E$395=$E$2),2,false),0,1)))"),"Michigan,Penn State,Minnesota,Purdue,Illinois")</f>
        <v>Michigan,Penn State,Minnesota,Purdue,Illinois</v>
      </c>
      <c r="AM22" s="123" t="str">
        <f>IFERROR(__xludf.DUMMYFUNCTION("REGEXREPLACE(join("","",unique({let(conf_picked,filter(E$1:E21,D$1:D21=D22), byrow(unique(TRANSPOSe(Teams!$1:$1)),lambda(rw,if(ISERROR(match(rw,conf_picked,0)),rw,))));iferror(if(#REF!,,transpose(split(#REF!,"","",1,1))))})), ""^,"", """")"),"AAC,ACC,Big 12,Big Ten,Pac12,CUSA,MAC,MWC,,Sun Belt")</f>
        <v>AAC,ACC,Big 12,Big Ten,Pac12,CUSA,MAC,MWC,,Sun Belt</v>
      </c>
      <c r="AN22" s="127">
        <f>IFERROR(__xludf.DUMMYFUNCTION("iferror($O22-max(filter($O22:$O$395,arrayformula(isnumber(FIND($E22:$E$395,AM22))))))"),-5.0)</f>
        <v>-5</v>
      </c>
      <c r="AO22" s="126">
        <f t="array" ref="AO22">countifs($O$2:$O21,"&lt;"&amp;$O22,isnumber(FIND($E$2:$E21,AM22)),TRUE)</f>
        <v>5</v>
      </c>
      <c r="AP22" s="126">
        <f>IFERROR(__xludf.DUMMYFUNCTION("iferror(COUNT(filter($O23:$O$395,$O23:$O$395&gt;$O22,arrayformula(isnumber(FIND($E23:$E$395,AM22))))))"),27.0)</f>
        <v>27</v>
      </c>
      <c r="AQ22" s="128">
        <f t="shared" si="10"/>
        <v>0</v>
      </c>
      <c r="AR22" s="129">
        <f>IFERROR(__xludf.DUMMYFUNCTION("$O22-min(filter($O22:$O$395,arrayformula(isnumber(FIND($E22:$E$395,AM22)))))"),6.0)</f>
        <v>6</v>
      </c>
      <c r="AS22" s="123" t="str">
        <f>IFERROR(__xludf.DUMMYFUNCTION("iferror(join("","",index(sort(filter($F23:$F$395,$O23:$O$395&gt;$O22,arrayformula(isnumber(FIND($E23:$E$395,AM22)))),2,false),0,1)))"),"UTSA,Western Kentucky,Oregon,UCLA,Michigan,Notre Dame,Texas,NC State,TCU,Washington,Pittsburgh,North Carolina,Tulane,Oregon State,Troy,Penn State,Liberty,James Madison,EMU,Florida State,Kansas State,Minnesota,South Alabama,Purdue,Ohio,Illinois,Duke")</f>
        <v>UTSA,Western Kentucky,Oregon,UCLA,Michigan,Notre Dame,Texas,NC State,TCU,Washington,Pittsburgh,North Carolina,Tulane,Oregon State,Troy,Penn State,Liberty,James Madison,EMU,Florida State,Kansas State,Minnesota,South Alabama,Purdue,Ohio,Illinois,Duke</v>
      </c>
    </row>
    <row r="23">
      <c r="A23" s="26">
        <v>22.0</v>
      </c>
      <c r="B23" s="26">
        <v>2.0</v>
      </c>
      <c r="C23" s="26">
        <v>9.0</v>
      </c>
      <c r="D23" s="132" t="s">
        <v>138</v>
      </c>
      <c r="E23" s="133" t="str">
        <f>if(F23&lt;&gt;"",VLOOKUP(F23,offset('Teams-Conference'!A:B,0,(counta('Draft Order'!B$2:B132)-10)*2),2,0),"")</f>
        <v>CUSA</v>
      </c>
      <c r="F23" s="143" t="s">
        <v>296</v>
      </c>
      <c r="G23" s="135" t="str">
        <f t="shared" si="1"/>
        <v/>
      </c>
      <c r="H23" s="122">
        <f t="shared" si="2"/>
        <v>1</v>
      </c>
      <c r="I23" s="122">
        <f t="shared" si="3"/>
        <v>1</v>
      </c>
      <c r="J23" s="122">
        <f t="shared" si="11"/>
        <v>1</v>
      </c>
      <c r="K23" s="122">
        <f t="shared" ref="K23:K25" si="12">countif(E3:E23,E24)</f>
        <v>1</v>
      </c>
      <c r="L23" s="122">
        <v>10.0</v>
      </c>
      <c r="M23" s="122">
        <f>IFERROR(__xludf.DUMMYFUNCTION("counta(iferror(filter(L$2:L22,E$2:E22=E23,L$2:L22&lt;L23)))"),1.0)</f>
        <v>1</v>
      </c>
      <c r="N23" s="122">
        <f>IFERROR(__xludf.DUMMYFUNCTION("counta(iferror(filter(L24:L$131,E24:E$131=E23,L24:L$134&gt;L23)))"),0.0)</f>
        <v>0</v>
      </c>
      <c r="O23" s="124">
        <f t="array" ref="O23:Z23">XLOOKUP(F23,'Current Week'!C:C,'Current Week'!D:O)</f>
        <v>10</v>
      </c>
      <c r="P23" s="122">
        <v>2.0</v>
      </c>
      <c r="Q23" s="123" t="s">
        <v>297</v>
      </c>
      <c r="R23" s="125" t="s">
        <v>57</v>
      </c>
      <c r="S23" s="123" t="s">
        <v>154</v>
      </c>
      <c r="T23" s="123"/>
      <c r="U23" s="126"/>
      <c r="V23" s="126"/>
      <c r="W23" s="126"/>
      <c r="X23" s="126"/>
      <c r="Y23" s="126"/>
      <c r="Z23" s="126"/>
      <c r="AA23" s="127">
        <f t="shared" si="4"/>
        <v>-2</v>
      </c>
      <c r="AB23" s="126">
        <f t="shared" si="5"/>
        <v>16</v>
      </c>
      <c r="AC23" s="126">
        <f>IFERROR(__xludf.DUMMYFUNCTION("iferror(COUNT(filter($O24:$O$395,$O24:$O$395&gt;$O23)))"),2.0)</f>
        <v>2</v>
      </c>
      <c r="AD23" s="128">
        <f t="shared" si="6"/>
        <v>0</v>
      </c>
      <c r="AE23" s="129">
        <f t="shared" si="7"/>
        <v>4</v>
      </c>
      <c r="AF23" s="123" t="str">
        <f>IFERROR(__xludf.DUMMYFUNCTION("iferror(join("","",index(sort(filter($F24:$F$396,$O24:$O$396&gt;$O23),2,false),0,1)))"),"Michigan,TCU")</f>
        <v>Michigan,TCU</v>
      </c>
      <c r="AG23" s="127">
        <f>IFERROR(__xludf.DUMMYFUNCTION("iferror($O23-max(filter($O23:$O$395,$E23:$E$395=$E$2)))"),-2.0)</f>
        <v>-2</v>
      </c>
      <c r="AH23" s="126">
        <f t="shared" si="8"/>
        <v>0</v>
      </c>
      <c r="AI23" s="126">
        <f>IFERROR(__xludf.DUMMYFUNCTION("iferror(COUNT(filter($O24:$O$395,$O24:$O$395&gt;$O23,$E23:$E$395=$E$2)))"),0.0)</f>
        <v>0</v>
      </c>
      <c r="AJ23" s="128">
        <f t="shared" si="9"/>
        <v>0</v>
      </c>
      <c r="AK23" s="129">
        <f>IFERROR(__xludf.DUMMYFUNCTION("iferror($O23-min(filter($O23:$O$395,$E23:$E$395=$E$2)))"),9.0)</f>
        <v>9</v>
      </c>
      <c r="AL23" s="123" t="str">
        <f>IFERROR(__xludf.DUMMYFUNCTION("iferror(join("","",index(sort(filter($F24:$F$395,$O24:$O$395&gt;$O23,$E24:$E$395=$E$2),2,false),0,1)))"),"Michigan")</f>
        <v>Michigan</v>
      </c>
      <c r="AM23" s="123" t="str">
        <f>IFERROR(__xludf.DUMMYFUNCTION("REGEXREPLACE(join("","",unique({let(conf_picked,filter(E$1:E22,D$1:D22=D23), byrow(unique(TRANSPOSe(Teams!$1:$1)),lambda(rw,if(ISERROR(match(rw,conf_picked,0)),rw,))));iferror(if(#REF!,,transpose(split(#REF!,"","",1,1))))})), ""^,"", """")"),"ACC,Big 12,Big Ten,Pac12,CUSA,MAC,MWC,SEC,Sun Belt")</f>
        <v>ACC,Big 12,Big Ten,Pac12,CUSA,MAC,MWC,SEC,Sun Belt</v>
      </c>
      <c r="AN23" s="127">
        <f>IFERROR(__xludf.DUMMYFUNCTION("iferror($O23-max(filter($O23:$O$395,arrayformula(isnumber(FIND($E23:$E$395,AM23))))))"),-2.0)</f>
        <v>-2</v>
      </c>
      <c r="AO23" s="126">
        <f t="array" ref="AO23">countifs($O$2:$O22,"&lt;"&amp;$O23,isnumber(FIND($E$2:$E22,AM23)),TRUE)</f>
        <v>11</v>
      </c>
      <c r="AP23" s="126">
        <f>IFERROR(__xludf.DUMMYFUNCTION("iferror(COUNT(filter($O24:$O$395,$O24:$O$395&gt;$O23,arrayformula(isnumber(FIND($E24:$E$395,AM23))))))"),2.0)</f>
        <v>2</v>
      </c>
      <c r="AQ23" s="128">
        <f t="shared" si="10"/>
        <v>0</v>
      </c>
      <c r="AR23" s="129">
        <f>IFERROR(__xludf.DUMMYFUNCTION("$O23-min(filter($O23:$O$395,arrayformula(isnumber(FIND($E23:$E$395,AM23)))))"),9.0)</f>
        <v>9</v>
      </c>
      <c r="AS23" s="123" t="str">
        <f>IFERROR(__xludf.DUMMYFUNCTION("iferror(join("","",index(sort(filter($F24:$F$395,$O24:$O$395&gt;$O23,arrayformula(isnumber(FIND($E24:$E$395,AM23)))),2,false),0,1)))"),"Michigan,TCU")</f>
        <v>Michigan,TCU</v>
      </c>
    </row>
    <row r="24">
      <c r="A24" s="26">
        <v>23.0</v>
      </c>
      <c r="B24" s="26">
        <v>2.0</v>
      </c>
      <c r="C24" s="26">
        <v>10.0</v>
      </c>
      <c r="D24" s="132" t="s">
        <v>59</v>
      </c>
      <c r="E24" s="133" t="str">
        <f>if(F24&lt;&gt;"",VLOOKUP(F24,offset('Teams-Conference'!A:B,0,(counta('Draft Order'!B$2:B132)-10)*2),2,0),"")</f>
        <v>MAC</v>
      </c>
      <c r="F24" s="143" t="s">
        <v>285</v>
      </c>
      <c r="G24" s="135" t="str">
        <f t="shared" si="1"/>
        <v/>
      </c>
      <c r="H24" s="122">
        <f t="shared" si="2"/>
        <v>1</v>
      </c>
      <c r="I24" s="122">
        <f t="shared" si="3"/>
        <v>1</v>
      </c>
      <c r="J24" s="122">
        <f t="shared" si="11"/>
        <v>0</v>
      </c>
      <c r="K24" s="122">
        <f t="shared" si="12"/>
        <v>2</v>
      </c>
      <c r="L24" s="122">
        <v>4.0</v>
      </c>
      <c r="M24" s="122">
        <f>IFERROR(__xludf.DUMMYFUNCTION("counta(iferror(filter(L$2:L23,E$2:E23=E24,L$2:L23&lt;L24)))"),0.0)</f>
        <v>0</v>
      </c>
      <c r="N24" s="122">
        <f>IFERROR(__xludf.DUMMYFUNCTION("counta(iferror(filter(L25:L$131,E25:E$131=E24,L25:L$134&gt;L24)))"),0.0)</f>
        <v>0</v>
      </c>
      <c r="O24" s="124">
        <f t="array" ref="O24:Z24">XLOOKUP(F24,'Current Week'!C:C,'Current Week'!D:O)</f>
        <v>4</v>
      </c>
      <c r="P24" s="122">
        <v>8.0</v>
      </c>
      <c r="Q24" s="123" t="s">
        <v>286</v>
      </c>
      <c r="R24" s="123" t="s">
        <v>57</v>
      </c>
      <c r="S24" s="123" t="s">
        <v>103</v>
      </c>
      <c r="T24" s="123"/>
      <c r="U24" s="123"/>
      <c r="V24" s="123"/>
      <c r="W24" s="123"/>
      <c r="X24" s="123"/>
      <c r="Y24" s="126"/>
      <c r="Z24" s="126"/>
      <c r="AA24" s="127">
        <f t="shared" si="4"/>
        <v>-8</v>
      </c>
      <c r="AB24" s="126">
        <f t="shared" si="5"/>
        <v>0</v>
      </c>
      <c r="AC24" s="126">
        <f>IFERROR(__xludf.DUMMYFUNCTION("iferror(COUNT(filter($O25:$O$395,$O25:$O$395&gt;$O24)))"),78.0)</f>
        <v>78</v>
      </c>
      <c r="AD24" s="128">
        <f t="shared" si="6"/>
        <v>0</v>
      </c>
      <c r="AE24" s="129">
        <f t="shared" si="7"/>
        <v>0</v>
      </c>
      <c r="AF24" s="123" t="str">
        <f>IFERROR(__xludf.DUMMYFUNCTION("iferror(join("","",index(sort(filter($F25:$F$396,$O25:$O$396&gt;$O24),2,false),0,1)))"),"Western Kentucky,Miami-OH,Oregon,Oklahoma,San Diego State,UCLA,Michigan,Utah State,San José State,Notre Dame,Miami,Texas,Oklahoma State,Texas A&amp;M,NC State,Baylor,TCU,Washington,Pittsburgh,East Carolina,North Carolina,SMU,Kentucky,Tulane,North Texas,Tulsa,"&amp;"Wisconsin,Wake Forest,Oregon State,Michigan State,Troy,Penn State,Southern Mississippi,Liberty,James Madison,EMU,Western Michigan,Wyoming,Florida State,Kent State,Middle Tennessee,Arkansas,Kansas State,Texas Tech,Washington State,Florida Atlantic,Minnesot"&amp;"a,South Alabama,Louisville,West Virginia,Iowa,Purdue,Ole Miss,UTEP,Maryland,Ball State,Florida,Buffalo,Syracuse,UNLV,Georgia Southern,Tennessee,Ohio,Kansas,Mississippi State,LSU,Illinois,Auburn,Rice,Bowling Green,Arizona,South Carolina,Georgia Tech,New Me"&amp;"xico State,Vanderbilt,UConn,Missouri,Duke")</f>
        <v>Western Kentucky,Miami-OH,Oregon,Oklahoma,San Diego State,UCLA,Michigan,Utah State,San José State,Notre Dame,Miami,Texas,Oklahoma State,Texas A&amp;M,NC State,Baylor,TCU,Washington,Pittsburgh,East Carolina,North Carolina,SMU,Kentucky,Tulane,North Texas,Tulsa,Wisconsin,Wake Forest,Oregon State,Michigan State,Troy,Penn State,Southern Mississippi,Liberty,James Madison,EMU,Western Michigan,Wyoming,Florida State,Kent State,Middle Tennessee,Arkansas,Kansas State,Texas Tech,Washington State,Florida Atlantic,Minnesota,South Alabama,Louisville,West Virginia,Iowa,Purdue,Ole Miss,UTEP,Maryland,Ball State,Florida,Buffalo,Syracuse,UNLV,Georgia Southern,Tennessee,Ohio,Kansas,Mississippi State,LSU,Illinois,Auburn,Rice,Bowling Green,Arizona,South Carolina,Georgia Tech,New Mexico State,Vanderbilt,UConn,Missouri,Duke</v>
      </c>
      <c r="AG24" s="127">
        <f>IFERROR(__xludf.DUMMYFUNCTION("iferror($O24-max(filter($O24:$O$395,$E24:$E$395=$E$2)))"),-8.0)</f>
        <v>-8</v>
      </c>
      <c r="AH24" s="126">
        <f t="shared" si="8"/>
        <v>0</v>
      </c>
      <c r="AI24" s="126">
        <f>IFERROR(__xludf.DUMMYFUNCTION("iferror(COUNT(filter($O25:$O$395,$O25:$O$395&gt;$O24,$E24:$E$395=$E$2)))"),0.0)</f>
        <v>0</v>
      </c>
      <c r="AJ24" s="128">
        <f t="shared" si="9"/>
        <v>0</v>
      </c>
      <c r="AK24" s="129">
        <f>IFERROR(__xludf.DUMMYFUNCTION("iferror($O24-min(filter($O24:$O$395,$E24:$E$395=$E$2)))"),3.0)</f>
        <v>3</v>
      </c>
      <c r="AL24" s="123" t="str">
        <f>IFERROR(__xludf.DUMMYFUNCTION("iferror(join("","",index(sort(filter($F25:$F$395,$O25:$O$395&gt;$O24,$E25:$E$395=$E$2),2,false),0,1)))"),"Michigan,Wisconsin,Michigan State,Penn State,Minnesota,Iowa,Purdue,Maryland,Illinois")</f>
        <v>Michigan,Wisconsin,Michigan State,Penn State,Minnesota,Iowa,Purdue,Maryland,Illinois</v>
      </c>
      <c r="AM24" s="123" t="str">
        <f>IFERROR(__xludf.DUMMYFUNCTION("REGEXREPLACE(join("","",unique({let(conf_picked,filter(E$1:E23,D$1:D23=D24), byrow(unique(TRANSPOSe(Teams!$1:$1)),lambda(rw,if(ISERROR(match(rw,conf_picked,0)),rw,))));iferror(if(#REF!,,transpose(split(#REF!,"","",1,1))))})), ""^,"", """")"),"AAC,ACC,Big 12,Big Ten,Pac12,CUSA,MAC,MWC,SEC,")</f>
        <v>AAC,ACC,Big 12,Big Ten,Pac12,CUSA,MAC,MWC,SEC,</v>
      </c>
      <c r="AN24" s="127">
        <f>IFERROR(__xludf.DUMMYFUNCTION("iferror($O24-max(filter($O24:$O$395,arrayformula(isnumber(FIND($E24:$E$395,AM24))))))"),-8.0)</f>
        <v>-8</v>
      </c>
      <c r="AO24" s="126">
        <f t="array" ref="AO24">countifs($O$2:$O23,"&lt;"&amp;$O24,isnumber(FIND($E$2:$E23,AM24)),TRUE)</f>
        <v>0</v>
      </c>
      <c r="AP24" s="126">
        <f>IFERROR(__xludf.DUMMYFUNCTION("iferror(COUNT(filter($O25:$O$395,$O25:$O$395&gt;$O24,arrayformula(isnumber(FIND($E25:$E$395,AM24))))))"),74.0)</f>
        <v>74</v>
      </c>
      <c r="AQ24" s="128">
        <f t="shared" si="10"/>
        <v>0</v>
      </c>
      <c r="AR24" s="129">
        <f>IFERROR(__xludf.DUMMYFUNCTION("$O24-min(filter($O24:$O$395,arrayformula(isnumber(FIND($E24:$E$395,AM24)))))"),3.0)</f>
        <v>3</v>
      </c>
      <c r="AS24" s="123" t="str">
        <f>IFERROR(__xludf.DUMMYFUNCTION("iferror(join("","",index(sort(filter($F25:$F$395,$O25:$O$395&gt;$O24,arrayformula(isnumber(FIND($E25:$E$395,AM24)))),2,false),0,1)))"),"Western Kentucky,Miami-OH,Oregon,Oklahoma,San Diego State,UCLA,Michigan,Utah State,San José State,Notre Dame,Miami,Texas,Oklahoma State,Texas A&amp;M,NC State,Baylor,TCU,Washington,Pittsburgh,East Carolina,North Carolina,SMU,Kentucky,Tulane,North Texas,Tulsa,"&amp;"Wisconsin,Wake Forest,Oregon State,Michigan State,Penn State,Southern Mississippi,Liberty,EMU,Western Michigan,Wyoming,Florida State,Kent State,Middle Tennessee,Arkansas,Kansas State,Texas Tech,Washington State,Florida Atlantic,Minnesota,Louisville,West V"&amp;"irginia,Iowa,Purdue,Ole Miss,UTEP,Maryland,Ball State,Florida,Buffalo,Syracuse,UNLV,Tennessee,Ohio,Kansas,Mississippi State,LSU,Illinois,Auburn,Rice,Bowling Green,Arizona,South Carolina,Georgia Tech,New Mexico State,Vanderbilt,UConn,Missouri,Duke")</f>
        <v>Western Kentucky,Miami-OH,Oregon,Oklahoma,San Diego State,UCLA,Michigan,Utah State,San José State,Notre Dame,Miami,Texas,Oklahoma State,Texas A&amp;M,NC State,Baylor,TCU,Washington,Pittsburgh,East Carolina,North Carolina,SMU,Kentucky,Tulane,North Texas,Tulsa,Wisconsin,Wake Forest,Oregon State,Michigan State,Penn State,Southern Mississippi,Liberty,EMU,Western Michigan,Wyoming,Florida State,Kent State,Middle Tennessee,Arkansas,Kansas State,Texas Tech,Washington State,Florida Atlantic,Minnesota,Louisville,West Virginia,Iowa,Purdue,Ole Miss,UTEP,Maryland,Ball State,Florida,Buffalo,Syracuse,UNLV,Tennessee,Ohio,Kansas,Mississippi State,LSU,Illinois,Auburn,Rice,Bowling Green,Arizona,South Carolina,Georgia Tech,New Mexico State,Vanderbilt,UConn,Missouri,Duke</v>
      </c>
    </row>
    <row r="25">
      <c r="A25" s="26">
        <v>24.0</v>
      </c>
      <c r="B25" s="26">
        <v>2.0</v>
      </c>
      <c r="C25" s="26">
        <v>11.0</v>
      </c>
      <c r="D25" s="132" t="s">
        <v>178</v>
      </c>
      <c r="E25" s="133" t="str">
        <f>if(F25&lt;&gt;"",VLOOKUP(F25,offset('Teams-Conference'!A:B,0,(counta('Draft Order'!B$2:B132)-10)*2),2,0),"")</f>
        <v>CUSA</v>
      </c>
      <c r="F25" s="143" t="s">
        <v>271</v>
      </c>
      <c r="G25" s="135" t="str">
        <f t="shared" si="1"/>
        <v/>
      </c>
      <c r="H25" s="122">
        <f t="shared" si="2"/>
        <v>0</v>
      </c>
      <c r="I25" s="122">
        <f t="shared" si="3"/>
        <v>0</v>
      </c>
      <c r="J25" s="122">
        <f t="shared" si="11"/>
        <v>2</v>
      </c>
      <c r="K25" s="122">
        <f t="shared" si="12"/>
        <v>1</v>
      </c>
      <c r="L25" s="122">
        <v>8.0</v>
      </c>
      <c r="M25" s="122">
        <f>IFERROR(__xludf.DUMMYFUNCTION("counta(iferror(filter(L$2:L24,E$2:E24=E25,L$2:L24&lt;L25)))"),1.0)</f>
        <v>1</v>
      </c>
      <c r="N25" s="122">
        <f>IFERROR(__xludf.DUMMYFUNCTION("counta(iferror(filter(L26:L$131,E26:E$131=E25,L26:L$134&gt;L25)))"),0.0)</f>
        <v>0</v>
      </c>
      <c r="O25" s="124">
        <f t="array" ref="O25:Z25">XLOOKUP(F25,'Current Week'!C:C,'Current Week'!D:O)</f>
        <v>8</v>
      </c>
      <c r="P25" s="122">
        <v>5.0</v>
      </c>
      <c r="Q25" s="123" t="s">
        <v>182</v>
      </c>
      <c r="R25" s="123" t="s">
        <v>183</v>
      </c>
      <c r="S25" s="123" t="s">
        <v>53</v>
      </c>
      <c r="T25" s="123"/>
      <c r="U25" s="123"/>
      <c r="V25" s="123"/>
      <c r="W25" s="123"/>
      <c r="X25" s="123"/>
      <c r="Y25" s="126"/>
      <c r="Z25" s="126"/>
      <c r="AA25" s="127">
        <f t="shared" si="4"/>
        <v>-4</v>
      </c>
      <c r="AB25" s="126">
        <f t="shared" si="5"/>
        <v>9</v>
      </c>
      <c r="AC25" s="126">
        <f>IFERROR(__xludf.DUMMYFUNCTION("iferror(COUNT(filter($O26:$O$395,$O26:$O$395&gt;$O25)))"),16.0)</f>
        <v>16</v>
      </c>
      <c r="AD25" s="128">
        <f t="shared" si="6"/>
        <v>0</v>
      </c>
      <c r="AE25" s="129">
        <f t="shared" si="7"/>
        <v>4</v>
      </c>
      <c r="AF25" s="123" t="str">
        <f>IFERROR(__xludf.DUMMYFUNCTION("iferror(join("","",index(sort(filter($F26:$F$396,$O26:$O$396&gt;$O25),2,false),0,1)))"),"Oregon,UCLA,Michigan,TCU,Washington,North Carolina,Tulane,Oregon State,Troy,Penn State,Florida State,Kansas State,South Alabama,Tennessee,Ohio,LSU")</f>
        <v>Oregon,UCLA,Michigan,TCU,Washington,North Carolina,Tulane,Oregon State,Troy,Penn State,Florida State,Kansas State,South Alabama,Tennessee,Ohio,LSU</v>
      </c>
      <c r="AG25" s="127">
        <f>IFERROR(__xludf.DUMMYFUNCTION("iferror($O25-max(filter($O25:$O$395,$E25:$E$395=$E$2)))"),-4.0)</f>
        <v>-4</v>
      </c>
      <c r="AH25" s="126">
        <f t="shared" si="8"/>
        <v>0</v>
      </c>
      <c r="AI25" s="126">
        <f>IFERROR(__xludf.DUMMYFUNCTION("iferror(COUNT(filter($O26:$O$395,$O26:$O$395&gt;$O25,$E25:$E$395=$E$2)))"),0.0)</f>
        <v>0</v>
      </c>
      <c r="AJ25" s="128">
        <f t="shared" si="9"/>
        <v>0</v>
      </c>
      <c r="AK25" s="129">
        <f>IFERROR(__xludf.DUMMYFUNCTION("iferror($O25-min(filter($O25:$O$395,$E25:$E$395=$E$2)))"),7.0)</f>
        <v>7</v>
      </c>
      <c r="AL25" s="123" t="str">
        <f>IFERROR(__xludf.DUMMYFUNCTION("iferror(join("","",index(sort(filter($F26:$F$395,$O26:$O$395&gt;$O25,$E26:$E$395=$E$2),2,false),0,1)))"),"Michigan,Penn State")</f>
        <v>Michigan,Penn State</v>
      </c>
      <c r="AM25" s="123" t="str">
        <f>IFERROR(__xludf.DUMMYFUNCTION("REGEXREPLACE(join("","",unique({let(conf_picked,filter(E$1:E24,D$1:D24=D25), byrow(unique(TRANSPOSe(Teams!$1:$1)),lambda(rw,if(ISERROR(match(rw,conf_picked,0)),rw,))));iferror(if(#REF!,,transpose(split(#REF!,"","",1,1))))})), ""^,"", """")"),"AAC,ACC,Big 12,Big Ten,Pac12,CUSA,,MWC,SEC,Sun Belt")</f>
        <v>AAC,ACC,Big 12,Big Ten,Pac12,CUSA,,MWC,SEC,Sun Belt</v>
      </c>
      <c r="AN25" s="127">
        <f>IFERROR(__xludf.DUMMYFUNCTION("iferror($O25-max(filter($O25:$O$395,arrayformula(isnumber(FIND($E25:$E$395,AM25))))))"),-4.0)</f>
        <v>-4</v>
      </c>
      <c r="AO25" s="126">
        <f t="array" ref="AO25">countifs($O$2:$O24,"&lt;"&amp;$O25,isnumber(FIND($E$2:$E24,AM25)),TRUE)</f>
        <v>7</v>
      </c>
      <c r="AP25" s="126">
        <f>IFERROR(__xludf.DUMMYFUNCTION("iferror(COUNT(filter($O26:$O$395,$O26:$O$395&gt;$O25,arrayformula(isnumber(FIND($E26:$E$395,AM25))))))"),15.0)</f>
        <v>15</v>
      </c>
      <c r="AQ25" s="128">
        <f t="shared" si="10"/>
        <v>0</v>
      </c>
      <c r="AR25" s="129">
        <f>IFERROR(__xludf.DUMMYFUNCTION("$O25-min(filter($O25:$O$395,arrayformula(isnumber(FIND($E25:$E$395,AM25)))))"),7.0)</f>
        <v>7</v>
      </c>
      <c r="AS25" s="123" t="str">
        <f>IFERROR(__xludf.DUMMYFUNCTION("iferror(join("","",index(sort(filter($F26:$F$395,$O26:$O$395&gt;$O25,arrayformula(isnumber(FIND($E26:$E$395,AM25)))),2,false),0,1)))"),"Oregon,UCLA,Michigan,TCU,Washington,North Carolina,Tulane,Oregon State,Troy,Penn State,Florida State,Kansas State,South Alabama,Tennessee,LSU")</f>
        <v>Oregon,UCLA,Michigan,TCU,Washington,North Carolina,Tulane,Oregon State,Troy,Penn State,Florida State,Kansas State,South Alabama,Tennessee,LSU</v>
      </c>
    </row>
    <row r="26">
      <c r="A26" s="26">
        <v>25.0</v>
      </c>
      <c r="B26" s="26">
        <v>2.0</v>
      </c>
      <c r="C26" s="26">
        <v>12.0</v>
      </c>
      <c r="D26" s="132" t="s">
        <v>131</v>
      </c>
      <c r="E26" t="str">
        <f>if(F26&lt;&gt;"",VLOOKUP(F26,offset('Teams-Conference'!A:B,0,(counta('Draft Order'!B$2:B132)-10)*2),2,0),"")</f>
        <v>MAC</v>
      </c>
      <c r="F26" s="143" t="s">
        <v>208</v>
      </c>
      <c r="G26" s="135" t="str">
        <f t="shared" si="1"/>
        <v/>
      </c>
      <c r="H26" s="122">
        <f t="shared" si="2"/>
        <v>0</v>
      </c>
      <c r="I26" s="122">
        <f t="shared" si="3"/>
        <v>0</v>
      </c>
      <c r="J26" s="122">
        <f t="shared" si="11"/>
        <v>1</v>
      </c>
      <c r="K26" s="122">
        <f>countif(E6:E26,E28)</f>
        <v>1</v>
      </c>
      <c r="L26" s="122">
        <v>6.0</v>
      </c>
      <c r="M26" s="122">
        <f>IFERROR(__xludf.DUMMYFUNCTION("counta(iferror(filter(L$2:L25,E$2:E25=E26,L$2:L25&lt;L26)))"),1.0)</f>
        <v>1</v>
      </c>
      <c r="N26" s="122">
        <f>IFERROR(__xludf.DUMMYFUNCTION("counta(iferror(filter(L27:L$131,E27:E$131=E26,L27:L$134&gt;L26)))"),0.0)</f>
        <v>0</v>
      </c>
      <c r="O26" s="124">
        <f t="array" ref="O26:Z26">XLOOKUP(F26,'Current Week'!C:C,'Current Week'!D:O)</f>
        <v>6</v>
      </c>
      <c r="P26" s="122">
        <v>6.0</v>
      </c>
      <c r="Q26" s="123" t="s">
        <v>209</v>
      </c>
      <c r="R26" s="123" t="s">
        <v>57</v>
      </c>
      <c r="S26" s="123" t="s">
        <v>116</v>
      </c>
      <c r="T26" s="123"/>
      <c r="U26" s="123"/>
      <c r="V26" s="123"/>
      <c r="W26" s="123"/>
      <c r="X26" s="123"/>
      <c r="Y26" s="126"/>
      <c r="Z26" s="126"/>
      <c r="AA26" s="127">
        <f t="shared" si="4"/>
        <v>-6</v>
      </c>
      <c r="AB26" s="126">
        <f t="shared" si="5"/>
        <v>1</v>
      </c>
      <c r="AC26" s="126">
        <f>IFERROR(__xludf.DUMMYFUNCTION("iferror(COUNT(filter($O27:$O$395,$O27:$O$395&gt;$O26)))"),46.0)</f>
        <v>46</v>
      </c>
      <c r="AD26" s="128">
        <f t="shared" si="6"/>
        <v>0</v>
      </c>
      <c r="AE26" s="129">
        <f t="shared" si="7"/>
        <v>2</v>
      </c>
      <c r="AF26" s="123" t="str">
        <f>IFERROR(__xludf.DUMMYFUNCTION("iferror(join("","",index(sort(filter($F27:$F$396,$O27:$O$396&gt;$O26),2,false),0,1)))"),"Oregon,San Diego State,UCLA,Michigan,San José State,Notre Dame,Texas,Oklahoma State,NC State,TCU,Washington,Pittsburgh,East Carolina,North Carolina,SMU,Kentucky,Tulane,North Texas,Wake Forest,Oregon State,Troy,Penn State,Liberty,James Madison,EMU,Wyoming,"&amp;"Florida State,Middle Tennessee,Kansas State,Texas Tech,Washington State,Minnesota,South Alabama,Louisville,Iowa,Purdue,Ole Miss,Maryland,Syracuse,Tennessee,Ohio,Mississippi State,LSU,Illinois,South Carolina,Duke")</f>
        <v>Oregon,San Diego State,UCLA,Michigan,San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26" s="127">
        <f>IFERROR(__xludf.DUMMYFUNCTION("iferror($O26-max(filter($O26:$O$395,$E26:$E$395=$E$2)))"),-6.0)</f>
        <v>-6</v>
      </c>
      <c r="AH26" s="126">
        <f t="shared" si="8"/>
        <v>0</v>
      </c>
      <c r="AI26" s="126">
        <f>IFERROR(__xludf.DUMMYFUNCTION("iferror(COUNT(filter($O27:$O$395,$O27:$O$395&gt;$O26,$E26:$E$395=$E$2)))"),0.0)</f>
        <v>0</v>
      </c>
      <c r="AJ26" s="128">
        <f t="shared" si="9"/>
        <v>0</v>
      </c>
      <c r="AK26" s="129">
        <f>IFERROR(__xludf.DUMMYFUNCTION("iferror($O26-min(filter($O26:$O$395,$E26:$E$395=$E$2)))"),5.0)</f>
        <v>5</v>
      </c>
      <c r="AL26" s="123" t="str">
        <f>IFERROR(__xludf.DUMMYFUNCTION("iferror(join("","",index(sort(filter($F27:$F$395,$O27:$O$395&gt;$O26,$E27:$E$395=$E$2),2,false),0,1)))"),"Michigan,Penn State,Minnesota,Iowa,Purdue,Maryland,Illinois")</f>
        <v>Michigan,Penn State,Minnesota,Iowa,Purdue,Maryland,Illinois</v>
      </c>
      <c r="AM26" s="123" t="str">
        <f>IFERROR(__xludf.DUMMYFUNCTION("REGEXREPLACE(join("","",unique({let(conf_picked,filter(E$1:E25,D$1:D25=D26), byrow(unique(TRANSPOSe(Teams!$1:$1)),lambda(rw,if(ISERROR(match(rw,conf_picked,0)),rw,))));iferror(if(#REF!,,transpose(split(#REF!,"","",1,1))))})), ""^,"", """")"),"AAC,,Big 12,Big Ten,Pac12,CUSA,MAC,MWC,SEC,Sun Belt")</f>
        <v>AAC,,Big 12,Big Ten,Pac12,CUSA,MAC,MWC,SEC,Sun Belt</v>
      </c>
      <c r="AN26" s="127">
        <f>IFERROR(__xludf.DUMMYFUNCTION("iferror($O26-max(filter($O26:$O$395,arrayformula(isnumber(FIND($E26:$E$395,AM26))))))"),-6.0)</f>
        <v>-6</v>
      </c>
      <c r="AO26" s="126">
        <f t="array" ref="AO26">countifs($O$2:$O25,"&lt;"&amp;$O26,isnumber(FIND($E$2:$E25,AM26)),TRUE)</f>
        <v>1</v>
      </c>
      <c r="AP26" s="126">
        <f>IFERROR(__xludf.DUMMYFUNCTION("iferror(COUNT(filter($O27:$O$395,$O27:$O$395&gt;$O26,arrayformula(isnumber(FIND($E27:$E$395,AM26))))))"),38.0)</f>
        <v>38</v>
      </c>
      <c r="AQ26" s="128">
        <f t="shared" si="10"/>
        <v>0</v>
      </c>
      <c r="AR26" s="129">
        <f>IFERROR(__xludf.DUMMYFUNCTION("$O26-min(filter($O26:$O$395,arrayformula(isnumber(FIND($E26:$E$395,AM26)))))"),5.0)</f>
        <v>5</v>
      </c>
      <c r="AS26" s="123" t="str">
        <f>IFERROR(__xludf.DUMMYFUNCTION("iferror(join("","",index(sort(filter($F27:$F$395,$O27:$O$395&gt;$O26,arrayformula(isnumber(FIND($E27:$E$395,AM26)))),2,false),0,1)))"),"Oregon,San Diego State,UCLA,Michigan,San José State,Notre Dame,Texas,Oklahoma State,TCU,Washington,East Carolina,SMU,Kentucky,Tulane,North Texas,Oregon State,Troy,Penn State,Liberty,James Madison,EMU,Wyoming,Middle Tennessee,Kansas State,Texas Tech,Washin"&amp;"gton State,Minnesota,South Alabama,Iowa,Purdue,Ole Miss,Maryland,Tennessee,Ohio,Mississippi State,LSU,Illinois,South Carolina")</f>
        <v>Oregon,San Diego State,UCLA,Michigan,San José State,Notre Dame,Texas,Oklahoma State,TCU,Washington,East Carolina,SMU,Kentucky,Tulane,North Texas,Oregon State,Troy,Penn State,Liberty,James Madison,EMU,Wyoming,Middle Tennessee,Kansas State,Texas Tech,Washington State,Minnesota,South Alabama,Iowa,Purdue,Ole Miss,Maryland,Tennessee,Ohio,Mississippi State,LSU,Illinois,South Carolina</v>
      </c>
    </row>
    <row r="27">
      <c r="A27" s="156">
        <v>26.0</v>
      </c>
      <c r="B27" s="156">
        <v>2.0</v>
      </c>
      <c r="C27" s="156">
        <v>13.0</v>
      </c>
      <c r="D27" s="157" t="s">
        <v>53</v>
      </c>
      <c r="E27" s="158" t="str">
        <f>if(F27&lt;&gt;"",VLOOKUP(F27,offset('Teams-Conference'!A:B,0,(counta('Draft Order'!B$2:B132)-10)*2),2,0),"")</f>
        <v>Pac12</v>
      </c>
      <c r="F27" s="159" t="s">
        <v>54</v>
      </c>
      <c r="G27" s="160" t="str">
        <f t="shared" si="1"/>
        <v/>
      </c>
      <c r="H27" s="122">
        <f t="shared" si="2"/>
        <v>1</v>
      </c>
      <c r="I27" s="122">
        <f t="shared" si="3"/>
        <v>2</v>
      </c>
      <c r="J27" s="122">
        <f t="shared" si="11"/>
        <v>1</v>
      </c>
      <c r="K27" s="123"/>
      <c r="L27" s="122">
        <v>9.0</v>
      </c>
      <c r="M27" s="122">
        <f>IFERROR(__xludf.DUMMYFUNCTION("counta(iferror(filter(L$2:L26,E$2:E26=E27,L$2:L26&lt;L27)))"),0.0)</f>
        <v>0</v>
      </c>
      <c r="N27" s="122">
        <f>IFERROR(__xludf.DUMMYFUNCTION("counta(iferror(filter(L28:L$131,E28:E$131=E27,L28:L$134&gt;L27)))"),0.0)</f>
        <v>0</v>
      </c>
      <c r="O27" s="124">
        <f t="array" ref="O27:Z27">XLOOKUP(F27,'Current Week'!C:C,'Current Week'!D:O)</f>
        <v>9</v>
      </c>
      <c r="P27" s="122">
        <v>3.0</v>
      </c>
      <c r="Q27" s="123" t="s">
        <v>56</v>
      </c>
      <c r="R27" s="125" t="s">
        <v>57</v>
      </c>
      <c r="S27" s="123" t="s">
        <v>59</v>
      </c>
      <c r="T27" s="123" t="s">
        <v>58</v>
      </c>
      <c r="U27" s="126"/>
      <c r="V27" s="126"/>
      <c r="W27" s="126"/>
      <c r="X27" s="126"/>
      <c r="Y27" s="126"/>
      <c r="Z27" s="126"/>
      <c r="AA27" s="127">
        <f t="shared" si="4"/>
        <v>-3</v>
      </c>
      <c r="AB27" s="126">
        <f t="shared" si="5"/>
        <v>13</v>
      </c>
      <c r="AC27" s="126">
        <f>IFERROR(__xludf.DUMMYFUNCTION("iferror(COUNT(filter($O28:$O$395,$O28:$O$395&gt;$O27)))"),8.0)</f>
        <v>8</v>
      </c>
      <c r="AD27" s="128">
        <f t="shared" si="6"/>
        <v>0</v>
      </c>
      <c r="AE27" s="129">
        <f t="shared" si="7"/>
        <v>5</v>
      </c>
      <c r="AF27" s="123" t="str">
        <f>IFERROR(__xludf.DUMMYFUNCTION("iferror(join("","",index(sort(filter($F28:$F$396,$O28:$O$396&gt;$O27),2,false),0,1)))"),"Michigan,TCU,Washington,Tulane,Troy,Penn State,South Alabama,Tennessee")</f>
        <v>Michigan,TCU,Washington,Tulane,Troy,Penn State,South Alabama,Tennessee</v>
      </c>
      <c r="AG27" s="127">
        <f>IFERROR(__xludf.DUMMYFUNCTION("iferror($O27-max(filter($O27:$O$395,$E27:$E$395=$E$2)))"),-3.0)</f>
        <v>-3</v>
      </c>
      <c r="AH27" s="126">
        <f t="shared" si="8"/>
        <v>0</v>
      </c>
      <c r="AI27" s="126">
        <f>IFERROR(__xludf.DUMMYFUNCTION("iferror(COUNT(filter($O28:$O$395,$O28:$O$395&gt;$O27,$E27:$E$395=$E$2)))"),0.0)</f>
        <v>0</v>
      </c>
      <c r="AJ27" s="128">
        <f t="shared" si="9"/>
        <v>0</v>
      </c>
      <c r="AK27" s="129">
        <f>IFERROR(__xludf.DUMMYFUNCTION("iferror($O27-min(filter($O27:$O$395,$E27:$E$395=$E$2)))"),8.0)</f>
        <v>8</v>
      </c>
      <c r="AL27" s="123" t="str">
        <f>IFERROR(__xludf.DUMMYFUNCTION("iferror(join("","",index(sort(filter($F28:$F$395,$O28:$O$395&gt;$O27,$E28:$E$395=$E$2),2,false),0,1)))"),"Michigan,Penn State")</f>
        <v>Michigan,Penn State</v>
      </c>
      <c r="AM27" s="123" t="str">
        <f>IFERROR(__xludf.DUMMYFUNCTION("REGEXREPLACE(join("","",unique({let(conf_picked,filter(E$1:E26,D$1:D26=D27), byrow(unique(TRANSPOSe(Teams!$1:$1)),lambda(rw,if(ISERROR(match(rw,conf_picked,0)),rw,))));iferror(if(#REF!,,transpose(split(#REF!,"","",1,1))))})), ""^,"", """")"),"AAC,ACC,Big 12,,Pac12,CUSA,MAC,MWC,SEC,Sun Belt")</f>
        <v>AAC,ACC,Big 12,,Pac12,CUSA,MAC,MWC,SEC,Sun Belt</v>
      </c>
      <c r="AN27" s="127">
        <f>IFERROR(__xludf.DUMMYFUNCTION("iferror($O27-max(filter($O27:$O$395,arrayformula(isnumber(FIND($E27:$E$395,AM27))))))"),-3.0)</f>
        <v>-3</v>
      </c>
      <c r="AO27" s="126">
        <f t="array" ref="AO27">countifs($O$2:$O26,"&lt;"&amp;$O27,isnumber(FIND($E$2:$E26,AM27)),TRUE)</f>
        <v>13</v>
      </c>
      <c r="AP27" s="126">
        <f>IFERROR(__xludf.DUMMYFUNCTION("iferror(COUNT(filter($O28:$O$395,$O28:$O$395&gt;$O27,arrayformula(isnumber(FIND($E28:$E$395,AM27))))))"),6.0)</f>
        <v>6</v>
      </c>
      <c r="AQ27" s="128">
        <f t="shared" si="10"/>
        <v>0</v>
      </c>
      <c r="AR27" s="129">
        <f>IFERROR(__xludf.DUMMYFUNCTION("$O27-min(filter($O27:$O$395,arrayformula(isnumber(FIND($E27:$E$395,AM27)))))"),8.0)</f>
        <v>8</v>
      </c>
      <c r="AS27" s="123" t="str">
        <f>IFERROR(__xludf.DUMMYFUNCTION("iferror(join("","",index(sort(filter($F28:$F$395,$O28:$O$395&gt;$O27,arrayformula(isnumber(FIND($E28:$E$395,AM27)))),2,false),0,1)))"),"TCU,Washington,Tulane,Troy,South Alabama,Tennessee")</f>
        <v>TCU,Washington,Tulane,Troy,South Alabama,Tennessee</v>
      </c>
    </row>
    <row r="28">
      <c r="A28" s="110">
        <v>27.0</v>
      </c>
      <c r="B28" s="110">
        <v>3.0</v>
      </c>
      <c r="C28" s="110">
        <v>1.0</v>
      </c>
      <c r="D28" s="111" t="s">
        <v>53</v>
      </c>
      <c r="E28" s="113" t="str">
        <f>if(F28&lt;&gt;"",VLOOKUP(F28,offset('Teams-Conference'!A:B,0,(counta('Draft Order'!B$2:B132)-10)*2),2,0),"")</f>
        <v>Big 12</v>
      </c>
      <c r="F28" s="115" t="s">
        <v>184</v>
      </c>
      <c r="G28" s="119" t="str">
        <f t="shared" si="1"/>
        <v/>
      </c>
      <c r="H28" s="122">
        <f t="shared" si="2"/>
        <v>3</v>
      </c>
      <c r="I28" s="122">
        <f t="shared" si="3"/>
        <v>5</v>
      </c>
      <c r="J28" s="122">
        <f t="shared" si="11"/>
        <v>1</v>
      </c>
      <c r="K28" s="122">
        <f t="shared" ref="K28:K33" si="13">countif(E7:E28,E29)</f>
        <v>3</v>
      </c>
      <c r="L28" s="122">
        <v>5.0</v>
      </c>
      <c r="M28" s="122">
        <f>IFERROR(__xludf.DUMMYFUNCTION("counta(iferror(filter(L$2:L27,E$2:E27=E28,L$2:L27&lt;L28)))"),0.0)</f>
        <v>0</v>
      </c>
      <c r="N28" s="122">
        <f>IFERROR(__xludf.DUMMYFUNCTION("counta(iferror(filter(L29:L$131,E29:E$131=E28,L29:L$134&gt;L28)))"),0.0)</f>
        <v>0</v>
      </c>
      <c r="O28" s="124">
        <f t="array" ref="O28:Z28">XLOOKUP(F28,'Current Week'!C:C,'Current Week'!D:O)</f>
        <v>5</v>
      </c>
      <c r="P28" s="122">
        <v>7.0</v>
      </c>
      <c r="Q28" s="123" t="s">
        <v>185</v>
      </c>
      <c r="R28" s="123" t="s">
        <v>183</v>
      </c>
      <c r="S28" s="123" t="s">
        <v>178</v>
      </c>
      <c r="T28" s="123" t="s">
        <v>88</v>
      </c>
      <c r="U28" s="123"/>
      <c r="V28" s="123"/>
      <c r="W28" s="123"/>
      <c r="X28" s="123"/>
      <c r="Y28" s="126"/>
      <c r="Z28" s="126"/>
      <c r="AA28" s="127">
        <f t="shared" si="4"/>
        <v>-7</v>
      </c>
      <c r="AB28" s="126">
        <f t="shared" si="5"/>
        <v>1</v>
      </c>
      <c r="AC28" s="126">
        <f>IFERROR(__xludf.DUMMYFUNCTION("iferror(COUNT(filter($O29:$O$395,$O29:$O$395&gt;$O28)))"),58.0)</f>
        <v>58</v>
      </c>
      <c r="AD28" s="128">
        <f t="shared" si="6"/>
        <v>0</v>
      </c>
      <c r="AE28" s="129">
        <f t="shared" si="7"/>
        <v>1</v>
      </c>
      <c r="AF28" s="123" t="str">
        <f>IFERROR(__xludf.DUMMYFUNCTION("iferror(join("","",index(sort(filter($F29:$F$396,$O29:$O$396&gt;$O28),2,false),0,1)))"),"San Diego State,UCLA,Michigan,Utah State,San José State,Notre Dame,Texas,Oklahoma State,NC State,Baylor,TCU,Washington,Pittsburgh,East Carolina,North Carolina,SMU,Kentucky,Tulane,North Texas,Wisconsin,Wake Forest,Oregon State,Troy,Penn State,Southern Miss"&amp;"issippi,Liberty,James Madison,EMU,Wyoming,Florida State,Middle Tennessee,Arkansas,Kansas State,Texas Tech,Washington State,Minnesota,South Alabama,Louisville,Iowa,Purdue,Ole Miss,Maryland,Florida,Buffalo,Syracuse,Georgia Southern,Tennessee,Ohio,Kansas,Mis"&amp;"sissippi State,LSU,Illinois,Bowling Green,South Carolina,New Mexico State,UConn,Missouri,Duke")</f>
        <v>San Diego State,UCLA,Michigan,Utah State,San José State,Notre Dame,Texas,Oklahoma State,NC State,Baylor,TCU,Washington,Pittsburgh,East Carolina,North Carolina,SMU,Kentucky,Tulane,North Texas,Wisconsin,Wake Forest,Oregon State,Troy,Penn State,Southern Mississippi,Liberty,James Madison,EMU,Wyoming,Florida State,Middle Tennessee,Arkansas,Kansas State,Texas Tech,Washington State,Minnesota,South Alabama,Louisville,Iowa,Purdue,Ole Miss,Maryland,Florida,Buffalo,Syracuse,Georgia Southern,Tennessee,Ohio,Kansas,Mississippi State,LSU,Illinois,Bowling Green,South Carolina,New Mexico State,UConn,Missouri,Duke</v>
      </c>
      <c r="AG28" s="127">
        <f>IFERROR(__xludf.DUMMYFUNCTION("iferror($O28-max(filter($O28:$O$395,$E28:$E$395=$E$2)))"),-7.0)</f>
        <v>-7</v>
      </c>
      <c r="AH28" s="126">
        <f t="shared" si="8"/>
        <v>0</v>
      </c>
      <c r="AI28" s="126">
        <f>IFERROR(__xludf.DUMMYFUNCTION("iferror(COUNT(filter($O29:$O$395,$O29:$O$395&gt;$O28,$E28:$E$395=$E$2)))"),0.0)</f>
        <v>0</v>
      </c>
      <c r="AJ28" s="128">
        <f t="shared" si="9"/>
        <v>0</v>
      </c>
      <c r="AK28" s="129">
        <f>IFERROR(__xludf.DUMMYFUNCTION("iferror($O28-min(filter($O28:$O$395,$E28:$E$395=$E$2)))"),4.0)</f>
        <v>4</v>
      </c>
      <c r="AL28" s="123" t="str">
        <f>IFERROR(__xludf.DUMMYFUNCTION("iferror(join("","",index(sort(filter($F29:$F$395,$O29:$O$395&gt;$O28,$E29:$E$395=$E$2),2,false),0,1)))"),"Michigan,Wisconsin,Penn State,Minnesota,Iowa,Purdue,Maryland,Illinois")</f>
        <v>Michigan,Wisconsin,Penn State,Minnesota,Iowa,Purdue,Maryland,Illinois</v>
      </c>
      <c r="AM28" s="123" t="str">
        <f>IFERROR(__xludf.DUMMYFUNCTION("REGEXREPLACE(join("","",unique({let(conf_picked,filter(E$1:E27,D$1:D27=D28), byrow(unique(TRANSPOSe(Teams!$1:$1)),lambda(rw,if(ISERROR(match(rw,conf_picked,0)),rw,))));iferror(if(#REF!,,transpose(split(#REF!,"","",1,1))))})), ""^,"", """")"),"AAC,ACC,Big 12,,CUSA,MAC,MWC,SEC,Sun Belt")</f>
        <v>AAC,ACC,Big 12,,CUSA,MAC,MWC,SEC,Sun Belt</v>
      </c>
      <c r="AN28" s="127">
        <f>IFERROR(__xludf.DUMMYFUNCTION("iferror($O28-max(filter($O28:$O$395,arrayformula(isnumber(FIND($E28:$E$395,AM28))))))"),-7.0)</f>
        <v>-7</v>
      </c>
      <c r="AO28" s="126">
        <f t="array" ref="AO28">countifs($O$2:$O27,"&lt;"&amp;$O28,isnumber(FIND($E$2:$E27,AM28)),TRUE)</f>
        <v>1</v>
      </c>
      <c r="AP28" s="126">
        <f>IFERROR(__xludf.DUMMYFUNCTION("iferror(COUNT(filter($O29:$O$395,$O29:$O$395&gt;$O28,arrayformula(isnumber(FIND($E29:$E$395,AM28))))))"),46.0)</f>
        <v>46</v>
      </c>
      <c r="AQ28" s="128">
        <f t="shared" si="10"/>
        <v>0</v>
      </c>
      <c r="AR28" s="129">
        <f>IFERROR(__xludf.DUMMYFUNCTION("$O28-min(filter($O28:$O$395,arrayformula(isnumber(FIND($E28:$E$395,AM28)))))"),4.0)</f>
        <v>4</v>
      </c>
      <c r="AS28" s="123" t="str">
        <f>IFERROR(__xludf.DUMMYFUNCTION("iferror(join("","",index(sort(filter($F29:$F$395,$O29:$O$395&gt;$O28,arrayformula(isnumber(FIND($E29:$E$395,AM28)))),2,false),0,1)))"),"San Diego State,Utah State,San José State,Notre Dame,Texas,Oklahoma State,NC State,Baylor,TCU,Pittsburgh,East Carolina,North Carolina,SMU,Kentucky,Tulane,North Texas,Wake Forest,Troy,Southern Mississippi,Liberty,James Madison,EMU,Wyoming,Florida State,Mid"&amp;"dle Tennessee,Arkansas,Kansas State,Texas Tech,South Alabama,Louisville,Ole Miss,Florida,Buffalo,Syracuse,Georgia Southern,Tennessee,Ohio,Kansas,Mississippi State,LSU,Bowling Green,South Carolina,New Mexico State,UConn,Missouri,Duke")</f>
        <v>San Diego State,Utah State,San José State,Notre Dame,Texas,Oklahoma State,NC State,Baylor,TCU,Pittsburgh,East Carolina,North Carolina,SMU,Kentucky,Tulane,North Texas,Wake Forest,Troy,Southern Mississippi,Liberty,James Madison,EMU,Wyoming,Florida State,Middle Tennessee,Arkansas,Kansas State,Texas Tech,South Alabama,Louisville,Ole Miss,Florida,Buffalo,Syracuse,Georgia Southern,Tennessee,Ohio,Kansas,Mississippi State,LSU,Bowling Green,South Carolina,New Mexico State,UConn,Missouri,Duke</v>
      </c>
    </row>
    <row r="29">
      <c r="A29" s="26">
        <v>28.0</v>
      </c>
      <c r="B29" s="26">
        <v>3.0</v>
      </c>
      <c r="C29" s="26">
        <v>2.0</v>
      </c>
      <c r="D29" s="132" t="s">
        <v>131</v>
      </c>
      <c r="E29" s="133" t="str">
        <f>if(F29&lt;&gt;"",VLOOKUP(F29,offset('Teams-Conference'!A:B,0,(counta('Draft Order'!B$2:B132)-10)*2),2,0),"")</f>
        <v>MWC</v>
      </c>
      <c r="F29" s="134" t="s">
        <v>219</v>
      </c>
      <c r="G29" s="135" t="str">
        <f t="shared" si="1"/>
        <v/>
      </c>
      <c r="H29" s="122">
        <f t="shared" si="2"/>
        <v>2</v>
      </c>
      <c r="I29" s="122">
        <f t="shared" si="3"/>
        <v>3</v>
      </c>
      <c r="J29" s="122">
        <f t="shared" si="11"/>
        <v>1</v>
      </c>
      <c r="K29" s="122">
        <f t="shared" si="13"/>
        <v>3</v>
      </c>
      <c r="L29" s="122">
        <v>7.0</v>
      </c>
      <c r="M29" s="122">
        <f>IFERROR(__xludf.DUMMYFUNCTION("counta(iferror(filter(L$2:L28,E$2:E28=E29,L$2:L28&lt;L29)))"),0.0)</f>
        <v>0</v>
      </c>
      <c r="N29" s="122">
        <f>IFERROR(__xludf.DUMMYFUNCTION("counta(iferror(filter(L30:L$131,E30:E$131=E29,L30:L$134&gt;L29)))"),0.0)</f>
        <v>0</v>
      </c>
      <c r="O29" s="124">
        <f t="array" ref="O29:Z29">XLOOKUP(F29,'Current Week'!C:C,'Current Week'!D:O)</f>
        <v>7</v>
      </c>
      <c r="P29" s="122">
        <v>5.0</v>
      </c>
      <c r="Q29" s="123" t="s">
        <v>220</v>
      </c>
      <c r="R29" s="123" t="s">
        <v>57</v>
      </c>
      <c r="S29" s="123" t="s">
        <v>103</v>
      </c>
      <c r="T29" s="123" t="s">
        <v>126</v>
      </c>
      <c r="U29" s="123"/>
      <c r="V29" s="123"/>
      <c r="W29" s="123"/>
      <c r="X29" s="123"/>
      <c r="Y29" s="126"/>
      <c r="Z29" s="126"/>
      <c r="AA29" s="127">
        <f t="shared" si="4"/>
        <v>-5</v>
      </c>
      <c r="AB29" s="126">
        <f t="shared" si="5"/>
        <v>8</v>
      </c>
      <c r="AC29" s="126">
        <f>IFERROR(__xludf.DUMMYFUNCTION("iferror(COUNT(filter($O30:$O$395,$O30:$O$395&gt;$O29)))"),29.0)</f>
        <v>29</v>
      </c>
      <c r="AD29" s="128">
        <f t="shared" si="6"/>
        <v>0</v>
      </c>
      <c r="AE29" s="129">
        <f t="shared" si="7"/>
        <v>3</v>
      </c>
      <c r="AF29" s="123" t="str">
        <f>IFERROR(__xludf.DUMMYFUNCTION("iferror(join("","",index(sort(filter($F30:$F$396,$O30:$O$396&gt;$O29),2,false),0,1)))"),"UCLA,Michigan,Notre Dame,Texas,NC State,TCU,Washington,Pittsburgh,North Carolina,Tulane,Oregon State,Troy,Penn State,Liberty,James Madison,EMU,Florida State,Kansas State,Minnesota,South Alabama,Purdue,Ole Miss,Tennessee,Ohio,Mississippi State,LSU,Illinois"&amp;",South Carolina,Duke")</f>
        <v>UCLA,Michigan,Notre Dame,Texas,NC State,TCU,Washington,Pittsburgh,North Carolina,Tulane,Oregon State,Troy,Penn State,Liberty,James Madison,EMU,Florida State,Kansas State,Minnesota,South Alabama,Purdue,Ole Miss,Tennessee,Ohio,Mississippi State,LSU,Illinois,South Carolina,Duke</v>
      </c>
      <c r="AG29" s="127">
        <f>IFERROR(__xludf.DUMMYFUNCTION("iferror($O29-max(filter($O29:$O$395,$E29:$E$395=$E$2)))"),-5.0)</f>
        <v>-5</v>
      </c>
      <c r="AH29" s="126">
        <f t="shared" si="8"/>
        <v>0</v>
      </c>
      <c r="AI29" s="126">
        <f>IFERROR(__xludf.DUMMYFUNCTION("iferror(COUNT(filter($O30:$O$395,$O30:$O$395&gt;$O29,$E29:$E$395=$E$2)))"),0.0)</f>
        <v>0</v>
      </c>
      <c r="AJ29" s="128">
        <f t="shared" si="9"/>
        <v>0</v>
      </c>
      <c r="AK29" s="129">
        <f>IFERROR(__xludf.DUMMYFUNCTION("iferror($O29-min(filter($O29:$O$395,$E29:$E$395=$E$2)))"),6.0)</f>
        <v>6</v>
      </c>
      <c r="AL29" s="123" t="str">
        <f>IFERROR(__xludf.DUMMYFUNCTION("iferror(join("","",index(sort(filter($F30:$F$395,$O30:$O$395&gt;$O29,$E30:$E$395=$E$2),2,false),0,1)))"),"Michigan,Penn State,Minnesota,Purdue,Illinois")</f>
        <v>Michigan,Penn State,Minnesota,Purdue,Illinois</v>
      </c>
      <c r="AM29" s="123" t="str">
        <f>IFERROR(__xludf.DUMMYFUNCTION("REGEXREPLACE(join("","",unique({let(conf_picked,filter(E$1:E28,D$1:D28=D29), byrow(unique(TRANSPOSe(Teams!$1:$1)),lambda(rw,if(ISERROR(match(rw,conf_picked,0)),rw,))));iferror(if(#REF!,,transpose(split(#REF!,"","",1,1))))})), ""^,"", """")"),"AAC,,Big 12,Big Ten,Pac12,CUSA,MWC,SEC,Sun Belt")</f>
        <v>AAC,,Big 12,Big Ten,Pac12,CUSA,MWC,SEC,Sun Belt</v>
      </c>
      <c r="AN29" s="127">
        <f>IFERROR(__xludf.DUMMYFUNCTION("iferror($O29-max(filter($O29:$O$395,arrayformula(isnumber(FIND($E29:$E$395,AM29))))))"),-5.0)</f>
        <v>-5</v>
      </c>
      <c r="AO29" s="126">
        <f t="array" ref="AO29">countifs($O$2:$O28,"&lt;"&amp;$O29,isnumber(FIND($E$2:$E28,AM29)),TRUE)</f>
        <v>6</v>
      </c>
      <c r="AP29" s="126">
        <f>IFERROR(__xludf.DUMMYFUNCTION("iferror(COUNT(filter($O30:$O$395,$O30:$O$395&gt;$O29,arrayformula(isnumber(FIND($E30:$E$395,AM29))))))"),21.0)</f>
        <v>21</v>
      </c>
      <c r="AQ29" s="128">
        <f t="shared" si="10"/>
        <v>0</v>
      </c>
      <c r="AR29" s="129">
        <f>IFERROR(__xludf.DUMMYFUNCTION("$O29-min(filter($O29:$O$395,arrayformula(isnumber(FIND($E29:$E$395,AM29)))))"),6.0)</f>
        <v>6</v>
      </c>
      <c r="AS29" s="123" t="str">
        <f>IFERROR(__xludf.DUMMYFUNCTION("iferror(join("","",index(sort(filter($F30:$F$395,$O30:$O$395&gt;$O29,arrayformula(isnumber(FIND($E30:$E$395,AM29)))),2,false),0,1)))"),"UCLA,Michigan,Notre Dame,Texas,TCU,Washington,Tulane,Oregon State,Troy,Penn State,James Madison,Kansas State,Minnesota,South Alabama,Purdue,Ole Miss,Tennessee,Mississippi State,LSU,Illinois,South Carolina")</f>
        <v>UCLA,Michigan,Notre Dame,Texas,TCU,Washington,Tulane,Oregon State,Troy,Penn State,James Madison,Kansas State,Minnesota,South Alabama,Purdue,Ole Miss,Tennessee,Mississippi State,LSU,Illinois,South Carolina</v>
      </c>
    </row>
    <row r="30">
      <c r="A30" s="26">
        <v>29.0</v>
      </c>
      <c r="B30" s="26">
        <v>3.0</v>
      </c>
      <c r="C30" s="26">
        <v>3.0</v>
      </c>
      <c r="D30" s="137" t="s">
        <v>178</v>
      </c>
      <c r="E30" s="133" t="str">
        <f>if(F30&lt;&gt;"",VLOOKUP(F30,offset('Teams-Conference'!A:B,0,(counta('Draft Order'!B$2:B132)-10)*2),2,0),"")</f>
        <v>Pac12</v>
      </c>
      <c r="F30" s="138" t="s">
        <v>261</v>
      </c>
      <c r="G30" s="135" t="str">
        <f t="shared" si="1"/>
        <v/>
      </c>
      <c r="H30" s="122">
        <f t="shared" si="2"/>
        <v>0</v>
      </c>
      <c r="I30" s="122">
        <f t="shared" si="3"/>
        <v>1</v>
      </c>
      <c r="J30" s="122">
        <f t="shared" si="11"/>
        <v>1</v>
      </c>
      <c r="K30" s="122">
        <f t="shared" si="13"/>
        <v>0</v>
      </c>
      <c r="L30" s="122">
        <v>9.0</v>
      </c>
      <c r="M30" s="122">
        <f>IFERROR(__xludf.DUMMYFUNCTION("counta(iferror(filter(L$2:L29,E$2:E29=E30,L$2:L29&lt;L30)))"),0.0)</f>
        <v>0</v>
      </c>
      <c r="N30" s="122">
        <f>IFERROR(__xludf.DUMMYFUNCTION("counta(iferror(filter(L31:L$131,E31:E$131=E30,L31:L$134&gt;L30)))"),0.0)</f>
        <v>0</v>
      </c>
      <c r="O30" s="124">
        <f t="array" ref="O30:Z30">XLOOKUP(F30,'Current Week'!C:C,'Current Week'!D:O)</f>
        <v>9</v>
      </c>
      <c r="P30" s="122">
        <v>3.0</v>
      </c>
      <c r="Q30" s="123" t="s">
        <v>262</v>
      </c>
      <c r="R30" s="123" t="s">
        <v>57</v>
      </c>
      <c r="S30" s="123" t="s">
        <v>166</v>
      </c>
      <c r="T30" s="123"/>
      <c r="U30" s="123"/>
      <c r="V30" s="123"/>
      <c r="W30" s="123"/>
      <c r="X30" s="123"/>
      <c r="Y30" s="126"/>
      <c r="Z30" s="126"/>
      <c r="AA30" s="127">
        <f t="shared" si="4"/>
        <v>-3</v>
      </c>
      <c r="AB30" s="126">
        <f t="shared" si="5"/>
        <v>15</v>
      </c>
      <c r="AC30" s="126">
        <f>IFERROR(__xludf.DUMMYFUNCTION("iferror(COUNT(filter($O31:$O$395,$O31:$O$395&gt;$O30)))"),8.0)</f>
        <v>8</v>
      </c>
      <c r="AD30" s="128">
        <f t="shared" si="6"/>
        <v>0</v>
      </c>
      <c r="AE30" s="129">
        <f t="shared" si="7"/>
        <v>5</v>
      </c>
      <c r="AF30" s="123" t="str">
        <f>IFERROR(__xludf.DUMMYFUNCTION("iferror(join("","",index(sort(filter($F31:$F$396,$O31:$O$396&gt;$O30),2,false),0,1)))"),"Michigan,TCU,Washington,Tulane,Troy,Penn State,South Alabama,Tennessee")</f>
        <v>Michigan,TCU,Washington,Tulane,Troy,Penn State,South Alabama,Tennessee</v>
      </c>
      <c r="AG30" s="127">
        <f>IFERROR(__xludf.DUMMYFUNCTION("iferror($O30-max(filter($O30:$O$395,$E30:$E$395=$E$2)))"),-3.0)</f>
        <v>-3</v>
      </c>
      <c r="AH30" s="126">
        <f t="shared" si="8"/>
        <v>0</v>
      </c>
      <c r="AI30" s="126">
        <f>IFERROR(__xludf.DUMMYFUNCTION("iferror(COUNT(filter($O31:$O$395,$O31:$O$395&gt;$O30,$E30:$E$395=$E$2)))"),0.0)</f>
        <v>0</v>
      </c>
      <c r="AJ30" s="128">
        <f t="shared" si="9"/>
        <v>0</v>
      </c>
      <c r="AK30" s="129">
        <f>IFERROR(__xludf.DUMMYFUNCTION("iferror($O30-min(filter($O30:$O$395,$E30:$E$395=$E$2)))"),8.0)</f>
        <v>8</v>
      </c>
      <c r="AL30" s="123" t="str">
        <f>IFERROR(__xludf.DUMMYFUNCTION("iferror(join("","",index(sort(filter($F31:$F$395,$O31:$O$395&gt;$O30,$E31:$E$395=$E$2),2,false),0,1)))"),"Michigan,Penn State")</f>
        <v>Michigan,Penn State</v>
      </c>
      <c r="AM30" s="123" t="str">
        <f>IFERROR(__xludf.DUMMYFUNCTION("REGEXREPLACE(join("","",unique({let(conf_picked,filter(E$1:E29,D$1:D29=D30), byrow(unique(TRANSPOSe(Teams!$1:$1)),lambda(rw,if(ISERROR(match(rw,conf_picked,0)),rw,))));iferror(if(#REF!,,transpose(split(#REF!,"","",1,1))))})), ""^,"", """")"),"AAC,ACC,Big 12,Big Ten,Pac12,,MWC,SEC,Sun Belt")</f>
        <v>AAC,ACC,Big 12,Big Ten,Pac12,,MWC,SEC,Sun Belt</v>
      </c>
      <c r="AN30" s="127">
        <f>IFERROR(__xludf.DUMMYFUNCTION("iferror($O30-max(filter($O30:$O$395,arrayformula(isnumber(FIND($E30:$E$395,AM30))))))"),-3.0)</f>
        <v>-3</v>
      </c>
      <c r="AO30" s="126">
        <f t="array" ref="AO30">countifs($O$2:$O29,"&lt;"&amp;$O30,isnumber(FIND($E$2:$E29,AM30)),TRUE)</f>
        <v>10</v>
      </c>
      <c r="AP30" s="126">
        <f>IFERROR(__xludf.DUMMYFUNCTION("iferror(COUNT(filter($O31:$O$395,$O31:$O$395&gt;$O30,arrayformula(isnumber(FIND($E31:$E$395,AM30))))))"),8.0)</f>
        <v>8</v>
      </c>
      <c r="AQ30" s="128">
        <f t="shared" si="10"/>
        <v>0</v>
      </c>
      <c r="AR30" s="129">
        <f>IFERROR(__xludf.DUMMYFUNCTION("$O30-min(filter($O30:$O$395,arrayformula(isnumber(FIND($E30:$E$395,AM30)))))"),8.0)</f>
        <v>8</v>
      </c>
      <c r="AS30" s="123" t="str">
        <f>IFERROR(__xludf.DUMMYFUNCTION("iferror(join("","",index(sort(filter($F31:$F$395,$O31:$O$395&gt;$O30,arrayformula(isnumber(FIND($E31:$E$395,AM30)))),2,false),0,1)))"),"Michigan,TCU,Washington,Tulane,Troy,Penn State,South Alabama,Tennessee")</f>
        <v>Michigan,TCU,Washington,Tulane,Troy,Penn State,South Alabama,Tennessee</v>
      </c>
    </row>
    <row r="31">
      <c r="A31" s="26">
        <v>30.0</v>
      </c>
      <c r="B31" s="26">
        <v>3.0</v>
      </c>
      <c r="C31" s="26">
        <v>4.0</v>
      </c>
      <c r="D31" s="132" t="s">
        <v>59</v>
      </c>
      <c r="E31" s="133" t="str">
        <f>if(F31&lt;&gt;"",VLOOKUP(F31,offset('Teams-Conference'!A:B,0,(counta('Draft Order'!B$2:B132)-10)*2),2,0),"")</f>
        <v>Big Ten</v>
      </c>
      <c r="F31" s="134" t="s">
        <v>284</v>
      </c>
      <c r="G31" s="135" t="str">
        <f t="shared" si="1"/>
        <v/>
      </c>
      <c r="H31" s="122">
        <f t="shared" si="2"/>
        <v>0</v>
      </c>
      <c r="I31" s="122">
        <f t="shared" si="3"/>
        <v>0</v>
      </c>
      <c r="J31" s="122">
        <f t="shared" si="11"/>
        <v>0</v>
      </c>
      <c r="K31" s="122">
        <f t="shared" si="13"/>
        <v>4</v>
      </c>
      <c r="L31" s="122">
        <v>12.0</v>
      </c>
      <c r="M31" s="122">
        <f>IFERROR(__xludf.DUMMYFUNCTION("counta(iferror(filter(L$2:L30,E$2:E30=E31,L$2:L30&lt;L31)))"),1.0)</f>
        <v>1</v>
      </c>
      <c r="N31" s="122">
        <f>IFERROR(__xludf.DUMMYFUNCTION("counta(iferror(filter(L32:L$131,E32:E$131=E31,L32:L$134&gt;L31)))"),0.0)</f>
        <v>0</v>
      </c>
      <c r="O31" s="124">
        <f t="array" ref="O31:Z31">XLOOKUP(F31,'Current Week'!C:C,'Current Week'!D:O)</f>
        <v>12</v>
      </c>
      <c r="P31" s="122">
        <v>0.0</v>
      </c>
      <c r="Q31" s="123" t="s">
        <v>169</v>
      </c>
      <c r="R31" s="125" t="s">
        <v>57</v>
      </c>
      <c r="S31" s="123" t="s">
        <v>53</v>
      </c>
      <c r="T31" s="123"/>
      <c r="U31" s="126"/>
      <c r="V31" s="126"/>
      <c r="W31" s="126"/>
      <c r="X31" s="126"/>
      <c r="Y31" s="126"/>
      <c r="Z31" s="126"/>
      <c r="AA31" s="127">
        <f t="shared" si="4"/>
        <v>0</v>
      </c>
      <c r="AB31" s="126">
        <f t="shared" si="5"/>
        <v>28</v>
      </c>
      <c r="AC31" s="126">
        <f>IFERROR(__xludf.DUMMYFUNCTION("iferror(COUNT(filter($O32:$O$395,$O32:$O$395&gt;$O31)))"),0.0)</f>
        <v>0</v>
      </c>
      <c r="AD31" s="128">
        <f t="shared" si="6"/>
        <v>1</v>
      </c>
      <c r="AE31" s="129">
        <f t="shared" si="7"/>
        <v>8</v>
      </c>
      <c r="AF31" s="123" t="str">
        <f>IFERROR(__xludf.DUMMYFUNCTION("iferror(join("","",index(sort(filter($F32:$F$396,$O32:$O$396&gt;$O31),2,false),0,1)))"),"")</f>
        <v/>
      </c>
      <c r="AG31" s="127">
        <f>IFERROR(__xludf.DUMMYFUNCTION("iferror($O31-max(filter($O31:$O$395,$E31:$E$395=$E$2)))"),0.0)</f>
        <v>0</v>
      </c>
      <c r="AH31" s="126">
        <f t="shared" si="8"/>
        <v>1</v>
      </c>
      <c r="AI31" s="126">
        <f>IFERROR(__xludf.DUMMYFUNCTION("iferror(COUNT(filter($O32:$O$395,$O32:$O$395&gt;$O31,$E31:$E$395=$E$2)))"),0.0)</f>
        <v>0</v>
      </c>
      <c r="AJ31" s="128">
        <f t="shared" si="9"/>
        <v>1</v>
      </c>
      <c r="AK31" s="129">
        <f>IFERROR(__xludf.DUMMYFUNCTION("iferror($O31-min(filter($O31:$O$395,$E31:$E$395=$E$2)))"),11.0)</f>
        <v>11</v>
      </c>
      <c r="AL31" s="123" t="str">
        <f>IFERROR(__xludf.DUMMYFUNCTION("iferror(join("","",index(sort(filter($F32:$F$395,$O32:$O$395&gt;$O31,$E32:$E$395=$E$2),2,false),0,1)))"),"")</f>
        <v/>
      </c>
      <c r="AM31" s="123" t="str">
        <f>IFERROR(__xludf.DUMMYFUNCTION("REGEXREPLACE(join("","",unique({let(conf_picked,filter(E$1:E30,D$1:D30=D31), byrow(unique(TRANSPOSe(Teams!$1:$1)),lambda(rw,if(ISERROR(match(rw,conf_picked,0)),rw,))));iferror(if(#REF!,,transpose(split(#REF!,"","",1,1))))})), ""^,"", """")"),"AAC,ACC,Big 12,Big Ten,Pac12,CUSA,,MWC,SEC")</f>
        <v>AAC,ACC,Big 12,Big Ten,Pac12,CUSA,,MWC,SEC</v>
      </c>
      <c r="AN31" s="127">
        <f>IFERROR(__xludf.DUMMYFUNCTION("iferror($O31-max(filter($O31:$O$395,arrayformula(isnumber(FIND($E31:$E$395,AM31))))))"),0.0)</f>
        <v>0</v>
      </c>
      <c r="AO31" s="126">
        <f t="array" ref="AO31">countifs($O$2:$O30,"&lt;"&amp;$O31,isnumber(FIND($E$2:$E30,AM31)),TRUE)</f>
        <v>21</v>
      </c>
      <c r="AP31" s="126">
        <f>IFERROR(__xludf.DUMMYFUNCTION("iferror(COUNT(filter($O32:$O$395,$O32:$O$395&gt;$O31,arrayformula(isnumber(FIND($E32:$E$395,AM31))))))"),0.0)</f>
        <v>0</v>
      </c>
      <c r="AQ31" s="128">
        <f t="shared" si="10"/>
        <v>1</v>
      </c>
      <c r="AR31" s="129">
        <f>IFERROR(__xludf.DUMMYFUNCTION("$O31-min(filter($O31:$O$395,arrayformula(isnumber(FIND($E31:$E$395,AM31)))))"),11.0)</f>
        <v>11</v>
      </c>
      <c r="AS31" s="123" t="str">
        <f>IFERROR(__xludf.DUMMYFUNCTION("iferror(join("","",index(sort(filter($F32:$F$395,$O32:$O$395&gt;$O31,arrayformula(isnumber(FIND($E32:$E$395,AM31)))),2,false),0,1)))"),"")</f>
        <v/>
      </c>
    </row>
    <row r="32">
      <c r="A32" s="26">
        <v>31.0</v>
      </c>
      <c r="B32" s="26">
        <v>3.0</v>
      </c>
      <c r="C32" s="26">
        <v>5.0</v>
      </c>
      <c r="D32" s="132" t="s">
        <v>138</v>
      </c>
      <c r="E32" s="133" t="str">
        <f>if(F32&lt;&gt;"",VLOOKUP(F32,offset('Teams-Conference'!A:B,0,(counta('Draft Order'!B$2:B132)-10)*2),2,0),"")</f>
        <v>MWC</v>
      </c>
      <c r="F32" s="143" t="s">
        <v>304</v>
      </c>
      <c r="G32" s="135" t="str">
        <f t="shared" si="1"/>
        <v/>
      </c>
      <c r="H32" s="122">
        <f t="shared" si="2"/>
        <v>1</v>
      </c>
      <c r="I32" s="122">
        <f t="shared" si="3"/>
        <v>2</v>
      </c>
      <c r="J32" s="122">
        <f t="shared" si="11"/>
        <v>1</v>
      </c>
      <c r="K32" s="122">
        <f t="shared" si="13"/>
        <v>5</v>
      </c>
      <c r="L32" s="122">
        <v>6.0</v>
      </c>
      <c r="M32" s="122">
        <f>IFERROR(__xludf.DUMMYFUNCTION("counta(iferror(filter(L$2:L31,E$2:E31=E32,L$2:L31&lt;L32)))"),0.0)</f>
        <v>0</v>
      </c>
      <c r="N32" s="122">
        <f>IFERROR(__xludf.DUMMYFUNCTION("counta(iferror(filter(L33:L$131,E33:E$131=E32,L33:L$134&gt;L32)))"),0.0)</f>
        <v>0</v>
      </c>
      <c r="O32" s="124">
        <f t="array" ref="O32:Z32">XLOOKUP(F32,'Current Week'!C:C,'Current Week'!D:O)</f>
        <v>6</v>
      </c>
      <c r="P32" s="122">
        <v>6.0</v>
      </c>
      <c r="Q32" s="123" t="s">
        <v>305</v>
      </c>
      <c r="R32" s="125" t="s">
        <v>57</v>
      </c>
      <c r="S32" s="123" t="s">
        <v>148</v>
      </c>
      <c r="T32" s="123"/>
      <c r="U32" s="126"/>
      <c r="V32" s="126"/>
      <c r="W32" s="126"/>
      <c r="X32" s="126"/>
      <c r="Y32" s="126"/>
      <c r="Z32" s="126"/>
      <c r="AA32" s="127">
        <f t="shared" si="4"/>
        <v>-6</v>
      </c>
      <c r="AB32" s="126">
        <f t="shared" si="5"/>
        <v>2</v>
      </c>
      <c r="AC32" s="126">
        <f>IFERROR(__xludf.DUMMYFUNCTION("iferror(COUNT(filter($O33:$O$395,$O33:$O$395&gt;$O32)))"),42.0)</f>
        <v>42</v>
      </c>
      <c r="AD32" s="128">
        <f t="shared" si="6"/>
        <v>0</v>
      </c>
      <c r="AE32" s="129">
        <f t="shared" si="7"/>
        <v>2</v>
      </c>
      <c r="AF32" s="123" t="str">
        <f>IFERROR(__xludf.DUMMYFUNCTION("iferror(join("","",index(sort(filter($F33:$F$396,$O33:$O$396&gt;$O32),2,false),0,1)))"),"San José State,Notre Dame,Texas,Oklahoma State,NC State,TCU,Washington,Pittsburgh,East Carolina,North Carolina,SMU,Kentucky,Tulane,North Texas,Wake Forest,Oregon State,Troy,Penn State,Liberty,James Madison,EMU,Wyoming,Florida State,Middle Tennessee,Kansas"&amp;" State,Texas Tech,Washington State,Minnesota,South Alabama,Louisville,Iowa,Purdue,Ole Miss,Maryland,Syracuse,Tennessee,Ohio,Mississippi State,LSU,Illinois,South Carolina,Duke")</f>
        <v>San José State,Notre Dame,Texas,Oklahoma State,NC State,TCU,Washington,Pittsburgh,East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32" s="127">
        <f>IFERROR(__xludf.DUMMYFUNCTION("iferror($O32-max(filter($O32:$O$395,$E32:$E$395=$E$2)))"),-4.0)</f>
        <v>-4</v>
      </c>
      <c r="AH32" s="126">
        <f t="shared" si="8"/>
        <v>0</v>
      </c>
      <c r="AI32" s="126">
        <f>IFERROR(__xludf.DUMMYFUNCTION("iferror(COUNT(filter($O33:$O$395,$O33:$O$395&gt;$O32,$E32:$E$395=$E$2)))"),0.0)</f>
        <v>0</v>
      </c>
      <c r="AJ32" s="128">
        <f t="shared" si="9"/>
        <v>0</v>
      </c>
      <c r="AK32" s="129">
        <f>IFERROR(__xludf.DUMMYFUNCTION("iferror($O32-min(filter($O32:$O$395,$E32:$E$395=$E$2)))"),5.0)</f>
        <v>5</v>
      </c>
      <c r="AL32" s="123" t="str">
        <f>IFERROR(__xludf.DUMMYFUNCTION("iferror(join("","",index(sort(filter($F33:$F$395,$O33:$O$395&gt;$O32,$E33:$E$395=$E$2),2,false),0,1)))"),"Penn State,Minnesota,Iowa,Purdue,Maryland,Illinois")</f>
        <v>Penn State,Minnesota,Iowa,Purdue,Maryland,Illinois</v>
      </c>
      <c r="AM32" s="123" t="str">
        <f>IFERROR(__xludf.DUMMYFUNCTION("REGEXREPLACE(join("","",unique({let(conf_picked,filter(E$1:E31,D$1:D31=D32), byrow(unique(TRANSPOSe(Teams!$1:$1)),lambda(rw,if(ISERROR(match(rw,conf_picked,0)),rw,))));iferror(if(#REF!,,transpose(split(#REF!,"","",1,1))))})), ""^,"", """")"),"ACC,Big 12,Big Ten,Pac12,MAC,MWC,SEC,Sun Belt")</f>
        <v>ACC,Big 12,Big Ten,Pac12,MAC,MWC,SEC,Sun Belt</v>
      </c>
      <c r="AN32" s="127">
        <f>IFERROR(__xludf.DUMMYFUNCTION("iferror($O32-max(filter($O32:$O$395,arrayformula(isnumber(FIND($E32:$E$395,AM32))))))"),-6.0)</f>
        <v>-6</v>
      </c>
      <c r="AO32" s="126">
        <f t="array" ref="AO32">countifs($O$2:$O31,"&lt;"&amp;$O32,isnumber(FIND($E$2:$E31,AM32)),TRUE)</f>
        <v>2</v>
      </c>
      <c r="AP32" s="126">
        <f>IFERROR(__xludf.DUMMYFUNCTION("iferror(COUNT(filter($O33:$O$395,$O33:$O$395&gt;$O32,arrayformula(isnumber(FIND($E33:$E$395,AM32))))))"),37.0)</f>
        <v>37</v>
      </c>
      <c r="AQ32" s="128">
        <f t="shared" si="10"/>
        <v>0</v>
      </c>
      <c r="AR32" s="129">
        <f>IFERROR(__xludf.DUMMYFUNCTION("$O32-min(filter($O32:$O$395,arrayformula(isnumber(FIND($E32:$E$395,AM32)))))"),5.0)</f>
        <v>5</v>
      </c>
      <c r="AS32" s="123" t="str">
        <f>IFERROR(__xludf.DUMMYFUNCTION("iferror(join("","",index(sort(filter($F33:$F$395,$O33:$O$395&gt;$O32,arrayformula(isnumber(FIND($E33:$E$395,AM32)))),2,false),0,1)))"),"San José State,Notre Dame,Texas,Oklahoma State,NC State,TCU,Washington,Pittsburgh,North Carolina,Kentucky,Wake Forest,Oregon State,Troy,Penn State,Liberty,James Madison,EMU,Wyoming,Florida State,Kansas State,Texas Tech,Washington State,Minnesota,South Ala"&amp;"bama,Louisville,Iowa,Purdue,Ole Miss,Maryland,Syracuse,Tennessee,Ohio,Mississippi State,LSU,Illinois,South Carolina,Duke")</f>
        <v>San José State,Notre Dame,Texas,Oklahoma State,NC State,TCU,Washington,Pittsburgh,North Carolina,Kentucky,Wake Forest,Oregon State,Troy,Penn State,Liberty,James Madison,EMU,Wyoming,Florida State,Kansas State,Texas Tech,Washington State,Minnesota,South Alabama,Louisville,Iowa,Purdue,Ole Miss,Maryland,Syracuse,Tennessee,Ohio,Mississippi State,LSU,Illinois,South Carolina,Duke</v>
      </c>
    </row>
    <row r="33">
      <c r="A33" s="26">
        <v>32.0</v>
      </c>
      <c r="B33" s="26">
        <v>3.0</v>
      </c>
      <c r="C33" s="26">
        <v>6.0</v>
      </c>
      <c r="D33" s="132" t="s">
        <v>141</v>
      </c>
      <c r="E33" s="133" t="str">
        <f>if(F33&lt;&gt;"",VLOOKUP(F33,offset('Teams-Conference'!A:B,0,(counta('Draft Order'!B$2:B132)-10)*2),2,0),"")</f>
        <v>MWC</v>
      </c>
      <c r="F33" s="138" t="s">
        <v>349</v>
      </c>
      <c r="G33" s="135" t="str">
        <f t="shared" si="1"/>
        <v/>
      </c>
      <c r="H33" s="122">
        <f t="shared" si="2"/>
        <v>0</v>
      </c>
      <c r="I33" s="122">
        <f t="shared" si="3"/>
        <v>1</v>
      </c>
      <c r="J33" s="122">
        <f t="shared" si="11"/>
        <v>2</v>
      </c>
      <c r="K33" s="122">
        <f t="shared" si="13"/>
        <v>2</v>
      </c>
      <c r="L33" s="122">
        <v>7.0</v>
      </c>
      <c r="M33" s="122">
        <f>IFERROR(__xludf.DUMMYFUNCTION("counta(iferror(filter(L$2:L32,E$2:E32=E33,L$2:L32&lt;L33)))"),1.0)</f>
        <v>1</v>
      </c>
      <c r="N33" s="122">
        <f>IFERROR(__xludf.DUMMYFUNCTION("counta(iferror(filter(L34:L$131,E34:E$131=E33,L34:L$134&gt;L33)))"),0.0)</f>
        <v>0</v>
      </c>
      <c r="O33" s="124">
        <f t="array" ref="O33:Z33">XLOOKUP(F33,'Current Week'!C:C,'Current Week'!D:O)</f>
        <v>7</v>
      </c>
      <c r="P33" s="122">
        <v>4.0</v>
      </c>
      <c r="Q33" s="123" t="s">
        <v>350</v>
      </c>
      <c r="R33" s="123" t="s">
        <v>57</v>
      </c>
      <c r="S33" s="123" t="s">
        <v>166</v>
      </c>
      <c r="T33" s="123"/>
      <c r="U33" s="123"/>
      <c r="V33" s="123"/>
      <c r="W33" s="123"/>
      <c r="X33" s="123"/>
      <c r="Y33" s="126"/>
      <c r="Z33" s="126"/>
      <c r="AA33" s="127">
        <f t="shared" si="4"/>
        <v>-5</v>
      </c>
      <c r="AB33" s="126">
        <f t="shared" si="5"/>
        <v>9</v>
      </c>
      <c r="AC33" s="126">
        <f>IFERROR(__xludf.DUMMYFUNCTION("iferror(COUNT(filter($O34:$O$395,$O34:$O$395&gt;$O33)))"),27.0)</f>
        <v>27</v>
      </c>
      <c r="AD33" s="128">
        <f t="shared" si="6"/>
        <v>0</v>
      </c>
      <c r="AE33" s="129">
        <f t="shared" si="7"/>
        <v>3</v>
      </c>
      <c r="AF33" s="123" t="str">
        <f>IFERROR(__xludf.DUMMYFUNCTION("iferror(join("","",index(sort(filter($F34:$F$396,$O34:$O$396&gt;$O33),2,false),0,1)))"),"Notre Dame,Texas,NC State,TCU,Washington,Pittsburgh,North Carolina,Tulane,Oregon State,Troy,Penn State,Liberty,James Madison,EMU,Florida State,Kansas State,Minnesota,South Alabama,Purdue,Ole Miss,Tennessee,Ohio,Mississippi State,LSU,Illinois,South Carolin"&amp;"a,Duke")</f>
        <v>Notre Dame,Texas,NC State,TCU,Washington,Pittsburgh,North Carolina,Tulane,Oregon State,Troy,Penn State,Liberty,James Madison,EMU,Florida State,Kansas State,Minnesota,South Alabama,Purdue,Ole Miss,Tennessee,Ohio,Mississippi State,LSU,Illinois,South Carolina,Duke</v>
      </c>
      <c r="AG33" s="127">
        <f>IFERROR(__xludf.DUMMYFUNCTION("iferror($O33-max(filter($O33:$O$395,$E33:$E$395=$E$2)))"),-3.0)</f>
        <v>-3</v>
      </c>
      <c r="AH33" s="126">
        <f t="shared" si="8"/>
        <v>0</v>
      </c>
      <c r="AI33" s="126">
        <f>IFERROR(__xludf.DUMMYFUNCTION("iferror(COUNT(filter($O34:$O$395,$O34:$O$395&gt;$O33,$E33:$E$395=$E$2)))"),0.0)</f>
        <v>0</v>
      </c>
      <c r="AJ33" s="128">
        <f t="shared" si="9"/>
        <v>0</v>
      </c>
      <c r="AK33" s="129">
        <f>IFERROR(__xludf.DUMMYFUNCTION("iferror($O33-min(filter($O33:$O$395,$E33:$E$395=$E$2)))"),6.0)</f>
        <v>6</v>
      </c>
      <c r="AL33" s="123" t="str">
        <f>IFERROR(__xludf.DUMMYFUNCTION("iferror(join("","",index(sort(filter($F34:$F$395,$O34:$O$395&gt;$O33,$E34:$E$395=$E$2),2,false),0,1)))"),"Penn State,Minnesota,Purdue,Illinois")</f>
        <v>Penn State,Minnesota,Purdue,Illinois</v>
      </c>
      <c r="AM33" s="123" t="str">
        <f>IFERROR(__xludf.DUMMYFUNCTION("REGEXREPLACE(join("","",unique({let(conf_picked,filter(E$1:E32,D$1:D32=D33), byrow(unique(TRANSPOSe(Teams!$1:$1)),lambda(rw,if(ISERROR(match(rw,conf_picked,0)),rw,))));iferror(if(#REF!,,transpose(split(#REF!,"","",1,1))))})), ""^,"", """")"),"AAC,ACC,,Big Ten,Pac12,CUSA,MAC,MWC,Sun Belt")</f>
        <v>AAC,ACC,,Big Ten,Pac12,CUSA,MAC,MWC,Sun Belt</v>
      </c>
      <c r="AN33" s="127">
        <f>IFERROR(__xludf.DUMMYFUNCTION("iferror($O33-max(filter($O33:$O$395,arrayformula(isnumber(FIND($E33:$E$395,AM33))))))"),-3.0)</f>
        <v>-3</v>
      </c>
      <c r="AO33" s="126">
        <f t="array" ref="AO33">countifs($O$2:$O32,"&lt;"&amp;$O33,isnumber(FIND($E$2:$E32,AM33)),TRUE)</f>
        <v>8</v>
      </c>
      <c r="AP33" s="126">
        <f>IFERROR(__xludf.DUMMYFUNCTION("iferror(COUNT(filter($O34:$O$395,$O34:$O$395&gt;$O33,arrayformula(isnumber(FIND($E34:$E$395,AM33))))))"),18.0)</f>
        <v>18</v>
      </c>
      <c r="AQ33" s="128">
        <f t="shared" si="10"/>
        <v>0</v>
      </c>
      <c r="AR33" s="129">
        <f>IFERROR(__xludf.DUMMYFUNCTION("$O33-min(filter($O33:$O$395,arrayformula(isnumber(FIND($E33:$E$395,AM33)))))"),6.0)</f>
        <v>6</v>
      </c>
      <c r="AS33" s="123" t="str">
        <f>IFERROR(__xludf.DUMMYFUNCTION("iferror(join("","",index(sort(filter($F34:$F$395,$O34:$O$395&gt;$O33,arrayformula(isnumber(FIND($E34:$E$395,AM33)))),2,false),0,1)))"),"NC State,Washington,Pittsburgh,North Carolina,Tulane,Oregon State,Troy,Penn State,Liberty,James Madison,EMU,Florida State,Minnesota,South Alabama,Purdue,Ohio,Illinois,Duke")</f>
        <v>NC State,Washington,Pittsburgh,North Carolina,Tulane,Oregon State,Troy,Penn State,Liberty,James Madison,EMU,Florida State,Minnesota,South Alabama,Purdue,Ohio,Illinois,Duke</v>
      </c>
    </row>
    <row r="34">
      <c r="A34" s="26">
        <v>33.0</v>
      </c>
      <c r="B34" s="26">
        <v>3.0</v>
      </c>
      <c r="C34" s="26">
        <v>7.0</v>
      </c>
      <c r="D34" s="132" t="s">
        <v>109</v>
      </c>
      <c r="E34" s="133" t="str">
        <f>if(F34&lt;&gt;"",VLOOKUP(F34,offset('Teams-Conference'!A:B,0,(counta('Draft Order'!B$2:B132)-10)*2),2,0),"")</f>
        <v>Big 12</v>
      </c>
      <c r="F34" s="143" t="s">
        <v>400</v>
      </c>
      <c r="G34" s="135" t="str">
        <f t="shared" si="1"/>
        <v/>
      </c>
      <c r="H34" s="122">
        <f t="shared" si="2"/>
        <v>4</v>
      </c>
      <c r="I34" s="122">
        <f t="shared" si="3"/>
        <v>4</v>
      </c>
      <c r="J34" s="122">
        <f t="shared" si="11"/>
        <v>1</v>
      </c>
      <c r="K34" s="122">
        <f>countif(E15:E34,E36)</f>
        <v>3</v>
      </c>
      <c r="L34" s="122">
        <v>8.0</v>
      </c>
      <c r="M34" s="122">
        <f>IFERROR(__xludf.DUMMYFUNCTION("counta(iferror(filter(L$2:L33,E$2:E33=E34,L$2:L33&lt;L34)))"),2.0)</f>
        <v>2</v>
      </c>
      <c r="N34" s="122">
        <f>IFERROR(__xludf.DUMMYFUNCTION("counta(iferror(filter(L36:L$131,E36:E$131=E34,L36:L$134&gt;L34)))"),0.0)</f>
        <v>0</v>
      </c>
      <c r="O34" s="124">
        <f t="array" ref="O34:Z34">XLOOKUP(F34,'Current Week'!C:C,'Current Week'!D:O)</f>
        <v>8</v>
      </c>
      <c r="P34" s="122">
        <v>4.0</v>
      </c>
      <c r="Q34" s="123" t="s">
        <v>408</v>
      </c>
      <c r="R34" s="123" t="s">
        <v>183</v>
      </c>
      <c r="S34" s="123" t="s">
        <v>116</v>
      </c>
      <c r="T34" s="123" t="s">
        <v>58</v>
      </c>
      <c r="U34" s="123"/>
      <c r="V34" s="123"/>
      <c r="W34" s="123"/>
      <c r="X34" s="123"/>
      <c r="Y34" s="126"/>
      <c r="Z34" s="126"/>
      <c r="AA34" s="127">
        <f t="shared" si="4"/>
        <v>-4</v>
      </c>
      <c r="AB34" s="126">
        <f t="shared" si="5"/>
        <v>14</v>
      </c>
      <c r="AC34" s="126">
        <f>IFERROR(__xludf.DUMMYFUNCTION("iferror(COUNT(filter($O35:$O$395,$O35:$O$395&gt;$O34)))"),13.0)</f>
        <v>13</v>
      </c>
      <c r="AD34" s="128">
        <f t="shared" si="6"/>
        <v>0</v>
      </c>
      <c r="AE34" s="129">
        <f t="shared" si="7"/>
        <v>4</v>
      </c>
      <c r="AF34" s="123" t="str">
        <f>IFERROR(__xludf.DUMMYFUNCTION("iferror(join("","",index(sort(filter($F35:$F$396,$O35:$O$396&gt;$O34),2,false),0,1)))"),"TCU,Washington,North Carolina,Tulane,Oregon State,Troy,Penn State,Florida State,Kansas State,South Alabama,Tennessee,Ohio,LSU")</f>
        <v>TCU,Washington,North Carolina,Tulane,Oregon State,Troy,Penn State,Florida State,Kansas State,South Alabama,Tennessee,Ohio,LSU</v>
      </c>
      <c r="AG34" s="127">
        <f>IFERROR(__xludf.DUMMYFUNCTION("iferror($O34-max(filter($O34:$O$395,$E34:$E$395=$E$2)))"),-2.0)</f>
        <v>-2</v>
      </c>
      <c r="AH34" s="126">
        <f t="shared" si="8"/>
        <v>0</v>
      </c>
      <c r="AI34" s="126">
        <f>IFERROR(__xludf.DUMMYFUNCTION("iferror(COUNT(filter($O35:$O$395,$O35:$O$395&gt;$O34,$E34:$E$395=$E$2)))"),0.0)</f>
        <v>0</v>
      </c>
      <c r="AJ34" s="128">
        <f t="shared" si="9"/>
        <v>0</v>
      </c>
      <c r="AK34" s="129">
        <f>IFERROR(__xludf.DUMMYFUNCTION("iferror($O34-min(filter($O34:$O$395,$E34:$E$395=$E$2)))"),7.0)</f>
        <v>7</v>
      </c>
      <c r="AL34" s="123" t="str">
        <f>IFERROR(__xludf.DUMMYFUNCTION("iferror(join("","",index(sort(filter($F35:$F$395,$O35:$O$395&gt;$O34,$E35:$E$395=$E$2),2,false),0,1)))"),"Penn State")</f>
        <v>Penn State</v>
      </c>
      <c r="AM34" s="123" t="str">
        <f>IFERROR(__xludf.DUMMYFUNCTION("REGEXREPLACE(join("","",unique({let(conf_picked,filter(E$1:E33,D$1:D33=D34), byrow(unique(TRANSPOSe(Teams!$1:$1)),lambda(rw,if(ISERROR(match(rw,conf_picked,0)),rw,))));iferror(if(#REF!,,transpose(split(#REF!,"","",1,1))))})), ""^,"", """")"),"ACC,Big 12,Big Ten,Pac12,CUSA,MAC,MWC,SEC")</f>
        <v>ACC,Big 12,Big Ten,Pac12,CUSA,MAC,MWC,SEC</v>
      </c>
      <c r="AN34" s="127">
        <f>IFERROR(__xludf.DUMMYFUNCTION("iferror($O34-max(filter($O34:$O$395,arrayformula(isnumber(FIND($E34:$E$395,AM34))))))"),-4.0)</f>
        <v>-4</v>
      </c>
      <c r="AO34" s="126">
        <f t="array" ref="AO34">countifs($O$2:$O33,"&lt;"&amp;$O34,isnumber(FIND($E$2:$E33,AM34)),TRUE)</f>
        <v>9</v>
      </c>
      <c r="AP34" s="126">
        <f>IFERROR(__xludf.DUMMYFUNCTION("iferror(COUNT(filter($O35:$O$395,$O35:$O$395&gt;$O34,arrayformula(isnumber(FIND($E35:$E$395,AM34))))))"),10.0)</f>
        <v>10</v>
      </c>
      <c r="AQ34" s="128">
        <f t="shared" si="10"/>
        <v>0</v>
      </c>
      <c r="AR34" s="129">
        <f>IFERROR(__xludf.DUMMYFUNCTION("$O34-min(filter($O34:$O$395,arrayformula(isnumber(FIND($E34:$E$395,AM34)))))"),7.0)</f>
        <v>7</v>
      </c>
      <c r="AS34" s="123" t="str">
        <f>IFERROR(__xludf.DUMMYFUNCTION("iferror(join("","",index(sort(filter($F35:$F$395,$O35:$O$395&gt;$O34,arrayformula(isnumber(FIND($E35:$E$395,AM34)))),2,false),0,1)))"),"TCU,Washington,North Carolina,Oregon State,Penn State,Florida State,Kansas State,Tennessee,Ohio,LSU")</f>
        <v>TCU,Washington,North Carolina,Oregon State,Penn State,Florida State,Kansas State,Tennessee,Ohio,LSU</v>
      </c>
    </row>
    <row r="35">
      <c r="A35" s="26">
        <v>35.0</v>
      </c>
      <c r="B35" s="26">
        <v>3.0</v>
      </c>
      <c r="C35" s="26">
        <v>8.0</v>
      </c>
      <c r="D35" s="132" t="s">
        <v>144</v>
      </c>
      <c r="E35" s="133" t="str">
        <f>if(F35&lt;&gt;"",VLOOKUP(F35,offset('Teams-Conference'!A:B,0,(counta('Draft Order'!B$2:B132)-10)*2),2,0),"")</f>
        <v>ACC</v>
      </c>
      <c r="F35" s="146" t="s">
        <v>357</v>
      </c>
      <c r="G35" s="135" t="str">
        <f>if(F35&lt;&gt;"",if(match(F35,F:F,0)&lt;ROW(F35),"ERROR: Team already selected in row " &amp; ROW(F35)&amp;".  ","")&amp;if(COUNTIFS(E:E,"="&amp;E35,D:D,"="&amp;D35)&gt;1,"ERROR: Player picked from conference more than once.",if(F36="","ERROR: Previous pick is blank","")),"")</f>
        <v/>
      </c>
      <c r="H35" s="122">
        <f t="shared" si="2"/>
        <v>2</v>
      </c>
      <c r="I35" s="122">
        <f t="shared" si="3"/>
        <v>5</v>
      </c>
      <c r="J35" s="122">
        <f t="shared" si="11"/>
        <v>0</v>
      </c>
      <c r="K35" s="122">
        <f>countif(E17:E36,E37)</f>
        <v>4</v>
      </c>
      <c r="L35" s="122">
        <v>5.0</v>
      </c>
      <c r="M35" s="122">
        <f>IFERROR(__xludf.DUMMYFUNCTION("counta(iferror(filter(L$2:L36,E$2:E36=E35,L$2:L36&lt;L35)))"),0.0)</f>
        <v>0</v>
      </c>
      <c r="N35" s="122">
        <f>IFERROR(__xludf.DUMMYFUNCTION("counta(iferror(filter(L37:L$131,E37:E$131=E35,L37:L$134&gt;L35)))"),0.0)</f>
        <v>0</v>
      </c>
      <c r="O35" s="124">
        <f t="array" ref="O35:Z35">XLOOKUP(F35,'Current Week'!C:C,'Current Week'!D:O)</f>
        <v>5</v>
      </c>
      <c r="P35" s="122">
        <v>7.0</v>
      </c>
      <c r="Q35" s="123" t="s">
        <v>417</v>
      </c>
      <c r="R35" s="123" t="s">
        <v>183</v>
      </c>
      <c r="S35" s="123" t="s">
        <v>166</v>
      </c>
      <c r="T35" s="123" t="s">
        <v>97</v>
      </c>
      <c r="U35" s="123"/>
      <c r="V35" s="123"/>
      <c r="W35" s="123"/>
      <c r="X35" s="123"/>
      <c r="Y35" s="126"/>
      <c r="Z35" s="126"/>
      <c r="AA35" s="127">
        <f t="shared" si="4"/>
        <v>-7</v>
      </c>
      <c r="AB35" s="126">
        <f t="shared" si="5"/>
        <v>1</v>
      </c>
      <c r="AC35" s="126">
        <f>IFERROR(__xludf.DUMMYFUNCTION("iferror(COUNT(filter($O36:$O$395,$O36:$O$395&gt;$O35)))"),52.0)</f>
        <v>52</v>
      </c>
      <c r="AD35" s="128">
        <f t="shared" si="6"/>
        <v>0</v>
      </c>
      <c r="AE35" s="129">
        <f t="shared" si="7"/>
        <v>1</v>
      </c>
      <c r="AF35" s="123" t="str">
        <f>IFERROR(__xludf.DUMMYFUNCTION("iferror(join("","",index(sort(filter($F36:$F$396,$O36:$O$396&gt;$O35),2,false),0,1)))"),"Texas,Oklahoma State,NC State,Baylor,TCU,Washington,Pittsburgh,East Carolina,North Carolina,SMU,Kentucky,Tulane,North Texas,Wisconsin,Wake Forest,Oregon State,Troy,Penn State,Southern Mississippi,Liberty,James Madison,EMU,Wyoming,Florida State,Middle Tenn"&amp;"essee,Arkansas,Kansas State,Texas Tech,Washington State,Minnesota,South Alabama,Louisville,Iowa,Purdue,Ole Miss,Maryland,Florida,Buffalo,Syracuse,Georgia Southern,Tennessee,Ohio,Kansas,Mississippi State,LSU,Illinois,Bowling Green,South Carolina,New Mexico"&amp;" State,UConn,Missouri,Duke")</f>
        <v>Texas,Oklahoma State,NC State,Baylor,TCU,Washington,Pittsburgh,East Carolina,North Carolina,SMU,Kentucky,Tulane,North Texas,Wisconsin,Wake Forest,Oregon State,Troy,Penn State,Southern Mississippi,Liberty,James Madison,EMU,Wyoming,Florida State,Middle Tennessee,Arkansas,Kansas State,Texas Tech,Washington State,Minnesota,South Alabama,Louisville,Iowa,Purdue,Ole Miss,Maryland,Florida,Buffalo,Syracuse,Georgia Southern,Tennessee,Ohio,Kansas,Mississippi State,LSU,Illinois,Bowling Green,South Carolina,New Mexico State,UConn,Missouri,Duke</v>
      </c>
      <c r="AG35" s="127">
        <f>IFERROR(__xludf.DUMMYFUNCTION("iferror($O35-max(filter($O35:$O$395,$E35:$E$395=$E$2)))"),-5.0)</f>
        <v>-5</v>
      </c>
      <c r="AH35" s="126">
        <f t="shared" si="8"/>
        <v>0</v>
      </c>
      <c r="AI35" s="126">
        <f>IFERROR(__xludf.DUMMYFUNCTION("iferror(COUNT(filter($O36:$O$395,$O36:$O$395&gt;$O35,$E35:$E$395=$E$2)))"),0.0)</f>
        <v>0</v>
      </c>
      <c r="AJ35" s="128">
        <f t="shared" si="9"/>
        <v>0</v>
      </c>
      <c r="AK35" s="129">
        <f>IFERROR(__xludf.DUMMYFUNCTION("iferror($O35-min(filter($O35:$O$395,$E35:$E$395=$E$2)))"),4.0)</f>
        <v>4</v>
      </c>
      <c r="AL35" s="123" t="str">
        <f>IFERROR(__xludf.DUMMYFUNCTION("iferror(join("","",index(sort(filter($F36:$F$395,$O36:$O$395&gt;$O35,$E36:$E$395=$E$2),2,false),0,1)))"),"Wisconsin,Penn State,Minnesota,Iowa,Purdue,Maryland,Illinois")</f>
        <v>Wisconsin,Penn State,Minnesota,Iowa,Purdue,Maryland,Illinois</v>
      </c>
      <c r="AM35" s="123" t="str">
        <f>IFERROR(__xludf.DUMMYFUNCTION("REGEXREPLACE(join("","",unique({let(conf_picked,filter(E$1:E34,D$1:D34=D35), byrow(unique(TRANSPOSe(Teams!$1:$1)),lambda(rw,if(ISERROR(match(rw,conf_picked,0)),rw,))));iferror(if(#REF!,,transpose(split(#REF!,"","",1,1))))})), ""^,"", """")"),"AAC,ACC,Big 12,Big Ten,Pac12,CUSA,MAC,,SEC")</f>
        <v>AAC,ACC,Big 12,Big Ten,Pac12,CUSA,MAC,,SEC</v>
      </c>
      <c r="AN35" s="127">
        <f>IFERROR(__xludf.DUMMYFUNCTION("iferror($O35-max(filter($O35:$O$395,arrayformula(isnumber(FIND($E35:$E$395,AM35))))))"),-7.0)</f>
        <v>-7</v>
      </c>
      <c r="AO35" s="126">
        <f t="array" ref="AO35">countifs($O$2:$O34,"&lt;"&amp;$O35,isnumber(FIND($E$2:$E34,AM35)),TRUE)</f>
        <v>1</v>
      </c>
      <c r="AP35" s="126">
        <f>IFERROR(__xludf.DUMMYFUNCTION("iferror(COUNT(filter($O36:$O$395,$O36:$O$395&gt;$O35,arrayformula(isnumber(FIND($E36:$E$395,AM35))))))"),46.0)</f>
        <v>46</v>
      </c>
      <c r="AQ35" s="128">
        <f t="shared" si="10"/>
        <v>0</v>
      </c>
      <c r="AR35" s="129">
        <f>IFERROR(__xludf.DUMMYFUNCTION("$O35-min(filter($O35:$O$395,arrayformula(isnumber(FIND($E35:$E$395,AM35)))))"),4.0)</f>
        <v>4</v>
      </c>
      <c r="AS35" s="123" t="str">
        <f>IFERROR(__xludf.DUMMYFUNCTION("iferror(join("","",index(sort(filter($F36:$F$395,$O36:$O$395&gt;$O35,arrayformula(isnumber(FIND($E36:$E$395,AM35)))),2,false),0,1)))"),"Texas,Oklahoma State,NC State,Baylor,TCU,Washington,Pittsburgh,East Carolina,North Carolina,SMU,Kentucky,Tulane,North Texas,Wisconsin,Wake Forest,Oregon State,Penn State,Southern Mississippi,Liberty,EMU,Florida State,Middle Tennessee,Arkansas,Kansas State"&amp;",Texas Tech,Washington State,Minnesota,Louisville,Iowa,Purdue,Ole Miss,Maryland,Florida,Buffalo,Syracuse,Tennessee,Ohio,Kansas,Mississippi State,LSU,Illinois,Bowling Green,South Carolina,UConn,Missouri,Duke")</f>
        <v>Texas,Oklahoma State,NC State,Baylor,TCU,Washington,Pittsburgh,East Carolina,North Carolina,SMU,Kentucky,Tulane,North Texas,Wisconsin,Wake Forest,Oregon State,Penn State,Southern Mississippi,Liberty,EMU,Florida State,Middle Tennessee,Arkansas,Kansas State,Texas Tech,Washington State,Minnesota,Louisville,Iowa,Purdue,Ole Miss,Maryland,Florida,Buffalo,Syracuse,Tennessee,Ohio,Kansas,Mississippi State,LSU,Illinois,Bowling Green,South Carolina,UConn,Missouri,Duke</v>
      </c>
    </row>
    <row r="36">
      <c r="A36" s="26">
        <v>34.0</v>
      </c>
      <c r="B36" s="26">
        <v>3.0</v>
      </c>
      <c r="C36" s="26">
        <v>9.0</v>
      </c>
      <c r="D36" s="132" t="s">
        <v>166</v>
      </c>
      <c r="E36" s="133" t="str">
        <f>if(F36&lt;&gt;"",VLOOKUP(F36,offset('Teams-Conference'!A:B,0,(counta('Draft Order'!B$2:B132)-10)*2),2,0),"")</f>
        <v>Big 12</v>
      </c>
      <c r="F36" s="143" t="s">
        <v>364</v>
      </c>
      <c r="G36" s="135" t="str">
        <f t="shared" ref="G36:G37" si="14">if(F36&lt;&gt;"",if(match(F36,F:F,0)&lt;ROW(F36),"ERROR: Team already selected in row " &amp; ROW(F36)&amp;".  ","")&amp;if(COUNTIFS(E:E,"="&amp;E36,D:D,"="&amp;D36)&gt;1,"ERROR: Player picked from conference more than once.",if(F34="","ERROR: Previous pick is blank","")),"")</f>
        <v/>
      </c>
      <c r="H36" s="122">
        <f t="shared" si="2"/>
        <v>3</v>
      </c>
      <c r="I36" s="122">
        <f t="shared" si="3"/>
        <v>3</v>
      </c>
      <c r="J36" s="122">
        <f t="shared" si="11"/>
        <v>2</v>
      </c>
      <c r="K36" s="122">
        <f>countif(E16:E36,E35)</f>
        <v>1</v>
      </c>
      <c r="L36" s="122">
        <v>8.0</v>
      </c>
      <c r="M36" s="122">
        <f>IFERROR(__xludf.DUMMYFUNCTION("counta(iferror(filter(L$2:L34,E$2:E34=E36,L$2:L34&lt;L36)))"),2.0)</f>
        <v>2</v>
      </c>
      <c r="N36" s="122">
        <f>IFERROR(__xludf.DUMMYFUNCTION("counta(iferror(filter(L35:L$131,E35:E$131=E36,L35:L$134&gt;L36)))"),0.0)</f>
        <v>0</v>
      </c>
      <c r="O36" s="124">
        <f t="array" ref="O36:Z36">XLOOKUP(F36,'Current Week'!C:C,'Current Week'!D:O)</f>
        <v>8</v>
      </c>
      <c r="P36" s="122">
        <v>4.0</v>
      </c>
      <c r="Q36" s="123" t="s">
        <v>419</v>
      </c>
      <c r="R36" s="123" t="s">
        <v>57</v>
      </c>
      <c r="S36" s="123" t="s">
        <v>154</v>
      </c>
      <c r="T36" s="123"/>
      <c r="U36" s="123"/>
      <c r="V36" s="123"/>
      <c r="W36" s="123"/>
      <c r="X36" s="123"/>
      <c r="Y36" s="126"/>
      <c r="Z36" s="126"/>
      <c r="AA36" s="127">
        <f t="shared" si="4"/>
        <v>-4</v>
      </c>
      <c r="AB36" s="126">
        <f t="shared" si="5"/>
        <v>15</v>
      </c>
      <c r="AC36" s="126">
        <f>IFERROR(__xludf.DUMMYFUNCTION("iferror(COUNT(filter($O37:$O$395,$O37:$O$395&gt;$O36)))"),13.0)</f>
        <v>13</v>
      </c>
      <c r="AD36" s="128">
        <f t="shared" si="6"/>
        <v>0</v>
      </c>
      <c r="AE36" s="129">
        <f t="shared" si="7"/>
        <v>4</v>
      </c>
      <c r="AF36" s="123" t="str">
        <f>IFERROR(__xludf.DUMMYFUNCTION("iferror(join("","",index(sort(filter($F37:$F$396,$O37:$O$396&gt;$O36),2,false),0,1)))"),"TCU,Washington,North Carolina,Tulane,Oregon State,Troy,Penn State,Florida State,Kansas State,South Alabama,Tennessee,Ohio,LSU")</f>
        <v>TCU,Washington,North Carolina,Tulane,Oregon State,Troy,Penn State,Florida State,Kansas State,South Alabama,Tennessee,Ohio,LSU</v>
      </c>
      <c r="AG36" s="127">
        <f>IFERROR(__xludf.DUMMYFUNCTION("iferror($O36-max(filter($O36:$O$395,$E36:$E$395=$E$2)))"),-2.0)</f>
        <v>-2</v>
      </c>
      <c r="AH36" s="126">
        <f t="shared" si="8"/>
        <v>0</v>
      </c>
      <c r="AI36" s="126">
        <f>IFERROR(__xludf.DUMMYFUNCTION("iferror(COUNT(filter($O37:$O$395,$O37:$O$395&gt;$O36,$E36:$E$395=$E$2)))"),0.0)</f>
        <v>0</v>
      </c>
      <c r="AJ36" s="128">
        <f t="shared" si="9"/>
        <v>0</v>
      </c>
      <c r="AK36" s="129">
        <f>IFERROR(__xludf.DUMMYFUNCTION("iferror($O36-min(filter($O36:$O$395,$E36:$E$395=$E$2)))"),7.0)</f>
        <v>7</v>
      </c>
      <c r="AL36" s="123" t="str">
        <f>IFERROR(__xludf.DUMMYFUNCTION("iferror(join("","",index(sort(filter($F37:$F$395,$O37:$O$395&gt;$O36,$E37:$E$395=$E$2),2,false),0,1)))"),"Penn State")</f>
        <v>Penn State</v>
      </c>
      <c r="AM36" s="123" t="str">
        <f>IFERROR(__xludf.DUMMYFUNCTION("REGEXREPLACE(join("","",unique({let(conf_picked,filter(E$1:E35,D$1:D35=D36), byrow(unique(TRANSPOSe(Teams!$1:$1)),lambda(rw,if(ISERROR(match(rw,conf_picked,0)),rw,))));iferror(if(#REF!,,transpose(split(#REF!,"","",1,1))))})), ""^,"", """")"),"ACC,Big 12,Big Ten,Pac12,CUSA,MAC,MWC,SEC")</f>
        <v>ACC,Big 12,Big Ten,Pac12,CUSA,MAC,MWC,SEC</v>
      </c>
      <c r="AN36" s="127">
        <f>IFERROR(__xludf.DUMMYFUNCTION("iferror($O36-max(filter($O36:$O$395,arrayformula(isnumber(FIND($E36:$E$395,AM36))))))"),-4.0)</f>
        <v>-4</v>
      </c>
      <c r="AO36" s="126">
        <f t="array" ref="AO36">countifs($O$2:$O35,"&lt;"&amp;$O36,isnumber(FIND($E$2:$E35,AM36)),TRUE)</f>
        <v>10</v>
      </c>
      <c r="AP36" s="126">
        <f>IFERROR(__xludf.DUMMYFUNCTION("iferror(COUNT(filter($O37:$O$395,$O37:$O$395&gt;$O36,arrayformula(isnumber(FIND($E37:$E$395,AM36))))))"),10.0)</f>
        <v>10</v>
      </c>
      <c r="AQ36" s="128">
        <f t="shared" si="10"/>
        <v>0</v>
      </c>
      <c r="AR36" s="129">
        <f>IFERROR(__xludf.DUMMYFUNCTION("$O36-min(filter($O36:$O$395,arrayformula(isnumber(FIND($E36:$E$395,AM36)))))"),7.0)</f>
        <v>7</v>
      </c>
      <c r="AS36" s="123" t="str">
        <f>IFERROR(__xludf.DUMMYFUNCTION("iferror(join("","",index(sort(filter($F37:$F$395,$O37:$O$395&gt;$O36,arrayformula(isnumber(FIND($E37:$E$395,AM36)))),2,false),0,1)))"),"TCU,Washington,North Carolina,Oregon State,Penn State,Florida State,Kansas State,Tennessee,Ohio,LSU")</f>
        <v>TCU,Washington,North Carolina,Oregon State,Penn State,Florida State,Kansas State,Tennessee,Ohio,LSU</v>
      </c>
    </row>
    <row r="37">
      <c r="A37" s="26">
        <v>36.0</v>
      </c>
      <c r="B37" s="26">
        <v>3.0</v>
      </c>
      <c r="C37" s="26">
        <v>10.0</v>
      </c>
      <c r="D37" s="132" t="s">
        <v>116</v>
      </c>
      <c r="E37" s="133" t="str">
        <f>if(F37&lt;&gt;"",VLOOKUP(F37,offset('Teams-Conference'!A:B,0,(counta('Draft Order'!B$2:B132)-10)*2),2,0),"")</f>
        <v>Big 12</v>
      </c>
      <c r="F37" s="143" t="s">
        <v>354</v>
      </c>
      <c r="G37" s="135" t="str">
        <f t="shared" si="14"/>
        <v/>
      </c>
      <c r="H37" s="122">
        <f t="shared" si="2"/>
        <v>2</v>
      </c>
      <c r="I37" s="122">
        <f t="shared" si="3"/>
        <v>2</v>
      </c>
      <c r="J37" s="122">
        <f t="shared" si="11"/>
        <v>3</v>
      </c>
      <c r="K37" s="122">
        <f t="shared" ref="K37:K38" si="15">countif(E18:E37,E38)</f>
        <v>0</v>
      </c>
      <c r="L37" s="122">
        <v>7.0</v>
      </c>
      <c r="M37" s="122">
        <f>IFERROR(__xludf.DUMMYFUNCTION("counta(iferror(filter(L$2:L36,E$2:E36=E37,L$2:L36&lt;L37)))"),1.0)</f>
        <v>1</v>
      </c>
      <c r="N37" s="122">
        <f>IFERROR(__xludf.DUMMYFUNCTION("counta(iferror(filter(L38:L$131,E38:E$131=E37,L38:L$134&gt;L37)))"),0.0)</f>
        <v>0</v>
      </c>
      <c r="O37" s="124">
        <f t="array" ref="O37:Z37">XLOOKUP(F37,'Current Week'!C:C,'Current Week'!D:O)</f>
        <v>7</v>
      </c>
      <c r="P37" s="122">
        <v>5.0</v>
      </c>
      <c r="Q37" s="123" t="s">
        <v>414</v>
      </c>
      <c r="R37" s="123" t="s">
        <v>57</v>
      </c>
      <c r="S37" s="123" t="s">
        <v>144</v>
      </c>
      <c r="T37" s="123"/>
      <c r="U37" s="123"/>
      <c r="V37" s="123"/>
      <c r="W37" s="123"/>
      <c r="X37" s="123"/>
      <c r="Y37" s="126"/>
      <c r="Z37" s="126"/>
      <c r="AA37" s="127">
        <f t="shared" si="4"/>
        <v>-5</v>
      </c>
      <c r="AB37" s="126">
        <f t="shared" si="5"/>
        <v>10</v>
      </c>
      <c r="AC37" s="126">
        <f>IFERROR(__xludf.DUMMYFUNCTION("iferror(COUNT(filter($O38:$O$395,$O38:$O$395&gt;$O37)))"),25.0)</f>
        <v>25</v>
      </c>
      <c r="AD37" s="128">
        <f t="shared" si="6"/>
        <v>0</v>
      </c>
      <c r="AE37" s="129">
        <f t="shared" si="7"/>
        <v>3</v>
      </c>
      <c r="AF37" s="123" t="str">
        <f>IFERROR(__xludf.DUMMYFUNCTION("iferror(join("","",index(sort(filter($F38:$F$396,$O38:$O$396&gt;$O37),2,false),0,1)))"),"NC State,TCU,Washington,Pittsburgh,North Carolina,Tulane,Oregon State,Troy,Penn State,Liberty,James Madison,EMU,Florida State,Kansas State,Minnesota,South Alabama,Purdue,Ole Miss,Tennessee,Ohio,Mississippi State,LSU,Illinois,South Carolina,Duke")</f>
        <v>NC State,TCU,Washington,Pittsburgh,North Carolina,Tulane,Oregon State,Troy,Penn State,Liberty,James Madison,EMU,Florida State,Kansas State,Minnesota,South Alabama,Purdue,Ole Miss,Tennessee,Ohio,Mississippi State,LSU,Illinois,South Carolina,Duke</v>
      </c>
      <c r="AG37" s="127">
        <f>IFERROR(__xludf.DUMMYFUNCTION("iferror($O37-max(filter($O37:$O$395,$E37:$E$395=$E$2)))"),-3.0)</f>
        <v>-3</v>
      </c>
      <c r="AH37" s="126">
        <f t="shared" si="8"/>
        <v>0</v>
      </c>
      <c r="AI37" s="126">
        <f>IFERROR(__xludf.DUMMYFUNCTION("iferror(COUNT(filter($O38:$O$395,$O38:$O$395&gt;$O37,$E37:$E$395=$E$2)))"),0.0)</f>
        <v>0</v>
      </c>
      <c r="AJ37" s="128">
        <f t="shared" si="9"/>
        <v>0</v>
      </c>
      <c r="AK37" s="129">
        <f>IFERROR(__xludf.DUMMYFUNCTION("iferror($O37-min(filter($O37:$O$395,$E37:$E$395=$E$2)))"),6.0)</f>
        <v>6</v>
      </c>
      <c r="AL37" s="123" t="str">
        <f>IFERROR(__xludf.DUMMYFUNCTION("iferror(join("","",index(sort(filter($F38:$F$395,$O38:$O$395&gt;$O37,$E38:$E$395=$E$2),2,false),0,1)))"),"Penn State,Minnesota,Purdue,Illinois")</f>
        <v>Penn State,Minnesota,Purdue,Illinois</v>
      </c>
      <c r="AM37" s="123" t="str">
        <f>IFERROR(__xludf.DUMMYFUNCTION("REGEXREPLACE(join("","",unique({let(conf_picked,filter(E$1:E36,D$1:D36=D37), byrow(unique(TRANSPOSe(Teams!$1:$1)),lambda(rw,if(ISERROR(match(rw,conf_picked,0)),rw,))));iferror(if(#REF!,,transpose(split(#REF!,"","",1,1))))})), ""^,"", """")"),"AAC,ACC,Big 12,Big Ten,,CUSA,MAC,MWC,Sun Belt")</f>
        <v>AAC,ACC,Big 12,Big Ten,,CUSA,MAC,MWC,Sun Belt</v>
      </c>
      <c r="AN37" s="127">
        <f>IFERROR(__xludf.DUMMYFUNCTION("iferror($O37-max(filter($O37:$O$395,arrayformula(isnumber(FIND($E37:$E$395,AM37))))))"),-5.0)</f>
        <v>-5</v>
      </c>
      <c r="AO37" s="126">
        <f t="array" ref="AO37">countifs($O$2:$O36,"&lt;"&amp;$O37,isnumber(FIND($E$2:$E36,AM37)),TRUE)</f>
        <v>10</v>
      </c>
      <c r="AP37" s="126">
        <f>IFERROR(__xludf.DUMMYFUNCTION("iferror(COUNT(filter($O38:$O$395,$O38:$O$395&gt;$O37,arrayformula(isnumber(FIND($E38:$E$395,AM37))))))"),18.0)</f>
        <v>18</v>
      </c>
      <c r="AQ37" s="128">
        <f t="shared" si="10"/>
        <v>0</v>
      </c>
      <c r="AR37" s="129">
        <f>IFERROR(__xludf.DUMMYFUNCTION("$O37-min(filter($O37:$O$395,arrayformula(isnumber(FIND($E37:$E$395,AM37)))))"),6.0)</f>
        <v>6</v>
      </c>
      <c r="AS37" s="123" t="str">
        <f>IFERROR(__xludf.DUMMYFUNCTION("iferror(join("","",index(sort(filter($F38:$F$395,$O38:$O$395&gt;$O37,arrayformula(isnumber(FIND($E38:$E$395,AM37)))),2,false),0,1)))"),"NC State,TCU,Pittsburgh,North Carolina,Tulane,Troy,Penn State,Liberty,James Madison,EMU,Florida State,Kansas State,Minnesota,South Alabama,Purdue,Ohio,Illinois,Duke")</f>
        <v>NC State,TCU,Pittsburgh,North Carolina,Tulane,Troy,Penn State,Liberty,James Madison,EMU,Florida State,Kansas State,Minnesota,South Alabama,Purdue,Ohio,Illinois,Duke</v>
      </c>
    </row>
    <row r="38">
      <c r="A38" s="26">
        <v>37.0</v>
      </c>
      <c r="B38" s="26">
        <v>3.0</v>
      </c>
      <c r="C38" s="26">
        <v>11.0</v>
      </c>
      <c r="D38" s="132" t="s">
        <v>148</v>
      </c>
      <c r="E38" s="133" t="str">
        <f>if(F38&lt;&gt;"",VLOOKUP(F38,offset('Teams-Conference'!A:B,0,(counta('Draft Order'!B$2:B132)-10)*2),2,0),"")</f>
        <v>SEC</v>
      </c>
      <c r="F38" s="143" t="s">
        <v>387</v>
      </c>
      <c r="G38" s="135" t="str">
        <f t="shared" ref="G38:G131" si="16">if(F38&lt;&gt;"",if(match(F38,F:F,0)&lt;ROW(F38),"ERROR: Team already selected in row " &amp; ROW(F38)&amp;".  ","")&amp;if(COUNTIFS(E:E,"="&amp;E38,D:D,"="&amp;D38)&gt;1,"ERROR: Player picked from conference more than once.",if(F37="","ERROR: Previous pick is blank","")),"")</f>
        <v/>
      </c>
      <c r="H38" s="122">
        <f t="shared" si="2"/>
        <v>0</v>
      </c>
      <c r="I38" s="122">
        <f t="shared" si="3"/>
        <v>1</v>
      </c>
      <c r="J38" s="122">
        <f t="shared" si="11"/>
        <v>0</v>
      </c>
      <c r="K38" s="122">
        <f t="shared" si="15"/>
        <v>0</v>
      </c>
      <c r="L38" s="122">
        <v>5.0</v>
      </c>
      <c r="M38" s="122">
        <f>IFERROR(__xludf.DUMMYFUNCTION("counta(iferror(filter(L$2:L37,E$2:E37=E38,L$2:L37&lt;L38)))"),0.0)</f>
        <v>0</v>
      </c>
      <c r="N38" s="122">
        <f>IFERROR(__xludf.DUMMYFUNCTION("counta(iferror(filter(L39:L$131,E39:E$131=E38,L39:L$134&gt;L38)))"),0.0)</f>
        <v>0</v>
      </c>
      <c r="O38" s="124">
        <f t="array" ref="O38:Z38">XLOOKUP(F38,'Current Week'!C:C,'Current Week'!D:O)</f>
        <v>5</v>
      </c>
      <c r="P38" s="122">
        <v>7.0</v>
      </c>
      <c r="Q38" s="123" t="s">
        <v>407</v>
      </c>
      <c r="R38" s="123" t="s">
        <v>57</v>
      </c>
      <c r="S38" s="123" t="s">
        <v>109</v>
      </c>
      <c r="T38" s="123" t="s">
        <v>82</v>
      </c>
      <c r="U38" s="123"/>
      <c r="V38" s="123"/>
      <c r="W38" s="123"/>
      <c r="X38" s="123"/>
      <c r="Y38" s="126"/>
      <c r="Z38" s="126"/>
      <c r="AA38" s="127">
        <f t="shared" si="4"/>
        <v>-7</v>
      </c>
      <c r="AB38" s="126">
        <f t="shared" si="5"/>
        <v>1</v>
      </c>
      <c r="AC38" s="126">
        <f>IFERROR(__xludf.DUMMYFUNCTION("iferror(COUNT(filter($O39:$O$395,$O39:$O$395&gt;$O38)))"),50.0)</f>
        <v>50</v>
      </c>
      <c r="AD38" s="128">
        <f t="shared" si="6"/>
        <v>0</v>
      </c>
      <c r="AE38" s="129">
        <f t="shared" si="7"/>
        <v>1</v>
      </c>
      <c r="AF38" s="123" t="str">
        <f>IFERROR(__xludf.DUMMYFUNCTION("iferror(join("","",index(sort(filter($F39:$F$396,$O39:$O$396&gt;$O38),2,false),0,1)))"),"NC State,Baylor,TCU,Washington,Pittsburgh,East Carolina,North Carolina,SMU,Kentucky,Tulane,North Texas,Wisconsin,Wake Forest,Oregon State,Troy,Penn State,Southern Mississippi,Liberty,James Madison,EMU,Wyoming,Florida State,Middle Tennessee,Arkansas,Kansas"&amp;" State,Texas Tech,Washington State,Minnesota,South Alabama,Louisville,Iowa,Purdue,Ole Miss,Maryland,Florida,Buffalo,Syracuse,Georgia Southern,Tennessee,Ohio,Kansas,Mississippi State,LSU,Illinois,Bowling Green,South Carolina,New Mexico State,UConn,Missouri"&amp;",Duke")</f>
        <v>NC State,Baylor,TCU,Washington,Pittsburgh,East Carolina,North Carolina,SMU,Kentucky,Tulane,North Texas,Wisconsin,Wake Forest,Oregon State,Troy,Penn State,Southern Mississippi,Liberty,James Madison,EMU,Wyoming,Florida State,Middle Tennessee,Arkansas,Kansas State,Texas Tech,Washington State,Minnesota,South Alabama,Louisville,Iowa,Purdue,Ole Miss,Maryland,Florida,Buffalo,Syracuse,Georgia Southern,Tennessee,Ohio,Kansas,Mississippi State,LSU,Illinois,Bowling Green,South Carolina,New Mexico State,UConn,Missouri,Duke</v>
      </c>
      <c r="AG38" s="127">
        <f>IFERROR(__xludf.DUMMYFUNCTION("iferror($O38-max(filter($O38:$O$395,$E38:$E$395=$E$2)))"),-5.0)</f>
        <v>-5</v>
      </c>
      <c r="AH38" s="126">
        <f t="shared" si="8"/>
        <v>0</v>
      </c>
      <c r="AI38" s="126">
        <f>IFERROR(__xludf.DUMMYFUNCTION("iferror(COUNT(filter($O39:$O$395,$O39:$O$395&gt;$O38,$E38:$E$395=$E$2)))"),0.0)</f>
        <v>0</v>
      </c>
      <c r="AJ38" s="128">
        <f t="shared" si="9"/>
        <v>0</v>
      </c>
      <c r="AK38" s="129">
        <f>IFERROR(__xludf.DUMMYFUNCTION("iferror($O38-min(filter($O38:$O$395,$E38:$E$395=$E$2)))"),4.0)</f>
        <v>4</v>
      </c>
      <c r="AL38" s="123" t="str">
        <f>IFERROR(__xludf.DUMMYFUNCTION("iferror(join("","",index(sort(filter($F39:$F$395,$O39:$O$395&gt;$O38,$E39:$E$395=$E$2),2,false),0,1)))"),"Wisconsin,Penn State,Minnesota,Iowa,Purdue,Maryland,Illinois")</f>
        <v>Wisconsin,Penn State,Minnesota,Iowa,Purdue,Maryland,Illinois</v>
      </c>
      <c r="AM38" s="123" t="str">
        <f>IFERROR(__xludf.DUMMYFUNCTION("REGEXREPLACE(join("","",unique({let(conf_picked,filter(E$1:E37,D$1:D37=D38), byrow(unique(TRANSPOSe(Teams!$1:$1)),lambda(rw,if(ISERROR(match(rw,conf_picked,0)),rw,))));iferror(if(#REF!,,transpose(split(#REF!,"","",1,1))))})), ""^,"", """")"),"ACC,Big 12,Big Ten,Pac12,CUSA,MAC,SEC,Sun Belt")</f>
        <v>ACC,Big 12,Big Ten,Pac12,CUSA,MAC,SEC,Sun Belt</v>
      </c>
      <c r="AN38" s="127">
        <f>IFERROR(__xludf.DUMMYFUNCTION("iferror($O38-max(filter($O38:$O$395,arrayformula(isnumber(FIND($E38:$E$395,AM38))))))"),-7.0)</f>
        <v>-7</v>
      </c>
      <c r="AO38" s="126">
        <f t="array" ref="AO38">countifs($O$2:$O37,"&lt;"&amp;$O38,isnumber(FIND($E$2:$E37,AM38)),TRUE)</f>
        <v>1</v>
      </c>
      <c r="AP38" s="126">
        <f>IFERROR(__xludf.DUMMYFUNCTION("iferror(COUNT(filter($O39:$O$395,$O39:$O$395&gt;$O38,arrayformula(isnumber(FIND($E39:$E$395,AM38))))))"),44.0)</f>
        <v>44</v>
      </c>
      <c r="AQ38" s="128">
        <f t="shared" si="10"/>
        <v>0</v>
      </c>
      <c r="AR38" s="129">
        <f>IFERROR(__xludf.DUMMYFUNCTION("$O38-min(filter($O38:$O$395,arrayformula(isnumber(FIND($E38:$E$395,AM38)))))"),4.0)</f>
        <v>4</v>
      </c>
      <c r="AS38" s="123" t="str">
        <f>IFERROR(__xludf.DUMMYFUNCTION("iferror(join("","",index(sort(filter($F39:$F$395,$O39:$O$395&gt;$O38,arrayformula(isnumber(FIND($E39:$E$395,AM38)))),2,false),0,1)))"),"NC State,Baylor,TCU,Washington,Pittsburgh,North Carolina,Kentucky,North Texas,Wisconsin,Wake Forest,Oregon State,Troy,Penn State,Southern Mississippi,Liberty,James Madison,EMU,Florida State,Middle Tennessee,Arkansas,Kansas State,Texas Tech,Washington Stat"&amp;"e,Minnesota,South Alabama,Louisville,Iowa,Purdue,Ole Miss,Maryland,Florida,Buffalo,Syracuse,Georgia Southern,Tennessee,Ohio,Kansas,Mississippi State,LSU,Illinois,Bowling Green,South Carolina,Missouri,Duke")</f>
        <v>NC State,Baylor,TCU,Washington,Pittsburgh,North Carolina,Kentucky,North Texas,Wisconsin,Wake Forest,Oregon State,Troy,Penn State,Southern Mississippi,Liberty,James Madison,EMU,Florida State,Middle Tennessee,Arkansas,Kansas State,Texas Tech,Washington State,Minnesota,South Alabama,Louisville,Iowa,Purdue,Ole Miss,Maryland,Florida,Buffalo,Syracuse,Georgia Southern,Tennessee,Ohio,Kansas,Mississippi State,LSU,Illinois,Bowling Green,South Carolina,Missouri,Duke</v>
      </c>
    </row>
    <row r="39">
      <c r="A39" s="26">
        <v>38.0</v>
      </c>
      <c r="B39" s="26">
        <v>3.0</v>
      </c>
      <c r="C39" s="26">
        <v>12.0</v>
      </c>
      <c r="D39" s="132" t="s">
        <v>103</v>
      </c>
      <c r="E39" t="str">
        <f>if(F39&lt;&gt;"",VLOOKUP(F39,offset('Teams-Conference'!A:B,0,(counta('Draft Order'!B$2:B132)-10)*2),2,0),"")</f>
        <v>Sun Belt</v>
      </c>
      <c r="F39" s="143" t="s">
        <v>361</v>
      </c>
      <c r="G39" s="135" t="str">
        <f t="shared" si="16"/>
        <v/>
      </c>
      <c r="H39" s="122">
        <f t="shared" si="2"/>
        <v>0</v>
      </c>
      <c r="I39" s="122">
        <f t="shared" si="3"/>
        <v>1</v>
      </c>
      <c r="J39" s="122">
        <f t="shared" si="11"/>
        <v>0</v>
      </c>
      <c r="K39" s="122">
        <f>countif(E20:E39,E41)</f>
        <v>5</v>
      </c>
      <c r="L39" s="122">
        <v>4.0</v>
      </c>
      <c r="M39" s="122">
        <f>IFERROR(__xludf.DUMMYFUNCTION("counta(iferror(filter(L$2:L38,E$2:E38=E39,L$2:L38&lt;L39)))"),0.0)</f>
        <v>0</v>
      </c>
      <c r="N39" s="122">
        <f>IFERROR(__xludf.DUMMYFUNCTION("counta(iferror(filter(L40:L$131,E40:E$131=E39,L40:L$134&gt;L39)))"),0.0)</f>
        <v>0</v>
      </c>
      <c r="O39" s="124">
        <f t="array" ref="O39:Z39">XLOOKUP(F39,'Current Week'!C:C,'Current Week'!D:O)</f>
        <v>4</v>
      </c>
      <c r="P39" s="122">
        <v>8.0</v>
      </c>
      <c r="Q39" s="123" t="s">
        <v>307</v>
      </c>
      <c r="R39" s="123" t="s">
        <v>57</v>
      </c>
      <c r="S39" s="123" t="s">
        <v>166</v>
      </c>
      <c r="T39" s="123"/>
      <c r="U39" s="123"/>
      <c r="V39" s="123"/>
      <c r="W39" s="123"/>
      <c r="X39" s="123"/>
      <c r="Y39" s="126"/>
      <c r="Z39" s="126"/>
      <c r="AA39" s="127">
        <f t="shared" si="4"/>
        <v>-8</v>
      </c>
      <c r="AB39" s="126">
        <f t="shared" si="5"/>
        <v>0</v>
      </c>
      <c r="AC39" s="126">
        <f>IFERROR(__xludf.DUMMYFUNCTION("iferror(COUNT(filter($O40:$O$395,$O40:$O$395&gt;$O39)))"),64.0)</f>
        <v>64</v>
      </c>
      <c r="AD39" s="128">
        <f t="shared" si="6"/>
        <v>0</v>
      </c>
      <c r="AE39" s="129">
        <f t="shared" si="7"/>
        <v>0</v>
      </c>
      <c r="AF39" s="123" t="str">
        <f>IFERROR(__xludf.DUMMYFUNCTION("iferror(join("","",index(sort(filter($F40:$F$396,$O40:$O$396&gt;$O39),2,false),0,1)))"),"NC State,Baylor,TCU,Washington,Pittsburgh,East Carolina,North Carolina,SMU,Kentucky,Tulane,North Texas,Tulsa,Wisconsin,Wake Forest,Oregon State,Michigan State,Troy,Penn State,Southern Mississippi,Liberty,James Madison,EMU,Western Michigan,Wyoming,Florida "&amp;"State,Kent State,Middle Tennessee,Arkansas,Kansas State,Texas Tech,Washington State,Florida Atlantic,Minnesota,South Alabama,Louisville,West Virginia,Iowa,Purdue,Ole Miss,UTEP,Maryland,Ball State,Florida,Buffalo,Syracuse,UNLV,Georgia Southern,Tennessee,Oh"&amp;"io,Kansas,Mississippi State,LSU,Illinois,Auburn,Rice,Bowling Green,Arizona,South Carolina,Georgia Tech,New Mexico State,Vanderbilt,UConn,Missouri,Duke")</f>
        <v>NC State,Baylor,TCU,Washington,Pittsburgh,East Carolina,North Carolina,SMU,Kentucky,Tulane,North Texas,Tulsa,Wisconsin,Wake Forest,Oregon State,Michigan State,Troy,Penn State,Southern Mississippi,Liberty,James Madison,EMU,Western Michigan,Wyoming,Florida State,Kent State,Middle Tennessee,Arkansas,Kansas State,Texas Tech,Washington State,Florida Atlantic,Minnesota,South Alabama,Louisville,West Virginia,Iowa,Purdue,Ole Miss,UTEP,Maryland,Ball State,Florida,Buffalo,Syracuse,UNLV,Georgia Southern,Tennessee,Ohio,Kansas,Mississippi State,LSU,Illinois,Auburn,Rice,Bowling Green,Arizona,South Carolina,Georgia Tech,New Mexico State,Vanderbilt,UConn,Missouri,Duke</v>
      </c>
      <c r="AG39" s="127">
        <f>IFERROR(__xludf.DUMMYFUNCTION("iferror($O39-max(filter($O39:$O$395,$E39:$E$395=$E$2)))"),-6.0)</f>
        <v>-6</v>
      </c>
      <c r="AH39" s="126">
        <f t="shared" si="8"/>
        <v>0</v>
      </c>
      <c r="AI39" s="126">
        <f>IFERROR(__xludf.DUMMYFUNCTION("iferror(COUNT(filter($O40:$O$395,$O40:$O$395&gt;$O39,$E39:$E$395=$E$2)))"),0.0)</f>
        <v>0</v>
      </c>
      <c r="AJ39" s="128">
        <f t="shared" si="9"/>
        <v>0</v>
      </c>
      <c r="AK39" s="129">
        <f>IFERROR(__xludf.DUMMYFUNCTION("iferror($O39-min(filter($O39:$O$395,$E39:$E$395=$E$2)))"),3.0)</f>
        <v>3</v>
      </c>
      <c r="AL39" s="123" t="str">
        <f>IFERROR(__xludf.DUMMYFUNCTION("iferror(join("","",index(sort(filter($F40:$F$395,$O40:$O$395&gt;$O39,$E40:$E$395=$E$2),2,false),0,1)))"),"Wisconsin,Michigan State,Penn State,Minnesota,Iowa,Purdue,Maryland,Illinois")</f>
        <v>Wisconsin,Michigan State,Penn State,Minnesota,Iowa,Purdue,Maryland,Illinois</v>
      </c>
      <c r="AM39" s="123" t="str">
        <f>IFERROR(__xludf.DUMMYFUNCTION("REGEXREPLACE(join("","",unique({let(conf_picked,filter(E$1:E38,D$1:D38=D39), byrow(unique(TRANSPOSe(Teams!$1:$1)),lambda(rw,if(ISERROR(match(rw,conf_picked,0)),rw,))));iferror(if(#REF!,,transpose(split(#REF!,"","",1,1))))})), ""^,"", """")"),"AAC,ACC,Big 12,Big Ten,Pac12,,MAC,SEC,Sun Belt")</f>
        <v>AAC,ACC,Big 12,Big Ten,Pac12,,MAC,SEC,Sun Belt</v>
      </c>
      <c r="AN39" s="127">
        <f>IFERROR(__xludf.DUMMYFUNCTION("iferror($O39-max(filter($O39:$O$395,arrayformula(isnumber(FIND($E39:$E$395,AM39))))))"),-8.0)</f>
        <v>-8</v>
      </c>
      <c r="AO39" s="126">
        <f t="array" ref="AO39">countifs($O$2:$O38,"&lt;"&amp;$O39,isnumber(FIND($E$2:$E38,AM39)),TRUE)</f>
        <v>0</v>
      </c>
      <c r="AP39" s="126">
        <f>IFERROR(__xludf.DUMMYFUNCTION("iferror(COUNT(filter($O40:$O$395,$O40:$O$395&gt;$O39,arrayformula(isnumber(FIND($E40:$E$395,AM39))))))"),55.0)</f>
        <v>55</v>
      </c>
      <c r="AQ39" s="128">
        <f t="shared" si="10"/>
        <v>0</v>
      </c>
      <c r="AR39" s="129">
        <f>IFERROR(__xludf.DUMMYFUNCTION("$O39-min(filter($O39:$O$395,arrayformula(isnumber(FIND($E39:$E$395,AM39)))))"),3.0)</f>
        <v>3</v>
      </c>
      <c r="AS39" s="123" t="str">
        <f>IFERROR(__xludf.DUMMYFUNCTION("iferror(join("","",index(sort(filter($F40:$F$395,$O40:$O$395&gt;$O39,arrayformula(isnumber(FIND($E40:$E$395,AM39)))),2,false),0,1)))"),"NC State,Baylor,TCU,Washington,Pittsburgh,East Carolina,North Carolina,SMU,Kentucky,Tulane,Tulsa,Wisconsin,Wake Forest,Oregon State,Michigan State,Troy,Penn State,Liberty,James Madison,EMU,Western Michigan,Florida State,Kent State,Arkansas,Kansas State,Te"&amp;"xas Tech,Washington State,Minnesota,South Alabama,Louisville,West Virginia,Iowa,Purdue,Ole Miss,Maryland,Ball State,Florida,Buffalo,Syracuse,Georgia Southern,Tennessee,Ohio,Kansas,Mississippi State,LSU,Illinois,Auburn,Bowling Green,Arizona,South Carolina,"&amp;"Georgia Tech,Vanderbilt,UConn,Missouri,Duke")</f>
        <v>NC State,Baylor,TCU,Washington,Pittsburgh,East Carolina,North Carolina,SMU,Kentucky,Tulane,Tulsa,Wisconsin,Wake Forest,Oregon State,Michigan State,Troy,Penn State,Liberty,James Madison,EMU,Western Michigan,Florida State,Kent State,Arkansas,Kansas State,Texas Tech,Washington State,Minnesota,South Alabama,Louisville,West Virginia,Iowa,Purdue,Ole Miss,Maryland,Ball State,Florida,Buffalo,Syracuse,Georgia Southern,Tennessee,Ohio,Kansas,Mississippi State,LSU,Illinois,Auburn,Bowling Green,Arizona,South Carolina,Georgia Tech,Vanderbilt,UConn,Missouri,Duke</v>
      </c>
    </row>
    <row r="40">
      <c r="A40" s="156">
        <v>39.0</v>
      </c>
      <c r="B40" s="156">
        <v>3.0</v>
      </c>
      <c r="C40" s="156">
        <v>13.0</v>
      </c>
      <c r="D40" s="157" t="s">
        <v>154</v>
      </c>
      <c r="E40" s="158" t="str">
        <f>if(F40&lt;&gt;"",VLOOKUP(F40,offset('Teams-Conference'!A:B,0,(counta('Draft Order'!B$2:B132)-10)*2),2,0),"")</f>
        <v>ACC</v>
      </c>
      <c r="F40" s="159" t="s">
        <v>363</v>
      </c>
      <c r="G40" s="160" t="str">
        <f t="shared" si="16"/>
        <v/>
      </c>
      <c r="H40" s="122">
        <f t="shared" si="2"/>
        <v>2</v>
      </c>
      <c r="I40" s="122">
        <f t="shared" si="3"/>
        <v>4</v>
      </c>
      <c r="J40" s="122">
        <f t="shared" si="11"/>
        <v>1</v>
      </c>
      <c r="K40" s="123"/>
      <c r="L40" s="122">
        <v>8.0</v>
      </c>
      <c r="M40" s="122">
        <f>IFERROR(__xludf.DUMMYFUNCTION("counta(iferror(filter(L$2:L39,E$2:E39=E40,L$2:L39&lt;L40)))"),1.0)</f>
        <v>1</v>
      </c>
      <c r="N40" s="122">
        <f>IFERROR(__xludf.DUMMYFUNCTION("counta(iferror(filter(L41:L$131,E41:E$131=E40,L41:L$134&gt;L40)))"),0.0)</f>
        <v>0</v>
      </c>
      <c r="O40" s="124">
        <f t="array" ref="O40:Z40">XLOOKUP(F40,'Current Week'!C:C,'Current Week'!D:O)</f>
        <v>8</v>
      </c>
      <c r="P40" s="122">
        <v>4.0</v>
      </c>
      <c r="Q40" s="123" t="s">
        <v>406</v>
      </c>
      <c r="R40" s="125" t="s">
        <v>183</v>
      </c>
      <c r="S40" s="123" t="s">
        <v>109</v>
      </c>
      <c r="T40" s="123"/>
      <c r="U40" s="126"/>
      <c r="V40" s="126"/>
      <c r="W40" s="126"/>
      <c r="X40" s="126"/>
      <c r="Y40" s="126"/>
      <c r="Z40" s="126"/>
      <c r="AA40" s="127">
        <f t="shared" si="4"/>
        <v>-4</v>
      </c>
      <c r="AB40" s="126">
        <f t="shared" si="5"/>
        <v>18</v>
      </c>
      <c r="AC40" s="126">
        <f>IFERROR(__xludf.DUMMYFUNCTION("iferror(COUNT(filter($O41:$O$395,$O41:$O$395&gt;$O40)))"),13.0)</f>
        <v>13</v>
      </c>
      <c r="AD40" s="128">
        <f t="shared" si="6"/>
        <v>0</v>
      </c>
      <c r="AE40" s="129">
        <f t="shared" si="7"/>
        <v>4</v>
      </c>
      <c r="AF40" s="123" t="str">
        <f>IFERROR(__xludf.DUMMYFUNCTION("iferror(join("","",index(sort(filter($F41:$F$396,$O41:$O$396&gt;$O40),2,false),0,1)))"),"TCU,Washington,North Carolina,Tulane,Oregon State,Troy,Penn State,Florida State,Kansas State,South Alabama,Tennessee,Ohio,LSU")</f>
        <v>TCU,Washington,North Carolina,Tulane,Oregon State,Troy,Penn State,Florida State,Kansas State,South Alabama,Tennessee,Ohio,LSU</v>
      </c>
      <c r="AG40" s="127">
        <f>IFERROR(__xludf.DUMMYFUNCTION("iferror($O40-max(filter($O40:$O$395,$E40:$E$395=$E$2)))"),-2.0)</f>
        <v>-2</v>
      </c>
      <c r="AH40" s="126">
        <f t="shared" si="8"/>
        <v>0</v>
      </c>
      <c r="AI40" s="126">
        <f>IFERROR(__xludf.DUMMYFUNCTION("iferror(COUNT(filter($O41:$O$395,$O41:$O$395&gt;$O40,$E40:$E$395=$E$2)))"),0.0)</f>
        <v>0</v>
      </c>
      <c r="AJ40" s="128">
        <f t="shared" si="9"/>
        <v>0</v>
      </c>
      <c r="AK40" s="129">
        <f>IFERROR(__xludf.DUMMYFUNCTION("iferror($O40-min(filter($O40:$O$395,$E40:$E$395=$E$2)))"),7.0)</f>
        <v>7</v>
      </c>
      <c r="AL40" s="123" t="str">
        <f>IFERROR(__xludf.DUMMYFUNCTION("iferror(join("","",index(sort(filter($F41:$F$395,$O41:$O$395&gt;$O40,$E41:$E$395=$E$2),2,false),0,1)))"),"Penn State")</f>
        <v>Penn State</v>
      </c>
      <c r="AM40" s="123" t="str">
        <f>IFERROR(__xludf.DUMMYFUNCTION("REGEXREPLACE(join("","",unique({let(conf_picked,filter(E$1:E39,D$1:D39=D40), byrow(unique(TRANSPOSe(Teams!$1:$1)),lambda(rw,if(ISERROR(match(rw,conf_picked,0)),rw,))));iferror(if(#REF!,,transpose(split(#REF!,"","",1,1))))})), ""^,"", """")"),"ACC,Big 12,Big Ten,CUSA,MAC,MWC,SEC,Sun Belt")</f>
        <v>ACC,Big 12,Big Ten,CUSA,MAC,MWC,SEC,Sun Belt</v>
      </c>
      <c r="AN40" s="127">
        <f>IFERROR(__xludf.DUMMYFUNCTION("iferror($O40-max(filter($O40:$O$395,arrayformula(isnumber(FIND($E40:$E$395,AM40))))))"),-4.0)</f>
        <v>-4</v>
      </c>
      <c r="AO40" s="126">
        <f t="array" ref="AO40">countifs($O$2:$O39,"&lt;"&amp;$O40,isnumber(FIND($E$2:$E39,AM40)),TRUE)</f>
        <v>15</v>
      </c>
      <c r="AP40" s="126">
        <f>IFERROR(__xludf.DUMMYFUNCTION("iferror(COUNT(filter($O41:$O$395,$O41:$O$395&gt;$O40,arrayformula(isnumber(FIND($E41:$E$395,AM40))))))"),10.0)</f>
        <v>10</v>
      </c>
      <c r="AQ40" s="128">
        <f t="shared" si="10"/>
        <v>0</v>
      </c>
      <c r="AR40" s="129">
        <f>IFERROR(__xludf.DUMMYFUNCTION("$O40-min(filter($O40:$O$395,arrayformula(isnumber(FIND($E40:$E$395,AM40)))))"),7.0)</f>
        <v>7</v>
      </c>
      <c r="AS40" s="123" t="str">
        <f>IFERROR(__xludf.DUMMYFUNCTION("iferror(join("","",index(sort(filter($F41:$F$395,$O41:$O$395&gt;$O40,arrayformula(isnumber(FIND($E41:$E$395,AM40)))),2,false),0,1)))"),"TCU,North Carolina,Troy,Penn State,Florida State,Kansas State,South Alabama,Tennessee,Ohio,LSU")</f>
        <v>TCU,North Carolina,Troy,Penn State,Florida State,Kansas State,South Alabama,Tennessee,Ohio,LSU</v>
      </c>
    </row>
    <row r="41">
      <c r="A41" s="110">
        <v>40.0</v>
      </c>
      <c r="B41" s="110">
        <v>4.0</v>
      </c>
      <c r="C41" s="110">
        <v>1.0</v>
      </c>
      <c r="D41" s="111" t="s">
        <v>154</v>
      </c>
      <c r="E41" s="113" t="str">
        <f>if(F41&lt;&gt;"",VLOOKUP(F41,offset('Teams-Conference'!A:B,0,(counta('Draft Order'!B$2:B132)-10)*2),2,0),"")</f>
        <v>Big 12</v>
      </c>
      <c r="F41" s="115" t="s">
        <v>320</v>
      </c>
      <c r="G41" s="119" t="str">
        <f t="shared" si="16"/>
        <v/>
      </c>
      <c r="H41" s="122">
        <f t="shared" si="2"/>
        <v>1</v>
      </c>
      <c r="I41" s="122">
        <f t="shared" si="3"/>
        <v>1</v>
      </c>
      <c r="J41" s="122">
        <f t="shared" si="11"/>
        <v>3</v>
      </c>
      <c r="K41" s="122">
        <f t="shared" ref="K41:K46" si="17">countif(E21:E41,E42)</f>
        <v>6</v>
      </c>
      <c r="L41" s="122">
        <v>6.0</v>
      </c>
      <c r="M41" s="122">
        <f>IFERROR(__xludf.DUMMYFUNCTION("counta(iferror(filter(L$2:L40,E$2:E40=E41,L$2:L40&lt;L41)))"),1.0)</f>
        <v>1</v>
      </c>
      <c r="N41" s="122">
        <f>IFERROR(__xludf.DUMMYFUNCTION("counta(iferror(filter(L42:L$131,E42:E$131=E41,L42:L$134&gt;L41)))"),0.0)</f>
        <v>0</v>
      </c>
      <c r="O41" s="124">
        <f t="array" ref="O41:Z41">XLOOKUP(F41,'Current Week'!C:C,'Current Week'!D:O)</f>
        <v>6</v>
      </c>
      <c r="P41" s="122">
        <v>6.0</v>
      </c>
      <c r="Q41" s="123" t="s">
        <v>419</v>
      </c>
      <c r="R41" s="125" t="s">
        <v>57</v>
      </c>
      <c r="S41" s="123" t="s">
        <v>166</v>
      </c>
      <c r="T41" s="123"/>
      <c r="U41" s="126"/>
      <c r="V41" s="126"/>
      <c r="W41" s="126"/>
      <c r="X41" s="126"/>
      <c r="Y41" s="126"/>
      <c r="Z41" s="126"/>
      <c r="AA41" s="127">
        <f t="shared" si="4"/>
        <v>-6</v>
      </c>
      <c r="AB41" s="126">
        <f t="shared" si="5"/>
        <v>5</v>
      </c>
      <c r="AC41" s="126">
        <f>IFERROR(__xludf.DUMMYFUNCTION("iferror(COUNT(filter($O42:$O$395,$O42:$O$395&gt;$O41)))"),37.0)</f>
        <v>37</v>
      </c>
      <c r="AD41" s="128">
        <f t="shared" si="6"/>
        <v>0</v>
      </c>
      <c r="AE41" s="129">
        <f t="shared" si="7"/>
        <v>2</v>
      </c>
      <c r="AF41" s="123" t="str">
        <f>IFERROR(__xludf.DUMMYFUNCTION("iferror(join("","",index(sort(filter($F42:$F$396,$O42:$O$396&gt;$O41),2,false),0,1)))"),"TCU,Washington,Pittsburgh,East Carolina,North Carolina,SMU,Kentucky,Tulane,North Texas,Wake Forest,Oregon State,Troy,Penn State,Liberty,James Madison,EMU,Wyoming,Florida State,Middle Tennessee,Kansas State,Texas Tech,Washington State,Minnesota,South Alaba"&amp;"ma,Louisville,Iowa,Purdue,Ole Miss,Maryland,Syracuse,Tennessee,Ohio,Mississippi State,LSU,Illinois,South Carolina,Duke")</f>
        <v>TCU,Washington,Pittsburgh,East Carolina,North Carolina,SMU,Kentucky,Tulane,North Texas,Wake Forest,Oregon State,Troy,Penn State,Liberty,James Madison,EMU,Wyoming,Florida State,Middle Tennessee,Kansas State,Texas Tech,Washington State,Minnesota,South Alabama,Louisville,Iowa,Purdue,Ole Miss,Maryland,Syracuse,Tennessee,Ohio,Mississippi State,LSU,Illinois,South Carolina,Duke</v>
      </c>
      <c r="AG41" s="127">
        <f>IFERROR(__xludf.DUMMYFUNCTION("iferror($O41-max(filter($O41:$O$395,$E41:$E$395=$E$2)))"),-4.0)</f>
        <v>-4</v>
      </c>
      <c r="AH41" s="126">
        <f t="shared" si="8"/>
        <v>0</v>
      </c>
      <c r="AI41" s="126">
        <f>IFERROR(__xludf.DUMMYFUNCTION("iferror(COUNT(filter($O42:$O$395,$O42:$O$395&gt;$O41,$E41:$E$395=$E$2)))"),0.0)</f>
        <v>0</v>
      </c>
      <c r="AJ41" s="128">
        <f t="shared" si="9"/>
        <v>0</v>
      </c>
      <c r="AK41" s="129">
        <f>IFERROR(__xludf.DUMMYFUNCTION("iferror($O41-min(filter($O41:$O$395,$E41:$E$395=$E$2)))"),5.0)</f>
        <v>5</v>
      </c>
      <c r="AL41" s="123" t="str">
        <f>IFERROR(__xludf.DUMMYFUNCTION("iferror(join("","",index(sort(filter($F42:$F$395,$O42:$O$395&gt;$O41,$E42:$E$395=$E$2),2,false),0,1)))"),"Penn State,Minnesota,Iowa,Purdue,Maryland,Illinois")</f>
        <v>Penn State,Minnesota,Iowa,Purdue,Maryland,Illinois</v>
      </c>
      <c r="AM41" s="123" t="str">
        <f>IFERROR(__xludf.DUMMYFUNCTION("REGEXREPLACE(join("","",unique({let(conf_picked,filter(E$1:E40,D$1:D40=D41), byrow(unique(TRANSPOSe(Teams!$1:$1)),lambda(rw,if(ISERROR(match(rw,conf_picked,0)),rw,))));iferror(if(#REF!,,transpose(split(#REF!,"","",1,1))))})), ""^,"", """")"),"Big 12,Big Ten,CUSA,MAC,MWC,SEC,Sun Belt")</f>
        <v>Big 12,Big Ten,CUSA,MAC,MWC,SEC,Sun Belt</v>
      </c>
      <c r="AN41" s="127">
        <f>IFERROR(__xludf.DUMMYFUNCTION("iferror($O41-max(filter($O41:$O$395,arrayformula(isnumber(FIND($E41:$E$395,AM41))))))"),-6.0)</f>
        <v>-6</v>
      </c>
      <c r="AO41" s="126">
        <f t="array" ref="AO41">countifs($O$2:$O40,"&lt;"&amp;$O41,isnumber(FIND($E$2:$E40,AM41)),TRUE)</f>
        <v>4</v>
      </c>
      <c r="AP41" s="126">
        <f>IFERROR(__xludf.DUMMYFUNCTION("iferror(COUNT(filter($O42:$O$395,$O42:$O$395&gt;$O41,arrayformula(isnumber(FIND($E42:$E$395,AM41))))))"),24.0)</f>
        <v>24</v>
      </c>
      <c r="AQ41" s="128">
        <f t="shared" si="10"/>
        <v>0</v>
      </c>
      <c r="AR41" s="129">
        <f>IFERROR(__xludf.DUMMYFUNCTION("$O41-min(filter($O41:$O$395,arrayformula(isnumber(FIND($E41:$E$395,AM41)))))"),5.0)</f>
        <v>5</v>
      </c>
      <c r="AS41" s="123" t="str">
        <f>IFERROR(__xludf.DUMMYFUNCTION("iferror(join("","",index(sort(filter($F42:$F$395,$O42:$O$395&gt;$O41,arrayformula(isnumber(FIND($E42:$E$395,AM41)))),2,false),0,1)))"),"TCU,Kentucky,North Texas,Troy,Penn State,Liberty,James Madison,EMU,Wyoming,Middle Tennessee,Kansas State,Texas Tech,Minnesota,South Alabama,Iowa,Purdue,Ole Miss,Maryland,Tennessee,Ohio,Mississippi State,LSU,Illinois,South Carolina")</f>
        <v>TCU,Kentucky,North Texas,Troy,Penn State,Liberty,James Madison,EMU,Wyoming,Middle Tennessee,Kansas State,Texas Tech,Minnesota,South Alabama,Iowa,Purdue,Ole Miss,Maryland,Tennessee,Ohio,Mississippi State,LSU,Illinois,South Carolina</v>
      </c>
    </row>
    <row r="42">
      <c r="A42" s="26">
        <v>41.0</v>
      </c>
      <c r="B42" s="26">
        <v>4.0</v>
      </c>
      <c r="C42" s="26">
        <v>2.0</v>
      </c>
      <c r="D42" s="132" t="s">
        <v>103</v>
      </c>
      <c r="E42" s="133" t="str">
        <f>if(F42&lt;&gt;"",VLOOKUP(F42,offset('Teams-Conference'!A:B,0,(counta('Draft Order'!B$2:B132)-10)*2),2,0),"")</f>
        <v>Big 12</v>
      </c>
      <c r="F42" s="134" t="s">
        <v>358</v>
      </c>
      <c r="G42" s="135" t="str">
        <f t="shared" si="16"/>
        <v/>
      </c>
      <c r="H42" s="122">
        <f t="shared" si="2"/>
        <v>0</v>
      </c>
      <c r="I42" s="122">
        <f t="shared" si="3"/>
        <v>1</v>
      </c>
      <c r="J42" s="122">
        <f t="shared" si="11"/>
        <v>4</v>
      </c>
      <c r="K42" s="122">
        <f t="shared" si="17"/>
        <v>2</v>
      </c>
      <c r="L42" s="122">
        <v>12.0</v>
      </c>
      <c r="M42" s="122">
        <f>IFERROR(__xludf.DUMMYFUNCTION("counta(iferror(filter(L$2:L41,E$2:E41=E42,L$2:L41&lt;L42)))"),6.0)</f>
        <v>6</v>
      </c>
      <c r="N42" s="122">
        <f>IFERROR(__xludf.DUMMYFUNCTION("counta(iferror(filter(L43:L$131,E43:E$131=E42,L43:L$134&gt;L42)))"),0.0)</f>
        <v>0</v>
      </c>
      <c r="O42" s="124">
        <f t="array" ref="O42:Z42">XLOOKUP(F42,'Current Week'!C:C,'Current Week'!D:O)</f>
        <v>12</v>
      </c>
      <c r="P42" s="122">
        <v>0.0</v>
      </c>
      <c r="Q42" s="123" t="s">
        <v>420</v>
      </c>
      <c r="R42" s="123" t="s">
        <v>57</v>
      </c>
      <c r="S42" s="123" t="s">
        <v>148</v>
      </c>
      <c r="T42" s="123" t="s">
        <v>74</v>
      </c>
      <c r="U42" s="123"/>
      <c r="V42" s="123"/>
      <c r="W42" s="123"/>
      <c r="X42" s="123"/>
      <c r="Y42" s="126"/>
      <c r="Z42" s="126"/>
      <c r="AA42" s="127">
        <f t="shared" si="4"/>
        <v>0</v>
      </c>
      <c r="AB42" s="126">
        <f t="shared" si="5"/>
        <v>38</v>
      </c>
      <c r="AC42" s="126">
        <f>IFERROR(__xludf.DUMMYFUNCTION("iferror(COUNT(filter($O43:$O$395,$O43:$O$395&gt;$O42)))"),0.0)</f>
        <v>0</v>
      </c>
      <c r="AD42" s="128">
        <f t="shared" si="6"/>
        <v>1</v>
      </c>
      <c r="AE42" s="129">
        <f t="shared" si="7"/>
        <v>8</v>
      </c>
      <c r="AF42" s="123" t="str">
        <f>IFERROR(__xludf.DUMMYFUNCTION("iferror(join("","",index(sort(filter($F43:$F$396,$O43:$O$396&gt;$O42),2,false),0,1)))"),"")</f>
        <v/>
      </c>
      <c r="AG42" s="127">
        <f>IFERROR(__xludf.DUMMYFUNCTION("iferror($O42-max(filter($O42:$O$395,$E42:$E$395=$E$2)))"),2.0)</f>
        <v>2</v>
      </c>
      <c r="AH42" s="126">
        <f t="shared" si="8"/>
        <v>1</v>
      </c>
      <c r="AI42" s="126">
        <f>IFERROR(__xludf.DUMMYFUNCTION("iferror(COUNT(filter($O43:$O$395,$O43:$O$395&gt;$O42,$E42:$E$395=$E$2)))"),0.0)</f>
        <v>0</v>
      </c>
      <c r="AJ42" s="128">
        <f t="shared" si="9"/>
        <v>0</v>
      </c>
      <c r="AK42" s="129">
        <f>IFERROR(__xludf.DUMMYFUNCTION("iferror($O42-min(filter($O42:$O$395,$E42:$E$395=$E$2)))"),11.0)</f>
        <v>11</v>
      </c>
      <c r="AL42" s="123" t="str">
        <f>IFERROR(__xludf.DUMMYFUNCTION("iferror(join("","",index(sort(filter($F43:$F$395,$O43:$O$395&gt;$O42,$E43:$E$395=$E$2),2,false),0,1)))"),"")</f>
        <v/>
      </c>
      <c r="AM42" s="123" t="str">
        <f>IFERROR(__xludf.DUMMYFUNCTION("REGEXREPLACE(join("","",unique({let(conf_picked,filter(E$1:E41,D$1:D41=D42), byrow(unique(TRANSPOSe(Teams!$1:$1)),lambda(rw,if(ISERROR(match(rw,conf_picked,0)),rw,))));iferror(if(#REF!,,transpose(split(#REF!,"","",1,1))))})), ""^,"", """")"),"AAC,ACC,Big 12,Big Ten,Pac12,,MAC,SEC")</f>
        <v>AAC,ACC,Big 12,Big Ten,Pac12,,MAC,SEC</v>
      </c>
      <c r="AN42" s="127">
        <f>IFERROR(__xludf.DUMMYFUNCTION("iferror($O42-max(filter($O42:$O$395,arrayformula(isnumber(FIND($E42:$E$395,AM42))))))"),0.0)</f>
        <v>0</v>
      </c>
      <c r="AO42" s="126">
        <f t="array" ref="AO42">countifs($O$2:$O41,"&lt;"&amp;$O42,isnumber(FIND($E$2:$E41,AM42)),TRUE)</f>
        <v>24</v>
      </c>
      <c r="AP42" s="126">
        <f>IFERROR(__xludf.DUMMYFUNCTION("iferror(COUNT(filter($O43:$O$395,$O43:$O$395&gt;$O42,arrayformula(isnumber(FIND($E43:$E$395,AM42))))))"),0.0)</f>
        <v>0</v>
      </c>
      <c r="AQ42" s="128">
        <f t="shared" si="10"/>
        <v>1</v>
      </c>
      <c r="AR42" s="129">
        <f>IFERROR(__xludf.DUMMYFUNCTION("$O42-min(filter($O42:$O$395,arrayformula(isnumber(FIND($E42:$E$395,AM42)))))"),11.0)</f>
        <v>11</v>
      </c>
      <c r="AS42" s="123" t="str">
        <f>IFERROR(__xludf.DUMMYFUNCTION("iferror(join("","",index(sort(filter($F43:$F$395,$O43:$O$395&gt;$O42,arrayformula(isnumber(FIND($E43:$E$395,AM42)))),2,false),0,1)))"),"")</f>
        <v/>
      </c>
    </row>
    <row r="43">
      <c r="A43" s="26">
        <v>42.0</v>
      </c>
      <c r="B43" s="26">
        <v>4.0</v>
      </c>
      <c r="C43" s="26">
        <v>3.0</v>
      </c>
      <c r="D43" s="137" t="s">
        <v>148</v>
      </c>
      <c r="E43" s="133" t="str">
        <f>if(F43&lt;&gt;"",VLOOKUP(F43,offset('Teams-Conference'!A:B,0,(counta('Draft Order'!B$2:B132)-10)*2),2,0),"")</f>
        <v>Pac12</v>
      </c>
      <c r="F43" s="138" t="s">
        <v>377</v>
      </c>
      <c r="G43" s="135" t="str">
        <f t="shared" si="16"/>
        <v/>
      </c>
      <c r="H43" s="122">
        <f t="shared" si="2"/>
        <v>0</v>
      </c>
      <c r="I43" s="122">
        <f t="shared" si="3"/>
        <v>1</v>
      </c>
      <c r="J43" s="122">
        <f t="shared" si="11"/>
        <v>0</v>
      </c>
      <c r="K43" s="122">
        <f t="shared" si="17"/>
        <v>3</v>
      </c>
      <c r="L43" s="122">
        <v>10.0</v>
      </c>
      <c r="M43" s="122">
        <f>IFERROR(__xludf.DUMMYFUNCTION("counta(iferror(filter(L$2:L42,E$2:E42=E43,L$2:L42&lt;L43)))"),3.0)</f>
        <v>3</v>
      </c>
      <c r="N43" s="122">
        <f>IFERROR(__xludf.DUMMYFUNCTION("counta(iferror(filter(L44:L$131,E44:E$131=E43,L44:L$134&gt;L43)))"),0.0)</f>
        <v>0</v>
      </c>
      <c r="O43" s="124">
        <f t="array" ref="O43:Z43">XLOOKUP(F43,'Current Week'!C:C,'Current Week'!D:O)</f>
        <v>10</v>
      </c>
      <c r="P43" s="122">
        <v>2.0</v>
      </c>
      <c r="Q43" s="123" t="s">
        <v>421</v>
      </c>
      <c r="R43" s="123" t="s">
        <v>57</v>
      </c>
      <c r="S43" s="123" t="s">
        <v>131</v>
      </c>
      <c r="T43" s="123" t="s">
        <v>82</v>
      </c>
      <c r="U43" s="123"/>
      <c r="V43" s="123"/>
      <c r="W43" s="123"/>
      <c r="X43" s="123"/>
      <c r="Y43" s="126"/>
      <c r="Z43" s="126"/>
      <c r="AA43" s="127">
        <f t="shared" si="4"/>
        <v>0</v>
      </c>
      <c r="AB43" s="126">
        <f t="shared" si="5"/>
        <v>33</v>
      </c>
      <c r="AC43" s="126">
        <f>IFERROR(__xludf.DUMMYFUNCTION("iferror(COUNT(filter($O44:$O$395,$O44:$O$395&gt;$O43)))"),0.0)</f>
        <v>0</v>
      </c>
      <c r="AD43" s="128">
        <f t="shared" si="6"/>
        <v>1</v>
      </c>
      <c r="AE43" s="129">
        <f t="shared" si="7"/>
        <v>6</v>
      </c>
      <c r="AF43" s="123" t="str">
        <f>IFERROR(__xludf.DUMMYFUNCTION("iferror(join("","",index(sort(filter($F44:$F$396,$O44:$O$396&gt;$O43),2,false),0,1)))"),"")</f>
        <v/>
      </c>
      <c r="AG43" s="127">
        <f>IFERROR(__xludf.DUMMYFUNCTION("iferror($O43-max(filter($O43:$O$395,$E43:$E$395=$E$2)))"),0.0)</f>
        <v>0</v>
      </c>
      <c r="AH43" s="126">
        <f t="shared" si="8"/>
        <v>0</v>
      </c>
      <c r="AI43" s="126">
        <f>IFERROR(__xludf.DUMMYFUNCTION("iferror(COUNT(filter($O44:$O$395,$O44:$O$395&gt;$O43,$E43:$E$395=$E$2)))"),0.0)</f>
        <v>0</v>
      </c>
      <c r="AJ43" s="128">
        <f t="shared" si="9"/>
        <v>1</v>
      </c>
      <c r="AK43" s="129">
        <f>IFERROR(__xludf.DUMMYFUNCTION("iferror($O43-min(filter($O43:$O$395,$E43:$E$395=$E$2)))"),9.0)</f>
        <v>9</v>
      </c>
      <c r="AL43" s="123" t="str">
        <f>IFERROR(__xludf.DUMMYFUNCTION("iferror(join("","",index(sort(filter($F44:$F$395,$O44:$O$395&gt;$O43,$E44:$E$395=$E$2),2,false),0,1)))"),"")</f>
        <v/>
      </c>
      <c r="AM43" s="123" t="str">
        <f>IFERROR(__xludf.DUMMYFUNCTION("REGEXREPLACE(join("","",unique({let(conf_picked,filter(E$1:E42,D$1:D42=D43), byrow(unique(TRANSPOSe(Teams!$1:$1)),lambda(rw,if(ISERROR(match(rw,conf_picked,0)),rw,))));iferror(if(#REF!,,transpose(split(#REF!,"","",1,1))))})), ""^,"", """")"),"ACC,Big 12,Big Ten,Pac12,CUSA,MAC,Sun Belt")</f>
        <v>ACC,Big 12,Big Ten,Pac12,CUSA,MAC,Sun Belt</v>
      </c>
      <c r="AN43" s="127">
        <f>IFERROR(__xludf.DUMMYFUNCTION("iferror($O43-max(filter($O43:$O$395,arrayformula(isnumber(FIND($E43:$E$395,AM43))))))"),0.0)</f>
        <v>0</v>
      </c>
      <c r="AO43" s="126">
        <f t="array" ref="AO43">countifs($O$2:$O42,"&lt;"&amp;$O43,isnumber(FIND($E$2:$E42,AM43)),TRUE)</f>
        <v>21</v>
      </c>
      <c r="AP43" s="126">
        <f>IFERROR(__xludf.DUMMYFUNCTION("iferror(COUNT(filter($O44:$O$395,$O44:$O$395&gt;$O43,arrayformula(isnumber(FIND($E44:$E$395,AM43))))))"),0.0)</f>
        <v>0</v>
      </c>
      <c r="AQ43" s="128">
        <f t="shared" si="10"/>
        <v>1</v>
      </c>
      <c r="AR43" s="129">
        <f>IFERROR(__xludf.DUMMYFUNCTION("$O43-min(filter($O43:$O$395,arrayformula(isnumber(FIND($E43:$E$395,AM43)))))"),9.0)</f>
        <v>9</v>
      </c>
      <c r="AS43" s="123" t="str">
        <f>IFERROR(__xludf.DUMMYFUNCTION("iferror(join("","",index(sort(filter($F44:$F$395,$O44:$O$395&gt;$O43,arrayformula(isnumber(FIND($E44:$E$395,AM43)))),2,false),0,1)))"),"")</f>
        <v/>
      </c>
    </row>
    <row r="44">
      <c r="A44" s="26">
        <v>43.0</v>
      </c>
      <c r="B44" s="26">
        <v>4.0</v>
      </c>
      <c r="C44" s="26">
        <v>4.0</v>
      </c>
      <c r="D44" s="132" t="s">
        <v>116</v>
      </c>
      <c r="E44" s="133" t="str">
        <f>if(F44&lt;&gt;"",VLOOKUP(F44,offset('Teams-Conference'!A:B,0,(counta('Draft Order'!B$2:B132)-10)*2),2,0),"")</f>
        <v>MWC</v>
      </c>
      <c r="F44" s="134" t="s">
        <v>336</v>
      </c>
      <c r="G44" s="135" t="str">
        <f t="shared" si="16"/>
        <v/>
      </c>
      <c r="H44" s="122">
        <f t="shared" si="2"/>
        <v>0</v>
      </c>
      <c r="I44" s="122">
        <f t="shared" si="3"/>
        <v>0</v>
      </c>
      <c r="J44" s="122">
        <f t="shared" si="11"/>
        <v>0</v>
      </c>
      <c r="K44" s="122">
        <f t="shared" si="17"/>
        <v>2</v>
      </c>
      <c r="L44" s="122">
        <v>3.0</v>
      </c>
      <c r="M44" s="122">
        <f>IFERROR(__xludf.DUMMYFUNCTION("counta(iferror(filter(L$2:L43,E$2:E43=E44,L$2:L43&lt;L44)))"),0.0)</f>
        <v>0</v>
      </c>
      <c r="N44" s="122">
        <f>IFERROR(__xludf.DUMMYFUNCTION("counta(iferror(filter(L45:L$131,E45:E$131=E44,L45:L$134&gt;L44)))"),0.0)</f>
        <v>0</v>
      </c>
      <c r="O44" s="124">
        <f t="array" ref="O44:Z44">XLOOKUP(F44,'Current Week'!C:C,'Current Week'!D:O)</f>
        <v>3</v>
      </c>
      <c r="P44" s="122">
        <v>9.0</v>
      </c>
      <c r="Q44" s="123" t="s">
        <v>264</v>
      </c>
      <c r="R44" s="125" t="s">
        <v>57</v>
      </c>
      <c r="S44" s="123" t="s">
        <v>178</v>
      </c>
      <c r="T44" s="123"/>
      <c r="U44" s="123"/>
      <c r="V44" s="123"/>
      <c r="W44" s="123"/>
      <c r="X44" s="123"/>
      <c r="Y44" s="126"/>
      <c r="Z44" s="126"/>
      <c r="AA44" s="127">
        <f t="shared" si="4"/>
        <v>-7</v>
      </c>
      <c r="AB44" s="126">
        <f t="shared" si="5"/>
        <v>0</v>
      </c>
      <c r="AC44" s="126">
        <f>IFERROR(__xludf.DUMMYFUNCTION("iferror(COUNT(filter($O45:$O$395,$O45:$O$395&gt;$O44)))"),69.0)</f>
        <v>69</v>
      </c>
      <c r="AD44" s="128">
        <f t="shared" si="6"/>
        <v>0</v>
      </c>
      <c r="AE44" s="129">
        <f t="shared" si="7"/>
        <v>0</v>
      </c>
      <c r="AF44" s="123" t="str">
        <f>IFERROR(__xludf.DUMMYFUNCTION("iferror(join("","",index(sort(filter($F45:$F$396,$O45:$O$396&gt;$O44),2,false),0,1)))"),"Pittsburgh,East Carolina,North Carolina,SMU,Kentucky,Tulane,North Texas,Tulsa,Wisconsin,Wake Forest,Oregon State,Michigan State,Troy,Penn State,Southern Mississippi,Liberty,James Madison,Iowa State,EMU,Western Michigan,Wyoming,Florida State,Navy,Kent Stat"&amp;"e,Middle Tennessee,Nebraska,Arkansas,Kansas State,Texas Tech,Washington State,Florida Atlantic,Minnesota,South Alabama,Louisville,West Virginia,California,Iowa,Purdue,Ole Miss,UTEP,Maryland,Texas State,Ball State,Florida,Buffalo,Syracuse,UNLV,Georgia Sout"&amp;"hern,Tennessee,Ohio,Kansas,Mississippi State,Florida Intl,Rutgers,LSU,Illinois,Auburn,Rice,Bowling Green,Arizona,South Carolina,Georgia Tech,Indiana,New Mexico State,Vanderbilt,UConn,UL Monroe,Missouri,Duke")</f>
        <v>Pittsburgh,East Carolina,North Carolina,SMU,Kentucky,Tulane,North Texas,Tulsa,Wisconsin,Wake Forest,Oregon State,Michigan State,Troy,Penn State,Southern Mississippi,Liberty,James Madison,Iowa State,EMU,Western Michigan,Wyoming,Florida State,Navy,Kent State,Middle Tennessee,Nebraska,Arkansas,Kansas State,Texas Tech,Washington State,Florida Atlantic,Minnesota,South Alabama,Louisville,West Virginia,California,Iowa,Purdue,Ole Miss,UTEP,Maryland,Texas State,Ball State,Florida,Buffalo,Syracuse,UNLV,Georgia Southern,Tennessee,Ohio,Kansas,Mississippi State,Florida Intl,Rutgers,LSU,Illinois,Auburn,Rice,Bowling Green,Arizona,South Carolina,Georgia Tech,Indiana,New Mexico State,Vanderbilt,UConn,UL Monroe,Missouri,Duke</v>
      </c>
      <c r="AG44" s="127">
        <f>IFERROR(__xludf.DUMMYFUNCTION("iferror($O44-max(filter($O44:$O$395,$E44:$E$395=$E$2)))"),-7.0)</f>
        <v>-7</v>
      </c>
      <c r="AH44" s="126">
        <f t="shared" si="8"/>
        <v>0</v>
      </c>
      <c r="AI44" s="126">
        <f>IFERROR(__xludf.DUMMYFUNCTION("iferror(COUNT(filter($O45:$O$395,$O45:$O$395&gt;$O44,$E44:$E$395=$E$2)))"),0.0)</f>
        <v>0</v>
      </c>
      <c r="AJ44" s="128">
        <f t="shared" si="9"/>
        <v>0</v>
      </c>
      <c r="AK44" s="129">
        <f>IFERROR(__xludf.DUMMYFUNCTION("iferror($O44-min(filter($O44:$O$395,$E44:$E$395=$E$2)))"),2.0)</f>
        <v>2</v>
      </c>
      <c r="AL44" s="123" t="str">
        <f>IFERROR(__xludf.DUMMYFUNCTION("iferror(join("","",index(sort(filter($F45:$F$395,$O45:$O$395&gt;$O44,$E45:$E$395=$E$2),2,false),0,1)))"),"Wisconsin,Michigan State,Penn State,Nebraska,Minnesota,Iowa,Purdue,Maryland,Illinois,Indiana")</f>
        <v>Wisconsin,Michigan State,Penn State,Nebraska,Minnesota,Iowa,Purdue,Maryland,Illinois,Indiana</v>
      </c>
      <c r="AM44" s="123" t="str">
        <f>IFERROR(__xludf.DUMMYFUNCTION("REGEXREPLACE(join("","",unique({let(conf_picked,filter(E$1:E43,D$1:D43=D44), byrow(unique(TRANSPOSe(Teams!$1:$1)),lambda(rw,if(ISERROR(match(rw,conf_picked,0)),rw,))));iferror(if(#REF!,,transpose(split(#REF!,"","",1,1))))})), ""^,"", """")"),"AAC,ACC,,Big Ten,CUSA,MAC,MWC,Sun Belt")</f>
        <v>AAC,ACC,,Big Ten,CUSA,MAC,MWC,Sun Belt</v>
      </c>
      <c r="AN44" s="127">
        <f>IFERROR(__xludf.DUMMYFUNCTION("iferror($O44-max(filter($O44:$O$395,arrayformula(isnumber(FIND($E44:$E$395,AM44))))))"),-7.0)</f>
        <v>-7</v>
      </c>
      <c r="AO44" s="126">
        <f t="array" ref="AO44">countifs($O$2:$O43,"&lt;"&amp;$O44,isnumber(FIND($E$2:$E43,AM44)),TRUE)</f>
        <v>0</v>
      </c>
      <c r="AP44" s="126">
        <f>IFERROR(__xludf.DUMMYFUNCTION("iferror(COUNT(filter($O45:$O$395,$O45:$O$395&gt;$O44,arrayformula(isnumber(FIND($E45:$E$395,AM44))))))"),48.0)</f>
        <v>48</v>
      </c>
      <c r="AQ44" s="128">
        <f t="shared" si="10"/>
        <v>0</v>
      </c>
      <c r="AR44" s="129">
        <f>IFERROR(__xludf.DUMMYFUNCTION("$O44-min(filter($O44:$O$395,arrayformula(isnumber(FIND($E44:$E$395,AM44)))))"),2.0)</f>
        <v>2</v>
      </c>
      <c r="AS44" s="123" t="str">
        <f>IFERROR(__xludf.DUMMYFUNCTION("iferror(join("","",index(sort(filter($F45:$F$395,$O45:$O$395&gt;$O44,arrayformula(isnumber(FIND($E45:$E$395,AM44)))),2,false),0,1)))"),"Pittsburgh,East Carolina,North Carolina,SMU,Tulane,North Texas,Tulsa,Wisconsin,Wake Forest,Michigan State,Troy,Penn State,Southern Mississippi,Liberty,James Madison,EMU,Western Michigan,Wyoming,Florida State,Navy,Kent State,Middle Tennessee,Nebraska,Flori"&amp;"da Atlantic,Minnesota,South Alabama,Louisville,Iowa,Purdue,UTEP,Maryland,Texas State,Ball State,Buffalo,Syracuse,UNLV,Georgia Southern,Ohio,Florida Intl,Illinois,Rice,Bowling Green,Georgia Tech,Indiana,New Mexico State,UConn,UL Monroe,Duke")</f>
        <v>Pittsburgh,East Carolina,North Carolina,SMU,Tulane,North Texas,Tulsa,Wisconsin,Wake Forest,Michigan State,Troy,Penn State,Southern Mississippi,Liberty,James Madison,EMU,Western Michigan,Wyoming,Florida State,Navy,Kent State,Middle Tennessee,Nebraska,Florida Atlantic,Minnesota,South Alabama,Louisville,Iowa,Purdue,UTEP,Maryland,Texas State,Ball State,Buffalo,Syracuse,UNLV,Georgia Southern,Ohio,Florida Intl,Illinois,Rice,Bowling Green,Georgia Tech,Indiana,New Mexico State,UConn,UL Monroe,Duke</v>
      </c>
    </row>
    <row r="45">
      <c r="A45" s="26">
        <v>44.0</v>
      </c>
      <c r="B45" s="26">
        <v>4.0</v>
      </c>
      <c r="C45" s="26">
        <v>5.0</v>
      </c>
      <c r="D45" s="132" t="s">
        <v>166</v>
      </c>
      <c r="E45" s="133" t="str">
        <f>if(F45&lt;&gt;"",VLOOKUP(F45,offset('Teams-Conference'!A:B,0,(counta('Draft Order'!B$2:B132)-10)*2),2,0),"")</f>
        <v>ACC</v>
      </c>
      <c r="F45" s="143" t="s">
        <v>370</v>
      </c>
      <c r="G45" s="135" t="str">
        <f t="shared" si="16"/>
        <v/>
      </c>
      <c r="H45" s="122">
        <f t="shared" si="2"/>
        <v>2</v>
      </c>
      <c r="I45" s="122">
        <f t="shared" si="3"/>
        <v>3</v>
      </c>
      <c r="J45" s="122">
        <f t="shared" si="11"/>
        <v>2</v>
      </c>
      <c r="K45" s="122">
        <f t="shared" si="17"/>
        <v>0</v>
      </c>
      <c r="L45" s="122">
        <v>8.0</v>
      </c>
      <c r="M45" s="122">
        <f>IFERROR(__xludf.DUMMYFUNCTION("counta(iferror(filter(L$2:L44,E$2:E44=E45,L$2:L44&lt;L45)))"),1.0)</f>
        <v>1</v>
      </c>
      <c r="N45" s="122">
        <f>IFERROR(__xludf.DUMMYFUNCTION("counta(iferror(filter(L46:L$131,E46:E$131=E45,L46:L$134&gt;L45)))"),0.0)</f>
        <v>0</v>
      </c>
      <c r="O45" s="124">
        <f t="array" ref="O45:Z45">XLOOKUP(F45,'Current Week'!C:C,'Current Week'!D:O)</f>
        <v>8</v>
      </c>
      <c r="P45" s="122">
        <v>4.0</v>
      </c>
      <c r="Q45" s="123" t="s">
        <v>417</v>
      </c>
      <c r="R45" s="123" t="s">
        <v>183</v>
      </c>
      <c r="S45" s="123" t="s">
        <v>144</v>
      </c>
      <c r="T45" s="123" t="s">
        <v>97</v>
      </c>
      <c r="U45" s="123"/>
      <c r="V45" s="123"/>
      <c r="W45" s="123"/>
      <c r="X45" s="123"/>
      <c r="Y45" s="126"/>
      <c r="Z45" s="126"/>
      <c r="AA45" s="127">
        <f t="shared" si="4"/>
        <v>-2</v>
      </c>
      <c r="AB45" s="126">
        <f t="shared" si="5"/>
        <v>20</v>
      </c>
      <c r="AC45" s="126">
        <f>IFERROR(__xludf.DUMMYFUNCTION("iferror(COUNT(filter($O46:$O$395,$O46:$O$395&gt;$O45)))"),11.0)</f>
        <v>11</v>
      </c>
      <c r="AD45" s="128">
        <f t="shared" si="6"/>
        <v>0</v>
      </c>
      <c r="AE45" s="129">
        <f t="shared" si="7"/>
        <v>5</v>
      </c>
      <c r="AF45" s="123" t="str">
        <f>IFERROR(__xludf.DUMMYFUNCTION("iferror(join("","",index(sort(filter($F46:$F$396,$O46:$O$396&gt;$O45),2,false),0,1)))"),"North Carolina,Tulane,Oregon State,Troy,Penn State,Florida State,Kansas State,South Alabama,Tennessee,Ohio,LSU")</f>
        <v>North Carolina,Tulane,Oregon State,Troy,Penn State,Florida State,Kansas State,South Alabama,Tennessee,Ohio,LSU</v>
      </c>
      <c r="AG45" s="127">
        <f>IFERROR(__xludf.DUMMYFUNCTION("iferror($O45-max(filter($O45:$O$395,$E45:$E$395=$E$2)))"),-2.0)</f>
        <v>-2</v>
      </c>
      <c r="AH45" s="126">
        <f t="shared" si="8"/>
        <v>0</v>
      </c>
      <c r="AI45" s="126">
        <f>IFERROR(__xludf.DUMMYFUNCTION("iferror(COUNT(filter($O46:$O$395,$O46:$O$395&gt;$O45,$E45:$E$395=$E$2)))"),0.0)</f>
        <v>0</v>
      </c>
      <c r="AJ45" s="128">
        <f t="shared" si="9"/>
        <v>0</v>
      </c>
      <c r="AK45" s="129">
        <f>IFERROR(__xludf.DUMMYFUNCTION("iferror($O45-min(filter($O45:$O$395,$E45:$E$395=$E$2)))"),7.0)</f>
        <v>7</v>
      </c>
      <c r="AL45" s="123" t="str">
        <f>IFERROR(__xludf.DUMMYFUNCTION("iferror(join("","",index(sort(filter($F46:$F$395,$O46:$O$395&gt;$O45,$E46:$E$395=$E$2),2,false),0,1)))"),"Penn State")</f>
        <v>Penn State</v>
      </c>
      <c r="AM45" s="123" t="str">
        <f>IFERROR(__xludf.DUMMYFUNCTION("REGEXREPLACE(join("","",unique({let(conf_picked,filter(E$1:E44,D$1:D44=D45), byrow(unique(TRANSPOSe(Teams!$1:$1)),lambda(rw,if(ISERROR(match(rw,conf_picked,0)),rw,))));iferror(if(#REF!,,transpose(split(#REF!,"","",1,1))))})), ""^,"", """")"),"ACC,Big Ten,Pac12,CUSA,MAC,MWC,SEC")</f>
        <v>ACC,Big Ten,Pac12,CUSA,MAC,MWC,SEC</v>
      </c>
      <c r="AN45" s="127">
        <f>IFERROR(__xludf.DUMMYFUNCTION("iferror($O45-max(filter($O45:$O$395,arrayformula(isnumber(FIND($E45:$E$395,AM45))))))"),-2.0)</f>
        <v>-2</v>
      </c>
      <c r="AO45" s="126">
        <f t="array" ref="AO45">countifs($O$2:$O44,"&lt;"&amp;$O45,isnumber(FIND($E$2:$E44,AM45)),TRUE)</f>
        <v>10</v>
      </c>
      <c r="AP45" s="126">
        <f>IFERROR(__xludf.DUMMYFUNCTION("iferror(COUNT(filter($O46:$O$395,$O46:$O$395&gt;$O45,arrayformula(isnumber(FIND($E46:$E$395,AM45))))))"),7.0)</f>
        <v>7</v>
      </c>
      <c r="AQ45" s="128">
        <f t="shared" si="10"/>
        <v>0</v>
      </c>
      <c r="AR45" s="129">
        <f>IFERROR(__xludf.DUMMYFUNCTION("$O45-min(filter($O45:$O$395,arrayformula(isnumber(FIND($E45:$E$395,AM45)))))"),7.0)</f>
        <v>7</v>
      </c>
      <c r="AS45" s="123" t="str">
        <f>IFERROR(__xludf.DUMMYFUNCTION("iferror(join("","",index(sort(filter($F46:$F$395,$O46:$O$395&gt;$O45,arrayformula(isnumber(FIND($E46:$E$395,AM45)))),2,false),0,1)))"),"North Carolina,Oregon State,Penn State,Florida State,Tennessee,Ohio,LSU")</f>
        <v>North Carolina,Oregon State,Penn State,Florida State,Tennessee,Ohio,LSU</v>
      </c>
    </row>
    <row r="46">
      <c r="A46" s="26">
        <v>45.0</v>
      </c>
      <c r="B46" s="26">
        <v>4.0</v>
      </c>
      <c r="C46" s="26">
        <v>6.0</v>
      </c>
      <c r="D46" s="132" t="s">
        <v>144</v>
      </c>
      <c r="E46" s="133" t="str">
        <f>if(F46&lt;&gt;"",VLOOKUP(F46,offset('Teams-Conference'!A:B,0,(counta('Draft Order'!B$2:B132)-10)*2),2,0),"")</f>
        <v>AAC</v>
      </c>
      <c r="F46" s="138" t="s">
        <v>325</v>
      </c>
      <c r="G46" s="135" t="str">
        <f t="shared" si="16"/>
        <v/>
      </c>
      <c r="H46" s="122">
        <f t="shared" si="2"/>
        <v>3</v>
      </c>
      <c r="I46" s="122">
        <f t="shared" si="3"/>
        <v>3</v>
      </c>
      <c r="J46" s="122">
        <f t="shared" si="11"/>
        <v>0</v>
      </c>
      <c r="K46" s="122">
        <f t="shared" si="17"/>
        <v>3</v>
      </c>
      <c r="L46" s="122">
        <v>7.0</v>
      </c>
      <c r="M46" s="122">
        <f>IFERROR(__xludf.DUMMYFUNCTION("counta(iferror(filter(L$2:L45,E$2:E45=E46,L$2:L45&lt;L46)))"),2.0)</f>
        <v>2</v>
      </c>
      <c r="N46" s="122">
        <f>IFERROR(__xludf.DUMMYFUNCTION("counta(iferror(filter(L47:L$131,E47:E$131=E46,L47:L$134&gt;L46)))"),0.0)</f>
        <v>0</v>
      </c>
      <c r="O46" s="124">
        <f t="array" ref="O46:Z46">XLOOKUP(F46,'Current Week'!C:C,'Current Week'!D:O)</f>
        <v>7</v>
      </c>
      <c r="P46" s="122">
        <v>5.0</v>
      </c>
      <c r="Q46" s="123" t="s">
        <v>412</v>
      </c>
      <c r="R46" s="123" t="s">
        <v>57</v>
      </c>
      <c r="S46" s="123" t="s">
        <v>103</v>
      </c>
      <c r="T46" s="123"/>
      <c r="U46" s="123"/>
      <c r="V46" s="123"/>
      <c r="W46" s="123"/>
      <c r="X46" s="123"/>
      <c r="Y46" s="126"/>
      <c r="Z46" s="126"/>
      <c r="AA46" s="127">
        <f t="shared" si="4"/>
        <v>-3</v>
      </c>
      <c r="AB46" s="126">
        <f t="shared" si="5"/>
        <v>14</v>
      </c>
      <c r="AC46" s="126">
        <f>IFERROR(__xludf.DUMMYFUNCTION("iferror(COUNT(filter($O47:$O$395,$O47:$O$395&gt;$O46)))"),21.0)</f>
        <v>21</v>
      </c>
      <c r="AD46" s="128">
        <f t="shared" si="6"/>
        <v>0</v>
      </c>
      <c r="AE46" s="129">
        <f t="shared" si="7"/>
        <v>4</v>
      </c>
      <c r="AF46" s="123" t="str">
        <f>IFERROR(__xludf.DUMMYFUNCTION("iferror(join("","",index(sort(filter($F47:$F$396,$O47:$O$396&gt;$O46),2,false),0,1)))"),"North Carolina,Tulane,Oregon State,Troy,Penn State,Liberty,James Madison,EMU,Florida State,Kansas State,Minnesota,South Alabama,Purdue,Ole Miss,Tennessee,Ohio,Mississippi State,LSU,Illinois,South Carolina,Duke")</f>
        <v>North Carolina,Tulane,Oregon State,Troy,Penn State,Liberty,James Madison,EMU,Florida State,Kansas State,Minnesota,South Alabama,Purdue,Ole Miss,Tennessee,Ohio,Mississippi State,LSU,Illinois,South Carolina,Duke</v>
      </c>
      <c r="AG46" s="127">
        <f>IFERROR(__xludf.DUMMYFUNCTION("iferror($O46-max(filter($O46:$O$395,$E46:$E$395=$E$2)))"),-3.0)</f>
        <v>-3</v>
      </c>
      <c r="AH46" s="126">
        <f t="shared" si="8"/>
        <v>0</v>
      </c>
      <c r="AI46" s="126">
        <f>IFERROR(__xludf.DUMMYFUNCTION("iferror(COUNT(filter($O47:$O$395,$O47:$O$395&gt;$O46,$E46:$E$395=$E$2)))"),0.0)</f>
        <v>0</v>
      </c>
      <c r="AJ46" s="128">
        <f t="shared" si="9"/>
        <v>0</v>
      </c>
      <c r="AK46" s="129">
        <f>IFERROR(__xludf.DUMMYFUNCTION("iferror($O46-min(filter($O46:$O$395,$E46:$E$395=$E$2)))"),6.0)</f>
        <v>6</v>
      </c>
      <c r="AL46" s="123" t="str">
        <f>IFERROR(__xludf.DUMMYFUNCTION("iferror(join("","",index(sort(filter($F47:$F$395,$O47:$O$395&gt;$O46,$E47:$E$395=$E$2),2,false),0,1)))"),"Penn State,Minnesota,Purdue,Illinois")</f>
        <v>Penn State,Minnesota,Purdue,Illinois</v>
      </c>
      <c r="AM46" s="123" t="str">
        <f>IFERROR(__xludf.DUMMYFUNCTION("REGEXREPLACE(join("","",unique({let(conf_picked,filter(E$1:E45,D$1:D45=D46), byrow(unique(TRANSPOSe(Teams!$1:$1)),lambda(rw,if(ISERROR(match(rw,conf_picked,0)),rw,))));iferror(if(#REF!,,transpose(split(#REF!,"","",1,1))))})), ""^,"", """")"),"AAC,,Big 12,Big Ten,Pac12,CUSA,MAC,SEC")</f>
        <v>AAC,,Big 12,Big Ten,Pac12,CUSA,MAC,SEC</v>
      </c>
      <c r="AN46" s="127">
        <f>IFERROR(__xludf.DUMMYFUNCTION("iferror($O46-max(filter($O46:$O$395,arrayformula(isnumber(FIND($E46:$E$395,AM46))))))"),-3.0)</f>
        <v>-3</v>
      </c>
      <c r="AO46" s="126">
        <f t="array" ref="AO46">countifs($O$2:$O45,"&lt;"&amp;$O46,isnumber(FIND($E$2:$E45,AM46)),TRUE)</f>
        <v>8</v>
      </c>
      <c r="AP46" s="126">
        <f>IFERROR(__xludf.DUMMYFUNCTION("iferror(COUNT(filter($O47:$O$395,$O47:$O$395&gt;$O46,arrayformula(isnumber(FIND($E47:$E$395,AM46))))))"),15.0)</f>
        <v>15</v>
      </c>
      <c r="AQ46" s="128">
        <f t="shared" si="10"/>
        <v>0</v>
      </c>
      <c r="AR46" s="129">
        <f>IFERROR(__xludf.DUMMYFUNCTION("$O46-min(filter($O46:$O$395,arrayformula(isnumber(FIND($E46:$E$395,AM46)))))"),6.0)</f>
        <v>6</v>
      </c>
      <c r="AS46" s="123" t="str">
        <f>IFERROR(__xludf.DUMMYFUNCTION("iferror(join("","",index(sort(filter($F47:$F$395,$O47:$O$395&gt;$O46,arrayformula(isnumber(FIND($E47:$E$395,AM46)))),2,false),0,1)))"),"Tulane,Oregon State,Penn State,Liberty,EMU,Kansas State,Minnesota,Purdue,Ole Miss,Tennessee,Ohio,Mississippi State,LSU,Illinois,South Carolina")</f>
        <v>Tulane,Oregon State,Penn State,Liberty,EMU,Kansas State,Minnesota,Purdue,Ole Miss,Tennessee,Ohio,Mississippi State,LSU,Illinois,South Carolina</v>
      </c>
    </row>
    <row r="47">
      <c r="A47" s="26">
        <v>46.0</v>
      </c>
      <c r="B47" s="26">
        <v>4.0</v>
      </c>
      <c r="C47" s="26">
        <v>7.0</v>
      </c>
      <c r="D47" s="132" t="s">
        <v>109</v>
      </c>
      <c r="E47" s="133" t="str">
        <f>if(F47&lt;&gt;"",VLOOKUP(F47,offset('Teams-Conference'!A:B,0,(counta('Draft Order'!B$2:B132)-10)*2),2,0),"")</f>
        <v>ACC</v>
      </c>
      <c r="F47" s="143" t="s">
        <v>367</v>
      </c>
      <c r="G47" s="135" t="str">
        <f t="shared" si="16"/>
        <v/>
      </c>
      <c r="H47" s="122">
        <f t="shared" si="2"/>
        <v>2</v>
      </c>
      <c r="I47" s="122">
        <f t="shared" si="3"/>
        <v>4</v>
      </c>
      <c r="J47" s="122">
        <f t="shared" si="11"/>
        <v>2</v>
      </c>
      <c r="K47" s="122">
        <f t="shared" ref="K47:K51" si="18">countif(E28:E47,E48)</f>
        <v>1</v>
      </c>
      <c r="L47" s="122">
        <v>9.0</v>
      </c>
      <c r="M47" s="122">
        <f>IFERROR(__xludf.DUMMYFUNCTION("counta(iferror(filter(L$2:L46,E$2:E46=E47,L$2:L46&lt;L47)))"),3.0)</f>
        <v>3</v>
      </c>
      <c r="N47" s="122">
        <f>IFERROR(__xludf.DUMMYFUNCTION("counta(iferror(filter(L48:L$131,E48:E$131=E47,L48:L$134&gt;L47)))"),0.0)</f>
        <v>0</v>
      </c>
      <c r="O47" s="124">
        <f t="array" ref="O47:Z47">XLOOKUP(F47,'Current Week'!C:C,'Current Week'!D:O)</f>
        <v>9</v>
      </c>
      <c r="P47" s="122">
        <v>3.0</v>
      </c>
      <c r="Q47" s="123" t="s">
        <v>406</v>
      </c>
      <c r="R47" s="123" t="s">
        <v>183</v>
      </c>
      <c r="S47" s="123" t="s">
        <v>154</v>
      </c>
      <c r="T47" s="123"/>
      <c r="U47" s="123"/>
      <c r="V47" s="123"/>
      <c r="W47" s="123"/>
      <c r="X47" s="123"/>
      <c r="Y47" s="126"/>
      <c r="Z47" s="126"/>
      <c r="AA47" s="127">
        <f t="shared" si="4"/>
        <v>-1</v>
      </c>
      <c r="AB47" s="126">
        <f t="shared" si="5"/>
        <v>28</v>
      </c>
      <c r="AC47" s="126">
        <f>IFERROR(__xludf.DUMMYFUNCTION("iferror(COUNT(filter($O48:$O$395,$O48:$O$395&gt;$O47)))"),5.0)</f>
        <v>5</v>
      </c>
      <c r="AD47" s="128">
        <f t="shared" si="6"/>
        <v>0</v>
      </c>
      <c r="AE47" s="129">
        <f t="shared" si="7"/>
        <v>6</v>
      </c>
      <c r="AF47" s="123" t="str">
        <f>IFERROR(__xludf.DUMMYFUNCTION("iferror(join("","",index(sort(filter($F48:$F$396,$O48:$O$396&gt;$O47),2,false),0,1)))"),"Tulane,Troy,Penn State,South Alabama,Tennessee")</f>
        <v>Tulane,Troy,Penn State,South Alabama,Tennessee</v>
      </c>
      <c r="AG47" s="127">
        <f>IFERROR(__xludf.DUMMYFUNCTION("iferror($O47-max(filter($O47:$O$395,$E47:$E$395=$E$2)))"),-1.0)</f>
        <v>-1</v>
      </c>
      <c r="AH47" s="126">
        <f t="shared" si="8"/>
        <v>0</v>
      </c>
      <c r="AI47" s="126">
        <f>IFERROR(__xludf.DUMMYFUNCTION("iferror(COUNT(filter($O48:$O$395,$O48:$O$395&gt;$O47,$E47:$E$395=$E$2)))"),0.0)</f>
        <v>0</v>
      </c>
      <c r="AJ47" s="128">
        <f t="shared" si="9"/>
        <v>0</v>
      </c>
      <c r="AK47" s="129">
        <f>IFERROR(__xludf.DUMMYFUNCTION("iferror($O47-min(filter($O47:$O$395,$E47:$E$395=$E$2)))"),8.0)</f>
        <v>8</v>
      </c>
      <c r="AL47" s="123" t="str">
        <f>IFERROR(__xludf.DUMMYFUNCTION("iferror(join("","",index(sort(filter($F48:$F$395,$O48:$O$395&gt;$O47,$E48:$E$395=$E$2),2,false),0,1)))"),"Penn State")</f>
        <v>Penn State</v>
      </c>
      <c r="AM47" s="123" t="str">
        <f>IFERROR(__xludf.DUMMYFUNCTION("REGEXREPLACE(join("","",unique({let(conf_picked,filter(E$1:E46,D$1:D46=D47), byrow(unique(TRANSPOSe(Teams!$1:$1)),lambda(rw,if(ISERROR(match(rw,conf_picked,0)),rw,))));iferror(if(#REF!,,transpose(split(#REF!,"","",1,1))))})), ""^,"", """")"),"ACC,Big Ten,Pac12,CUSA,MAC,MWC,SEC")</f>
        <v>ACC,Big Ten,Pac12,CUSA,MAC,MWC,SEC</v>
      </c>
      <c r="AN47" s="127">
        <f>IFERROR(__xludf.DUMMYFUNCTION("iferror($O47-max(filter($O47:$O$395,arrayformula(isnumber(FIND($E47:$E$395,AM47))))))"),-1.0)</f>
        <v>-1</v>
      </c>
      <c r="AO47" s="126">
        <f t="array" ref="AO47">countifs($O$2:$O46,"&lt;"&amp;$O47,isnumber(FIND($E$2:$E46,AM47)),TRUE)</f>
        <v>14</v>
      </c>
      <c r="AP47" s="126">
        <f>IFERROR(__xludf.DUMMYFUNCTION("iferror(COUNT(filter($O48:$O$395,$O48:$O$395&gt;$O47,arrayformula(isnumber(FIND($E48:$E$395,AM47))))))"),2.0)</f>
        <v>2</v>
      </c>
      <c r="AQ47" s="128">
        <f t="shared" si="10"/>
        <v>0</v>
      </c>
      <c r="AR47" s="129">
        <f>IFERROR(__xludf.DUMMYFUNCTION("$O47-min(filter($O47:$O$395,arrayformula(isnumber(FIND($E47:$E$395,AM47)))))"),8.0)</f>
        <v>8</v>
      </c>
      <c r="AS47" s="123" t="str">
        <f>IFERROR(__xludf.DUMMYFUNCTION("iferror(join("","",index(sort(filter($F48:$F$395,$O48:$O$395&gt;$O47,arrayformula(isnumber(FIND($E48:$E$395,AM47)))),2,false),0,1)))"),"Penn State,Tennessee")</f>
        <v>Penn State,Tennessee</v>
      </c>
    </row>
    <row r="48">
      <c r="A48" s="26">
        <v>47.0</v>
      </c>
      <c r="B48" s="26">
        <v>4.0</v>
      </c>
      <c r="C48" s="26">
        <v>8.0</v>
      </c>
      <c r="D48" s="132" t="s">
        <v>141</v>
      </c>
      <c r="E48" s="133" t="str">
        <f>if(F48&lt;&gt;"",VLOOKUP(F48,offset('Teams-Conference'!A:B,0,(counta('Draft Order'!B$2:B132)-10)*2),2,0),"")</f>
        <v>AAC</v>
      </c>
      <c r="F48" s="146" t="s">
        <v>314</v>
      </c>
      <c r="G48" s="135" t="str">
        <f t="shared" si="16"/>
        <v/>
      </c>
      <c r="H48" s="122">
        <f t="shared" si="2"/>
        <v>2</v>
      </c>
      <c r="I48" s="122">
        <f t="shared" si="3"/>
        <v>3</v>
      </c>
      <c r="J48" s="122">
        <f t="shared" si="11"/>
        <v>1</v>
      </c>
      <c r="K48" s="122">
        <f t="shared" si="18"/>
        <v>0</v>
      </c>
      <c r="L48" s="122">
        <v>7.0</v>
      </c>
      <c r="M48" s="122">
        <f>IFERROR(__xludf.DUMMYFUNCTION("counta(iferror(filter(L$2:L47,E$2:E47=E48,L$2:L47&lt;L48)))"),2.0)</f>
        <v>2</v>
      </c>
      <c r="N48" s="122">
        <f>IFERROR(__xludf.DUMMYFUNCTION("counta(iferror(filter(L49:L$131,E49:E$131=E48,L49:L$134&gt;L48)))"),0.0)</f>
        <v>0</v>
      </c>
      <c r="O48" s="124">
        <f t="array" ref="O48:Z48">XLOOKUP(F48,'Current Week'!C:C,'Current Week'!D:O)</f>
        <v>7</v>
      </c>
      <c r="P48" s="122">
        <v>5.0</v>
      </c>
      <c r="Q48" s="123" t="s">
        <v>315</v>
      </c>
      <c r="R48" s="123" t="s">
        <v>57</v>
      </c>
      <c r="S48" s="123" t="s">
        <v>109</v>
      </c>
      <c r="T48" s="123" t="s">
        <v>105</v>
      </c>
      <c r="U48" s="123"/>
      <c r="V48" s="123"/>
      <c r="W48" s="123"/>
      <c r="X48" s="123"/>
      <c r="Y48" s="126"/>
      <c r="Z48" s="126"/>
      <c r="AA48" s="127">
        <f t="shared" si="4"/>
        <v>-3</v>
      </c>
      <c r="AB48" s="126">
        <f t="shared" si="5"/>
        <v>14</v>
      </c>
      <c r="AC48" s="126">
        <f>IFERROR(__xludf.DUMMYFUNCTION("iferror(COUNT(filter($O49:$O$395,$O49:$O$395&gt;$O48)))"),20.0)</f>
        <v>20</v>
      </c>
      <c r="AD48" s="128">
        <f t="shared" si="6"/>
        <v>0</v>
      </c>
      <c r="AE48" s="129">
        <f t="shared" si="7"/>
        <v>4</v>
      </c>
      <c r="AF48" s="123" t="str">
        <f>IFERROR(__xludf.DUMMYFUNCTION("iferror(join("","",index(sort(filter($F49:$F$396,$O49:$O$396&gt;$O48),2,false),0,1)))"),"Tulane,Oregon State,Troy,Penn State,Liberty,James Madison,EMU,Florida State,Kansas State,Minnesota,South Alabama,Purdue,Ole Miss,Tennessee,Ohio,Mississippi State,LSU,Illinois,South Carolina,Duke")</f>
        <v>Tulane,Oregon State,Troy,Penn State,Liberty,James Madison,EMU,Florida State,Kansas State,Minnesota,South Alabama,Purdue,Ole Miss,Tennessee,Ohio,Mississippi State,LSU,Illinois,South Carolina,Duke</v>
      </c>
      <c r="AG48" s="127">
        <f>IFERROR(__xludf.DUMMYFUNCTION("iferror($O48-max(filter($O48:$O$395,$E48:$E$395=$E$2)))"),-3.0)</f>
        <v>-3</v>
      </c>
      <c r="AH48" s="126">
        <f t="shared" si="8"/>
        <v>0</v>
      </c>
      <c r="AI48" s="126">
        <f>IFERROR(__xludf.DUMMYFUNCTION("iferror(COUNT(filter($O49:$O$395,$O49:$O$395&gt;$O48,$E48:$E$395=$E$2)))"),0.0)</f>
        <v>0</v>
      </c>
      <c r="AJ48" s="128">
        <f t="shared" si="9"/>
        <v>0</v>
      </c>
      <c r="AK48" s="129">
        <f>IFERROR(__xludf.DUMMYFUNCTION("iferror($O48-min(filter($O48:$O$395,$E48:$E$395=$E$2)))"),6.0)</f>
        <v>6</v>
      </c>
      <c r="AL48" s="123" t="str">
        <f>IFERROR(__xludf.DUMMYFUNCTION("iferror(join("","",index(sort(filter($F49:$F$395,$O49:$O$395&gt;$O48,$E49:$E$395=$E$2),2,false),0,1)))"),"Penn State,Minnesota,Purdue,Illinois")</f>
        <v>Penn State,Minnesota,Purdue,Illinois</v>
      </c>
      <c r="AM48" s="123" t="str">
        <f>IFERROR(__xludf.DUMMYFUNCTION("REGEXREPLACE(join("","",unique({let(conf_picked,filter(E$1:E47,D$1:D47=D48), byrow(unique(TRANSPOSe(Teams!$1:$1)),lambda(rw,if(ISERROR(match(rw,conf_picked,0)),rw,))));iferror(if(#REF!,,transpose(split(#REF!,"","",1,1))))})), ""^,"", """")"),"AAC,ACC,,Big Ten,Pac12,CUSA,MAC,Sun Belt")</f>
        <v>AAC,ACC,,Big Ten,Pac12,CUSA,MAC,Sun Belt</v>
      </c>
      <c r="AN48" s="127">
        <f>IFERROR(__xludf.DUMMYFUNCTION("iferror($O48-max(filter($O48:$O$395,arrayformula(isnumber(FIND($E48:$E$395,AM48))))))"),-3.0)</f>
        <v>-3</v>
      </c>
      <c r="AO48" s="126">
        <f t="array" ref="AO48">countifs($O$2:$O47,"&lt;"&amp;$O48,isnumber(FIND($E$2:$E47,AM48)),TRUE)</f>
        <v>9</v>
      </c>
      <c r="AP48" s="126">
        <f>IFERROR(__xludf.DUMMYFUNCTION("iferror(COUNT(filter($O49:$O$395,$O49:$O$395&gt;$O48,arrayformula(isnumber(FIND($E49:$E$395,AM48))))))"),14.0)</f>
        <v>14</v>
      </c>
      <c r="AQ48" s="128">
        <f t="shared" si="10"/>
        <v>0</v>
      </c>
      <c r="AR48" s="129">
        <f>IFERROR(__xludf.DUMMYFUNCTION("$O48-min(filter($O48:$O$395,arrayformula(isnumber(FIND($E48:$E$395,AM48)))))"),6.0)</f>
        <v>6</v>
      </c>
      <c r="AS48" s="123" t="str">
        <f>IFERROR(__xludf.DUMMYFUNCTION("iferror(join("","",index(sort(filter($F49:$F$395,$O49:$O$395&gt;$O48,arrayformula(isnumber(FIND($E49:$E$395,AM48)))),2,false),0,1)))"),"Tulane,Oregon State,Troy,Penn State,Liberty,James Madison,EMU,Florida State,Minnesota,South Alabama,Purdue,Ohio,Illinois,Duke")</f>
        <v>Tulane,Oregon State,Troy,Penn State,Liberty,James Madison,EMU,Florida State,Minnesota,South Alabama,Purdue,Ohio,Illinois,Duke</v>
      </c>
    </row>
    <row r="49">
      <c r="A49" s="26">
        <v>48.0</v>
      </c>
      <c r="B49" s="26">
        <v>4.0</v>
      </c>
      <c r="C49" s="26">
        <v>9.0</v>
      </c>
      <c r="D49" s="132" t="s">
        <v>138</v>
      </c>
      <c r="E49" s="133" t="str">
        <f>if(F49&lt;&gt;"",VLOOKUP(F49,offset('Teams-Conference'!A:B,0,(counta('Draft Order'!B$2:B132)-10)*2),2,0),"")</f>
        <v>MAC</v>
      </c>
      <c r="F49" s="143" t="s">
        <v>298</v>
      </c>
      <c r="G49" s="135" t="str">
        <f t="shared" si="16"/>
        <v/>
      </c>
      <c r="H49" s="122">
        <f t="shared" si="2"/>
        <v>0</v>
      </c>
      <c r="I49" s="122">
        <f t="shared" si="3"/>
        <v>3</v>
      </c>
      <c r="J49" s="122">
        <f t="shared" si="11"/>
        <v>0</v>
      </c>
      <c r="K49" s="122">
        <f t="shared" si="18"/>
        <v>1</v>
      </c>
      <c r="L49" s="122">
        <v>3.0</v>
      </c>
      <c r="M49" s="122">
        <f>IFERROR(__xludf.DUMMYFUNCTION("counta(iferror(filter(L$2:L48,E$2:E48=E49,L$2:L48&lt;L49)))"),0.0)</f>
        <v>0</v>
      </c>
      <c r="N49" s="122">
        <f>IFERROR(__xludf.DUMMYFUNCTION("counta(iferror(filter(L50:L$131,E50:E$131=E49,L50:L$134&gt;L49)))"),0.0)</f>
        <v>0</v>
      </c>
      <c r="O49" s="124">
        <f t="array" ref="O49:Z49">XLOOKUP(F49,'Current Week'!C:C,'Current Week'!D:O)</f>
        <v>3</v>
      </c>
      <c r="P49" s="122">
        <v>9.0</v>
      </c>
      <c r="Q49" s="123" t="s">
        <v>299</v>
      </c>
      <c r="R49" s="123" t="s">
        <v>57</v>
      </c>
      <c r="S49" s="123" t="s">
        <v>141</v>
      </c>
      <c r="T49" s="123"/>
      <c r="U49" s="123"/>
      <c r="V49" s="123"/>
      <c r="W49" s="123"/>
      <c r="X49" s="123"/>
      <c r="Y49" s="126"/>
      <c r="Z49" s="126"/>
      <c r="AA49" s="127">
        <f t="shared" si="4"/>
        <v>-7</v>
      </c>
      <c r="AB49" s="126">
        <f t="shared" si="5"/>
        <v>0</v>
      </c>
      <c r="AC49" s="126">
        <f>IFERROR(__xludf.DUMMYFUNCTION("iferror(COUNT(filter($O50:$O$395,$O50:$O$395&gt;$O49)))"),65.0)</f>
        <v>65</v>
      </c>
      <c r="AD49" s="128">
        <f t="shared" si="6"/>
        <v>0</v>
      </c>
      <c r="AE49" s="129">
        <f t="shared" si="7"/>
        <v>0</v>
      </c>
      <c r="AF49" s="123" t="str">
        <f>IFERROR(__xludf.DUMMYFUNCTION("iferror(join("","",index(sort(filter($F50:$F$396,$O50:$O$396&gt;$O49),2,false),0,1)))"),"Kentucky,Tulane,North Texas,Tulsa,Wisconsin,Wake Forest,Oregon State,Michigan State,Troy,Penn State,Southern Mississippi,Liberty,James Madison,Iowa State,EMU,Western Michigan,Wyoming,Florida State,Navy,Kent State,Middle Tennessee,Nebraska,Arkansas,Kansas "&amp;"State,Texas Tech,Washington State,Florida Atlantic,Minnesota,South Alabama,Louisville,West Virginia,California,Iowa,Purdue,Ole Miss,UTEP,Maryland,Texas State,Ball State,Florida,Buffalo,Syracuse,UNLV,Georgia Southern,Tennessee,Ohio,Kansas,Mississippi State"&amp;",Florida Intl,Rutgers,LSU,Illinois,Auburn,Rice,Bowling Green,Arizona,South Carolina,Georgia Tech,Indiana,New Mexico State,Vanderbilt,UConn,UL Monroe,Missouri,Duke")</f>
        <v>Kentucky,Tulane,North Texas,Tulsa,Wisconsin,Wake Forest,Oregon State,Michigan State,Troy,Penn State,Southern Mississippi,Liberty,James Madison,Iowa State,EMU,Western Michigan,Wyoming,Florida State,Navy,Kent State,Middle Tennessee,Nebraska,Arkansas,Kansas State,Texas Tech,Washington State,Florida Atlantic,Minnesota,South Alabama,Louisville,West Virginia,California,Iowa,Purdue,Ole Miss,UTEP,Maryland,Texas State,Ball State,Florida,Buffalo,Syracuse,UNLV,Georgia Southern,Tennessee,Ohio,Kansas,Mississippi State,Florida Intl,Rutgers,LSU,Illinois,Auburn,Rice,Bowling Green,Arizona,South Carolina,Georgia Tech,Indiana,New Mexico State,Vanderbilt,UConn,UL Monroe,Missouri,Duke</v>
      </c>
      <c r="AG49" s="127">
        <f>IFERROR(__xludf.DUMMYFUNCTION("iferror($O49-max(filter($O49:$O$395,$E49:$E$395=$E$2)))"),-7.0)</f>
        <v>-7</v>
      </c>
      <c r="AH49" s="126">
        <f t="shared" si="8"/>
        <v>0</v>
      </c>
      <c r="AI49" s="126">
        <f>IFERROR(__xludf.DUMMYFUNCTION("iferror(COUNT(filter($O50:$O$395,$O50:$O$395&gt;$O49,$E49:$E$395=$E$2)))"),0.0)</f>
        <v>0</v>
      </c>
      <c r="AJ49" s="128">
        <f t="shared" si="9"/>
        <v>0</v>
      </c>
      <c r="AK49" s="129">
        <f>IFERROR(__xludf.DUMMYFUNCTION("iferror($O49-min(filter($O49:$O$395,$E49:$E$395=$E$2)))"),2.0)</f>
        <v>2</v>
      </c>
      <c r="AL49" s="123" t="str">
        <f>IFERROR(__xludf.DUMMYFUNCTION("iferror(join("","",index(sort(filter($F50:$F$395,$O50:$O$395&gt;$O49,$E50:$E$395=$E$2),2,false),0,1)))"),"Wisconsin,Michigan State,Penn State,Nebraska,Minnesota,Iowa,Purdue,Maryland,Illinois,Indiana")</f>
        <v>Wisconsin,Michigan State,Penn State,Nebraska,Minnesota,Iowa,Purdue,Maryland,Illinois,Indiana</v>
      </c>
      <c r="AM49" s="123" t="str">
        <f>IFERROR(__xludf.DUMMYFUNCTION("REGEXREPLACE(join("","",unique({let(conf_picked,filter(E$1:E48,D$1:D48=D49), byrow(unique(TRANSPOSe(Teams!$1:$1)),lambda(rw,if(ISERROR(match(rw,conf_picked,0)),rw,))));iferror(if(#REF!,,transpose(split(#REF!,"","",1,1))))})), ""^,"", """")"),"ACC,Big 12,Big Ten,Pac12,MAC,SEC,Sun Belt")</f>
        <v>ACC,Big 12,Big Ten,Pac12,MAC,SEC,Sun Belt</v>
      </c>
      <c r="AN49" s="127">
        <f>IFERROR(__xludf.DUMMYFUNCTION("iferror($O49-max(filter($O49:$O$395,arrayformula(isnumber(FIND($E49:$E$395,AM49))))))"),-7.0)</f>
        <v>-7</v>
      </c>
      <c r="AO49" s="126">
        <f t="array" ref="AO49">countifs($O$2:$O48,"&lt;"&amp;$O49,isnumber(FIND($E$2:$E48,AM49)),TRUE)</f>
        <v>0</v>
      </c>
      <c r="AP49" s="126">
        <f>IFERROR(__xludf.DUMMYFUNCTION("iferror(COUNT(filter($O50:$O$395,$O50:$O$395&gt;$O49,arrayformula(isnumber(FIND($E50:$E$395,AM49))))))"),51.0)</f>
        <v>51</v>
      </c>
      <c r="AQ49" s="128">
        <f t="shared" si="10"/>
        <v>0</v>
      </c>
      <c r="AR49" s="129">
        <f>IFERROR(__xludf.DUMMYFUNCTION("$O49-min(filter($O49:$O$395,arrayformula(isnumber(FIND($E49:$E$395,AM49)))))"),2.0)</f>
        <v>2</v>
      </c>
      <c r="AS49" s="123" t="str">
        <f>IFERROR(__xludf.DUMMYFUNCTION("iferror(join("","",index(sort(filter($F50:$F$395,$O50:$O$395&gt;$O49,arrayformula(isnumber(FIND($E50:$E$395,AM49)))),2,false),0,1)))"),"Kentucky,Wisconsin,Wake Forest,Oregon State,Michigan State,Troy,Penn State,Liberty,James Madison,Iowa State,EMU,Western Michigan,Florida State,Kent State,Nebraska,Arkansas,Kansas State,Texas Tech,Washington State,Minnesota,South Alabama,Louisville,West Vi"&amp;"rginia,California,Iowa,Purdue,Ole Miss,Maryland,Texas State,Ball State,Florida,Buffalo,Syracuse,Georgia Southern,Tennessee,Ohio,Kansas,Mississippi State,Rutgers,LSU,Illinois,Auburn,Bowling Green,Arizona,South Carolina,Georgia Tech,Indiana,Vanderbilt,UL Mo"&amp;"nroe,Missouri,Duke")</f>
        <v>Kentucky,Wisconsin,Wake Forest,Oregon State,Michigan State,Troy,Penn State,Liberty,James Madison,Iowa State,EMU,Western Michigan,Florida State,Kent State,Nebraska,Arkansas,Kansas State,Texas Tech,Washington State,Minnesota,South Alabama,Louisville,West Virginia,California,Iowa,Purdue,Ole Miss,Maryland,Texas State,Ball State,Florida,Buffalo,Syracuse,Georgia Southern,Tennessee,Ohio,Kansas,Mississippi State,Rutgers,LSU,Illinois,Auburn,Bowling Green,Arizona,South Carolina,Georgia Tech,Indiana,Vanderbilt,UL Monroe,Missouri,Duke</v>
      </c>
    </row>
    <row r="50">
      <c r="A50" s="26">
        <v>49.0</v>
      </c>
      <c r="B50" s="26">
        <v>4.0</v>
      </c>
      <c r="C50" s="26">
        <v>10.0</v>
      </c>
      <c r="D50" s="132" t="s">
        <v>59</v>
      </c>
      <c r="E50" s="133" t="str">
        <f>if(F50&lt;&gt;"",VLOOKUP(F50,offset('Teams-Conference'!A:B,0,(counta('Draft Order'!B$2:B132)-10)*2),2,0),"")</f>
        <v>SEC</v>
      </c>
      <c r="F50" s="143" t="s">
        <v>283</v>
      </c>
      <c r="G50" s="135" t="str">
        <f t="shared" si="16"/>
        <v/>
      </c>
      <c r="H50" s="122">
        <f t="shared" si="2"/>
        <v>0</v>
      </c>
      <c r="I50" s="122">
        <f t="shared" si="3"/>
        <v>0</v>
      </c>
      <c r="J50" s="122">
        <f t="shared" si="11"/>
        <v>0</v>
      </c>
      <c r="K50" s="122">
        <f t="shared" si="18"/>
        <v>2</v>
      </c>
      <c r="L50" s="122">
        <v>7.0</v>
      </c>
      <c r="M50" s="122">
        <f>IFERROR(__xludf.DUMMYFUNCTION("counta(iferror(filter(L$2:L49,E$2:E49=E50,L$2:L49&lt;L50)))"),1.0)</f>
        <v>1</v>
      </c>
      <c r="N50" s="122">
        <f>IFERROR(__xludf.DUMMYFUNCTION("counta(iferror(filter(L51:L$131,E51:E$131=E50,L51:L$134&gt;L50)))"),0.0)</f>
        <v>0</v>
      </c>
      <c r="O50" s="124">
        <f t="array" ref="O50:Z50">XLOOKUP(F50,'Current Week'!C:C,'Current Week'!D:O)</f>
        <v>7</v>
      </c>
      <c r="P50" s="122">
        <v>5.0</v>
      </c>
      <c r="Q50" s="123"/>
      <c r="R50" s="125" t="s">
        <v>57</v>
      </c>
      <c r="S50" s="123" t="s">
        <v>141</v>
      </c>
      <c r="T50" s="123"/>
      <c r="U50" s="126"/>
      <c r="V50" s="126"/>
      <c r="W50" s="126"/>
      <c r="X50" s="126"/>
      <c r="Y50" s="126"/>
      <c r="Z50" s="126"/>
      <c r="AA50" s="127">
        <f t="shared" si="4"/>
        <v>-3</v>
      </c>
      <c r="AB50" s="126">
        <f t="shared" si="5"/>
        <v>15</v>
      </c>
      <c r="AC50" s="126">
        <f>IFERROR(__xludf.DUMMYFUNCTION("iferror(COUNT(filter($O51:$O$395,$O51:$O$395&gt;$O50)))"),20.0)</f>
        <v>20</v>
      </c>
      <c r="AD50" s="128">
        <f t="shared" si="6"/>
        <v>0</v>
      </c>
      <c r="AE50" s="129">
        <f t="shared" si="7"/>
        <v>4</v>
      </c>
      <c r="AF50" s="123" t="str">
        <f>IFERROR(__xludf.DUMMYFUNCTION("iferror(join("","",index(sort(filter($F51:$F$396,$O51:$O$396&gt;$O50),2,false),0,1)))"),"Tulane,Oregon State,Troy,Penn State,Liberty,James Madison,EMU,Florida State,Kansas State,Minnesota,South Alabama,Purdue,Ole Miss,Tennessee,Ohio,Mississippi State,LSU,Illinois,South Carolina,Duke")</f>
        <v>Tulane,Oregon State,Troy,Penn State,Liberty,James Madison,EMU,Florida State,Kansas State,Minnesota,South Alabama,Purdue,Ole Miss,Tennessee,Ohio,Mississippi State,LSU,Illinois,South Carolina,Duke</v>
      </c>
      <c r="AG50" s="127">
        <f>IFERROR(__xludf.DUMMYFUNCTION("iferror($O50-max(filter($O50:$O$395,$E50:$E$395=$E$2)))"),-3.0)</f>
        <v>-3</v>
      </c>
      <c r="AH50" s="126">
        <f t="shared" si="8"/>
        <v>0</v>
      </c>
      <c r="AI50" s="126">
        <f>IFERROR(__xludf.DUMMYFUNCTION("iferror(COUNT(filter($O51:$O$395,$O51:$O$395&gt;$O50,$E50:$E$395=$E$2)))"),0.0)</f>
        <v>0</v>
      </c>
      <c r="AJ50" s="128">
        <f t="shared" si="9"/>
        <v>0</v>
      </c>
      <c r="AK50" s="129">
        <f>IFERROR(__xludf.DUMMYFUNCTION("iferror($O50-min(filter($O50:$O$395,$E50:$E$395=$E$2)))"),6.0)</f>
        <v>6</v>
      </c>
      <c r="AL50" s="123" t="str">
        <f>IFERROR(__xludf.DUMMYFUNCTION("iferror(join("","",index(sort(filter($F51:$F$395,$O51:$O$395&gt;$O50,$E51:$E$395=$E$2),2,false),0,1)))"),"Penn State,Minnesota,Purdue,Illinois")</f>
        <v>Penn State,Minnesota,Purdue,Illinois</v>
      </c>
      <c r="AM50" s="123" t="str">
        <f>IFERROR(__xludf.DUMMYFUNCTION("REGEXREPLACE(join("","",unique({let(conf_picked,filter(E$1:E49,D$1:D49=D50), byrow(unique(TRANSPOSe(Teams!$1:$1)),lambda(rw,if(ISERROR(match(rw,conf_picked,0)),rw,))));iferror(if(#REF!,,transpose(split(#REF!,"","",1,1))))})), ""^,"", """")"),"AAC,ACC,Big 12,,Pac12,CUSA,MWC,SEC")</f>
        <v>AAC,ACC,Big 12,,Pac12,CUSA,MWC,SEC</v>
      </c>
      <c r="AN50" s="127">
        <f>IFERROR(__xludf.DUMMYFUNCTION("iferror($O50-max(filter($O50:$O$395,arrayformula(isnumber(FIND($E50:$E$395,AM50))))))"),-3.0)</f>
        <v>-3</v>
      </c>
      <c r="AO50" s="126">
        <f t="array" ref="AO50">countifs($O$2:$O49,"&lt;"&amp;$O50,isnumber(FIND($E$2:$E49,AM50)),TRUE)</f>
        <v>9</v>
      </c>
      <c r="AP50" s="126">
        <f>IFERROR(__xludf.DUMMYFUNCTION("iferror(COUNT(filter($O51:$O$395,$O51:$O$395&gt;$O50,arrayformula(isnumber(FIND($E51:$E$395,AM50))))))"),10.0)</f>
        <v>10</v>
      </c>
      <c r="AQ50" s="128">
        <f t="shared" si="10"/>
        <v>0</v>
      </c>
      <c r="AR50" s="129">
        <f>IFERROR(__xludf.DUMMYFUNCTION("$O50-min(filter($O50:$O$395,arrayformula(isnumber(FIND($E50:$E$395,AM50)))))"),6.0)</f>
        <v>6</v>
      </c>
      <c r="AS50" s="123" t="str">
        <f>IFERROR(__xludf.DUMMYFUNCTION("iferror(join("","",index(sort(filter($F51:$F$395,$O51:$O$395&gt;$O50,arrayformula(isnumber(FIND($E51:$E$395,AM50)))),2,false),0,1)))"),"Tulane,Oregon State,Florida State,Kansas State,Ole Miss,Tennessee,Mississippi State,LSU,South Carolina,Duke")</f>
        <v>Tulane,Oregon State,Florida State,Kansas State,Ole Miss,Tennessee,Mississippi State,LSU,South Carolina,Duke</v>
      </c>
    </row>
    <row r="51">
      <c r="A51" s="26">
        <v>50.0</v>
      </c>
      <c r="B51" s="26">
        <v>4.0</v>
      </c>
      <c r="C51" s="26">
        <v>11.0</v>
      </c>
      <c r="D51" s="132" t="s">
        <v>178</v>
      </c>
      <c r="E51" s="133" t="str">
        <f>if(F51&lt;&gt;"",VLOOKUP(F51,offset('Teams-Conference'!A:B,0,(counta('Draft Order'!B$2:B132)-10)*2),2,0),"")</f>
        <v>AAC</v>
      </c>
      <c r="F51" s="143" t="s">
        <v>267</v>
      </c>
      <c r="G51" s="135" t="str">
        <f t="shared" si="16"/>
        <v/>
      </c>
      <c r="H51" s="122">
        <f t="shared" si="2"/>
        <v>1</v>
      </c>
      <c r="I51" s="122">
        <f t="shared" si="3"/>
        <v>2</v>
      </c>
      <c r="J51" s="122">
        <f t="shared" si="11"/>
        <v>2</v>
      </c>
      <c r="K51" s="122">
        <f t="shared" si="18"/>
        <v>0</v>
      </c>
      <c r="L51" s="122">
        <v>10.0</v>
      </c>
      <c r="M51" s="122">
        <f>IFERROR(__xludf.DUMMYFUNCTION("counta(iferror(filter(L$2:L50,E$2:E50=E51,L$2:L50&lt;L51)))"),7.0)</f>
        <v>7</v>
      </c>
      <c r="N51" s="122">
        <f>IFERROR(__xludf.DUMMYFUNCTION("counta(iferror(filter(L52:L$131,E52:E$131=E51,L52:L$134&gt;L51)))"),0.0)</f>
        <v>0</v>
      </c>
      <c r="O51" s="124">
        <f t="array" ref="O51:Z51">XLOOKUP(F51,'Current Week'!C:C,'Current Week'!D:O)</f>
        <v>10</v>
      </c>
      <c r="P51" s="122">
        <v>2.0</v>
      </c>
      <c r="Q51" s="123" t="s">
        <v>268</v>
      </c>
      <c r="R51" s="123" t="s">
        <v>57</v>
      </c>
      <c r="S51" s="123" t="s">
        <v>138</v>
      </c>
      <c r="T51" s="123"/>
      <c r="U51" s="123"/>
      <c r="V51" s="123"/>
      <c r="W51" s="123"/>
      <c r="X51" s="123"/>
      <c r="Y51" s="126"/>
      <c r="Z51" s="126"/>
      <c r="AA51" s="127">
        <f t="shared" si="4"/>
        <v>0</v>
      </c>
      <c r="AB51" s="126">
        <f t="shared" si="5"/>
        <v>40</v>
      </c>
      <c r="AC51" s="126">
        <f>IFERROR(__xludf.DUMMYFUNCTION("iferror(COUNT(filter($O52:$O$395,$O52:$O$395&gt;$O51)))"),0.0)</f>
        <v>0</v>
      </c>
      <c r="AD51" s="128">
        <f t="shared" si="6"/>
        <v>1</v>
      </c>
      <c r="AE51" s="129">
        <f t="shared" si="7"/>
        <v>7</v>
      </c>
      <c r="AF51" s="123" t="str">
        <f>IFERROR(__xludf.DUMMYFUNCTION("iferror(join("","",index(sort(filter($F52:$F$396,$O52:$O$396&gt;$O51),2,false),0,1)))"),"")</f>
        <v/>
      </c>
      <c r="AG51" s="127">
        <f>IFERROR(__xludf.DUMMYFUNCTION("iferror($O51-max(filter($O51:$O$395,$E51:$E$395=$E$2)))"),0.0)</f>
        <v>0</v>
      </c>
      <c r="AH51" s="126">
        <f t="shared" si="8"/>
        <v>0</v>
      </c>
      <c r="AI51" s="126">
        <f>IFERROR(__xludf.DUMMYFUNCTION("iferror(COUNT(filter($O52:$O$395,$O52:$O$395&gt;$O51,$E51:$E$395=$E$2)))"),0.0)</f>
        <v>0</v>
      </c>
      <c r="AJ51" s="128">
        <f t="shared" si="9"/>
        <v>1</v>
      </c>
      <c r="AK51" s="129">
        <f>IFERROR(__xludf.DUMMYFUNCTION("iferror($O51-min(filter($O51:$O$395,$E51:$E$395=$E$2)))"),9.0)</f>
        <v>9</v>
      </c>
      <c r="AL51" s="123" t="str">
        <f>IFERROR(__xludf.DUMMYFUNCTION("iferror(join("","",index(sort(filter($F52:$F$395,$O52:$O$395&gt;$O51,$E52:$E$395=$E$2),2,false),0,1)))"),"")</f>
        <v/>
      </c>
      <c r="AM51" s="123" t="str">
        <f>IFERROR(__xludf.DUMMYFUNCTION("REGEXREPLACE(join("","",unique({let(conf_picked,filter(E$1:E50,D$1:D50=D51), byrow(unique(TRANSPOSe(Teams!$1:$1)),lambda(rw,if(ISERROR(match(rw,conf_picked,0)),rw,))));iferror(if(#REF!,,transpose(split(#REF!,"","",1,1))))})), ""^,"", """")"),"AAC,ACC,Big 12,Big Ten,,MWC,SEC,Sun Belt")</f>
        <v>AAC,ACC,Big 12,Big Ten,,MWC,SEC,Sun Belt</v>
      </c>
      <c r="AN51" s="127">
        <f>IFERROR(__xludf.DUMMYFUNCTION("iferror($O51-max(filter($O51:$O$395,arrayformula(isnumber(FIND($E51:$E$395,AM51))))))"),0.0)</f>
        <v>0</v>
      </c>
      <c r="AO51" s="126">
        <f t="array" ref="AO51">countifs($O$2:$O50,"&lt;"&amp;$O51,isnumber(FIND($E$2:$E50,AM51)),TRUE)</f>
        <v>31</v>
      </c>
      <c r="AP51" s="126">
        <f>IFERROR(__xludf.DUMMYFUNCTION("iferror(COUNT(filter($O52:$O$395,$O52:$O$395&gt;$O51,arrayformula(isnumber(FIND($E52:$E$395,AM51))))))"),0.0)</f>
        <v>0</v>
      </c>
      <c r="AQ51" s="128">
        <f t="shared" si="10"/>
        <v>1</v>
      </c>
      <c r="AR51" s="129">
        <f>IFERROR(__xludf.DUMMYFUNCTION("$O51-min(filter($O51:$O$395,arrayformula(isnumber(FIND($E51:$E$395,AM51)))))"),9.0)</f>
        <v>9</v>
      </c>
      <c r="AS51" s="123" t="str">
        <f>IFERROR(__xludf.DUMMYFUNCTION("iferror(join("","",index(sort(filter($F52:$F$395,$O52:$O$395&gt;$O51,arrayformula(isnumber(FIND($E52:$E$395,AM51)))),2,false),0,1)))"),"")</f>
        <v/>
      </c>
    </row>
    <row r="52">
      <c r="A52" s="26">
        <v>51.0</v>
      </c>
      <c r="B52" s="26">
        <v>4.0</v>
      </c>
      <c r="C52" s="26">
        <v>12.0</v>
      </c>
      <c r="D52" s="132" t="s">
        <v>131</v>
      </c>
      <c r="E52" t="str">
        <f>if(F52&lt;&gt;"",VLOOKUP(F52,offset('Teams-Conference'!A:B,0,(counta('Draft Order'!B$2:B132)-10)*2),2,0),"")</f>
        <v>CUSA</v>
      </c>
      <c r="F52" s="143" t="s">
        <v>204</v>
      </c>
      <c r="G52" s="135" t="str">
        <f t="shared" si="16"/>
        <v/>
      </c>
      <c r="H52" s="122">
        <f t="shared" si="2"/>
        <v>1</v>
      </c>
      <c r="I52" s="122">
        <f t="shared" si="3"/>
        <v>2</v>
      </c>
      <c r="J52" s="122">
        <f t="shared" si="11"/>
        <v>0</v>
      </c>
      <c r="K52" s="122">
        <f>countif(E33:E52,E54)</f>
        <v>3</v>
      </c>
      <c r="L52" s="122">
        <v>7.0</v>
      </c>
      <c r="M52" s="122">
        <f>IFERROR(__xludf.DUMMYFUNCTION("counta(iferror(filter(L$2:L51,E$2:E51=E52,L$2:L51&lt;L52)))"),1.0)</f>
        <v>1</v>
      </c>
      <c r="N52" s="122">
        <f>IFERROR(__xludf.DUMMYFUNCTION("counta(iferror(filter(L53:L$131,E53:E$131=E52,L53:L$134&gt;L52)))"),0.0)</f>
        <v>0</v>
      </c>
      <c r="O52" s="124">
        <f t="array" ref="O52:Z52">XLOOKUP(F52,'Current Week'!C:C,'Current Week'!D:O)</f>
        <v>7</v>
      </c>
      <c r="P52" s="122">
        <v>5.0</v>
      </c>
      <c r="Q52" s="123" t="s">
        <v>205</v>
      </c>
      <c r="R52" s="123" t="s">
        <v>57</v>
      </c>
      <c r="S52" s="123" t="s">
        <v>116</v>
      </c>
      <c r="T52" s="123"/>
      <c r="U52" s="123"/>
      <c r="V52" s="123"/>
      <c r="W52" s="123"/>
      <c r="X52" s="123"/>
      <c r="Y52" s="126"/>
      <c r="Z52" s="126"/>
      <c r="AA52" s="127">
        <f t="shared" si="4"/>
        <v>-3</v>
      </c>
      <c r="AB52" s="126">
        <f t="shared" si="5"/>
        <v>15</v>
      </c>
      <c r="AC52" s="126">
        <f>IFERROR(__xludf.DUMMYFUNCTION("iferror(COUNT(filter($O53:$O$395,$O53:$O$395&gt;$O52)))"),19.0)</f>
        <v>19</v>
      </c>
      <c r="AD52" s="128">
        <f t="shared" si="6"/>
        <v>0</v>
      </c>
      <c r="AE52" s="129">
        <f t="shared" si="7"/>
        <v>4</v>
      </c>
      <c r="AF52" s="123" t="str">
        <f>IFERROR(__xludf.DUMMYFUNCTION("iferror(join("","",index(sort(filter($F53:$F$396,$O53:$O$396&gt;$O52),2,false),0,1)))"),"Oregon State,Troy,Penn State,Liberty,James Madison,EMU,Florida State,Kansas State,Minnesota,South Alabama,Purdue,Ole Miss,Tennessee,Ohio,Mississippi State,LSU,Illinois,South Carolina,Duke")</f>
        <v>Oregon State,Troy,Penn State,Liberty,James Madison,EMU,Florida State,Kansas State,Minnesota,South Alabama,Purdue,Ole Miss,Tennessee,Ohio,Mississippi State,LSU,Illinois,South Carolina,Duke</v>
      </c>
      <c r="AG52" s="127">
        <f>IFERROR(__xludf.DUMMYFUNCTION("iferror($O52-max(filter($O52:$O$395,$E52:$E$395=$E$2)))"),-3.0)</f>
        <v>-3</v>
      </c>
      <c r="AH52" s="126">
        <f t="shared" si="8"/>
        <v>0</v>
      </c>
      <c r="AI52" s="126">
        <f>IFERROR(__xludf.DUMMYFUNCTION("iferror(COUNT(filter($O53:$O$395,$O53:$O$395&gt;$O52,$E52:$E$395=$E$2)))"),0.0)</f>
        <v>0</v>
      </c>
      <c r="AJ52" s="128">
        <f t="shared" si="9"/>
        <v>0</v>
      </c>
      <c r="AK52" s="129">
        <f>IFERROR(__xludf.DUMMYFUNCTION("iferror($O52-min(filter($O52:$O$395,$E52:$E$395=$E$2)))"),6.0)</f>
        <v>6</v>
      </c>
      <c r="AL52" s="123" t="str">
        <f>IFERROR(__xludf.DUMMYFUNCTION("iferror(join("","",index(sort(filter($F53:$F$395,$O53:$O$395&gt;$O52,$E53:$E$395=$E$2),2,false),0,1)))"),"Penn State,Minnesota,Purdue,Illinois")</f>
        <v>Penn State,Minnesota,Purdue,Illinois</v>
      </c>
      <c r="AM52" s="123" t="str">
        <f>IFERROR(__xludf.DUMMYFUNCTION("REGEXREPLACE(join("","",unique({let(conf_picked,filter(E$1:E51,D$1:D51=D52), byrow(unique(TRANSPOSe(Teams!$1:$1)),lambda(rw,if(ISERROR(match(rw,conf_picked,0)),rw,))));iferror(if(#REF!,,transpose(split(#REF!,"","",1,1))))})), ""^,"", """")"),"AAC,,Big 12,Big Ten,Pac12,CUSA,SEC,Sun Belt")</f>
        <v>AAC,,Big 12,Big Ten,Pac12,CUSA,SEC,Sun Belt</v>
      </c>
      <c r="AN52" s="127">
        <f>IFERROR(__xludf.DUMMYFUNCTION("iferror($O52-max(filter($O52:$O$395,arrayformula(isnumber(FIND($E52:$E$395,AM52))))))"),-3.0)</f>
        <v>-3</v>
      </c>
      <c r="AO52" s="126">
        <f t="array" ref="AO52">countifs($O$2:$O51,"&lt;"&amp;$O52,isnumber(FIND($E$2:$E51,AM52)),TRUE)</f>
        <v>9</v>
      </c>
      <c r="AP52" s="126">
        <f>IFERROR(__xludf.DUMMYFUNCTION("iferror(COUNT(filter($O53:$O$395,$O53:$O$395&gt;$O52,arrayformula(isnumber(FIND($E53:$E$395,AM52))))))"),14.0)</f>
        <v>14</v>
      </c>
      <c r="AQ52" s="128">
        <f t="shared" si="10"/>
        <v>0</v>
      </c>
      <c r="AR52" s="129">
        <f>IFERROR(__xludf.DUMMYFUNCTION("$O52-min(filter($O52:$O$395,arrayformula(isnumber(FIND($E52:$E$395,AM52)))))"),6.0)</f>
        <v>6</v>
      </c>
      <c r="AS52" s="123" t="str">
        <f>IFERROR(__xludf.DUMMYFUNCTION("iferror(join("","",index(sort(filter($F53:$F$395,$O53:$O$395&gt;$O52,arrayformula(isnumber(FIND($E53:$E$395,AM52)))),2,false),0,1)))"),"Oregon State,Troy,Penn State,James Madison,Kansas State,Minnesota,South Alabama,Purdue,Ole Miss,Tennessee,Mississippi State,LSU,Illinois,South Carolina")</f>
        <v>Oregon State,Troy,Penn State,James Madison,Kansas State,Minnesota,South Alabama,Purdue,Ole Miss,Tennessee,Mississippi State,LSU,Illinois,South Carolina</v>
      </c>
    </row>
    <row r="53">
      <c r="A53" s="156">
        <v>52.0</v>
      </c>
      <c r="B53" s="156">
        <v>4.0</v>
      </c>
      <c r="C53" s="156">
        <v>13.0</v>
      </c>
      <c r="D53" s="157" t="s">
        <v>53</v>
      </c>
      <c r="E53" s="158" t="str">
        <f>if(F53&lt;&gt;"",VLOOKUP(F53,offset('Teams-Conference'!A:B,0,(counta('Draft Order'!B$2:B132)-10)*2),2,0),"")</f>
        <v>ACC</v>
      </c>
      <c r="F53" s="159" t="s">
        <v>155</v>
      </c>
      <c r="G53" s="160" t="str">
        <f t="shared" si="16"/>
        <v/>
      </c>
      <c r="H53" s="122">
        <f t="shared" si="2"/>
        <v>1</v>
      </c>
      <c r="I53" s="122">
        <f t="shared" si="3"/>
        <v>3</v>
      </c>
      <c r="J53" s="122">
        <f t="shared" si="11"/>
        <v>2</v>
      </c>
      <c r="K53" s="123"/>
      <c r="L53" s="122">
        <v>3.0</v>
      </c>
      <c r="M53" s="122">
        <f>IFERROR(__xludf.DUMMYFUNCTION("counta(iferror(filter(L$2:L52,E$2:E52=E53,L$2:L52&lt;L53)))"),0.0)</f>
        <v>0</v>
      </c>
      <c r="N53" s="122">
        <f>IFERROR(__xludf.DUMMYFUNCTION("counta(iferror(filter(L54:L$131,E54:E$131=E53,L54:L$134&gt;L53)))"),0.0)</f>
        <v>0</v>
      </c>
      <c r="O53" s="124">
        <f t="array" ref="O53:Z53">XLOOKUP(F53,'Current Week'!C:C,'Current Week'!D:O)</f>
        <v>3</v>
      </c>
      <c r="P53" s="122">
        <v>7.0</v>
      </c>
      <c r="Q53" s="123" t="s">
        <v>158</v>
      </c>
      <c r="R53" s="123" t="s">
        <v>161</v>
      </c>
      <c r="S53" s="123" t="s">
        <v>148</v>
      </c>
      <c r="T53" s="123" t="s">
        <v>162</v>
      </c>
      <c r="U53" s="123"/>
      <c r="V53" s="123"/>
      <c r="W53" s="123"/>
      <c r="X53" s="123"/>
      <c r="Y53" s="126"/>
      <c r="Z53" s="126"/>
      <c r="AA53" s="127">
        <f t="shared" si="4"/>
        <v>-7</v>
      </c>
      <c r="AB53" s="126">
        <f t="shared" si="5"/>
        <v>0</v>
      </c>
      <c r="AC53" s="126">
        <f>IFERROR(__xludf.DUMMYFUNCTION("iferror(COUNT(filter($O54:$O$395,$O54:$O$395&gt;$O53)))"),62.0)</f>
        <v>62</v>
      </c>
      <c r="AD53" s="128">
        <f t="shared" si="6"/>
        <v>0</v>
      </c>
      <c r="AE53" s="129">
        <f t="shared" si="7"/>
        <v>0</v>
      </c>
      <c r="AF53" s="123" t="str">
        <f>IFERROR(__xludf.DUMMYFUNCTION("iferror(join("","",index(sort(filter($F54:$F$396,$O54:$O$396&gt;$O53),2,false),0,1)))"),"Tulsa,Wisconsin,Wake Forest,Oregon State,Michigan State,Troy,Penn State,Southern Mississippi,Liberty,James Madison,Iowa State,EMU,Western Michigan,Wyoming,Florida State,Navy,Kent State,Middle Tennessee,Nebraska,Arkansas,Kansas State,Texas Tech,Washington "&amp;"State,Florida Atlantic,Minnesota,South Alabama,Louisville,West Virginia,California,Iowa,Purdue,Ole Miss,UTEP,Maryland,Texas State,Ball State,Florida,Buffalo,Syracuse,UNLV,Georgia Southern,Tennessee,Ohio,Kansas,Mississippi State,Florida Intl,Rutgers,LSU,Il"&amp;"linois,Auburn,Rice,Bowling Green,Arizona,South Carolina,Georgia Tech,Indiana,New Mexico State,Vanderbilt,UConn,UL Monroe,Missouri,Duke")</f>
        <v>Tulsa,Wisconsin,Wake Forest,Oregon State,Michigan State,Troy,Penn State,Southern Mississippi,Liberty,James Madison,Iowa State,EMU,Western Michigan,Wyoming,Florida State,Navy,Kent State,Middle Tennessee,Nebraska,Arkansas,Kansas State,Texas Tech,Washington State,Florida Atlantic,Minnesota,South Alabama,Louisville,West Virginia,California,Iowa,Purdue,Ole Miss,UTEP,Maryland,Texas State,Ball State,Florida,Buffalo,Syracuse,UNLV,Georgia Southern,Tennessee,Ohio,Kansas,Mississippi State,Florida Intl,Rutgers,LSU,Illinois,Auburn,Rice,Bowling Green,Arizona,South Carolina,Georgia Tech,Indiana,New Mexico State,Vanderbilt,UConn,UL Monroe,Missouri,Duke</v>
      </c>
      <c r="AG53" s="127">
        <f>IFERROR(__xludf.DUMMYFUNCTION("iferror($O53-max(filter($O53:$O$395,$E53:$E$395=$E$2)))"),-7.0)</f>
        <v>-7</v>
      </c>
      <c r="AH53" s="126">
        <f t="shared" si="8"/>
        <v>0</v>
      </c>
      <c r="AI53" s="126">
        <f>IFERROR(__xludf.DUMMYFUNCTION("iferror(COUNT(filter($O54:$O$395,$O54:$O$395&gt;$O53,$E53:$E$395=$E$2)))"),0.0)</f>
        <v>0</v>
      </c>
      <c r="AJ53" s="128">
        <f t="shared" si="9"/>
        <v>0</v>
      </c>
      <c r="AK53" s="129">
        <f>IFERROR(__xludf.DUMMYFUNCTION("iferror($O53-min(filter($O53:$O$395,$E53:$E$395=$E$2)))"),2.0)</f>
        <v>2</v>
      </c>
      <c r="AL53" s="123" t="str">
        <f>IFERROR(__xludf.DUMMYFUNCTION("iferror(join("","",index(sort(filter($F54:$F$395,$O54:$O$395&gt;$O53,$E54:$E$395=$E$2),2,false),0,1)))"),"Wisconsin,Michigan State,Penn State,Nebraska,Minnesota,Iowa,Purdue,Maryland,Illinois,Indiana")</f>
        <v>Wisconsin,Michigan State,Penn State,Nebraska,Minnesota,Iowa,Purdue,Maryland,Illinois,Indiana</v>
      </c>
      <c r="AM53" s="123" t="str">
        <f>IFERROR(__xludf.DUMMYFUNCTION("REGEXREPLACE(join("","",unique({let(conf_picked,filter(E$1:E52,D$1:D52=D53), byrow(unique(TRANSPOSe(Teams!$1:$1)),lambda(rw,if(ISERROR(match(rw,conf_picked,0)),rw,))));iferror(if(#REF!,,transpose(split(#REF!,"","",1,1))))})), ""^,"", """")"),"AAC,ACC,,CUSA,MAC,MWC,SEC,Sun Belt")</f>
        <v>AAC,ACC,,CUSA,MAC,MWC,SEC,Sun Belt</v>
      </c>
      <c r="AN53" s="127">
        <f>IFERROR(__xludf.DUMMYFUNCTION("iferror($O53-max(filter($O53:$O$395,arrayformula(isnumber(FIND($E53:$E$395,AM53))))))"),-7.0)</f>
        <v>-7</v>
      </c>
      <c r="AO53" s="126">
        <f t="array" ref="AO53">countifs($O$2:$O52,"&lt;"&amp;$O53,isnumber(FIND($E$2:$E52,AM53)),TRUE)</f>
        <v>0</v>
      </c>
      <c r="AP53" s="126">
        <f>IFERROR(__xludf.DUMMYFUNCTION("iferror(COUNT(filter($O54:$O$395,$O54:$O$395&gt;$O53,arrayformula(isnumber(FIND($E54:$E$395,AM53))))))"),41.0)</f>
        <v>41</v>
      </c>
      <c r="AQ53" s="128">
        <f t="shared" si="10"/>
        <v>0</v>
      </c>
      <c r="AR53" s="129">
        <f>IFERROR(__xludf.DUMMYFUNCTION("$O53-min(filter($O53:$O$395,arrayformula(isnumber(FIND($E53:$E$395,AM53)))))"),2.0)</f>
        <v>2</v>
      </c>
      <c r="AS53" s="123" t="str">
        <f>IFERROR(__xludf.DUMMYFUNCTION("iferror(join("","",index(sort(filter($F54:$F$395,$O54:$O$395&gt;$O53,arrayformula(isnumber(FIND($E54:$E$395,AM53)))),2,false),0,1)))"),"Tulsa,Wake Forest,Troy,Southern Mississippi,Liberty,James Madison,EMU,Western Michigan,Wyoming,Florida State,Navy,Kent State,Middle Tennessee,Arkansas,Florida Atlantic,South Alabama,Louisville,Ole Miss,UTEP,Texas State,Ball State,Florida,Buffalo,Syracuse,"&amp;"UNLV,Georgia Southern,Tennessee,Ohio,Mississippi State,Florida Intl,LSU,Auburn,Rice,Bowling Green,South Carolina,Georgia Tech,New Mexico State,UConn,UL Monroe,Missouri,Duke")</f>
        <v>Tulsa,Wake Forest,Troy,Southern Mississippi,Liberty,James Madison,EMU,Western Michigan,Wyoming,Florida State,Navy,Kent State,Middle Tennessee,Arkansas,Florida Atlantic,South Alabama,Louisville,Ole Miss,UTEP,Texas State,Ball State,Florida,Buffalo,Syracuse,UNLV,Georgia Southern,Tennessee,Ohio,Mississippi State,Florida Intl,LSU,Auburn,Rice,Bowling Green,South Carolina,Georgia Tech,New Mexico State,UConn,UL Monroe,Missouri,Duke</v>
      </c>
    </row>
    <row r="54">
      <c r="A54" s="110">
        <v>53.0</v>
      </c>
      <c r="B54" s="110">
        <v>5.0</v>
      </c>
      <c r="C54" s="110">
        <v>1.0</v>
      </c>
      <c r="D54" s="111" t="s">
        <v>53</v>
      </c>
      <c r="E54" s="113" t="str">
        <f>if(F54&lt;&gt;"",VLOOKUP(F54,offset('Teams-Conference'!A:B,0,(counta('Draft Order'!B$2:B132)-10)*2),2,0),"")</f>
        <v>AAC</v>
      </c>
      <c r="F54" s="115" t="s">
        <v>195</v>
      </c>
      <c r="G54" s="119" t="str">
        <f t="shared" si="16"/>
        <v/>
      </c>
      <c r="H54" s="122">
        <f t="shared" si="2"/>
        <v>0</v>
      </c>
      <c r="I54" s="122">
        <f t="shared" si="3"/>
        <v>1</v>
      </c>
      <c r="J54" s="122">
        <f t="shared" si="11"/>
        <v>3</v>
      </c>
      <c r="K54" s="122">
        <f>countif(E34:E54,E55)</f>
        <v>0</v>
      </c>
      <c r="L54" s="122">
        <v>5.0</v>
      </c>
      <c r="M54" s="122">
        <f>IFERROR(__xludf.DUMMYFUNCTION("counta(iferror(filter(L$2:L53,E$2:E53=E54,L$2:L53&lt;L54)))"),0.0)</f>
        <v>0</v>
      </c>
      <c r="N54" s="122">
        <f>IFERROR(__xludf.DUMMYFUNCTION("counta(iferror(filter(L55:L$131,E55:E$131=E54,L55:L$134&gt;L54)))"),0.0)</f>
        <v>0</v>
      </c>
      <c r="O54" s="124">
        <f t="array" ref="O54:Z54">XLOOKUP(F54,'Current Week'!C:C,'Current Week'!D:O)</f>
        <v>5</v>
      </c>
      <c r="P54" s="122">
        <v>7.0</v>
      </c>
      <c r="Q54" s="123" t="s">
        <v>196</v>
      </c>
      <c r="R54" s="125" t="s">
        <v>183</v>
      </c>
      <c r="S54" s="123" t="s">
        <v>154</v>
      </c>
      <c r="T54" s="123" t="s">
        <v>119</v>
      </c>
      <c r="U54" s="126"/>
      <c r="V54" s="126"/>
      <c r="W54" s="126"/>
      <c r="X54" s="126"/>
      <c r="Y54" s="126"/>
      <c r="Z54" s="126"/>
      <c r="AA54" s="127">
        <f t="shared" si="4"/>
        <v>-5</v>
      </c>
      <c r="AB54" s="126">
        <f t="shared" si="5"/>
        <v>5</v>
      </c>
      <c r="AC54" s="126">
        <f>IFERROR(__xludf.DUMMYFUNCTION("iferror(COUNT(filter($O55:$O$395,$O55:$O$395&gt;$O54)))"),39.0)</f>
        <v>39</v>
      </c>
      <c r="AD54" s="128">
        <f t="shared" si="6"/>
        <v>0</v>
      </c>
      <c r="AE54" s="129">
        <f t="shared" si="7"/>
        <v>2</v>
      </c>
      <c r="AF54" s="123" t="str">
        <f>IFERROR(__xludf.DUMMYFUNCTION("iferror(join("","",index(sort(filter($F55:$F$396,$O55:$O$396&gt;$O54),2,false),0,1)))"),"Wisconsin,Wake Forest,Oregon State,Troy,Penn State,Southern Mississippi,Liberty,James Madison,EMU,Wyoming,Florida State,Middle Tennessee,Arkansas,Kansas State,Texas Tech,Washington State,Minnesota,South Alabama,Louisville,Iowa,Purdue,Ole Miss,Maryland,Flo"&amp;"rida,Buffalo,Syracuse,Georgia Southern,Tennessee,Ohio,Kansas,Mississippi State,LSU,Illinois,Bowling Green,South Carolina,New Mexico State,UConn,Missouri,Duke")</f>
        <v>Wisconsin,Wake Forest,Oregon State,Troy,Penn State,Southern Mississippi,Liberty,James Madison,EMU,Wyoming,Florida State,Middle Tennessee,Arkansas,Kansas State,Texas Tech,Washington State,Minnesota,South Alabama,Louisville,Iowa,Purdue,Ole Miss,Maryland,Florida,Buffalo,Syracuse,Georgia Southern,Tennessee,Ohio,Kansas,Mississippi State,LSU,Illinois,Bowling Green,South Carolina,New Mexico State,UConn,Missouri,Duke</v>
      </c>
      <c r="AG54" s="127">
        <f>IFERROR(__xludf.DUMMYFUNCTION("iferror($O54-max(filter($O54:$O$395,$E54:$E$395=$E$2)))"),-5.0)</f>
        <v>-5</v>
      </c>
      <c r="AH54" s="126">
        <f t="shared" si="8"/>
        <v>0</v>
      </c>
      <c r="AI54" s="126">
        <f>IFERROR(__xludf.DUMMYFUNCTION("iferror(COUNT(filter($O55:$O$395,$O55:$O$395&gt;$O54,$E54:$E$395=$E$2)))"),0.0)</f>
        <v>0</v>
      </c>
      <c r="AJ54" s="128">
        <f t="shared" si="9"/>
        <v>0</v>
      </c>
      <c r="AK54" s="129">
        <f>IFERROR(__xludf.DUMMYFUNCTION("iferror($O54-min(filter($O54:$O$395,$E54:$E$395=$E$2)))"),4.0)</f>
        <v>4</v>
      </c>
      <c r="AL54" s="123" t="str">
        <f>IFERROR(__xludf.DUMMYFUNCTION("iferror(join("","",index(sort(filter($F55:$F$395,$O55:$O$395&gt;$O54,$E55:$E$395=$E$2),2,false),0,1)))"),"Wisconsin,Penn State,Minnesota,Iowa,Purdue,Maryland,Illinois")</f>
        <v>Wisconsin,Penn State,Minnesota,Iowa,Purdue,Maryland,Illinois</v>
      </c>
      <c r="AM54" s="123" t="str">
        <f>IFERROR(__xludf.DUMMYFUNCTION("REGEXREPLACE(join("","",unique({let(conf_picked,filter(E$1:E53,D$1:D53=D54), byrow(unique(TRANSPOSe(Teams!$1:$1)),lambda(rw,if(ISERROR(match(rw,conf_picked,0)),rw,))));iferror(if(#REF!,,transpose(split(#REF!,"","",1,1))))})), ""^,"", """")"),"AAC,,CUSA,MAC,MWC,SEC,Sun Belt")</f>
        <v>AAC,,CUSA,MAC,MWC,SEC,Sun Belt</v>
      </c>
      <c r="AN54" s="127">
        <f>IFERROR(__xludf.DUMMYFUNCTION("iferror($O54-max(filter($O54:$O$395,arrayformula(isnumber(FIND($E54:$E$395,AM54))))))"),-5.0)</f>
        <v>-5</v>
      </c>
      <c r="AO54" s="126">
        <f t="array" ref="AO54">countifs($O$2:$O53,"&lt;"&amp;$O54,isnumber(FIND($E$2:$E53,AM54)),TRUE)</f>
        <v>4</v>
      </c>
      <c r="AP54" s="126">
        <f>IFERROR(__xludf.DUMMYFUNCTION("iferror(COUNT(filter($O55:$O$395,$O55:$O$395&gt;$O54,arrayformula(isnumber(FIND($E55:$E$395,AM54))))))"),22.0)</f>
        <v>22</v>
      </c>
      <c r="AQ54" s="128">
        <f t="shared" si="10"/>
        <v>0</v>
      </c>
      <c r="AR54" s="129">
        <f>IFERROR(__xludf.DUMMYFUNCTION("$O54-min(filter($O54:$O$395,arrayformula(isnumber(FIND($E54:$E$395,AM54)))))"),4.0)</f>
        <v>4</v>
      </c>
      <c r="AS54" s="123" t="str">
        <f>IFERROR(__xludf.DUMMYFUNCTION("iferror(join("","",index(sort(filter($F55:$F$395,$O55:$O$395&gt;$O54,arrayformula(isnumber(FIND($E55:$E$395,AM54)))),2,false),0,1)))"),"Troy,Southern Mississippi,Liberty,James Madison,EMU,Wyoming,Middle Tennessee,Arkansas,South Alabama,Ole Miss,Florida,Buffalo,Georgia Southern,Tennessee,Ohio,Mississippi State,LSU,Bowling Green,South Carolina,New Mexico State,UConn,Missouri")</f>
        <v>Troy,Southern Mississippi,Liberty,James Madison,EMU,Wyoming,Middle Tennessee,Arkansas,South Alabama,Ole Miss,Florida,Buffalo,Georgia Southern,Tennessee,Ohio,Mississippi State,LSU,Bowling Green,South Carolina,New Mexico State,UConn,Missouri</v>
      </c>
    </row>
    <row r="55">
      <c r="A55" s="26">
        <v>54.0</v>
      </c>
      <c r="B55" s="26">
        <v>5.0</v>
      </c>
      <c r="C55" s="26">
        <v>2.0</v>
      </c>
      <c r="D55" s="132" t="s">
        <v>131</v>
      </c>
      <c r="E55" s="133" t="str">
        <f>if(F55&lt;&gt;"",VLOOKUP(F55,offset('Teams-Conference'!A:B,0,(counta('Draft Order'!B$2:B132)-10)*2),2,0),"")</f>
        <v>Big Ten</v>
      </c>
      <c r="F55" s="134" t="s">
        <v>197</v>
      </c>
      <c r="G55" s="135" t="str">
        <f t="shared" si="16"/>
        <v/>
      </c>
      <c r="H55" s="122">
        <f t="shared" si="2"/>
        <v>2</v>
      </c>
      <c r="I55" s="122">
        <f t="shared" si="3"/>
        <v>3</v>
      </c>
      <c r="J55" s="122">
        <f t="shared" si="11"/>
        <v>0</v>
      </c>
      <c r="K55" s="122">
        <f>countif(E36:E55,E56)</f>
        <v>4</v>
      </c>
      <c r="L55" s="122">
        <v>6.0</v>
      </c>
      <c r="M55" s="122">
        <f>IFERROR(__xludf.DUMMYFUNCTION("counta(iferror(filter(L$2:L54,E$2:E54=E55,L$2:L54&lt;L55)))"),0.0)</f>
        <v>0</v>
      </c>
      <c r="N55" s="122">
        <f>IFERROR(__xludf.DUMMYFUNCTION("counta(iferror(filter(L56:L$131,E56:E$131=E55,L56:L$134&gt;L55)))"),0.0)</f>
        <v>0</v>
      </c>
      <c r="O55" s="124">
        <f t="array" ref="O55:Z55">XLOOKUP(F55,'Current Week'!C:C,'Current Week'!D:O)</f>
        <v>6</v>
      </c>
      <c r="P55" s="122">
        <v>6.0</v>
      </c>
      <c r="Q55" s="123" t="s">
        <v>198</v>
      </c>
      <c r="R55" s="123" t="s">
        <v>57</v>
      </c>
      <c r="S55" s="123" t="s">
        <v>178</v>
      </c>
      <c r="T55" s="123" t="s">
        <v>82</v>
      </c>
      <c r="U55" s="123"/>
      <c r="V55" s="123"/>
      <c r="W55" s="123"/>
      <c r="X55" s="123"/>
      <c r="Y55" s="126"/>
      <c r="Z55" s="126"/>
      <c r="AA55" s="127">
        <f t="shared" si="4"/>
        <v>-4</v>
      </c>
      <c r="AB55" s="126">
        <f t="shared" si="5"/>
        <v>9</v>
      </c>
      <c r="AC55" s="126">
        <f>IFERROR(__xludf.DUMMYFUNCTION("iferror(COUNT(filter($O56:$O$395,$O56:$O$395&gt;$O55)))"),28.0)</f>
        <v>28</v>
      </c>
      <c r="AD55" s="128">
        <f t="shared" si="6"/>
        <v>0</v>
      </c>
      <c r="AE55" s="129">
        <f t="shared" si="7"/>
        <v>3</v>
      </c>
      <c r="AF55" s="123" t="str">
        <f>IFERROR(__xludf.DUMMYFUNCTION("iferror(join("","",index(sort(filter($F56:$F$396,$O56:$O$396&gt;$O55),2,false),0,1)))"),"Wake Forest,Oregon State,Troy,Penn State,Liberty,James Madison,EMU,Wyoming,Florida State,Middle Tennessee,Kansas State,Texas Tech,Washington State,Minnesota,South Alabama,Louisville,Iowa,Purdue,Ole Miss,Maryland,Syracuse,Tennessee,Ohio,Mississippi State,L"&amp;"SU,Illinois,South Carolina,Duke")</f>
        <v>Wake Forest,Oregon State,Troy,Penn State,Liberty,James Madison,EMU,Wyoming,Florida State,Middle Tennessee,Kansas State,Texas Tech,Washington State,Minnesota,South Alabama,Louisville,Iowa,Purdue,Ole Miss,Maryland,Syracuse,Tennessee,Ohio,Mississippi State,LSU,Illinois,South Carolina,Duke</v>
      </c>
      <c r="AG55" s="127">
        <f>IFERROR(__xludf.DUMMYFUNCTION("iferror($O55-max(filter($O55:$O$395,$E55:$E$395=$E$2)))"),-4.0)</f>
        <v>-4</v>
      </c>
      <c r="AH55" s="126">
        <f t="shared" si="8"/>
        <v>0</v>
      </c>
      <c r="AI55" s="126">
        <f>IFERROR(__xludf.DUMMYFUNCTION("iferror(COUNT(filter($O56:$O$395,$O56:$O$395&gt;$O55,$E55:$E$395=$E$2)))"),0.0)</f>
        <v>0</v>
      </c>
      <c r="AJ55" s="128">
        <f t="shared" si="9"/>
        <v>0</v>
      </c>
      <c r="AK55" s="129">
        <f>IFERROR(__xludf.DUMMYFUNCTION("iferror($O55-min(filter($O55:$O$395,$E55:$E$395=$E$2)))"),5.0)</f>
        <v>5</v>
      </c>
      <c r="AL55" s="123" t="str">
        <f>IFERROR(__xludf.DUMMYFUNCTION("iferror(join("","",index(sort(filter($F56:$F$395,$O56:$O$395&gt;$O55,$E56:$E$395=$E$2),2,false),0,1)))"),"Penn State,Minnesota,Iowa,Purdue,Maryland,Illinois")</f>
        <v>Penn State,Minnesota,Iowa,Purdue,Maryland,Illinois</v>
      </c>
      <c r="AM55" s="123" t="str">
        <f>IFERROR(__xludf.DUMMYFUNCTION("REGEXREPLACE(join("","",unique({let(conf_picked,filter(E$1:E54,D$1:D54=D55), byrow(unique(TRANSPOSe(Teams!$1:$1)),lambda(rw,if(ISERROR(match(rw,conf_picked,0)),rw,))));iferror(if(#REF!,,transpose(split(#REF!,"","",1,1))))})), ""^,"", """")"),"AAC,,Big 12,Big Ten,Pac12,SEC,Sun Belt")</f>
        <v>AAC,,Big 12,Big Ten,Pac12,SEC,Sun Belt</v>
      </c>
      <c r="AN55" s="127">
        <f>IFERROR(__xludf.DUMMYFUNCTION("iferror($O55-max(filter($O55:$O$395,arrayformula(isnumber(FIND($E55:$E$395,AM55))))))"),-4.0)</f>
        <v>-4</v>
      </c>
      <c r="AO55" s="126">
        <f t="array" ref="AO55">countifs($O$2:$O54,"&lt;"&amp;$O55,isnumber(FIND($E$2:$E54,AM55)),TRUE)</f>
        <v>4</v>
      </c>
      <c r="AP55" s="126">
        <f>IFERROR(__xludf.DUMMYFUNCTION("iferror(COUNT(filter($O56:$O$395,$O56:$O$395&gt;$O55,arrayformula(isnumber(FIND($E56:$E$395,AM55))))))"),18.0)</f>
        <v>18</v>
      </c>
      <c r="AQ55" s="128">
        <f t="shared" si="10"/>
        <v>0</v>
      </c>
      <c r="AR55" s="129">
        <f>IFERROR(__xludf.DUMMYFUNCTION("$O55-min(filter($O55:$O$395,arrayformula(isnumber(FIND($E55:$E$395,AM55)))))"),5.0)</f>
        <v>5</v>
      </c>
      <c r="AS55" s="123" t="str">
        <f>IFERROR(__xludf.DUMMYFUNCTION("iferror(join("","",index(sort(filter($F56:$F$395,$O56:$O$395&gt;$O55,arrayformula(isnumber(FIND($E56:$E$395,AM55)))),2,false),0,1)))"),"Oregon State,Troy,Penn State,James Madison,Kansas State,Texas Tech,Washington State,Minnesota,South Alabama,Iowa,Purdue,Ole Miss,Maryland,Tennessee,Mississippi State,LSU,Illinois,South Carolina")</f>
        <v>Oregon State,Troy,Penn State,James Madison,Kansas State,Texas Tech,Washington State,Minnesota,South Alabama,Iowa,Purdue,Ole Miss,Maryland,Tennessee,Mississippi State,LSU,Illinois,South Carolina</v>
      </c>
    </row>
    <row r="56">
      <c r="A56" s="26">
        <v>55.0</v>
      </c>
      <c r="B56" s="26">
        <v>5.0</v>
      </c>
      <c r="C56" s="26">
        <v>3.0</v>
      </c>
      <c r="D56" s="137" t="s">
        <v>178</v>
      </c>
      <c r="E56" s="133" t="str">
        <f>if(F56&lt;&gt;"",VLOOKUP(F56,offset('Teams-Conference'!A:B,0,(counta('Draft Order'!B$2:B132)-10)*2),2,0),"")</f>
        <v>ACC</v>
      </c>
      <c r="F56" s="138" t="s">
        <v>259</v>
      </c>
      <c r="G56" s="135" t="str">
        <f t="shared" si="16"/>
        <v/>
      </c>
      <c r="H56" s="122">
        <f t="shared" si="2"/>
        <v>0</v>
      </c>
      <c r="I56" s="122">
        <f t="shared" si="3"/>
        <v>2</v>
      </c>
      <c r="J56" s="122">
        <f t="shared" si="11"/>
        <v>2</v>
      </c>
      <c r="K56" s="122">
        <f>countif(E35:E56,E57)</f>
        <v>1</v>
      </c>
      <c r="L56" s="122">
        <v>7.0</v>
      </c>
      <c r="M56" s="122">
        <f>IFERROR(__xludf.DUMMYFUNCTION("counta(iferror(filter(L$2:L55,E$2:E55=E56,L$2:L55&lt;L56)))"),2.0)</f>
        <v>2</v>
      </c>
      <c r="N56" s="122">
        <f>IFERROR(__xludf.DUMMYFUNCTION("counta(iferror(filter(L57:L$131,E57:E$131=E56,L57:L$134&gt;L56)))"),0.0)</f>
        <v>0</v>
      </c>
      <c r="O56" s="124">
        <f t="array" ref="O56:Z56">XLOOKUP(F56,'Current Week'!C:C,'Current Week'!D:O)</f>
        <v>7</v>
      </c>
      <c r="P56" s="122">
        <v>5.0</v>
      </c>
      <c r="Q56" s="123" t="s">
        <v>260</v>
      </c>
      <c r="R56" s="123" t="s">
        <v>57</v>
      </c>
      <c r="S56" s="123"/>
      <c r="T56" s="123"/>
      <c r="U56" s="123"/>
      <c r="V56" s="123"/>
      <c r="W56" s="123"/>
      <c r="X56" s="123"/>
      <c r="Y56" s="126"/>
      <c r="Z56" s="126"/>
      <c r="AA56" s="127">
        <f t="shared" si="4"/>
        <v>-3</v>
      </c>
      <c r="AB56" s="126">
        <f t="shared" si="5"/>
        <v>18</v>
      </c>
      <c r="AC56" s="126">
        <f>IFERROR(__xludf.DUMMYFUNCTION("iferror(COUNT(filter($O57:$O$395,$O57:$O$395&gt;$O56)))"),19.0)</f>
        <v>19</v>
      </c>
      <c r="AD56" s="128">
        <f t="shared" si="6"/>
        <v>0</v>
      </c>
      <c r="AE56" s="129">
        <f t="shared" si="7"/>
        <v>4</v>
      </c>
      <c r="AF56" s="123" t="str">
        <f>IFERROR(__xludf.DUMMYFUNCTION("iferror(join("","",index(sort(filter($F57:$F$396,$O57:$O$396&gt;$O56),2,false),0,1)))"),"Oregon State,Troy,Penn State,Liberty,James Madison,EMU,Florida State,Kansas State,Minnesota,South Alabama,Purdue,Ole Miss,Tennessee,Ohio,Mississippi State,LSU,Illinois,South Carolina,Duke")</f>
        <v>Oregon State,Troy,Penn State,Liberty,James Madison,EMU,Florida State,Kansas State,Minnesota,South Alabama,Purdue,Ole Miss,Tennessee,Ohio,Mississippi State,LSU,Illinois,South Carolina,Duke</v>
      </c>
      <c r="AG56" s="127">
        <f>IFERROR(__xludf.DUMMYFUNCTION("iferror($O56-max(filter($O56:$O$395,$E56:$E$395=$E$2)))"),-3.0)</f>
        <v>-3</v>
      </c>
      <c r="AH56" s="126">
        <f t="shared" si="8"/>
        <v>1</v>
      </c>
      <c r="AI56" s="126">
        <f>IFERROR(__xludf.DUMMYFUNCTION("iferror(COUNT(filter($O57:$O$395,$O57:$O$395&gt;$O56,$E56:$E$395=$E$2)))"),0.0)</f>
        <v>0</v>
      </c>
      <c r="AJ56" s="128">
        <f t="shared" si="9"/>
        <v>0</v>
      </c>
      <c r="AK56" s="129">
        <f>IFERROR(__xludf.DUMMYFUNCTION("iferror($O56-min(filter($O56:$O$395,$E56:$E$395=$E$2)))"),6.0)</f>
        <v>6</v>
      </c>
      <c r="AL56" s="123" t="str">
        <f>IFERROR(__xludf.DUMMYFUNCTION("iferror(join("","",index(sort(filter($F57:$F$395,$O57:$O$395&gt;$O56,$E57:$E$395=$E$2),2,false),0,1)))"),"Penn State,Minnesota,Purdue,Illinois")</f>
        <v>Penn State,Minnesota,Purdue,Illinois</v>
      </c>
      <c r="AM56" s="123" t="str">
        <f>IFERROR(__xludf.DUMMYFUNCTION("REGEXREPLACE(join("","",unique({let(conf_picked,filter(E$1:E55,D$1:D55=D56), byrow(unique(TRANSPOSe(Teams!$1:$1)),lambda(rw,if(ISERROR(match(rw,conf_picked,0)),rw,))));iferror(if(#REF!,,transpose(split(#REF!,"","",1,1))))})), ""^,"", """")"),"ACC,Big 12,Big Ten,MWC,SEC,Sun Belt")</f>
        <v>ACC,Big 12,Big Ten,MWC,SEC,Sun Belt</v>
      </c>
      <c r="AN56" s="127">
        <f>IFERROR(__xludf.DUMMYFUNCTION("iferror($O56-max(filter($O56:$O$395,arrayformula(isnumber(FIND($E56:$E$395,AM56))))))"),-3.0)</f>
        <v>-3</v>
      </c>
      <c r="AO56" s="126">
        <f t="array" ref="AO56">countifs($O$2:$O55,"&lt;"&amp;$O56,isnumber(FIND($E$2:$E55,AM56)),TRUE)</f>
        <v>11</v>
      </c>
      <c r="AP56" s="126">
        <f>IFERROR(__xludf.DUMMYFUNCTION("iferror(COUNT(filter($O57:$O$395,$O57:$O$395&gt;$O56,arrayformula(isnumber(FIND($E57:$E$395,AM56))))))"),15.0)</f>
        <v>15</v>
      </c>
      <c r="AQ56" s="128">
        <f t="shared" si="10"/>
        <v>0</v>
      </c>
      <c r="AR56" s="129">
        <f>IFERROR(__xludf.DUMMYFUNCTION("$O56-min(filter($O56:$O$395,arrayformula(isnumber(FIND($E56:$E$395,AM56)))))"),6.0)</f>
        <v>6</v>
      </c>
      <c r="AS56" s="123" t="str">
        <f>IFERROR(__xludf.DUMMYFUNCTION("iferror(join("","",index(sort(filter($F57:$F$395,$O57:$O$395&gt;$O56,arrayformula(isnumber(FIND($E57:$E$395,AM56)))),2,false),0,1)))"),"Troy,Penn State,James Madison,Florida State,Kansas State,Minnesota,South Alabama,Purdue,Ole Miss,Tennessee,Mississippi State,LSU,Illinois,South Carolina,Duke")</f>
        <v>Troy,Penn State,James Madison,Florida State,Kansas State,Minnesota,South Alabama,Purdue,Ole Miss,Tennessee,Mississippi State,LSU,Illinois,South Carolina,Duke</v>
      </c>
    </row>
    <row r="57">
      <c r="A57" s="26">
        <v>56.0</v>
      </c>
      <c r="B57" s="26">
        <v>5.0</v>
      </c>
      <c r="C57" s="26">
        <v>4.0</v>
      </c>
      <c r="D57" s="132" t="s">
        <v>59</v>
      </c>
      <c r="E57" s="133" t="str">
        <f>if(F57&lt;&gt;"",VLOOKUP(F57,offset('Teams-Conference'!A:B,0,(counta('Draft Order'!B$2:B132)-10)*2),2,0),"")</f>
        <v>Pac12</v>
      </c>
      <c r="F57" s="134" t="s">
        <v>274</v>
      </c>
      <c r="G57" s="135" t="str">
        <f t="shared" si="16"/>
        <v/>
      </c>
      <c r="H57" s="122">
        <f t="shared" si="2"/>
        <v>0</v>
      </c>
      <c r="I57" s="122">
        <f t="shared" si="3"/>
        <v>1</v>
      </c>
      <c r="J57" s="122">
        <f t="shared" si="11"/>
        <v>0</v>
      </c>
      <c r="K57" s="122">
        <f t="shared" ref="K57:K59" si="19">countif(E37:E57,E58)</f>
        <v>1</v>
      </c>
      <c r="L57" s="122">
        <v>9.0</v>
      </c>
      <c r="M57" s="122">
        <f>IFERROR(__xludf.DUMMYFUNCTION("counta(iferror(filter(L$2:L56,E$2:E56=E57,L$2:L56&lt;L57)))"),0.0)</f>
        <v>0</v>
      </c>
      <c r="N57" s="122">
        <f>IFERROR(__xludf.DUMMYFUNCTION("counta(iferror(filter(L58:L$131,E58:E$131=E57,L58:L$134&gt;L57)))"),0.0)</f>
        <v>0</v>
      </c>
      <c r="O57" s="124">
        <f t="array" ref="O57:Z57">XLOOKUP(F57,'Current Week'!C:C,'Current Week'!D:O)</f>
        <v>9</v>
      </c>
      <c r="P57" s="122">
        <v>3.0</v>
      </c>
      <c r="Q57" s="123" t="s">
        <v>56</v>
      </c>
      <c r="R57" s="123" t="s">
        <v>183</v>
      </c>
      <c r="S57" s="123" t="s">
        <v>53</v>
      </c>
      <c r="T57" s="123" t="s">
        <v>58</v>
      </c>
      <c r="U57" s="123"/>
      <c r="V57" s="123"/>
      <c r="W57" s="123"/>
      <c r="X57" s="123"/>
      <c r="Y57" s="126"/>
      <c r="Z57" s="126"/>
      <c r="AA57" s="127">
        <f t="shared" si="4"/>
        <v>-1</v>
      </c>
      <c r="AB57" s="126">
        <f t="shared" si="5"/>
        <v>36</v>
      </c>
      <c r="AC57" s="126">
        <f>IFERROR(__xludf.DUMMYFUNCTION("iferror(COUNT(filter($O58:$O$395,$O58:$O$395&gt;$O57)))"),4.0)</f>
        <v>4</v>
      </c>
      <c r="AD57" s="128">
        <f t="shared" si="6"/>
        <v>0</v>
      </c>
      <c r="AE57" s="129">
        <f t="shared" si="7"/>
        <v>6</v>
      </c>
      <c r="AF57" s="123" t="str">
        <f>IFERROR(__xludf.DUMMYFUNCTION("iferror(join("","",index(sort(filter($F58:$F$396,$O58:$O$396&gt;$O57),2,false),0,1)))"),"Troy,Penn State,South Alabama,Tennessee")</f>
        <v>Troy,Penn State,South Alabama,Tennessee</v>
      </c>
      <c r="AG57" s="127">
        <f>IFERROR(__xludf.DUMMYFUNCTION("iferror($O57-max(filter($O57:$O$395,$E57:$E$395=$E$2)))"),-1.0)</f>
        <v>-1</v>
      </c>
      <c r="AH57" s="126">
        <f t="shared" si="8"/>
        <v>1</v>
      </c>
      <c r="AI57" s="126">
        <f>IFERROR(__xludf.DUMMYFUNCTION("iferror(COUNT(filter($O58:$O$395,$O58:$O$395&gt;$O57,$E57:$E$395=$E$2)))"),0.0)</f>
        <v>0</v>
      </c>
      <c r="AJ57" s="128">
        <f t="shared" si="9"/>
        <v>0</v>
      </c>
      <c r="AK57" s="129">
        <f>IFERROR(__xludf.DUMMYFUNCTION("iferror($O57-min(filter($O57:$O$395,$E57:$E$395=$E$2)))"),8.0)</f>
        <v>8</v>
      </c>
      <c r="AL57" s="123" t="str">
        <f>IFERROR(__xludf.DUMMYFUNCTION("iferror(join("","",index(sort(filter($F58:$F$395,$O58:$O$395&gt;$O57,$E58:$E$395=$E$2),2,false),0,1)))"),"Penn State")</f>
        <v>Penn State</v>
      </c>
      <c r="AM57" s="123" t="str">
        <f>IFERROR(__xludf.DUMMYFUNCTION("REGEXREPLACE(join("","",unique({let(conf_picked,filter(E$1:E56,D$1:D56=D57), byrow(unique(TRANSPOSe(Teams!$1:$1)),lambda(rw,if(ISERROR(match(rw,conf_picked,0)),rw,))));iferror(if(#REF!,,transpose(split(#REF!,"","",1,1))))})), ""^,"", """")"),"AAC,ACC,Big 12,,Pac12,CUSA,MWC")</f>
        <v>AAC,ACC,Big 12,,Pac12,CUSA,MWC</v>
      </c>
      <c r="AN57" s="127">
        <f>IFERROR(__xludf.DUMMYFUNCTION("iferror($O57-max(filter($O57:$O$395,arrayformula(isnumber(FIND($E57:$E$395,AM57))))))"),0.0)</f>
        <v>0</v>
      </c>
      <c r="AO57" s="126">
        <f t="array" ref="AO57">countifs($O$2:$O56,"&lt;"&amp;$O57,isnumber(FIND($E$2:$E56,AM57)),TRUE)</f>
        <v>25</v>
      </c>
      <c r="AP57" s="126">
        <f>IFERROR(__xludf.DUMMYFUNCTION("iferror(COUNT(filter($O58:$O$395,$O58:$O$395&gt;$O57,arrayformula(isnumber(FIND($E58:$E$395,AM57))))))"),0.0)</f>
        <v>0</v>
      </c>
      <c r="AQ57" s="128">
        <f t="shared" si="10"/>
        <v>1</v>
      </c>
      <c r="AR57" s="129">
        <f>IFERROR(__xludf.DUMMYFUNCTION("$O57-min(filter($O57:$O$395,arrayformula(isnumber(FIND($E57:$E$395,AM57)))))"),8.0)</f>
        <v>8</v>
      </c>
      <c r="AS57" s="123" t="str">
        <f>IFERROR(__xludf.DUMMYFUNCTION("iferror(join("","",index(sort(filter($F58:$F$395,$O58:$O$395&gt;$O57,arrayformula(isnumber(FIND($E58:$E$395,AM57)))),2,false),0,1)))"),"")</f>
        <v/>
      </c>
    </row>
    <row r="58">
      <c r="A58" s="26">
        <v>57.0</v>
      </c>
      <c r="B58" s="26">
        <v>5.0</v>
      </c>
      <c r="C58" s="26">
        <v>5.0</v>
      </c>
      <c r="D58" s="132" t="s">
        <v>138</v>
      </c>
      <c r="E58" s="133" t="str">
        <f>if(F58&lt;&gt;"",VLOOKUP(F58,offset('Teams-Conference'!A:B,0,(counta('Draft Order'!B$2:B132)-10)*2),2,0),"")</f>
        <v>Big Ten</v>
      </c>
      <c r="F58" s="143" t="s">
        <v>294</v>
      </c>
      <c r="G58" s="135" t="str">
        <f t="shared" si="16"/>
        <v/>
      </c>
      <c r="H58" s="122">
        <f t="shared" si="2"/>
        <v>1</v>
      </c>
      <c r="I58" s="122">
        <f t="shared" si="3"/>
        <v>2</v>
      </c>
      <c r="J58" s="122">
        <f t="shared" si="11"/>
        <v>1</v>
      </c>
      <c r="K58" s="122">
        <f t="shared" si="19"/>
        <v>1</v>
      </c>
      <c r="L58" s="122">
        <v>5.0</v>
      </c>
      <c r="M58" s="122">
        <f>IFERROR(__xludf.DUMMYFUNCTION("counta(iferror(filter(L$2:L57,E$2:E57=E58,L$2:L57&lt;L58)))"),0.0)</f>
        <v>0</v>
      </c>
      <c r="N58" s="122">
        <f>IFERROR(__xludf.DUMMYFUNCTION("counta(iferror(filter(L59:L$131,E59:E$131=E58,L59:L$134&gt;L58)))"),0.0)</f>
        <v>0</v>
      </c>
      <c r="O58" s="124">
        <f t="array" ref="O58:Z58">XLOOKUP(F58,'Current Week'!C:C,'Current Week'!D:O)</f>
        <v>5</v>
      </c>
      <c r="P58" s="122">
        <v>7.0</v>
      </c>
      <c r="Q58" s="123" t="s">
        <v>295</v>
      </c>
      <c r="R58" s="123" t="s">
        <v>57</v>
      </c>
      <c r="S58" s="123" t="s">
        <v>109</v>
      </c>
      <c r="T58" s="123" t="s">
        <v>88</v>
      </c>
      <c r="U58" s="123"/>
      <c r="V58" s="123"/>
      <c r="W58" s="123"/>
      <c r="X58" s="123"/>
      <c r="Y58" s="126"/>
      <c r="Z58" s="126"/>
      <c r="AA58" s="127">
        <f t="shared" si="4"/>
        <v>-5</v>
      </c>
      <c r="AB58" s="126">
        <f t="shared" si="5"/>
        <v>5</v>
      </c>
      <c r="AC58" s="126">
        <f>IFERROR(__xludf.DUMMYFUNCTION("iferror(COUNT(filter($O59:$O$395,$O59:$O$395&gt;$O58)))"),36.0)</f>
        <v>36</v>
      </c>
      <c r="AD58" s="128">
        <f t="shared" si="6"/>
        <v>0</v>
      </c>
      <c r="AE58" s="129">
        <f t="shared" si="7"/>
        <v>2</v>
      </c>
      <c r="AF58" s="123" t="str">
        <f>IFERROR(__xludf.DUMMYFUNCTION("iferror(join("","",index(sort(filter($F59:$F$396,$O59:$O$396&gt;$O58),2,false),0,1)))"),"Troy,Penn State,Southern Mississippi,Liberty,James Madison,EMU,Wyoming,Florida State,Middle Tennessee,Arkansas,Kansas State,Texas Tech,Washington State,Minnesota,South Alabama,Louisville,Iowa,Purdue,Ole Miss,Maryland,Florida,Buffalo,Syracuse,Georgia South"&amp;"ern,Tennessee,Ohio,Kansas,Mississippi State,LSU,Illinois,Bowling Green,South Carolina,New Mexico State,UConn,Missouri,Duke")</f>
        <v>Troy,Penn State,Southern Mississippi,Liberty,James Madison,EMU,Wyoming,Florida State,Middle Tennessee,Arkansas,Kansas State,Texas Tech,Washington State,Minnesota,South Alabama,Louisville,Iowa,Purdue,Ole Miss,Maryland,Florida,Buffalo,Syracuse,Georgia Southern,Tennessee,Ohio,Kansas,Mississippi State,LSU,Illinois,Bowling Green,South Carolina,New Mexico State,UConn,Missouri,Duke</v>
      </c>
      <c r="AG58" s="127">
        <f>IFERROR(__xludf.DUMMYFUNCTION("iferror($O58-max(filter($O58:$O$395,$E58:$E$395=$E$2)))"),-5.0)</f>
        <v>-5</v>
      </c>
      <c r="AH58" s="126">
        <f t="shared" si="8"/>
        <v>0</v>
      </c>
      <c r="AI58" s="126">
        <f>IFERROR(__xludf.DUMMYFUNCTION("iferror(COUNT(filter($O59:$O$395,$O59:$O$395&gt;$O58,$E58:$E$395=$E$2)))"),0.0)</f>
        <v>0</v>
      </c>
      <c r="AJ58" s="128">
        <f t="shared" si="9"/>
        <v>0</v>
      </c>
      <c r="AK58" s="129">
        <f>IFERROR(__xludf.DUMMYFUNCTION("iferror($O58-min(filter($O58:$O$395,$E58:$E$395=$E$2)))"),4.0)</f>
        <v>4</v>
      </c>
      <c r="AL58" s="123" t="str">
        <f>IFERROR(__xludf.DUMMYFUNCTION("iferror(join("","",index(sort(filter($F59:$F$395,$O59:$O$395&gt;$O58,$E59:$E$395=$E$2),2,false),0,1)))"),"Penn State,Minnesota,Iowa,Purdue,Maryland,Illinois")</f>
        <v>Penn State,Minnesota,Iowa,Purdue,Maryland,Illinois</v>
      </c>
      <c r="AM58" s="123" t="str">
        <f>IFERROR(__xludf.DUMMYFUNCTION("REGEXREPLACE(join("","",unique({let(conf_picked,filter(E$1:E57,D$1:D57=D58), byrow(unique(TRANSPOSe(Teams!$1:$1)),lambda(rw,if(ISERROR(match(rw,conf_picked,0)),rw,))));iferror(if(#REF!,,transpose(split(#REF!,"","",1,1))))})), ""^,"", """")"),"ACC,Big 12,Big Ten,Pac12,SEC,Sun Belt")</f>
        <v>ACC,Big 12,Big Ten,Pac12,SEC,Sun Belt</v>
      </c>
      <c r="AN58" s="127">
        <f>IFERROR(__xludf.DUMMYFUNCTION("iferror($O58-max(filter($O58:$O$395,arrayformula(isnumber(FIND($E58:$E$395,AM58))))))"),-5.0)</f>
        <v>-5</v>
      </c>
      <c r="AO58" s="126">
        <f t="array" ref="AO58">countifs($O$2:$O57,"&lt;"&amp;$O58,isnumber(FIND($E$2:$E57,AM58)),TRUE)</f>
        <v>2</v>
      </c>
      <c r="AP58" s="126">
        <f>IFERROR(__xludf.DUMMYFUNCTION("iferror(COUNT(filter($O59:$O$395,$O59:$O$395&gt;$O58,arrayformula(isnumber(FIND($E59:$E$395,AM58))))))"),26.0)</f>
        <v>26</v>
      </c>
      <c r="AQ58" s="128">
        <f t="shared" si="10"/>
        <v>0</v>
      </c>
      <c r="AR58" s="129">
        <f>IFERROR(__xludf.DUMMYFUNCTION("$O58-min(filter($O58:$O$395,arrayformula(isnumber(FIND($E58:$E$395,AM58)))))"),4.0)</f>
        <v>4</v>
      </c>
      <c r="AS58" s="123" t="str">
        <f>IFERROR(__xludf.DUMMYFUNCTION("iferror(join("","",index(sort(filter($F59:$F$395,$O59:$O$395&gt;$O58,arrayformula(isnumber(FIND($E59:$E$395,AM58)))),2,false),0,1)))"),"Troy,Penn State,James Madison,Florida State,Arkansas,Kansas State,Texas Tech,Washington State,Minnesota,South Alabama,Louisville,Iowa,Purdue,Ole Miss,Maryland,Florida,Syracuse,Georgia Southern,Tennessee,Kansas,Mississippi State,LSU,Illinois,South Carolina"&amp;",Missouri,Duke")</f>
        <v>Troy,Penn State,James Madison,Florida State,Arkansas,Kansas State,Texas Tech,Washington State,Minnesota,South Alabama,Louisville,Iowa,Purdue,Ole Miss,Maryland,Florida,Syracuse,Georgia Southern,Tennessee,Kansas,Mississippi State,LSU,Illinois,South Carolina,Missouri,Duke</v>
      </c>
    </row>
    <row r="59">
      <c r="A59" s="26">
        <v>58.0</v>
      </c>
      <c r="B59" s="26">
        <v>5.0</v>
      </c>
      <c r="C59" s="26">
        <v>6.0</v>
      </c>
      <c r="D59" s="132" t="s">
        <v>141</v>
      </c>
      <c r="E59" s="133" t="str">
        <f>if(F59&lt;&gt;"",VLOOKUP(F59,offset('Teams-Conference'!A:B,0,(counta('Draft Order'!B$2:B132)-10)*2),2,0),"")</f>
        <v>Sun Belt</v>
      </c>
      <c r="F59" s="138" t="s">
        <v>318</v>
      </c>
      <c r="G59" s="135" t="str">
        <f t="shared" si="16"/>
        <v/>
      </c>
      <c r="H59" s="122">
        <f t="shared" si="2"/>
        <v>1</v>
      </c>
      <c r="I59" s="122">
        <f t="shared" si="3"/>
        <v>1</v>
      </c>
      <c r="J59" s="122">
        <f t="shared" si="11"/>
        <v>0</v>
      </c>
      <c r="K59" s="122">
        <f t="shared" si="19"/>
        <v>2</v>
      </c>
      <c r="L59" s="122">
        <v>10.0</v>
      </c>
      <c r="M59" s="122">
        <f>IFERROR(__xludf.DUMMYFUNCTION("counta(iferror(filter(L$2:L58,E$2:E58=E59,L$2:L58&lt;L59)))"),5.0)</f>
        <v>5</v>
      </c>
      <c r="N59" s="122">
        <f>IFERROR(__xludf.DUMMYFUNCTION("counta(iferror(filter(L60:L$131,E60:E$131=E59,L60:L$134&gt;L59)))"),0.0)</f>
        <v>0</v>
      </c>
      <c r="O59" s="124">
        <f t="array" ref="O59:Z59">XLOOKUP(F59,'Current Week'!C:C,'Current Week'!D:O)</f>
        <v>10</v>
      </c>
      <c r="P59" s="122">
        <v>2.0</v>
      </c>
      <c r="Q59" s="123" t="s">
        <v>319</v>
      </c>
      <c r="R59" s="123" t="s">
        <v>57</v>
      </c>
      <c r="S59" s="123" t="s">
        <v>154</v>
      </c>
      <c r="T59" s="123"/>
      <c r="U59" s="123"/>
      <c r="V59" s="123"/>
      <c r="W59" s="123"/>
      <c r="X59" s="123"/>
      <c r="Y59" s="126"/>
      <c r="Z59" s="126"/>
      <c r="AA59" s="127">
        <f t="shared" si="4"/>
        <v>0</v>
      </c>
      <c r="AB59" s="126">
        <f t="shared" si="5"/>
        <v>47</v>
      </c>
      <c r="AC59" s="126">
        <f>IFERROR(__xludf.DUMMYFUNCTION("iferror(COUNT(filter($O60:$O$395,$O60:$O$395&gt;$O59)))"),0.0)</f>
        <v>0</v>
      </c>
      <c r="AD59" s="128">
        <f t="shared" si="6"/>
        <v>1</v>
      </c>
      <c r="AE59" s="129">
        <f t="shared" si="7"/>
        <v>7</v>
      </c>
      <c r="AF59" s="123" t="str">
        <f>IFERROR(__xludf.DUMMYFUNCTION("iferror(join("","",index(sort(filter($F60:$F$396,$O60:$O$396&gt;$O59),2,false),0,1)))"),"")</f>
        <v/>
      </c>
      <c r="AG59" s="127">
        <f>IFERROR(__xludf.DUMMYFUNCTION("iferror($O59-max(filter($O59:$O$395,$E59:$E$395=$E$2)))"),0.0)</f>
        <v>0</v>
      </c>
      <c r="AH59" s="126">
        <f t="shared" si="8"/>
        <v>2</v>
      </c>
      <c r="AI59" s="126">
        <f>IFERROR(__xludf.DUMMYFUNCTION("iferror(COUNT(filter($O60:$O$395,$O60:$O$395&gt;$O59,$E59:$E$395=$E$2)))"),0.0)</f>
        <v>0</v>
      </c>
      <c r="AJ59" s="128">
        <f t="shared" si="9"/>
        <v>1</v>
      </c>
      <c r="AK59" s="129">
        <f>IFERROR(__xludf.DUMMYFUNCTION("iferror($O59-min(filter($O59:$O$395,$E59:$E$395=$E$2)))"),9.0)</f>
        <v>9</v>
      </c>
      <c r="AL59" s="123" t="str">
        <f>IFERROR(__xludf.DUMMYFUNCTION("iferror(join("","",index(sort(filter($F60:$F$395,$O60:$O$395&gt;$O59,$E60:$E$395=$E$2),2,false),0,1)))"),"")</f>
        <v/>
      </c>
      <c r="AM59" s="123" t="str">
        <f>IFERROR(__xludf.DUMMYFUNCTION("REGEXREPLACE(join("","",unique({let(conf_picked,filter(E$1:E58,D$1:D58=D59), byrow(unique(TRANSPOSe(Teams!$1:$1)),lambda(rw,if(ISERROR(match(rw,conf_picked,0)),rw,))));iferror(if(#REF!,,transpose(split(#REF!,"","",1,1))))})), ""^,"", """")"),"ACC,Big Ten,Pac12,CUSA,MAC,Sun Belt")</f>
        <v>ACC,Big Ten,Pac12,CUSA,MAC,Sun Belt</v>
      </c>
      <c r="AN59" s="127">
        <f>IFERROR(__xludf.DUMMYFUNCTION("iferror($O59-max(filter($O59:$O$395,arrayformula(isnumber(FIND($E59:$E$395,AM59))))))"),0.0)</f>
        <v>0</v>
      </c>
      <c r="AO59" s="126">
        <f t="array" ref="AO59">countifs($O$2:$O58,"&lt;"&amp;$O59,isnumber(FIND($E$2:$E58,AM59)),TRUE)</f>
        <v>24</v>
      </c>
      <c r="AP59" s="126">
        <f>IFERROR(__xludf.DUMMYFUNCTION("iferror(COUNT(filter($O60:$O$395,$O60:$O$395&gt;$O59,arrayformula(isnumber(FIND($E60:$E$395,AM59))))))"),0.0)</f>
        <v>0</v>
      </c>
      <c r="AQ59" s="128">
        <f t="shared" si="10"/>
        <v>1</v>
      </c>
      <c r="AR59" s="129">
        <f>IFERROR(__xludf.DUMMYFUNCTION("$O59-min(filter($O59:$O$395,arrayformula(isnumber(FIND($E59:$E$395,AM59)))))"),9.0)</f>
        <v>9</v>
      </c>
      <c r="AS59" s="123" t="str">
        <f>IFERROR(__xludf.DUMMYFUNCTION("iferror(join("","",index(sort(filter($F60:$F$395,$O60:$O$395&gt;$O59,arrayformula(isnumber(FIND($E60:$E$395,AM59)))),2,false),0,1)))"),"")</f>
        <v/>
      </c>
    </row>
    <row r="60">
      <c r="A60" s="26">
        <v>59.0</v>
      </c>
      <c r="B60" s="26">
        <v>5.0</v>
      </c>
      <c r="C60" s="26">
        <v>7.0</v>
      </c>
      <c r="D60" s="132" t="s">
        <v>109</v>
      </c>
      <c r="E60" s="133" t="str">
        <f>if(F60&lt;&gt;"",VLOOKUP(F60,offset('Teams-Conference'!A:B,0,(counta('Draft Order'!B$2:B132)-10)*2),2,0),"")</f>
        <v>Big Ten</v>
      </c>
      <c r="F60" s="143" t="s">
        <v>375</v>
      </c>
      <c r="G60" s="135" t="str">
        <f t="shared" si="16"/>
        <v/>
      </c>
      <c r="H60" s="122">
        <f t="shared" si="2"/>
        <v>0</v>
      </c>
      <c r="I60" s="122">
        <f t="shared" si="3"/>
        <v>2</v>
      </c>
      <c r="J60" s="122">
        <f t="shared" si="11"/>
        <v>2</v>
      </c>
      <c r="K60" s="122">
        <f t="shared" ref="K60:K64" si="20">countif(E41:E60,E61)</f>
        <v>1</v>
      </c>
      <c r="L60" s="122">
        <v>10.0</v>
      </c>
      <c r="M60" s="122">
        <f>IFERROR(__xludf.DUMMYFUNCTION("counta(iferror(filter(L$2:L59,E$2:E59=E60,L$2:L59&lt;L60)))"),2.0)</f>
        <v>2</v>
      </c>
      <c r="N60" s="122">
        <f>IFERROR(__xludf.DUMMYFUNCTION("counta(iferror(filter(L61:L$131,E61:E$131=E60,L61:L$134&gt;L60)))"),0.0)</f>
        <v>0</v>
      </c>
      <c r="O60" s="124">
        <f t="array" ref="O60:Z60">XLOOKUP(F60,'Current Week'!C:C,'Current Week'!D:O)</f>
        <v>10</v>
      </c>
      <c r="P60" s="122">
        <v>2.0</v>
      </c>
      <c r="Q60" s="123" t="s">
        <v>295</v>
      </c>
      <c r="R60" s="125" t="s">
        <v>57</v>
      </c>
      <c r="S60" s="123" t="s">
        <v>138</v>
      </c>
      <c r="T60" s="123" t="s">
        <v>88</v>
      </c>
      <c r="U60" s="126"/>
      <c r="V60" s="126"/>
      <c r="W60" s="126"/>
      <c r="X60" s="126"/>
      <c r="Y60" s="126"/>
      <c r="Z60" s="126"/>
      <c r="AA60" s="127">
        <f t="shared" si="4"/>
        <v>0</v>
      </c>
      <c r="AB60" s="126">
        <f t="shared" si="5"/>
        <v>47</v>
      </c>
      <c r="AC60" s="126">
        <f>IFERROR(__xludf.DUMMYFUNCTION("iferror(COUNT(filter($O61:$O$395,$O61:$O$395&gt;$O60)))"),0.0)</f>
        <v>0</v>
      </c>
      <c r="AD60" s="128">
        <f t="shared" si="6"/>
        <v>1</v>
      </c>
      <c r="AE60" s="129">
        <f t="shared" si="7"/>
        <v>7</v>
      </c>
      <c r="AF60" s="123" t="str">
        <f>IFERROR(__xludf.DUMMYFUNCTION("iferror(join("","",index(sort(filter($F61:$F$396,$O61:$O$396&gt;$O60),2,false),0,1)))"),"")</f>
        <v/>
      </c>
      <c r="AG60" s="127">
        <f>IFERROR(__xludf.DUMMYFUNCTION("iferror($O60-max(filter($O60:$O$395,$E60:$E$395=$E$2)))"),0.0)</f>
        <v>0</v>
      </c>
      <c r="AH60" s="126">
        <f t="shared" si="8"/>
        <v>2</v>
      </c>
      <c r="AI60" s="126">
        <f>IFERROR(__xludf.DUMMYFUNCTION("iferror(COUNT(filter($O61:$O$395,$O61:$O$395&gt;$O60,$E60:$E$395=$E$2)))"),0.0)</f>
        <v>0</v>
      </c>
      <c r="AJ60" s="128">
        <f t="shared" si="9"/>
        <v>1</v>
      </c>
      <c r="AK60" s="129">
        <f>IFERROR(__xludf.DUMMYFUNCTION("iferror($O60-min(filter($O60:$O$395,$E60:$E$395=$E$2)))"),9.0)</f>
        <v>9</v>
      </c>
      <c r="AL60" s="123" t="str">
        <f>IFERROR(__xludf.DUMMYFUNCTION("iferror(join("","",index(sort(filter($F61:$F$395,$O61:$O$395&gt;$O60,$E61:$E$395=$E$2),2,false),0,1)))"),"")</f>
        <v/>
      </c>
      <c r="AM60" s="123" t="str">
        <f>IFERROR(__xludf.DUMMYFUNCTION("REGEXREPLACE(join("","",unique({let(conf_picked,filter(E$1:E59,D$1:D59=D60), byrow(unique(TRANSPOSe(Teams!$1:$1)),lambda(rw,if(ISERROR(match(rw,conf_picked,0)),rw,))));iferror(if(#REF!,,transpose(split(#REF!,"","",1,1))))})), ""^,"", """")"),"Big Ten,Pac12,CUSA,MAC,MWC,SEC")</f>
        <v>Big Ten,Pac12,CUSA,MAC,MWC,SEC</v>
      </c>
      <c r="AN60" s="127">
        <f>IFERROR(__xludf.DUMMYFUNCTION("iferror($O60-max(filter($O60:$O$395,arrayformula(isnumber(FIND($E60:$E$395,AM60))))))"),0.0)</f>
        <v>0</v>
      </c>
      <c r="AO60" s="126">
        <f t="array" ref="AO60">countifs($O$2:$O59,"&lt;"&amp;$O60,isnumber(FIND($E$2:$E59,AM60)),TRUE)</f>
        <v>22</v>
      </c>
      <c r="AP60" s="126">
        <f>IFERROR(__xludf.DUMMYFUNCTION("iferror(COUNT(filter($O61:$O$395,$O61:$O$395&gt;$O60,arrayformula(isnumber(FIND($E61:$E$395,AM60))))))"),0.0)</f>
        <v>0</v>
      </c>
      <c r="AQ60" s="128">
        <f t="shared" si="10"/>
        <v>1</v>
      </c>
      <c r="AR60" s="129">
        <f>IFERROR(__xludf.DUMMYFUNCTION("$O60-min(filter($O60:$O$395,arrayformula(isnumber(FIND($E60:$E$395,AM60)))))"),9.0)</f>
        <v>9</v>
      </c>
      <c r="AS60" s="123" t="str">
        <f>IFERROR(__xludf.DUMMYFUNCTION("iferror(join("","",index(sort(filter($F61:$F$395,$O61:$O$395&gt;$O60,arrayformula(isnumber(FIND($E61:$E$395,AM60)))),2,false),0,1)))"),"")</f>
        <v/>
      </c>
    </row>
    <row r="61">
      <c r="A61" s="26">
        <v>60.0</v>
      </c>
      <c r="B61" s="26">
        <v>5.0</v>
      </c>
      <c r="C61" s="26">
        <v>8.0</v>
      </c>
      <c r="D61" s="132" t="s">
        <v>144</v>
      </c>
      <c r="E61" s="133" t="str">
        <f>if(F61&lt;&gt;"",VLOOKUP(F61,offset('Teams-Conference'!A:B,0,(counta('Draft Order'!B$2:B132)-10)*2),2,0),"")</f>
        <v>CUSA</v>
      </c>
      <c r="F61" s="146" t="s">
        <v>338</v>
      </c>
      <c r="G61" s="135" t="str">
        <f t="shared" si="16"/>
        <v/>
      </c>
      <c r="H61" s="122">
        <f t="shared" si="2"/>
        <v>0</v>
      </c>
      <c r="I61" s="122">
        <f t="shared" si="3"/>
        <v>2</v>
      </c>
      <c r="J61" s="122">
        <f t="shared" si="11"/>
        <v>1</v>
      </c>
      <c r="K61" s="122">
        <f t="shared" si="20"/>
        <v>1</v>
      </c>
      <c r="L61" s="122">
        <v>6.0</v>
      </c>
      <c r="M61" s="122">
        <f>IFERROR(__xludf.DUMMYFUNCTION("counta(iferror(filter(L$2:L60,E$2:E60=E61,L$2:L60&lt;L61)))"),0.0)</f>
        <v>0</v>
      </c>
      <c r="N61" s="122">
        <f>IFERROR(__xludf.DUMMYFUNCTION("counta(iferror(filter(L62:L$131,E62:E$131=E61,L62:L$134&gt;L61)))"),0.0)</f>
        <v>0</v>
      </c>
      <c r="O61" s="124">
        <f t="array" ref="O61:Z61">XLOOKUP(F61,'Current Week'!C:C,'Current Week'!D:O)</f>
        <v>6</v>
      </c>
      <c r="P61" s="122">
        <v>6.0</v>
      </c>
      <c r="Q61" s="123" t="s">
        <v>409</v>
      </c>
      <c r="R61" s="123" t="s">
        <v>183</v>
      </c>
      <c r="S61" s="123" t="s">
        <v>131</v>
      </c>
      <c r="T61" s="123" t="s">
        <v>133</v>
      </c>
      <c r="U61" s="123"/>
      <c r="V61" s="123"/>
      <c r="W61" s="123"/>
      <c r="X61" s="123"/>
      <c r="Y61" s="126"/>
      <c r="Z61" s="126"/>
      <c r="AA61" s="127">
        <f t="shared" si="4"/>
        <v>-4</v>
      </c>
      <c r="AB61" s="126">
        <f t="shared" si="5"/>
        <v>10</v>
      </c>
      <c r="AC61" s="126">
        <f>IFERROR(__xludf.DUMMYFUNCTION("iferror(COUNT(filter($O62:$O$395,$O62:$O$395&gt;$O61)))"),24.0)</f>
        <v>24</v>
      </c>
      <c r="AD61" s="128">
        <f t="shared" si="6"/>
        <v>0</v>
      </c>
      <c r="AE61" s="129">
        <f t="shared" si="7"/>
        <v>3</v>
      </c>
      <c r="AF61" s="123" t="str">
        <f>IFERROR(__xludf.DUMMYFUNCTION("iferror(join("","",index(sort(filter($F62:$F$396,$O62:$O$396&gt;$O61),2,false),0,1)))"),"Liberty,James Madison,EMU,Wyoming,Florida State,Middle Tennessee,Kansas State,Texas Tech,Washington State,Minnesota,South Alabama,Louisville,Iowa,Purdue,Ole Miss,Maryland,Syracuse,Tennessee,Ohio,Mississippi State,LSU,Illinois,South Carolina,Duke")</f>
        <v>Liberty,James Madison,EMU,Wyoming,Florida State,Middle Tennessee,Kansas State,Texas Tech,Washington State,Minnesota,South Alabama,Louisville,Iowa,Purdue,Ole Miss,Maryland,Syracuse,Tennessee,Ohio,Mississippi State,LSU,Illinois,South Carolina,Duke</v>
      </c>
      <c r="AG61" s="127">
        <f>IFERROR(__xludf.DUMMYFUNCTION("iferror($O61-max(filter($O61:$O$395,$E61:$E$395=$E$2)))"),-2.0)</f>
        <v>-2</v>
      </c>
      <c r="AH61" s="126">
        <f t="shared" si="8"/>
        <v>1</v>
      </c>
      <c r="AI61" s="126">
        <f>IFERROR(__xludf.DUMMYFUNCTION("iferror(COUNT(filter($O62:$O$395,$O62:$O$395&gt;$O61,$E61:$E$395=$E$2)))"),0.0)</f>
        <v>0</v>
      </c>
      <c r="AJ61" s="128">
        <f t="shared" si="9"/>
        <v>0</v>
      </c>
      <c r="AK61" s="129">
        <f>IFERROR(__xludf.DUMMYFUNCTION("iferror($O61-min(filter($O61:$O$395,$E61:$E$395=$E$2)))"),5.0)</f>
        <v>5</v>
      </c>
      <c r="AL61" s="123" t="str">
        <f>IFERROR(__xludf.DUMMYFUNCTION("iferror(join("","",index(sort(filter($F62:$F$395,$O62:$O$395&gt;$O61,$E62:$E$395=$E$2),2,false),0,1)))"),"Minnesota,Iowa,Purdue,Maryland,Illinois")</f>
        <v>Minnesota,Iowa,Purdue,Maryland,Illinois</v>
      </c>
      <c r="AM61" s="123" t="str">
        <f>IFERROR(__xludf.DUMMYFUNCTION("REGEXREPLACE(join("","",unique({let(conf_picked,filter(E$1:E60,D$1:D60=D61), byrow(unique(TRANSPOSe(Teams!$1:$1)),lambda(rw,if(ISERROR(match(rw,conf_picked,0)),rw,))));iferror(if(#REF!,,transpose(split(#REF!,"","",1,1))))})), ""^,"", """")"),"Big 12,Big Ten,Pac12,CUSA,MAC,SEC")</f>
        <v>Big 12,Big Ten,Pac12,CUSA,MAC,SEC</v>
      </c>
      <c r="AN61" s="127">
        <f>IFERROR(__xludf.DUMMYFUNCTION("iferror($O61-max(filter($O61:$O$395,arrayformula(isnumber(FIND($E61:$E$395,AM61))))))"),-4.0)</f>
        <v>-4</v>
      </c>
      <c r="AO61" s="126">
        <f t="array" ref="AO61">countifs($O$2:$O60,"&lt;"&amp;$O61,isnumber(FIND($E$2:$E60,AM61)),TRUE)</f>
        <v>5</v>
      </c>
      <c r="AP61" s="126">
        <f>IFERROR(__xludf.DUMMYFUNCTION("iferror(COUNT(filter($O62:$O$395,$O62:$O$395&gt;$O61,arrayformula(isnumber(FIND($E62:$E$395,AM61))))))"),17.0)</f>
        <v>17</v>
      </c>
      <c r="AQ61" s="128">
        <f t="shared" si="10"/>
        <v>0</v>
      </c>
      <c r="AR61" s="129">
        <f>IFERROR(__xludf.DUMMYFUNCTION("$O61-min(filter($O61:$O$395,arrayformula(isnumber(FIND($E61:$E$395,AM61)))))"),5.0)</f>
        <v>5</v>
      </c>
      <c r="AS61" s="123" t="str">
        <f>IFERROR(__xludf.DUMMYFUNCTION("iferror(join("","",index(sort(filter($F62:$F$395,$O62:$O$395&gt;$O61,arrayformula(isnumber(FIND($E62:$E$395,AM61)))),2,false),0,1)))"),"Liberty,EMU,Middle Tennessee,Kansas State,Texas Tech,Washington State,Minnesota,Iowa,Purdue,Ole Miss,Maryland,Tennessee,Ohio,Mississippi State,LSU,Illinois,South Carolina")</f>
        <v>Liberty,EMU,Middle Tennessee,Kansas State,Texas Tech,Washington State,Minnesota,Iowa,Purdue,Ole Miss,Maryland,Tennessee,Ohio,Mississippi State,LSU,Illinois,South Carolina</v>
      </c>
    </row>
    <row r="62">
      <c r="A62" s="26">
        <v>61.0</v>
      </c>
      <c r="B62" s="26">
        <v>5.0</v>
      </c>
      <c r="C62" s="26">
        <v>9.0</v>
      </c>
      <c r="D62" s="132" t="s">
        <v>166</v>
      </c>
      <c r="E62" s="133" t="str">
        <f>if(F62&lt;&gt;"",VLOOKUP(F62,offset('Teams-Conference'!A:B,0,(counta('Draft Order'!B$2:B132)-10)*2),2,0),"")</f>
        <v>MAC</v>
      </c>
      <c r="F62" s="143" t="s">
        <v>399</v>
      </c>
      <c r="G62" s="135" t="str">
        <f t="shared" si="16"/>
        <v/>
      </c>
      <c r="H62" s="122">
        <f t="shared" si="2"/>
        <v>3</v>
      </c>
      <c r="I62" s="122">
        <f t="shared" si="3"/>
        <v>3</v>
      </c>
      <c r="J62" s="122">
        <f t="shared" si="11"/>
        <v>0</v>
      </c>
      <c r="K62" s="122">
        <f t="shared" si="20"/>
        <v>1</v>
      </c>
      <c r="L62" s="122">
        <v>8.0</v>
      </c>
      <c r="M62" s="122">
        <f>IFERROR(__xludf.DUMMYFUNCTION("counta(iferror(filter(L$2:L61,E$2:E61=E62,L$2:L61&lt;L62)))"),4.0)</f>
        <v>4</v>
      </c>
      <c r="N62" s="122">
        <f>IFERROR(__xludf.DUMMYFUNCTION("counta(iferror(filter(L63:L$131,E63:E$131=E62,L63:L$134&gt;L62)))"),0.0)</f>
        <v>0</v>
      </c>
      <c r="O62" s="124">
        <f t="array" ref="O62:Z62">XLOOKUP(F62,'Current Week'!C:C,'Current Week'!D:O)</f>
        <v>8</v>
      </c>
      <c r="P62" s="122">
        <v>4.0</v>
      </c>
      <c r="Q62" s="123" t="s">
        <v>395</v>
      </c>
      <c r="R62" s="123" t="s">
        <v>57</v>
      </c>
      <c r="S62" s="123" t="s">
        <v>109</v>
      </c>
      <c r="T62" s="123"/>
      <c r="U62" s="126"/>
      <c r="V62" s="126"/>
      <c r="W62" s="126"/>
      <c r="X62" s="126"/>
      <c r="Y62" s="126"/>
      <c r="Z62" s="126"/>
      <c r="AA62" s="127">
        <f t="shared" si="4"/>
        <v>-2</v>
      </c>
      <c r="AB62" s="126">
        <f t="shared" si="5"/>
        <v>31</v>
      </c>
      <c r="AC62" s="126">
        <f>IFERROR(__xludf.DUMMYFUNCTION("iferror(COUNT(filter($O63:$O$395,$O63:$O$395&gt;$O62)))"),6.0)</f>
        <v>6</v>
      </c>
      <c r="AD62" s="128">
        <f t="shared" si="6"/>
        <v>0</v>
      </c>
      <c r="AE62" s="129">
        <f t="shared" si="7"/>
        <v>5</v>
      </c>
      <c r="AF62" s="123" t="str">
        <f>IFERROR(__xludf.DUMMYFUNCTION("iferror(join("","",index(sort(filter($F63:$F$396,$O63:$O$396&gt;$O62),2,false),0,1)))"),"Florida State,Kansas State,South Alabama,Tennessee,Ohio,LSU")</f>
        <v>Florida State,Kansas State,South Alabama,Tennessee,Ohio,LSU</v>
      </c>
      <c r="AG62" s="127">
        <f>IFERROR(__xludf.DUMMYFUNCTION("iferror($O62-max(filter($O62:$O$395,$E62:$E$395=$E$2)))"),0.0)</f>
        <v>0</v>
      </c>
      <c r="AH62" s="126">
        <f t="shared" si="8"/>
        <v>2</v>
      </c>
      <c r="AI62" s="126">
        <f>IFERROR(__xludf.DUMMYFUNCTION("iferror(COUNT(filter($O63:$O$395,$O63:$O$395&gt;$O62,$E62:$E$395=$E$2)))"),0.0)</f>
        <v>0</v>
      </c>
      <c r="AJ62" s="128">
        <f t="shared" si="9"/>
        <v>1</v>
      </c>
      <c r="AK62" s="129">
        <f>IFERROR(__xludf.DUMMYFUNCTION("iferror($O62-min(filter($O62:$O$395,$E62:$E$395=$E$2)))"),7.0)</f>
        <v>7</v>
      </c>
      <c r="AL62" s="123" t="str">
        <f>IFERROR(__xludf.DUMMYFUNCTION("iferror(join("","",index(sort(filter($F63:$F$395,$O63:$O$395&gt;$O62,$E63:$E$395=$E$2),2,false),0,1)))"),"")</f>
        <v/>
      </c>
      <c r="AM62" s="123" t="str">
        <f>IFERROR(__xludf.DUMMYFUNCTION("REGEXREPLACE(join("","",unique({let(conf_picked,filter(E$1:E61,D$1:D61=D62), byrow(unique(TRANSPOSe(Teams!$1:$1)),lambda(rw,if(ISERROR(match(rw,conf_picked,0)),rw,))));iferror(if(#REF!,,transpose(split(#REF!,"","",1,1))))})), ""^,"", """")"),"Big Ten,Pac12,CUSA,MAC,MWC,SEC")</f>
        <v>Big Ten,Pac12,CUSA,MAC,MWC,SEC</v>
      </c>
      <c r="AN62" s="127">
        <f>IFERROR(__xludf.DUMMYFUNCTION("iferror($O62-max(filter($O62:$O$395,arrayformula(isnumber(FIND($E62:$E$395,AM62))))))"),-2.0)</f>
        <v>-2</v>
      </c>
      <c r="AO62" s="126">
        <f t="array" ref="AO62">countifs($O$2:$O61,"&lt;"&amp;$O62,isnumber(FIND($E$2:$E61,AM62)),TRUE)</f>
        <v>15</v>
      </c>
      <c r="AP62" s="126">
        <f>IFERROR(__xludf.DUMMYFUNCTION("iferror(COUNT(filter($O63:$O$395,$O63:$O$395&gt;$O62,arrayformula(isnumber(FIND($E63:$E$395,AM62))))))"),3.0)</f>
        <v>3</v>
      </c>
      <c r="AQ62" s="128">
        <f t="shared" si="10"/>
        <v>0</v>
      </c>
      <c r="AR62" s="129">
        <f>IFERROR(__xludf.DUMMYFUNCTION("$O62-min(filter($O62:$O$395,arrayformula(isnumber(FIND($E62:$E$395,AM62)))))"),7.0)</f>
        <v>7</v>
      </c>
      <c r="AS62" s="123" t="str">
        <f>IFERROR(__xludf.DUMMYFUNCTION("iferror(join("","",index(sort(filter($F63:$F$395,$O63:$O$395&gt;$O62,arrayformula(isnumber(FIND($E63:$E$395,AM62)))),2,false),0,1)))"),"Tennessee,Ohio,LSU")</f>
        <v>Tennessee,Ohio,LSU</v>
      </c>
    </row>
    <row r="63">
      <c r="A63" s="26">
        <v>62.0</v>
      </c>
      <c r="B63" s="26">
        <v>5.0</v>
      </c>
      <c r="C63" s="26">
        <v>10.0</v>
      </c>
      <c r="D63" s="132" t="s">
        <v>116</v>
      </c>
      <c r="E63" s="133" t="str">
        <f>if(F63&lt;&gt;"",VLOOKUP(F63,offset('Teams-Conference'!A:B,0,(counta('Draft Order'!B$2:B132)-10)*2),2,0),"")</f>
        <v>Sun Belt</v>
      </c>
      <c r="F63" s="143" t="s">
        <v>388</v>
      </c>
      <c r="G63" s="135" t="str">
        <f t="shared" si="16"/>
        <v/>
      </c>
      <c r="H63" s="122">
        <f t="shared" si="2"/>
        <v>0</v>
      </c>
      <c r="I63" s="122">
        <f t="shared" si="3"/>
        <v>1</v>
      </c>
      <c r="J63" s="122">
        <f t="shared" si="11"/>
        <v>1</v>
      </c>
      <c r="K63" s="122">
        <f t="shared" si="20"/>
        <v>0</v>
      </c>
      <c r="L63" s="122">
        <v>8.0</v>
      </c>
      <c r="M63" s="122">
        <f>IFERROR(__xludf.DUMMYFUNCTION("counta(iferror(filter(L$2:L62,E$2:E62=E63,L$2:L62&lt;L63)))"),3.0)</f>
        <v>3</v>
      </c>
      <c r="N63" s="122">
        <f>IFERROR(__xludf.DUMMYFUNCTION("counta(iferror(filter(L64:L$131,E64:E$131=E63,L64:L$134&gt;L63)))"),0.0)</f>
        <v>0</v>
      </c>
      <c r="O63" s="124">
        <f t="array" ref="O63:Z63">XLOOKUP(F63,'Current Week'!C:C,'Current Week'!D:O)</f>
        <v>8</v>
      </c>
      <c r="P63" s="122">
        <v>3.0</v>
      </c>
      <c r="Q63" s="123" t="s">
        <v>301</v>
      </c>
      <c r="R63" s="123" t="s">
        <v>57</v>
      </c>
      <c r="S63" s="123" t="s">
        <v>144</v>
      </c>
      <c r="T63" s="123"/>
      <c r="U63" s="123"/>
      <c r="V63" s="123"/>
      <c r="W63" s="123"/>
      <c r="X63" s="123"/>
      <c r="Y63" s="126"/>
      <c r="Z63" s="126"/>
      <c r="AA63" s="127">
        <f t="shared" si="4"/>
        <v>-2</v>
      </c>
      <c r="AB63" s="126">
        <f t="shared" si="5"/>
        <v>31</v>
      </c>
      <c r="AC63" s="126">
        <f>IFERROR(__xludf.DUMMYFUNCTION("iferror(COUNT(filter($O64:$O$395,$O64:$O$395&gt;$O63)))"),6.0)</f>
        <v>6</v>
      </c>
      <c r="AD63" s="128">
        <f t="shared" si="6"/>
        <v>0</v>
      </c>
      <c r="AE63" s="129">
        <f t="shared" si="7"/>
        <v>5</v>
      </c>
      <c r="AF63" s="123" t="str">
        <f>IFERROR(__xludf.DUMMYFUNCTION("iferror(join("","",index(sort(filter($F64:$F$396,$O64:$O$396&gt;$O63),2,false),0,1)))"),"Florida State,Kansas State,South Alabama,Tennessee,Ohio,LSU")</f>
        <v>Florida State,Kansas State,South Alabama,Tennessee,Ohio,LSU</v>
      </c>
      <c r="AG63" s="127">
        <f>IFERROR(__xludf.DUMMYFUNCTION("iferror($O63-max(filter($O63:$O$395,$E63:$E$395=$E$2)))"),0.0)</f>
        <v>0</v>
      </c>
      <c r="AH63" s="126">
        <f t="shared" si="8"/>
        <v>2</v>
      </c>
      <c r="AI63" s="126">
        <f>IFERROR(__xludf.DUMMYFUNCTION("iferror(COUNT(filter($O64:$O$395,$O64:$O$395&gt;$O63,$E63:$E$395=$E$2)))"),0.0)</f>
        <v>0</v>
      </c>
      <c r="AJ63" s="128">
        <f t="shared" si="9"/>
        <v>1</v>
      </c>
      <c r="AK63" s="129">
        <f>IFERROR(__xludf.DUMMYFUNCTION("iferror($O63-min(filter($O63:$O$395,$E63:$E$395=$E$2)))"),7.0)</f>
        <v>7</v>
      </c>
      <c r="AL63" s="123" t="str">
        <f>IFERROR(__xludf.DUMMYFUNCTION("iferror(join("","",index(sort(filter($F64:$F$395,$O64:$O$395&gt;$O63,$E64:$E$395=$E$2),2,false),0,1)))"),"")</f>
        <v/>
      </c>
      <c r="AM63" s="123" t="str">
        <f>IFERROR(__xludf.DUMMYFUNCTION("REGEXREPLACE(join("","",unique({let(conf_picked,filter(E$1:E62,D$1:D62=D63), byrow(unique(TRANSPOSe(Teams!$1:$1)),lambda(rw,if(ISERROR(match(rw,conf_picked,0)),rw,))));iferror(if(#REF!,,transpose(split(#REF!,"","",1,1))))})), ""^,"", """")"),"AAC,ACC,,Big Ten,CUSA,MAC,Sun Belt")</f>
        <v>AAC,ACC,,Big Ten,CUSA,MAC,Sun Belt</v>
      </c>
      <c r="AN63" s="127">
        <f>IFERROR(__xludf.DUMMYFUNCTION("iferror($O63-max(filter($O63:$O$395,arrayformula(isnumber(FIND($E63:$E$395,AM63))))))"),-2.0)</f>
        <v>-2</v>
      </c>
      <c r="AO63" s="126">
        <f t="array" ref="AO63">countifs($O$2:$O62,"&lt;"&amp;$O63,isnumber(FIND($E$2:$E62,AM63)),TRUE)</f>
        <v>21</v>
      </c>
      <c r="AP63" s="126">
        <f>IFERROR(__xludf.DUMMYFUNCTION("iferror(COUNT(filter($O64:$O$395,$O64:$O$395&gt;$O63,arrayformula(isnumber(FIND($E64:$E$395,AM63))))))"),3.0)</f>
        <v>3</v>
      </c>
      <c r="AQ63" s="128">
        <f t="shared" si="10"/>
        <v>0</v>
      </c>
      <c r="AR63" s="129">
        <f>IFERROR(__xludf.DUMMYFUNCTION("$O63-min(filter($O63:$O$395,arrayformula(isnumber(FIND($E63:$E$395,AM63)))))"),7.0)</f>
        <v>7</v>
      </c>
      <c r="AS63" s="123" t="str">
        <f>IFERROR(__xludf.DUMMYFUNCTION("iferror(join("","",index(sort(filter($F64:$F$395,$O64:$O$395&gt;$O63,arrayformula(isnumber(FIND($E64:$E$395,AM63)))),2,false),0,1)))"),"Florida State,South Alabama,Ohio")</f>
        <v>Florida State,South Alabama,Ohio</v>
      </c>
    </row>
    <row r="64">
      <c r="A64" s="26">
        <v>63.0</v>
      </c>
      <c r="B64" s="26">
        <v>5.0</v>
      </c>
      <c r="C64" s="26">
        <v>11.0</v>
      </c>
      <c r="D64" s="132" t="s">
        <v>148</v>
      </c>
      <c r="E64" s="133" t="str">
        <f>if(F64&lt;&gt;"",VLOOKUP(F64,offset('Teams-Conference'!A:B,0,(counta('Draft Order'!B$2:B132)-10)*2),2,0),"")</f>
        <v>Big 12</v>
      </c>
      <c r="F64" s="143" t="s">
        <v>326</v>
      </c>
      <c r="G64" s="135" t="str">
        <f t="shared" si="16"/>
        <v/>
      </c>
      <c r="H64" s="122">
        <f t="shared" si="2"/>
        <v>0</v>
      </c>
      <c r="I64" s="122">
        <f t="shared" si="3"/>
        <v>2</v>
      </c>
      <c r="J64" s="122">
        <f t="shared" si="11"/>
        <v>0</v>
      </c>
      <c r="K64" s="122">
        <f t="shared" si="20"/>
        <v>2</v>
      </c>
      <c r="L64" s="122">
        <v>4.0</v>
      </c>
      <c r="M64" s="122">
        <f>IFERROR(__xludf.DUMMYFUNCTION("counta(iferror(filter(L$2:L63,E$2:E63=E64,L$2:L63&lt;L64)))"),0.0)</f>
        <v>0</v>
      </c>
      <c r="N64" s="122">
        <f>IFERROR(__xludf.DUMMYFUNCTION("counta(iferror(filter(L65:L$131,E65:E$131=E64,L65:L$134&gt;L64)))"),0.0)</f>
        <v>0</v>
      </c>
      <c r="O64" s="124">
        <f t="array" ref="O64:Z64">XLOOKUP(F64,'Current Week'!C:C,'Current Week'!D:O)</f>
        <v>4</v>
      </c>
      <c r="P64" s="122">
        <v>8.0</v>
      </c>
      <c r="Q64" s="123" t="s">
        <v>420</v>
      </c>
      <c r="R64" s="123" t="s">
        <v>57</v>
      </c>
      <c r="S64" s="123" t="s">
        <v>103</v>
      </c>
      <c r="T64" s="123" t="s">
        <v>74</v>
      </c>
      <c r="U64" s="123"/>
      <c r="V64" s="123"/>
      <c r="W64" s="123"/>
      <c r="X64" s="123"/>
      <c r="Y64" s="126"/>
      <c r="Z64" s="126"/>
      <c r="AA64" s="127">
        <f t="shared" si="4"/>
        <v>-6</v>
      </c>
      <c r="AB64" s="126">
        <f t="shared" si="5"/>
        <v>3</v>
      </c>
      <c r="AC64" s="126">
        <f>IFERROR(__xludf.DUMMYFUNCTION("iferror(COUNT(filter($O65:$O$395,$O65:$O$395&gt;$O64)))"),43.0)</f>
        <v>43</v>
      </c>
      <c r="AD64" s="128">
        <f t="shared" si="6"/>
        <v>0</v>
      </c>
      <c r="AE64" s="129">
        <f t="shared" si="7"/>
        <v>1</v>
      </c>
      <c r="AF64" s="123" t="str">
        <f>IFERROR(__xludf.DUMMYFUNCTION("iferror(join("","",index(sort(filter($F65:$F$396,$O65:$O$396&gt;$O64),2,false),0,1)))"),"EMU,Western Michigan,Wyoming,Florida State,Kent State,Middle Tennessee,Arkansas,Kansas State,Texas Tech,Washington State,Florida Atlantic,Minnesota,South Alabama,Louisville,West Virginia,Iowa,Purdue,Ole Miss,UTEP,Maryland,Ball State,Florida,Buffalo,Syracu"&amp;"se,UNLV,Georgia Southern,Tennessee,Ohio,Kansas,Mississippi State,LSU,Illinois,Auburn,Rice,Bowling Green,Arizona,South Carolina,Georgia Tech,New Mexico State,Vanderbilt,UConn,Missouri,Duke")</f>
        <v>EMU,Western Michigan,Wyoming,Florida State,Kent State,Middle Tennessee,Arkansas,Kansas State,Texas Tech,Washington State,Florida Atlantic,Minnesota,South Alabama,Louisville,West Virginia,Iowa,Purdue,Ole Miss,UTEP,Maryland,Ball State,Florida,Buffalo,Syracuse,UNLV,Georgia Southern,Tennessee,Ohio,Kansas,Mississippi State,LSU,Illinois,Auburn,Rice,Bowling Green,Arizona,South Carolina,Georgia Tech,New Mexico State,Vanderbilt,UConn,Missouri,Duke</v>
      </c>
      <c r="AG64" s="127">
        <f>IFERROR(__xludf.DUMMYFUNCTION("iferror($O64-max(filter($O64:$O$395,$E64:$E$395=$E$2)))"),-4.0)</f>
        <v>-4</v>
      </c>
      <c r="AH64" s="126">
        <f t="shared" si="8"/>
        <v>0</v>
      </c>
      <c r="AI64" s="126">
        <f>IFERROR(__xludf.DUMMYFUNCTION("iferror(COUNT(filter($O65:$O$395,$O65:$O$395&gt;$O64,$E64:$E$395=$E$2)))"),0.0)</f>
        <v>0</v>
      </c>
      <c r="AJ64" s="128">
        <f t="shared" si="9"/>
        <v>0</v>
      </c>
      <c r="AK64" s="129">
        <f>IFERROR(__xludf.DUMMYFUNCTION("iferror($O64-min(filter($O64:$O$395,$E64:$E$395=$E$2)))"),3.0)</f>
        <v>3</v>
      </c>
      <c r="AL64" s="123" t="str">
        <f>IFERROR(__xludf.DUMMYFUNCTION("iferror(join("","",index(sort(filter($F65:$F$395,$O65:$O$395&gt;$O64,$E65:$E$395=$E$2),2,false),0,1)))"),"Minnesota,Iowa,Purdue,Maryland,Illinois")</f>
        <v>Minnesota,Iowa,Purdue,Maryland,Illinois</v>
      </c>
      <c r="AM64" s="123" t="str">
        <f>IFERROR(__xludf.DUMMYFUNCTION("REGEXREPLACE(join("","",unique({let(conf_picked,filter(E$1:E63,D$1:D63=D64), byrow(unique(TRANSPOSe(Teams!$1:$1)),lambda(rw,if(ISERROR(match(rw,conf_picked,0)),rw,))));iferror(if(#REF!,,transpose(split(#REF!,"","",1,1))))})), ""^,"", """")"),"ACC,Big 12,Big Ten,CUSA,MAC,Sun Belt")</f>
        <v>ACC,Big 12,Big Ten,CUSA,MAC,Sun Belt</v>
      </c>
      <c r="AN64" s="127">
        <f>IFERROR(__xludf.DUMMYFUNCTION("iferror($O64-max(filter($O64:$O$395,arrayformula(isnumber(FIND($E64:$E$395,AM64))))))"),-6.0)</f>
        <v>-6</v>
      </c>
      <c r="AO64" s="126">
        <f t="array" ref="AO64">countifs($O$2:$O63,"&lt;"&amp;$O64,isnumber(FIND($E$2:$E63,AM64)),TRUE)</f>
        <v>2</v>
      </c>
      <c r="AP64" s="126">
        <f>IFERROR(__xludf.DUMMYFUNCTION("iferror(COUNT(filter($O65:$O$395,$O65:$O$395&gt;$O64,arrayformula(isnumber(FIND($E65:$E$395,AM64))))))"),28.0)</f>
        <v>28</v>
      </c>
      <c r="AQ64" s="128">
        <f t="shared" si="10"/>
        <v>0</v>
      </c>
      <c r="AR64" s="129">
        <f>IFERROR(__xludf.DUMMYFUNCTION("$O64-min(filter($O64:$O$395,arrayformula(isnumber(FIND($E64:$E$395,AM64)))))"),3.0)</f>
        <v>3</v>
      </c>
      <c r="AS64" s="123" t="str">
        <f>IFERROR(__xludf.DUMMYFUNCTION("iferror(join("","",index(sort(filter($F65:$F$395,$O65:$O$395&gt;$O64,arrayformula(isnumber(FIND($E65:$E$395,AM64)))),2,false),0,1)))"),"EMU,Western Michigan,Florida State,Kent State,Middle Tennessee,Kansas State,Texas Tech,Florida Atlantic,Minnesota,South Alabama,Louisville,West Virginia,Iowa,Purdue,UTEP,Maryland,Ball State,Buffalo,Syracuse,Georgia Southern,Ohio,Kansas,Illinois,Rice,Bowli"&amp;"ng Green,Georgia Tech,Vanderbilt,Duke")</f>
        <v>EMU,Western Michigan,Florida State,Kent State,Middle Tennessee,Kansas State,Texas Tech,Florida Atlantic,Minnesota,South Alabama,Louisville,West Virginia,Iowa,Purdue,UTEP,Maryland,Ball State,Buffalo,Syracuse,Georgia Southern,Ohio,Kansas,Illinois,Rice,Bowling Green,Georgia Tech,Vanderbilt,Duke</v>
      </c>
    </row>
    <row r="65">
      <c r="A65" s="26">
        <v>64.0</v>
      </c>
      <c r="B65" s="26">
        <v>5.0</v>
      </c>
      <c r="C65" s="26">
        <v>12.0</v>
      </c>
      <c r="D65" s="132" t="s">
        <v>103</v>
      </c>
      <c r="E65" t="str">
        <f>if(F65&lt;&gt;"",VLOOKUP(F65,offset('Teams-Conference'!A:B,0,(counta('Draft Order'!B$2:B132)-10)*2),2,0),"")</f>
        <v>MAC</v>
      </c>
      <c r="F65" s="143" t="s">
        <v>356</v>
      </c>
      <c r="G65" s="135" t="str">
        <f t="shared" si="16"/>
        <v/>
      </c>
      <c r="H65" s="122">
        <f t="shared" si="2"/>
        <v>2</v>
      </c>
      <c r="I65" s="122">
        <f t="shared" si="3"/>
        <v>2</v>
      </c>
      <c r="J65" s="122">
        <f t="shared" si="11"/>
        <v>1</v>
      </c>
      <c r="K65" s="122">
        <f>countif(E46:E65,E67)</f>
        <v>0</v>
      </c>
      <c r="L65" s="122">
        <v>8.0</v>
      </c>
      <c r="M65" s="122">
        <f>IFERROR(__xludf.DUMMYFUNCTION("counta(iferror(filter(L$2:L64,E$2:E64=E65,L$2:L64&lt;L65)))"),4.0)</f>
        <v>4</v>
      </c>
      <c r="N65" s="122">
        <f>IFERROR(__xludf.DUMMYFUNCTION("counta(iferror(filter(L66:L$131,E66:E$131=E65,L66:L$134&gt;L65)))"),0.0)</f>
        <v>0</v>
      </c>
      <c r="O65" s="124">
        <f t="array" ref="O65:Z65">XLOOKUP(F65,'Current Week'!C:C,'Current Week'!D:O)</f>
        <v>8</v>
      </c>
      <c r="P65" s="122">
        <v>4.0</v>
      </c>
      <c r="Q65" s="123" t="s">
        <v>286</v>
      </c>
      <c r="R65" s="123" t="s">
        <v>57</v>
      </c>
      <c r="S65" s="123" t="s">
        <v>59</v>
      </c>
      <c r="T65" s="123"/>
      <c r="U65" s="123"/>
      <c r="V65" s="123"/>
      <c r="W65" s="123"/>
      <c r="X65" s="123"/>
      <c r="Y65" s="126"/>
      <c r="Z65" s="126"/>
      <c r="AA65" s="127">
        <f t="shared" si="4"/>
        <v>-2</v>
      </c>
      <c r="AB65" s="126">
        <f t="shared" si="5"/>
        <v>32</v>
      </c>
      <c r="AC65" s="126">
        <f>IFERROR(__xludf.DUMMYFUNCTION("iferror(COUNT(filter($O66:$O$395,$O66:$O$395&gt;$O65)))"),6.0)</f>
        <v>6</v>
      </c>
      <c r="AD65" s="128">
        <f t="shared" si="6"/>
        <v>0</v>
      </c>
      <c r="AE65" s="129">
        <f t="shared" si="7"/>
        <v>5</v>
      </c>
      <c r="AF65" s="123" t="str">
        <f>IFERROR(__xludf.DUMMYFUNCTION("iferror(join("","",index(sort(filter($F66:$F$396,$O66:$O$396&gt;$O65),2,false),0,1)))"),"Florida State,Kansas State,South Alabama,Tennessee,Ohio,LSU")</f>
        <v>Florida State,Kansas State,South Alabama,Tennessee,Ohio,LSU</v>
      </c>
      <c r="AG65" s="127">
        <f>IFERROR(__xludf.DUMMYFUNCTION("iferror($O65-max(filter($O65:$O$395,$E65:$E$395=$E$2)))"),0.0)</f>
        <v>0</v>
      </c>
      <c r="AH65" s="126">
        <f t="shared" si="8"/>
        <v>2</v>
      </c>
      <c r="AI65" s="126">
        <f>IFERROR(__xludf.DUMMYFUNCTION("iferror(COUNT(filter($O66:$O$395,$O66:$O$395&gt;$O65,$E65:$E$395=$E$2)))"),0.0)</f>
        <v>0</v>
      </c>
      <c r="AJ65" s="128">
        <f t="shared" si="9"/>
        <v>1</v>
      </c>
      <c r="AK65" s="129">
        <f>IFERROR(__xludf.DUMMYFUNCTION("iferror($O65-min(filter($O65:$O$395,$E65:$E$395=$E$2)))"),7.0)</f>
        <v>7</v>
      </c>
      <c r="AL65" s="123" t="str">
        <f>IFERROR(__xludf.DUMMYFUNCTION("iferror(join("","",index(sort(filter($F66:$F$395,$O66:$O$395&gt;$O65,$E66:$E$395=$E$2),2,false),0,1)))"),"")</f>
        <v/>
      </c>
      <c r="AM65" s="123" t="str">
        <f>IFERROR(__xludf.DUMMYFUNCTION("REGEXREPLACE(join("","",unique({let(conf_picked,filter(E$1:E64,D$1:D64=D65), byrow(unique(TRANSPOSe(Teams!$1:$1)),lambda(rw,if(ISERROR(match(rw,conf_picked,0)),rw,))));iferror(if(#REF!,,transpose(split(#REF!,"","",1,1))))})), ""^,"", """")"),"AAC,ACC,,Big Ten,Pac12,MAC,SEC")</f>
        <v>AAC,ACC,,Big Ten,Pac12,MAC,SEC</v>
      </c>
      <c r="AN65" s="127">
        <f>IFERROR(__xludf.DUMMYFUNCTION("iferror($O65-max(filter($O65:$O$395,arrayformula(isnumber(FIND($E65:$E$395,AM65))))))"),-2.0)</f>
        <v>-2</v>
      </c>
      <c r="AO65" s="126">
        <f t="array" ref="AO65">countifs($O$2:$O64,"&lt;"&amp;$O65,isnumber(FIND($E$2:$E64,AM65)),TRUE)</f>
        <v>17</v>
      </c>
      <c r="AP65" s="126">
        <f>IFERROR(__xludf.DUMMYFUNCTION("iferror(COUNT(filter($O66:$O$395,$O66:$O$395&gt;$O65,arrayformula(isnumber(FIND($E66:$E$395,AM65))))))"),4.0)</f>
        <v>4</v>
      </c>
      <c r="AQ65" s="128">
        <f t="shared" si="10"/>
        <v>0</v>
      </c>
      <c r="AR65" s="129">
        <f>IFERROR(__xludf.DUMMYFUNCTION("$O65-min(filter($O65:$O$395,arrayformula(isnumber(FIND($E65:$E$395,AM65)))))"),7.0)</f>
        <v>7</v>
      </c>
      <c r="AS65" s="123" t="str">
        <f>IFERROR(__xludf.DUMMYFUNCTION("iferror(join("","",index(sort(filter($F66:$F$395,$O66:$O$395&gt;$O65,arrayformula(isnumber(FIND($E66:$E$395,AM65)))),2,false),0,1)))"),"Florida State,Tennessee,Ohio,LSU")</f>
        <v>Florida State,Tennessee,Ohio,LSU</v>
      </c>
    </row>
    <row r="66">
      <c r="A66" s="156">
        <v>65.0</v>
      </c>
      <c r="B66" s="156">
        <v>5.0</v>
      </c>
      <c r="C66" s="156">
        <v>13.0</v>
      </c>
      <c r="D66" s="157" t="s">
        <v>154</v>
      </c>
      <c r="E66" s="158" t="str">
        <f>if(F66&lt;&gt;"",VLOOKUP(F66,offset('Teams-Conference'!A:B,0,(counta('Draft Order'!B$2:B132)-10)*2),2,0),"")</f>
        <v>MAC</v>
      </c>
      <c r="F66" s="159" t="s">
        <v>382</v>
      </c>
      <c r="G66" s="160" t="str">
        <f t="shared" si="16"/>
        <v/>
      </c>
      <c r="H66" s="122">
        <f t="shared" si="2"/>
        <v>1</v>
      </c>
      <c r="I66" s="122">
        <f t="shared" si="3"/>
        <v>1</v>
      </c>
      <c r="J66" s="122">
        <f t="shared" si="11"/>
        <v>2</v>
      </c>
      <c r="K66" s="123"/>
      <c r="L66" s="122">
        <v>5.0</v>
      </c>
      <c r="M66" s="122">
        <f>IFERROR(__xludf.DUMMYFUNCTION("counta(iferror(filter(L$2:L65,E$2:E65=E66,L$2:L65&lt;L66)))"),2.0)</f>
        <v>2</v>
      </c>
      <c r="N66" s="122">
        <f>IFERROR(__xludf.DUMMYFUNCTION("counta(iferror(filter(L67:L$131,E67:E$131=E66,L67:L$134&gt;L66)))"),0.0)</f>
        <v>0</v>
      </c>
      <c r="O66" s="124">
        <f t="array" ref="O66:Z66">XLOOKUP(F66,'Current Week'!C:C,'Current Week'!D:O)</f>
        <v>5</v>
      </c>
      <c r="P66" s="122">
        <v>7.0</v>
      </c>
      <c r="Q66" s="123" t="s">
        <v>266</v>
      </c>
      <c r="R66" s="123" t="s">
        <v>57</v>
      </c>
      <c r="S66" s="123" t="s">
        <v>178</v>
      </c>
      <c r="T66" s="123"/>
      <c r="U66" s="123"/>
      <c r="V66" s="123"/>
      <c r="W66" s="123"/>
      <c r="X66" s="123"/>
      <c r="Y66" s="126"/>
      <c r="Z66" s="126"/>
      <c r="AA66" s="127">
        <f t="shared" si="4"/>
        <v>-5</v>
      </c>
      <c r="AB66" s="126">
        <f t="shared" si="5"/>
        <v>6</v>
      </c>
      <c r="AC66" s="126">
        <f>IFERROR(__xludf.DUMMYFUNCTION("iferror(COUNT(filter($O67:$O$395,$O67:$O$395&gt;$O66)))"),30.0)</f>
        <v>30</v>
      </c>
      <c r="AD66" s="128">
        <f t="shared" si="6"/>
        <v>0</v>
      </c>
      <c r="AE66" s="129">
        <f t="shared" si="7"/>
        <v>2</v>
      </c>
      <c r="AF66" s="123" t="str">
        <f>IFERROR(__xludf.DUMMYFUNCTION("iferror(join("","",index(sort(filter($F67:$F$396,$O67:$O$396&gt;$O66),2,false),0,1)))"),"Wyoming,Florida State,Middle Tennessee,Arkansas,Kansas State,Texas Tech,Washington State,Minnesota,South Alabama,Louisville,Iowa,Purdue,Ole Miss,Maryland,Florida,Buffalo,Syracuse,Georgia Southern,Tennessee,Ohio,Kansas,Mississippi State,LSU,Illinois,Bowlin"&amp;"g Green,South Carolina,New Mexico State,UConn,Missouri,Duke")</f>
        <v>Wyoming,Florida State,Middle Tennessee,Arkansas,Kansas State,Texas Tech,Washington State,Minnesota,South Alabama,Louisville,Iowa,Purdue,Ole Miss,Maryland,Florida,Buffalo,Syracuse,Georgia Southern,Tennessee,Ohio,Kansas,Mississippi State,LSU,Illinois,Bowling Green,South Carolina,New Mexico State,UConn,Missouri,Duke</v>
      </c>
      <c r="AG66" s="127">
        <f>IFERROR(__xludf.DUMMYFUNCTION("iferror($O66-max(filter($O66:$O$395,$E66:$E$395=$E$2)))"),-3.0)</f>
        <v>-3</v>
      </c>
      <c r="AH66" s="126">
        <f t="shared" si="8"/>
        <v>0</v>
      </c>
      <c r="AI66" s="126">
        <f>IFERROR(__xludf.DUMMYFUNCTION("iferror(COUNT(filter($O67:$O$395,$O67:$O$395&gt;$O66,$E66:$E$395=$E$2)))"),0.0)</f>
        <v>0</v>
      </c>
      <c r="AJ66" s="128">
        <f t="shared" si="9"/>
        <v>0</v>
      </c>
      <c r="AK66" s="129">
        <f>IFERROR(__xludf.DUMMYFUNCTION("iferror($O66-min(filter($O66:$O$395,$E66:$E$395=$E$2)))"),4.0)</f>
        <v>4</v>
      </c>
      <c r="AL66" s="123" t="str">
        <f>IFERROR(__xludf.DUMMYFUNCTION("iferror(join("","",index(sort(filter($F67:$F$395,$O67:$O$395&gt;$O66,$E67:$E$395=$E$2),2,false),0,1)))"),"Minnesota,Iowa,Purdue,Maryland,Illinois")</f>
        <v>Minnesota,Iowa,Purdue,Maryland,Illinois</v>
      </c>
      <c r="AM66" s="123" t="str">
        <f>IFERROR(__xludf.DUMMYFUNCTION("REGEXREPLACE(join("","",unique({let(conf_picked,filter(E$1:E65,D$1:D65=D66), byrow(unique(TRANSPOSe(Teams!$1:$1)),lambda(rw,if(ISERROR(match(rw,conf_picked,0)),rw,))));iferror(if(#REF!,,transpose(split(#REF!,"","",1,1))))})), ""^,"", """")"),"Big Ten,CUSA,MAC,MWC,SEC,Sun Belt")</f>
        <v>Big Ten,CUSA,MAC,MWC,SEC,Sun Belt</v>
      </c>
      <c r="AN66" s="127">
        <f>IFERROR(__xludf.DUMMYFUNCTION("iferror($O66-max(filter($O66:$O$395,arrayformula(isnumber(FIND($E66:$E$395,AM66))))))"),-5.0)</f>
        <v>-5</v>
      </c>
      <c r="AO66" s="126">
        <f t="array" ref="AO66">countifs($O$2:$O65,"&lt;"&amp;$O66,isnumber(FIND($E$2:$E65,AM66)),TRUE)</f>
        <v>4</v>
      </c>
      <c r="AP66" s="126">
        <f>IFERROR(__xludf.DUMMYFUNCTION("iferror(COUNT(filter($O67:$O$395,$O67:$O$395&gt;$O66,arrayformula(isnumber(FIND($E67:$E$395,AM66))))))"),21.0)</f>
        <v>21</v>
      </c>
      <c r="AQ66" s="128">
        <f t="shared" si="10"/>
        <v>0</v>
      </c>
      <c r="AR66" s="129">
        <f>IFERROR(__xludf.DUMMYFUNCTION("$O66-min(filter($O66:$O$395,arrayformula(isnumber(FIND($E66:$E$395,AM66)))))"),4.0)</f>
        <v>4</v>
      </c>
      <c r="AS66" s="123" t="str">
        <f>IFERROR(__xludf.DUMMYFUNCTION("iferror(join("","",index(sort(filter($F67:$F$395,$O67:$O$395&gt;$O66,arrayformula(isnumber(FIND($E67:$E$395,AM66)))),2,false),0,1)))"),"Wyoming,Middle Tennessee,Arkansas,Minnesota,South Alabama,Iowa,Purdue,Ole Miss,Maryland,Florida,Buffalo,Georgia Southern,Tennessee,Ohio,Mississippi State,LSU,Illinois,Bowling Green,South Carolina,New Mexico State,Missouri")</f>
        <v>Wyoming,Middle Tennessee,Arkansas,Minnesota,South Alabama,Iowa,Purdue,Ole Miss,Maryland,Florida,Buffalo,Georgia Southern,Tennessee,Ohio,Mississippi State,LSU,Illinois,Bowling Green,South Carolina,New Mexico State,Missouri</v>
      </c>
    </row>
    <row r="67">
      <c r="A67" s="110">
        <v>66.0</v>
      </c>
      <c r="B67" s="110">
        <v>6.0</v>
      </c>
      <c r="C67" s="110">
        <v>1.0</v>
      </c>
      <c r="D67" s="111" t="s">
        <v>154</v>
      </c>
      <c r="E67" s="113" t="str">
        <f>if(F67&lt;&gt;"",VLOOKUP(F67,offset('Teams-Conference'!A:B,0,(counta('Draft Order'!B$2:B132)-10)*2),2,0),"")</f>
        <v>MWC</v>
      </c>
      <c r="F67" s="115" t="s">
        <v>383</v>
      </c>
      <c r="G67" s="119" t="str">
        <f t="shared" si="16"/>
        <v/>
      </c>
      <c r="H67" s="122">
        <f t="shared" si="2"/>
        <v>1</v>
      </c>
      <c r="I67" s="122">
        <f t="shared" si="3"/>
        <v>2</v>
      </c>
      <c r="J67" s="122">
        <f t="shared" si="11"/>
        <v>0</v>
      </c>
      <c r="K67" s="122">
        <f t="shared" ref="K67:K72" si="21">countif(E47:E67,E68)</f>
        <v>3</v>
      </c>
      <c r="L67" s="122">
        <v>7.0</v>
      </c>
      <c r="M67" s="122">
        <f>IFERROR(__xludf.DUMMYFUNCTION("counta(iferror(filter(L$2:L66,E$2:E66=E67,L$2:L66&lt;L67)))"),2.0)</f>
        <v>2</v>
      </c>
      <c r="N67" s="122">
        <f>IFERROR(__xludf.DUMMYFUNCTION("counta(iferror(filter(L68:L$131,E68:E$131=E67,L68:L$134&gt;L67)))"),0.0)</f>
        <v>0</v>
      </c>
      <c r="O67" s="124">
        <f t="array" ref="O67:Z67">XLOOKUP(F67,'Current Week'!C:C,'Current Week'!D:O)</f>
        <v>7</v>
      </c>
      <c r="P67" s="122">
        <v>5.0</v>
      </c>
      <c r="Q67" s="123" t="s">
        <v>413</v>
      </c>
      <c r="R67" s="123" t="s">
        <v>57</v>
      </c>
      <c r="S67" s="123" t="s">
        <v>144</v>
      </c>
      <c r="T67" s="123"/>
      <c r="U67" s="123"/>
      <c r="V67" s="123"/>
      <c r="W67" s="123"/>
      <c r="X67" s="123"/>
      <c r="Y67" s="126"/>
      <c r="Z67" s="126"/>
      <c r="AA67" s="127">
        <f t="shared" si="4"/>
        <v>-3</v>
      </c>
      <c r="AB67" s="126">
        <f t="shared" si="5"/>
        <v>22</v>
      </c>
      <c r="AC67" s="126">
        <f>IFERROR(__xludf.DUMMYFUNCTION("iferror(COUNT(filter($O68:$O$395,$O68:$O$395&gt;$O67)))"),13.0)</f>
        <v>13</v>
      </c>
      <c r="AD67" s="128">
        <f t="shared" si="6"/>
        <v>0</v>
      </c>
      <c r="AE67" s="129">
        <f t="shared" si="7"/>
        <v>4</v>
      </c>
      <c r="AF67" s="123" t="str">
        <f>IFERROR(__xludf.DUMMYFUNCTION("iferror(join("","",index(sort(filter($F68:$F$396,$O68:$O$396&gt;$O67),2,false),0,1)))"),"Florida State,Kansas State,Minnesota,South Alabama,Purdue,Ole Miss,Tennessee,Ohio,Mississippi State,LSU,Illinois,South Carolina,Duke")</f>
        <v>Florida State,Kansas State,Minnesota,South Alabama,Purdue,Ole Miss,Tennessee,Ohio,Mississippi State,LSU,Illinois,South Carolina,Duke</v>
      </c>
      <c r="AG67" s="127">
        <f>IFERROR(__xludf.DUMMYFUNCTION("iferror($O67-max(filter($O67:$O$395,$E67:$E$395=$E$2)))"),-1.0)</f>
        <v>-1</v>
      </c>
      <c r="AH67" s="126">
        <f t="shared" si="8"/>
        <v>2</v>
      </c>
      <c r="AI67" s="126">
        <f>IFERROR(__xludf.DUMMYFUNCTION("iferror(COUNT(filter($O68:$O$395,$O68:$O$395&gt;$O67,$E67:$E$395=$E$2)))"),0.0)</f>
        <v>0</v>
      </c>
      <c r="AJ67" s="128">
        <f t="shared" si="9"/>
        <v>0</v>
      </c>
      <c r="AK67" s="129">
        <f>IFERROR(__xludf.DUMMYFUNCTION("iferror($O67-min(filter($O67:$O$395,$E67:$E$395=$E$2)))"),6.0)</f>
        <v>6</v>
      </c>
      <c r="AL67" s="123" t="str">
        <f>IFERROR(__xludf.DUMMYFUNCTION("iferror(join("","",index(sort(filter($F68:$F$395,$O68:$O$395&gt;$O67,$E68:$E$395=$E$2),2,false),0,1)))"),"Minnesota,Purdue,Illinois")</f>
        <v>Minnesota,Purdue,Illinois</v>
      </c>
      <c r="AM67" s="123" t="str">
        <f>IFERROR(__xludf.DUMMYFUNCTION("REGEXREPLACE(join("","",unique({let(conf_picked,filter(E$1:E66,D$1:D66=D67), byrow(unique(TRANSPOSe(Teams!$1:$1)),lambda(rw,if(ISERROR(match(rw,conf_picked,0)),rw,))));iferror(if(#REF!,,transpose(split(#REF!,"","",1,1))))})), ""^,"", """")"),"Big Ten,CUSA,MWC,SEC,Sun Belt")</f>
        <v>Big Ten,CUSA,MWC,SEC,Sun Belt</v>
      </c>
      <c r="AN67" s="127">
        <f>IFERROR(__xludf.DUMMYFUNCTION("iferror($O67-max(filter($O67:$O$395,arrayformula(isnumber(FIND($E67:$E$395,AM67))))))"),-3.0)</f>
        <v>-3</v>
      </c>
      <c r="AO67" s="126">
        <f t="array" ref="AO67">countifs($O$2:$O66,"&lt;"&amp;$O67,isnumber(FIND($E$2:$E66,AM67)),TRUE)</f>
        <v>10</v>
      </c>
      <c r="AP67" s="126">
        <f>IFERROR(__xludf.DUMMYFUNCTION("iferror(COUNT(filter($O68:$O$395,$O68:$O$395&gt;$O67,arrayformula(isnumber(FIND($E68:$E$395,AM67))))))"),9.0)</f>
        <v>9</v>
      </c>
      <c r="AQ67" s="128">
        <f t="shared" si="10"/>
        <v>0</v>
      </c>
      <c r="AR67" s="129">
        <f>IFERROR(__xludf.DUMMYFUNCTION("$O67-min(filter($O67:$O$395,arrayformula(isnumber(FIND($E67:$E$395,AM67)))))"),6.0)</f>
        <v>6</v>
      </c>
      <c r="AS67" s="123" t="str">
        <f>IFERROR(__xludf.DUMMYFUNCTION("iferror(join("","",index(sort(filter($F68:$F$395,$O68:$O$395&gt;$O67,arrayformula(isnumber(FIND($E68:$E$395,AM67)))),2,false),0,1)))"),"Minnesota,South Alabama,Purdue,Ole Miss,Tennessee,Mississippi State,LSU,Illinois,South Carolina")</f>
        <v>Minnesota,South Alabama,Purdue,Ole Miss,Tennessee,Mississippi State,LSU,Illinois,South Carolina</v>
      </c>
    </row>
    <row r="68">
      <c r="A68" s="26">
        <v>67.0</v>
      </c>
      <c r="B68" s="26">
        <v>6.0</v>
      </c>
      <c r="C68" s="26">
        <v>2.0</v>
      </c>
      <c r="D68" s="132" t="s">
        <v>103</v>
      </c>
      <c r="E68" s="133" t="str">
        <f>if(F68&lt;&gt;"",VLOOKUP(F68,offset('Teams-Conference'!A:B,0,(counta('Draft Order'!B$2:B132)-10)*2),2,0),"")</f>
        <v>ACC</v>
      </c>
      <c r="F68" s="134" t="s">
        <v>340</v>
      </c>
      <c r="G68" s="135" t="str">
        <f t="shared" si="16"/>
        <v/>
      </c>
      <c r="H68" s="122">
        <f t="shared" si="2"/>
        <v>1</v>
      </c>
      <c r="I68" s="122">
        <f t="shared" si="3"/>
        <v>3</v>
      </c>
      <c r="J68" s="122">
        <f t="shared" si="11"/>
        <v>0</v>
      </c>
      <c r="K68" s="122">
        <f t="shared" si="21"/>
        <v>3</v>
      </c>
      <c r="L68" s="122">
        <v>9.0</v>
      </c>
      <c r="M68" s="122">
        <f>IFERROR(__xludf.DUMMYFUNCTION("counta(iferror(filter(L$2:L67,E$2:E67=E68,L$2:L67&lt;L68)))"),5.0)</f>
        <v>5</v>
      </c>
      <c r="N68" s="122">
        <f>IFERROR(__xludf.DUMMYFUNCTION("counta(iferror(filter(L69:L$131,E69:E$131=E68,L69:L$134&gt;L68)))"),0.0)</f>
        <v>0</v>
      </c>
      <c r="O68" s="124">
        <f t="array" ref="O68:Z68">XLOOKUP(F68,'Current Week'!C:C,'Current Week'!D:O)</f>
        <v>9</v>
      </c>
      <c r="P68" s="122">
        <v>3.0</v>
      </c>
      <c r="Q68" s="123" t="s">
        <v>416</v>
      </c>
      <c r="R68" s="123" t="s">
        <v>57</v>
      </c>
      <c r="S68" s="123" t="s">
        <v>144</v>
      </c>
      <c r="T68" s="123"/>
      <c r="U68" s="123"/>
      <c r="V68" s="123"/>
      <c r="W68" s="123"/>
      <c r="X68" s="123"/>
      <c r="Y68" s="126"/>
      <c r="Z68" s="126"/>
      <c r="AA68" s="127">
        <f t="shared" si="4"/>
        <v>-1</v>
      </c>
      <c r="AB68" s="126">
        <f t="shared" si="5"/>
        <v>44</v>
      </c>
      <c r="AC68" s="126">
        <f>IFERROR(__xludf.DUMMYFUNCTION("iferror(COUNT(filter($O69:$O$395,$O69:$O$395&gt;$O68)))"),2.0)</f>
        <v>2</v>
      </c>
      <c r="AD68" s="128">
        <f t="shared" si="6"/>
        <v>0</v>
      </c>
      <c r="AE68" s="129">
        <f t="shared" si="7"/>
        <v>6</v>
      </c>
      <c r="AF68" s="123" t="str">
        <f>IFERROR(__xludf.DUMMYFUNCTION("iferror(join("","",index(sort(filter($F69:$F$396,$O69:$O$396&gt;$O68),2,false),0,1)))"),"South Alabama,Tennessee")</f>
        <v>South Alabama,Tennessee</v>
      </c>
      <c r="AG68" s="127">
        <f>IFERROR(__xludf.DUMMYFUNCTION("iferror($O68-max(filter($O68:$O$395,$E68:$E$395=$E$2)))"),1.0)</f>
        <v>1</v>
      </c>
      <c r="AH68" s="126">
        <f t="shared" si="8"/>
        <v>2</v>
      </c>
      <c r="AI68" s="126">
        <f>IFERROR(__xludf.DUMMYFUNCTION("iferror(COUNT(filter($O69:$O$395,$O69:$O$395&gt;$O68,$E68:$E$395=$E$2)))"),0.0)</f>
        <v>0</v>
      </c>
      <c r="AJ68" s="128">
        <f t="shared" si="9"/>
        <v>0</v>
      </c>
      <c r="AK68" s="129">
        <f>IFERROR(__xludf.DUMMYFUNCTION("iferror($O68-min(filter($O68:$O$395,$E68:$E$395=$E$2)))"),8.0)</f>
        <v>8</v>
      </c>
      <c r="AL68" s="123" t="str">
        <f>IFERROR(__xludf.DUMMYFUNCTION("iferror(join("","",index(sort(filter($F69:$F$395,$O69:$O$395&gt;$O68,$E69:$E$395=$E$2),2,false),0,1)))"),"")</f>
        <v/>
      </c>
      <c r="AM68" s="123" t="str">
        <f>IFERROR(__xludf.DUMMYFUNCTION("REGEXREPLACE(join("","",unique({let(conf_picked,filter(E$1:E67,D$1:D67=D68), byrow(unique(TRANSPOSe(Teams!$1:$1)),lambda(rw,if(ISERROR(match(rw,conf_picked,0)),rw,))));iferror(if(#REF!,,transpose(split(#REF!,"","",1,1))))})), ""^,"", """")"),"AAC,ACC,,Big Ten,Pac12,SEC")</f>
        <v>AAC,ACC,,Big Ten,Pac12,SEC</v>
      </c>
      <c r="AN68" s="127">
        <f>IFERROR(__xludf.DUMMYFUNCTION("iferror($O68-max(filter($O68:$O$395,arrayformula(isnumber(FIND($E68:$E$395,AM68))))))"),-1.0)</f>
        <v>-1</v>
      </c>
      <c r="AO68" s="126">
        <f t="array" ref="AO68">countifs($O$2:$O67,"&lt;"&amp;$O68,isnumber(FIND($E$2:$E67,AM68)),TRUE)</f>
        <v>15</v>
      </c>
      <c r="AP68" s="126">
        <f>IFERROR(__xludf.DUMMYFUNCTION("iferror(COUNT(filter($O69:$O$395,$O69:$O$395&gt;$O68,arrayformula(isnumber(FIND($E69:$E$395,AM68))))))"),1.0)</f>
        <v>1</v>
      </c>
      <c r="AQ68" s="128">
        <f t="shared" si="10"/>
        <v>0</v>
      </c>
      <c r="AR68" s="129">
        <f>IFERROR(__xludf.DUMMYFUNCTION("$O68-min(filter($O68:$O$395,arrayformula(isnumber(FIND($E68:$E$395,AM68)))))"),8.0)</f>
        <v>8</v>
      </c>
      <c r="AS68" s="123" t="str">
        <f>IFERROR(__xludf.DUMMYFUNCTION("iferror(join("","",index(sort(filter($F69:$F$395,$O69:$O$395&gt;$O68,arrayformula(isnumber(FIND($E69:$E$395,AM68)))),2,false),0,1)))"),"Tennessee")</f>
        <v>Tennessee</v>
      </c>
    </row>
    <row r="69">
      <c r="A69" s="26">
        <v>68.0</v>
      </c>
      <c r="B69" s="26">
        <v>6.0</v>
      </c>
      <c r="C69" s="26">
        <v>3.0</v>
      </c>
      <c r="D69" s="137" t="s">
        <v>148</v>
      </c>
      <c r="E69" s="133" t="str">
        <f>if(F69&lt;&gt;"",VLOOKUP(F69,offset('Teams-Conference'!A:B,0,(counta('Draft Order'!B$2:B132)-10)*2),2,0),"")</f>
        <v>ACC</v>
      </c>
      <c r="F69" s="138" t="s">
        <v>384</v>
      </c>
      <c r="G69" s="135" t="str">
        <f t="shared" si="16"/>
        <v/>
      </c>
      <c r="H69" s="122">
        <f t="shared" si="2"/>
        <v>0</v>
      </c>
      <c r="I69" s="122">
        <f t="shared" si="3"/>
        <v>2</v>
      </c>
      <c r="J69" s="122">
        <f t="shared" si="11"/>
        <v>1</v>
      </c>
      <c r="K69" s="122">
        <f t="shared" si="21"/>
        <v>2</v>
      </c>
      <c r="L69" s="122">
        <v>3.0</v>
      </c>
      <c r="M69" s="122">
        <f>IFERROR(__xludf.DUMMYFUNCTION("counta(iferror(filter(L$2:L68,E$2:E68=E69,L$2:L68&lt;L69)))"),0.0)</f>
        <v>0</v>
      </c>
      <c r="N69" s="122">
        <f>IFERROR(__xludf.DUMMYFUNCTION("counta(iferror(filter(L70:L$131,E70:E$131=E69,L70:L$134&gt;L69)))"),0.0)</f>
        <v>0</v>
      </c>
      <c r="O69" s="124">
        <f t="array" ref="O69:Z69">XLOOKUP(F69,'Current Week'!C:C,'Current Week'!D:O)</f>
        <v>3</v>
      </c>
      <c r="P69" s="122">
        <v>8.0</v>
      </c>
      <c r="Q69" s="123" t="s">
        <v>158</v>
      </c>
      <c r="R69" s="123" t="s">
        <v>161</v>
      </c>
      <c r="S69" s="123" t="s">
        <v>53</v>
      </c>
      <c r="T69" s="123" t="s">
        <v>162</v>
      </c>
      <c r="U69" s="123"/>
      <c r="V69" s="123"/>
      <c r="W69" s="123"/>
      <c r="X69" s="123"/>
      <c r="Y69" s="126"/>
      <c r="Z69" s="126"/>
      <c r="AA69" s="127">
        <f t="shared" si="4"/>
        <v>-7</v>
      </c>
      <c r="AB69" s="126">
        <f t="shared" si="5"/>
        <v>0</v>
      </c>
      <c r="AC69" s="126">
        <f>IFERROR(__xludf.DUMMYFUNCTION("iferror(COUNT(filter($O70:$O$395,$O70:$O$395&gt;$O69)))"),47.0)</f>
        <v>47</v>
      </c>
      <c r="AD69" s="128">
        <f t="shared" si="6"/>
        <v>0</v>
      </c>
      <c r="AE69" s="129">
        <f t="shared" si="7"/>
        <v>0</v>
      </c>
      <c r="AF69" s="123" t="str">
        <f>IFERROR(__xludf.DUMMYFUNCTION("iferror(join("","",index(sort(filter($F70:$F$396,$O70:$O$396&gt;$O69),2,false),0,1)))"),"Navy,Kent State,Middle Tennessee,Nebraska,Arkansas,Kansas State,Texas Tech,Washington State,Florida Atlantic,Minnesota,South Alabama,Louisville,West Virginia,California,Iowa,Purdue,Ole Miss,UTEP,Maryland,Texas State,Ball State,Florida,Buffalo,Syracuse,UNL"&amp;"V,Georgia Southern,Tennessee,Ohio,Kansas,Mississippi State,Florida Intl,Rutgers,LSU,Illinois,Auburn,Rice,Bowling Green,Arizona,South Carolina,Georgia Tech,Indiana,New Mexico State,Vanderbilt,UConn,UL Monroe,Missouri,Duke")</f>
        <v>Navy,Kent State,Middle Tennessee,Nebraska,Arkansas,Kansas State,Texas Tech,Washington State,Florida Atlantic,Minnesota,South Alabama,Louisville,West Virginia,California,Iowa,Purdue,Ole Miss,UTEP,Maryland,Texas State,Ball State,Florida,Buffalo,Syracuse,UNLV,Georgia Southern,Tennessee,Ohio,Kansas,Mississippi State,Florida Intl,Rutgers,LSU,Illinois,Auburn,Rice,Bowling Green,Arizona,South Carolina,Georgia Tech,Indiana,New Mexico State,Vanderbilt,UConn,UL Monroe,Missouri,Duke</v>
      </c>
      <c r="AG69" s="127">
        <f>IFERROR(__xludf.DUMMYFUNCTION("iferror($O69-max(filter($O69:$O$395,$E69:$E$395=$E$2)))"),-5.0)</f>
        <v>-5</v>
      </c>
      <c r="AH69" s="126">
        <f t="shared" si="8"/>
        <v>0</v>
      </c>
      <c r="AI69" s="126">
        <f>IFERROR(__xludf.DUMMYFUNCTION("iferror(COUNT(filter($O70:$O$395,$O70:$O$395&gt;$O69,$E69:$E$395=$E$2)))"),0.0)</f>
        <v>0</v>
      </c>
      <c r="AJ69" s="128">
        <f t="shared" si="9"/>
        <v>0</v>
      </c>
      <c r="AK69" s="129">
        <f>IFERROR(__xludf.DUMMYFUNCTION("iferror($O69-min(filter($O69:$O$395,$E69:$E$395=$E$2)))"),2.0)</f>
        <v>2</v>
      </c>
      <c r="AL69" s="123" t="str">
        <f>IFERROR(__xludf.DUMMYFUNCTION("iferror(join("","",index(sort(filter($F70:$F$395,$O70:$O$395&gt;$O69,$E70:$E$395=$E$2),2,false),0,1)))"),"Nebraska,Minnesota,Iowa,Purdue,Maryland,Illinois,Indiana")</f>
        <v>Nebraska,Minnesota,Iowa,Purdue,Maryland,Illinois,Indiana</v>
      </c>
      <c r="AM69" s="123" t="str">
        <f>IFERROR(__xludf.DUMMYFUNCTION("REGEXREPLACE(join("","",unique({let(conf_picked,filter(E$1:E68,D$1:D68=D69), byrow(unique(TRANSPOSe(Teams!$1:$1)),lambda(rw,if(ISERROR(match(rw,conf_picked,0)),rw,))));iferror(if(#REF!,,transpose(split(#REF!,"","",1,1))))})), ""^,"", """")"),"ACC,Big Ten,CUSA,MAC,Sun Belt")</f>
        <v>ACC,Big Ten,CUSA,MAC,Sun Belt</v>
      </c>
      <c r="AN69" s="127">
        <f>IFERROR(__xludf.DUMMYFUNCTION("iferror($O69-max(filter($O69:$O$395,arrayformula(isnumber(FIND($E69:$E$395,AM69))))))"),-7.0)</f>
        <v>-7</v>
      </c>
      <c r="AO69" s="126">
        <f t="array" ref="AO69">countifs($O$2:$O68,"&lt;"&amp;$O69,isnumber(FIND($E$2:$E68,AM69)),TRUE)</f>
        <v>0</v>
      </c>
      <c r="AP69" s="126">
        <f>IFERROR(__xludf.DUMMYFUNCTION("iferror(COUNT(filter($O70:$O$395,$O70:$O$395&gt;$O69,arrayformula(isnumber(FIND($E70:$E$395,AM69))))))"),25.0)</f>
        <v>25</v>
      </c>
      <c r="AQ69" s="128">
        <f t="shared" si="10"/>
        <v>0</v>
      </c>
      <c r="AR69" s="129">
        <f>IFERROR(__xludf.DUMMYFUNCTION("$O69-min(filter($O69:$O$395,arrayformula(isnumber(FIND($E69:$E$395,AM69)))))"),2.0)</f>
        <v>2</v>
      </c>
      <c r="AS69" s="123" t="str">
        <f>IFERROR(__xludf.DUMMYFUNCTION("iferror(join("","",index(sort(filter($F70:$F$395,$O70:$O$395&gt;$O69,arrayformula(isnumber(FIND($E70:$E$395,AM69)))),2,false),0,1)))"),"Kent State,Middle Tennessee,Nebraska,Florida Atlantic,Minnesota,South Alabama,Louisville,Iowa,Purdue,UTEP,Maryland,Texas State,Ball State,Buffalo,Syracuse,Georgia Southern,Ohio,Florida Intl,Illinois,Rice,Bowling Green,Georgia Tech,Indiana,UL Monroe,Duke")</f>
        <v>Kent State,Middle Tennessee,Nebraska,Florida Atlantic,Minnesota,South Alabama,Louisville,Iowa,Purdue,UTEP,Maryland,Texas State,Ball State,Buffalo,Syracuse,Georgia Southern,Ohio,Florida Intl,Illinois,Rice,Bowling Green,Georgia Tech,Indiana,UL Monroe,Duke</v>
      </c>
    </row>
    <row r="70">
      <c r="A70" s="26">
        <v>69.0</v>
      </c>
      <c r="B70" s="26">
        <v>6.0</v>
      </c>
      <c r="C70" s="26">
        <v>4.0</v>
      </c>
      <c r="D70" s="132" t="s">
        <v>116</v>
      </c>
      <c r="E70" s="133" t="str">
        <f>if(F70&lt;&gt;"",VLOOKUP(F70,offset('Teams-Conference'!A:B,0,(counta('Draft Order'!B$2:B132)-10)*2),2,0),"")</f>
        <v>AAC</v>
      </c>
      <c r="F70" s="134" t="s">
        <v>347</v>
      </c>
      <c r="G70" s="135" t="str">
        <f t="shared" si="16"/>
        <v/>
      </c>
      <c r="H70" s="122">
        <f t="shared" si="2"/>
        <v>0</v>
      </c>
      <c r="I70" s="122">
        <f t="shared" si="3"/>
        <v>1</v>
      </c>
      <c r="J70" s="122">
        <f t="shared" si="11"/>
        <v>0</v>
      </c>
      <c r="K70" s="122">
        <f t="shared" si="21"/>
        <v>1</v>
      </c>
      <c r="L70" s="122">
        <v>4.0</v>
      </c>
      <c r="M70" s="122">
        <f>IFERROR(__xludf.DUMMYFUNCTION("counta(iferror(filter(L$2:L69,E$2:E69=E70,L$2:L69&lt;L70)))"),0.0)</f>
        <v>0</v>
      </c>
      <c r="N70" s="122">
        <f>IFERROR(__xludf.DUMMYFUNCTION("counta(iferror(filter(L71:L$131,E71:E$131=E70,L71:L$134&gt;L70)))"),0.0)</f>
        <v>0</v>
      </c>
      <c r="O70" s="124">
        <f t="array" ref="O70:Z70">XLOOKUP(F70,'Current Week'!C:C,'Current Week'!D:O)</f>
        <v>4</v>
      </c>
      <c r="P70" s="122">
        <v>8.0</v>
      </c>
      <c r="Q70" s="123"/>
      <c r="R70" s="123"/>
      <c r="S70" s="123"/>
      <c r="T70" s="123"/>
      <c r="U70" s="123"/>
      <c r="V70" s="123"/>
      <c r="W70" s="123"/>
      <c r="X70" s="123"/>
      <c r="Y70" s="126"/>
      <c r="Z70" s="126"/>
      <c r="AA70" s="127">
        <f t="shared" si="4"/>
        <v>-6</v>
      </c>
      <c r="AB70" s="126">
        <f t="shared" si="5"/>
        <v>4</v>
      </c>
      <c r="AC70" s="126">
        <f>IFERROR(__xludf.DUMMYFUNCTION("iferror(COUNT(filter($O71:$O$395,$O71:$O$395&gt;$O70)))"),39.0)</f>
        <v>39</v>
      </c>
      <c r="AD70" s="128">
        <f t="shared" si="6"/>
        <v>0</v>
      </c>
      <c r="AE70" s="129">
        <f t="shared" si="7"/>
        <v>1</v>
      </c>
      <c r="AF70" s="123" t="str">
        <f>IFERROR(__xludf.DUMMYFUNCTION("iferror(join("","",index(sort(filter($F71:$F$396,$O71:$O$396&gt;$O70),2,false),0,1)))"),"Kent State,Middle Tennessee,Arkansas,Kansas State,Texas Tech,Washington State,Florida Atlantic,Minnesota,South Alabama,Louisville,West Virginia,Iowa,Purdue,Ole Miss,UTEP,Maryland,Ball State,Florida,Buffalo,Syracuse,UNLV,Georgia Southern,Tennessee,Ohio,Kan"&amp;"sas,Mississippi State,LSU,Illinois,Auburn,Rice,Bowling Green,Arizona,South Carolina,Georgia Tech,New Mexico State,Vanderbilt,UConn,Missouri,Duke")</f>
        <v>Kent State,Middle Tennessee,Arkansas,Kansas State,Texas Tech,Washington State,Florida Atlantic,Minnesota,South Alabama,Louisville,West Virginia,Iowa,Purdue,Ole Miss,UTEP,Maryland,Ball State,Florida,Buffalo,Syracuse,UNLV,Georgia Southern,Tennessee,Ohio,Kansas,Mississippi State,LSU,Illinois,Auburn,Rice,Bowling Green,Arizona,South Carolina,Georgia Tech,New Mexico State,Vanderbilt,UConn,Missouri,Duke</v>
      </c>
      <c r="AG70" s="127">
        <f>IFERROR(__xludf.DUMMYFUNCTION("iferror($O70-max(filter($O70:$O$395,$E70:$E$395=$E$2)))"),-4.0)</f>
        <v>-4</v>
      </c>
      <c r="AH70" s="126">
        <f t="shared" si="8"/>
        <v>0</v>
      </c>
      <c r="AI70" s="126">
        <f>IFERROR(__xludf.DUMMYFUNCTION("iferror(COUNT(filter($O71:$O$395,$O71:$O$395&gt;$O70,$E70:$E$395=$E$2)))"),0.0)</f>
        <v>0</v>
      </c>
      <c r="AJ70" s="128">
        <f t="shared" si="9"/>
        <v>0</v>
      </c>
      <c r="AK70" s="129">
        <f>IFERROR(__xludf.DUMMYFUNCTION("iferror($O70-min(filter($O70:$O$395,$E70:$E$395=$E$2)))"),3.0)</f>
        <v>3</v>
      </c>
      <c r="AL70" s="123" t="str">
        <f>IFERROR(__xludf.DUMMYFUNCTION("iferror(join("","",index(sort(filter($F71:$F$395,$O71:$O$395&gt;$O70,$E71:$E$395=$E$2),2,false),0,1)))"),"Minnesota,Iowa,Purdue,Maryland,Illinois")</f>
        <v>Minnesota,Iowa,Purdue,Maryland,Illinois</v>
      </c>
      <c r="AM70" s="123" t="str">
        <f>IFERROR(__xludf.DUMMYFUNCTION("REGEXREPLACE(join("","",unique({let(conf_picked,filter(E$1:E69,D$1:D69=D70), byrow(unique(TRANSPOSe(Teams!$1:$1)),lambda(rw,if(ISERROR(match(rw,conf_picked,0)),rw,))));iferror(if(#REF!,,transpose(split(#REF!,"","",1,1))))})), ""^,"", """")"),"AAC,ACC,,Big Ten,CUSA,MAC")</f>
        <v>AAC,ACC,,Big Ten,CUSA,MAC</v>
      </c>
      <c r="AN70" s="127">
        <f>IFERROR(__xludf.DUMMYFUNCTION("iferror($O70-max(filter($O70:$O$395,arrayformula(isnumber(FIND($E70:$E$395,AM70))))))"),-5.0)</f>
        <v>-5</v>
      </c>
      <c r="AO70" s="126">
        <f t="array" ref="AO70">countifs($O$2:$O69,"&lt;"&amp;$O70,isnumber(FIND($E$2:$E69,AM70)),TRUE)</f>
        <v>3</v>
      </c>
      <c r="AP70" s="126">
        <f>IFERROR(__xludf.DUMMYFUNCTION("iferror(COUNT(filter($O71:$O$395,$O71:$O$395&gt;$O70,arrayformula(isnumber(FIND($E71:$E$395,AM70))))))"),19.0)</f>
        <v>19</v>
      </c>
      <c r="AQ70" s="128">
        <f t="shared" si="10"/>
        <v>0</v>
      </c>
      <c r="AR70" s="129">
        <f>IFERROR(__xludf.DUMMYFUNCTION("$O70-min(filter($O70:$O$395,arrayformula(isnumber(FIND($E70:$E$395,AM70)))))"),3.0)</f>
        <v>3</v>
      </c>
      <c r="AS70" s="123" t="str">
        <f>IFERROR(__xludf.DUMMYFUNCTION("iferror(join("","",index(sort(filter($F71:$F$395,$O71:$O$395&gt;$O70,arrayformula(isnumber(FIND($E71:$E$395,AM70)))),2,false),0,1)))"),"Kent State,Middle Tennessee,Florida Atlantic,Minnesota,Louisville,Iowa,Purdue,UTEP,Maryland,Ball State,Buffalo,Syracuse,Ohio,Illinois,Rice,Bowling Green,Georgia Tech,UConn,Duke")</f>
        <v>Kent State,Middle Tennessee,Florida Atlantic,Minnesota,Louisville,Iowa,Purdue,UTEP,Maryland,Ball State,Buffalo,Syracuse,Ohio,Illinois,Rice,Bowling Green,Georgia Tech,UConn,Duke</v>
      </c>
    </row>
    <row r="71">
      <c r="A71" s="26">
        <v>70.0</v>
      </c>
      <c r="B71" s="26">
        <v>6.0</v>
      </c>
      <c r="C71" s="26">
        <v>5.0</v>
      </c>
      <c r="D71" s="132" t="s">
        <v>166</v>
      </c>
      <c r="E71" s="133" t="str">
        <f>if(F71&lt;&gt;"",VLOOKUP(F71,offset('Teams-Conference'!A:B,0,(counta('Draft Order'!B$2:B132)-10)*2),2,0),"")</f>
        <v>MWC</v>
      </c>
      <c r="F71" s="143" t="s">
        <v>351</v>
      </c>
      <c r="G71" s="135" t="str">
        <f t="shared" si="16"/>
        <v/>
      </c>
      <c r="H71" s="122">
        <f t="shared" si="2"/>
        <v>1</v>
      </c>
      <c r="I71" s="122">
        <f t="shared" si="3"/>
        <v>1</v>
      </c>
      <c r="J71" s="122">
        <f t="shared" si="11"/>
        <v>1</v>
      </c>
      <c r="K71" s="122">
        <f t="shared" si="21"/>
        <v>3</v>
      </c>
      <c r="L71" s="122">
        <v>3.0</v>
      </c>
      <c r="M71" s="122">
        <f>IFERROR(__xludf.DUMMYFUNCTION("counta(iferror(filter(L$2:L70,E$2:E70=E71,L$2:L70&lt;L71)))"),0.0)</f>
        <v>0</v>
      </c>
      <c r="N71" s="122">
        <f>IFERROR(__xludf.DUMMYFUNCTION("counta(iferror(filter(L72:L$131,E72:E$131=E71,L72:L$134&gt;L71)))"),0.0)</f>
        <v>0</v>
      </c>
      <c r="O71" s="124">
        <f t="array" ref="O71:Z71">XLOOKUP(F71,'Current Week'!C:C,'Current Week'!D:O)</f>
        <v>3</v>
      </c>
      <c r="P71" s="122">
        <v>10.0</v>
      </c>
      <c r="Q71" s="123" t="s">
        <v>350</v>
      </c>
      <c r="R71" s="123" t="s">
        <v>57</v>
      </c>
      <c r="S71" s="123" t="s">
        <v>141</v>
      </c>
      <c r="T71" s="123"/>
      <c r="U71" s="123"/>
      <c r="V71" s="123"/>
      <c r="W71" s="123"/>
      <c r="X71" s="123"/>
      <c r="Y71" s="126"/>
      <c r="Z71" s="126"/>
      <c r="AA71" s="127">
        <f t="shared" si="4"/>
        <v>-7</v>
      </c>
      <c r="AB71" s="126">
        <f t="shared" si="5"/>
        <v>0</v>
      </c>
      <c r="AC71" s="126">
        <f>IFERROR(__xludf.DUMMYFUNCTION("iferror(COUNT(filter($O72:$O$395,$O72:$O$395&gt;$O71)))"),46.0)</f>
        <v>46</v>
      </c>
      <c r="AD71" s="128">
        <f t="shared" si="6"/>
        <v>0</v>
      </c>
      <c r="AE71" s="129">
        <f t="shared" si="7"/>
        <v>0</v>
      </c>
      <c r="AF71" s="123" t="str">
        <f>IFERROR(__xludf.DUMMYFUNCTION("iferror(join("","",index(sort(filter($F72:$F$396,$O72:$O$396&gt;$O71),2,false),0,1)))"),"Kent State,Middle Tennessee,Nebraska,Arkansas,Kansas State,Texas Tech,Washington State,Florida Atlantic,Minnesota,South Alabama,Louisville,West Virginia,California,Iowa,Purdue,Ole Miss,UTEP,Maryland,Texas State,Ball State,Florida,Buffalo,Syracuse,UNLV,Geo"&amp;"rgia Southern,Tennessee,Ohio,Kansas,Mississippi State,Florida Intl,Rutgers,LSU,Illinois,Auburn,Rice,Bowling Green,Arizona,South Carolina,Georgia Tech,Indiana,New Mexico State,Vanderbilt,UConn,UL Monroe,Missouri,Duke")</f>
        <v>Kent State,Middle Tennessee,Nebraska,Arkansas,Kansas State,Texas Tech,Washington State,Florida Atlantic,Minnesota,South Alabama,Louisville,West Virginia,California,Iowa,Purdue,Ole Miss,UTEP,Maryland,Texas State,Ball State,Florida,Buffalo,Syracuse,UNLV,Georgia Southern,Tennessee,Ohio,Kansas,Mississippi State,Florida Intl,Rutgers,LSU,Illinois,Auburn,Rice,Bowling Green,Arizona,South Carolina,Georgia Tech,Indiana,New Mexico State,Vanderbilt,UConn,UL Monroe,Missouri,Duke</v>
      </c>
      <c r="AG71" s="127">
        <f>IFERROR(__xludf.DUMMYFUNCTION("iferror($O71-max(filter($O71:$O$395,$E71:$E$395=$E$2)))"),-5.0)</f>
        <v>-5</v>
      </c>
      <c r="AH71" s="126">
        <f t="shared" si="8"/>
        <v>0</v>
      </c>
      <c r="AI71" s="126">
        <f>IFERROR(__xludf.DUMMYFUNCTION("iferror(COUNT(filter($O72:$O$395,$O72:$O$395&gt;$O71,$E71:$E$395=$E$2)))"),0.0)</f>
        <v>0</v>
      </c>
      <c r="AJ71" s="128">
        <f t="shared" si="9"/>
        <v>0</v>
      </c>
      <c r="AK71" s="129">
        <f>IFERROR(__xludf.DUMMYFUNCTION("iferror($O71-min(filter($O71:$O$395,$E71:$E$395=$E$2)))"),2.0)</f>
        <v>2</v>
      </c>
      <c r="AL71" s="123" t="str">
        <f>IFERROR(__xludf.DUMMYFUNCTION("iferror(join("","",index(sort(filter($F72:$F$395,$O72:$O$395&gt;$O71,$E72:$E$395=$E$2),2,false),0,1)))"),"Nebraska,Minnesota,Iowa,Purdue,Maryland,Illinois,Indiana")</f>
        <v>Nebraska,Minnesota,Iowa,Purdue,Maryland,Illinois,Indiana</v>
      </c>
      <c r="AM71" s="123" t="str">
        <f>IFERROR(__xludf.DUMMYFUNCTION("REGEXREPLACE(join("","",unique({let(conf_picked,filter(E$1:E70,D$1:D70=D71), byrow(unique(TRANSPOSe(Teams!$1:$1)),lambda(rw,if(ISERROR(match(rw,conf_picked,0)),rw,))));iferror(if(#REF!,,transpose(split(#REF!,"","",1,1))))})), ""^,"", """")"),"Big Ten,Pac12,CUSA,MWC,SEC")</f>
        <v>Big Ten,Pac12,CUSA,MWC,SEC</v>
      </c>
      <c r="AN71" s="127">
        <f>IFERROR(__xludf.DUMMYFUNCTION("iferror($O71-max(filter($O71:$O$395,arrayformula(isnumber(FIND($E71:$E$395,AM71))))))"),-7.0)</f>
        <v>-7</v>
      </c>
      <c r="AO71" s="126">
        <f t="array" ref="AO71">countifs($O$2:$O70,"&lt;"&amp;$O71,isnumber(FIND($E$2:$E70,AM71)),TRUE)</f>
        <v>0</v>
      </c>
      <c r="AP71" s="126">
        <f>IFERROR(__xludf.DUMMYFUNCTION("iferror(COUNT(filter($O72:$O$395,$O72:$O$395&gt;$O71,arrayformula(isnumber(FIND($E72:$E$395,AM71))))))"),27.0)</f>
        <v>27</v>
      </c>
      <c r="AQ71" s="128">
        <f t="shared" si="10"/>
        <v>0</v>
      </c>
      <c r="AR71" s="129">
        <f>IFERROR(__xludf.DUMMYFUNCTION("$O71-min(filter($O71:$O$395,arrayformula(isnumber(FIND($E71:$E$395,AM71)))))"),2.0)</f>
        <v>2</v>
      </c>
      <c r="AS71" s="123" t="str">
        <f>IFERROR(__xludf.DUMMYFUNCTION("iferror(join("","",index(sort(filter($F72:$F$395,$O72:$O$395&gt;$O71,arrayformula(isnumber(FIND($E72:$E$395,AM71)))),2,false),0,1)))"),"Middle Tennessee,Nebraska,Arkansas,Washington State,Florida Atlantic,Minnesota,California,Iowa,Purdue,Ole Miss,UTEP,Maryland,Florida,UNLV,Tennessee,Mississippi State,Florida Intl,Rutgers,LSU,Illinois,Auburn,Rice,Arizona,South Carolina,Indiana,New Mexico S"&amp;"tate,Missouri")</f>
        <v>Middle Tennessee,Nebraska,Arkansas,Washington State,Florida Atlantic,Minnesota,California,Iowa,Purdue,Ole Miss,UTEP,Maryland,Florida,UNLV,Tennessee,Mississippi State,Florida Intl,Rutgers,LSU,Illinois,Auburn,Rice,Arizona,South Carolina,Indiana,New Mexico State,Missouri</v>
      </c>
    </row>
    <row r="72">
      <c r="A72" s="26">
        <v>71.0</v>
      </c>
      <c r="B72" s="26">
        <v>6.0</v>
      </c>
      <c r="C72" s="26">
        <v>6.0</v>
      </c>
      <c r="D72" s="132" t="s">
        <v>144</v>
      </c>
      <c r="E72" s="133" t="str">
        <f>if(F72&lt;&gt;"",VLOOKUP(F72,offset('Teams-Conference'!A:B,0,(counta('Draft Order'!B$2:B132)-10)*2),2,0),"")</f>
        <v>MAC</v>
      </c>
      <c r="F72" s="138" t="s">
        <v>359</v>
      </c>
      <c r="G72" s="135" t="str">
        <f t="shared" si="16"/>
        <v/>
      </c>
      <c r="H72" s="122">
        <f t="shared" si="2"/>
        <v>0</v>
      </c>
      <c r="I72" s="122">
        <f t="shared" si="3"/>
        <v>0</v>
      </c>
      <c r="J72" s="122">
        <f t="shared" si="11"/>
        <v>3</v>
      </c>
      <c r="K72" s="122">
        <f t="shared" si="21"/>
        <v>2</v>
      </c>
      <c r="L72" s="122">
        <v>5.0</v>
      </c>
      <c r="M72" s="122">
        <f>IFERROR(__xludf.DUMMYFUNCTION("counta(iferror(filter(L$2:L71,E$2:E71=E72,L$2:L71&lt;L72)))"),2.0)</f>
        <v>2</v>
      </c>
      <c r="N72" s="122">
        <f>IFERROR(__xludf.DUMMYFUNCTION("counta(iferror(filter(L73:L$131,E73:E$131=E72,L73:L$134&gt;L72)))"),0.0)</f>
        <v>0</v>
      </c>
      <c r="O72" s="124">
        <f t="array" ref="O72:Z72">XLOOKUP(F72,'Current Week'!C:C,'Current Week'!D:O)</f>
        <v>5</v>
      </c>
      <c r="P72" s="122">
        <v>7.0</v>
      </c>
      <c r="Q72" s="123" t="s">
        <v>402</v>
      </c>
      <c r="R72" s="123" t="s">
        <v>183</v>
      </c>
      <c r="S72" s="123" t="s">
        <v>109</v>
      </c>
      <c r="T72" s="123"/>
      <c r="U72" s="123"/>
      <c r="V72" s="123"/>
      <c r="W72" s="123"/>
      <c r="X72" s="123"/>
      <c r="Y72" s="126"/>
      <c r="Z72" s="126"/>
      <c r="AA72" s="127">
        <f t="shared" si="4"/>
        <v>-5</v>
      </c>
      <c r="AB72" s="126">
        <f t="shared" si="5"/>
        <v>9</v>
      </c>
      <c r="AC72" s="126">
        <f>IFERROR(__xludf.DUMMYFUNCTION("iferror(COUNT(filter($O73:$O$395,$O73:$O$395&gt;$O72)))"),28.0)</f>
        <v>28</v>
      </c>
      <c r="AD72" s="128">
        <f t="shared" si="6"/>
        <v>0</v>
      </c>
      <c r="AE72" s="129">
        <f t="shared" si="7"/>
        <v>2</v>
      </c>
      <c r="AF72" s="123" t="str">
        <f>IFERROR(__xludf.DUMMYFUNCTION("iferror(join("","",index(sort(filter($F73:$F$396,$O73:$O$396&gt;$O72),2,false),0,1)))"),"Middle Tennessee,Arkansas,Kansas State,Texas Tech,Washington State,Minnesota,South Alabama,Louisville,Iowa,Purdue,Ole Miss,Maryland,Florida,Buffalo,Syracuse,Georgia Southern,Tennessee,Ohio,Kansas,Mississippi State,LSU,Illinois,Bowling Green,South Carolina"&amp;",New Mexico State,UConn,Missouri,Duke")</f>
        <v>Middle Tennessee,Arkansas,Kansas State,Texas Tech,Washington State,Minnesota,South Alabama,Louisville,Iowa,Purdue,Ole Miss,Maryland,Florida,Buffalo,Syracuse,Georgia Southern,Tennessee,Ohio,Kansas,Mississippi State,LSU,Illinois,Bowling Green,South Carolina,New Mexico State,UConn,Missouri,Duke</v>
      </c>
      <c r="AG72" s="127">
        <f>IFERROR(__xludf.DUMMYFUNCTION("iferror($O72-max(filter($O72:$O$395,$E72:$E$395=$E$2)))"),-3.0)</f>
        <v>-3</v>
      </c>
      <c r="AH72" s="126">
        <f t="shared" si="8"/>
        <v>0</v>
      </c>
      <c r="AI72" s="126">
        <f>IFERROR(__xludf.DUMMYFUNCTION("iferror(COUNT(filter($O73:$O$395,$O73:$O$395&gt;$O72,$E72:$E$395=$E$2)))"),0.0)</f>
        <v>0</v>
      </c>
      <c r="AJ72" s="128">
        <f t="shared" si="9"/>
        <v>0</v>
      </c>
      <c r="AK72" s="129">
        <f>IFERROR(__xludf.DUMMYFUNCTION("iferror($O72-min(filter($O72:$O$395,$E72:$E$395=$E$2)))"),4.0)</f>
        <v>4</v>
      </c>
      <c r="AL72" s="123" t="str">
        <f>IFERROR(__xludf.DUMMYFUNCTION("iferror(join("","",index(sort(filter($F73:$F$395,$O73:$O$395&gt;$O72,$E73:$E$395=$E$2),2,false),0,1)))"),"Minnesota,Iowa,Purdue,Maryland,Illinois")</f>
        <v>Minnesota,Iowa,Purdue,Maryland,Illinois</v>
      </c>
      <c r="AM72" s="123" t="str">
        <f>IFERROR(__xludf.DUMMYFUNCTION("REGEXREPLACE(join("","",unique({let(conf_picked,filter(E$1:E71,D$1:D71=D72), byrow(unique(TRANSPOSe(Teams!$1:$1)),lambda(rw,if(ISERROR(match(rw,conf_picked,0)),rw,))));iferror(if(#REF!,,transpose(split(#REF!,"","",1,1))))})), ""^,"", """")"),"Big 12,Big Ten,Pac12,MAC,SEC")</f>
        <v>Big 12,Big Ten,Pac12,MAC,SEC</v>
      </c>
      <c r="AN72" s="127">
        <f>IFERROR(__xludf.DUMMYFUNCTION("iferror($O72-max(filter($O72:$O$395,arrayformula(isnumber(FIND($E72:$E$395,AM72))))))"),-5.0)</f>
        <v>-5</v>
      </c>
      <c r="AO72" s="126">
        <f t="array" ref="AO72">countifs($O$2:$O71,"&lt;"&amp;$O72,isnumber(FIND($E$2:$E71,AM72)),TRUE)</f>
        <v>3</v>
      </c>
      <c r="AP72" s="126">
        <f>IFERROR(__xludf.DUMMYFUNCTION("iferror(COUNT(filter($O73:$O$395,$O73:$O$395&gt;$O72,arrayformula(isnumber(FIND($E73:$E$395,AM72))))))"),20.0)</f>
        <v>20</v>
      </c>
      <c r="AQ72" s="128">
        <f t="shared" si="10"/>
        <v>0</v>
      </c>
      <c r="AR72" s="129">
        <f>IFERROR(__xludf.DUMMYFUNCTION("$O72-min(filter($O72:$O$395,arrayformula(isnumber(FIND($E72:$E$395,AM72)))))"),4.0)</f>
        <v>4</v>
      </c>
      <c r="AS72" s="123" t="str">
        <f>IFERROR(__xludf.DUMMYFUNCTION("iferror(join("","",index(sort(filter($F73:$F$395,$O73:$O$395&gt;$O72,arrayformula(isnumber(FIND($E73:$E$395,AM72)))),2,false),0,1)))"),"Arkansas,Kansas State,Texas Tech,Washington State,Minnesota,Iowa,Purdue,Ole Miss,Maryland,Florida,Buffalo,Tennessee,Ohio,Kansas,Mississippi State,LSU,Illinois,Bowling Green,South Carolina,Missouri")</f>
        <v>Arkansas,Kansas State,Texas Tech,Washington State,Minnesota,Iowa,Purdue,Ole Miss,Maryland,Florida,Buffalo,Tennessee,Ohio,Kansas,Mississippi State,LSU,Illinois,Bowling Green,South Carolina,Missouri</v>
      </c>
    </row>
    <row r="73">
      <c r="A73" s="26">
        <v>72.0</v>
      </c>
      <c r="B73" s="26">
        <v>6.0</v>
      </c>
      <c r="C73" s="26">
        <v>7.0</v>
      </c>
      <c r="D73" s="132" t="s">
        <v>109</v>
      </c>
      <c r="E73" s="133" t="str">
        <f>if(F73&lt;&gt;"",VLOOKUP(F73,offset('Teams-Conference'!A:B,0,(counta('Draft Order'!B$2:B132)-10)*2),2,0),"")</f>
        <v>CUSA</v>
      </c>
      <c r="F73" s="143" t="s">
        <v>343</v>
      </c>
      <c r="G73" s="135" t="str">
        <f t="shared" si="16"/>
        <v/>
      </c>
      <c r="H73" s="122">
        <f t="shared" si="2"/>
        <v>1</v>
      </c>
      <c r="I73" s="122">
        <f t="shared" si="3"/>
        <v>2</v>
      </c>
      <c r="J73" s="122">
        <f t="shared" si="11"/>
        <v>0</v>
      </c>
      <c r="K73" s="122">
        <f t="shared" ref="K73:K77" si="22">countif(E54:E73,E74)</f>
        <v>3</v>
      </c>
      <c r="L73" s="122">
        <v>7.0</v>
      </c>
      <c r="M73" s="122">
        <f>IFERROR(__xludf.DUMMYFUNCTION("counta(iferror(filter(L$2:L72,E$2:E72=E73,L$2:L72&lt;L73)))"),2.0)</f>
        <v>2</v>
      </c>
      <c r="N73" s="122">
        <f>IFERROR(__xludf.DUMMYFUNCTION("counta(iferror(filter(L74:L$131,E74:E$131=E73,L74:L$134&gt;L73)))"),0.0)</f>
        <v>0</v>
      </c>
      <c r="O73" s="124">
        <f t="array" ref="O73:Z73">XLOOKUP(F73,'Current Week'!C:C,'Current Week'!D:O)</f>
        <v>7</v>
      </c>
      <c r="P73" s="122">
        <v>5.0</v>
      </c>
      <c r="Q73" s="123" t="s">
        <v>276</v>
      </c>
      <c r="R73" s="125" t="s">
        <v>57</v>
      </c>
      <c r="S73" s="123" t="s">
        <v>59</v>
      </c>
      <c r="T73" s="123" t="s">
        <v>149</v>
      </c>
      <c r="U73" s="126"/>
      <c r="V73" s="126"/>
      <c r="W73" s="126"/>
      <c r="X73" s="126"/>
      <c r="Y73" s="126"/>
      <c r="Z73" s="126"/>
      <c r="AA73" s="127">
        <f t="shared" si="4"/>
        <v>-3</v>
      </c>
      <c r="AB73" s="126">
        <f t="shared" si="5"/>
        <v>26</v>
      </c>
      <c r="AC73" s="126">
        <f>IFERROR(__xludf.DUMMYFUNCTION("iferror(COUNT(filter($O74:$O$395,$O74:$O$395&gt;$O73)))"),12.0)</f>
        <v>12</v>
      </c>
      <c r="AD73" s="128">
        <f t="shared" si="6"/>
        <v>0</v>
      </c>
      <c r="AE73" s="129">
        <f t="shared" si="7"/>
        <v>4</v>
      </c>
      <c r="AF73" s="123" t="str">
        <f>IFERROR(__xludf.DUMMYFUNCTION("iferror(join("","",index(sort(filter($F74:$F$396,$O74:$O$396&gt;$O73),2,false),0,1)))"),"Kansas State,Minnesota,South Alabama,Purdue,Ole Miss,Tennessee,Ohio,Mississippi State,LSU,Illinois,South Carolina,Duke")</f>
        <v>Kansas State,Minnesota,South Alabama,Purdue,Ole Miss,Tennessee,Ohio,Mississippi State,LSU,Illinois,South Carolina,Duke</v>
      </c>
      <c r="AG73" s="127">
        <f>IFERROR(__xludf.DUMMYFUNCTION("iferror($O73-max(filter($O73:$O$395,$E73:$E$395=$E$2)))"),-1.0)</f>
        <v>-1</v>
      </c>
      <c r="AH73" s="126">
        <f t="shared" si="8"/>
        <v>2</v>
      </c>
      <c r="AI73" s="126">
        <f>IFERROR(__xludf.DUMMYFUNCTION("iferror(COUNT(filter($O74:$O$395,$O74:$O$395&gt;$O73,$E73:$E$395=$E$2)))"),0.0)</f>
        <v>0</v>
      </c>
      <c r="AJ73" s="128">
        <f t="shared" si="9"/>
        <v>0</v>
      </c>
      <c r="AK73" s="129">
        <f>IFERROR(__xludf.DUMMYFUNCTION("iferror($O73-min(filter($O73:$O$395,$E73:$E$395=$E$2)))"),6.0)</f>
        <v>6</v>
      </c>
      <c r="AL73" s="123" t="str">
        <f>IFERROR(__xludf.DUMMYFUNCTION("iferror(join("","",index(sort(filter($F74:$F$395,$O74:$O$395&gt;$O73,$E74:$E$395=$E$2),2,false),0,1)))"),"Minnesota,Purdue,Illinois")</f>
        <v>Minnesota,Purdue,Illinois</v>
      </c>
      <c r="AM73" s="123" t="str">
        <f>IFERROR(__xludf.DUMMYFUNCTION("REGEXREPLACE(join("","",unique({let(conf_picked,filter(E$1:E72,D$1:D72=D73), byrow(unique(TRANSPOSe(Teams!$1:$1)),lambda(rw,if(ISERROR(match(rw,conf_picked,0)),rw,))));iferror(if(#REF!,,transpose(split(#REF!,"","",1,1))))})), ""^,"", """")"),"Pac12,CUSA,MAC,MWC,SEC")</f>
        <v>Pac12,CUSA,MAC,MWC,SEC</v>
      </c>
      <c r="AN73" s="127">
        <f>IFERROR(__xludf.DUMMYFUNCTION("iferror($O73-max(filter($O73:$O$395,arrayformula(isnumber(FIND($E73:$E$395,AM73))))))"),-3.0)</f>
        <v>-3</v>
      </c>
      <c r="AO73" s="126">
        <f t="array" ref="AO73">countifs($O$2:$O72,"&lt;"&amp;$O73,isnumber(FIND($E$2:$E72,AM73)),TRUE)</f>
        <v>11</v>
      </c>
      <c r="AP73" s="126">
        <f>IFERROR(__xludf.DUMMYFUNCTION("iferror(COUNT(filter($O74:$O$395,$O74:$O$395&gt;$O73,arrayformula(isnumber(FIND($E74:$E$395,AM73))))))"),6.0)</f>
        <v>6</v>
      </c>
      <c r="AQ73" s="128">
        <f t="shared" si="10"/>
        <v>0</v>
      </c>
      <c r="AR73" s="129">
        <f>IFERROR(__xludf.DUMMYFUNCTION("$O73-min(filter($O73:$O$395,arrayformula(isnumber(FIND($E73:$E$395,AM73)))))"),6.0)</f>
        <v>6</v>
      </c>
      <c r="AS73" s="123" t="str">
        <f>IFERROR(__xludf.DUMMYFUNCTION("iferror(join("","",index(sort(filter($F74:$F$395,$O74:$O$395&gt;$O73,arrayformula(isnumber(FIND($E74:$E$395,AM73)))),2,false),0,1)))"),"Ole Miss,Tennessee,Ohio,Mississippi State,LSU,South Carolina")</f>
        <v>Ole Miss,Tennessee,Ohio,Mississippi State,LSU,South Carolina</v>
      </c>
    </row>
    <row r="74">
      <c r="A74" s="26">
        <v>73.0</v>
      </c>
      <c r="B74" s="26">
        <v>6.0</v>
      </c>
      <c r="C74" s="26">
        <v>8.0</v>
      </c>
      <c r="D74" s="132" t="s">
        <v>141</v>
      </c>
      <c r="E74" s="133" t="str">
        <f>if(F74&lt;&gt;"",VLOOKUP(F74,offset('Teams-Conference'!A:B,0,(counta('Draft Order'!B$2:B132)-10)*2),2,0),"")</f>
        <v>Big Ten</v>
      </c>
      <c r="F74" s="146" t="s">
        <v>365</v>
      </c>
      <c r="G74" s="135" t="str">
        <f t="shared" si="16"/>
        <v/>
      </c>
      <c r="H74" s="122">
        <f t="shared" si="2"/>
        <v>1</v>
      </c>
      <c r="I74" s="122">
        <f t="shared" si="3"/>
        <v>4</v>
      </c>
      <c r="J74" s="122">
        <f t="shared" si="11"/>
        <v>0</v>
      </c>
      <c r="K74" s="122">
        <f t="shared" si="22"/>
        <v>0</v>
      </c>
      <c r="L74" s="122">
        <v>4.0</v>
      </c>
      <c r="M74" s="122">
        <f>IFERROR(__xludf.DUMMYFUNCTION("counta(iferror(filter(L$2:L73,E$2:E73=E74,L$2:L73&lt;L74)))"),0.0)</f>
        <v>0</v>
      </c>
      <c r="N74" s="122">
        <f>IFERROR(__xludf.DUMMYFUNCTION("counta(iferror(filter(L75:L$131,E75:E$131=E74,L75:L$134&gt;L74)))"),0.0)</f>
        <v>0</v>
      </c>
      <c r="O74" s="124">
        <f t="array" ref="O74:Z74">XLOOKUP(F74,'Current Week'!C:C,'Current Week'!D:O)</f>
        <v>4</v>
      </c>
      <c r="P74" s="122">
        <v>8.0</v>
      </c>
      <c r="Q74" s="123" t="s">
        <v>391</v>
      </c>
      <c r="R74" s="123" t="s">
        <v>57</v>
      </c>
      <c r="S74" s="123" t="s">
        <v>116</v>
      </c>
      <c r="T74" s="123"/>
      <c r="U74" s="123"/>
      <c r="V74" s="123"/>
      <c r="W74" s="123"/>
      <c r="X74" s="123"/>
      <c r="Y74" s="126"/>
      <c r="Z74" s="126"/>
      <c r="AA74" s="127">
        <f t="shared" si="4"/>
        <v>-6</v>
      </c>
      <c r="AB74" s="126">
        <f t="shared" si="5"/>
        <v>5</v>
      </c>
      <c r="AC74" s="126">
        <f>IFERROR(__xludf.DUMMYFUNCTION("iferror(COUNT(filter($O75:$O$395,$O75:$O$395&gt;$O74)))"),37.0)</f>
        <v>37</v>
      </c>
      <c r="AD74" s="128">
        <f t="shared" si="6"/>
        <v>0</v>
      </c>
      <c r="AE74" s="129">
        <f t="shared" si="7"/>
        <v>1</v>
      </c>
      <c r="AF74" s="123" t="str">
        <f>IFERROR(__xludf.DUMMYFUNCTION("iferror(join("","",index(sort(filter($F75:$F$396,$O75:$O$396&gt;$O74),2,false),0,1)))"),"Arkansas,Kansas State,Texas Tech,Washington State,Florida Atlantic,Minnesota,South Alabama,Louisville,West Virginia,Iowa,Purdue,Ole Miss,UTEP,Maryland,Ball State,Florida,Buffalo,Syracuse,UNLV,Georgia Southern,Tennessee,Ohio,Kansas,Mississippi State,LSU,Il"&amp;"linois,Auburn,Rice,Bowling Green,Arizona,South Carolina,Georgia Tech,New Mexico State,Vanderbilt,UConn,Missouri,Duke")</f>
        <v>Arkansas,Kansas State,Texas Tech,Washington State,Florida Atlantic,Minnesota,South Alabama,Louisville,West Virginia,Iowa,Purdue,Ole Miss,UTEP,Maryland,Ball State,Florida,Buffalo,Syracuse,UNLV,Georgia Southern,Tennessee,Ohio,Kansas,Mississippi State,LSU,Illinois,Auburn,Rice,Bowling Green,Arizona,South Carolina,Georgia Tech,New Mexico State,Vanderbilt,UConn,Missouri,Duke</v>
      </c>
      <c r="AG74" s="127">
        <f>IFERROR(__xludf.DUMMYFUNCTION("iferror($O74-max(filter($O74:$O$395,$E74:$E$395=$E$2)))"),-4.0)</f>
        <v>-4</v>
      </c>
      <c r="AH74" s="126">
        <f t="shared" si="8"/>
        <v>0</v>
      </c>
      <c r="AI74" s="126">
        <f>IFERROR(__xludf.DUMMYFUNCTION("iferror(COUNT(filter($O75:$O$395,$O75:$O$395&gt;$O74,$E74:$E$395=$E$2)))"),0.0)</f>
        <v>0</v>
      </c>
      <c r="AJ74" s="128">
        <f t="shared" si="9"/>
        <v>0</v>
      </c>
      <c r="AK74" s="129">
        <f>IFERROR(__xludf.DUMMYFUNCTION("iferror($O74-min(filter($O74:$O$395,$E74:$E$395=$E$2)))"),3.0)</f>
        <v>3</v>
      </c>
      <c r="AL74" s="123" t="str">
        <f>IFERROR(__xludf.DUMMYFUNCTION("iferror(join("","",index(sort(filter($F75:$F$395,$O75:$O$395&gt;$O74,$E75:$E$395=$E$2),2,false),0,1)))"),"Minnesota,Iowa,Purdue,Maryland,Illinois")</f>
        <v>Minnesota,Iowa,Purdue,Maryland,Illinois</v>
      </c>
      <c r="AM74" s="123" t="str">
        <f>IFERROR(__xludf.DUMMYFUNCTION("REGEXREPLACE(join("","",unique({let(conf_picked,filter(E$1:E73,D$1:D73=D74), byrow(unique(TRANSPOSe(Teams!$1:$1)),lambda(rw,if(ISERROR(match(rw,conf_picked,0)),rw,))));iferror(if(#REF!,,transpose(split(#REF!,"","",1,1))))})), ""^,"", """")"),"ACC,Big Ten,Pac12,CUSA,MAC")</f>
        <v>ACC,Big Ten,Pac12,CUSA,MAC</v>
      </c>
      <c r="AN74" s="127">
        <f>IFERROR(__xludf.DUMMYFUNCTION("iferror($O74-max(filter($O74:$O$395,arrayformula(isnumber(FIND($E74:$E$395,AM74))))))"),-5.0)</f>
        <v>-5</v>
      </c>
      <c r="AO74" s="126">
        <f t="array" ref="AO74">countifs($O$2:$O73,"&lt;"&amp;$O74,isnumber(FIND($E$2:$E73,AM74)),TRUE)</f>
        <v>3</v>
      </c>
      <c r="AP74" s="126">
        <f>IFERROR(__xludf.DUMMYFUNCTION("iferror(COUNT(filter($O75:$O$395,$O75:$O$395&gt;$O74,arrayformula(isnumber(FIND($E75:$E$395,AM74))))))"),18.0)</f>
        <v>18</v>
      </c>
      <c r="AQ74" s="128">
        <f t="shared" si="10"/>
        <v>0</v>
      </c>
      <c r="AR74" s="129">
        <f>IFERROR(__xludf.DUMMYFUNCTION("$O74-min(filter($O74:$O$395,arrayformula(isnumber(FIND($E74:$E$395,AM74)))))"),3.0)</f>
        <v>3</v>
      </c>
      <c r="AS74" s="123" t="str">
        <f>IFERROR(__xludf.DUMMYFUNCTION("iferror(join("","",index(sort(filter($F75:$F$395,$O75:$O$395&gt;$O74,arrayformula(isnumber(FIND($E75:$E$395,AM74)))),2,false),0,1)))"),"Washington State,Florida Atlantic,Minnesota,Louisville,Iowa,Purdue,UTEP,Maryland,Ball State,Buffalo,Syracuse,Ohio,Illinois,Rice,Bowling Green,Arizona,Georgia Tech,Duke")</f>
        <v>Washington State,Florida Atlantic,Minnesota,Louisville,Iowa,Purdue,UTEP,Maryland,Ball State,Buffalo,Syracuse,Ohio,Illinois,Rice,Bowling Green,Arizona,Georgia Tech,Duke</v>
      </c>
    </row>
    <row r="75">
      <c r="A75" s="26">
        <v>74.0</v>
      </c>
      <c r="B75" s="26">
        <v>6.0</v>
      </c>
      <c r="C75" s="26">
        <v>9.0</v>
      </c>
      <c r="D75" s="132" t="s">
        <v>138</v>
      </c>
      <c r="E75" s="133" t="str">
        <f>if(F75&lt;&gt;"",VLOOKUP(F75,offset('Teams-Conference'!A:B,0,(counta('Draft Order'!B$2:B132)-10)*2),2,0),"")</f>
        <v>SEC</v>
      </c>
      <c r="F75" s="143" t="s">
        <v>303</v>
      </c>
      <c r="G75" s="135" t="str">
        <f t="shared" si="16"/>
        <v/>
      </c>
      <c r="H75" s="122">
        <f t="shared" si="2"/>
        <v>0</v>
      </c>
      <c r="I75" s="122">
        <f t="shared" si="3"/>
        <v>1</v>
      </c>
      <c r="J75" s="122">
        <f t="shared" si="11"/>
        <v>0</v>
      </c>
      <c r="K75" s="122">
        <f t="shared" si="22"/>
        <v>1</v>
      </c>
      <c r="L75" s="122">
        <v>6.0</v>
      </c>
      <c r="M75" s="122">
        <f>IFERROR(__xludf.DUMMYFUNCTION("counta(iferror(filter(L$2:L74,E$2:E74=E75,L$2:L74&lt;L75)))"),1.0)</f>
        <v>1</v>
      </c>
      <c r="N75" s="122">
        <f>IFERROR(__xludf.DUMMYFUNCTION("counta(iferror(filter(L76:L$131,E76:E$131=E75,L76:L$134&gt;L75)))"),0.0)</f>
        <v>0</v>
      </c>
      <c r="O75" s="124">
        <f t="array" ref="O75:Z75">XLOOKUP(F75,'Current Week'!C:C,'Current Week'!D:O)</f>
        <v>6</v>
      </c>
      <c r="P75" s="122">
        <v>6.0</v>
      </c>
      <c r="Q75" s="123" t="s">
        <v>174</v>
      </c>
      <c r="R75" s="123" t="s">
        <v>57</v>
      </c>
      <c r="S75" s="123" t="s">
        <v>53</v>
      </c>
      <c r="T75" s="123"/>
      <c r="U75" s="123"/>
      <c r="V75" s="123"/>
      <c r="W75" s="123"/>
      <c r="X75" s="123"/>
      <c r="Y75" s="126"/>
      <c r="Z75" s="126"/>
      <c r="AA75" s="127">
        <f t="shared" si="4"/>
        <v>-4</v>
      </c>
      <c r="AB75" s="126">
        <f t="shared" si="5"/>
        <v>17</v>
      </c>
      <c r="AC75" s="126">
        <f>IFERROR(__xludf.DUMMYFUNCTION("iferror(COUNT(filter($O76:$O$395,$O76:$O$395&gt;$O75)))"),18.0)</f>
        <v>18</v>
      </c>
      <c r="AD75" s="128">
        <f t="shared" si="6"/>
        <v>0</v>
      </c>
      <c r="AE75" s="129">
        <f t="shared" si="7"/>
        <v>3</v>
      </c>
      <c r="AF75" s="123" t="str">
        <f>IFERROR(__xludf.DUMMYFUNCTION("iferror(join("","",index(sort(filter($F76:$F$396,$O76:$O$396&gt;$O75),2,false),0,1)))"),"Kansas State,Texas Tech,Washington State,Minnesota,South Alabama,Louisville,Iowa,Purdue,Ole Miss,Maryland,Syracuse,Tennessee,Ohio,Mississippi State,LSU,Illinois,South Carolina,Duke")</f>
        <v>Kansas State,Texas Tech,Washington State,Minnesota,South Alabama,Louisville,Iowa,Purdue,Ole Miss,Maryland,Syracuse,Tennessee,Ohio,Mississippi State,LSU,Illinois,South Carolina,Duke</v>
      </c>
      <c r="AG75" s="127">
        <f>IFERROR(__xludf.DUMMYFUNCTION("iferror($O75-max(filter($O75:$O$395,$E75:$E$395=$E$2)))"),-2.0)</f>
        <v>-2</v>
      </c>
      <c r="AH75" s="126">
        <f t="shared" si="8"/>
        <v>2</v>
      </c>
      <c r="AI75" s="126">
        <f>IFERROR(__xludf.DUMMYFUNCTION("iferror(COUNT(filter($O76:$O$395,$O76:$O$395&gt;$O75,$E75:$E$395=$E$2)))"),0.0)</f>
        <v>0</v>
      </c>
      <c r="AJ75" s="128">
        <f t="shared" si="9"/>
        <v>0</v>
      </c>
      <c r="AK75" s="129">
        <f>IFERROR(__xludf.DUMMYFUNCTION("iferror($O75-min(filter($O75:$O$395,$E75:$E$395=$E$2)))"),5.0)</f>
        <v>5</v>
      </c>
      <c r="AL75" s="123" t="str">
        <f>IFERROR(__xludf.DUMMYFUNCTION("iferror(join("","",index(sort(filter($F76:$F$395,$O76:$O$395&gt;$O75,$E76:$E$395=$E$2),2,false),0,1)))"),"Minnesota,Iowa,Purdue,Maryland,Illinois")</f>
        <v>Minnesota,Iowa,Purdue,Maryland,Illinois</v>
      </c>
      <c r="AM75" s="123" t="str">
        <f>IFERROR(__xludf.DUMMYFUNCTION("REGEXREPLACE(join("","",unique({let(conf_picked,filter(E$1:E74,D$1:D74=D75), byrow(unique(TRANSPOSe(Teams!$1:$1)),lambda(rw,if(ISERROR(match(rw,conf_picked,0)),rw,))));iferror(if(#REF!,,transpose(split(#REF!,"","",1,1))))})), ""^,"", """")"),"ACC,Big 12,Pac12,SEC,Sun Belt")</f>
        <v>ACC,Big 12,Pac12,SEC,Sun Belt</v>
      </c>
      <c r="AN75" s="127">
        <f>IFERROR(__xludf.DUMMYFUNCTION("iferror($O75-max(filter($O75:$O$395,arrayformula(isnumber(FIND($E75:$E$395,AM75))))))"),-4.0)</f>
        <v>-4</v>
      </c>
      <c r="AO75" s="126">
        <f t="array" ref="AO75">countifs($O$2:$O74,"&lt;"&amp;$O75,isnumber(FIND($E$2:$E74,AM75)),TRUE)</f>
        <v>7</v>
      </c>
      <c r="AP75" s="126">
        <f>IFERROR(__xludf.DUMMYFUNCTION("iferror(COUNT(filter($O76:$O$395,$O76:$O$395&gt;$O75,arrayformula(isnumber(FIND($E76:$E$395,AM75))))))"),12.0)</f>
        <v>12</v>
      </c>
      <c r="AQ75" s="128">
        <f t="shared" si="10"/>
        <v>0</v>
      </c>
      <c r="AR75" s="129">
        <f>IFERROR(__xludf.DUMMYFUNCTION("$O75-min(filter($O75:$O$395,arrayformula(isnumber(FIND($E75:$E$395,AM75)))))"),5.0)</f>
        <v>5</v>
      </c>
      <c r="AS75" s="123" t="str">
        <f>IFERROR(__xludf.DUMMYFUNCTION("iferror(join("","",index(sort(filter($F76:$F$395,$O76:$O$395&gt;$O75,arrayformula(isnumber(FIND($E76:$E$395,AM75)))),2,false),0,1)))"),"Kansas State,Texas Tech,Washington State,South Alabama,Louisville,Ole Miss,Syracuse,Tennessee,Mississippi State,LSU,South Carolina,Duke")</f>
        <v>Kansas State,Texas Tech,Washington State,South Alabama,Louisville,Ole Miss,Syracuse,Tennessee,Mississippi State,LSU,South Carolina,Duke</v>
      </c>
    </row>
    <row r="76">
      <c r="A76" s="26">
        <v>75.0</v>
      </c>
      <c r="B76" s="26">
        <v>6.0</v>
      </c>
      <c r="C76" s="26">
        <v>10.0</v>
      </c>
      <c r="D76" s="132" t="s">
        <v>59</v>
      </c>
      <c r="E76" s="133" t="str">
        <f>if(F76&lt;&gt;"",VLOOKUP(F76,offset('Teams-Conference'!A:B,0,(counta('Draft Order'!B$2:B132)-10)*2),2,0),"")</f>
        <v>Big 12</v>
      </c>
      <c r="F76" s="143" t="s">
        <v>291</v>
      </c>
      <c r="G76" s="135" t="str">
        <f t="shared" si="16"/>
        <v/>
      </c>
      <c r="H76" s="122">
        <f t="shared" si="2"/>
        <v>1</v>
      </c>
      <c r="I76" s="122">
        <f t="shared" si="3"/>
        <v>2</v>
      </c>
      <c r="J76" s="122">
        <f t="shared" si="11"/>
        <v>0</v>
      </c>
      <c r="K76" s="122">
        <f t="shared" si="22"/>
        <v>2</v>
      </c>
      <c r="L76" s="122">
        <v>9.0</v>
      </c>
      <c r="M76" s="122">
        <f>IFERROR(__xludf.DUMMYFUNCTION("counta(iferror(filter(L$2:L75,E$2:E75=E76,L$2:L75&lt;L76)))"),7.0)</f>
        <v>7</v>
      </c>
      <c r="N76" s="122">
        <f>IFERROR(__xludf.DUMMYFUNCTION("counta(iferror(filter(L77:L$131,E77:E$131=E76,L77:L$134&gt;L76)))"),0.0)</f>
        <v>0</v>
      </c>
      <c r="O76" s="124">
        <f t="array" ref="O76:Z76">XLOOKUP(F76,'Current Week'!C:C,'Current Week'!D:O)</f>
        <v>9</v>
      </c>
      <c r="P76" s="122">
        <v>3.0</v>
      </c>
      <c r="Q76" s="123" t="s">
        <v>218</v>
      </c>
      <c r="R76" s="123" t="s">
        <v>57</v>
      </c>
      <c r="S76" s="123" t="s">
        <v>131</v>
      </c>
      <c r="T76" s="123" t="s">
        <v>74</v>
      </c>
      <c r="U76" s="123"/>
      <c r="V76" s="123"/>
      <c r="W76" s="123"/>
      <c r="X76" s="123"/>
      <c r="Y76" s="126"/>
      <c r="Z76" s="126"/>
      <c r="AA76" s="127">
        <f t="shared" si="4"/>
        <v>-1</v>
      </c>
      <c r="AB76" s="126">
        <f t="shared" si="5"/>
        <v>51</v>
      </c>
      <c r="AC76" s="126">
        <f>IFERROR(__xludf.DUMMYFUNCTION("iferror(COUNT(filter($O77:$O$395,$O77:$O$395&gt;$O76)))"),2.0)</f>
        <v>2</v>
      </c>
      <c r="AD76" s="128">
        <f t="shared" si="6"/>
        <v>0</v>
      </c>
      <c r="AE76" s="129">
        <f t="shared" si="7"/>
        <v>6</v>
      </c>
      <c r="AF76" s="123" t="str">
        <f>IFERROR(__xludf.DUMMYFUNCTION("iferror(join("","",index(sort(filter($F77:$F$396,$O77:$O$396&gt;$O76),2,false),0,1)))"),"South Alabama,Tennessee")</f>
        <v>South Alabama,Tennessee</v>
      </c>
      <c r="AG76" s="127">
        <f>IFERROR(__xludf.DUMMYFUNCTION("iferror($O76-max(filter($O76:$O$395,$E76:$E$395=$E$2)))"),1.0)</f>
        <v>1</v>
      </c>
      <c r="AH76" s="126">
        <f t="shared" si="8"/>
        <v>3</v>
      </c>
      <c r="AI76" s="126">
        <f>IFERROR(__xludf.DUMMYFUNCTION("iferror(COUNT(filter($O77:$O$395,$O77:$O$395&gt;$O76,$E76:$E$395=$E$2)))"),0.0)</f>
        <v>0</v>
      </c>
      <c r="AJ76" s="128">
        <f t="shared" si="9"/>
        <v>0</v>
      </c>
      <c r="AK76" s="129">
        <f>IFERROR(__xludf.DUMMYFUNCTION("iferror($O76-min(filter($O76:$O$395,$E76:$E$395=$E$2)))"),8.0)</f>
        <v>8</v>
      </c>
      <c r="AL76" s="123" t="str">
        <f>IFERROR(__xludf.DUMMYFUNCTION("iferror(join("","",index(sort(filter($F77:$F$395,$O77:$O$395&gt;$O76,$E77:$E$395=$E$2),2,false),0,1)))"),"")</f>
        <v/>
      </c>
      <c r="AM76" s="123" t="str">
        <f>IFERROR(__xludf.DUMMYFUNCTION("REGEXREPLACE(join("","",unique({let(conf_picked,filter(E$1:E75,D$1:D75=D76), byrow(unique(TRANSPOSe(Teams!$1:$1)),lambda(rw,if(ISERROR(match(rw,conf_picked,0)),rw,))));iferror(if(#REF!,,transpose(split(#REF!,"","",1,1))))})), ""^,"", """")"),"AAC,ACC,Big 12,,CUSA,MWC")</f>
        <v>AAC,ACC,Big 12,,CUSA,MWC</v>
      </c>
      <c r="AN76" s="127">
        <f>IFERROR(__xludf.DUMMYFUNCTION("iferror($O76-max(filter($O76:$O$395,arrayformula(isnumber(FIND($E76:$E$395,AM76))))))"),0.0)</f>
        <v>0</v>
      </c>
      <c r="AO76" s="126">
        <f t="array" ref="AO76">countifs($O$2:$O75,"&lt;"&amp;$O76,isnumber(FIND($E$2:$E75,AM76)),TRUE)</f>
        <v>32</v>
      </c>
      <c r="AP76" s="126">
        <f>IFERROR(__xludf.DUMMYFUNCTION("iferror(COUNT(filter($O77:$O$395,$O77:$O$395&gt;$O76,arrayformula(isnumber(FIND($E77:$E$395,AM76))))))"),0.0)</f>
        <v>0</v>
      </c>
      <c r="AQ76" s="128">
        <f t="shared" si="10"/>
        <v>1</v>
      </c>
      <c r="AR76" s="129">
        <f>IFERROR(__xludf.DUMMYFUNCTION("$O76-min(filter($O76:$O$395,arrayformula(isnumber(FIND($E76:$E$395,AM76)))))"),8.0)</f>
        <v>8</v>
      </c>
      <c r="AS76" s="123" t="str">
        <f>IFERROR(__xludf.DUMMYFUNCTION("iferror(join("","",index(sort(filter($F77:$F$395,$O77:$O$395&gt;$O76,arrayformula(isnumber(FIND($E77:$E$395,AM76)))),2,false),0,1)))"),"")</f>
        <v/>
      </c>
    </row>
    <row r="77">
      <c r="A77" s="26">
        <v>76.0</v>
      </c>
      <c r="B77" s="26">
        <v>6.0</v>
      </c>
      <c r="C77" s="26">
        <v>11.0</v>
      </c>
      <c r="D77" s="132" t="s">
        <v>178</v>
      </c>
      <c r="E77" s="133" t="str">
        <f>if(F77&lt;&gt;"",VLOOKUP(F77,offset('Teams-Conference'!A:B,0,(counta('Draft Order'!B$2:B132)-10)*2),2,0),"")</f>
        <v>Big 12</v>
      </c>
      <c r="F77" s="143" t="s">
        <v>272</v>
      </c>
      <c r="G77" s="135" t="str">
        <f t="shared" si="16"/>
        <v/>
      </c>
      <c r="H77" s="122">
        <f t="shared" si="2"/>
        <v>1</v>
      </c>
      <c r="I77" s="122">
        <f t="shared" si="3"/>
        <v>1</v>
      </c>
      <c r="J77" s="122">
        <f t="shared" si="11"/>
        <v>1</v>
      </c>
      <c r="K77" s="122">
        <f t="shared" si="22"/>
        <v>0</v>
      </c>
      <c r="L77" s="122">
        <v>7.0</v>
      </c>
      <c r="M77" s="122">
        <f>IFERROR(__xludf.DUMMYFUNCTION("counta(iferror(filter(L$2:L76,E$2:E76=E77,L$2:L76&lt;L77)))"),3.0)</f>
        <v>3</v>
      </c>
      <c r="N77" s="122">
        <f>IFERROR(__xludf.DUMMYFUNCTION("counta(iferror(filter(L78:L$131,E78:E$131=E77,L78:L$134&gt;L77)))"),0.0)</f>
        <v>0</v>
      </c>
      <c r="O77" s="124">
        <f t="array" ref="O77:Z77">XLOOKUP(F77,'Current Week'!C:C,'Current Week'!D:O)</f>
        <v>7</v>
      </c>
      <c r="P77" s="122">
        <v>5.0</v>
      </c>
      <c r="Q77" s="123" t="s">
        <v>273</v>
      </c>
      <c r="R77" s="123" t="s">
        <v>183</v>
      </c>
      <c r="S77" s="123" t="s">
        <v>53</v>
      </c>
      <c r="T77" s="123" t="s">
        <v>88</v>
      </c>
      <c r="U77" s="123"/>
      <c r="V77" s="123"/>
      <c r="W77" s="123"/>
      <c r="X77" s="123"/>
      <c r="Y77" s="126"/>
      <c r="Z77" s="126"/>
      <c r="AA77" s="127">
        <f t="shared" si="4"/>
        <v>-3</v>
      </c>
      <c r="AB77" s="126">
        <f t="shared" si="5"/>
        <v>28</v>
      </c>
      <c r="AC77" s="126">
        <f>IFERROR(__xludf.DUMMYFUNCTION("iferror(COUNT(filter($O78:$O$395,$O78:$O$395&gt;$O77)))"),11.0)</f>
        <v>11</v>
      </c>
      <c r="AD77" s="128">
        <f t="shared" si="6"/>
        <v>0</v>
      </c>
      <c r="AE77" s="129">
        <f t="shared" si="7"/>
        <v>4</v>
      </c>
      <c r="AF77" s="123" t="str">
        <f>IFERROR(__xludf.DUMMYFUNCTION("iferror(join("","",index(sort(filter($F78:$F$396,$O78:$O$396&gt;$O77),2,false),0,1)))"),"Minnesota,South Alabama,Purdue,Ole Miss,Tennessee,Ohio,Mississippi State,LSU,Illinois,South Carolina,Duke")</f>
        <v>Minnesota,South Alabama,Purdue,Ole Miss,Tennessee,Ohio,Mississippi State,LSU,Illinois,South Carolina,Duke</v>
      </c>
      <c r="AG77" s="127">
        <f>IFERROR(__xludf.DUMMYFUNCTION("iferror($O77-max(filter($O77:$O$395,$E77:$E$395=$E$2)))"),-1.0)</f>
        <v>-1</v>
      </c>
      <c r="AH77" s="126">
        <f t="shared" si="8"/>
        <v>3</v>
      </c>
      <c r="AI77" s="126">
        <f>IFERROR(__xludf.DUMMYFUNCTION("iferror(COUNT(filter($O78:$O$395,$O78:$O$395&gt;$O77,$E77:$E$395=$E$2)))"),0.0)</f>
        <v>0</v>
      </c>
      <c r="AJ77" s="128">
        <f t="shared" si="9"/>
        <v>0</v>
      </c>
      <c r="AK77" s="129">
        <f>IFERROR(__xludf.DUMMYFUNCTION("iferror($O77-min(filter($O77:$O$395,$E77:$E$395=$E$2)))"),6.0)</f>
        <v>6</v>
      </c>
      <c r="AL77" s="123" t="str">
        <f>IFERROR(__xludf.DUMMYFUNCTION("iferror(join("","",index(sort(filter($F78:$F$395,$O78:$O$395&gt;$O77,$E78:$E$395=$E$2),2,false),0,1)))"),"Minnesota,Purdue,Illinois")</f>
        <v>Minnesota,Purdue,Illinois</v>
      </c>
      <c r="AM77" s="123" t="str">
        <f>IFERROR(__xludf.DUMMYFUNCTION("REGEXREPLACE(join("","",unique({let(conf_picked,filter(E$1:E76,D$1:D76=D77), byrow(unique(TRANSPOSe(Teams!$1:$1)),lambda(rw,if(ISERROR(match(rw,conf_picked,0)),rw,))));iferror(if(#REF!,,transpose(split(#REF!,"","",1,1))))})), ""^,"", """")"),"Big 12,Big Ten,MWC,SEC,Sun Belt")</f>
        <v>Big 12,Big Ten,MWC,SEC,Sun Belt</v>
      </c>
      <c r="AN77" s="127">
        <f>IFERROR(__xludf.DUMMYFUNCTION("iferror($O77-max(filter($O77:$O$395,arrayformula(isnumber(FIND($E77:$E$395,AM77))))))"),-3.0)</f>
        <v>-3</v>
      </c>
      <c r="AO77" s="126">
        <f t="array" ref="AO77">countifs($O$2:$O76,"&lt;"&amp;$O77,isnumber(FIND($E$2:$E76,AM77)),TRUE)</f>
        <v>14</v>
      </c>
      <c r="AP77" s="126">
        <f>IFERROR(__xludf.DUMMYFUNCTION("iferror(COUNT(filter($O78:$O$395,$O78:$O$395&gt;$O77,arrayformula(isnumber(FIND($E78:$E$395,AM77))))))"),9.0)</f>
        <v>9</v>
      </c>
      <c r="AQ77" s="128">
        <f t="shared" si="10"/>
        <v>0</v>
      </c>
      <c r="AR77" s="129">
        <f>IFERROR(__xludf.DUMMYFUNCTION("$O77-min(filter($O77:$O$395,arrayformula(isnumber(FIND($E77:$E$395,AM77)))))"),6.0)</f>
        <v>6</v>
      </c>
      <c r="AS77" s="123" t="str">
        <f>IFERROR(__xludf.DUMMYFUNCTION("iferror(join("","",index(sort(filter($F78:$F$395,$O78:$O$395&gt;$O77,arrayformula(isnumber(FIND($E78:$E$395,AM77)))),2,false),0,1)))"),"Minnesota,South Alabama,Purdue,Ole Miss,Tennessee,Mississippi State,LSU,Illinois,South Carolina")</f>
        <v>Minnesota,South Alabama,Purdue,Ole Miss,Tennessee,Mississippi State,LSU,Illinois,South Carolina</v>
      </c>
    </row>
    <row r="78">
      <c r="A78" s="26">
        <v>77.0</v>
      </c>
      <c r="B78" s="26">
        <v>6.0</v>
      </c>
      <c r="C78" s="26">
        <v>12.0</v>
      </c>
      <c r="D78" s="132" t="s">
        <v>131</v>
      </c>
      <c r="E78" t="str">
        <f>if(F78&lt;&gt;"",VLOOKUP(F78,offset('Teams-Conference'!A:B,0,(counta('Draft Order'!B$2:B132)-10)*2),2,0),"")</f>
        <v>Pac12</v>
      </c>
      <c r="F78" s="143" t="s">
        <v>222</v>
      </c>
      <c r="G78" s="135" t="str">
        <f t="shared" si="16"/>
        <v/>
      </c>
      <c r="H78" s="122">
        <f t="shared" si="2"/>
        <v>2</v>
      </c>
      <c r="I78" s="122">
        <f t="shared" si="3"/>
        <v>2</v>
      </c>
      <c r="J78" s="122">
        <f t="shared" si="11"/>
        <v>0</v>
      </c>
      <c r="K78" s="122">
        <f>countif(E59:E78,E80)</f>
        <v>2</v>
      </c>
      <c r="L78" s="122">
        <v>7.0</v>
      </c>
      <c r="M78" s="122">
        <f>IFERROR(__xludf.DUMMYFUNCTION("counta(iferror(filter(L$2:L77,E$2:E77=E78,L$2:L77&lt;L78)))"),0.0)</f>
        <v>0</v>
      </c>
      <c r="N78" s="122">
        <f>IFERROR(__xludf.DUMMYFUNCTION("counta(iferror(filter(L79:L$131,E79:E$131=E78,L79:L$134&gt;L78)))"),0.0)</f>
        <v>0</v>
      </c>
      <c r="O78" s="124">
        <f t="array" ref="O78:Z78">XLOOKUP(F78,'Current Week'!C:C,'Current Week'!D:O)</f>
        <v>7</v>
      </c>
      <c r="P78" s="122">
        <v>5.0</v>
      </c>
      <c r="Q78" s="123" t="s">
        <v>223</v>
      </c>
      <c r="R78" s="123" t="s">
        <v>57</v>
      </c>
      <c r="S78" s="123" t="s">
        <v>148</v>
      </c>
      <c r="T78" s="123" t="s">
        <v>82</v>
      </c>
      <c r="U78" s="123"/>
      <c r="V78" s="123"/>
      <c r="W78" s="123"/>
      <c r="X78" s="123"/>
      <c r="Y78" s="126"/>
      <c r="Z78" s="126"/>
      <c r="AA78" s="127">
        <f t="shared" si="4"/>
        <v>-3</v>
      </c>
      <c r="AB78" s="126">
        <f t="shared" si="5"/>
        <v>28</v>
      </c>
      <c r="AC78" s="126">
        <f>IFERROR(__xludf.DUMMYFUNCTION("iferror(COUNT(filter($O79:$O$395,$O79:$O$395&gt;$O78)))"),11.0)</f>
        <v>11</v>
      </c>
      <c r="AD78" s="128">
        <f t="shared" si="6"/>
        <v>0</v>
      </c>
      <c r="AE78" s="129">
        <f t="shared" si="7"/>
        <v>4</v>
      </c>
      <c r="AF78" s="123" t="str">
        <f>IFERROR(__xludf.DUMMYFUNCTION("iferror(join("","",index(sort(filter($F79:$F$396,$O79:$O$396&gt;$O78),2,false),0,1)))"),"Minnesota,South Alabama,Purdue,Ole Miss,Tennessee,Ohio,Mississippi State,LSU,Illinois,South Carolina,Duke")</f>
        <v>Minnesota,South Alabama,Purdue,Ole Miss,Tennessee,Ohio,Mississippi State,LSU,Illinois,South Carolina,Duke</v>
      </c>
      <c r="AG78" s="127">
        <f>IFERROR(__xludf.DUMMYFUNCTION("iferror($O78-max(filter($O78:$O$395,$E78:$E$395=$E$2)))"),-1.0)</f>
        <v>-1</v>
      </c>
      <c r="AH78" s="126">
        <f t="shared" si="8"/>
        <v>3</v>
      </c>
      <c r="AI78" s="126">
        <f>IFERROR(__xludf.DUMMYFUNCTION("iferror(COUNT(filter($O79:$O$395,$O79:$O$395&gt;$O78,$E78:$E$395=$E$2)))"),0.0)</f>
        <v>0</v>
      </c>
      <c r="AJ78" s="128">
        <f t="shared" si="9"/>
        <v>0</v>
      </c>
      <c r="AK78" s="129">
        <f>IFERROR(__xludf.DUMMYFUNCTION("iferror($O78-min(filter($O78:$O$395,$E78:$E$395=$E$2)))"),6.0)</f>
        <v>6</v>
      </c>
      <c r="AL78" s="123" t="str">
        <f>IFERROR(__xludf.DUMMYFUNCTION("iferror(join("","",index(sort(filter($F79:$F$395,$O79:$O$395&gt;$O78,$E79:$E$395=$E$2),2,false),0,1)))"),"Minnesota,Purdue,Illinois")</f>
        <v>Minnesota,Purdue,Illinois</v>
      </c>
      <c r="AM78" s="123" t="str">
        <f>IFERROR(__xludf.DUMMYFUNCTION("REGEXREPLACE(join("","",unique({let(conf_picked,filter(E$1:E77,D$1:D77=D78), byrow(unique(TRANSPOSe(Teams!$1:$1)),lambda(rw,if(ISERROR(match(rw,conf_picked,0)),rw,))));iferror(if(#REF!,,transpose(split(#REF!,"","",1,1))))})), ""^,"", """")"),"AAC,,Big 12,Pac12,SEC,Sun Belt")</f>
        <v>AAC,,Big 12,Pac12,SEC,Sun Belt</v>
      </c>
      <c r="AN78" s="127">
        <f>IFERROR(__xludf.DUMMYFUNCTION("iferror($O78-max(filter($O78:$O$395,arrayformula(isnumber(FIND($E78:$E$395,AM78))))))"),-3.0)</f>
        <v>-3</v>
      </c>
      <c r="AO78" s="126">
        <f t="array" ref="AO78">countifs($O$2:$O77,"&lt;"&amp;$O78,isnumber(FIND($E$2:$E77,AM78)),TRUE)</f>
        <v>12</v>
      </c>
      <c r="AP78" s="126">
        <f>IFERROR(__xludf.DUMMYFUNCTION("iferror(COUNT(filter($O79:$O$395,$O79:$O$395&gt;$O78,arrayformula(isnumber(FIND($E79:$E$395,AM78))))))"),6.0)</f>
        <v>6</v>
      </c>
      <c r="AQ78" s="128">
        <f t="shared" si="10"/>
        <v>0</v>
      </c>
      <c r="AR78" s="129">
        <f>IFERROR(__xludf.DUMMYFUNCTION("$O78-min(filter($O78:$O$395,arrayformula(isnumber(FIND($E78:$E$395,AM78)))))"),6.0)</f>
        <v>6</v>
      </c>
      <c r="AS78" s="123" t="str">
        <f>IFERROR(__xludf.DUMMYFUNCTION("iferror(join("","",index(sort(filter($F79:$F$395,$O79:$O$395&gt;$O78,arrayformula(isnumber(FIND($E79:$E$395,AM78)))),2,false),0,1)))"),"South Alabama,Ole Miss,Tennessee,Mississippi State,LSU,South Carolina")</f>
        <v>South Alabama,Ole Miss,Tennessee,Mississippi State,LSU,South Carolina</v>
      </c>
    </row>
    <row r="79">
      <c r="A79" s="156">
        <v>78.0</v>
      </c>
      <c r="B79" s="156">
        <v>6.0</v>
      </c>
      <c r="C79" s="156">
        <v>13.0</v>
      </c>
      <c r="D79" s="157" t="s">
        <v>53</v>
      </c>
      <c r="E79" s="158" t="str">
        <f>if(F79&lt;&gt;"",VLOOKUP(F79,offset('Teams-Conference'!A:B,0,(counta('Draft Order'!B$2:B132)-10)*2),2,0),"")</f>
        <v>CUSA</v>
      </c>
      <c r="F79" s="159" t="s">
        <v>181</v>
      </c>
      <c r="G79" s="160" t="str">
        <f t="shared" si="16"/>
        <v/>
      </c>
      <c r="H79" s="122">
        <f t="shared" si="2"/>
        <v>0</v>
      </c>
      <c r="I79" s="122">
        <f t="shared" si="3"/>
        <v>3</v>
      </c>
      <c r="J79" s="122">
        <f t="shared" si="11"/>
        <v>1</v>
      </c>
      <c r="K79" s="123"/>
      <c r="L79" s="122">
        <v>5.0</v>
      </c>
      <c r="M79" s="122">
        <f>IFERROR(__xludf.DUMMYFUNCTION("counta(iferror(filter(L$2:L78,E$2:E78=E79,L$2:L78&lt;L79)))"),0.0)</f>
        <v>0</v>
      </c>
      <c r="N79" s="122">
        <f>IFERROR(__xludf.DUMMYFUNCTION("counta(iferror(filter(L80:L$131,E80:E$131=E79,L80:L$134&gt;L79)))"),0.0)</f>
        <v>0</v>
      </c>
      <c r="O79" s="124">
        <f t="array" ref="O79:Z79">XLOOKUP(F79,'Current Week'!C:C,'Current Week'!D:O)</f>
        <v>5</v>
      </c>
      <c r="P79" s="122">
        <v>7.0</v>
      </c>
      <c r="Q79" s="123" t="s">
        <v>182</v>
      </c>
      <c r="R79" s="123" t="s">
        <v>183</v>
      </c>
      <c r="S79" s="123" t="s">
        <v>178</v>
      </c>
      <c r="T79" s="123"/>
      <c r="U79" s="123"/>
      <c r="V79" s="123"/>
      <c r="W79" s="123"/>
      <c r="X79" s="123"/>
      <c r="Y79" s="126"/>
      <c r="Z79" s="126"/>
      <c r="AA79" s="127">
        <f t="shared" si="4"/>
        <v>-5</v>
      </c>
      <c r="AB79" s="126">
        <f t="shared" si="5"/>
        <v>10</v>
      </c>
      <c r="AC79" s="126">
        <f>IFERROR(__xludf.DUMMYFUNCTION("iferror(COUNT(filter($O80:$O$395,$O80:$O$395&gt;$O79)))"),23.0)</f>
        <v>23</v>
      </c>
      <c r="AD79" s="128">
        <f t="shared" si="6"/>
        <v>0</v>
      </c>
      <c r="AE79" s="129">
        <f t="shared" si="7"/>
        <v>2</v>
      </c>
      <c r="AF79" s="123" t="str">
        <f>IFERROR(__xludf.DUMMYFUNCTION("iferror(join("","",index(sort(filter($F80:$F$396,$O80:$O$396&gt;$O79),2,false),0,1)))"),"Minnesota,South Alabama,Louisville,Iowa,Purdue,Ole Miss,Maryland,Florida,Buffalo,Syracuse,Georgia Southern,Tennessee,Ohio,Kansas,Mississippi State,LSU,Illinois,Bowling Green,South Carolina,New Mexico State,UConn,Missouri,Duke")</f>
        <v>Minnesota,South Alabama,Louisville,Iowa,Purdue,Ole Miss,Maryland,Florida,Buffalo,Syracuse,Georgia Southern,Tennessee,Ohio,Kansas,Mississippi State,LSU,Illinois,Bowling Green,South Carolina,New Mexico State,UConn,Missouri,Duke</v>
      </c>
      <c r="AG79" s="127">
        <f>IFERROR(__xludf.DUMMYFUNCTION("iferror($O79-max(filter($O79:$O$395,$E79:$E$395=$E$2)))"),-3.0)</f>
        <v>-3</v>
      </c>
      <c r="AH79" s="126">
        <f t="shared" si="8"/>
        <v>1</v>
      </c>
      <c r="AI79" s="126">
        <f>IFERROR(__xludf.DUMMYFUNCTION("iferror(COUNT(filter($O80:$O$395,$O80:$O$395&gt;$O79,$E79:$E$395=$E$2)))"),0.0)</f>
        <v>0</v>
      </c>
      <c r="AJ79" s="128">
        <f t="shared" si="9"/>
        <v>0</v>
      </c>
      <c r="AK79" s="129">
        <f>IFERROR(__xludf.DUMMYFUNCTION("iferror($O79-min(filter($O79:$O$395,$E79:$E$395=$E$2)))"),4.0)</f>
        <v>4</v>
      </c>
      <c r="AL79" s="123" t="str">
        <f>IFERROR(__xludf.DUMMYFUNCTION("iferror(join("","",index(sort(filter($F80:$F$395,$O80:$O$395&gt;$O79,$E80:$E$395=$E$2),2,false),0,1)))"),"Minnesota,Iowa,Purdue,Maryland,Illinois")</f>
        <v>Minnesota,Iowa,Purdue,Maryland,Illinois</v>
      </c>
      <c r="AM79" s="123" t="str">
        <f>IFERROR(__xludf.DUMMYFUNCTION("REGEXREPLACE(join("","",unique({let(conf_picked,filter(E$1:E78,D$1:D78=D79), byrow(unique(TRANSPOSe(Teams!$1:$1)),lambda(rw,if(ISERROR(match(rw,conf_picked,0)),rw,))));iferror(if(#REF!,,transpose(split(#REF!,"","",1,1))))})), ""^,"", """")"),"CUSA,MAC,MWC,SEC,Sun Belt")</f>
        <v>CUSA,MAC,MWC,SEC,Sun Belt</v>
      </c>
      <c r="AN79" s="127">
        <f>IFERROR(__xludf.DUMMYFUNCTION("iferror($O79-max(filter($O79:$O$395,arrayformula(isnumber(FIND($E79:$E$395,AM79))))))"),-5.0)</f>
        <v>-5</v>
      </c>
      <c r="AO79" s="126">
        <f t="array" ref="AO79">countifs($O$2:$O78,"&lt;"&amp;$O79,isnumber(FIND($E$2:$E78,AM79)),TRUE)</f>
        <v>5</v>
      </c>
      <c r="AP79" s="126">
        <f>IFERROR(__xludf.DUMMYFUNCTION("iferror(COUNT(filter($O80:$O$395,$O80:$O$395&gt;$O79,arrayformula(isnumber(FIND($E80:$E$395,AM79))))))"),13.0)</f>
        <v>13</v>
      </c>
      <c r="AQ79" s="128">
        <f t="shared" si="10"/>
        <v>0</v>
      </c>
      <c r="AR79" s="129">
        <f>IFERROR(__xludf.DUMMYFUNCTION("$O79-min(filter($O79:$O$395,arrayformula(isnumber(FIND($E79:$E$395,AM79)))))"),4.0)</f>
        <v>4</v>
      </c>
      <c r="AS79" s="123" t="str">
        <f>IFERROR(__xludf.DUMMYFUNCTION("iferror(join("","",index(sort(filter($F80:$F$395,$O80:$O$395&gt;$O79,arrayformula(isnumber(FIND($E80:$E$395,AM79)))),2,false),0,1)))"),"South Alabama,Ole Miss,Florida,Buffalo,Georgia Southern,Tennessee,Ohio,Mississippi State,LSU,Bowling Green,South Carolina,New Mexico State,Missouri")</f>
        <v>South Alabama,Ole Miss,Florida,Buffalo,Georgia Southern,Tennessee,Ohio,Mississippi State,LSU,Bowling Green,South Carolina,New Mexico State,Missouri</v>
      </c>
    </row>
    <row r="80">
      <c r="A80" s="110">
        <v>79.0</v>
      </c>
      <c r="B80" s="110">
        <v>7.0</v>
      </c>
      <c r="C80" s="110">
        <v>1.0</v>
      </c>
      <c r="D80" s="111" t="s">
        <v>53</v>
      </c>
      <c r="E80" s="113" t="str">
        <f>if(F80&lt;&gt;"",VLOOKUP(F80,offset('Teams-Conference'!A:B,0,(counta('Draft Order'!B$2:B132)-10)*2),2,0),"")</f>
        <v>MWC</v>
      </c>
      <c r="F80" s="115" t="s">
        <v>120</v>
      </c>
      <c r="G80" s="119" t="str">
        <f t="shared" si="16"/>
        <v/>
      </c>
      <c r="H80" s="122">
        <f t="shared" si="2"/>
        <v>0</v>
      </c>
      <c r="I80" s="122">
        <f t="shared" si="3"/>
        <v>1</v>
      </c>
      <c r="J80" s="122">
        <f t="shared" si="11"/>
        <v>1</v>
      </c>
      <c r="K80" s="122">
        <f t="shared" ref="K80:K85" si="23">countif(E60:E80,E81)</f>
        <v>1</v>
      </c>
      <c r="L80" s="122">
        <v>2.0</v>
      </c>
      <c r="M80" s="122">
        <f>IFERROR(__xludf.DUMMYFUNCTION("counta(iferror(filter(L$2:L79,E$2:E79=E80,L$2:L79&lt;L80)))"),0.0)</f>
        <v>0</v>
      </c>
      <c r="N80" s="122">
        <f>IFERROR(__xludf.DUMMYFUNCTION("counta(iferror(filter(L81:L$131,E81:E$131=E80,L81:L$134&gt;L80)))"),0.0)</f>
        <v>0</v>
      </c>
      <c r="O80" s="124">
        <f t="array" ref="O80:Z80">XLOOKUP(F80,'Current Week'!C:C,'Current Week'!D:O)</f>
        <v>2</v>
      </c>
      <c r="P80" s="122">
        <v>10.0</v>
      </c>
      <c r="Q80" s="123" t="s">
        <v>123</v>
      </c>
      <c r="R80" s="123" t="s">
        <v>57</v>
      </c>
      <c r="S80" s="123" t="s">
        <v>59</v>
      </c>
      <c r="T80" s="123" t="s">
        <v>129</v>
      </c>
      <c r="U80" s="123"/>
      <c r="V80" s="123"/>
      <c r="W80" s="123"/>
      <c r="X80" s="123"/>
      <c r="Y80" s="126"/>
      <c r="Z80" s="126"/>
      <c r="AA80" s="127">
        <f t="shared" si="4"/>
        <v>-8</v>
      </c>
      <c r="AB80" s="126">
        <f t="shared" si="5"/>
        <v>0</v>
      </c>
      <c r="AC80" s="126">
        <f>IFERROR(__xludf.DUMMYFUNCTION("iferror(COUNT(filter($O81:$O$395,$O81:$O$395&gt;$O80)))"),46.0)</f>
        <v>46</v>
      </c>
      <c r="AD80" s="128">
        <f t="shared" si="6"/>
        <v>0</v>
      </c>
      <c r="AE80" s="129">
        <f t="shared" si="7"/>
        <v>0</v>
      </c>
      <c r="AF80" s="123" t="str">
        <f>IFERROR(__xludf.DUMMYFUNCTION("iferror(join("","",index(sort(filter($F81:$F$396,$O81:$O$396&gt;$O80),2,false),0,1)))"),"Minnesota,Boston College,South Alabama,Louisville,Arizona State,West Virginia,California,Iowa,Purdue,Ole Miss,UTEP,Arkansas State,Maryland,Texas State,Ball State,Louisiana Tech,Florida,Buffalo,Charlotte,Syracuse,UNLV,Georgia Southern,Tennessee,Ohio,Old Do"&amp;"minion,Kansas,Mississippi State,Florida Intl,Stanford,Rutgers,LSU,Illinois,Auburn,Rice,Bowling Green,Arizona,South Carolina,Temple,Georgia Tech,Indiana,New Mexico State,Vanderbilt,UConn,UL Monroe,Missouri,Duke")</f>
        <v>Minnesota,Boston College,South Alabama,Louisville,Arizona State,West Virginia,California,Iowa,Purdue,Ole Miss,UTEP,Arkansas State,Maryland,Texas State,Ball State,Louisiana Tech,Florida,Buffalo,Charlotte,Syracuse,UNLV,Georgia Southern,Tennessee,Ohio,Old Dominion,Kansas,Mississippi State,Florida Intl,Stanford,Rutgers,LSU,Illinois,Auburn,Rice,Bowling Green,Arizona,South Carolina,Temple,Georgia Tech,Indiana,New Mexico State,Vanderbilt,UConn,UL Monroe,Missouri,Duke</v>
      </c>
      <c r="AG80" s="127">
        <f>IFERROR(__xludf.DUMMYFUNCTION("iferror($O80-max(filter($O80:$O$395,$E80:$E$395=$E$2)))"),-6.0)</f>
        <v>-6</v>
      </c>
      <c r="AH80" s="126">
        <f t="shared" si="8"/>
        <v>0</v>
      </c>
      <c r="AI80" s="126">
        <f>IFERROR(__xludf.DUMMYFUNCTION("iferror(COUNT(filter($O81:$O$395,$O81:$O$395&gt;$O80,$E80:$E$395=$E$2)))"),0.0)</f>
        <v>0</v>
      </c>
      <c r="AJ80" s="128">
        <f t="shared" si="9"/>
        <v>0</v>
      </c>
      <c r="AK80" s="129">
        <f>IFERROR(__xludf.DUMMYFUNCTION("iferror($O80-min(filter($O80:$O$395,$E80:$E$395=$E$2)))"),1.0)</f>
        <v>1</v>
      </c>
      <c r="AL80" s="123" t="str">
        <f>IFERROR(__xludf.DUMMYFUNCTION("iferror(join("","",index(sort(filter($F81:$F$395,$O81:$O$395&gt;$O80,$E81:$E$395=$E$2),2,false),0,1)))"),"Minnesota,Iowa,Purdue,Maryland,Illinois,Indiana")</f>
        <v>Minnesota,Iowa,Purdue,Maryland,Illinois,Indiana</v>
      </c>
      <c r="AM80" s="123" t="str">
        <f>IFERROR(__xludf.DUMMYFUNCTION("REGEXREPLACE(join("","",unique({let(conf_picked,filter(E$1:E79,D$1:D79=D80), byrow(unique(TRANSPOSe(Teams!$1:$1)),lambda(rw,if(ISERROR(match(rw,conf_picked,0)),rw,))));iferror(if(#REF!,,transpose(split(#REF!,"","",1,1))))})), ""^,"", """")"),"MAC,MWC,SEC,Sun Belt")</f>
        <v>MAC,MWC,SEC,Sun Belt</v>
      </c>
      <c r="AN80" s="127">
        <f>IFERROR(__xludf.DUMMYFUNCTION("iferror($O80-max(filter($O80:$O$395,arrayformula(isnumber(FIND($E80:$E$395,AM80))))))"),-8.0)</f>
        <v>-8</v>
      </c>
      <c r="AO80" s="126">
        <f t="array" ref="AO80">countifs($O$2:$O79,"&lt;"&amp;$O80,isnumber(FIND($E$2:$E79,AM80)),TRUE)</f>
        <v>0</v>
      </c>
      <c r="AP80" s="126">
        <f>IFERROR(__xludf.DUMMYFUNCTION("iferror(COUNT(filter($O81:$O$395,$O81:$O$395&gt;$O80,arrayformula(isnumber(FIND($E81:$E$395,AM80))))))"),20.0)</f>
        <v>20</v>
      </c>
      <c r="AQ80" s="128">
        <f t="shared" si="10"/>
        <v>0</v>
      </c>
      <c r="AR80" s="129">
        <f>IFERROR(__xludf.DUMMYFUNCTION("$O80-min(filter($O80:$O$395,arrayformula(isnumber(FIND($E80:$E$395,AM80)))))"),0.0)</f>
        <v>0</v>
      </c>
      <c r="AS80" s="123" t="str">
        <f>IFERROR(__xludf.DUMMYFUNCTION("iferror(join("","",index(sort(filter($F81:$F$395,$O81:$O$395&gt;$O80,arrayformula(isnumber(FIND($E81:$E$395,AM80)))),2,false),0,1)))"),"South Alabama,Ole Miss,Arkansas State,Texas State,Ball State,Florida,Buffalo,UNLV,Georgia Southern,Tennessee,Ohio,Old Dominion,Mississippi State,LSU,Auburn,Bowling Green,South Carolina,New Mexico State,UL Monroe,Missouri")</f>
        <v>South Alabama,Ole Miss,Arkansas State,Texas State,Ball State,Florida,Buffalo,UNLV,Georgia Southern,Tennessee,Ohio,Old Dominion,Mississippi State,LSU,Auburn,Bowling Green,South Carolina,New Mexico State,UL Monroe,Missouri</v>
      </c>
    </row>
    <row r="81">
      <c r="A81" s="26">
        <v>80.0</v>
      </c>
      <c r="B81" s="26">
        <v>7.0</v>
      </c>
      <c r="C81" s="26">
        <v>2.0</v>
      </c>
      <c r="D81" s="132" t="s">
        <v>131</v>
      </c>
      <c r="E81" s="133" t="str">
        <f>if(F81&lt;&gt;"",VLOOKUP(F81,offset('Teams-Conference'!A:B,0,(counta('Draft Order'!B$2:B132)-10)*2),2,0),"")</f>
        <v>AAC</v>
      </c>
      <c r="F81" s="134" t="s">
        <v>210</v>
      </c>
      <c r="G81" s="135" t="str">
        <f t="shared" si="16"/>
        <v/>
      </c>
      <c r="H81" s="122">
        <f t="shared" si="2"/>
        <v>0</v>
      </c>
      <c r="I81" s="122">
        <f t="shared" si="3"/>
        <v>0</v>
      </c>
      <c r="J81" s="122">
        <f t="shared" si="11"/>
        <v>0</v>
      </c>
      <c r="K81" s="122">
        <f t="shared" si="23"/>
        <v>1</v>
      </c>
      <c r="L81" s="122">
        <v>1.0</v>
      </c>
      <c r="M81" s="122">
        <f>IFERROR(__xludf.DUMMYFUNCTION("counta(iferror(filter(L$2:L80,E$2:E80=E81,L$2:L80&lt;L81)))"),0.0)</f>
        <v>0</v>
      </c>
      <c r="N81" s="122">
        <f>IFERROR(__xludf.DUMMYFUNCTION("counta(iferror(filter(L82:L$131,E82:E$131=E81,L82:L$134&gt;L81)))"),0.0)</f>
        <v>0</v>
      </c>
      <c r="O81" s="124">
        <f t="array" ref="O81:Z81">XLOOKUP(F81,'Current Week'!C:C,'Current Week'!D:O)</f>
        <v>1</v>
      </c>
      <c r="P81" s="122">
        <v>11.0</v>
      </c>
      <c r="Q81" s="123" t="s">
        <v>211</v>
      </c>
      <c r="R81" s="123" t="s">
        <v>57</v>
      </c>
      <c r="S81" s="123" t="s">
        <v>148</v>
      </c>
      <c r="T81" s="123" t="s">
        <v>105</v>
      </c>
      <c r="U81" s="123"/>
      <c r="V81" s="123"/>
      <c r="W81" s="123"/>
      <c r="X81" s="123"/>
      <c r="Y81" s="126"/>
      <c r="Z81" s="126"/>
      <c r="AA81" s="127">
        <f t="shared" si="4"/>
        <v>-9</v>
      </c>
      <c r="AB81" s="126">
        <f t="shared" si="5"/>
        <v>0</v>
      </c>
      <c r="AC81" s="126">
        <f>IFERROR(__xludf.DUMMYFUNCTION("iferror(COUNT(filter($O82:$O$395,$O82:$O$395&gt;$O81)))"),48.0)</f>
        <v>48</v>
      </c>
      <c r="AD81" s="128">
        <f t="shared" si="6"/>
        <v>0</v>
      </c>
      <c r="AE81" s="129">
        <f t="shared" si="7"/>
        <v>0</v>
      </c>
      <c r="AF81" s="123" t="str">
        <f>IFERROR(__xludf.DUMMYFUNCTION("iferror(join("","",index(sort(filter($F82:$F$396,$O82:$O$396&gt;$O81),2,false),0,1)))"),"Minnesota,Boston College,South Alabama,Louisville,Arizona State,West Virginia,California,Iowa,Purdue,Ole Miss,UTEP,Arkansas State,Maryland,Texas State,Ball State,Louisiana Tech,Florida,Buffalo,Charlotte,Syracuse,UNLV,Georgia Southern,Tennessee,Ohio,Old Do"&amp;"minion,Kansas,Mississippi State,Florida Intl,Stanford,Rutgers,LSU,Illinois,Auburn,Rice,Bowling Green,Arizona,South Carolina,Temple,Georgia Tech,Indiana,New Mexico State,Akron,Vanderbilt,UConn,New Mexico,UL Monroe,Missouri,Duke")</f>
        <v>Minnesota,Boston College,South Alabama,Louisville,Arizona State,West Virginia,California,Iowa,Purdue,Ole Miss,UTEP,Arkansas State,Maryland,Texas State,Ball State,Louisiana Tech,Florida,Buffalo,Charlotte,Syracuse,UNLV,Georgia Southern,Tennessee,Ohio,Old Dominion,Kansas,Mississippi State,Florida Intl,Stanford,Rutgers,LSU,Illinois,Auburn,Rice,Bowling Green,Arizona,South Carolina,Temple,Georgia Tech,Indiana,New Mexico State,Akron,Vanderbilt,UConn,New Mexico,UL Monroe,Missouri,Duke</v>
      </c>
      <c r="AG81" s="127">
        <f>IFERROR(__xludf.DUMMYFUNCTION("iferror($O81-max(filter($O81:$O$395,$E81:$E$395=$E$2)))"),-7.0)</f>
        <v>-7</v>
      </c>
      <c r="AH81" s="126">
        <f t="shared" si="8"/>
        <v>0</v>
      </c>
      <c r="AI81" s="126">
        <f>IFERROR(__xludf.DUMMYFUNCTION("iferror(COUNT(filter($O82:$O$395,$O82:$O$395&gt;$O81,$E81:$E$395=$E$2)))"),0.0)</f>
        <v>0</v>
      </c>
      <c r="AJ81" s="128">
        <f t="shared" si="9"/>
        <v>0</v>
      </c>
      <c r="AK81" s="129">
        <f>IFERROR(__xludf.DUMMYFUNCTION("iferror($O81-min(filter($O81:$O$395,$E81:$E$395=$E$2)))"),0.0)</f>
        <v>0</v>
      </c>
      <c r="AL81" s="123" t="str">
        <f>IFERROR(__xludf.DUMMYFUNCTION("iferror(join("","",index(sort(filter($F82:$F$395,$O82:$O$395&gt;$O81,$E82:$E$395=$E$2),2,false),0,1)))"),"Minnesota,Iowa,Purdue,Maryland,Illinois,Indiana")</f>
        <v>Minnesota,Iowa,Purdue,Maryland,Illinois,Indiana</v>
      </c>
      <c r="AM81" s="123" t="str">
        <f>IFERROR(__xludf.DUMMYFUNCTION("REGEXREPLACE(join("","",unique({let(conf_picked,filter(E$1:E80,D$1:D80=D81), byrow(unique(TRANSPOSe(Teams!$1:$1)),lambda(rw,if(ISERROR(match(rw,conf_picked,0)),rw,))));iferror(if(#REF!,,transpose(split(#REF!,"","",1,1))))})), ""^,"", """")"),"AAC,,Big 12,SEC,Sun Belt")</f>
        <v>AAC,,Big 12,SEC,Sun Belt</v>
      </c>
      <c r="AN81" s="127">
        <f>IFERROR(__xludf.DUMMYFUNCTION("iferror($O81-max(filter($O81:$O$395,arrayformula(isnumber(FIND($E81:$E$395,AM81))))))"),-9.0)</f>
        <v>-9</v>
      </c>
      <c r="AO81" s="126">
        <f t="array" ref="AO81">countifs($O$2:$O80,"&lt;"&amp;$O81,isnumber(FIND($E$2:$E80,AM81)),TRUE)</f>
        <v>0</v>
      </c>
      <c r="AP81" s="126">
        <f>IFERROR(__xludf.DUMMYFUNCTION("iferror(COUNT(filter($O82:$O$395,$O82:$O$395&gt;$O81,arrayformula(isnumber(FIND($E82:$E$395,AM81))))))"),19.0)</f>
        <v>19</v>
      </c>
      <c r="AQ81" s="128">
        <f t="shared" si="10"/>
        <v>0</v>
      </c>
      <c r="AR81" s="129">
        <f>IFERROR(__xludf.DUMMYFUNCTION("$O81-min(filter($O81:$O$395,arrayformula(isnumber(FIND($E81:$E$395,AM81)))))"),0.0)</f>
        <v>0</v>
      </c>
      <c r="AS81" s="123" t="str">
        <f>IFERROR(__xludf.DUMMYFUNCTION("iferror(join("","",index(sort(filter($F82:$F$395,$O82:$O$395&gt;$O81,arrayformula(isnumber(FIND($E82:$E$395,AM81)))),2,false),0,1)))"),"South Alabama,West Virginia,Ole Miss,Arkansas State,Texas State,Florida,Georgia Southern,Tennessee,Old Dominion,Kansas,Mississippi State,LSU,Auburn,South Carolina,Temple,Vanderbilt,UConn,UL Monroe,Missouri")</f>
        <v>South Alabama,West Virginia,Ole Miss,Arkansas State,Texas State,Florida,Georgia Southern,Tennessee,Old Dominion,Kansas,Mississippi State,LSU,Auburn,South Carolina,Temple,Vanderbilt,UConn,UL Monroe,Missouri</v>
      </c>
    </row>
    <row r="82">
      <c r="A82" s="26">
        <v>81.0</v>
      </c>
      <c r="B82" s="26">
        <v>7.0</v>
      </c>
      <c r="C82" s="26">
        <v>3.0</v>
      </c>
      <c r="D82" s="137" t="s">
        <v>178</v>
      </c>
      <c r="E82" s="133" t="str">
        <f>if(F82&lt;&gt;"",VLOOKUP(F82,offset('Teams-Conference'!A:B,0,(counta('Draft Order'!B$2:B132)-10)*2),2,0),"")</f>
        <v>Big Ten</v>
      </c>
      <c r="F82" s="138" t="s">
        <v>240</v>
      </c>
      <c r="G82" s="135" t="str">
        <f t="shared" si="16"/>
        <v/>
      </c>
      <c r="H82" s="122">
        <f t="shared" si="2"/>
        <v>2</v>
      </c>
      <c r="I82" s="122">
        <f t="shared" si="3"/>
        <v>3</v>
      </c>
      <c r="J82" s="122">
        <f t="shared" si="11"/>
        <v>1</v>
      </c>
      <c r="K82" s="122">
        <f t="shared" si="23"/>
        <v>2</v>
      </c>
      <c r="L82" s="122">
        <v>8.0</v>
      </c>
      <c r="M82" s="122">
        <f>IFERROR(__xludf.DUMMYFUNCTION("counta(iferror(filter(L$2:L81,E$2:E81=E82,L$2:L81&lt;L82)))"),3.0)</f>
        <v>3</v>
      </c>
      <c r="N82" s="122">
        <f>IFERROR(__xludf.DUMMYFUNCTION("counta(iferror(filter(L83:L$131,E83:E$131=E82,L83:L$134&gt;L82)))"),0.0)</f>
        <v>0</v>
      </c>
      <c r="O82" s="124">
        <f t="array" ref="O82:Z82">XLOOKUP(F82,'Current Week'!C:C,'Current Week'!D:O)</f>
        <v>8</v>
      </c>
      <c r="P82" s="122">
        <v>4.0</v>
      </c>
      <c r="Q82" s="123" t="s">
        <v>198</v>
      </c>
      <c r="R82" s="123" t="s">
        <v>57</v>
      </c>
      <c r="S82" s="123" t="s">
        <v>131</v>
      </c>
      <c r="T82" s="123" t="s">
        <v>82</v>
      </c>
      <c r="U82" s="123"/>
      <c r="V82" s="123"/>
      <c r="W82" s="123"/>
      <c r="X82" s="123"/>
      <c r="Y82" s="126"/>
      <c r="Z82" s="126"/>
      <c r="AA82" s="127">
        <f t="shared" si="4"/>
        <v>-2</v>
      </c>
      <c r="AB82" s="126">
        <f t="shared" si="5"/>
        <v>46</v>
      </c>
      <c r="AC82" s="126">
        <f>IFERROR(__xludf.DUMMYFUNCTION("iferror(COUNT(filter($O83:$O$395,$O83:$O$395&gt;$O82)))"),4.0)</f>
        <v>4</v>
      </c>
      <c r="AD82" s="128">
        <f t="shared" si="6"/>
        <v>0</v>
      </c>
      <c r="AE82" s="129">
        <f t="shared" si="7"/>
        <v>7</v>
      </c>
      <c r="AF82" s="123" t="str">
        <f>IFERROR(__xludf.DUMMYFUNCTION("iferror(join("","",index(sort(filter($F83:$F$396,$O83:$O$396&gt;$O82),2,false),0,1)))"),"South Alabama,Tennessee,Ohio,LSU")</f>
        <v>South Alabama,Tennessee,Ohio,LSU</v>
      </c>
      <c r="AG82" s="127">
        <f>IFERROR(__xludf.DUMMYFUNCTION("iferror($O82-max(filter($O82:$O$395,$E82:$E$395=$E$2)))"),0.0)</f>
        <v>0</v>
      </c>
      <c r="AH82" s="126">
        <f t="shared" si="8"/>
        <v>3</v>
      </c>
      <c r="AI82" s="126">
        <f>IFERROR(__xludf.DUMMYFUNCTION("iferror(COUNT(filter($O83:$O$395,$O83:$O$395&gt;$O82,$E82:$E$395=$E$2)))"),0.0)</f>
        <v>0</v>
      </c>
      <c r="AJ82" s="128">
        <f t="shared" si="9"/>
        <v>1</v>
      </c>
      <c r="AK82" s="129">
        <f>IFERROR(__xludf.DUMMYFUNCTION("iferror($O82-min(filter($O82:$O$395,$E82:$E$395=$E$2)))"),7.0)</f>
        <v>7</v>
      </c>
      <c r="AL82" s="123" t="str">
        <f>IFERROR(__xludf.DUMMYFUNCTION("iferror(join("","",index(sort(filter($F83:$F$395,$O83:$O$395&gt;$O82,$E83:$E$395=$E$2),2,false),0,1)))"),"")</f>
        <v/>
      </c>
      <c r="AM82" s="123" t="str">
        <f>IFERROR(__xludf.DUMMYFUNCTION("REGEXREPLACE(join("","",unique({let(conf_picked,filter(E$1:E81,D$1:D81=D82), byrow(unique(TRANSPOSe(Teams!$1:$1)),lambda(rw,if(ISERROR(match(rw,conf_picked,0)),rw,))));iferror(if(#REF!,,transpose(split(#REF!,"","",1,1))))})), ""^,"", """")"),"Big Ten,MWC,SEC,Sun Belt")</f>
        <v>Big Ten,MWC,SEC,Sun Belt</v>
      </c>
      <c r="AN82" s="127">
        <f>IFERROR(__xludf.DUMMYFUNCTION("iferror($O82-max(filter($O82:$O$395,arrayformula(isnumber(FIND($E82:$E$395,AM82))))))"),-2.0)</f>
        <v>-2</v>
      </c>
      <c r="AO82" s="126">
        <f t="array" ref="AO82">countifs($O$2:$O81,"&lt;"&amp;$O82,isnumber(FIND($E$2:$E81,AM82)),TRUE)</f>
        <v>16</v>
      </c>
      <c r="AP82" s="126">
        <f>IFERROR(__xludf.DUMMYFUNCTION("iferror(COUNT(filter($O83:$O$395,$O83:$O$395&gt;$O82,arrayformula(isnumber(FIND($E83:$E$395,AM82))))))"),3.0)</f>
        <v>3</v>
      </c>
      <c r="AQ82" s="128">
        <f t="shared" si="10"/>
        <v>0</v>
      </c>
      <c r="AR82" s="129">
        <f>IFERROR(__xludf.DUMMYFUNCTION("$O82-min(filter($O82:$O$395,arrayformula(isnumber(FIND($E82:$E$395,AM82)))))"),7.0)</f>
        <v>7</v>
      </c>
      <c r="AS82" s="123" t="str">
        <f>IFERROR(__xludf.DUMMYFUNCTION("iferror(join("","",index(sort(filter($F83:$F$395,$O83:$O$395&gt;$O82,arrayformula(isnumber(FIND($E83:$E$395,AM82)))),2,false),0,1)))"),"South Alabama,Tennessee,LSU")</f>
        <v>South Alabama,Tennessee,LSU</v>
      </c>
    </row>
    <row r="83">
      <c r="A83" s="26">
        <v>82.0</v>
      </c>
      <c r="B83" s="26">
        <v>7.0</v>
      </c>
      <c r="C83" s="26">
        <v>4.0</v>
      </c>
      <c r="D83" s="132" t="s">
        <v>59</v>
      </c>
      <c r="E83" s="133" t="str">
        <f>if(F83&lt;&gt;"",VLOOKUP(F83,offset('Teams-Conference'!A:B,0,(counta('Draft Order'!B$2:B132)-10)*2),2,0),"")</f>
        <v>ACC</v>
      </c>
      <c r="F83" s="134" t="s">
        <v>289</v>
      </c>
      <c r="G83" s="135" t="str">
        <f t="shared" si="16"/>
        <v/>
      </c>
      <c r="H83" s="122">
        <f t="shared" si="2"/>
        <v>1</v>
      </c>
      <c r="I83" s="122">
        <f t="shared" si="3"/>
        <v>2</v>
      </c>
      <c r="J83" s="122">
        <f t="shared" si="11"/>
        <v>0</v>
      </c>
      <c r="K83" s="122">
        <f t="shared" si="23"/>
        <v>1</v>
      </c>
      <c r="L83" s="122">
        <v>3.0</v>
      </c>
      <c r="M83" s="122">
        <f>IFERROR(__xludf.DUMMYFUNCTION("counta(iferror(filter(L$2:L82,E$2:E82=E83,L$2:L82&lt;L83)))"),0.0)</f>
        <v>0</v>
      </c>
      <c r="N83" s="122">
        <f>IFERROR(__xludf.DUMMYFUNCTION("counta(iferror(filter(L84:L$131,E84:E$131=E83,L84:L$134&gt;L83)))"),0.0)</f>
        <v>0</v>
      </c>
      <c r="O83" s="124">
        <f t="array" ref="O83:Z83">XLOOKUP(F83,'Current Week'!C:C,'Current Week'!D:O)</f>
        <v>3</v>
      </c>
      <c r="P83" s="122">
        <v>9.0</v>
      </c>
      <c r="Q83" s="123" t="s">
        <v>290</v>
      </c>
      <c r="R83" s="123" t="s">
        <v>57</v>
      </c>
      <c r="S83" s="123" t="s">
        <v>138</v>
      </c>
      <c r="T83" s="123" t="s">
        <v>115</v>
      </c>
      <c r="U83" s="123"/>
      <c r="V83" s="123"/>
      <c r="W83" s="123"/>
      <c r="X83" s="123"/>
      <c r="Y83" s="126"/>
      <c r="Z83" s="126"/>
      <c r="AA83" s="127">
        <f t="shared" si="4"/>
        <v>-7</v>
      </c>
      <c r="AB83" s="126">
        <f t="shared" si="5"/>
        <v>2</v>
      </c>
      <c r="AC83" s="126">
        <f>IFERROR(__xludf.DUMMYFUNCTION("iferror(COUNT(filter($O84:$O$395,$O84:$O$395&gt;$O83)))"),37.0)</f>
        <v>37</v>
      </c>
      <c r="AD83" s="128">
        <f t="shared" si="6"/>
        <v>0</v>
      </c>
      <c r="AE83" s="129">
        <f t="shared" si="7"/>
        <v>2</v>
      </c>
      <c r="AF83" s="123" t="str">
        <f>IFERROR(__xludf.DUMMYFUNCTION("iferror(join("","",index(sort(filter($F84:$F$396,$O84:$O$396&gt;$O83),2,false),0,1)))"),"South Alabama,Louisville,West Virginia,California,Iowa,Purdue,Ole Miss,UTEP,Maryland,Texas State,Ball State,Florida,Buffalo,Syracuse,UNLV,Georgia Southern,Tennessee,Ohio,Kansas,Mississippi State,Florida Intl,Rutgers,LSU,Illinois,Auburn,Rice,Bowling Green,"&amp;"Arizona,South Carolina,Georgia Tech,Indiana,New Mexico State,Vanderbilt,UConn,UL Monroe,Missouri,Duke")</f>
        <v>South Alabama,Louisville,West Virginia,California,Iowa,Purdue,Ole Miss,UTEP,Maryland,Texas State,Ball State,Florida,Buffalo,Syracuse,UNLV,Georgia Southern,Tennessee,Ohio,Kansas,Mississippi State,Florida Intl,Rutgers,LSU,Illinois,Auburn,Rice,Bowling Green,Arizona,South Carolina,Georgia Tech,Indiana,New Mexico State,Vanderbilt,UConn,UL Monroe,Missouri,Duke</v>
      </c>
      <c r="AG83" s="127">
        <f>IFERROR(__xludf.DUMMYFUNCTION("iferror($O83-max(filter($O83:$O$395,$E83:$E$395=$E$2)))"),-5.0)</f>
        <v>-5</v>
      </c>
      <c r="AH83" s="126">
        <f t="shared" si="8"/>
        <v>0</v>
      </c>
      <c r="AI83" s="126">
        <f>IFERROR(__xludf.DUMMYFUNCTION("iferror(COUNT(filter($O84:$O$395,$O84:$O$395&gt;$O83,$E83:$E$395=$E$2)))"),0.0)</f>
        <v>0</v>
      </c>
      <c r="AJ83" s="128">
        <f t="shared" si="9"/>
        <v>0</v>
      </c>
      <c r="AK83" s="129">
        <f>IFERROR(__xludf.DUMMYFUNCTION("iferror($O83-min(filter($O83:$O$395,$E83:$E$395=$E$2)))"),2.0)</f>
        <v>2</v>
      </c>
      <c r="AL83" s="123" t="str">
        <f>IFERROR(__xludf.DUMMYFUNCTION("iferror(join("","",index(sort(filter($F84:$F$395,$O84:$O$395&gt;$O83,$E84:$E$395=$E$2),2,false),0,1)))"),"Iowa,Purdue,Maryland,Illinois,Indiana")</f>
        <v>Iowa,Purdue,Maryland,Illinois,Indiana</v>
      </c>
      <c r="AM83" s="123" t="str">
        <f>IFERROR(__xludf.DUMMYFUNCTION("REGEXREPLACE(join("","",unique({let(conf_picked,filter(E$1:E82,D$1:D82=D83), byrow(unique(TRANSPOSe(Teams!$1:$1)),lambda(rw,if(ISERROR(match(rw,conf_picked,0)),rw,))));iferror(if(#REF!,,transpose(split(#REF!,"","",1,1))))})), ""^,"", """")"),"AAC,ACC,,CUSA,MWC")</f>
        <v>AAC,ACC,,CUSA,MWC</v>
      </c>
      <c r="AN83" s="127">
        <f>IFERROR(__xludf.DUMMYFUNCTION("iferror($O83-max(filter($O83:$O$395,arrayformula(isnumber(FIND($E83:$E$395,AM83))))))"),-5.0)</f>
        <v>-5</v>
      </c>
      <c r="AO83" s="126">
        <f t="array" ref="AO83">countifs($O$2:$O82,"&lt;"&amp;$O83,isnumber(FIND($E$2:$E82,AM83)),TRUE)</f>
        <v>2</v>
      </c>
      <c r="AP83" s="126">
        <f>IFERROR(__xludf.DUMMYFUNCTION("iferror(COUNT(filter($O84:$O$395,$O84:$O$395&gt;$O83,arrayformula(isnumber(FIND($E84:$E$395,AM83))))))"),10.0)</f>
        <v>10</v>
      </c>
      <c r="AQ83" s="128">
        <f t="shared" si="10"/>
        <v>0</v>
      </c>
      <c r="AR83" s="129">
        <f>IFERROR(__xludf.DUMMYFUNCTION("$O83-min(filter($O83:$O$395,arrayformula(isnumber(FIND($E83:$E$395,AM83)))))"),2.0)</f>
        <v>2</v>
      </c>
      <c r="AS83" s="123" t="str">
        <f>IFERROR(__xludf.DUMMYFUNCTION("iferror(join("","",index(sort(filter($F84:$F$395,$O84:$O$395&gt;$O83,arrayformula(isnumber(FIND($E84:$E$395,AM83)))),2,false),0,1)))"),"Louisville,UTEP,Syracuse,UNLV,Florida Intl,Rice,Georgia Tech,New Mexico State,UConn,Duke")</f>
        <v>Louisville,UTEP,Syracuse,UNLV,Florida Intl,Rice,Georgia Tech,New Mexico State,UConn,Duke</v>
      </c>
    </row>
    <row r="84">
      <c r="A84" s="26">
        <v>83.0</v>
      </c>
      <c r="B84" s="26">
        <v>7.0</v>
      </c>
      <c r="C84" s="26">
        <v>5.0</v>
      </c>
      <c r="D84" s="132" t="s">
        <v>138</v>
      </c>
      <c r="E84" s="133" t="str">
        <f>if(F84&lt;&gt;"",VLOOKUP(F84,offset('Teams-Conference'!A:B,0,(counta('Draft Order'!B$2:B132)-10)*2),2,0),"")</f>
        <v>Sun Belt</v>
      </c>
      <c r="F84" s="143" t="s">
        <v>302</v>
      </c>
      <c r="G84" s="135" t="str">
        <f t="shared" si="16"/>
        <v/>
      </c>
      <c r="H84" s="122">
        <f t="shared" si="2"/>
        <v>1</v>
      </c>
      <c r="I84" s="122">
        <f t="shared" si="3"/>
        <v>4</v>
      </c>
      <c r="J84" s="122">
        <f t="shared" si="11"/>
        <v>0</v>
      </c>
      <c r="K84" s="122">
        <f t="shared" si="23"/>
        <v>3</v>
      </c>
      <c r="L84" s="122">
        <v>10.0</v>
      </c>
      <c r="M84" s="122">
        <f>IFERROR(__xludf.DUMMYFUNCTION("counta(iferror(filter(L$2:L83,E$2:E83=E84,L$2:L83&lt;L84)))"),6.0)</f>
        <v>6</v>
      </c>
      <c r="N84" s="122">
        <f>IFERROR(__xludf.DUMMYFUNCTION("counta(iferror(filter(L85:L$131,E85:E$131=E84,L85:L$134&gt;L84)))"),0.0)</f>
        <v>0</v>
      </c>
      <c r="O84" s="124">
        <f t="array" ref="O84:Z84">XLOOKUP(F84,'Current Week'!C:C,'Current Week'!D:O)</f>
        <v>10</v>
      </c>
      <c r="P84" s="122">
        <v>2.0</v>
      </c>
      <c r="Q84" s="123" t="s">
        <v>171</v>
      </c>
      <c r="R84" s="123" t="s">
        <v>57</v>
      </c>
      <c r="S84" s="123" t="s">
        <v>53</v>
      </c>
      <c r="T84" s="123"/>
      <c r="U84" s="123"/>
      <c r="V84" s="123"/>
      <c r="W84" s="123"/>
      <c r="X84" s="123"/>
      <c r="Y84" s="126"/>
      <c r="Z84" s="126"/>
      <c r="AA84" s="127">
        <f t="shared" si="4"/>
        <v>0</v>
      </c>
      <c r="AB84" s="126">
        <f t="shared" si="5"/>
        <v>70</v>
      </c>
      <c r="AC84" s="126">
        <f>IFERROR(__xludf.DUMMYFUNCTION("iferror(COUNT(filter($O85:$O$395,$O85:$O$395&gt;$O84)))"),0.0)</f>
        <v>0</v>
      </c>
      <c r="AD84" s="128">
        <f t="shared" si="6"/>
        <v>1</v>
      </c>
      <c r="AE84" s="129">
        <f t="shared" si="7"/>
        <v>9</v>
      </c>
      <c r="AF84" s="123" t="str">
        <f>IFERROR(__xludf.DUMMYFUNCTION("iferror(join("","",index(sort(filter($F85:$F$396,$O85:$O$396&gt;$O84),2,false),0,1)))"),"")</f>
        <v/>
      </c>
      <c r="AG84" s="127">
        <f>IFERROR(__xludf.DUMMYFUNCTION("iferror($O84-max(filter($O84:$O$395,$E84:$E$395=$E$2)))"),2.0)</f>
        <v>2</v>
      </c>
      <c r="AH84" s="126">
        <f t="shared" si="8"/>
        <v>4</v>
      </c>
      <c r="AI84" s="126">
        <f>IFERROR(__xludf.DUMMYFUNCTION("iferror(COUNT(filter($O85:$O$395,$O85:$O$395&gt;$O84,$E84:$E$395=$E$2)))"),0.0)</f>
        <v>0</v>
      </c>
      <c r="AJ84" s="128">
        <f t="shared" si="9"/>
        <v>0</v>
      </c>
      <c r="AK84" s="129">
        <f>IFERROR(__xludf.DUMMYFUNCTION("iferror($O84-min(filter($O84:$O$395,$E84:$E$395=$E$2)))"),9.0)</f>
        <v>9</v>
      </c>
      <c r="AL84" s="123" t="str">
        <f>IFERROR(__xludf.DUMMYFUNCTION("iferror(join("","",index(sort(filter($F85:$F$395,$O85:$O$395&gt;$O84,$E85:$E$395=$E$2),2,false),0,1)))"),"")</f>
        <v/>
      </c>
      <c r="AM84" s="123" t="str">
        <f>IFERROR(__xludf.DUMMYFUNCTION("REGEXREPLACE(join("","",unique({let(conf_picked,filter(E$1:E83,D$1:D83=D84), byrow(unique(TRANSPOSe(Teams!$1:$1)),lambda(rw,if(ISERROR(match(rw,conf_picked,0)),rw,))));iferror(if(#REF!,,transpose(split(#REF!,"","",1,1))))})), ""^,"", """")"),"ACC,Big 12,Pac12,Sun Belt")</f>
        <v>ACC,Big 12,Pac12,Sun Belt</v>
      </c>
      <c r="AN84" s="127">
        <f>IFERROR(__xludf.DUMMYFUNCTION("iferror($O84-max(filter($O84:$O$395,arrayformula(isnumber(FIND($E84:$E$395,AM84))))))"),0.0)</f>
        <v>0</v>
      </c>
      <c r="AO84" s="126">
        <f t="array" ref="AO84">countifs($O$2:$O83,"&lt;"&amp;$O84,isnumber(FIND($E$2:$E83,AM84)),TRUE)</f>
        <v>29</v>
      </c>
      <c r="AP84" s="126">
        <f>IFERROR(__xludf.DUMMYFUNCTION("iferror(COUNT(filter($O85:$O$395,$O85:$O$395&gt;$O84,arrayformula(isnumber(FIND($E85:$E$395,AM84))))))"),0.0)</f>
        <v>0</v>
      </c>
      <c r="AQ84" s="128">
        <f t="shared" si="10"/>
        <v>1</v>
      </c>
      <c r="AR84" s="129">
        <f>IFERROR(__xludf.DUMMYFUNCTION("$O84-min(filter($O84:$O$395,arrayformula(isnumber(FIND($E84:$E$395,AM84)))))"),9.0)</f>
        <v>9</v>
      </c>
      <c r="AS84" s="123" t="str">
        <f>IFERROR(__xludf.DUMMYFUNCTION("iferror(join("","",index(sort(filter($F85:$F$395,$O85:$O$395&gt;$O84,arrayformula(isnumber(FIND($E85:$E$395,AM84)))),2,false),0,1)))"),"")</f>
        <v/>
      </c>
    </row>
    <row r="85">
      <c r="A85" s="26">
        <v>84.0</v>
      </c>
      <c r="B85" s="26">
        <v>7.0</v>
      </c>
      <c r="C85" s="26">
        <v>6.0</v>
      </c>
      <c r="D85" s="132" t="s">
        <v>141</v>
      </c>
      <c r="E85" s="133" t="str">
        <f>if(F85&lt;&gt;"",VLOOKUP(F85,offset('Teams-Conference'!A:B,0,(counta('Draft Order'!B$2:B132)-10)*2),2,0),"")</f>
        <v>ACC</v>
      </c>
      <c r="F85" s="134" t="s">
        <v>353</v>
      </c>
      <c r="G85" s="135" t="str">
        <f t="shared" si="16"/>
        <v/>
      </c>
      <c r="H85" s="122">
        <f t="shared" si="2"/>
        <v>0</v>
      </c>
      <c r="I85" s="122">
        <f t="shared" si="3"/>
        <v>1</v>
      </c>
      <c r="J85" s="122">
        <f t="shared" si="11"/>
        <v>1</v>
      </c>
      <c r="K85" s="122">
        <f t="shared" si="23"/>
        <v>1</v>
      </c>
      <c r="L85" s="122">
        <v>7.0</v>
      </c>
      <c r="M85" s="122">
        <f>IFERROR(__xludf.DUMMYFUNCTION("counta(iferror(filter(L$2:L84,E$2:E84=E85,L$2:L84&lt;L85)))"),4.0)</f>
        <v>4</v>
      </c>
      <c r="N85" s="122">
        <f>IFERROR(__xludf.DUMMYFUNCTION("counta(iferror(filter(L86:L$131,E86:E$131=E85,L86:L$134&gt;L85)))"),0.0)</f>
        <v>0</v>
      </c>
      <c r="O85" s="124">
        <f t="array" ref="O85:Z85">XLOOKUP(F85,'Current Week'!C:C,'Current Week'!D:O)</f>
        <v>7</v>
      </c>
      <c r="P85" s="122">
        <v>5.0</v>
      </c>
      <c r="Q85" s="123" t="s">
        <v>376</v>
      </c>
      <c r="R85" s="123" t="s">
        <v>57</v>
      </c>
      <c r="S85" s="123" t="s">
        <v>59</v>
      </c>
      <c r="T85" s="123"/>
      <c r="U85" s="123"/>
      <c r="V85" s="123"/>
      <c r="W85" s="123"/>
      <c r="X85" s="123"/>
      <c r="Y85" s="126"/>
      <c r="Z85" s="126"/>
      <c r="AA85" s="127">
        <f t="shared" si="4"/>
        <v>-3</v>
      </c>
      <c r="AB85" s="126">
        <f t="shared" si="5"/>
        <v>32</v>
      </c>
      <c r="AC85" s="126">
        <f>IFERROR(__xludf.DUMMYFUNCTION("iferror(COUNT(filter($O86:$O$395,$O86:$O$395&gt;$O85)))"),9.0)</f>
        <v>9</v>
      </c>
      <c r="AD85" s="128">
        <f t="shared" si="6"/>
        <v>0</v>
      </c>
      <c r="AE85" s="129">
        <f t="shared" si="7"/>
        <v>6</v>
      </c>
      <c r="AF85" s="123" t="str">
        <f>IFERROR(__xludf.DUMMYFUNCTION("iferror(join("","",index(sort(filter($F86:$F$396,$O86:$O$396&gt;$O85),2,false),0,1)))"),"Purdue,Ole Miss,Tennessee,Ohio,Mississippi State,LSU,Illinois,South Carolina,Duke")</f>
        <v>Purdue,Ole Miss,Tennessee,Ohio,Mississippi State,LSU,Illinois,South Carolina,Duke</v>
      </c>
      <c r="AG85" s="127">
        <f>IFERROR(__xludf.DUMMYFUNCTION("iferror($O85-max(filter($O85:$O$395,$E85:$E$395=$E$2)))"),-1.0)</f>
        <v>-1</v>
      </c>
      <c r="AH85" s="126">
        <f t="shared" si="8"/>
        <v>3</v>
      </c>
      <c r="AI85" s="126">
        <f>IFERROR(__xludf.DUMMYFUNCTION("iferror(COUNT(filter($O86:$O$395,$O86:$O$395&gt;$O85,$E85:$E$395=$E$2)))"),0.0)</f>
        <v>0</v>
      </c>
      <c r="AJ85" s="128">
        <f t="shared" si="9"/>
        <v>0</v>
      </c>
      <c r="AK85" s="129">
        <f>IFERROR(__xludf.DUMMYFUNCTION("iferror($O85-min(filter($O85:$O$395,$E85:$E$395=$E$2)))"),6.0)</f>
        <v>6</v>
      </c>
      <c r="AL85" s="123" t="str">
        <f>IFERROR(__xludf.DUMMYFUNCTION("iferror(join("","",index(sort(filter($F86:$F$395,$O86:$O$395&gt;$O85,$E86:$E$395=$E$2),2,false),0,1)))"),"Purdue,Illinois")</f>
        <v>Purdue,Illinois</v>
      </c>
      <c r="AM85" s="123" t="str">
        <f>IFERROR(__xludf.DUMMYFUNCTION("REGEXREPLACE(join("","",unique({let(conf_picked,filter(E$1:E84,D$1:D84=D85), byrow(unique(TRANSPOSe(Teams!$1:$1)),lambda(rw,if(ISERROR(match(rw,conf_picked,0)),rw,))));iferror(if(#REF!,,transpose(split(#REF!,"","",1,1))))})), ""^,"", """")"),"ACC,Pac12,CUSA,MAC")</f>
        <v>ACC,Pac12,CUSA,MAC</v>
      </c>
      <c r="AN85" s="127">
        <f>IFERROR(__xludf.DUMMYFUNCTION("iferror($O85-max(filter($O85:$O$395,arrayformula(isnumber(FIND($E85:$E$395,AM85))))))"),-2.0)</f>
        <v>-2</v>
      </c>
      <c r="AO85" s="126">
        <f t="array" ref="AO85">countifs($O$2:$O84,"&lt;"&amp;$O85,isnumber(FIND($E$2:$E84,AM85)),TRUE)</f>
        <v>12</v>
      </c>
      <c r="AP85" s="126">
        <f>IFERROR(__xludf.DUMMYFUNCTION("iferror(COUNT(filter($O86:$O$395,$O86:$O$395&gt;$O85,arrayformula(isnumber(FIND($E86:$E$395,AM85))))))"),2.0)</f>
        <v>2</v>
      </c>
      <c r="AQ85" s="128">
        <f t="shared" si="10"/>
        <v>0</v>
      </c>
      <c r="AR85" s="129">
        <f>IFERROR(__xludf.DUMMYFUNCTION("$O85-min(filter($O85:$O$395,arrayformula(isnumber(FIND($E85:$E$395,AM85)))))"),6.0)</f>
        <v>6</v>
      </c>
      <c r="AS85" s="123" t="str">
        <f>IFERROR(__xludf.DUMMYFUNCTION("iferror(join("","",index(sort(filter($F86:$F$395,$O86:$O$395&gt;$O85,arrayformula(isnumber(FIND($E86:$E$395,AM85)))),2,false),0,1)))"),"Ohio,Duke")</f>
        <v>Ohio,Duke</v>
      </c>
    </row>
    <row r="86">
      <c r="A86" s="26">
        <v>85.0</v>
      </c>
      <c r="B86" s="26">
        <v>7.0</v>
      </c>
      <c r="C86" s="26">
        <v>7.0</v>
      </c>
      <c r="D86" s="132" t="s">
        <v>109</v>
      </c>
      <c r="E86" s="133" t="str">
        <f>if(F86&lt;&gt;"",VLOOKUP(F86,offset('Teams-Conference'!A:B,0,(counta('Draft Order'!B$2:B132)-10)*2),2,0),"")</f>
        <v>Pac12</v>
      </c>
      <c r="F86" s="146" t="s">
        <v>328</v>
      </c>
      <c r="G86" s="135" t="str">
        <f t="shared" si="16"/>
        <v/>
      </c>
      <c r="H86" s="122">
        <f t="shared" si="2"/>
        <v>1</v>
      </c>
      <c r="I86" s="122">
        <f t="shared" si="3"/>
        <v>1</v>
      </c>
      <c r="J86" s="122">
        <f t="shared" si="11"/>
        <v>1</v>
      </c>
      <c r="K86" s="122">
        <f t="shared" ref="K86:K90" si="24">countif(E67:E86,E87)</f>
        <v>2</v>
      </c>
      <c r="L86" s="122">
        <v>3.0</v>
      </c>
      <c r="M86" s="122">
        <f>IFERROR(__xludf.DUMMYFUNCTION("counta(iferror(filter(L$2:L85,E$2:E85=E86,L$2:L85&lt;L86)))"),0.0)</f>
        <v>0</v>
      </c>
      <c r="N86" s="122">
        <f>IFERROR(__xludf.DUMMYFUNCTION("counta(iferror(filter(L87:L$131,E87:E$131=E86,L87:L$134&gt;L86)))"),0.0)</f>
        <v>0</v>
      </c>
      <c r="O86" s="124">
        <f t="array" ref="O86:Z86">XLOOKUP(F86,'Current Week'!C:C,'Current Week'!D:O)</f>
        <v>3</v>
      </c>
      <c r="P86" s="122">
        <v>9.0</v>
      </c>
      <c r="Q86" s="123" t="s">
        <v>397</v>
      </c>
      <c r="R86" s="123" t="s">
        <v>57</v>
      </c>
      <c r="S86" s="123" t="s">
        <v>103</v>
      </c>
      <c r="T86" s="123"/>
      <c r="U86" s="123"/>
      <c r="V86" s="123"/>
      <c r="W86" s="123"/>
      <c r="X86" s="123"/>
      <c r="Y86" s="126"/>
      <c r="Z86" s="126"/>
      <c r="AA86" s="127">
        <f t="shared" si="4"/>
        <v>-7</v>
      </c>
      <c r="AB86" s="126">
        <f t="shared" si="5"/>
        <v>2</v>
      </c>
      <c r="AC86" s="126">
        <f>IFERROR(__xludf.DUMMYFUNCTION("iferror(COUNT(filter($O87:$O$395,$O87:$O$395&gt;$O86)))"),35.0)</f>
        <v>35</v>
      </c>
      <c r="AD86" s="128">
        <f t="shared" si="6"/>
        <v>0</v>
      </c>
      <c r="AE86" s="129">
        <f t="shared" si="7"/>
        <v>2</v>
      </c>
      <c r="AF86" s="123" t="str">
        <f>IFERROR(__xludf.DUMMYFUNCTION("iferror(join("","",index(sort(filter($F87:$F$396,$O87:$O$396&gt;$O86),2,false),0,1)))"),"West Virginia,California,Iowa,Purdue,Ole Miss,UTEP,Maryland,Texas State,Ball State,Florida,Buffalo,Syracuse,UNLV,Georgia Southern,Tennessee,Ohio,Kansas,Mississippi State,Florida Intl,Rutgers,LSU,Illinois,Auburn,Rice,Bowling Green,Arizona,South Carolina,Ge"&amp;"orgia Tech,Indiana,New Mexico State,Vanderbilt,UConn,UL Monroe,Missouri,Duke")</f>
        <v>West Virginia,California,Iowa,Purdue,Ole Miss,UTEP,Maryland,Texas State,Ball State,Florida,Buffalo,Syracuse,UNLV,Georgia Southern,Tennessee,Ohio,Kansas,Mississippi State,Florida Intl,Rutgers,LSU,Illinois,Auburn,Rice,Bowling Green,Arizona,South Carolina,Georgia Tech,Indiana,New Mexico State,Vanderbilt,UConn,UL Monroe,Missouri,Duke</v>
      </c>
      <c r="AG86" s="127">
        <f>IFERROR(__xludf.DUMMYFUNCTION("iferror($O86-max(filter($O86:$O$395,$E86:$E$395=$E$2)))"),-5.0)</f>
        <v>-5</v>
      </c>
      <c r="AH86" s="126">
        <f t="shared" si="8"/>
        <v>0</v>
      </c>
      <c r="AI86" s="126">
        <f>IFERROR(__xludf.DUMMYFUNCTION("iferror(COUNT(filter($O87:$O$395,$O87:$O$395&gt;$O86,$E86:$E$395=$E$2)))"),0.0)</f>
        <v>0</v>
      </c>
      <c r="AJ86" s="128">
        <f t="shared" si="9"/>
        <v>0</v>
      </c>
      <c r="AK86" s="129">
        <f>IFERROR(__xludf.DUMMYFUNCTION("iferror($O86-min(filter($O86:$O$395,$E86:$E$395=$E$2)))"),2.0)</f>
        <v>2</v>
      </c>
      <c r="AL86" s="123" t="str">
        <f>IFERROR(__xludf.DUMMYFUNCTION("iferror(join("","",index(sort(filter($F87:$F$395,$O87:$O$395&gt;$O86,$E87:$E$395=$E$2),2,false),0,1)))"),"Iowa,Purdue,Maryland,Illinois,Indiana")</f>
        <v>Iowa,Purdue,Maryland,Illinois,Indiana</v>
      </c>
      <c r="AM86" s="123" t="str">
        <f>IFERROR(__xludf.DUMMYFUNCTION("REGEXREPLACE(join("","",unique({let(conf_picked,filter(E$1:E85,D$1:D85=D86), byrow(unique(TRANSPOSe(Teams!$1:$1)),lambda(rw,if(ISERROR(match(rw,conf_picked,0)),rw,))));iferror(if(#REF!,,transpose(split(#REF!,"","",1,1))))})), ""^,"", """")"),"Pac12,MAC,MWC,SEC")</f>
        <v>Pac12,MAC,MWC,SEC</v>
      </c>
      <c r="AN86" s="127">
        <f>IFERROR(__xludf.DUMMYFUNCTION("iferror($O86-max(filter($O86:$O$395,arrayformula(isnumber(FIND($E86:$E$395,AM86))))))"),-7.0)</f>
        <v>-7</v>
      </c>
      <c r="AO86" s="126">
        <f t="array" ref="AO86">countifs($O$2:$O85,"&lt;"&amp;$O86,isnumber(FIND($E$2:$E85,AM86)),TRUE)</f>
        <v>1</v>
      </c>
      <c r="AP86" s="126">
        <f>IFERROR(__xludf.DUMMYFUNCTION("iferror(COUNT(filter($O87:$O$395,$O87:$O$395&gt;$O86,arrayformula(isnumber(FIND($E87:$E$395,AM86))))))"),17.0)</f>
        <v>17</v>
      </c>
      <c r="AQ86" s="128">
        <f t="shared" si="10"/>
        <v>0</v>
      </c>
      <c r="AR86" s="129">
        <f>IFERROR(__xludf.DUMMYFUNCTION("$O86-min(filter($O86:$O$395,arrayformula(isnumber(FIND($E86:$E$395,AM86)))))"),2.0)</f>
        <v>2</v>
      </c>
      <c r="AS86" s="123" t="str">
        <f>IFERROR(__xludf.DUMMYFUNCTION("iferror(join("","",index(sort(filter($F87:$F$395,$O87:$O$395&gt;$O86,arrayformula(isnumber(FIND($E87:$E$395,AM86)))),2,false),0,1)))"),"California,Ole Miss,Ball State,Florida,Buffalo,UNLV,Tennessee,Ohio,Mississippi State,Rutgers,LSU,Auburn,Bowling Green,Arizona,South Carolina,New Mexico State,Missouri")</f>
        <v>California,Ole Miss,Ball State,Florida,Buffalo,UNLV,Tennessee,Ohio,Mississippi State,Rutgers,LSU,Auburn,Bowling Green,Arizona,South Carolina,New Mexico State,Missouri</v>
      </c>
    </row>
    <row r="87">
      <c r="A87" s="26">
        <v>86.0</v>
      </c>
      <c r="B87" s="26">
        <v>7.0</v>
      </c>
      <c r="C87" s="26">
        <v>8.0</v>
      </c>
      <c r="D87" s="132" t="s">
        <v>144</v>
      </c>
      <c r="E87" s="133" t="str">
        <f>if(F87&lt;&gt;"",VLOOKUP(F87,offset('Teams-Conference'!A:B,0,(counta('Draft Order'!B$2:B132)-10)*2),2,0),"")</f>
        <v>Big 12</v>
      </c>
      <c r="F87" s="138" t="s">
        <v>371</v>
      </c>
      <c r="G87" s="135" t="str">
        <f t="shared" si="16"/>
        <v/>
      </c>
      <c r="H87" s="122">
        <f t="shared" si="2"/>
        <v>0</v>
      </c>
      <c r="I87" s="122">
        <f t="shared" si="3"/>
        <v>1</v>
      </c>
      <c r="J87" s="122">
        <f t="shared" si="11"/>
        <v>1</v>
      </c>
      <c r="K87" s="122">
        <f t="shared" si="24"/>
        <v>2</v>
      </c>
      <c r="L87" s="122">
        <v>5.0</v>
      </c>
      <c r="M87" s="122">
        <f>IFERROR(__xludf.DUMMYFUNCTION("counta(iferror(filter(L$2:L86,E$2:E86=E87,L$2:L86&lt;L87)))"),1.0)</f>
        <v>1</v>
      </c>
      <c r="N87" s="122">
        <f>IFERROR(__xludf.DUMMYFUNCTION("counta(iferror(filter(L88:L$131,E88:E$131=E87,L88:L$134&gt;L87)))"),0.0)</f>
        <v>0</v>
      </c>
      <c r="O87" s="124">
        <f t="array" ref="O87:Z87">XLOOKUP(F87,'Current Week'!C:C,'Current Week'!D:O)</f>
        <v>5</v>
      </c>
      <c r="P87" s="122">
        <v>7.0</v>
      </c>
      <c r="Q87" s="123" t="s">
        <v>414</v>
      </c>
      <c r="R87" s="123" t="s">
        <v>57</v>
      </c>
      <c r="S87" s="123" t="s">
        <v>116</v>
      </c>
      <c r="T87" s="123"/>
      <c r="U87" s="123"/>
      <c r="V87" s="123"/>
      <c r="W87" s="123"/>
      <c r="X87" s="123"/>
      <c r="Y87" s="126"/>
      <c r="Z87" s="126"/>
      <c r="AA87" s="127">
        <f t="shared" si="4"/>
        <v>-5</v>
      </c>
      <c r="AB87" s="126">
        <f t="shared" si="5"/>
        <v>14</v>
      </c>
      <c r="AC87" s="126">
        <f>IFERROR(__xludf.DUMMYFUNCTION("iferror(COUNT(filter($O88:$O$395,$O88:$O$395&gt;$O87)))"),20.0)</f>
        <v>20</v>
      </c>
      <c r="AD87" s="128">
        <f t="shared" si="6"/>
        <v>0</v>
      </c>
      <c r="AE87" s="129">
        <f t="shared" si="7"/>
        <v>4</v>
      </c>
      <c r="AF87" s="123" t="str">
        <f>IFERROR(__xludf.DUMMYFUNCTION("iferror(join("","",index(sort(filter($F88:$F$396,$O88:$O$396&gt;$O87),2,false),0,1)))"),"Iowa,Purdue,Ole Miss,Maryland,Florida,Buffalo,Syracuse,Georgia Southern,Tennessee,Ohio,Kansas,Mississippi State,LSU,Illinois,Bowling Green,South Carolina,New Mexico State,UConn,Missouri,Duke")</f>
        <v>Iowa,Purdue,Ole Miss,Maryland,Florida,Buffalo,Syracuse,Georgia Southern,Tennessee,Ohio,Kansas,Mississippi State,LSU,Illinois,Bowling Green,South Carolina,New Mexico State,UConn,Missouri,Duke</v>
      </c>
      <c r="AG87" s="127">
        <f>IFERROR(__xludf.DUMMYFUNCTION("iferror($O87-max(filter($O87:$O$395,$E87:$E$395=$E$2)))"),-3.0)</f>
        <v>-3</v>
      </c>
      <c r="AH87" s="126">
        <f t="shared" si="8"/>
        <v>1</v>
      </c>
      <c r="AI87" s="126">
        <f>IFERROR(__xludf.DUMMYFUNCTION("iferror(COUNT(filter($O88:$O$395,$O88:$O$395&gt;$O87,$E87:$E$395=$E$2)))"),0.0)</f>
        <v>0</v>
      </c>
      <c r="AJ87" s="128">
        <f t="shared" si="9"/>
        <v>0</v>
      </c>
      <c r="AK87" s="129">
        <f>IFERROR(__xludf.DUMMYFUNCTION("iferror($O87-min(filter($O87:$O$395,$E87:$E$395=$E$2)))"),4.0)</f>
        <v>4</v>
      </c>
      <c r="AL87" s="123" t="str">
        <f>IFERROR(__xludf.DUMMYFUNCTION("iferror(join("","",index(sort(filter($F88:$F$395,$O88:$O$395&gt;$O87,$E88:$E$395=$E$2),2,false),0,1)))"),"Iowa,Purdue,Maryland,Illinois")</f>
        <v>Iowa,Purdue,Maryland,Illinois</v>
      </c>
      <c r="AM87" s="123" t="str">
        <f>IFERROR(__xludf.DUMMYFUNCTION("REGEXREPLACE(join("","",unique({let(conf_picked,filter(E$1:E86,D$1:D86=D87), byrow(unique(TRANSPOSe(Teams!$1:$1)),lambda(rw,if(ISERROR(match(rw,conf_picked,0)),rw,))));iferror(if(#REF!,,transpose(split(#REF!,"","",1,1))))})), ""^,"", """")"),"Big 12,Big Ten,Pac12,SEC")</f>
        <v>Big 12,Big Ten,Pac12,SEC</v>
      </c>
      <c r="AN87" s="127">
        <f>IFERROR(__xludf.DUMMYFUNCTION("iferror($O87-max(filter($O87:$O$395,arrayformula(isnumber(FIND($E87:$E$395,AM87))))))"),-5.0)</f>
        <v>-5</v>
      </c>
      <c r="AO87" s="126">
        <f t="array" ref="AO87">countifs($O$2:$O86,"&lt;"&amp;$O87,isnumber(FIND($E$2:$E86,AM87)),TRUE)</f>
        <v>3</v>
      </c>
      <c r="AP87" s="126">
        <f>IFERROR(__xludf.DUMMYFUNCTION("iferror(COUNT(filter($O88:$O$395,$O88:$O$395&gt;$O87,arrayformula(isnumber(FIND($E88:$E$395,AM87))))))"),12.0)</f>
        <v>12</v>
      </c>
      <c r="AQ87" s="128">
        <f t="shared" si="10"/>
        <v>0</v>
      </c>
      <c r="AR87" s="129">
        <f>IFERROR(__xludf.DUMMYFUNCTION("$O87-min(filter($O87:$O$395,arrayformula(isnumber(FIND($E87:$E$395,AM87)))))"),4.0)</f>
        <v>4</v>
      </c>
      <c r="AS87" s="123" t="str">
        <f>IFERROR(__xludf.DUMMYFUNCTION("iferror(join("","",index(sort(filter($F88:$F$395,$O88:$O$395&gt;$O87,arrayformula(isnumber(FIND($E88:$E$395,AM87)))),2,false),0,1)))"),"Iowa,Purdue,Ole Miss,Maryland,Florida,Tennessee,Kansas,Mississippi State,LSU,Illinois,South Carolina,Missouri")</f>
        <v>Iowa,Purdue,Ole Miss,Maryland,Florida,Tennessee,Kansas,Mississippi State,LSU,Illinois,South Carolina,Missouri</v>
      </c>
    </row>
    <row r="88">
      <c r="A88" s="26">
        <v>87.0</v>
      </c>
      <c r="B88" s="26">
        <v>7.0</v>
      </c>
      <c r="C88" s="26">
        <v>9.0</v>
      </c>
      <c r="D88" s="132" t="s">
        <v>166</v>
      </c>
      <c r="E88" s="133" t="str">
        <f>if(F88&lt;&gt;"",VLOOKUP(F88,offset('Teams-Conference'!A:B,0,(counta('Draft Order'!B$2:B132)-10)*2),2,0),"")</f>
        <v>Pac12</v>
      </c>
      <c r="F88" s="143" t="s">
        <v>333</v>
      </c>
      <c r="G88" s="135" t="str">
        <f t="shared" si="16"/>
        <v/>
      </c>
      <c r="H88" s="122">
        <f t="shared" si="2"/>
        <v>0</v>
      </c>
      <c r="I88" s="122">
        <f t="shared" si="3"/>
        <v>1</v>
      </c>
      <c r="J88" s="122">
        <f t="shared" si="11"/>
        <v>2</v>
      </c>
      <c r="K88" s="122">
        <f t="shared" si="24"/>
        <v>2</v>
      </c>
      <c r="L88" s="122">
        <v>4.0</v>
      </c>
      <c r="M88" s="122">
        <f>IFERROR(__xludf.DUMMYFUNCTION("counta(iferror(filter(L$2:L87,E$2:E87=E88,L$2:L87&lt;L88)))"),1.0)</f>
        <v>1</v>
      </c>
      <c r="N88" s="122">
        <f>IFERROR(__xludf.DUMMYFUNCTION("counta(iferror(filter(L89:L$131,E89:E$131=E88,L89:L$134&gt;L88)))"),0.0)</f>
        <v>0</v>
      </c>
      <c r="O88" s="124">
        <f t="array" ref="O88:Z88">XLOOKUP(F88,'Current Week'!C:C,'Current Week'!D:O)</f>
        <v>4</v>
      </c>
      <c r="P88" s="122">
        <v>8.0</v>
      </c>
      <c r="Q88" s="123" t="s">
        <v>262</v>
      </c>
      <c r="R88" s="123" t="s">
        <v>57</v>
      </c>
      <c r="S88" s="123" t="s">
        <v>178</v>
      </c>
      <c r="T88" s="123"/>
      <c r="U88" s="123"/>
      <c r="V88" s="123"/>
      <c r="W88" s="123"/>
      <c r="X88" s="123"/>
      <c r="Y88" s="126"/>
      <c r="Z88" s="126"/>
      <c r="AA88" s="127">
        <f t="shared" si="4"/>
        <v>-6</v>
      </c>
      <c r="AB88" s="126">
        <f t="shared" si="5"/>
        <v>9</v>
      </c>
      <c r="AC88" s="126">
        <f>IFERROR(__xludf.DUMMYFUNCTION("iferror(COUNT(filter($O89:$O$395,$O89:$O$395&gt;$O88)))"),28.0)</f>
        <v>28</v>
      </c>
      <c r="AD88" s="128">
        <f t="shared" si="6"/>
        <v>0</v>
      </c>
      <c r="AE88" s="129">
        <f t="shared" si="7"/>
        <v>3</v>
      </c>
      <c r="AF88" s="123" t="str">
        <f>IFERROR(__xludf.DUMMYFUNCTION("iferror(join("","",index(sort(filter($F89:$F$396,$O89:$O$396&gt;$O88),2,false),0,1)))"),"Iowa,Purdue,Ole Miss,UTEP,Maryland,Ball State,Florida,Buffalo,Syracuse,UNLV,Georgia Southern,Tennessee,Ohio,Kansas,Mississippi State,LSU,Illinois,Auburn,Rice,Bowling Green,Arizona,South Carolina,Georgia Tech,New Mexico State,Vanderbilt,UConn,Missouri,Duke")</f>
        <v>Iowa,Purdue,Ole Miss,UTEP,Maryland,Ball State,Florida,Buffalo,Syracuse,UNLV,Georgia Southern,Tennessee,Ohio,Kansas,Mississippi State,LSU,Illinois,Auburn,Rice,Bowling Green,Arizona,South Carolina,Georgia Tech,New Mexico State,Vanderbilt,UConn,Missouri,Duke</v>
      </c>
      <c r="AG88" s="127">
        <f>IFERROR(__xludf.DUMMYFUNCTION("iferror($O88-max(filter($O88:$O$395,$E88:$E$395=$E$2)))"),-4.0)</f>
        <v>-4</v>
      </c>
      <c r="AH88" s="126">
        <f t="shared" si="8"/>
        <v>0</v>
      </c>
      <c r="AI88" s="126">
        <f>IFERROR(__xludf.DUMMYFUNCTION("iferror(COUNT(filter($O89:$O$395,$O89:$O$395&gt;$O88,$E88:$E$395=$E$2)))"),0.0)</f>
        <v>0</v>
      </c>
      <c r="AJ88" s="128">
        <f t="shared" si="9"/>
        <v>0</v>
      </c>
      <c r="AK88" s="129">
        <f>IFERROR(__xludf.DUMMYFUNCTION("iferror($O88-min(filter($O88:$O$395,$E88:$E$395=$E$2)))"),3.0)</f>
        <v>3</v>
      </c>
      <c r="AL88" s="123" t="str">
        <f>IFERROR(__xludf.DUMMYFUNCTION("iferror(join("","",index(sort(filter($F89:$F$395,$O89:$O$395&gt;$O88,$E89:$E$395=$E$2),2,false),0,1)))"),"Iowa,Purdue,Maryland,Illinois")</f>
        <v>Iowa,Purdue,Maryland,Illinois</v>
      </c>
      <c r="AM88" s="123" t="str">
        <f>IFERROR(__xludf.DUMMYFUNCTION("REGEXREPLACE(join("","",unique({let(conf_picked,filter(E$1:E87,D$1:D87=D88), byrow(unique(TRANSPOSe(Teams!$1:$1)),lambda(rw,if(ISERROR(match(rw,conf_picked,0)),rw,))));iferror(if(#REF!,,transpose(split(#REF!,"","",1,1))))})), ""^,"", """")"),"Big Ten,Pac12,CUSA,SEC")</f>
        <v>Big Ten,Pac12,CUSA,SEC</v>
      </c>
      <c r="AN88" s="127">
        <f>IFERROR(__xludf.DUMMYFUNCTION("iferror($O88-max(filter($O88:$O$395,arrayformula(isnumber(FIND($E88:$E$395,AM88))))))"),-6.0)</f>
        <v>-6</v>
      </c>
      <c r="AO88" s="126">
        <f t="array" ref="AO88">countifs($O$2:$O87,"&lt;"&amp;$O88,isnumber(FIND($E$2:$E87,AM88)),TRUE)</f>
        <v>1</v>
      </c>
      <c r="AP88" s="126">
        <f>IFERROR(__xludf.DUMMYFUNCTION("iferror(COUNT(filter($O89:$O$395,$O89:$O$395&gt;$O88,arrayformula(isnumber(FIND($E89:$E$395,AM88))))))"),15.0)</f>
        <v>15</v>
      </c>
      <c r="AQ88" s="128">
        <f t="shared" si="10"/>
        <v>0</v>
      </c>
      <c r="AR88" s="129">
        <f>IFERROR(__xludf.DUMMYFUNCTION("$O88-min(filter($O88:$O$395,arrayformula(isnumber(FIND($E88:$E$395,AM88)))))"),3.0)</f>
        <v>3</v>
      </c>
      <c r="AS88" s="123" t="str">
        <f>IFERROR(__xludf.DUMMYFUNCTION("iferror(join("","",index(sort(filter($F89:$F$395,$O89:$O$395&gt;$O88,arrayformula(isnumber(FIND($E89:$E$395,AM88)))),2,false),0,1)))"),"Iowa,Purdue,Ole Miss,UTEP,Maryland,Florida,Tennessee,Mississippi State,LSU,Illinois,Auburn,Rice,Arizona,South Carolina,Missouri")</f>
        <v>Iowa,Purdue,Ole Miss,UTEP,Maryland,Florida,Tennessee,Mississippi State,LSU,Illinois,Auburn,Rice,Arizona,South Carolina,Missouri</v>
      </c>
    </row>
    <row r="89">
      <c r="A89" s="26">
        <v>88.0</v>
      </c>
      <c r="B89" s="26">
        <v>7.0</v>
      </c>
      <c r="C89" s="26">
        <v>10.0</v>
      </c>
      <c r="D89" s="132" t="s">
        <v>116</v>
      </c>
      <c r="E89" s="133" t="str">
        <f>if(F89&lt;&gt;"",VLOOKUP(F89,offset('Teams-Conference'!A:B,0,(counta('Draft Order'!B$2:B132)-10)*2),2,0),"")</f>
        <v>Big Ten</v>
      </c>
      <c r="F89" s="143" t="s">
        <v>332</v>
      </c>
      <c r="G89" s="135" t="str">
        <f t="shared" si="16"/>
        <v/>
      </c>
      <c r="H89" s="122">
        <f t="shared" si="2"/>
        <v>2</v>
      </c>
      <c r="I89" s="122">
        <f t="shared" si="3"/>
        <v>2</v>
      </c>
      <c r="J89" s="122">
        <f t="shared" si="11"/>
        <v>1</v>
      </c>
      <c r="K89" s="122">
        <f t="shared" si="24"/>
        <v>3</v>
      </c>
      <c r="L89" s="122">
        <v>7.0</v>
      </c>
      <c r="M89" s="122">
        <f>IFERROR(__xludf.DUMMYFUNCTION("counta(iferror(filter(L$2:L88,E$2:E88=E89,L$2:L88&lt;L89)))"),3.0)</f>
        <v>3</v>
      </c>
      <c r="N89" s="122">
        <f>IFERROR(__xludf.DUMMYFUNCTION("counta(iferror(filter(L90:L$131,E90:E$131=E89,L90:L$134&gt;L89)))"),0.0)</f>
        <v>0</v>
      </c>
      <c r="O89" s="124">
        <f t="array" ref="O89:Z89">XLOOKUP(F89,'Current Week'!C:C,'Current Week'!D:O)</f>
        <v>7</v>
      </c>
      <c r="P89" s="122">
        <v>5.0</v>
      </c>
      <c r="Q89" s="123" t="s">
        <v>391</v>
      </c>
      <c r="R89" s="123" t="s">
        <v>57</v>
      </c>
      <c r="S89" s="123" t="s">
        <v>141</v>
      </c>
      <c r="T89" s="123"/>
      <c r="U89" s="123"/>
      <c r="V89" s="123"/>
      <c r="W89" s="123"/>
      <c r="X89" s="123"/>
      <c r="Y89" s="126"/>
      <c r="Z89" s="126"/>
      <c r="AA89" s="127">
        <f t="shared" si="4"/>
        <v>-3</v>
      </c>
      <c r="AB89" s="126">
        <f t="shared" si="5"/>
        <v>35</v>
      </c>
      <c r="AC89" s="126">
        <f>IFERROR(__xludf.DUMMYFUNCTION("iferror(COUNT(filter($O90:$O$395,$O90:$O$395&gt;$O89)))"),9.0)</f>
        <v>9</v>
      </c>
      <c r="AD89" s="128">
        <f t="shared" si="6"/>
        <v>0</v>
      </c>
      <c r="AE89" s="129">
        <f t="shared" si="7"/>
        <v>6</v>
      </c>
      <c r="AF89" s="123" t="str">
        <f>IFERROR(__xludf.DUMMYFUNCTION("iferror(join("","",index(sort(filter($F90:$F$396,$O90:$O$396&gt;$O89),2,false),0,1)))"),"Purdue,Ole Miss,Tennessee,Ohio,Mississippi State,LSU,Illinois,South Carolina,Duke")</f>
        <v>Purdue,Ole Miss,Tennessee,Ohio,Mississippi State,LSU,Illinois,South Carolina,Duke</v>
      </c>
      <c r="AG89" s="127">
        <f>IFERROR(__xludf.DUMMYFUNCTION("iferror($O89-max(filter($O89:$O$395,$E89:$E$395=$E$2)))"),-1.0)</f>
        <v>-1</v>
      </c>
      <c r="AH89" s="126">
        <f t="shared" si="8"/>
        <v>3</v>
      </c>
      <c r="AI89" s="126">
        <f>IFERROR(__xludf.DUMMYFUNCTION("iferror(COUNT(filter($O90:$O$395,$O90:$O$395&gt;$O89,$E89:$E$395=$E$2)))"),0.0)</f>
        <v>0</v>
      </c>
      <c r="AJ89" s="128">
        <f t="shared" si="9"/>
        <v>0</v>
      </c>
      <c r="AK89" s="129">
        <f>IFERROR(__xludf.DUMMYFUNCTION("iferror($O89-min(filter($O89:$O$395,$E89:$E$395=$E$2)))"),6.0)</f>
        <v>6</v>
      </c>
      <c r="AL89" s="123" t="str">
        <f>IFERROR(__xludf.DUMMYFUNCTION("iferror(join("","",index(sort(filter($F90:$F$395,$O90:$O$395&gt;$O89,$E90:$E$395=$E$2),2,false),0,1)))"),"Purdue,Illinois")</f>
        <v>Purdue,Illinois</v>
      </c>
      <c r="AM89" s="123" t="str">
        <f>IFERROR(__xludf.DUMMYFUNCTION("REGEXREPLACE(join("","",unique({let(conf_picked,filter(E$1:E88,D$1:D88=D89), byrow(unique(TRANSPOSe(Teams!$1:$1)),lambda(rw,if(ISERROR(match(rw,conf_picked,0)),rw,))));iferror(if(#REF!,,transpose(split(#REF!,"","",1,1))))})), ""^,"", """")"),"ACC,Big Ten,CUSA,MAC")</f>
        <v>ACC,Big Ten,CUSA,MAC</v>
      </c>
      <c r="AN89" s="127">
        <f>IFERROR(__xludf.DUMMYFUNCTION("iferror($O89-max(filter($O89:$O$395,arrayformula(isnumber(FIND($E89:$E$395,AM89))))))"),-2.0)</f>
        <v>-2</v>
      </c>
      <c r="AO89" s="126">
        <f t="array" ref="AO89">countifs($O$2:$O88,"&lt;"&amp;$O89,isnumber(FIND($E$2:$E88,AM89)),TRUE)</f>
        <v>15</v>
      </c>
      <c r="AP89" s="126">
        <f>IFERROR(__xludf.DUMMYFUNCTION("iferror(COUNT(filter($O90:$O$395,$O90:$O$395&gt;$O89,arrayformula(isnumber(FIND($E90:$E$395,AM89))))))"),4.0)</f>
        <v>4</v>
      </c>
      <c r="AQ89" s="128">
        <f t="shared" si="10"/>
        <v>0</v>
      </c>
      <c r="AR89" s="129">
        <f>IFERROR(__xludf.DUMMYFUNCTION("$O89-min(filter($O89:$O$395,arrayformula(isnumber(FIND($E89:$E$395,AM89)))))"),6.0)</f>
        <v>6</v>
      </c>
      <c r="AS89" s="123" t="str">
        <f>IFERROR(__xludf.DUMMYFUNCTION("iferror(join("","",index(sort(filter($F90:$F$395,$O90:$O$395&gt;$O89,arrayformula(isnumber(FIND($E90:$E$395,AM89)))),2,false),0,1)))"),"Purdue,Ohio,Illinois,Duke")</f>
        <v>Purdue,Ohio,Illinois,Duke</v>
      </c>
    </row>
    <row r="90">
      <c r="A90" s="26">
        <v>89.0</v>
      </c>
      <c r="B90" s="26">
        <v>7.0</v>
      </c>
      <c r="C90" s="26">
        <v>11.0</v>
      </c>
      <c r="D90" s="132" t="s">
        <v>148</v>
      </c>
      <c r="E90" s="133" t="str">
        <f>if(F90&lt;&gt;"",VLOOKUP(F90,offset('Teams-Conference'!A:B,0,(counta('Draft Order'!B$2:B132)-10)*2),2,0),"")</f>
        <v>Big Ten</v>
      </c>
      <c r="F90" s="143" t="s">
        <v>381</v>
      </c>
      <c r="G90" s="135" t="str">
        <f t="shared" si="16"/>
        <v/>
      </c>
      <c r="H90" s="122">
        <f t="shared" si="2"/>
        <v>1</v>
      </c>
      <c r="I90" s="122">
        <f t="shared" si="3"/>
        <v>1</v>
      </c>
      <c r="J90" s="122">
        <f t="shared" si="11"/>
        <v>2</v>
      </c>
      <c r="K90" s="122">
        <f t="shared" si="24"/>
        <v>1</v>
      </c>
      <c r="L90" s="122">
        <v>8.0</v>
      </c>
      <c r="M90" s="122">
        <f>IFERROR(__xludf.DUMMYFUNCTION("counta(iferror(filter(L$2:L89,E$2:E89=E90,L$2:L89&lt;L90)))"),4.0)</f>
        <v>4</v>
      </c>
      <c r="N90" s="122">
        <f>IFERROR(__xludf.DUMMYFUNCTION("counta(iferror(filter(L91:L$131,E91:E$131=E90,L91:L$134&gt;L90)))"),0.0)</f>
        <v>0</v>
      </c>
      <c r="O90" s="124">
        <f t="array" ref="O90:Z90">XLOOKUP(F90,'Current Week'!C:C,'Current Week'!D:O)</f>
        <v>8</v>
      </c>
      <c r="P90" s="122">
        <v>4.0</v>
      </c>
      <c r="Q90" s="123" t="s">
        <v>418</v>
      </c>
      <c r="R90" s="123" t="s">
        <v>57</v>
      </c>
      <c r="S90" s="123" t="s">
        <v>166</v>
      </c>
      <c r="T90" s="123"/>
      <c r="U90" s="123"/>
      <c r="V90" s="123"/>
      <c r="W90" s="123"/>
      <c r="X90" s="123"/>
      <c r="Y90" s="126"/>
      <c r="Z90" s="126"/>
      <c r="AA90" s="127">
        <f t="shared" si="4"/>
        <v>-2</v>
      </c>
      <c r="AB90" s="126">
        <f t="shared" si="5"/>
        <v>52</v>
      </c>
      <c r="AC90" s="126">
        <f>IFERROR(__xludf.DUMMYFUNCTION("iferror(COUNT(filter($O91:$O$395,$O91:$O$395&gt;$O90)))"),3.0)</f>
        <v>3</v>
      </c>
      <c r="AD90" s="128">
        <f t="shared" si="6"/>
        <v>0</v>
      </c>
      <c r="AE90" s="129">
        <f t="shared" si="7"/>
        <v>7</v>
      </c>
      <c r="AF90" s="123" t="str">
        <f>IFERROR(__xludf.DUMMYFUNCTION("iferror(join("","",index(sort(filter($F91:$F$396,$O91:$O$396&gt;$O90),2,false),0,1)))"),"Tennessee,Ohio,LSU")</f>
        <v>Tennessee,Ohio,LSU</v>
      </c>
      <c r="AG90" s="127">
        <f>IFERROR(__xludf.DUMMYFUNCTION("iferror($O90-max(filter($O90:$O$395,$E90:$E$395=$E$2)))"),0.0)</f>
        <v>0</v>
      </c>
      <c r="AH90" s="126">
        <f t="shared" si="8"/>
        <v>4</v>
      </c>
      <c r="AI90" s="126">
        <f>IFERROR(__xludf.DUMMYFUNCTION("iferror(COUNT(filter($O91:$O$395,$O91:$O$395&gt;$O90,$E90:$E$395=$E$2)))"),0.0)</f>
        <v>0</v>
      </c>
      <c r="AJ90" s="128">
        <f t="shared" si="9"/>
        <v>1</v>
      </c>
      <c r="AK90" s="129">
        <f>IFERROR(__xludf.DUMMYFUNCTION("iferror($O90-min(filter($O90:$O$395,$E90:$E$395=$E$2)))"),7.0)</f>
        <v>7</v>
      </c>
      <c r="AL90" s="123" t="str">
        <f>IFERROR(__xludf.DUMMYFUNCTION("iferror(join("","",index(sort(filter($F91:$F$395,$O91:$O$395&gt;$O90,$E91:$E$395=$E$2),2,false),0,1)))"),"")</f>
        <v/>
      </c>
      <c r="AM90" s="123" t="str">
        <f>IFERROR(__xludf.DUMMYFUNCTION("REGEXREPLACE(join("","",unique({let(conf_picked,filter(E$1:E89,D$1:D89=D90), byrow(unique(TRANSPOSe(Teams!$1:$1)),lambda(rw,if(ISERROR(match(rw,conf_picked,0)),rw,))));iferror(if(#REF!,,transpose(split(#REF!,"","",1,1))))})), ""^,"", """")"),"Big Ten,CUSA,MAC,Sun Belt")</f>
        <v>Big Ten,CUSA,MAC,Sun Belt</v>
      </c>
      <c r="AN90" s="127">
        <f>IFERROR(__xludf.DUMMYFUNCTION("iferror($O90-max(filter($O90:$O$395,arrayformula(isnumber(FIND($E90:$E$395,AM90))))))"),-1.0)</f>
        <v>-1</v>
      </c>
      <c r="AO90" s="126">
        <f t="array" ref="AO90">countifs($O$2:$O89,"&lt;"&amp;$O90,isnumber(FIND($E$2:$E89,AM90)),TRUE)</f>
        <v>18</v>
      </c>
      <c r="AP90" s="126">
        <f>IFERROR(__xludf.DUMMYFUNCTION("iferror(COUNT(filter($O91:$O$395,$O91:$O$395&gt;$O90,arrayformula(isnumber(FIND($E91:$E$395,AM90))))))"),1.0)</f>
        <v>1</v>
      </c>
      <c r="AQ90" s="128">
        <f t="shared" si="10"/>
        <v>0</v>
      </c>
      <c r="AR90" s="129">
        <f>IFERROR(__xludf.DUMMYFUNCTION("$O90-min(filter($O90:$O$395,arrayformula(isnumber(FIND($E90:$E$395,AM90)))))"),7.0)</f>
        <v>7</v>
      </c>
      <c r="AS90" s="123" t="str">
        <f>IFERROR(__xludf.DUMMYFUNCTION("iferror(join("","",index(sort(filter($F91:$F$395,$O91:$O$395&gt;$O90,arrayformula(isnumber(FIND($E91:$E$395,AM90)))),2,false),0,1)))"),"Ohio")</f>
        <v>Ohio</v>
      </c>
    </row>
    <row r="91">
      <c r="A91" s="26">
        <v>90.0</v>
      </c>
      <c r="B91" s="26">
        <v>7.0</v>
      </c>
      <c r="C91" s="26">
        <v>12.0</v>
      </c>
      <c r="D91" s="132" t="s">
        <v>103</v>
      </c>
      <c r="E91" t="str">
        <f>if(F91&lt;&gt;"",VLOOKUP(F91,offset('Teams-Conference'!A:B,0,(counta('Draft Order'!B$2:B132)-10)*2),2,0),"")</f>
        <v>SEC</v>
      </c>
      <c r="F91" s="143" t="s">
        <v>373</v>
      </c>
      <c r="G91" s="135" t="str">
        <f t="shared" si="16"/>
        <v/>
      </c>
      <c r="H91" s="122">
        <f t="shared" si="2"/>
        <v>1</v>
      </c>
      <c r="I91" s="122">
        <f t="shared" si="3"/>
        <v>4</v>
      </c>
      <c r="J91" s="122">
        <f t="shared" si="11"/>
        <v>0</v>
      </c>
      <c r="K91" s="122">
        <f>countif(E72:E91,E93)</f>
        <v>1</v>
      </c>
      <c r="L91" s="122">
        <v>8.0</v>
      </c>
      <c r="M91" s="122">
        <f>IFERROR(__xludf.DUMMYFUNCTION("counta(iferror(filter(L$2:L90,E$2:E90=E91,L$2:L90&lt;L91)))"),3.0)</f>
        <v>3</v>
      </c>
      <c r="N91" s="122">
        <f>IFERROR(__xludf.DUMMYFUNCTION("counta(iferror(filter(L92:L$131,E92:E$131=E91,L92:L$134&gt;L91)))"),0.0)</f>
        <v>0</v>
      </c>
      <c r="O91" s="124">
        <f t="array" ref="O91:Z91">XLOOKUP(F91,'Current Week'!C:C,'Current Week'!D:O)</f>
        <v>8</v>
      </c>
      <c r="P91" s="122">
        <v>4.0</v>
      </c>
      <c r="Q91" s="123" t="s">
        <v>270</v>
      </c>
      <c r="R91" s="123" t="s">
        <v>57</v>
      </c>
      <c r="S91" s="123" t="s">
        <v>178</v>
      </c>
      <c r="T91" s="123"/>
      <c r="U91" s="123"/>
      <c r="V91" s="123"/>
      <c r="W91" s="123"/>
      <c r="X91" s="123"/>
      <c r="Y91" s="126"/>
      <c r="Z91" s="126"/>
      <c r="AA91" s="127">
        <f t="shared" si="4"/>
        <v>-2</v>
      </c>
      <c r="AB91" s="126">
        <f t="shared" si="5"/>
        <v>52</v>
      </c>
      <c r="AC91" s="126">
        <f>IFERROR(__xludf.DUMMYFUNCTION("iferror(COUNT(filter($O92:$O$395,$O92:$O$395&gt;$O91)))"),3.0)</f>
        <v>3</v>
      </c>
      <c r="AD91" s="128">
        <f t="shared" si="6"/>
        <v>0</v>
      </c>
      <c r="AE91" s="129">
        <f t="shared" si="7"/>
        <v>7</v>
      </c>
      <c r="AF91" s="123" t="str">
        <f>IFERROR(__xludf.DUMMYFUNCTION("iferror(join("","",index(sort(filter($F92:$F$396,$O92:$O$396&gt;$O91),2,false),0,1)))"),"Tennessee,Ohio,LSU")</f>
        <v>Tennessee,Ohio,LSU</v>
      </c>
      <c r="AG91" s="127">
        <f>IFERROR(__xludf.DUMMYFUNCTION("iferror($O91-max(filter($O91:$O$395,$E91:$E$395=$E$2)))"),0.0)</f>
        <v>0</v>
      </c>
      <c r="AH91" s="126">
        <f t="shared" si="8"/>
        <v>4</v>
      </c>
      <c r="AI91" s="126">
        <f>IFERROR(__xludf.DUMMYFUNCTION("iferror(COUNT(filter($O92:$O$395,$O92:$O$395&gt;$O91,$E91:$E$395=$E$2)))"),0.0)</f>
        <v>0</v>
      </c>
      <c r="AJ91" s="128">
        <f t="shared" si="9"/>
        <v>1</v>
      </c>
      <c r="AK91" s="129">
        <f>IFERROR(__xludf.DUMMYFUNCTION("iferror($O91-min(filter($O91:$O$395,$E91:$E$395=$E$2)))"),7.0)</f>
        <v>7</v>
      </c>
      <c r="AL91" s="123" t="str">
        <f>IFERROR(__xludf.DUMMYFUNCTION("iferror(join("","",index(sort(filter($F92:$F$395,$O92:$O$395&gt;$O91,$E92:$E$395=$E$2),2,false),0,1)))"),"")</f>
        <v/>
      </c>
      <c r="AM91" s="123" t="str">
        <f>IFERROR(__xludf.DUMMYFUNCTION("REGEXREPLACE(join("","",unique({let(conf_picked,filter(E$1:E90,D$1:D90=D91), byrow(unique(TRANSPOSe(Teams!$1:$1)),lambda(rw,if(ISERROR(match(rw,conf_picked,0)),rw,))));iferror(if(#REF!,,transpose(split(#REF!,"","",1,1))))})), ""^,"", """")"),"AAC,,Big Ten,Pac12,SEC")</f>
        <v>AAC,,Big Ten,Pac12,SEC</v>
      </c>
      <c r="AN91" s="127">
        <f>IFERROR(__xludf.DUMMYFUNCTION("iferror($O91-max(filter($O91:$O$395,arrayformula(isnumber(FIND($E91:$E$395,AM91))))))"),-2.0)</f>
        <v>-2</v>
      </c>
      <c r="AO91" s="126">
        <f t="array" ref="AO91">countifs($O$2:$O90,"&lt;"&amp;$O91,isnumber(FIND($E$2:$E90,AM91)),TRUE)</f>
        <v>18</v>
      </c>
      <c r="AP91" s="126">
        <f>IFERROR(__xludf.DUMMYFUNCTION("iferror(COUNT(filter($O92:$O$395,$O92:$O$395&gt;$O91,arrayformula(isnumber(FIND($E92:$E$395,AM91))))))"),2.0)</f>
        <v>2</v>
      </c>
      <c r="AQ91" s="128">
        <f t="shared" si="10"/>
        <v>0</v>
      </c>
      <c r="AR91" s="129">
        <f>IFERROR(__xludf.DUMMYFUNCTION("$O91-min(filter($O91:$O$395,arrayformula(isnumber(FIND($E91:$E$395,AM91)))))"),7.0)</f>
        <v>7</v>
      </c>
      <c r="AS91" s="123" t="str">
        <f>IFERROR(__xludf.DUMMYFUNCTION("iferror(join("","",index(sort(filter($F92:$F$395,$O92:$O$395&gt;$O91,arrayformula(isnumber(FIND($E92:$E$395,AM91)))),2,false),0,1)))"),"Tennessee,LSU")</f>
        <v>Tennessee,LSU</v>
      </c>
    </row>
    <row r="92">
      <c r="A92" s="156">
        <v>91.0</v>
      </c>
      <c r="B92" s="156">
        <v>7.0</v>
      </c>
      <c r="C92" s="156">
        <v>13.0</v>
      </c>
      <c r="D92" s="157" t="s">
        <v>154</v>
      </c>
      <c r="E92" s="158" t="str">
        <f>if(F92&lt;&gt;"",VLOOKUP(F92,offset('Teams-Conference'!A:B,0,(counta('Draft Order'!B$2:B132)-10)*2),2,0),"")</f>
        <v>CUSA</v>
      </c>
      <c r="F92" s="159" t="s">
        <v>366</v>
      </c>
      <c r="G92" s="160" t="str">
        <f t="shared" si="16"/>
        <v/>
      </c>
      <c r="H92" s="122">
        <f t="shared" si="2"/>
        <v>2</v>
      </c>
      <c r="I92" s="122">
        <f t="shared" si="3"/>
        <v>3</v>
      </c>
      <c r="J92" s="122">
        <f t="shared" si="11"/>
        <v>0</v>
      </c>
      <c r="K92" s="123"/>
      <c r="L92" s="122">
        <v>5.0</v>
      </c>
      <c r="M92" s="122">
        <f>IFERROR(__xludf.DUMMYFUNCTION("counta(iferror(filter(L$2:L91,E$2:E91=E92,L$2:L91&lt;L92)))"),0.0)</f>
        <v>0</v>
      </c>
      <c r="N92" s="122">
        <f>IFERROR(__xludf.DUMMYFUNCTION("counta(iferror(filter(L93:L$131,E93:E$131=E92,L93:L$134&gt;L92)))"),0.0)</f>
        <v>0</v>
      </c>
      <c r="O92" s="124">
        <f t="array" ref="O92:Z92">XLOOKUP(F92,'Current Week'!C:C,'Current Week'!D:O)</f>
        <v>5</v>
      </c>
      <c r="P92" s="122">
        <v>7.0</v>
      </c>
      <c r="Q92" s="123" t="s">
        <v>297</v>
      </c>
      <c r="R92" s="123" t="s">
        <v>57</v>
      </c>
      <c r="S92" s="123" t="s">
        <v>138</v>
      </c>
      <c r="T92" s="123"/>
      <c r="U92" s="123"/>
      <c r="V92" s="123"/>
      <c r="W92" s="123"/>
      <c r="X92" s="123"/>
      <c r="Y92" s="126"/>
      <c r="Z92" s="126"/>
      <c r="AA92" s="127">
        <f t="shared" si="4"/>
        <v>-5</v>
      </c>
      <c r="AB92" s="126">
        <f t="shared" si="5"/>
        <v>15</v>
      </c>
      <c r="AC92" s="126">
        <f>IFERROR(__xludf.DUMMYFUNCTION("iferror(COUNT(filter($O93:$O$395,$O93:$O$395&gt;$O92)))"),17.0)</f>
        <v>17</v>
      </c>
      <c r="AD92" s="128">
        <f t="shared" si="6"/>
        <v>0</v>
      </c>
      <c r="AE92" s="129">
        <f t="shared" si="7"/>
        <v>4</v>
      </c>
      <c r="AF92" s="123" t="str">
        <f>IFERROR(__xludf.DUMMYFUNCTION("iferror(join("","",index(sort(filter($F93:$F$396,$O93:$O$396&gt;$O92),2,false),0,1)))"),"Maryland,Florida,Buffalo,Syracuse,Georgia Southern,Tennessee,Ohio,Kansas,Mississippi State,LSU,Illinois,Bowling Green,South Carolina,New Mexico State,UConn,Missouri,Duke")</f>
        <v>Maryland,Florida,Buffalo,Syracuse,Georgia Southern,Tennessee,Ohio,Kansas,Mississippi State,LSU,Illinois,Bowling Green,South Carolina,New Mexico State,UConn,Missouri,Duke</v>
      </c>
      <c r="AG92" s="127">
        <f>IFERROR(__xludf.DUMMYFUNCTION("iferror($O92-max(filter($O92:$O$395,$E92:$E$395=$E$2)))"),-3.0)</f>
        <v>-3</v>
      </c>
      <c r="AH92" s="126">
        <f t="shared" si="8"/>
        <v>1</v>
      </c>
      <c r="AI92" s="126">
        <f>IFERROR(__xludf.DUMMYFUNCTION("iferror(COUNT(filter($O93:$O$395,$O93:$O$395&gt;$O92,$E92:$E$395=$E$2)))"),0.0)</f>
        <v>0</v>
      </c>
      <c r="AJ92" s="128">
        <f t="shared" si="9"/>
        <v>0</v>
      </c>
      <c r="AK92" s="129">
        <f>IFERROR(__xludf.DUMMYFUNCTION("iferror($O92-min(filter($O92:$O$395,$E92:$E$395=$E$2)))"),4.0)</f>
        <v>4</v>
      </c>
      <c r="AL92" s="123" t="str">
        <f>IFERROR(__xludf.DUMMYFUNCTION("iferror(join("","",index(sort(filter($F93:$F$395,$O93:$O$395&gt;$O92,$E93:$E$395=$E$2),2,false),0,1)))"),"Maryland,Illinois")</f>
        <v>Maryland,Illinois</v>
      </c>
      <c r="AM92" s="123" t="str">
        <f>IFERROR(__xludf.DUMMYFUNCTION("REGEXREPLACE(join("","",unique({let(conf_picked,filter(E$1:E91,D$1:D91=D92), byrow(unique(TRANSPOSe(Teams!$1:$1)),lambda(rw,if(ISERROR(match(rw,conf_picked,0)),rw,))));iferror(if(#REF!,,transpose(split(#REF!,"","",1,1))))})), ""^,"", """")"),"Big Ten,CUSA,SEC,Sun Belt")</f>
        <v>Big Ten,CUSA,SEC,Sun Belt</v>
      </c>
      <c r="AN92" s="127">
        <f>IFERROR(__xludf.DUMMYFUNCTION("iferror($O92-max(filter($O92:$O$395,arrayformula(isnumber(FIND($E92:$E$395,AM92))))))"),-5.0)</f>
        <v>-5</v>
      </c>
      <c r="AO92" s="126">
        <f t="array" ref="AO92">countifs($O$2:$O91,"&lt;"&amp;$O92,isnumber(FIND($E$2:$E91,AM92)),TRUE)</f>
        <v>2</v>
      </c>
      <c r="AP92" s="126">
        <f>IFERROR(__xludf.DUMMYFUNCTION("iferror(COUNT(filter($O93:$O$395,$O93:$O$395&gt;$O92,arrayformula(isnumber(FIND($E93:$E$395,AM92))))))"),9.0)</f>
        <v>9</v>
      </c>
      <c r="AQ92" s="128">
        <f t="shared" si="10"/>
        <v>0</v>
      </c>
      <c r="AR92" s="129">
        <f>IFERROR(__xludf.DUMMYFUNCTION("$O92-min(filter($O92:$O$395,arrayformula(isnumber(FIND($E92:$E$395,AM92)))))"),4.0)</f>
        <v>4</v>
      </c>
      <c r="AS92" s="123" t="str">
        <f>IFERROR(__xludf.DUMMYFUNCTION("iferror(join("","",index(sort(filter($F93:$F$395,$O93:$O$395&gt;$O92,arrayformula(isnumber(FIND($E93:$E$395,AM92)))),2,false),0,1)))"),"Maryland,Florida,Georgia Southern,Tennessee,Mississippi State,LSU,Illinois,South Carolina,Missouri")</f>
        <v>Maryland,Florida,Georgia Southern,Tennessee,Mississippi State,LSU,Illinois,South Carolina,Missouri</v>
      </c>
    </row>
    <row r="93">
      <c r="A93" s="110">
        <v>92.0</v>
      </c>
      <c r="B93" s="110">
        <v>8.0</v>
      </c>
      <c r="C93" s="110">
        <v>1.0</v>
      </c>
      <c r="D93" s="111" t="s">
        <v>154</v>
      </c>
      <c r="E93" s="113" t="str">
        <f>if(F93&lt;&gt;"",VLOOKUP(F93,offset('Teams-Conference'!A:B,0,(counta('Draft Order'!B$2:B132)-10)*2),2,0),"")</f>
        <v>Sun Belt</v>
      </c>
      <c r="F93" s="115" t="s">
        <v>352</v>
      </c>
      <c r="G93" s="119" t="str">
        <f t="shared" si="16"/>
        <v/>
      </c>
      <c r="H93" s="122">
        <f t="shared" si="2"/>
        <v>2</v>
      </c>
      <c r="I93" s="122">
        <f t="shared" si="3"/>
        <v>3</v>
      </c>
      <c r="J93" s="122">
        <f t="shared" si="11"/>
        <v>1</v>
      </c>
      <c r="K93" s="122">
        <f t="shared" ref="K93:K98" si="25">countif(E73:E93,E94)</f>
        <v>4</v>
      </c>
      <c r="L93" s="122">
        <v>3.0</v>
      </c>
      <c r="M93" s="122">
        <f>IFERROR(__xludf.DUMMYFUNCTION("counta(iferror(filter(L$2:L92,E$2:E92=E93,L$2:L92&lt;L93)))"),0.0)</f>
        <v>0</v>
      </c>
      <c r="N93" s="122">
        <f>IFERROR(__xludf.DUMMYFUNCTION("counta(iferror(filter(L94:L$131,E94:E$131=E93,L94:L$134&gt;L93)))"),0.0)</f>
        <v>0</v>
      </c>
      <c r="O93" s="124">
        <f t="array" ref="O93:Z93">XLOOKUP(F93,'Current Week'!C:C,'Current Week'!D:O)</f>
        <v>3</v>
      </c>
      <c r="P93" s="122">
        <v>9.0</v>
      </c>
      <c r="Q93" s="123" t="s">
        <v>319</v>
      </c>
      <c r="R93" s="123" t="s">
        <v>57</v>
      </c>
      <c r="S93" s="123" t="s">
        <v>141</v>
      </c>
      <c r="T93" s="123"/>
      <c r="U93" s="123"/>
      <c r="V93" s="123"/>
      <c r="W93" s="123"/>
      <c r="X93" s="123"/>
      <c r="Y93" s="126"/>
      <c r="Z93" s="126"/>
      <c r="AA93" s="127">
        <f t="shared" si="4"/>
        <v>-7</v>
      </c>
      <c r="AB93" s="126">
        <f t="shared" si="5"/>
        <v>2</v>
      </c>
      <c r="AC93" s="126">
        <f>IFERROR(__xludf.DUMMYFUNCTION("iferror(COUNT(filter($O94:$O$395,$O94:$O$395&gt;$O93)))"),29.0)</f>
        <v>29</v>
      </c>
      <c r="AD93" s="128">
        <f t="shared" si="6"/>
        <v>0</v>
      </c>
      <c r="AE93" s="129">
        <f t="shared" si="7"/>
        <v>2</v>
      </c>
      <c r="AF93" s="123" t="str">
        <f>IFERROR(__xludf.DUMMYFUNCTION("iferror(join("","",index(sort(filter($F94:$F$396,$O94:$O$396&gt;$O93),2,false),0,1)))"),"Maryland,Texas State,Ball State,Florida,Buffalo,Syracuse,UNLV,Georgia Southern,Tennessee,Ohio,Kansas,Mississippi State,Florida Intl,Rutgers,LSU,Illinois,Auburn,Rice,Bowling Green,Arizona,South Carolina,Georgia Tech,Indiana,New Mexico State,Vanderbilt,UCon"&amp;"n,UL Monroe,Missouri,Duke")</f>
        <v>Maryland,Texas State,Ball State,Florida,Buffalo,Syracuse,UNLV,Georgia Southern,Tennessee,Ohio,Kansas,Mississippi State,Florida Intl,Rutgers,LSU,Illinois,Auburn,Rice,Bowling Green,Arizona,South Carolina,Georgia Tech,Indiana,New Mexico State,Vanderbilt,UConn,UL Monroe,Missouri,Duke</v>
      </c>
      <c r="AG93" s="127">
        <f>IFERROR(__xludf.DUMMYFUNCTION("iferror($O93-max(filter($O93:$O$395,$E93:$E$395=$E$2)))"),-5.0)</f>
        <v>-5</v>
      </c>
      <c r="AH93" s="126">
        <f t="shared" si="8"/>
        <v>0</v>
      </c>
      <c r="AI93" s="126">
        <f>IFERROR(__xludf.DUMMYFUNCTION("iferror(COUNT(filter($O94:$O$395,$O94:$O$395&gt;$O93,$E93:$E$395=$E$2)))"),0.0)</f>
        <v>0</v>
      </c>
      <c r="AJ93" s="128">
        <f t="shared" si="9"/>
        <v>0</v>
      </c>
      <c r="AK93" s="129">
        <f>IFERROR(__xludf.DUMMYFUNCTION("iferror($O93-min(filter($O93:$O$395,$E93:$E$395=$E$2)))"),2.0)</f>
        <v>2</v>
      </c>
      <c r="AL93" s="123" t="str">
        <f>IFERROR(__xludf.DUMMYFUNCTION("iferror(join("","",index(sort(filter($F94:$F$395,$O94:$O$395&gt;$O93,$E94:$E$395=$E$2),2,false),0,1)))"),"Maryland,Illinois,Indiana")</f>
        <v>Maryland,Illinois,Indiana</v>
      </c>
      <c r="AM93" s="123" t="str">
        <f>IFERROR(__xludf.DUMMYFUNCTION("REGEXREPLACE(join("","",unique({let(conf_picked,filter(E$1:E92,D$1:D92=D93), byrow(unique(TRANSPOSe(Teams!$1:$1)),lambda(rw,if(ISERROR(match(rw,conf_picked,0)),rw,))));iferror(if(#REF!,,transpose(split(#REF!,"","",1,1))))})), ""^,"", """")"),"Big Ten,SEC,Sun Belt")</f>
        <v>Big Ten,SEC,Sun Belt</v>
      </c>
      <c r="AN93" s="127">
        <f>IFERROR(__xludf.DUMMYFUNCTION("iferror($O93-max(filter($O93:$O$395,arrayformula(isnumber(FIND($E93:$E$395,AM93))))))"),-7.0)</f>
        <v>-7</v>
      </c>
      <c r="AO93" s="126">
        <f t="array" ref="AO93">countifs($O$2:$O92,"&lt;"&amp;$O93,isnumber(FIND($E$2:$E92,AM93)),TRUE)</f>
        <v>0</v>
      </c>
      <c r="AP93" s="126">
        <f>IFERROR(__xludf.DUMMYFUNCTION("iferror(COUNT(filter($O94:$O$395,$O94:$O$395&gt;$O93,arrayformula(isnumber(FIND($E94:$E$395,AM93))))))"),13.0)</f>
        <v>13</v>
      </c>
      <c r="AQ93" s="128">
        <f t="shared" si="10"/>
        <v>0</v>
      </c>
      <c r="AR93" s="129">
        <f>IFERROR(__xludf.DUMMYFUNCTION("$O93-min(filter($O93:$O$395,arrayformula(isnumber(FIND($E93:$E$395,AM93)))))"),2.0)</f>
        <v>2</v>
      </c>
      <c r="AS93" s="123" t="str">
        <f>IFERROR(__xludf.DUMMYFUNCTION("iferror(join("","",index(sort(filter($F94:$F$395,$O94:$O$395&gt;$O93,arrayformula(isnumber(FIND($E94:$E$395,AM93)))),2,false),0,1)))"),"Maryland,Texas State,Florida,Georgia Southern,Tennessee,Mississippi State,LSU,Illinois,Auburn,South Carolina,Indiana,UL Monroe,Missouri")</f>
        <v>Maryland,Texas State,Florida,Georgia Southern,Tennessee,Mississippi State,LSU,Illinois,Auburn,South Carolina,Indiana,UL Monroe,Missouri</v>
      </c>
    </row>
    <row r="94">
      <c r="A94" s="26">
        <v>93.0</v>
      </c>
      <c r="B94" s="26">
        <v>8.0</v>
      </c>
      <c r="C94" s="26">
        <v>2.0</v>
      </c>
      <c r="D94" s="132" t="s">
        <v>103</v>
      </c>
      <c r="E94" s="133" t="str">
        <f>if(F94&lt;&gt;"",VLOOKUP(F94,offset('Teams-Conference'!A:B,0,(counta('Draft Order'!B$2:B132)-10)*2),2,0),"")</f>
        <v>Big Ten</v>
      </c>
      <c r="F94" s="203" t="s">
        <v>341</v>
      </c>
      <c r="G94" s="135" t="str">
        <f t="shared" si="16"/>
        <v/>
      </c>
      <c r="H94" s="122">
        <f t="shared" si="2"/>
        <v>0</v>
      </c>
      <c r="I94" s="122">
        <f t="shared" si="3"/>
        <v>1</v>
      </c>
      <c r="J94" s="122">
        <f t="shared" si="11"/>
        <v>2</v>
      </c>
      <c r="K94" s="122">
        <f t="shared" si="25"/>
        <v>2</v>
      </c>
      <c r="L94" s="122">
        <v>7.0</v>
      </c>
      <c r="M94" s="122">
        <f>IFERROR(__xludf.DUMMYFUNCTION("counta(iferror(filter(L$2:L93,E$2:E93=E94,L$2:L93&lt;L94)))"),3.0)</f>
        <v>3</v>
      </c>
      <c r="N94" s="122">
        <f>IFERROR(__xludf.DUMMYFUNCTION("counta(iferror(filter(L95:L$131,E95:E$131=E94,L95:L$134&gt;L94)))"),0.0)</f>
        <v>0</v>
      </c>
      <c r="O94" s="124">
        <f t="array" ref="O94:Z94">XLOOKUP(F94,'Current Week'!C:C,'Current Week'!D:O)</f>
        <v>7</v>
      </c>
      <c r="P94" s="122">
        <v>5.0</v>
      </c>
      <c r="Q94" s="123" t="s">
        <v>390</v>
      </c>
      <c r="R94" s="123" t="s">
        <v>57</v>
      </c>
      <c r="S94" s="123" t="s">
        <v>141</v>
      </c>
      <c r="T94" s="123"/>
      <c r="U94" s="123"/>
      <c r="V94" s="123"/>
      <c r="W94" s="123"/>
      <c r="X94" s="123"/>
      <c r="Y94" s="126"/>
      <c r="Z94" s="126"/>
      <c r="AA94" s="127">
        <f t="shared" si="4"/>
        <v>-3</v>
      </c>
      <c r="AB94" s="126">
        <f t="shared" si="5"/>
        <v>37</v>
      </c>
      <c r="AC94" s="126">
        <f>IFERROR(__xludf.DUMMYFUNCTION("iferror(COUNT(filter($O95:$O$395,$O95:$O$395&gt;$O94)))"),7.0)</f>
        <v>7</v>
      </c>
      <c r="AD94" s="128">
        <f t="shared" si="6"/>
        <v>0</v>
      </c>
      <c r="AE94" s="129">
        <f t="shared" si="7"/>
        <v>6</v>
      </c>
      <c r="AF94" s="123" t="str">
        <f>IFERROR(__xludf.DUMMYFUNCTION("iferror(join("","",index(sort(filter($F95:$F$396,$O95:$O$396&gt;$O94),2,false),0,1)))"),"Tennessee,Ohio,Mississippi State,LSU,Illinois,South Carolina,Duke")</f>
        <v>Tennessee,Ohio,Mississippi State,LSU,Illinois,South Carolina,Duke</v>
      </c>
      <c r="AG94" s="127">
        <f>IFERROR(__xludf.DUMMYFUNCTION("iferror($O94-max(filter($O94:$O$395,$E94:$E$395=$E$2)))"),-1.0)</f>
        <v>-1</v>
      </c>
      <c r="AH94" s="126">
        <f t="shared" si="8"/>
        <v>3</v>
      </c>
      <c r="AI94" s="126">
        <f>IFERROR(__xludf.DUMMYFUNCTION("iferror(COUNT(filter($O95:$O$395,$O95:$O$395&gt;$O94,$E94:$E$395=$E$2)))"),0.0)</f>
        <v>0</v>
      </c>
      <c r="AJ94" s="128">
        <f t="shared" si="9"/>
        <v>0</v>
      </c>
      <c r="AK94" s="129">
        <f>IFERROR(__xludf.DUMMYFUNCTION("iferror($O94-min(filter($O94:$O$395,$E94:$E$395=$E$2)))"),6.0)</f>
        <v>6</v>
      </c>
      <c r="AL94" s="123" t="str">
        <f>IFERROR(__xludf.DUMMYFUNCTION("iferror(join("","",index(sort(filter($F95:$F$395,$O95:$O$395&gt;$O94,$E95:$E$395=$E$2),2,false),0,1)))"),"Illinois")</f>
        <v>Illinois</v>
      </c>
      <c r="AM94" s="123" t="str">
        <f>IFERROR(__xludf.DUMMYFUNCTION("REGEXREPLACE(join("","",unique({let(conf_picked,filter(E$1:E93,D$1:D93=D94), byrow(unique(TRANSPOSe(Teams!$1:$1)),lambda(rw,if(ISERROR(match(rw,conf_picked,0)),rw,))));iferror(if(#REF!,,transpose(split(#REF!,"","",1,1))))})), ""^,"", """")"),"AAC,,Big Ten,Pac12")</f>
        <v>AAC,,Big Ten,Pac12</v>
      </c>
      <c r="AN94" s="127">
        <f>IFERROR(__xludf.DUMMYFUNCTION("iferror($O94-max(filter($O94:$O$395,arrayformula(isnumber(FIND($E94:$E$395,AM94))))))"),-1.0)</f>
        <v>-1</v>
      </c>
      <c r="AO94" s="126">
        <f t="array" ref="AO94">countifs($O$2:$O93,"&lt;"&amp;$O94,isnumber(FIND($E$2:$E93,AM94)),TRUE)</f>
        <v>10</v>
      </c>
      <c r="AP94" s="126">
        <f>IFERROR(__xludf.DUMMYFUNCTION("iferror(COUNT(filter($O95:$O$395,$O95:$O$395&gt;$O94,arrayformula(isnumber(FIND($E95:$E$395,AM94))))))"),1.0)</f>
        <v>1</v>
      </c>
      <c r="AQ94" s="128">
        <f t="shared" si="10"/>
        <v>0</v>
      </c>
      <c r="AR94" s="129">
        <f>IFERROR(__xludf.DUMMYFUNCTION("$O94-min(filter($O94:$O$395,arrayformula(isnumber(FIND($E94:$E$395,AM94)))))"),6.0)</f>
        <v>6</v>
      </c>
      <c r="AS94" s="123" t="str">
        <f>IFERROR(__xludf.DUMMYFUNCTION("iferror(join("","",index(sort(filter($F95:$F$395,$O95:$O$395&gt;$O94,arrayformula(isnumber(FIND($E95:$E$395,AM94)))),2,false),0,1)))"),"Illinois")</f>
        <v>Illinois</v>
      </c>
    </row>
    <row r="95">
      <c r="A95" s="26">
        <v>94.0</v>
      </c>
      <c r="B95" s="26">
        <v>8.0</v>
      </c>
      <c r="C95" s="26">
        <v>3.0</v>
      </c>
      <c r="D95" s="137" t="s">
        <v>148</v>
      </c>
      <c r="E95" s="133" t="str">
        <f>if(F95&lt;&gt;"",VLOOKUP(F95,offset('Teams-Conference'!A:B,0,(counta('Draft Order'!B$2:B132)-10)*2),2,0),"")</f>
        <v>Sun Belt</v>
      </c>
      <c r="F95" s="143" t="s">
        <v>380</v>
      </c>
      <c r="G95" s="135" t="str">
        <f t="shared" si="16"/>
        <v/>
      </c>
      <c r="H95" s="122">
        <f t="shared" si="2"/>
        <v>1</v>
      </c>
      <c r="I95" s="122">
        <f t="shared" si="3"/>
        <v>2</v>
      </c>
      <c r="J95" s="122">
        <f t="shared" si="11"/>
        <v>1</v>
      </c>
      <c r="K95" s="122">
        <f t="shared" si="25"/>
        <v>0</v>
      </c>
      <c r="L95" s="122">
        <v>4.0</v>
      </c>
      <c r="M95" s="122">
        <f>IFERROR(__xludf.DUMMYFUNCTION("counta(iferror(filter(L$2:L94,E$2:E94=E95,L$2:L94&lt;L95)))"),1.0)</f>
        <v>1</v>
      </c>
      <c r="N95" s="122">
        <f>IFERROR(__xludf.DUMMYFUNCTION("counta(iferror(filter(L96:L$131,E96:E$131=E95,L96:L$134&gt;L95)))"),0.0)</f>
        <v>0</v>
      </c>
      <c r="O95" s="124">
        <f t="array" ref="O95:Z95">XLOOKUP(F95,'Current Week'!C:C,'Current Week'!D:O)</f>
        <v>4</v>
      </c>
      <c r="P95" s="122">
        <v>8.0</v>
      </c>
      <c r="Q95" s="123" t="s">
        <v>293</v>
      </c>
      <c r="R95" s="123" t="s">
        <v>57</v>
      </c>
      <c r="S95" s="123" t="s">
        <v>109</v>
      </c>
      <c r="T95" s="123" t="s">
        <v>133</v>
      </c>
      <c r="U95" s="123"/>
      <c r="V95" s="123"/>
      <c r="W95" s="123"/>
      <c r="X95" s="123"/>
      <c r="Y95" s="126"/>
      <c r="Z95" s="126"/>
      <c r="AA95" s="127">
        <f t="shared" si="4"/>
        <v>-6</v>
      </c>
      <c r="AB95" s="126">
        <f t="shared" si="5"/>
        <v>10</v>
      </c>
      <c r="AC95" s="126">
        <f>IFERROR(__xludf.DUMMYFUNCTION("iferror(COUNT(filter($O96:$O$395,$O96:$O$395&gt;$O95)))"),23.0)</f>
        <v>23</v>
      </c>
      <c r="AD95" s="128">
        <f t="shared" si="6"/>
        <v>0</v>
      </c>
      <c r="AE95" s="129">
        <f t="shared" si="7"/>
        <v>3</v>
      </c>
      <c r="AF95" s="123" t="str">
        <f>IFERROR(__xludf.DUMMYFUNCTION("iferror(join("","",index(sort(filter($F96:$F$396,$O96:$O$396&gt;$O95),2,false),0,1)))"),"Ball State,Florida,Buffalo,Syracuse,UNLV,Georgia Southern,Tennessee,Ohio,Kansas,Mississippi State,LSU,Illinois,Auburn,Rice,Bowling Green,Arizona,South Carolina,Georgia Tech,New Mexico State,Vanderbilt,UConn,Missouri,Duke")</f>
        <v>Ball State,Florida,Buffalo,Syracuse,UNLV,Georgia Southern,Tennessee,Ohio,Kansas,Mississippi State,LSU,Illinois,Auburn,Rice,Bowling Green,Arizona,South Carolina,Georgia Tech,New Mexico State,Vanderbilt,UConn,Missouri,Duke</v>
      </c>
      <c r="AG95" s="127">
        <f>IFERROR(__xludf.DUMMYFUNCTION("iferror($O95-max(filter($O95:$O$395,$E95:$E$395=$E$2)))"),-4.0)</f>
        <v>-4</v>
      </c>
      <c r="AH95" s="126">
        <f t="shared" si="8"/>
        <v>0</v>
      </c>
      <c r="AI95" s="126">
        <f>IFERROR(__xludf.DUMMYFUNCTION("iferror(COUNT(filter($O96:$O$395,$O96:$O$395&gt;$O95,$E95:$E$395=$E$2)))"),0.0)</f>
        <v>0</v>
      </c>
      <c r="AJ95" s="128">
        <f t="shared" si="9"/>
        <v>0</v>
      </c>
      <c r="AK95" s="129">
        <f>IFERROR(__xludf.DUMMYFUNCTION("iferror($O95-min(filter($O95:$O$395,$E95:$E$395=$E$2)))"),3.0)</f>
        <v>3</v>
      </c>
      <c r="AL95" s="123" t="str">
        <f>IFERROR(__xludf.DUMMYFUNCTION("iferror(join("","",index(sort(filter($F96:$F$395,$O96:$O$395&gt;$O95,$E96:$E$395=$E$2),2,false),0,1)))"),"Illinois")</f>
        <v>Illinois</v>
      </c>
      <c r="AM95" s="123" t="str">
        <f>IFERROR(__xludf.DUMMYFUNCTION("REGEXREPLACE(join("","",unique({let(conf_picked,filter(E$1:E94,D$1:D94=D95), byrow(unique(TRANSPOSe(Teams!$1:$1)),lambda(rw,if(ISERROR(match(rw,conf_picked,0)),rw,))));iferror(if(#REF!,,transpose(split(#REF!,"","",1,1))))})), ""^,"", """")"),"CUSA,MAC,Sun Belt")</f>
        <v>CUSA,MAC,Sun Belt</v>
      </c>
      <c r="AN95" s="127">
        <f>IFERROR(__xludf.DUMMYFUNCTION("iferror($O95-max(filter($O95:$O$395,arrayformula(isnumber(FIND($E95:$E$395,AM95))))))"),-5.0)</f>
        <v>-5</v>
      </c>
      <c r="AO95" s="126">
        <f t="array" ref="AO95">countifs($O$2:$O94,"&lt;"&amp;$O95,isnumber(FIND($E$2:$E94,AM95)),TRUE)</f>
        <v>2</v>
      </c>
      <c r="AP95" s="126">
        <f>IFERROR(__xludf.DUMMYFUNCTION("iferror(COUNT(filter($O96:$O$395,$O96:$O$395&gt;$O95,arrayformula(isnumber(FIND($E96:$E$395,AM95))))))"),6.0)</f>
        <v>6</v>
      </c>
      <c r="AQ95" s="128">
        <f t="shared" si="10"/>
        <v>0</v>
      </c>
      <c r="AR95" s="129">
        <f>IFERROR(__xludf.DUMMYFUNCTION("$O95-min(filter($O95:$O$395,arrayformula(isnumber(FIND($E95:$E$395,AM95)))))"),3.0)</f>
        <v>3</v>
      </c>
      <c r="AS95" s="123" t="str">
        <f>IFERROR(__xludf.DUMMYFUNCTION("iferror(join("","",index(sort(filter($F96:$F$395,$O96:$O$395&gt;$O95,arrayformula(isnumber(FIND($E96:$E$395,AM95)))),2,false),0,1)))"),"Ball State,Buffalo,Georgia Southern,Ohio,Rice,Bowling Green")</f>
        <v>Ball State,Buffalo,Georgia Southern,Ohio,Rice,Bowling Green</v>
      </c>
    </row>
    <row r="96">
      <c r="A96" s="26">
        <v>95.0</v>
      </c>
      <c r="B96" s="26">
        <v>8.0</v>
      </c>
      <c r="C96" s="26">
        <v>4.0</v>
      </c>
      <c r="D96" s="132" t="s">
        <v>116</v>
      </c>
      <c r="E96" s="133" t="str">
        <f>if(F96&lt;&gt;"",VLOOKUP(F96,offset('Teams-Conference'!A:B,0,(counta('Draft Order'!B$2:B132)-10)*2),2,0),"")</f>
        <v>MAC</v>
      </c>
      <c r="F96" s="134" t="s">
        <v>329</v>
      </c>
      <c r="G96" s="135" t="str">
        <f t="shared" si="16"/>
        <v/>
      </c>
      <c r="H96" s="122">
        <f t="shared" si="2"/>
        <v>2</v>
      </c>
      <c r="I96" s="122">
        <f t="shared" si="3"/>
        <v>3</v>
      </c>
      <c r="J96" s="122">
        <f t="shared" si="11"/>
        <v>0</v>
      </c>
      <c r="K96" s="122">
        <f t="shared" si="25"/>
        <v>2</v>
      </c>
      <c r="L96" s="122">
        <v>5.0</v>
      </c>
      <c r="M96" s="122">
        <f>IFERROR(__xludf.DUMMYFUNCTION("counta(iferror(filter(L$2:L95,E$2:E95=E96,L$2:L95&lt;L96)))"),2.0)</f>
        <v>2</v>
      </c>
      <c r="N96" s="122">
        <f>IFERROR(__xludf.DUMMYFUNCTION("counta(iferror(filter(L97:L$131,E97:E$131=E96,L97:L$134&gt;L96)))"),0.0)</f>
        <v>0</v>
      </c>
      <c r="O96" s="124">
        <f t="array" ref="O96:Z96">XLOOKUP(F96,'Current Week'!C:C,'Current Week'!D:O)</f>
        <v>5</v>
      </c>
      <c r="P96" s="122">
        <v>7.0</v>
      </c>
      <c r="Q96" s="123" t="s">
        <v>209</v>
      </c>
      <c r="R96" s="123" t="s">
        <v>57</v>
      </c>
      <c r="S96" s="123" t="s">
        <v>131</v>
      </c>
      <c r="T96" s="123"/>
      <c r="U96" s="123"/>
      <c r="V96" s="123"/>
      <c r="W96" s="123"/>
      <c r="X96" s="123"/>
      <c r="Y96" s="126"/>
      <c r="Z96" s="126"/>
      <c r="AA96" s="127">
        <f t="shared" si="4"/>
        <v>-5</v>
      </c>
      <c r="AB96" s="126">
        <f t="shared" si="5"/>
        <v>17</v>
      </c>
      <c r="AC96" s="126">
        <f>IFERROR(__xludf.DUMMYFUNCTION("iferror(COUNT(filter($O97:$O$395,$O97:$O$395&gt;$O96)))"),16.0)</f>
        <v>16</v>
      </c>
      <c r="AD96" s="128">
        <f t="shared" si="6"/>
        <v>0</v>
      </c>
      <c r="AE96" s="129">
        <f t="shared" si="7"/>
        <v>4</v>
      </c>
      <c r="AF96" s="123" t="str">
        <f>IFERROR(__xludf.DUMMYFUNCTION("iferror(join("","",index(sort(filter($F97:$F$396,$O97:$O$396&gt;$O96),2,false),0,1)))"),"Florida,Buffalo,Syracuse,Georgia Southern,Tennessee,Ohio,Kansas,Mississippi State,LSU,Illinois,Bowling Green,South Carolina,New Mexico State,UConn,Missouri,Duke")</f>
        <v>Florida,Buffalo,Syracuse,Georgia Southern,Tennessee,Ohio,Kansas,Mississippi State,LSU,Illinois,Bowling Green,South Carolina,New Mexico State,UConn,Missouri,Duke</v>
      </c>
      <c r="AG96" s="127">
        <f>IFERROR(__xludf.DUMMYFUNCTION("iferror($O96-max(filter($O96:$O$395,$E96:$E$395=$E$2)))"),-3.0)</f>
        <v>-3</v>
      </c>
      <c r="AH96" s="126">
        <f t="shared" si="8"/>
        <v>1</v>
      </c>
      <c r="AI96" s="126">
        <f>IFERROR(__xludf.DUMMYFUNCTION("iferror(COUNT(filter($O97:$O$395,$O97:$O$395&gt;$O96,$E96:$E$395=$E$2)))"),0.0)</f>
        <v>0</v>
      </c>
      <c r="AJ96" s="128">
        <f t="shared" si="9"/>
        <v>0</v>
      </c>
      <c r="AK96" s="129">
        <f>IFERROR(__xludf.DUMMYFUNCTION("iferror($O96-min(filter($O96:$O$395,$E96:$E$395=$E$2)))"),4.0)</f>
        <v>4</v>
      </c>
      <c r="AL96" s="123" t="str">
        <f>IFERROR(__xludf.DUMMYFUNCTION("iferror(join("","",index(sort(filter($F97:$F$395,$O97:$O$395&gt;$O96,$E97:$E$395=$E$2),2,false),0,1)))"),"Illinois")</f>
        <v>Illinois</v>
      </c>
      <c r="AM96" s="123" t="str">
        <f>IFERROR(__xludf.DUMMYFUNCTION("REGEXREPLACE(join("","",unique({let(conf_picked,filter(E$1:E95,D$1:D95=D96), byrow(unique(TRANSPOSe(Teams!$1:$1)),lambda(rw,if(ISERROR(match(rw,conf_picked,0)),rw,))));iferror(if(#REF!,,transpose(split(#REF!,"","",1,1))))})), ""^,"", """")"),"ACC,CUSA,MAC")</f>
        <v>ACC,CUSA,MAC</v>
      </c>
      <c r="AN96" s="127">
        <f>IFERROR(__xludf.DUMMYFUNCTION("iferror($O96-max(filter($O96:$O$395,arrayformula(isnumber(FIND($E96:$E$395,AM96))))))"),-4.0)</f>
        <v>-4</v>
      </c>
      <c r="AO96" s="126">
        <f t="array" ref="AO96">countifs($O$2:$O95,"&lt;"&amp;$O96,isnumber(FIND($E$2:$E95,AM96)),TRUE)</f>
        <v>5</v>
      </c>
      <c r="AP96" s="126">
        <f>IFERROR(__xludf.DUMMYFUNCTION("iferror(COUNT(filter($O97:$O$395,$O97:$O$395&gt;$O96,arrayformula(isnumber(FIND($E97:$E$395,AM96))))))"),5.0)</f>
        <v>5</v>
      </c>
      <c r="AQ96" s="128">
        <f t="shared" si="10"/>
        <v>0</v>
      </c>
      <c r="AR96" s="129">
        <f>IFERROR(__xludf.DUMMYFUNCTION("$O96-min(filter($O96:$O$395,arrayformula(isnumber(FIND($E96:$E$395,AM96)))))"),4.0)</f>
        <v>4</v>
      </c>
      <c r="AS96" s="123" t="str">
        <f>IFERROR(__xludf.DUMMYFUNCTION("iferror(join("","",index(sort(filter($F97:$F$395,$O97:$O$395&gt;$O96,arrayformula(isnumber(FIND($E97:$E$395,AM96)))),2,false),0,1)))"),"Buffalo,Syracuse,Ohio,Bowling Green,Duke")</f>
        <v>Buffalo,Syracuse,Ohio,Bowling Green,Duke</v>
      </c>
    </row>
    <row r="97">
      <c r="A97" s="26">
        <v>96.0</v>
      </c>
      <c r="B97" s="26">
        <v>8.0</v>
      </c>
      <c r="C97" s="26">
        <v>5.0</v>
      </c>
      <c r="D97" s="132" t="s">
        <v>166</v>
      </c>
      <c r="E97" s="133" t="str">
        <f>if(F97&lt;&gt;"",VLOOKUP(F97,offset('Teams-Conference'!A:B,0,(counta('Draft Order'!B$2:B132)-10)*2),2,0),"")</f>
        <v>CUSA</v>
      </c>
      <c r="F97" s="143" t="s">
        <v>334</v>
      </c>
      <c r="G97" s="135" t="str">
        <f t="shared" si="16"/>
        <v/>
      </c>
      <c r="H97" s="122">
        <f t="shared" si="2"/>
        <v>1</v>
      </c>
      <c r="I97" s="122">
        <f t="shared" si="3"/>
        <v>3</v>
      </c>
      <c r="J97" s="122">
        <f t="shared" si="11"/>
        <v>1</v>
      </c>
      <c r="K97" s="122">
        <f t="shared" si="25"/>
        <v>1</v>
      </c>
      <c r="L97" s="122">
        <v>3.0</v>
      </c>
      <c r="M97" s="122">
        <f>IFERROR(__xludf.DUMMYFUNCTION("counta(iferror(filter(L$2:L96,E$2:E96=E97,L$2:L96&lt;L97)))"),0.0)</f>
        <v>0</v>
      </c>
      <c r="N97" s="122">
        <f>IFERROR(__xludf.DUMMYFUNCTION("counta(iferror(filter(L98:L$131,E98:E$131=E97,L98:L$134&gt;L97)))"),0.0)</f>
        <v>0</v>
      </c>
      <c r="O97" s="124">
        <f t="array" ref="O97:Z97">XLOOKUP(F97,'Current Week'!C:C,'Current Week'!D:O)</f>
        <v>3</v>
      </c>
      <c r="P97" s="122">
        <v>9.0</v>
      </c>
      <c r="Q97" s="123" t="s">
        <v>396</v>
      </c>
      <c r="R97" s="123" t="s">
        <v>183</v>
      </c>
      <c r="S97" s="123" t="s">
        <v>103</v>
      </c>
      <c r="T97" s="123" t="s">
        <v>126</v>
      </c>
      <c r="U97" s="123"/>
      <c r="V97" s="123"/>
      <c r="W97" s="123"/>
      <c r="X97" s="123"/>
      <c r="Y97" s="126"/>
      <c r="Z97" s="126"/>
      <c r="AA97" s="127">
        <f t="shared" si="4"/>
        <v>-7</v>
      </c>
      <c r="AB97" s="126">
        <f t="shared" si="5"/>
        <v>2</v>
      </c>
      <c r="AC97" s="126">
        <f>IFERROR(__xludf.DUMMYFUNCTION("iferror(COUNT(filter($O98:$O$395,$O98:$O$395&gt;$O97)))"),26.0)</f>
        <v>26</v>
      </c>
      <c r="AD97" s="128">
        <f t="shared" si="6"/>
        <v>0</v>
      </c>
      <c r="AE97" s="129">
        <f t="shared" si="7"/>
        <v>2</v>
      </c>
      <c r="AF97" s="123" t="str">
        <f>IFERROR(__xludf.DUMMYFUNCTION("iferror(join("","",index(sort(filter($F98:$F$396,$O98:$O$396&gt;$O97),2,false),0,1)))"),"Florida,Buffalo,Syracuse,UNLV,Georgia Southern,Tennessee,Ohio,Kansas,Mississippi State,Florida Intl,Rutgers,LSU,Illinois,Auburn,Rice,Bowling Green,Arizona,South Carolina,Georgia Tech,Indiana,New Mexico State,Vanderbilt,UConn,UL Monroe,Missouri,Duke")</f>
        <v>Florida,Buffalo,Syracuse,UNLV,Georgia Southern,Tennessee,Ohio,Kansas,Mississippi State,Florida Intl,Rutgers,LSU,Illinois,Auburn,Rice,Bowling Green,Arizona,South Carolina,Georgia Tech,Indiana,New Mexico State,Vanderbilt,UConn,UL Monroe,Missouri,Duke</v>
      </c>
      <c r="AG97" s="127">
        <f>IFERROR(__xludf.DUMMYFUNCTION("iferror($O97-max(filter($O97:$O$395,$E97:$E$395=$E$2)))"),-5.0)</f>
        <v>-5</v>
      </c>
      <c r="AH97" s="126">
        <f t="shared" si="8"/>
        <v>0</v>
      </c>
      <c r="AI97" s="126">
        <f>IFERROR(__xludf.DUMMYFUNCTION("iferror(COUNT(filter($O98:$O$395,$O98:$O$395&gt;$O97,$E97:$E$395=$E$2)))"),0.0)</f>
        <v>0</v>
      </c>
      <c r="AJ97" s="128">
        <f t="shared" si="9"/>
        <v>0</v>
      </c>
      <c r="AK97" s="129">
        <f>IFERROR(__xludf.DUMMYFUNCTION("iferror($O97-min(filter($O97:$O$395,$E97:$E$395=$E$2)))"),2.0)</f>
        <v>2</v>
      </c>
      <c r="AL97" s="123" t="str">
        <f>IFERROR(__xludf.DUMMYFUNCTION("iferror(join("","",index(sort(filter($F98:$F$395,$O98:$O$395&gt;$O97,$E98:$E$395=$E$2),2,false),0,1)))"),"Illinois,Indiana")</f>
        <v>Illinois,Indiana</v>
      </c>
      <c r="AM97" s="123" t="str">
        <f>IFERROR(__xludf.DUMMYFUNCTION("REGEXREPLACE(join("","",unique({let(conf_picked,filter(E$1:E96,D$1:D96=D97), byrow(unique(TRANSPOSe(Teams!$1:$1)),lambda(rw,if(ISERROR(match(rw,conf_picked,0)),rw,))));iferror(if(#REF!,,transpose(split(#REF!,"","",1,1))))})), ""^,"", """")"),"Big Ten,CUSA,SEC")</f>
        <v>Big Ten,CUSA,SEC</v>
      </c>
      <c r="AN97" s="127">
        <f>IFERROR(__xludf.DUMMYFUNCTION("iferror($O97-max(filter($O97:$O$395,arrayformula(isnumber(FIND($E97:$E$395,AM97))))))"),-7.0)</f>
        <v>-7</v>
      </c>
      <c r="AO97" s="126">
        <f t="array" ref="AO97">countifs($O$2:$O96,"&lt;"&amp;$O97,isnumber(FIND($E$2:$E96,AM97)),TRUE)</f>
        <v>0</v>
      </c>
      <c r="AP97" s="126">
        <f>IFERROR(__xludf.DUMMYFUNCTION("iferror(COUNT(filter($O98:$O$395,$O98:$O$395&gt;$O97,arrayformula(isnumber(FIND($E98:$E$395,AM97))))))"),11.0)</f>
        <v>11</v>
      </c>
      <c r="AQ97" s="128">
        <f t="shared" si="10"/>
        <v>0</v>
      </c>
      <c r="AR97" s="129">
        <f>IFERROR(__xludf.DUMMYFUNCTION("$O97-min(filter($O97:$O$395,arrayformula(isnumber(FIND($E97:$E$395,AM97)))))"),2.0)</f>
        <v>2</v>
      </c>
      <c r="AS97" s="123" t="str">
        <f>IFERROR(__xludf.DUMMYFUNCTION("iferror(join("","",index(sort(filter($F98:$F$395,$O98:$O$395&gt;$O97,arrayformula(isnumber(FIND($E98:$E$395,AM97)))),2,false),0,1)))"),"Florida,Tennessee,Mississippi State,Florida Intl,LSU,Illinois,Auburn,Rice,South Carolina,Indiana,Missouri")</f>
        <v>Florida,Tennessee,Mississippi State,Florida Intl,LSU,Illinois,Auburn,Rice,South Carolina,Indiana,Missouri</v>
      </c>
    </row>
    <row r="98">
      <c r="A98" s="26">
        <v>97.0</v>
      </c>
      <c r="B98" s="26">
        <v>8.0</v>
      </c>
      <c r="C98" s="26">
        <v>6.0</v>
      </c>
      <c r="D98" s="132" t="s">
        <v>144</v>
      </c>
      <c r="E98" s="133" t="str">
        <f>if(F98&lt;&gt;"",VLOOKUP(F98,offset('Teams-Conference'!A:B,0,(counta('Draft Order'!B$2:B132)-10)*2),2,0),"")</f>
        <v>SEC</v>
      </c>
      <c r="F98" s="138" t="s">
        <v>346</v>
      </c>
      <c r="G98" s="135" t="str">
        <f t="shared" si="16"/>
        <v/>
      </c>
      <c r="H98" s="122">
        <f t="shared" si="2"/>
        <v>2</v>
      </c>
      <c r="I98" s="122">
        <f t="shared" si="3"/>
        <v>5</v>
      </c>
      <c r="J98" s="122">
        <f t="shared" si="11"/>
        <v>1</v>
      </c>
      <c r="K98" s="122">
        <f t="shared" si="25"/>
        <v>1</v>
      </c>
      <c r="L98" s="122">
        <v>6.0</v>
      </c>
      <c r="M98" s="122">
        <f>IFERROR(__xludf.DUMMYFUNCTION("counta(iferror(filter(L$2:L97,E$2:E97=E98,L$2:L97&lt;L98)))"),1.0)</f>
        <v>1</v>
      </c>
      <c r="N98" s="122">
        <f>IFERROR(__xludf.DUMMYFUNCTION("counta(iferror(filter(L99:L$131,E99:E$131=E98,L99:L$134&gt;L98)))"),0.0)</f>
        <v>0</v>
      </c>
      <c r="O98" s="124">
        <f t="array" ref="O98:Z98">XLOOKUP(F98,'Current Week'!C:C,'Current Week'!D:O)</f>
        <v>6</v>
      </c>
      <c r="P98" s="122">
        <v>6.0</v>
      </c>
      <c r="Q98" s="123" t="s">
        <v>416</v>
      </c>
      <c r="R98" s="123" t="s">
        <v>57</v>
      </c>
      <c r="S98" s="123" t="s">
        <v>103</v>
      </c>
      <c r="T98" s="123"/>
      <c r="U98" s="123"/>
      <c r="V98" s="123"/>
      <c r="W98" s="123"/>
      <c r="X98" s="123"/>
      <c r="Y98" s="126"/>
      <c r="Z98" s="126"/>
      <c r="AA98" s="127">
        <f t="shared" si="4"/>
        <v>-4</v>
      </c>
      <c r="AB98" s="126">
        <f t="shared" si="5"/>
        <v>29</v>
      </c>
      <c r="AC98" s="126">
        <f>IFERROR(__xludf.DUMMYFUNCTION("iferror(COUNT(filter($O99:$O$395,$O99:$O$395&gt;$O98)))"),8.0)</f>
        <v>8</v>
      </c>
      <c r="AD98" s="128">
        <f t="shared" si="6"/>
        <v>0</v>
      </c>
      <c r="AE98" s="129">
        <f t="shared" si="7"/>
        <v>5</v>
      </c>
      <c r="AF98" s="123" t="str">
        <f>IFERROR(__xludf.DUMMYFUNCTION("iferror(join("","",index(sort(filter($F99:$F$396,$O99:$O$396&gt;$O98),2,false),0,1)))"),"Syracuse,Tennessee,Ohio,Mississippi State,LSU,Illinois,South Carolina,Duke")</f>
        <v>Syracuse,Tennessee,Ohio,Mississippi State,LSU,Illinois,South Carolina,Duke</v>
      </c>
      <c r="AG98" s="127">
        <f>IFERROR(__xludf.DUMMYFUNCTION("iferror($O98-max(filter($O98:$O$395,$E98:$E$395=$E$2)))"),-2.0)</f>
        <v>-2</v>
      </c>
      <c r="AH98" s="126">
        <f t="shared" si="8"/>
        <v>2</v>
      </c>
      <c r="AI98" s="126">
        <f>IFERROR(__xludf.DUMMYFUNCTION("iferror(COUNT(filter($O99:$O$395,$O99:$O$395&gt;$O98,$E98:$E$395=$E$2)))"),0.0)</f>
        <v>0</v>
      </c>
      <c r="AJ98" s="128">
        <f t="shared" si="9"/>
        <v>0</v>
      </c>
      <c r="AK98" s="129">
        <f>IFERROR(__xludf.DUMMYFUNCTION("iferror($O98-min(filter($O98:$O$395,$E98:$E$395=$E$2)))"),5.0)</f>
        <v>5</v>
      </c>
      <c r="AL98" s="123" t="str">
        <f>IFERROR(__xludf.DUMMYFUNCTION("iferror(join("","",index(sort(filter($F99:$F$395,$O99:$O$395&gt;$O98,$E99:$E$395=$E$2),2,false),0,1)))"),"Illinois")</f>
        <v>Illinois</v>
      </c>
      <c r="AM98" s="123" t="str">
        <f>IFERROR(__xludf.DUMMYFUNCTION("REGEXREPLACE(join("","",unique({let(conf_picked,filter(E$1:E97,D$1:D97=D98), byrow(unique(TRANSPOSe(Teams!$1:$1)),lambda(rw,if(ISERROR(match(rw,conf_picked,0)),rw,))));iferror(if(#REF!,,transpose(split(#REF!,"","",1,1))))})), ""^,"", """")"),"Big Ten,Pac12,SEC")</f>
        <v>Big Ten,Pac12,SEC</v>
      </c>
      <c r="AN98" s="127">
        <f>IFERROR(__xludf.DUMMYFUNCTION("iferror($O98-max(filter($O98:$O$395,arrayformula(isnumber(FIND($E98:$E$395,AM98))))))"),-4.0)</f>
        <v>-4</v>
      </c>
      <c r="AO98" s="126">
        <f t="array" ref="AO98">countifs($O$2:$O97,"&lt;"&amp;$O98,isnumber(FIND($E$2:$E97,AM98)),TRUE)</f>
        <v>5</v>
      </c>
      <c r="AP98" s="126">
        <f>IFERROR(__xludf.DUMMYFUNCTION("iferror(COUNT(filter($O99:$O$395,$O99:$O$395&gt;$O98,arrayformula(isnumber(FIND($E99:$E$395,AM98))))))"),5.0)</f>
        <v>5</v>
      </c>
      <c r="AQ98" s="128">
        <f t="shared" si="10"/>
        <v>0</v>
      </c>
      <c r="AR98" s="129">
        <f>IFERROR(__xludf.DUMMYFUNCTION("$O98-min(filter($O98:$O$395,arrayformula(isnumber(FIND($E98:$E$395,AM98)))))"),5.0)</f>
        <v>5</v>
      </c>
      <c r="AS98" s="123" t="str">
        <f>IFERROR(__xludf.DUMMYFUNCTION("iferror(join("","",index(sort(filter($F99:$F$395,$O99:$O$395&gt;$O98,arrayformula(isnumber(FIND($E99:$E$395,AM98)))),2,false),0,1)))"),"Tennessee,Mississippi State,LSU,Illinois,South Carolina")</f>
        <v>Tennessee,Mississippi State,LSU,Illinois,South Carolina</v>
      </c>
    </row>
    <row r="99">
      <c r="A99" s="26">
        <v>98.0</v>
      </c>
      <c r="B99" s="26">
        <v>8.0</v>
      </c>
      <c r="C99" s="26">
        <v>7.0</v>
      </c>
      <c r="D99" s="132" t="s">
        <v>109</v>
      </c>
      <c r="E99" s="133" t="str">
        <f>if(F99&lt;&gt;"",VLOOKUP(F99,offset('Teams-Conference'!A:B,0,(counta('Draft Order'!B$2:B132)-10)*2),2,0),"")</f>
        <v>MAC</v>
      </c>
      <c r="F99" s="143" t="s">
        <v>344</v>
      </c>
      <c r="G99" s="135" t="str">
        <f t="shared" si="16"/>
        <v/>
      </c>
      <c r="H99" s="122">
        <f t="shared" si="2"/>
        <v>1</v>
      </c>
      <c r="I99" s="122">
        <f t="shared" si="3"/>
        <v>2</v>
      </c>
      <c r="J99" s="122">
        <f t="shared" si="11"/>
        <v>1</v>
      </c>
      <c r="K99" s="122">
        <f t="shared" ref="K99:K103" si="26">countif(E80:E99,E100)</f>
        <v>2</v>
      </c>
      <c r="L99" s="122">
        <v>6.0</v>
      </c>
      <c r="M99" s="122">
        <f>IFERROR(__xludf.DUMMYFUNCTION("counta(iferror(filter(L$2:L98,E$2:E98=E99,L$2:L98&lt;L99)))"),5.0)</f>
        <v>5</v>
      </c>
      <c r="N99" s="122">
        <f>IFERROR(__xludf.DUMMYFUNCTION("counta(iferror(filter(L100:L$131,E100:E$131=E99,L100:L$134&gt;L99)))"),0.0)</f>
        <v>0</v>
      </c>
      <c r="O99" s="124">
        <f t="array" ref="O99:Z99">XLOOKUP(F99,'Current Week'!C:C,'Current Week'!D:O)</f>
        <v>6</v>
      </c>
      <c r="P99" s="122">
        <v>6.0</v>
      </c>
      <c r="Q99" s="123" t="s">
        <v>402</v>
      </c>
      <c r="R99" s="123" t="s">
        <v>183</v>
      </c>
      <c r="S99" s="123" t="s">
        <v>144</v>
      </c>
      <c r="T99" s="123"/>
      <c r="U99" s="123"/>
      <c r="V99" s="123"/>
      <c r="W99" s="123"/>
      <c r="X99" s="123"/>
      <c r="Y99" s="126"/>
      <c r="Z99" s="126"/>
      <c r="AA99" s="127">
        <f t="shared" si="4"/>
        <v>-4</v>
      </c>
      <c r="AB99" s="126">
        <f t="shared" si="5"/>
        <v>29</v>
      </c>
      <c r="AC99" s="126">
        <f>IFERROR(__xludf.DUMMYFUNCTION("iferror(COUNT(filter($O100:$O$395,$O100:$O$395&gt;$O99)))"),8.0)</f>
        <v>8</v>
      </c>
      <c r="AD99" s="128">
        <f t="shared" si="6"/>
        <v>0</v>
      </c>
      <c r="AE99" s="129">
        <f t="shared" si="7"/>
        <v>5</v>
      </c>
      <c r="AF99" s="123" t="str">
        <f>IFERROR(__xludf.DUMMYFUNCTION("iferror(join("","",index(sort(filter($F100:$F$396,$O100:$O$396&gt;$O99),2,false),0,1)))"),"Syracuse,Tennessee,Ohio,Mississippi State,LSU,Illinois,South Carolina,Duke")</f>
        <v>Syracuse,Tennessee,Ohio,Mississippi State,LSU,Illinois,South Carolina,Duke</v>
      </c>
      <c r="AG99" s="127">
        <f>IFERROR(__xludf.DUMMYFUNCTION("iferror($O99-max(filter($O99:$O$395,$E99:$E$395=$E$2)))"),-2.0)</f>
        <v>-2</v>
      </c>
      <c r="AH99" s="126">
        <f t="shared" si="8"/>
        <v>2</v>
      </c>
      <c r="AI99" s="126">
        <f>IFERROR(__xludf.DUMMYFUNCTION("iferror(COUNT(filter($O100:$O$395,$O100:$O$395&gt;$O99,$E99:$E$395=$E$2)))"),0.0)</f>
        <v>0</v>
      </c>
      <c r="AJ99" s="128">
        <f t="shared" si="9"/>
        <v>0</v>
      </c>
      <c r="AK99" s="129">
        <f>IFERROR(__xludf.DUMMYFUNCTION("iferror($O99-min(filter($O99:$O$395,$E99:$E$395=$E$2)))"),5.0)</f>
        <v>5</v>
      </c>
      <c r="AL99" s="123" t="str">
        <f>IFERROR(__xludf.DUMMYFUNCTION("iferror(join("","",index(sort(filter($F100:$F$395,$O100:$O$395&gt;$O99,$E100:$E$395=$E$2),2,false),0,1)))"),"Illinois")</f>
        <v>Illinois</v>
      </c>
      <c r="AM99" s="123" t="str">
        <f>IFERROR(__xludf.DUMMYFUNCTION("REGEXREPLACE(join("","",unique({let(conf_picked,filter(E$1:E98,D$1:D98=D99), byrow(unique(TRANSPOSe(Teams!$1:$1)),lambda(rw,if(ISERROR(match(rw,conf_picked,0)),rw,))));iferror(if(#REF!,,transpose(split(#REF!,"","",1,1))))})), ""^,"", """")"),"MAC,MWC,SEC")</f>
        <v>MAC,MWC,SEC</v>
      </c>
      <c r="AN99" s="127">
        <f>IFERROR(__xludf.DUMMYFUNCTION("iferror($O99-max(filter($O99:$O$395,arrayformula(isnumber(FIND($E99:$E$395,AM99))))))"),-4.0)</f>
        <v>-4</v>
      </c>
      <c r="AO99" s="126">
        <f t="array" ref="AO99">countifs($O$2:$O98,"&lt;"&amp;$O99,isnumber(FIND($E$2:$E98,AM99)),TRUE)</f>
        <v>9</v>
      </c>
      <c r="AP99" s="126">
        <f>IFERROR(__xludf.DUMMYFUNCTION("iferror(COUNT(filter($O100:$O$395,$O100:$O$395&gt;$O99,arrayformula(isnumber(FIND($E100:$E$395,AM99))))))"),5.0)</f>
        <v>5</v>
      </c>
      <c r="AQ99" s="128">
        <f t="shared" si="10"/>
        <v>0</v>
      </c>
      <c r="AR99" s="129">
        <f>IFERROR(__xludf.DUMMYFUNCTION("$O99-min(filter($O99:$O$395,arrayformula(isnumber(FIND($E99:$E$395,AM99)))))"),4.0)</f>
        <v>4</v>
      </c>
      <c r="AS99" s="123" t="str">
        <f>IFERROR(__xludf.DUMMYFUNCTION("iferror(join("","",index(sort(filter($F100:$F$395,$O100:$O$395&gt;$O99,arrayformula(isnumber(FIND($E100:$E$395,AM99)))),2,false),0,1)))"),"Tennessee,Ohio,Mississippi State,LSU,South Carolina")</f>
        <v>Tennessee,Ohio,Mississippi State,LSU,South Carolina</v>
      </c>
    </row>
    <row r="100">
      <c r="A100" s="26">
        <v>99.0</v>
      </c>
      <c r="B100" s="26">
        <v>8.0</v>
      </c>
      <c r="C100" s="26">
        <v>8.0</v>
      </c>
      <c r="D100" s="132" t="s">
        <v>141</v>
      </c>
      <c r="E100" s="133" t="str">
        <f>if(F100&lt;&gt;"",VLOOKUP(F100,offset('Teams-Conference'!A:B,0,(counta('Draft Order'!B$2:B132)-10)*2),2,0),"")</f>
        <v>CUSA</v>
      </c>
      <c r="F100" s="143" t="s">
        <v>317</v>
      </c>
      <c r="G100" s="135" t="str">
        <f t="shared" si="16"/>
        <v/>
      </c>
      <c r="H100" s="122">
        <f t="shared" si="2"/>
        <v>1</v>
      </c>
      <c r="I100" s="122">
        <f t="shared" si="3"/>
        <v>3</v>
      </c>
      <c r="J100" s="122">
        <f t="shared" si="11"/>
        <v>2</v>
      </c>
      <c r="K100" s="122">
        <f t="shared" si="26"/>
        <v>2</v>
      </c>
      <c r="L100" s="122">
        <v>3.0</v>
      </c>
      <c r="M100" s="122">
        <f>IFERROR(__xludf.DUMMYFUNCTION("counta(iferror(filter(L$2:L99,E$2:E99=E100,L$2:L99&lt;L100)))"),0.0)</f>
        <v>0</v>
      </c>
      <c r="N100" s="122">
        <f>IFERROR(__xludf.DUMMYFUNCTION("counta(iferror(filter(L101:L$131,E101:E$131=E100,L101:L$134&gt;L100)))"),0.0)</f>
        <v>0</v>
      </c>
      <c r="O100" s="124">
        <f t="array" ref="O100:Z100">XLOOKUP(F100,'Current Week'!C:C,'Current Week'!D:O)</f>
        <v>3</v>
      </c>
      <c r="P100" s="122">
        <v>9.0</v>
      </c>
      <c r="Q100" s="123"/>
      <c r="R100" s="123"/>
      <c r="S100" s="123"/>
      <c r="T100" s="123"/>
      <c r="U100" s="123"/>
      <c r="V100" s="123"/>
      <c r="W100" s="123"/>
      <c r="X100" s="123"/>
      <c r="Y100" s="126"/>
      <c r="Z100" s="126"/>
      <c r="AA100" s="127">
        <f t="shared" si="4"/>
        <v>-7</v>
      </c>
      <c r="AB100" s="126">
        <f t="shared" si="5"/>
        <v>2</v>
      </c>
      <c r="AC100" s="126">
        <f>IFERROR(__xludf.DUMMYFUNCTION("iferror(COUNT(filter($O101:$O$395,$O101:$O$395&gt;$O100)))"),24.0)</f>
        <v>24</v>
      </c>
      <c r="AD100" s="128">
        <f t="shared" si="6"/>
        <v>0</v>
      </c>
      <c r="AE100" s="129">
        <f t="shared" si="7"/>
        <v>2</v>
      </c>
      <c r="AF100" s="123" t="str">
        <f>IFERROR(__xludf.DUMMYFUNCTION("iferror(join("","",index(sort(filter($F101:$F$396,$O101:$O$396&gt;$O100),2,false),0,1)))"),"Syracuse,UNLV,Georgia Southern,Tennessee,Ohio,Kansas,Mississippi State,Florida Intl,Rutgers,LSU,Illinois,Auburn,Rice,Bowling Green,Arizona,South Carolina,Georgia Tech,Indiana,New Mexico State,Vanderbilt,UConn,UL Monroe,Missouri,Duke")</f>
        <v>Syracuse,UNLV,Georgia Southern,Tennessee,Ohio,Kansas,Mississippi State,Florida Intl,Rutgers,LSU,Illinois,Auburn,Rice,Bowling Green,Arizona,South Carolina,Georgia Tech,Indiana,New Mexico State,Vanderbilt,UConn,UL Monroe,Missouri,Duke</v>
      </c>
      <c r="AG100" s="127">
        <f>IFERROR(__xludf.DUMMYFUNCTION("iferror($O100-max(filter($O100:$O$395,$E100:$E$395=$E$2)))"),-5.0)</f>
        <v>-5</v>
      </c>
      <c r="AH100" s="126">
        <f t="shared" si="8"/>
        <v>0</v>
      </c>
      <c r="AI100" s="126">
        <f>IFERROR(__xludf.DUMMYFUNCTION("iferror(COUNT(filter($O101:$O$395,$O101:$O$395&gt;$O100,$E100:$E$395=$E$2)))"),0.0)</f>
        <v>0</v>
      </c>
      <c r="AJ100" s="128">
        <f t="shared" si="9"/>
        <v>0</v>
      </c>
      <c r="AK100" s="129">
        <f>IFERROR(__xludf.DUMMYFUNCTION("iferror($O100-min(filter($O100:$O$395,$E100:$E$395=$E$2)))"),2.0)</f>
        <v>2</v>
      </c>
      <c r="AL100" s="123" t="str">
        <f>IFERROR(__xludf.DUMMYFUNCTION("iferror(join("","",index(sort(filter($F101:$F$395,$O101:$O$395&gt;$O100,$E101:$E$395=$E$2),2,false),0,1)))"),"Illinois,Indiana")</f>
        <v>Illinois,Indiana</v>
      </c>
      <c r="AM100" s="123" t="str">
        <f>IFERROR(__xludf.DUMMYFUNCTION("REGEXREPLACE(join("","",unique({let(conf_picked,filter(E$1:E99,D$1:D99=D100), byrow(unique(TRANSPOSe(Teams!$1:$1)),lambda(rw,if(ISERROR(match(rw,conf_picked,0)),rw,))));iferror(if(#REF!,,transpose(split(#REF!,"","",1,1))))})), ""^,"", """")"),"Pac12,CUSA,MAC")</f>
        <v>Pac12,CUSA,MAC</v>
      </c>
      <c r="AN100" s="127">
        <f>IFERROR(__xludf.DUMMYFUNCTION("iferror($O100-max(filter($O100:$O$395,arrayformula(isnumber(FIND($E100:$E$395,AM100))))))"),-6.0)</f>
        <v>-6</v>
      </c>
      <c r="AO100" s="126">
        <f t="array" ref="AO100">countifs($O$2:$O99,"&lt;"&amp;$O100,isnumber(FIND($E$2:$E99,AM100)),TRUE)</f>
        <v>0</v>
      </c>
      <c r="AP100" s="126">
        <f>IFERROR(__xludf.DUMMYFUNCTION("iferror(COUNT(filter($O101:$O$395,$O101:$O$395&gt;$O100,arrayformula(isnumber(FIND($E101:$E$395,AM100))))))"),6.0)</f>
        <v>6</v>
      </c>
      <c r="AQ100" s="128">
        <f t="shared" si="10"/>
        <v>0</v>
      </c>
      <c r="AR100" s="129">
        <f>IFERROR(__xludf.DUMMYFUNCTION("$O100-min(filter($O100:$O$395,arrayformula(isnumber(FIND($E100:$E$395,AM100)))))"),2.0)</f>
        <v>2</v>
      </c>
      <c r="AS100" s="123" t="str">
        <f>IFERROR(__xludf.DUMMYFUNCTION("iferror(join("","",index(sort(filter($F101:$F$395,$O101:$O$395&gt;$O100,arrayformula(isnumber(FIND($E101:$E$395,AM100)))),2,false),0,1)))"),"Ohio,Florida Intl,Rutgers,Rice,Bowling Green,Arizona")</f>
        <v>Ohio,Florida Intl,Rutgers,Rice,Bowling Green,Arizona</v>
      </c>
    </row>
    <row r="101">
      <c r="A101" s="26">
        <v>100.0</v>
      </c>
      <c r="B101" s="26">
        <v>8.0</v>
      </c>
      <c r="C101" s="26">
        <v>9.0</v>
      </c>
      <c r="D101" s="132" t="s">
        <v>138</v>
      </c>
      <c r="E101" s="133" t="str">
        <f>if(F101&lt;&gt;"",VLOOKUP(F101,offset('Teams-Conference'!A:B,0,(counta('Draft Order'!B$2:B132)-10)*2),2,0),"")</f>
        <v>ACC</v>
      </c>
      <c r="F101" s="143" t="s">
        <v>308</v>
      </c>
      <c r="G101" s="135" t="str">
        <f t="shared" si="16"/>
        <v/>
      </c>
      <c r="H101" s="122">
        <f t="shared" si="2"/>
        <v>0</v>
      </c>
      <c r="I101" s="122">
        <f t="shared" si="3"/>
        <v>1</v>
      </c>
      <c r="J101" s="122">
        <f t="shared" si="11"/>
        <v>0</v>
      </c>
      <c r="K101" s="122">
        <f t="shared" si="26"/>
        <v>0</v>
      </c>
      <c r="L101" s="122">
        <v>7.0</v>
      </c>
      <c r="M101" s="122">
        <f>IFERROR(__xludf.DUMMYFUNCTION("counta(iferror(filter(L$2:L100,E$2:E100=E101,L$2:L100&lt;L101)))"),4.0)</f>
        <v>4</v>
      </c>
      <c r="N101" s="122">
        <f>IFERROR(__xludf.DUMMYFUNCTION("counta(iferror(filter(L102:L$131,E102:E$131=E101,L102:L$134&gt;L101)))"),0.0)</f>
        <v>0</v>
      </c>
      <c r="O101" s="124">
        <f t="array" ref="O101:Z101">XLOOKUP(F101,'Current Week'!C:C,'Current Week'!D:O)</f>
        <v>7</v>
      </c>
      <c r="P101" s="122">
        <v>5.0</v>
      </c>
      <c r="Q101" s="123" t="s">
        <v>290</v>
      </c>
      <c r="R101" s="123" t="s">
        <v>57</v>
      </c>
      <c r="S101" s="123" t="s">
        <v>59</v>
      </c>
      <c r="T101" s="123" t="s">
        <v>115</v>
      </c>
      <c r="U101" s="123"/>
      <c r="V101" s="123"/>
      <c r="W101" s="123"/>
      <c r="X101" s="123"/>
      <c r="Y101" s="126"/>
      <c r="Z101" s="126"/>
      <c r="AA101" s="127">
        <f t="shared" si="4"/>
        <v>-3</v>
      </c>
      <c r="AB101" s="126">
        <f t="shared" si="5"/>
        <v>43</v>
      </c>
      <c r="AC101" s="126">
        <f>IFERROR(__xludf.DUMMYFUNCTION("iferror(COUNT(filter($O102:$O$395,$O102:$O$395&gt;$O101)))"),7.0)</f>
        <v>7</v>
      </c>
      <c r="AD101" s="128">
        <f t="shared" si="6"/>
        <v>0</v>
      </c>
      <c r="AE101" s="129">
        <f t="shared" si="7"/>
        <v>6</v>
      </c>
      <c r="AF101" s="123" t="str">
        <f>IFERROR(__xludf.DUMMYFUNCTION("iferror(join("","",index(sort(filter($F102:$F$396,$O102:$O$396&gt;$O101),2,false),0,1)))"),"Tennessee,Ohio,Mississippi State,LSU,Illinois,South Carolina,Duke")</f>
        <v>Tennessee,Ohio,Mississippi State,LSU,Illinois,South Carolina,Duke</v>
      </c>
      <c r="AG101" s="127">
        <f>IFERROR(__xludf.DUMMYFUNCTION("iferror($O101-max(filter($O101:$O$395,$E101:$E$395=$E$2)))"),-1.0)</f>
        <v>-1</v>
      </c>
      <c r="AH101" s="126">
        <f t="shared" si="8"/>
        <v>3</v>
      </c>
      <c r="AI101" s="126">
        <f>IFERROR(__xludf.DUMMYFUNCTION("iferror(COUNT(filter($O102:$O$395,$O102:$O$395&gt;$O101,$E101:$E$395=$E$2)))"),0.0)</f>
        <v>0</v>
      </c>
      <c r="AJ101" s="128">
        <f t="shared" si="9"/>
        <v>0</v>
      </c>
      <c r="AK101" s="129">
        <f>IFERROR(__xludf.DUMMYFUNCTION("iferror($O101-min(filter($O101:$O$395,$E101:$E$395=$E$2)))"),6.0)</f>
        <v>6</v>
      </c>
      <c r="AL101" s="123" t="str">
        <f>IFERROR(__xludf.DUMMYFUNCTION("iferror(join("","",index(sort(filter($F102:$F$395,$O102:$O$395&gt;$O101,$E102:$E$395=$E$2),2,false),0,1)))"),"Illinois")</f>
        <v>Illinois</v>
      </c>
      <c r="AM101" s="123" t="str">
        <f>IFERROR(__xludf.DUMMYFUNCTION("REGEXREPLACE(join("","",unique({let(conf_picked,filter(E$1:E100,D$1:D100=D101), byrow(unique(TRANSPOSe(Teams!$1:$1)),lambda(rw,if(ISERROR(match(rw,conf_picked,0)),rw,))));iferror(if(#REF!,,transpose(split(#REF!,"","",1,1))))})), ""^,"", """")"),"ACC,Big 12,Pac12")</f>
        <v>ACC,Big 12,Pac12</v>
      </c>
      <c r="AN101" s="127">
        <f>IFERROR(__xludf.DUMMYFUNCTION("iferror($O101-max(filter($O101:$O$395,arrayformula(isnumber(FIND($E101:$E$395,AM101))))))"),-1.0)</f>
        <v>-1</v>
      </c>
      <c r="AO101" s="126">
        <f t="array" ref="AO101">countifs($O$2:$O100,"&lt;"&amp;$O101,isnumber(FIND($E$2:$E100,AM101)),TRUE)</f>
        <v>10</v>
      </c>
      <c r="AP101" s="126">
        <f>IFERROR(__xludf.DUMMYFUNCTION("iferror(COUNT(filter($O102:$O$395,$O102:$O$395&gt;$O101,arrayformula(isnumber(FIND($E102:$E$395,AM101))))))"),1.0)</f>
        <v>1</v>
      </c>
      <c r="AQ101" s="128">
        <f t="shared" si="10"/>
        <v>0</v>
      </c>
      <c r="AR101" s="129">
        <f>IFERROR(__xludf.DUMMYFUNCTION("$O101-min(filter($O101:$O$395,arrayformula(isnumber(FIND($E101:$E$395,AM101)))))"),6.0)</f>
        <v>6</v>
      </c>
      <c r="AS101" s="123" t="str">
        <f>IFERROR(__xludf.DUMMYFUNCTION("iferror(join("","",index(sort(filter($F102:$F$395,$O102:$O$395&gt;$O101,arrayformula(isnumber(FIND($E102:$E$395,AM101)))),2,false),0,1)))"),"Duke")</f>
        <v>Duke</v>
      </c>
    </row>
    <row r="102">
      <c r="A102" s="26">
        <v>101.0</v>
      </c>
      <c r="B102" s="26">
        <v>8.0</v>
      </c>
      <c r="C102" s="26">
        <v>10.0</v>
      </c>
      <c r="D102" s="132" t="s">
        <v>59</v>
      </c>
      <c r="E102" s="133" t="str">
        <f>if(F102&lt;&gt;"",VLOOKUP(F102,offset('Teams-Conference'!A:B,0,(counta('Draft Order'!B$2:B132)-10)*2),2,0),"")</f>
        <v>MWC</v>
      </c>
      <c r="F102" s="143" t="s">
        <v>279</v>
      </c>
      <c r="G102" s="135" t="str">
        <f t="shared" si="16"/>
        <v/>
      </c>
      <c r="H102" s="122">
        <f t="shared" si="2"/>
        <v>0</v>
      </c>
      <c r="I102" s="122">
        <f t="shared" si="3"/>
        <v>0</v>
      </c>
      <c r="J102" s="122">
        <f t="shared" si="11"/>
        <v>0</v>
      </c>
      <c r="K102" s="122">
        <f t="shared" si="26"/>
        <v>3</v>
      </c>
      <c r="L102" s="122">
        <v>5.0</v>
      </c>
      <c r="M102" s="122">
        <f>IFERROR(__xludf.DUMMYFUNCTION("counta(iferror(filter(L$2:L101,E$2:E101=E102,L$2:L101&lt;L102)))"),3.0)</f>
        <v>3</v>
      </c>
      <c r="N102" s="122">
        <f>IFERROR(__xludf.DUMMYFUNCTION("counta(iferror(filter(L103:L$131,E103:E$131=E102,L103:L$134&gt;L102)))"),0.0)</f>
        <v>0</v>
      </c>
      <c r="O102" s="124">
        <f t="array" ref="O102:Z102">XLOOKUP(F102,'Current Week'!C:C,'Current Week'!D:O)</f>
        <v>5</v>
      </c>
      <c r="P102" s="122">
        <v>7.0</v>
      </c>
      <c r="Q102" s="123" t="s">
        <v>280</v>
      </c>
      <c r="R102" s="123" t="s">
        <v>183</v>
      </c>
      <c r="S102" s="123" t="s">
        <v>53</v>
      </c>
      <c r="T102" s="123" t="s">
        <v>129</v>
      </c>
      <c r="U102" s="123"/>
      <c r="V102" s="123"/>
      <c r="W102" s="123"/>
      <c r="X102" s="123"/>
      <c r="Y102" s="126"/>
      <c r="Z102" s="126"/>
      <c r="AA102" s="127">
        <f t="shared" si="4"/>
        <v>-5</v>
      </c>
      <c r="AB102" s="126">
        <f t="shared" si="5"/>
        <v>19</v>
      </c>
      <c r="AC102" s="126">
        <f>IFERROR(__xludf.DUMMYFUNCTION("iferror(COUNT(filter($O103:$O$395,$O103:$O$395&gt;$O102)))"),13.0)</f>
        <v>13</v>
      </c>
      <c r="AD102" s="128">
        <f t="shared" si="6"/>
        <v>0</v>
      </c>
      <c r="AE102" s="129">
        <f t="shared" si="7"/>
        <v>4</v>
      </c>
      <c r="AF102" s="123" t="str">
        <f>IFERROR(__xludf.DUMMYFUNCTION("iferror(join("","",index(sort(filter($F103:$F$396,$O103:$O$396&gt;$O102),2,false),0,1)))"),"Georgia Southern,Tennessee,Ohio,Kansas,Mississippi State,LSU,Illinois,Bowling Green,South Carolina,New Mexico State,UConn,Missouri,Duke")</f>
        <v>Georgia Southern,Tennessee,Ohio,Kansas,Mississippi State,LSU,Illinois,Bowling Green,South Carolina,New Mexico State,UConn,Missouri,Duke</v>
      </c>
      <c r="AG102" s="127">
        <f>IFERROR(__xludf.DUMMYFUNCTION("iferror($O102-max(filter($O102:$O$395,$E102:$E$395=$E$2)))"),-3.0)</f>
        <v>-3</v>
      </c>
      <c r="AH102" s="126">
        <f t="shared" si="8"/>
        <v>1</v>
      </c>
      <c r="AI102" s="126">
        <f>IFERROR(__xludf.DUMMYFUNCTION("iferror(COUNT(filter($O103:$O$395,$O103:$O$395&gt;$O102,$E102:$E$395=$E$2)))"),0.0)</f>
        <v>0</v>
      </c>
      <c r="AJ102" s="128">
        <f t="shared" si="9"/>
        <v>0</v>
      </c>
      <c r="AK102" s="129">
        <f>IFERROR(__xludf.DUMMYFUNCTION("iferror($O102-min(filter($O102:$O$395,$E102:$E$395=$E$2)))"),4.0)</f>
        <v>4</v>
      </c>
      <c r="AL102" s="123" t="str">
        <f>IFERROR(__xludf.DUMMYFUNCTION("iferror(join("","",index(sort(filter($F103:$F$395,$O103:$O$395&gt;$O102,$E103:$E$395=$E$2),2,false),0,1)))"),"Illinois")</f>
        <v>Illinois</v>
      </c>
      <c r="AM102" s="123" t="str">
        <f>IFERROR(__xludf.DUMMYFUNCTION("REGEXREPLACE(join("","",unique({let(conf_picked,filter(E$1:E101,D$1:D101=D102), byrow(unique(TRANSPOSe(Teams!$1:$1)),lambda(rw,if(ISERROR(match(rw,conf_picked,0)),rw,))));iferror(if(#REF!,,transpose(split(#REF!,"","",1,1))))})), ""^,"", """")"),"AAC,,CUSA,MWC")</f>
        <v>AAC,,CUSA,MWC</v>
      </c>
      <c r="AN102" s="127">
        <f>IFERROR(__xludf.DUMMYFUNCTION("iferror($O102-max(filter($O102:$O$395,arrayformula(isnumber(FIND($E102:$E$395,AM102))))))"),-1.0)</f>
        <v>-1</v>
      </c>
      <c r="AO102" s="126">
        <f t="array" ref="AO102">countifs($O$2:$O101,"&lt;"&amp;$O102,isnumber(FIND($E$2:$E101,AM102)),TRUE)</f>
        <v>7</v>
      </c>
      <c r="AP102" s="126">
        <f>IFERROR(__xludf.DUMMYFUNCTION("iferror(COUNT(filter($O103:$O$395,$O103:$O$395&gt;$O102,arrayformula(isnumber(FIND($E103:$E$395,AM102))))))"),2.0)</f>
        <v>2</v>
      </c>
      <c r="AQ102" s="128">
        <f t="shared" si="10"/>
        <v>0</v>
      </c>
      <c r="AR102" s="129">
        <f>IFERROR(__xludf.DUMMYFUNCTION("$O102-min(filter($O102:$O$395,arrayformula(isnumber(FIND($E102:$E$395,AM102)))))"),4.0)</f>
        <v>4</v>
      </c>
      <c r="AS102" s="123" t="str">
        <f>IFERROR(__xludf.DUMMYFUNCTION("iferror(join("","",index(sort(filter($F103:$F$395,$O103:$O$395&gt;$O102,arrayformula(isnumber(FIND($E103:$E$395,AM102)))),2,false),0,1)))"),"New Mexico State,UConn")</f>
        <v>New Mexico State,UConn</v>
      </c>
    </row>
    <row r="103">
      <c r="A103" s="26">
        <v>102.0</v>
      </c>
      <c r="B103" s="26">
        <v>8.0</v>
      </c>
      <c r="C103" s="26">
        <v>11.0</v>
      </c>
      <c r="D103" s="132" t="s">
        <v>178</v>
      </c>
      <c r="E103" s="133" t="str">
        <f>if(F103&lt;&gt;"",VLOOKUP(F103,offset('Teams-Conference'!A:B,0,(counta('Draft Order'!B$2:B132)-10)*2),2,0),"")</f>
        <v>Sun Belt</v>
      </c>
      <c r="F103" s="143" t="s">
        <v>257</v>
      </c>
      <c r="G103" s="135" t="str">
        <f t="shared" si="16"/>
        <v/>
      </c>
      <c r="H103" s="122">
        <f t="shared" si="2"/>
        <v>1</v>
      </c>
      <c r="I103" s="122">
        <f t="shared" si="3"/>
        <v>1</v>
      </c>
      <c r="J103" s="122">
        <f t="shared" si="11"/>
        <v>2</v>
      </c>
      <c r="K103" s="122">
        <f t="shared" si="26"/>
        <v>2</v>
      </c>
      <c r="L103" s="122">
        <v>6.0</v>
      </c>
      <c r="M103" s="122">
        <f>IFERROR(__xludf.DUMMYFUNCTION("counta(iferror(filter(L$2:L102,E$2:E102=E103,L$2:L102&lt;L103)))"),3.0)</f>
        <v>3</v>
      </c>
      <c r="N103" s="122">
        <f>IFERROR(__xludf.DUMMYFUNCTION("counta(iferror(filter(L104:L$131,E104:E$131=E103,L104:L$134&gt;L103)))"),0.0)</f>
        <v>0</v>
      </c>
      <c r="O103" s="124">
        <f t="array" ref="O103:Z103">XLOOKUP(F103,'Current Week'!C:C,'Current Week'!D:O)</f>
        <v>6</v>
      </c>
      <c r="P103" s="122">
        <v>6.0</v>
      </c>
      <c r="Q103" s="123" t="s">
        <v>258</v>
      </c>
      <c r="R103" s="123" t="s">
        <v>57</v>
      </c>
      <c r="S103" s="123" t="s">
        <v>59</v>
      </c>
      <c r="T103" s="123" t="s">
        <v>133</v>
      </c>
      <c r="U103" s="123"/>
      <c r="V103" s="123"/>
      <c r="W103" s="123"/>
      <c r="X103" s="123"/>
      <c r="Y103" s="126"/>
      <c r="Z103" s="126"/>
      <c r="AA103" s="127">
        <f t="shared" si="4"/>
        <v>-4</v>
      </c>
      <c r="AB103" s="126">
        <f t="shared" si="5"/>
        <v>31</v>
      </c>
      <c r="AC103" s="126">
        <f>IFERROR(__xludf.DUMMYFUNCTION("iferror(COUNT(filter($O104:$O$395,$O104:$O$395&gt;$O103)))"),7.0)</f>
        <v>7</v>
      </c>
      <c r="AD103" s="128">
        <f t="shared" si="6"/>
        <v>0</v>
      </c>
      <c r="AE103" s="129">
        <f t="shared" si="7"/>
        <v>5</v>
      </c>
      <c r="AF103" s="123" t="str">
        <f>IFERROR(__xludf.DUMMYFUNCTION("iferror(join("","",index(sort(filter($F104:$F$396,$O104:$O$396&gt;$O103),2,false),0,1)))"),"Tennessee,Ohio,Mississippi State,LSU,Illinois,South Carolina,Duke")</f>
        <v>Tennessee,Ohio,Mississippi State,LSU,Illinois,South Carolina,Duke</v>
      </c>
      <c r="AG103" s="127">
        <f>IFERROR(__xludf.DUMMYFUNCTION("iferror($O103-max(filter($O103:$O$395,$E103:$E$395=$E$2)))"),-2.0)</f>
        <v>-2</v>
      </c>
      <c r="AH103" s="126">
        <f t="shared" si="8"/>
        <v>2</v>
      </c>
      <c r="AI103" s="126">
        <f>IFERROR(__xludf.DUMMYFUNCTION("iferror(COUNT(filter($O104:$O$395,$O104:$O$395&gt;$O103,$E103:$E$395=$E$2)))"),0.0)</f>
        <v>0</v>
      </c>
      <c r="AJ103" s="128">
        <f t="shared" si="9"/>
        <v>0</v>
      </c>
      <c r="AK103" s="129">
        <f>IFERROR(__xludf.DUMMYFUNCTION("iferror($O103-min(filter($O103:$O$395,$E103:$E$395=$E$2)))"),5.0)</f>
        <v>5</v>
      </c>
      <c r="AL103" s="123" t="str">
        <f>IFERROR(__xludf.DUMMYFUNCTION("iferror(join("","",index(sort(filter($F104:$F$395,$O104:$O$395&gt;$O103,$E104:$E$395=$E$2),2,false),0,1)))"),"Illinois")</f>
        <v>Illinois</v>
      </c>
      <c r="AM103" s="123" t="str">
        <f>IFERROR(__xludf.DUMMYFUNCTION("REGEXREPLACE(join("","",unique({let(conf_picked,filter(E$1:E102,D$1:D102=D103), byrow(unique(TRANSPOSe(Teams!$1:$1)),lambda(rw,if(ISERROR(match(rw,conf_picked,0)),rw,))));iferror(if(#REF!,,transpose(split(#REF!,"","",1,1))))})), ""^,"", """")"),"MWC,SEC,Sun Belt")</f>
        <v>MWC,SEC,Sun Belt</v>
      </c>
      <c r="AN103" s="127">
        <f>IFERROR(__xludf.DUMMYFUNCTION("iferror($O103-max(filter($O103:$O$395,arrayformula(isnumber(FIND($E103:$E$395,AM103))))))"),-4.0)</f>
        <v>-4</v>
      </c>
      <c r="AO103" s="126">
        <f t="array" ref="AO103">countifs($O$2:$O102,"&lt;"&amp;$O103,isnumber(FIND($E$2:$E102,AM103)),TRUE)</f>
        <v>8</v>
      </c>
      <c r="AP103" s="126">
        <f>IFERROR(__xludf.DUMMYFUNCTION("iferror(COUNT(filter($O104:$O$395,$O104:$O$395&gt;$O103,arrayformula(isnumber(FIND($E104:$E$395,AM103))))))"),4.0)</f>
        <v>4</v>
      </c>
      <c r="AQ103" s="128">
        <f t="shared" si="10"/>
        <v>0</v>
      </c>
      <c r="AR103" s="129">
        <f>IFERROR(__xludf.DUMMYFUNCTION("$O103-min(filter($O103:$O$395,arrayformula(isnumber(FIND($E103:$E$395,AM103)))))"),4.0)</f>
        <v>4</v>
      </c>
      <c r="AS103" s="123" t="str">
        <f>IFERROR(__xludf.DUMMYFUNCTION("iferror(join("","",index(sort(filter($F104:$F$395,$O104:$O$395&gt;$O103,arrayformula(isnumber(FIND($E104:$E$395,AM103)))),2,false),0,1)))"),"Tennessee,Mississippi State,LSU,South Carolina")</f>
        <v>Tennessee,Mississippi State,LSU,South Carolina</v>
      </c>
    </row>
    <row r="104">
      <c r="A104" s="26">
        <v>103.0</v>
      </c>
      <c r="B104" s="26">
        <v>8.0</v>
      </c>
      <c r="C104" s="26">
        <v>12.0</v>
      </c>
      <c r="D104" s="132" t="s">
        <v>131</v>
      </c>
      <c r="E104" t="str">
        <f>if(F104&lt;&gt;"",VLOOKUP(F104,offset('Teams-Conference'!A:B,0,(counta('Draft Order'!B$2:B132)-10)*2),2,0),"")</f>
        <v>SEC</v>
      </c>
      <c r="F104" s="143" t="s">
        <v>214</v>
      </c>
      <c r="G104" s="135" t="str">
        <f t="shared" si="16"/>
        <v/>
      </c>
      <c r="H104" s="122">
        <f t="shared" si="2"/>
        <v>3</v>
      </c>
      <c r="I104" s="122">
        <f t="shared" si="3"/>
        <v>4</v>
      </c>
      <c r="J104" s="122">
        <f t="shared" si="11"/>
        <v>1</v>
      </c>
      <c r="K104" s="122">
        <f>countif(E85:E104,E106)</f>
        <v>3</v>
      </c>
      <c r="L104" s="122">
        <v>10.0</v>
      </c>
      <c r="M104" s="122">
        <f>IFERROR(__xludf.DUMMYFUNCTION("counta(iferror(filter(L$2:L103,E$2:E103=E104,L$2:L103&lt;L104)))"),5.0)</f>
        <v>5</v>
      </c>
      <c r="N104" s="122">
        <f>IFERROR(__xludf.DUMMYFUNCTION("counta(iferror(filter(L105:L$131,E105:E$131=E104,L105:L$134&gt;L104)))"),0.0)</f>
        <v>0</v>
      </c>
      <c r="O104" s="124">
        <f t="array" ref="O104:Z104">XLOOKUP(F104,'Current Week'!C:C,'Current Week'!D:O)</f>
        <v>10</v>
      </c>
      <c r="P104" s="122">
        <v>2.0</v>
      </c>
      <c r="Q104" s="123" t="s">
        <v>215</v>
      </c>
      <c r="R104" s="123" t="s">
        <v>57</v>
      </c>
      <c r="S104" s="123" t="s">
        <v>138</v>
      </c>
      <c r="T104" s="123" t="s">
        <v>111</v>
      </c>
      <c r="U104" s="123"/>
      <c r="V104" s="123"/>
      <c r="W104" s="123"/>
      <c r="X104" s="123"/>
      <c r="Y104" s="126"/>
      <c r="Z104" s="126"/>
      <c r="AA104" s="127">
        <f t="shared" si="4"/>
        <v>0</v>
      </c>
      <c r="AB104" s="126">
        <f t="shared" si="5"/>
        <v>89</v>
      </c>
      <c r="AC104" s="126">
        <f>IFERROR(__xludf.DUMMYFUNCTION("iferror(COUNT(filter($O105:$O$395,$O105:$O$395&gt;$O104)))"),0.0)</f>
        <v>0</v>
      </c>
      <c r="AD104" s="128">
        <f t="shared" si="6"/>
        <v>1</v>
      </c>
      <c r="AE104" s="129">
        <f t="shared" si="7"/>
        <v>9</v>
      </c>
      <c r="AF104" s="123" t="str">
        <f>IFERROR(__xludf.DUMMYFUNCTION("iferror(join("","",index(sort(filter($F105:$F$396,$O105:$O$396&gt;$O104),2,false),0,1)))"),"")</f>
        <v/>
      </c>
      <c r="AG104" s="127">
        <f>IFERROR(__xludf.DUMMYFUNCTION("iferror($O104-max(filter($O104:$O$395,$E104:$E$395=$E$2)))"),2.0)</f>
        <v>2</v>
      </c>
      <c r="AH104" s="126">
        <f t="shared" si="8"/>
        <v>7</v>
      </c>
      <c r="AI104" s="126">
        <f>IFERROR(__xludf.DUMMYFUNCTION("iferror(COUNT(filter($O105:$O$395,$O105:$O$395&gt;$O104,$E104:$E$395=$E$2)))"),0.0)</f>
        <v>0</v>
      </c>
      <c r="AJ104" s="128">
        <f t="shared" si="9"/>
        <v>0</v>
      </c>
      <c r="AK104" s="129">
        <f>IFERROR(__xludf.DUMMYFUNCTION("iferror($O104-min(filter($O104:$O$395,$E104:$E$395=$E$2)))"),9.0)</f>
        <v>9</v>
      </c>
      <c r="AL104" s="123" t="str">
        <f>IFERROR(__xludf.DUMMYFUNCTION("iferror(join("","",index(sort(filter($F105:$F$395,$O105:$O$395&gt;$O104,$E105:$E$395=$E$2),2,false),0,1)))"),"")</f>
        <v/>
      </c>
      <c r="AM104" s="123" t="str">
        <f>IFERROR(__xludf.DUMMYFUNCTION("REGEXREPLACE(join("","",unique({let(conf_picked,filter(E$1:E103,D$1:D103=D104), byrow(unique(TRANSPOSe(Teams!$1:$1)),lambda(rw,if(ISERROR(match(rw,conf_picked,0)),rw,))));iferror(if(#REF!,,transpose(split(#REF!,"","",1,1))))})), ""^,"", """")"),"Big 12,SEC,Sun Belt")</f>
        <v>Big 12,SEC,Sun Belt</v>
      </c>
      <c r="AN104" s="127">
        <f>IFERROR(__xludf.DUMMYFUNCTION("iferror($O104-max(filter($O104:$O$395,arrayformula(isnumber(FIND($E104:$E$395,AM104))))))"),0.0)</f>
        <v>0</v>
      </c>
      <c r="AO104" s="126">
        <f t="array" ref="AO104">countifs($O$2:$O103,"&lt;"&amp;$O104,isnumber(FIND($E$2:$E103,AM104)),TRUE)</f>
        <v>24</v>
      </c>
      <c r="AP104" s="126">
        <f>IFERROR(__xludf.DUMMYFUNCTION("iferror(COUNT(filter($O105:$O$395,$O105:$O$395&gt;$O104,arrayformula(isnumber(FIND($E105:$E$395,AM104))))))"),0.0)</f>
        <v>0</v>
      </c>
      <c r="AQ104" s="128">
        <f t="shared" si="10"/>
        <v>1</v>
      </c>
      <c r="AR104" s="129">
        <f>IFERROR(__xludf.DUMMYFUNCTION("$O104-min(filter($O104:$O$395,arrayformula(isnumber(FIND($E104:$E$395,AM104)))))"),7.0)</f>
        <v>7</v>
      </c>
      <c r="AS104" s="123" t="str">
        <f>IFERROR(__xludf.DUMMYFUNCTION("iferror(join("","",index(sort(filter($F105:$F$395,$O105:$O$395&gt;$O104,arrayformula(isnumber(FIND($E105:$E$395,AM104)))),2,false),0,1)))"),"")</f>
        <v/>
      </c>
    </row>
    <row r="105">
      <c r="A105" s="156">
        <v>104.0</v>
      </c>
      <c r="B105" s="156">
        <v>8.0</v>
      </c>
      <c r="C105" s="156">
        <v>13.0</v>
      </c>
      <c r="D105" s="157" t="s">
        <v>53</v>
      </c>
      <c r="E105" s="158" t="str">
        <f>if(F105&lt;&gt;"",VLOOKUP(F105,offset('Teams-Conference'!A:B,0,(counta('Draft Order'!B$2:B132)-10)*2),2,0),"")</f>
        <v>MAC</v>
      </c>
      <c r="F105" s="159" t="s">
        <v>176</v>
      </c>
      <c r="G105" s="160" t="str">
        <f t="shared" si="16"/>
        <v/>
      </c>
      <c r="H105" s="122">
        <f t="shared" si="2"/>
        <v>0</v>
      </c>
      <c r="I105" s="122">
        <f t="shared" si="3"/>
        <v>2</v>
      </c>
      <c r="J105" s="122">
        <f t="shared" si="11"/>
        <v>2</v>
      </c>
      <c r="K105" s="123"/>
      <c r="L105" s="122">
        <v>9.0</v>
      </c>
      <c r="M105" s="122">
        <f>IFERROR(__xludf.DUMMYFUNCTION("counta(iferror(filter(L$2:L104,E$2:E104=E105,L$2:L104&lt;L105)))"),10.0)</f>
        <v>10</v>
      </c>
      <c r="N105" s="122">
        <f>IFERROR(__xludf.DUMMYFUNCTION("counta(iferror(filter(L106:L$131,E106:E$131=E105,L106:L$134&gt;L105)))"),0.0)</f>
        <v>0</v>
      </c>
      <c r="O105" s="124">
        <f t="array" ref="O105:Z105">XLOOKUP(F105,'Current Week'!C:C,'Current Week'!D:O)</f>
        <v>9</v>
      </c>
      <c r="P105" s="122">
        <v>3.0</v>
      </c>
      <c r="Q105" s="123" t="s">
        <v>177</v>
      </c>
      <c r="R105" s="123" t="s">
        <v>57</v>
      </c>
      <c r="S105" s="123" t="s">
        <v>148</v>
      </c>
      <c r="T105" s="123"/>
      <c r="U105" s="123"/>
      <c r="V105" s="123"/>
      <c r="W105" s="123"/>
      <c r="X105" s="123"/>
      <c r="Y105" s="126"/>
      <c r="Z105" s="126"/>
      <c r="AA105" s="127">
        <f t="shared" si="4"/>
        <v>0</v>
      </c>
      <c r="AB105" s="126">
        <f t="shared" si="5"/>
        <v>77</v>
      </c>
      <c r="AC105" s="126">
        <f>IFERROR(__xludf.DUMMYFUNCTION("iferror(COUNT(filter($O106:$O$395,$O106:$O$395&gt;$O105)))"),0.0)</f>
        <v>0</v>
      </c>
      <c r="AD105" s="128">
        <f t="shared" si="6"/>
        <v>1</v>
      </c>
      <c r="AE105" s="129">
        <f t="shared" si="7"/>
        <v>8</v>
      </c>
      <c r="AF105" s="123" t="str">
        <f>IFERROR(__xludf.DUMMYFUNCTION("iferror(join("","",index(sort(filter($F106:$F$396,$O106:$O$396&gt;$O105),2,false),0,1)))"),"")</f>
        <v/>
      </c>
      <c r="AG105" s="127">
        <f>IFERROR(__xludf.DUMMYFUNCTION("iferror($O105-max(filter($O105:$O$395,$E105:$E$395=$E$2)))"),1.0)</f>
        <v>1</v>
      </c>
      <c r="AH105" s="126">
        <f t="shared" si="8"/>
        <v>7</v>
      </c>
      <c r="AI105" s="126">
        <f>IFERROR(__xludf.DUMMYFUNCTION("iferror(COUNT(filter($O106:$O$395,$O106:$O$395&gt;$O105,$E105:$E$395=$E$2)))"),0.0)</f>
        <v>0</v>
      </c>
      <c r="AJ105" s="128">
        <f t="shared" si="9"/>
        <v>0</v>
      </c>
      <c r="AK105" s="129">
        <f>IFERROR(__xludf.DUMMYFUNCTION("iferror($O105-min(filter($O105:$O$395,$E105:$E$395=$E$2)))"),8.0)</f>
        <v>8</v>
      </c>
      <c r="AL105" s="123" t="str">
        <f>IFERROR(__xludf.DUMMYFUNCTION("iferror(join("","",index(sort(filter($F106:$F$395,$O106:$O$395&gt;$O105,$E106:$E$395=$E$2),2,false),0,1)))"),"")</f>
        <v/>
      </c>
      <c r="AM105" s="123" t="str">
        <f>IFERROR(__xludf.DUMMYFUNCTION("REGEXREPLACE(join("","",unique({let(conf_picked,filter(E$1:E104,D$1:D104=D105), byrow(unique(TRANSPOSe(Teams!$1:$1)),lambda(rw,if(ISERROR(match(rw,conf_picked,0)),rw,))));iferror(if(#REF!,,transpose(split(#REF!,"","",1,1))))})), ""^,"", """")"),"MAC,SEC,Sun Belt")</f>
        <v>MAC,SEC,Sun Belt</v>
      </c>
      <c r="AN105" s="127">
        <f>IFERROR(__xludf.DUMMYFUNCTION("iferror($O105-max(filter($O105:$O$395,arrayformula(isnumber(FIND($E105:$E$395,AM105))))))"),0.0)</f>
        <v>0</v>
      </c>
      <c r="AO105" s="126">
        <f t="array" ref="AO105">countifs($O$2:$O104,"&lt;"&amp;$O105,isnumber(FIND($E$2:$E104,AM105)),TRUE)</f>
        <v>23</v>
      </c>
      <c r="AP105" s="126">
        <f>IFERROR(__xludf.DUMMYFUNCTION("iferror(COUNT(filter($O106:$O$395,$O106:$O$395&gt;$O105,arrayformula(isnumber(FIND($E106:$E$395,AM105))))))"),0.0)</f>
        <v>0</v>
      </c>
      <c r="AQ105" s="128">
        <f t="shared" si="10"/>
        <v>1</v>
      </c>
      <c r="AR105" s="129">
        <f>IFERROR(__xludf.DUMMYFUNCTION("$O105-min(filter($O105:$O$395,arrayformula(isnumber(FIND($E105:$E$395,AM105)))))"),7.0)</f>
        <v>7</v>
      </c>
      <c r="AS105" s="123" t="str">
        <f>IFERROR(__xludf.DUMMYFUNCTION("iferror(join("","",index(sort(filter($F106:$F$395,$O106:$O$395&gt;$O105,arrayformula(isnumber(FIND($E106:$E$395,AM105)))),2,false),0,1)))"),"")</f>
        <v/>
      </c>
    </row>
    <row r="106">
      <c r="A106" s="110">
        <v>105.0</v>
      </c>
      <c r="B106" s="110">
        <v>9.0</v>
      </c>
      <c r="C106" s="110">
        <v>1.0</v>
      </c>
      <c r="D106" s="111" t="s">
        <v>53</v>
      </c>
      <c r="E106" s="113" t="str">
        <f>if(F106&lt;&gt;"",VLOOKUP(F106,offset('Teams-Conference'!A:B,0,(counta('Draft Order'!B$2:B132)-10)*2),2,0),"")</f>
        <v>Sun Belt</v>
      </c>
      <c r="F106" s="115" t="s">
        <v>170</v>
      </c>
      <c r="G106" s="119" t="str">
        <f t="shared" si="16"/>
        <v/>
      </c>
      <c r="H106" s="122">
        <f t="shared" si="2"/>
        <v>0</v>
      </c>
      <c r="I106" s="122">
        <f t="shared" si="3"/>
        <v>0</v>
      </c>
      <c r="J106" s="122">
        <f t="shared" si="11"/>
        <v>1</v>
      </c>
      <c r="K106" s="122">
        <f t="shared" ref="K106:K111" si="27">countif(E86:E106,E107)</f>
        <v>1</v>
      </c>
      <c r="L106" s="122">
        <v>3.0</v>
      </c>
      <c r="M106" s="122">
        <f>IFERROR(__xludf.DUMMYFUNCTION("counta(iferror(filter(L$2:L105,E$2:E105=E106,L$2:L105&lt;L106)))"),0.0)</f>
        <v>0</v>
      </c>
      <c r="N106" s="122">
        <f>IFERROR(__xludf.DUMMYFUNCTION("counta(iferror(filter(L107:L$131,E107:E$131=E106,L107:L$134&gt;L106)))"),0.0)</f>
        <v>0</v>
      </c>
      <c r="O106" s="124">
        <f t="array" ref="O106:Z106">XLOOKUP(F106,'Current Week'!C:C,'Current Week'!D:O)</f>
        <v>3</v>
      </c>
      <c r="P106" s="122">
        <v>9.0</v>
      </c>
      <c r="Q106" s="123" t="s">
        <v>171</v>
      </c>
      <c r="R106" s="123" t="s">
        <v>57</v>
      </c>
      <c r="S106" s="123" t="s">
        <v>138</v>
      </c>
      <c r="T106" s="123"/>
      <c r="U106" s="123"/>
      <c r="V106" s="123"/>
      <c r="W106" s="123"/>
      <c r="X106" s="123"/>
      <c r="Y106" s="126"/>
      <c r="Z106" s="126"/>
      <c r="AA106" s="127">
        <f t="shared" si="4"/>
        <v>-6</v>
      </c>
      <c r="AB106" s="126">
        <f t="shared" si="5"/>
        <v>2</v>
      </c>
      <c r="AC106" s="126">
        <f>IFERROR(__xludf.DUMMYFUNCTION("iferror(COUNT(filter($O107:$O$395,$O107:$O$395&gt;$O106)))"),19.0)</f>
        <v>19</v>
      </c>
      <c r="AD106" s="128">
        <f t="shared" si="6"/>
        <v>0</v>
      </c>
      <c r="AE106" s="129">
        <f t="shared" si="7"/>
        <v>2</v>
      </c>
      <c r="AF106" s="123" t="str">
        <f>IFERROR(__xludf.DUMMYFUNCTION("iferror(join("","",index(sort(filter($F107:$F$396,$O107:$O$396&gt;$O106),2,false),0,1)))"),"Kansas,Mississippi State,Florida Intl,Rutgers,LSU,Illinois,Auburn,Rice,Bowling Green,Arizona,South Carolina,Georgia Tech,Indiana,New Mexico State,Vanderbilt,UConn,UL Monroe,Missouri,Duke")</f>
        <v>Kansas,Mississippi State,Florida Intl,Rutgers,LSU,Illinois,Auburn,Rice,Bowling Green,Arizona,South Carolina,Georgia Tech,Indiana,New Mexico State,Vanderbilt,UConn,UL Monroe,Missouri,Duke</v>
      </c>
      <c r="AG106" s="127">
        <f>IFERROR(__xludf.DUMMYFUNCTION("iferror($O106-max(filter($O106:$O$395,$E106:$E$395=$E$2)))"),-5.0)</f>
        <v>-5</v>
      </c>
      <c r="AH106" s="126">
        <f t="shared" si="8"/>
        <v>0</v>
      </c>
      <c r="AI106" s="126">
        <f>IFERROR(__xludf.DUMMYFUNCTION("iferror(COUNT(filter($O107:$O$395,$O107:$O$395&gt;$O106,$E106:$E$395=$E$2)))"),0.0)</f>
        <v>0</v>
      </c>
      <c r="AJ106" s="128">
        <f t="shared" si="9"/>
        <v>0</v>
      </c>
      <c r="AK106" s="129">
        <f>IFERROR(__xludf.DUMMYFUNCTION("iferror($O106-min(filter($O106:$O$395,$E106:$E$395=$E$2)))"),2.0)</f>
        <v>2</v>
      </c>
      <c r="AL106" s="123" t="str">
        <f>IFERROR(__xludf.DUMMYFUNCTION("iferror(join("","",index(sort(filter($F107:$F$395,$O107:$O$395&gt;$O106,$E107:$E$395=$E$2),2,false),0,1)))"),"Illinois,Indiana")</f>
        <v>Illinois,Indiana</v>
      </c>
      <c r="AM106" s="123" t="str">
        <f>IFERROR(__xludf.DUMMYFUNCTION("REGEXREPLACE(join("","",unique({let(conf_picked,filter(E$1:E105,D$1:D105=D106), byrow(unique(TRANSPOSe(Teams!$1:$1)),lambda(rw,if(ISERROR(match(rw,conf_picked,0)),rw,))));iferror(if(#REF!,,transpose(split(#REF!,"","",1,1))))})), ""^,"", """")"),"SEC,Sun Belt")</f>
        <v>SEC,Sun Belt</v>
      </c>
      <c r="AN106" s="127">
        <f>IFERROR(__xludf.DUMMYFUNCTION("iferror($O106-max(filter($O106:$O$395,arrayformula(isnumber(FIND($E106:$E$395,AM106))))))"),-6.0)</f>
        <v>-6</v>
      </c>
      <c r="AO106" s="126">
        <f t="array" ref="AO106">countifs($O$2:$O105,"&lt;"&amp;$O106,isnumber(FIND($E$2:$E105,AM106)),TRUE)</f>
        <v>0</v>
      </c>
      <c r="AP106" s="126">
        <f>IFERROR(__xludf.DUMMYFUNCTION("iferror(COUNT(filter($O107:$O$395,$O107:$O$395&gt;$O106,arrayformula(isnumber(FIND($E107:$E$395,AM106))))))"),6.0)</f>
        <v>6</v>
      </c>
      <c r="AQ106" s="128">
        <f t="shared" si="10"/>
        <v>0</v>
      </c>
      <c r="AR106" s="129">
        <f>IFERROR(__xludf.DUMMYFUNCTION("$O106-min(filter($O106:$O$395,arrayformula(isnumber(FIND($E106:$E$395,AM106)))))"),0.0)</f>
        <v>0</v>
      </c>
      <c r="AS106" s="123" t="str">
        <f>IFERROR(__xludf.DUMMYFUNCTION("iferror(join("","",index(sort(filter($F107:$F$395,$O107:$O$395&gt;$O106,arrayformula(isnumber(FIND($E107:$E$395,AM106)))),2,false),0,1)))"),"Mississippi State,LSU,Auburn,South Carolina,UL Monroe,Missouri")</f>
        <v>Mississippi State,LSU,Auburn,South Carolina,UL Monroe,Missouri</v>
      </c>
    </row>
    <row r="107">
      <c r="A107" s="26">
        <v>106.0</v>
      </c>
      <c r="B107" s="26">
        <v>9.0</v>
      </c>
      <c r="C107" s="26">
        <v>2.0</v>
      </c>
      <c r="D107" s="132" t="s">
        <v>131</v>
      </c>
      <c r="E107" s="133" t="str">
        <f>if(F107&lt;&gt;"",VLOOKUP(F107,offset('Teams-Conference'!A:B,0,(counta('Draft Order'!B$2:B132)-10)*2),2,0),"")</f>
        <v>Big 12</v>
      </c>
      <c r="F107" s="134" t="s">
        <v>217</v>
      </c>
      <c r="G107" s="135" t="str">
        <f t="shared" si="16"/>
        <v/>
      </c>
      <c r="H107" s="122">
        <f t="shared" si="2"/>
        <v>0</v>
      </c>
      <c r="I107" s="122">
        <f t="shared" si="3"/>
        <v>1</v>
      </c>
      <c r="J107" s="122">
        <f t="shared" si="11"/>
        <v>0</v>
      </c>
      <c r="K107" s="122">
        <f t="shared" si="27"/>
        <v>3</v>
      </c>
      <c r="L107" s="122">
        <v>6.0</v>
      </c>
      <c r="M107" s="122">
        <f>IFERROR(__xludf.DUMMYFUNCTION("counta(iferror(filter(L$2:L106,E$2:E106=E107,L$2:L106&lt;L107)))"),3.0)</f>
        <v>3</v>
      </c>
      <c r="N107" s="122">
        <f>IFERROR(__xludf.DUMMYFUNCTION("counta(iferror(filter(L108:L$131,E108:E$131=E107,L108:L$134&gt;L107)))"),0.0)</f>
        <v>0</v>
      </c>
      <c r="O107" s="124">
        <f t="array" ref="O107:Z107">XLOOKUP(F107,'Current Week'!C:C,'Current Week'!D:O)</f>
        <v>6</v>
      </c>
      <c r="P107" s="122">
        <v>6.0</v>
      </c>
      <c r="Q107" s="123" t="s">
        <v>218</v>
      </c>
      <c r="R107" s="123" t="s">
        <v>57</v>
      </c>
      <c r="S107" s="123" t="s">
        <v>59</v>
      </c>
      <c r="T107" s="123" t="s">
        <v>74</v>
      </c>
      <c r="U107" s="123"/>
      <c r="V107" s="123"/>
      <c r="W107" s="123"/>
      <c r="X107" s="123"/>
      <c r="Y107" s="126"/>
      <c r="Z107" s="126"/>
      <c r="AA107" s="127">
        <f t="shared" si="4"/>
        <v>-3</v>
      </c>
      <c r="AB107" s="126">
        <f t="shared" si="5"/>
        <v>32</v>
      </c>
      <c r="AC107" s="126">
        <f>IFERROR(__xludf.DUMMYFUNCTION("iferror(COUNT(filter($O108:$O$395,$O108:$O$395&gt;$O107)))"),5.0)</f>
        <v>5</v>
      </c>
      <c r="AD107" s="128">
        <f t="shared" si="6"/>
        <v>0</v>
      </c>
      <c r="AE107" s="129">
        <f t="shared" si="7"/>
        <v>5</v>
      </c>
      <c r="AF107" s="123" t="str">
        <f>IFERROR(__xludf.DUMMYFUNCTION("iferror(join("","",index(sort(filter($F108:$F$396,$O108:$O$396&gt;$O107),2,false),0,1)))"),"Mississippi State,LSU,Illinois,South Carolina,Duke")</f>
        <v>Mississippi State,LSU,Illinois,South Carolina,Duke</v>
      </c>
      <c r="AG107" s="127">
        <f>IFERROR(__xludf.DUMMYFUNCTION("iferror($O107-max(filter($O107:$O$395,$E107:$E$395=$E$2)))"),-2.0)</f>
        <v>-2</v>
      </c>
      <c r="AH107" s="126">
        <f t="shared" si="8"/>
        <v>2</v>
      </c>
      <c r="AI107" s="126">
        <f>IFERROR(__xludf.DUMMYFUNCTION("iferror(COUNT(filter($O108:$O$395,$O108:$O$395&gt;$O107,$E107:$E$395=$E$2)))"),0.0)</f>
        <v>0</v>
      </c>
      <c r="AJ107" s="128">
        <f t="shared" si="9"/>
        <v>0</v>
      </c>
      <c r="AK107" s="129">
        <f>IFERROR(__xludf.DUMMYFUNCTION("iferror($O107-min(filter($O107:$O$395,$E107:$E$395=$E$2)))"),5.0)</f>
        <v>5</v>
      </c>
      <c r="AL107" s="123" t="str">
        <f>IFERROR(__xludf.DUMMYFUNCTION("iferror(join("","",index(sort(filter($F108:$F$395,$O108:$O$395&gt;$O107,$E108:$E$395=$E$2),2,false),0,1)))"),"Illinois")</f>
        <v>Illinois</v>
      </c>
      <c r="AM107" s="123" t="str">
        <f>IFERROR(__xludf.DUMMYFUNCTION("REGEXREPLACE(join("","",unique({let(conf_picked,filter(E$1:E106,D$1:D106=D107), byrow(unique(TRANSPOSe(Teams!$1:$1)),lambda(rw,if(ISERROR(match(rw,conf_picked,0)),rw,))));iferror(if(#REF!,,transpose(split(#REF!,"","",1,1))))})), ""^,"", """")"),"Big 12,Sun Belt")</f>
        <v>Big 12,Sun Belt</v>
      </c>
      <c r="AN107" s="127">
        <f>IFERROR(__xludf.DUMMYFUNCTION("iferror($O107-max(filter($O107:$O$395,arrayformula(isnumber(FIND($E107:$E$395,AM107))))))"),0.0)</f>
        <v>0</v>
      </c>
      <c r="AO107" s="126">
        <f t="array" ref="AO107">countifs($O$2:$O106,"&lt;"&amp;$O107,isnumber(FIND($E$2:$E106,AM107)),TRUE)</f>
        <v>7</v>
      </c>
      <c r="AP107" s="126">
        <f>IFERROR(__xludf.DUMMYFUNCTION("iferror(COUNT(filter($O108:$O$395,$O108:$O$395&gt;$O107,arrayformula(isnumber(FIND($E108:$E$395,AM107))))))"),0.0)</f>
        <v>0</v>
      </c>
      <c r="AQ107" s="128">
        <f t="shared" si="10"/>
        <v>1</v>
      </c>
      <c r="AR107" s="129">
        <f>IFERROR(__xludf.DUMMYFUNCTION("$O107-min(filter($O107:$O$395,arrayformula(isnumber(FIND($E107:$E$395,AM107)))))"),2.0)</f>
        <v>2</v>
      </c>
      <c r="AS107" s="123" t="str">
        <f>IFERROR(__xludf.DUMMYFUNCTION("iferror(join("","",index(sort(filter($F108:$F$395,$O108:$O$395&gt;$O107,arrayformula(isnumber(FIND($E108:$E$395,AM107)))),2,false),0,1)))"),"")</f>
        <v/>
      </c>
    </row>
    <row r="108">
      <c r="A108" s="26">
        <v>107.0</v>
      </c>
      <c r="B108" s="26">
        <v>9.0</v>
      </c>
      <c r="C108" s="26">
        <v>3.0</v>
      </c>
      <c r="D108" s="137" t="s">
        <v>178</v>
      </c>
      <c r="E108" s="133" t="str">
        <f>if(F108&lt;&gt;"",VLOOKUP(F108,offset('Teams-Conference'!A:B,0,(counta('Draft Order'!B$2:B132)-10)*2),2,0),"")</f>
        <v>SEC</v>
      </c>
      <c r="F108" s="134" t="s">
        <v>269</v>
      </c>
      <c r="G108" s="135" t="str">
        <f t="shared" si="16"/>
        <v/>
      </c>
      <c r="H108" s="122">
        <f t="shared" si="2"/>
        <v>2</v>
      </c>
      <c r="I108" s="122">
        <f t="shared" si="3"/>
        <v>3</v>
      </c>
      <c r="J108" s="122">
        <f t="shared" si="11"/>
        <v>2</v>
      </c>
      <c r="K108" s="122">
        <f t="shared" si="27"/>
        <v>3</v>
      </c>
      <c r="L108" s="122">
        <v>8.0</v>
      </c>
      <c r="M108" s="122">
        <f>IFERROR(__xludf.DUMMYFUNCTION("counta(iferror(filter(L$2:L107,E$2:E107=E108,L$2:L107&lt;L108)))"),4.0)</f>
        <v>4</v>
      </c>
      <c r="N108" s="122">
        <f>IFERROR(__xludf.DUMMYFUNCTION("counta(iferror(filter(L109:L$131,E109:E$131=E108,L109:L$134&gt;L108)))"),0.0)</f>
        <v>0</v>
      </c>
      <c r="O108" s="124">
        <f t="array" ref="O108:Z108">XLOOKUP(F108,'Current Week'!C:C,'Current Week'!D:O)</f>
        <v>8</v>
      </c>
      <c r="P108" s="122">
        <v>4.0</v>
      </c>
      <c r="Q108" s="123" t="s">
        <v>270</v>
      </c>
      <c r="R108" s="123" t="s">
        <v>57</v>
      </c>
      <c r="S108" s="123" t="s">
        <v>103</v>
      </c>
      <c r="T108" s="123"/>
      <c r="U108" s="123"/>
      <c r="V108" s="123"/>
      <c r="W108" s="123"/>
      <c r="X108" s="123"/>
      <c r="Y108" s="126"/>
      <c r="Z108" s="126"/>
      <c r="AA108" s="127">
        <f t="shared" si="4"/>
        <v>-1</v>
      </c>
      <c r="AB108" s="126">
        <f t="shared" si="5"/>
        <v>66</v>
      </c>
      <c r="AC108" s="126">
        <f>IFERROR(__xludf.DUMMYFUNCTION("iferror(COUNT(filter($O109:$O$395,$O109:$O$395&gt;$O108)))"),1.0)</f>
        <v>1</v>
      </c>
      <c r="AD108" s="128">
        <f t="shared" si="6"/>
        <v>0</v>
      </c>
      <c r="AE108" s="129">
        <f t="shared" si="7"/>
        <v>7</v>
      </c>
      <c r="AF108" s="123" t="str">
        <f>IFERROR(__xludf.DUMMYFUNCTION("iferror(join("","",index(sort(filter($F109:$F$396,$O109:$O$396&gt;$O108),2,false),0,1)))"),"LSU")</f>
        <v>LSU</v>
      </c>
      <c r="AG108" s="127">
        <f>IFERROR(__xludf.DUMMYFUNCTION("iferror($O108-max(filter($O108:$O$395,$E108:$E$395=$E$2)))"),0.0)</f>
        <v>0</v>
      </c>
      <c r="AH108" s="126">
        <f t="shared" si="8"/>
        <v>5</v>
      </c>
      <c r="AI108" s="126">
        <f>IFERROR(__xludf.DUMMYFUNCTION("iferror(COUNT(filter($O109:$O$395,$O109:$O$395&gt;$O108,$E108:$E$395=$E$2)))"),0.0)</f>
        <v>0</v>
      </c>
      <c r="AJ108" s="128">
        <f t="shared" si="9"/>
        <v>1</v>
      </c>
      <c r="AK108" s="129">
        <f>IFERROR(__xludf.DUMMYFUNCTION("iferror($O108-min(filter($O108:$O$395,$E108:$E$395=$E$2)))"),7.0)</f>
        <v>7</v>
      </c>
      <c r="AL108" s="123" t="str">
        <f>IFERROR(__xludf.DUMMYFUNCTION("iferror(join("","",index(sort(filter($F109:$F$395,$O109:$O$395&gt;$O108,$E109:$E$395=$E$2),2,false),0,1)))"),"")</f>
        <v/>
      </c>
      <c r="AM108" s="123" t="str">
        <f>IFERROR(__xludf.DUMMYFUNCTION("REGEXREPLACE(join("","",unique({let(conf_picked,filter(E$1:E107,D$1:D107=D108), byrow(unique(TRANSPOSe(Teams!$1:$1)),lambda(rw,if(ISERROR(match(rw,conf_picked,0)),rw,))));iferror(if(#REF!,,transpose(split(#REF!,"","",1,1))))})), ""^,"", """")"),"MWC,SEC")</f>
        <v>MWC,SEC</v>
      </c>
      <c r="AN108" s="127">
        <f>IFERROR(__xludf.DUMMYFUNCTION("iferror($O108-max(filter($O108:$O$395,arrayformula(isnumber(FIND($E108:$E$395,AM108))))))"),-1.0)</f>
        <v>-1</v>
      </c>
      <c r="AO108" s="126">
        <f t="array" ref="AO108">countifs($O$2:$O107,"&lt;"&amp;$O108,isnumber(FIND($E$2:$E107,AM108)),TRUE)</f>
        <v>12</v>
      </c>
      <c r="AP108" s="126">
        <f>IFERROR(__xludf.DUMMYFUNCTION("iferror(COUNT(filter($O109:$O$395,$O109:$O$395&gt;$O108,arrayformula(isnumber(FIND($E109:$E$395,AM108))))))"),1.0)</f>
        <v>1</v>
      </c>
      <c r="AQ108" s="128">
        <f t="shared" si="10"/>
        <v>0</v>
      </c>
      <c r="AR108" s="129">
        <f>IFERROR(__xludf.DUMMYFUNCTION("$O108-min(filter($O108:$O$395,arrayformula(isnumber(FIND($E108:$E$395,AM108)))))"),6.0)</f>
        <v>6</v>
      </c>
      <c r="AS108" s="123" t="str">
        <f>IFERROR(__xludf.DUMMYFUNCTION("iferror(join("","",index(sort(filter($F109:$F$395,$O109:$O$395&gt;$O108,arrayformula(isnumber(FIND($E109:$E$395,AM108)))),2,false),0,1)))"),"LSU")</f>
        <v>LSU</v>
      </c>
    </row>
    <row r="109">
      <c r="A109" s="26">
        <v>108.0</v>
      </c>
      <c r="B109" s="26">
        <v>9.0</v>
      </c>
      <c r="C109" s="26">
        <v>4.0</v>
      </c>
      <c r="D109" s="132" t="s">
        <v>59</v>
      </c>
      <c r="E109" s="133" t="str">
        <f>if(F109&lt;&gt;"",VLOOKUP(F109,offset('Teams-Conference'!A:B,0,(counta('Draft Order'!B$2:B132)-10)*2),2,0),"")</f>
        <v>CUSA</v>
      </c>
      <c r="F109" s="134" t="s">
        <v>275</v>
      </c>
      <c r="G109" s="135" t="str">
        <f t="shared" si="16"/>
        <v/>
      </c>
      <c r="H109" s="122">
        <f t="shared" si="2"/>
        <v>1</v>
      </c>
      <c r="I109" s="122">
        <f t="shared" si="3"/>
        <v>2</v>
      </c>
      <c r="J109" s="122">
        <f t="shared" si="11"/>
        <v>1</v>
      </c>
      <c r="K109" s="122">
        <f t="shared" si="27"/>
        <v>0</v>
      </c>
      <c r="L109" s="122">
        <v>4.0</v>
      </c>
      <c r="M109" s="122">
        <f>IFERROR(__xludf.DUMMYFUNCTION("counta(iferror(filter(L$2:L108,E$2:E108=E109,L$2:L108&lt;L109)))"),2.0)</f>
        <v>2</v>
      </c>
      <c r="N109" s="122">
        <f>IFERROR(__xludf.DUMMYFUNCTION("counta(iferror(filter(L110:L$131,E110:E$131=E109,L110:L$134&gt;L109)))"),0.0)</f>
        <v>0</v>
      </c>
      <c r="O109" s="124">
        <f t="array" ref="O109:Z109">XLOOKUP(F109,'Current Week'!C:C,'Current Week'!D:O)</f>
        <v>4</v>
      </c>
      <c r="P109" s="122">
        <v>8.0</v>
      </c>
      <c r="Q109" s="123" t="s">
        <v>276</v>
      </c>
      <c r="R109" s="123" t="s">
        <v>183</v>
      </c>
      <c r="S109" s="123" t="s">
        <v>109</v>
      </c>
      <c r="T109" s="123"/>
      <c r="U109" s="123"/>
      <c r="V109" s="123"/>
      <c r="W109" s="123"/>
      <c r="X109" s="123"/>
      <c r="Y109" s="126"/>
      <c r="Z109" s="126"/>
      <c r="AA109" s="127">
        <f t="shared" si="4"/>
        <v>-5</v>
      </c>
      <c r="AB109" s="126">
        <f t="shared" si="5"/>
        <v>13</v>
      </c>
      <c r="AC109" s="126">
        <f>IFERROR(__xludf.DUMMYFUNCTION("iferror(COUNT(filter($O110:$O$395,$O110:$O$395&gt;$O109)))"),13.0)</f>
        <v>13</v>
      </c>
      <c r="AD109" s="128">
        <f t="shared" si="6"/>
        <v>0</v>
      </c>
      <c r="AE109" s="129">
        <f t="shared" si="7"/>
        <v>3</v>
      </c>
      <c r="AF109" s="123" t="str">
        <f>IFERROR(__xludf.DUMMYFUNCTION("iferror(join("","",index(sort(filter($F110:$F$396,$O110:$O$396&gt;$O109),2,false),0,1)))"),"LSU,Illinois,Auburn,Rice,Bowling Green,Arizona,South Carolina,Georgia Tech,New Mexico State,Vanderbilt,UConn,Missouri,Duke")</f>
        <v>LSU,Illinois,Auburn,Rice,Bowling Green,Arizona,South Carolina,Georgia Tech,New Mexico State,Vanderbilt,UConn,Missouri,Duke</v>
      </c>
      <c r="AG109" s="127">
        <f>IFERROR(__xludf.DUMMYFUNCTION("iferror($O109-max(filter($O109:$O$395,$E109:$E$395=$E$2)))"),-4.0)</f>
        <v>-4</v>
      </c>
      <c r="AH109" s="126">
        <f t="shared" si="8"/>
        <v>0</v>
      </c>
      <c r="AI109" s="126">
        <f>IFERROR(__xludf.DUMMYFUNCTION("iferror(COUNT(filter($O110:$O$395,$O110:$O$395&gt;$O109,$E109:$E$395=$E$2)))"),0.0)</f>
        <v>0</v>
      </c>
      <c r="AJ109" s="128">
        <f t="shared" si="9"/>
        <v>0</v>
      </c>
      <c r="AK109" s="129">
        <f>IFERROR(__xludf.DUMMYFUNCTION("iferror($O109-min(filter($O109:$O$395,$E109:$E$395=$E$2)))"),3.0)</f>
        <v>3</v>
      </c>
      <c r="AL109" s="123" t="str">
        <f>IFERROR(__xludf.DUMMYFUNCTION("iferror(join("","",index(sort(filter($F110:$F$395,$O110:$O$395&gt;$O109,$E110:$E$395=$E$2),2,false),0,1)))"),"Illinois")</f>
        <v>Illinois</v>
      </c>
      <c r="AM109" s="123" t="str">
        <f>IFERROR(__xludf.DUMMYFUNCTION("REGEXREPLACE(join("","",unique({let(conf_picked,filter(E$1:E108,D$1:D108=D109), byrow(unique(TRANSPOSe(Teams!$1:$1)),lambda(rw,if(ISERROR(match(rw,conf_picked,0)),rw,))));iferror(if(#REF!,,transpose(split(#REF!,"","",1,1))))})), ""^,"", """")"),"AAC,,CUSA")</f>
        <v>AAC,,CUSA</v>
      </c>
      <c r="AN109" s="127">
        <f>IFERROR(__xludf.DUMMYFUNCTION("iferror($O109-max(filter($O109:$O$395,arrayformula(isnumber(FIND($E109:$E$395,AM109))))))"),-2.0)</f>
        <v>-2</v>
      </c>
      <c r="AO109" s="126">
        <f t="array" ref="AO109">countifs($O$2:$O108,"&lt;"&amp;$O109,isnumber(FIND($E$2:$E108,AM109)),TRUE)</f>
        <v>3</v>
      </c>
      <c r="AP109" s="126">
        <f>IFERROR(__xludf.DUMMYFUNCTION("iferror(COUNT(filter($O110:$O$395,$O110:$O$395&gt;$O109,arrayformula(isnumber(FIND($E110:$E$395,AM109))))))"),2.0)</f>
        <v>2</v>
      </c>
      <c r="AQ109" s="128">
        <f t="shared" si="10"/>
        <v>0</v>
      </c>
      <c r="AR109" s="129">
        <f>IFERROR(__xludf.DUMMYFUNCTION("$O109-min(filter($O109:$O$395,arrayformula(isnumber(FIND($E109:$E$395,AM109)))))"),3.0)</f>
        <v>3</v>
      </c>
      <c r="AS109" s="123" t="str">
        <f>IFERROR(__xludf.DUMMYFUNCTION("iferror(join("","",index(sort(filter($F110:$F$395,$O110:$O$395&gt;$O109,arrayformula(isnumber(FIND($E110:$E$395,AM109)))),2,false),0,1)))"),"Rice,UConn")</f>
        <v>Rice,UConn</v>
      </c>
    </row>
    <row r="110">
      <c r="A110" s="26">
        <v>109.0</v>
      </c>
      <c r="B110" s="26">
        <v>9.0</v>
      </c>
      <c r="C110" s="26">
        <v>5.0</v>
      </c>
      <c r="D110" s="132" t="s">
        <v>138</v>
      </c>
      <c r="E110" s="133" t="str">
        <f>if(F110&lt;&gt;"",VLOOKUP(F110,offset('Teams-Conference'!A:B,0,(counta('Draft Order'!B$2:B132)-10)*2),2,0),"")</f>
        <v>Pac12</v>
      </c>
      <c r="F110" s="143" t="s">
        <v>311</v>
      </c>
      <c r="G110" s="135" t="str">
        <f t="shared" si="16"/>
        <v/>
      </c>
      <c r="H110" s="122">
        <f t="shared" si="2"/>
        <v>2</v>
      </c>
      <c r="I110" s="122">
        <f t="shared" ref="I110:I130" si="28">countif(E111:E133,E110)</f>
        <v>3</v>
      </c>
      <c r="J110" s="122">
        <f t="shared" si="11"/>
        <v>0</v>
      </c>
      <c r="K110" s="122">
        <f t="shared" si="27"/>
        <v>1</v>
      </c>
      <c r="L110" s="122">
        <v>3.0</v>
      </c>
      <c r="M110" s="122">
        <f>IFERROR(__xludf.DUMMYFUNCTION("counta(iferror(filter(L$2:L109,E$2:E109=E110,L$2:L109&lt;L110)))"),0.0)</f>
        <v>0</v>
      </c>
      <c r="N110" s="122">
        <f>IFERROR(__xludf.DUMMYFUNCTION("counta(iferror(filter(L111:L$131,E111:E$131=E110,L111:L$134&gt;L110)))"),0.0)</f>
        <v>0</v>
      </c>
      <c r="O110" s="124">
        <f t="array" ref="O110:Z110">XLOOKUP(F110,'Current Week'!C:C,'Current Week'!D:O)</f>
        <v>3</v>
      </c>
      <c r="P110" s="122">
        <v>9.0</v>
      </c>
      <c r="Q110" s="123" t="s">
        <v>312</v>
      </c>
      <c r="R110" s="123" t="s">
        <v>57</v>
      </c>
      <c r="S110" s="123" t="s">
        <v>141</v>
      </c>
      <c r="T110" s="123" t="s">
        <v>88</v>
      </c>
      <c r="U110" s="123"/>
      <c r="V110" s="123"/>
      <c r="W110" s="123"/>
      <c r="X110" s="123"/>
      <c r="Y110" s="126"/>
      <c r="Z110" s="126"/>
      <c r="AA110" s="127">
        <f t="shared" si="4"/>
        <v>-6</v>
      </c>
      <c r="AB110" s="126">
        <f t="shared" si="5"/>
        <v>2</v>
      </c>
      <c r="AC110" s="126">
        <f>IFERROR(__xludf.DUMMYFUNCTION("iferror(COUNT(filter($O111:$O$395,$O111:$O$395&gt;$O110)))"),16.0)</f>
        <v>16</v>
      </c>
      <c r="AD110" s="128">
        <f t="shared" si="6"/>
        <v>0</v>
      </c>
      <c r="AE110" s="129">
        <f t="shared" si="7"/>
        <v>2</v>
      </c>
      <c r="AF110" s="123" t="str">
        <f>IFERROR(__xludf.DUMMYFUNCTION("iferror(join("","",index(sort(filter($F111:$F$396,$O111:$O$396&gt;$O110),2,false),0,1)))"),"Rutgers,LSU,Illinois,Auburn,Rice,Bowling Green,Arizona,South Carolina,Georgia Tech,Indiana,New Mexico State,Vanderbilt,UConn,UL Monroe,Missouri,Duke")</f>
        <v>Rutgers,LSU,Illinois,Auburn,Rice,Bowling Green,Arizona,South Carolina,Georgia Tech,Indiana,New Mexico State,Vanderbilt,UConn,UL Monroe,Missouri,Duke</v>
      </c>
      <c r="AG110" s="127">
        <f>IFERROR(__xludf.DUMMYFUNCTION("iferror($O110-max(filter($O110:$O$395,$E110:$E$395=$E$2)))"),-5.0)</f>
        <v>-5</v>
      </c>
      <c r="AH110" s="126">
        <f t="shared" si="8"/>
        <v>0</v>
      </c>
      <c r="AI110" s="126">
        <f>IFERROR(__xludf.DUMMYFUNCTION("iferror(COUNT(filter($O111:$O$395,$O111:$O$395&gt;$O110,$E110:$E$395=$E$2)))"),0.0)</f>
        <v>0</v>
      </c>
      <c r="AJ110" s="128">
        <f t="shared" si="9"/>
        <v>0</v>
      </c>
      <c r="AK110" s="129">
        <f>IFERROR(__xludf.DUMMYFUNCTION("iferror($O110-min(filter($O110:$O$395,$E110:$E$395=$E$2)))"),2.0)</f>
        <v>2</v>
      </c>
      <c r="AL110" s="123" t="str">
        <f>IFERROR(__xludf.DUMMYFUNCTION("iferror(join("","",index(sort(filter($F111:$F$395,$O111:$O$395&gt;$O110,$E111:$E$395=$E$2),2,false),0,1)))"),"Illinois,Indiana")</f>
        <v>Illinois,Indiana</v>
      </c>
      <c r="AM110" s="123" t="str">
        <f>IFERROR(__xludf.DUMMYFUNCTION("REGEXREPLACE(join("","",unique({let(conf_picked,filter(E$1:E109,D$1:D109=D110), byrow(unique(TRANSPOSe(Teams!$1:$1)),lambda(rw,if(ISERROR(match(rw,conf_picked,0)),rw,))));iferror(if(#REF!,,transpose(split(#REF!,"","",1,1))))})), ""^,"", """")"),"Big 12,Pac12")</f>
        <v>Big 12,Pac12</v>
      </c>
      <c r="AN110" s="127">
        <f>IFERROR(__xludf.DUMMYFUNCTION("iferror($O110-max(filter($O110:$O$395,arrayformula(isnumber(FIND($E110:$E$395,AM110))))))"),-2.0)</f>
        <v>-2</v>
      </c>
      <c r="AO110" s="126">
        <f t="array" ref="AO110">countifs($O$2:$O109,"&lt;"&amp;$O110,isnumber(FIND($E$2:$E109,AM110)),TRUE)</f>
        <v>0</v>
      </c>
      <c r="AP110" s="126">
        <f>IFERROR(__xludf.DUMMYFUNCTION("iferror(COUNT(filter($O111:$O$395,$O111:$O$395&gt;$O110,arrayformula(isnumber(FIND($E111:$E$395,AM110))))))"),3.0)</f>
        <v>3</v>
      </c>
      <c r="AQ110" s="128">
        <f t="shared" si="10"/>
        <v>0</v>
      </c>
      <c r="AR110" s="129">
        <f>IFERROR(__xludf.DUMMYFUNCTION("$O110-min(filter($O110:$O$395,arrayformula(isnumber(FIND($E110:$E$395,AM110)))))"),2.0)</f>
        <v>2</v>
      </c>
      <c r="AS110" s="123" t="str">
        <f>IFERROR(__xludf.DUMMYFUNCTION("iferror(join("","",index(sort(filter($F111:$F$395,$O111:$O$395&gt;$O110,arrayformula(isnumber(FIND($E111:$E$395,AM110)))),2,false),0,1)))"),"Rutgers,Arizona,Vanderbilt")</f>
        <v>Rutgers,Arizona,Vanderbilt</v>
      </c>
    </row>
    <row r="111">
      <c r="A111" s="26">
        <v>110.0</v>
      </c>
      <c r="B111" s="26">
        <v>9.0</v>
      </c>
      <c r="C111" s="26">
        <v>6.0</v>
      </c>
      <c r="D111" s="132" t="s">
        <v>141</v>
      </c>
      <c r="E111" s="133" t="str">
        <f>if(F111&lt;&gt;"",VLOOKUP(F111,offset('Teams-Conference'!A:B,0,(counta('Draft Order'!B$2:B132)-10)*2),2,0),"")</f>
        <v>Pac12</v>
      </c>
      <c r="F111" s="134" t="s">
        <v>386</v>
      </c>
      <c r="G111" s="135" t="str">
        <f t="shared" si="16"/>
        <v/>
      </c>
      <c r="H111" s="122">
        <f t="shared" si="2"/>
        <v>1</v>
      </c>
      <c r="I111" s="122">
        <f t="shared" si="28"/>
        <v>2</v>
      </c>
      <c r="J111" s="122">
        <f t="shared" si="11"/>
        <v>1</v>
      </c>
      <c r="K111" s="122">
        <f t="shared" si="27"/>
        <v>4</v>
      </c>
      <c r="L111" s="122">
        <v>4.0</v>
      </c>
      <c r="M111" s="122">
        <f>IFERROR(__xludf.DUMMYFUNCTION("counta(iferror(filter(L$2:L110,E$2:E110=E111,L$2:L110&lt;L111)))"),2.0)</f>
        <v>2</v>
      </c>
      <c r="N111" s="122">
        <f>IFERROR(__xludf.DUMMYFUNCTION("counta(iferror(filter(L112:L$131,E112:E$131=E111,L112:L$134&gt;L111)))"),0.0)</f>
        <v>0</v>
      </c>
      <c r="O111" s="124">
        <f t="array" ref="O111:Z111">XLOOKUP(F111,'Current Week'!C:C,'Current Week'!D:O)</f>
        <v>4</v>
      </c>
      <c r="P111" s="122">
        <v>8.0</v>
      </c>
      <c r="Q111" s="123" t="s">
        <v>390</v>
      </c>
      <c r="R111" s="123" t="s">
        <v>57</v>
      </c>
      <c r="S111" s="123" t="s">
        <v>103</v>
      </c>
      <c r="T111" s="123"/>
      <c r="U111" s="123"/>
      <c r="V111" s="123"/>
      <c r="W111" s="123"/>
      <c r="X111" s="123"/>
      <c r="Y111" s="126"/>
      <c r="Z111" s="126"/>
      <c r="AA111" s="127">
        <f t="shared" si="4"/>
        <v>-5</v>
      </c>
      <c r="AB111" s="126">
        <f t="shared" si="5"/>
        <v>14</v>
      </c>
      <c r="AC111" s="126">
        <f>IFERROR(__xludf.DUMMYFUNCTION("iferror(COUNT(filter($O112:$O$395,$O112:$O$395&gt;$O111)))"),13.0)</f>
        <v>13</v>
      </c>
      <c r="AD111" s="128">
        <f t="shared" si="6"/>
        <v>0</v>
      </c>
      <c r="AE111" s="129">
        <f t="shared" si="7"/>
        <v>3</v>
      </c>
      <c r="AF111" s="123" t="str">
        <f>IFERROR(__xludf.DUMMYFUNCTION("iferror(join("","",index(sort(filter($F112:$F$396,$O112:$O$396&gt;$O111),2,false),0,1)))"),"LSU,Illinois,Auburn,Rice,Bowling Green,Arizona,South Carolina,Georgia Tech,New Mexico State,Vanderbilt,UConn,Missouri,Duke")</f>
        <v>LSU,Illinois,Auburn,Rice,Bowling Green,Arizona,South Carolina,Georgia Tech,New Mexico State,Vanderbilt,UConn,Missouri,Duke</v>
      </c>
      <c r="AG111" s="127">
        <f>IFERROR(__xludf.DUMMYFUNCTION("iferror($O111-max(filter($O111:$O$395,$E111:$E$395=$E$2)))"),-4.0)</f>
        <v>-4</v>
      </c>
      <c r="AH111" s="126">
        <f t="shared" si="8"/>
        <v>0</v>
      </c>
      <c r="AI111" s="126">
        <f>IFERROR(__xludf.DUMMYFUNCTION("iferror(COUNT(filter($O112:$O$395,$O112:$O$395&gt;$O111,$E111:$E$395=$E$2)))"),0.0)</f>
        <v>0</v>
      </c>
      <c r="AJ111" s="128">
        <f t="shared" si="9"/>
        <v>0</v>
      </c>
      <c r="AK111" s="129">
        <f>IFERROR(__xludf.DUMMYFUNCTION("iferror($O111-min(filter($O111:$O$395,$E111:$E$395=$E$2)))"),3.0)</f>
        <v>3</v>
      </c>
      <c r="AL111" s="123" t="str">
        <f>IFERROR(__xludf.DUMMYFUNCTION("iferror(join("","",index(sort(filter($F112:$F$395,$O112:$O$395&gt;$O111,$E112:$E$395=$E$2),2,false),0,1)))"),"Illinois")</f>
        <v>Illinois</v>
      </c>
      <c r="AM111" s="123" t="str">
        <f>IFERROR(__xludf.DUMMYFUNCTION("REGEXREPLACE(join("","",unique({let(conf_picked,filter(E$1:E110,D$1:D110=D111), byrow(unique(TRANSPOSe(Teams!$1:$1)),lambda(rw,if(ISERROR(match(rw,conf_picked,0)),rw,))));iferror(if(#REF!,,transpose(split(#REF!,"","",1,1))))})), ""^,"", """")"),"Pac12,MAC")</f>
        <v>Pac12,MAC</v>
      </c>
      <c r="AN111" s="127">
        <f>IFERROR(__xludf.DUMMYFUNCTION("iferror($O111-max(filter($O111:$O$395,arrayformula(isnumber(FIND($E111:$E$395,AM111))))))"),-2.0)</f>
        <v>-2</v>
      </c>
      <c r="AO111" s="126">
        <f t="array" ref="AO111">countifs($O$2:$O110,"&lt;"&amp;$O111,isnumber(FIND($E$2:$E110,AM111)),TRUE)</f>
        <v>3</v>
      </c>
      <c r="AP111" s="126">
        <f>IFERROR(__xludf.DUMMYFUNCTION("iferror(COUNT(filter($O112:$O$395,$O112:$O$395&gt;$O111,arrayformula(isnumber(FIND($E112:$E$395,AM111))))))"),2.0)</f>
        <v>2</v>
      </c>
      <c r="AQ111" s="128">
        <f t="shared" si="10"/>
        <v>0</v>
      </c>
      <c r="AR111" s="129">
        <f>IFERROR(__xludf.DUMMYFUNCTION("$O111-min(filter($O111:$O$395,arrayformula(isnumber(FIND($E111:$E$395,AM111)))))"),3.0)</f>
        <v>3</v>
      </c>
      <c r="AS111" s="123" t="str">
        <f>IFERROR(__xludf.DUMMYFUNCTION("iferror(join("","",index(sort(filter($F112:$F$395,$O112:$O$395&gt;$O111,arrayformula(isnumber(FIND($E112:$E$395,AM111)))),2,false),0,1)))"),"Bowling Green,Arizona")</f>
        <v>Bowling Green,Arizona</v>
      </c>
    </row>
    <row r="112">
      <c r="A112" s="26">
        <v>111.0</v>
      </c>
      <c r="B112" s="26">
        <v>9.0</v>
      </c>
      <c r="C112" s="26">
        <v>7.0</v>
      </c>
      <c r="D112" s="132" t="s">
        <v>109</v>
      </c>
      <c r="E112" s="133" t="str">
        <f>if(F112&lt;&gt;"",VLOOKUP(F112,offset('Teams-Conference'!A:B,0,(counta('Draft Order'!B$2:B132)-10)*2),2,0),"")</f>
        <v>SEC</v>
      </c>
      <c r="F112" s="143" t="s">
        <v>360</v>
      </c>
      <c r="G112" s="135" t="str">
        <f t="shared" si="16"/>
        <v/>
      </c>
      <c r="H112" s="122">
        <f t="shared" si="2"/>
        <v>2</v>
      </c>
      <c r="I112" s="122">
        <f t="shared" si="28"/>
        <v>3</v>
      </c>
      <c r="J112" s="122">
        <f t="shared" si="11"/>
        <v>2</v>
      </c>
      <c r="K112" s="122">
        <f t="shared" ref="K112:K116" si="29">countif(E93:E112,E113)</f>
        <v>1</v>
      </c>
      <c r="L112" s="122">
        <v>9.0</v>
      </c>
      <c r="M112" s="122">
        <f>IFERROR(__xludf.DUMMYFUNCTION("counta(iferror(filter(L$2:L111,E$2:E111=E112,L$2:L111&lt;L112)))"),6.0)</f>
        <v>6</v>
      </c>
      <c r="N112" s="122">
        <f>IFERROR(__xludf.DUMMYFUNCTION("counta(iferror(filter(L113:L$131,E113:E$131=E112,L113:L$134&gt;L112)))"),0.0)</f>
        <v>0</v>
      </c>
      <c r="O112" s="124">
        <f t="array" ref="O112:Z112">XLOOKUP(F112,'Current Week'!C:C,'Current Week'!D:O)</f>
        <v>9</v>
      </c>
      <c r="P112" s="122">
        <v>3.0</v>
      </c>
      <c r="Q112" s="123" t="s">
        <v>407</v>
      </c>
      <c r="R112" s="123" t="s">
        <v>183</v>
      </c>
      <c r="S112" s="123" t="s">
        <v>148</v>
      </c>
      <c r="T112" s="123" t="s">
        <v>82</v>
      </c>
      <c r="U112" s="123"/>
      <c r="V112" s="123"/>
      <c r="W112" s="123"/>
      <c r="X112" s="123"/>
      <c r="Y112" s="126"/>
      <c r="Z112" s="126"/>
      <c r="AA112" s="127">
        <f t="shared" si="4"/>
        <v>0</v>
      </c>
      <c r="AB112" s="126">
        <f t="shared" si="5"/>
        <v>83</v>
      </c>
      <c r="AC112" s="126">
        <f>IFERROR(__xludf.DUMMYFUNCTION("iferror(COUNT(filter($O113:$O$395,$O113:$O$395&gt;$O112)))"),0.0)</f>
        <v>0</v>
      </c>
      <c r="AD112" s="128">
        <f t="shared" si="6"/>
        <v>1</v>
      </c>
      <c r="AE112" s="129">
        <f t="shared" si="7"/>
        <v>8</v>
      </c>
      <c r="AF112" s="123" t="str">
        <f>IFERROR(__xludf.DUMMYFUNCTION("iferror(join("","",index(sort(filter($F113:$F$396,$O113:$O$396&gt;$O112),2,false),0,1)))"),"")</f>
        <v/>
      </c>
      <c r="AG112" s="127">
        <f>IFERROR(__xludf.DUMMYFUNCTION("iferror($O112-max(filter($O112:$O$395,$E112:$E$395=$E$2)))"),1.0)</f>
        <v>1</v>
      </c>
      <c r="AH112" s="126">
        <f t="shared" si="8"/>
        <v>7</v>
      </c>
      <c r="AI112" s="126">
        <f>IFERROR(__xludf.DUMMYFUNCTION("iferror(COUNT(filter($O113:$O$395,$O113:$O$395&gt;$O112,$E112:$E$395=$E$2)))"),0.0)</f>
        <v>0</v>
      </c>
      <c r="AJ112" s="128">
        <f t="shared" si="9"/>
        <v>0</v>
      </c>
      <c r="AK112" s="129">
        <f>IFERROR(__xludf.DUMMYFUNCTION("iferror($O112-min(filter($O112:$O$395,$E112:$E$395=$E$2)))"),8.0)</f>
        <v>8</v>
      </c>
      <c r="AL112" s="123" t="str">
        <f>IFERROR(__xludf.DUMMYFUNCTION("iferror(join("","",index(sort(filter($F113:$F$395,$O113:$O$395&gt;$O112,$E113:$E$395=$E$2),2,false),0,1)))"),"")</f>
        <v/>
      </c>
      <c r="AM112" s="123" t="str">
        <f>IFERROR(__xludf.DUMMYFUNCTION("REGEXREPLACE(join("","",unique({let(conf_picked,filter(E$1:E111,D$1:D111=D112), byrow(unique(TRANSPOSe(Teams!$1:$1)),lambda(rw,if(ISERROR(match(rw,conf_picked,0)),rw,))));iferror(if(#REF!,,transpose(split(#REF!,"","",1,1))))})), ""^,"", """")"),"MWC,SEC")</f>
        <v>MWC,SEC</v>
      </c>
      <c r="AN112" s="127">
        <f>IFERROR(__xludf.DUMMYFUNCTION("iferror($O112-max(filter($O112:$O$395,arrayformula(isnumber(FIND($E112:$E$395,AM112))))))"),0.0)</f>
        <v>0</v>
      </c>
      <c r="AO112" s="126">
        <f t="array" ref="AO112">countifs($O$2:$O111,"&lt;"&amp;$O112,isnumber(FIND($E$2:$E111,AM112)),TRUE)</f>
        <v>15</v>
      </c>
      <c r="AP112" s="126">
        <f>IFERROR(__xludf.DUMMYFUNCTION("iferror(COUNT(filter($O113:$O$395,$O113:$O$395&gt;$O112,arrayformula(isnumber(FIND($E113:$E$395,AM112))))))"),0.0)</f>
        <v>0</v>
      </c>
      <c r="AQ112" s="128">
        <f t="shared" si="10"/>
        <v>1</v>
      </c>
      <c r="AR112" s="129">
        <f>IFERROR(__xludf.DUMMYFUNCTION("$O112-min(filter($O112:$O$395,arrayformula(isnumber(FIND($E112:$E$395,AM112)))))"),7.0)</f>
        <v>7</v>
      </c>
      <c r="AS112" s="123" t="str">
        <f>IFERROR(__xludf.DUMMYFUNCTION("iferror(join("","",index(sort(filter($F113:$F$395,$O113:$O$395&gt;$O112,arrayformula(isnumber(FIND($E113:$E$395,AM112)))),2,false),0,1)))"),"")</f>
        <v/>
      </c>
    </row>
    <row r="113">
      <c r="A113" s="26">
        <v>112.0</v>
      </c>
      <c r="B113" s="26">
        <v>9.0</v>
      </c>
      <c r="C113" s="26">
        <v>8.0</v>
      </c>
      <c r="D113" s="132" t="s">
        <v>144</v>
      </c>
      <c r="E113" s="133" t="str">
        <f>if(F113&lt;&gt;"",VLOOKUP(F113,offset('Teams-Conference'!A:B,0,(counta('Draft Order'!B$2:B132)-10)*2),2,0),"")</f>
        <v>Big Ten</v>
      </c>
      <c r="F113" s="143" t="s">
        <v>321</v>
      </c>
      <c r="G113" s="135" t="str">
        <f t="shared" si="16"/>
        <v/>
      </c>
      <c r="H113" s="122">
        <f t="shared" si="2"/>
        <v>2</v>
      </c>
      <c r="I113" s="122">
        <f t="shared" si="28"/>
        <v>2</v>
      </c>
      <c r="J113" s="122">
        <f t="shared" si="11"/>
        <v>0</v>
      </c>
      <c r="K113" s="122">
        <f t="shared" si="29"/>
        <v>4</v>
      </c>
      <c r="L113" s="122">
        <v>8.0</v>
      </c>
      <c r="M113" s="122">
        <f>IFERROR(__xludf.DUMMYFUNCTION("counta(iferror(filter(L$2:L112,E$2:E112=E113,L$2:L112&lt;L113)))"),5.0)</f>
        <v>5</v>
      </c>
      <c r="N113" s="122">
        <f>IFERROR(__xludf.DUMMYFUNCTION("counta(iferror(filter(L114:L$131,E114:E$131=E113,L114:L$134&gt;L113)))"),0.0)</f>
        <v>0</v>
      </c>
      <c r="O113" s="124">
        <f t="array" ref="O113:Z113">XLOOKUP(F113,'Current Week'!C:C,'Current Week'!D:O)</f>
        <v>8</v>
      </c>
      <c r="P113" s="122">
        <v>4.0</v>
      </c>
      <c r="Q113" s="123" t="s">
        <v>411</v>
      </c>
      <c r="R113" s="123" t="s">
        <v>57</v>
      </c>
      <c r="S113" s="123" t="s">
        <v>154</v>
      </c>
      <c r="T113" s="123"/>
      <c r="U113" s="123"/>
      <c r="V113" s="123"/>
      <c r="W113" s="123"/>
      <c r="X113" s="123"/>
      <c r="Y113" s="126"/>
      <c r="Z113" s="126"/>
      <c r="AA113" s="127">
        <f t="shared" si="4"/>
        <v>0</v>
      </c>
      <c r="AB113" s="126">
        <f t="shared" si="5"/>
        <v>69</v>
      </c>
      <c r="AC113" s="126">
        <f>IFERROR(__xludf.DUMMYFUNCTION("iferror(COUNT(filter($O114:$O$395,$O114:$O$395&gt;$O113)))"),0.0)</f>
        <v>0</v>
      </c>
      <c r="AD113" s="128">
        <f t="shared" si="6"/>
        <v>1</v>
      </c>
      <c r="AE113" s="129">
        <f t="shared" si="7"/>
        <v>7</v>
      </c>
      <c r="AF113" s="123" t="str">
        <f>IFERROR(__xludf.DUMMYFUNCTION("iferror(join("","",index(sort(filter($F114:$F$396,$O114:$O$396&gt;$O113),2,false),0,1)))"),"")</f>
        <v/>
      </c>
      <c r="AG113" s="127">
        <f>IFERROR(__xludf.DUMMYFUNCTION("iferror($O113-max(filter($O113:$O$395,$E113:$E$395=$E$2)))"),0.0)</f>
        <v>0</v>
      </c>
      <c r="AH113" s="126">
        <f t="shared" si="8"/>
        <v>5</v>
      </c>
      <c r="AI113" s="126">
        <f>IFERROR(__xludf.DUMMYFUNCTION("iferror(COUNT(filter($O114:$O$395,$O114:$O$395&gt;$O113,$E113:$E$395=$E$2)))"),0.0)</f>
        <v>0</v>
      </c>
      <c r="AJ113" s="128">
        <f t="shared" si="9"/>
        <v>1</v>
      </c>
      <c r="AK113" s="129">
        <f>IFERROR(__xludf.DUMMYFUNCTION("iferror($O113-min(filter($O113:$O$395,$E113:$E$395=$E$2)))"),7.0)</f>
        <v>7</v>
      </c>
      <c r="AL113" s="123" t="str">
        <f>IFERROR(__xludf.DUMMYFUNCTION("iferror(join("","",index(sort(filter($F114:$F$395,$O114:$O$395&gt;$O113,$E114:$E$395=$E$2),2,false),0,1)))"),"")</f>
        <v/>
      </c>
      <c r="AM113" s="123" t="str">
        <f>IFERROR(__xludf.DUMMYFUNCTION("REGEXREPLACE(join("","",unique({let(conf_picked,filter(E$1:E112,D$1:D112=D113), byrow(unique(TRANSPOSe(Teams!$1:$1)),lambda(rw,if(ISERROR(match(rw,conf_picked,0)),rw,))));iferror(if(#REF!,,transpose(split(#REF!,"","",1,1))))})), ""^,"", """")"),"Big Ten,Pac12")</f>
        <v>Big Ten,Pac12</v>
      </c>
      <c r="AN113" s="127">
        <f>IFERROR(__xludf.DUMMYFUNCTION("iferror($O113-max(filter($O113:$O$395,arrayformula(isnumber(FIND($E113:$E$395,AM113))))))"),0.0)</f>
        <v>0</v>
      </c>
      <c r="AO113" s="126">
        <f t="array" ref="AO113">countifs($O$2:$O112,"&lt;"&amp;$O113,isnumber(FIND($E$2:$E112,AM113)),TRUE)</f>
        <v>10</v>
      </c>
      <c r="AP113" s="126">
        <f>IFERROR(__xludf.DUMMYFUNCTION("iferror(COUNT(filter($O114:$O$395,$O114:$O$395&gt;$O113,arrayformula(isnumber(FIND($E114:$E$395,AM113))))))"),0.0)</f>
        <v>0</v>
      </c>
      <c r="AQ113" s="128">
        <f t="shared" si="10"/>
        <v>1</v>
      </c>
      <c r="AR113" s="129">
        <f>IFERROR(__xludf.DUMMYFUNCTION("$O113-min(filter($O113:$O$395,arrayformula(isnumber(FIND($E113:$E$395,AM113)))))"),7.0)</f>
        <v>7</v>
      </c>
      <c r="AS113" s="123" t="str">
        <f>IFERROR(__xludf.DUMMYFUNCTION("iferror(join("","",index(sort(filter($F114:$F$395,$O114:$O$395&gt;$O113,arrayformula(isnumber(FIND($E114:$E$395,AM113)))),2,false),0,1)))"),"")</f>
        <v/>
      </c>
    </row>
    <row r="114">
      <c r="A114" s="26">
        <v>113.0</v>
      </c>
      <c r="B114" s="26">
        <v>9.0</v>
      </c>
      <c r="C114" s="26">
        <v>9.0</v>
      </c>
      <c r="D114" s="132" t="s">
        <v>166</v>
      </c>
      <c r="E114" s="133" t="str">
        <f>if(F114&lt;&gt;"",VLOOKUP(F114,offset('Teams-Conference'!A:B,0,(counta('Draft Order'!B$2:B132)-10)*2),2,0),"")</f>
        <v>SEC</v>
      </c>
      <c r="F114" s="143" t="s">
        <v>337</v>
      </c>
      <c r="G114" s="135" t="str">
        <f t="shared" si="16"/>
        <v/>
      </c>
      <c r="H114" s="122">
        <f t="shared" si="2"/>
        <v>1</v>
      </c>
      <c r="I114" s="122">
        <f t="shared" si="28"/>
        <v>2</v>
      </c>
      <c r="J114" s="122">
        <f t="shared" si="11"/>
        <v>3</v>
      </c>
      <c r="K114" s="122">
        <f t="shared" si="29"/>
        <v>3</v>
      </c>
      <c r="L114" s="122">
        <v>5.0</v>
      </c>
      <c r="M114" s="122">
        <f>IFERROR(__xludf.DUMMYFUNCTION("counta(iferror(filter(L$2:L113,E$2:E113=E114,L$2:L113&lt;L114)))"),0.0)</f>
        <v>0</v>
      </c>
      <c r="N114" s="122">
        <f>IFERROR(__xludf.DUMMYFUNCTION("counta(iferror(filter(L115:L$131,E115:E$131=E114,L115:L$134&gt;L114)))"),0.0)</f>
        <v>0</v>
      </c>
      <c r="O114" s="124">
        <f t="array" ref="O114:Z114">XLOOKUP(F114,'Current Week'!C:C,'Current Week'!D:O)</f>
        <v>5</v>
      </c>
      <c r="P114" s="122">
        <v>7.0</v>
      </c>
      <c r="Q114" s="123" t="s">
        <v>288</v>
      </c>
      <c r="R114" s="123" t="s">
        <v>183</v>
      </c>
      <c r="S114" s="123" t="s">
        <v>141</v>
      </c>
      <c r="T114" s="123" t="s">
        <v>66</v>
      </c>
      <c r="U114" s="123"/>
      <c r="V114" s="123"/>
      <c r="W114" s="123"/>
      <c r="X114" s="123"/>
      <c r="Y114" s="126"/>
      <c r="Z114" s="126"/>
      <c r="AA114" s="127">
        <f t="shared" si="4"/>
        <v>-3</v>
      </c>
      <c r="AB114" s="126">
        <f t="shared" si="5"/>
        <v>23</v>
      </c>
      <c r="AC114" s="126">
        <f>IFERROR(__xludf.DUMMYFUNCTION("iferror(COUNT(filter($O115:$O$395,$O115:$O$395&gt;$O114)))"),6.0)</f>
        <v>6</v>
      </c>
      <c r="AD114" s="128">
        <f t="shared" si="6"/>
        <v>0</v>
      </c>
      <c r="AE114" s="129">
        <f t="shared" si="7"/>
        <v>4</v>
      </c>
      <c r="AF114" s="123" t="str">
        <f>IFERROR(__xludf.DUMMYFUNCTION("iferror(join("","",index(sort(filter($F115:$F$396,$O115:$O$396&gt;$O114),2,false),0,1)))"),"Bowling Green,South Carolina,New Mexico State,UConn,Missouri,Duke")</f>
        <v>Bowling Green,South Carolina,New Mexico State,UConn,Missouri,Duke</v>
      </c>
      <c r="AG114" s="127">
        <f>IFERROR(__xludf.DUMMYFUNCTION("iferror($O114-max(filter($O114:$O$395,$E114:$E$395=$E$2)))"),1.0)</f>
        <v>1</v>
      </c>
      <c r="AH114" s="126">
        <f t="shared" si="8"/>
        <v>1</v>
      </c>
      <c r="AI114" s="126">
        <f>IFERROR(__xludf.DUMMYFUNCTION("iferror(COUNT(filter($O115:$O$395,$O115:$O$395&gt;$O114,$E114:$E$395=$E$2)))"),0.0)</f>
        <v>0</v>
      </c>
      <c r="AJ114" s="128">
        <f t="shared" si="9"/>
        <v>0</v>
      </c>
      <c r="AK114" s="129">
        <f>IFERROR(__xludf.DUMMYFUNCTION("iferror($O114-min(filter($O114:$O$395,$E114:$E$395=$E$2)))"),4.0)</f>
        <v>4</v>
      </c>
      <c r="AL114" s="123" t="str">
        <f>IFERROR(__xludf.DUMMYFUNCTION("iferror(join("","",index(sort(filter($F115:$F$395,$O115:$O$395&gt;$O114,$E115:$E$395=$E$2),2,false),0,1)))"),"")</f>
        <v/>
      </c>
      <c r="AM114" s="123" t="str">
        <f>IFERROR(__xludf.DUMMYFUNCTION("REGEXREPLACE(join("","",unique({let(conf_picked,filter(E$1:E113,D$1:D113=D114), byrow(unique(TRANSPOSe(Teams!$1:$1)),lambda(rw,if(ISERROR(match(rw,conf_picked,0)),rw,))));iferror(if(#REF!,,transpose(split(#REF!,"","",1,1))))})), ""^,"", """")"),"Big Ten,SEC")</f>
        <v>Big Ten,SEC</v>
      </c>
      <c r="AN114" s="127">
        <f>IFERROR(__xludf.DUMMYFUNCTION("iferror($O114-max(filter($O114:$O$395,arrayformula(isnumber(FIND($E114:$E$395,AM114))))))"),-3.0)</f>
        <v>-3</v>
      </c>
      <c r="AO114" s="126">
        <f t="array" ref="AO114">countifs($O$2:$O113,"&lt;"&amp;$O114,isnumber(FIND($E$2:$E113,AM114)),TRUE)</f>
        <v>1</v>
      </c>
      <c r="AP114" s="126">
        <f>IFERROR(__xludf.DUMMYFUNCTION("iferror(COUNT(filter($O115:$O$395,$O115:$O$395&gt;$O114,arrayformula(isnumber(FIND($E115:$E$395,AM114))))))"),2.0)</f>
        <v>2</v>
      </c>
      <c r="AQ114" s="128">
        <f t="shared" si="10"/>
        <v>0</v>
      </c>
      <c r="AR114" s="129">
        <f>IFERROR(__xludf.DUMMYFUNCTION("$O114-min(filter($O114:$O$395,arrayformula(isnumber(FIND($E114:$E$395,AM114)))))"),4.0)</f>
        <v>4</v>
      </c>
      <c r="AS114" s="123" t="str">
        <f>IFERROR(__xludf.DUMMYFUNCTION("iferror(join("","",index(sort(filter($F115:$F$395,$O115:$O$395&gt;$O114,arrayformula(isnumber(FIND($E115:$E$395,AM114)))),2,false),0,1)))"),"South Carolina,Missouri")</f>
        <v>South Carolina,Missouri</v>
      </c>
    </row>
    <row r="115">
      <c r="A115" s="26">
        <v>114.0</v>
      </c>
      <c r="B115" s="26">
        <v>9.0</v>
      </c>
      <c r="C115" s="26">
        <v>10.0</v>
      </c>
      <c r="D115" s="132" t="s">
        <v>116</v>
      </c>
      <c r="E115" s="133" t="str">
        <f>if(F115&lt;&gt;"",VLOOKUP(F115,offset('Teams-Conference'!A:B,0,(counta('Draft Order'!B$2:B132)-10)*2),2,0),"")</f>
        <v>CUSA</v>
      </c>
      <c r="F115" s="143" t="s">
        <v>355</v>
      </c>
      <c r="G115" s="135" t="str">
        <f t="shared" si="16"/>
        <v/>
      </c>
      <c r="H115" s="122">
        <f t="shared" si="2"/>
        <v>1</v>
      </c>
      <c r="I115" s="122">
        <f t="shared" si="28"/>
        <v>1</v>
      </c>
      <c r="J115" s="122">
        <f t="shared" si="11"/>
        <v>1</v>
      </c>
      <c r="K115" s="122">
        <f t="shared" si="29"/>
        <v>3</v>
      </c>
      <c r="L115" s="122">
        <v>5.0</v>
      </c>
      <c r="M115" s="122">
        <f>IFERROR(__xludf.DUMMYFUNCTION("counta(iferror(filter(L$2:L114,E$2:E114=E115,L$2:L114&lt;L115)))"),3.0)</f>
        <v>3</v>
      </c>
      <c r="N115" s="122">
        <f>IFERROR(__xludf.DUMMYFUNCTION("counta(iferror(filter(L116:L$131,E116:E$131=E115,L116:L$134&gt;L115)))"),0.0)</f>
        <v>0</v>
      </c>
      <c r="O115" s="124">
        <f t="array" ref="O115:Z115">XLOOKUP(F115,'Current Week'!C:C,'Current Week'!D:O)</f>
        <v>5</v>
      </c>
      <c r="P115" s="122">
        <v>7.0</v>
      </c>
      <c r="Q115" s="123" t="s">
        <v>205</v>
      </c>
      <c r="R115" s="123" t="s">
        <v>57</v>
      </c>
      <c r="S115" s="123" t="s">
        <v>131</v>
      </c>
      <c r="T115" s="123"/>
      <c r="U115" s="123"/>
      <c r="V115" s="123"/>
      <c r="W115" s="123"/>
      <c r="X115" s="123"/>
      <c r="Y115" s="126"/>
      <c r="Z115" s="126"/>
      <c r="AA115" s="127">
        <f t="shared" si="4"/>
        <v>-3</v>
      </c>
      <c r="AB115" s="126">
        <f t="shared" si="5"/>
        <v>23</v>
      </c>
      <c r="AC115" s="126">
        <f>IFERROR(__xludf.DUMMYFUNCTION("iferror(COUNT(filter($O116:$O$395,$O116:$O$395&gt;$O115)))"),6.0)</f>
        <v>6</v>
      </c>
      <c r="AD115" s="128">
        <f t="shared" si="6"/>
        <v>0</v>
      </c>
      <c r="AE115" s="129">
        <f t="shared" si="7"/>
        <v>4</v>
      </c>
      <c r="AF115" s="123" t="str">
        <f>IFERROR(__xludf.DUMMYFUNCTION("iferror(join("","",index(sort(filter($F116:$F$396,$O116:$O$396&gt;$O115),2,false),0,1)))"),"Bowling Green,South Carolina,New Mexico State,UConn,Missouri,Duke")</f>
        <v>Bowling Green,South Carolina,New Mexico State,UConn,Missouri,Duke</v>
      </c>
      <c r="AG115" s="127">
        <f>IFERROR(__xludf.DUMMYFUNCTION("iferror($O115-max(filter($O115:$O$395,$E115:$E$395=$E$2)))"),1.0)</f>
        <v>1</v>
      </c>
      <c r="AH115" s="126">
        <f t="shared" si="8"/>
        <v>1</v>
      </c>
      <c r="AI115" s="126">
        <f>IFERROR(__xludf.DUMMYFUNCTION("iferror(COUNT(filter($O116:$O$395,$O116:$O$395&gt;$O115,$E115:$E$395=$E$2)))"),0.0)</f>
        <v>0</v>
      </c>
      <c r="AJ115" s="128">
        <f t="shared" si="9"/>
        <v>0</v>
      </c>
      <c r="AK115" s="129">
        <f>IFERROR(__xludf.DUMMYFUNCTION("iferror($O115-min(filter($O115:$O$395,$E115:$E$395=$E$2)))"),4.0)</f>
        <v>4</v>
      </c>
      <c r="AL115" s="123" t="str">
        <f>IFERROR(__xludf.DUMMYFUNCTION("iferror(join("","",index(sort(filter($F116:$F$395,$O116:$O$395&gt;$O115,$E116:$E$395=$E$2),2,false),0,1)))"),"")</f>
        <v/>
      </c>
      <c r="AM115" s="123" t="str">
        <f>IFERROR(__xludf.DUMMYFUNCTION("REGEXREPLACE(join("","",unique({let(conf_picked,filter(E$1:E114,D$1:D114=D115), byrow(unique(TRANSPOSe(Teams!$1:$1)),lambda(rw,if(ISERROR(match(rw,conf_picked,0)),rw,))));iferror(if(#REF!,,transpose(split(#REF!,"","",1,1))))})), ""^,"", """")"),"ACC,CUSA")</f>
        <v>ACC,CUSA</v>
      </c>
      <c r="AN115" s="127">
        <f>IFERROR(__xludf.DUMMYFUNCTION("iferror($O115-max(filter($O115:$O$395,arrayformula(isnumber(FIND($E115:$E$395,AM115))))))"),-3.0)</f>
        <v>-3</v>
      </c>
      <c r="AO115" s="126">
        <f t="array" ref="AO115">countifs($O$2:$O114,"&lt;"&amp;$O115,isnumber(FIND($E$2:$E114,AM115)),TRUE)</f>
        <v>6</v>
      </c>
      <c r="AP115" s="126">
        <f>IFERROR(__xludf.DUMMYFUNCTION("iferror(COUNT(filter($O116:$O$395,$O116:$O$395&gt;$O115,arrayformula(isnumber(FIND($E116:$E$395,AM115))))))"),1.0)</f>
        <v>1</v>
      </c>
      <c r="AQ115" s="128">
        <f t="shared" si="10"/>
        <v>0</v>
      </c>
      <c r="AR115" s="129">
        <f>IFERROR(__xludf.DUMMYFUNCTION("$O115-min(filter($O115:$O$395,arrayformula(isnumber(FIND($E115:$E$395,AM115)))))"),4.0)</f>
        <v>4</v>
      </c>
      <c r="AS115" s="123" t="str">
        <f>IFERROR(__xludf.DUMMYFUNCTION("iferror(join("","",index(sort(filter($F116:$F$395,$O116:$O$395&gt;$O115,arrayformula(isnumber(FIND($E116:$E$395,AM115)))),2,false),0,1)))"),"Duke")</f>
        <v>Duke</v>
      </c>
    </row>
    <row r="116">
      <c r="A116" s="26">
        <v>115.0</v>
      </c>
      <c r="B116" s="26">
        <v>9.0</v>
      </c>
      <c r="C116" s="26">
        <v>11.0</v>
      </c>
      <c r="D116" s="132" t="s">
        <v>148</v>
      </c>
      <c r="E116" s="133" t="str">
        <f>if(F116&lt;&gt;"",VLOOKUP(F116,offset('Teams-Conference'!A:B,0,(counta('Draft Order'!B$2:B132)-10)*2),2,0),"")</f>
        <v>MAC</v>
      </c>
      <c r="F116" s="138" t="s">
        <v>335</v>
      </c>
      <c r="G116" s="135" t="str">
        <f t="shared" si="16"/>
        <v/>
      </c>
      <c r="H116" s="122">
        <f t="shared" si="2"/>
        <v>1</v>
      </c>
      <c r="I116" s="122">
        <f t="shared" si="28"/>
        <v>1</v>
      </c>
      <c r="J116" s="122">
        <f t="shared" si="11"/>
        <v>0</v>
      </c>
      <c r="K116" s="122">
        <f t="shared" si="29"/>
        <v>2</v>
      </c>
      <c r="L116" s="122">
        <v>6.0</v>
      </c>
      <c r="M116" s="122">
        <f>IFERROR(__xludf.DUMMYFUNCTION("counta(iferror(filter(L$2:L115,E$2:E115=E116,L$2:L115&lt;L116)))"),5.0)</f>
        <v>5</v>
      </c>
      <c r="N116" s="122">
        <f>IFERROR(__xludf.DUMMYFUNCTION("counta(iferror(filter(L117:L$131,E117:E$131=E116,L117:L$134&gt;L116)))"),0.0)</f>
        <v>0</v>
      </c>
      <c r="O116" s="124">
        <f t="array" ref="O116:Z116">XLOOKUP(F116,'Current Week'!C:C,'Current Week'!D:O)</f>
        <v>6</v>
      </c>
      <c r="P116" s="122">
        <v>6.0</v>
      </c>
      <c r="Q116" s="123" t="s">
        <v>177</v>
      </c>
      <c r="R116" s="123" t="s">
        <v>57</v>
      </c>
      <c r="S116" s="123" t="s">
        <v>53</v>
      </c>
      <c r="T116" s="123"/>
      <c r="U116" s="123"/>
      <c r="V116" s="123"/>
      <c r="W116" s="123"/>
      <c r="X116" s="123"/>
      <c r="Y116" s="126"/>
      <c r="Z116" s="126"/>
      <c r="AA116" s="127">
        <f t="shared" si="4"/>
        <v>-2</v>
      </c>
      <c r="AB116" s="126">
        <f t="shared" si="5"/>
        <v>37</v>
      </c>
      <c r="AC116" s="126">
        <f>IFERROR(__xludf.DUMMYFUNCTION("iferror(COUNT(filter($O117:$O$395,$O117:$O$395&gt;$O116)))"),2.0)</f>
        <v>2</v>
      </c>
      <c r="AD116" s="128">
        <f t="shared" si="6"/>
        <v>0</v>
      </c>
      <c r="AE116" s="129">
        <f t="shared" si="7"/>
        <v>5</v>
      </c>
      <c r="AF116" s="123" t="str">
        <f>IFERROR(__xludf.DUMMYFUNCTION("iferror(join("","",index(sort(filter($F117:$F$396,$O117:$O$396&gt;$O116),2,false),0,1)))"),"South Carolina,Duke")</f>
        <v>South Carolina,Duke</v>
      </c>
      <c r="AG116" s="127">
        <f>IFERROR(__xludf.DUMMYFUNCTION("iferror($O116-max(filter($O116:$O$395,$E116:$E$395=$E$2)))"),2.0)</f>
        <v>2</v>
      </c>
      <c r="AH116" s="126">
        <f t="shared" si="8"/>
        <v>2</v>
      </c>
      <c r="AI116" s="126">
        <f>IFERROR(__xludf.DUMMYFUNCTION("iferror(COUNT(filter($O117:$O$395,$O117:$O$395&gt;$O116,$E116:$E$395=$E$2)))"),0.0)</f>
        <v>0</v>
      </c>
      <c r="AJ116" s="128">
        <f t="shared" si="9"/>
        <v>0</v>
      </c>
      <c r="AK116" s="129">
        <f>IFERROR(__xludf.DUMMYFUNCTION("iferror($O116-min(filter($O116:$O$395,$E116:$E$395=$E$2)))"),5.0)</f>
        <v>5</v>
      </c>
      <c r="AL116" s="123" t="str">
        <f>IFERROR(__xludf.DUMMYFUNCTION("iferror(join("","",index(sort(filter($F117:$F$395,$O117:$O$395&gt;$O116,$E117:$E$395=$E$2),2,false),0,1)))"),"")</f>
        <v/>
      </c>
      <c r="AM116" s="123" t="str">
        <f>IFERROR(__xludf.DUMMYFUNCTION("REGEXREPLACE(join("","",unique({let(conf_picked,filter(E$1:E115,D$1:D115=D116), byrow(unique(TRANSPOSe(Teams!$1:$1)),lambda(rw,if(ISERROR(match(rw,conf_picked,0)),rw,))));iferror(if(#REF!,,transpose(split(#REF!,"","",1,1))))})), ""^,"", """")"),"CUSA,MAC")</f>
        <v>CUSA,MAC</v>
      </c>
      <c r="AN116" s="127">
        <f>IFERROR(__xludf.DUMMYFUNCTION("iferror($O116-max(filter($O116:$O$395,arrayformula(isnumber(FIND($E116:$E$395,AM116))))))"),0.0)</f>
        <v>0</v>
      </c>
      <c r="AO116" s="126">
        <f t="array" ref="AO116">countifs($O$2:$O115,"&lt;"&amp;$O116,isnumber(FIND($E$2:$E115,AM116)),TRUE)</f>
        <v>11</v>
      </c>
      <c r="AP116" s="126">
        <f>IFERROR(__xludf.DUMMYFUNCTION("iferror(COUNT(filter($O117:$O$395,$O117:$O$395&gt;$O116,arrayformula(isnumber(FIND($E117:$E$395,AM116))))))"),0.0)</f>
        <v>0</v>
      </c>
      <c r="AQ116" s="128">
        <f t="shared" si="10"/>
        <v>1</v>
      </c>
      <c r="AR116" s="129">
        <f>IFERROR(__xludf.DUMMYFUNCTION("$O116-min(filter($O116:$O$395,arrayformula(isnumber(FIND($E116:$E$395,AM116)))))"),5.0)</f>
        <v>5</v>
      </c>
      <c r="AS116" s="123" t="str">
        <f>IFERROR(__xludf.DUMMYFUNCTION("iferror(join("","",index(sort(filter($F117:$F$395,$O117:$O$395&gt;$O116,arrayformula(isnumber(FIND($E117:$E$395,AM116)))),2,false),0,1)))"),"")</f>
        <v/>
      </c>
    </row>
    <row r="117">
      <c r="A117" s="26">
        <v>116.0</v>
      </c>
      <c r="B117" s="26">
        <v>9.0</v>
      </c>
      <c r="C117" s="26">
        <v>12.0</v>
      </c>
      <c r="D117" s="132" t="s">
        <v>103</v>
      </c>
      <c r="E117" s="133" t="str">
        <f>if(F117&lt;&gt;"",VLOOKUP(F117,offset('Teams-Conference'!A:B,0,(counta('Draft Order'!B$2:B132)-10)*2),2,0),"")</f>
        <v>Pac12</v>
      </c>
      <c r="F117" s="146" t="s">
        <v>322</v>
      </c>
      <c r="G117" s="135" t="str">
        <f t="shared" si="16"/>
        <v/>
      </c>
      <c r="H117" s="122">
        <f t="shared" si="2"/>
        <v>1</v>
      </c>
      <c r="I117" s="122">
        <f t="shared" si="28"/>
        <v>1</v>
      </c>
      <c r="J117" s="122">
        <f t="shared" si="11"/>
        <v>2</v>
      </c>
      <c r="K117" s="122">
        <f>countif(E98:E117,E119)</f>
        <v>5</v>
      </c>
      <c r="L117" s="122">
        <v>5.0</v>
      </c>
      <c r="M117" s="122">
        <f>IFERROR(__xludf.DUMMYFUNCTION("counta(iferror(filter(L$2:L116,E$2:E116=E117,L$2:L116&lt;L117)))"),4.0)</f>
        <v>4</v>
      </c>
      <c r="N117" s="122">
        <f>IFERROR(__xludf.DUMMYFUNCTION("counta(iferror(filter(L118:L$131,E118:E$131=E117,L118:L$134&gt;L117)))"),0.0)</f>
        <v>0</v>
      </c>
      <c r="O117" s="124">
        <f t="array" ref="O117:Z117">XLOOKUP(F117,'Current Week'!C:C,'Current Week'!D:O)</f>
        <v>5</v>
      </c>
      <c r="P117" s="122">
        <v>7.0</v>
      </c>
      <c r="Q117" s="123" t="s">
        <v>397</v>
      </c>
      <c r="R117" s="123" t="s">
        <v>57</v>
      </c>
      <c r="S117" s="123" t="s">
        <v>109</v>
      </c>
      <c r="T117" s="123"/>
      <c r="U117" s="123"/>
      <c r="V117" s="123"/>
      <c r="W117" s="123"/>
      <c r="X117" s="123"/>
      <c r="Y117" s="126"/>
      <c r="Z117" s="126"/>
      <c r="AA117" s="127">
        <f t="shared" si="4"/>
        <v>-3</v>
      </c>
      <c r="AB117" s="126">
        <f t="shared" si="5"/>
        <v>23</v>
      </c>
      <c r="AC117" s="126">
        <f>IFERROR(__xludf.DUMMYFUNCTION("iferror(COUNT(filter($O118:$O$395,$O118:$O$395&gt;$O117)))"),5.0)</f>
        <v>5</v>
      </c>
      <c r="AD117" s="128">
        <f t="shared" si="6"/>
        <v>0</v>
      </c>
      <c r="AE117" s="129">
        <f t="shared" si="7"/>
        <v>4</v>
      </c>
      <c r="AF117" s="123" t="str">
        <f>IFERROR(__xludf.DUMMYFUNCTION("iferror(join("","",index(sort(filter($F118:$F$396,$O118:$O$396&gt;$O117),2,false),0,1)))"),"South Carolina,New Mexico State,UConn,Missouri,Duke")</f>
        <v>South Carolina,New Mexico State,UConn,Missouri,Duke</v>
      </c>
      <c r="AG117" s="127">
        <f>IFERROR(__xludf.DUMMYFUNCTION("iferror($O117-max(filter($O117:$O$395,$E117:$E$395=$E$2)))"),1.0)</f>
        <v>1</v>
      </c>
      <c r="AH117" s="126">
        <f t="shared" si="8"/>
        <v>1</v>
      </c>
      <c r="AI117" s="126">
        <f>IFERROR(__xludf.DUMMYFUNCTION("iferror(COUNT(filter($O118:$O$395,$O118:$O$395&gt;$O117,$E117:$E$395=$E$2)))"),0.0)</f>
        <v>0</v>
      </c>
      <c r="AJ117" s="128">
        <f t="shared" si="9"/>
        <v>0</v>
      </c>
      <c r="AK117" s="129">
        <f>IFERROR(__xludf.DUMMYFUNCTION("iferror($O117-min(filter($O117:$O$395,$E117:$E$395=$E$2)))"),4.0)</f>
        <v>4</v>
      </c>
      <c r="AL117" s="123" t="str">
        <f>IFERROR(__xludf.DUMMYFUNCTION("iferror(join("","",index(sort(filter($F118:$F$395,$O118:$O$395&gt;$O117,$E118:$E$395=$E$2),2,false),0,1)))"),"")</f>
        <v/>
      </c>
      <c r="AM117" s="123" t="str">
        <f>IFERROR(__xludf.DUMMYFUNCTION("REGEXREPLACE(join("","",unique({let(conf_picked,filter(E$1:E116,D$1:D116=D117), byrow(unique(TRANSPOSe(Teams!$1:$1)),lambda(rw,if(ISERROR(match(rw,conf_picked,0)),rw,))));iferror(if(#REF!,,transpose(split(#REF!,"","",1,1))))})), ""^,"", """")"),"AAC,,Pac12")</f>
        <v>AAC,,Pac12</v>
      </c>
      <c r="AN117" s="127">
        <f>IFERROR(__xludf.DUMMYFUNCTION("iferror($O117-max(filter($O117:$O$395,arrayformula(isnumber(FIND($E117:$E$395,AM117))))))"),-1.0)</f>
        <v>-1</v>
      </c>
      <c r="AO117" s="126">
        <f t="array" ref="AO117">countifs($O$2:$O116,"&lt;"&amp;$O117,isnumber(FIND($E$2:$E116,AM117)),TRUE)</f>
        <v>6</v>
      </c>
      <c r="AP117" s="126">
        <f>IFERROR(__xludf.DUMMYFUNCTION("iferror(COUNT(filter($O118:$O$395,$O118:$O$395&gt;$O117,arrayformula(isnumber(FIND($E118:$E$395,AM117))))))"),1.0)</f>
        <v>1</v>
      </c>
      <c r="AQ117" s="128">
        <f t="shared" si="10"/>
        <v>0</v>
      </c>
      <c r="AR117" s="129">
        <f>IFERROR(__xludf.DUMMYFUNCTION("$O117-min(filter($O117:$O$395,arrayformula(isnumber(FIND($E117:$E$395,AM117)))))"),4.0)</f>
        <v>4</v>
      </c>
      <c r="AS117" s="123" t="str">
        <f>IFERROR(__xludf.DUMMYFUNCTION("iferror(join("","",index(sort(filter($F118:$F$395,$O118:$O$395&gt;$O117,arrayformula(isnumber(FIND($E118:$E$395,AM117)))),2,false),0,1)))"),"UConn")</f>
        <v>UConn</v>
      </c>
    </row>
    <row r="118">
      <c r="A118" s="156">
        <v>117.0</v>
      </c>
      <c r="B118" s="156">
        <v>9.0</v>
      </c>
      <c r="C118" s="156">
        <v>13.0</v>
      </c>
      <c r="D118" s="157" t="s">
        <v>154</v>
      </c>
      <c r="E118" s="158" t="str">
        <f>if(F118&lt;&gt;"",VLOOKUP(F118,offset('Teams-Conference'!A:B,0,(counta('Draft Order'!B$2:B132)-10)*2),2,0),"")</f>
        <v>Big Ten</v>
      </c>
      <c r="F118" s="159" t="s">
        <v>368</v>
      </c>
      <c r="G118" s="160" t="str">
        <f t="shared" si="16"/>
        <v/>
      </c>
      <c r="H118" s="122">
        <f t="shared" si="2"/>
        <v>1</v>
      </c>
      <c r="I118" s="122">
        <f t="shared" si="28"/>
        <v>1</v>
      </c>
      <c r="J118" s="122">
        <f t="shared" si="11"/>
        <v>1</v>
      </c>
      <c r="K118" s="123"/>
      <c r="L118" s="122">
        <v>1.0</v>
      </c>
      <c r="M118" s="122">
        <f>IFERROR(__xludf.DUMMYFUNCTION("counta(iferror(filter(L$2:L117,E$2:E117=E118,L$2:L117&lt;L118)))"),0.0)</f>
        <v>0</v>
      </c>
      <c r="N118" s="122">
        <f>IFERROR(__xludf.DUMMYFUNCTION("counta(iferror(filter(L119:L$131,E119:E$131=E118,L119:L$134&gt;L118)))"),0.0)</f>
        <v>0</v>
      </c>
      <c r="O118" s="124">
        <f t="array" ref="O118:Z118">XLOOKUP(F118,'Current Week'!C:C,'Current Week'!D:O)</f>
        <v>1</v>
      </c>
      <c r="P118" s="122">
        <v>11.0</v>
      </c>
      <c r="Q118" s="123" t="s">
        <v>411</v>
      </c>
      <c r="R118" s="123" t="s">
        <v>57</v>
      </c>
      <c r="S118" s="123" t="s">
        <v>144</v>
      </c>
      <c r="T118" s="123"/>
      <c r="U118" s="123"/>
      <c r="V118" s="123"/>
      <c r="W118" s="123"/>
      <c r="X118" s="123"/>
      <c r="Y118" s="126"/>
      <c r="Z118" s="126"/>
      <c r="AA118" s="127">
        <f t="shared" si="4"/>
        <v>-7</v>
      </c>
      <c r="AB118" s="126">
        <f t="shared" si="5"/>
        <v>0</v>
      </c>
      <c r="AC118" s="126">
        <f>IFERROR(__xludf.DUMMYFUNCTION("iferror(COUNT(filter($O119:$O$395,$O119:$O$395&gt;$O118)))"),12.0)</f>
        <v>12</v>
      </c>
      <c r="AD118" s="128">
        <f t="shared" si="6"/>
        <v>0</v>
      </c>
      <c r="AE118" s="129">
        <f t="shared" si="7"/>
        <v>0</v>
      </c>
      <c r="AF118" s="123" t="str">
        <f>IFERROR(__xludf.DUMMYFUNCTION("iferror(join("","",index(sort(filter($F119:$F$396,$O119:$O$396&gt;$O118),2,false),0,1)))"),"South Carolina,Temple,Georgia Tech,Indiana,New Mexico State,Akron,Vanderbilt,UConn,New Mexico,UL Monroe,Missouri,Duke")</f>
        <v>South Carolina,Temple,Georgia Tech,Indiana,New Mexico State,Akron,Vanderbilt,UConn,New Mexico,UL Monroe,Missouri,Duke</v>
      </c>
      <c r="AG118" s="127">
        <f>IFERROR(__xludf.DUMMYFUNCTION("iferror($O118-max(filter($O118:$O$395,$E118:$E$395=$E$2)))"),-3.0)</f>
        <v>-3</v>
      </c>
      <c r="AH118" s="126">
        <f t="shared" si="8"/>
        <v>0</v>
      </c>
      <c r="AI118" s="126">
        <f>IFERROR(__xludf.DUMMYFUNCTION("iferror(COUNT(filter($O119:$O$395,$O119:$O$395&gt;$O118,$E118:$E$395=$E$2)))"),0.0)</f>
        <v>0</v>
      </c>
      <c r="AJ118" s="128">
        <f t="shared" si="9"/>
        <v>0</v>
      </c>
      <c r="AK118" s="129">
        <f>IFERROR(__xludf.DUMMYFUNCTION("iferror($O118-min(filter($O118:$O$395,$E118:$E$395=$E$2)))"),0.0)</f>
        <v>0</v>
      </c>
      <c r="AL118" s="123" t="str">
        <f>IFERROR(__xludf.DUMMYFUNCTION("iferror(join("","",index(sort(filter($F119:$F$395,$O119:$O$395&gt;$O118,$E119:$E$395=$E$2),2,false),0,1)))"),"Indiana")</f>
        <v>Indiana</v>
      </c>
      <c r="AM118" s="123" t="str">
        <f>IFERROR(__xludf.DUMMYFUNCTION("REGEXREPLACE(join("","",unique({let(conf_picked,filter(E$1:E117,D$1:D117=D118), byrow(unique(TRANSPOSe(Teams!$1:$1)),lambda(rw,if(ISERROR(match(rw,conf_picked,0)),rw,))));iferror(if(#REF!,,transpose(split(#REF!,"","",1,1))))})), ""^,"", """")"),"Big Ten,SEC")</f>
        <v>Big Ten,SEC</v>
      </c>
      <c r="AN118" s="127">
        <f>IFERROR(__xludf.DUMMYFUNCTION("iferror($O118-max(filter($O118:$O$395,arrayformula(isnumber(FIND($E118:$E$395,AM118))))))"),-7.0)</f>
        <v>-7</v>
      </c>
      <c r="AO118" s="126">
        <f t="array" ref="AO118">countifs($O$2:$O117,"&lt;"&amp;$O118,isnumber(FIND($E$2:$E117,AM118)),TRUE)</f>
        <v>0</v>
      </c>
      <c r="AP118" s="126">
        <f>IFERROR(__xludf.DUMMYFUNCTION("iferror(COUNT(filter($O119:$O$395,$O119:$O$395&gt;$O118,arrayformula(isnumber(FIND($E119:$E$395,AM118))))))"),3.0)</f>
        <v>3</v>
      </c>
      <c r="AQ118" s="128">
        <f t="shared" si="10"/>
        <v>0</v>
      </c>
      <c r="AR118" s="129">
        <f>IFERROR(__xludf.DUMMYFUNCTION("$O118-min(filter($O118:$O$395,arrayformula(isnumber(FIND($E118:$E$395,AM118)))))"),0.0)</f>
        <v>0</v>
      </c>
      <c r="AS118" s="123" t="str">
        <f>IFERROR(__xludf.DUMMYFUNCTION("iferror(join("","",index(sort(filter($F119:$F$395,$O119:$O$395&gt;$O118,arrayformula(isnumber(FIND($E119:$E$395,AM118)))),2,false),0,1)))"),"South Carolina,Indiana,Missouri")</f>
        <v>South Carolina,Indiana,Missouri</v>
      </c>
    </row>
    <row r="119">
      <c r="A119" s="110">
        <v>118.0</v>
      </c>
      <c r="B119" s="110">
        <v>10.0</v>
      </c>
      <c r="C119" s="110">
        <v>1.0</v>
      </c>
      <c r="D119" s="111" t="s">
        <v>154</v>
      </c>
      <c r="E119" s="113" t="str">
        <f>if(F119&lt;&gt;"",VLOOKUP(F119,offset('Teams-Conference'!A:B,0,(counta('Draft Order'!B$2:B132)-10)*2),2,0),"")</f>
        <v>SEC</v>
      </c>
      <c r="F119" s="115" t="s">
        <v>379</v>
      </c>
      <c r="G119" s="119" t="str">
        <f t="shared" si="16"/>
        <v/>
      </c>
      <c r="H119" s="122">
        <f t="shared" si="2"/>
        <v>0</v>
      </c>
      <c r="I119" s="122">
        <f t="shared" si="28"/>
        <v>1</v>
      </c>
      <c r="J119" s="122">
        <f t="shared" si="11"/>
        <v>2</v>
      </c>
      <c r="K119" s="122">
        <f>countif(E99:E119,E120)</f>
        <v>0</v>
      </c>
      <c r="L119" s="122">
        <v>8.0</v>
      </c>
      <c r="M119" s="122">
        <f>IFERROR(__xludf.DUMMYFUNCTION("counta(iferror(filter(L$2:L118,E$2:E118=E119,L$2:L118&lt;L119)))"),5.0)</f>
        <v>5</v>
      </c>
      <c r="N119" s="122">
        <f>IFERROR(__xludf.DUMMYFUNCTION("counta(iferror(filter(L120:L$131,E120:E$131=E119,L120:L$134&gt;L119)))"),0.0)</f>
        <v>0</v>
      </c>
      <c r="O119" s="124">
        <f t="array" ref="O119:Z119">XLOOKUP(F119,'Current Week'!C:C,'Current Week'!D:O)</f>
        <v>8</v>
      </c>
      <c r="P119" s="122">
        <v>4.0</v>
      </c>
      <c r="Q119" s="123" t="s">
        <v>207</v>
      </c>
      <c r="R119" s="123" t="s">
        <v>57</v>
      </c>
      <c r="S119" s="123" t="s">
        <v>131</v>
      </c>
      <c r="T119" s="123"/>
      <c r="U119" s="123"/>
      <c r="V119" s="123"/>
      <c r="W119" s="123"/>
      <c r="X119" s="123"/>
      <c r="Y119" s="126"/>
      <c r="Z119" s="126"/>
      <c r="AA119" s="127">
        <f t="shared" si="4"/>
        <v>0</v>
      </c>
      <c r="AB119" s="126">
        <f t="shared" si="5"/>
        <v>74</v>
      </c>
      <c r="AC119" s="126">
        <f>IFERROR(__xludf.DUMMYFUNCTION("iferror(COUNT(filter($O120:$O$395,$O120:$O$395&gt;$O119)))"),0.0)</f>
        <v>0</v>
      </c>
      <c r="AD119" s="128">
        <f t="shared" si="6"/>
        <v>1</v>
      </c>
      <c r="AE119" s="129">
        <f t="shared" si="7"/>
        <v>7</v>
      </c>
      <c r="AF119" s="123" t="str">
        <f>IFERROR(__xludf.DUMMYFUNCTION("iferror(join("","",index(sort(filter($F120:$F$396,$O120:$O$396&gt;$O119),2,false),0,1)))"),"")</f>
        <v/>
      </c>
      <c r="AG119" s="127">
        <f>IFERROR(__xludf.DUMMYFUNCTION("iferror($O119-max(filter($O119:$O$395,$E119:$E$395=$E$2)))"),4.0)</f>
        <v>4</v>
      </c>
      <c r="AH119" s="126">
        <f t="shared" si="8"/>
        <v>6</v>
      </c>
      <c r="AI119" s="126">
        <f>IFERROR(__xludf.DUMMYFUNCTION("iferror(COUNT(filter($O120:$O$395,$O120:$O$395&gt;$O119,$E119:$E$395=$E$2)))"),0.0)</f>
        <v>0</v>
      </c>
      <c r="AJ119" s="128">
        <f t="shared" si="9"/>
        <v>0</v>
      </c>
      <c r="AK119" s="129">
        <f>IFERROR(__xludf.DUMMYFUNCTION("iferror($O119-min(filter($O119:$O$395,$E119:$E$395=$E$2)))"),4.0)</f>
        <v>4</v>
      </c>
      <c r="AL119" s="123" t="str">
        <f>IFERROR(__xludf.DUMMYFUNCTION("iferror(join("","",index(sort(filter($F120:$F$395,$O120:$O$395&gt;$O119,$E120:$E$395=$E$2),2,false),0,1)))"),"")</f>
        <v/>
      </c>
      <c r="AM119" s="123" t="str">
        <f>IFERROR(__xludf.DUMMYFUNCTION("REGEXREPLACE(join("","",unique({let(conf_picked,filter(E$1:E118,D$1:D118=D119), byrow(unique(TRANSPOSe(Teams!$1:$1)),lambda(rw,if(ISERROR(match(rw,conf_picked,0)),rw,))));iferror(if(#REF!,,transpose(split(#REF!,"","",1,1))))})), ""^,"", """")"),"SEC")</f>
        <v>SEC</v>
      </c>
      <c r="AN119" s="127">
        <f>IFERROR(__xludf.DUMMYFUNCTION("iferror($O119-max(filter($O119:$O$395,arrayformula(isnumber(FIND($E119:$E$395,AM119))))))"),0.0)</f>
        <v>0</v>
      </c>
      <c r="AO119" s="126">
        <f t="array" ref="AO119">countifs($O$2:$O118,"&lt;"&amp;$O119,isnumber(FIND($E$2:$E118,AM119)),TRUE)</f>
        <v>5</v>
      </c>
      <c r="AP119" s="126">
        <f>IFERROR(__xludf.DUMMYFUNCTION("iferror(COUNT(filter($O120:$O$395,$O120:$O$395&gt;$O119,arrayformula(isnumber(FIND($E120:$E$395,AM119))))))"),0.0)</f>
        <v>0</v>
      </c>
      <c r="AQ119" s="128">
        <f t="shared" si="10"/>
        <v>1</v>
      </c>
      <c r="AR119" s="129">
        <f>IFERROR(__xludf.DUMMYFUNCTION("$O119-min(filter($O119:$O$395,arrayformula(isnumber(FIND($E119:$E$395,AM119)))))"),2.0)</f>
        <v>2</v>
      </c>
      <c r="AS119" s="123" t="str">
        <f>IFERROR(__xludf.DUMMYFUNCTION("iferror(join("","",index(sort(filter($F120:$F$395,$O120:$O$395&gt;$O119,arrayformula(isnumber(FIND($E120:$E$395,AM119)))),2,false),0,1)))"),"")</f>
        <v/>
      </c>
    </row>
    <row r="120">
      <c r="A120" s="26">
        <v>119.0</v>
      </c>
      <c r="B120" s="26">
        <v>10.0</v>
      </c>
      <c r="C120" s="26">
        <v>2.0</v>
      </c>
      <c r="D120" s="132" t="s">
        <v>103</v>
      </c>
      <c r="E120" s="133" t="str">
        <f>if(F120&lt;&gt;"",VLOOKUP(F120,offset('Teams-Conference'!A:B,0,(counta('Draft Order'!B$2:B132)-10)*2),2,0),"")</f>
        <v>AAC</v>
      </c>
      <c r="F120" s="203" t="s">
        <v>362</v>
      </c>
      <c r="G120" s="135" t="str">
        <f t="shared" si="16"/>
        <v/>
      </c>
      <c r="H120" s="122">
        <f t="shared" si="2"/>
        <v>1</v>
      </c>
      <c r="I120" s="122">
        <f t="shared" si="28"/>
        <v>1</v>
      </c>
      <c r="J120" s="122">
        <f t="shared" si="11"/>
        <v>0</v>
      </c>
      <c r="K120" s="122">
        <f>countif(E100:E120,E133)</f>
        <v>0</v>
      </c>
      <c r="L120" s="122">
        <v>3.0</v>
      </c>
      <c r="M120" s="122">
        <f>IFERROR(__xludf.DUMMYFUNCTION("counta(iferror(filter(L$2:L119,E$2:E119=E120,L$2:L119&lt;L120)))"),1.0)</f>
        <v>1</v>
      </c>
      <c r="N120" s="122">
        <f>IFERROR(__xludf.DUMMYFUNCTION("counta(iferror(filter(L121:L$131,E121:E$131=E120,L121:L$134&gt;L120)))"),0.0)</f>
        <v>0</v>
      </c>
      <c r="O120" s="124">
        <f t="array" ref="O120:Z120">XLOOKUP(F120,'Current Week'!C:C,'Current Week'!D:O)</f>
        <v>3</v>
      </c>
      <c r="P120" s="122">
        <v>9.0</v>
      </c>
      <c r="Q120" s="123" t="s">
        <v>412</v>
      </c>
      <c r="R120" s="123" t="s">
        <v>57</v>
      </c>
      <c r="S120" s="123" t="s">
        <v>144</v>
      </c>
      <c r="T120" s="123"/>
      <c r="U120" s="123"/>
      <c r="V120" s="123"/>
      <c r="W120" s="123"/>
      <c r="X120" s="123"/>
      <c r="Y120" s="126"/>
      <c r="Z120" s="126"/>
      <c r="AA120" s="127">
        <f t="shared" si="4"/>
        <v>-5</v>
      </c>
      <c r="AB120" s="126">
        <f t="shared" si="5"/>
        <v>3</v>
      </c>
      <c r="AC120" s="126">
        <f>IFERROR(__xludf.DUMMYFUNCTION("iferror(COUNT(filter($O121:$O$395,$O121:$O$395&gt;$O120)))"),8.0)</f>
        <v>8</v>
      </c>
      <c r="AD120" s="128">
        <f t="shared" si="6"/>
        <v>0</v>
      </c>
      <c r="AE120" s="129">
        <f t="shared" si="7"/>
        <v>2</v>
      </c>
      <c r="AF120" s="123" t="str">
        <f>IFERROR(__xludf.DUMMYFUNCTION("iferror(join("","",index(sort(filter($F121:$F$396,$O121:$O$396&gt;$O120),2,false),0,1)))"),"Georgia Tech,Indiana,New Mexico State,Vanderbilt,UConn,UL Monroe,Missouri,Duke")</f>
        <v>Georgia Tech,Indiana,New Mexico State,Vanderbilt,UConn,UL Monroe,Missouri,Duke</v>
      </c>
      <c r="AG120" s="127">
        <f>IFERROR(__xludf.DUMMYFUNCTION("iferror($O120-max(filter($O120:$O$395,$E120:$E$395=$E$2)))"),-1.0)</f>
        <v>-1</v>
      </c>
      <c r="AH120" s="126">
        <f t="shared" si="8"/>
        <v>1</v>
      </c>
      <c r="AI120" s="126">
        <f>IFERROR(__xludf.DUMMYFUNCTION("iferror(COUNT(filter($O121:$O$395,$O121:$O$395&gt;$O120,$E120:$E$395=$E$2)))"),0.0)</f>
        <v>0</v>
      </c>
      <c r="AJ120" s="128">
        <f t="shared" si="9"/>
        <v>0</v>
      </c>
      <c r="AK120" s="129">
        <f>IFERROR(__xludf.DUMMYFUNCTION("iferror($O120-min(filter($O120:$O$395,$E120:$E$395=$E$2)))"),-1.0)</f>
        <v>-1</v>
      </c>
      <c r="AL120" s="123" t="str">
        <f>IFERROR(__xludf.DUMMYFUNCTION("iferror(join("","",index(sort(filter($F121:$F$395,$O121:$O$395&gt;$O120,$E121:$E$395=$E$2),2,false),0,1)))"),"Indiana")</f>
        <v>Indiana</v>
      </c>
      <c r="AM120" s="123" t="str">
        <f>IFERROR(__xludf.DUMMYFUNCTION("REGEXREPLACE(join("","",unique({let(conf_picked,filter(E$1:E119,D$1:D119=D120), byrow(unique(TRANSPOSe(Teams!$1:$1)),lambda(rw,if(ISERROR(match(rw,conf_picked,0)),rw,))));iferror(if(#REF!,,transpose(split(#REF!,"","",1,1))))})), ""^,"", """")"),"AAC,")</f>
        <v>AAC,</v>
      </c>
      <c r="AN120" s="127">
        <f>IFERROR(__xludf.DUMMYFUNCTION("iferror($O120-max(filter($O120:$O$395,arrayformula(isnumber(FIND($E120:$E$395,AM120))))))"),-3.0)</f>
        <v>-3</v>
      </c>
      <c r="AO120" s="126">
        <f t="array" ref="AO120">countifs($O$2:$O119,"&lt;"&amp;$O120,isnumber(FIND($E$2:$E119,AM120)),TRUE)</f>
        <v>1</v>
      </c>
      <c r="AP120" s="126">
        <f>IFERROR(__xludf.DUMMYFUNCTION("iferror(COUNT(filter($O121:$O$395,$O121:$O$395&gt;$O120,arrayformula(isnumber(FIND($E121:$E$395,AM120))))))"),1.0)</f>
        <v>1</v>
      </c>
      <c r="AQ120" s="128">
        <f t="shared" si="10"/>
        <v>0</v>
      </c>
      <c r="AR120" s="129">
        <f>IFERROR(__xludf.DUMMYFUNCTION("$O120-min(filter($O120:$O$395,arrayformula(isnumber(FIND($E120:$E$395,AM120)))))"),0.0)</f>
        <v>0</v>
      </c>
      <c r="AS120" s="123" t="str">
        <f>IFERROR(__xludf.DUMMYFUNCTION("iferror(join("","",index(sort(filter($F121:$F$395,$O121:$O$395&gt;$O120,arrayformula(isnumber(FIND($E121:$E$395,AM120)))),2,false),0,1)))"),"UConn")</f>
        <v>UConn</v>
      </c>
    </row>
    <row r="121">
      <c r="A121" s="26">
        <v>120.0</v>
      </c>
      <c r="B121" s="26">
        <v>10.0</v>
      </c>
      <c r="C121" s="26">
        <v>3.0</v>
      </c>
      <c r="D121" s="137" t="s">
        <v>148</v>
      </c>
      <c r="E121" s="133" t="str">
        <f>if(F121&lt;&gt;"",VLOOKUP(F121,offset('Teams-Conference'!A:B,0,(counta('Draft Order'!B$2:B132)-10)*2),2,0),"")</f>
        <v>CUSA</v>
      </c>
      <c r="F121" s="138" t="s">
        <v>401</v>
      </c>
      <c r="G121" s="135" t="str">
        <f t="shared" si="16"/>
        <v/>
      </c>
      <c r="H121" s="122">
        <f t="shared" si="2"/>
        <v>0</v>
      </c>
      <c r="I121" s="122">
        <f t="shared" si="28"/>
        <v>0</v>
      </c>
      <c r="J121" s="122">
        <f t="shared" si="11"/>
        <v>1</v>
      </c>
      <c r="K121" s="123"/>
      <c r="L121" s="122">
        <v>1.0</v>
      </c>
      <c r="M121" s="122">
        <f>IFERROR(__xludf.DUMMYFUNCTION("counta(iferror(filter(L$2:L120,E$2:E120=E121,L$2:L120&lt;L121)))"),0.0)</f>
        <v>0</v>
      </c>
      <c r="N121" s="122">
        <f>IFERROR(__xludf.DUMMYFUNCTION("counta(iferror(filter(L122:L$131,E122:E$131=E121,L122:L$134&gt;L121)))"),0.0)</f>
        <v>0</v>
      </c>
      <c r="O121" s="124">
        <f t="array" ref="O121:Z121">XLOOKUP(F121,'Current Week'!C:C,'Current Week'!D:O)</f>
        <v>1</v>
      </c>
      <c r="P121" s="122">
        <v>11.0</v>
      </c>
      <c r="Q121" s="123" t="s">
        <v>410</v>
      </c>
      <c r="R121" s="123" t="s">
        <v>57</v>
      </c>
      <c r="S121" s="123" t="s">
        <v>166</v>
      </c>
      <c r="T121" s="123"/>
      <c r="U121" s="123"/>
      <c r="V121" s="123"/>
      <c r="W121" s="123"/>
      <c r="X121" s="123"/>
      <c r="Y121" s="126"/>
      <c r="Z121" s="126"/>
      <c r="AA121" s="127">
        <f t="shared" si="4"/>
        <v>-7</v>
      </c>
      <c r="AB121" s="126">
        <f t="shared" si="5"/>
        <v>0</v>
      </c>
      <c r="AC121" s="126">
        <f>IFERROR(__xludf.DUMMYFUNCTION("iferror(COUNT(filter($O122:$O$395,$O122:$O$395&gt;$O121)))"),10.0)</f>
        <v>10</v>
      </c>
      <c r="AD121" s="128">
        <f t="shared" si="6"/>
        <v>0</v>
      </c>
      <c r="AE121" s="129">
        <f t="shared" si="7"/>
        <v>0</v>
      </c>
      <c r="AF121" s="123" t="str">
        <f>IFERROR(__xludf.DUMMYFUNCTION("iferror(join("","",index(sort(filter($F122:$F$396,$O122:$O$396&gt;$O121),2,false),0,1)))"),"Georgia Tech,Indiana,New Mexico State,Akron,Vanderbilt,UConn,New Mexico,UL Monroe,Missouri,Duke")</f>
        <v>Georgia Tech,Indiana,New Mexico State,Akron,Vanderbilt,UConn,New Mexico,UL Monroe,Missouri,Duke</v>
      </c>
      <c r="AG121" s="127">
        <f>IFERROR(__xludf.DUMMYFUNCTION("iferror($O121-max(filter($O121:$O$395,$E121:$E$395=$E$2)))"),-3.0)</f>
        <v>-3</v>
      </c>
      <c r="AH121" s="126">
        <f t="shared" si="8"/>
        <v>0</v>
      </c>
      <c r="AI121" s="126">
        <f>IFERROR(__xludf.DUMMYFUNCTION("iferror(COUNT(filter($O122:$O$395,$O122:$O$395&gt;$O121,$E121:$E$395=$E$2)))"),0.0)</f>
        <v>0</v>
      </c>
      <c r="AJ121" s="128">
        <f t="shared" si="9"/>
        <v>0</v>
      </c>
      <c r="AK121" s="129">
        <f>IFERROR(__xludf.DUMMYFUNCTION("iferror($O121-min(filter($O121:$O$395,$E121:$E$395=$E$2)))"),-3.0)</f>
        <v>-3</v>
      </c>
      <c r="AL121" s="123" t="str">
        <f>IFERROR(__xludf.DUMMYFUNCTION("iferror(join("","",index(sort(filter($F122:$F$395,$O122:$O$395&gt;$O121,$E122:$E$395=$E$2),2,false),0,1)))"),"Indiana")</f>
        <v>Indiana</v>
      </c>
      <c r="AM121" s="123" t="str">
        <f>IFERROR(__xludf.DUMMYFUNCTION("REGEXREPLACE(join("","",unique({let(conf_picked,filter(E$1:E120,D$1:D120=D121), byrow(unique(TRANSPOSe(Teams!$1:$1)),lambda(rw,if(ISERROR(match(rw,conf_picked,0)),rw,))));iferror(if(#REF!,,transpose(split(#REF!,"","",1,1))))})), ""^,"", """")"),"CUSA")</f>
        <v>CUSA</v>
      </c>
      <c r="AN121" s="127">
        <f>IFERROR(__xludf.DUMMYFUNCTION("iferror($O121-max(filter($O121:$O$395,arrayformula(isnumber(FIND($E121:$E$395,AM121))))))"),0.0)</f>
        <v>0</v>
      </c>
      <c r="AO121" s="126">
        <f t="array" ref="AO121">countifs($O$2:$O120,"&lt;"&amp;$O121,isnumber(FIND($E$2:$E120,AM121)),TRUE)</f>
        <v>0</v>
      </c>
      <c r="AP121" s="126">
        <f>IFERROR(__xludf.DUMMYFUNCTION("iferror(COUNT(filter($O122:$O$395,$O122:$O$395&gt;$O121,arrayformula(isnumber(FIND($E122:$E$395,AM121))))))"),0.0)</f>
        <v>0</v>
      </c>
      <c r="AQ121" s="128">
        <f t="shared" si="10"/>
        <v>1</v>
      </c>
      <c r="AR121" s="129">
        <f>IFERROR(__xludf.DUMMYFUNCTION("$O121-min(filter($O121:$O$395,arrayformula(isnumber(FIND($E121:$E$395,AM121)))))"),0.0)</f>
        <v>0</v>
      </c>
      <c r="AS121" s="123" t="str">
        <f>IFERROR(__xludf.DUMMYFUNCTION("iferror(join("","",index(sort(filter($F122:$F$395,$O122:$O$395&gt;$O121,arrayformula(isnumber(FIND($E122:$E$395,AM121)))),2,false),0,1)))"),"")</f>
        <v/>
      </c>
    </row>
    <row r="122">
      <c r="A122" s="26">
        <v>121.0</v>
      </c>
      <c r="B122" s="26">
        <v>10.0</v>
      </c>
      <c r="C122" s="26">
        <v>4.0</v>
      </c>
      <c r="D122" s="132" t="s">
        <v>116</v>
      </c>
      <c r="E122" s="133" t="str">
        <f>if(F122&lt;&gt;"",VLOOKUP(F122,offset('Teams-Conference'!A:B,0,(counta('Draft Order'!B$2:B132)-10)*2),2,0),"")</f>
        <v>ACC</v>
      </c>
      <c r="F122" s="134" t="s">
        <v>348</v>
      </c>
      <c r="G122" s="135" t="str">
        <f t="shared" si="16"/>
        <v/>
      </c>
      <c r="H122" s="122">
        <f t="shared" ref="H122:H130" si="30">countif(E123:E133,E122)</f>
        <v>1</v>
      </c>
      <c r="I122" s="122">
        <f t="shared" si="28"/>
        <v>1</v>
      </c>
      <c r="J122" s="122">
        <f t="shared" si="11"/>
        <v>0</v>
      </c>
      <c r="K122" s="123"/>
      <c r="L122" s="122">
        <v>5.0</v>
      </c>
      <c r="M122" s="122">
        <f>IFERROR(__xludf.DUMMYFUNCTION("counta(iferror(filter(L$2:L121,E$2:E121=E122,L$2:L121&lt;L122)))"),3.0)</f>
        <v>3</v>
      </c>
      <c r="N122" s="122">
        <f>IFERROR(__xludf.DUMMYFUNCTION("counta(iferror(filter(L123:L$131,E123:E$131=E122,L123:L$134&gt;L122)))"),0.0)</f>
        <v>0</v>
      </c>
      <c r="O122" s="124">
        <f t="array" ref="O122:Z122">XLOOKUP(F122,'Current Week'!C:C,'Current Week'!D:O)</f>
        <v>5</v>
      </c>
      <c r="P122" s="122">
        <v>7.0</v>
      </c>
      <c r="Q122" s="123"/>
      <c r="R122" s="123"/>
      <c r="S122" s="123"/>
      <c r="T122" s="123" t="s">
        <v>82</v>
      </c>
      <c r="U122" s="123"/>
      <c r="V122" s="123"/>
      <c r="W122" s="123"/>
      <c r="X122" s="123"/>
      <c r="Y122" s="126"/>
      <c r="Z122" s="126"/>
      <c r="AA122" s="127">
        <f t="shared" si="4"/>
        <v>-3</v>
      </c>
      <c r="AB122" s="126">
        <f t="shared" si="5"/>
        <v>26</v>
      </c>
      <c r="AC122" s="126">
        <f>IFERROR(__xludf.DUMMYFUNCTION("iferror(COUNT(filter($O123:$O$395,$O123:$O$395&gt;$O122)))"),4.0)</f>
        <v>4</v>
      </c>
      <c r="AD122" s="128">
        <f t="shared" si="6"/>
        <v>0</v>
      </c>
      <c r="AE122" s="129">
        <f t="shared" si="7"/>
        <v>4</v>
      </c>
      <c r="AF122" s="123" t="str">
        <f>IFERROR(__xludf.DUMMYFUNCTION("iferror(join("","",index(sort(filter($F123:$F$396,$O123:$O$396&gt;$O122),2,false),0,1)))"),"New Mexico State,UConn,Missouri,Duke")</f>
        <v>New Mexico State,UConn,Missouri,Duke</v>
      </c>
      <c r="AG122" s="127">
        <f>IFERROR(__xludf.DUMMYFUNCTION("iferror($O122-max(filter($O122:$O$395,$E122:$E$395=$E$2)))"),1.0)</f>
        <v>1</v>
      </c>
      <c r="AH122" s="126">
        <f t="shared" si="8"/>
        <v>2</v>
      </c>
      <c r="AI122" s="126">
        <f>IFERROR(__xludf.DUMMYFUNCTION("iferror(COUNT(filter($O123:$O$395,$O123:$O$395&gt;$O122,$E122:$E$395=$E$2)))"),0.0)</f>
        <v>0</v>
      </c>
      <c r="AJ122" s="128">
        <f t="shared" si="9"/>
        <v>0</v>
      </c>
      <c r="AK122" s="129">
        <f>IFERROR(__xludf.DUMMYFUNCTION("iferror($O122-min(filter($O122:$O$395,$E122:$E$395=$E$2)))"),1.0)</f>
        <v>1</v>
      </c>
      <c r="AL122" s="123" t="str">
        <f>IFERROR(__xludf.DUMMYFUNCTION("iferror(join("","",index(sort(filter($F123:$F$395,$O123:$O$395&gt;$O122,$E123:$E$395=$E$2),2,false),0,1)))"),"")</f>
        <v/>
      </c>
      <c r="AM122" s="123" t="str">
        <f>IFERROR(__xludf.DUMMYFUNCTION("REGEXREPLACE(join("","",unique({let(conf_picked,filter(E$1:E121,D$1:D121=D122), byrow(unique(TRANSPOSe(Teams!$1:$1)),lambda(rw,if(ISERROR(match(rw,conf_picked,0)),rw,))));iferror(if(#REF!,,transpose(split(#REF!,"","",1,1))))})), ""^,"", """")"),"ACC")</f>
        <v>ACC</v>
      </c>
      <c r="AN122" s="127">
        <f>IFERROR(__xludf.DUMMYFUNCTION("iferror($O122-max(filter($O122:$O$395,arrayformula(isnumber(FIND($E122:$E$395,AM122))))))"),-3.0)</f>
        <v>-3</v>
      </c>
      <c r="AO122" s="126">
        <f t="array" ref="AO122">countifs($O$2:$O121,"&lt;"&amp;$O122,isnumber(FIND($E$2:$E121,AM122)),TRUE)</f>
        <v>3</v>
      </c>
      <c r="AP122" s="126">
        <f>IFERROR(__xludf.DUMMYFUNCTION("iferror(COUNT(filter($O123:$O$395,$O123:$O$395&gt;$O122,arrayformula(isnumber(FIND($E123:$E$395,AM122))))))"),1.0)</f>
        <v>1</v>
      </c>
      <c r="AQ122" s="128">
        <f t="shared" si="10"/>
        <v>0</v>
      </c>
      <c r="AR122" s="129">
        <f>IFERROR(__xludf.DUMMYFUNCTION("$O122-min(filter($O122:$O$395,arrayformula(isnumber(FIND($E122:$E$395,AM122)))))"),0.0)</f>
        <v>0</v>
      </c>
      <c r="AS122" s="123" t="str">
        <f>IFERROR(__xludf.DUMMYFUNCTION("iferror(join("","",index(sort(filter($F123:$F$395,$O123:$O$395&gt;$O122,arrayformula(isnumber(FIND($E123:$E$395,AM122)))),2,false),0,1)))"),"Duke")</f>
        <v>Duke</v>
      </c>
    </row>
    <row r="123">
      <c r="A123" s="26">
        <v>122.0</v>
      </c>
      <c r="B123" s="26">
        <v>10.0</v>
      </c>
      <c r="C123" s="26">
        <v>5.0</v>
      </c>
      <c r="D123" s="132" t="s">
        <v>166</v>
      </c>
      <c r="E123" s="133" t="str">
        <f>if(F123&lt;&gt;"",VLOOKUP(F123,offset('Teams-Conference'!A:B,0,(counta('Draft Order'!B$2:B132)-10)*2),2,0),"")</f>
        <v>Big Ten</v>
      </c>
      <c r="F123" s="143" t="s">
        <v>327</v>
      </c>
      <c r="G123" s="135" t="str">
        <f t="shared" si="16"/>
        <v/>
      </c>
      <c r="H123" s="122">
        <f t="shared" si="30"/>
        <v>0</v>
      </c>
      <c r="I123" s="122">
        <f t="shared" si="28"/>
        <v>0</v>
      </c>
      <c r="J123" s="122">
        <f t="shared" si="11"/>
        <v>2</v>
      </c>
      <c r="K123" s="123"/>
      <c r="L123" s="122">
        <v>4.0</v>
      </c>
      <c r="M123" s="122">
        <f>IFERROR(__xludf.DUMMYFUNCTION("counta(iferror(filter(L$2:L122,E$2:E122=E123,L$2:L122&lt;L123)))"),1.0)</f>
        <v>1</v>
      </c>
      <c r="N123" s="122">
        <f>IFERROR(__xludf.DUMMYFUNCTION("counta(iferror(filter(L124:L$131,E124:E$131=E123,L124:L$134&gt;L123)))"),0.0)</f>
        <v>0</v>
      </c>
      <c r="O123" s="124">
        <f t="array" ref="O123:Z123">XLOOKUP(F123,'Current Week'!C:C,'Current Week'!D:O)</f>
        <v>4</v>
      </c>
      <c r="P123" s="122">
        <v>8.0</v>
      </c>
      <c r="Q123" s="123" t="s">
        <v>418</v>
      </c>
      <c r="R123" s="123" t="s">
        <v>57</v>
      </c>
      <c r="S123" s="123" t="s">
        <v>148</v>
      </c>
      <c r="T123" s="123"/>
      <c r="U123" s="123"/>
      <c r="V123" s="123"/>
      <c r="W123" s="123"/>
      <c r="X123" s="123"/>
      <c r="Y123" s="126"/>
      <c r="Z123" s="126"/>
      <c r="AA123" s="127">
        <f t="shared" si="4"/>
        <v>-4</v>
      </c>
      <c r="AB123" s="126">
        <f t="shared" si="5"/>
        <v>17</v>
      </c>
      <c r="AC123" s="126">
        <f>IFERROR(__xludf.DUMMYFUNCTION("iferror(COUNT(filter($O124:$O$395,$O124:$O$395&gt;$O123)))"),5.0)</f>
        <v>5</v>
      </c>
      <c r="AD123" s="128">
        <f t="shared" si="6"/>
        <v>0</v>
      </c>
      <c r="AE123" s="129">
        <f t="shared" si="7"/>
        <v>3</v>
      </c>
      <c r="AF123" s="123" t="str">
        <f>IFERROR(__xludf.DUMMYFUNCTION("iferror(join("","",index(sort(filter($F124:$F$396,$O124:$O$396&gt;$O123),2,false),0,1)))"),"New Mexico State,Vanderbilt,UConn,Missouri,Duke")</f>
        <v>New Mexico State,Vanderbilt,UConn,Missouri,Duke</v>
      </c>
      <c r="AG123" s="127">
        <f>IFERROR(__xludf.DUMMYFUNCTION("iferror($O123-max(filter($O123:$O$395,$E123:$E$395=$E$2)))"),0.0)</f>
        <v>0</v>
      </c>
      <c r="AH123" s="126">
        <f t="shared" si="8"/>
        <v>1</v>
      </c>
      <c r="AI123" s="126">
        <f>IFERROR(__xludf.DUMMYFUNCTION("iferror(COUNT(filter($O124:$O$395,$O124:$O$395&gt;$O123,$E123:$E$395=$E$2)))"),0.0)</f>
        <v>0</v>
      </c>
      <c r="AJ123" s="128">
        <f t="shared" si="9"/>
        <v>1</v>
      </c>
      <c r="AK123" s="129">
        <f>IFERROR(__xludf.DUMMYFUNCTION("iferror($O123-min(filter($O123:$O$395,$E123:$E$395=$E$2)))"),0.0)</f>
        <v>0</v>
      </c>
      <c r="AL123" s="123" t="str">
        <f>IFERROR(__xludf.DUMMYFUNCTION("iferror(join("","",index(sort(filter($F124:$F$395,$O124:$O$395&gt;$O123,$E124:$E$395=$E$2),2,false),0,1)))"),"")</f>
        <v/>
      </c>
      <c r="AM123" s="123" t="str">
        <f>IFERROR(__xludf.DUMMYFUNCTION("REGEXREPLACE(join("","",unique({let(conf_picked,filter(E$1:E122,D$1:D122=D123), byrow(unique(TRANSPOSe(Teams!$1:$1)),lambda(rw,if(ISERROR(match(rw,conf_picked,0)),rw,))));iferror(if(#REF!,,transpose(split(#REF!,"","",1,1))))})), ""^,"", """")"),"Big Ten")</f>
        <v>Big Ten</v>
      </c>
      <c r="AN123" s="127">
        <f>IFERROR(__xludf.DUMMYFUNCTION("iferror($O123-max(filter($O123:$O$395,arrayformula(isnumber(FIND($E123:$E$395,AM123))))))"),0.0)</f>
        <v>0</v>
      </c>
      <c r="AO123" s="126">
        <f t="array" ref="AO123">countifs($O$2:$O122,"&lt;"&amp;$O123,isnumber(FIND($E$2:$E122,AM123)),TRUE)</f>
        <v>1</v>
      </c>
      <c r="AP123" s="126">
        <f>IFERROR(__xludf.DUMMYFUNCTION("iferror(COUNT(filter($O124:$O$395,$O124:$O$395&gt;$O123,arrayformula(isnumber(FIND($E124:$E$395,AM123))))))"),0.0)</f>
        <v>0</v>
      </c>
      <c r="AQ123" s="128">
        <f t="shared" si="10"/>
        <v>1</v>
      </c>
      <c r="AR123" s="129">
        <f>IFERROR(__xludf.DUMMYFUNCTION("$O123-min(filter($O123:$O$395,arrayformula(isnumber(FIND($E123:$E$395,AM123)))))"),0.0)</f>
        <v>0</v>
      </c>
      <c r="AS123" s="123" t="str">
        <f>IFERROR(__xludf.DUMMYFUNCTION("iferror(join("","",index(sort(filter($F124:$F$395,$O124:$O$395&gt;$O123,arrayformula(isnumber(FIND($E124:$E$395,AM123)))),2,false),0,1)))"),"")</f>
        <v/>
      </c>
    </row>
    <row r="124">
      <c r="A124" s="26">
        <v>123.0</v>
      </c>
      <c r="B124" s="26">
        <v>10.0</v>
      </c>
      <c r="C124" s="26">
        <v>6.0</v>
      </c>
      <c r="D124" s="132" t="s">
        <v>144</v>
      </c>
      <c r="E124" s="133" t="str">
        <f>if(F124&lt;&gt;"",VLOOKUP(F124,offset('Teams-Conference'!A:B,0,(counta('Draft Order'!B$2:B132)-10)*2),2,0),"")</f>
        <v>Pac12</v>
      </c>
      <c r="F124" s="134" t="s">
        <v>342</v>
      </c>
      <c r="G124" s="135" t="str">
        <f t="shared" si="16"/>
        <v/>
      </c>
      <c r="H124" s="122">
        <f t="shared" si="30"/>
        <v>0</v>
      </c>
      <c r="I124" s="122">
        <f t="shared" si="28"/>
        <v>0</v>
      </c>
      <c r="J124" s="122">
        <f t="shared" si="11"/>
        <v>1</v>
      </c>
      <c r="K124" s="123"/>
      <c r="L124" s="122">
        <v>1.0</v>
      </c>
      <c r="M124" s="122">
        <f>IFERROR(__xludf.DUMMYFUNCTION("counta(iferror(filter(L$2:L123,E$2:E123=E124,L$2:L123&lt;L124)))"),0.0)</f>
        <v>0</v>
      </c>
      <c r="N124" s="122">
        <f>IFERROR(__xludf.DUMMYFUNCTION("counta(iferror(filter(L125:L$131,E125:E$131=E124,L125:L$134&gt;L124)))"),0.0)</f>
        <v>0</v>
      </c>
      <c r="O124" s="124">
        <f t="array" ref="O124:Z124">XLOOKUP(F124,'Current Week'!C:C,'Current Week'!D:O)</f>
        <v>1</v>
      </c>
      <c r="P124" s="122">
        <v>11.0</v>
      </c>
      <c r="Q124" s="123" t="s">
        <v>392</v>
      </c>
      <c r="R124" s="123" t="s">
        <v>183</v>
      </c>
      <c r="S124" s="123" t="s">
        <v>154</v>
      </c>
      <c r="T124" s="123" t="s">
        <v>93</v>
      </c>
      <c r="U124" s="123"/>
      <c r="V124" s="123"/>
      <c r="W124" s="123"/>
      <c r="X124" s="123"/>
      <c r="Y124" s="126"/>
      <c r="Z124" s="126"/>
      <c r="AA124" s="127">
        <f t="shared" si="4"/>
        <v>-7</v>
      </c>
      <c r="AB124" s="126">
        <f t="shared" si="5"/>
        <v>0</v>
      </c>
      <c r="AC124" s="126">
        <f>IFERROR(__xludf.DUMMYFUNCTION("iferror(COUNT(filter($O125:$O$395,$O125:$O$395&gt;$O124)))"),8.0)</f>
        <v>8</v>
      </c>
      <c r="AD124" s="128">
        <f t="shared" si="6"/>
        <v>0</v>
      </c>
      <c r="AE124" s="129">
        <f t="shared" si="7"/>
        <v>0</v>
      </c>
      <c r="AF124" s="123" t="str">
        <f>IFERROR(__xludf.DUMMYFUNCTION("iferror(join("","",index(sort(filter($F125:$F$396,$O125:$O$396&gt;$O124),2,false),0,1)))"),"New Mexico State,Akron,Vanderbilt,UConn,New Mexico,UL Monroe,Missouri,Duke")</f>
        <v>New Mexico State,Akron,Vanderbilt,UConn,New Mexico,UL Monroe,Missouri,Duke</v>
      </c>
      <c r="AG124" s="127" t="str">
        <f>IFERROR(__xludf.DUMMYFUNCTION("iferror($O124-max(filter($O124:$O$395,$E124:$E$395=$E$2)))"),"")</f>
        <v/>
      </c>
      <c r="AH124" s="126">
        <f t="shared" si="8"/>
        <v>0</v>
      </c>
      <c r="AI124" s="126">
        <f>IFERROR(__xludf.DUMMYFUNCTION("iferror(COUNT(filter($O125:$O$395,$O125:$O$395&gt;$O124,$E124:$E$395=$E$2)))"),0.0)</f>
        <v>0</v>
      </c>
      <c r="AJ124" s="128">
        <f t="shared" si="9"/>
        <v>1</v>
      </c>
      <c r="AK124" s="129" t="str">
        <f>IFERROR(__xludf.DUMMYFUNCTION("iferror($O124-min(filter($O124:$O$395,$E124:$E$395=$E$2)))"),"")</f>
        <v/>
      </c>
      <c r="AL124" s="123" t="str">
        <f>IFERROR(__xludf.DUMMYFUNCTION("iferror(join("","",index(sort(filter($F125:$F$395,$O125:$O$395&gt;$O124,$E125:$E$395=$E$2),2,false),0,1)))"),"")</f>
        <v/>
      </c>
      <c r="AM124" s="123" t="str">
        <f>IFERROR(__xludf.DUMMYFUNCTION("REGEXREPLACE(join("","",unique({let(conf_picked,filter(E$1:E123,D$1:D123=D124), byrow(unique(TRANSPOSe(Teams!$1:$1)),lambda(rw,if(ISERROR(match(rw,conf_picked,0)),rw,))));iferror(if(#REF!,,transpose(split(#REF!,"","",1,1))))})), ""^,"", """")"),"Pac12")</f>
        <v>Pac12</v>
      </c>
      <c r="AN124" s="127">
        <f>IFERROR(__xludf.DUMMYFUNCTION("iferror($O124-max(filter($O124:$O$395,arrayformula(isnumber(FIND($E124:$E$395,AM124))))))"),0.0)</f>
        <v>0</v>
      </c>
      <c r="AO124" s="126">
        <f t="array" ref="AO124">countifs($O$2:$O123,"&lt;"&amp;$O124,isnumber(FIND($E$2:$E123,AM124)),TRUE)</f>
        <v>0</v>
      </c>
      <c r="AP124" s="126">
        <f>IFERROR(__xludf.DUMMYFUNCTION("iferror(COUNT(filter($O125:$O$395,$O125:$O$395&gt;$O124,arrayformula(isnumber(FIND($E125:$E$395,AM124))))))"),0.0)</f>
        <v>0</v>
      </c>
      <c r="AQ124" s="128">
        <f t="shared" si="10"/>
        <v>1</v>
      </c>
      <c r="AR124" s="129">
        <f>IFERROR(__xludf.DUMMYFUNCTION("$O124-min(filter($O124:$O$395,arrayformula(isnumber(FIND($E124:$E$395,AM124)))))"),0.0)</f>
        <v>0</v>
      </c>
      <c r="AS124" s="123" t="str">
        <f>IFERROR(__xludf.DUMMYFUNCTION("iferror(join("","",index(sort(filter($F125:$F$395,$O125:$O$395&gt;$O124,arrayformula(isnumber(FIND($E125:$E$395,AM124)))),2,false),0,1)))"),"")</f>
        <v/>
      </c>
    </row>
    <row r="125">
      <c r="A125" s="26">
        <v>124.0</v>
      </c>
      <c r="B125" s="26">
        <v>10.0</v>
      </c>
      <c r="C125" s="26">
        <v>7.0</v>
      </c>
      <c r="D125" s="132" t="s">
        <v>109</v>
      </c>
      <c r="E125" s="133" t="str">
        <f>if(F125&lt;&gt;"",VLOOKUP(F125,offset('Teams-Conference'!A:B,0,(counta('Draft Order'!B$2:B132)-10)*2),2,0),"")</f>
        <v>MWC</v>
      </c>
      <c r="F125" s="143" t="s">
        <v>394</v>
      </c>
      <c r="G125" s="135" t="str">
        <f t="shared" si="16"/>
        <v/>
      </c>
      <c r="H125" s="122">
        <f t="shared" si="30"/>
        <v>1</v>
      </c>
      <c r="I125" s="122">
        <f t="shared" si="28"/>
        <v>1</v>
      </c>
      <c r="J125" s="122">
        <f t="shared" si="11"/>
        <v>0</v>
      </c>
      <c r="K125" s="123"/>
      <c r="L125" s="122">
        <v>6.0</v>
      </c>
      <c r="M125" s="122">
        <f>IFERROR(__xludf.DUMMYFUNCTION("counta(iferror(filter(L$2:L124,E$2:E124=E125,L$2:L124&lt;L125)))"),4.0)</f>
        <v>4</v>
      </c>
      <c r="N125" s="122">
        <f>IFERROR(__xludf.DUMMYFUNCTION("counta(iferror(filter(L126:L$131,E126:E$131=E125,L126:L$134&gt;L125)))"),0.0)</f>
        <v>0</v>
      </c>
      <c r="O125" s="124">
        <f t="array" ref="O125:Z125">XLOOKUP(F125,'Current Week'!C:C,'Current Week'!D:O)</f>
        <v>6</v>
      </c>
      <c r="P125" s="122">
        <v>6.0</v>
      </c>
      <c r="Q125" s="123" t="s">
        <v>395</v>
      </c>
      <c r="R125" s="123" t="s">
        <v>57</v>
      </c>
      <c r="S125" s="123" t="s">
        <v>166</v>
      </c>
      <c r="T125" s="123"/>
      <c r="U125" s="123"/>
      <c r="V125" s="123"/>
      <c r="W125" s="123"/>
      <c r="X125" s="123"/>
      <c r="Y125" s="126"/>
      <c r="Z125" s="126"/>
      <c r="AA125" s="127">
        <f t="shared" si="4"/>
        <v>-2</v>
      </c>
      <c r="AB125" s="126">
        <f t="shared" si="5"/>
        <v>44</v>
      </c>
      <c r="AC125" s="126">
        <f>IFERROR(__xludf.DUMMYFUNCTION("iferror(COUNT(filter($O126:$O$395,$O126:$O$395&gt;$O125)))"),1.0)</f>
        <v>1</v>
      </c>
      <c r="AD125" s="128">
        <f t="shared" si="6"/>
        <v>0</v>
      </c>
      <c r="AE125" s="129">
        <f t="shared" si="7"/>
        <v>5</v>
      </c>
      <c r="AF125" s="123" t="str">
        <f>IFERROR(__xludf.DUMMYFUNCTION("iferror(join("","",index(sort(filter($F126:$F$396,$O126:$O$396&gt;$O125),2,false),0,1)))"),"Duke")</f>
        <v>Duke</v>
      </c>
      <c r="AG125" s="127" t="str">
        <f>IFERROR(__xludf.DUMMYFUNCTION("iferror($O125-max(filter($O125:$O$395,$E125:$E$395=$E$2)))"),"")</f>
        <v/>
      </c>
      <c r="AH125" s="126">
        <f t="shared" si="8"/>
        <v>4</v>
      </c>
      <c r="AI125" s="126">
        <f>IFERROR(__xludf.DUMMYFUNCTION("iferror(COUNT(filter($O126:$O$395,$O126:$O$395&gt;$O125,$E125:$E$395=$E$2)))"),0.0)</f>
        <v>0</v>
      </c>
      <c r="AJ125" s="128">
        <f t="shared" si="9"/>
        <v>1</v>
      </c>
      <c r="AK125" s="129" t="str">
        <f>IFERROR(__xludf.DUMMYFUNCTION("iferror($O125-min(filter($O125:$O$395,$E125:$E$395=$E$2)))"),"")</f>
        <v/>
      </c>
      <c r="AL125" s="123" t="str">
        <f>IFERROR(__xludf.DUMMYFUNCTION("iferror(join("","",index(sort(filter($F126:$F$395,$O126:$O$395&gt;$O125,$E126:$E$395=$E$2),2,false),0,1)))"),"")</f>
        <v/>
      </c>
      <c r="AM125" s="123" t="str">
        <f>IFERROR(__xludf.DUMMYFUNCTION("REGEXREPLACE(join("","",unique({let(conf_picked,filter(E$1:E124,D$1:D124=D125), byrow(unique(TRANSPOSe(Teams!$1:$1)),lambda(rw,if(ISERROR(match(rw,conf_picked,0)),rw,))));iferror(if(#REF!,,transpose(split(#REF!,"","",1,1))))})), ""^,"", """")"),"MWC")</f>
        <v>MWC</v>
      </c>
      <c r="AN125" s="127">
        <f>IFERROR(__xludf.DUMMYFUNCTION("iferror($O125-max(filter($O125:$O$395,arrayformula(isnumber(FIND($E125:$E$395,AM125))))))"),0.0)</f>
        <v>0</v>
      </c>
      <c r="AO125" s="126">
        <f t="array" ref="AO125">countifs($O$2:$O124,"&lt;"&amp;$O125,isnumber(FIND($E$2:$E124,AM125)),TRUE)</f>
        <v>4</v>
      </c>
      <c r="AP125" s="126">
        <f>IFERROR(__xludf.DUMMYFUNCTION("iferror(COUNT(filter($O126:$O$395,$O126:$O$395&gt;$O125,arrayformula(isnumber(FIND($E126:$E$395,AM125))))))"),0.0)</f>
        <v>0</v>
      </c>
      <c r="AQ125" s="128">
        <f t="shared" si="10"/>
        <v>1</v>
      </c>
      <c r="AR125" s="129">
        <f>IFERROR(__xludf.DUMMYFUNCTION("$O125-min(filter($O125:$O$395,arrayformula(isnumber(FIND($E125:$E$395,AM125)))))"),4.0)</f>
        <v>4</v>
      </c>
      <c r="AS125" s="123" t="str">
        <f>IFERROR(__xludf.DUMMYFUNCTION("iferror(join("","",index(sort(filter($F126:$F$395,$O126:$O$395&gt;$O125,arrayformula(isnumber(FIND($E126:$E$395,AM125)))),2,false),0,1)))"),"")</f>
        <v/>
      </c>
    </row>
    <row r="126">
      <c r="A126" s="26">
        <v>125.0</v>
      </c>
      <c r="B126" s="26">
        <v>10.0</v>
      </c>
      <c r="C126" s="26">
        <v>8.0</v>
      </c>
      <c r="D126" s="132" t="s">
        <v>141</v>
      </c>
      <c r="E126" s="133" t="str">
        <f>if(F126&lt;&gt;"",VLOOKUP(F126,offset('Teams-Conference'!A:B,0,(counta('Draft Order'!B$2:B132)-10)*2),2,0),"")</f>
        <v>MAC</v>
      </c>
      <c r="F126" s="143" t="s">
        <v>323</v>
      </c>
      <c r="G126" s="135" t="str">
        <f t="shared" si="16"/>
        <v/>
      </c>
      <c r="H126" s="122">
        <f t="shared" si="30"/>
        <v>0</v>
      </c>
      <c r="I126" s="122">
        <f t="shared" si="28"/>
        <v>0</v>
      </c>
      <c r="J126" s="122">
        <f t="shared" si="11"/>
        <v>1</v>
      </c>
      <c r="K126" s="123"/>
      <c r="L126" s="122">
        <v>2.0</v>
      </c>
      <c r="M126" s="122">
        <f>IFERROR(__xludf.DUMMYFUNCTION("counta(iferror(filter(L$2:L125,E$2:E125=E126,L$2:L125&lt;L126)))"),0.0)</f>
        <v>0</v>
      </c>
      <c r="N126" s="122">
        <f>IFERROR(__xludf.DUMMYFUNCTION("counta(iferror(filter(L127:L$131,E127:E$131=E126,L127:L$134&gt;L126)))"),0.0)</f>
        <v>0</v>
      </c>
      <c r="O126" s="124">
        <f t="array" ref="O126:Z126">XLOOKUP(F126,'Current Week'!C:C,'Current Week'!D:O)</f>
        <v>2</v>
      </c>
      <c r="P126" s="122">
        <v>10.0</v>
      </c>
      <c r="Q126" s="123" t="s">
        <v>299</v>
      </c>
      <c r="R126" s="123" t="s">
        <v>57</v>
      </c>
      <c r="S126" s="123" t="s">
        <v>138</v>
      </c>
      <c r="T126" s="123"/>
      <c r="U126" s="123"/>
      <c r="V126" s="123"/>
      <c r="W126" s="123"/>
      <c r="X126" s="123"/>
      <c r="Y126" s="126"/>
      <c r="Z126" s="126"/>
      <c r="AA126" s="127">
        <f t="shared" si="4"/>
        <v>-6</v>
      </c>
      <c r="AB126" s="126">
        <f t="shared" si="5"/>
        <v>4</v>
      </c>
      <c r="AC126" s="126">
        <f>IFERROR(__xludf.DUMMYFUNCTION("iferror(COUNT(filter($O127:$O$395,$O127:$O$395&gt;$O126)))"),5.0)</f>
        <v>5</v>
      </c>
      <c r="AD126" s="128">
        <f t="shared" si="6"/>
        <v>0</v>
      </c>
      <c r="AE126" s="129">
        <f t="shared" si="7"/>
        <v>1</v>
      </c>
      <c r="AF126" s="123" t="str">
        <f>IFERROR(__xludf.DUMMYFUNCTION("iferror(join("","",index(sort(filter($F127:$F$396,$O127:$O$396&gt;$O126),2,false),0,1)))"),"Vanderbilt,UConn,UL Monroe,Missouri,Duke")</f>
        <v>Vanderbilt,UConn,UL Monroe,Missouri,Duke</v>
      </c>
      <c r="AG126" s="127" t="str">
        <f>IFERROR(__xludf.DUMMYFUNCTION("iferror($O126-max(filter($O126:$O$395,$E126:$E$395=$E$2)))"),"")</f>
        <v/>
      </c>
      <c r="AH126" s="126">
        <f t="shared" si="8"/>
        <v>1</v>
      </c>
      <c r="AI126" s="126">
        <f>IFERROR(__xludf.DUMMYFUNCTION("iferror(COUNT(filter($O127:$O$395,$O127:$O$395&gt;$O126,$E126:$E$395=$E$2)))"),0.0)</f>
        <v>0</v>
      </c>
      <c r="AJ126" s="128">
        <f t="shared" si="9"/>
        <v>1</v>
      </c>
      <c r="AK126" s="129" t="str">
        <f>IFERROR(__xludf.DUMMYFUNCTION("iferror($O126-min(filter($O126:$O$395,$E126:$E$395=$E$2)))"),"")</f>
        <v/>
      </c>
      <c r="AL126" s="123" t="str">
        <f>IFERROR(__xludf.DUMMYFUNCTION("iferror(join("","",index(sort(filter($F127:$F$395,$O127:$O$395&gt;$O126,$E127:$E$395=$E$2),2,false),0,1)))"),"")</f>
        <v/>
      </c>
      <c r="AM126" s="123" t="str">
        <f>IFERROR(__xludf.DUMMYFUNCTION("REGEXREPLACE(join("","",unique({let(conf_picked,filter(E$1:E125,D$1:D125=D126), byrow(unique(TRANSPOSe(Teams!$1:$1)),lambda(rw,if(ISERROR(match(rw,conf_picked,0)),rw,))));iferror(if(#REF!,,transpose(split(#REF!,"","",1,1))))})), ""^,"", """")"),"MAC")</f>
        <v>MAC</v>
      </c>
      <c r="AN126" s="127">
        <f>IFERROR(__xludf.DUMMYFUNCTION("iferror($O126-max(filter($O126:$O$395,arrayformula(isnumber(FIND($E126:$E$395,AM126))))))"),0.0)</f>
        <v>0</v>
      </c>
      <c r="AO126" s="126">
        <f t="array" ref="AO126">countifs($O$2:$O125,"&lt;"&amp;$O126,isnumber(FIND($E$2:$E125,AM126)),TRUE)</f>
        <v>0</v>
      </c>
      <c r="AP126" s="126">
        <f>IFERROR(__xludf.DUMMYFUNCTION("iferror(COUNT(filter($O127:$O$395,$O127:$O$395&gt;$O126,arrayformula(isnumber(FIND($E127:$E$395,AM126))))))"),0.0)</f>
        <v>0</v>
      </c>
      <c r="AQ126" s="128">
        <f t="shared" si="10"/>
        <v>1</v>
      </c>
      <c r="AR126" s="129">
        <f>IFERROR(__xludf.DUMMYFUNCTION("$O126-min(filter($O126:$O$395,arrayformula(isnumber(FIND($E126:$E$395,AM126)))))"),0.0)</f>
        <v>0</v>
      </c>
      <c r="AS126" s="123" t="str">
        <f>IFERROR(__xludf.DUMMYFUNCTION("iferror(join("","",index(sort(filter($F127:$F$395,$O127:$O$395&gt;$O126,arrayformula(isnumber(FIND($E127:$E$395,AM126)))),2,false),0,1)))"),"")</f>
        <v/>
      </c>
    </row>
    <row r="127">
      <c r="A127" s="26">
        <v>126.0</v>
      </c>
      <c r="B127" s="26">
        <v>10.0</v>
      </c>
      <c r="C127" s="26">
        <v>9.0</v>
      </c>
      <c r="D127" s="132" t="s">
        <v>138</v>
      </c>
      <c r="E127" s="133" t="str">
        <f>if(F127&lt;&gt;"",VLOOKUP(F127,offset('Teams-Conference'!A:B,0,(counta('Draft Order'!B$2:B132)-10)*2),2,0),"")</f>
        <v>Big 12</v>
      </c>
      <c r="F127" s="143" t="s">
        <v>309</v>
      </c>
      <c r="G127" s="135" t="str">
        <f t="shared" si="16"/>
        <v/>
      </c>
      <c r="H127" s="122">
        <f t="shared" si="30"/>
        <v>0</v>
      </c>
      <c r="I127" s="122">
        <f t="shared" si="28"/>
        <v>0</v>
      </c>
      <c r="J127" s="122">
        <f t="shared" si="11"/>
        <v>0</v>
      </c>
      <c r="K127" s="123"/>
      <c r="L127" s="122">
        <v>5.0</v>
      </c>
      <c r="M127" s="122">
        <f>IFERROR(__xludf.DUMMYFUNCTION("counta(iferror(filter(L$2:L126,E$2:E126=E127,L$2:L126&lt;L127)))"),1.0)</f>
        <v>1</v>
      </c>
      <c r="N127" s="122">
        <f>IFERROR(__xludf.DUMMYFUNCTION("counta(iferror(filter(L128:L$131,E128:E$131=E127,L128:L$134&gt;L127)))"),0.0)</f>
        <v>0</v>
      </c>
      <c r="O127" s="124">
        <f t="array" ref="O127:Z127">XLOOKUP(F127,'Current Week'!C:C,'Current Week'!D:O)</f>
        <v>5</v>
      </c>
      <c r="P127" s="122">
        <v>7.0</v>
      </c>
      <c r="Q127" s="123" t="s">
        <v>310</v>
      </c>
      <c r="R127" s="123" t="s">
        <v>57</v>
      </c>
      <c r="S127" s="123" t="s">
        <v>131</v>
      </c>
      <c r="T127" s="123" t="s">
        <v>111</v>
      </c>
      <c r="U127" s="123"/>
      <c r="V127" s="123"/>
      <c r="W127" s="123"/>
      <c r="X127" s="123"/>
      <c r="Y127" s="126"/>
      <c r="Z127" s="126"/>
      <c r="AA127" s="127">
        <f t="shared" si="4"/>
        <v>-3</v>
      </c>
      <c r="AB127" s="126">
        <f t="shared" si="5"/>
        <v>29</v>
      </c>
      <c r="AC127" s="126">
        <f>IFERROR(__xludf.DUMMYFUNCTION("iferror(COUNT(filter($O128:$O$395,$O128:$O$395&gt;$O127)))"),3.0)</f>
        <v>3</v>
      </c>
      <c r="AD127" s="128">
        <f t="shared" si="6"/>
        <v>0</v>
      </c>
      <c r="AE127" s="129">
        <f t="shared" si="7"/>
        <v>4</v>
      </c>
      <c r="AF127" s="123" t="str">
        <f>IFERROR(__xludf.DUMMYFUNCTION("iferror(join("","",index(sort(filter($F128:$F$396,$O128:$O$396&gt;$O127),2,false),0,1)))"),"UConn,Missouri,Duke")</f>
        <v>UConn,Missouri,Duke</v>
      </c>
      <c r="AG127" s="127" t="str">
        <f>IFERROR(__xludf.DUMMYFUNCTION("iferror($O127-max(filter($O127:$O$395,$E127:$E$395=$E$2)))"),"")</f>
        <v/>
      </c>
      <c r="AH127" s="126">
        <f t="shared" si="8"/>
        <v>3</v>
      </c>
      <c r="AI127" s="126">
        <f>IFERROR(__xludf.DUMMYFUNCTION("iferror(COUNT(filter($O128:$O$395,$O128:$O$395&gt;$O127,$E127:$E$395=$E$2)))"),0.0)</f>
        <v>0</v>
      </c>
      <c r="AJ127" s="128">
        <f t="shared" si="9"/>
        <v>1</v>
      </c>
      <c r="AK127" s="129" t="str">
        <f>IFERROR(__xludf.DUMMYFUNCTION("iferror($O127-min(filter($O127:$O$395,$E127:$E$395=$E$2)))"),"")</f>
        <v/>
      </c>
      <c r="AL127" s="123" t="str">
        <f>IFERROR(__xludf.DUMMYFUNCTION("iferror(join("","",index(sort(filter($F128:$F$395,$O128:$O$395&gt;$O127,$E128:$E$395=$E$2),2,false),0,1)))"),"")</f>
        <v/>
      </c>
      <c r="AM127" s="123" t="str">
        <f>IFERROR(__xludf.DUMMYFUNCTION("REGEXREPLACE(join("","",unique({let(conf_picked,filter(E$1:E126,D$1:D126=D127), byrow(unique(TRANSPOSe(Teams!$1:$1)),lambda(rw,if(ISERROR(match(rw,conf_picked,0)),rw,))));iferror(if(#REF!,,transpose(split(#REF!,"","",1,1))))})), ""^,"", """")"),"Big 12")</f>
        <v>Big 12</v>
      </c>
      <c r="AN127" s="127">
        <f>IFERROR(__xludf.DUMMYFUNCTION("iferror($O127-max(filter($O127:$O$395,arrayformula(isnumber(FIND($E127:$E$395,AM127))))))"),0.0)</f>
        <v>0</v>
      </c>
      <c r="AO127" s="126">
        <f t="array" ref="AO127">countifs($O$2:$O126,"&lt;"&amp;$O127,isnumber(FIND($E$2:$E126,AM127)),TRUE)</f>
        <v>1</v>
      </c>
      <c r="AP127" s="126">
        <f>IFERROR(__xludf.DUMMYFUNCTION("iferror(COUNT(filter($O128:$O$395,$O128:$O$395&gt;$O127,arrayformula(isnumber(FIND($E128:$E$395,AM127))))))"),0.0)</f>
        <v>0</v>
      </c>
      <c r="AQ127" s="128">
        <f t="shared" si="10"/>
        <v>1</v>
      </c>
      <c r="AR127" s="129">
        <f>IFERROR(__xludf.DUMMYFUNCTION("$O127-min(filter($O127:$O$395,arrayformula(isnumber(FIND($E127:$E$395,AM127)))))"),0.0)</f>
        <v>0</v>
      </c>
      <c r="AS127" s="123" t="str">
        <f>IFERROR(__xludf.DUMMYFUNCTION("iferror(join("","",index(sort(filter($F128:$F$395,$O128:$O$395&gt;$O127,arrayformula(isnumber(FIND($E128:$E$395,AM127)))),2,false),0,1)))"),"")</f>
        <v/>
      </c>
    </row>
    <row r="128">
      <c r="A128" s="26">
        <v>127.0</v>
      </c>
      <c r="B128" s="26">
        <v>10.0</v>
      </c>
      <c r="C128" s="26">
        <v>10.0</v>
      </c>
      <c r="D128" s="132" t="s">
        <v>59</v>
      </c>
      <c r="E128" s="133" t="str">
        <f>if(F128&lt;&gt;"",VLOOKUP(F128,offset('Teams-Conference'!A:B,0,(counta('Draft Order'!B$2:B132)-10)*2),2,0),"")</f>
        <v>AAC</v>
      </c>
      <c r="F128" s="143" t="s">
        <v>281</v>
      </c>
      <c r="G128" s="135" t="str">
        <f t="shared" si="16"/>
        <v/>
      </c>
      <c r="H128" s="122">
        <f t="shared" si="30"/>
        <v>0</v>
      </c>
      <c r="I128" s="122">
        <f t="shared" si="28"/>
        <v>0</v>
      </c>
      <c r="J128" s="122">
        <f t="shared" si="11"/>
        <v>1</v>
      </c>
      <c r="K128" s="123"/>
      <c r="L128" s="122">
        <v>6.0</v>
      </c>
      <c r="M128" s="122">
        <f>IFERROR(__xludf.DUMMYFUNCTION("counta(iferror(filter(L$2:L127,E$2:E127=E128,L$2:L127&lt;L128)))"),4.0)</f>
        <v>4</v>
      </c>
      <c r="N128" s="122">
        <f>IFERROR(__xludf.DUMMYFUNCTION("counta(iferror(filter(L129:L$131,E129:E$131=E128,L129:L$134&gt;L128)))"),0.0)</f>
        <v>0</v>
      </c>
      <c r="O128" s="124">
        <f t="array" ref="O128:Z128">XLOOKUP(F128,'Current Week'!C:C,'Current Week'!D:O)</f>
        <v>6</v>
      </c>
      <c r="P128" s="122">
        <v>6.0</v>
      </c>
      <c r="Q128" s="123"/>
      <c r="R128" s="123"/>
      <c r="S128" s="123"/>
      <c r="T128" s="123"/>
      <c r="U128" s="123"/>
      <c r="V128" s="123"/>
      <c r="W128" s="123"/>
      <c r="X128" s="123"/>
      <c r="Y128" s="126"/>
      <c r="Z128" s="126"/>
      <c r="AA128" s="127">
        <f t="shared" si="4"/>
        <v>-2</v>
      </c>
      <c r="AB128" s="126">
        <f t="shared" si="5"/>
        <v>46</v>
      </c>
      <c r="AC128" s="126">
        <f>IFERROR(__xludf.DUMMYFUNCTION("iferror(COUNT(filter($O129:$O$395,$O129:$O$395&gt;$O128)))"),1.0)</f>
        <v>1</v>
      </c>
      <c r="AD128" s="128">
        <f t="shared" si="6"/>
        <v>0</v>
      </c>
      <c r="AE128" s="129">
        <f t="shared" si="7"/>
        <v>5</v>
      </c>
      <c r="AF128" s="123" t="str">
        <f>IFERROR(__xludf.DUMMYFUNCTION("iferror(join("","",index(sort(filter($F129:$F$396,$O129:$O$396&gt;$O128),2,false),0,1)))"),"Duke")</f>
        <v>Duke</v>
      </c>
      <c r="AG128" s="127" t="str">
        <f>IFERROR(__xludf.DUMMYFUNCTION("iferror($O128-max(filter($O128:$O$395,$E128:$E$395=$E$2)))"),"")</f>
        <v/>
      </c>
      <c r="AH128" s="126">
        <f t="shared" si="8"/>
        <v>4</v>
      </c>
      <c r="AI128" s="126">
        <f>IFERROR(__xludf.DUMMYFUNCTION("iferror(COUNT(filter($O129:$O$395,$O129:$O$395&gt;$O128,$E128:$E$395=$E$2)))"),0.0)</f>
        <v>0</v>
      </c>
      <c r="AJ128" s="128">
        <f t="shared" si="9"/>
        <v>1</v>
      </c>
      <c r="AK128" s="129" t="str">
        <f>IFERROR(__xludf.DUMMYFUNCTION("iferror($O128-min(filter($O128:$O$395,$E128:$E$395=$E$2)))"),"")</f>
        <v/>
      </c>
      <c r="AL128" s="123" t="str">
        <f>IFERROR(__xludf.DUMMYFUNCTION("iferror(join("","",index(sort(filter($F129:$F$395,$O129:$O$395&gt;$O128,$E129:$E$395=$E$2),2,false),0,1)))"),"")</f>
        <v/>
      </c>
      <c r="AM128" s="123" t="str">
        <f>IFERROR(__xludf.DUMMYFUNCTION("REGEXREPLACE(join("","",unique({let(conf_picked,filter(E$1:E127,D$1:D127=D128), byrow(unique(TRANSPOSe(Teams!$1:$1)),lambda(rw,if(ISERROR(match(rw,conf_picked,0)),rw,))));iferror(if(#REF!,,transpose(split(#REF!,"","",1,1))))})), ""^,"", """")"),"AAC,")</f>
        <v>AAC,</v>
      </c>
      <c r="AN128" s="127">
        <f>IFERROR(__xludf.DUMMYFUNCTION("iferror($O128-max(filter($O128:$O$395,arrayformula(isnumber(FIND($E128:$E$395,AM128))))))"),0.0)</f>
        <v>0</v>
      </c>
      <c r="AO128" s="126">
        <f t="array" ref="AO128">countifs($O$2:$O127,"&lt;"&amp;$O128,isnumber(FIND($E$2:$E127,AM128)),TRUE)</f>
        <v>4</v>
      </c>
      <c r="AP128" s="126">
        <f>IFERROR(__xludf.DUMMYFUNCTION("iferror(COUNT(filter($O129:$O$395,$O129:$O$395&gt;$O128,arrayformula(isnumber(FIND($E129:$E$395,AM128))))))"),0.0)</f>
        <v>0</v>
      </c>
      <c r="AQ128" s="128">
        <f t="shared" si="10"/>
        <v>1</v>
      </c>
      <c r="AR128" s="129">
        <f>IFERROR(__xludf.DUMMYFUNCTION("$O128-min(filter($O128:$O$395,arrayformula(isnumber(FIND($E128:$E$395,AM128)))))"),0.0)</f>
        <v>0</v>
      </c>
      <c r="AS128" s="123" t="str">
        <f>IFERROR(__xludf.DUMMYFUNCTION("iferror(join("","",index(sort(filter($F129:$F$395,$O129:$O$395&gt;$O128,arrayformula(isnumber(FIND($E129:$E$395,AM128)))),2,false),0,1)))"),"")</f>
        <v/>
      </c>
    </row>
    <row r="129">
      <c r="A129" s="26">
        <v>128.0</v>
      </c>
      <c r="B129" s="26">
        <v>10.0</v>
      </c>
      <c r="C129" s="26">
        <v>11.0</v>
      </c>
      <c r="D129" s="132" t="s">
        <v>178</v>
      </c>
      <c r="E129" s="133" t="str">
        <f>if(F129&lt;&gt;"",VLOOKUP(F129,offset('Teams-Conference'!A:B,0,(counta('Draft Order'!B$2:B132)-10)*2),2,0),"")</f>
        <v>MWC</v>
      </c>
      <c r="F129" s="143" t="s">
        <v>263</v>
      </c>
      <c r="G129" s="135" t="str">
        <f t="shared" si="16"/>
        <v/>
      </c>
      <c r="H129" s="122">
        <f t="shared" si="30"/>
        <v>0</v>
      </c>
      <c r="I129" s="122">
        <f t="shared" si="28"/>
        <v>0</v>
      </c>
      <c r="J129" s="122">
        <f t="shared" si="11"/>
        <v>1</v>
      </c>
      <c r="K129" s="123"/>
      <c r="L129" s="122">
        <v>2.0</v>
      </c>
      <c r="M129" s="122">
        <f>IFERROR(__xludf.DUMMYFUNCTION("counta(iferror(filter(L$2:L128,E$2:E128=E129,L$2:L128&lt;L129)))"),0.0)</f>
        <v>0</v>
      </c>
      <c r="N129" s="122">
        <f>IFERROR(__xludf.DUMMYFUNCTION("counta(iferror(filter(L130:L$131,E130:E$131=E129,L130:L$134&gt;L129)))"),0.0)</f>
        <v>0</v>
      </c>
      <c r="O129" s="124">
        <f t="array" ref="O129:Z129">XLOOKUP(F129,'Current Week'!C:C,'Current Week'!D:O)</f>
        <v>2</v>
      </c>
      <c r="P129" s="122">
        <v>10.0</v>
      </c>
      <c r="Q129" s="123" t="s">
        <v>264</v>
      </c>
      <c r="R129" s="123" t="s">
        <v>57</v>
      </c>
      <c r="S129" s="123" t="s">
        <v>116</v>
      </c>
      <c r="T129" s="123"/>
      <c r="U129" s="123"/>
      <c r="V129" s="123"/>
      <c r="W129" s="123"/>
      <c r="X129" s="123"/>
      <c r="Y129" s="126"/>
      <c r="Z129" s="126"/>
      <c r="AA129" s="127">
        <f t="shared" si="4"/>
        <v>-6</v>
      </c>
      <c r="AB129" s="126">
        <f t="shared" si="5"/>
        <v>4</v>
      </c>
      <c r="AC129" s="126">
        <f>IFERROR(__xludf.DUMMYFUNCTION("iferror(COUNT(filter($O130:$O$395,$O130:$O$395&gt;$O129)))"),3.0)</f>
        <v>3</v>
      </c>
      <c r="AD129" s="128">
        <f t="shared" si="6"/>
        <v>0</v>
      </c>
      <c r="AE129" s="129">
        <f t="shared" si="7"/>
        <v>1</v>
      </c>
      <c r="AF129" s="123" t="str">
        <f>IFERROR(__xludf.DUMMYFUNCTION("iferror(join("","",index(sort(filter($F130:$F$396,$O130:$O$396&gt;$O129),2,false),0,1)))"),"UL Monroe,Missouri,Duke")</f>
        <v>UL Monroe,Missouri,Duke</v>
      </c>
      <c r="AG129" s="127" t="str">
        <f>IFERROR(__xludf.DUMMYFUNCTION("iferror($O129-max(filter($O129:$O$395,$E129:$E$395=$E$2)))"),"")</f>
        <v/>
      </c>
      <c r="AH129" s="126">
        <f t="shared" si="8"/>
        <v>1</v>
      </c>
      <c r="AI129" s="126">
        <f>IFERROR(__xludf.DUMMYFUNCTION("iferror(COUNT(filter($O130:$O$395,$O130:$O$395&gt;$O129,$E129:$E$395=$E$2)))"),0.0)</f>
        <v>0</v>
      </c>
      <c r="AJ129" s="128">
        <f t="shared" si="9"/>
        <v>1</v>
      </c>
      <c r="AK129" s="129" t="str">
        <f>IFERROR(__xludf.DUMMYFUNCTION("iferror($O129-min(filter($O129:$O$395,$E129:$E$395=$E$2)))"),"")</f>
        <v/>
      </c>
      <c r="AL129" s="123" t="str">
        <f>IFERROR(__xludf.DUMMYFUNCTION("iferror(join("","",index(sort(filter($F130:$F$395,$O130:$O$395&gt;$O129,$E130:$E$395=$E$2),2,false),0,1)))"),"")</f>
        <v/>
      </c>
      <c r="AM129" s="123" t="str">
        <f>IFERROR(__xludf.DUMMYFUNCTION("REGEXREPLACE(join("","",unique({let(conf_picked,filter(E$1:E128,D$1:D128=D129), byrow(unique(TRANSPOSe(Teams!$1:$1)),lambda(rw,if(ISERROR(match(rw,conf_picked,0)),rw,))));iferror(if(#REF!,,transpose(split(#REF!,"","",1,1))))})), ""^,"", """")"),"MWC")</f>
        <v>MWC</v>
      </c>
      <c r="AN129" s="127">
        <f>IFERROR(__xludf.DUMMYFUNCTION("iferror($O129-max(filter($O129:$O$395,arrayformula(isnumber(FIND($E129:$E$395,AM129))))))"),0.0)</f>
        <v>0</v>
      </c>
      <c r="AO129" s="126">
        <f t="array" ref="AO129">countifs($O$2:$O128,"&lt;"&amp;$O129,isnumber(FIND($E$2:$E128,AM129)),TRUE)</f>
        <v>0</v>
      </c>
      <c r="AP129" s="126">
        <f>IFERROR(__xludf.DUMMYFUNCTION("iferror(COUNT(filter($O130:$O$395,$O130:$O$395&gt;$O129,arrayformula(isnumber(FIND($E130:$E$395,AM129))))))"),0.0)</f>
        <v>0</v>
      </c>
      <c r="AQ129" s="128">
        <f t="shared" si="10"/>
        <v>1</v>
      </c>
      <c r="AR129" s="129">
        <f>IFERROR(__xludf.DUMMYFUNCTION("$O129-min(filter($O129:$O$395,arrayformula(isnumber(FIND($E129:$E$395,AM129)))))"),0.0)</f>
        <v>0</v>
      </c>
      <c r="AS129" s="123" t="str">
        <f>IFERROR(__xludf.DUMMYFUNCTION("iferror(join("","",index(sort(filter($F130:$F$395,$O130:$O$395&gt;$O129,arrayformula(isnumber(FIND($E130:$E$395,AM129)))),2,false),0,1)))"),"")</f>
        <v/>
      </c>
    </row>
    <row r="130">
      <c r="A130" s="26">
        <v>129.0</v>
      </c>
      <c r="B130" s="26">
        <v>10.0</v>
      </c>
      <c r="C130" s="26">
        <v>12.0</v>
      </c>
      <c r="D130" s="132" t="s">
        <v>131</v>
      </c>
      <c r="E130" t="str">
        <f>if(F130&lt;&gt;"",VLOOKUP(F130,offset('Teams-Conference'!A:B,0,(counta('Draft Order'!B$2:B132)-10)*2),2,0),"")</f>
        <v>Sun Belt</v>
      </c>
      <c r="F130" s="143" t="s">
        <v>199</v>
      </c>
      <c r="G130" s="135" t="str">
        <f t="shared" si="16"/>
        <v/>
      </c>
      <c r="H130" s="122">
        <f t="shared" si="30"/>
        <v>0</v>
      </c>
      <c r="I130" s="122">
        <f t="shared" si="28"/>
        <v>0</v>
      </c>
      <c r="J130" s="122">
        <f t="shared" si="11"/>
        <v>0</v>
      </c>
      <c r="K130" s="123"/>
      <c r="L130" s="122">
        <v>4.0</v>
      </c>
      <c r="M130" s="122">
        <f>IFERROR(__xludf.DUMMYFUNCTION("counta(iferror(filter(L$2:L129,E$2:E129=E130,L$2:L129&lt;L130)))"),2.0)</f>
        <v>2</v>
      </c>
      <c r="N130" s="122">
        <f>IFERROR(__xludf.DUMMYFUNCTION("counta(iferror(filter(L131:L$131,E131:E$131=E130,L131:L$134&gt;L130)))"),0.0)</f>
        <v>0</v>
      </c>
      <c r="O130" s="124">
        <f t="array" ref="O130:Z130">XLOOKUP(F130,'Current Week'!C:C,'Current Week'!D:O)</f>
        <v>4</v>
      </c>
      <c r="P130" s="122">
        <v>8.0</v>
      </c>
      <c r="Q130" s="123" t="s">
        <v>200</v>
      </c>
      <c r="R130" s="123" t="s">
        <v>57</v>
      </c>
      <c r="S130" s="123" t="s">
        <v>144</v>
      </c>
      <c r="T130" s="123" t="s">
        <v>133</v>
      </c>
      <c r="U130" s="126"/>
      <c r="V130" s="126"/>
      <c r="W130" s="126"/>
      <c r="X130" s="126"/>
      <c r="Y130" s="126"/>
      <c r="Z130" s="126"/>
      <c r="AA130" s="127">
        <f t="shared" si="4"/>
        <v>-4</v>
      </c>
      <c r="AB130" s="126">
        <f t="shared" si="5"/>
        <v>20</v>
      </c>
      <c r="AC130" s="126">
        <f>IFERROR(__xludf.DUMMYFUNCTION("iferror(COUNT(filter($O131:$O$395,$O131:$O$395&gt;$O130)))"),2.0)</f>
        <v>2</v>
      </c>
      <c r="AD130" s="128">
        <f t="shared" si="6"/>
        <v>0</v>
      </c>
      <c r="AE130" s="129">
        <f t="shared" si="7"/>
        <v>3</v>
      </c>
      <c r="AF130" s="123" t="str">
        <f>IFERROR(__xludf.DUMMYFUNCTION("iferror(join("","",index(sort(filter($F131:$F$396,$O131:$O$396&gt;$O130),2,false),0,1)))"),"Missouri,Duke")</f>
        <v>Missouri,Duke</v>
      </c>
      <c r="AG130" s="204" t="str">
        <f>IFERROR(__xludf.DUMMYFUNCTION("iferror($O130-max(filter($O130:$O$395,$E130:$E$395=$E$2)))"),"")</f>
        <v/>
      </c>
      <c r="AH130" s="126">
        <f t="shared" si="8"/>
        <v>1</v>
      </c>
      <c r="AI130" s="126">
        <f>IFERROR(__xludf.DUMMYFUNCTION("iferror(COUNT(filter($O131:$O$395,$O131:$O$395&gt;$O130,$E130:$E$395=$E$2)))"),0.0)</f>
        <v>0</v>
      </c>
      <c r="AJ130" s="128">
        <f t="shared" si="9"/>
        <v>1</v>
      </c>
      <c r="AK130" s="129" t="str">
        <f>IFERROR(__xludf.DUMMYFUNCTION("iferror($O130-min(filter($O130:$O$395,$E130:$E$395=$E$2)))"),"")</f>
        <v/>
      </c>
      <c r="AL130" s="123" t="str">
        <f>IFERROR(__xludf.DUMMYFUNCTION("iferror(join("","",index(sort(filter($F131:$F$395,$O131:$O$395&gt;$O130,$E131:$E$395=$E$2),2,false),0,1)))"),"")</f>
        <v/>
      </c>
      <c r="AM130" s="123" t="str">
        <f>IFERROR(__xludf.DUMMYFUNCTION("REGEXREPLACE(join("","",unique({let(conf_picked,filter(E$1:E129,D$1:D129=D130), byrow(unique(TRANSPOSe(Teams!$1:$1)),lambda(rw,if(ISERROR(match(rw,conf_picked,0)),rw,))));iferror(if(#REF!,,transpose(split(#REF!,"","",1,1))))})), ""^,"", """")"),"Sun Belt")</f>
        <v>Sun Belt</v>
      </c>
      <c r="AN130" s="127">
        <f>IFERROR(__xludf.DUMMYFUNCTION("iferror($O130-max(filter($O130:$O$395,arrayformula(isnumber(FIND($E130:$E$395,AM130))))))"),0.0)</f>
        <v>0</v>
      </c>
      <c r="AO130" s="126">
        <f t="array" ref="AO130">countifs($O$2:$O129,"&lt;"&amp;$O130,isnumber(FIND($E$2:$E129,AM130)),TRUE)</f>
        <v>2</v>
      </c>
      <c r="AP130" s="126">
        <f>IFERROR(__xludf.DUMMYFUNCTION("iferror(COUNT(filter($O131:$O$395,$O131:$O$395&gt;$O130,arrayformula(isnumber(FIND($E131:$E$395,AM130))))))"),0.0)</f>
        <v>0</v>
      </c>
      <c r="AQ130" s="128">
        <f t="shared" si="10"/>
        <v>1</v>
      </c>
      <c r="AR130" s="129">
        <f>IFERROR(__xludf.DUMMYFUNCTION("$O130-min(filter($O130:$O$395,arrayformula(isnumber(FIND($E130:$E$395,AM130)))))"),0.0)</f>
        <v>0</v>
      </c>
      <c r="AS130" s="123" t="str">
        <f>IFERROR(__xludf.DUMMYFUNCTION("iferror(join("","",index(sort(filter($F131:$F$395,$O131:$O$395&gt;$O130,arrayformula(isnumber(FIND($E131:$E$395,AM130)))),2,false),0,1)))"),"")</f>
        <v/>
      </c>
    </row>
    <row r="131">
      <c r="A131" s="156">
        <v>130.0</v>
      </c>
      <c r="B131" s="156">
        <v>10.0</v>
      </c>
      <c r="C131" s="156">
        <v>13.0</v>
      </c>
      <c r="D131" s="157" t="s">
        <v>53</v>
      </c>
      <c r="E131" s="158" t="str">
        <f>if(F131&lt;&gt;"",VLOOKUP(F131,offset('Teams-Conference'!A:B,0,(counta('Draft Order'!B$2:B132)-10)*2),2,0),"")</f>
        <v>SEC</v>
      </c>
      <c r="F131" s="159" t="s">
        <v>173</v>
      </c>
      <c r="G131" s="160" t="str">
        <f t="shared" si="16"/>
        <v/>
      </c>
      <c r="H131" s="122">
        <f t="shared" ref="H131:H132" si="31">countif(E133:E142,E131)</f>
        <v>0</v>
      </c>
      <c r="I131" s="122">
        <f t="shared" ref="I131:I132" si="32">countif(E133:E154,E131)</f>
        <v>0</v>
      </c>
      <c r="J131" s="122">
        <f t="shared" si="11"/>
        <v>0</v>
      </c>
      <c r="K131" s="123"/>
      <c r="L131" s="122">
        <v>6.0</v>
      </c>
      <c r="M131" s="122">
        <f>IFERROR(__xludf.DUMMYFUNCTION("counta(iferror(filter(L$2:L130,E$2:E130=E131,L$2:L130&lt;L131)))"),2.0)</f>
        <v>2</v>
      </c>
      <c r="N131" s="122">
        <f>IFERROR(__xludf.DUMMYFUNCTION("counta(iferror(filter(L$131:L133,E$131:E133=E131,L133:L$134&gt;L131)))"),0.0)</f>
        <v>0</v>
      </c>
      <c r="O131" s="124">
        <f t="array" ref="O131:Z131">XLOOKUP(F131,'Current Week'!C:C,'Current Week'!D:O)</f>
        <v>6</v>
      </c>
      <c r="P131" s="122">
        <v>6.0</v>
      </c>
      <c r="Q131" s="123" t="s">
        <v>174</v>
      </c>
      <c r="R131" s="123" t="s">
        <v>57</v>
      </c>
      <c r="S131" s="123" t="s">
        <v>138</v>
      </c>
      <c r="T131" s="123"/>
      <c r="U131" s="123"/>
      <c r="V131" s="123"/>
      <c r="W131" s="123"/>
      <c r="X131" s="123"/>
      <c r="Y131" s="126"/>
      <c r="Z131" s="126"/>
      <c r="AA131" s="127">
        <f t="shared" si="4"/>
        <v>-2</v>
      </c>
      <c r="AB131" s="126">
        <f t="shared" si="5"/>
        <v>48</v>
      </c>
      <c r="AC131" s="126">
        <f>IFERROR(__xludf.DUMMYFUNCTION("iferror(COUNT(filter($O133:$O$395,$O133:$O$395&gt;$O131)))"),0.0)</f>
        <v>0</v>
      </c>
      <c r="AD131" s="128">
        <f t="shared" si="6"/>
        <v>0</v>
      </c>
      <c r="AE131" s="129">
        <f t="shared" si="7"/>
        <v>5</v>
      </c>
      <c r="AF131" s="123" t="str">
        <f>IFERROR(__xludf.DUMMYFUNCTION("iferror(join("","",index(sort(filter($F133:$F$396,$O133:$O$396&gt;$O131),2,false),0,1)))"),"")</f>
        <v/>
      </c>
      <c r="AG131" s="204" t="str">
        <f>IFERROR(__xludf.DUMMYFUNCTION("iferror($O131-max(filter($O131:$O$395,$E131:$E$395=$E$2)))"),"")</f>
        <v/>
      </c>
      <c r="AH131" s="126">
        <f t="shared" si="8"/>
        <v>4</v>
      </c>
      <c r="AI131" s="126">
        <f>IFERROR(__xludf.DUMMYFUNCTION("iferror(COUNT(filter($O133:$O$395,$O133:$O$395&gt;$O131,$E131:$E$395=$E$2)))"),0.0)</f>
        <v>0</v>
      </c>
      <c r="AJ131" s="128">
        <f t="shared" si="9"/>
        <v>1</v>
      </c>
      <c r="AK131" s="129" t="str">
        <f>IFERROR(__xludf.DUMMYFUNCTION("iferror($O131-min(filter($O131:$O$395,$E131:$E$395=$E$2)))"),"")</f>
        <v/>
      </c>
      <c r="AL131" s="123" t="str">
        <f>IFERROR(__xludf.DUMMYFUNCTION("iferror(join("","",index(sort(filter($F133:$F$395,$O133:$O$395&gt;$O131,$E133:$E$395=$E$2),2,false),0,1)))"),"")</f>
        <v/>
      </c>
      <c r="AM131" s="123" t="str">
        <f>IFERROR(__xludf.DUMMYFUNCTION("REGEXREPLACE(join("","",unique({let(conf_picked,filter(E$1:E130,D$1:D130=D131), byrow(unique(TRANSPOSe(Teams!$1:$1)),lambda(rw,if(ISERROR(match(rw,conf_picked,0)),rw,))));iferror(if(#REF!,,transpose(split(#REF!,"","",1,1))))})), ""^,"", """")"),"SEC")</f>
        <v>SEC</v>
      </c>
      <c r="AN131" s="127">
        <f>IFERROR(__xludf.DUMMYFUNCTION("iferror($O131-max(filter($O131:$O$395,arrayformula(isnumber(FIND($E131:$E$395,AM131))))))"),0.0)</f>
        <v>0</v>
      </c>
      <c r="AO131" s="126">
        <f t="array" ref="AO131">countifs($O$2:$O130,"&lt;"&amp;$O131,isnumber(FIND($E$2:$E130,AM131)),TRUE)</f>
        <v>2</v>
      </c>
      <c r="AP131" s="126">
        <f>IFERROR(__xludf.DUMMYFUNCTION("iferror(COUNT(filter($O133:$O$395,$O133:$O$395&gt;$O131,arrayformula(isnumber(FIND($E133:$E$395,AM131))))))"),0.0)</f>
        <v>0</v>
      </c>
      <c r="AQ131" s="128">
        <f t="shared" si="10"/>
        <v>1</v>
      </c>
      <c r="AR131" s="129">
        <f>IFERROR(__xludf.DUMMYFUNCTION("$O131-min(filter($O131:$O$395,arrayformula(isnumber(FIND($E131:$E$395,AM131)))))"),0.0)</f>
        <v>0</v>
      </c>
      <c r="AS131" s="123" t="str">
        <f>IFERROR(__xludf.DUMMYFUNCTION("iferror(join("","",index(sort(filter($F133:$F$395,$O133:$O$395&gt;$O131,arrayformula(isnumber(FIND($E133:$E$395,AM131)))),2,false),0,1)))"),"")</f>
        <v/>
      </c>
    </row>
    <row r="132">
      <c r="A132" s="26">
        <v>131.0</v>
      </c>
      <c r="B132" s="26">
        <v>11.0</v>
      </c>
      <c r="C132" s="26">
        <v>1.0</v>
      </c>
      <c r="D132" s="26" t="s">
        <v>442</v>
      </c>
      <c r="E132" s="158" t="str">
        <f>if(F132&lt;&gt;"",VLOOKUP(F132,offset('Teams-Conference'!A:B,0,(counta('Draft Order'!B$2:B132)-10)*2),2,0),"")</f>
        <v>ACC</v>
      </c>
      <c r="F132" s="205" t="s">
        <v>331</v>
      </c>
      <c r="G132" s="135"/>
      <c r="H132" s="122">
        <f t="shared" si="31"/>
        <v>0</v>
      </c>
      <c r="I132" s="122">
        <f t="shared" si="32"/>
        <v>0</v>
      </c>
      <c r="J132" s="122">
        <f t="shared" si="11"/>
        <v>1</v>
      </c>
      <c r="K132" s="123"/>
      <c r="L132" s="122">
        <v>8.0</v>
      </c>
      <c r="M132" s="122">
        <f>IFERROR(__xludf.DUMMYFUNCTION("counta(iferror(filter(L$2:L131,E$2:E131=E132,L$2:L131&lt;L132)))"),8.0)</f>
        <v>8</v>
      </c>
      <c r="N132" s="122">
        <f>IFERROR(__xludf.DUMMYFUNCTION("counta(iferror(filter(L$131:L134,E$131:E134=E132,L134:L$134&gt;L132)))"),0.0)</f>
        <v>0</v>
      </c>
      <c r="O132" s="124">
        <f t="array" ref="O132:Z132">XLOOKUP(F132,'Current Week'!C:C,'Current Week'!D:O)</f>
        <v>8</v>
      </c>
      <c r="P132" s="122">
        <v>4.0</v>
      </c>
      <c r="Q132" s="123"/>
      <c r="R132" s="123"/>
      <c r="S132" s="123"/>
      <c r="T132" s="123"/>
      <c r="U132" s="123"/>
      <c r="V132" s="123"/>
      <c r="W132" s="123"/>
      <c r="X132" s="123"/>
      <c r="Y132" s="123"/>
      <c r="Z132" s="123"/>
      <c r="AA132" s="127">
        <f t="shared" si="4"/>
        <v>0</v>
      </c>
      <c r="AB132" s="126">
        <f t="shared" si="5"/>
        <v>86</v>
      </c>
      <c r="AC132" s="126">
        <f>IFERROR(__xludf.DUMMYFUNCTION("iferror(COUNT(filter($O134:$O$395,$O134:$O$395&gt;$O132)))"),0.0)</f>
        <v>0</v>
      </c>
      <c r="AD132" s="128">
        <f t="shared" si="6"/>
        <v>1</v>
      </c>
      <c r="AE132" s="129">
        <f t="shared" si="7"/>
        <v>7</v>
      </c>
      <c r="AF132" s="123" t="str">
        <f>IFERROR(__xludf.DUMMYFUNCTION("iferror(join("","",index(sort(filter($F134:$F$396,$O134:$O$396&gt;$O132),2,false),0,1)))"),"")</f>
        <v/>
      </c>
      <c r="AG132" s="204" t="str">
        <f>IFERROR(__xludf.DUMMYFUNCTION("iferror($O132-max(filter($O132:$O$395,$E132:$E$395=$E$2)))"),"")</f>
        <v/>
      </c>
      <c r="AH132" s="126">
        <f t="shared" si="8"/>
        <v>7</v>
      </c>
      <c r="AI132" s="126">
        <f>IFERROR(__xludf.DUMMYFUNCTION("iferror(COUNT(filter($O134:$O$395,$O134:$O$395&gt;$O132,$E132:$E$395=$E$2)))"),0.0)</f>
        <v>0</v>
      </c>
      <c r="AJ132" s="128">
        <f t="shared" si="9"/>
        <v>1</v>
      </c>
      <c r="AK132" s="129" t="str">
        <f>IFERROR(__xludf.DUMMYFUNCTION("iferror($O132-min(filter($O132:$O$395,$E132:$E$395=$E$2)))"),"")</f>
        <v/>
      </c>
      <c r="AL132" s="123" t="str">
        <f>IFERROR(__xludf.DUMMYFUNCTION("iferror(join("","",index(sort(filter($F134:$F$395,$O134:$O$395&gt;$O132,$E134:$E$395=$E$2),2,false),0,1)))"),"")</f>
        <v/>
      </c>
      <c r="AM132" s="123" t="str">
        <f>IFERROR(__xludf.DUMMYFUNCTION("REGEXREPLACE(join("","",unique({let(conf_picked,filter(E$1:E131,D$1:D131=D132), byrow(unique(TRANSPOSe(Teams!$1:$1)),lambda(rw,if(ISERROR(match(rw,conf_picked,0)),rw,))));iferror(if(#REF!,,transpose(split(#REF!,"","",1,1))))})), ""^,"", """")"),"AAC,ACC,Big 12,Big Ten,Pac12,CUSA,MAC,MWC,SEC,Sun Belt,")</f>
        <v>AAC,ACC,Big 12,Big Ten,Pac12,CUSA,MAC,MWC,SEC,Sun Belt,</v>
      </c>
      <c r="AN132" s="127">
        <f>IFERROR(__xludf.DUMMYFUNCTION("iferror($O132-max(filter($O132:$O$395,arrayformula(isnumber(FIND($E132:$E$395,AM132))))))"),0.0)</f>
        <v>0</v>
      </c>
      <c r="AO132" s="126">
        <f t="array" ref="AO132">countifs($O$2:$O131,"&lt;"&amp;$O132,isnumber(FIND($E$2:$E131,AM132)),TRUE)</f>
        <v>86</v>
      </c>
      <c r="AP132" s="126">
        <f>IFERROR(__xludf.DUMMYFUNCTION("iferror(COUNT(filter($O134:$O$395,$O134:$O$395&gt;$O132,arrayformula(isnumber(FIND($E134:$E$395,AM132))))))"),0.0)</f>
        <v>0</v>
      </c>
      <c r="AQ132" s="128">
        <f t="shared" si="10"/>
        <v>1</v>
      </c>
      <c r="AR132" s="129">
        <f>IFERROR(__xludf.DUMMYFUNCTION("$O132-min(filter($O132:$O$395,arrayformula(isnumber(FIND($E132:$E$395,AM132)))))"),0.0)</f>
        <v>0</v>
      </c>
      <c r="AS132" s="123" t="str">
        <f>IFERROR(__xludf.DUMMYFUNCTION("iferror(join("","",index(sort(filter($F134:$F$395,$O134:$O$395&gt;$O132,arrayformula(isnumber(FIND($E134:$E$395,AM132)))),2,false),0,1)))"),"")</f>
        <v/>
      </c>
    </row>
  </sheetData>
  <autoFilter ref="$A$1:$F$132"/>
  <customSheetViews>
    <customSheetView guid="{4B7AC05C-7A8C-4316-9C9C-1F2ACDE372A5}" filter="1" showAutoFilter="1">
      <autoFilter ref="$B$1:$G$120"/>
    </customSheetView>
  </customSheetViews>
  <conditionalFormatting sqref="F87 F115 F122">
    <cfRule type="expression" dxfId="7" priority="1">
      <formula>vlookup</formula>
    </cfRule>
  </conditionalFormatting>
  <conditionalFormatting sqref="A1 F4:F5 F7 F17:F18 F20 F24 F30:F31 F33 F43:F44 F46 F56:F57 F59 F69:F70 F72 F82:F83 F85 F87 F96 F98 F108:F109 F111 F115:F117 F120:F126">
    <cfRule type="containsBlanks" dxfId="5" priority="2">
      <formula>LEN(TRIM(A1))=0</formula>
    </cfRule>
  </conditionalFormatting>
  <conditionalFormatting sqref="A1 F4:F5 F7 F17:F18 F20 F24 F30:F31 F33 F43:F44 F46 F56:F57 F59 F69:F70 F72 F82:F83 F85 F87 F96 F98 F108:F109 F111 F115:F117 F120:F126">
    <cfRule type="expression" dxfId="6" priority="3">
      <formula>#REF!&lt;&gt;A$1</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hidden="1" min="1" max="10" width="12.88"/>
    <col customWidth="1" min="11" max="11" width="11.0"/>
    <col customWidth="1" min="12" max="12" width="12.25"/>
    <col customWidth="1" min="13" max="13" width="13.0"/>
    <col customWidth="1" min="14" max="14" width="12.0"/>
    <col customWidth="1" min="15" max="15" width="16.25"/>
    <col customWidth="1" min="16" max="16" width="14.25"/>
    <col customWidth="1" min="17" max="17" width="14.38"/>
    <col customWidth="1" min="18" max="18" width="14.13"/>
    <col customWidth="1" min="19" max="19" width="13.38"/>
    <col customWidth="1" min="20" max="20" width="14.5"/>
    <col hidden="1" min="21" max="51" width="12.63"/>
  </cols>
  <sheetData>
    <row r="1">
      <c r="A1" s="139"/>
      <c r="B1" s="139"/>
      <c r="C1" s="139"/>
      <c r="D1" s="139"/>
      <c r="E1" s="139"/>
      <c r="F1" s="139"/>
      <c r="G1" s="139"/>
      <c r="H1" s="139"/>
      <c r="I1" s="139"/>
      <c r="J1" s="139"/>
      <c r="K1" s="139" t="str">
        <f t="array" ref="K1:T15">U1:AD15</f>
        <v>#REF!</v>
      </c>
      <c r="L1" s="139"/>
      <c r="M1" s="139"/>
      <c r="N1" s="139"/>
      <c r="O1" s="139"/>
      <c r="P1" s="139"/>
      <c r="Q1" s="139"/>
      <c r="R1" s="139"/>
      <c r="S1" s="139"/>
      <c r="T1" s="139"/>
      <c r="U1" s="139" t="str">
        <f>IFERROR(__xludf.DUMMYFUNCTION("filter(AF:AO,AE:AE=offset(DraftTracker!D1,counta(DraftTracker!F2:F15)+1,0))"),"#REF!")</f>
        <v>#REF!</v>
      </c>
      <c r="V1" s="139"/>
      <c r="W1" s="139"/>
      <c r="X1" s="139"/>
      <c r="Y1" s="139"/>
      <c r="Z1" s="139"/>
      <c r="AA1" s="139"/>
      <c r="AB1" s="139"/>
      <c r="AC1" s="139"/>
      <c r="AD1" s="139"/>
      <c r="AE1" s="140" t="str">
        <f t="array" ref="AE1:AO13">TRANSPOSE('Conferences Needed'!C1:O12)</f>
        <v>Jeannine</v>
      </c>
      <c r="AF1" s="141" t="e">
        <v>#N/A</v>
      </c>
      <c r="AG1" s="141"/>
      <c r="AH1" s="141"/>
      <c r="AI1" s="141"/>
      <c r="AJ1" s="141"/>
      <c r="AK1" s="141"/>
      <c r="AL1" s="141"/>
      <c r="AM1" s="141"/>
      <c r="AN1" s="139"/>
      <c r="AO1" s="139"/>
      <c r="AP1" s="139"/>
      <c r="AQ1" s="139"/>
      <c r="AR1" s="139"/>
      <c r="AS1" s="139"/>
      <c r="AT1" s="139"/>
      <c r="AU1" s="139"/>
      <c r="AV1" s="139"/>
      <c r="AW1" s="139"/>
      <c r="AX1" s="139"/>
      <c r="AY1" s="139"/>
    </row>
    <row r="2">
      <c r="A2" s="142" t="str">
        <f>iferror(VLOOKUP(K2,'Teams-Conference'!$A:$B,2,0),"")</f>
        <v/>
      </c>
      <c r="B2" s="142" t="str">
        <f>iferror(VLOOKUP(L2,'Teams-Conference'!$A:$B,2,0),"")</f>
        <v/>
      </c>
      <c r="C2" s="142" t="str">
        <f>iferror(VLOOKUP(M2,'Teams-Conference'!$A:$B,2,0),"")</f>
        <v/>
      </c>
      <c r="D2" s="142" t="str">
        <f>iferror(VLOOKUP(N2,'Teams-Conference'!$A:$B,2,0),"")</f>
        <v/>
      </c>
      <c r="E2" s="142" t="str">
        <f>iferror(VLOOKUP(O2,'Teams-Conference'!$A:$B,2,0),"")</f>
        <v/>
      </c>
      <c r="F2" s="142" t="str">
        <f>iferror(VLOOKUP(P2,'Teams-Conference'!$A:$B,2,0),"")</f>
        <v/>
      </c>
      <c r="G2" s="142" t="str">
        <f>iferror(VLOOKUP(Q2,'Teams-Conference'!$A:$B,2,0),"")</f>
        <v/>
      </c>
      <c r="H2" s="142" t="str">
        <f>iferror(VLOOKUP(R2,'Teams-Conference'!$A:$B,2,0),"")</f>
        <v/>
      </c>
      <c r="I2" s="142" t="str">
        <f>iferror(VLOOKUP(S2,'Teams-Conference'!$A:$B,2,0),"")</f>
        <v/>
      </c>
      <c r="J2" s="142" t="str">
        <f>iferror(VLOOKUP(T2,'Teams-Conference'!$A:$B,2,0),"")</f>
        <v/>
      </c>
      <c r="K2" s="142"/>
      <c r="L2" s="142"/>
      <c r="M2" s="142"/>
      <c r="N2" s="142"/>
      <c r="O2" s="142"/>
      <c r="P2" s="142"/>
      <c r="Q2" s="142"/>
      <c r="R2" s="142"/>
      <c r="S2" s="142"/>
      <c r="T2" s="142"/>
      <c r="U2" s="142" t="str">
        <f>iferror(offset('ALL Teams Available'!$A1,1,match(U1,'ALL Teams Available'!1:1,0)-1,14,1),"")</f>
        <v/>
      </c>
      <c r="V2" s="142" t="str">
        <f>iferror(offset('ALL Teams Available'!$A1,1,match(V1,'ALL Teams Available'!1:1,0)-1,14,1),"")</f>
        <v/>
      </c>
      <c r="W2" s="142" t="str">
        <f>iferror(offset('ALL Teams Available'!$A1,1,match(W1,'ALL Teams Available'!1:1,0)-1,14,1),"")</f>
        <v/>
      </c>
      <c r="X2" s="142" t="str">
        <f>iferror(offset('ALL Teams Available'!$A1,1,match(X1,'ALL Teams Available'!1:1,0)-1,14,1),"")</f>
        <v/>
      </c>
      <c r="Y2" s="142" t="str">
        <f>iferror(offset('ALL Teams Available'!$A1,1,match(Y1,'ALL Teams Available'!1:1,0)-1,14,1),"")</f>
        <v/>
      </c>
      <c r="Z2" s="142" t="str">
        <f>iferror(offset('ALL Teams Available'!$A1,1,match(Z1,'ALL Teams Available'!1:1,0)-1,14,1),"")</f>
        <v/>
      </c>
      <c r="AA2" s="142" t="str">
        <f>iferror(offset('ALL Teams Available'!$A1,1,match(AA1,'ALL Teams Available'!1:1,0)-1,14,1),"")</f>
        <v/>
      </c>
      <c r="AB2" s="142" t="str">
        <f>iferror(offset('ALL Teams Available'!$A1,1,match(AB1,'ALL Teams Available'!1:1,0)-1,14,1),"")</f>
        <v/>
      </c>
      <c r="AC2" s="142" t="str">
        <f>iferror(offset('ALL Teams Available'!$A1,1,match(AC1,'ALL Teams Available'!1:1,0)-1,14,1),"")</f>
        <v/>
      </c>
      <c r="AD2" s="142" t="str">
        <f>iferror(offset('ALL Teams Available'!$A1,1,match(AD1,'ALL Teams Available'!1:1,0)-1,14,1),"")</f>
        <v/>
      </c>
      <c r="AE2" s="144" t="s">
        <v>131</v>
      </c>
      <c r="AF2" t="e">
        <v>#N/A</v>
      </c>
    </row>
    <row r="3">
      <c r="A3" s="142" t="str">
        <f>iferror(VLOOKUP(K3,'Teams-Conference'!$A:$B,2,0),"")</f>
        <v/>
      </c>
      <c r="B3" s="142" t="str">
        <f>iferror(VLOOKUP(L3,'Teams-Conference'!$A:$B,2,0),"")</f>
        <v/>
      </c>
      <c r="C3" s="142" t="str">
        <f>iferror(VLOOKUP(M3,'Teams-Conference'!$A:$B,2,0),"")</f>
        <v/>
      </c>
      <c r="D3" s="142" t="str">
        <f>iferror(VLOOKUP(N3,'Teams-Conference'!$A:$B,2,0),"")</f>
        <v/>
      </c>
      <c r="E3" s="142" t="str">
        <f>iferror(VLOOKUP(O3,'Teams-Conference'!$A:$B,2,0),"")</f>
        <v/>
      </c>
      <c r="F3" s="142" t="str">
        <f>iferror(VLOOKUP(P3,'Teams-Conference'!$A:$B,2,0),"")</f>
        <v/>
      </c>
      <c r="G3" s="142" t="str">
        <f>iferror(VLOOKUP(Q3,'Teams-Conference'!$A:$B,2,0),"")</f>
        <v/>
      </c>
      <c r="H3" s="142" t="str">
        <f>iferror(VLOOKUP(R3,'Teams-Conference'!$A:$B,2,0),"")</f>
        <v/>
      </c>
      <c r="I3" s="142" t="str">
        <f>iferror(VLOOKUP(S3,'Teams-Conference'!$A:$B,2,0),"")</f>
        <v/>
      </c>
      <c r="J3" s="142" t="str">
        <f>iferror(VLOOKUP(T3,'Teams-Conference'!$A:$B,2,0),"")</f>
        <v/>
      </c>
      <c r="K3" s="142"/>
      <c r="L3" s="142"/>
      <c r="M3" s="142"/>
      <c r="N3" s="142"/>
      <c r="O3" s="142"/>
      <c r="P3" s="142"/>
      <c r="Q3" s="142"/>
      <c r="R3" s="142"/>
      <c r="S3" s="142"/>
      <c r="T3" s="142"/>
      <c r="U3" s="142"/>
      <c r="V3" s="142"/>
      <c r="W3" s="142"/>
      <c r="X3" s="142"/>
      <c r="Y3" s="142"/>
      <c r="Z3" s="142"/>
      <c r="AA3" s="142"/>
      <c r="AB3" s="142"/>
      <c r="AC3" s="142"/>
      <c r="AD3" s="142"/>
      <c r="AE3" s="145" t="s">
        <v>178</v>
      </c>
      <c r="AF3" t="e">
        <v>#N/A</v>
      </c>
    </row>
    <row r="4">
      <c r="A4" s="142" t="str">
        <f>iferror(VLOOKUP(K4,'Teams-Conference'!$A:$B,2,0),"")</f>
        <v/>
      </c>
      <c r="B4" s="142" t="str">
        <f>iferror(VLOOKUP(L4,'Teams-Conference'!$A:$B,2,0),"")</f>
        <v/>
      </c>
      <c r="C4" s="142" t="str">
        <f>iferror(VLOOKUP(M4,'Teams-Conference'!$A:$B,2,0),"")</f>
        <v/>
      </c>
      <c r="D4" s="142" t="str">
        <f>iferror(VLOOKUP(N4,'Teams-Conference'!$A:$B,2,0),"")</f>
        <v/>
      </c>
      <c r="E4" s="142" t="str">
        <f>iferror(VLOOKUP(O4,'Teams-Conference'!$A:$B,2,0),"")</f>
        <v/>
      </c>
      <c r="F4" s="142" t="str">
        <f>iferror(VLOOKUP(P4,'Teams-Conference'!$A:$B,2,0),"")</f>
        <v/>
      </c>
      <c r="G4" s="142" t="str">
        <f>iferror(VLOOKUP(Q4,'Teams-Conference'!$A:$B,2,0),"")</f>
        <v/>
      </c>
      <c r="H4" s="142" t="str">
        <f>iferror(VLOOKUP(R4,'Teams-Conference'!$A:$B,2,0),"")</f>
        <v/>
      </c>
      <c r="I4" s="142" t="str">
        <f>iferror(VLOOKUP(S4,'Teams-Conference'!$A:$B,2,0),"")</f>
        <v/>
      </c>
      <c r="J4" s="142" t="str">
        <f>iferror(VLOOKUP(T4,'Teams-Conference'!$A:$B,2,0),"")</f>
        <v/>
      </c>
      <c r="K4" s="142"/>
      <c r="L4" s="142"/>
      <c r="M4" s="142"/>
      <c r="N4" s="142"/>
      <c r="O4" s="142"/>
      <c r="P4" s="142"/>
      <c r="Q4" s="142"/>
      <c r="R4" s="142"/>
      <c r="S4" s="142"/>
      <c r="T4" s="142"/>
      <c r="U4" s="142"/>
      <c r="V4" s="142"/>
      <c r="W4" s="142"/>
      <c r="X4" s="142"/>
      <c r="Y4" s="142"/>
      <c r="Z4" s="142"/>
      <c r="AA4" s="142"/>
      <c r="AB4" s="142"/>
      <c r="AC4" s="142"/>
      <c r="AD4" s="142"/>
      <c r="AE4" s="145" t="s">
        <v>59</v>
      </c>
      <c r="AF4" t="e">
        <v>#N/A</v>
      </c>
    </row>
    <row r="5">
      <c r="A5" s="142" t="str">
        <f>iferror(VLOOKUP(K5,'Teams-Conference'!$A:$B,2,0),"")</f>
        <v/>
      </c>
      <c r="B5" s="142" t="str">
        <f>iferror(VLOOKUP(L5,'Teams-Conference'!$A:$B,2,0),"")</f>
        <v/>
      </c>
      <c r="C5" s="142" t="str">
        <f>iferror(VLOOKUP(M5,'Teams-Conference'!$A:$B,2,0),"")</f>
        <v/>
      </c>
      <c r="D5" s="142" t="str">
        <f>iferror(VLOOKUP(N5,'Teams-Conference'!$A:$B,2,0),"")</f>
        <v/>
      </c>
      <c r="E5" s="142" t="str">
        <f>iferror(VLOOKUP(O5,'Teams-Conference'!$A:$B,2,0),"")</f>
        <v/>
      </c>
      <c r="F5" s="142" t="str">
        <f>iferror(VLOOKUP(P5,'Teams-Conference'!$A:$B,2,0),"")</f>
        <v/>
      </c>
      <c r="G5" s="142" t="str">
        <f>iferror(VLOOKUP(Q5,'Teams-Conference'!$A:$B,2,0),"")</f>
        <v/>
      </c>
      <c r="H5" s="142" t="str">
        <f>iferror(VLOOKUP(R5,'Teams-Conference'!$A:$B,2,0),"")</f>
        <v/>
      </c>
      <c r="I5" s="142" t="str">
        <f>iferror(VLOOKUP(S5,'Teams-Conference'!$A:$B,2,0),"")</f>
        <v/>
      </c>
      <c r="J5" s="142" t="str">
        <f>iferror(VLOOKUP(T5,'Teams-Conference'!$A:$B,2,0),"")</f>
        <v/>
      </c>
      <c r="K5" s="142"/>
      <c r="L5" s="142"/>
      <c r="M5" s="142"/>
      <c r="N5" s="142"/>
      <c r="O5" s="142"/>
      <c r="P5" s="142"/>
      <c r="Q5" s="142"/>
      <c r="R5" s="142"/>
      <c r="S5" s="142"/>
      <c r="T5" s="142"/>
      <c r="U5" s="142"/>
      <c r="V5" s="142"/>
      <c r="W5" s="142"/>
      <c r="X5" s="142"/>
      <c r="Y5" s="142"/>
      <c r="Z5" s="142"/>
      <c r="AA5" s="142"/>
      <c r="AB5" s="142"/>
      <c r="AC5" s="142"/>
      <c r="AD5" s="142"/>
      <c r="AE5" s="145" t="s">
        <v>138</v>
      </c>
      <c r="AF5" t="e">
        <v>#N/A</v>
      </c>
    </row>
    <row r="6">
      <c r="A6" s="142" t="str">
        <f>iferror(VLOOKUP(K6,'Teams-Conference'!$A:$B,2,0),"")</f>
        <v/>
      </c>
      <c r="B6" s="142" t="str">
        <f>iferror(VLOOKUP(L6,'Teams-Conference'!$A:$B,2,0),"")</f>
        <v/>
      </c>
      <c r="C6" s="142" t="str">
        <f>iferror(VLOOKUP(M6,'Teams-Conference'!$A:$B,2,0),"")</f>
        <v/>
      </c>
      <c r="D6" s="142" t="str">
        <f>iferror(VLOOKUP(N6,'Teams-Conference'!$A:$B,2,0),"")</f>
        <v/>
      </c>
      <c r="E6" s="142" t="str">
        <f>iferror(VLOOKUP(O6,'Teams-Conference'!$A:$B,2,0),"")</f>
        <v/>
      </c>
      <c r="F6" s="142" t="str">
        <f>iferror(VLOOKUP(P6,'Teams-Conference'!$A:$B,2,0),"")</f>
        <v/>
      </c>
      <c r="G6" s="142" t="str">
        <f>iferror(VLOOKUP(Q6,'Teams-Conference'!$A:$B,2,0),"")</f>
        <v/>
      </c>
      <c r="H6" s="142" t="str">
        <f>iferror(VLOOKUP(R6,'Teams-Conference'!$A:$B,2,0),"")</f>
        <v/>
      </c>
      <c r="I6" s="142" t="str">
        <f>iferror(VLOOKUP(S6,'Teams-Conference'!$A:$B,2,0),"")</f>
        <v/>
      </c>
      <c r="J6" s="142" t="str">
        <f>iferror(VLOOKUP(T6,'Teams-Conference'!$A:$B,2,0),"")</f>
        <v/>
      </c>
      <c r="K6" s="142"/>
      <c r="L6" s="142"/>
      <c r="M6" s="142"/>
      <c r="N6" s="142"/>
      <c r="O6" s="142"/>
      <c r="P6" s="142"/>
      <c r="Q6" s="142"/>
      <c r="R6" s="142"/>
      <c r="S6" s="142"/>
      <c r="T6" s="142"/>
      <c r="U6" s="142"/>
      <c r="V6" s="142"/>
      <c r="W6" s="142"/>
      <c r="X6" s="142"/>
      <c r="Y6" s="142"/>
      <c r="Z6" s="142"/>
      <c r="AA6" s="142"/>
      <c r="AB6" s="142"/>
      <c r="AC6" s="142"/>
      <c r="AD6" s="142"/>
      <c r="AE6" s="145" t="s">
        <v>141</v>
      </c>
      <c r="AF6" t="e">
        <v>#N/A</v>
      </c>
    </row>
    <row r="7">
      <c r="A7" s="142" t="str">
        <f>iferror(VLOOKUP(K7,'Teams-Conference'!$A:$B,2,0),"")</f>
        <v/>
      </c>
      <c r="B7" s="142" t="str">
        <f>iferror(VLOOKUP(L7,'Teams-Conference'!$A:$B,2,0),"")</f>
        <v/>
      </c>
      <c r="C7" s="142" t="str">
        <f>iferror(VLOOKUP(M7,'Teams-Conference'!$A:$B,2,0),"")</f>
        <v/>
      </c>
      <c r="D7" s="142" t="str">
        <f>iferror(VLOOKUP(N7,'Teams-Conference'!$A:$B,2,0),"")</f>
        <v/>
      </c>
      <c r="E7" s="142" t="str">
        <f>iferror(VLOOKUP(O7,'Teams-Conference'!$A:$B,2,0),"")</f>
        <v/>
      </c>
      <c r="F7" s="142" t="str">
        <f>iferror(VLOOKUP(P7,'Teams-Conference'!$A:$B,2,0),"")</f>
        <v/>
      </c>
      <c r="G7" s="142" t="str">
        <f>iferror(VLOOKUP(Q7,'Teams-Conference'!$A:$B,2,0),"")</f>
        <v/>
      </c>
      <c r="H7" s="142" t="str">
        <f>iferror(VLOOKUP(R7,'Teams-Conference'!$A:$B,2,0),"")</f>
        <v/>
      </c>
      <c r="I7" s="142" t="str">
        <f>iferror(VLOOKUP(S7,'Teams-Conference'!$A:$B,2,0),"")</f>
        <v/>
      </c>
      <c r="J7" s="142" t="str">
        <f>iferror(VLOOKUP(T7,'Teams-Conference'!$A:$B,2,0),"")</f>
        <v/>
      </c>
      <c r="K7" s="142"/>
      <c r="L7" s="142"/>
      <c r="M7" s="142"/>
      <c r="N7" s="142"/>
      <c r="O7" s="142"/>
      <c r="P7" s="142"/>
      <c r="Q7" s="142"/>
      <c r="R7" s="142"/>
      <c r="S7" s="142"/>
      <c r="T7" s="142"/>
      <c r="U7" s="142"/>
      <c r="V7" s="142"/>
      <c r="W7" s="142"/>
      <c r="X7" s="142"/>
      <c r="Y7" s="142"/>
      <c r="Z7" s="142"/>
      <c r="AA7" s="142"/>
      <c r="AB7" s="142"/>
      <c r="AC7" s="142"/>
      <c r="AD7" s="142"/>
      <c r="AE7" s="145" t="s">
        <v>109</v>
      </c>
      <c r="AF7" t="e">
        <v>#N/A</v>
      </c>
    </row>
    <row r="8">
      <c r="A8" s="142" t="str">
        <f>iferror(VLOOKUP(K8,'Teams-Conference'!$A:$B,2,0),"")</f>
        <v/>
      </c>
      <c r="B8" s="142" t="str">
        <f>iferror(VLOOKUP(L8,'Teams-Conference'!$A:$B,2,0),"")</f>
        <v/>
      </c>
      <c r="C8" s="142" t="str">
        <f>iferror(VLOOKUP(M8,'Teams-Conference'!$A:$B,2,0),"")</f>
        <v/>
      </c>
      <c r="D8" s="142" t="str">
        <f>iferror(VLOOKUP(N8,'Teams-Conference'!$A:$B,2,0),"")</f>
        <v/>
      </c>
      <c r="E8" s="142" t="str">
        <f>iferror(VLOOKUP(O8,'Teams-Conference'!$A:$B,2,0),"")</f>
        <v/>
      </c>
      <c r="F8" s="142" t="str">
        <f>iferror(VLOOKUP(P8,'Teams-Conference'!$A:$B,2,0),"")</f>
        <v/>
      </c>
      <c r="G8" s="142" t="str">
        <f>iferror(VLOOKUP(Q8,'Teams-Conference'!$A:$B,2,0),"")</f>
        <v/>
      </c>
      <c r="H8" s="142" t="str">
        <f>iferror(VLOOKUP(R8,'Teams-Conference'!$A:$B,2,0),"")</f>
        <v/>
      </c>
      <c r="I8" s="142" t="str">
        <f>iferror(VLOOKUP(S8,'Teams-Conference'!$A:$B,2,0),"")</f>
        <v/>
      </c>
      <c r="J8" s="142" t="str">
        <f>iferror(VLOOKUP(T8,'Teams-Conference'!$A:$B,2,0),"")</f>
        <v/>
      </c>
      <c r="K8" s="142"/>
      <c r="L8" s="142"/>
      <c r="M8" s="142"/>
      <c r="N8" s="142"/>
      <c r="O8" s="142"/>
      <c r="P8" s="142"/>
      <c r="Q8" s="142"/>
      <c r="R8" s="142"/>
      <c r="S8" s="142"/>
      <c r="T8" s="142"/>
      <c r="U8" s="142"/>
      <c r="V8" s="142"/>
      <c r="W8" s="142"/>
      <c r="X8" s="142"/>
      <c r="Y8" s="142"/>
      <c r="Z8" s="142"/>
      <c r="AA8" s="142"/>
      <c r="AB8" s="142"/>
      <c r="AC8" s="142"/>
      <c r="AD8" s="142"/>
      <c r="AE8" s="145" t="s">
        <v>144</v>
      </c>
      <c r="AF8" t="e">
        <v>#N/A</v>
      </c>
    </row>
    <row r="9">
      <c r="A9" s="142" t="str">
        <f>iferror(VLOOKUP(K9,'Teams-Conference'!$A:$B,2,0),"")</f>
        <v/>
      </c>
      <c r="B9" s="142" t="str">
        <f>iferror(VLOOKUP(L9,'Teams-Conference'!$A:$B,2,0),"")</f>
        <v/>
      </c>
      <c r="C9" s="142" t="str">
        <f>iferror(VLOOKUP(M9,'Teams-Conference'!$A:$B,2,0),"")</f>
        <v/>
      </c>
      <c r="D9" s="142" t="str">
        <f>iferror(VLOOKUP(N9,'Teams-Conference'!$A:$B,2,0),"")</f>
        <v/>
      </c>
      <c r="E9" s="142" t="str">
        <f>iferror(VLOOKUP(O9,'Teams-Conference'!$A:$B,2,0),"")</f>
        <v/>
      </c>
      <c r="F9" s="142" t="str">
        <f>iferror(VLOOKUP(P9,'Teams-Conference'!$A:$B,2,0),"")</f>
        <v/>
      </c>
      <c r="G9" s="142" t="str">
        <f>iferror(VLOOKUP(Q9,'Teams-Conference'!$A:$B,2,0),"")</f>
        <v/>
      </c>
      <c r="H9" s="142" t="str">
        <f>iferror(VLOOKUP(R9,'Teams-Conference'!$A:$B,2,0),"")</f>
        <v/>
      </c>
      <c r="I9" s="142" t="str">
        <f>iferror(VLOOKUP(S9,'Teams-Conference'!$A:$B,2,0),"")</f>
        <v/>
      </c>
      <c r="J9" s="142" t="str">
        <f>iferror(VLOOKUP(T9,'Teams-Conference'!$A:$B,2,0),"")</f>
        <v/>
      </c>
      <c r="K9" s="142"/>
      <c r="L9" s="142"/>
      <c r="M9" s="142"/>
      <c r="N9" s="142"/>
      <c r="O9" s="142"/>
      <c r="P9" s="142"/>
      <c r="Q9" s="142"/>
      <c r="R9" s="142"/>
      <c r="S9" s="142"/>
      <c r="T9" s="142"/>
      <c r="U9" s="142"/>
      <c r="V9" s="142"/>
      <c r="W9" s="142"/>
      <c r="X9" s="142"/>
      <c r="Y9" s="142"/>
      <c r="Z9" s="142"/>
      <c r="AA9" s="142"/>
      <c r="AB9" s="142"/>
      <c r="AC9" s="142"/>
      <c r="AD9" s="142"/>
      <c r="AE9" s="145" t="s">
        <v>166</v>
      </c>
      <c r="AF9" t="e">
        <v>#N/A</v>
      </c>
    </row>
    <row r="10">
      <c r="A10" s="142" t="str">
        <f>iferror(VLOOKUP(K10,'Teams-Conference'!$A:$B,2,0),"")</f>
        <v/>
      </c>
      <c r="B10" s="142" t="str">
        <f>iferror(VLOOKUP(L10,'Teams-Conference'!$A:$B,2,0),"")</f>
        <v/>
      </c>
      <c r="C10" s="142" t="str">
        <f>iferror(VLOOKUP(M10,'Teams-Conference'!$A:$B,2,0),"")</f>
        <v/>
      </c>
      <c r="D10" s="142" t="str">
        <f>iferror(VLOOKUP(N10,'Teams-Conference'!$A:$B,2,0),"")</f>
        <v/>
      </c>
      <c r="E10" s="142" t="str">
        <f>iferror(VLOOKUP(O10,'Teams-Conference'!$A:$B,2,0),"")</f>
        <v/>
      </c>
      <c r="F10" s="142" t="str">
        <f>iferror(VLOOKUP(P10,'Teams-Conference'!$A:$B,2,0),"")</f>
        <v/>
      </c>
      <c r="G10" s="142" t="str">
        <f>iferror(VLOOKUP(Q10,'Teams-Conference'!$A:$B,2,0),"")</f>
        <v/>
      </c>
      <c r="H10" s="142" t="str">
        <f>iferror(VLOOKUP(R10,'Teams-Conference'!$A:$B,2,0),"")</f>
        <v/>
      </c>
      <c r="I10" s="142" t="str">
        <f>iferror(VLOOKUP(S10,'Teams-Conference'!$A:$B,2,0),"")</f>
        <v/>
      </c>
      <c r="J10" s="142" t="str">
        <f>iferror(VLOOKUP(T10,'Teams-Conference'!$A:$B,2,0),"")</f>
        <v/>
      </c>
      <c r="K10" s="142"/>
      <c r="L10" s="142"/>
      <c r="M10" s="142"/>
      <c r="N10" s="142"/>
      <c r="O10" s="142"/>
      <c r="P10" s="142"/>
      <c r="Q10" s="142"/>
      <c r="R10" s="142"/>
      <c r="S10" s="142"/>
      <c r="T10" s="142"/>
      <c r="U10" s="142"/>
      <c r="V10" s="142"/>
      <c r="W10" s="142"/>
      <c r="X10" s="142"/>
      <c r="Y10" s="142"/>
      <c r="Z10" s="142"/>
      <c r="AA10" s="142"/>
      <c r="AB10" s="142"/>
      <c r="AC10" s="142"/>
      <c r="AD10" s="142"/>
      <c r="AE10" s="145" t="s">
        <v>116</v>
      </c>
      <c r="AF10" t="e">
        <v>#N/A</v>
      </c>
    </row>
    <row r="11">
      <c r="A11" s="142" t="str">
        <f>iferror(VLOOKUP(K11,'Teams-Conference'!$A:$B,2,0),"")</f>
        <v/>
      </c>
      <c r="B11" s="142" t="str">
        <f>iferror(VLOOKUP(L11,'Teams-Conference'!$A:$B,2,0),"")</f>
        <v/>
      </c>
      <c r="C11" s="142" t="str">
        <f>iferror(VLOOKUP(M11,'Teams-Conference'!$A:$B,2,0),"")</f>
        <v/>
      </c>
      <c r="D11" s="142" t="str">
        <f>iferror(VLOOKUP(N11,'Teams-Conference'!$A:$B,2,0),"")</f>
        <v/>
      </c>
      <c r="E11" s="142" t="str">
        <f>iferror(VLOOKUP(O11,'Teams-Conference'!$A:$B,2,0),"")</f>
        <v/>
      </c>
      <c r="F11" s="142" t="str">
        <f>iferror(VLOOKUP(P11,'Teams-Conference'!$A:$B,2,0),"")</f>
        <v/>
      </c>
      <c r="G11" s="142" t="str">
        <f>iferror(VLOOKUP(Q11,'Teams-Conference'!$A:$B,2,0),"")</f>
        <v/>
      </c>
      <c r="H11" s="142" t="str">
        <f>iferror(VLOOKUP(R11,'Teams-Conference'!$A:$B,2,0),"")</f>
        <v/>
      </c>
      <c r="I11" s="142" t="str">
        <f>iferror(VLOOKUP(S11,'Teams-Conference'!$A:$B,2,0),"")</f>
        <v/>
      </c>
      <c r="J11" s="142" t="str">
        <f>iferror(VLOOKUP(T11,'Teams-Conference'!$A:$B,2,0),"")</f>
        <v/>
      </c>
      <c r="K11" s="142"/>
      <c r="L11" s="142"/>
      <c r="M11" s="142"/>
      <c r="N11" s="142"/>
      <c r="O11" s="142"/>
      <c r="P11" s="142"/>
      <c r="Q11" s="142"/>
      <c r="R11" s="142"/>
      <c r="S11" s="142"/>
      <c r="T11" s="142"/>
      <c r="U11" s="142"/>
      <c r="V11" s="142"/>
      <c r="W11" s="142"/>
      <c r="X11" s="142"/>
      <c r="Y11" s="142"/>
      <c r="Z11" s="142"/>
      <c r="AA11" s="142"/>
      <c r="AB11" s="142"/>
      <c r="AC11" s="142"/>
      <c r="AD11" s="142"/>
      <c r="AE11" s="145" t="s">
        <v>148</v>
      </c>
      <c r="AF11" t="e">
        <v>#N/A</v>
      </c>
    </row>
    <row r="12">
      <c r="A12" s="142" t="str">
        <f>iferror(VLOOKUP(K12,'Teams-Conference'!$A:$B,2,0),"")</f>
        <v/>
      </c>
      <c r="B12" s="142" t="str">
        <f>iferror(VLOOKUP(L12,'Teams-Conference'!$A:$B,2,0),"")</f>
        <v/>
      </c>
      <c r="C12" s="142" t="str">
        <f>iferror(VLOOKUP(M12,'Teams-Conference'!$A:$B,2,0),"")</f>
        <v/>
      </c>
      <c r="D12" s="142" t="str">
        <f>iferror(VLOOKUP(N12,'Teams-Conference'!$A:$B,2,0),"")</f>
        <v/>
      </c>
      <c r="E12" s="142" t="str">
        <f>iferror(VLOOKUP(O12,'Teams-Conference'!$A:$B,2,0),"")</f>
        <v/>
      </c>
      <c r="F12" s="142" t="str">
        <f>iferror(VLOOKUP(P12,'Teams-Conference'!$A:$B,2,0),"")</f>
        <v/>
      </c>
      <c r="G12" s="142" t="str">
        <f>iferror(VLOOKUP(Q12,'Teams-Conference'!$A:$B,2,0),"")</f>
        <v/>
      </c>
      <c r="H12" s="142" t="str">
        <f>iferror(VLOOKUP(R12,'Teams-Conference'!$A:$B,2,0),"")</f>
        <v/>
      </c>
      <c r="I12" s="142" t="str">
        <f>iferror(VLOOKUP(S12,'Teams-Conference'!$A:$B,2,0),"")</f>
        <v/>
      </c>
      <c r="J12" s="142" t="str">
        <f>iferror(VLOOKUP(T12,'Teams-Conference'!$A:$B,2,0),"")</f>
        <v/>
      </c>
      <c r="K12" s="142"/>
      <c r="L12" s="142"/>
      <c r="M12" s="142"/>
      <c r="N12" s="142"/>
      <c r="O12" s="142"/>
      <c r="P12" s="142"/>
      <c r="Q12" s="142"/>
      <c r="R12" s="142"/>
      <c r="S12" s="142"/>
      <c r="T12" s="142"/>
      <c r="U12" s="142"/>
      <c r="V12" s="142"/>
      <c r="W12" s="142"/>
      <c r="X12" s="142"/>
      <c r="Y12" s="142"/>
      <c r="Z12" s="142"/>
      <c r="AA12" s="142"/>
      <c r="AB12" s="142"/>
      <c r="AC12" s="142"/>
      <c r="AD12" s="142"/>
      <c r="AE12" s="145" t="s">
        <v>103</v>
      </c>
      <c r="AF12" t="e">
        <v>#N/A</v>
      </c>
    </row>
    <row r="13">
      <c r="A13" s="142" t="str">
        <f>iferror(VLOOKUP(K13,'Teams-Conference'!$A:$B,2,0),"")</f>
        <v/>
      </c>
      <c r="B13" s="142" t="str">
        <f>iferror(VLOOKUP(L13,'Teams-Conference'!$A:$B,2,0),"")</f>
        <v/>
      </c>
      <c r="C13" s="142" t="str">
        <f>iferror(VLOOKUP(M13,'Teams-Conference'!$A:$B,2,0),"")</f>
        <v/>
      </c>
      <c r="D13" s="142" t="str">
        <f>iferror(VLOOKUP(N13,'Teams-Conference'!$A:$B,2,0),"")</f>
        <v/>
      </c>
      <c r="E13" s="142" t="str">
        <f>iferror(VLOOKUP(O13,'Teams-Conference'!$A:$B,2,0),"")</f>
        <v/>
      </c>
      <c r="F13" s="142" t="str">
        <f>iferror(VLOOKUP(P13,'Teams-Conference'!$A:$B,2,0),"")</f>
        <v/>
      </c>
      <c r="G13" s="142" t="str">
        <f>iferror(VLOOKUP(Q13,'Teams-Conference'!$A:$B,2,0),"")</f>
        <v/>
      </c>
      <c r="H13" s="142" t="str">
        <f>iferror(VLOOKUP(R13,'Teams-Conference'!$A:$B,2,0),"")</f>
        <v/>
      </c>
      <c r="I13" s="142" t="str">
        <f>iferror(VLOOKUP(S13,'Teams-Conference'!$A:$B,2,0),"")</f>
        <v/>
      </c>
      <c r="J13" s="142" t="str">
        <f>iferror(VLOOKUP(T13,'Teams-Conference'!$A:$B,2,0),"")</f>
        <v/>
      </c>
      <c r="K13" s="142"/>
      <c r="L13" s="142"/>
      <c r="M13" s="142"/>
      <c r="N13" s="142"/>
      <c r="O13" s="142"/>
      <c r="P13" s="142"/>
      <c r="Q13" s="142"/>
      <c r="R13" s="142"/>
      <c r="S13" s="142"/>
      <c r="T13" s="142"/>
      <c r="U13" s="142"/>
      <c r="V13" s="142"/>
      <c r="W13" s="142"/>
      <c r="X13" s="142"/>
      <c r="Y13" s="142"/>
      <c r="Z13" s="142"/>
      <c r="AA13" s="142"/>
      <c r="AB13" s="142"/>
      <c r="AC13" s="142"/>
      <c r="AD13" s="142"/>
      <c r="AE13" s="147" t="s">
        <v>154</v>
      </c>
      <c r="AF13" t="e">
        <v>#N/A</v>
      </c>
    </row>
    <row r="14">
      <c r="A14" s="142" t="str">
        <f>iferror(VLOOKUP(K14,'Teams-Conference'!$A:$B,2,0),"")</f>
        <v/>
      </c>
      <c r="B14" s="142" t="str">
        <f>iferror(VLOOKUP(L14,'Teams-Conference'!$A:$B,2,0),"")</f>
        <v/>
      </c>
      <c r="C14" s="142" t="str">
        <f>iferror(VLOOKUP(M14,'Teams-Conference'!$A:$B,2,0),"")</f>
        <v/>
      </c>
      <c r="D14" s="142" t="str">
        <f>iferror(VLOOKUP(N14,'Teams-Conference'!$A:$B,2,0),"")</f>
        <v/>
      </c>
      <c r="E14" s="142" t="str">
        <f>iferror(VLOOKUP(O14,'Teams-Conference'!$A:$B,2,0),"")</f>
        <v/>
      </c>
      <c r="F14" s="142" t="str">
        <f>iferror(VLOOKUP(P14,'Teams-Conference'!$A:$B,2,0),"")</f>
        <v/>
      </c>
      <c r="G14" s="142" t="str">
        <f>iferror(VLOOKUP(Q14,'Teams-Conference'!$A:$B,2,0),"")</f>
        <v/>
      </c>
      <c r="H14" s="142" t="str">
        <f>iferror(VLOOKUP(R14,'Teams-Conference'!$A:$B,2,0),"")</f>
        <v/>
      </c>
      <c r="I14" s="142" t="str">
        <f>iferror(VLOOKUP(S14,'Teams-Conference'!$A:$B,2,0),"")</f>
        <v/>
      </c>
      <c r="J14" s="142" t="str">
        <f>iferror(VLOOKUP(T14,'Teams-Conference'!$A:$B,2,0),"")</f>
        <v/>
      </c>
      <c r="K14" s="142"/>
      <c r="L14" s="142"/>
      <c r="M14" s="142"/>
      <c r="N14" s="142"/>
      <c r="O14" s="142"/>
      <c r="P14" s="142"/>
      <c r="Q14" s="142"/>
      <c r="R14" s="142"/>
      <c r="S14" s="142"/>
      <c r="T14" s="142"/>
      <c r="U14" s="142"/>
      <c r="V14" s="142"/>
      <c r="W14" s="142"/>
      <c r="X14" s="142"/>
      <c r="Y14" s="142"/>
      <c r="Z14" s="142"/>
      <c r="AA14" s="142"/>
      <c r="AB14" s="142"/>
      <c r="AC14" s="142"/>
      <c r="AD14" s="142"/>
      <c r="AE14" s="147"/>
    </row>
    <row r="15">
      <c r="A15" s="142" t="str">
        <f>iferror(VLOOKUP(K15,'Teams-Conference'!$A:$B,2,0),"")</f>
        <v/>
      </c>
      <c r="B15" s="142" t="str">
        <f>iferror(VLOOKUP(L15,'Teams-Conference'!$A:$B,2,0),"")</f>
        <v/>
      </c>
      <c r="C15" s="142" t="str">
        <f>iferror(VLOOKUP(M15,'Teams-Conference'!$A:$B,2,0),"")</f>
        <v/>
      </c>
      <c r="D15" s="142" t="str">
        <f>iferror(VLOOKUP(N15,'Teams-Conference'!$A:$B,2,0),"")</f>
        <v/>
      </c>
      <c r="E15" s="142" t="str">
        <f>iferror(VLOOKUP(O15,'Teams-Conference'!$A:$B,2,0),"")</f>
        <v/>
      </c>
      <c r="F15" s="142" t="str">
        <f>iferror(VLOOKUP(P15,'Teams-Conference'!$A:$B,2,0),"")</f>
        <v/>
      </c>
      <c r="G15" s="142" t="str">
        <f>iferror(VLOOKUP(Q15,'Teams-Conference'!$A:$B,2,0),"")</f>
        <v/>
      </c>
      <c r="H15" s="142" t="str">
        <f>iferror(VLOOKUP(R15,'Teams-Conference'!$A:$B,2,0),"")</f>
        <v/>
      </c>
      <c r="I15" s="142" t="str">
        <f>iferror(VLOOKUP(S15,'Teams-Conference'!$A:$B,2,0),"")</f>
        <v/>
      </c>
      <c r="J15" s="142" t="str">
        <f>iferror(VLOOKUP(T15,'Teams-Conference'!$A:$B,2,0),"")</f>
        <v/>
      </c>
      <c r="K15" s="142"/>
      <c r="L15" s="142"/>
      <c r="M15" s="142"/>
      <c r="N15" s="142"/>
      <c r="O15" s="142"/>
      <c r="P15" s="142"/>
      <c r="Q15" s="142"/>
      <c r="R15" s="142"/>
      <c r="S15" s="142"/>
      <c r="T15" s="142"/>
      <c r="U15" s="142"/>
      <c r="V15" s="142"/>
      <c r="W15" s="142"/>
      <c r="X15" s="142"/>
      <c r="Y15" s="142"/>
      <c r="Z15" s="142"/>
      <c r="AA15" s="142"/>
      <c r="AB15" s="142"/>
      <c r="AC15" s="142"/>
      <c r="AD15" s="142"/>
      <c r="AE15" s="148"/>
    </row>
  </sheetData>
  <conditionalFormatting sqref="K2:T15">
    <cfRule type="containsBlanks" dxfId="5" priority="1">
      <formula>LEN(TRIM(K2))=0</formula>
    </cfRule>
  </conditionalFormatting>
  <conditionalFormatting sqref="K2:T15">
    <cfRule type="expression" dxfId="6" priority="2">
      <formula>A2&lt;&gt;K$1</formula>
    </cfRule>
  </conditionalFormatting>
  <conditionalFormatting sqref="A3:K3">
    <cfRule type="expression" dxfId="7" priority="3">
      <formula>vlookup</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11.88"/>
    <col customWidth="1" min="3" max="3" width="10.75"/>
    <col customWidth="1" min="4" max="4" width="10.38"/>
    <col customWidth="1" min="5" max="5" width="12.88"/>
    <col customWidth="1" min="6" max="6" width="14.0"/>
    <col customWidth="1" min="7" max="7" width="12.75"/>
    <col customWidth="1" min="8" max="8" width="13.88"/>
    <col customWidth="1" min="9" max="9" width="13.38"/>
    <col customWidth="1" min="10" max="10" width="14.13"/>
    <col customWidth="1" hidden="1" min="11" max="20" width="14.13"/>
  </cols>
  <sheetData>
    <row r="1">
      <c r="A1" s="149" t="str">
        <f>IFERROR(__xludf.DUMMYFUNCTION("filter(Teams!A1:A15,not(iferror(match(Teams!A1:A15,DraftTracker!$F:$F,0),false)))"),"AAC")</f>
        <v>AAC</v>
      </c>
      <c r="B1" s="149" t="str">
        <f>IFERROR(__xludf.DUMMYFUNCTION("filter(Teams!B1:B15,not(iferror(match(Teams!B1:B15,DraftTracker!$F:$F,0),false)))"),"ACC")</f>
        <v>ACC</v>
      </c>
      <c r="C1" s="149" t="str">
        <f>IFERROR(__xludf.DUMMYFUNCTION("filter(Teams!C1:C15,not(iferror(match(Teams!C1:C15,DraftTracker!$F:$F,0),false)))"),"Big 12")</f>
        <v>Big 12</v>
      </c>
      <c r="D1" s="149" t="str">
        <f>IFERROR(__xludf.DUMMYFUNCTION("filter(Teams!D1:D15,not(iferror(match(Teams!D1:D15,DraftTracker!$F:$F,0),false)))"),"Big Ten")</f>
        <v>Big Ten</v>
      </c>
      <c r="E1" s="149" t="str">
        <f>IFERROR(__xludf.DUMMYFUNCTION("filter(Teams!E1:E15,not(iferror(match(Teams!E1:E15,DraftTracker!$F:$F,0),false)))"),"Pac12")</f>
        <v>Pac12</v>
      </c>
      <c r="F1" s="149" t="str">
        <f>IFERROR(__xludf.DUMMYFUNCTION("filter(Teams!F1:F15,not(iferror(match(Teams!F1:F15,DraftTracker!$F:$F,0),false)))"),"CUSA")</f>
        <v>CUSA</v>
      </c>
      <c r="G1" s="149" t="str">
        <f>IFERROR(__xludf.DUMMYFUNCTION("filter(Teams!G1:G15,not(iferror(match(Teams!G1:G15,DraftTracker!$F:$F,0),false)))"),"MAC")</f>
        <v>MAC</v>
      </c>
      <c r="H1" s="149" t="str">
        <f>IFERROR(__xludf.DUMMYFUNCTION("filter(Teams!H1:H15,not(iferror(match(Teams!H1:H15,DraftTracker!$F:$F,0),false)))"),"MWC")</f>
        <v>MWC</v>
      </c>
      <c r="I1" s="149" t="str">
        <f>IFERROR(__xludf.DUMMYFUNCTION("filter(Teams!I1:I15,not(iferror(match(Teams!I1:I15,DraftTracker!$F:$F,0),false)))"),"SEC")</f>
        <v>SEC</v>
      </c>
      <c r="J1" s="149" t="str">
        <f>IFERROR(__xludf.DUMMYFUNCTION("filter(Teams!J1:J15,not(iferror(match(Teams!J1:J15,DraftTracker!$F:$F,0),false)))"),"Sun Belt")</f>
        <v>Sun Belt</v>
      </c>
      <c r="K1" s="150" t="str">
        <f t="array" ref="K1:T15">Teams!K:T</f>
        <v>AAC</v>
      </c>
      <c r="L1" s="150" t="s">
        <v>186</v>
      </c>
      <c r="M1" s="150" t="s">
        <v>187</v>
      </c>
      <c r="N1" s="150" t="s">
        <v>188</v>
      </c>
      <c r="O1" s="150" t="s">
        <v>191</v>
      </c>
      <c r="P1" s="150" t="s">
        <v>189</v>
      </c>
      <c r="Q1" s="150" t="s">
        <v>190</v>
      </c>
      <c r="R1" s="150" t="s">
        <v>129</v>
      </c>
      <c r="S1" s="150" t="s">
        <v>192</v>
      </c>
      <c r="T1" s="150" t="s">
        <v>193</v>
      </c>
    </row>
    <row r="2">
      <c r="K2" t="s">
        <v>282</v>
      </c>
      <c r="L2" t="s">
        <v>289</v>
      </c>
      <c r="M2" t="s">
        <v>320</v>
      </c>
      <c r="N2" t="s">
        <v>321</v>
      </c>
      <c r="O2" t="s">
        <v>322</v>
      </c>
      <c r="P2" t="s">
        <v>275</v>
      </c>
      <c r="Q2" t="s">
        <v>323</v>
      </c>
      <c r="R2" t="s">
        <v>324</v>
      </c>
      <c r="S2" t="s">
        <v>287</v>
      </c>
      <c r="T2" t="s">
        <v>306</v>
      </c>
    </row>
    <row r="3">
      <c r="K3" t="s">
        <v>325</v>
      </c>
      <c r="L3" t="s">
        <v>206</v>
      </c>
      <c r="M3" t="s">
        <v>326</v>
      </c>
      <c r="N3" t="s">
        <v>327</v>
      </c>
      <c r="O3" t="s">
        <v>328</v>
      </c>
      <c r="P3" t="s">
        <v>181</v>
      </c>
      <c r="Q3" t="s">
        <v>329</v>
      </c>
      <c r="R3" t="s">
        <v>316</v>
      </c>
      <c r="S3" t="s">
        <v>303</v>
      </c>
      <c r="T3" t="s">
        <v>170</v>
      </c>
    </row>
    <row r="4">
      <c r="K4" t="s">
        <v>330</v>
      </c>
      <c r="L4" t="s">
        <v>331</v>
      </c>
      <c r="M4" t="s">
        <v>217</v>
      </c>
      <c r="N4" t="s">
        <v>332</v>
      </c>
      <c r="O4" t="s">
        <v>333</v>
      </c>
      <c r="P4" t="s">
        <v>334</v>
      </c>
      <c r="Q4" t="s">
        <v>335</v>
      </c>
      <c r="R4" t="s">
        <v>336</v>
      </c>
      <c r="S4" t="s">
        <v>337</v>
      </c>
      <c r="T4" t="s">
        <v>338</v>
      </c>
    </row>
    <row r="5">
      <c r="K5" t="s">
        <v>339</v>
      </c>
      <c r="L5" t="s">
        <v>340</v>
      </c>
      <c r="M5" t="s">
        <v>291</v>
      </c>
      <c r="N5" t="s">
        <v>341</v>
      </c>
      <c r="O5" t="s">
        <v>342</v>
      </c>
      <c r="P5" t="s">
        <v>343</v>
      </c>
      <c r="Q5" t="s">
        <v>344</v>
      </c>
      <c r="R5" t="s">
        <v>345</v>
      </c>
      <c r="S5" t="s">
        <v>346</v>
      </c>
      <c r="T5" t="s">
        <v>277</v>
      </c>
    </row>
    <row r="6">
      <c r="K6" t="s">
        <v>347</v>
      </c>
      <c r="L6" t="s">
        <v>348</v>
      </c>
      <c r="M6" t="s">
        <v>184</v>
      </c>
      <c r="N6" t="s">
        <v>284</v>
      </c>
      <c r="O6" t="s">
        <v>54</v>
      </c>
      <c r="P6" t="s">
        <v>204</v>
      </c>
      <c r="Q6" t="s">
        <v>285</v>
      </c>
      <c r="R6" t="s">
        <v>351</v>
      </c>
      <c r="S6" t="s">
        <v>313</v>
      </c>
      <c r="T6" t="s">
        <v>352</v>
      </c>
    </row>
    <row r="7">
      <c r="K7" t="s">
        <v>314</v>
      </c>
      <c r="L7" t="s">
        <v>353</v>
      </c>
      <c r="M7" t="s">
        <v>354</v>
      </c>
      <c r="N7" t="s">
        <v>294</v>
      </c>
      <c r="O7" t="s">
        <v>274</v>
      </c>
      <c r="P7" t="s">
        <v>355</v>
      </c>
      <c r="Q7" t="s">
        <v>356</v>
      </c>
      <c r="R7" t="s">
        <v>120</v>
      </c>
      <c r="S7" t="s">
        <v>283</v>
      </c>
      <c r="T7" t="s">
        <v>257</v>
      </c>
    </row>
    <row r="8">
      <c r="K8" t="s">
        <v>210</v>
      </c>
      <c r="L8" t="s">
        <v>357</v>
      </c>
      <c r="M8" t="s">
        <v>358</v>
      </c>
      <c r="N8" t="s">
        <v>240</v>
      </c>
      <c r="O8" t="s">
        <v>311</v>
      </c>
      <c r="P8" t="s">
        <v>317</v>
      </c>
      <c r="Q8" t="s">
        <v>359</v>
      </c>
      <c r="R8" t="s">
        <v>263</v>
      </c>
      <c r="S8" t="s">
        <v>360</v>
      </c>
      <c r="T8" t="s">
        <v>361</v>
      </c>
    </row>
    <row r="9">
      <c r="K9" t="s">
        <v>362</v>
      </c>
      <c r="L9" t="s">
        <v>363</v>
      </c>
      <c r="M9" t="s">
        <v>364</v>
      </c>
      <c r="N9" t="s">
        <v>365</v>
      </c>
      <c r="O9" t="s">
        <v>261</v>
      </c>
      <c r="P9" t="s">
        <v>366</v>
      </c>
      <c r="Q9" t="s">
        <v>208</v>
      </c>
      <c r="R9" t="s">
        <v>219</v>
      </c>
      <c r="S9" t="s">
        <v>269</v>
      </c>
      <c r="T9" t="s">
        <v>292</v>
      </c>
    </row>
    <row r="10">
      <c r="K10" t="s">
        <v>267</v>
      </c>
      <c r="L10" t="s">
        <v>367</v>
      </c>
      <c r="M10" t="s">
        <v>272</v>
      </c>
      <c r="N10" t="s">
        <v>368</v>
      </c>
      <c r="O10" t="s">
        <v>369</v>
      </c>
      <c r="P10" t="s">
        <v>296</v>
      </c>
      <c r="Q10" t="s">
        <v>298</v>
      </c>
      <c r="R10" t="s">
        <v>349</v>
      </c>
      <c r="S10" t="s">
        <v>173</v>
      </c>
      <c r="T10" t="s">
        <v>199</v>
      </c>
    </row>
    <row r="11">
      <c r="K11" t="s">
        <v>195</v>
      </c>
      <c r="L11" t="s">
        <v>370</v>
      </c>
      <c r="M11" t="s">
        <v>371</v>
      </c>
      <c r="N11" t="s">
        <v>168</v>
      </c>
      <c r="O11" t="s">
        <v>372</v>
      </c>
      <c r="P11" t="s">
        <v>271</v>
      </c>
      <c r="Q11" t="s">
        <v>176</v>
      </c>
      <c r="R11" t="s">
        <v>279</v>
      </c>
      <c r="S11" t="s">
        <v>373</v>
      </c>
      <c r="T11" t="s">
        <v>302</v>
      </c>
    </row>
    <row r="12">
      <c r="K12" t="s">
        <v>374</v>
      </c>
      <c r="L12" t="s">
        <v>308</v>
      </c>
      <c r="N12" t="s">
        <v>375</v>
      </c>
      <c r="O12" t="s">
        <v>377</v>
      </c>
      <c r="P12" t="s">
        <v>378</v>
      </c>
      <c r="Q12" t="s">
        <v>265</v>
      </c>
      <c r="R12" t="s">
        <v>304</v>
      </c>
      <c r="S12" t="s">
        <v>379</v>
      </c>
      <c r="T12" t="s">
        <v>380</v>
      </c>
    </row>
    <row r="13">
      <c r="L13" t="s">
        <v>155</v>
      </c>
      <c r="N13" t="s">
        <v>381</v>
      </c>
      <c r="O13" t="s">
        <v>222</v>
      </c>
      <c r="Q13" t="s">
        <v>382</v>
      </c>
      <c r="R13" t="s">
        <v>383</v>
      </c>
      <c r="S13" t="s">
        <v>214</v>
      </c>
      <c r="T13" t="s">
        <v>318</v>
      </c>
    </row>
    <row r="14">
      <c r="L14" t="s">
        <v>384</v>
      </c>
      <c r="N14" t="s">
        <v>386</v>
      </c>
      <c r="S14" t="s">
        <v>387</v>
      </c>
      <c r="T14" t="s">
        <v>300</v>
      </c>
    </row>
    <row r="15">
      <c r="L15" t="s">
        <v>259</v>
      </c>
      <c r="N15" t="s">
        <v>197</v>
      </c>
      <c r="S15" t="s">
        <v>309</v>
      </c>
      <c r="T15" t="s">
        <v>388</v>
      </c>
    </row>
  </sheetData>
  <conditionalFormatting sqref="A2:J15">
    <cfRule type="containsBlanks" dxfId="5" priority="1">
      <formula>LEN(TRIM(A2))=0</formula>
    </cfRule>
  </conditionalFormatting>
  <conditionalFormatting sqref="A2:J15">
    <cfRule type="expression" dxfId="8" priority="2">
      <formula>iserror(match(A2,K:K,0))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2" max="2" width="10.0"/>
    <col customWidth="1" min="4" max="8" width="7.13"/>
  </cols>
  <sheetData>
    <row r="1">
      <c r="A1" s="26" t="s">
        <v>64</v>
      </c>
      <c r="B1" s="151">
        <v>10.0</v>
      </c>
      <c r="C1" s="26" t="s">
        <v>64</v>
      </c>
      <c r="D1" s="151">
        <v>11.0</v>
      </c>
      <c r="E1" s="26" t="s">
        <v>64</v>
      </c>
      <c r="F1" s="151">
        <v>12.0</v>
      </c>
      <c r="G1" s="26" t="s">
        <v>64</v>
      </c>
      <c r="H1" s="151">
        <v>13.0</v>
      </c>
    </row>
    <row r="2">
      <c r="A2" s="152" t="s">
        <v>282</v>
      </c>
      <c r="B2" s="153" t="s">
        <v>389</v>
      </c>
      <c r="C2" s="152" t="s">
        <v>282</v>
      </c>
      <c r="D2" s="153" t="s">
        <v>389</v>
      </c>
      <c r="E2" s="152" t="s">
        <v>282</v>
      </c>
      <c r="F2" s="153" t="s">
        <v>389</v>
      </c>
      <c r="G2" s="152" t="s">
        <v>282</v>
      </c>
      <c r="H2" s="153" t="s">
        <v>389</v>
      </c>
    </row>
    <row r="3">
      <c r="A3" s="152" t="s">
        <v>325</v>
      </c>
      <c r="B3" s="153" t="s">
        <v>389</v>
      </c>
      <c r="C3" s="152" t="s">
        <v>325</v>
      </c>
      <c r="D3" s="153" t="s">
        <v>389</v>
      </c>
      <c r="E3" s="152" t="s">
        <v>325</v>
      </c>
      <c r="F3" s="153" t="s">
        <v>389</v>
      </c>
      <c r="G3" s="152" t="s">
        <v>325</v>
      </c>
      <c r="H3" s="153" t="s">
        <v>389</v>
      </c>
    </row>
    <row r="4">
      <c r="A4" s="152" t="s">
        <v>330</v>
      </c>
      <c r="B4" s="153" t="s">
        <v>389</v>
      </c>
      <c r="C4" s="152" t="s">
        <v>330</v>
      </c>
      <c r="D4" s="153" t="s">
        <v>389</v>
      </c>
      <c r="E4" s="152" t="s">
        <v>330</v>
      </c>
      <c r="F4" s="153" t="s">
        <v>389</v>
      </c>
      <c r="G4" s="152" t="s">
        <v>330</v>
      </c>
      <c r="H4" s="153" t="s">
        <v>389</v>
      </c>
    </row>
    <row r="5">
      <c r="A5" s="152" t="s">
        <v>339</v>
      </c>
      <c r="B5" s="153" t="s">
        <v>389</v>
      </c>
      <c r="C5" s="152" t="s">
        <v>339</v>
      </c>
      <c r="D5" s="153" t="s">
        <v>389</v>
      </c>
      <c r="E5" s="152" t="s">
        <v>339</v>
      </c>
      <c r="F5" s="153" t="s">
        <v>389</v>
      </c>
      <c r="G5" s="152" t="s">
        <v>339</v>
      </c>
      <c r="H5" s="153" t="s">
        <v>389</v>
      </c>
    </row>
    <row r="6">
      <c r="A6" s="154" t="s">
        <v>347</v>
      </c>
      <c r="B6" s="153" t="s">
        <v>389</v>
      </c>
      <c r="C6" s="154" t="s">
        <v>347</v>
      </c>
      <c r="D6" s="153" t="s">
        <v>389</v>
      </c>
      <c r="E6" s="154" t="s">
        <v>347</v>
      </c>
      <c r="F6" s="153" t="s">
        <v>389</v>
      </c>
      <c r="G6" s="154" t="s">
        <v>347</v>
      </c>
      <c r="H6" s="153" t="s">
        <v>389</v>
      </c>
    </row>
    <row r="7">
      <c r="A7" s="152" t="s">
        <v>314</v>
      </c>
      <c r="B7" s="153" t="s">
        <v>389</v>
      </c>
      <c r="C7" s="152" t="s">
        <v>314</v>
      </c>
      <c r="D7" s="153" t="s">
        <v>389</v>
      </c>
      <c r="E7" s="152" t="s">
        <v>314</v>
      </c>
      <c r="F7" s="153" t="s">
        <v>389</v>
      </c>
      <c r="G7" s="152" t="s">
        <v>314</v>
      </c>
      <c r="H7" s="153" t="s">
        <v>389</v>
      </c>
    </row>
    <row r="8">
      <c r="A8" s="152" t="s">
        <v>210</v>
      </c>
      <c r="B8" s="153" t="s">
        <v>389</v>
      </c>
      <c r="C8" s="152" t="s">
        <v>210</v>
      </c>
      <c r="D8" s="153" t="s">
        <v>389</v>
      </c>
      <c r="E8" s="152" t="s">
        <v>210</v>
      </c>
      <c r="F8" s="153" t="s">
        <v>389</v>
      </c>
      <c r="G8" s="152" t="s">
        <v>210</v>
      </c>
      <c r="H8" s="153" t="s">
        <v>389</v>
      </c>
    </row>
    <row r="9">
      <c r="A9" s="154" t="s">
        <v>362</v>
      </c>
      <c r="B9" s="153" t="s">
        <v>389</v>
      </c>
      <c r="C9" s="154" t="s">
        <v>362</v>
      </c>
      <c r="D9" s="153" t="s">
        <v>389</v>
      </c>
      <c r="E9" s="154" t="s">
        <v>362</v>
      </c>
      <c r="F9" s="153" t="s">
        <v>389</v>
      </c>
      <c r="G9" s="154" t="s">
        <v>362</v>
      </c>
      <c r="H9" s="153" t="s">
        <v>389</v>
      </c>
    </row>
    <row r="10">
      <c r="A10" s="152" t="s">
        <v>267</v>
      </c>
      <c r="B10" s="153" t="s">
        <v>389</v>
      </c>
      <c r="C10" s="152" t="s">
        <v>267</v>
      </c>
      <c r="D10" s="153" t="s">
        <v>389</v>
      </c>
      <c r="E10" s="152" t="s">
        <v>267</v>
      </c>
      <c r="F10" s="153" t="s">
        <v>389</v>
      </c>
      <c r="G10" s="152" t="s">
        <v>267</v>
      </c>
      <c r="H10" s="153" t="s">
        <v>389</v>
      </c>
    </row>
    <row r="11">
      <c r="A11" s="152" t="s">
        <v>195</v>
      </c>
      <c r="B11" s="153" t="s">
        <v>389</v>
      </c>
      <c r="C11" s="152" t="s">
        <v>195</v>
      </c>
      <c r="D11" s="153" t="s">
        <v>389</v>
      </c>
      <c r="E11" s="152" t="s">
        <v>195</v>
      </c>
      <c r="F11" s="153" t="s">
        <v>389</v>
      </c>
      <c r="G11" s="152" t="s">
        <v>195</v>
      </c>
      <c r="H11" s="153" t="s">
        <v>389</v>
      </c>
    </row>
    <row r="12">
      <c r="A12" s="152" t="s">
        <v>374</v>
      </c>
      <c r="B12" s="153" t="s">
        <v>389</v>
      </c>
      <c r="C12" s="152" t="s">
        <v>374</v>
      </c>
      <c r="D12" s="153" t="s">
        <v>389</v>
      </c>
      <c r="E12" s="152" t="s">
        <v>374</v>
      </c>
      <c r="F12" s="153" t="s">
        <v>389</v>
      </c>
      <c r="G12" s="152" t="s">
        <v>374</v>
      </c>
      <c r="H12" s="153" t="s">
        <v>389</v>
      </c>
    </row>
    <row r="13">
      <c r="A13" s="152" t="s">
        <v>289</v>
      </c>
      <c r="B13" s="155" t="s">
        <v>186</v>
      </c>
      <c r="C13" s="152" t="s">
        <v>289</v>
      </c>
      <c r="D13" s="155" t="s">
        <v>186</v>
      </c>
      <c r="E13" s="152" t="s">
        <v>289</v>
      </c>
      <c r="F13" s="155" t="s">
        <v>186</v>
      </c>
      <c r="G13" s="152" t="s">
        <v>289</v>
      </c>
      <c r="H13" s="155" t="s">
        <v>186</v>
      </c>
    </row>
    <row r="14">
      <c r="A14" s="152" t="s">
        <v>206</v>
      </c>
      <c r="B14" s="155" t="s">
        <v>186</v>
      </c>
      <c r="C14" s="152" t="s">
        <v>206</v>
      </c>
      <c r="D14" s="155" t="s">
        <v>186</v>
      </c>
      <c r="E14" s="152" t="s">
        <v>206</v>
      </c>
      <c r="F14" s="155" t="s">
        <v>186</v>
      </c>
      <c r="G14" s="152" t="s">
        <v>206</v>
      </c>
      <c r="H14" s="155" t="s">
        <v>186</v>
      </c>
    </row>
    <row r="15">
      <c r="A15" s="152" t="s">
        <v>331</v>
      </c>
      <c r="B15" s="155" t="s">
        <v>186</v>
      </c>
      <c r="C15" s="152" t="s">
        <v>331</v>
      </c>
      <c r="D15" s="155" t="s">
        <v>186</v>
      </c>
      <c r="E15" s="152" t="s">
        <v>331</v>
      </c>
      <c r="F15" s="155" t="s">
        <v>186</v>
      </c>
      <c r="G15" s="152" t="s">
        <v>331</v>
      </c>
      <c r="H15" s="155" t="s">
        <v>186</v>
      </c>
    </row>
    <row r="16">
      <c r="A16" s="154" t="s">
        <v>340</v>
      </c>
      <c r="B16" s="155" t="s">
        <v>186</v>
      </c>
      <c r="C16" s="154" t="s">
        <v>340</v>
      </c>
      <c r="D16" s="155" t="s">
        <v>186</v>
      </c>
      <c r="E16" s="154" t="s">
        <v>340</v>
      </c>
      <c r="F16" s="155" t="s">
        <v>186</v>
      </c>
      <c r="G16" s="154" t="s">
        <v>340</v>
      </c>
      <c r="H16" s="155" t="s">
        <v>186</v>
      </c>
    </row>
    <row r="17">
      <c r="A17" s="152" t="s">
        <v>348</v>
      </c>
      <c r="B17" s="155" t="s">
        <v>186</v>
      </c>
      <c r="C17" s="152" t="s">
        <v>348</v>
      </c>
      <c r="D17" s="155" t="s">
        <v>186</v>
      </c>
      <c r="E17" s="152" t="s">
        <v>348</v>
      </c>
      <c r="F17" s="155" t="s">
        <v>186</v>
      </c>
      <c r="G17" s="152" t="s">
        <v>348</v>
      </c>
      <c r="H17" s="155" t="s">
        <v>186</v>
      </c>
    </row>
    <row r="18">
      <c r="A18" s="152" t="s">
        <v>353</v>
      </c>
      <c r="B18" s="155" t="s">
        <v>186</v>
      </c>
      <c r="C18" s="152" t="s">
        <v>353</v>
      </c>
      <c r="D18" s="155" t="s">
        <v>186</v>
      </c>
      <c r="E18" s="152" t="s">
        <v>353</v>
      </c>
      <c r="F18" s="155" t="s">
        <v>186</v>
      </c>
      <c r="G18" s="152" t="s">
        <v>353</v>
      </c>
      <c r="H18" s="155" t="s">
        <v>186</v>
      </c>
    </row>
    <row r="19">
      <c r="A19" s="152" t="s">
        <v>357</v>
      </c>
      <c r="B19" s="155" t="s">
        <v>186</v>
      </c>
      <c r="C19" s="152" t="s">
        <v>357</v>
      </c>
      <c r="D19" s="155" t="s">
        <v>186</v>
      </c>
      <c r="E19" s="152" t="s">
        <v>357</v>
      </c>
      <c r="F19" s="155" t="s">
        <v>186</v>
      </c>
      <c r="G19" s="152" t="s">
        <v>357</v>
      </c>
      <c r="H19" s="155" t="s">
        <v>186</v>
      </c>
    </row>
    <row r="20">
      <c r="A20" s="154" t="s">
        <v>363</v>
      </c>
      <c r="B20" s="155" t="s">
        <v>186</v>
      </c>
      <c r="C20" s="154" t="s">
        <v>363</v>
      </c>
      <c r="D20" s="155" t="s">
        <v>186</v>
      </c>
      <c r="E20" s="154" t="s">
        <v>363</v>
      </c>
      <c r="F20" s="155" t="s">
        <v>186</v>
      </c>
      <c r="G20" s="154" t="s">
        <v>363</v>
      </c>
      <c r="H20" s="155" t="s">
        <v>186</v>
      </c>
    </row>
    <row r="21">
      <c r="A21" s="152" t="s">
        <v>367</v>
      </c>
      <c r="B21" s="155" t="s">
        <v>186</v>
      </c>
      <c r="C21" s="152" t="s">
        <v>367</v>
      </c>
      <c r="D21" s="155" t="s">
        <v>186</v>
      </c>
      <c r="E21" s="152" t="s">
        <v>367</v>
      </c>
      <c r="F21" s="155" t="s">
        <v>186</v>
      </c>
      <c r="G21" s="152" t="s">
        <v>367</v>
      </c>
      <c r="H21" s="155" t="s">
        <v>186</v>
      </c>
    </row>
    <row r="22">
      <c r="A22" s="152" t="s">
        <v>370</v>
      </c>
      <c r="B22" s="155" t="s">
        <v>186</v>
      </c>
      <c r="C22" s="152" t="s">
        <v>370</v>
      </c>
      <c r="D22" s="155" t="s">
        <v>186</v>
      </c>
      <c r="E22" s="152" t="s">
        <v>370</v>
      </c>
      <c r="F22" s="155" t="s">
        <v>186</v>
      </c>
      <c r="G22" s="152" t="s">
        <v>370</v>
      </c>
      <c r="H22" s="155" t="s">
        <v>186</v>
      </c>
    </row>
    <row r="23">
      <c r="A23" s="152" t="s">
        <v>308</v>
      </c>
      <c r="B23" s="155" t="s">
        <v>186</v>
      </c>
      <c r="C23" s="152" t="s">
        <v>308</v>
      </c>
      <c r="D23" s="155" t="s">
        <v>186</v>
      </c>
      <c r="E23" s="152" t="s">
        <v>308</v>
      </c>
      <c r="F23" s="155" t="s">
        <v>186</v>
      </c>
      <c r="G23" s="152" t="s">
        <v>308</v>
      </c>
      <c r="H23" s="155" t="s">
        <v>186</v>
      </c>
    </row>
    <row r="24">
      <c r="A24" s="152" t="s">
        <v>155</v>
      </c>
      <c r="B24" s="155" t="s">
        <v>186</v>
      </c>
      <c r="C24" s="152" t="s">
        <v>155</v>
      </c>
      <c r="D24" s="155" t="s">
        <v>186</v>
      </c>
      <c r="E24" s="152" t="s">
        <v>155</v>
      </c>
      <c r="F24" s="155" t="s">
        <v>186</v>
      </c>
      <c r="G24" s="152" t="s">
        <v>155</v>
      </c>
      <c r="H24" s="155" t="s">
        <v>186</v>
      </c>
    </row>
    <row r="25">
      <c r="A25" s="152" t="s">
        <v>384</v>
      </c>
      <c r="B25" s="155" t="s">
        <v>186</v>
      </c>
      <c r="C25" s="152" t="s">
        <v>384</v>
      </c>
      <c r="D25" s="155" t="s">
        <v>186</v>
      </c>
      <c r="E25" s="152" t="s">
        <v>384</v>
      </c>
      <c r="F25" s="155" t="s">
        <v>186</v>
      </c>
      <c r="G25" s="152" t="s">
        <v>384</v>
      </c>
      <c r="H25" s="155" t="s">
        <v>186</v>
      </c>
    </row>
    <row r="26">
      <c r="A26" s="152" t="s">
        <v>259</v>
      </c>
      <c r="B26" s="155" t="s">
        <v>186</v>
      </c>
      <c r="C26" s="152" t="s">
        <v>259</v>
      </c>
      <c r="D26" s="155" t="s">
        <v>186</v>
      </c>
      <c r="E26" s="152" t="s">
        <v>259</v>
      </c>
      <c r="F26" s="155" t="s">
        <v>186</v>
      </c>
      <c r="G26" s="152" t="s">
        <v>259</v>
      </c>
      <c r="H26" s="155" t="s">
        <v>186</v>
      </c>
    </row>
    <row r="27">
      <c r="A27" s="152" t="s">
        <v>320</v>
      </c>
      <c r="B27" s="155" t="s">
        <v>187</v>
      </c>
      <c r="C27" s="152" t="s">
        <v>320</v>
      </c>
      <c r="D27" s="155" t="s">
        <v>187</v>
      </c>
      <c r="E27" s="152" t="s">
        <v>320</v>
      </c>
      <c r="F27" s="155" t="s">
        <v>187</v>
      </c>
      <c r="G27" s="152" t="s">
        <v>320</v>
      </c>
      <c r="H27" s="155" t="s">
        <v>187</v>
      </c>
    </row>
    <row r="28">
      <c r="A28" s="154" t="s">
        <v>326</v>
      </c>
      <c r="B28" s="155" t="s">
        <v>187</v>
      </c>
      <c r="C28" s="154" t="s">
        <v>326</v>
      </c>
      <c r="D28" s="155" t="s">
        <v>187</v>
      </c>
      <c r="E28" s="154" t="s">
        <v>326</v>
      </c>
      <c r="F28" s="155" t="s">
        <v>187</v>
      </c>
      <c r="G28" s="154" t="s">
        <v>326</v>
      </c>
      <c r="H28" s="155" t="s">
        <v>187</v>
      </c>
    </row>
    <row r="29">
      <c r="A29" s="152" t="s">
        <v>217</v>
      </c>
      <c r="B29" s="155" t="s">
        <v>187</v>
      </c>
      <c r="C29" s="152" t="s">
        <v>217</v>
      </c>
      <c r="D29" s="155" t="s">
        <v>187</v>
      </c>
      <c r="E29" s="152" t="s">
        <v>217</v>
      </c>
      <c r="F29" s="155" t="s">
        <v>187</v>
      </c>
      <c r="G29" s="152" t="s">
        <v>217</v>
      </c>
      <c r="H29" s="155" t="s">
        <v>187</v>
      </c>
    </row>
    <row r="30">
      <c r="A30" s="154" t="s">
        <v>291</v>
      </c>
      <c r="B30" s="155" t="s">
        <v>187</v>
      </c>
      <c r="C30" s="154" t="s">
        <v>291</v>
      </c>
      <c r="D30" s="155" t="s">
        <v>187</v>
      </c>
      <c r="E30" s="154" t="s">
        <v>291</v>
      </c>
      <c r="F30" s="155" t="s">
        <v>187</v>
      </c>
      <c r="G30" s="154" t="s">
        <v>291</v>
      </c>
      <c r="H30" s="155" t="s">
        <v>187</v>
      </c>
    </row>
    <row r="31">
      <c r="A31" s="152" t="s">
        <v>184</v>
      </c>
      <c r="B31" s="155" t="s">
        <v>187</v>
      </c>
      <c r="C31" s="152" t="s">
        <v>184</v>
      </c>
      <c r="D31" s="155" t="s">
        <v>187</v>
      </c>
      <c r="E31" s="152" t="s">
        <v>184</v>
      </c>
      <c r="F31" s="155" t="s">
        <v>187</v>
      </c>
      <c r="G31" s="152" t="s">
        <v>184</v>
      </c>
      <c r="H31" s="155" t="s">
        <v>187</v>
      </c>
    </row>
    <row r="32">
      <c r="A32" s="154" t="s">
        <v>354</v>
      </c>
      <c r="B32" s="155" t="s">
        <v>187</v>
      </c>
      <c r="C32" s="154" t="s">
        <v>354</v>
      </c>
      <c r="D32" s="155" t="s">
        <v>187</v>
      </c>
      <c r="E32" s="154" t="s">
        <v>354</v>
      </c>
      <c r="F32" s="155" t="s">
        <v>187</v>
      </c>
      <c r="G32" s="154" t="s">
        <v>354</v>
      </c>
      <c r="H32" s="155" t="s">
        <v>187</v>
      </c>
    </row>
    <row r="33">
      <c r="A33" s="152" t="s">
        <v>358</v>
      </c>
      <c r="B33" s="155" t="s">
        <v>187</v>
      </c>
      <c r="C33" s="152" t="s">
        <v>358</v>
      </c>
      <c r="D33" s="155" t="s">
        <v>187</v>
      </c>
      <c r="E33" s="152" t="s">
        <v>358</v>
      </c>
      <c r="F33" s="155" t="s">
        <v>187</v>
      </c>
      <c r="G33" s="152" t="s">
        <v>358</v>
      </c>
      <c r="H33" s="155" t="s">
        <v>187</v>
      </c>
    </row>
    <row r="34">
      <c r="A34" s="152" t="s">
        <v>364</v>
      </c>
      <c r="B34" s="155" t="s">
        <v>187</v>
      </c>
      <c r="C34" s="152" t="s">
        <v>364</v>
      </c>
      <c r="D34" s="155" t="s">
        <v>187</v>
      </c>
      <c r="E34" s="152" t="s">
        <v>364</v>
      </c>
      <c r="F34" s="155" t="s">
        <v>187</v>
      </c>
      <c r="G34" s="152" t="s">
        <v>364</v>
      </c>
      <c r="H34" s="155" t="s">
        <v>187</v>
      </c>
    </row>
    <row r="35">
      <c r="A35" s="152" t="s">
        <v>272</v>
      </c>
      <c r="B35" s="155" t="s">
        <v>187</v>
      </c>
      <c r="C35" s="152" t="s">
        <v>272</v>
      </c>
      <c r="D35" s="155" t="s">
        <v>187</v>
      </c>
      <c r="E35" s="152" t="s">
        <v>272</v>
      </c>
      <c r="F35" s="155" t="s">
        <v>187</v>
      </c>
      <c r="G35" s="152" t="s">
        <v>272</v>
      </c>
      <c r="H35" s="155" t="s">
        <v>187</v>
      </c>
    </row>
    <row r="36">
      <c r="A36" s="152" t="s">
        <v>371</v>
      </c>
      <c r="B36" s="155" t="s">
        <v>187</v>
      </c>
      <c r="C36" s="152" t="s">
        <v>371</v>
      </c>
      <c r="D36" s="155" t="s">
        <v>187</v>
      </c>
      <c r="E36" s="152" t="s">
        <v>371</v>
      </c>
      <c r="F36" s="155" t="s">
        <v>187</v>
      </c>
      <c r="G36" s="152" t="s">
        <v>371</v>
      </c>
      <c r="H36" s="155" t="s">
        <v>187</v>
      </c>
    </row>
    <row r="37">
      <c r="A37" s="152" t="s">
        <v>321</v>
      </c>
      <c r="B37" s="155" t="s">
        <v>188</v>
      </c>
      <c r="C37" s="152" t="s">
        <v>321</v>
      </c>
      <c r="D37" s="155" t="s">
        <v>188</v>
      </c>
      <c r="E37" s="152" t="s">
        <v>321</v>
      </c>
      <c r="F37" s="155" t="s">
        <v>188</v>
      </c>
      <c r="G37" s="152" t="s">
        <v>321</v>
      </c>
      <c r="H37" s="155" t="s">
        <v>188</v>
      </c>
    </row>
    <row r="38">
      <c r="A38" s="152" t="s">
        <v>327</v>
      </c>
      <c r="B38" s="155" t="s">
        <v>188</v>
      </c>
      <c r="C38" s="152" t="s">
        <v>327</v>
      </c>
      <c r="D38" s="155" t="s">
        <v>188</v>
      </c>
      <c r="E38" s="152" t="s">
        <v>327</v>
      </c>
      <c r="F38" s="155" t="s">
        <v>188</v>
      </c>
      <c r="G38" s="152" t="s">
        <v>327</v>
      </c>
      <c r="H38" s="155" t="s">
        <v>188</v>
      </c>
    </row>
    <row r="39">
      <c r="A39" s="152" t="s">
        <v>332</v>
      </c>
      <c r="B39" s="155" t="s">
        <v>188</v>
      </c>
      <c r="C39" s="152" t="s">
        <v>332</v>
      </c>
      <c r="D39" s="155" t="s">
        <v>188</v>
      </c>
      <c r="E39" s="152" t="s">
        <v>332</v>
      </c>
      <c r="F39" s="155" t="s">
        <v>188</v>
      </c>
      <c r="G39" s="152" t="s">
        <v>332</v>
      </c>
      <c r="H39" s="155" t="s">
        <v>188</v>
      </c>
    </row>
    <row r="40">
      <c r="A40" s="152" t="s">
        <v>341</v>
      </c>
      <c r="B40" s="155" t="s">
        <v>188</v>
      </c>
      <c r="C40" s="152" t="s">
        <v>341</v>
      </c>
      <c r="D40" s="155" t="s">
        <v>188</v>
      </c>
      <c r="E40" s="152" t="s">
        <v>341</v>
      </c>
      <c r="F40" s="155" t="s">
        <v>188</v>
      </c>
      <c r="G40" s="152" t="s">
        <v>341</v>
      </c>
      <c r="H40" s="155" t="s">
        <v>188</v>
      </c>
    </row>
    <row r="41">
      <c r="A41" s="152" t="s">
        <v>284</v>
      </c>
      <c r="B41" s="155" t="s">
        <v>188</v>
      </c>
      <c r="C41" s="152" t="s">
        <v>284</v>
      </c>
      <c r="D41" s="155" t="s">
        <v>188</v>
      </c>
      <c r="E41" s="152" t="s">
        <v>284</v>
      </c>
      <c r="F41" s="155" t="s">
        <v>188</v>
      </c>
      <c r="G41" s="152" t="s">
        <v>284</v>
      </c>
      <c r="H41" s="155" t="s">
        <v>188</v>
      </c>
    </row>
    <row r="42">
      <c r="A42" s="154" t="s">
        <v>294</v>
      </c>
      <c r="B42" s="155" t="s">
        <v>188</v>
      </c>
      <c r="C42" s="154" t="s">
        <v>294</v>
      </c>
      <c r="D42" s="155" t="s">
        <v>188</v>
      </c>
      <c r="E42" s="154" t="s">
        <v>294</v>
      </c>
      <c r="F42" s="155" t="s">
        <v>188</v>
      </c>
      <c r="G42" s="154" t="s">
        <v>294</v>
      </c>
      <c r="H42" s="155" t="s">
        <v>188</v>
      </c>
    </row>
    <row r="43">
      <c r="A43" s="152" t="s">
        <v>240</v>
      </c>
      <c r="B43" s="155" t="s">
        <v>188</v>
      </c>
      <c r="C43" s="152" t="s">
        <v>240</v>
      </c>
      <c r="D43" s="155" t="s">
        <v>188</v>
      </c>
      <c r="E43" s="152" t="s">
        <v>240</v>
      </c>
      <c r="F43" s="155" t="s">
        <v>188</v>
      </c>
      <c r="G43" s="152" t="s">
        <v>240</v>
      </c>
      <c r="H43" s="155" t="s">
        <v>188</v>
      </c>
    </row>
    <row r="44">
      <c r="A44" s="152" t="s">
        <v>365</v>
      </c>
      <c r="B44" s="155" t="s">
        <v>188</v>
      </c>
      <c r="C44" s="152" t="s">
        <v>365</v>
      </c>
      <c r="D44" s="155" t="s">
        <v>188</v>
      </c>
      <c r="E44" s="152" t="s">
        <v>365</v>
      </c>
      <c r="F44" s="155" t="s">
        <v>188</v>
      </c>
      <c r="G44" s="152" t="s">
        <v>365</v>
      </c>
      <c r="H44" s="155" t="s">
        <v>188</v>
      </c>
    </row>
    <row r="45">
      <c r="A45" s="152" t="s">
        <v>368</v>
      </c>
      <c r="B45" s="155" t="s">
        <v>188</v>
      </c>
      <c r="C45" s="152" t="s">
        <v>368</v>
      </c>
      <c r="D45" s="155" t="s">
        <v>188</v>
      </c>
      <c r="E45" s="152" t="s">
        <v>368</v>
      </c>
      <c r="F45" s="155" t="s">
        <v>188</v>
      </c>
      <c r="G45" s="152" t="s">
        <v>368</v>
      </c>
      <c r="H45" s="155" t="s">
        <v>188</v>
      </c>
    </row>
    <row r="46">
      <c r="A46" s="154" t="s">
        <v>168</v>
      </c>
      <c r="B46" s="155" t="s">
        <v>188</v>
      </c>
      <c r="C46" s="154" t="s">
        <v>168</v>
      </c>
      <c r="D46" s="155" t="s">
        <v>188</v>
      </c>
      <c r="E46" s="154" t="s">
        <v>168</v>
      </c>
      <c r="F46" s="155" t="s">
        <v>188</v>
      </c>
      <c r="G46" s="154" t="s">
        <v>168</v>
      </c>
      <c r="H46" s="155" t="s">
        <v>188</v>
      </c>
    </row>
    <row r="47">
      <c r="A47" s="154" t="s">
        <v>375</v>
      </c>
      <c r="B47" s="155" t="s">
        <v>188</v>
      </c>
      <c r="C47" s="154" t="s">
        <v>375</v>
      </c>
      <c r="D47" s="155" t="s">
        <v>188</v>
      </c>
      <c r="E47" s="154" t="s">
        <v>375</v>
      </c>
      <c r="F47" s="155" t="s">
        <v>188</v>
      </c>
      <c r="G47" s="154" t="s">
        <v>375</v>
      </c>
      <c r="H47" s="155" t="s">
        <v>188</v>
      </c>
    </row>
    <row r="48">
      <c r="A48" s="152" t="s">
        <v>381</v>
      </c>
      <c r="B48" s="155" t="s">
        <v>188</v>
      </c>
      <c r="C48" s="152" t="s">
        <v>381</v>
      </c>
      <c r="D48" s="155" t="s">
        <v>188</v>
      </c>
      <c r="E48" s="152" t="s">
        <v>381</v>
      </c>
      <c r="F48" s="155" t="s">
        <v>188</v>
      </c>
      <c r="G48" s="152" t="s">
        <v>381</v>
      </c>
      <c r="H48" s="155" t="s">
        <v>188</v>
      </c>
    </row>
    <row r="49">
      <c r="A49" s="152" t="s">
        <v>386</v>
      </c>
      <c r="B49" s="155" t="s">
        <v>188</v>
      </c>
      <c r="C49" s="152" t="s">
        <v>386</v>
      </c>
      <c r="D49" s="155" t="s">
        <v>188</v>
      </c>
      <c r="E49" s="152" t="s">
        <v>386</v>
      </c>
      <c r="F49" s="155" t="s">
        <v>188</v>
      </c>
      <c r="G49" s="152" t="s">
        <v>386</v>
      </c>
      <c r="H49" s="161" t="s">
        <v>191</v>
      </c>
    </row>
    <row r="50">
      <c r="A50" s="152" t="s">
        <v>197</v>
      </c>
      <c r="B50" s="155" t="s">
        <v>188</v>
      </c>
      <c r="C50" s="152" t="s">
        <v>197</v>
      </c>
      <c r="D50" s="155" t="s">
        <v>188</v>
      </c>
      <c r="E50" s="152" t="s">
        <v>197</v>
      </c>
      <c r="F50" s="155" t="s">
        <v>188</v>
      </c>
      <c r="G50" s="152" t="s">
        <v>197</v>
      </c>
      <c r="H50" s="155" t="s">
        <v>188</v>
      </c>
    </row>
    <row r="51">
      <c r="A51" s="154" t="s">
        <v>275</v>
      </c>
      <c r="B51" s="161" t="s">
        <v>189</v>
      </c>
      <c r="C51" s="154" t="s">
        <v>275</v>
      </c>
      <c r="D51" s="161" t="s">
        <v>189</v>
      </c>
      <c r="E51" s="154" t="s">
        <v>275</v>
      </c>
      <c r="F51" s="161" t="s">
        <v>189</v>
      </c>
      <c r="G51" s="154" t="s">
        <v>275</v>
      </c>
      <c r="H51" s="161" t="s">
        <v>189</v>
      </c>
    </row>
    <row r="52">
      <c r="A52" s="154" t="s">
        <v>181</v>
      </c>
      <c r="B52" s="161" t="s">
        <v>189</v>
      </c>
      <c r="C52" s="154" t="s">
        <v>181</v>
      </c>
      <c r="D52" s="161" t="s">
        <v>189</v>
      </c>
      <c r="E52" s="154" t="s">
        <v>181</v>
      </c>
      <c r="F52" s="161" t="s">
        <v>189</v>
      </c>
      <c r="G52" s="154" t="s">
        <v>181</v>
      </c>
      <c r="H52" s="161" t="s">
        <v>189</v>
      </c>
    </row>
    <row r="53">
      <c r="A53" s="152" t="s">
        <v>334</v>
      </c>
      <c r="B53" s="161" t="s">
        <v>189</v>
      </c>
      <c r="C53" s="152" t="s">
        <v>334</v>
      </c>
      <c r="D53" s="161" t="s">
        <v>189</v>
      </c>
      <c r="E53" s="152" t="s">
        <v>334</v>
      </c>
      <c r="F53" s="161" t="s">
        <v>189</v>
      </c>
      <c r="G53" s="152" t="s">
        <v>334</v>
      </c>
      <c r="H53" s="161" t="s">
        <v>189</v>
      </c>
    </row>
    <row r="54">
      <c r="A54" s="152" t="s">
        <v>343</v>
      </c>
      <c r="B54" s="161" t="s">
        <v>189</v>
      </c>
      <c r="C54" s="152" t="s">
        <v>343</v>
      </c>
      <c r="D54" s="161" t="s">
        <v>189</v>
      </c>
      <c r="E54" s="152" t="s">
        <v>343</v>
      </c>
      <c r="F54" s="161" t="s">
        <v>189</v>
      </c>
      <c r="G54" s="152" t="s">
        <v>343</v>
      </c>
      <c r="H54" s="161" t="s">
        <v>189</v>
      </c>
    </row>
    <row r="55">
      <c r="A55" s="152" t="s">
        <v>204</v>
      </c>
      <c r="B55" s="161" t="s">
        <v>189</v>
      </c>
      <c r="C55" s="152" t="s">
        <v>204</v>
      </c>
      <c r="D55" s="161" t="s">
        <v>189</v>
      </c>
      <c r="E55" s="152" t="s">
        <v>204</v>
      </c>
      <c r="F55" s="161" t="s">
        <v>189</v>
      </c>
      <c r="G55" s="152" t="s">
        <v>204</v>
      </c>
      <c r="H55" s="161" t="s">
        <v>189</v>
      </c>
    </row>
    <row r="56">
      <c r="A56" s="152" t="s">
        <v>355</v>
      </c>
      <c r="B56" s="161" t="s">
        <v>189</v>
      </c>
      <c r="C56" s="152" t="s">
        <v>355</v>
      </c>
      <c r="D56" s="161" t="s">
        <v>189</v>
      </c>
      <c r="E56" s="152" t="s">
        <v>355</v>
      </c>
      <c r="F56" s="161" t="s">
        <v>189</v>
      </c>
      <c r="G56" s="152" t="s">
        <v>355</v>
      </c>
      <c r="H56" s="161" t="s">
        <v>189</v>
      </c>
    </row>
    <row r="57">
      <c r="A57" s="162" t="s">
        <v>317</v>
      </c>
      <c r="B57" s="161" t="s">
        <v>189</v>
      </c>
      <c r="C57" s="162" t="s">
        <v>317</v>
      </c>
      <c r="D57" s="161" t="s">
        <v>189</v>
      </c>
      <c r="E57" s="162" t="s">
        <v>317</v>
      </c>
      <c r="F57" s="161" t="s">
        <v>189</v>
      </c>
      <c r="G57" s="162" t="s">
        <v>317</v>
      </c>
      <c r="H57" s="161" t="s">
        <v>189</v>
      </c>
    </row>
    <row r="58">
      <c r="A58" s="152" t="s">
        <v>366</v>
      </c>
      <c r="B58" s="161" t="s">
        <v>189</v>
      </c>
      <c r="C58" s="152" t="s">
        <v>366</v>
      </c>
      <c r="D58" s="161" t="s">
        <v>189</v>
      </c>
      <c r="E58" s="152" t="s">
        <v>366</v>
      </c>
      <c r="F58" s="161" t="s">
        <v>189</v>
      </c>
      <c r="G58" s="152" t="s">
        <v>366</v>
      </c>
      <c r="H58" s="161" t="s">
        <v>189</v>
      </c>
    </row>
    <row r="59">
      <c r="A59" s="152" t="s">
        <v>296</v>
      </c>
      <c r="B59" s="161" t="s">
        <v>189</v>
      </c>
      <c r="C59" s="152" t="s">
        <v>296</v>
      </c>
      <c r="D59" s="161" t="s">
        <v>189</v>
      </c>
      <c r="E59" s="152" t="s">
        <v>296</v>
      </c>
      <c r="F59" s="161" t="s">
        <v>189</v>
      </c>
      <c r="G59" s="152" t="s">
        <v>296</v>
      </c>
      <c r="H59" s="161" t="s">
        <v>189</v>
      </c>
    </row>
    <row r="60">
      <c r="A60" s="154" t="s">
        <v>271</v>
      </c>
      <c r="B60" s="161" t="s">
        <v>189</v>
      </c>
      <c r="C60" s="154" t="s">
        <v>271</v>
      </c>
      <c r="D60" s="161" t="s">
        <v>189</v>
      </c>
      <c r="E60" s="154" t="s">
        <v>271</v>
      </c>
      <c r="F60" s="161" t="s">
        <v>189</v>
      </c>
      <c r="G60" s="154" t="s">
        <v>271</v>
      </c>
      <c r="H60" s="161" t="s">
        <v>189</v>
      </c>
    </row>
    <row r="61">
      <c r="A61" s="154" t="s">
        <v>378</v>
      </c>
      <c r="B61" s="161" t="s">
        <v>189</v>
      </c>
      <c r="C61" s="154" t="s">
        <v>378</v>
      </c>
      <c r="D61" s="161" t="s">
        <v>189</v>
      </c>
      <c r="E61" s="154" t="s">
        <v>378</v>
      </c>
      <c r="F61" s="161" t="s">
        <v>189</v>
      </c>
      <c r="G61" s="154" t="s">
        <v>378</v>
      </c>
      <c r="H61" s="161" t="s">
        <v>189</v>
      </c>
    </row>
    <row r="62">
      <c r="A62" s="152" t="s">
        <v>323</v>
      </c>
      <c r="B62" s="161" t="s">
        <v>190</v>
      </c>
      <c r="C62" s="152" t="s">
        <v>323</v>
      </c>
      <c r="D62" s="161" t="s">
        <v>190</v>
      </c>
      <c r="E62" s="152" t="s">
        <v>323</v>
      </c>
      <c r="F62" s="161" t="s">
        <v>190</v>
      </c>
      <c r="G62" s="152" t="s">
        <v>323</v>
      </c>
      <c r="H62" s="161" t="s">
        <v>190</v>
      </c>
    </row>
    <row r="63">
      <c r="A63" s="154" t="s">
        <v>329</v>
      </c>
      <c r="B63" s="161" t="s">
        <v>190</v>
      </c>
      <c r="C63" s="154" t="s">
        <v>329</v>
      </c>
      <c r="D63" s="161" t="s">
        <v>190</v>
      </c>
      <c r="E63" s="154" t="s">
        <v>329</v>
      </c>
      <c r="F63" s="161" t="s">
        <v>190</v>
      </c>
      <c r="G63" s="154" t="s">
        <v>329</v>
      </c>
      <c r="H63" s="161" t="s">
        <v>190</v>
      </c>
    </row>
    <row r="64">
      <c r="A64" s="152" t="s">
        <v>335</v>
      </c>
      <c r="B64" s="161" t="s">
        <v>190</v>
      </c>
      <c r="C64" s="152" t="s">
        <v>335</v>
      </c>
      <c r="D64" s="161" t="s">
        <v>190</v>
      </c>
      <c r="E64" s="152" t="s">
        <v>335</v>
      </c>
      <c r="F64" s="161" t="s">
        <v>190</v>
      </c>
      <c r="G64" s="152" t="s">
        <v>335</v>
      </c>
      <c r="H64" s="161" t="s">
        <v>190</v>
      </c>
    </row>
    <row r="65">
      <c r="A65" s="152" t="s">
        <v>344</v>
      </c>
      <c r="B65" s="161" t="s">
        <v>190</v>
      </c>
      <c r="C65" s="152" t="s">
        <v>344</v>
      </c>
      <c r="D65" s="161" t="s">
        <v>190</v>
      </c>
      <c r="E65" s="152" t="s">
        <v>344</v>
      </c>
      <c r="F65" s="161" t="s">
        <v>190</v>
      </c>
      <c r="G65" s="152" t="s">
        <v>344</v>
      </c>
      <c r="H65" s="161" t="s">
        <v>190</v>
      </c>
    </row>
    <row r="66">
      <c r="A66" s="152" t="s">
        <v>285</v>
      </c>
      <c r="B66" s="161" t="s">
        <v>190</v>
      </c>
      <c r="C66" s="152" t="s">
        <v>285</v>
      </c>
      <c r="D66" s="161" t="s">
        <v>190</v>
      </c>
      <c r="E66" s="152" t="s">
        <v>285</v>
      </c>
      <c r="F66" s="161" t="s">
        <v>190</v>
      </c>
      <c r="G66" s="152" t="s">
        <v>285</v>
      </c>
      <c r="H66" s="161" t="s">
        <v>190</v>
      </c>
    </row>
    <row r="67">
      <c r="A67" s="162" t="s">
        <v>356</v>
      </c>
      <c r="B67" s="161" t="s">
        <v>190</v>
      </c>
      <c r="C67" s="162" t="s">
        <v>356</v>
      </c>
      <c r="D67" s="161" t="s">
        <v>190</v>
      </c>
      <c r="E67" s="162" t="s">
        <v>356</v>
      </c>
      <c r="F67" s="161" t="s">
        <v>190</v>
      </c>
      <c r="G67" s="162" t="s">
        <v>356</v>
      </c>
      <c r="H67" s="161" t="s">
        <v>190</v>
      </c>
    </row>
    <row r="68">
      <c r="A68" s="154" t="s">
        <v>359</v>
      </c>
      <c r="B68" s="161" t="s">
        <v>190</v>
      </c>
      <c r="C68" s="154" t="s">
        <v>359</v>
      </c>
      <c r="D68" s="161" t="s">
        <v>190</v>
      </c>
      <c r="E68" s="154" t="s">
        <v>359</v>
      </c>
      <c r="F68" s="161" t="s">
        <v>190</v>
      </c>
      <c r="G68" s="154" t="s">
        <v>359</v>
      </c>
      <c r="H68" s="161" t="s">
        <v>190</v>
      </c>
    </row>
    <row r="69">
      <c r="A69" s="154" t="s">
        <v>208</v>
      </c>
      <c r="B69" s="161" t="s">
        <v>190</v>
      </c>
      <c r="C69" s="154" t="s">
        <v>208</v>
      </c>
      <c r="D69" s="161" t="s">
        <v>190</v>
      </c>
      <c r="E69" s="154" t="s">
        <v>208</v>
      </c>
      <c r="F69" s="161" t="s">
        <v>190</v>
      </c>
      <c r="G69" s="154" t="s">
        <v>208</v>
      </c>
      <c r="H69" s="161" t="s">
        <v>190</v>
      </c>
    </row>
    <row r="70">
      <c r="A70" s="152" t="s">
        <v>298</v>
      </c>
      <c r="B70" s="161" t="s">
        <v>190</v>
      </c>
      <c r="C70" s="152" t="s">
        <v>298</v>
      </c>
      <c r="D70" s="161" t="s">
        <v>190</v>
      </c>
      <c r="E70" s="152" t="s">
        <v>298</v>
      </c>
      <c r="F70" s="161" t="s">
        <v>190</v>
      </c>
      <c r="G70" s="152" t="s">
        <v>298</v>
      </c>
      <c r="H70" s="161" t="s">
        <v>190</v>
      </c>
    </row>
    <row r="71">
      <c r="A71" s="152" t="s">
        <v>176</v>
      </c>
      <c r="B71" s="161" t="s">
        <v>190</v>
      </c>
      <c r="C71" s="152" t="s">
        <v>176</v>
      </c>
      <c r="D71" s="161" t="s">
        <v>190</v>
      </c>
      <c r="E71" s="152" t="s">
        <v>176</v>
      </c>
      <c r="F71" s="161" t="s">
        <v>190</v>
      </c>
      <c r="G71" s="152" t="s">
        <v>176</v>
      </c>
      <c r="H71" s="161" t="s">
        <v>190</v>
      </c>
    </row>
    <row r="72">
      <c r="A72" s="152" t="s">
        <v>265</v>
      </c>
      <c r="B72" s="161" t="s">
        <v>190</v>
      </c>
      <c r="C72" s="152" t="s">
        <v>265</v>
      </c>
      <c r="D72" s="161" t="s">
        <v>190</v>
      </c>
      <c r="E72" s="152" t="s">
        <v>265</v>
      </c>
      <c r="F72" s="161" t="s">
        <v>190</v>
      </c>
      <c r="G72" s="152" t="s">
        <v>265</v>
      </c>
      <c r="H72" s="161" t="s">
        <v>190</v>
      </c>
    </row>
    <row r="73">
      <c r="A73" s="152" t="s">
        <v>382</v>
      </c>
      <c r="B73" s="161" t="s">
        <v>190</v>
      </c>
      <c r="C73" s="152" t="s">
        <v>382</v>
      </c>
      <c r="D73" s="161" t="s">
        <v>190</v>
      </c>
      <c r="E73" s="152" t="s">
        <v>382</v>
      </c>
      <c r="F73" s="161" t="s">
        <v>190</v>
      </c>
      <c r="G73" s="152" t="s">
        <v>382</v>
      </c>
      <c r="H73" s="161" t="s">
        <v>190</v>
      </c>
    </row>
    <row r="74">
      <c r="A74" s="152" t="s">
        <v>324</v>
      </c>
      <c r="B74" s="161" t="s">
        <v>129</v>
      </c>
      <c r="C74" s="152" t="s">
        <v>324</v>
      </c>
      <c r="D74" s="161" t="s">
        <v>129</v>
      </c>
      <c r="E74" s="152" t="s">
        <v>324</v>
      </c>
      <c r="F74" s="161" t="s">
        <v>129</v>
      </c>
      <c r="G74" s="152" t="s">
        <v>324</v>
      </c>
      <c r="H74" s="161" t="s">
        <v>129</v>
      </c>
    </row>
    <row r="75">
      <c r="A75" s="154" t="s">
        <v>316</v>
      </c>
      <c r="B75" s="161" t="s">
        <v>129</v>
      </c>
      <c r="C75" s="154" t="s">
        <v>316</v>
      </c>
      <c r="D75" s="161" t="s">
        <v>129</v>
      </c>
      <c r="E75" s="154" t="s">
        <v>316</v>
      </c>
      <c r="F75" s="161" t="s">
        <v>129</v>
      </c>
      <c r="G75" s="154" t="s">
        <v>316</v>
      </c>
      <c r="H75" s="161" t="s">
        <v>129</v>
      </c>
    </row>
    <row r="76">
      <c r="A76" s="154" t="s">
        <v>336</v>
      </c>
      <c r="B76" s="161" t="s">
        <v>129</v>
      </c>
      <c r="C76" s="154" t="s">
        <v>336</v>
      </c>
      <c r="D76" s="161" t="s">
        <v>129</v>
      </c>
      <c r="E76" s="154" t="s">
        <v>336</v>
      </c>
      <c r="F76" s="161" t="s">
        <v>129</v>
      </c>
      <c r="G76" s="154" t="s">
        <v>336</v>
      </c>
      <c r="H76" s="161" t="s">
        <v>129</v>
      </c>
    </row>
    <row r="77">
      <c r="A77" s="154" t="s">
        <v>345</v>
      </c>
      <c r="B77" s="161" t="s">
        <v>129</v>
      </c>
      <c r="C77" s="154" t="s">
        <v>345</v>
      </c>
      <c r="D77" s="161" t="s">
        <v>129</v>
      </c>
      <c r="E77" s="154" t="s">
        <v>345</v>
      </c>
      <c r="F77" s="161" t="s">
        <v>129</v>
      </c>
      <c r="G77" s="154" t="s">
        <v>345</v>
      </c>
      <c r="H77" s="161" t="s">
        <v>129</v>
      </c>
    </row>
    <row r="78">
      <c r="A78" s="152" t="s">
        <v>351</v>
      </c>
      <c r="B78" s="161" t="s">
        <v>129</v>
      </c>
      <c r="C78" s="152" t="s">
        <v>351</v>
      </c>
      <c r="D78" s="161" t="s">
        <v>129</v>
      </c>
      <c r="E78" s="152" t="s">
        <v>351</v>
      </c>
      <c r="F78" s="161" t="s">
        <v>129</v>
      </c>
      <c r="G78" s="152" t="s">
        <v>351</v>
      </c>
      <c r="H78" s="161" t="s">
        <v>129</v>
      </c>
    </row>
    <row r="79">
      <c r="A79" s="152" t="s">
        <v>120</v>
      </c>
      <c r="B79" s="161" t="s">
        <v>129</v>
      </c>
      <c r="C79" s="152" t="s">
        <v>120</v>
      </c>
      <c r="D79" s="161" t="s">
        <v>129</v>
      </c>
      <c r="E79" s="152" t="s">
        <v>120</v>
      </c>
      <c r="F79" s="161" t="s">
        <v>129</v>
      </c>
      <c r="G79" s="152" t="s">
        <v>120</v>
      </c>
      <c r="H79" s="161" t="s">
        <v>129</v>
      </c>
    </row>
    <row r="80">
      <c r="A80" s="152" t="s">
        <v>263</v>
      </c>
      <c r="B80" s="161" t="s">
        <v>129</v>
      </c>
      <c r="C80" s="152" t="s">
        <v>263</v>
      </c>
      <c r="D80" s="161" t="s">
        <v>129</v>
      </c>
      <c r="E80" s="152" t="s">
        <v>263</v>
      </c>
      <c r="F80" s="161" t="s">
        <v>129</v>
      </c>
      <c r="G80" s="152" t="s">
        <v>263</v>
      </c>
      <c r="H80" s="161" t="s">
        <v>129</v>
      </c>
    </row>
    <row r="81">
      <c r="A81" s="154" t="s">
        <v>219</v>
      </c>
      <c r="B81" s="161" t="s">
        <v>129</v>
      </c>
      <c r="C81" s="154" t="s">
        <v>219</v>
      </c>
      <c r="D81" s="161" t="s">
        <v>129</v>
      </c>
      <c r="E81" s="154" t="s">
        <v>219</v>
      </c>
      <c r="F81" s="161" t="s">
        <v>129</v>
      </c>
      <c r="G81" s="154" t="s">
        <v>219</v>
      </c>
      <c r="H81" s="161" t="s">
        <v>129</v>
      </c>
    </row>
    <row r="82">
      <c r="A82" s="154" t="s">
        <v>349</v>
      </c>
      <c r="B82" s="161" t="s">
        <v>129</v>
      </c>
      <c r="C82" s="154" t="s">
        <v>349</v>
      </c>
      <c r="D82" s="161" t="s">
        <v>129</v>
      </c>
      <c r="E82" s="154" t="s">
        <v>349</v>
      </c>
      <c r="F82" s="161" t="s">
        <v>129</v>
      </c>
      <c r="G82" s="154" t="s">
        <v>349</v>
      </c>
      <c r="H82" s="161" t="s">
        <v>129</v>
      </c>
    </row>
    <row r="83">
      <c r="A83" s="152" t="s">
        <v>279</v>
      </c>
      <c r="B83" s="161" t="s">
        <v>129</v>
      </c>
      <c r="C83" s="152" t="s">
        <v>279</v>
      </c>
      <c r="D83" s="161" t="s">
        <v>129</v>
      </c>
      <c r="E83" s="152" t="s">
        <v>279</v>
      </c>
      <c r="F83" s="161" t="s">
        <v>129</v>
      </c>
      <c r="G83" s="152" t="s">
        <v>279</v>
      </c>
      <c r="H83" s="161" t="s">
        <v>129</v>
      </c>
    </row>
    <row r="84">
      <c r="A84" s="154" t="s">
        <v>304</v>
      </c>
      <c r="B84" s="161" t="s">
        <v>129</v>
      </c>
      <c r="C84" s="154" t="s">
        <v>304</v>
      </c>
      <c r="D84" s="161" t="s">
        <v>129</v>
      </c>
      <c r="E84" s="154" t="s">
        <v>304</v>
      </c>
      <c r="F84" s="161" t="s">
        <v>129</v>
      </c>
      <c r="G84" s="154" t="s">
        <v>304</v>
      </c>
      <c r="H84" s="161" t="s">
        <v>129</v>
      </c>
    </row>
    <row r="85">
      <c r="A85" s="152" t="s">
        <v>383</v>
      </c>
      <c r="B85" s="161" t="s">
        <v>129</v>
      </c>
      <c r="C85" s="152" t="s">
        <v>383</v>
      </c>
      <c r="D85" s="161" t="s">
        <v>129</v>
      </c>
      <c r="E85" s="152" t="s">
        <v>383</v>
      </c>
      <c r="F85" s="161" t="s">
        <v>129</v>
      </c>
      <c r="G85" s="152" t="s">
        <v>383</v>
      </c>
      <c r="H85" s="161" t="s">
        <v>129</v>
      </c>
    </row>
    <row r="86">
      <c r="A86" s="152" t="s">
        <v>322</v>
      </c>
      <c r="B86" s="161" t="s">
        <v>191</v>
      </c>
      <c r="C86" s="152" t="s">
        <v>322</v>
      </c>
      <c r="D86" s="161" t="s">
        <v>191</v>
      </c>
      <c r="E86" s="152" t="s">
        <v>322</v>
      </c>
      <c r="F86" s="161" t="s">
        <v>191</v>
      </c>
      <c r="G86" s="152" t="s">
        <v>322</v>
      </c>
      <c r="H86" s="161" t="s">
        <v>191</v>
      </c>
    </row>
    <row r="87">
      <c r="A87" s="154" t="s">
        <v>328</v>
      </c>
      <c r="B87" s="161" t="s">
        <v>191</v>
      </c>
      <c r="C87" s="154" t="s">
        <v>328</v>
      </c>
      <c r="D87" s="161" t="s">
        <v>191</v>
      </c>
      <c r="E87" s="154" t="s">
        <v>328</v>
      </c>
      <c r="F87" s="161" t="s">
        <v>191</v>
      </c>
      <c r="G87" s="154" t="s">
        <v>328</v>
      </c>
      <c r="H87" s="161" t="s">
        <v>191</v>
      </c>
    </row>
    <row r="88">
      <c r="A88" s="152" t="s">
        <v>333</v>
      </c>
      <c r="B88" s="161" t="s">
        <v>191</v>
      </c>
      <c r="C88" s="152" t="s">
        <v>333</v>
      </c>
      <c r="D88" s="161" t="s">
        <v>191</v>
      </c>
      <c r="E88" s="152" t="s">
        <v>333</v>
      </c>
      <c r="F88" s="161" t="s">
        <v>191</v>
      </c>
      <c r="G88" s="152" t="s">
        <v>333</v>
      </c>
      <c r="H88" s="161" t="s">
        <v>191</v>
      </c>
    </row>
    <row r="89">
      <c r="A89" s="152" t="s">
        <v>342</v>
      </c>
      <c r="B89" s="161" t="s">
        <v>191</v>
      </c>
      <c r="C89" s="152" t="s">
        <v>342</v>
      </c>
      <c r="D89" s="161" t="s">
        <v>191</v>
      </c>
      <c r="E89" s="152" t="s">
        <v>342</v>
      </c>
      <c r="F89" s="161" t="s">
        <v>191</v>
      </c>
      <c r="G89" s="152" t="s">
        <v>342</v>
      </c>
      <c r="H89" s="161" t="s">
        <v>191</v>
      </c>
    </row>
    <row r="90">
      <c r="A90" s="152" t="s">
        <v>54</v>
      </c>
      <c r="B90" s="161" t="s">
        <v>191</v>
      </c>
      <c r="C90" s="152" t="s">
        <v>54</v>
      </c>
      <c r="D90" s="161" t="s">
        <v>191</v>
      </c>
      <c r="E90" s="152" t="s">
        <v>54</v>
      </c>
      <c r="F90" s="161" t="s">
        <v>191</v>
      </c>
      <c r="G90" s="152" t="s">
        <v>54</v>
      </c>
      <c r="H90" s="161" t="s">
        <v>191</v>
      </c>
    </row>
    <row r="91">
      <c r="A91" s="154" t="s">
        <v>274</v>
      </c>
      <c r="B91" s="161" t="s">
        <v>191</v>
      </c>
      <c r="C91" s="154" t="s">
        <v>274</v>
      </c>
      <c r="D91" s="161" t="s">
        <v>191</v>
      </c>
      <c r="E91" s="154" t="s">
        <v>274</v>
      </c>
      <c r="F91" s="161" t="s">
        <v>191</v>
      </c>
      <c r="G91" s="154" t="s">
        <v>274</v>
      </c>
      <c r="H91" s="161" t="s">
        <v>191</v>
      </c>
    </row>
    <row r="92">
      <c r="A92" s="152" t="s">
        <v>311</v>
      </c>
      <c r="B92" s="161" t="s">
        <v>191</v>
      </c>
      <c r="C92" s="152" t="s">
        <v>311</v>
      </c>
      <c r="D92" s="161" t="s">
        <v>191</v>
      </c>
      <c r="E92" s="152" t="s">
        <v>311</v>
      </c>
      <c r="F92" s="161" t="s">
        <v>191</v>
      </c>
      <c r="G92" s="152" t="s">
        <v>311</v>
      </c>
      <c r="H92" s="161" t="s">
        <v>191</v>
      </c>
    </row>
    <row r="93">
      <c r="A93" s="154" t="s">
        <v>261</v>
      </c>
      <c r="B93" s="161" t="s">
        <v>191</v>
      </c>
      <c r="C93" s="154" t="s">
        <v>261</v>
      </c>
      <c r="D93" s="161" t="s">
        <v>191</v>
      </c>
      <c r="E93" s="154" t="s">
        <v>261</v>
      </c>
      <c r="F93" s="161" t="s">
        <v>191</v>
      </c>
      <c r="G93" s="154" t="s">
        <v>261</v>
      </c>
      <c r="H93" s="161" t="s">
        <v>191</v>
      </c>
    </row>
    <row r="94">
      <c r="A94" s="152" t="s">
        <v>369</v>
      </c>
      <c r="B94" s="161" t="s">
        <v>191</v>
      </c>
      <c r="C94" s="152" t="s">
        <v>369</v>
      </c>
      <c r="D94" s="161" t="s">
        <v>191</v>
      </c>
      <c r="E94" s="152" t="s">
        <v>369</v>
      </c>
      <c r="F94" s="161" t="s">
        <v>191</v>
      </c>
      <c r="G94" s="152" t="s">
        <v>369</v>
      </c>
      <c r="H94" s="161" t="s">
        <v>191</v>
      </c>
    </row>
    <row r="95">
      <c r="A95" s="152" t="s">
        <v>372</v>
      </c>
      <c r="B95" s="161" t="s">
        <v>191</v>
      </c>
      <c r="C95" s="152" t="s">
        <v>372</v>
      </c>
      <c r="D95" s="161" t="s">
        <v>191</v>
      </c>
      <c r="E95" s="152" t="s">
        <v>372</v>
      </c>
      <c r="F95" s="161" t="s">
        <v>191</v>
      </c>
      <c r="G95" s="152" t="s">
        <v>372</v>
      </c>
      <c r="H95" s="161" t="s">
        <v>191</v>
      </c>
    </row>
    <row r="96">
      <c r="A96" s="152" t="s">
        <v>377</v>
      </c>
      <c r="B96" s="161" t="s">
        <v>191</v>
      </c>
      <c r="C96" s="152" t="s">
        <v>377</v>
      </c>
      <c r="D96" s="161" t="s">
        <v>191</v>
      </c>
      <c r="E96" s="152" t="s">
        <v>377</v>
      </c>
      <c r="F96" s="161" t="s">
        <v>191</v>
      </c>
      <c r="G96" s="152" t="s">
        <v>377</v>
      </c>
      <c r="H96" s="161" t="s">
        <v>191</v>
      </c>
    </row>
    <row r="97">
      <c r="A97" s="154" t="s">
        <v>222</v>
      </c>
      <c r="B97" s="161" t="s">
        <v>191</v>
      </c>
      <c r="C97" s="154" t="s">
        <v>222</v>
      </c>
      <c r="D97" s="161" t="s">
        <v>191</v>
      </c>
      <c r="E97" s="154" t="s">
        <v>222</v>
      </c>
      <c r="F97" s="161" t="s">
        <v>191</v>
      </c>
      <c r="G97" s="154" t="s">
        <v>222</v>
      </c>
      <c r="H97" s="161" t="s">
        <v>191</v>
      </c>
    </row>
    <row r="98">
      <c r="A98" s="154" t="s">
        <v>287</v>
      </c>
      <c r="B98" s="155" t="s">
        <v>192</v>
      </c>
      <c r="C98" s="154" t="s">
        <v>287</v>
      </c>
      <c r="D98" s="155" t="s">
        <v>192</v>
      </c>
      <c r="E98" s="154" t="s">
        <v>287</v>
      </c>
      <c r="F98" s="155" t="s">
        <v>192</v>
      </c>
      <c r="G98" s="154" t="s">
        <v>287</v>
      </c>
      <c r="H98" s="155" t="s">
        <v>192</v>
      </c>
    </row>
    <row r="99">
      <c r="A99" s="152" t="s">
        <v>303</v>
      </c>
      <c r="B99" s="155" t="s">
        <v>192</v>
      </c>
      <c r="C99" s="152" t="s">
        <v>303</v>
      </c>
      <c r="D99" s="155" t="s">
        <v>192</v>
      </c>
      <c r="E99" s="152" t="s">
        <v>303</v>
      </c>
      <c r="F99" s="155" t="s">
        <v>192</v>
      </c>
      <c r="G99" s="152" t="s">
        <v>303</v>
      </c>
      <c r="H99" s="155" t="s">
        <v>192</v>
      </c>
    </row>
    <row r="100">
      <c r="A100" s="152" t="s">
        <v>337</v>
      </c>
      <c r="B100" s="155" t="s">
        <v>192</v>
      </c>
      <c r="C100" s="152" t="s">
        <v>337</v>
      </c>
      <c r="D100" s="155" t="s">
        <v>192</v>
      </c>
      <c r="E100" s="152" t="s">
        <v>337</v>
      </c>
      <c r="F100" s="155" t="s">
        <v>192</v>
      </c>
      <c r="G100" s="152" t="s">
        <v>337</v>
      </c>
      <c r="H100" s="155" t="s">
        <v>192</v>
      </c>
    </row>
    <row r="101">
      <c r="A101" s="152" t="s">
        <v>346</v>
      </c>
      <c r="B101" s="155" t="s">
        <v>192</v>
      </c>
      <c r="C101" s="152" t="s">
        <v>346</v>
      </c>
      <c r="D101" s="155" t="s">
        <v>192</v>
      </c>
      <c r="E101" s="152" t="s">
        <v>346</v>
      </c>
      <c r="F101" s="155" t="s">
        <v>192</v>
      </c>
      <c r="G101" s="152" t="s">
        <v>346</v>
      </c>
      <c r="H101" s="155" t="s">
        <v>192</v>
      </c>
    </row>
    <row r="102">
      <c r="A102" s="152" t="s">
        <v>313</v>
      </c>
      <c r="B102" s="155" t="s">
        <v>192</v>
      </c>
      <c r="C102" s="152" t="s">
        <v>313</v>
      </c>
      <c r="D102" s="155" t="s">
        <v>192</v>
      </c>
      <c r="E102" s="152" t="s">
        <v>313</v>
      </c>
      <c r="F102" s="155" t="s">
        <v>192</v>
      </c>
      <c r="G102" s="152" t="s">
        <v>313</v>
      </c>
      <c r="H102" s="155" t="s">
        <v>192</v>
      </c>
    </row>
    <row r="103">
      <c r="A103" s="152" t="s">
        <v>283</v>
      </c>
      <c r="B103" s="155" t="s">
        <v>192</v>
      </c>
      <c r="C103" s="152" t="s">
        <v>283</v>
      </c>
      <c r="D103" s="155" t="s">
        <v>192</v>
      </c>
      <c r="E103" s="152" t="s">
        <v>283</v>
      </c>
      <c r="F103" s="155" t="s">
        <v>192</v>
      </c>
      <c r="G103" s="152" t="s">
        <v>283</v>
      </c>
      <c r="H103" s="155" t="s">
        <v>192</v>
      </c>
    </row>
    <row r="104">
      <c r="A104" s="152" t="s">
        <v>360</v>
      </c>
      <c r="B104" s="155" t="s">
        <v>192</v>
      </c>
      <c r="C104" s="152" t="s">
        <v>360</v>
      </c>
      <c r="D104" s="155" t="s">
        <v>192</v>
      </c>
      <c r="E104" s="152" t="s">
        <v>360</v>
      </c>
      <c r="F104" s="155" t="s">
        <v>192</v>
      </c>
      <c r="G104" s="152" t="s">
        <v>360</v>
      </c>
      <c r="H104" s="155" t="s">
        <v>192</v>
      </c>
    </row>
    <row r="105">
      <c r="A105" s="154" t="s">
        <v>269</v>
      </c>
      <c r="B105" s="155" t="s">
        <v>192</v>
      </c>
      <c r="C105" s="154" t="s">
        <v>269</v>
      </c>
      <c r="D105" s="155" t="s">
        <v>192</v>
      </c>
      <c r="E105" s="154" t="s">
        <v>269</v>
      </c>
      <c r="F105" s="155" t="s">
        <v>192</v>
      </c>
      <c r="G105" s="154" t="s">
        <v>269</v>
      </c>
      <c r="H105" s="155" t="s">
        <v>192</v>
      </c>
    </row>
    <row r="106">
      <c r="A106" s="152" t="s">
        <v>173</v>
      </c>
      <c r="B106" s="155" t="s">
        <v>192</v>
      </c>
      <c r="C106" s="152" t="s">
        <v>173</v>
      </c>
      <c r="D106" s="155" t="s">
        <v>192</v>
      </c>
      <c r="E106" s="152" t="s">
        <v>173</v>
      </c>
      <c r="F106" s="155" t="s">
        <v>192</v>
      </c>
      <c r="G106" s="152" t="s">
        <v>173</v>
      </c>
      <c r="H106" s="155" t="s">
        <v>192</v>
      </c>
    </row>
    <row r="107">
      <c r="A107" s="152" t="s">
        <v>373</v>
      </c>
      <c r="B107" s="155" t="s">
        <v>192</v>
      </c>
      <c r="C107" s="152" t="s">
        <v>373</v>
      </c>
      <c r="D107" s="155" t="s">
        <v>192</v>
      </c>
      <c r="E107" s="152" t="s">
        <v>373</v>
      </c>
      <c r="F107" s="155" t="s">
        <v>192</v>
      </c>
      <c r="G107" s="152" t="s">
        <v>373</v>
      </c>
      <c r="H107" s="155" t="s">
        <v>192</v>
      </c>
    </row>
    <row r="108">
      <c r="A108" s="152" t="s">
        <v>379</v>
      </c>
      <c r="B108" s="155" t="s">
        <v>192</v>
      </c>
      <c r="C108" s="152" t="s">
        <v>379</v>
      </c>
      <c r="D108" s="155" t="s">
        <v>192</v>
      </c>
      <c r="E108" s="152" t="s">
        <v>379</v>
      </c>
      <c r="F108" s="155" t="s">
        <v>192</v>
      </c>
      <c r="G108" s="152" t="s">
        <v>379</v>
      </c>
      <c r="H108" s="155" t="s">
        <v>192</v>
      </c>
    </row>
    <row r="109">
      <c r="A109" s="152" t="s">
        <v>214</v>
      </c>
      <c r="B109" s="155" t="s">
        <v>192</v>
      </c>
      <c r="C109" s="152" t="s">
        <v>214</v>
      </c>
      <c r="D109" s="155" t="s">
        <v>192</v>
      </c>
      <c r="E109" s="152" t="s">
        <v>214</v>
      </c>
      <c r="F109" s="155" t="s">
        <v>192</v>
      </c>
      <c r="G109" s="152" t="s">
        <v>214</v>
      </c>
      <c r="H109" s="155" t="s">
        <v>192</v>
      </c>
    </row>
    <row r="110">
      <c r="A110" s="152" t="s">
        <v>387</v>
      </c>
      <c r="B110" s="155" t="s">
        <v>192</v>
      </c>
      <c r="C110" s="152" t="s">
        <v>387</v>
      </c>
      <c r="D110" s="155" t="s">
        <v>192</v>
      </c>
      <c r="E110" s="152" t="s">
        <v>387</v>
      </c>
      <c r="F110" s="155" t="s">
        <v>192</v>
      </c>
      <c r="G110" s="152" t="s">
        <v>387</v>
      </c>
      <c r="H110" s="155" t="s">
        <v>192</v>
      </c>
    </row>
    <row r="111">
      <c r="A111" s="152" t="s">
        <v>309</v>
      </c>
      <c r="B111" s="155" t="s">
        <v>192</v>
      </c>
      <c r="C111" s="152" t="s">
        <v>309</v>
      </c>
      <c r="D111" s="155" t="s">
        <v>192</v>
      </c>
      <c r="E111" s="152" t="s">
        <v>309</v>
      </c>
      <c r="F111" s="155" t="s">
        <v>192</v>
      </c>
      <c r="G111" s="152" t="s">
        <v>309</v>
      </c>
      <c r="H111" s="161" t="s">
        <v>187</v>
      </c>
    </row>
    <row r="112">
      <c r="A112" s="152" t="s">
        <v>306</v>
      </c>
      <c r="B112" s="161" t="s">
        <v>193</v>
      </c>
      <c r="C112" s="152" t="s">
        <v>306</v>
      </c>
      <c r="D112" s="161" t="s">
        <v>193</v>
      </c>
      <c r="E112" s="152" t="s">
        <v>306</v>
      </c>
      <c r="F112" s="161" t="s">
        <v>193</v>
      </c>
      <c r="G112" s="152" t="s">
        <v>306</v>
      </c>
      <c r="H112" s="161" t="s">
        <v>193</v>
      </c>
    </row>
    <row r="113">
      <c r="A113" s="152" t="s">
        <v>170</v>
      </c>
      <c r="B113" s="161" t="s">
        <v>193</v>
      </c>
      <c r="C113" s="152" t="s">
        <v>170</v>
      </c>
      <c r="D113" s="161" t="s">
        <v>193</v>
      </c>
      <c r="E113" s="152" t="s">
        <v>170</v>
      </c>
      <c r="F113" s="161" t="s">
        <v>193</v>
      </c>
      <c r="G113" s="152" t="s">
        <v>170</v>
      </c>
      <c r="H113" s="161" t="s">
        <v>193</v>
      </c>
    </row>
    <row r="114">
      <c r="A114" s="154" t="s">
        <v>338</v>
      </c>
      <c r="B114" s="161" t="s">
        <v>193</v>
      </c>
      <c r="C114" s="154" t="s">
        <v>338</v>
      </c>
      <c r="D114" s="161" t="s">
        <v>193</v>
      </c>
      <c r="E114" s="154" t="s">
        <v>338</v>
      </c>
      <c r="F114" s="161" t="s">
        <v>193</v>
      </c>
      <c r="G114" s="154" t="s">
        <v>338</v>
      </c>
      <c r="H114" s="161" t="s">
        <v>189</v>
      </c>
    </row>
    <row r="115">
      <c r="A115" s="154" t="s">
        <v>277</v>
      </c>
      <c r="B115" s="155" t="s">
        <v>193</v>
      </c>
      <c r="C115" s="154" t="s">
        <v>277</v>
      </c>
      <c r="D115" s="155" t="s">
        <v>193</v>
      </c>
      <c r="E115" s="154" t="s">
        <v>277</v>
      </c>
      <c r="F115" s="155" t="s">
        <v>193</v>
      </c>
      <c r="G115" s="154" t="s">
        <v>277</v>
      </c>
      <c r="H115" s="155" t="s">
        <v>193</v>
      </c>
    </row>
    <row r="116">
      <c r="A116" s="154" t="s">
        <v>352</v>
      </c>
      <c r="B116" s="155" t="s">
        <v>193</v>
      </c>
      <c r="C116" s="154" t="s">
        <v>352</v>
      </c>
      <c r="D116" s="155" t="s">
        <v>193</v>
      </c>
      <c r="E116" s="154" t="s">
        <v>352</v>
      </c>
      <c r="F116" s="155" t="s">
        <v>193</v>
      </c>
      <c r="G116" s="154" t="s">
        <v>352</v>
      </c>
      <c r="H116" s="155" t="s">
        <v>193</v>
      </c>
    </row>
    <row r="117">
      <c r="A117" s="154" t="s">
        <v>257</v>
      </c>
      <c r="B117" s="155" t="s">
        <v>193</v>
      </c>
      <c r="C117" s="154" t="s">
        <v>257</v>
      </c>
      <c r="D117" s="155" t="s">
        <v>193</v>
      </c>
      <c r="E117" s="154" t="s">
        <v>257</v>
      </c>
      <c r="F117" s="155" t="s">
        <v>193</v>
      </c>
      <c r="G117" s="154" t="s">
        <v>257</v>
      </c>
      <c r="H117" s="155" t="s">
        <v>193</v>
      </c>
    </row>
    <row r="118">
      <c r="A118" s="154" t="s">
        <v>361</v>
      </c>
      <c r="B118" s="155" t="s">
        <v>193</v>
      </c>
      <c r="C118" s="154" t="s">
        <v>361</v>
      </c>
      <c r="D118" s="155" t="s">
        <v>193</v>
      </c>
      <c r="E118" s="154" t="s">
        <v>361</v>
      </c>
      <c r="F118" s="155" t="s">
        <v>193</v>
      </c>
      <c r="G118" s="154" t="s">
        <v>361</v>
      </c>
      <c r="H118" s="155" t="s">
        <v>193</v>
      </c>
    </row>
    <row r="119">
      <c r="A119" s="154" t="s">
        <v>292</v>
      </c>
      <c r="B119" s="155" t="s">
        <v>193</v>
      </c>
      <c r="C119" s="154" t="s">
        <v>292</v>
      </c>
      <c r="D119" s="155" t="s">
        <v>193</v>
      </c>
      <c r="E119" s="154" t="s">
        <v>292</v>
      </c>
      <c r="F119" s="155" t="s">
        <v>193</v>
      </c>
      <c r="G119" s="154" t="s">
        <v>292</v>
      </c>
      <c r="H119" s="155" t="s">
        <v>193</v>
      </c>
    </row>
    <row r="120">
      <c r="A120" s="154" t="s">
        <v>199</v>
      </c>
      <c r="B120" s="155" t="s">
        <v>193</v>
      </c>
      <c r="C120" s="154" t="s">
        <v>199</v>
      </c>
      <c r="D120" s="155" t="s">
        <v>193</v>
      </c>
      <c r="E120" s="154" t="s">
        <v>199</v>
      </c>
      <c r="F120" s="155" t="s">
        <v>193</v>
      </c>
      <c r="G120" s="154" t="s">
        <v>199</v>
      </c>
      <c r="H120" s="155" t="s">
        <v>193</v>
      </c>
    </row>
    <row r="121">
      <c r="A121" s="152" t="s">
        <v>302</v>
      </c>
      <c r="B121" s="155" t="s">
        <v>193</v>
      </c>
      <c r="C121" s="152" t="s">
        <v>302</v>
      </c>
      <c r="D121" s="155" t="s">
        <v>193</v>
      </c>
      <c r="E121" s="152" t="s">
        <v>302</v>
      </c>
      <c r="F121" s="155" t="s">
        <v>193</v>
      </c>
      <c r="G121" s="152" t="s">
        <v>302</v>
      </c>
      <c r="H121" s="155" t="s">
        <v>193</v>
      </c>
    </row>
    <row r="122">
      <c r="A122" s="154" t="s">
        <v>380</v>
      </c>
      <c r="B122" s="155" t="s">
        <v>193</v>
      </c>
      <c r="C122" s="154" t="s">
        <v>380</v>
      </c>
      <c r="D122" s="155" t="s">
        <v>193</v>
      </c>
      <c r="E122" s="154" t="s">
        <v>380</v>
      </c>
      <c r="F122" s="155" t="s">
        <v>193</v>
      </c>
      <c r="G122" s="154" t="s">
        <v>380</v>
      </c>
      <c r="H122" s="155" t="s">
        <v>193</v>
      </c>
    </row>
    <row r="123">
      <c r="A123" s="152" t="s">
        <v>318</v>
      </c>
      <c r="B123" s="155" t="s">
        <v>193</v>
      </c>
      <c r="C123" s="152" t="s">
        <v>318</v>
      </c>
      <c r="D123" s="155" t="s">
        <v>193</v>
      </c>
      <c r="E123" s="152" t="s">
        <v>318</v>
      </c>
      <c r="F123" s="155" t="s">
        <v>193</v>
      </c>
      <c r="G123" s="152" t="s">
        <v>318</v>
      </c>
      <c r="H123" s="155" t="s">
        <v>193</v>
      </c>
    </row>
    <row r="124">
      <c r="A124" s="154" t="s">
        <v>300</v>
      </c>
      <c r="B124" s="155" t="s">
        <v>193</v>
      </c>
      <c r="C124" s="154" t="s">
        <v>300</v>
      </c>
      <c r="D124" s="155" t="s">
        <v>193</v>
      </c>
      <c r="E124" s="154" t="s">
        <v>300</v>
      </c>
      <c r="F124" s="155" t="s">
        <v>193</v>
      </c>
      <c r="G124" s="154" t="s">
        <v>300</v>
      </c>
      <c r="H124" s="155" t="s">
        <v>193</v>
      </c>
    </row>
    <row r="125">
      <c r="A125" s="26" t="s">
        <v>388</v>
      </c>
      <c r="B125" s="155" t="s">
        <v>193</v>
      </c>
      <c r="C125" s="26" t="s">
        <v>388</v>
      </c>
      <c r="D125" s="155" t="s">
        <v>193</v>
      </c>
      <c r="E125" s="26" t="s">
        <v>388</v>
      </c>
      <c r="F125" s="155" t="s">
        <v>193</v>
      </c>
      <c r="G125" s="26" t="s">
        <v>388</v>
      </c>
      <c r="H125" s="155" t="s">
        <v>193</v>
      </c>
    </row>
    <row r="126">
      <c r="A126" s="26" t="s">
        <v>398</v>
      </c>
      <c r="B126" s="161" t="s">
        <v>194</v>
      </c>
      <c r="C126" s="26" t="s">
        <v>398</v>
      </c>
      <c r="D126" s="161" t="s">
        <v>194</v>
      </c>
      <c r="E126" s="26" t="s">
        <v>398</v>
      </c>
      <c r="F126" s="161" t="s">
        <v>194</v>
      </c>
      <c r="G126" s="26" t="s">
        <v>398</v>
      </c>
      <c r="H126" s="161" t="s">
        <v>389</v>
      </c>
    </row>
    <row r="127">
      <c r="A127" s="26" t="s">
        <v>393</v>
      </c>
      <c r="B127" s="161" t="s">
        <v>194</v>
      </c>
      <c r="C127" s="26" t="s">
        <v>393</v>
      </c>
      <c r="D127" s="161" t="s">
        <v>187</v>
      </c>
      <c r="E127" s="26" t="s">
        <v>393</v>
      </c>
      <c r="F127" s="161" t="s">
        <v>187</v>
      </c>
      <c r="G127" s="26" t="s">
        <v>393</v>
      </c>
      <c r="H127" s="161" t="s">
        <v>187</v>
      </c>
    </row>
    <row r="128">
      <c r="A128" s="26" t="s">
        <v>399</v>
      </c>
      <c r="B128" s="161" t="s">
        <v>194</v>
      </c>
      <c r="C128" s="26" t="s">
        <v>399</v>
      </c>
      <c r="D128" s="161" t="s">
        <v>194</v>
      </c>
      <c r="E128" s="26" t="s">
        <v>399</v>
      </c>
      <c r="F128" s="161" t="s">
        <v>194</v>
      </c>
      <c r="G128" s="26" t="s">
        <v>399</v>
      </c>
      <c r="H128" s="161" t="s">
        <v>190</v>
      </c>
    </row>
    <row r="129">
      <c r="A129" s="154" t="s">
        <v>394</v>
      </c>
      <c r="B129" s="161" t="s">
        <v>194</v>
      </c>
      <c r="C129" s="154" t="s">
        <v>394</v>
      </c>
      <c r="D129" s="161" t="s">
        <v>194</v>
      </c>
      <c r="E129" s="154" t="s">
        <v>394</v>
      </c>
      <c r="F129" s="161" t="s">
        <v>194</v>
      </c>
      <c r="G129" s="154" t="s">
        <v>394</v>
      </c>
      <c r="H129" s="161" t="s">
        <v>129</v>
      </c>
    </row>
    <row r="130">
      <c r="A130" s="154" t="s">
        <v>400</v>
      </c>
      <c r="B130" s="161" t="s">
        <v>194</v>
      </c>
      <c r="C130" s="154" t="s">
        <v>400</v>
      </c>
      <c r="D130" s="161" t="s">
        <v>194</v>
      </c>
      <c r="E130" s="154" t="s">
        <v>400</v>
      </c>
      <c r="F130" s="161" t="s">
        <v>187</v>
      </c>
      <c r="G130" s="154" t="s">
        <v>400</v>
      </c>
      <c r="H130" s="161" t="s">
        <v>187</v>
      </c>
    </row>
    <row r="131">
      <c r="A131" s="26" t="s">
        <v>401</v>
      </c>
      <c r="B131" s="161" t="s">
        <v>194</v>
      </c>
      <c r="C131" s="26" t="s">
        <v>401</v>
      </c>
      <c r="D131" s="161" t="s">
        <v>194</v>
      </c>
      <c r="E131" s="26" t="s">
        <v>401</v>
      </c>
      <c r="F131" s="161" t="s">
        <v>189</v>
      </c>
      <c r="G131" s="26" t="s">
        <v>401</v>
      </c>
      <c r="H131" s="161" t="s">
        <v>189</v>
      </c>
    </row>
    <row r="132">
      <c r="A132" s="162" t="s">
        <v>281</v>
      </c>
      <c r="B132" s="161" t="s">
        <v>194</v>
      </c>
      <c r="C132" s="162" t="s">
        <v>281</v>
      </c>
      <c r="D132" s="161" t="s">
        <v>194</v>
      </c>
      <c r="E132" s="162" t="s">
        <v>281</v>
      </c>
      <c r="F132" s="161" t="s">
        <v>389</v>
      </c>
      <c r="G132" s="162" t="s">
        <v>281</v>
      </c>
      <c r="H132" s="161" t="s">
        <v>389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sheetData>
    <row r="1">
      <c r="A1" t="s">
        <v>50</v>
      </c>
      <c r="B1" s="26" t="s">
        <v>403</v>
      </c>
    </row>
    <row r="2">
      <c r="A2" t="s">
        <v>186</v>
      </c>
      <c r="B2" s="26" t="s">
        <v>404</v>
      </c>
    </row>
    <row r="3">
      <c r="A3" t="s">
        <v>187</v>
      </c>
      <c r="B3" s="26" t="s">
        <v>404</v>
      </c>
    </row>
    <row r="4">
      <c r="A4" t="s">
        <v>188</v>
      </c>
      <c r="B4" s="26" t="s">
        <v>404</v>
      </c>
    </row>
    <row r="5">
      <c r="A5" t="s">
        <v>191</v>
      </c>
      <c r="B5" s="26" t="s">
        <v>404</v>
      </c>
    </row>
    <row r="6">
      <c r="A6" t="s">
        <v>192</v>
      </c>
      <c r="B6" s="26" t="s">
        <v>404</v>
      </c>
    </row>
    <row r="7">
      <c r="A7" t="s">
        <v>389</v>
      </c>
      <c r="B7" s="26" t="s">
        <v>405</v>
      </c>
    </row>
    <row r="8">
      <c r="A8" t="s">
        <v>189</v>
      </c>
      <c r="B8" s="26" t="s">
        <v>405</v>
      </c>
    </row>
    <row r="9">
      <c r="A9" t="s">
        <v>190</v>
      </c>
      <c r="B9" s="26" t="s">
        <v>405</v>
      </c>
    </row>
    <row r="10">
      <c r="A10" t="s">
        <v>129</v>
      </c>
      <c r="B10" s="26" t="s">
        <v>405</v>
      </c>
    </row>
    <row r="11">
      <c r="A11" t="s">
        <v>193</v>
      </c>
      <c r="B11" s="26" t="s">
        <v>405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11.88"/>
    <col customWidth="1" min="3" max="3" width="10.75"/>
    <col customWidth="1" min="4" max="4" width="10.38"/>
    <col customWidth="1" min="5" max="5" width="12.88"/>
    <col customWidth="1" min="6" max="6" width="14.0"/>
    <col customWidth="1" min="7" max="7" width="12.75"/>
    <col customWidth="1" min="8" max="8" width="13.88"/>
    <col customWidth="1" min="9" max="9" width="13.38"/>
    <col customWidth="1" min="10" max="10" width="14.13"/>
    <col customWidth="1" hidden="1" min="11" max="20" width="14.13"/>
  </cols>
  <sheetData>
    <row r="1">
      <c r="A1" s="149" t="str">
        <f t="array" ref="A1:J1">transpose(unique(offset('Teams-Conference'!B2:B15,0,(counta('Draft Order'!B2:B15)-10)*2)))</f>
        <v>AAC</v>
      </c>
      <c r="B1" s="149" t="s">
        <v>186</v>
      </c>
      <c r="C1" s="149" t="s">
        <v>187</v>
      </c>
      <c r="D1" s="149" t="s">
        <v>188</v>
      </c>
      <c r="E1" s="149" t="s">
        <v>191</v>
      </c>
      <c r="F1" s="149" t="s">
        <v>189</v>
      </c>
      <c r="G1" s="149" t="s">
        <v>190</v>
      </c>
      <c r="H1" s="149" t="s">
        <v>129</v>
      </c>
      <c r="I1" s="149" t="s">
        <v>192</v>
      </c>
      <c r="J1" s="149" t="s">
        <v>193</v>
      </c>
      <c r="K1" s="149" t="str">
        <f t="array" ref="K1:T1">transpose(unique(offset('Teams-Conference'!B2:B15,0,(counta('Draft Order'!B2:B15)-10)*2)))</f>
        <v>AAC</v>
      </c>
      <c r="L1" s="150" t="s">
        <v>186</v>
      </c>
      <c r="M1" s="150" t="s">
        <v>187</v>
      </c>
      <c r="N1" s="150" t="s">
        <v>188</v>
      </c>
      <c r="O1" s="150" t="s">
        <v>191</v>
      </c>
      <c r="P1" s="150" t="s">
        <v>189</v>
      </c>
      <c r="Q1" s="150" t="s">
        <v>190</v>
      </c>
      <c r="R1" s="150" t="s">
        <v>129</v>
      </c>
      <c r="S1" s="150" t="s">
        <v>192</v>
      </c>
      <c r="T1" s="150" t="s">
        <v>193</v>
      </c>
    </row>
    <row r="2">
      <c r="A2" t="str">
        <f>IFERROR(__xludf.DUMMYFUNCTION("filter(offset('Teams-Conference'!$A:$A,0,(counta('Draft Order'!$B2:$B15)-10)*2),offset('Teams-Conference'!$B:$B,0,(counta('Draft Order'!$B2:$B15)-10)*2)=A1)"),"Cincinnati")</f>
        <v>Cincinnati</v>
      </c>
      <c r="B2" t="str">
        <f>IFERROR(__xludf.DUMMYFUNCTION("filter(offset('Teams-Conference'!$A:$A,0,(counta('Draft Order'!$B2:$B15)-10)*2),offset('Teams-Conference'!$B:$B,0,(counta('Draft Order'!$B2:$B15)-10)*2)=B1)"),"Boston College")</f>
        <v>Boston College</v>
      </c>
      <c r="C2" t="str">
        <f>IFERROR(__xludf.DUMMYFUNCTION("filter(offset('Teams-Conference'!$A:$A,0,(counta('Draft Order'!$B2:$B15)-10)*2),offset('Teams-Conference'!$B:$B,0,(counta('Draft Order'!$B2:$B15)-10)*2)=C1)"),"Baylor")</f>
        <v>Baylor</v>
      </c>
      <c r="D2" t="str">
        <f>IFERROR(__xludf.DUMMYFUNCTION("filter(offset('Teams-Conference'!$A:$A,0,(counta('Draft Order'!$B2:$B15)-10)*2),offset('Teams-Conference'!$B:$B,0,(counta('Draft Order'!$B2:$B15)-10)*2)=D1)"),"Illinois")</f>
        <v>Illinois</v>
      </c>
      <c r="E2" t="str">
        <f>IFERROR(__xludf.DUMMYFUNCTION("filter(offset('Teams-Conference'!$A:$A,0,(counta('Draft Order'!$B2:$B15)-10)*2),offset('Teams-Conference'!$B:$B,0,(counta('Draft Order'!$B2:$B15)-10)*2)=E1)"),"Rutgers")</f>
        <v>Rutgers</v>
      </c>
      <c r="F2" t="str">
        <f>IFERROR(__xludf.DUMMYFUNCTION("filter(offset('Teams-Conference'!$A:$A,0,(counta('Draft Order'!$B2:$B15)-10)*2),offset('Teams-Conference'!$B:$B,0,(counta('Draft Order'!$B2:$B15)-10)*2)=F1)"),"Florida Intl")</f>
        <v>Florida Intl</v>
      </c>
      <c r="G2" t="str">
        <f>IFERROR(__xludf.DUMMYFUNCTION("filter(offset('Teams-Conference'!$A:$A,0,(counta('Draft Order'!$B2:$B15)-10)*2),offset('Teams-Conference'!$B:$B,0,(counta('Draft Order'!$B2:$B15)-10)*2)=G1)"),"Akron")</f>
        <v>Akron</v>
      </c>
      <c r="H2" t="str">
        <f>IFERROR(__xludf.DUMMYFUNCTION("filter(offset('Teams-Conference'!$A:$A,0,(counta('Draft Order'!$B2:$B15)-10)*2),offset('Teams-Conference'!$B:$B,0,(counta('Draft Order'!$B2:$B15)-10)*2)=H1)"),"Air Force")</f>
        <v>Air Force</v>
      </c>
      <c r="I2" t="str">
        <f>IFERROR(__xludf.DUMMYFUNCTION("filter(offset('Teams-Conference'!$A:$A,0,(counta('Draft Order'!$B2:$B15)-10)*2),offset('Teams-Conference'!$B:$B,0,(counta('Draft Order'!$B2:$B15)-10)*2)=I1)"),"Alabama")</f>
        <v>Alabama</v>
      </c>
      <c r="J2" t="str">
        <f>IFERROR(__xludf.DUMMYFUNCTION("filter(offset('Teams-Conference'!$A:$A,0,(counta('Draft Order'!$B2:$B15)-10)*2),offset('Teams-Conference'!$B:$B,0,(counta('Draft Order'!$B2:$B15)-10)*2)=J1)"),"Marshall")</f>
        <v>Marshall</v>
      </c>
      <c r="K2" s="163" t="str">
        <f>IFERROR(__xludf.DUMMYFUNCTION("filter(offset('Teams-Conference'!$A:$A,0,(10-10)*2),offset('Teams-Conference'!$B:$B,0,(10-10)*2)=A1)"),"Cincinnati")</f>
        <v>Cincinnati</v>
      </c>
      <c r="L2" s="163" t="str">
        <f>IFERROR(__xludf.DUMMYFUNCTION("filter(offset('Teams-Conference'!$A:$A,0,(10-10)*2),offset('Teams-Conference'!$B:$B,0,(10-10)*2)=B1)"),"Boston College")</f>
        <v>Boston College</v>
      </c>
      <c r="M2" s="163" t="str">
        <f>IFERROR(__xludf.DUMMYFUNCTION("filter(offset('Teams-Conference'!$A:$A,0,(10-10)*2),offset('Teams-Conference'!$B:$B,0,(10-10)*2)=C1)"),"Baylor")</f>
        <v>Baylor</v>
      </c>
      <c r="N2" s="163" t="str">
        <f>IFERROR(__xludf.DUMMYFUNCTION("filter(offset('Teams-Conference'!$A:$A,0,(10-10)*2),offset('Teams-Conference'!$B:$B,0,(10-10)*2)=D1)"),"Illinois")</f>
        <v>Illinois</v>
      </c>
      <c r="O2" s="163" t="str">
        <f>IFERROR(__xludf.DUMMYFUNCTION("filter(offset('Teams-Conference'!$A:$A,0,(10-10)*2),offset('Teams-Conference'!$B:$B,0,(10-10)*2)=E1)"),"Arizona")</f>
        <v>Arizona</v>
      </c>
      <c r="P2" s="163" t="str">
        <f>IFERROR(__xludf.DUMMYFUNCTION("filter(offset('Teams-Conference'!$A:$A,0,(10-10)*2),offset('Teams-Conference'!$B:$B,0,(10-10)*2)=F1)"),"Florida Intl")</f>
        <v>Florida Intl</v>
      </c>
      <c r="Q2" s="163" t="str">
        <f>IFERROR(__xludf.DUMMYFUNCTION("filter(offset('Teams-Conference'!$A:$A,0,(10-10)*2),offset('Teams-Conference'!$B:$B,0,(10-10)*2)=G1)"),"Akron")</f>
        <v>Akron</v>
      </c>
      <c r="R2" s="163" t="str">
        <f>IFERROR(__xludf.DUMMYFUNCTION("filter(offset('Teams-Conference'!$A:$A,0,(10-10)*2),offset('Teams-Conference'!$B:$B,0,(10-10)*2)=H1)"),"Air Force")</f>
        <v>Air Force</v>
      </c>
      <c r="S2" s="163" t="str">
        <f>IFERROR(__xludf.DUMMYFUNCTION("filter(offset('Teams-Conference'!$A:$A,0,(10-10)*2),offset('Teams-Conference'!$B:$B,0,(10-10)*2)=I1)"),"Alabama")</f>
        <v>Alabama</v>
      </c>
      <c r="T2" s="163" t="str">
        <f>IFERROR(__xludf.DUMMYFUNCTION("filter(offset('Teams-Conference'!$A:$A,0,(10-10)*2),offset('Teams-Conference'!$B:$B,0,(10-10)*2)=J1)"),"Marshall")</f>
        <v>Marshall</v>
      </c>
    </row>
    <row r="3">
      <c r="A3" t="str">
        <f>IFERROR(__xludf.DUMMYFUNCTION("""COMPUTED_VALUE"""),"East Carolina")</f>
        <v>East Carolina</v>
      </c>
      <c r="B3" t="str">
        <f>IFERROR(__xludf.DUMMYFUNCTION("""COMPUTED_VALUE"""),"Clemson")</f>
        <v>Clemson</v>
      </c>
      <c r="C3" t="str">
        <f>IFERROR(__xludf.DUMMYFUNCTION("""COMPUTED_VALUE"""),"Iowa State")</f>
        <v>Iowa State</v>
      </c>
      <c r="D3" t="str">
        <f>IFERROR(__xludf.DUMMYFUNCTION("""COMPUTED_VALUE"""),"Indiana")</f>
        <v>Indiana</v>
      </c>
      <c r="E3" t="str">
        <f>IFERROR(__xludf.DUMMYFUNCTION("""COMPUTED_VALUE"""),"Arizona")</f>
        <v>Arizona</v>
      </c>
      <c r="F3" t="str">
        <f>IFERROR(__xludf.DUMMYFUNCTION("""COMPUTED_VALUE"""),"Florida Atlantic")</f>
        <v>Florida Atlantic</v>
      </c>
      <c r="G3" t="str">
        <f>IFERROR(__xludf.DUMMYFUNCTION("""COMPUTED_VALUE"""),"Ball State")</f>
        <v>Ball State</v>
      </c>
      <c r="H3" t="str">
        <f>IFERROR(__xludf.DUMMYFUNCTION("""COMPUTED_VALUE"""),"Boise State")</f>
        <v>Boise State</v>
      </c>
      <c r="I3" t="str">
        <f>IFERROR(__xludf.DUMMYFUNCTION("""COMPUTED_VALUE"""),"Arkansas")</f>
        <v>Arkansas</v>
      </c>
      <c r="J3" t="str">
        <f>IFERROR(__xludf.DUMMYFUNCTION("""COMPUTED_VALUE"""),"Old Dominion")</f>
        <v>Old Dominion</v>
      </c>
      <c r="K3" t="str">
        <f>IFERROR(__xludf.DUMMYFUNCTION("""COMPUTED_VALUE"""),"East Carolina")</f>
        <v>East Carolina</v>
      </c>
      <c r="L3" t="str">
        <f>IFERROR(__xludf.DUMMYFUNCTION("""COMPUTED_VALUE"""),"Clemson")</f>
        <v>Clemson</v>
      </c>
      <c r="M3" t="str">
        <f>IFERROR(__xludf.DUMMYFUNCTION("""COMPUTED_VALUE"""),"Iowa State")</f>
        <v>Iowa State</v>
      </c>
      <c r="N3" t="str">
        <f>IFERROR(__xludf.DUMMYFUNCTION("""COMPUTED_VALUE"""),"Indiana")</f>
        <v>Indiana</v>
      </c>
      <c r="O3" t="str">
        <f>IFERROR(__xludf.DUMMYFUNCTION("""COMPUTED_VALUE"""),"Arizona State")</f>
        <v>Arizona State</v>
      </c>
      <c r="P3" t="str">
        <f>IFERROR(__xludf.DUMMYFUNCTION("""COMPUTED_VALUE"""),"Florida Atlantic")</f>
        <v>Florida Atlantic</v>
      </c>
      <c r="Q3" t="str">
        <f>IFERROR(__xludf.DUMMYFUNCTION("""COMPUTED_VALUE"""),"Ball State")</f>
        <v>Ball State</v>
      </c>
      <c r="R3" t="str">
        <f>IFERROR(__xludf.DUMMYFUNCTION("""COMPUTED_VALUE"""),"Boise State")</f>
        <v>Boise State</v>
      </c>
      <c r="S3" t="str">
        <f>IFERROR(__xludf.DUMMYFUNCTION("""COMPUTED_VALUE"""),"Arkansas")</f>
        <v>Arkansas</v>
      </c>
      <c r="T3" t="str">
        <f>IFERROR(__xludf.DUMMYFUNCTION("""COMPUTED_VALUE"""),"Old Dominion")</f>
        <v>Old Dominion</v>
      </c>
    </row>
    <row r="4">
      <c r="A4" t="str">
        <f>IFERROR(__xludf.DUMMYFUNCTION("""COMPUTED_VALUE"""),"Houston")</f>
        <v>Houston</v>
      </c>
      <c r="B4" t="str">
        <f>IFERROR(__xludf.DUMMYFUNCTION("""COMPUTED_VALUE"""),"Duke")</f>
        <v>Duke</v>
      </c>
      <c r="C4" t="str">
        <f>IFERROR(__xludf.DUMMYFUNCTION("""COMPUTED_VALUE"""),"Kansas")</f>
        <v>Kansas</v>
      </c>
      <c r="D4" t="str">
        <f>IFERROR(__xludf.DUMMYFUNCTION("""COMPUTED_VALUE"""),"Iowa")</f>
        <v>Iowa</v>
      </c>
      <c r="E4" t="str">
        <f>IFERROR(__xludf.DUMMYFUNCTION("""COMPUTED_VALUE"""),"Arizona State")</f>
        <v>Arizona State</v>
      </c>
      <c r="F4" t="str">
        <f>IFERROR(__xludf.DUMMYFUNCTION("""COMPUTED_VALUE"""),"Louisiana Tech")</f>
        <v>Louisiana Tech</v>
      </c>
      <c r="G4" t="str">
        <f>IFERROR(__xludf.DUMMYFUNCTION("""COMPUTED_VALUE"""),"Bowling Green")</f>
        <v>Bowling Green</v>
      </c>
      <c r="H4" t="str">
        <f>IFERROR(__xludf.DUMMYFUNCTION("""COMPUTED_VALUE"""),"Colorado State")</f>
        <v>Colorado State</v>
      </c>
      <c r="I4" t="str">
        <f>IFERROR(__xludf.DUMMYFUNCTION("""COMPUTED_VALUE"""),"Auburn")</f>
        <v>Auburn</v>
      </c>
      <c r="J4" t="str">
        <f>IFERROR(__xludf.DUMMYFUNCTION("""COMPUTED_VALUE"""),"Appalachian State")</f>
        <v>Appalachian State</v>
      </c>
      <c r="K4" t="str">
        <f>IFERROR(__xludf.DUMMYFUNCTION("""COMPUTED_VALUE"""),"Houston")</f>
        <v>Houston</v>
      </c>
      <c r="L4" t="str">
        <f>IFERROR(__xludf.DUMMYFUNCTION("""COMPUTED_VALUE"""),"Duke")</f>
        <v>Duke</v>
      </c>
      <c r="M4" t="str">
        <f>IFERROR(__xludf.DUMMYFUNCTION("""COMPUTED_VALUE"""),"Kansas")</f>
        <v>Kansas</v>
      </c>
      <c r="N4" t="str">
        <f>IFERROR(__xludf.DUMMYFUNCTION("""COMPUTED_VALUE"""),"Iowa")</f>
        <v>Iowa</v>
      </c>
      <c r="O4" t="str">
        <f>IFERROR(__xludf.DUMMYFUNCTION("""COMPUTED_VALUE"""),"California")</f>
        <v>California</v>
      </c>
      <c r="P4" t="str">
        <f>IFERROR(__xludf.DUMMYFUNCTION("""COMPUTED_VALUE"""),"Louisiana Tech")</f>
        <v>Louisiana Tech</v>
      </c>
      <c r="Q4" t="str">
        <f>IFERROR(__xludf.DUMMYFUNCTION("""COMPUTED_VALUE"""),"Bowling Green")</f>
        <v>Bowling Green</v>
      </c>
      <c r="R4" t="str">
        <f>IFERROR(__xludf.DUMMYFUNCTION("""COMPUTED_VALUE"""),"Colorado State")</f>
        <v>Colorado State</v>
      </c>
      <c r="S4" t="str">
        <f>IFERROR(__xludf.DUMMYFUNCTION("""COMPUTED_VALUE"""),"Auburn")</f>
        <v>Auburn</v>
      </c>
      <c r="T4" t="str">
        <f>IFERROR(__xludf.DUMMYFUNCTION("""COMPUTED_VALUE"""),"Southern Mississippi")</f>
        <v>Southern Mississippi</v>
      </c>
    </row>
    <row r="5">
      <c r="A5" t="str">
        <f>IFERROR(__xludf.DUMMYFUNCTION("""COMPUTED_VALUE"""),"Memphis")</f>
        <v>Memphis</v>
      </c>
      <c r="B5" t="str">
        <f>IFERROR(__xludf.DUMMYFUNCTION("""COMPUTED_VALUE"""),"Florida State")</f>
        <v>Florida State</v>
      </c>
      <c r="C5" t="str">
        <f>IFERROR(__xludf.DUMMYFUNCTION("""COMPUTED_VALUE"""),"Kansas State")</f>
        <v>Kansas State</v>
      </c>
      <c r="D5" t="str">
        <f>IFERROR(__xludf.DUMMYFUNCTION("""COMPUTED_VALUE"""),"Maryland")</f>
        <v>Maryland</v>
      </c>
      <c r="E5" t="str">
        <f>IFERROR(__xludf.DUMMYFUNCTION("""COMPUTED_VALUE"""),"California")</f>
        <v>California</v>
      </c>
      <c r="F5" t="str">
        <f>IFERROR(__xludf.DUMMYFUNCTION("""COMPUTED_VALUE"""),"Middle Tennessee")</f>
        <v>Middle Tennessee</v>
      </c>
      <c r="G5" t="str">
        <f>IFERROR(__xludf.DUMMYFUNCTION("""COMPUTED_VALUE"""),"Buffalo")</f>
        <v>Buffalo</v>
      </c>
      <c r="H5" t="str">
        <f>IFERROR(__xludf.DUMMYFUNCTION("""COMPUTED_VALUE"""),"Fresno State")</f>
        <v>Fresno State</v>
      </c>
      <c r="I5" t="str">
        <f>IFERROR(__xludf.DUMMYFUNCTION("""COMPUTED_VALUE"""),"Florida")</f>
        <v>Florida</v>
      </c>
      <c r="J5" t="str">
        <f>IFERROR(__xludf.DUMMYFUNCTION("""COMPUTED_VALUE"""),"Arkansas State")</f>
        <v>Arkansas State</v>
      </c>
      <c r="K5" t="str">
        <f>IFERROR(__xludf.DUMMYFUNCTION("""COMPUTED_VALUE"""),"Memphis")</f>
        <v>Memphis</v>
      </c>
      <c r="L5" t="str">
        <f>IFERROR(__xludf.DUMMYFUNCTION("""COMPUTED_VALUE"""),"Florida State")</f>
        <v>Florida State</v>
      </c>
      <c r="M5" t="str">
        <f>IFERROR(__xludf.DUMMYFUNCTION("""COMPUTED_VALUE"""),"Kansas State")</f>
        <v>Kansas State</v>
      </c>
      <c r="N5" t="str">
        <f>IFERROR(__xludf.DUMMYFUNCTION("""COMPUTED_VALUE"""),"Maryland")</f>
        <v>Maryland</v>
      </c>
      <c r="O5" t="str">
        <f>IFERROR(__xludf.DUMMYFUNCTION("""COMPUTED_VALUE"""),"Colorado")</f>
        <v>Colorado</v>
      </c>
      <c r="P5" t="str">
        <f>IFERROR(__xludf.DUMMYFUNCTION("""COMPUTED_VALUE"""),"Middle Tennessee")</f>
        <v>Middle Tennessee</v>
      </c>
      <c r="Q5" t="str">
        <f>IFERROR(__xludf.DUMMYFUNCTION("""COMPUTED_VALUE"""),"Buffalo")</f>
        <v>Buffalo</v>
      </c>
      <c r="R5" t="str">
        <f>IFERROR(__xludf.DUMMYFUNCTION("""COMPUTED_VALUE"""),"Fresno State")</f>
        <v>Fresno State</v>
      </c>
      <c r="S5" t="str">
        <f>IFERROR(__xludf.DUMMYFUNCTION("""COMPUTED_VALUE"""),"Florida")</f>
        <v>Florida</v>
      </c>
      <c r="T5" t="str">
        <f>IFERROR(__xludf.DUMMYFUNCTION("""COMPUTED_VALUE"""),"Appalachian State")</f>
        <v>Appalachian State</v>
      </c>
    </row>
    <row r="6">
      <c r="A6" t="str">
        <f>IFERROR(__xludf.DUMMYFUNCTION("""COMPUTED_VALUE"""),"Navy")</f>
        <v>Navy</v>
      </c>
      <c r="B6" t="str">
        <f>IFERROR(__xludf.DUMMYFUNCTION("""COMPUTED_VALUE"""),"Georgia Tech")</f>
        <v>Georgia Tech</v>
      </c>
      <c r="C6" t="str">
        <f>IFERROR(__xludf.DUMMYFUNCTION("""COMPUTED_VALUE"""),"Oklahoma")</f>
        <v>Oklahoma</v>
      </c>
      <c r="D6" t="str">
        <f>IFERROR(__xludf.DUMMYFUNCTION("""COMPUTED_VALUE"""),"Michigan")</f>
        <v>Michigan</v>
      </c>
      <c r="E6" t="str">
        <f>IFERROR(__xludf.DUMMYFUNCTION("""COMPUTED_VALUE"""),"Colorado")</f>
        <v>Colorado</v>
      </c>
      <c r="F6" t="str">
        <f>IFERROR(__xludf.DUMMYFUNCTION("""COMPUTED_VALUE"""),"North Texas")</f>
        <v>North Texas</v>
      </c>
      <c r="G6" t="str">
        <f>IFERROR(__xludf.DUMMYFUNCTION("""COMPUTED_VALUE"""),"Central Michigan")</f>
        <v>Central Michigan</v>
      </c>
      <c r="H6" t="str">
        <f>IFERROR(__xludf.DUMMYFUNCTION("""COMPUTED_VALUE"""),"Hawaii")</f>
        <v>Hawaii</v>
      </c>
      <c r="I6" t="str">
        <f>IFERROR(__xludf.DUMMYFUNCTION("""COMPUTED_VALUE"""),"Georgia")</f>
        <v>Georgia</v>
      </c>
      <c r="J6" t="str">
        <f>IFERROR(__xludf.DUMMYFUNCTION("""COMPUTED_VALUE"""),"Georgia Southern")</f>
        <v>Georgia Southern</v>
      </c>
      <c r="K6" t="str">
        <f>IFERROR(__xludf.DUMMYFUNCTION("""COMPUTED_VALUE"""),"Navy")</f>
        <v>Navy</v>
      </c>
      <c r="L6" t="str">
        <f>IFERROR(__xludf.DUMMYFUNCTION("""COMPUTED_VALUE"""),"Georgia Tech")</f>
        <v>Georgia Tech</v>
      </c>
      <c r="M6" t="str">
        <f>IFERROR(__xludf.DUMMYFUNCTION("""COMPUTED_VALUE"""),"Oklahoma")</f>
        <v>Oklahoma</v>
      </c>
      <c r="N6" t="str">
        <f>IFERROR(__xludf.DUMMYFUNCTION("""COMPUTED_VALUE"""),"Michigan")</f>
        <v>Michigan</v>
      </c>
      <c r="O6" t="str">
        <f>IFERROR(__xludf.DUMMYFUNCTION("""COMPUTED_VALUE"""),"Oregon")</f>
        <v>Oregon</v>
      </c>
      <c r="P6" t="str">
        <f>IFERROR(__xludf.DUMMYFUNCTION("""COMPUTED_VALUE"""),"North Texas")</f>
        <v>North Texas</v>
      </c>
      <c r="Q6" t="str">
        <f>IFERROR(__xludf.DUMMYFUNCTION("""COMPUTED_VALUE"""),"Central Michigan")</f>
        <v>Central Michigan</v>
      </c>
      <c r="R6" t="str">
        <f>IFERROR(__xludf.DUMMYFUNCTION("""COMPUTED_VALUE"""),"Hawaii")</f>
        <v>Hawaii</v>
      </c>
      <c r="S6" t="str">
        <f>IFERROR(__xludf.DUMMYFUNCTION("""COMPUTED_VALUE"""),"Georgia")</f>
        <v>Georgia</v>
      </c>
      <c r="T6" t="str">
        <f>IFERROR(__xludf.DUMMYFUNCTION("""COMPUTED_VALUE"""),"Arkansas State")</f>
        <v>Arkansas State</v>
      </c>
    </row>
    <row r="7">
      <c r="A7" t="str">
        <f>IFERROR(__xludf.DUMMYFUNCTION("""COMPUTED_VALUE"""),"SMU")</f>
        <v>SMU</v>
      </c>
      <c r="B7" t="str">
        <f>IFERROR(__xludf.DUMMYFUNCTION("""COMPUTED_VALUE"""),"Louisville")</f>
        <v>Louisville</v>
      </c>
      <c r="C7" t="str">
        <f>IFERROR(__xludf.DUMMYFUNCTION("""COMPUTED_VALUE"""),"Oklahoma State")</f>
        <v>Oklahoma State</v>
      </c>
      <c r="D7" t="str">
        <f>IFERROR(__xludf.DUMMYFUNCTION("""COMPUTED_VALUE"""),"Michigan State")</f>
        <v>Michigan State</v>
      </c>
      <c r="E7" t="str">
        <f>IFERROR(__xludf.DUMMYFUNCTION("""COMPUTED_VALUE"""),"Oregon")</f>
        <v>Oregon</v>
      </c>
      <c r="F7" t="str">
        <f>IFERROR(__xludf.DUMMYFUNCTION("""COMPUTED_VALUE"""),"Rice")</f>
        <v>Rice</v>
      </c>
      <c r="G7" t="str">
        <f>IFERROR(__xludf.DUMMYFUNCTION("""COMPUTED_VALUE"""),"EMU")</f>
        <v>EMU</v>
      </c>
      <c r="H7" t="str">
        <f>IFERROR(__xludf.DUMMYFUNCTION("""COMPUTED_VALUE"""),"Nevada")</f>
        <v>Nevada</v>
      </c>
      <c r="I7" t="str">
        <f>IFERROR(__xludf.DUMMYFUNCTION("""COMPUTED_VALUE"""),"Kentucky")</f>
        <v>Kentucky</v>
      </c>
      <c r="J7" t="str">
        <f>IFERROR(__xludf.DUMMYFUNCTION("""COMPUTED_VALUE"""),"Georgia State")</f>
        <v>Georgia State</v>
      </c>
      <c r="K7" t="str">
        <f>IFERROR(__xludf.DUMMYFUNCTION("""COMPUTED_VALUE"""),"SMU")</f>
        <v>SMU</v>
      </c>
      <c r="L7" t="str">
        <f>IFERROR(__xludf.DUMMYFUNCTION("""COMPUTED_VALUE"""),"Louisville")</f>
        <v>Louisville</v>
      </c>
      <c r="M7" t="str">
        <f>IFERROR(__xludf.DUMMYFUNCTION("""COMPUTED_VALUE"""),"Oklahoma State")</f>
        <v>Oklahoma State</v>
      </c>
      <c r="N7" t="str">
        <f>IFERROR(__xludf.DUMMYFUNCTION("""COMPUTED_VALUE"""),"Michigan State")</f>
        <v>Michigan State</v>
      </c>
      <c r="O7" t="str">
        <f>IFERROR(__xludf.DUMMYFUNCTION("""COMPUTED_VALUE"""),"Oregon State")</f>
        <v>Oregon State</v>
      </c>
      <c r="P7" t="str">
        <f>IFERROR(__xludf.DUMMYFUNCTION("""COMPUTED_VALUE"""),"Rice")</f>
        <v>Rice</v>
      </c>
      <c r="Q7" t="str">
        <f>IFERROR(__xludf.DUMMYFUNCTION("""COMPUTED_VALUE"""),"EMU")</f>
        <v>EMU</v>
      </c>
      <c r="R7" t="str">
        <f>IFERROR(__xludf.DUMMYFUNCTION("""COMPUTED_VALUE"""),"Nevada")</f>
        <v>Nevada</v>
      </c>
      <c r="S7" t="str">
        <f>IFERROR(__xludf.DUMMYFUNCTION("""COMPUTED_VALUE"""),"Kentucky")</f>
        <v>Kentucky</v>
      </c>
      <c r="T7" t="str">
        <f>IFERROR(__xludf.DUMMYFUNCTION("""COMPUTED_VALUE"""),"Georgia Southern")</f>
        <v>Georgia Southern</v>
      </c>
    </row>
    <row r="8">
      <c r="A8" t="str">
        <f>IFERROR(__xludf.DUMMYFUNCTION("""COMPUTED_VALUE"""),"South Florida")</f>
        <v>South Florida</v>
      </c>
      <c r="B8" t="str">
        <f>IFERROR(__xludf.DUMMYFUNCTION("""COMPUTED_VALUE"""),"Miami")</f>
        <v>Miami</v>
      </c>
      <c r="C8" t="str">
        <f>IFERROR(__xludf.DUMMYFUNCTION("""COMPUTED_VALUE"""),"TCU")</f>
        <v>TCU</v>
      </c>
      <c r="D8" t="str">
        <f>IFERROR(__xludf.DUMMYFUNCTION("""COMPUTED_VALUE"""),"Minnesota")</f>
        <v>Minnesota</v>
      </c>
      <c r="E8" t="str">
        <f>IFERROR(__xludf.DUMMYFUNCTION("""COMPUTED_VALUE"""),"Oregon State")</f>
        <v>Oregon State</v>
      </c>
      <c r="F8" t="str">
        <f>IFERROR(__xludf.DUMMYFUNCTION("""COMPUTED_VALUE"""),"Charlotte")</f>
        <v>Charlotte</v>
      </c>
      <c r="G8" t="str">
        <f>IFERROR(__xludf.DUMMYFUNCTION("""COMPUTED_VALUE"""),"Kent State")</f>
        <v>Kent State</v>
      </c>
      <c r="H8" t="str">
        <f>IFERROR(__xludf.DUMMYFUNCTION("""COMPUTED_VALUE"""),"New Mexico")</f>
        <v>New Mexico</v>
      </c>
      <c r="I8" t="str">
        <f>IFERROR(__xludf.DUMMYFUNCTION("""COMPUTED_VALUE"""),"LSU")</f>
        <v>LSU</v>
      </c>
      <c r="J8" t="str">
        <f>IFERROR(__xludf.DUMMYFUNCTION("""COMPUTED_VALUE"""),"UL Lafayette")</f>
        <v>UL Lafayette</v>
      </c>
      <c r="K8" t="str">
        <f>IFERROR(__xludf.DUMMYFUNCTION("""COMPUTED_VALUE"""),"South Florida")</f>
        <v>South Florida</v>
      </c>
      <c r="L8" t="str">
        <f>IFERROR(__xludf.DUMMYFUNCTION("""COMPUTED_VALUE"""),"Miami")</f>
        <v>Miami</v>
      </c>
      <c r="M8" t="str">
        <f>IFERROR(__xludf.DUMMYFUNCTION("""COMPUTED_VALUE"""),"TCU")</f>
        <v>TCU</v>
      </c>
      <c r="N8" t="str">
        <f>IFERROR(__xludf.DUMMYFUNCTION("""COMPUTED_VALUE"""),"Minnesota")</f>
        <v>Minnesota</v>
      </c>
      <c r="O8" t="str">
        <f>IFERROR(__xludf.DUMMYFUNCTION("""COMPUTED_VALUE"""),"Stanford")</f>
        <v>Stanford</v>
      </c>
      <c r="P8" t="str">
        <f>IFERROR(__xludf.DUMMYFUNCTION("""COMPUTED_VALUE"""),"Charlotte")</f>
        <v>Charlotte</v>
      </c>
      <c r="Q8" t="str">
        <f>IFERROR(__xludf.DUMMYFUNCTION("""COMPUTED_VALUE"""),"Kent State")</f>
        <v>Kent State</v>
      </c>
      <c r="R8" t="str">
        <f>IFERROR(__xludf.DUMMYFUNCTION("""COMPUTED_VALUE"""),"New Mexico")</f>
        <v>New Mexico</v>
      </c>
      <c r="S8" t="str">
        <f>IFERROR(__xludf.DUMMYFUNCTION("""COMPUTED_VALUE"""),"LSU")</f>
        <v>LSU</v>
      </c>
      <c r="T8" t="str">
        <f>IFERROR(__xludf.DUMMYFUNCTION("""COMPUTED_VALUE"""),"Georgia State")</f>
        <v>Georgia State</v>
      </c>
    </row>
    <row r="9">
      <c r="A9" t="str">
        <f>IFERROR(__xludf.DUMMYFUNCTION("""COMPUTED_VALUE"""),"Temple")</f>
        <v>Temple</v>
      </c>
      <c r="B9" t="str">
        <f>IFERROR(__xludf.DUMMYFUNCTION("""COMPUTED_VALUE"""),"NC State")</f>
        <v>NC State</v>
      </c>
      <c r="C9" t="str">
        <f>IFERROR(__xludf.DUMMYFUNCTION("""COMPUTED_VALUE"""),"Texas")</f>
        <v>Texas</v>
      </c>
      <c r="D9" t="str">
        <f>IFERROR(__xludf.DUMMYFUNCTION("""COMPUTED_VALUE"""),"Nebraska")</f>
        <v>Nebraska</v>
      </c>
      <c r="E9" t="str">
        <f>IFERROR(__xludf.DUMMYFUNCTION("""COMPUTED_VALUE"""),"Stanford")</f>
        <v>Stanford</v>
      </c>
      <c r="F9" t="str">
        <f>IFERROR(__xludf.DUMMYFUNCTION("""COMPUTED_VALUE"""),"UTEP")</f>
        <v>UTEP</v>
      </c>
      <c r="G9" t="str">
        <f>IFERROR(__xludf.DUMMYFUNCTION("""COMPUTED_VALUE"""),"Miami-OH")</f>
        <v>Miami-OH</v>
      </c>
      <c r="H9" t="str">
        <f>IFERROR(__xludf.DUMMYFUNCTION("""COMPUTED_VALUE"""),"San Diego State")</f>
        <v>San Diego State</v>
      </c>
      <c r="I9" t="str">
        <f>IFERROR(__xludf.DUMMYFUNCTION("""COMPUTED_VALUE"""),"Mississippi State")</f>
        <v>Mississippi State</v>
      </c>
      <c r="J9" t="str">
        <f>IFERROR(__xludf.DUMMYFUNCTION("""COMPUTED_VALUE"""),"UL Monroe")</f>
        <v>UL Monroe</v>
      </c>
      <c r="K9" t="str">
        <f>IFERROR(__xludf.DUMMYFUNCTION("""COMPUTED_VALUE"""),"Temple")</f>
        <v>Temple</v>
      </c>
      <c r="L9" t="str">
        <f>IFERROR(__xludf.DUMMYFUNCTION("""COMPUTED_VALUE"""),"NC State")</f>
        <v>NC State</v>
      </c>
      <c r="M9" t="str">
        <f>IFERROR(__xludf.DUMMYFUNCTION("""COMPUTED_VALUE"""),"Texas")</f>
        <v>Texas</v>
      </c>
      <c r="N9" t="str">
        <f>IFERROR(__xludf.DUMMYFUNCTION("""COMPUTED_VALUE"""),"Nebraska")</f>
        <v>Nebraska</v>
      </c>
      <c r="O9" t="str">
        <f>IFERROR(__xludf.DUMMYFUNCTION("""COMPUTED_VALUE"""),"UCLA")</f>
        <v>UCLA</v>
      </c>
      <c r="P9" t="str">
        <f>IFERROR(__xludf.DUMMYFUNCTION("""COMPUTED_VALUE"""),"UTEP")</f>
        <v>UTEP</v>
      </c>
      <c r="Q9" t="str">
        <f>IFERROR(__xludf.DUMMYFUNCTION("""COMPUTED_VALUE"""),"Miami-OH")</f>
        <v>Miami-OH</v>
      </c>
      <c r="R9" t="str">
        <f>IFERROR(__xludf.DUMMYFUNCTION("""COMPUTED_VALUE"""),"San Diego State")</f>
        <v>San Diego State</v>
      </c>
      <c r="S9" t="str">
        <f>IFERROR(__xludf.DUMMYFUNCTION("""COMPUTED_VALUE"""),"Mississippi State")</f>
        <v>Mississippi State</v>
      </c>
      <c r="T9" t="str">
        <f>IFERROR(__xludf.DUMMYFUNCTION("""COMPUTED_VALUE"""),"UL Lafayette")</f>
        <v>UL Lafayette</v>
      </c>
    </row>
    <row r="10">
      <c r="A10" t="str">
        <f>IFERROR(__xludf.DUMMYFUNCTION("""COMPUTED_VALUE"""),"Tulane")</f>
        <v>Tulane</v>
      </c>
      <c r="B10" t="str">
        <f>IFERROR(__xludf.DUMMYFUNCTION("""COMPUTED_VALUE"""),"North Carolina")</f>
        <v>North Carolina</v>
      </c>
      <c r="C10" t="str">
        <f>IFERROR(__xludf.DUMMYFUNCTION("""COMPUTED_VALUE"""),"Texas Tech")</f>
        <v>Texas Tech</v>
      </c>
      <c r="D10" t="str">
        <f>IFERROR(__xludf.DUMMYFUNCTION("""COMPUTED_VALUE"""),"Northwestern")</f>
        <v>Northwestern</v>
      </c>
      <c r="E10" t="str">
        <f>IFERROR(__xludf.DUMMYFUNCTION("""COMPUTED_VALUE"""),"UCLA")</f>
        <v>UCLA</v>
      </c>
      <c r="F10" t="str">
        <f>IFERROR(__xludf.DUMMYFUNCTION("""COMPUTED_VALUE"""),"UTSA")</f>
        <v>UTSA</v>
      </c>
      <c r="G10" t="str">
        <f>IFERROR(__xludf.DUMMYFUNCTION("""COMPUTED_VALUE"""),"Northern Illinois")</f>
        <v>Northern Illinois</v>
      </c>
      <c r="H10" t="str">
        <f>IFERROR(__xludf.DUMMYFUNCTION("""COMPUTED_VALUE"""),"San José State")</f>
        <v>San José State</v>
      </c>
      <c r="I10" t="str">
        <f>IFERROR(__xludf.DUMMYFUNCTION("""COMPUTED_VALUE"""),"Missouri")</f>
        <v>Missouri</v>
      </c>
      <c r="J10" t="str">
        <f>IFERROR(__xludf.DUMMYFUNCTION("""COMPUTED_VALUE"""),"South Alabama")</f>
        <v>South Alabama</v>
      </c>
      <c r="K10" t="str">
        <f>IFERROR(__xludf.DUMMYFUNCTION("""COMPUTED_VALUE"""),"Tulane")</f>
        <v>Tulane</v>
      </c>
      <c r="L10" t="str">
        <f>IFERROR(__xludf.DUMMYFUNCTION("""COMPUTED_VALUE"""),"North Carolina")</f>
        <v>North Carolina</v>
      </c>
      <c r="M10" t="str">
        <f>IFERROR(__xludf.DUMMYFUNCTION("""COMPUTED_VALUE"""),"Texas Tech")</f>
        <v>Texas Tech</v>
      </c>
      <c r="N10" t="str">
        <f>IFERROR(__xludf.DUMMYFUNCTION("""COMPUTED_VALUE"""),"Northwestern")</f>
        <v>Northwestern</v>
      </c>
      <c r="O10" t="str">
        <f>IFERROR(__xludf.DUMMYFUNCTION("""COMPUTED_VALUE"""),"USC")</f>
        <v>USC</v>
      </c>
      <c r="P10" t="str">
        <f>IFERROR(__xludf.DUMMYFUNCTION("""COMPUTED_VALUE"""),"UTSA")</f>
        <v>UTSA</v>
      </c>
      <c r="Q10" t="str">
        <f>IFERROR(__xludf.DUMMYFUNCTION("""COMPUTED_VALUE"""),"Northern Illinois")</f>
        <v>Northern Illinois</v>
      </c>
      <c r="R10" t="str">
        <f>IFERROR(__xludf.DUMMYFUNCTION("""COMPUTED_VALUE"""),"San José State")</f>
        <v>San José State</v>
      </c>
      <c r="S10" t="str">
        <f>IFERROR(__xludf.DUMMYFUNCTION("""COMPUTED_VALUE"""),"Missouri")</f>
        <v>Missouri</v>
      </c>
      <c r="T10" t="str">
        <f>IFERROR(__xludf.DUMMYFUNCTION("""COMPUTED_VALUE"""),"UL Monroe")</f>
        <v>UL Monroe</v>
      </c>
    </row>
    <row r="11">
      <c r="A11" t="str">
        <f>IFERROR(__xludf.DUMMYFUNCTION("""COMPUTED_VALUE"""),"Tulsa")</f>
        <v>Tulsa</v>
      </c>
      <c r="B11" t="str">
        <f>IFERROR(__xludf.DUMMYFUNCTION("""COMPUTED_VALUE"""),"Pittsburgh")</f>
        <v>Pittsburgh</v>
      </c>
      <c r="C11" t="str">
        <f>IFERROR(__xludf.DUMMYFUNCTION("""COMPUTED_VALUE"""),"West Virginia")</f>
        <v>West Virginia</v>
      </c>
      <c r="D11" t="str">
        <f>IFERROR(__xludf.DUMMYFUNCTION("""COMPUTED_VALUE"""),"Ohio State")</f>
        <v>Ohio State</v>
      </c>
      <c r="E11" t="str">
        <f>IFERROR(__xludf.DUMMYFUNCTION("""COMPUTED_VALUE"""),"USC")</f>
        <v>USC</v>
      </c>
      <c r="F11" t="str">
        <f>IFERROR(__xludf.DUMMYFUNCTION("""COMPUTED_VALUE"""),"Western Kentucky")</f>
        <v>Western Kentucky</v>
      </c>
      <c r="G11" t="str">
        <f>IFERROR(__xludf.DUMMYFUNCTION("""COMPUTED_VALUE"""),"Ohio")</f>
        <v>Ohio</v>
      </c>
      <c r="H11" t="str">
        <f>IFERROR(__xludf.DUMMYFUNCTION("""COMPUTED_VALUE"""),"UNLV")</f>
        <v>UNLV</v>
      </c>
      <c r="I11" t="str">
        <f>IFERROR(__xludf.DUMMYFUNCTION("""COMPUTED_VALUE"""),"Ole Miss")</f>
        <v>Ole Miss</v>
      </c>
      <c r="J11" t="str">
        <f>IFERROR(__xludf.DUMMYFUNCTION("""COMPUTED_VALUE"""),"Texas State")</f>
        <v>Texas State</v>
      </c>
      <c r="K11" t="str">
        <f>IFERROR(__xludf.DUMMYFUNCTION("""COMPUTED_VALUE"""),"Tulsa")</f>
        <v>Tulsa</v>
      </c>
      <c r="L11" t="str">
        <f>IFERROR(__xludf.DUMMYFUNCTION("""COMPUTED_VALUE"""),"Pittsburgh")</f>
        <v>Pittsburgh</v>
      </c>
      <c r="M11" t="str">
        <f>IFERROR(__xludf.DUMMYFUNCTION("""COMPUTED_VALUE"""),"West Virginia")</f>
        <v>West Virginia</v>
      </c>
      <c r="N11" t="str">
        <f>IFERROR(__xludf.DUMMYFUNCTION("""COMPUTED_VALUE"""),"Ohio State")</f>
        <v>Ohio State</v>
      </c>
      <c r="O11" t="str">
        <f>IFERROR(__xludf.DUMMYFUNCTION("""COMPUTED_VALUE"""),"Utah")</f>
        <v>Utah</v>
      </c>
      <c r="P11" t="str">
        <f>IFERROR(__xludf.DUMMYFUNCTION("""COMPUTED_VALUE"""),"Western Kentucky")</f>
        <v>Western Kentucky</v>
      </c>
      <c r="Q11" t="str">
        <f>IFERROR(__xludf.DUMMYFUNCTION("""COMPUTED_VALUE"""),"Ohio")</f>
        <v>Ohio</v>
      </c>
      <c r="R11" t="str">
        <f>IFERROR(__xludf.DUMMYFUNCTION("""COMPUTED_VALUE"""),"UNLV")</f>
        <v>UNLV</v>
      </c>
      <c r="S11" t="str">
        <f>IFERROR(__xludf.DUMMYFUNCTION("""COMPUTED_VALUE"""),"Ole Miss")</f>
        <v>Ole Miss</v>
      </c>
      <c r="T11" t="str">
        <f>IFERROR(__xludf.DUMMYFUNCTION("""COMPUTED_VALUE"""),"South Alabama")</f>
        <v>South Alabama</v>
      </c>
    </row>
    <row r="12">
      <c r="A12" t="str">
        <f>IFERROR(__xludf.DUMMYFUNCTION("""COMPUTED_VALUE"""),"UCF")</f>
        <v>UCF</v>
      </c>
      <c r="B12" t="str">
        <f>IFERROR(__xludf.DUMMYFUNCTION("""COMPUTED_VALUE"""),"Syracuse")</f>
        <v>Syracuse</v>
      </c>
      <c r="C12" t="str">
        <f>IFERROR(__xludf.DUMMYFUNCTION("""COMPUTED_VALUE"""),"Vanderbilt")</f>
        <v>Vanderbilt</v>
      </c>
      <c r="D12" t="str">
        <f>IFERROR(__xludf.DUMMYFUNCTION("""COMPUTED_VALUE"""),"Penn State")</f>
        <v>Penn State</v>
      </c>
      <c r="E12" t="str">
        <f>IFERROR(__xludf.DUMMYFUNCTION("""COMPUTED_VALUE"""),"Utah")</f>
        <v>Utah</v>
      </c>
      <c r="F12" t="str">
        <f>IFERROR(__xludf.DUMMYFUNCTION("""COMPUTED_VALUE"""),"UAB")</f>
        <v>UAB</v>
      </c>
      <c r="G12" t="str">
        <f>IFERROR(__xludf.DUMMYFUNCTION("""COMPUTED_VALUE"""),"Toledo")</f>
        <v>Toledo</v>
      </c>
      <c r="H12" t="str">
        <f>IFERROR(__xludf.DUMMYFUNCTION("""COMPUTED_VALUE"""),"Utah State")</f>
        <v>Utah State</v>
      </c>
      <c r="I12" t="str">
        <f>IFERROR(__xludf.DUMMYFUNCTION("""COMPUTED_VALUE"""),"South Carolina")</f>
        <v>South Carolina</v>
      </c>
      <c r="J12" t="str">
        <f>IFERROR(__xludf.DUMMYFUNCTION("""COMPUTED_VALUE"""),"Troy")</f>
        <v>Troy</v>
      </c>
      <c r="K12" t="str">
        <f>IFERROR(__xludf.DUMMYFUNCTION("""COMPUTED_VALUE"""),"UCF")</f>
        <v>UCF</v>
      </c>
      <c r="L12" t="str">
        <f>IFERROR(__xludf.DUMMYFUNCTION("""COMPUTED_VALUE"""),"Syracuse")</f>
        <v>Syracuse</v>
      </c>
      <c r="N12" t="str">
        <f>IFERROR(__xludf.DUMMYFUNCTION("""COMPUTED_VALUE"""),"Penn State")</f>
        <v>Penn State</v>
      </c>
      <c r="O12" t="str">
        <f>IFERROR(__xludf.DUMMYFUNCTION("""COMPUTED_VALUE"""),"Washington")</f>
        <v>Washington</v>
      </c>
      <c r="P12" t="str">
        <f>IFERROR(__xludf.DUMMYFUNCTION("""COMPUTED_VALUE"""),"UAB")</f>
        <v>UAB</v>
      </c>
      <c r="Q12" t="str">
        <f>IFERROR(__xludf.DUMMYFUNCTION("""COMPUTED_VALUE"""),"Toledo")</f>
        <v>Toledo</v>
      </c>
      <c r="R12" t="str">
        <f>IFERROR(__xludf.DUMMYFUNCTION("""COMPUTED_VALUE"""),"Utah State")</f>
        <v>Utah State</v>
      </c>
      <c r="S12" t="str">
        <f>IFERROR(__xludf.DUMMYFUNCTION("""COMPUTED_VALUE"""),"South Carolina")</f>
        <v>South Carolina</v>
      </c>
      <c r="T12" t="str">
        <f>IFERROR(__xludf.DUMMYFUNCTION("""COMPUTED_VALUE"""),"Texas State")</f>
        <v>Texas State</v>
      </c>
    </row>
    <row r="13">
      <c r="A13" t="str">
        <f>IFERROR(__xludf.DUMMYFUNCTION("""COMPUTED_VALUE"""),"Army")</f>
        <v>Army</v>
      </c>
      <c r="B13" t="str">
        <f>IFERROR(__xludf.DUMMYFUNCTION("""COMPUTED_VALUE"""),"Virginia")</f>
        <v>Virginia</v>
      </c>
      <c r="C13" t="str">
        <f>IFERROR(__xludf.DUMMYFUNCTION("""COMPUTED_VALUE"""),"BYU")</f>
        <v>BYU</v>
      </c>
      <c r="D13" t="str">
        <f>IFERROR(__xludf.DUMMYFUNCTION("""COMPUTED_VALUE"""),"Purdue")</f>
        <v>Purdue</v>
      </c>
      <c r="E13" t="str">
        <f>IFERROR(__xludf.DUMMYFUNCTION("""COMPUTED_VALUE"""),"Washington")</f>
        <v>Washington</v>
      </c>
      <c r="F13" t="str">
        <f>IFERROR(__xludf.DUMMYFUNCTION("""COMPUTED_VALUE"""),"Southern Mississippi")</f>
        <v>Southern Mississippi</v>
      </c>
      <c r="G13" t="str">
        <f>IFERROR(__xludf.DUMMYFUNCTION("""COMPUTED_VALUE"""),"Western Michigan")</f>
        <v>Western Michigan</v>
      </c>
      <c r="H13" t="str">
        <f>IFERROR(__xludf.DUMMYFUNCTION("""COMPUTED_VALUE"""),"Wyoming")</f>
        <v>Wyoming</v>
      </c>
      <c r="I13" t="str">
        <f>IFERROR(__xludf.DUMMYFUNCTION("""COMPUTED_VALUE"""),"Tennessee")</f>
        <v>Tennessee</v>
      </c>
      <c r="J13" t="str">
        <f>IFERROR(__xludf.DUMMYFUNCTION("""COMPUTED_VALUE"""),"Coastal Carolina")</f>
        <v>Coastal Carolina</v>
      </c>
      <c r="L13" t="str">
        <f>IFERROR(__xludf.DUMMYFUNCTION("""COMPUTED_VALUE"""),"Virginia")</f>
        <v>Virginia</v>
      </c>
      <c r="N13" t="str">
        <f>IFERROR(__xludf.DUMMYFUNCTION("""COMPUTED_VALUE"""),"Purdue")</f>
        <v>Purdue</v>
      </c>
      <c r="O13" t="str">
        <f>IFERROR(__xludf.DUMMYFUNCTION("""COMPUTED_VALUE"""),"Washington State")</f>
        <v>Washington State</v>
      </c>
      <c r="Q13" t="str">
        <f>IFERROR(__xludf.DUMMYFUNCTION("""COMPUTED_VALUE"""),"Western Michigan")</f>
        <v>Western Michigan</v>
      </c>
      <c r="R13" t="str">
        <f>IFERROR(__xludf.DUMMYFUNCTION("""COMPUTED_VALUE"""),"Wyoming")</f>
        <v>Wyoming</v>
      </c>
      <c r="S13" t="str">
        <f>IFERROR(__xludf.DUMMYFUNCTION("""COMPUTED_VALUE"""),"Tennessee")</f>
        <v>Tennessee</v>
      </c>
      <c r="T13" t="str">
        <f>IFERROR(__xludf.DUMMYFUNCTION("""COMPUTED_VALUE"""),"Troy")</f>
        <v>Troy</v>
      </c>
    </row>
    <row r="14">
      <c r="A14" t="str">
        <f>IFERROR(__xludf.DUMMYFUNCTION("""COMPUTED_VALUE"""),"UConn")</f>
        <v>UConn</v>
      </c>
      <c r="B14" t="str">
        <f>IFERROR(__xludf.DUMMYFUNCTION("""COMPUTED_VALUE"""),"Virginia Tech")</f>
        <v>Virginia Tech</v>
      </c>
      <c r="C14" t="str">
        <f>IFERROR(__xludf.DUMMYFUNCTION("""COMPUTED_VALUE"""),"Notre Dame")</f>
        <v>Notre Dame</v>
      </c>
      <c r="D14" t="str">
        <f>IFERROR(__xludf.DUMMYFUNCTION("""COMPUTED_VALUE"""),"Wisconsin")</f>
        <v>Wisconsin</v>
      </c>
      <c r="E14" t="str">
        <f>IFERROR(__xludf.DUMMYFUNCTION("""COMPUTED_VALUE"""),"Washington State")</f>
        <v>Washington State</v>
      </c>
      <c r="F14" t="str">
        <f>IFERROR(__xludf.DUMMYFUNCTION("""COMPUTED_VALUE"""),"UMASS")</f>
        <v>UMASS</v>
      </c>
      <c r="G14" t="str">
        <f>IFERROR(__xludf.DUMMYFUNCTION("""COMPUTED_VALUE"""),"Liberty")</f>
        <v>Liberty</v>
      </c>
      <c r="H14" t="str">
        <f>IFERROR(__xludf.DUMMYFUNCTION("""COMPUTED_VALUE"""),"New Mexico State")</f>
        <v>New Mexico State</v>
      </c>
      <c r="I14" t="str">
        <f>IFERROR(__xludf.DUMMYFUNCTION("""COMPUTED_VALUE"""),"Texas A&amp;M")</f>
        <v>Texas A&amp;M</v>
      </c>
      <c r="J14" t="str">
        <f>IFERROR(__xludf.DUMMYFUNCTION("""COMPUTED_VALUE"""),"James Madison")</f>
        <v>James Madison</v>
      </c>
      <c r="L14" t="str">
        <f>IFERROR(__xludf.DUMMYFUNCTION("""COMPUTED_VALUE"""),"Virginia Tech")</f>
        <v>Virginia Tech</v>
      </c>
      <c r="N14" t="str">
        <f>IFERROR(__xludf.DUMMYFUNCTION("""COMPUTED_VALUE"""),"Rutgers")</f>
        <v>Rutgers</v>
      </c>
      <c r="S14" t="str">
        <f>IFERROR(__xludf.DUMMYFUNCTION("""COMPUTED_VALUE"""),"Texas A&amp;M")</f>
        <v>Texas A&amp;M</v>
      </c>
      <c r="T14" t="str">
        <f>IFERROR(__xludf.DUMMYFUNCTION("""COMPUTED_VALUE"""),"Coastal Carolina")</f>
        <v>Coastal Carolina</v>
      </c>
    </row>
    <row r="15">
      <c r="B15" t="str">
        <f>IFERROR(__xludf.DUMMYFUNCTION("""COMPUTED_VALUE"""),"Wake Forest")</f>
        <v>Wake Forest</v>
      </c>
      <c r="L15" t="str">
        <f>IFERROR(__xludf.DUMMYFUNCTION("""COMPUTED_VALUE"""),"Wake Forest")</f>
        <v>Wake Forest</v>
      </c>
      <c r="N15" t="str">
        <f>IFERROR(__xludf.DUMMYFUNCTION("""COMPUTED_VALUE"""),"Wisconsin")</f>
        <v>Wisconsin</v>
      </c>
      <c r="S15" t="str">
        <f>IFERROR(__xludf.DUMMYFUNCTION("""COMPUTED_VALUE"""),"Vanderbilt")</f>
        <v>Vanderbilt</v>
      </c>
      <c r="T15" t="str">
        <f>IFERROR(__xludf.DUMMYFUNCTION("""COMPUTED_VALUE"""),"James Madison")</f>
        <v>James Madison</v>
      </c>
    </row>
  </sheetData>
  <conditionalFormatting sqref="A2:J15">
    <cfRule type="containsBlanks" dxfId="5" priority="1">
      <formula>LEN(TRIM(A2))=0</formula>
    </cfRule>
  </conditionalFormatting>
  <conditionalFormatting sqref="A2:J15">
    <cfRule type="expression" dxfId="8" priority="2">
      <formula>iserror(match(A2,K:K,0))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cols>
    <col customWidth="1" min="1" max="1" width="7.13"/>
    <col customWidth="1" min="2" max="9" width="5.88"/>
    <col customWidth="1" min="10" max="11" width="7.13"/>
    <col customWidth="1" min="12" max="12" width="7.88"/>
    <col customWidth="1" min="13" max="15" width="5.88"/>
  </cols>
  <sheetData>
    <row r="1">
      <c r="A1" s="164" t="s">
        <v>50</v>
      </c>
      <c r="B1" s="165" t="s">
        <v>415</v>
      </c>
      <c r="C1" s="166" t="str">
        <f>'Picks by Player'!A1</f>
        <v>Jeannine</v>
      </c>
      <c r="D1" s="166" t="str">
        <f>'Picks by Player'!C1</f>
        <v>Dan</v>
      </c>
      <c r="E1" s="166" t="str">
        <f>'Picks by Player'!E1</f>
        <v>DavEmily</v>
      </c>
      <c r="F1" s="166" t="str">
        <f>'Picks by Player'!G1</f>
        <v>Nick G.</v>
      </c>
      <c r="G1" s="166" t="str">
        <f>'Picks by Player'!I1</f>
        <v>Masa</v>
      </c>
      <c r="H1" s="166" t="str">
        <f>'Picks by Player'!K1</f>
        <v>Josh</v>
      </c>
      <c r="I1" s="166" t="str">
        <f>'Picks by Player'!M1</f>
        <v>Brad</v>
      </c>
      <c r="J1" s="166" t="str">
        <f>'Picks by Player'!O1</f>
        <v>Gary</v>
      </c>
      <c r="K1" s="166" t="str">
        <f>'Picks by Player'!Q1</f>
        <v>Nick A.</v>
      </c>
      <c r="L1" s="166" t="str">
        <f>'Picks by Player'!S1</f>
        <v>Justin</v>
      </c>
      <c r="M1" s="166" t="str">
        <f>'Picks by Player'!U1</f>
        <v>Vu</v>
      </c>
      <c r="N1" s="166" t="str">
        <f>'Picks by Player'!W1</f>
        <v>Janice/Mike</v>
      </c>
      <c r="O1" s="164" t="str">
        <f>'Picks by Player'!Y1</f>
        <v>Nico</v>
      </c>
    </row>
    <row r="2">
      <c r="A2" t="s">
        <v>389</v>
      </c>
      <c r="B2" s="85">
        <f>COUNTIF(DraftTracker!E:E,A2)</f>
        <v>13</v>
      </c>
      <c r="C2" t="str">
        <f>IFERROR(__xludf.DUMMYFUNCTION("filter($A2:$A11,(iserror(match($A2:$A11,'Picks by Player'!A3:A12,0))))"),"#N/A")</f>
        <v>#N/A</v>
      </c>
      <c r="D2" t="str">
        <f>IFERROR(__xludf.DUMMYFUNCTION("filter($A2:$A11,(iserror(match($A2:$A11,'Picks by Player'!C3:C12,0))))"),"#N/A")</f>
        <v>#N/A</v>
      </c>
      <c r="E2" t="str">
        <f>IFERROR(__xludf.DUMMYFUNCTION("filter($A2:$A11,(iserror(match($A2:$A11,'Picks by Player'!E3:E12,0))))"),"#N/A")</f>
        <v>#N/A</v>
      </c>
      <c r="F2" t="str">
        <f>IFERROR(__xludf.DUMMYFUNCTION("filter($A2:$A11,(iserror(match($A2:$A11,'Picks by Player'!G3:G12,0))))"),"#N/A")</f>
        <v>#N/A</v>
      </c>
      <c r="G2" t="str">
        <f>IFERROR(__xludf.DUMMYFUNCTION("filter($A2:$A11,(iserror(match($A2:$A11,'Picks by Player'!I3:I12,0))))"),"#N/A")</f>
        <v>#N/A</v>
      </c>
      <c r="H2" t="str">
        <f>IFERROR(__xludf.DUMMYFUNCTION("filter($A2:$A11,(iserror(match($A2:$A11,'Picks by Player'!K3:K12,0))))"),"#N/A")</f>
        <v>#N/A</v>
      </c>
      <c r="I2" t="str">
        <f>IFERROR(__xludf.DUMMYFUNCTION("filter($A2:$A11,(iserror(match($A2:$A11,'Picks by Player'!M3:M12,0))))"),"#N/A")</f>
        <v>#N/A</v>
      </c>
      <c r="J2" t="str">
        <f>IFERROR(__xludf.DUMMYFUNCTION("filter($A2:$A11,(iserror(match($A2:$A11,'Picks by Player'!O3:O12,0))))"),"#N/A")</f>
        <v>#N/A</v>
      </c>
      <c r="K2" t="str">
        <f>IFERROR(__xludf.DUMMYFUNCTION("filter($A2:$A11,(iserror(match($A2:$A11,'Picks by Player'!Q3:Q12,0))))"),"#N/A")</f>
        <v>#N/A</v>
      </c>
      <c r="L2" t="str">
        <f>IFERROR(__xludf.DUMMYFUNCTION("filter($A2:$A11,(iserror(match($A2:$A11,'Picks by Player'!S3:S12,0))))"),"#N/A")</f>
        <v>#N/A</v>
      </c>
      <c r="M2" t="str">
        <f>IFERROR(__xludf.DUMMYFUNCTION("filter($A2:$A11,(iserror(match($A2:$A11,'Picks by Player'!U3:U12,0))))"),"#N/A")</f>
        <v>#N/A</v>
      </c>
      <c r="N2" t="str">
        <f>IFERROR(__xludf.DUMMYFUNCTION("filter($A2:$A11,(iserror(match($A2:$A11,'Picks by Player'!W3:W12,0))))"),"#N/A")</f>
        <v>#N/A</v>
      </c>
      <c r="O2" t="str">
        <f>IFERROR(__xludf.DUMMYFUNCTION("filter($A2:$A11,(iserror(match($A2:$A11,'Picks by Player'!Y3:Y12,0))))"),"#N/A")</f>
        <v>#N/A</v>
      </c>
    </row>
    <row r="3">
      <c r="A3" t="s">
        <v>186</v>
      </c>
      <c r="B3" s="85">
        <f>COUNTIF(DraftTracker!E:E,A3)</f>
        <v>14</v>
      </c>
    </row>
    <row r="4">
      <c r="A4" t="s">
        <v>187</v>
      </c>
      <c r="B4" s="85">
        <f>COUNTIF(DraftTracker!E:E,A4)</f>
        <v>13</v>
      </c>
    </row>
    <row r="5">
      <c r="A5" t="s">
        <v>188</v>
      </c>
      <c r="B5" s="85">
        <f>COUNTIF(DraftTracker!E:E,A5)</f>
        <v>13</v>
      </c>
    </row>
    <row r="6">
      <c r="A6" t="s">
        <v>189</v>
      </c>
      <c r="B6" s="85">
        <f>COUNTIF(DraftTracker!E:E,A6)</f>
        <v>13</v>
      </c>
    </row>
    <row r="7">
      <c r="A7" t="s">
        <v>190</v>
      </c>
      <c r="B7" s="85">
        <f>COUNTIF(DraftTracker!E:E,A7)</f>
        <v>13</v>
      </c>
    </row>
    <row r="8">
      <c r="A8" t="s">
        <v>129</v>
      </c>
      <c r="B8" s="85">
        <f>COUNTIF(DraftTracker!E:E,A8)</f>
        <v>13</v>
      </c>
    </row>
    <row r="9">
      <c r="A9" t="s">
        <v>191</v>
      </c>
      <c r="B9" s="85">
        <f>COUNTIF(DraftTracker!E:E,A9)</f>
        <v>13</v>
      </c>
    </row>
    <row r="10">
      <c r="A10" t="s">
        <v>192</v>
      </c>
      <c r="B10" s="85">
        <f>COUNTIF(DraftTracker!E:E,A10)</f>
        <v>13</v>
      </c>
    </row>
    <row r="11">
      <c r="A11" t="s">
        <v>193</v>
      </c>
      <c r="B11" s="85">
        <f>COUNTIF(DraftTracker!E:E,A11)</f>
        <v>13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38"/>
    <col customWidth="1" min="2" max="2" width="6.5"/>
    <col customWidth="1" min="3" max="3" width="12.63"/>
    <col customWidth="1" min="4" max="4" width="6.38"/>
    <col customWidth="1" min="5" max="5" width="14.0"/>
    <col customWidth="1" min="6" max="6" width="5.5"/>
    <col customWidth="1" min="7" max="7" width="11.13"/>
    <col customWidth="1" min="8" max="8" width="7.13"/>
    <col customWidth="1" min="9" max="9" width="12.0"/>
    <col customWidth="1" min="10" max="10" width="7.13"/>
    <col customWidth="1" min="11" max="11" width="15.25"/>
    <col customWidth="1" min="12" max="12" width="6.38"/>
    <col customWidth="1" min="13" max="13" width="11.75"/>
    <col customWidth="1" min="14" max="14" width="6.38"/>
    <col customWidth="1" min="15" max="15" width="8.25"/>
    <col customWidth="1" min="16" max="16" width="6.38"/>
    <col customWidth="1" min="17" max="17" width="10.25"/>
    <col customWidth="1" min="18" max="18" width="6.13"/>
    <col customWidth="1" min="19" max="19" width="9.0"/>
    <col customWidth="1" min="20" max="20" width="6.13"/>
    <col customWidth="1" min="21" max="21" width="10.25"/>
    <col customWidth="1" min="22" max="22" width="6.13"/>
    <col customWidth="1" min="23" max="23" width="12.75"/>
    <col customWidth="1" min="24" max="24" width="6.13"/>
    <col customWidth="1" min="25" max="27" width="11.38"/>
  </cols>
  <sheetData>
    <row r="1">
      <c r="A1" s="167"/>
      <c r="B1" s="97" t="str">
        <f>'Picks by Player'!A1</f>
        <v>Jeannine</v>
      </c>
      <c r="C1" s="98"/>
      <c r="D1" s="97" t="str">
        <f>'Picks by Player'!C1</f>
        <v>Dan</v>
      </c>
      <c r="E1" s="98"/>
      <c r="F1" s="97" t="str">
        <f>'Picks by Player'!E1</f>
        <v>DavEmily</v>
      </c>
      <c r="G1" s="98"/>
      <c r="H1" s="97" t="str">
        <f>'Picks by Player'!G1</f>
        <v>Nick G.</v>
      </c>
      <c r="I1" s="98"/>
      <c r="J1" s="97" t="str">
        <f>'Picks by Player'!I1</f>
        <v>Masa</v>
      </c>
      <c r="K1" s="98"/>
      <c r="L1" s="97" t="str">
        <f>'Picks by Player'!K1</f>
        <v>Josh</v>
      </c>
      <c r="M1" s="98"/>
      <c r="N1" s="97" t="str">
        <f>'Picks by Player'!M1</f>
        <v>Brad</v>
      </c>
      <c r="O1" s="98"/>
      <c r="P1" s="97" t="str">
        <f>'Picks by Player'!O1</f>
        <v>Gary</v>
      </c>
      <c r="Q1" s="98"/>
      <c r="R1" s="97" t="str">
        <f>'Picks by Player'!Q1</f>
        <v>Nick A.</v>
      </c>
      <c r="S1" s="98"/>
      <c r="T1" s="97" t="str">
        <f>'Picks by Player'!S1</f>
        <v>Justin</v>
      </c>
      <c r="U1" s="98"/>
      <c r="V1" s="97" t="str">
        <f>'Picks by Player'!U1</f>
        <v>Vu</v>
      </c>
      <c r="W1" s="98"/>
      <c r="X1" s="97" t="str">
        <f>'Picks by Player'!W1</f>
        <v>Janice/Mike</v>
      </c>
      <c r="Y1" s="98"/>
      <c r="Z1" s="112" t="str">
        <f>'Picks by Player'!Y1</f>
        <v>Nico</v>
      </c>
      <c r="AA1" s="98"/>
    </row>
    <row r="2">
      <c r="A2" s="168"/>
      <c r="B2" s="114" t="s">
        <v>50</v>
      </c>
      <c r="C2" s="116" t="s">
        <v>0</v>
      </c>
      <c r="D2" s="118" t="s">
        <v>50</v>
      </c>
      <c r="E2" s="117" t="s">
        <v>0</v>
      </c>
      <c r="F2" s="118" t="s">
        <v>50</v>
      </c>
      <c r="G2" s="117" t="s">
        <v>0</v>
      </c>
      <c r="H2" s="118" t="s">
        <v>50</v>
      </c>
      <c r="I2" s="117" t="s">
        <v>0</v>
      </c>
      <c r="J2" s="118" t="s">
        <v>50</v>
      </c>
      <c r="K2" s="117" t="s">
        <v>0</v>
      </c>
      <c r="L2" s="118" t="s">
        <v>50</v>
      </c>
      <c r="M2" s="117" t="s">
        <v>0</v>
      </c>
      <c r="N2" s="118" t="s">
        <v>50</v>
      </c>
      <c r="O2" s="117" t="s">
        <v>0</v>
      </c>
      <c r="P2" s="118" t="s">
        <v>50</v>
      </c>
      <c r="Q2" s="117" t="s">
        <v>0</v>
      </c>
      <c r="R2" s="118" t="s">
        <v>50</v>
      </c>
      <c r="S2" s="117" t="s">
        <v>0</v>
      </c>
      <c r="T2" s="118" t="s">
        <v>50</v>
      </c>
      <c r="U2" s="117" t="s">
        <v>0</v>
      </c>
      <c r="V2" s="118" t="s">
        <v>50</v>
      </c>
      <c r="W2" s="117" t="s">
        <v>0</v>
      </c>
      <c r="X2" s="118" t="s">
        <v>50</v>
      </c>
      <c r="Y2" s="117" t="s">
        <v>0</v>
      </c>
      <c r="Z2" s="118" t="s">
        <v>50</v>
      </c>
      <c r="AA2" s="117" t="s">
        <v>0</v>
      </c>
    </row>
    <row r="3">
      <c r="A3" t="s">
        <v>389</v>
      </c>
      <c r="B3" s="169" t="str">
        <f t="shared" ref="B3:B12" si="1">if(C3="", "", $A3)</f>
        <v>AAC</v>
      </c>
      <c r="C3" s="170" t="str">
        <f>if(iserror(VLOOKUP($A3,'Picks by Player'!A$3:B$12,2,0)),"", VLOOKUP($A3,'Picks by Player'!A$3:B$12,2,0))</f>
        <v>Tulsa</v>
      </c>
      <c r="D3" s="169" t="str">
        <f t="shared" ref="D3:D12" si="2">if(E3="", "", $A3)</f>
        <v>AAC</v>
      </c>
      <c r="E3" s="170" t="str">
        <f>if(iserror(VLOOKUP($A3,'Picks by Player'!C$3:D$12,2,0)),"", VLOOKUP($A3,'Picks by Player'!C$3:D$12,2,0))</f>
        <v>South Florida</v>
      </c>
      <c r="F3" s="169" t="str">
        <f t="shared" ref="F3:F12" si="3">if(G3="", "", $A3)</f>
        <v>AAC</v>
      </c>
      <c r="G3" s="170" t="str">
        <f>if(iserror(VLOOKUP($A3,'Picks by Player'!E$3:F$12,2,0)),"", VLOOKUP($A3,'Picks by Player'!E$3:F$12,2,0))</f>
        <v>Tulane</v>
      </c>
      <c r="H3" s="169" t="str">
        <f t="shared" ref="H3:H12" si="4">if(I3="", "", $A3)</f>
        <v>AAC</v>
      </c>
      <c r="I3" s="170" t="str">
        <f>if(iserror(VLOOKUP($A3,'Picks by Player'!G$3:H$12,2,0)),"", VLOOKUP($A3,'Picks by Player'!G$3:H$12,2,0))</f>
        <v>UConn</v>
      </c>
      <c r="J3" s="169" t="str">
        <f t="shared" ref="J3:J12" si="5">if(K3="", "", $A3)</f>
        <v>AAC</v>
      </c>
      <c r="K3" s="170" t="str">
        <f>if(iserror(VLOOKUP($A3,'Picks by Player'!I$3:J$12,2,0)),"", VLOOKUP($A3,'Picks by Player'!I$3:J$12,2,0))</f>
        <v>Cincinnati</v>
      </c>
      <c r="L3" s="169" t="str">
        <f t="shared" ref="L3:L12" si="6">if(M3="", "", $A3)</f>
        <v>AAC</v>
      </c>
      <c r="M3" s="170" t="str">
        <f>if(iserror(VLOOKUP($A3,'Picks by Player'!K$3:L$12,2,0)),"", VLOOKUP($A3,'Picks by Player'!K$3:L$12,2,0))</f>
        <v>SMU</v>
      </c>
      <c r="N3" s="169" t="str">
        <f t="shared" ref="N3:N12" si="7">if(O3="", "", $A3)</f>
        <v>AAC</v>
      </c>
      <c r="O3" s="170" t="str">
        <f>if(iserror(VLOOKUP($A3,'Picks by Player'!M$3:N$12,2,0)),"", VLOOKUP($A3,'Picks by Player'!M$3:N$12,2,0))</f>
        <v>Memphis</v>
      </c>
      <c r="P3" s="169" t="str">
        <f t="shared" ref="P3:P12" si="8">if(Q3="", "", $A3)</f>
        <v>AAC</v>
      </c>
      <c r="Q3" s="170" t="str">
        <f>if(iserror(VLOOKUP($A3,'Picks by Player'!O$3:P$12,2,0)),"", VLOOKUP($A3,'Picks by Player'!O$3:P$12,2,0))</f>
        <v>East Carolina</v>
      </c>
      <c r="R3" s="169" t="str">
        <f t="shared" ref="R3:R12" si="9">if(S3="", "", $A3)</f>
        <v>AAC</v>
      </c>
      <c r="S3" s="170" t="str">
        <f>if(iserror(VLOOKUP($A3,'Picks by Player'!Q$3:R$12,2,0)),"", VLOOKUP($A3,'Picks by Player'!Q$3:R$12,2,0))</f>
        <v>Army</v>
      </c>
      <c r="T3" s="171" t="str">
        <f t="shared" ref="T3:T12" si="10">if(U3="", "", $A3)</f>
        <v>AAC</v>
      </c>
      <c r="U3" s="170" t="str">
        <f>if(iserror(VLOOKUP($A3,'Picks by Player'!S$3:T$12,2,0)),"", VLOOKUP($A3,'Picks by Player'!S$3:T$12,2,0))</f>
        <v>Navy</v>
      </c>
      <c r="V3" s="169" t="str">
        <f t="shared" ref="V3:V12" si="11">if(W3="", "", $A3)</f>
        <v>AAC</v>
      </c>
      <c r="W3" s="170" t="str">
        <f>if(iserror(VLOOKUP($A3,'Picks by Player'!U$3:V$12,2,0)),"", VLOOKUP($A3,'Picks by Player'!U$3:V$12,2,0))</f>
        <v>UCF</v>
      </c>
      <c r="X3" s="169" t="str">
        <f t="shared" ref="X3:X12" si="12">if(Y3="", "", $A3)</f>
        <v>AAC</v>
      </c>
      <c r="Y3" s="170" t="str">
        <f>if(iserror(VLOOKUP($A3,'Picks by Player'!W$3:X$12,2,0)),"", VLOOKUP($A3,'Picks by Player'!W$3:X$12,2,0))</f>
        <v>Temple</v>
      </c>
      <c r="Z3" s="169" t="str">
        <f t="shared" ref="Z3:Z12" si="13">if(AA3="", "", $A3)</f>
        <v>AAC</v>
      </c>
      <c r="AA3" s="170" t="str">
        <f>if(iserror(VLOOKUP($A3,'Picks by Player'!Y$3:Z$12,2,0)),"", VLOOKUP($A3,'Picks by Player'!Y$3:Z$12,2,0))</f>
        <v>Houston</v>
      </c>
    </row>
    <row r="4">
      <c r="A4" t="s">
        <v>186</v>
      </c>
      <c r="B4" s="172" t="str">
        <f t="shared" si="1"/>
        <v>ACC</v>
      </c>
      <c r="C4" s="173" t="str">
        <f>if(iserror(VLOOKUP($A4,'Picks by Player'!A$3:B$12,2,0)),"", VLOOKUP($A4,'Picks by Player'!A$3:B$12,2,0))</f>
        <v>Virginia</v>
      </c>
      <c r="D4" s="172" t="str">
        <f t="shared" si="2"/>
        <v>ACC</v>
      </c>
      <c r="E4" s="173" t="str">
        <f>if(iserror(VLOOKUP($A4,'Picks by Player'!C$3:D$12,2,0)),"", VLOOKUP($A4,'Picks by Player'!C$3:D$12,2,0))</f>
        <v>Clemson</v>
      </c>
      <c r="F4" s="172" t="str">
        <f t="shared" si="3"/>
        <v>ACC</v>
      </c>
      <c r="G4" s="173" t="str">
        <f>if(iserror(VLOOKUP($A4,'Picks by Player'!E$3:F$12,2,0)),"", VLOOKUP($A4,'Picks by Player'!E$3:F$12,2,0))</f>
        <v>Wake Forest</v>
      </c>
      <c r="H4" s="172" t="str">
        <f t="shared" si="4"/>
        <v>ACC</v>
      </c>
      <c r="I4" s="173" t="str">
        <f>if(iserror(VLOOKUP($A4,'Picks by Player'!G$3:H$12,2,0)),"", VLOOKUP($A4,'Picks by Player'!G$3:H$12,2,0))</f>
        <v>Boston College</v>
      </c>
      <c r="J4" s="172" t="str">
        <f t="shared" si="5"/>
        <v>ACC</v>
      </c>
      <c r="K4" s="173" t="str">
        <f>if(iserror(VLOOKUP($A4,'Picks by Player'!I$3:J$12,2,0)),"", VLOOKUP($A4,'Picks by Player'!I$3:J$12,2,0))</f>
        <v>Syracuse</v>
      </c>
      <c r="L4" s="172" t="str">
        <f t="shared" si="6"/>
        <v>ACC</v>
      </c>
      <c r="M4" s="173" t="str">
        <f>if(iserror(VLOOKUP($A4,'Picks by Player'!K$3:L$12,2,0)),"", VLOOKUP($A4,'Picks by Player'!K$3:L$12,2,0))</f>
        <v>Louisville</v>
      </c>
      <c r="N4" s="172" t="str">
        <f t="shared" si="7"/>
        <v>ACC</v>
      </c>
      <c r="O4" s="173" t="str">
        <f>if(iserror(VLOOKUP($A4,'Picks by Player'!M$3:N$12,2,0)),"", VLOOKUP($A4,'Picks by Player'!M$3:N$12,2,0))</f>
        <v>North Carolina</v>
      </c>
      <c r="P4" s="172" t="str">
        <f t="shared" si="8"/>
        <v>ACC</v>
      </c>
      <c r="Q4" s="173" t="str">
        <f>if(iserror(VLOOKUP($A4,'Picks by Player'!O$3:P$12,2,0)),"", VLOOKUP($A4,'Picks by Player'!O$3:P$12,2,0))</f>
        <v>Miami</v>
      </c>
      <c r="R4" t="str">
        <f t="shared" si="9"/>
        <v>ACC</v>
      </c>
      <c r="S4" t="str">
        <f>if(iserror(VLOOKUP($A4,'Picks by Player'!Q$3:R$12,2,0)),"", VLOOKUP($A4,'Picks by Player'!Q$3:R$12,2,0))</f>
        <v>Pittsburgh</v>
      </c>
      <c r="T4" s="174" t="str">
        <f t="shared" si="10"/>
        <v>ACC</v>
      </c>
      <c r="U4" t="str">
        <f>if(iserror(VLOOKUP($A4,'Picks by Player'!S$3:T$12,2,0)),"", VLOOKUP($A4,'Picks by Player'!S$3:T$12,2,0))</f>
        <v>Georgia Tech</v>
      </c>
      <c r="V4" s="172" t="str">
        <f t="shared" si="11"/>
        <v>ACC</v>
      </c>
      <c r="W4" s="173" t="str">
        <f>if(iserror(VLOOKUP($A4,'Picks by Player'!U$3:V$12,2,0)),"", VLOOKUP($A4,'Picks by Player'!U$3:V$12,2,0))</f>
        <v>Virginia Tech</v>
      </c>
      <c r="X4" s="172" t="str">
        <f t="shared" si="12"/>
        <v>ACC</v>
      </c>
      <c r="Y4" s="173" t="str">
        <f>if(iserror(VLOOKUP($A4,'Picks by Player'!W$3:X$12,2,0)),"", VLOOKUP($A4,'Picks by Player'!W$3:X$12,2,0))</f>
        <v>Florida State</v>
      </c>
      <c r="Z4" s="172" t="str">
        <f t="shared" si="13"/>
        <v>ACC</v>
      </c>
      <c r="AA4" s="173" t="str">
        <f>if(iserror(VLOOKUP($A4,'Picks by Player'!Y$3:Z$12,2,0)),"", VLOOKUP($A4,'Picks by Player'!Y$3:Z$12,2,0))</f>
        <v>NC State</v>
      </c>
    </row>
    <row r="5">
      <c r="A5" t="s">
        <v>187</v>
      </c>
      <c r="B5" s="172" t="str">
        <f t="shared" si="1"/>
        <v>Big 12</v>
      </c>
      <c r="C5" s="173" t="str">
        <f>if(iserror(VLOOKUP($A5,'Picks by Player'!A$3:B$12,2,0)),"", VLOOKUP($A5,'Picks by Player'!A$3:B$12,2,0))</f>
        <v>Oklahoma</v>
      </c>
      <c r="D5" s="172" t="str">
        <f t="shared" si="2"/>
        <v>Big 12</v>
      </c>
      <c r="E5" s="173" t="str">
        <f>if(iserror(VLOOKUP($A5,'Picks by Player'!C$3:D$12,2,0)),"", VLOOKUP($A5,'Picks by Player'!C$3:D$12,2,0))</f>
        <v>Kansas</v>
      </c>
      <c r="F5" s="172" t="str">
        <f t="shared" si="3"/>
        <v>Big 12</v>
      </c>
      <c r="G5" s="173" t="str">
        <f>if(iserror(VLOOKUP($A5,'Picks by Player'!E$3:F$12,2,0)),"", VLOOKUP($A5,'Picks by Player'!E$3:F$12,2,0))</f>
        <v>Texas Tech</v>
      </c>
      <c r="H5" s="172" t="str">
        <f t="shared" si="4"/>
        <v>Big 12</v>
      </c>
      <c r="I5" s="173" t="str">
        <f>if(iserror(VLOOKUP($A5,'Picks by Player'!G$3:H$12,2,0)),"", VLOOKUP($A5,'Picks by Player'!G$3:H$12,2,0))</f>
        <v>Kansas State</v>
      </c>
      <c r="J5" s="172" t="str">
        <f t="shared" si="5"/>
        <v>Big 12</v>
      </c>
      <c r="K5" s="173" t="str">
        <f>if(iserror(VLOOKUP($A5,'Picks by Player'!I$3:J$12,2,0)),"", VLOOKUP($A5,'Picks by Player'!I$3:J$12,2,0))</f>
        <v>Vanderbilt</v>
      </c>
      <c r="L5" s="172" t="str">
        <f t="shared" si="6"/>
        <v>Big 12</v>
      </c>
      <c r="M5" s="173" t="str">
        <f>if(iserror(VLOOKUP($A5,'Picks by Player'!K$3:L$12,2,0)),"", VLOOKUP($A5,'Picks by Player'!K$3:L$12,2,0))</f>
        <v>BYU</v>
      </c>
      <c r="N5" s="172" t="str">
        <f t="shared" si="7"/>
        <v>Big 12</v>
      </c>
      <c r="O5" s="173" t="str">
        <f>if(iserror(VLOOKUP($A5,'Picks by Player'!M$3:N$12,2,0)),"", VLOOKUP($A5,'Picks by Player'!M$3:N$12,2,0))</f>
        <v>Notre Dame</v>
      </c>
      <c r="P5" s="172" t="str">
        <f t="shared" si="8"/>
        <v>Big 12</v>
      </c>
      <c r="Q5" s="173" t="str">
        <f>if(iserror(VLOOKUP($A5,'Picks by Player'!O$3:P$12,2,0)),"", VLOOKUP($A5,'Picks by Player'!O$3:P$12,2,0))</f>
        <v>West Virginia</v>
      </c>
      <c r="R5" t="str">
        <f t="shared" si="9"/>
        <v>Big 12</v>
      </c>
      <c r="S5" t="str">
        <f>if(iserror(VLOOKUP($A5,'Picks by Player'!Q$3:R$12,2,0)),"", VLOOKUP($A5,'Picks by Player'!Q$3:R$12,2,0))</f>
        <v>Texas</v>
      </c>
      <c r="T5" s="174" t="str">
        <f t="shared" si="10"/>
        <v>Big 12</v>
      </c>
      <c r="U5" t="str">
        <f>if(iserror(VLOOKUP($A5,'Picks by Player'!S$3:T$12,2,0)),"", VLOOKUP($A5,'Picks by Player'!S$3:T$12,2,0))</f>
        <v>Oklahoma State</v>
      </c>
      <c r="V5" s="172" t="str">
        <f t="shared" si="11"/>
        <v>Big 12</v>
      </c>
      <c r="W5" s="173" t="str">
        <f>if(iserror(VLOOKUP($A5,'Picks by Player'!U$3:V$12,2,0)),"", VLOOKUP($A5,'Picks by Player'!U$3:V$12,2,0))</f>
        <v>Iowa State</v>
      </c>
      <c r="X5" s="172" t="str">
        <f t="shared" si="12"/>
        <v>Big 12</v>
      </c>
      <c r="Y5" s="173" t="str">
        <f>if(iserror(VLOOKUP($A5,'Picks by Player'!W$3:X$12,2,0)),"", VLOOKUP($A5,'Picks by Player'!W$3:X$12,2,0))</f>
        <v>TCU</v>
      </c>
      <c r="Z5" s="172" t="str">
        <f t="shared" si="13"/>
        <v>Big 12</v>
      </c>
      <c r="AA5" s="173" t="str">
        <f>if(iserror(VLOOKUP($A5,'Picks by Player'!Y$3:Z$12,2,0)),"", VLOOKUP($A5,'Picks by Player'!Y$3:Z$12,2,0))</f>
        <v>Baylor</v>
      </c>
    </row>
    <row r="6">
      <c r="A6" t="s">
        <v>188</v>
      </c>
      <c r="B6" s="172" t="str">
        <f t="shared" si="1"/>
        <v>Big Ten</v>
      </c>
      <c r="C6" s="173" t="str">
        <f>if(iserror(VLOOKUP($A6,'Picks by Player'!A$3:B$12,2,0)),"", VLOOKUP($A6,'Picks by Player'!A$3:B$12,2,0))</f>
        <v>Ohio State</v>
      </c>
      <c r="D6" s="172" t="str">
        <f t="shared" si="2"/>
        <v>Big Ten</v>
      </c>
      <c r="E6" s="173" t="str">
        <f>if(iserror(VLOOKUP($A6,'Picks by Player'!C$3:D$12,2,0)),"", VLOOKUP($A6,'Picks by Player'!C$3:D$12,2,0))</f>
        <v>Wisconsin</v>
      </c>
      <c r="F6" s="172" t="str">
        <f t="shared" si="3"/>
        <v>Big Ten</v>
      </c>
      <c r="G6" s="173" t="str">
        <f>if(iserror(VLOOKUP($A6,'Picks by Player'!E$3:F$12,2,0)),"", VLOOKUP($A6,'Picks by Player'!E$3:F$12,2,0))</f>
        <v>Minnesota</v>
      </c>
      <c r="H6" s="172" t="str">
        <f t="shared" si="4"/>
        <v>Big Ten</v>
      </c>
      <c r="I6" s="173" t="str">
        <f>if(iserror(VLOOKUP($A6,'Picks by Player'!G$3:H$12,2,0)),"", VLOOKUP($A6,'Picks by Player'!G$3:H$12,2,0))</f>
        <v>Michigan</v>
      </c>
      <c r="J6" s="172" t="str">
        <f t="shared" si="5"/>
        <v>Big Ten</v>
      </c>
      <c r="K6" s="173" t="str">
        <f>if(iserror(VLOOKUP($A6,'Picks by Player'!I$3:J$12,2,0)),"", VLOOKUP($A6,'Picks by Player'!I$3:J$12,2,0))</f>
        <v>Michigan State</v>
      </c>
      <c r="L6" s="172" t="str">
        <f t="shared" si="6"/>
        <v>Big Ten</v>
      </c>
      <c r="M6" s="173" t="str">
        <f>if(iserror(VLOOKUP($A6,'Picks by Player'!K$3:L$12,2,0)),"", VLOOKUP($A6,'Picks by Player'!K$3:L$12,2,0))</f>
        <v>Nebraska</v>
      </c>
      <c r="N6" s="172" t="str">
        <f t="shared" si="7"/>
        <v>Big Ten</v>
      </c>
      <c r="O6" s="173" t="str">
        <f>if(iserror(VLOOKUP($A6,'Picks by Player'!M$3:N$12,2,0)),"", VLOOKUP($A6,'Picks by Player'!M$3:N$12,2,0))</f>
        <v>Penn State</v>
      </c>
      <c r="P6" s="172" t="str">
        <f t="shared" si="8"/>
        <v>Big Ten</v>
      </c>
      <c r="Q6" s="173" t="str">
        <f>if(iserror(VLOOKUP($A6,'Picks by Player'!O$3:P$12,2,0)),"", VLOOKUP($A6,'Picks by Player'!O$3:P$12,2,0))</f>
        <v>Illinois</v>
      </c>
      <c r="R6" t="str">
        <f t="shared" si="9"/>
        <v>Big Ten</v>
      </c>
      <c r="S6" t="str">
        <f>if(iserror(VLOOKUP($A6,'Picks by Player'!Q$3:R$12,2,0)),"", VLOOKUP($A6,'Picks by Player'!Q$3:R$12,2,0))</f>
        <v>Indiana</v>
      </c>
      <c r="T6" s="174" t="str">
        <f t="shared" si="10"/>
        <v>Big Ten</v>
      </c>
      <c r="U6" t="str">
        <f>if(iserror(VLOOKUP($A6,'Picks by Player'!S$3:T$12,2,0)),"", VLOOKUP($A6,'Picks by Player'!S$3:T$12,2,0))</f>
        <v>Iowa</v>
      </c>
      <c r="V6" s="172" t="str">
        <f t="shared" si="11"/>
        <v>Big Ten</v>
      </c>
      <c r="W6" s="173" t="str">
        <f>if(iserror(VLOOKUP($A6,'Picks by Player'!U$3:V$12,2,0)),"", VLOOKUP($A6,'Picks by Player'!U$3:V$12,2,0))</f>
        <v>Purdue</v>
      </c>
      <c r="X6" s="172" t="str">
        <f t="shared" si="12"/>
        <v>Big Ten</v>
      </c>
      <c r="Y6" s="173" t="str">
        <f>if(iserror(VLOOKUP($A6,'Picks by Player'!W$3:X$12,2,0)),"", VLOOKUP($A6,'Picks by Player'!W$3:X$12,2,0))</f>
        <v>Maryland</v>
      </c>
      <c r="Z6" s="172" t="str">
        <f t="shared" si="13"/>
        <v>Big Ten</v>
      </c>
      <c r="AA6" s="173" t="str">
        <f>if(iserror(VLOOKUP($A6,'Picks by Player'!Y$3:Z$12,2,0)),"", VLOOKUP($A6,'Picks by Player'!Y$3:Z$12,2,0))</f>
        <v>Northwestern</v>
      </c>
    </row>
    <row r="7">
      <c r="A7" t="s">
        <v>189</v>
      </c>
      <c r="B7" s="172" t="str">
        <f t="shared" si="1"/>
        <v>CUSA</v>
      </c>
      <c r="C7" s="173" t="str">
        <f>if(iserror(VLOOKUP($A7,'Picks by Player'!A$3:B$12,2,0)),"", VLOOKUP($A7,'Picks by Player'!A$3:B$12,2,0))</f>
        <v>Florida Atlantic</v>
      </c>
      <c r="D7" s="172" t="str">
        <f t="shared" si="2"/>
        <v>CUSA</v>
      </c>
      <c r="E7" s="173" t="str">
        <f>if(iserror(VLOOKUP($A7,'Picks by Player'!C$3:D$12,2,0)),"", VLOOKUP($A7,'Picks by Player'!C$3:D$12,2,0))</f>
        <v>North Texas</v>
      </c>
      <c r="F7" s="172" t="str">
        <f t="shared" si="3"/>
        <v>CUSA</v>
      </c>
      <c r="G7" s="173" t="str">
        <f>if(iserror(VLOOKUP($A7,'Picks by Player'!E$3:F$12,2,0)),"", VLOOKUP($A7,'Picks by Player'!E$3:F$12,2,0))</f>
        <v>Western Kentucky</v>
      </c>
      <c r="H7" s="172" t="str">
        <f t="shared" si="4"/>
        <v>CUSA</v>
      </c>
      <c r="I7" s="173" t="str">
        <f>if(iserror(VLOOKUP($A7,'Picks by Player'!G$3:H$12,2,0)),"", VLOOKUP($A7,'Picks by Player'!G$3:H$12,2,0))</f>
        <v>Florida Intl</v>
      </c>
      <c r="J7" s="172" t="str">
        <f t="shared" si="5"/>
        <v>CUSA</v>
      </c>
      <c r="K7" s="173" t="str">
        <f>if(iserror(VLOOKUP($A7,'Picks by Player'!I$3:J$12,2,0)),"", VLOOKUP($A7,'Picks by Player'!I$3:J$12,2,0))</f>
        <v>UTSA</v>
      </c>
      <c r="L7" s="172" t="str">
        <f t="shared" si="6"/>
        <v>CUSA</v>
      </c>
      <c r="M7" s="173" t="str">
        <f>if(iserror(VLOOKUP($A7,'Picks by Player'!K$3:L$12,2,0)),"", VLOOKUP($A7,'Picks by Player'!K$3:L$12,2,0))</f>
        <v>Charlotte</v>
      </c>
      <c r="N7" s="172" t="str">
        <f t="shared" si="7"/>
        <v>CUSA</v>
      </c>
      <c r="O7" s="173" t="str">
        <f>if(iserror(VLOOKUP($A7,'Picks by Player'!M$3:N$12,2,0)),"", VLOOKUP($A7,'Picks by Player'!M$3:N$12,2,0))</f>
        <v>Middle Tennessee</v>
      </c>
      <c r="P7" s="172" t="str">
        <f t="shared" si="8"/>
        <v>CUSA</v>
      </c>
      <c r="Q7" s="173" t="str">
        <f>if(iserror(VLOOKUP($A7,'Picks by Player'!O$3:P$12,2,0)),"", VLOOKUP($A7,'Picks by Player'!O$3:P$12,2,0))</f>
        <v>Southern Mississippi</v>
      </c>
      <c r="R7" t="str">
        <f t="shared" si="9"/>
        <v>CUSA</v>
      </c>
      <c r="S7" t="str">
        <f>if(iserror(VLOOKUP($A7,'Picks by Player'!Q$3:R$12,2,0)),"", VLOOKUP($A7,'Picks by Player'!Q$3:R$12,2,0))</f>
        <v>Louisiana Tech</v>
      </c>
      <c r="T7" s="174" t="str">
        <f t="shared" si="10"/>
        <v>CUSA</v>
      </c>
      <c r="U7" t="str">
        <f>if(iserror(VLOOKUP($A7,'Picks by Player'!S$3:T$12,2,0)),"", VLOOKUP($A7,'Picks by Player'!S$3:T$12,2,0))</f>
        <v>Rice</v>
      </c>
      <c r="V7" s="172" t="str">
        <f t="shared" si="11"/>
        <v>CUSA</v>
      </c>
      <c r="W7" s="173" t="str">
        <f>if(iserror(VLOOKUP($A7,'Picks by Player'!U$3:V$12,2,0)),"", VLOOKUP($A7,'Picks by Player'!U$3:V$12,2,0))</f>
        <v>UMASS</v>
      </c>
      <c r="X7" s="172" t="str">
        <f t="shared" si="12"/>
        <v>CUSA</v>
      </c>
      <c r="Y7" s="173" t="str">
        <f>if(iserror(VLOOKUP($A7,'Picks by Player'!W$3:X$12,2,0)),"", VLOOKUP($A7,'Picks by Player'!W$3:X$12,2,0))</f>
        <v>UAB</v>
      </c>
      <c r="Z7" s="172" t="str">
        <f t="shared" si="13"/>
        <v>CUSA</v>
      </c>
      <c r="AA7" s="173" t="str">
        <f>if(iserror(VLOOKUP($A7,'Picks by Player'!Y$3:Z$12,2,0)),"", VLOOKUP($A7,'Picks by Player'!Y$3:Z$12,2,0))</f>
        <v>UTEP</v>
      </c>
    </row>
    <row r="8">
      <c r="A8" t="s">
        <v>190</v>
      </c>
      <c r="B8" s="172" t="str">
        <f t="shared" si="1"/>
        <v>MAC</v>
      </c>
      <c r="C8" s="173" t="str">
        <f>if(iserror(VLOOKUP($A8,'Picks by Player'!A$3:B$12,2,0)),"", VLOOKUP($A8,'Picks by Player'!A$3:B$12,2,0))</f>
        <v>Ohio</v>
      </c>
      <c r="D8" s="172" t="str">
        <f t="shared" si="2"/>
        <v>MAC</v>
      </c>
      <c r="E8" s="173" t="str">
        <f>if(iserror(VLOOKUP($A8,'Picks by Player'!C$3:D$12,2,0)),"", VLOOKUP($A8,'Picks by Player'!C$3:D$12,2,0))</f>
        <v>Miami-OH</v>
      </c>
      <c r="F8" s="172" t="str">
        <f t="shared" si="3"/>
        <v>MAC</v>
      </c>
      <c r="G8" s="173" t="str">
        <f>if(iserror(VLOOKUP($A8,'Picks by Player'!E$3:F$12,2,0)),"", VLOOKUP($A8,'Picks by Player'!E$3:F$12,2,0))</f>
        <v>Toledo</v>
      </c>
      <c r="H8" s="172" t="str">
        <f t="shared" si="4"/>
        <v>MAC</v>
      </c>
      <c r="I8" s="173" t="str">
        <f>if(iserror(VLOOKUP($A8,'Picks by Player'!G$3:H$12,2,0)),"", VLOOKUP($A8,'Picks by Player'!G$3:H$12,2,0))</f>
        <v>Central Michigan</v>
      </c>
      <c r="J8" s="172" t="str">
        <f t="shared" si="5"/>
        <v>MAC</v>
      </c>
      <c r="K8" s="173" t="str">
        <f>if(iserror(VLOOKUP($A8,'Picks by Player'!I$3:J$12,2,0)),"", VLOOKUP($A8,'Picks by Player'!I$3:J$12,2,0))</f>
        <v>Northern Illinois</v>
      </c>
      <c r="L8" s="172" t="str">
        <f t="shared" si="6"/>
        <v>MAC</v>
      </c>
      <c r="M8" s="173" t="str">
        <f>if(iserror(VLOOKUP($A8,'Picks by Player'!K$3:L$12,2,0)),"", VLOOKUP($A8,'Picks by Player'!K$3:L$12,2,0))</f>
        <v>Akron</v>
      </c>
      <c r="N8" s="172" t="str">
        <f t="shared" si="7"/>
        <v>MAC</v>
      </c>
      <c r="O8" s="173" t="str">
        <f>if(iserror(VLOOKUP($A8,'Picks by Player'!M$3:N$12,2,0)),"", VLOOKUP($A8,'Picks by Player'!M$3:N$12,2,0))</f>
        <v>Buffalo</v>
      </c>
      <c r="P8" s="172" t="str">
        <f t="shared" si="8"/>
        <v>MAC</v>
      </c>
      <c r="Q8" s="173" t="str">
        <f>if(iserror(VLOOKUP($A8,'Picks by Player'!O$3:P$12,2,0)),"", VLOOKUP($A8,'Picks by Player'!O$3:P$12,2,0))</f>
        <v>Kent State</v>
      </c>
      <c r="R8" t="str">
        <f t="shared" si="9"/>
        <v>MAC</v>
      </c>
      <c r="S8" t="str">
        <f>if(iserror(VLOOKUP($A8,'Picks by Player'!Q$3:R$12,2,0)),"", VLOOKUP($A8,'Picks by Player'!Q$3:R$12,2,0))</f>
        <v>Liberty</v>
      </c>
      <c r="T8" s="174" t="str">
        <f t="shared" si="10"/>
        <v>MAC</v>
      </c>
      <c r="U8" t="str">
        <f>if(iserror(VLOOKUP($A8,'Picks by Player'!S$3:T$12,2,0)),"", VLOOKUP($A8,'Picks by Player'!S$3:T$12,2,0))</f>
        <v>Ball State</v>
      </c>
      <c r="V8" s="172" t="str">
        <f t="shared" si="11"/>
        <v>MAC</v>
      </c>
      <c r="W8" s="173" t="str">
        <f>if(iserror(VLOOKUP($A8,'Picks by Player'!U$3:V$12,2,0)),"", VLOOKUP($A8,'Picks by Player'!U$3:V$12,2,0))</f>
        <v>Bowling Green</v>
      </c>
      <c r="X8" s="172" t="str">
        <f t="shared" si="12"/>
        <v>MAC</v>
      </c>
      <c r="Y8" s="173" t="str">
        <f>if(iserror(VLOOKUP($A8,'Picks by Player'!W$3:X$12,2,0)),"", VLOOKUP($A8,'Picks by Player'!W$3:X$12,2,0))</f>
        <v>EMU</v>
      </c>
      <c r="Z8" s="172" t="str">
        <f t="shared" si="13"/>
        <v>MAC</v>
      </c>
      <c r="AA8" s="173" t="str">
        <f>if(iserror(VLOOKUP($A8,'Picks by Player'!Y$3:Z$12,2,0)),"", VLOOKUP($A8,'Picks by Player'!Y$3:Z$12,2,0))</f>
        <v>Western Michigan</v>
      </c>
    </row>
    <row r="9">
      <c r="A9" t="s">
        <v>129</v>
      </c>
      <c r="B9" s="172" t="str">
        <f t="shared" si="1"/>
        <v>MWC</v>
      </c>
      <c r="C9" s="173" t="str">
        <f>if(iserror(VLOOKUP($A9,'Picks by Player'!A$3:B$12,2,0)),"", VLOOKUP($A9,'Picks by Player'!A$3:B$12,2,0))</f>
        <v>Nevada</v>
      </c>
      <c r="D9" s="172" t="str">
        <f t="shared" si="2"/>
        <v>MWC</v>
      </c>
      <c r="E9" s="173" t="str">
        <f>if(iserror(VLOOKUP($A9,'Picks by Player'!C$3:D$12,2,0)),"", VLOOKUP($A9,'Picks by Player'!C$3:D$12,2,0))</f>
        <v>San Diego State</v>
      </c>
      <c r="F9" s="172" t="str">
        <f t="shared" si="3"/>
        <v>MWC</v>
      </c>
      <c r="G9" s="173" t="str">
        <f>if(iserror(VLOOKUP($A9,'Picks by Player'!E$3:F$12,2,0)),"", VLOOKUP($A9,'Picks by Player'!E$3:F$12,2,0))</f>
        <v>New Mexico</v>
      </c>
      <c r="H9" s="172" t="str">
        <f t="shared" si="4"/>
        <v>MWC</v>
      </c>
      <c r="I9" s="173" t="str">
        <f>if(iserror(VLOOKUP($A9,'Picks by Player'!G$3:H$12,2,0)),"", VLOOKUP($A9,'Picks by Player'!G$3:H$12,2,0))</f>
        <v>UNLV</v>
      </c>
      <c r="J9" s="172" t="str">
        <f t="shared" si="5"/>
        <v>MWC</v>
      </c>
      <c r="K9" s="173" t="str">
        <f>if(iserror(VLOOKUP($A9,'Picks by Player'!I$3:J$12,2,0)),"", VLOOKUP($A9,'Picks by Player'!I$3:J$12,2,0))</f>
        <v>Utah State</v>
      </c>
      <c r="L9" s="172" t="str">
        <f t="shared" si="6"/>
        <v>MWC</v>
      </c>
      <c r="M9" s="173" t="str">
        <f>if(iserror(VLOOKUP($A9,'Picks by Player'!K$3:L$12,2,0)),"", VLOOKUP($A9,'Picks by Player'!K$3:L$12,2,0))</f>
        <v>San José State</v>
      </c>
      <c r="N9" s="172" t="str">
        <f t="shared" si="7"/>
        <v>MWC</v>
      </c>
      <c r="O9" s="173" t="str">
        <f>if(iserror(VLOOKUP($A9,'Picks by Player'!M$3:N$12,2,0)),"", VLOOKUP($A9,'Picks by Player'!M$3:N$12,2,0))</f>
        <v>New Mexico State</v>
      </c>
      <c r="P9" s="172" t="str">
        <f t="shared" si="8"/>
        <v>MWC</v>
      </c>
      <c r="Q9" s="173" t="str">
        <f>if(iserror(VLOOKUP($A9,'Picks by Player'!O$3:P$12,2,0)),"", VLOOKUP($A9,'Picks by Player'!O$3:P$12,2,0))</f>
        <v>Fresno State</v>
      </c>
      <c r="R9" t="str">
        <f t="shared" si="9"/>
        <v>MWC</v>
      </c>
      <c r="S9" t="str">
        <f>if(iserror(VLOOKUP($A9,'Picks by Player'!Q$3:R$12,2,0)),"", VLOOKUP($A9,'Picks by Player'!Q$3:R$12,2,0))</f>
        <v>Hawaii</v>
      </c>
      <c r="T9" s="174" t="str">
        <f t="shared" si="10"/>
        <v>MWC</v>
      </c>
      <c r="U9" t="str">
        <f>if(iserror(VLOOKUP($A9,'Picks by Player'!S$3:T$12,2,0)),"", VLOOKUP($A9,'Picks by Player'!S$3:T$12,2,0))</f>
        <v>Colorado State</v>
      </c>
      <c r="V9" s="172" t="str">
        <f t="shared" si="11"/>
        <v>MWC</v>
      </c>
      <c r="W9" s="173" t="str">
        <f>if(iserror(VLOOKUP($A9,'Picks by Player'!U$3:V$12,2,0)),"", VLOOKUP($A9,'Picks by Player'!U$3:V$12,2,0))</f>
        <v>Boise State</v>
      </c>
      <c r="X9" s="172" t="str">
        <f t="shared" si="12"/>
        <v>MWC</v>
      </c>
      <c r="Y9" s="173" t="str">
        <f>if(iserror(VLOOKUP($A9,'Picks by Player'!W$3:X$12,2,0)),"", VLOOKUP($A9,'Picks by Player'!W$3:X$12,2,0))</f>
        <v>Air Force</v>
      </c>
      <c r="Z9" s="172" t="str">
        <f t="shared" si="13"/>
        <v>MWC</v>
      </c>
      <c r="AA9" s="173" t="str">
        <f>if(iserror(VLOOKUP($A9,'Picks by Player'!Y$3:Z$12,2,0)),"", VLOOKUP($A9,'Picks by Player'!Y$3:Z$12,2,0))</f>
        <v>Wyoming</v>
      </c>
    </row>
    <row r="10">
      <c r="A10" t="s">
        <v>191</v>
      </c>
      <c r="B10" s="172" t="str">
        <f t="shared" si="1"/>
        <v>Pac12</v>
      </c>
      <c r="C10" s="173" t="str">
        <f>if(iserror(VLOOKUP($A10,'Picks by Player'!A$3:B$12,2,0)),"", VLOOKUP($A10,'Picks by Player'!A$3:B$12,2,0))</f>
        <v>Oregon</v>
      </c>
      <c r="D10" s="172" t="str">
        <f t="shared" si="2"/>
        <v>Pac12</v>
      </c>
      <c r="E10" s="173" t="str">
        <f>if(iserror(VLOOKUP($A10,'Picks by Player'!C$3:D$12,2,0)),"", VLOOKUP($A10,'Picks by Player'!C$3:D$12,2,0))</f>
        <v>Washington State</v>
      </c>
      <c r="F10" s="172" t="str">
        <f t="shared" si="3"/>
        <v>Pac12</v>
      </c>
      <c r="G10" s="173" t="str">
        <f>if(iserror(VLOOKUP($A10,'Picks by Player'!E$3:F$12,2,0)),"", VLOOKUP($A10,'Picks by Player'!E$3:F$12,2,0))</f>
        <v>UCLA</v>
      </c>
      <c r="H10" s="172" t="str">
        <f t="shared" si="4"/>
        <v>Pac12</v>
      </c>
      <c r="I10" s="173" t="str">
        <f>if(iserror(VLOOKUP($A10,'Picks by Player'!G$3:H$12,2,0)),"", VLOOKUP($A10,'Picks by Player'!G$3:H$12,2,0))</f>
        <v>Oregon State</v>
      </c>
      <c r="J10" s="172" t="str">
        <f t="shared" si="5"/>
        <v>Pac12</v>
      </c>
      <c r="K10" s="173" t="str">
        <f>if(iserror(VLOOKUP($A10,'Picks by Player'!I$3:J$12,2,0)),"", VLOOKUP($A10,'Picks by Player'!I$3:J$12,2,0))</f>
        <v>Stanford</v>
      </c>
      <c r="L10" s="172" t="str">
        <f t="shared" si="6"/>
        <v>Pac12</v>
      </c>
      <c r="M10" s="173" t="str">
        <f>if(iserror(VLOOKUP($A10,'Picks by Player'!K$3:L$12,2,0)),"", VLOOKUP($A10,'Picks by Player'!K$3:L$12,2,0))</f>
        <v>Rutgers</v>
      </c>
      <c r="N10" s="172" t="str">
        <f t="shared" si="7"/>
        <v>Pac12</v>
      </c>
      <c r="O10" s="173" t="str">
        <f>if(iserror(VLOOKUP($A10,'Picks by Player'!M$3:N$12,2,0)),"", VLOOKUP($A10,'Picks by Player'!M$3:N$12,2,0))</f>
        <v>Arizona State</v>
      </c>
      <c r="P10" s="172" t="str">
        <f t="shared" si="8"/>
        <v>Pac12</v>
      </c>
      <c r="Q10" s="173" t="str">
        <f>if(iserror(VLOOKUP($A10,'Picks by Player'!O$3:P$12,2,0)),"", VLOOKUP($A10,'Picks by Player'!O$3:P$12,2,0))</f>
        <v>Colorado</v>
      </c>
      <c r="R10" t="str">
        <f t="shared" si="9"/>
        <v>Pac12</v>
      </c>
      <c r="S10" t="str">
        <f>if(iserror(VLOOKUP($A10,'Picks by Player'!Q$3:R$12,2,0)),"", VLOOKUP($A10,'Picks by Player'!Q$3:R$12,2,0))</f>
        <v>California</v>
      </c>
      <c r="T10" s="174" t="str">
        <f t="shared" si="10"/>
        <v>Pac12</v>
      </c>
      <c r="U10" t="str">
        <f>if(iserror(VLOOKUP($A10,'Picks by Player'!S$3:T$12,2,0)),"", VLOOKUP($A10,'Picks by Player'!S$3:T$12,2,0))</f>
        <v>USC</v>
      </c>
      <c r="V10" s="172" t="str">
        <f t="shared" si="11"/>
        <v>Pac12</v>
      </c>
      <c r="W10" s="173" t="str">
        <f>if(iserror(VLOOKUP($A10,'Picks by Player'!U$3:V$12,2,0)),"", VLOOKUP($A10,'Picks by Player'!U$3:V$12,2,0))</f>
        <v>Washington</v>
      </c>
      <c r="X10" s="172" t="str">
        <f t="shared" si="12"/>
        <v>Pac12</v>
      </c>
      <c r="Y10" s="173" t="str">
        <f>if(iserror(VLOOKUP($A10,'Picks by Player'!W$3:X$12,2,0)),"", VLOOKUP($A10,'Picks by Player'!W$3:X$12,2,0))</f>
        <v>Arizona</v>
      </c>
      <c r="Z10" s="172" t="str">
        <f t="shared" si="13"/>
        <v>Pac12</v>
      </c>
      <c r="AA10" s="173" t="str">
        <f>if(iserror(VLOOKUP($A10,'Picks by Player'!Y$3:Z$12,2,0)),"", VLOOKUP($A10,'Picks by Player'!Y$3:Z$12,2,0))</f>
        <v>Utah</v>
      </c>
    </row>
    <row r="11">
      <c r="A11" t="s">
        <v>192</v>
      </c>
      <c r="B11" s="172" t="str">
        <f t="shared" si="1"/>
        <v>SEC</v>
      </c>
      <c r="C11" s="173" t="str">
        <f>if(iserror(VLOOKUP($A11,'Picks by Player'!A$3:B$12,2,0)),"", VLOOKUP($A11,'Picks by Player'!A$3:B$12,2,0))</f>
        <v>Missouri</v>
      </c>
      <c r="D11" s="172" t="str">
        <f t="shared" si="2"/>
        <v>SEC</v>
      </c>
      <c r="E11" s="173" t="str">
        <f>if(iserror(VLOOKUP($A11,'Picks by Player'!C$3:D$12,2,0)),"", VLOOKUP($A11,'Picks by Player'!C$3:D$12,2,0))</f>
        <v>Tennessee</v>
      </c>
      <c r="F11" s="172" t="str">
        <f t="shared" si="3"/>
        <v>SEC</v>
      </c>
      <c r="G11" s="173" t="str">
        <f>if(iserror(VLOOKUP($A11,'Picks by Player'!E$3:F$12,2,0)),"", VLOOKUP($A11,'Picks by Player'!E$3:F$12,2,0))</f>
        <v>Mississippi State</v>
      </c>
      <c r="H11" s="172" t="str">
        <f t="shared" si="4"/>
        <v>SEC</v>
      </c>
      <c r="I11" s="173" t="str">
        <f>if(iserror(VLOOKUP($A11,'Picks by Player'!G$3:H$12,2,0)),"", VLOOKUP($A11,'Picks by Player'!G$3:H$12,2,0))</f>
        <v>Kentucky</v>
      </c>
      <c r="J11" s="172" t="str">
        <f t="shared" si="5"/>
        <v>SEC</v>
      </c>
      <c r="K11" s="173" t="str">
        <f>if(iserror(VLOOKUP($A11,'Picks by Player'!I$3:J$12,2,0)),"", VLOOKUP($A11,'Picks by Player'!I$3:J$12,2,0))</f>
        <v>Arkansas</v>
      </c>
      <c r="L11" s="172" t="str">
        <f t="shared" si="6"/>
        <v>SEC</v>
      </c>
      <c r="M11" s="173" t="str">
        <f>if(iserror(VLOOKUP($A11,'Picks by Player'!K$3:L$12,2,0)),"", VLOOKUP($A11,'Picks by Player'!K$3:L$12,2,0))</f>
        <v>Alabama</v>
      </c>
      <c r="N11" s="172" t="str">
        <f t="shared" si="7"/>
        <v>SEC</v>
      </c>
      <c r="O11" s="173" t="str">
        <f>if(iserror(VLOOKUP($A11,'Picks by Player'!M$3:N$12,2,0)),"", VLOOKUP($A11,'Picks by Player'!M$3:N$12,2,0))</f>
        <v>LSU</v>
      </c>
      <c r="P11" s="172" t="str">
        <f t="shared" si="8"/>
        <v>SEC</v>
      </c>
      <c r="Q11" s="173" t="str">
        <f>if(iserror(VLOOKUP($A11,'Picks by Player'!O$3:P$12,2,0)),"", VLOOKUP($A11,'Picks by Player'!O$3:P$12,2,0))</f>
        <v>Florida</v>
      </c>
      <c r="R11" t="str">
        <f t="shared" si="9"/>
        <v>SEC</v>
      </c>
      <c r="S11" t="str">
        <f>if(iserror(VLOOKUP($A11,'Picks by Player'!Q$3:R$12,2,0)),"", VLOOKUP($A11,'Picks by Player'!Q$3:R$12,2,0))</f>
        <v>Auburn</v>
      </c>
      <c r="T11" s="174" t="str">
        <f t="shared" si="10"/>
        <v>SEC</v>
      </c>
      <c r="U11" t="str">
        <f>if(iserror(VLOOKUP($A11,'Picks by Player'!S$3:T$12,2,0)),"", VLOOKUP($A11,'Picks by Player'!S$3:T$12,2,0))</f>
        <v>Georgia</v>
      </c>
      <c r="V11" s="172" t="str">
        <f t="shared" si="11"/>
        <v>SEC</v>
      </c>
      <c r="W11" s="173" t="str">
        <f>if(iserror(VLOOKUP($A11,'Picks by Player'!U$3:V$12,2,0)),"", VLOOKUP($A11,'Picks by Player'!U$3:V$12,2,0))</f>
        <v>Texas A&amp;M</v>
      </c>
      <c r="X11" s="172" t="str">
        <f t="shared" si="12"/>
        <v>SEC</v>
      </c>
      <c r="Y11" s="173" t="str">
        <f>if(iserror(VLOOKUP($A11,'Picks by Player'!W$3:X$12,2,0)),"", VLOOKUP($A11,'Picks by Player'!W$3:X$12,2,0))</f>
        <v>Ole Miss</v>
      </c>
      <c r="Z11" s="172" t="str">
        <f t="shared" si="13"/>
        <v>SEC</v>
      </c>
      <c r="AA11" s="173" t="str">
        <f>if(iserror(VLOOKUP($A11,'Picks by Player'!Y$3:Z$12,2,0)),"", VLOOKUP($A11,'Picks by Player'!Y$3:Z$12,2,0))</f>
        <v>South Carolina</v>
      </c>
    </row>
    <row r="12">
      <c r="A12" t="s">
        <v>193</v>
      </c>
      <c r="B12" s="183" t="str">
        <f t="shared" si="1"/>
        <v>Sun Belt</v>
      </c>
      <c r="C12" s="184" t="str">
        <f>if(iserror(VLOOKUP($A12,'Picks by Player'!A$3:B$12,2,0)),"", VLOOKUP($A12,'Picks by Player'!A$3:B$12,2,0))</f>
        <v>Old Dominion</v>
      </c>
      <c r="D12" s="183" t="str">
        <f t="shared" si="2"/>
        <v>Sun Belt</v>
      </c>
      <c r="E12" s="184" t="str">
        <f>if(iserror(VLOOKUP($A12,'Picks by Player'!C$3:D$12,2,0)),"", VLOOKUP($A12,'Picks by Player'!C$3:D$12,2,0))</f>
        <v>UL Monroe</v>
      </c>
      <c r="F12" s="183" t="str">
        <f t="shared" si="3"/>
        <v>Sun Belt</v>
      </c>
      <c r="G12" s="184" t="str">
        <f>if(iserror(VLOOKUP($A12,'Picks by Player'!E$3:F$12,2,0)),"", VLOOKUP($A12,'Picks by Player'!E$3:F$12,2,0))</f>
        <v>Georgia Southern</v>
      </c>
      <c r="H12" s="183" t="str">
        <f t="shared" si="4"/>
        <v>Sun Belt</v>
      </c>
      <c r="I12" s="184" t="str">
        <f>if(iserror(VLOOKUP($A12,'Picks by Player'!G$3:H$12,2,0)),"", VLOOKUP($A12,'Picks by Player'!G$3:H$12,2,0))</f>
        <v>Appalachian State</v>
      </c>
      <c r="J12" s="183" t="str">
        <f t="shared" si="5"/>
        <v>Sun Belt</v>
      </c>
      <c r="K12" s="184" t="str">
        <f>if(iserror(VLOOKUP($A12,'Picks by Player'!I$3:J$12,2,0)),"", VLOOKUP($A12,'Picks by Player'!I$3:J$12,2,0))</f>
        <v>South Alabama</v>
      </c>
      <c r="L12" s="183" t="str">
        <f t="shared" si="6"/>
        <v>Sun Belt</v>
      </c>
      <c r="M12" s="184" t="str">
        <f>if(iserror(VLOOKUP($A12,'Picks by Player'!K$3:L$12,2,0)),"", VLOOKUP($A12,'Picks by Player'!K$3:L$12,2,0))</f>
        <v>Troy</v>
      </c>
      <c r="N12" s="183" t="str">
        <f t="shared" si="7"/>
        <v>Sun Belt</v>
      </c>
      <c r="O12" s="184" t="str">
        <f>if(iserror(VLOOKUP($A12,'Picks by Player'!M$3:N$12,2,0)),"", VLOOKUP($A12,'Picks by Player'!M$3:N$12,2,0))</f>
        <v>UL Lafayette</v>
      </c>
      <c r="P12" s="183" t="str">
        <f t="shared" si="8"/>
        <v>Sun Belt</v>
      </c>
      <c r="Q12" s="184" t="str">
        <f>if(iserror(VLOOKUP($A12,'Picks by Player'!O$3:P$12,2,0)),"", VLOOKUP($A12,'Picks by Player'!O$3:P$12,2,0))</f>
        <v>Coastal Carolina</v>
      </c>
      <c r="R12" s="185" t="str">
        <f t="shared" si="9"/>
        <v>Sun Belt</v>
      </c>
      <c r="S12" s="185" t="str">
        <f>if(iserror(VLOOKUP($A12,'Picks by Player'!Q$3:R$12,2,0)),"", VLOOKUP($A12,'Picks by Player'!Q$3:R$12,2,0))</f>
        <v>Marshall</v>
      </c>
      <c r="T12" s="186" t="str">
        <f t="shared" si="10"/>
        <v>Sun Belt</v>
      </c>
      <c r="U12" s="185" t="str">
        <f>if(iserror(VLOOKUP($A12,'Picks by Player'!S$3:T$12,2,0)),"", VLOOKUP($A12,'Picks by Player'!S$3:T$12,2,0))</f>
        <v>James Madison</v>
      </c>
      <c r="V12" s="183" t="str">
        <f t="shared" si="11"/>
        <v>Sun Belt</v>
      </c>
      <c r="W12" s="184" t="str">
        <f>if(iserror(VLOOKUP($A12,'Picks by Player'!U$3:V$12,2,0)),"", VLOOKUP($A12,'Picks by Player'!U$3:V$12,2,0))</f>
        <v>Texas State</v>
      </c>
      <c r="X12" s="183" t="str">
        <f t="shared" si="12"/>
        <v>Sun Belt</v>
      </c>
      <c r="Y12" s="184" t="str">
        <f>if(iserror(VLOOKUP($A12,'Picks by Player'!W$3:X$12,2,0)),"", VLOOKUP($A12,'Picks by Player'!W$3:X$12,2,0))</f>
        <v>Georgia State</v>
      </c>
      <c r="Z12" s="183" t="str">
        <f t="shared" si="13"/>
        <v>Sun Belt</v>
      </c>
      <c r="AA12" s="184" t="str">
        <f>if(iserror(VLOOKUP($A12,'Picks by Player'!Y$3:Z$12,2,0)),"", VLOOKUP($A12,'Picks by Player'!Y$3:Z$12,2,0))</f>
        <v>Arkansas State</v>
      </c>
    </row>
  </sheetData>
  <mergeCells count="13">
    <mergeCell ref="P1:Q1"/>
    <mergeCell ref="R1:S1"/>
    <mergeCell ref="T1:U1"/>
    <mergeCell ref="V1:W1"/>
    <mergeCell ref="X1:Y1"/>
    <mergeCell ref="Z1:AA1"/>
    <mergeCell ref="B1:C1"/>
    <mergeCell ref="D1:E1"/>
    <mergeCell ref="F1:G1"/>
    <mergeCell ref="H1:I1"/>
    <mergeCell ref="J1:K1"/>
    <mergeCell ref="L1:M1"/>
    <mergeCell ref="N1:O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sheetData>
    <row r="1">
      <c r="A1" s="26" t="s">
        <v>422</v>
      </c>
      <c r="B1" s="26" t="s">
        <v>423</v>
      </c>
      <c r="C1" s="26" t="s">
        <v>424</v>
      </c>
      <c r="D1" s="26" t="s">
        <v>425</v>
      </c>
      <c r="E1" s="26" t="s">
        <v>426</v>
      </c>
    </row>
    <row r="2">
      <c r="A2" s="26">
        <v>2022.0</v>
      </c>
      <c r="B2" s="26"/>
      <c r="C2" s="176">
        <v>44786.0</v>
      </c>
      <c r="D2" s="176"/>
      <c r="E2" s="26"/>
    </row>
    <row r="3">
      <c r="A3" s="26">
        <v>2021.0</v>
      </c>
      <c r="B3" s="26">
        <v>13.0</v>
      </c>
      <c r="C3" s="176">
        <v>44422.0</v>
      </c>
      <c r="D3" s="176">
        <v>44428.0</v>
      </c>
      <c r="E3" s="26" t="s">
        <v>427</v>
      </c>
    </row>
    <row r="4">
      <c r="A4" s="26">
        <v>2019.0</v>
      </c>
      <c r="B4" s="26">
        <v>12.0</v>
      </c>
      <c r="C4" s="176">
        <v>43689.0</v>
      </c>
      <c r="D4" s="177">
        <v>44426.0</v>
      </c>
      <c r="E4" s="26" t="s">
        <v>427</v>
      </c>
    </row>
    <row r="5">
      <c r="A5" s="26">
        <v>2018.0</v>
      </c>
      <c r="B5" s="26">
        <v>12.0</v>
      </c>
      <c r="C5" s="176">
        <v>43318.0</v>
      </c>
      <c r="D5" s="177">
        <v>44426.0</v>
      </c>
      <c r="E5" s="26" t="s">
        <v>427</v>
      </c>
    </row>
    <row r="6">
      <c r="A6" s="26">
        <v>2017.0</v>
      </c>
      <c r="B6" s="26">
        <v>12.0</v>
      </c>
      <c r="C6" s="177">
        <v>44426.0</v>
      </c>
      <c r="D6" s="177">
        <v>44432.0</v>
      </c>
      <c r="E6" s="26" t="s">
        <v>428</v>
      </c>
    </row>
    <row r="7">
      <c r="A7" s="26">
        <v>2016.0</v>
      </c>
      <c r="B7" s="26">
        <v>10.0</v>
      </c>
      <c r="C7" s="177">
        <v>44428.0</v>
      </c>
      <c r="D7" s="177">
        <v>44434.0</v>
      </c>
      <c r="E7" s="26" t="s">
        <v>429</v>
      </c>
    </row>
    <row r="8">
      <c r="A8" s="26">
        <v>2015.0</v>
      </c>
      <c r="B8" s="26">
        <v>10.0</v>
      </c>
      <c r="C8" s="177">
        <v>44431.0</v>
      </c>
      <c r="D8" s="177">
        <v>44438.0</v>
      </c>
      <c r="E8" s="26" t="s">
        <v>429</v>
      </c>
    </row>
    <row r="9">
      <c r="A9" s="26">
        <v>2014.0</v>
      </c>
      <c r="B9" s="26">
        <v>10.0</v>
      </c>
      <c r="C9" s="26" t="s">
        <v>430</v>
      </c>
      <c r="D9" s="26" t="s">
        <v>430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1" max="1" width="4.75"/>
    <col customWidth="1" min="2" max="2" width="21.88"/>
    <col customWidth="1" min="3" max="3" width="7.75"/>
  </cols>
  <sheetData>
    <row r="1">
      <c r="A1" s="131"/>
      <c r="B1" s="178" t="s">
        <v>431</v>
      </c>
      <c r="C1" s="179" t="s">
        <v>432</v>
      </c>
    </row>
    <row r="2">
      <c r="A2" s="131">
        <v>1.0</v>
      </c>
      <c r="B2" s="180" t="s">
        <v>53</v>
      </c>
      <c r="C2" s="181">
        <f t="shared" ref="C2:C14" si="1">RAND()</f>
        <v>0.8474473056</v>
      </c>
    </row>
    <row r="3">
      <c r="A3" s="131">
        <v>2.0</v>
      </c>
      <c r="B3" s="180" t="s">
        <v>131</v>
      </c>
      <c r="C3" s="181">
        <f t="shared" si="1"/>
        <v>0.427088019</v>
      </c>
    </row>
    <row r="4">
      <c r="A4" s="131">
        <v>3.0</v>
      </c>
      <c r="B4" s="180" t="s">
        <v>178</v>
      </c>
      <c r="C4" s="181">
        <f t="shared" si="1"/>
        <v>0.2808117946</v>
      </c>
    </row>
    <row r="5">
      <c r="A5" s="131">
        <v>4.0</v>
      </c>
      <c r="B5" s="180" t="s">
        <v>59</v>
      </c>
      <c r="C5" s="181">
        <f t="shared" si="1"/>
        <v>0.3968948386</v>
      </c>
    </row>
    <row r="6">
      <c r="A6" s="131">
        <v>5.0</v>
      </c>
      <c r="B6" s="180" t="s">
        <v>138</v>
      </c>
      <c r="C6" s="181">
        <f t="shared" si="1"/>
        <v>0.5176889165</v>
      </c>
    </row>
    <row r="7">
      <c r="A7" s="131">
        <v>6.0</v>
      </c>
      <c r="B7" s="180" t="s">
        <v>141</v>
      </c>
      <c r="C7" s="181">
        <f t="shared" si="1"/>
        <v>0.4607387373</v>
      </c>
    </row>
    <row r="8">
      <c r="A8" s="131">
        <v>7.0</v>
      </c>
      <c r="B8" s="180" t="s">
        <v>109</v>
      </c>
      <c r="C8" s="181">
        <f t="shared" si="1"/>
        <v>0.4558361602</v>
      </c>
    </row>
    <row r="9">
      <c r="A9" s="131">
        <v>8.0</v>
      </c>
      <c r="B9" s="180" t="s">
        <v>144</v>
      </c>
      <c r="C9" s="181">
        <f t="shared" si="1"/>
        <v>0.8360513321</v>
      </c>
    </row>
    <row r="10">
      <c r="A10" s="131">
        <v>9.0</v>
      </c>
      <c r="B10" s="180" t="s">
        <v>166</v>
      </c>
      <c r="C10" s="181">
        <f t="shared" si="1"/>
        <v>0.4715259489</v>
      </c>
    </row>
    <row r="11">
      <c r="A11" s="131">
        <v>10.0</v>
      </c>
      <c r="B11" s="180" t="s">
        <v>116</v>
      </c>
      <c r="C11" s="181">
        <f t="shared" si="1"/>
        <v>0.7882611246</v>
      </c>
    </row>
    <row r="12">
      <c r="A12" s="131">
        <v>11.0</v>
      </c>
      <c r="B12" s="180" t="s">
        <v>148</v>
      </c>
      <c r="C12" s="181">
        <f t="shared" si="1"/>
        <v>0.6221545071</v>
      </c>
    </row>
    <row r="13">
      <c r="A13" s="136">
        <v>12.0</v>
      </c>
      <c r="B13" s="180" t="s">
        <v>103</v>
      </c>
      <c r="C13" s="181">
        <f t="shared" si="1"/>
        <v>0.2530644674</v>
      </c>
    </row>
    <row r="14">
      <c r="A14" s="136">
        <v>13.0</v>
      </c>
      <c r="B14" s="180" t="s">
        <v>154</v>
      </c>
      <c r="C14" s="181">
        <f t="shared" si="1"/>
        <v>0.3401108245</v>
      </c>
    </row>
  </sheetData>
  <autoFilter ref="$B$1:$C$14">
    <sortState ref="B1:C14">
      <sortCondition ref="C1:C14"/>
    </sortState>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sheetData>
    <row r="1">
      <c r="A1" t="str">
        <f t="array" ref="A1:O11">TRANSPOSE('Actual Conferences'!A1:K15)</f>
        <v>AAC</v>
      </c>
      <c r="B1" t="s">
        <v>282</v>
      </c>
      <c r="C1" t="s">
        <v>325</v>
      </c>
      <c r="D1" t="s">
        <v>330</v>
      </c>
      <c r="E1" t="s">
        <v>339</v>
      </c>
      <c r="F1" t="s">
        <v>347</v>
      </c>
      <c r="G1" t="s">
        <v>314</v>
      </c>
      <c r="H1" t="s">
        <v>210</v>
      </c>
      <c r="I1" t="s">
        <v>362</v>
      </c>
      <c r="J1" t="s">
        <v>267</v>
      </c>
      <c r="K1" t="s">
        <v>195</v>
      </c>
      <c r="L1" t="s">
        <v>374</v>
      </c>
    </row>
    <row r="2">
      <c r="A2" t="s">
        <v>186</v>
      </c>
      <c r="B2" t="s">
        <v>289</v>
      </c>
      <c r="C2" t="s">
        <v>206</v>
      </c>
      <c r="D2" t="s">
        <v>331</v>
      </c>
      <c r="E2" t="s">
        <v>340</v>
      </c>
      <c r="F2" t="s">
        <v>348</v>
      </c>
      <c r="G2" t="s">
        <v>353</v>
      </c>
      <c r="H2" t="s">
        <v>357</v>
      </c>
      <c r="I2" t="s">
        <v>363</v>
      </c>
      <c r="J2" t="s">
        <v>367</v>
      </c>
      <c r="K2" t="s">
        <v>370</v>
      </c>
      <c r="L2" t="s">
        <v>308</v>
      </c>
      <c r="M2" t="s">
        <v>155</v>
      </c>
      <c r="N2" t="s">
        <v>384</v>
      </c>
      <c r="O2" t="s">
        <v>259</v>
      </c>
    </row>
    <row r="3">
      <c r="A3" t="s">
        <v>187</v>
      </c>
      <c r="B3" t="s">
        <v>320</v>
      </c>
      <c r="C3" t="s">
        <v>326</v>
      </c>
      <c r="D3" t="s">
        <v>217</v>
      </c>
      <c r="E3" t="s">
        <v>291</v>
      </c>
      <c r="F3" t="s">
        <v>184</v>
      </c>
      <c r="G3" t="s">
        <v>354</v>
      </c>
      <c r="H3" t="s">
        <v>358</v>
      </c>
      <c r="I3" t="s">
        <v>364</v>
      </c>
      <c r="J3" t="s">
        <v>272</v>
      </c>
      <c r="K3" t="s">
        <v>371</v>
      </c>
    </row>
    <row r="4">
      <c r="A4" t="s">
        <v>188</v>
      </c>
      <c r="B4" t="s">
        <v>321</v>
      </c>
      <c r="C4" t="s">
        <v>327</v>
      </c>
      <c r="D4" t="s">
        <v>332</v>
      </c>
      <c r="E4" t="s">
        <v>341</v>
      </c>
      <c r="F4" t="s">
        <v>284</v>
      </c>
      <c r="G4" t="s">
        <v>294</v>
      </c>
      <c r="H4" t="s">
        <v>240</v>
      </c>
      <c r="I4" t="s">
        <v>365</v>
      </c>
      <c r="J4" t="s">
        <v>368</v>
      </c>
      <c r="K4" t="s">
        <v>168</v>
      </c>
      <c r="L4" t="s">
        <v>375</v>
      </c>
      <c r="M4" t="s">
        <v>381</v>
      </c>
      <c r="N4" t="s">
        <v>386</v>
      </c>
      <c r="O4" t="s">
        <v>197</v>
      </c>
    </row>
    <row r="5">
      <c r="A5" t="s">
        <v>189</v>
      </c>
      <c r="B5" t="s">
        <v>275</v>
      </c>
      <c r="C5" t="s">
        <v>181</v>
      </c>
      <c r="D5" t="s">
        <v>334</v>
      </c>
      <c r="E5" t="s">
        <v>343</v>
      </c>
      <c r="F5" t="s">
        <v>204</v>
      </c>
      <c r="G5" t="s">
        <v>355</v>
      </c>
      <c r="H5" t="s">
        <v>317</v>
      </c>
      <c r="I5" t="s">
        <v>366</v>
      </c>
      <c r="J5" t="s">
        <v>296</v>
      </c>
      <c r="K5" t="s">
        <v>271</v>
      </c>
      <c r="L5" t="s">
        <v>378</v>
      </c>
    </row>
    <row r="6">
      <c r="A6" t="s">
        <v>190</v>
      </c>
      <c r="B6" t="s">
        <v>323</v>
      </c>
      <c r="C6" t="s">
        <v>329</v>
      </c>
      <c r="D6" t="s">
        <v>335</v>
      </c>
      <c r="E6" t="s">
        <v>344</v>
      </c>
      <c r="F6" t="s">
        <v>285</v>
      </c>
      <c r="G6" t="s">
        <v>356</v>
      </c>
      <c r="H6" t="s">
        <v>359</v>
      </c>
      <c r="I6" t="s">
        <v>208</v>
      </c>
      <c r="J6" t="s">
        <v>298</v>
      </c>
      <c r="K6" t="s">
        <v>176</v>
      </c>
      <c r="L6" t="s">
        <v>265</v>
      </c>
      <c r="M6" t="s">
        <v>382</v>
      </c>
    </row>
    <row r="7">
      <c r="A7" t="s">
        <v>129</v>
      </c>
      <c r="B7" t="s">
        <v>324</v>
      </c>
      <c r="C7" t="s">
        <v>316</v>
      </c>
      <c r="D7" t="s">
        <v>336</v>
      </c>
      <c r="E7" t="s">
        <v>345</v>
      </c>
      <c r="F7" t="s">
        <v>351</v>
      </c>
      <c r="G7" t="s">
        <v>120</v>
      </c>
      <c r="H7" t="s">
        <v>263</v>
      </c>
      <c r="I7" t="s">
        <v>219</v>
      </c>
      <c r="J7" t="s">
        <v>349</v>
      </c>
      <c r="K7" t="s">
        <v>279</v>
      </c>
      <c r="L7" t="s">
        <v>304</v>
      </c>
      <c r="M7" t="s">
        <v>383</v>
      </c>
    </row>
    <row r="8">
      <c r="A8" t="s">
        <v>191</v>
      </c>
      <c r="B8" t="s">
        <v>322</v>
      </c>
      <c r="C8" t="s">
        <v>328</v>
      </c>
      <c r="D8" t="s">
        <v>333</v>
      </c>
      <c r="E8" t="s">
        <v>342</v>
      </c>
      <c r="F8" t="s">
        <v>54</v>
      </c>
      <c r="G8" t="s">
        <v>274</v>
      </c>
      <c r="H8" t="s">
        <v>311</v>
      </c>
      <c r="I8" t="s">
        <v>261</v>
      </c>
      <c r="J8" t="s">
        <v>369</v>
      </c>
      <c r="K8" t="s">
        <v>372</v>
      </c>
      <c r="L8" t="s">
        <v>377</v>
      </c>
      <c r="M8" t="s">
        <v>222</v>
      </c>
    </row>
    <row r="9">
      <c r="A9" t="s">
        <v>192</v>
      </c>
      <c r="B9" t="s">
        <v>287</v>
      </c>
      <c r="C9" t="s">
        <v>303</v>
      </c>
      <c r="D9" t="s">
        <v>337</v>
      </c>
      <c r="E9" t="s">
        <v>346</v>
      </c>
      <c r="F9" t="s">
        <v>313</v>
      </c>
      <c r="G9" t="s">
        <v>283</v>
      </c>
      <c r="H9" t="s">
        <v>360</v>
      </c>
      <c r="I9" t="s">
        <v>269</v>
      </c>
      <c r="J9" t="s">
        <v>173</v>
      </c>
      <c r="K9" t="s">
        <v>373</v>
      </c>
      <c r="L9" t="s">
        <v>379</v>
      </c>
      <c r="M9" t="s">
        <v>214</v>
      </c>
      <c r="N9" t="s">
        <v>387</v>
      </c>
      <c r="O9" t="s">
        <v>309</v>
      </c>
    </row>
    <row r="10">
      <c r="A10" t="s">
        <v>193</v>
      </c>
      <c r="B10" t="s">
        <v>306</v>
      </c>
      <c r="C10" t="s">
        <v>170</v>
      </c>
      <c r="D10" t="s">
        <v>338</v>
      </c>
      <c r="E10" t="s">
        <v>277</v>
      </c>
      <c r="F10" t="s">
        <v>352</v>
      </c>
      <c r="G10" t="s">
        <v>257</v>
      </c>
      <c r="H10" t="s">
        <v>361</v>
      </c>
      <c r="I10" t="s">
        <v>292</v>
      </c>
      <c r="J10" t="s">
        <v>199</v>
      </c>
      <c r="K10" t="s">
        <v>302</v>
      </c>
      <c r="L10" t="s">
        <v>380</v>
      </c>
      <c r="M10" t="s">
        <v>318</v>
      </c>
      <c r="N10" t="s">
        <v>300</v>
      </c>
      <c r="O10" t="s">
        <v>388</v>
      </c>
    </row>
    <row r="11">
      <c r="A11" t="s">
        <v>194</v>
      </c>
      <c r="B11" t="s">
        <v>398</v>
      </c>
      <c r="C11" t="s">
        <v>393</v>
      </c>
      <c r="D11" t="s">
        <v>399</v>
      </c>
      <c r="E11" t="s">
        <v>394</v>
      </c>
      <c r="F11" t="s">
        <v>400</v>
      </c>
      <c r="G11" t="s">
        <v>401</v>
      </c>
      <c r="H11" t="s">
        <v>281</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sheetData>
    <row r="1">
      <c r="A1" s="111" t="str">
        <f>'Picks by Player'!A1</f>
        <v>Jeannine</v>
      </c>
      <c r="B1" s="111" t="str">
        <f>'Picks by Player'!A1</f>
        <v>Jeannine</v>
      </c>
      <c r="C1" s="132" t="str">
        <f>'Picks by Player'!C1</f>
        <v>Dan</v>
      </c>
      <c r="D1" s="132" t="str">
        <f>'Picks by Player'!C1</f>
        <v>Dan</v>
      </c>
      <c r="E1" s="182" t="str">
        <f>'Picks by Player'!E1</f>
        <v>DavEmily</v>
      </c>
      <c r="F1" s="182" t="str">
        <f>'Picks by Player'!E1</f>
        <v>DavEmily</v>
      </c>
      <c r="G1" s="132" t="str">
        <f>'Picks by Player'!G1</f>
        <v>Nick G.</v>
      </c>
      <c r="H1" s="182" t="str">
        <f>'Picks by Player'!G1</f>
        <v>Nick G.</v>
      </c>
      <c r="I1" s="132" t="str">
        <f>'Picks by Player'!I1</f>
        <v>Masa</v>
      </c>
      <c r="J1" s="132" t="str">
        <f>'Picks by Player'!I1</f>
        <v>Masa</v>
      </c>
      <c r="K1" s="132" t="str">
        <f>'Picks by Player'!K1</f>
        <v>Josh</v>
      </c>
      <c r="L1" s="132" t="str">
        <f>'Picks by Player'!K1</f>
        <v>Josh</v>
      </c>
      <c r="M1" s="132" t="str">
        <f>'Picks by Player'!M1</f>
        <v>Brad</v>
      </c>
      <c r="N1" s="132" t="str">
        <f>'Picks by Player'!M1</f>
        <v>Brad</v>
      </c>
      <c r="O1" s="132" t="str">
        <f>'Picks by Player'!O1</f>
        <v>Gary</v>
      </c>
      <c r="P1" s="132" t="str">
        <f>'Picks by Player'!O1</f>
        <v>Gary</v>
      </c>
      <c r="Q1" s="132" t="str">
        <f>'Picks by Player'!Q1</f>
        <v>Nick A.</v>
      </c>
      <c r="R1" s="132" t="str">
        <f>'Picks by Player'!Q1</f>
        <v>Nick A.</v>
      </c>
      <c r="S1" s="132" t="str">
        <f>'Picks by Player'!S1</f>
        <v>Justin</v>
      </c>
      <c r="T1" s="132" t="str">
        <f>'Picks by Player'!S1</f>
        <v>Justin</v>
      </c>
      <c r="U1" s="132" t="str">
        <f>'Picks by Player'!U1</f>
        <v>Vu</v>
      </c>
      <c r="V1" s="132" t="str">
        <f>'Picks by Player'!U1</f>
        <v>Vu</v>
      </c>
      <c r="W1" s="132" t="str">
        <f>'Picks by Player'!W1</f>
        <v>Janice/Mike</v>
      </c>
      <c r="X1" s="132" t="str">
        <f>'Picks by Player'!W1</f>
        <v>Janice/Mike</v>
      </c>
      <c r="Y1" s="136" t="str">
        <f>'Picks by Player'!Y1</f>
        <v>Nico</v>
      </c>
      <c r="Z1" s="136" t="str">
        <f>'Picks by Player'!Y1</f>
        <v>Nico</v>
      </c>
    </row>
    <row r="2">
      <c r="A2" t="str">
        <f t="array" ref="A2:A133">if(DraftTracker!$D:$D=A1,DraftTracker!$E:$E,"")</f>
        <v/>
      </c>
      <c r="B2" t="str">
        <f t="array" ref="B2:B133">if(DraftTracker!$D:$D=B1,DraftTracker!$F:$F,"")</f>
        <v/>
      </c>
      <c r="C2" t="str">
        <f t="array" ref="C2:C133">if(DraftTracker!$D:$D=C1,DraftTracker!$E:$E,"")</f>
        <v/>
      </c>
      <c r="D2" t="str">
        <f t="array" ref="D2:D133">if(DraftTracker!$D:$D=D1,DraftTracker!$F:$F,"")</f>
        <v/>
      </c>
      <c r="E2" t="str">
        <f t="array" ref="E2:E133">if(DraftTracker!$D:$D=E1,DraftTracker!$E:$E,"")</f>
        <v/>
      </c>
      <c r="F2" t="str">
        <f t="array" ref="F2:F133">if(DraftTracker!$D:$D=F1,DraftTracker!$F:$F,"")</f>
        <v/>
      </c>
      <c r="G2" t="str">
        <f t="array" ref="G2:G133">if(DraftTracker!$D:$D=G1,DraftTracker!$E:$E,"")</f>
        <v/>
      </c>
      <c r="H2" t="str">
        <f t="array" ref="H2:H133">if(DraftTracker!$D:$D=H1,DraftTracker!$F:$F,"")</f>
        <v/>
      </c>
      <c r="I2" t="str">
        <f t="array" ref="I2:I133">if(DraftTracker!$D:$D=I1,DraftTracker!$E:$E,"")</f>
        <v/>
      </c>
      <c r="J2" t="str">
        <f t="array" ref="J2:J133">if(DraftTracker!$D:$D=J1,DraftTracker!$F:$F,"")</f>
        <v/>
      </c>
      <c r="K2" t="str">
        <f t="array" ref="K2:K133">if(DraftTracker!$D:$D=K1,DraftTracker!$E:$E,"")</f>
        <v/>
      </c>
      <c r="L2" t="str">
        <f t="array" ref="L2:L133">if(DraftTracker!$D:$D=L1,DraftTracker!$F:$F,"")</f>
        <v/>
      </c>
      <c r="M2" t="str">
        <f t="array" ref="M2:M133">if(DraftTracker!$D:$D=M1,DraftTracker!$E:$E,"")</f>
        <v/>
      </c>
      <c r="N2" t="str">
        <f t="array" ref="N2:N133">if(DraftTracker!$D:$D=N1,DraftTracker!$F:$F,"")</f>
        <v/>
      </c>
      <c r="O2" t="str">
        <f t="array" ref="O2:O133">if(DraftTracker!$D:$D=O1,DraftTracker!$E:$E,"")</f>
        <v/>
      </c>
      <c r="P2" t="str">
        <f t="array" ref="P2:P133">if(DraftTracker!$D:$D=P1,DraftTracker!$F:$F,"")</f>
        <v/>
      </c>
      <c r="Q2" t="str">
        <f t="array" ref="Q2:Q133">if(DraftTracker!$D:$D=Q1,DraftTracker!$E:$E,"")</f>
        <v/>
      </c>
      <c r="R2" t="str">
        <f t="array" ref="R2:R133">if(DraftTracker!$D:$D=R1,DraftTracker!$F:$F,"")</f>
        <v/>
      </c>
      <c r="S2" t="str">
        <f t="array" ref="S2:S133">if(DraftTracker!$D:$D=S1,DraftTracker!$E:$E,"")</f>
        <v/>
      </c>
      <c r="T2" t="str">
        <f t="array" ref="T2:T133">if(DraftTracker!$D:$D=T1,DraftTracker!$F:$F,"")</f>
        <v/>
      </c>
      <c r="U2" t="str">
        <f t="array" ref="U2:U133">if(DraftTracker!$D:$D=U1,DraftTracker!$E:$E,"")</f>
        <v/>
      </c>
      <c r="V2" t="str">
        <f t="array" ref="V2:V133">if(DraftTracker!$D:$D=V1,DraftTracker!$F:$F,"")</f>
        <v/>
      </c>
      <c r="W2" t="str">
        <f t="array" ref="W2:W133">if(DraftTracker!$D:$D=W1,DraftTracker!$E:$E,"")</f>
        <v/>
      </c>
      <c r="X2" t="str">
        <f t="array" ref="X2:X133">if(DraftTracker!$D:$D=X1,DraftTracker!$F:$F,"")</f>
        <v/>
      </c>
      <c r="Y2" t="str">
        <f t="array" ref="Y2:Y133">if(DraftTracker!$D:$D=Y1,DraftTracker!$E:$E,"")</f>
        <v/>
      </c>
      <c r="Z2" t="str">
        <f t="array" ref="Z2:Z133">if(DraftTracker!$D:$D=Z1,DraftTracker!$F:$F,"")</f>
        <v/>
      </c>
    </row>
    <row r="3">
      <c r="A3" t="s">
        <v>188</v>
      </c>
      <c r="B3" t="s">
        <v>168</v>
      </c>
      <c r="C3" t="s">
        <v>175</v>
      </c>
      <c r="D3" t="s">
        <v>175</v>
      </c>
      <c r="E3" t="s">
        <v>175</v>
      </c>
      <c r="F3" t="s">
        <v>175</v>
      </c>
      <c r="G3" t="s">
        <v>175</v>
      </c>
      <c r="H3" t="s">
        <v>175</v>
      </c>
      <c r="I3" t="s">
        <v>175</v>
      </c>
      <c r="J3" t="s">
        <v>175</v>
      </c>
      <c r="K3" t="s">
        <v>175</v>
      </c>
      <c r="L3" t="s">
        <v>175</v>
      </c>
      <c r="M3" t="s">
        <v>175</v>
      </c>
      <c r="N3" t="s">
        <v>175</v>
      </c>
      <c r="O3" t="s">
        <v>175</v>
      </c>
      <c r="P3" t="s">
        <v>175</v>
      </c>
      <c r="Q3" t="s">
        <v>175</v>
      </c>
      <c r="R3" t="s">
        <v>175</v>
      </c>
      <c r="S3" t="s">
        <v>175</v>
      </c>
      <c r="T3" t="s">
        <v>175</v>
      </c>
      <c r="U3" t="s">
        <v>175</v>
      </c>
      <c r="V3" t="s">
        <v>175</v>
      </c>
      <c r="W3" t="s">
        <v>175</v>
      </c>
      <c r="X3" t="s">
        <v>175</v>
      </c>
      <c r="Y3" t="s">
        <v>175</v>
      </c>
      <c r="Z3" t="s">
        <v>175</v>
      </c>
    </row>
    <row r="4">
      <c r="A4" t="s">
        <v>175</v>
      </c>
      <c r="B4" t="s">
        <v>175</v>
      </c>
      <c r="C4" t="s">
        <v>186</v>
      </c>
      <c r="D4" t="s">
        <v>206</v>
      </c>
      <c r="E4" t="s">
        <v>175</v>
      </c>
      <c r="F4" t="s">
        <v>175</v>
      </c>
      <c r="G4" t="s">
        <v>175</v>
      </c>
      <c r="H4" t="s">
        <v>175</v>
      </c>
      <c r="I4" t="s">
        <v>175</v>
      </c>
      <c r="J4" t="s">
        <v>175</v>
      </c>
      <c r="K4" t="s">
        <v>175</v>
      </c>
      <c r="L4" t="s">
        <v>175</v>
      </c>
      <c r="M4" t="s">
        <v>175</v>
      </c>
      <c r="N4" t="s">
        <v>175</v>
      </c>
      <c r="O4" t="s">
        <v>175</v>
      </c>
      <c r="P4" t="s">
        <v>175</v>
      </c>
      <c r="Q4" t="s">
        <v>175</v>
      </c>
      <c r="R4" t="s">
        <v>175</v>
      </c>
      <c r="S4" t="s">
        <v>175</v>
      </c>
      <c r="T4" t="s">
        <v>175</v>
      </c>
      <c r="U4" t="s">
        <v>175</v>
      </c>
      <c r="V4" t="s">
        <v>175</v>
      </c>
      <c r="W4" t="s">
        <v>175</v>
      </c>
      <c r="X4" t="s">
        <v>175</v>
      </c>
      <c r="Y4" t="s">
        <v>175</v>
      </c>
      <c r="Z4" t="s">
        <v>175</v>
      </c>
    </row>
    <row r="5">
      <c r="A5" t="s">
        <v>175</v>
      </c>
      <c r="B5" t="s">
        <v>175</v>
      </c>
      <c r="C5" t="s">
        <v>175</v>
      </c>
      <c r="D5" t="s">
        <v>175</v>
      </c>
      <c r="E5" t="s">
        <v>190</v>
      </c>
      <c r="F5" t="s">
        <v>265</v>
      </c>
      <c r="G5" t="s">
        <v>175</v>
      </c>
      <c r="H5" t="s">
        <v>175</v>
      </c>
      <c r="I5" t="s">
        <v>175</v>
      </c>
      <c r="J5" t="s">
        <v>175</v>
      </c>
      <c r="K5" t="s">
        <v>175</v>
      </c>
      <c r="L5" t="s">
        <v>175</v>
      </c>
      <c r="M5" t="s">
        <v>175</v>
      </c>
      <c r="N5" t="s">
        <v>175</v>
      </c>
      <c r="O5" t="s">
        <v>175</v>
      </c>
      <c r="P5" t="s">
        <v>175</v>
      </c>
      <c r="Q5" t="s">
        <v>175</v>
      </c>
      <c r="R5" t="s">
        <v>175</v>
      </c>
      <c r="S5" t="s">
        <v>175</v>
      </c>
      <c r="T5" t="s">
        <v>175</v>
      </c>
      <c r="U5" t="s">
        <v>175</v>
      </c>
      <c r="V5" t="s">
        <v>175</v>
      </c>
      <c r="W5" t="s">
        <v>175</v>
      </c>
      <c r="X5" t="s">
        <v>175</v>
      </c>
      <c r="Y5" t="s">
        <v>175</v>
      </c>
      <c r="Z5" t="s">
        <v>175</v>
      </c>
    </row>
    <row r="6">
      <c r="A6" t="s">
        <v>175</v>
      </c>
      <c r="B6" t="s">
        <v>175</v>
      </c>
      <c r="C6" t="s">
        <v>175</v>
      </c>
      <c r="D6" t="s">
        <v>175</v>
      </c>
      <c r="E6" t="s">
        <v>175</v>
      </c>
      <c r="F6" t="s">
        <v>175</v>
      </c>
      <c r="G6" t="s">
        <v>193</v>
      </c>
      <c r="H6" t="s">
        <v>277</v>
      </c>
      <c r="I6" t="s">
        <v>175</v>
      </c>
      <c r="J6" t="s">
        <v>175</v>
      </c>
      <c r="K6" t="s">
        <v>175</v>
      </c>
      <c r="L6" t="s">
        <v>175</v>
      </c>
      <c r="M6" t="s">
        <v>175</v>
      </c>
      <c r="N6" t="s">
        <v>175</v>
      </c>
      <c r="O6" t="s">
        <v>175</v>
      </c>
      <c r="P6" t="s">
        <v>175</v>
      </c>
      <c r="Q6" t="s">
        <v>175</v>
      </c>
      <c r="R6" t="s">
        <v>175</v>
      </c>
      <c r="S6" t="s">
        <v>175</v>
      </c>
      <c r="T6" t="s">
        <v>175</v>
      </c>
      <c r="U6" t="s">
        <v>175</v>
      </c>
      <c r="V6" t="s">
        <v>175</v>
      </c>
      <c r="W6" t="s">
        <v>175</v>
      </c>
      <c r="X6" t="s">
        <v>175</v>
      </c>
      <c r="Y6" t="s">
        <v>175</v>
      </c>
      <c r="Z6" t="s">
        <v>175</v>
      </c>
    </row>
    <row r="7">
      <c r="A7" t="s">
        <v>175</v>
      </c>
      <c r="B7" t="s">
        <v>175</v>
      </c>
      <c r="C7" t="s">
        <v>175</v>
      </c>
      <c r="D7" t="s">
        <v>175</v>
      </c>
      <c r="E7" t="s">
        <v>175</v>
      </c>
      <c r="F7" t="s">
        <v>175</v>
      </c>
      <c r="G7" t="s">
        <v>175</v>
      </c>
      <c r="H7" t="s">
        <v>175</v>
      </c>
      <c r="I7" t="s">
        <v>389</v>
      </c>
      <c r="J7" t="s">
        <v>282</v>
      </c>
      <c r="K7" t="s">
        <v>175</v>
      </c>
      <c r="L7" t="s">
        <v>175</v>
      </c>
      <c r="M7" t="s">
        <v>175</v>
      </c>
      <c r="N7" t="s">
        <v>175</v>
      </c>
      <c r="O7" t="s">
        <v>175</v>
      </c>
      <c r="P7" t="s">
        <v>175</v>
      </c>
      <c r="Q7" t="s">
        <v>175</v>
      </c>
      <c r="R7" t="s">
        <v>175</v>
      </c>
      <c r="S7" t="s">
        <v>175</v>
      </c>
      <c r="T7" t="s">
        <v>175</v>
      </c>
      <c r="U7" t="s">
        <v>175</v>
      </c>
      <c r="V7" t="s">
        <v>175</v>
      </c>
      <c r="W7" t="s">
        <v>175</v>
      </c>
      <c r="X7" t="s">
        <v>175</v>
      </c>
      <c r="Y7" t="s">
        <v>175</v>
      </c>
      <c r="Z7" t="s">
        <v>175</v>
      </c>
    </row>
    <row r="8">
      <c r="A8" t="s">
        <v>175</v>
      </c>
      <c r="B8" t="s">
        <v>175</v>
      </c>
      <c r="C8" t="s">
        <v>175</v>
      </c>
      <c r="D8" t="s">
        <v>175</v>
      </c>
      <c r="E8" t="s">
        <v>175</v>
      </c>
      <c r="F8" t="s">
        <v>175</v>
      </c>
      <c r="G8" t="s">
        <v>175</v>
      </c>
      <c r="H8" t="s">
        <v>175</v>
      </c>
      <c r="I8" t="s">
        <v>175</v>
      </c>
      <c r="J8" t="s">
        <v>175</v>
      </c>
      <c r="K8" t="s">
        <v>192</v>
      </c>
      <c r="L8" t="s">
        <v>287</v>
      </c>
      <c r="M8" t="s">
        <v>175</v>
      </c>
      <c r="N8" t="s">
        <v>175</v>
      </c>
      <c r="O8" t="s">
        <v>175</v>
      </c>
      <c r="P8" t="s">
        <v>175</v>
      </c>
      <c r="Q8" t="s">
        <v>175</v>
      </c>
      <c r="R8" t="s">
        <v>175</v>
      </c>
      <c r="S8" t="s">
        <v>175</v>
      </c>
      <c r="T8" t="s">
        <v>175</v>
      </c>
      <c r="U8" t="s">
        <v>175</v>
      </c>
      <c r="V8" t="s">
        <v>175</v>
      </c>
      <c r="W8" t="s">
        <v>175</v>
      </c>
      <c r="X8" t="s">
        <v>175</v>
      </c>
      <c r="Y8" t="s">
        <v>175</v>
      </c>
      <c r="Z8" t="s">
        <v>175</v>
      </c>
    </row>
    <row r="9">
      <c r="A9" t="s">
        <v>175</v>
      </c>
      <c r="B9" t="s">
        <v>175</v>
      </c>
      <c r="C9" t="s">
        <v>175</v>
      </c>
      <c r="D9" t="s">
        <v>175</v>
      </c>
      <c r="E9" t="s">
        <v>175</v>
      </c>
      <c r="F9" t="s">
        <v>175</v>
      </c>
      <c r="G9" t="s">
        <v>175</v>
      </c>
      <c r="H9" t="s">
        <v>175</v>
      </c>
      <c r="I9" t="s">
        <v>175</v>
      </c>
      <c r="J9" t="s">
        <v>175</v>
      </c>
      <c r="K9" t="s">
        <v>175</v>
      </c>
      <c r="L9" t="s">
        <v>175</v>
      </c>
      <c r="M9" t="s">
        <v>193</v>
      </c>
      <c r="N9" t="s">
        <v>292</v>
      </c>
      <c r="O9" t="s">
        <v>175</v>
      </c>
      <c r="P9" t="s">
        <v>175</v>
      </c>
      <c r="Q9" t="s">
        <v>175</v>
      </c>
      <c r="R9" t="s">
        <v>175</v>
      </c>
      <c r="S9" t="s">
        <v>175</v>
      </c>
      <c r="T9" t="s">
        <v>175</v>
      </c>
      <c r="U9" t="s">
        <v>175</v>
      </c>
      <c r="V9" t="s">
        <v>175</v>
      </c>
      <c r="W9" t="s">
        <v>175</v>
      </c>
      <c r="X9" t="s">
        <v>175</v>
      </c>
      <c r="Y9" t="s">
        <v>175</v>
      </c>
      <c r="Z9" t="s">
        <v>175</v>
      </c>
    </row>
    <row r="10">
      <c r="A10" t="s">
        <v>175</v>
      </c>
      <c r="B10" t="s">
        <v>175</v>
      </c>
      <c r="C10" t="s">
        <v>175</v>
      </c>
      <c r="D10" t="s">
        <v>175</v>
      </c>
      <c r="E10" t="s">
        <v>175</v>
      </c>
      <c r="F10" t="s">
        <v>175</v>
      </c>
      <c r="G10" t="s">
        <v>175</v>
      </c>
      <c r="H10" t="s">
        <v>175</v>
      </c>
      <c r="I10" t="s">
        <v>175</v>
      </c>
      <c r="J10" t="s">
        <v>175</v>
      </c>
      <c r="K10" t="s">
        <v>175</v>
      </c>
      <c r="L10" t="s">
        <v>175</v>
      </c>
      <c r="M10" t="s">
        <v>175</v>
      </c>
      <c r="N10" t="s">
        <v>175</v>
      </c>
      <c r="O10" t="s">
        <v>193</v>
      </c>
      <c r="P10" t="s">
        <v>300</v>
      </c>
      <c r="Q10" t="s">
        <v>175</v>
      </c>
      <c r="R10" t="s">
        <v>175</v>
      </c>
      <c r="S10" t="s">
        <v>175</v>
      </c>
      <c r="T10" t="s">
        <v>175</v>
      </c>
      <c r="U10" t="s">
        <v>175</v>
      </c>
      <c r="V10" t="s">
        <v>175</v>
      </c>
      <c r="W10" t="s">
        <v>175</v>
      </c>
      <c r="X10" t="s">
        <v>175</v>
      </c>
      <c r="Y10" t="s">
        <v>175</v>
      </c>
      <c r="Z10" t="s">
        <v>175</v>
      </c>
    </row>
    <row r="11">
      <c r="A11" t="s">
        <v>175</v>
      </c>
      <c r="B11" t="s">
        <v>175</v>
      </c>
      <c r="C11" t="s">
        <v>175</v>
      </c>
      <c r="D11" t="s">
        <v>175</v>
      </c>
      <c r="E11" t="s">
        <v>175</v>
      </c>
      <c r="F11" t="s">
        <v>175</v>
      </c>
      <c r="G11" t="s">
        <v>175</v>
      </c>
      <c r="H11" t="s">
        <v>175</v>
      </c>
      <c r="I11" t="s">
        <v>175</v>
      </c>
      <c r="J11" t="s">
        <v>175</v>
      </c>
      <c r="K11" t="s">
        <v>175</v>
      </c>
      <c r="L11" t="s">
        <v>175</v>
      </c>
      <c r="M11" t="s">
        <v>175</v>
      </c>
      <c r="N11" t="s">
        <v>175</v>
      </c>
      <c r="O11" t="s">
        <v>175</v>
      </c>
      <c r="P11" t="s">
        <v>175</v>
      </c>
      <c r="Q11" t="s">
        <v>193</v>
      </c>
      <c r="R11" t="s">
        <v>306</v>
      </c>
      <c r="S11" t="s">
        <v>175</v>
      </c>
      <c r="T11" t="s">
        <v>175</v>
      </c>
      <c r="U11" t="s">
        <v>175</v>
      </c>
      <c r="V11" t="s">
        <v>175</v>
      </c>
      <c r="W11" t="s">
        <v>175</v>
      </c>
      <c r="X11" t="s">
        <v>175</v>
      </c>
      <c r="Y11" t="s">
        <v>175</v>
      </c>
      <c r="Z11" t="s">
        <v>175</v>
      </c>
    </row>
    <row r="12">
      <c r="A12" t="s">
        <v>175</v>
      </c>
      <c r="B12" t="s">
        <v>175</v>
      </c>
      <c r="C12" t="s">
        <v>175</v>
      </c>
      <c r="D12" t="s">
        <v>175</v>
      </c>
      <c r="E12" t="s">
        <v>175</v>
      </c>
      <c r="F12" t="s">
        <v>175</v>
      </c>
      <c r="G12" t="s">
        <v>175</v>
      </c>
      <c r="H12" t="s">
        <v>175</v>
      </c>
      <c r="I12" t="s">
        <v>175</v>
      </c>
      <c r="J12" t="s">
        <v>175</v>
      </c>
      <c r="K12" t="s">
        <v>175</v>
      </c>
      <c r="L12" t="s">
        <v>175</v>
      </c>
      <c r="M12" t="s">
        <v>175</v>
      </c>
      <c r="N12" t="s">
        <v>175</v>
      </c>
      <c r="O12" t="s">
        <v>175</v>
      </c>
      <c r="P12" t="s">
        <v>175</v>
      </c>
      <c r="Q12" t="s">
        <v>175</v>
      </c>
      <c r="R12" t="s">
        <v>175</v>
      </c>
      <c r="S12" t="s">
        <v>192</v>
      </c>
      <c r="T12" t="s">
        <v>313</v>
      </c>
      <c r="U12" t="s">
        <v>175</v>
      </c>
      <c r="V12" t="s">
        <v>175</v>
      </c>
      <c r="W12" t="s">
        <v>175</v>
      </c>
      <c r="X12" t="s">
        <v>175</v>
      </c>
      <c r="Y12" t="s">
        <v>175</v>
      </c>
      <c r="Z12" t="s">
        <v>175</v>
      </c>
    </row>
    <row r="13">
      <c r="A13" t="s">
        <v>175</v>
      </c>
      <c r="B13" t="s">
        <v>175</v>
      </c>
      <c r="C13" t="s">
        <v>175</v>
      </c>
      <c r="D13" t="s">
        <v>175</v>
      </c>
      <c r="E13" t="s">
        <v>175</v>
      </c>
      <c r="F13" t="s">
        <v>175</v>
      </c>
      <c r="G13" t="s">
        <v>175</v>
      </c>
      <c r="H13" t="s">
        <v>175</v>
      </c>
      <c r="I13" t="s">
        <v>175</v>
      </c>
      <c r="J13" t="s">
        <v>175</v>
      </c>
      <c r="K13" t="s">
        <v>175</v>
      </c>
      <c r="L13" t="s">
        <v>175</v>
      </c>
      <c r="M13" t="s">
        <v>175</v>
      </c>
      <c r="N13" t="s">
        <v>175</v>
      </c>
      <c r="O13" t="s">
        <v>175</v>
      </c>
      <c r="P13" t="s">
        <v>175</v>
      </c>
      <c r="Q13" t="s">
        <v>175</v>
      </c>
      <c r="R13" t="s">
        <v>175</v>
      </c>
      <c r="S13" t="s">
        <v>175</v>
      </c>
      <c r="T13" t="s">
        <v>175</v>
      </c>
      <c r="U13" t="s">
        <v>129</v>
      </c>
      <c r="V13" t="s">
        <v>316</v>
      </c>
      <c r="W13" t="s">
        <v>175</v>
      </c>
      <c r="X13" t="s">
        <v>175</v>
      </c>
      <c r="Y13" t="s">
        <v>175</v>
      </c>
      <c r="Z13" t="s">
        <v>175</v>
      </c>
    </row>
    <row r="14">
      <c r="A14" t="s">
        <v>175</v>
      </c>
      <c r="B14" t="s">
        <v>175</v>
      </c>
      <c r="C14" t="s">
        <v>175</v>
      </c>
      <c r="D14" t="s">
        <v>175</v>
      </c>
      <c r="E14" t="s">
        <v>175</v>
      </c>
      <c r="F14" t="s">
        <v>175</v>
      </c>
      <c r="G14" t="s">
        <v>175</v>
      </c>
      <c r="H14" t="s">
        <v>175</v>
      </c>
      <c r="I14" t="s">
        <v>175</v>
      </c>
      <c r="J14" t="s">
        <v>175</v>
      </c>
      <c r="K14" t="s">
        <v>175</v>
      </c>
      <c r="L14" t="s">
        <v>175</v>
      </c>
      <c r="M14" t="s">
        <v>175</v>
      </c>
      <c r="N14" t="s">
        <v>175</v>
      </c>
      <c r="O14" t="s">
        <v>175</v>
      </c>
      <c r="P14" t="s">
        <v>175</v>
      </c>
      <c r="Q14" t="s">
        <v>175</v>
      </c>
      <c r="R14" t="s">
        <v>175</v>
      </c>
      <c r="S14" t="s">
        <v>175</v>
      </c>
      <c r="T14" t="s">
        <v>175</v>
      </c>
      <c r="U14" t="s">
        <v>175</v>
      </c>
      <c r="V14" t="s">
        <v>175</v>
      </c>
      <c r="W14" t="s">
        <v>129</v>
      </c>
      <c r="X14" t="s">
        <v>324</v>
      </c>
      <c r="Y14" t="s">
        <v>175</v>
      </c>
      <c r="Z14" t="s">
        <v>175</v>
      </c>
    </row>
    <row r="15">
      <c r="A15" t="s">
        <v>175</v>
      </c>
      <c r="B15" t="s">
        <v>175</v>
      </c>
      <c r="C15" t="s">
        <v>175</v>
      </c>
      <c r="D15" t="s">
        <v>175</v>
      </c>
      <c r="E15" t="s">
        <v>175</v>
      </c>
      <c r="F15" t="s">
        <v>175</v>
      </c>
      <c r="G15" t="s">
        <v>175</v>
      </c>
      <c r="H15" t="s">
        <v>175</v>
      </c>
      <c r="I15" t="s">
        <v>175</v>
      </c>
      <c r="J15" t="s">
        <v>175</v>
      </c>
      <c r="K15" t="s">
        <v>175</v>
      </c>
      <c r="L15" t="s">
        <v>175</v>
      </c>
      <c r="M15" t="s">
        <v>175</v>
      </c>
      <c r="N15" t="s">
        <v>175</v>
      </c>
      <c r="O15" t="s">
        <v>175</v>
      </c>
      <c r="P15" t="s">
        <v>175</v>
      </c>
      <c r="Q15" t="s">
        <v>175</v>
      </c>
      <c r="R15" t="s">
        <v>175</v>
      </c>
      <c r="S15" t="s">
        <v>175</v>
      </c>
      <c r="T15" t="s">
        <v>175</v>
      </c>
      <c r="U15" t="s">
        <v>175</v>
      </c>
      <c r="V15" t="s">
        <v>175</v>
      </c>
      <c r="W15" t="s">
        <v>175</v>
      </c>
      <c r="X15" t="s">
        <v>175</v>
      </c>
      <c r="Y15" t="s">
        <v>191</v>
      </c>
      <c r="Z15" t="s">
        <v>372</v>
      </c>
    </row>
    <row r="16">
      <c r="A16" t="s">
        <v>175</v>
      </c>
      <c r="B16" t="s">
        <v>175</v>
      </c>
      <c r="C16" t="s">
        <v>175</v>
      </c>
      <c r="D16" t="s">
        <v>175</v>
      </c>
      <c r="E16" t="s">
        <v>175</v>
      </c>
      <c r="F16" t="s">
        <v>175</v>
      </c>
      <c r="G16" t="s">
        <v>175</v>
      </c>
      <c r="H16" t="s">
        <v>175</v>
      </c>
      <c r="I16" t="s">
        <v>175</v>
      </c>
      <c r="J16" t="s">
        <v>175</v>
      </c>
      <c r="K16" t="s">
        <v>175</v>
      </c>
      <c r="L16" t="s">
        <v>175</v>
      </c>
      <c r="M16" t="s">
        <v>175</v>
      </c>
      <c r="N16" t="s">
        <v>175</v>
      </c>
      <c r="O16" t="s">
        <v>175</v>
      </c>
      <c r="P16" t="s">
        <v>175</v>
      </c>
      <c r="Q16" t="s">
        <v>175</v>
      </c>
      <c r="R16" t="s">
        <v>175</v>
      </c>
      <c r="S16" t="s">
        <v>175</v>
      </c>
      <c r="T16" t="s">
        <v>175</v>
      </c>
      <c r="U16" t="s">
        <v>175</v>
      </c>
      <c r="V16" t="s">
        <v>175</v>
      </c>
      <c r="W16" t="s">
        <v>175</v>
      </c>
      <c r="X16" t="s">
        <v>175</v>
      </c>
      <c r="Y16" t="s">
        <v>389</v>
      </c>
      <c r="Z16" t="s">
        <v>330</v>
      </c>
    </row>
    <row r="17">
      <c r="A17" t="s">
        <v>175</v>
      </c>
      <c r="B17" t="s">
        <v>175</v>
      </c>
      <c r="C17" t="s">
        <v>175</v>
      </c>
      <c r="D17" t="s">
        <v>175</v>
      </c>
      <c r="E17" t="s">
        <v>175</v>
      </c>
      <c r="F17" t="s">
        <v>175</v>
      </c>
      <c r="G17" t="s">
        <v>175</v>
      </c>
      <c r="H17" t="s">
        <v>175</v>
      </c>
      <c r="I17" t="s">
        <v>175</v>
      </c>
      <c r="J17" t="s">
        <v>175</v>
      </c>
      <c r="K17" t="s">
        <v>175</v>
      </c>
      <c r="L17" t="s">
        <v>175</v>
      </c>
      <c r="M17" t="s">
        <v>175</v>
      </c>
      <c r="N17" t="s">
        <v>175</v>
      </c>
      <c r="O17" t="s">
        <v>175</v>
      </c>
      <c r="P17" t="s">
        <v>175</v>
      </c>
      <c r="Q17" t="s">
        <v>175</v>
      </c>
      <c r="R17" t="s">
        <v>175</v>
      </c>
      <c r="S17" t="s">
        <v>175</v>
      </c>
      <c r="T17" t="s">
        <v>175</v>
      </c>
      <c r="U17" t="s">
        <v>175</v>
      </c>
      <c r="V17" t="s">
        <v>175</v>
      </c>
      <c r="W17" t="s">
        <v>189</v>
      </c>
      <c r="X17" t="s">
        <v>378</v>
      </c>
      <c r="Y17" t="s">
        <v>175</v>
      </c>
      <c r="Z17" t="s">
        <v>175</v>
      </c>
    </row>
    <row r="18">
      <c r="A18" t="s">
        <v>175</v>
      </c>
      <c r="B18" t="s">
        <v>175</v>
      </c>
      <c r="C18" t="s">
        <v>175</v>
      </c>
      <c r="D18" t="s">
        <v>175</v>
      </c>
      <c r="E18" t="s">
        <v>175</v>
      </c>
      <c r="F18" t="s">
        <v>175</v>
      </c>
      <c r="G18" t="s">
        <v>175</v>
      </c>
      <c r="H18" t="s">
        <v>175</v>
      </c>
      <c r="I18" t="s">
        <v>175</v>
      </c>
      <c r="J18" t="s">
        <v>175</v>
      </c>
      <c r="K18" t="s">
        <v>175</v>
      </c>
      <c r="L18" t="s">
        <v>175</v>
      </c>
      <c r="M18" t="s">
        <v>175</v>
      </c>
      <c r="N18" t="s">
        <v>175</v>
      </c>
      <c r="O18" t="s">
        <v>175</v>
      </c>
      <c r="P18" t="s">
        <v>175</v>
      </c>
      <c r="Q18" t="s">
        <v>175</v>
      </c>
      <c r="R18" t="s">
        <v>175</v>
      </c>
      <c r="S18" t="s">
        <v>175</v>
      </c>
      <c r="T18" t="s">
        <v>175</v>
      </c>
      <c r="U18" t="s">
        <v>389</v>
      </c>
      <c r="V18" t="s">
        <v>374</v>
      </c>
      <c r="W18" t="s">
        <v>175</v>
      </c>
      <c r="X18" t="s">
        <v>175</v>
      </c>
      <c r="Y18" t="s">
        <v>175</v>
      </c>
      <c r="Z18" t="s">
        <v>175</v>
      </c>
    </row>
    <row r="19">
      <c r="A19" t="s">
        <v>175</v>
      </c>
      <c r="B19" t="s">
        <v>175</v>
      </c>
      <c r="C19" t="s">
        <v>175</v>
      </c>
      <c r="D19" t="s">
        <v>175</v>
      </c>
      <c r="E19" t="s">
        <v>175</v>
      </c>
      <c r="F19" t="s">
        <v>175</v>
      </c>
      <c r="G19" t="s">
        <v>175</v>
      </c>
      <c r="H19" t="s">
        <v>175</v>
      </c>
      <c r="I19" t="s">
        <v>175</v>
      </c>
      <c r="J19" t="s">
        <v>175</v>
      </c>
      <c r="K19" t="s">
        <v>175</v>
      </c>
      <c r="L19" t="s">
        <v>175</v>
      </c>
      <c r="M19" t="s">
        <v>175</v>
      </c>
      <c r="N19" t="s">
        <v>175</v>
      </c>
      <c r="O19" t="s">
        <v>175</v>
      </c>
      <c r="P19" t="s">
        <v>175</v>
      </c>
      <c r="Q19" t="s">
        <v>175</v>
      </c>
      <c r="R19" t="s">
        <v>175</v>
      </c>
      <c r="S19" t="s">
        <v>191</v>
      </c>
      <c r="T19" t="s">
        <v>369</v>
      </c>
      <c r="U19" t="s">
        <v>175</v>
      </c>
      <c r="V19" t="s">
        <v>175</v>
      </c>
      <c r="W19" t="s">
        <v>175</v>
      </c>
      <c r="X19" t="s">
        <v>175</v>
      </c>
      <c r="Y19" t="s">
        <v>175</v>
      </c>
      <c r="Z19" t="s">
        <v>175</v>
      </c>
    </row>
    <row r="20">
      <c r="A20" t="s">
        <v>175</v>
      </c>
      <c r="B20" t="s">
        <v>175</v>
      </c>
      <c r="C20" t="s">
        <v>175</v>
      </c>
      <c r="D20" t="s">
        <v>175</v>
      </c>
      <c r="E20" t="s">
        <v>175</v>
      </c>
      <c r="F20" t="s">
        <v>175</v>
      </c>
      <c r="G20" t="s">
        <v>175</v>
      </c>
      <c r="H20" t="s">
        <v>175</v>
      </c>
      <c r="I20" t="s">
        <v>175</v>
      </c>
      <c r="J20" t="s">
        <v>175</v>
      </c>
      <c r="K20" t="s">
        <v>175</v>
      </c>
      <c r="L20" t="s">
        <v>175</v>
      </c>
      <c r="M20" t="s">
        <v>175</v>
      </c>
      <c r="N20" t="s">
        <v>175</v>
      </c>
      <c r="O20" t="s">
        <v>175</v>
      </c>
      <c r="P20" t="s">
        <v>175</v>
      </c>
      <c r="Q20" t="s">
        <v>389</v>
      </c>
      <c r="R20" t="s">
        <v>398</v>
      </c>
      <c r="S20" t="s">
        <v>175</v>
      </c>
      <c r="T20" t="s">
        <v>175</v>
      </c>
      <c r="U20" t="s">
        <v>175</v>
      </c>
      <c r="V20" t="s">
        <v>175</v>
      </c>
      <c r="W20" t="s">
        <v>175</v>
      </c>
      <c r="X20" t="s">
        <v>175</v>
      </c>
      <c r="Y20" t="s">
        <v>175</v>
      </c>
      <c r="Z20" t="s">
        <v>175</v>
      </c>
    </row>
    <row r="21">
      <c r="A21" t="s">
        <v>175</v>
      </c>
      <c r="B21" t="s">
        <v>175</v>
      </c>
      <c r="C21" t="s">
        <v>175</v>
      </c>
      <c r="D21" t="s">
        <v>175</v>
      </c>
      <c r="E21" t="s">
        <v>175</v>
      </c>
      <c r="F21" t="s">
        <v>175</v>
      </c>
      <c r="G21" t="s">
        <v>175</v>
      </c>
      <c r="H21" t="s">
        <v>175</v>
      </c>
      <c r="I21" t="s">
        <v>175</v>
      </c>
      <c r="J21" t="s">
        <v>175</v>
      </c>
      <c r="K21" t="s">
        <v>175</v>
      </c>
      <c r="L21" t="s">
        <v>175</v>
      </c>
      <c r="M21" t="s">
        <v>175</v>
      </c>
      <c r="N21" t="s">
        <v>175</v>
      </c>
      <c r="O21" t="s">
        <v>129</v>
      </c>
      <c r="P21" t="s">
        <v>345</v>
      </c>
      <c r="Q21" t="s">
        <v>175</v>
      </c>
      <c r="R21" t="s">
        <v>175</v>
      </c>
      <c r="S21" t="s">
        <v>175</v>
      </c>
      <c r="T21" t="s">
        <v>175</v>
      </c>
      <c r="U21" t="s">
        <v>175</v>
      </c>
      <c r="V21" t="s">
        <v>175</v>
      </c>
      <c r="W21" t="s">
        <v>175</v>
      </c>
      <c r="X21" t="s">
        <v>175</v>
      </c>
      <c r="Y21" t="s">
        <v>175</v>
      </c>
      <c r="Z21" t="s">
        <v>175</v>
      </c>
    </row>
    <row r="22">
      <c r="A22" t="s">
        <v>175</v>
      </c>
      <c r="B22" t="s">
        <v>175</v>
      </c>
      <c r="C22" t="s">
        <v>175</v>
      </c>
      <c r="D22" t="s">
        <v>175</v>
      </c>
      <c r="E22" t="s">
        <v>175</v>
      </c>
      <c r="F22" t="s">
        <v>175</v>
      </c>
      <c r="G22" t="s">
        <v>175</v>
      </c>
      <c r="H22" t="s">
        <v>175</v>
      </c>
      <c r="I22" t="s">
        <v>175</v>
      </c>
      <c r="J22" t="s">
        <v>175</v>
      </c>
      <c r="K22" t="s">
        <v>175</v>
      </c>
      <c r="L22" t="s">
        <v>175</v>
      </c>
      <c r="M22" t="s">
        <v>389</v>
      </c>
      <c r="N22" t="s">
        <v>339</v>
      </c>
      <c r="O22" t="s">
        <v>175</v>
      </c>
      <c r="P22" t="s">
        <v>175</v>
      </c>
      <c r="Q22" t="s">
        <v>175</v>
      </c>
      <c r="R22" t="s">
        <v>175</v>
      </c>
      <c r="S22" t="s">
        <v>175</v>
      </c>
      <c r="T22" t="s">
        <v>175</v>
      </c>
      <c r="U22" t="s">
        <v>175</v>
      </c>
      <c r="V22" t="s">
        <v>175</v>
      </c>
      <c r="W22" t="s">
        <v>175</v>
      </c>
      <c r="X22" t="s">
        <v>175</v>
      </c>
      <c r="Y22" t="s">
        <v>175</v>
      </c>
      <c r="Z22" t="s">
        <v>175</v>
      </c>
    </row>
    <row r="23">
      <c r="A23" t="s">
        <v>175</v>
      </c>
      <c r="B23" t="s">
        <v>175</v>
      </c>
      <c r="C23" t="s">
        <v>175</v>
      </c>
      <c r="D23" t="s">
        <v>175</v>
      </c>
      <c r="E23" t="s">
        <v>175</v>
      </c>
      <c r="F23" t="s">
        <v>175</v>
      </c>
      <c r="G23" t="s">
        <v>175</v>
      </c>
      <c r="H23" t="s">
        <v>175</v>
      </c>
      <c r="I23" t="s">
        <v>175</v>
      </c>
      <c r="J23" t="s">
        <v>175</v>
      </c>
      <c r="K23" t="s">
        <v>187</v>
      </c>
      <c r="L23" t="s">
        <v>393</v>
      </c>
      <c r="M23" t="s">
        <v>175</v>
      </c>
      <c r="N23" t="s">
        <v>175</v>
      </c>
      <c r="O23" t="s">
        <v>175</v>
      </c>
      <c r="P23" t="s">
        <v>175</v>
      </c>
      <c r="Q23" t="s">
        <v>175</v>
      </c>
      <c r="R23" t="s">
        <v>175</v>
      </c>
      <c r="S23" t="s">
        <v>175</v>
      </c>
      <c r="T23" t="s">
        <v>175</v>
      </c>
      <c r="U23" t="s">
        <v>175</v>
      </c>
      <c r="V23" t="s">
        <v>175</v>
      </c>
      <c r="W23" t="s">
        <v>175</v>
      </c>
      <c r="X23" t="s">
        <v>175</v>
      </c>
      <c r="Y23" t="s">
        <v>175</v>
      </c>
      <c r="Z23" t="s">
        <v>175</v>
      </c>
    </row>
    <row r="24">
      <c r="A24" t="s">
        <v>175</v>
      </c>
      <c r="B24" t="s">
        <v>175</v>
      </c>
      <c r="C24" t="s">
        <v>175</v>
      </c>
      <c r="D24" t="s">
        <v>175</v>
      </c>
      <c r="E24" t="s">
        <v>175</v>
      </c>
      <c r="F24" t="s">
        <v>175</v>
      </c>
      <c r="G24" t="s">
        <v>175</v>
      </c>
      <c r="H24" t="s">
        <v>175</v>
      </c>
      <c r="I24" t="s">
        <v>189</v>
      </c>
      <c r="J24" t="s">
        <v>296</v>
      </c>
      <c r="K24" t="s">
        <v>175</v>
      </c>
      <c r="L24" t="s">
        <v>175</v>
      </c>
      <c r="M24" t="s">
        <v>175</v>
      </c>
      <c r="N24" t="s">
        <v>175</v>
      </c>
      <c r="O24" t="s">
        <v>175</v>
      </c>
      <c r="P24" t="s">
        <v>175</v>
      </c>
      <c r="Q24" t="s">
        <v>175</v>
      </c>
      <c r="R24" t="s">
        <v>175</v>
      </c>
      <c r="S24" t="s">
        <v>175</v>
      </c>
      <c r="T24" t="s">
        <v>175</v>
      </c>
      <c r="U24" t="s">
        <v>175</v>
      </c>
      <c r="V24" t="s">
        <v>175</v>
      </c>
      <c r="W24" t="s">
        <v>175</v>
      </c>
      <c r="X24" t="s">
        <v>175</v>
      </c>
      <c r="Y24" t="s">
        <v>175</v>
      </c>
      <c r="Z24" t="s">
        <v>175</v>
      </c>
    </row>
    <row r="25">
      <c r="A25" t="s">
        <v>175</v>
      </c>
      <c r="B25" t="s">
        <v>175</v>
      </c>
      <c r="C25" t="s">
        <v>175</v>
      </c>
      <c r="D25" t="s">
        <v>175</v>
      </c>
      <c r="E25" t="s">
        <v>175</v>
      </c>
      <c r="F25" t="s">
        <v>175</v>
      </c>
      <c r="G25" t="s">
        <v>190</v>
      </c>
      <c r="H25" t="s">
        <v>285</v>
      </c>
      <c r="I25" t="s">
        <v>175</v>
      </c>
      <c r="J25" t="s">
        <v>175</v>
      </c>
      <c r="K25" t="s">
        <v>175</v>
      </c>
      <c r="L25" t="s">
        <v>175</v>
      </c>
      <c r="M25" t="s">
        <v>175</v>
      </c>
      <c r="N25" t="s">
        <v>175</v>
      </c>
      <c r="O25" t="s">
        <v>175</v>
      </c>
      <c r="P25" t="s">
        <v>175</v>
      </c>
      <c r="Q25" t="s">
        <v>175</v>
      </c>
      <c r="R25" t="s">
        <v>175</v>
      </c>
      <c r="S25" t="s">
        <v>175</v>
      </c>
      <c r="T25" t="s">
        <v>175</v>
      </c>
      <c r="U25" t="s">
        <v>175</v>
      </c>
      <c r="V25" t="s">
        <v>175</v>
      </c>
      <c r="W25" t="s">
        <v>175</v>
      </c>
      <c r="X25" t="s">
        <v>175</v>
      </c>
      <c r="Y25" t="s">
        <v>175</v>
      </c>
      <c r="Z25" t="s">
        <v>175</v>
      </c>
    </row>
    <row r="26">
      <c r="A26" t="s">
        <v>175</v>
      </c>
      <c r="B26" t="s">
        <v>175</v>
      </c>
      <c r="C26" t="s">
        <v>175</v>
      </c>
      <c r="D26" t="s">
        <v>175</v>
      </c>
      <c r="E26" t="s">
        <v>189</v>
      </c>
      <c r="F26" t="s">
        <v>271</v>
      </c>
      <c r="G26" t="s">
        <v>175</v>
      </c>
      <c r="H26" t="s">
        <v>175</v>
      </c>
      <c r="I26" t="s">
        <v>175</v>
      </c>
      <c r="J26" t="s">
        <v>175</v>
      </c>
      <c r="K26" t="s">
        <v>175</v>
      </c>
      <c r="L26" t="s">
        <v>175</v>
      </c>
      <c r="M26" t="s">
        <v>175</v>
      </c>
      <c r="N26" t="s">
        <v>175</v>
      </c>
      <c r="O26" t="s">
        <v>175</v>
      </c>
      <c r="P26" t="s">
        <v>175</v>
      </c>
      <c r="Q26" t="s">
        <v>175</v>
      </c>
      <c r="R26" t="s">
        <v>175</v>
      </c>
      <c r="S26" t="s">
        <v>175</v>
      </c>
      <c r="T26" t="s">
        <v>175</v>
      </c>
      <c r="U26" t="s">
        <v>175</v>
      </c>
      <c r="V26" t="s">
        <v>175</v>
      </c>
      <c r="W26" t="s">
        <v>175</v>
      </c>
      <c r="X26" t="s">
        <v>175</v>
      </c>
      <c r="Y26" t="s">
        <v>175</v>
      </c>
      <c r="Z26" t="s">
        <v>175</v>
      </c>
    </row>
    <row r="27">
      <c r="A27" t="s">
        <v>175</v>
      </c>
      <c r="B27" t="s">
        <v>175</v>
      </c>
      <c r="C27" t="s">
        <v>190</v>
      </c>
      <c r="D27" t="s">
        <v>208</v>
      </c>
      <c r="E27" t="s">
        <v>175</v>
      </c>
      <c r="F27" t="s">
        <v>175</v>
      </c>
      <c r="G27" t="s">
        <v>175</v>
      </c>
      <c r="H27" t="s">
        <v>175</v>
      </c>
      <c r="I27" t="s">
        <v>175</v>
      </c>
      <c r="J27" t="s">
        <v>175</v>
      </c>
      <c r="K27" t="s">
        <v>175</v>
      </c>
      <c r="L27" t="s">
        <v>175</v>
      </c>
      <c r="M27" t="s">
        <v>175</v>
      </c>
      <c r="N27" t="s">
        <v>175</v>
      </c>
      <c r="O27" t="s">
        <v>175</v>
      </c>
      <c r="P27" t="s">
        <v>175</v>
      </c>
      <c r="Q27" t="s">
        <v>175</v>
      </c>
      <c r="R27" t="s">
        <v>175</v>
      </c>
      <c r="S27" t="s">
        <v>175</v>
      </c>
      <c r="T27" t="s">
        <v>175</v>
      </c>
      <c r="U27" t="s">
        <v>175</v>
      </c>
      <c r="V27" t="s">
        <v>175</v>
      </c>
      <c r="W27" t="s">
        <v>175</v>
      </c>
      <c r="X27" t="s">
        <v>175</v>
      </c>
      <c r="Y27" t="s">
        <v>175</v>
      </c>
      <c r="Z27" t="s">
        <v>175</v>
      </c>
    </row>
    <row r="28">
      <c r="A28" t="s">
        <v>191</v>
      </c>
      <c r="B28" t="s">
        <v>54</v>
      </c>
      <c r="C28" t="s">
        <v>175</v>
      </c>
      <c r="D28" t="s">
        <v>175</v>
      </c>
      <c r="E28" t="s">
        <v>175</v>
      </c>
      <c r="F28" t="s">
        <v>175</v>
      </c>
      <c r="G28" t="s">
        <v>175</v>
      </c>
      <c r="H28" t="s">
        <v>175</v>
      </c>
      <c r="I28" t="s">
        <v>175</v>
      </c>
      <c r="J28" t="s">
        <v>175</v>
      </c>
      <c r="K28" t="s">
        <v>175</v>
      </c>
      <c r="L28" t="s">
        <v>175</v>
      </c>
      <c r="M28" t="s">
        <v>175</v>
      </c>
      <c r="N28" t="s">
        <v>175</v>
      </c>
      <c r="O28" t="s">
        <v>175</v>
      </c>
      <c r="P28" t="s">
        <v>175</v>
      </c>
      <c r="Q28" t="s">
        <v>175</v>
      </c>
      <c r="R28" t="s">
        <v>175</v>
      </c>
      <c r="S28" t="s">
        <v>175</v>
      </c>
      <c r="T28" t="s">
        <v>175</v>
      </c>
      <c r="U28" t="s">
        <v>175</v>
      </c>
      <c r="V28" t="s">
        <v>175</v>
      </c>
      <c r="W28" t="s">
        <v>175</v>
      </c>
      <c r="X28" t="s">
        <v>175</v>
      </c>
      <c r="Y28" t="s">
        <v>175</v>
      </c>
      <c r="Z28" t="s">
        <v>175</v>
      </c>
    </row>
    <row r="29">
      <c r="A29" t="s">
        <v>187</v>
      </c>
      <c r="B29" t="s">
        <v>184</v>
      </c>
      <c r="C29" t="s">
        <v>175</v>
      </c>
      <c r="D29" t="s">
        <v>175</v>
      </c>
      <c r="E29" t="s">
        <v>175</v>
      </c>
      <c r="F29" t="s">
        <v>175</v>
      </c>
      <c r="G29" t="s">
        <v>175</v>
      </c>
      <c r="H29" t="s">
        <v>175</v>
      </c>
      <c r="I29" t="s">
        <v>175</v>
      </c>
      <c r="J29" t="s">
        <v>175</v>
      </c>
      <c r="K29" t="s">
        <v>175</v>
      </c>
      <c r="L29" t="s">
        <v>175</v>
      </c>
      <c r="M29" t="s">
        <v>175</v>
      </c>
      <c r="N29" t="s">
        <v>175</v>
      </c>
      <c r="O29" t="s">
        <v>175</v>
      </c>
      <c r="P29" t="s">
        <v>175</v>
      </c>
      <c r="Q29" t="s">
        <v>175</v>
      </c>
      <c r="R29" t="s">
        <v>175</v>
      </c>
      <c r="S29" t="s">
        <v>175</v>
      </c>
      <c r="T29" t="s">
        <v>175</v>
      </c>
      <c r="U29" t="s">
        <v>175</v>
      </c>
      <c r="V29" t="s">
        <v>175</v>
      </c>
      <c r="W29" t="s">
        <v>175</v>
      </c>
      <c r="X29" t="s">
        <v>175</v>
      </c>
      <c r="Y29" t="s">
        <v>175</v>
      </c>
      <c r="Z29" t="s">
        <v>175</v>
      </c>
    </row>
    <row r="30">
      <c r="A30" t="s">
        <v>175</v>
      </c>
      <c r="B30" t="s">
        <v>175</v>
      </c>
      <c r="C30" t="s">
        <v>129</v>
      </c>
      <c r="D30" t="s">
        <v>219</v>
      </c>
      <c r="E30" t="s">
        <v>175</v>
      </c>
      <c r="F30" t="s">
        <v>175</v>
      </c>
      <c r="G30" t="s">
        <v>175</v>
      </c>
      <c r="H30" t="s">
        <v>175</v>
      </c>
      <c r="I30" t="s">
        <v>175</v>
      </c>
      <c r="J30" t="s">
        <v>175</v>
      </c>
      <c r="K30" t="s">
        <v>175</v>
      </c>
      <c r="L30" t="s">
        <v>175</v>
      </c>
      <c r="M30" t="s">
        <v>175</v>
      </c>
      <c r="N30" t="s">
        <v>175</v>
      </c>
      <c r="O30" t="s">
        <v>175</v>
      </c>
      <c r="P30" t="s">
        <v>175</v>
      </c>
      <c r="Q30" t="s">
        <v>175</v>
      </c>
      <c r="R30" t="s">
        <v>175</v>
      </c>
      <c r="S30" t="s">
        <v>175</v>
      </c>
      <c r="T30" t="s">
        <v>175</v>
      </c>
      <c r="U30" t="s">
        <v>175</v>
      </c>
      <c r="V30" t="s">
        <v>175</v>
      </c>
      <c r="W30" t="s">
        <v>175</v>
      </c>
      <c r="X30" t="s">
        <v>175</v>
      </c>
      <c r="Y30" t="s">
        <v>175</v>
      </c>
      <c r="Z30" t="s">
        <v>175</v>
      </c>
    </row>
    <row r="31">
      <c r="A31" t="s">
        <v>175</v>
      </c>
      <c r="B31" t="s">
        <v>175</v>
      </c>
      <c r="C31" t="s">
        <v>175</v>
      </c>
      <c r="D31" t="s">
        <v>175</v>
      </c>
      <c r="E31" t="s">
        <v>191</v>
      </c>
      <c r="F31" t="s">
        <v>261</v>
      </c>
      <c r="G31" t="s">
        <v>175</v>
      </c>
      <c r="H31" t="s">
        <v>175</v>
      </c>
      <c r="I31" t="s">
        <v>175</v>
      </c>
      <c r="J31" t="s">
        <v>175</v>
      </c>
      <c r="K31" t="s">
        <v>175</v>
      </c>
      <c r="L31" t="s">
        <v>175</v>
      </c>
      <c r="M31" t="s">
        <v>175</v>
      </c>
      <c r="N31" t="s">
        <v>175</v>
      </c>
      <c r="O31" t="s">
        <v>175</v>
      </c>
      <c r="P31" t="s">
        <v>175</v>
      </c>
      <c r="Q31" t="s">
        <v>175</v>
      </c>
      <c r="R31" t="s">
        <v>175</v>
      </c>
      <c r="S31" t="s">
        <v>175</v>
      </c>
      <c r="T31" t="s">
        <v>175</v>
      </c>
      <c r="U31" t="s">
        <v>175</v>
      </c>
      <c r="V31" t="s">
        <v>175</v>
      </c>
      <c r="W31" t="s">
        <v>175</v>
      </c>
      <c r="X31" t="s">
        <v>175</v>
      </c>
      <c r="Y31" t="s">
        <v>175</v>
      </c>
      <c r="Z31" t="s">
        <v>175</v>
      </c>
    </row>
    <row r="32">
      <c r="A32" t="s">
        <v>175</v>
      </c>
      <c r="B32" t="s">
        <v>175</v>
      </c>
      <c r="C32" t="s">
        <v>175</v>
      </c>
      <c r="D32" t="s">
        <v>175</v>
      </c>
      <c r="E32" t="s">
        <v>175</v>
      </c>
      <c r="F32" t="s">
        <v>175</v>
      </c>
      <c r="G32" t="s">
        <v>188</v>
      </c>
      <c r="H32" t="s">
        <v>284</v>
      </c>
      <c r="I32" t="s">
        <v>175</v>
      </c>
      <c r="J32" t="s">
        <v>175</v>
      </c>
      <c r="K32" t="s">
        <v>175</v>
      </c>
      <c r="L32" t="s">
        <v>175</v>
      </c>
      <c r="M32" t="s">
        <v>175</v>
      </c>
      <c r="N32" t="s">
        <v>175</v>
      </c>
      <c r="O32" t="s">
        <v>175</v>
      </c>
      <c r="P32" t="s">
        <v>175</v>
      </c>
      <c r="Q32" t="s">
        <v>175</v>
      </c>
      <c r="R32" t="s">
        <v>175</v>
      </c>
      <c r="S32" t="s">
        <v>175</v>
      </c>
      <c r="T32" t="s">
        <v>175</v>
      </c>
      <c r="U32" t="s">
        <v>175</v>
      </c>
      <c r="V32" t="s">
        <v>175</v>
      </c>
      <c r="W32" t="s">
        <v>175</v>
      </c>
      <c r="X32" t="s">
        <v>175</v>
      </c>
      <c r="Y32" t="s">
        <v>175</v>
      </c>
      <c r="Z32" t="s">
        <v>175</v>
      </c>
    </row>
    <row r="33">
      <c r="A33" t="s">
        <v>175</v>
      </c>
      <c r="B33" t="s">
        <v>175</v>
      </c>
      <c r="C33" t="s">
        <v>175</v>
      </c>
      <c r="D33" t="s">
        <v>175</v>
      </c>
      <c r="E33" t="s">
        <v>175</v>
      </c>
      <c r="F33" t="s">
        <v>175</v>
      </c>
      <c r="G33" t="s">
        <v>175</v>
      </c>
      <c r="H33" t="s">
        <v>175</v>
      </c>
      <c r="I33" t="s">
        <v>129</v>
      </c>
      <c r="J33" t="s">
        <v>304</v>
      </c>
      <c r="K33" t="s">
        <v>175</v>
      </c>
      <c r="L33" t="s">
        <v>175</v>
      </c>
      <c r="M33" t="s">
        <v>175</v>
      </c>
      <c r="N33" t="s">
        <v>175</v>
      </c>
      <c r="O33" t="s">
        <v>175</v>
      </c>
      <c r="P33" t="s">
        <v>175</v>
      </c>
      <c r="Q33" t="s">
        <v>175</v>
      </c>
      <c r="R33" t="s">
        <v>175</v>
      </c>
      <c r="S33" t="s">
        <v>175</v>
      </c>
      <c r="T33" t="s">
        <v>175</v>
      </c>
      <c r="U33" t="s">
        <v>175</v>
      </c>
      <c r="V33" t="s">
        <v>175</v>
      </c>
      <c r="W33" t="s">
        <v>175</v>
      </c>
      <c r="X33" t="s">
        <v>175</v>
      </c>
      <c r="Y33" t="s">
        <v>175</v>
      </c>
      <c r="Z33" t="s">
        <v>175</v>
      </c>
    </row>
    <row r="34">
      <c r="A34" t="s">
        <v>175</v>
      </c>
      <c r="B34" t="s">
        <v>175</v>
      </c>
      <c r="C34" t="s">
        <v>175</v>
      </c>
      <c r="D34" t="s">
        <v>175</v>
      </c>
      <c r="E34" t="s">
        <v>175</v>
      </c>
      <c r="F34" t="s">
        <v>175</v>
      </c>
      <c r="G34" t="s">
        <v>175</v>
      </c>
      <c r="H34" t="s">
        <v>175</v>
      </c>
      <c r="I34" t="s">
        <v>175</v>
      </c>
      <c r="J34" t="s">
        <v>175</v>
      </c>
      <c r="K34" t="s">
        <v>129</v>
      </c>
      <c r="L34" t="s">
        <v>349</v>
      </c>
      <c r="M34" t="s">
        <v>175</v>
      </c>
      <c r="N34" t="s">
        <v>175</v>
      </c>
      <c r="O34" t="s">
        <v>175</v>
      </c>
      <c r="P34" t="s">
        <v>175</v>
      </c>
      <c r="Q34" t="s">
        <v>175</v>
      </c>
      <c r="R34" t="s">
        <v>175</v>
      </c>
      <c r="S34" t="s">
        <v>175</v>
      </c>
      <c r="T34" t="s">
        <v>175</v>
      </c>
      <c r="U34" t="s">
        <v>175</v>
      </c>
      <c r="V34" t="s">
        <v>175</v>
      </c>
      <c r="W34" t="s">
        <v>175</v>
      </c>
      <c r="X34" t="s">
        <v>175</v>
      </c>
      <c r="Y34" t="s">
        <v>175</v>
      </c>
      <c r="Z34" t="s">
        <v>175</v>
      </c>
    </row>
    <row r="35">
      <c r="A35" t="s">
        <v>175</v>
      </c>
      <c r="B35" t="s">
        <v>175</v>
      </c>
      <c r="C35" t="s">
        <v>175</v>
      </c>
      <c r="D35" t="s">
        <v>175</v>
      </c>
      <c r="E35" t="s">
        <v>175</v>
      </c>
      <c r="F35" t="s">
        <v>175</v>
      </c>
      <c r="G35" t="s">
        <v>175</v>
      </c>
      <c r="H35" t="s">
        <v>175</v>
      </c>
      <c r="I35" t="s">
        <v>175</v>
      </c>
      <c r="J35" t="s">
        <v>175</v>
      </c>
      <c r="K35" t="s">
        <v>175</v>
      </c>
      <c r="L35" t="s">
        <v>175</v>
      </c>
      <c r="M35" t="s">
        <v>187</v>
      </c>
      <c r="N35" t="s">
        <v>400</v>
      </c>
      <c r="O35" t="s">
        <v>175</v>
      </c>
      <c r="P35" t="s">
        <v>175</v>
      </c>
      <c r="Q35" t="s">
        <v>175</v>
      </c>
      <c r="R35" t="s">
        <v>175</v>
      </c>
      <c r="S35" t="s">
        <v>175</v>
      </c>
      <c r="T35" t="s">
        <v>175</v>
      </c>
      <c r="U35" t="s">
        <v>175</v>
      </c>
      <c r="V35" t="s">
        <v>175</v>
      </c>
      <c r="W35" t="s">
        <v>175</v>
      </c>
      <c r="X35" t="s">
        <v>175</v>
      </c>
      <c r="Y35" t="s">
        <v>175</v>
      </c>
      <c r="Z35" t="s">
        <v>175</v>
      </c>
    </row>
    <row r="36">
      <c r="A36" t="s">
        <v>175</v>
      </c>
      <c r="B36" t="s">
        <v>175</v>
      </c>
      <c r="C36" t="s">
        <v>175</v>
      </c>
      <c r="D36" t="s">
        <v>175</v>
      </c>
      <c r="E36" t="s">
        <v>175</v>
      </c>
      <c r="F36" t="s">
        <v>175</v>
      </c>
      <c r="G36" t="s">
        <v>175</v>
      </c>
      <c r="H36" t="s">
        <v>175</v>
      </c>
      <c r="I36" t="s">
        <v>175</v>
      </c>
      <c r="J36" t="s">
        <v>175</v>
      </c>
      <c r="K36" t="s">
        <v>175</v>
      </c>
      <c r="L36" t="s">
        <v>175</v>
      </c>
      <c r="M36" t="s">
        <v>175</v>
      </c>
      <c r="N36" t="s">
        <v>175</v>
      </c>
      <c r="O36" t="s">
        <v>186</v>
      </c>
      <c r="P36" t="s">
        <v>357</v>
      </c>
      <c r="Q36" t="s">
        <v>175</v>
      </c>
      <c r="R36" t="s">
        <v>175</v>
      </c>
      <c r="S36" t="s">
        <v>175</v>
      </c>
      <c r="T36" t="s">
        <v>175</v>
      </c>
      <c r="U36" t="s">
        <v>175</v>
      </c>
      <c r="V36" t="s">
        <v>175</v>
      </c>
      <c r="W36" t="s">
        <v>175</v>
      </c>
      <c r="X36" t="s">
        <v>175</v>
      </c>
      <c r="Y36" t="s">
        <v>175</v>
      </c>
      <c r="Z36" t="s">
        <v>175</v>
      </c>
    </row>
    <row r="37">
      <c r="A37" t="s">
        <v>175</v>
      </c>
      <c r="B37" t="s">
        <v>175</v>
      </c>
      <c r="C37" t="s">
        <v>175</v>
      </c>
      <c r="D37" t="s">
        <v>175</v>
      </c>
      <c r="E37" t="s">
        <v>175</v>
      </c>
      <c r="F37" t="s">
        <v>175</v>
      </c>
      <c r="G37" t="s">
        <v>175</v>
      </c>
      <c r="H37" t="s">
        <v>175</v>
      </c>
      <c r="I37" t="s">
        <v>175</v>
      </c>
      <c r="J37" t="s">
        <v>175</v>
      </c>
      <c r="K37" t="s">
        <v>175</v>
      </c>
      <c r="L37" t="s">
        <v>175</v>
      </c>
      <c r="M37" t="s">
        <v>175</v>
      </c>
      <c r="N37" t="s">
        <v>175</v>
      </c>
      <c r="O37" t="s">
        <v>175</v>
      </c>
      <c r="P37" t="s">
        <v>175</v>
      </c>
      <c r="Q37" t="s">
        <v>187</v>
      </c>
      <c r="R37" t="s">
        <v>364</v>
      </c>
      <c r="S37" t="s">
        <v>175</v>
      </c>
      <c r="T37" t="s">
        <v>175</v>
      </c>
      <c r="U37" t="s">
        <v>175</v>
      </c>
      <c r="V37" t="s">
        <v>175</v>
      </c>
      <c r="W37" t="s">
        <v>175</v>
      </c>
      <c r="X37" t="s">
        <v>175</v>
      </c>
      <c r="Y37" t="s">
        <v>175</v>
      </c>
      <c r="Z37" t="s">
        <v>175</v>
      </c>
    </row>
    <row r="38">
      <c r="A38" t="s">
        <v>175</v>
      </c>
      <c r="B38" t="s">
        <v>175</v>
      </c>
      <c r="C38" t="s">
        <v>175</v>
      </c>
      <c r="D38" t="s">
        <v>175</v>
      </c>
      <c r="E38" t="s">
        <v>175</v>
      </c>
      <c r="F38" t="s">
        <v>175</v>
      </c>
      <c r="G38" t="s">
        <v>175</v>
      </c>
      <c r="H38" t="s">
        <v>175</v>
      </c>
      <c r="I38" t="s">
        <v>175</v>
      </c>
      <c r="J38" t="s">
        <v>175</v>
      </c>
      <c r="K38" t="s">
        <v>175</v>
      </c>
      <c r="L38" t="s">
        <v>175</v>
      </c>
      <c r="M38" t="s">
        <v>175</v>
      </c>
      <c r="N38" t="s">
        <v>175</v>
      </c>
      <c r="O38" t="s">
        <v>175</v>
      </c>
      <c r="P38" t="s">
        <v>175</v>
      </c>
      <c r="Q38" t="s">
        <v>175</v>
      </c>
      <c r="R38" t="s">
        <v>175</v>
      </c>
      <c r="S38" t="s">
        <v>187</v>
      </c>
      <c r="T38" t="s">
        <v>354</v>
      </c>
      <c r="U38" t="s">
        <v>175</v>
      </c>
      <c r="V38" t="s">
        <v>175</v>
      </c>
      <c r="W38" t="s">
        <v>175</v>
      </c>
      <c r="X38" t="s">
        <v>175</v>
      </c>
      <c r="Y38" t="s">
        <v>175</v>
      </c>
      <c r="Z38" t="s">
        <v>175</v>
      </c>
    </row>
    <row r="39">
      <c r="A39" t="s">
        <v>175</v>
      </c>
      <c r="B39" t="s">
        <v>175</v>
      </c>
      <c r="C39" t="s">
        <v>175</v>
      </c>
      <c r="D39" t="s">
        <v>175</v>
      </c>
      <c r="E39" t="s">
        <v>175</v>
      </c>
      <c r="F39" t="s">
        <v>175</v>
      </c>
      <c r="G39" t="s">
        <v>175</v>
      </c>
      <c r="H39" t="s">
        <v>175</v>
      </c>
      <c r="I39" t="s">
        <v>175</v>
      </c>
      <c r="J39" t="s">
        <v>175</v>
      </c>
      <c r="K39" t="s">
        <v>175</v>
      </c>
      <c r="L39" t="s">
        <v>175</v>
      </c>
      <c r="M39" t="s">
        <v>175</v>
      </c>
      <c r="N39" t="s">
        <v>175</v>
      </c>
      <c r="O39" t="s">
        <v>175</v>
      </c>
      <c r="P39" t="s">
        <v>175</v>
      </c>
      <c r="Q39" t="s">
        <v>175</v>
      </c>
      <c r="R39" t="s">
        <v>175</v>
      </c>
      <c r="S39" t="s">
        <v>175</v>
      </c>
      <c r="T39" t="s">
        <v>175</v>
      </c>
      <c r="U39" t="s">
        <v>192</v>
      </c>
      <c r="V39" t="s">
        <v>387</v>
      </c>
      <c r="W39" t="s">
        <v>175</v>
      </c>
      <c r="X39" t="s">
        <v>175</v>
      </c>
      <c r="Y39" t="s">
        <v>175</v>
      </c>
      <c r="Z39" t="s">
        <v>175</v>
      </c>
    </row>
    <row r="40">
      <c r="A40" t="s">
        <v>175</v>
      </c>
      <c r="B40" t="s">
        <v>175</v>
      </c>
      <c r="C40" t="s">
        <v>175</v>
      </c>
      <c r="D40" t="s">
        <v>175</v>
      </c>
      <c r="E40" t="s">
        <v>175</v>
      </c>
      <c r="F40" t="s">
        <v>175</v>
      </c>
      <c r="G40" t="s">
        <v>175</v>
      </c>
      <c r="H40" t="s">
        <v>175</v>
      </c>
      <c r="I40" t="s">
        <v>175</v>
      </c>
      <c r="J40" t="s">
        <v>175</v>
      </c>
      <c r="K40" t="s">
        <v>175</v>
      </c>
      <c r="L40" t="s">
        <v>175</v>
      </c>
      <c r="M40" t="s">
        <v>175</v>
      </c>
      <c r="N40" t="s">
        <v>175</v>
      </c>
      <c r="O40" t="s">
        <v>175</v>
      </c>
      <c r="P40" t="s">
        <v>175</v>
      </c>
      <c r="Q40" t="s">
        <v>175</v>
      </c>
      <c r="R40" t="s">
        <v>175</v>
      </c>
      <c r="S40" t="s">
        <v>175</v>
      </c>
      <c r="T40" t="s">
        <v>175</v>
      </c>
      <c r="U40" t="s">
        <v>175</v>
      </c>
      <c r="V40" t="s">
        <v>175</v>
      </c>
      <c r="W40" t="s">
        <v>193</v>
      </c>
      <c r="X40" t="s">
        <v>361</v>
      </c>
      <c r="Y40" t="s">
        <v>175</v>
      </c>
      <c r="Z40" t="s">
        <v>175</v>
      </c>
    </row>
    <row r="41">
      <c r="A41" t="s">
        <v>175</v>
      </c>
      <c r="B41" t="s">
        <v>175</v>
      </c>
      <c r="C41" t="s">
        <v>175</v>
      </c>
      <c r="D41" t="s">
        <v>175</v>
      </c>
      <c r="E41" t="s">
        <v>175</v>
      </c>
      <c r="F41" t="s">
        <v>175</v>
      </c>
      <c r="G41" t="s">
        <v>175</v>
      </c>
      <c r="H41" t="s">
        <v>175</v>
      </c>
      <c r="I41" t="s">
        <v>175</v>
      </c>
      <c r="J41" t="s">
        <v>175</v>
      </c>
      <c r="K41" t="s">
        <v>175</v>
      </c>
      <c r="L41" t="s">
        <v>175</v>
      </c>
      <c r="M41" t="s">
        <v>175</v>
      </c>
      <c r="N41" t="s">
        <v>175</v>
      </c>
      <c r="O41" t="s">
        <v>175</v>
      </c>
      <c r="P41" t="s">
        <v>175</v>
      </c>
      <c r="Q41" t="s">
        <v>175</v>
      </c>
      <c r="R41" t="s">
        <v>175</v>
      </c>
      <c r="S41" t="s">
        <v>175</v>
      </c>
      <c r="T41" t="s">
        <v>175</v>
      </c>
      <c r="U41" t="s">
        <v>175</v>
      </c>
      <c r="V41" t="s">
        <v>175</v>
      </c>
      <c r="W41" t="s">
        <v>175</v>
      </c>
      <c r="X41" t="s">
        <v>175</v>
      </c>
      <c r="Y41" t="s">
        <v>186</v>
      </c>
      <c r="Z41" t="s">
        <v>363</v>
      </c>
    </row>
    <row r="42">
      <c r="A42" t="s">
        <v>175</v>
      </c>
      <c r="B42" t="s">
        <v>175</v>
      </c>
      <c r="C42" t="s">
        <v>175</v>
      </c>
      <c r="D42" t="s">
        <v>175</v>
      </c>
      <c r="E42" t="s">
        <v>175</v>
      </c>
      <c r="F42" t="s">
        <v>175</v>
      </c>
      <c r="G42" t="s">
        <v>175</v>
      </c>
      <c r="H42" t="s">
        <v>175</v>
      </c>
      <c r="I42" t="s">
        <v>175</v>
      </c>
      <c r="J42" t="s">
        <v>175</v>
      </c>
      <c r="K42" t="s">
        <v>175</v>
      </c>
      <c r="L42" t="s">
        <v>175</v>
      </c>
      <c r="M42" t="s">
        <v>175</v>
      </c>
      <c r="N42" t="s">
        <v>175</v>
      </c>
      <c r="O42" t="s">
        <v>175</v>
      </c>
      <c r="P42" t="s">
        <v>175</v>
      </c>
      <c r="Q42" t="s">
        <v>175</v>
      </c>
      <c r="R42" t="s">
        <v>175</v>
      </c>
      <c r="S42" t="s">
        <v>175</v>
      </c>
      <c r="T42" t="s">
        <v>175</v>
      </c>
      <c r="U42" t="s">
        <v>175</v>
      </c>
      <c r="V42" t="s">
        <v>175</v>
      </c>
      <c r="W42" t="s">
        <v>175</v>
      </c>
      <c r="X42" t="s">
        <v>175</v>
      </c>
      <c r="Y42" t="s">
        <v>187</v>
      </c>
      <c r="Z42" t="s">
        <v>320</v>
      </c>
    </row>
    <row r="43">
      <c r="A43" t="s">
        <v>175</v>
      </c>
      <c r="B43" t="s">
        <v>175</v>
      </c>
      <c r="C43" t="s">
        <v>175</v>
      </c>
      <c r="D43" t="s">
        <v>175</v>
      </c>
      <c r="E43" t="s">
        <v>175</v>
      </c>
      <c r="F43" t="s">
        <v>175</v>
      </c>
      <c r="G43" t="s">
        <v>175</v>
      </c>
      <c r="H43" t="s">
        <v>175</v>
      </c>
      <c r="I43" t="s">
        <v>175</v>
      </c>
      <c r="J43" t="s">
        <v>175</v>
      </c>
      <c r="K43" t="s">
        <v>175</v>
      </c>
      <c r="L43" t="s">
        <v>175</v>
      </c>
      <c r="M43" t="s">
        <v>175</v>
      </c>
      <c r="N43" t="s">
        <v>175</v>
      </c>
      <c r="O43" t="s">
        <v>175</v>
      </c>
      <c r="P43" t="s">
        <v>175</v>
      </c>
      <c r="Q43" t="s">
        <v>175</v>
      </c>
      <c r="R43" t="s">
        <v>175</v>
      </c>
      <c r="S43" t="s">
        <v>175</v>
      </c>
      <c r="T43" t="s">
        <v>175</v>
      </c>
      <c r="U43" t="s">
        <v>175</v>
      </c>
      <c r="V43" t="s">
        <v>175</v>
      </c>
      <c r="W43" t="s">
        <v>187</v>
      </c>
      <c r="X43" t="s">
        <v>358</v>
      </c>
      <c r="Y43" t="s">
        <v>175</v>
      </c>
      <c r="Z43" t="s">
        <v>175</v>
      </c>
    </row>
    <row r="44">
      <c r="A44" t="s">
        <v>175</v>
      </c>
      <c r="B44" t="s">
        <v>175</v>
      </c>
      <c r="C44" t="s">
        <v>175</v>
      </c>
      <c r="D44" t="s">
        <v>175</v>
      </c>
      <c r="E44" t="s">
        <v>175</v>
      </c>
      <c r="F44" t="s">
        <v>175</v>
      </c>
      <c r="G44" t="s">
        <v>175</v>
      </c>
      <c r="H44" t="s">
        <v>175</v>
      </c>
      <c r="I44" t="s">
        <v>175</v>
      </c>
      <c r="J44" t="s">
        <v>175</v>
      </c>
      <c r="K44" t="s">
        <v>175</v>
      </c>
      <c r="L44" t="s">
        <v>175</v>
      </c>
      <c r="M44" t="s">
        <v>175</v>
      </c>
      <c r="N44" t="s">
        <v>175</v>
      </c>
      <c r="O44" t="s">
        <v>175</v>
      </c>
      <c r="P44" t="s">
        <v>175</v>
      </c>
      <c r="Q44" t="s">
        <v>175</v>
      </c>
      <c r="R44" t="s">
        <v>175</v>
      </c>
      <c r="S44" t="s">
        <v>175</v>
      </c>
      <c r="T44" t="s">
        <v>175</v>
      </c>
      <c r="U44" t="s">
        <v>191</v>
      </c>
      <c r="V44" t="s">
        <v>377</v>
      </c>
      <c r="W44" t="s">
        <v>175</v>
      </c>
      <c r="X44" t="s">
        <v>175</v>
      </c>
      <c r="Y44" t="s">
        <v>175</v>
      </c>
      <c r="Z44" t="s">
        <v>175</v>
      </c>
    </row>
    <row r="45">
      <c r="A45" t="s">
        <v>175</v>
      </c>
      <c r="B45" t="s">
        <v>175</v>
      </c>
      <c r="C45" t="s">
        <v>175</v>
      </c>
      <c r="D45" t="s">
        <v>175</v>
      </c>
      <c r="E45" t="s">
        <v>175</v>
      </c>
      <c r="F45" t="s">
        <v>175</v>
      </c>
      <c r="G45" t="s">
        <v>175</v>
      </c>
      <c r="H45" t="s">
        <v>175</v>
      </c>
      <c r="I45" t="s">
        <v>175</v>
      </c>
      <c r="J45" t="s">
        <v>175</v>
      </c>
      <c r="K45" t="s">
        <v>175</v>
      </c>
      <c r="L45" t="s">
        <v>175</v>
      </c>
      <c r="M45" t="s">
        <v>175</v>
      </c>
      <c r="N45" t="s">
        <v>175</v>
      </c>
      <c r="O45" t="s">
        <v>175</v>
      </c>
      <c r="P45" t="s">
        <v>175</v>
      </c>
      <c r="Q45" t="s">
        <v>175</v>
      </c>
      <c r="R45" t="s">
        <v>175</v>
      </c>
      <c r="S45" t="s">
        <v>129</v>
      </c>
      <c r="T45" t="s">
        <v>336</v>
      </c>
      <c r="U45" t="s">
        <v>175</v>
      </c>
      <c r="V45" t="s">
        <v>175</v>
      </c>
      <c r="W45" t="s">
        <v>175</v>
      </c>
      <c r="X45" t="s">
        <v>175</v>
      </c>
      <c r="Y45" t="s">
        <v>175</v>
      </c>
      <c r="Z45" t="s">
        <v>175</v>
      </c>
    </row>
    <row r="46">
      <c r="A46" t="s">
        <v>175</v>
      </c>
      <c r="B46" t="s">
        <v>175</v>
      </c>
      <c r="C46" t="s">
        <v>175</v>
      </c>
      <c r="D46" t="s">
        <v>175</v>
      </c>
      <c r="E46" t="s">
        <v>175</v>
      </c>
      <c r="F46" t="s">
        <v>175</v>
      </c>
      <c r="G46" t="s">
        <v>175</v>
      </c>
      <c r="H46" t="s">
        <v>175</v>
      </c>
      <c r="I46" t="s">
        <v>175</v>
      </c>
      <c r="J46" t="s">
        <v>175</v>
      </c>
      <c r="K46" t="s">
        <v>175</v>
      </c>
      <c r="L46" t="s">
        <v>175</v>
      </c>
      <c r="M46" t="s">
        <v>175</v>
      </c>
      <c r="N46" t="s">
        <v>175</v>
      </c>
      <c r="O46" t="s">
        <v>175</v>
      </c>
      <c r="P46" t="s">
        <v>175</v>
      </c>
      <c r="Q46" t="s">
        <v>186</v>
      </c>
      <c r="R46" t="s">
        <v>370</v>
      </c>
      <c r="S46" t="s">
        <v>175</v>
      </c>
      <c r="T46" t="s">
        <v>175</v>
      </c>
      <c r="U46" t="s">
        <v>175</v>
      </c>
      <c r="V46" t="s">
        <v>175</v>
      </c>
      <c r="W46" t="s">
        <v>175</v>
      </c>
      <c r="X46" t="s">
        <v>175</v>
      </c>
      <c r="Y46" t="s">
        <v>175</v>
      </c>
      <c r="Z46" t="s">
        <v>175</v>
      </c>
    </row>
    <row r="47">
      <c r="A47" t="s">
        <v>175</v>
      </c>
      <c r="B47" t="s">
        <v>175</v>
      </c>
      <c r="C47" t="s">
        <v>175</v>
      </c>
      <c r="D47" t="s">
        <v>175</v>
      </c>
      <c r="E47" t="s">
        <v>175</v>
      </c>
      <c r="F47" t="s">
        <v>175</v>
      </c>
      <c r="G47" t="s">
        <v>175</v>
      </c>
      <c r="H47" t="s">
        <v>175</v>
      </c>
      <c r="I47" t="s">
        <v>175</v>
      </c>
      <c r="J47" t="s">
        <v>175</v>
      </c>
      <c r="K47" t="s">
        <v>175</v>
      </c>
      <c r="L47" t="s">
        <v>175</v>
      </c>
      <c r="M47" t="s">
        <v>175</v>
      </c>
      <c r="N47" t="s">
        <v>175</v>
      </c>
      <c r="O47" t="s">
        <v>389</v>
      </c>
      <c r="P47" t="s">
        <v>325</v>
      </c>
      <c r="Q47" t="s">
        <v>175</v>
      </c>
      <c r="R47" t="s">
        <v>175</v>
      </c>
      <c r="S47" t="s">
        <v>175</v>
      </c>
      <c r="T47" t="s">
        <v>175</v>
      </c>
      <c r="U47" t="s">
        <v>175</v>
      </c>
      <c r="V47" t="s">
        <v>175</v>
      </c>
      <c r="W47" t="s">
        <v>175</v>
      </c>
      <c r="X47" t="s">
        <v>175</v>
      </c>
      <c r="Y47" t="s">
        <v>175</v>
      </c>
      <c r="Z47" t="s">
        <v>175</v>
      </c>
    </row>
    <row r="48">
      <c r="A48" t="s">
        <v>175</v>
      </c>
      <c r="B48" t="s">
        <v>175</v>
      </c>
      <c r="C48" t="s">
        <v>175</v>
      </c>
      <c r="D48" t="s">
        <v>175</v>
      </c>
      <c r="E48" t="s">
        <v>175</v>
      </c>
      <c r="F48" t="s">
        <v>175</v>
      </c>
      <c r="G48" t="s">
        <v>175</v>
      </c>
      <c r="H48" t="s">
        <v>175</v>
      </c>
      <c r="I48" t="s">
        <v>175</v>
      </c>
      <c r="J48" t="s">
        <v>175</v>
      </c>
      <c r="K48" t="s">
        <v>175</v>
      </c>
      <c r="L48" t="s">
        <v>175</v>
      </c>
      <c r="M48" t="s">
        <v>186</v>
      </c>
      <c r="N48" t="s">
        <v>367</v>
      </c>
      <c r="O48" t="s">
        <v>175</v>
      </c>
      <c r="P48" t="s">
        <v>175</v>
      </c>
      <c r="Q48" t="s">
        <v>175</v>
      </c>
      <c r="R48" t="s">
        <v>175</v>
      </c>
      <c r="S48" t="s">
        <v>175</v>
      </c>
      <c r="T48" t="s">
        <v>175</v>
      </c>
      <c r="U48" t="s">
        <v>175</v>
      </c>
      <c r="V48" t="s">
        <v>175</v>
      </c>
      <c r="W48" t="s">
        <v>175</v>
      </c>
      <c r="X48" t="s">
        <v>175</v>
      </c>
      <c r="Y48" t="s">
        <v>175</v>
      </c>
      <c r="Z48" t="s">
        <v>175</v>
      </c>
    </row>
    <row r="49">
      <c r="A49" t="s">
        <v>175</v>
      </c>
      <c r="B49" t="s">
        <v>175</v>
      </c>
      <c r="C49" t="s">
        <v>175</v>
      </c>
      <c r="D49" t="s">
        <v>175</v>
      </c>
      <c r="E49" t="s">
        <v>175</v>
      </c>
      <c r="F49" t="s">
        <v>175</v>
      </c>
      <c r="G49" t="s">
        <v>175</v>
      </c>
      <c r="H49" t="s">
        <v>175</v>
      </c>
      <c r="I49" t="s">
        <v>175</v>
      </c>
      <c r="J49" t="s">
        <v>175</v>
      </c>
      <c r="K49" t="s">
        <v>389</v>
      </c>
      <c r="L49" t="s">
        <v>314</v>
      </c>
      <c r="M49" t="s">
        <v>175</v>
      </c>
      <c r="N49" t="s">
        <v>175</v>
      </c>
      <c r="O49" t="s">
        <v>175</v>
      </c>
      <c r="P49" t="s">
        <v>175</v>
      </c>
      <c r="Q49" t="s">
        <v>175</v>
      </c>
      <c r="R49" t="s">
        <v>175</v>
      </c>
      <c r="S49" t="s">
        <v>175</v>
      </c>
      <c r="T49" t="s">
        <v>175</v>
      </c>
      <c r="U49" t="s">
        <v>175</v>
      </c>
      <c r="V49" t="s">
        <v>175</v>
      </c>
      <c r="W49" t="s">
        <v>175</v>
      </c>
      <c r="X49" t="s">
        <v>175</v>
      </c>
      <c r="Y49" t="s">
        <v>175</v>
      </c>
      <c r="Z49" t="s">
        <v>175</v>
      </c>
    </row>
    <row r="50">
      <c r="A50" t="s">
        <v>175</v>
      </c>
      <c r="B50" t="s">
        <v>175</v>
      </c>
      <c r="C50" t="s">
        <v>175</v>
      </c>
      <c r="D50" t="s">
        <v>175</v>
      </c>
      <c r="E50" t="s">
        <v>175</v>
      </c>
      <c r="F50" t="s">
        <v>175</v>
      </c>
      <c r="G50" t="s">
        <v>175</v>
      </c>
      <c r="H50" t="s">
        <v>175</v>
      </c>
      <c r="I50" t="s">
        <v>190</v>
      </c>
      <c r="J50" t="s">
        <v>298</v>
      </c>
      <c r="K50" t="s">
        <v>175</v>
      </c>
      <c r="L50" t="s">
        <v>175</v>
      </c>
      <c r="M50" t="s">
        <v>175</v>
      </c>
      <c r="N50" t="s">
        <v>175</v>
      </c>
      <c r="O50" t="s">
        <v>175</v>
      </c>
      <c r="P50" t="s">
        <v>175</v>
      </c>
      <c r="Q50" t="s">
        <v>175</v>
      </c>
      <c r="R50" t="s">
        <v>175</v>
      </c>
      <c r="S50" t="s">
        <v>175</v>
      </c>
      <c r="T50" t="s">
        <v>175</v>
      </c>
      <c r="U50" t="s">
        <v>175</v>
      </c>
      <c r="V50" t="s">
        <v>175</v>
      </c>
      <c r="W50" t="s">
        <v>175</v>
      </c>
      <c r="X50" t="s">
        <v>175</v>
      </c>
      <c r="Y50" t="s">
        <v>175</v>
      </c>
      <c r="Z50" t="s">
        <v>175</v>
      </c>
    </row>
    <row r="51">
      <c r="A51" t="s">
        <v>175</v>
      </c>
      <c r="B51" t="s">
        <v>175</v>
      </c>
      <c r="C51" t="s">
        <v>175</v>
      </c>
      <c r="D51" t="s">
        <v>175</v>
      </c>
      <c r="E51" t="s">
        <v>175</v>
      </c>
      <c r="F51" t="s">
        <v>175</v>
      </c>
      <c r="G51" t="s">
        <v>192</v>
      </c>
      <c r="H51" t="s">
        <v>283</v>
      </c>
      <c r="I51" t="s">
        <v>175</v>
      </c>
      <c r="J51" t="s">
        <v>175</v>
      </c>
      <c r="K51" t="s">
        <v>175</v>
      </c>
      <c r="L51" t="s">
        <v>175</v>
      </c>
      <c r="M51" t="s">
        <v>175</v>
      </c>
      <c r="N51" t="s">
        <v>175</v>
      </c>
      <c r="O51" t="s">
        <v>175</v>
      </c>
      <c r="P51" t="s">
        <v>175</v>
      </c>
      <c r="Q51" t="s">
        <v>175</v>
      </c>
      <c r="R51" t="s">
        <v>175</v>
      </c>
      <c r="S51" t="s">
        <v>175</v>
      </c>
      <c r="T51" t="s">
        <v>175</v>
      </c>
      <c r="U51" t="s">
        <v>175</v>
      </c>
      <c r="V51" t="s">
        <v>175</v>
      </c>
      <c r="W51" t="s">
        <v>175</v>
      </c>
      <c r="X51" t="s">
        <v>175</v>
      </c>
      <c r="Y51" t="s">
        <v>175</v>
      </c>
      <c r="Z51" t="s">
        <v>175</v>
      </c>
    </row>
    <row r="52">
      <c r="A52" t="s">
        <v>175</v>
      </c>
      <c r="B52" t="s">
        <v>175</v>
      </c>
      <c r="C52" t="s">
        <v>175</v>
      </c>
      <c r="D52" t="s">
        <v>175</v>
      </c>
      <c r="E52" t="s">
        <v>389</v>
      </c>
      <c r="F52" t="s">
        <v>267</v>
      </c>
      <c r="G52" t="s">
        <v>175</v>
      </c>
      <c r="H52" t="s">
        <v>175</v>
      </c>
      <c r="I52" t="s">
        <v>175</v>
      </c>
      <c r="J52" t="s">
        <v>175</v>
      </c>
      <c r="K52" t="s">
        <v>175</v>
      </c>
      <c r="L52" t="s">
        <v>175</v>
      </c>
      <c r="M52" t="s">
        <v>175</v>
      </c>
      <c r="N52" t="s">
        <v>175</v>
      </c>
      <c r="O52" t="s">
        <v>175</v>
      </c>
      <c r="P52" t="s">
        <v>175</v>
      </c>
      <c r="Q52" t="s">
        <v>175</v>
      </c>
      <c r="R52" t="s">
        <v>175</v>
      </c>
      <c r="S52" t="s">
        <v>175</v>
      </c>
      <c r="T52" t="s">
        <v>175</v>
      </c>
      <c r="U52" t="s">
        <v>175</v>
      </c>
      <c r="V52" t="s">
        <v>175</v>
      </c>
      <c r="W52" t="s">
        <v>175</v>
      </c>
      <c r="X52" t="s">
        <v>175</v>
      </c>
      <c r="Y52" t="s">
        <v>175</v>
      </c>
      <c r="Z52" t="s">
        <v>175</v>
      </c>
    </row>
    <row r="53">
      <c r="A53" t="s">
        <v>175</v>
      </c>
      <c r="B53" t="s">
        <v>175</v>
      </c>
      <c r="C53" t="s">
        <v>189</v>
      </c>
      <c r="D53" t="s">
        <v>204</v>
      </c>
      <c r="E53" t="s">
        <v>175</v>
      </c>
      <c r="F53" t="s">
        <v>175</v>
      </c>
      <c r="G53" t="s">
        <v>175</v>
      </c>
      <c r="H53" t="s">
        <v>175</v>
      </c>
      <c r="I53" t="s">
        <v>175</v>
      </c>
      <c r="J53" t="s">
        <v>175</v>
      </c>
      <c r="K53" t="s">
        <v>175</v>
      </c>
      <c r="L53" t="s">
        <v>175</v>
      </c>
      <c r="M53" t="s">
        <v>175</v>
      </c>
      <c r="N53" t="s">
        <v>175</v>
      </c>
      <c r="O53" t="s">
        <v>175</v>
      </c>
      <c r="P53" t="s">
        <v>175</v>
      </c>
      <c r="Q53" t="s">
        <v>175</v>
      </c>
      <c r="R53" t="s">
        <v>175</v>
      </c>
      <c r="S53" t="s">
        <v>175</v>
      </c>
      <c r="T53" t="s">
        <v>175</v>
      </c>
      <c r="U53" t="s">
        <v>175</v>
      </c>
      <c r="V53" t="s">
        <v>175</v>
      </c>
      <c r="W53" t="s">
        <v>175</v>
      </c>
      <c r="X53" t="s">
        <v>175</v>
      </c>
      <c r="Y53" t="s">
        <v>175</v>
      </c>
      <c r="Z53" t="s">
        <v>175</v>
      </c>
    </row>
    <row r="54">
      <c r="A54" t="s">
        <v>186</v>
      </c>
      <c r="B54" t="s">
        <v>155</v>
      </c>
      <c r="C54" t="s">
        <v>175</v>
      </c>
      <c r="D54" t="s">
        <v>175</v>
      </c>
      <c r="E54" t="s">
        <v>175</v>
      </c>
      <c r="F54" t="s">
        <v>175</v>
      </c>
      <c r="G54" t="s">
        <v>175</v>
      </c>
      <c r="H54" t="s">
        <v>175</v>
      </c>
      <c r="I54" t="s">
        <v>175</v>
      </c>
      <c r="J54" t="s">
        <v>175</v>
      </c>
      <c r="K54" t="s">
        <v>175</v>
      </c>
      <c r="L54" t="s">
        <v>175</v>
      </c>
      <c r="M54" t="s">
        <v>175</v>
      </c>
      <c r="N54" t="s">
        <v>175</v>
      </c>
      <c r="O54" t="s">
        <v>175</v>
      </c>
      <c r="P54" t="s">
        <v>175</v>
      </c>
      <c r="Q54" t="s">
        <v>175</v>
      </c>
      <c r="R54" t="s">
        <v>175</v>
      </c>
      <c r="S54" t="s">
        <v>175</v>
      </c>
      <c r="T54" t="s">
        <v>175</v>
      </c>
      <c r="U54" t="s">
        <v>175</v>
      </c>
      <c r="V54" t="s">
        <v>175</v>
      </c>
      <c r="W54" t="s">
        <v>175</v>
      </c>
      <c r="X54" t="s">
        <v>175</v>
      </c>
      <c r="Y54" t="s">
        <v>175</v>
      </c>
      <c r="Z54" t="s">
        <v>175</v>
      </c>
    </row>
    <row r="55">
      <c r="A55" t="s">
        <v>389</v>
      </c>
      <c r="B55" t="s">
        <v>195</v>
      </c>
      <c r="C55" t="s">
        <v>175</v>
      </c>
      <c r="D55" t="s">
        <v>175</v>
      </c>
      <c r="E55" t="s">
        <v>175</v>
      </c>
      <c r="F55" t="s">
        <v>175</v>
      </c>
      <c r="G55" t="s">
        <v>175</v>
      </c>
      <c r="H55" t="s">
        <v>175</v>
      </c>
      <c r="I55" t="s">
        <v>175</v>
      </c>
      <c r="J55" t="s">
        <v>175</v>
      </c>
      <c r="K55" t="s">
        <v>175</v>
      </c>
      <c r="L55" t="s">
        <v>175</v>
      </c>
      <c r="M55" t="s">
        <v>175</v>
      </c>
      <c r="N55" t="s">
        <v>175</v>
      </c>
      <c r="O55" t="s">
        <v>175</v>
      </c>
      <c r="P55" t="s">
        <v>175</v>
      </c>
      <c r="Q55" t="s">
        <v>175</v>
      </c>
      <c r="R55" t="s">
        <v>175</v>
      </c>
      <c r="S55" t="s">
        <v>175</v>
      </c>
      <c r="T55" t="s">
        <v>175</v>
      </c>
      <c r="U55" t="s">
        <v>175</v>
      </c>
      <c r="V55" t="s">
        <v>175</v>
      </c>
      <c r="W55" t="s">
        <v>175</v>
      </c>
      <c r="X55" t="s">
        <v>175</v>
      </c>
      <c r="Y55" t="s">
        <v>175</v>
      </c>
      <c r="Z55" t="s">
        <v>175</v>
      </c>
    </row>
    <row r="56">
      <c r="A56" t="s">
        <v>175</v>
      </c>
      <c r="B56" t="s">
        <v>175</v>
      </c>
      <c r="C56" t="s">
        <v>188</v>
      </c>
      <c r="D56" t="s">
        <v>197</v>
      </c>
      <c r="E56" t="s">
        <v>175</v>
      </c>
      <c r="F56" t="s">
        <v>175</v>
      </c>
      <c r="G56" t="s">
        <v>175</v>
      </c>
      <c r="H56" t="s">
        <v>175</v>
      </c>
      <c r="I56" t="s">
        <v>175</v>
      </c>
      <c r="J56" t="s">
        <v>175</v>
      </c>
      <c r="K56" t="s">
        <v>175</v>
      </c>
      <c r="L56" t="s">
        <v>175</v>
      </c>
      <c r="M56" t="s">
        <v>175</v>
      </c>
      <c r="N56" t="s">
        <v>175</v>
      </c>
      <c r="O56" t="s">
        <v>175</v>
      </c>
      <c r="P56" t="s">
        <v>175</v>
      </c>
      <c r="Q56" t="s">
        <v>175</v>
      </c>
      <c r="R56" t="s">
        <v>175</v>
      </c>
      <c r="S56" t="s">
        <v>175</v>
      </c>
      <c r="T56" t="s">
        <v>175</v>
      </c>
      <c r="U56" t="s">
        <v>175</v>
      </c>
      <c r="V56" t="s">
        <v>175</v>
      </c>
      <c r="W56" t="s">
        <v>175</v>
      </c>
      <c r="X56" t="s">
        <v>175</v>
      </c>
      <c r="Y56" t="s">
        <v>175</v>
      </c>
      <c r="Z56" t="s">
        <v>175</v>
      </c>
    </row>
    <row r="57">
      <c r="A57" t="s">
        <v>175</v>
      </c>
      <c r="B57" t="s">
        <v>175</v>
      </c>
      <c r="C57" t="s">
        <v>175</v>
      </c>
      <c r="D57" t="s">
        <v>175</v>
      </c>
      <c r="E57" t="s">
        <v>186</v>
      </c>
      <c r="F57" t="s">
        <v>259</v>
      </c>
      <c r="G57" t="s">
        <v>175</v>
      </c>
      <c r="H57" t="s">
        <v>175</v>
      </c>
      <c r="I57" t="s">
        <v>175</v>
      </c>
      <c r="J57" t="s">
        <v>175</v>
      </c>
      <c r="K57" t="s">
        <v>175</v>
      </c>
      <c r="L57" t="s">
        <v>175</v>
      </c>
      <c r="M57" t="s">
        <v>175</v>
      </c>
      <c r="N57" t="s">
        <v>175</v>
      </c>
      <c r="O57" t="s">
        <v>175</v>
      </c>
      <c r="P57" t="s">
        <v>175</v>
      </c>
      <c r="Q57" t="s">
        <v>175</v>
      </c>
      <c r="R57" t="s">
        <v>175</v>
      </c>
      <c r="S57" t="s">
        <v>175</v>
      </c>
      <c r="T57" t="s">
        <v>175</v>
      </c>
      <c r="U57" t="s">
        <v>175</v>
      </c>
      <c r="V57" t="s">
        <v>175</v>
      </c>
      <c r="W57" t="s">
        <v>175</v>
      </c>
      <c r="X57" t="s">
        <v>175</v>
      </c>
      <c r="Y57" t="s">
        <v>175</v>
      </c>
      <c r="Z57" t="s">
        <v>175</v>
      </c>
    </row>
    <row r="58">
      <c r="A58" t="s">
        <v>175</v>
      </c>
      <c r="B58" t="s">
        <v>175</v>
      </c>
      <c r="C58" t="s">
        <v>175</v>
      </c>
      <c r="D58" t="s">
        <v>175</v>
      </c>
      <c r="E58" t="s">
        <v>175</v>
      </c>
      <c r="F58" t="s">
        <v>175</v>
      </c>
      <c r="G58" t="s">
        <v>191</v>
      </c>
      <c r="H58" t="s">
        <v>274</v>
      </c>
      <c r="I58" t="s">
        <v>175</v>
      </c>
      <c r="J58" t="s">
        <v>175</v>
      </c>
      <c r="K58" t="s">
        <v>175</v>
      </c>
      <c r="L58" t="s">
        <v>175</v>
      </c>
      <c r="M58" t="s">
        <v>175</v>
      </c>
      <c r="N58" t="s">
        <v>175</v>
      </c>
      <c r="O58" t="s">
        <v>175</v>
      </c>
      <c r="P58" t="s">
        <v>175</v>
      </c>
      <c r="Q58" t="s">
        <v>175</v>
      </c>
      <c r="R58" t="s">
        <v>175</v>
      </c>
      <c r="S58" t="s">
        <v>175</v>
      </c>
      <c r="T58" t="s">
        <v>175</v>
      </c>
      <c r="U58" t="s">
        <v>175</v>
      </c>
      <c r="V58" t="s">
        <v>175</v>
      </c>
      <c r="W58" t="s">
        <v>175</v>
      </c>
      <c r="X58" t="s">
        <v>175</v>
      </c>
      <c r="Y58" t="s">
        <v>175</v>
      </c>
      <c r="Z58" t="s">
        <v>175</v>
      </c>
    </row>
    <row r="59">
      <c r="A59" t="s">
        <v>175</v>
      </c>
      <c r="B59" t="s">
        <v>175</v>
      </c>
      <c r="C59" t="s">
        <v>175</v>
      </c>
      <c r="D59" t="s">
        <v>175</v>
      </c>
      <c r="E59" t="s">
        <v>175</v>
      </c>
      <c r="F59" t="s">
        <v>175</v>
      </c>
      <c r="G59" t="s">
        <v>175</v>
      </c>
      <c r="H59" t="s">
        <v>175</v>
      </c>
      <c r="I59" t="s">
        <v>188</v>
      </c>
      <c r="J59" t="s">
        <v>294</v>
      </c>
      <c r="K59" t="s">
        <v>175</v>
      </c>
      <c r="L59" t="s">
        <v>175</v>
      </c>
      <c r="M59" t="s">
        <v>175</v>
      </c>
      <c r="N59" t="s">
        <v>175</v>
      </c>
      <c r="O59" t="s">
        <v>175</v>
      </c>
      <c r="P59" t="s">
        <v>175</v>
      </c>
      <c r="Q59" t="s">
        <v>175</v>
      </c>
      <c r="R59" t="s">
        <v>175</v>
      </c>
      <c r="S59" t="s">
        <v>175</v>
      </c>
      <c r="T59" t="s">
        <v>175</v>
      </c>
      <c r="U59" t="s">
        <v>175</v>
      </c>
      <c r="V59" t="s">
        <v>175</v>
      </c>
      <c r="W59" t="s">
        <v>175</v>
      </c>
      <c r="X59" t="s">
        <v>175</v>
      </c>
      <c r="Y59" t="s">
        <v>175</v>
      </c>
      <c r="Z59" t="s">
        <v>175</v>
      </c>
    </row>
    <row r="60">
      <c r="A60" t="s">
        <v>175</v>
      </c>
      <c r="B60" t="s">
        <v>175</v>
      </c>
      <c r="C60" t="s">
        <v>175</v>
      </c>
      <c r="D60" t="s">
        <v>175</v>
      </c>
      <c r="E60" t="s">
        <v>175</v>
      </c>
      <c r="F60" t="s">
        <v>175</v>
      </c>
      <c r="G60" t="s">
        <v>175</v>
      </c>
      <c r="H60" t="s">
        <v>175</v>
      </c>
      <c r="I60" t="s">
        <v>175</v>
      </c>
      <c r="J60" t="s">
        <v>175</v>
      </c>
      <c r="K60" t="s">
        <v>193</v>
      </c>
      <c r="L60" t="s">
        <v>318</v>
      </c>
      <c r="M60" t="s">
        <v>175</v>
      </c>
      <c r="N60" t="s">
        <v>175</v>
      </c>
      <c r="O60" t="s">
        <v>175</v>
      </c>
      <c r="P60" t="s">
        <v>175</v>
      </c>
      <c r="Q60" t="s">
        <v>175</v>
      </c>
      <c r="R60" t="s">
        <v>175</v>
      </c>
      <c r="S60" t="s">
        <v>175</v>
      </c>
      <c r="T60" t="s">
        <v>175</v>
      </c>
      <c r="U60" t="s">
        <v>175</v>
      </c>
      <c r="V60" t="s">
        <v>175</v>
      </c>
      <c r="W60" t="s">
        <v>175</v>
      </c>
      <c r="X60" t="s">
        <v>175</v>
      </c>
      <c r="Y60" t="s">
        <v>175</v>
      </c>
      <c r="Z60" t="s">
        <v>175</v>
      </c>
    </row>
    <row r="61">
      <c r="A61" t="s">
        <v>175</v>
      </c>
      <c r="B61" t="s">
        <v>175</v>
      </c>
      <c r="C61" t="s">
        <v>175</v>
      </c>
      <c r="D61" t="s">
        <v>175</v>
      </c>
      <c r="E61" t="s">
        <v>175</v>
      </c>
      <c r="F61" t="s">
        <v>175</v>
      </c>
      <c r="G61" t="s">
        <v>175</v>
      </c>
      <c r="H61" t="s">
        <v>175</v>
      </c>
      <c r="I61" t="s">
        <v>175</v>
      </c>
      <c r="J61" t="s">
        <v>175</v>
      </c>
      <c r="K61" t="s">
        <v>175</v>
      </c>
      <c r="L61" t="s">
        <v>175</v>
      </c>
      <c r="M61" t="s">
        <v>188</v>
      </c>
      <c r="N61" t="s">
        <v>375</v>
      </c>
      <c r="O61" t="s">
        <v>175</v>
      </c>
      <c r="P61" t="s">
        <v>175</v>
      </c>
      <c r="Q61" t="s">
        <v>175</v>
      </c>
      <c r="R61" t="s">
        <v>175</v>
      </c>
      <c r="S61" t="s">
        <v>175</v>
      </c>
      <c r="T61" t="s">
        <v>175</v>
      </c>
      <c r="U61" t="s">
        <v>175</v>
      </c>
      <c r="V61" t="s">
        <v>175</v>
      </c>
      <c r="W61" t="s">
        <v>175</v>
      </c>
      <c r="X61" t="s">
        <v>175</v>
      </c>
      <c r="Y61" t="s">
        <v>175</v>
      </c>
      <c r="Z61" t="s">
        <v>175</v>
      </c>
    </row>
    <row r="62">
      <c r="A62" t="s">
        <v>175</v>
      </c>
      <c r="B62" t="s">
        <v>175</v>
      </c>
      <c r="C62" t="s">
        <v>175</v>
      </c>
      <c r="D62" t="s">
        <v>175</v>
      </c>
      <c r="E62" t="s">
        <v>175</v>
      </c>
      <c r="F62" t="s">
        <v>175</v>
      </c>
      <c r="G62" t="s">
        <v>175</v>
      </c>
      <c r="H62" t="s">
        <v>175</v>
      </c>
      <c r="I62" t="s">
        <v>175</v>
      </c>
      <c r="J62" t="s">
        <v>175</v>
      </c>
      <c r="K62" t="s">
        <v>175</v>
      </c>
      <c r="L62" t="s">
        <v>175</v>
      </c>
      <c r="M62" t="s">
        <v>175</v>
      </c>
      <c r="N62" t="s">
        <v>175</v>
      </c>
      <c r="O62" t="s">
        <v>189</v>
      </c>
      <c r="P62" t="s">
        <v>338</v>
      </c>
      <c r="Q62" t="s">
        <v>175</v>
      </c>
      <c r="R62" t="s">
        <v>175</v>
      </c>
      <c r="S62" t="s">
        <v>175</v>
      </c>
      <c r="T62" t="s">
        <v>175</v>
      </c>
      <c r="U62" t="s">
        <v>175</v>
      </c>
      <c r="V62" t="s">
        <v>175</v>
      </c>
      <c r="W62" t="s">
        <v>175</v>
      </c>
      <c r="X62" t="s">
        <v>175</v>
      </c>
      <c r="Y62" t="s">
        <v>175</v>
      </c>
      <c r="Z62" t="s">
        <v>175</v>
      </c>
    </row>
    <row r="63">
      <c r="A63" t="s">
        <v>175</v>
      </c>
      <c r="B63" t="s">
        <v>175</v>
      </c>
      <c r="C63" t="s">
        <v>175</v>
      </c>
      <c r="D63" t="s">
        <v>175</v>
      </c>
      <c r="E63" t="s">
        <v>175</v>
      </c>
      <c r="F63" t="s">
        <v>175</v>
      </c>
      <c r="G63" t="s">
        <v>175</v>
      </c>
      <c r="H63" t="s">
        <v>175</v>
      </c>
      <c r="I63" t="s">
        <v>175</v>
      </c>
      <c r="J63" t="s">
        <v>175</v>
      </c>
      <c r="K63" t="s">
        <v>175</v>
      </c>
      <c r="L63" t="s">
        <v>175</v>
      </c>
      <c r="M63" t="s">
        <v>175</v>
      </c>
      <c r="N63" t="s">
        <v>175</v>
      </c>
      <c r="O63" t="s">
        <v>175</v>
      </c>
      <c r="P63" t="s">
        <v>175</v>
      </c>
      <c r="Q63" t="s">
        <v>190</v>
      </c>
      <c r="R63" t="s">
        <v>399</v>
      </c>
      <c r="S63" t="s">
        <v>175</v>
      </c>
      <c r="T63" t="s">
        <v>175</v>
      </c>
      <c r="U63" t="s">
        <v>175</v>
      </c>
      <c r="V63" t="s">
        <v>175</v>
      </c>
      <c r="W63" t="s">
        <v>175</v>
      </c>
      <c r="X63" t="s">
        <v>175</v>
      </c>
      <c r="Y63" t="s">
        <v>175</v>
      </c>
      <c r="Z63" t="s">
        <v>175</v>
      </c>
    </row>
    <row r="64">
      <c r="A64" t="s">
        <v>175</v>
      </c>
      <c r="B64" t="s">
        <v>175</v>
      </c>
      <c r="C64" t="s">
        <v>175</v>
      </c>
      <c r="D64" t="s">
        <v>175</v>
      </c>
      <c r="E64" t="s">
        <v>175</v>
      </c>
      <c r="F64" t="s">
        <v>175</v>
      </c>
      <c r="G64" t="s">
        <v>175</v>
      </c>
      <c r="H64" t="s">
        <v>175</v>
      </c>
      <c r="I64" t="s">
        <v>175</v>
      </c>
      <c r="J64" t="s">
        <v>175</v>
      </c>
      <c r="K64" t="s">
        <v>175</v>
      </c>
      <c r="L64" t="s">
        <v>175</v>
      </c>
      <c r="M64" t="s">
        <v>175</v>
      </c>
      <c r="N64" t="s">
        <v>175</v>
      </c>
      <c r="O64" t="s">
        <v>175</v>
      </c>
      <c r="P64" t="s">
        <v>175</v>
      </c>
      <c r="Q64" t="s">
        <v>175</v>
      </c>
      <c r="R64" t="s">
        <v>175</v>
      </c>
      <c r="S64" t="s">
        <v>193</v>
      </c>
      <c r="T64" t="s">
        <v>388</v>
      </c>
      <c r="U64" t="s">
        <v>175</v>
      </c>
      <c r="V64" t="s">
        <v>175</v>
      </c>
      <c r="W64" t="s">
        <v>175</v>
      </c>
      <c r="X64" t="s">
        <v>175</v>
      </c>
      <c r="Y64" t="s">
        <v>175</v>
      </c>
      <c r="Z64" t="s">
        <v>175</v>
      </c>
    </row>
    <row r="65">
      <c r="A65" t="s">
        <v>175</v>
      </c>
      <c r="B65" t="s">
        <v>175</v>
      </c>
      <c r="C65" t="s">
        <v>175</v>
      </c>
      <c r="D65" t="s">
        <v>175</v>
      </c>
      <c r="E65" t="s">
        <v>175</v>
      </c>
      <c r="F65" t="s">
        <v>175</v>
      </c>
      <c r="G65" t="s">
        <v>175</v>
      </c>
      <c r="H65" t="s">
        <v>175</v>
      </c>
      <c r="I65" t="s">
        <v>175</v>
      </c>
      <c r="J65" t="s">
        <v>175</v>
      </c>
      <c r="K65" t="s">
        <v>175</v>
      </c>
      <c r="L65" t="s">
        <v>175</v>
      </c>
      <c r="M65" t="s">
        <v>175</v>
      </c>
      <c r="N65" t="s">
        <v>175</v>
      </c>
      <c r="O65" t="s">
        <v>175</v>
      </c>
      <c r="P65" t="s">
        <v>175</v>
      </c>
      <c r="Q65" t="s">
        <v>175</v>
      </c>
      <c r="R65" t="s">
        <v>175</v>
      </c>
      <c r="S65" t="s">
        <v>175</v>
      </c>
      <c r="T65" t="s">
        <v>175</v>
      </c>
      <c r="U65" t="s">
        <v>187</v>
      </c>
      <c r="V65" t="s">
        <v>326</v>
      </c>
      <c r="W65" t="s">
        <v>175</v>
      </c>
      <c r="X65" t="s">
        <v>175</v>
      </c>
      <c r="Y65" t="s">
        <v>175</v>
      </c>
      <c r="Z65" t="s">
        <v>175</v>
      </c>
    </row>
    <row r="66">
      <c r="A66" t="s">
        <v>175</v>
      </c>
      <c r="B66" t="s">
        <v>175</v>
      </c>
      <c r="C66" t="s">
        <v>175</v>
      </c>
      <c r="D66" t="s">
        <v>175</v>
      </c>
      <c r="E66" t="s">
        <v>175</v>
      </c>
      <c r="F66" t="s">
        <v>175</v>
      </c>
      <c r="G66" t="s">
        <v>175</v>
      </c>
      <c r="H66" t="s">
        <v>175</v>
      </c>
      <c r="I66" t="s">
        <v>175</v>
      </c>
      <c r="J66" t="s">
        <v>175</v>
      </c>
      <c r="K66" t="s">
        <v>175</v>
      </c>
      <c r="L66" t="s">
        <v>175</v>
      </c>
      <c r="M66" t="s">
        <v>175</v>
      </c>
      <c r="N66" t="s">
        <v>175</v>
      </c>
      <c r="O66" t="s">
        <v>175</v>
      </c>
      <c r="P66" t="s">
        <v>175</v>
      </c>
      <c r="Q66" t="s">
        <v>175</v>
      </c>
      <c r="R66" t="s">
        <v>175</v>
      </c>
      <c r="S66" t="s">
        <v>175</v>
      </c>
      <c r="T66" t="s">
        <v>175</v>
      </c>
      <c r="U66" t="s">
        <v>175</v>
      </c>
      <c r="V66" t="s">
        <v>175</v>
      </c>
      <c r="W66" t="s">
        <v>190</v>
      </c>
      <c r="X66" t="s">
        <v>356</v>
      </c>
      <c r="Y66" t="s">
        <v>175</v>
      </c>
      <c r="Z66" t="s">
        <v>175</v>
      </c>
    </row>
    <row r="67">
      <c r="A67" t="s">
        <v>175</v>
      </c>
      <c r="B67" t="s">
        <v>175</v>
      </c>
      <c r="C67" t="s">
        <v>175</v>
      </c>
      <c r="D67" t="s">
        <v>175</v>
      </c>
      <c r="E67" t="s">
        <v>175</v>
      </c>
      <c r="F67" t="s">
        <v>175</v>
      </c>
      <c r="G67" t="s">
        <v>175</v>
      </c>
      <c r="H67" t="s">
        <v>175</v>
      </c>
      <c r="I67" t="s">
        <v>175</v>
      </c>
      <c r="J67" t="s">
        <v>175</v>
      </c>
      <c r="K67" t="s">
        <v>175</v>
      </c>
      <c r="L67" t="s">
        <v>175</v>
      </c>
      <c r="M67" t="s">
        <v>175</v>
      </c>
      <c r="N67" t="s">
        <v>175</v>
      </c>
      <c r="O67" t="s">
        <v>175</v>
      </c>
      <c r="P67" t="s">
        <v>175</v>
      </c>
      <c r="Q67" t="s">
        <v>175</v>
      </c>
      <c r="R67" t="s">
        <v>175</v>
      </c>
      <c r="S67" t="s">
        <v>175</v>
      </c>
      <c r="T67" t="s">
        <v>175</v>
      </c>
      <c r="U67" t="s">
        <v>175</v>
      </c>
      <c r="V67" t="s">
        <v>175</v>
      </c>
      <c r="W67" t="s">
        <v>175</v>
      </c>
      <c r="X67" t="s">
        <v>175</v>
      </c>
      <c r="Y67" t="s">
        <v>190</v>
      </c>
      <c r="Z67" t="s">
        <v>382</v>
      </c>
    </row>
    <row r="68">
      <c r="A68" t="s">
        <v>175</v>
      </c>
      <c r="B68" t="s">
        <v>175</v>
      </c>
      <c r="C68" t="s">
        <v>175</v>
      </c>
      <c r="D68" t="s">
        <v>175</v>
      </c>
      <c r="E68" t="s">
        <v>175</v>
      </c>
      <c r="F68" t="s">
        <v>175</v>
      </c>
      <c r="G68" t="s">
        <v>175</v>
      </c>
      <c r="H68" t="s">
        <v>175</v>
      </c>
      <c r="I68" t="s">
        <v>175</v>
      </c>
      <c r="J68" t="s">
        <v>175</v>
      </c>
      <c r="K68" t="s">
        <v>175</v>
      </c>
      <c r="L68" t="s">
        <v>175</v>
      </c>
      <c r="M68" t="s">
        <v>175</v>
      </c>
      <c r="N68" t="s">
        <v>175</v>
      </c>
      <c r="O68" t="s">
        <v>175</v>
      </c>
      <c r="P68" t="s">
        <v>175</v>
      </c>
      <c r="Q68" t="s">
        <v>175</v>
      </c>
      <c r="R68" t="s">
        <v>175</v>
      </c>
      <c r="S68" t="s">
        <v>175</v>
      </c>
      <c r="T68" t="s">
        <v>175</v>
      </c>
      <c r="U68" t="s">
        <v>175</v>
      </c>
      <c r="V68" t="s">
        <v>175</v>
      </c>
      <c r="W68" t="s">
        <v>175</v>
      </c>
      <c r="X68" t="s">
        <v>175</v>
      </c>
      <c r="Y68" t="s">
        <v>129</v>
      </c>
      <c r="Z68" t="s">
        <v>383</v>
      </c>
    </row>
    <row r="69">
      <c r="A69" t="s">
        <v>175</v>
      </c>
      <c r="B69" t="s">
        <v>175</v>
      </c>
      <c r="C69" t="s">
        <v>175</v>
      </c>
      <c r="D69" t="s">
        <v>175</v>
      </c>
      <c r="E69" t="s">
        <v>175</v>
      </c>
      <c r="F69" t="s">
        <v>175</v>
      </c>
      <c r="G69" t="s">
        <v>175</v>
      </c>
      <c r="H69" t="s">
        <v>175</v>
      </c>
      <c r="I69" t="s">
        <v>175</v>
      </c>
      <c r="J69" t="s">
        <v>175</v>
      </c>
      <c r="K69" t="s">
        <v>175</v>
      </c>
      <c r="L69" t="s">
        <v>175</v>
      </c>
      <c r="M69" t="s">
        <v>175</v>
      </c>
      <c r="N69" t="s">
        <v>175</v>
      </c>
      <c r="O69" t="s">
        <v>175</v>
      </c>
      <c r="P69" t="s">
        <v>175</v>
      </c>
      <c r="Q69" t="s">
        <v>175</v>
      </c>
      <c r="R69" t="s">
        <v>175</v>
      </c>
      <c r="S69" t="s">
        <v>175</v>
      </c>
      <c r="T69" t="s">
        <v>175</v>
      </c>
      <c r="U69" t="s">
        <v>175</v>
      </c>
      <c r="V69" t="s">
        <v>175</v>
      </c>
      <c r="W69" t="s">
        <v>186</v>
      </c>
      <c r="X69" t="s">
        <v>340</v>
      </c>
      <c r="Y69" t="s">
        <v>175</v>
      </c>
      <c r="Z69" t="s">
        <v>175</v>
      </c>
    </row>
    <row r="70">
      <c r="A70" t="s">
        <v>175</v>
      </c>
      <c r="B70" t="s">
        <v>175</v>
      </c>
      <c r="C70" t="s">
        <v>175</v>
      </c>
      <c r="D70" t="s">
        <v>175</v>
      </c>
      <c r="E70" t="s">
        <v>175</v>
      </c>
      <c r="F70" t="s">
        <v>175</v>
      </c>
      <c r="G70" t="s">
        <v>175</v>
      </c>
      <c r="H70" t="s">
        <v>175</v>
      </c>
      <c r="I70" t="s">
        <v>175</v>
      </c>
      <c r="J70" t="s">
        <v>175</v>
      </c>
      <c r="K70" t="s">
        <v>175</v>
      </c>
      <c r="L70" t="s">
        <v>175</v>
      </c>
      <c r="M70" t="s">
        <v>175</v>
      </c>
      <c r="N70" t="s">
        <v>175</v>
      </c>
      <c r="O70" t="s">
        <v>175</v>
      </c>
      <c r="P70" t="s">
        <v>175</v>
      </c>
      <c r="Q70" t="s">
        <v>175</v>
      </c>
      <c r="R70" t="s">
        <v>175</v>
      </c>
      <c r="S70" t="s">
        <v>175</v>
      </c>
      <c r="T70" t="s">
        <v>175</v>
      </c>
      <c r="U70" t="s">
        <v>186</v>
      </c>
      <c r="V70" t="s">
        <v>384</v>
      </c>
      <c r="W70" t="s">
        <v>175</v>
      </c>
      <c r="X70" t="s">
        <v>175</v>
      </c>
      <c r="Y70" t="s">
        <v>175</v>
      </c>
      <c r="Z70" t="s">
        <v>175</v>
      </c>
    </row>
    <row r="71">
      <c r="A71" t="s">
        <v>175</v>
      </c>
      <c r="B71" t="s">
        <v>175</v>
      </c>
      <c r="C71" t="s">
        <v>175</v>
      </c>
      <c r="D71" t="s">
        <v>175</v>
      </c>
      <c r="E71" t="s">
        <v>175</v>
      </c>
      <c r="F71" t="s">
        <v>175</v>
      </c>
      <c r="G71" t="s">
        <v>175</v>
      </c>
      <c r="H71" t="s">
        <v>175</v>
      </c>
      <c r="I71" t="s">
        <v>175</v>
      </c>
      <c r="J71" t="s">
        <v>175</v>
      </c>
      <c r="K71" t="s">
        <v>175</v>
      </c>
      <c r="L71" t="s">
        <v>175</v>
      </c>
      <c r="M71" t="s">
        <v>175</v>
      </c>
      <c r="N71" t="s">
        <v>175</v>
      </c>
      <c r="O71" t="s">
        <v>175</v>
      </c>
      <c r="P71" t="s">
        <v>175</v>
      </c>
      <c r="Q71" t="s">
        <v>175</v>
      </c>
      <c r="R71" t="s">
        <v>175</v>
      </c>
      <c r="S71" t="s">
        <v>389</v>
      </c>
      <c r="T71" t="s">
        <v>347</v>
      </c>
      <c r="U71" t="s">
        <v>175</v>
      </c>
      <c r="V71" t="s">
        <v>175</v>
      </c>
      <c r="W71" t="s">
        <v>175</v>
      </c>
      <c r="X71" t="s">
        <v>175</v>
      </c>
      <c r="Y71" t="s">
        <v>175</v>
      </c>
      <c r="Z71" t="s">
        <v>175</v>
      </c>
    </row>
    <row r="72">
      <c r="A72" t="s">
        <v>175</v>
      </c>
      <c r="B72" t="s">
        <v>175</v>
      </c>
      <c r="C72" t="s">
        <v>175</v>
      </c>
      <c r="D72" t="s">
        <v>175</v>
      </c>
      <c r="E72" t="s">
        <v>175</v>
      </c>
      <c r="F72" t="s">
        <v>175</v>
      </c>
      <c r="G72" t="s">
        <v>175</v>
      </c>
      <c r="H72" t="s">
        <v>175</v>
      </c>
      <c r="I72" t="s">
        <v>175</v>
      </c>
      <c r="J72" t="s">
        <v>175</v>
      </c>
      <c r="K72" t="s">
        <v>175</v>
      </c>
      <c r="L72" t="s">
        <v>175</v>
      </c>
      <c r="M72" t="s">
        <v>175</v>
      </c>
      <c r="N72" t="s">
        <v>175</v>
      </c>
      <c r="O72" t="s">
        <v>175</v>
      </c>
      <c r="P72" t="s">
        <v>175</v>
      </c>
      <c r="Q72" t="s">
        <v>129</v>
      </c>
      <c r="R72" t="s">
        <v>351</v>
      </c>
      <c r="S72" t="s">
        <v>175</v>
      </c>
      <c r="T72" t="s">
        <v>175</v>
      </c>
      <c r="U72" t="s">
        <v>175</v>
      </c>
      <c r="V72" t="s">
        <v>175</v>
      </c>
      <c r="W72" t="s">
        <v>175</v>
      </c>
      <c r="X72" t="s">
        <v>175</v>
      </c>
      <c r="Y72" t="s">
        <v>175</v>
      </c>
      <c r="Z72" t="s">
        <v>175</v>
      </c>
    </row>
    <row r="73">
      <c r="A73" t="s">
        <v>175</v>
      </c>
      <c r="B73" t="s">
        <v>175</v>
      </c>
      <c r="C73" t="s">
        <v>175</v>
      </c>
      <c r="D73" t="s">
        <v>175</v>
      </c>
      <c r="E73" t="s">
        <v>175</v>
      </c>
      <c r="F73" t="s">
        <v>175</v>
      </c>
      <c r="G73" t="s">
        <v>175</v>
      </c>
      <c r="H73" t="s">
        <v>175</v>
      </c>
      <c r="I73" t="s">
        <v>175</v>
      </c>
      <c r="J73" t="s">
        <v>175</v>
      </c>
      <c r="K73" t="s">
        <v>175</v>
      </c>
      <c r="L73" t="s">
        <v>175</v>
      </c>
      <c r="M73" t="s">
        <v>175</v>
      </c>
      <c r="N73" t="s">
        <v>175</v>
      </c>
      <c r="O73" t="s">
        <v>190</v>
      </c>
      <c r="P73" t="s">
        <v>359</v>
      </c>
      <c r="Q73" t="s">
        <v>175</v>
      </c>
      <c r="R73" t="s">
        <v>175</v>
      </c>
      <c r="S73" t="s">
        <v>175</v>
      </c>
      <c r="T73" t="s">
        <v>175</v>
      </c>
      <c r="U73" t="s">
        <v>175</v>
      </c>
      <c r="V73" t="s">
        <v>175</v>
      </c>
      <c r="W73" t="s">
        <v>175</v>
      </c>
      <c r="X73" t="s">
        <v>175</v>
      </c>
      <c r="Y73" t="s">
        <v>175</v>
      </c>
      <c r="Z73" t="s">
        <v>175</v>
      </c>
    </row>
    <row r="74">
      <c r="A74" t="s">
        <v>175</v>
      </c>
      <c r="B74" t="s">
        <v>175</v>
      </c>
      <c r="C74" t="s">
        <v>175</v>
      </c>
      <c r="D74" t="s">
        <v>175</v>
      </c>
      <c r="E74" t="s">
        <v>175</v>
      </c>
      <c r="F74" t="s">
        <v>175</v>
      </c>
      <c r="G74" t="s">
        <v>175</v>
      </c>
      <c r="H74" t="s">
        <v>175</v>
      </c>
      <c r="I74" t="s">
        <v>175</v>
      </c>
      <c r="J74" t="s">
        <v>175</v>
      </c>
      <c r="K74" t="s">
        <v>175</v>
      </c>
      <c r="L74" t="s">
        <v>175</v>
      </c>
      <c r="M74" t="s">
        <v>189</v>
      </c>
      <c r="N74" t="s">
        <v>343</v>
      </c>
      <c r="O74" t="s">
        <v>175</v>
      </c>
      <c r="P74" t="s">
        <v>175</v>
      </c>
      <c r="Q74" t="s">
        <v>175</v>
      </c>
      <c r="R74" t="s">
        <v>175</v>
      </c>
      <c r="S74" t="s">
        <v>175</v>
      </c>
      <c r="T74" t="s">
        <v>175</v>
      </c>
      <c r="U74" t="s">
        <v>175</v>
      </c>
      <c r="V74" t="s">
        <v>175</v>
      </c>
      <c r="W74" t="s">
        <v>175</v>
      </c>
      <c r="X74" t="s">
        <v>175</v>
      </c>
      <c r="Y74" t="s">
        <v>175</v>
      </c>
      <c r="Z74" t="s">
        <v>175</v>
      </c>
    </row>
    <row r="75">
      <c r="A75" t="s">
        <v>175</v>
      </c>
      <c r="B75" t="s">
        <v>175</v>
      </c>
      <c r="C75" t="s">
        <v>175</v>
      </c>
      <c r="D75" t="s">
        <v>175</v>
      </c>
      <c r="E75" t="s">
        <v>175</v>
      </c>
      <c r="F75" t="s">
        <v>175</v>
      </c>
      <c r="G75" t="s">
        <v>175</v>
      </c>
      <c r="H75" t="s">
        <v>175</v>
      </c>
      <c r="I75" t="s">
        <v>175</v>
      </c>
      <c r="J75" t="s">
        <v>175</v>
      </c>
      <c r="K75" t="s">
        <v>188</v>
      </c>
      <c r="L75" t="s">
        <v>365</v>
      </c>
      <c r="M75" t="s">
        <v>175</v>
      </c>
      <c r="N75" t="s">
        <v>175</v>
      </c>
      <c r="O75" t="s">
        <v>175</v>
      </c>
      <c r="P75" t="s">
        <v>175</v>
      </c>
      <c r="Q75" t="s">
        <v>175</v>
      </c>
      <c r="R75" t="s">
        <v>175</v>
      </c>
      <c r="S75" t="s">
        <v>175</v>
      </c>
      <c r="T75" t="s">
        <v>175</v>
      </c>
      <c r="U75" t="s">
        <v>175</v>
      </c>
      <c r="V75" t="s">
        <v>175</v>
      </c>
      <c r="W75" t="s">
        <v>175</v>
      </c>
      <c r="X75" t="s">
        <v>175</v>
      </c>
      <c r="Y75" t="s">
        <v>175</v>
      </c>
      <c r="Z75" t="s">
        <v>175</v>
      </c>
    </row>
    <row r="76">
      <c r="A76" t="s">
        <v>175</v>
      </c>
      <c r="B76" t="s">
        <v>175</v>
      </c>
      <c r="C76" t="s">
        <v>175</v>
      </c>
      <c r="D76" t="s">
        <v>175</v>
      </c>
      <c r="E76" t="s">
        <v>175</v>
      </c>
      <c r="F76" t="s">
        <v>175</v>
      </c>
      <c r="G76" t="s">
        <v>175</v>
      </c>
      <c r="H76" t="s">
        <v>175</v>
      </c>
      <c r="I76" t="s">
        <v>192</v>
      </c>
      <c r="J76" t="s">
        <v>303</v>
      </c>
      <c r="K76" t="s">
        <v>175</v>
      </c>
      <c r="L76" t="s">
        <v>175</v>
      </c>
      <c r="M76" t="s">
        <v>175</v>
      </c>
      <c r="N76" t="s">
        <v>175</v>
      </c>
      <c r="O76" t="s">
        <v>175</v>
      </c>
      <c r="P76" t="s">
        <v>175</v>
      </c>
      <c r="Q76" t="s">
        <v>175</v>
      </c>
      <c r="R76" t="s">
        <v>175</v>
      </c>
      <c r="S76" t="s">
        <v>175</v>
      </c>
      <c r="T76" t="s">
        <v>175</v>
      </c>
      <c r="U76" t="s">
        <v>175</v>
      </c>
      <c r="V76" t="s">
        <v>175</v>
      </c>
      <c r="W76" t="s">
        <v>175</v>
      </c>
      <c r="X76" t="s">
        <v>175</v>
      </c>
      <c r="Y76" t="s">
        <v>175</v>
      </c>
      <c r="Z76" t="s">
        <v>175</v>
      </c>
    </row>
    <row r="77">
      <c r="A77" t="s">
        <v>175</v>
      </c>
      <c r="B77" t="s">
        <v>175</v>
      </c>
      <c r="C77" t="s">
        <v>175</v>
      </c>
      <c r="D77" t="s">
        <v>175</v>
      </c>
      <c r="E77" t="s">
        <v>175</v>
      </c>
      <c r="F77" t="s">
        <v>175</v>
      </c>
      <c r="G77" t="s">
        <v>187</v>
      </c>
      <c r="H77" t="s">
        <v>291</v>
      </c>
      <c r="I77" t="s">
        <v>175</v>
      </c>
      <c r="J77" t="s">
        <v>175</v>
      </c>
      <c r="K77" t="s">
        <v>175</v>
      </c>
      <c r="L77" t="s">
        <v>175</v>
      </c>
      <c r="M77" t="s">
        <v>175</v>
      </c>
      <c r="N77" t="s">
        <v>175</v>
      </c>
      <c r="O77" t="s">
        <v>175</v>
      </c>
      <c r="P77" t="s">
        <v>175</v>
      </c>
      <c r="Q77" t="s">
        <v>175</v>
      </c>
      <c r="R77" t="s">
        <v>175</v>
      </c>
      <c r="S77" t="s">
        <v>175</v>
      </c>
      <c r="T77" t="s">
        <v>175</v>
      </c>
      <c r="U77" t="s">
        <v>175</v>
      </c>
      <c r="V77" t="s">
        <v>175</v>
      </c>
      <c r="W77" t="s">
        <v>175</v>
      </c>
      <c r="X77" t="s">
        <v>175</v>
      </c>
      <c r="Y77" t="s">
        <v>175</v>
      </c>
      <c r="Z77" t="s">
        <v>175</v>
      </c>
    </row>
    <row r="78">
      <c r="A78" t="s">
        <v>175</v>
      </c>
      <c r="B78" t="s">
        <v>175</v>
      </c>
      <c r="C78" t="s">
        <v>175</v>
      </c>
      <c r="D78" t="s">
        <v>175</v>
      </c>
      <c r="E78" t="s">
        <v>187</v>
      </c>
      <c r="F78" t="s">
        <v>272</v>
      </c>
      <c r="G78" t="s">
        <v>175</v>
      </c>
      <c r="H78" t="s">
        <v>175</v>
      </c>
      <c r="I78" t="s">
        <v>175</v>
      </c>
      <c r="J78" t="s">
        <v>175</v>
      </c>
      <c r="K78" t="s">
        <v>175</v>
      </c>
      <c r="L78" t="s">
        <v>175</v>
      </c>
      <c r="M78" t="s">
        <v>175</v>
      </c>
      <c r="N78" t="s">
        <v>175</v>
      </c>
      <c r="O78" t="s">
        <v>175</v>
      </c>
      <c r="P78" t="s">
        <v>175</v>
      </c>
      <c r="Q78" t="s">
        <v>175</v>
      </c>
      <c r="R78" t="s">
        <v>175</v>
      </c>
      <c r="S78" t="s">
        <v>175</v>
      </c>
      <c r="T78" t="s">
        <v>175</v>
      </c>
      <c r="U78" t="s">
        <v>175</v>
      </c>
      <c r="V78" t="s">
        <v>175</v>
      </c>
      <c r="W78" t="s">
        <v>175</v>
      </c>
      <c r="X78" t="s">
        <v>175</v>
      </c>
      <c r="Y78" t="s">
        <v>175</v>
      </c>
      <c r="Z78" t="s">
        <v>175</v>
      </c>
    </row>
    <row r="79">
      <c r="A79" t="s">
        <v>175</v>
      </c>
      <c r="B79" t="s">
        <v>175</v>
      </c>
      <c r="C79" t="s">
        <v>191</v>
      </c>
      <c r="D79" t="s">
        <v>222</v>
      </c>
      <c r="E79" t="s">
        <v>175</v>
      </c>
      <c r="F79" t="s">
        <v>175</v>
      </c>
      <c r="G79" t="s">
        <v>175</v>
      </c>
      <c r="H79" t="s">
        <v>175</v>
      </c>
      <c r="I79" t="s">
        <v>175</v>
      </c>
      <c r="J79" t="s">
        <v>175</v>
      </c>
      <c r="K79" t="s">
        <v>175</v>
      </c>
      <c r="L79" t="s">
        <v>175</v>
      </c>
      <c r="M79" t="s">
        <v>175</v>
      </c>
      <c r="N79" t="s">
        <v>175</v>
      </c>
      <c r="O79" t="s">
        <v>175</v>
      </c>
      <c r="P79" t="s">
        <v>175</v>
      </c>
      <c r="Q79" t="s">
        <v>175</v>
      </c>
      <c r="R79" t="s">
        <v>175</v>
      </c>
      <c r="S79" t="s">
        <v>175</v>
      </c>
      <c r="T79" t="s">
        <v>175</v>
      </c>
      <c r="U79" t="s">
        <v>175</v>
      </c>
      <c r="V79" t="s">
        <v>175</v>
      </c>
      <c r="W79" t="s">
        <v>175</v>
      </c>
      <c r="X79" t="s">
        <v>175</v>
      </c>
      <c r="Y79" t="s">
        <v>175</v>
      </c>
      <c r="Z79" t="s">
        <v>175</v>
      </c>
    </row>
    <row r="80">
      <c r="A80" t="s">
        <v>189</v>
      </c>
      <c r="B80" t="s">
        <v>181</v>
      </c>
      <c r="C80" t="s">
        <v>175</v>
      </c>
      <c r="D80" t="s">
        <v>175</v>
      </c>
      <c r="E80" t="s">
        <v>175</v>
      </c>
      <c r="F80" t="s">
        <v>175</v>
      </c>
      <c r="G80" t="s">
        <v>175</v>
      </c>
      <c r="H80" t="s">
        <v>175</v>
      </c>
      <c r="I80" t="s">
        <v>175</v>
      </c>
      <c r="J80" t="s">
        <v>175</v>
      </c>
      <c r="K80" t="s">
        <v>175</v>
      </c>
      <c r="L80" t="s">
        <v>175</v>
      </c>
      <c r="M80" t="s">
        <v>175</v>
      </c>
      <c r="N80" t="s">
        <v>175</v>
      </c>
      <c r="O80" t="s">
        <v>175</v>
      </c>
      <c r="P80" t="s">
        <v>175</v>
      </c>
      <c r="Q80" t="s">
        <v>175</v>
      </c>
      <c r="R80" t="s">
        <v>175</v>
      </c>
      <c r="S80" t="s">
        <v>175</v>
      </c>
      <c r="T80" t="s">
        <v>175</v>
      </c>
      <c r="U80" t="s">
        <v>175</v>
      </c>
      <c r="V80" t="s">
        <v>175</v>
      </c>
      <c r="W80" t="s">
        <v>175</v>
      </c>
      <c r="X80" t="s">
        <v>175</v>
      </c>
      <c r="Y80" t="s">
        <v>175</v>
      </c>
      <c r="Z80" t="s">
        <v>175</v>
      </c>
    </row>
    <row r="81">
      <c r="A81" t="s">
        <v>129</v>
      </c>
      <c r="B81" t="s">
        <v>120</v>
      </c>
      <c r="C81" t="s">
        <v>175</v>
      </c>
      <c r="D81" t="s">
        <v>175</v>
      </c>
      <c r="E81" t="s">
        <v>175</v>
      </c>
      <c r="F81" t="s">
        <v>175</v>
      </c>
      <c r="G81" t="s">
        <v>175</v>
      </c>
      <c r="H81" t="s">
        <v>175</v>
      </c>
      <c r="I81" t="s">
        <v>175</v>
      </c>
      <c r="J81" t="s">
        <v>175</v>
      </c>
      <c r="K81" t="s">
        <v>175</v>
      </c>
      <c r="L81" t="s">
        <v>175</v>
      </c>
      <c r="M81" t="s">
        <v>175</v>
      </c>
      <c r="N81" t="s">
        <v>175</v>
      </c>
      <c r="O81" t="s">
        <v>175</v>
      </c>
      <c r="P81" t="s">
        <v>175</v>
      </c>
      <c r="Q81" t="s">
        <v>175</v>
      </c>
      <c r="R81" t="s">
        <v>175</v>
      </c>
      <c r="S81" t="s">
        <v>175</v>
      </c>
      <c r="T81" t="s">
        <v>175</v>
      </c>
      <c r="U81" t="s">
        <v>175</v>
      </c>
      <c r="V81" t="s">
        <v>175</v>
      </c>
      <c r="W81" t="s">
        <v>175</v>
      </c>
      <c r="X81" t="s">
        <v>175</v>
      </c>
      <c r="Y81" t="s">
        <v>175</v>
      </c>
      <c r="Z81" t="s">
        <v>175</v>
      </c>
    </row>
    <row r="82">
      <c r="A82" t="s">
        <v>175</v>
      </c>
      <c r="B82" t="s">
        <v>175</v>
      </c>
      <c r="C82" t="s">
        <v>389</v>
      </c>
      <c r="D82" t="s">
        <v>210</v>
      </c>
      <c r="E82" t="s">
        <v>175</v>
      </c>
      <c r="F82" t="s">
        <v>175</v>
      </c>
      <c r="G82" t="s">
        <v>175</v>
      </c>
      <c r="H82" t="s">
        <v>175</v>
      </c>
      <c r="I82" t="s">
        <v>175</v>
      </c>
      <c r="J82" t="s">
        <v>175</v>
      </c>
      <c r="K82" t="s">
        <v>175</v>
      </c>
      <c r="L82" t="s">
        <v>175</v>
      </c>
      <c r="M82" t="s">
        <v>175</v>
      </c>
      <c r="N82" t="s">
        <v>175</v>
      </c>
      <c r="O82" t="s">
        <v>175</v>
      </c>
      <c r="P82" t="s">
        <v>175</v>
      </c>
      <c r="Q82" t="s">
        <v>175</v>
      </c>
      <c r="R82" t="s">
        <v>175</v>
      </c>
      <c r="S82" t="s">
        <v>175</v>
      </c>
      <c r="T82" t="s">
        <v>175</v>
      </c>
      <c r="U82" t="s">
        <v>175</v>
      </c>
      <c r="V82" t="s">
        <v>175</v>
      </c>
      <c r="W82" t="s">
        <v>175</v>
      </c>
      <c r="X82" t="s">
        <v>175</v>
      </c>
      <c r="Y82" t="s">
        <v>175</v>
      </c>
      <c r="Z82" t="s">
        <v>175</v>
      </c>
    </row>
    <row r="83">
      <c r="A83" t="s">
        <v>175</v>
      </c>
      <c r="B83" t="s">
        <v>175</v>
      </c>
      <c r="C83" t="s">
        <v>175</v>
      </c>
      <c r="D83" t="s">
        <v>175</v>
      </c>
      <c r="E83" t="s">
        <v>188</v>
      </c>
      <c r="F83" t="s">
        <v>240</v>
      </c>
      <c r="G83" t="s">
        <v>175</v>
      </c>
      <c r="H83" t="s">
        <v>175</v>
      </c>
      <c r="I83" t="s">
        <v>175</v>
      </c>
      <c r="J83" t="s">
        <v>175</v>
      </c>
      <c r="K83" t="s">
        <v>175</v>
      </c>
      <c r="L83" t="s">
        <v>175</v>
      </c>
      <c r="M83" t="s">
        <v>175</v>
      </c>
      <c r="N83" t="s">
        <v>175</v>
      </c>
      <c r="O83" t="s">
        <v>175</v>
      </c>
      <c r="P83" t="s">
        <v>175</v>
      </c>
      <c r="Q83" t="s">
        <v>175</v>
      </c>
      <c r="R83" t="s">
        <v>175</v>
      </c>
      <c r="S83" t="s">
        <v>175</v>
      </c>
      <c r="T83" t="s">
        <v>175</v>
      </c>
      <c r="U83" t="s">
        <v>175</v>
      </c>
      <c r="V83" t="s">
        <v>175</v>
      </c>
      <c r="W83" t="s">
        <v>175</v>
      </c>
      <c r="X83" t="s">
        <v>175</v>
      </c>
      <c r="Y83" t="s">
        <v>175</v>
      </c>
      <c r="Z83" t="s">
        <v>175</v>
      </c>
    </row>
    <row r="84">
      <c r="A84" t="s">
        <v>175</v>
      </c>
      <c r="B84" t="s">
        <v>175</v>
      </c>
      <c r="C84" t="s">
        <v>175</v>
      </c>
      <c r="D84" t="s">
        <v>175</v>
      </c>
      <c r="E84" t="s">
        <v>175</v>
      </c>
      <c r="F84" t="s">
        <v>175</v>
      </c>
      <c r="G84" t="s">
        <v>186</v>
      </c>
      <c r="H84" t="s">
        <v>289</v>
      </c>
      <c r="I84" t="s">
        <v>175</v>
      </c>
      <c r="J84" t="s">
        <v>175</v>
      </c>
      <c r="K84" t="s">
        <v>175</v>
      </c>
      <c r="L84" t="s">
        <v>175</v>
      </c>
      <c r="M84" t="s">
        <v>175</v>
      </c>
      <c r="N84" t="s">
        <v>175</v>
      </c>
      <c r="O84" t="s">
        <v>175</v>
      </c>
      <c r="P84" t="s">
        <v>175</v>
      </c>
      <c r="Q84" t="s">
        <v>175</v>
      </c>
      <c r="R84" t="s">
        <v>175</v>
      </c>
      <c r="S84" t="s">
        <v>175</v>
      </c>
      <c r="T84" t="s">
        <v>175</v>
      </c>
      <c r="U84" t="s">
        <v>175</v>
      </c>
      <c r="V84" t="s">
        <v>175</v>
      </c>
      <c r="W84" t="s">
        <v>175</v>
      </c>
      <c r="X84" t="s">
        <v>175</v>
      </c>
      <c r="Y84" t="s">
        <v>175</v>
      </c>
      <c r="Z84" t="s">
        <v>175</v>
      </c>
    </row>
    <row r="85">
      <c r="A85" t="s">
        <v>175</v>
      </c>
      <c r="B85" t="s">
        <v>175</v>
      </c>
      <c r="C85" t="s">
        <v>175</v>
      </c>
      <c r="D85" t="s">
        <v>175</v>
      </c>
      <c r="E85" t="s">
        <v>175</v>
      </c>
      <c r="F85" t="s">
        <v>175</v>
      </c>
      <c r="G85" t="s">
        <v>175</v>
      </c>
      <c r="H85" t="s">
        <v>175</v>
      </c>
      <c r="I85" t="s">
        <v>193</v>
      </c>
      <c r="J85" t="s">
        <v>302</v>
      </c>
      <c r="K85" t="s">
        <v>175</v>
      </c>
      <c r="L85" t="s">
        <v>175</v>
      </c>
      <c r="M85" t="s">
        <v>175</v>
      </c>
      <c r="N85" t="s">
        <v>175</v>
      </c>
      <c r="O85" t="s">
        <v>175</v>
      </c>
      <c r="P85" t="s">
        <v>175</v>
      </c>
      <c r="Q85" t="s">
        <v>175</v>
      </c>
      <c r="R85" t="s">
        <v>175</v>
      </c>
      <c r="S85" t="s">
        <v>175</v>
      </c>
      <c r="T85" t="s">
        <v>175</v>
      </c>
      <c r="U85" t="s">
        <v>175</v>
      </c>
      <c r="V85" t="s">
        <v>175</v>
      </c>
      <c r="W85" t="s">
        <v>175</v>
      </c>
      <c r="X85" t="s">
        <v>175</v>
      </c>
      <c r="Y85" t="s">
        <v>175</v>
      </c>
      <c r="Z85" t="s">
        <v>175</v>
      </c>
    </row>
    <row r="86">
      <c r="A86" t="s">
        <v>175</v>
      </c>
      <c r="B86" t="s">
        <v>175</v>
      </c>
      <c r="C86" t="s">
        <v>175</v>
      </c>
      <c r="D86" t="s">
        <v>175</v>
      </c>
      <c r="E86" t="s">
        <v>175</v>
      </c>
      <c r="F86" t="s">
        <v>175</v>
      </c>
      <c r="G86" t="s">
        <v>175</v>
      </c>
      <c r="H86" t="s">
        <v>175</v>
      </c>
      <c r="I86" t="s">
        <v>175</v>
      </c>
      <c r="J86" t="s">
        <v>175</v>
      </c>
      <c r="K86" t="s">
        <v>186</v>
      </c>
      <c r="L86" t="s">
        <v>353</v>
      </c>
      <c r="M86" t="s">
        <v>175</v>
      </c>
      <c r="N86" t="s">
        <v>175</v>
      </c>
      <c r="O86" t="s">
        <v>175</v>
      </c>
      <c r="P86" t="s">
        <v>175</v>
      </c>
      <c r="Q86" t="s">
        <v>175</v>
      </c>
      <c r="R86" t="s">
        <v>175</v>
      </c>
      <c r="S86" t="s">
        <v>175</v>
      </c>
      <c r="T86" t="s">
        <v>175</v>
      </c>
      <c r="U86" t="s">
        <v>175</v>
      </c>
      <c r="V86" t="s">
        <v>175</v>
      </c>
      <c r="W86" t="s">
        <v>175</v>
      </c>
      <c r="X86" t="s">
        <v>175</v>
      </c>
      <c r="Y86" t="s">
        <v>175</v>
      </c>
      <c r="Z86" t="s">
        <v>175</v>
      </c>
    </row>
    <row r="87">
      <c r="A87" t="s">
        <v>175</v>
      </c>
      <c r="B87" t="s">
        <v>175</v>
      </c>
      <c r="C87" t="s">
        <v>175</v>
      </c>
      <c r="D87" t="s">
        <v>175</v>
      </c>
      <c r="E87" t="s">
        <v>175</v>
      </c>
      <c r="F87" t="s">
        <v>175</v>
      </c>
      <c r="G87" t="s">
        <v>175</v>
      </c>
      <c r="H87" t="s">
        <v>175</v>
      </c>
      <c r="I87" t="s">
        <v>175</v>
      </c>
      <c r="J87" t="s">
        <v>175</v>
      </c>
      <c r="K87" t="s">
        <v>175</v>
      </c>
      <c r="L87" t="s">
        <v>175</v>
      </c>
      <c r="M87" t="s">
        <v>191</v>
      </c>
      <c r="N87" t="s">
        <v>328</v>
      </c>
      <c r="O87" t="s">
        <v>175</v>
      </c>
      <c r="P87" t="s">
        <v>175</v>
      </c>
      <c r="Q87" t="s">
        <v>175</v>
      </c>
      <c r="R87" t="s">
        <v>175</v>
      </c>
      <c r="S87" t="s">
        <v>175</v>
      </c>
      <c r="T87" t="s">
        <v>175</v>
      </c>
      <c r="U87" t="s">
        <v>175</v>
      </c>
      <c r="V87" t="s">
        <v>175</v>
      </c>
      <c r="W87" t="s">
        <v>175</v>
      </c>
      <c r="X87" t="s">
        <v>175</v>
      </c>
      <c r="Y87" t="s">
        <v>175</v>
      </c>
      <c r="Z87" t="s">
        <v>175</v>
      </c>
    </row>
    <row r="88">
      <c r="A88" t="s">
        <v>175</v>
      </c>
      <c r="B88" t="s">
        <v>175</v>
      </c>
      <c r="C88" t="s">
        <v>175</v>
      </c>
      <c r="D88" t="s">
        <v>175</v>
      </c>
      <c r="E88" t="s">
        <v>175</v>
      </c>
      <c r="F88" t="s">
        <v>175</v>
      </c>
      <c r="G88" t="s">
        <v>175</v>
      </c>
      <c r="H88" t="s">
        <v>175</v>
      </c>
      <c r="I88" t="s">
        <v>175</v>
      </c>
      <c r="J88" t="s">
        <v>175</v>
      </c>
      <c r="K88" t="s">
        <v>175</v>
      </c>
      <c r="L88" t="s">
        <v>175</v>
      </c>
      <c r="M88" t="s">
        <v>175</v>
      </c>
      <c r="N88" t="s">
        <v>175</v>
      </c>
      <c r="O88" t="s">
        <v>187</v>
      </c>
      <c r="P88" t="s">
        <v>371</v>
      </c>
      <c r="Q88" t="s">
        <v>175</v>
      </c>
      <c r="R88" t="s">
        <v>175</v>
      </c>
      <c r="S88" t="s">
        <v>175</v>
      </c>
      <c r="T88" t="s">
        <v>175</v>
      </c>
      <c r="U88" t="s">
        <v>175</v>
      </c>
      <c r="V88" t="s">
        <v>175</v>
      </c>
      <c r="W88" t="s">
        <v>175</v>
      </c>
      <c r="X88" t="s">
        <v>175</v>
      </c>
      <c r="Y88" t="s">
        <v>175</v>
      </c>
      <c r="Z88" t="s">
        <v>175</v>
      </c>
    </row>
    <row r="89">
      <c r="A89" t="s">
        <v>175</v>
      </c>
      <c r="B89" t="s">
        <v>175</v>
      </c>
      <c r="C89" t="s">
        <v>175</v>
      </c>
      <c r="D89" t="s">
        <v>175</v>
      </c>
      <c r="E89" t="s">
        <v>175</v>
      </c>
      <c r="F89" t="s">
        <v>175</v>
      </c>
      <c r="G89" t="s">
        <v>175</v>
      </c>
      <c r="H89" t="s">
        <v>175</v>
      </c>
      <c r="I89" t="s">
        <v>175</v>
      </c>
      <c r="J89" t="s">
        <v>175</v>
      </c>
      <c r="K89" t="s">
        <v>175</v>
      </c>
      <c r="L89" t="s">
        <v>175</v>
      </c>
      <c r="M89" t="s">
        <v>175</v>
      </c>
      <c r="N89" t="s">
        <v>175</v>
      </c>
      <c r="O89" t="s">
        <v>175</v>
      </c>
      <c r="P89" t="s">
        <v>175</v>
      </c>
      <c r="Q89" t="s">
        <v>191</v>
      </c>
      <c r="R89" t="s">
        <v>333</v>
      </c>
      <c r="S89" t="s">
        <v>175</v>
      </c>
      <c r="T89" t="s">
        <v>175</v>
      </c>
      <c r="U89" t="s">
        <v>175</v>
      </c>
      <c r="V89" t="s">
        <v>175</v>
      </c>
      <c r="W89" t="s">
        <v>175</v>
      </c>
      <c r="X89" t="s">
        <v>175</v>
      </c>
      <c r="Y89" t="s">
        <v>175</v>
      </c>
      <c r="Z89" t="s">
        <v>175</v>
      </c>
    </row>
    <row r="90">
      <c r="A90" t="s">
        <v>175</v>
      </c>
      <c r="B90" t="s">
        <v>175</v>
      </c>
      <c r="C90" t="s">
        <v>175</v>
      </c>
      <c r="D90" t="s">
        <v>175</v>
      </c>
      <c r="E90" t="s">
        <v>175</v>
      </c>
      <c r="F90" t="s">
        <v>175</v>
      </c>
      <c r="G90" t="s">
        <v>175</v>
      </c>
      <c r="H90" t="s">
        <v>175</v>
      </c>
      <c r="I90" t="s">
        <v>175</v>
      </c>
      <c r="J90" t="s">
        <v>175</v>
      </c>
      <c r="K90" t="s">
        <v>175</v>
      </c>
      <c r="L90" t="s">
        <v>175</v>
      </c>
      <c r="M90" t="s">
        <v>175</v>
      </c>
      <c r="N90" t="s">
        <v>175</v>
      </c>
      <c r="O90" t="s">
        <v>175</v>
      </c>
      <c r="P90" t="s">
        <v>175</v>
      </c>
      <c r="Q90" t="s">
        <v>175</v>
      </c>
      <c r="R90" t="s">
        <v>175</v>
      </c>
      <c r="S90" t="s">
        <v>188</v>
      </c>
      <c r="T90" t="s">
        <v>332</v>
      </c>
      <c r="U90" t="s">
        <v>175</v>
      </c>
      <c r="V90" t="s">
        <v>175</v>
      </c>
      <c r="W90" t="s">
        <v>175</v>
      </c>
      <c r="X90" t="s">
        <v>175</v>
      </c>
      <c r="Y90" t="s">
        <v>175</v>
      </c>
      <c r="Z90" t="s">
        <v>175</v>
      </c>
    </row>
    <row r="91">
      <c r="A91" t="s">
        <v>175</v>
      </c>
      <c r="B91" t="s">
        <v>175</v>
      </c>
      <c r="C91" t="s">
        <v>175</v>
      </c>
      <c r="D91" t="s">
        <v>175</v>
      </c>
      <c r="E91" t="s">
        <v>175</v>
      </c>
      <c r="F91" t="s">
        <v>175</v>
      </c>
      <c r="G91" t="s">
        <v>175</v>
      </c>
      <c r="H91" t="s">
        <v>175</v>
      </c>
      <c r="I91" t="s">
        <v>175</v>
      </c>
      <c r="J91" t="s">
        <v>175</v>
      </c>
      <c r="K91" t="s">
        <v>175</v>
      </c>
      <c r="L91" t="s">
        <v>175</v>
      </c>
      <c r="M91" t="s">
        <v>175</v>
      </c>
      <c r="N91" t="s">
        <v>175</v>
      </c>
      <c r="O91" t="s">
        <v>175</v>
      </c>
      <c r="P91" t="s">
        <v>175</v>
      </c>
      <c r="Q91" t="s">
        <v>175</v>
      </c>
      <c r="R91" t="s">
        <v>175</v>
      </c>
      <c r="S91" t="s">
        <v>175</v>
      </c>
      <c r="T91" t="s">
        <v>175</v>
      </c>
      <c r="U91" t="s">
        <v>188</v>
      </c>
      <c r="V91" t="s">
        <v>381</v>
      </c>
      <c r="W91" t="s">
        <v>175</v>
      </c>
      <c r="X91" t="s">
        <v>175</v>
      </c>
      <c r="Y91" t="s">
        <v>175</v>
      </c>
      <c r="Z91" t="s">
        <v>175</v>
      </c>
    </row>
    <row r="92">
      <c r="A92" t="s">
        <v>175</v>
      </c>
      <c r="B92" t="s">
        <v>175</v>
      </c>
      <c r="C92" t="s">
        <v>175</v>
      </c>
      <c r="D92" t="s">
        <v>175</v>
      </c>
      <c r="E92" t="s">
        <v>175</v>
      </c>
      <c r="F92" t="s">
        <v>175</v>
      </c>
      <c r="G92" t="s">
        <v>175</v>
      </c>
      <c r="H92" t="s">
        <v>175</v>
      </c>
      <c r="I92" t="s">
        <v>175</v>
      </c>
      <c r="J92" t="s">
        <v>175</v>
      </c>
      <c r="K92" t="s">
        <v>175</v>
      </c>
      <c r="L92" t="s">
        <v>175</v>
      </c>
      <c r="M92" t="s">
        <v>175</v>
      </c>
      <c r="N92" t="s">
        <v>175</v>
      </c>
      <c r="O92" t="s">
        <v>175</v>
      </c>
      <c r="P92" t="s">
        <v>175</v>
      </c>
      <c r="Q92" t="s">
        <v>175</v>
      </c>
      <c r="R92" t="s">
        <v>175</v>
      </c>
      <c r="S92" t="s">
        <v>175</v>
      </c>
      <c r="T92" t="s">
        <v>175</v>
      </c>
      <c r="U92" t="s">
        <v>175</v>
      </c>
      <c r="V92" t="s">
        <v>175</v>
      </c>
      <c r="W92" t="s">
        <v>192</v>
      </c>
      <c r="X92" t="s">
        <v>373</v>
      </c>
      <c r="Y92" t="s">
        <v>175</v>
      </c>
      <c r="Z92" t="s">
        <v>175</v>
      </c>
    </row>
    <row r="93">
      <c r="A93" t="s">
        <v>175</v>
      </c>
      <c r="B93" t="s">
        <v>175</v>
      </c>
      <c r="C93" t="s">
        <v>175</v>
      </c>
      <c r="D93" t="s">
        <v>175</v>
      </c>
      <c r="E93" t="s">
        <v>175</v>
      </c>
      <c r="F93" t="s">
        <v>175</v>
      </c>
      <c r="G93" t="s">
        <v>175</v>
      </c>
      <c r="H93" t="s">
        <v>175</v>
      </c>
      <c r="I93" t="s">
        <v>175</v>
      </c>
      <c r="J93" t="s">
        <v>175</v>
      </c>
      <c r="K93" t="s">
        <v>175</v>
      </c>
      <c r="L93" t="s">
        <v>175</v>
      </c>
      <c r="M93" t="s">
        <v>175</v>
      </c>
      <c r="N93" t="s">
        <v>175</v>
      </c>
      <c r="O93" t="s">
        <v>175</v>
      </c>
      <c r="P93" t="s">
        <v>175</v>
      </c>
      <c r="Q93" t="s">
        <v>175</v>
      </c>
      <c r="R93" t="s">
        <v>175</v>
      </c>
      <c r="S93" t="s">
        <v>175</v>
      </c>
      <c r="T93" t="s">
        <v>175</v>
      </c>
      <c r="U93" t="s">
        <v>175</v>
      </c>
      <c r="V93" t="s">
        <v>175</v>
      </c>
      <c r="W93" t="s">
        <v>175</v>
      </c>
      <c r="X93" t="s">
        <v>175</v>
      </c>
      <c r="Y93" t="s">
        <v>189</v>
      </c>
      <c r="Z93" t="s">
        <v>366</v>
      </c>
    </row>
    <row r="94">
      <c r="A94" t="s">
        <v>175</v>
      </c>
      <c r="B94" t="s">
        <v>175</v>
      </c>
      <c r="C94" t="s">
        <v>175</v>
      </c>
      <c r="D94" t="s">
        <v>175</v>
      </c>
      <c r="E94" t="s">
        <v>175</v>
      </c>
      <c r="F94" t="s">
        <v>175</v>
      </c>
      <c r="G94" t="s">
        <v>175</v>
      </c>
      <c r="H94" t="s">
        <v>175</v>
      </c>
      <c r="I94" t="s">
        <v>175</v>
      </c>
      <c r="J94" t="s">
        <v>175</v>
      </c>
      <c r="K94" t="s">
        <v>175</v>
      </c>
      <c r="L94" t="s">
        <v>175</v>
      </c>
      <c r="M94" t="s">
        <v>175</v>
      </c>
      <c r="N94" t="s">
        <v>175</v>
      </c>
      <c r="O94" t="s">
        <v>175</v>
      </c>
      <c r="P94" t="s">
        <v>175</v>
      </c>
      <c r="Q94" t="s">
        <v>175</v>
      </c>
      <c r="R94" t="s">
        <v>175</v>
      </c>
      <c r="S94" t="s">
        <v>175</v>
      </c>
      <c r="T94" t="s">
        <v>175</v>
      </c>
      <c r="U94" t="s">
        <v>175</v>
      </c>
      <c r="V94" t="s">
        <v>175</v>
      </c>
      <c r="W94" t="s">
        <v>175</v>
      </c>
      <c r="X94" t="s">
        <v>175</v>
      </c>
      <c r="Y94" t="s">
        <v>193</v>
      </c>
      <c r="Z94" t="s">
        <v>352</v>
      </c>
    </row>
    <row r="95">
      <c r="A95" t="s">
        <v>175</v>
      </c>
      <c r="B95" t="s">
        <v>175</v>
      </c>
      <c r="C95" t="s">
        <v>175</v>
      </c>
      <c r="D95" t="s">
        <v>175</v>
      </c>
      <c r="E95" t="s">
        <v>175</v>
      </c>
      <c r="F95" t="s">
        <v>175</v>
      </c>
      <c r="G95" t="s">
        <v>175</v>
      </c>
      <c r="H95" t="s">
        <v>175</v>
      </c>
      <c r="I95" t="s">
        <v>175</v>
      </c>
      <c r="J95" t="s">
        <v>175</v>
      </c>
      <c r="K95" t="s">
        <v>175</v>
      </c>
      <c r="L95" t="s">
        <v>175</v>
      </c>
      <c r="M95" t="s">
        <v>175</v>
      </c>
      <c r="N95" t="s">
        <v>175</v>
      </c>
      <c r="O95" t="s">
        <v>175</v>
      </c>
      <c r="P95" t="s">
        <v>175</v>
      </c>
      <c r="Q95" t="s">
        <v>175</v>
      </c>
      <c r="R95" t="s">
        <v>175</v>
      </c>
      <c r="S95" t="s">
        <v>175</v>
      </c>
      <c r="T95" t="s">
        <v>175</v>
      </c>
      <c r="U95" t="s">
        <v>175</v>
      </c>
      <c r="V95" t="s">
        <v>175</v>
      </c>
      <c r="W95" t="s">
        <v>188</v>
      </c>
      <c r="X95" t="s">
        <v>341</v>
      </c>
      <c r="Y95" t="s">
        <v>175</v>
      </c>
      <c r="Z95" t="s">
        <v>175</v>
      </c>
    </row>
    <row r="96">
      <c r="A96" t="s">
        <v>175</v>
      </c>
      <c r="B96" t="s">
        <v>175</v>
      </c>
      <c r="C96" t="s">
        <v>175</v>
      </c>
      <c r="D96" t="s">
        <v>175</v>
      </c>
      <c r="E96" t="s">
        <v>175</v>
      </c>
      <c r="F96" t="s">
        <v>175</v>
      </c>
      <c r="G96" t="s">
        <v>175</v>
      </c>
      <c r="H96" t="s">
        <v>175</v>
      </c>
      <c r="I96" t="s">
        <v>175</v>
      </c>
      <c r="J96" t="s">
        <v>175</v>
      </c>
      <c r="K96" t="s">
        <v>175</v>
      </c>
      <c r="L96" t="s">
        <v>175</v>
      </c>
      <c r="M96" t="s">
        <v>175</v>
      </c>
      <c r="N96" t="s">
        <v>175</v>
      </c>
      <c r="O96" t="s">
        <v>175</v>
      </c>
      <c r="P96" t="s">
        <v>175</v>
      </c>
      <c r="Q96" t="s">
        <v>175</v>
      </c>
      <c r="R96" t="s">
        <v>175</v>
      </c>
      <c r="S96" t="s">
        <v>175</v>
      </c>
      <c r="T96" t="s">
        <v>175</v>
      </c>
      <c r="U96" t="s">
        <v>193</v>
      </c>
      <c r="V96" t="s">
        <v>380</v>
      </c>
      <c r="W96" t="s">
        <v>175</v>
      </c>
      <c r="X96" t="s">
        <v>175</v>
      </c>
      <c r="Y96" t="s">
        <v>175</v>
      </c>
      <c r="Z96" t="s">
        <v>175</v>
      </c>
    </row>
    <row r="97">
      <c r="A97" t="s">
        <v>175</v>
      </c>
      <c r="B97" t="s">
        <v>175</v>
      </c>
      <c r="C97" t="s">
        <v>175</v>
      </c>
      <c r="D97" t="s">
        <v>175</v>
      </c>
      <c r="E97" t="s">
        <v>175</v>
      </c>
      <c r="F97" t="s">
        <v>175</v>
      </c>
      <c r="G97" t="s">
        <v>175</v>
      </c>
      <c r="H97" t="s">
        <v>175</v>
      </c>
      <c r="I97" t="s">
        <v>175</v>
      </c>
      <c r="J97" t="s">
        <v>175</v>
      </c>
      <c r="K97" t="s">
        <v>175</v>
      </c>
      <c r="L97" t="s">
        <v>175</v>
      </c>
      <c r="M97" t="s">
        <v>175</v>
      </c>
      <c r="N97" t="s">
        <v>175</v>
      </c>
      <c r="O97" t="s">
        <v>175</v>
      </c>
      <c r="P97" t="s">
        <v>175</v>
      </c>
      <c r="Q97" t="s">
        <v>175</v>
      </c>
      <c r="R97" t="s">
        <v>175</v>
      </c>
      <c r="S97" t="s">
        <v>190</v>
      </c>
      <c r="T97" t="s">
        <v>329</v>
      </c>
      <c r="U97" t="s">
        <v>175</v>
      </c>
      <c r="V97" t="s">
        <v>175</v>
      </c>
      <c r="W97" t="s">
        <v>175</v>
      </c>
      <c r="X97" t="s">
        <v>175</v>
      </c>
      <c r="Y97" t="s">
        <v>175</v>
      </c>
      <c r="Z97" t="s">
        <v>175</v>
      </c>
    </row>
    <row r="98">
      <c r="A98" t="s">
        <v>175</v>
      </c>
      <c r="B98" t="s">
        <v>175</v>
      </c>
      <c r="C98" t="s">
        <v>175</v>
      </c>
      <c r="D98" t="s">
        <v>175</v>
      </c>
      <c r="E98" t="s">
        <v>175</v>
      </c>
      <c r="F98" t="s">
        <v>175</v>
      </c>
      <c r="G98" t="s">
        <v>175</v>
      </c>
      <c r="H98" t="s">
        <v>175</v>
      </c>
      <c r="I98" t="s">
        <v>175</v>
      </c>
      <c r="J98" t="s">
        <v>175</v>
      </c>
      <c r="K98" t="s">
        <v>175</v>
      </c>
      <c r="L98" t="s">
        <v>175</v>
      </c>
      <c r="M98" t="s">
        <v>175</v>
      </c>
      <c r="N98" t="s">
        <v>175</v>
      </c>
      <c r="O98" t="s">
        <v>175</v>
      </c>
      <c r="P98" t="s">
        <v>175</v>
      </c>
      <c r="Q98" t="s">
        <v>189</v>
      </c>
      <c r="R98" t="s">
        <v>334</v>
      </c>
      <c r="S98" t="s">
        <v>175</v>
      </c>
      <c r="T98" t="s">
        <v>175</v>
      </c>
      <c r="U98" t="s">
        <v>175</v>
      </c>
      <c r="V98" t="s">
        <v>175</v>
      </c>
      <c r="W98" t="s">
        <v>175</v>
      </c>
      <c r="X98" t="s">
        <v>175</v>
      </c>
      <c r="Y98" t="s">
        <v>175</v>
      </c>
      <c r="Z98" t="s">
        <v>175</v>
      </c>
    </row>
    <row r="99">
      <c r="A99" t="s">
        <v>175</v>
      </c>
      <c r="B99" t="s">
        <v>175</v>
      </c>
      <c r="C99" t="s">
        <v>175</v>
      </c>
      <c r="D99" t="s">
        <v>175</v>
      </c>
      <c r="E99" t="s">
        <v>175</v>
      </c>
      <c r="F99" t="s">
        <v>175</v>
      </c>
      <c r="G99" t="s">
        <v>175</v>
      </c>
      <c r="H99" t="s">
        <v>175</v>
      </c>
      <c r="I99" t="s">
        <v>175</v>
      </c>
      <c r="J99" t="s">
        <v>175</v>
      </c>
      <c r="K99" t="s">
        <v>175</v>
      </c>
      <c r="L99" t="s">
        <v>175</v>
      </c>
      <c r="M99" t="s">
        <v>175</v>
      </c>
      <c r="N99" t="s">
        <v>175</v>
      </c>
      <c r="O99" t="s">
        <v>192</v>
      </c>
      <c r="P99" t="s">
        <v>346</v>
      </c>
      <c r="Q99" t="s">
        <v>175</v>
      </c>
      <c r="R99" t="s">
        <v>175</v>
      </c>
      <c r="S99" t="s">
        <v>175</v>
      </c>
      <c r="T99" t="s">
        <v>175</v>
      </c>
      <c r="U99" t="s">
        <v>175</v>
      </c>
      <c r="V99" t="s">
        <v>175</v>
      </c>
      <c r="W99" t="s">
        <v>175</v>
      </c>
      <c r="X99" t="s">
        <v>175</v>
      </c>
      <c r="Y99" t="s">
        <v>175</v>
      </c>
      <c r="Z99" t="s">
        <v>175</v>
      </c>
    </row>
    <row r="100">
      <c r="A100" t="s">
        <v>175</v>
      </c>
      <c r="B100" t="s">
        <v>175</v>
      </c>
      <c r="C100" t="s">
        <v>175</v>
      </c>
      <c r="D100" t="s">
        <v>175</v>
      </c>
      <c r="E100" t="s">
        <v>175</v>
      </c>
      <c r="F100" t="s">
        <v>175</v>
      </c>
      <c r="G100" t="s">
        <v>175</v>
      </c>
      <c r="H100" t="s">
        <v>175</v>
      </c>
      <c r="I100" t="s">
        <v>175</v>
      </c>
      <c r="J100" t="s">
        <v>175</v>
      </c>
      <c r="K100" t="s">
        <v>175</v>
      </c>
      <c r="L100" t="s">
        <v>175</v>
      </c>
      <c r="M100" t="s">
        <v>190</v>
      </c>
      <c r="N100" t="s">
        <v>344</v>
      </c>
      <c r="O100" t="s">
        <v>175</v>
      </c>
      <c r="P100" t="s">
        <v>175</v>
      </c>
      <c r="Q100" t="s">
        <v>175</v>
      </c>
      <c r="R100" t="s">
        <v>175</v>
      </c>
      <c r="S100" t="s">
        <v>175</v>
      </c>
      <c r="T100" t="s">
        <v>175</v>
      </c>
      <c r="U100" t="s">
        <v>175</v>
      </c>
      <c r="V100" t="s">
        <v>175</v>
      </c>
      <c r="W100" t="s">
        <v>175</v>
      </c>
      <c r="X100" t="s">
        <v>175</v>
      </c>
      <c r="Y100" t="s">
        <v>175</v>
      </c>
      <c r="Z100" t="s">
        <v>175</v>
      </c>
    </row>
    <row r="101">
      <c r="A101" t="s">
        <v>175</v>
      </c>
      <c r="B101" t="s">
        <v>175</v>
      </c>
      <c r="C101" t="s">
        <v>175</v>
      </c>
      <c r="D101" t="s">
        <v>175</v>
      </c>
      <c r="E101" t="s">
        <v>175</v>
      </c>
      <c r="F101" t="s">
        <v>175</v>
      </c>
      <c r="G101" t="s">
        <v>175</v>
      </c>
      <c r="H101" t="s">
        <v>175</v>
      </c>
      <c r="I101" t="s">
        <v>175</v>
      </c>
      <c r="J101" t="s">
        <v>175</v>
      </c>
      <c r="K101" t="s">
        <v>189</v>
      </c>
      <c r="L101" t="s">
        <v>317</v>
      </c>
      <c r="M101" t="s">
        <v>175</v>
      </c>
      <c r="N101" t="s">
        <v>175</v>
      </c>
      <c r="O101" t="s">
        <v>175</v>
      </c>
      <c r="P101" t="s">
        <v>175</v>
      </c>
      <c r="Q101" t="s">
        <v>175</v>
      </c>
      <c r="R101" t="s">
        <v>175</v>
      </c>
      <c r="S101" t="s">
        <v>175</v>
      </c>
      <c r="T101" t="s">
        <v>175</v>
      </c>
      <c r="U101" t="s">
        <v>175</v>
      </c>
      <c r="V101" t="s">
        <v>175</v>
      </c>
      <c r="W101" t="s">
        <v>175</v>
      </c>
      <c r="X101" t="s">
        <v>175</v>
      </c>
      <c r="Y101" t="s">
        <v>175</v>
      </c>
      <c r="Z101" t="s">
        <v>175</v>
      </c>
    </row>
    <row r="102">
      <c r="A102" t="s">
        <v>175</v>
      </c>
      <c r="B102" t="s">
        <v>175</v>
      </c>
      <c r="C102" t="s">
        <v>175</v>
      </c>
      <c r="D102" t="s">
        <v>175</v>
      </c>
      <c r="E102" t="s">
        <v>175</v>
      </c>
      <c r="F102" t="s">
        <v>175</v>
      </c>
      <c r="G102" t="s">
        <v>175</v>
      </c>
      <c r="H102" t="s">
        <v>175</v>
      </c>
      <c r="I102" t="s">
        <v>186</v>
      </c>
      <c r="J102" t="s">
        <v>308</v>
      </c>
      <c r="K102" t="s">
        <v>175</v>
      </c>
      <c r="L102" t="s">
        <v>175</v>
      </c>
      <c r="M102" t="s">
        <v>175</v>
      </c>
      <c r="N102" t="s">
        <v>175</v>
      </c>
      <c r="O102" t="s">
        <v>175</v>
      </c>
      <c r="P102" t="s">
        <v>175</v>
      </c>
      <c r="Q102" t="s">
        <v>175</v>
      </c>
      <c r="R102" t="s">
        <v>175</v>
      </c>
      <c r="S102" t="s">
        <v>175</v>
      </c>
      <c r="T102" t="s">
        <v>175</v>
      </c>
      <c r="U102" t="s">
        <v>175</v>
      </c>
      <c r="V102" t="s">
        <v>175</v>
      </c>
      <c r="W102" t="s">
        <v>175</v>
      </c>
      <c r="X102" t="s">
        <v>175</v>
      </c>
      <c r="Y102" t="s">
        <v>175</v>
      </c>
      <c r="Z102" t="s">
        <v>175</v>
      </c>
    </row>
    <row r="103">
      <c r="A103" t="s">
        <v>175</v>
      </c>
      <c r="B103" t="s">
        <v>175</v>
      </c>
      <c r="C103" t="s">
        <v>175</v>
      </c>
      <c r="D103" t="s">
        <v>175</v>
      </c>
      <c r="E103" t="s">
        <v>175</v>
      </c>
      <c r="F103" t="s">
        <v>175</v>
      </c>
      <c r="G103" t="s">
        <v>129</v>
      </c>
      <c r="H103" t="s">
        <v>279</v>
      </c>
      <c r="I103" t="s">
        <v>175</v>
      </c>
      <c r="J103" t="s">
        <v>175</v>
      </c>
      <c r="K103" t="s">
        <v>175</v>
      </c>
      <c r="L103" t="s">
        <v>175</v>
      </c>
      <c r="M103" t="s">
        <v>175</v>
      </c>
      <c r="N103" t="s">
        <v>175</v>
      </c>
      <c r="O103" t="s">
        <v>175</v>
      </c>
      <c r="P103" t="s">
        <v>175</v>
      </c>
      <c r="Q103" t="s">
        <v>175</v>
      </c>
      <c r="R103" t="s">
        <v>175</v>
      </c>
      <c r="S103" t="s">
        <v>175</v>
      </c>
      <c r="T103" t="s">
        <v>175</v>
      </c>
      <c r="U103" t="s">
        <v>175</v>
      </c>
      <c r="V103" t="s">
        <v>175</v>
      </c>
      <c r="W103" t="s">
        <v>175</v>
      </c>
      <c r="X103" t="s">
        <v>175</v>
      </c>
      <c r="Y103" t="s">
        <v>175</v>
      </c>
      <c r="Z103" t="s">
        <v>175</v>
      </c>
    </row>
    <row r="104">
      <c r="A104" t="s">
        <v>175</v>
      </c>
      <c r="B104" t="s">
        <v>175</v>
      </c>
      <c r="C104" t="s">
        <v>175</v>
      </c>
      <c r="D104" t="s">
        <v>175</v>
      </c>
      <c r="E104" t="s">
        <v>193</v>
      </c>
      <c r="F104" t="s">
        <v>257</v>
      </c>
      <c r="G104" t="s">
        <v>175</v>
      </c>
      <c r="H104" t="s">
        <v>175</v>
      </c>
      <c r="I104" t="s">
        <v>175</v>
      </c>
      <c r="J104" t="s">
        <v>175</v>
      </c>
      <c r="K104" t="s">
        <v>175</v>
      </c>
      <c r="L104" t="s">
        <v>175</v>
      </c>
      <c r="M104" t="s">
        <v>175</v>
      </c>
      <c r="N104" t="s">
        <v>175</v>
      </c>
      <c r="O104" t="s">
        <v>175</v>
      </c>
      <c r="P104" t="s">
        <v>175</v>
      </c>
      <c r="Q104" t="s">
        <v>175</v>
      </c>
      <c r="R104" t="s">
        <v>175</v>
      </c>
      <c r="S104" t="s">
        <v>175</v>
      </c>
      <c r="T104" t="s">
        <v>175</v>
      </c>
      <c r="U104" t="s">
        <v>175</v>
      </c>
      <c r="V104" t="s">
        <v>175</v>
      </c>
      <c r="W104" t="s">
        <v>175</v>
      </c>
      <c r="X104" t="s">
        <v>175</v>
      </c>
      <c r="Y104" t="s">
        <v>175</v>
      </c>
      <c r="Z104" t="s">
        <v>175</v>
      </c>
    </row>
    <row r="105">
      <c r="A105" t="s">
        <v>175</v>
      </c>
      <c r="B105" t="s">
        <v>175</v>
      </c>
      <c r="C105" t="s">
        <v>192</v>
      </c>
      <c r="D105" t="s">
        <v>214</v>
      </c>
      <c r="E105" t="s">
        <v>175</v>
      </c>
      <c r="F105" t="s">
        <v>175</v>
      </c>
      <c r="G105" t="s">
        <v>175</v>
      </c>
      <c r="H105" t="s">
        <v>175</v>
      </c>
      <c r="I105" t="s">
        <v>175</v>
      </c>
      <c r="J105" t="s">
        <v>175</v>
      </c>
      <c r="K105" t="s">
        <v>175</v>
      </c>
      <c r="L105" t="s">
        <v>175</v>
      </c>
      <c r="M105" t="s">
        <v>175</v>
      </c>
      <c r="N105" t="s">
        <v>175</v>
      </c>
      <c r="O105" t="s">
        <v>175</v>
      </c>
      <c r="P105" t="s">
        <v>175</v>
      </c>
      <c r="Q105" t="s">
        <v>175</v>
      </c>
      <c r="R105" t="s">
        <v>175</v>
      </c>
      <c r="S105" t="s">
        <v>175</v>
      </c>
      <c r="T105" t="s">
        <v>175</v>
      </c>
      <c r="U105" t="s">
        <v>175</v>
      </c>
      <c r="V105" t="s">
        <v>175</v>
      </c>
      <c r="W105" t="s">
        <v>175</v>
      </c>
      <c r="X105" t="s">
        <v>175</v>
      </c>
      <c r="Y105" t="s">
        <v>175</v>
      </c>
      <c r="Z105" t="s">
        <v>175</v>
      </c>
    </row>
    <row r="106">
      <c r="A106" t="s">
        <v>190</v>
      </c>
      <c r="B106" t="s">
        <v>176</v>
      </c>
      <c r="C106" t="s">
        <v>175</v>
      </c>
      <c r="D106" t="s">
        <v>175</v>
      </c>
      <c r="E106" t="s">
        <v>175</v>
      </c>
      <c r="F106" t="s">
        <v>175</v>
      </c>
      <c r="G106" t="s">
        <v>175</v>
      </c>
      <c r="H106" t="s">
        <v>175</v>
      </c>
      <c r="I106" t="s">
        <v>175</v>
      </c>
      <c r="J106" t="s">
        <v>175</v>
      </c>
      <c r="K106" t="s">
        <v>175</v>
      </c>
      <c r="L106" t="s">
        <v>175</v>
      </c>
      <c r="M106" t="s">
        <v>175</v>
      </c>
      <c r="N106" t="s">
        <v>175</v>
      </c>
      <c r="O106" t="s">
        <v>175</v>
      </c>
      <c r="P106" t="s">
        <v>175</v>
      </c>
      <c r="Q106" t="s">
        <v>175</v>
      </c>
      <c r="R106" t="s">
        <v>175</v>
      </c>
      <c r="S106" t="s">
        <v>175</v>
      </c>
      <c r="T106" t="s">
        <v>175</v>
      </c>
      <c r="U106" t="s">
        <v>175</v>
      </c>
      <c r="V106" t="s">
        <v>175</v>
      </c>
      <c r="W106" t="s">
        <v>175</v>
      </c>
      <c r="X106" t="s">
        <v>175</v>
      </c>
      <c r="Y106" t="s">
        <v>175</v>
      </c>
      <c r="Z106" t="s">
        <v>175</v>
      </c>
    </row>
    <row r="107">
      <c r="A107" t="s">
        <v>193</v>
      </c>
      <c r="B107" t="s">
        <v>170</v>
      </c>
      <c r="C107" t="s">
        <v>175</v>
      </c>
      <c r="D107" t="s">
        <v>175</v>
      </c>
      <c r="E107" t="s">
        <v>175</v>
      </c>
      <c r="F107" t="s">
        <v>175</v>
      </c>
      <c r="G107" t="s">
        <v>175</v>
      </c>
      <c r="H107" t="s">
        <v>175</v>
      </c>
      <c r="I107" t="s">
        <v>175</v>
      </c>
      <c r="J107" t="s">
        <v>175</v>
      </c>
      <c r="K107" t="s">
        <v>175</v>
      </c>
      <c r="L107" t="s">
        <v>175</v>
      </c>
      <c r="M107" t="s">
        <v>175</v>
      </c>
      <c r="N107" t="s">
        <v>175</v>
      </c>
      <c r="O107" t="s">
        <v>175</v>
      </c>
      <c r="P107" t="s">
        <v>175</v>
      </c>
      <c r="Q107" t="s">
        <v>175</v>
      </c>
      <c r="R107" t="s">
        <v>175</v>
      </c>
      <c r="S107" t="s">
        <v>175</v>
      </c>
      <c r="T107" t="s">
        <v>175</v>
      </c>
      <c r="U107" t="s">
        <v>175</v>
      </c>
      <c r="V107" t="s">
        <v>175</v>
      </c>
      <c r="W107" t="s">
        <v>175</v>
      </c>
      <c r="X107" t="s">
        <v>175</v>
      </c>
      <c r="Y107" t="s">
        <v>175</v>
      </c>
      <c r="Z107" t="s">
        <v>175</v>
      </c>
    </row>
    <row r="108">
      <c r="A108" t="s">
        <v>175</v>
      </c>
      <c r="B108" t="s">
        <v>175</v>
      </c>
      <c r="C108" t="s">
        <v>187</v>
      </c>
      <c r="D108" t="s">
        <v>217</v>
      </c>
      <c r="E108" t="s">
        <v>175</v>
      </c>
      <c r="F108" t="s">
        <v>175</v>
      </c>
      <c r="G108" t="s">
        <v>175</v>
      </c>
      <c r="H108" t="s">
        <v>175</v>
      </c>
      <c r="I108" t="s">
        <v>175</v>
      </c>
      <c r="J108" t="s">
        <v>175</v>
      </c>
      <c r="K108" t="s">
        <v>175</v>
      </c>
      <c r="L108" t="s">
        <v>175</v>
      </c>
      <c r="M108" t="s">
        <v>175</v>
      </c>
      <c r="N108" t="s">
        <v>175</v>
      </c>
      <c r="O108" t="s">
        <v>175</v>
      </c>
      <c r="P108" t="s">
        <v>175</v>
      </c>
      <c r="Q108" t="s">
        <v>175</v>
      </c>
      <c r="R108" t="s">
        <v>175</v>
      </c>
      <c r="S108" t="s">
        <v>175</v>
      </c>
      <c r="T108" t="s">
        <v>175</v>
      </c>
      <c r="U108" t="s">
        <v>175</v>
      </c>
      <c r="V108" t="s">
        <v>175</v>
      </c>
      <c r="W108" t="s">
        <v>175</v>
      </c>
      <c r="X108" t="s">
        <v>175</v>
      </c>
      <c r="Y108" t="s">
        <v>175</v>
      </c>
      <c r="Z108" t="s">
        <v>175</v>
      </c>
    </row>
    <row r="109">
      <c r="A109" t="s">
        <v>175</v>
      </c>
      <c r="B109" t="s">
        <v>175</v>
      </c>
      <c r="C109" t="s">
        <v>175</v>
      </c>
      <c r="D109" t="s">
        <v>175</v>
      </c>
      <c r="E109" t="s">
        <v>192</v>
      </c>
      <c r="F109" t="s">
        <v>269</v>
      </c>
      <c r="G109" t="s">
        <v>175</v>
      </c>
      <c r="H109" t="s">
        <v>175</v>
      </c>
      <c r="I109" t="s">
        <v>175</v>
      </c>
      <c r="J109" t="s">
        <v>175</v>
      </c>
      <c r="K109" t="s">
        <v>175</v>
      </c>
      <c r="L109" t="s">
        <v>175</v>
      </c>
      <c r="M109" t="s">
        <v>175</v>
      </c>
      <c r="N109" t="s">
        <v>175</v>
      </c>
      <c r="O109" t="s">
        <v>175</v>
      </c>
      <c r="P109" t="s">
        <v>175</v>
      </c>
      <c r="Q109" t="s">
        <v>175</v>
      </c>
      <c r="R109" t="s">
        <v>175</v>
      </c>
      <c r="S109" t="s">
        <v>175</v>
      </c>
      <c r="T109" t="s">
        <v>175</v>
      </c>
      <c r="U109" t="s">
        <v>175</v>
      </c>
      <c r="V109" t="s">
        <v>175</v>
      </c>
      <c r="W109" t="s">
        <v>175</v>
      </c>
      <c r="X109" t="s">
        <v>175</v>
      </c>
      <c r="Y109" t="s">
        <v>175</v>
      </c>
      <c r="Z109" t="s">
        <v>175</v>
      </c>
    </row>
    <row r="110">
      <c r="A110" t="s">
        <v>175</v>
      </c>
      <c r="B110" t="s">
        <v>175</v>
      </c>
      <c r="C110" t="s">
        <v>175</v>
      </c>
      <c r="D110" t="s">
        <v>175</v>
      </c>
      <c r="E110" t="s">
        <v>175</v>
      </c>
      <c r="F110" t="s">
        <v>175</v>
      </c>
      <c r="G110" t="s">
        <v>189</v>
      </c>
      <c r="H110" t="s">
        <v>275</v>
      </c>
      <c r="I110" t="s">
        <v>175</v>
      </c>
      <c r="J110" t="s">
        <v>175</v>
      </c>
      <c r="K110" t="s">
        <v>175</v>
      </c>
      <c r="L110" t="s">
        <v>175</v>
      </c>
      <c r="M110" t="s">
        <v>175</v>
      </c>
      <c r="N110" t="s">
        <v>175</v>
      </c>
      <c r="O110" t="s">
        <v>175</v>
      </c>
      <c r="P110" t="s">
        <v>175</v>
      </c>
      <c r="Q110" t="s">
        <v>175</v>
      </c>
      <c r="R110" t="s">
        <v>175</v>
      </c>
      <c r="S110" t="s">
        <v>175</v>
      </c>
      <c r="T110" t="s">
        <v>175</v>
      </c>
      <c r="U110" t="s">
        <v>175</v>
      </c>
      <c r="V110" t="s">
        <v>175</v>
      </c>
      <c r="W110" t="s">
        <v>175</v>
      </c>
      <c r="X110" t="s">
        <v>175</v>
      </c>
      <c r="Y110" t="s">
        <v>175</v>
      </c>
      <c r="Z110" t="s">
        <v>175</v>
      </c>
    </row>
    <row r="111">
      <c r="A111" t="s">
        <v>175</v>
      </c>
      <c r="B111" t="s">
        <v>175</v>
      </c>
      <c r="C111" t="s">
        <v>175</v>
      </c>
      <c r="D111" t="s">
        <v>175</v>
      </c>
      <c r="E111" t="s">
        <v>175</v>
      </c>
      <c r="F111" t="s">
        <v>175</v>
      </c>
      <c r="G111" t="s">
        <v>175</v>
      </c>
      <c r="H111" t="s">
        <v>175</v>
      </c>
      <c r="I111" t="s">
        <v>191</v>
      </c>
      <c r="J111" t="s">
        <v>311</v>
      </c>
      <c r="K111" t="s">
        <v>175</v>
      </c>
      <c r="L111" t="s">
        <v>175</v>
      </c>
      <c r="M111" t="s">
        <v>175</v>
      </c>
      <c r="N111" t="s">
        <v>175</v>
      </c>
      <c r="O111" t="s">
        <v>175</v>
      </c>
      <c r="P111" t="s">
        <v>175</v>
      </c>
      <c r="Q111" t="s">
        <v>175</v>
      </c>
      <c r="R111" t="s">
        <v>175</v>
      </c>
      <c r="S111" t="s">
        <v>175</v>
      </c>
      <c r="T111" t="s">
        <v>175</v>
      </c>
      <c r="U111" t="s">
        <v>175</v>
      </c>
      <c r="V111" t="s">
        <v>175</v>
      </c>
      <c r="W111" t="s">
        <v>175</v>
      </c>
      <c r="X111" t="s">
        <v>175</v>
      </c>
      <c r="Y111" t="s">
        <v>175</v>
      </c>
      <c r="Z111" t="s">
        <v>175</v>
      </c>
    </row>
    <row r="112">
      <c r="A112" t="s">
        <v>175</v>
      </c>
      <c r="B112" t="s">
        <v>175</v>
      </c>
      <c r="C112" t="s">
        <v>175</v>
      </c>
      <c r="D112" t="s">
        <v>175</v>
      </c>
      <c r="E112" t="s">
        <v>175</v>
      </c>
      <c r="F112" t="s">
        <v>175</v>
      </c>
      <c r="G112" t="s">
        <v>175</v>
      </c>
      <c r="H112" t="s">
        <v>175</v>
      </c>
      <c r="I112" t="s">
        <v>175</v>
      </c>
      <c r="J112" t="s">
        <v>175</v>
      </c>
      <c r="K112" t="s">
        <v>191</v>
      </c>
      <c r="L112" t="s">
        <v>386</v>
      </c>
      <c r="M112" t="s">
        <v>175</v>
      </c>
      <c r="N112" t="s">
        <v>175</v>
      </c>
      <c r="O112" t="s">
        <v>175</v>
      </c>
      <c r="P112" t="s">
        <v>175</v>
      </c>
      <c r="Q112" t="s">
        <v>175</v>
      </c>
      <c r="R112" t="s">
        <v>175</v>
      </c>
      <c r="S112" t="s">
        <v>175</v>
      </c>
      <c r="T112" t="s">
        <v>175</v>
      </c>
      <c r="U112" t="s">
        <v>175</v>
      </c>
      <c r="V112" t="s">
        <v>175</v>
      </c>
      <c r="W112" t="s">
        <v>175</v>
      </c>
      <c r="X112" t="s">
        <v>175</v>
      </c>
      <c r="Y112" t="s">
        <v>175</v>
      </c>
      <c r="Z112" t="s">
        <v>175</v>
      </c>
    </row>
    <row r="113">
      <c r="A113" t="s">
        <v>175</v>
      </c>
      <c r="B113" t="s">
        <v>175</v>
      </c>
      <c r="C113" t="s">
        <v>175</v>
      </c>
      <c r="D113" t="s">
        <v>175</v>
      </c>
      <c r="E113" t="s">
        <v>175</v>
      </c>
      <c r="F113" t="s">
        <v>175</v>
      </c>
      <c r="G113" t="s">
        <v>175</v>
      </c>
      <c r="H113" t="s">
        <v>175</v>
      </c>
      <c r="I113" t="s">
        <v>175</v>
      </c>
      <c r="J113" t="s">
        <v>175</v>
      </c>
      <c r="K113" t="s">
        <v>175</v>
      </c>
      <c r="L113" t="s">
        <v>175</v>
      </c>
      <c r="M113" t="s">
        <v>192</v>
      </c>
      <c r="N113" t="s">
        <v>360</v>
      </c>
      <c r="O113" t="s">
        <v>175</v>
      </c>
      <c r="P113" t="s">
        <v>175</v>
      </c>
      <c r="Q113" t="s">
        <v>175</v>
      </c>
      <c r="R113" t="s">
        <v>175</v>
      </c>
      <c r="S113" t="s">
        <v>175</v>
      </c>
      <c r="T113" t="s">
        <v>175</v>
      </c>
      <c r="U113" t="s">
        <v>175</v>
      </c>
      <c r="V113" t="s">
        <v>175</v>
      </c>
      <c r="W113" t="s">
        <v>175</v>
      </c>
      <c r="X113" t="s">
        <v>175</v>
      </c>
      <c r="Y113" t="s">
        <v>175</v>
      </c>
      <c r="Z113" t="s">
        <v>175</v>
      </c>
    </row>
    <row r="114">
      <c r="A114" t="s">
        <v>175</v>
      </c>
      <c r="B114" t="s">
        <v>175</v>
      </c>
      <c r="C114" t="s">
        <v>175</v>
      </c>
      <c r="D114" t="s">
        <v>175</v>
      </c>
      <c r="E114" t="s">
        <v>175</v>
      </c>
      <c r="F114" t="s">
        <v>175</v>
      </c>
      <c r="G114" t="s">
        <v>175</v>
      </c>
      <c r="H114" t="s">
        <v>175</v>
      </c>
      <c r="I114" t="s">
        <v>175</v>
      </c>
      <c r="J114" t="s">
        <v>175</v>
      </c>
      <c r="K114" t="s">
        <v>175</v>
      </c>
      <c r="L114" t="s">
        <v>175</v>
      </c>
      <c r="M114" t="s">
        <v>175</v>
      </c>
      <c r="N114" t="s">
        <v>175</v>
      </c>
      <c r="O114" t="s">
        <v>188</v>
      </c>
      <c r="P114" t="s">
        <v>321</v>
      </c>
      <c r="Q114" t="s">
        <v>175</v>
      </c>
      <c r="R114" t="s">
        <v>175</v>
      </c>
      <c r="S114" t="s">
        <v>175</v>
      </c>
      <c r="T114" t="s">
        <v>175</v>
      </c>
      <c r="U114" t="s">
        <v>175</v>
      </c>
      <c r="V114" t="s">
        <v>175</v>
      </c>
      <c r="W114" t="s">
        <v>175</v>
      </c>
      <c r="X114" t="s">
        <v>175</v>
      </c>
      <c r="Y114" t="s">
        <v>175</v>
      </c>
      <c r="Z114" t="s">
        <v>175</v>
      </c>
    </row>
    <row r="115">
      <c r="A115" t="s">
        <v>175</v>
      </c>
      <c r="B115" t="s">
        <v>175</v>
      </c>
      <c r="C115" t="s">
        <v>175</v>
      </c>
      <c r="D115" t="s">
        <v>175</v>
      </c>
      <c r="E115" t="s">
        <v>175</v>
      </c>
      <c r="F115" t="s">
        <v>175</v>
      </c>
      <c r="G115" t="s">
        <v>175</v>
      </c>
      <c r="H115" t="s">
        <v>175</v>
      </c>
      <c r="I115" t="s">
        <v>175</v>
      </c>
      <c r="J115" t="s">
        <v>175</v>
      </c>
      <c r="K115" t="s">
        <v>175</v>
      </c>
      <c r="L115" t="s">
        <v>175</v>
      </c>
      <c r="M115" t="s">
        <v>175</v>
      </c>
      <c r="N115" t="s">
        <v>175</v>
      </c>
      <c r="O115" t="s">
        <v>175</v>
      </c>
      <c r="P115" t="s">
        <v>175</v>
      </c>
      <c r="Q115" t="s">
        <v>192</v>
      </c>
      <c r="R115" t="s">
        <v>337</v>
      </c>
      <c r="S115" t="s">
        <v>175</v>
      </c>
      <c r="T115" t="s">
        <v>175</v>
      </c>
      <c r="U115" t="s">
        <v>175</v>
      </c>
      <c r="V115" t="s">
        <v>175</v>
      </c>
      <c r="W115" t="s">
        <v>175</v>
      </c>
      <c r="X115" t="s">
        <v>175</v>
      </c>
      <c r="Y115" t="s">
        <v>175</v>
      </c>
      <c r="Z115" t="s">
        <v>175</v>
      </c>
    </row>
    <row r="116">
      <c r="A116" t="s">
        <v>175</v>
      </c>
      <c r="B116" t="s">
        <v>175</v>
      </c>
      <c r="C116" t="s">
        <v>175</v>
      </c>
      <c r="D116" t="s">
        <v>175</v>
      </c>
      <c r="E116" t="s">
        <v>175</v>
      </c>
      <c r="F116" t="s">
        <v>175</v>
      </c>
      <c r="G116" t="s">
        <v>175</v>
      </c>
      <c r="H116" t="s">
        <v>175</v>
      </c>
      <c r="I116" t="s">
        <v>175</v>
      </c>
      <c r="J116" t="s">
        <v>175</v>
      </c>
      <c r="K116" t="s">
        <v>175</v>
      </c>
      <c r="L116" t="s">
        <v>175</v>
      </c>
      <c r="M116" t="s">
        <v>175</v>
      </c>
      <c r="N116" t="s">
        <v>175</v>
      </c>
      <c r="O116" t="s">
        <v>175</v>
      </c>
      <c r="P116" t="s">
        <v>175</v>
      </c>
      <c r="Q116" t="s">
        <v>175</v>
      </c>
      <c r="R116" t="s">
        <v>175</v>
      </c>
      <c r="S116" t="s">
        <v>189</v>
      </c>
      <c r="T116" t="s">
        <v>355</v>
      </c>
      <c r="U116" t="s">
        <v>175</v>
      </c>
      <c r="V116" t="s">
        <v>175</v>
      </c>
      <c r="W116" t="s">
        <v>175</v>
      </c>
      <c r="X116" t="s">
        <v>175</v>
      </c>
      <c r="Y116" t="s">
        <v>175</v>
      </c>
      <c r="Z116" t="s">
        <v>175</v>
      </c>
    </row>
    <row r="117">
      <c r="A117" t="s">
        <v>175</v>
      </c>
      <c r="B117" t="s">
        <v>175</v>
      </c>
      <c r="C117" t="s">
        <v>175</v>
      </c>
      <c r="D117" t="s">
        <v>175</v>
      </c>
      <c r="E117" t="s">
        <v>175</v>
      </c>
      <c r="F117" t="s">
        <v>175</v>
      </c>
      <c r="G117" t="s">
        <v>175</v>
      </c>
      <c r="H117" t="s">
        <v>175</v>
      </c>
      <c r="I117" t="s">
        <v>175</v>
      </c>
      <c r="J117" t="s">
        <v>175</v>
      </c>
      <c r="K117" t="s">
        <v>175</v>
      </c>
      <c r="L117" t="s">
        <v>175</v>
      </c>
      <c r="M117" t="s">
        <v>175</v>
      </c>
      <c r="N117" t="s">
        <v>175</v>
      </c>
      <c r="O117" t="s">
        <v>175</v>
      </c>
      <c r="P117" t="s">
        <v>175</v>
      </c>
      <c r="Q117" t="s">
        <v>175</v>
      </c>
      <c r="R117" t="s">
        <v>175</v>
      </c>
      <c r="S117" t="s">
        <v>175</v>
      </c>
      <c r="T117" t="s">
        <v>175</v>
      </c>
      <c r="U117" t="s">
        <v>190</v>
      </c>
      <c r="V117" t="s">
        <v>335</v>
      </c>
      <c r="W117" t="s">
        <v>175</v>
      </c>
      <c r="X117" t="s">
        <v>175</v>
      </c>
      <c r="Y117" t="s">
        <v>175</v>
      </c>
      <c r="Z117" t="s">
        <v>175</v>
      </c>
    </row>
    <row r="118">
      <c r="A118" t="s">
        <v>175</v>
      </c>
      <c r="B118" t="s">
        <v>175</v>
      </c>
      <c r="C118" t="s">
        <v>175</v>
      </c>
      <c r="D118" t="s">
        <v>175</v>
      </c>
      <c r="E118" t="s">
        <v>175</v>
      </c>
      <c r="F118" t="s">
        <v>175</v>
      </c>
      <c r="G118" t="s">
        <v>175</v>
      </c>
      <c r="H118" t="s">
        <v>175</v>
      </c>
      <c r="I118" t="s">
        <v>175</v>
      </c>
      <c r="J118" t="s">
        <v>175</v>
      </c>
      <c r="K118" t="s">
        <v>175</v>
      </c>
      <c r="L118" t="s">
        <v>175</v>
      </c>
      <c r="M118" t="s">
        <v>175</v>
      </c>
      <c r="N118" t="s">
        <v>175</v>
      </c>
      <c r="O118" t="s">
        <v>175</v>
      </c>
      <c r="P118" t="s">
        <v>175</v>
      </c>
      <c r="Q118" t="s">
        <v>175</v>
      </c>
      <c r="R118" t="s">
        <v>175</v>
      </c>
      <c r="S118" t="s">
        <v>175</v>
      </c>
      <c r="T118" t="s">
        <v>175</v>
      </c>
      <c r="U118" t="s">
        <v>175</v>
      </c>
      <c r="V118" t="s">
        <v>175</v>
      </c>
      <c r="W118" t="s">
        <v>191</v>
      </c>
      <c r="X118" t="s">
        <v>322</v>
      </c>
      <c r="Y118" t="s">
        <v>175</v>
      </c>
      <c r="Z118" t="s">
        <v>175</v>
      </c>
    </row>
    <row r="119">
      <c r="A119" t="s">
        <v>175</v>
      </c>
      <c r="B119" t="s">
        <v>175</v>
      </c>
      <c r="C119" t="s">
        <v>175</v>
      </c>
      <c r="D119" t="s">
        <v>175</v>
      </c>
      <c r="E119" t="s">
        <v>175</v>
      </c>
      <c r="F119" t="s">
        <v>175</v>
      </c>
      <c r="G119" t="s">
        <v>175</v>
      </c>
      <c r="H119" t="s">
        <v>175</v>
      </c>
      <c r="I119" t="s">
        <v>175</v>
      </c>
      <c r="J119" t="s">
        <v>175</v>
      </c>
      <c r="K119" t="s">
        <v>175</v>
      </c>
      <c r="L119" t="s">
        <v>175</v>
      </c>
      <c r="M119" t="s">
        <v>175</v>
      </c>
      <c r="N119" t="s">
        <v>175</v>
      </c>
      <c r="O119" t="s">
        <v>175</v>
      </c>
      <c r="P119" t="s">
        <v>175</v>
      </c>
      <c r="Q119" t="s">
        <v>175</v>
      </c>
      <c r="R119" t="s">
        <v>175</v>
      </c>
      <c r="S119" t="s">
        <v>175</v>
      </c>
      <c r="T119" t="s">
        <v>175</v>
      </c>
      <c r="U119" t="s">
        <v>175</v>
      </c>
      <c r="V119" t="s">
        <v>175</v>
      </c>
      <c r="W119" t="s">
        <v>175</v>
      </c>
      <c r="X119" t="s">
        <v>175</v>
      </c>
      <c r="Y119" t="s">
        <v>188</v>
      </c>
      <c r="Z119" t="s">
        <v>368</v>
      </c>
    </row>
    <row r="120">
      <c r="A120" t="s">
        <v>175</v>
      </c>
      <c r="B120" t="s">
        <v>175</v>
      </c>
      <c r="C120" t="s">
        <v>175</v>
      </c>
      <c r="D120" t="s">
        <v>175</v>
      </c>
      <c r="E120" t="s">
        <v>175</v>
      </c>
      <c r="F120" t="s">
        <v>175</v>
      </c>
      <c r="G120" t="s">
        <v>175</v>
      </c>
      <c r="H120" t="s">
        <v>175</v>
      </c>
      <c r="I120" t="s">
        <v>175</v>
      </c>
      <c r="J120" t="s">
        <v>175</v>
      </c>
      <c r="K120" t="s">
        <v>175</v>
      </c>
      <c r="L120" t="s">
        <v>175</v>
      </c>
      <c r="M120" t="s">
        <v>175</v>
      </c>
      <c r="N120" t="s">
        <v>175</v>
      </c>
      <c r="O120" t="s">
        <v>175</v>
      </c>
      <c r="P120" t="s">
        <v>175</v>
      </c>
      <c r="Q120" t="s">
        <v>175</v>
      </c>
      <c r="R120" t="s">
        <v>175</v>
      </c>
      <c r="S120" t="s">
        <v>175</v>
      </c>
      <c r="T120" t="s">
        <v>175</v>
      </c>
      <c r="U120" t="s">
        <v>175</v>
      </c>
      <c r="V120" t="s">
        <v>175</v>
      </c>
      <c r="W120" t="s">
        <v>175</v>
      </c>
      <c r="X120" t="s">
        <v>175</v>
      </c>
      <c r="Y120" t="s">
        <v>192</v>
      </c>
      <c r="Z120" t="s">
        <v>379</v>
      </c>
    </row>
    <row r="121">
      <c r="A121" t="s">
        <v>175</v>
      </c>
      <c r="B121" t="s">
        <v>175</v>
      </c>
      <c r="C121" t="s">
        <v>175</v>
      </c>
      <c r="D121" t="s">
        <v>175</v>
      </c>
      <c r="E121" t="s">
        <v>175</v>
      </c>
      <c r="F121" t="s">
        <v>175</v>
      </c>
      <c r="G121" t="s">
        <v>175</v>
      </c>
      <c r="H121" t="s">
        <v>175</v>
      </c>
      <c r="I121" t="s">
        <v>175</v>
      </c>
      <c r="J121" t="s">
        <v>175</v>
      </c>
      <c r="K121" t="s">
        <v>175</v>
      </c>
      <c r="L121" t="s">
        <v>175</v>
      </c>
      <c r="M121" t="s">
        <v>175</v>
      </c>
      <c r="N121" t="s">
        <v>175</v>
      </c>
      <c r="O121" t="s">
        <v>175</v>
      </c>
      <c r="P121" t="s">
        <v>175</v>
      </c>
      <c r="Q121" t="s">
        <v>175</v>
      </c>
      <c r="R121" t="s">
        <v>175</v>
      </c>
      <c r="S121" t="s">
        <v>175</v>
      </c>
      <c r="T121" t="s">
        <v>175</v>
      </c>
      <c r="U121" t="s">
        <v>175</v>
      </c>
      <c r="V121" t="s">
        <v>175</v>
      </c>
      <c r="W121" t="s">
        <v>389</v>
      </c>
      <c r="X121" t="s">
        <v>362</v>
      </c>
      <c r="Y121" t="s">
        <v>175</v>
      </c>
      <c r="Z121" t="s">
        <v>175</v>
      </c>
    </row>
    <row r="122">
      <c r="A122" t="s">
        <v>175</v>
      </c>
      <c r="B122" t="s">
        <v>175</v>
      </c>
      <c r="C122" t="s">
        <v>175</v>
      </c>
      <c r="D122" t="s">
        <v>175</v>
      </c>
      <c r="E122" t="s">
        <v>175</v>
      </c>
      <c r="F122" t="s">
        <v>175</v>
      </c>
      <c r="G122" t="s">
        <v>175</v>
      </c>
      <c r="H122" t="s">
        <v>175</v>
      </c>
      <c r="I122" t="s">
        <v>175</v>
      </c>
      <c r="J122" t="s">
        <v>175</v>
      </c>
      <c r="K122" t="s">
        <v>175</v>
      </c>
      <c r="L122" t="s">
        <v>175</v>
      </c>
      <c r="M122" t="s">
        <v>175</v>
      </c>
      <c r="N122" t="s">
        <v>175</v>
      </c>
      <c r="O122" t="s">
        <v>175</v>
      </c>
      <c r="P122" t="s">
        <v>175</v>
      </c>
      <c r="Q122" t="s">
        <v>175</v>
      </c>
      <c r="R122" t="s">
        <v>175</v>
      </c>
      <c r="S122" t="s">
        <v>175</v>
      </c>
      <c r="T122" t="s">
        <v>175</v>
      </c>
      <c r="U122" t="s">
        <v>189</v>
      </c>
      <c r="V122" t="s">
        <v>401</v>
      </c>
      <c r="W122" t="s">
        <v>175</v>
      </c>
      <c r="X122" t="s">
        <v>175</v>
      </c>
      <c r="Y122" t="s">
        <v>175</v>
      </c>
      <c r="Z122" t="s">
        <v>175</v>
      </c>
    </row>
    <row r="123">
      <c r="A123" t="s">
        <v>175</v>
      </c>
      <c r="B123" t="s">
        <v>175</v>
      </c>
      <c r="C123" t="s">
        <v>175</v>
      </c>
      <c r="D123" t="s">
        <v>175</v>
      </c>
      <c r="E123" t="s">
        <v>175</v>
      </c>
      <c r="F123" t="s">
        <v>175</v>
      </c>
      <c r="G123" t="s">
        <v>175</v>
      </c>
      <c r="H123" t="s">
        <v>175</v>
      </c>
      <c r="I123" t="s">
        <v>175</v>
      </c>
      <c r="J123" t="s">
        <v>175</v>
      </c>
      <c r="K123" t="s">
        <v>175</v>
      </c>
      <c r="L123" t="s">
        <v>175</v>
      </c>
      <c r="M123" t="s">
        <v>175</v>
      </c>
      <c r="N123" t="s">
        <v>175</v>
      </c>
      <c r="O123" t="s">
        <v>175</v>
      </c>
      <c r="P123" t="s">
        <v>175</v>
      </c>
      <c r="Q123" t="s">
        <v>175</v>
      </c>
      <c r="R123" t="s">
        <v>175</v>
      </c>
      <c r="S123" t="s">
        <v>186</v>
      </c>
      <c r="T123" t="s">
        <v>348</v>
      </c>
      <c r="U123" t="s">
        <v>175</v>
      </c>
      <c r="V123" t="s">
        <v>175</v>
      </c>
      <c r="W123" t="s">
        <v>175</v>
      </c>
      <c r="X123" t="s">
        <v>175</v>
      </c>
      <c r="Y123" t="s">
        <v>175</v>
      </c>
      <c r="Z123" t="s">
        <v>175</v>
      </c>
    </row>
    <row r="124">
      <c r="A124" t="s">
        <v>175</v>
      </c>
      <c r="B124" t="s">
        <v>175</v>
      </c>
      <c r="C124" t="s">
        <v>175</v>
      </c>
      <c r="D124" t="s">
        <v>175</v>
      </c>
      <c r="E124" t="s">
        <v>175</v>
      </c>
      <c r="F124" t="s">
        <v>175</v>
      </c>
      <c r="G124" t="s">
        <v>175</v>
      </c>
      <c r="H124" t="s">
        <v>175</v>
      </c>
      <c r="I124" t="s">
        <v>175</v>
      </c>
      <c r="J124" t="s">
        <v>175</v>
      </c>
      <c r="K124" t="s">
        <v>175</v>
      </c>
      <c r="L124" t="s">
        <v>175</v>
      </c>
      <c r="M124" t="s">
        <v>175</v>
      </c>
      <c r="N124" t="s">
        <v>175</v>
      </c>
      <c r="O124" t="s">
        <v>175</v>
      </c>
      <c r="P124" t="s">
        <v>175</v>
      </c>
      <c r="Q124" t="s">
        <v>188</v>
      </c>
      <c r="R124" t="s">
        <v>327</v>
      </c>
      <c r="S124" t="s">
        <v>175</v>
      </c>
      <c r="T124" t="s">
        <v>175</v>
      </c>
      <c r="U124" t="s">
        <v>175</v>
      </c>
      <c r="V124" t="s">
        <v>175</v>
      </c>
      <c r="W124" t="s">
        <v>175</v>
      </c>
      <c r="X124" t="s">
        <v>175</v>
      </c>
      <c r="Y124" t="s">
        <v>175</v>
      </c>
      <c r="Z124" t="s">
        <v>175</v>
      </c>
    </row>
    <row r="125">
      <c r="A125" t="s">
        <v>175</v>
      </c>
      <c r="B125" t="s">
        <v>175</v>
      </c>
      <c r="C125" t="s">
        <v>175</v>
      </c>
      <c r="D125" t="s">
        <v>175</v>
      </c>
      <c r="E125" t="s">
        <v>175</v>
      </c>
      <c r="F125" t="s">
        <v>175</v>
      </c>
      <c r="G125" t="s">
        <v>175</v>
      </c>
      <c r="H125" t="s">
        <v>175</v>
      </c>
      <c r="I125" t="s">
        <v>175</v>
      </c>
      <c r="J125" t="s">
        <v>175</v>
      </c>
      <c r="K125" t="s">
        <v>175</v>
      </c>
      <c r="L125" t="s">
        <v>175</v>
      </c>
      <c r="M125" t="s">
        <v>175</v>
      </c>
      <c r="N125" t="s">
        <v>175</v>
      </c>
      <c r="O125" t="s">
        <v>191</v>
      </c>
      <c r="P125" t="s">
        <v>342</v>
      </c>
      <c r="Q125" t="s">
        <v>175</v>
      </c>
      <c r="R125" t="s">
        <v>175</v>
      </c>
      <c r="S125" t="s">
        <v>175</v>
      </c>
      <c r="T125" t="s">
        <v>175</v>
      </c>
      <c r="U125" t="s">
        <v>175</v>
      </c>
      <c r="V125" t="s">
        <v>175</v>
      </c>
      <c r="W125" t="s">
        <v>175</v>
      </c>
      <c r="X125" t="s">
        <v>175</v>
      </c>
      <c r="Y125" t="s">
        <v>175</v>
      </c>
      <c r="Z125" t="s">
        <v>175</v>
      </c>
    </row>
    <row r="126">
      <c r="A126" t="s">
        <v>175</v>
      </c>
      <c r="B126" t="s">
        <v>175</v>
      </c>
      <c r="C126" t="s">
        <v>175</v>
      </c>
      <c r="D126" t="s">
        <v>175</v>
      </c>
      <c r="E126" t="s">
        <v>175</v>
      </c>
      <c r="F126" t="s">
        <v>175</v>
      </c>
      <c r="G126" t="s">
        <v>175</v>
      </c>
      <c r="H126" t="s">
        <v>175</v>
      </c>
      <c r="I126" t="s">
        <v>175</v>
      </c>
      <c r="J126" t="s">
        <v>175</v>
      </c>
      <c r="K126" t="s">
        <v>175</v>
      </c>
      <c r="L126" t="s">
        <v>175</v>
      </c>
      <c r="M126" t="s">
        <v>129</v>
      </c>
      <c r="N126" t="s">
        <v>394</v>
      </c>
      <c r="O126" t="s">
        <v>175</v>
      </c>
      <c r="P126" t="s">
        <v>175</v>
      </c>
      <c r="Q126" t="s">
        <v>175</v>
      </c>
      <c r="R126" t="s">
        <v>175</v>
      </c>
      <c r="S126" t="s">
        <v>175</v>
      </c>
      <c r="T126" t="s">
        <v>175</v>
      </c>
      <c r="U126" t="s">
        <v>175</v>
      </c>
      <c r="V126" t="s">
        <v>175</v>
      </c>
      <c r="W126" t="s">
        <v>175</v>
      </c>
      <c r="X126" t="s">
        <v>175</v>
      </c>
      <c r="Y126" t="s">
        <v>175</v>
      </c>
      <c r="Z126" t="s">
        <v>175</v>
      </c>
    </row>
    <row r="127">
      <c r="A127" t="s">
        <v>175</v>
      </c>
      <c r="B127" t="s">
        <v>175</v>
      </c>
      <c r="C127" t="s">
        <v>175</v>
      </c>
      <c r="D127" t="s">
        <v>175</v>
      </c>
      <c r="E127" t="s">
        <v>175</v>
      </c>
      <c r="F127" t="s">
        <v>175</v>
      </c>
      <c r="G127" t="s">
        <v>175</v>
      </c>
      <c r="H127" t="s">
        <v>175</v>
      </c>
      <c r="I127" t="s">
        <v>175</v>
      </c>
      <c r="J127" t="s">
        <v>175</v>
      </c>
      <c r="K127" t="s">
        <v>190</v>
      </c>
      <c r="L127" t="s">
        <v>323</v>
      </c>
      <c r="M127" t="s">
        <v>175</v>
      </c>
      <c r="N127" t="s">
        <v>175</v>
      </c>
      <c r="O127" t="s">
        <v>175</v>
      </c>
      <c r="P127" t="s">
        <v>175</v>
      </c>
      <c r="Q127" t="s">
        <v>175</v>
      </c>
      <c r="R127" t="s">
        <v>175</v>
      </c>
      <c r="S127" t="s">
        <v>175</v>
      </c>
      <c r="T127" t="s">
        <v>175</v>
      </c>
      <c r="U127" t="s">
        <v>175</v>
      </c>
      <c r="V127" t="s">
        <v>175</v>
      </c>
      <c r="W127" t="s">
        <v>175</v>
      </c>
      <c r="X127" t="s">
        <v>175</v>
      </c>
      <c r="Y127" t="s">
        <v>175</v>
      </c>
      <c r="Z127" t="s">
        <v>175</v>
      </c>
    </row>
    <row r="128">
      <c r="A128" t="s">
        <v>175</v>
      </c>
      <c r="B128" t="s">
        <v>175</v>
      </c>
      <c r="C128" t="s">
        <v>175</v>
      </c>
      <c r="D128" t="s">
        <v>175</v>
      </c>
      <c r="E128" t="s">
        <v>175</v>
      </c>
      <c r="F128" t="s">
        <v>175</v>
      </c>
      <c r="G128" t="s">
        <v>175</v>
      </c>
      <c r="H128" t="s">
        <v>175</v>
      </c>
      <c r="I128" t="s">
        <v>187</v>
      </c>
      <c r="J128" t="s">
        <v>309</v>
      </c>
      <c r="K128" t="s">
        <v>175</v>
      </c>
      <c r="L128" t="s">
        <v>175</v>
      </c>
      <c r="M128" t="s">
        <v>175</v>
      </c>
      <c r="N128" t="s">
        <v>175</v>
      </c>
      <c r="O128" t="s">
        <v>175</v>
      </c>
      <c r="P128" t="s">
        <v>175</v>
      </c>
      <c r="Q128" t="s">
        <v>175</v>
      </c>
      <c r="R128" t="s">
        <v>175</v>
      </c>
      <c r="S128" t="s">
        <v>175</v>
      </c>
      <c r="T128" t="s">
        <v>175</v>
      </c>
      <c r="U128" t="s">
        <v>175</v>
      </c>
      <c r="V128" t="s">
        <v>175</v>
      </c>
      <c r="W128" t="s">
        <v>175</v>
      </c>
      <c r="X128" t="s">
        <v>175</v>
      </c>
      <c r="Y128" t="s">
        <v>175</v>
      </c>
      <c r="Z128" t="s">
        <v>175</v>
      </c>
    </row>
    <row r="129">
      <c r="A129" t="s">
        <v>175</v>
      </c>
      <c r="B129" t="s">
        <v>175</v>
      </c>
      <c r="C129" t="s">
        <v>175</v>
      </c>
      <c r="D129" t="s">
        <v>175</v>
      </c>
      <c r="E129" t="s">
        <v>175</v>
      </c>
      <c r="F129" t="s">
        <v>175</v>
      </c>
      <c r="G129" t="s">
        <v>389</v>
      </c>
      <c r="H129" t="s">
        <v>281</v>
      </c>
      <c r="I129" t="s">
        <v>175</v>
      </c>
      <c r="J129" t="s">
        <v>175</v>
      </c>
      <c r="K129" t="s">
        <v>175</v>
      </c>
      <c r="L129" t="s">
        <v>175</v>
      </c>
      <c r="M129" t="s">
        <v>175</v>
      </c>
      <c r="N129" t="s">
        <v>175</v>
      </c>
      <c r="O129" t="s">
        <v>175</v>
      </c>
      <c r="P129" t="s">
        <v>175</v>
      </c>
      <c r="Q129" t="s">
        <v>175</v>
      </c>
      <c r="R129" t="s">
        <v>175</v>
      </c>
      <c r="S129" t="s">
        <v>175</v>
      </c>
      <c r="T129" t="s">
        <v>175</v>
      </c>
      <c r="U129" t="s">
        <v>175</v>
      </c>
      <c r="V129" t="s">
        <v>175</v>
      </c>
      <c r="W129" t="s">
        <v>175</v>
      </c>
      <c r="X129" t="s">
        <v>175</v>
      </c>
      <c r="Y129" t="s">
        <v>175</v>
      </c>
      <c r="Z129" t="s">
        <v>175</v>
      </c>
    </row>
    <row r="130">
      <c r="A130" t="s">
        <v>175</v>
      </c>
      <c r="B130" t="s">
        <v>175</v>
      </c>
      <c r="C130" t="s">
        <v>175</v>
      </c>
      <c r="D130" t="s">
        <v>175</v>
      </c>
      <c r="E130" t="s">
        <v>129</v>
      </c>
      <c r="F130" t="s">
        <v>263</v>
      </c>
      <c r="G130" t="s">
        <v>175</v>
      </c>
      <c r="H130" t="s">
        <v>175</v>
      </c>
      <c r="I130" t="s">
        <v>175</v>
      </c>
      <c r="J130" t="s">
        <v>175</v>
      </c>
      <c r="K130" t="s">
        <v>175</v>
      </c>
      <c r="L130" t="s">
        <v>175</v>
      </c>
      <c r="M130" t="s">
        <v>175</v>
      </c>
      <c r="N130" t="s">
        <v>175</v>
      </c>
      <c r="O130" t="s">
        <v>175</v>
      </c>
      <c r="P130" t="s">
        <v>175</v>
      </c>
      <c r="Q130" t="s">
        <v>175</v>
      </c>
      <c r="R130" t="s">
        <v>175</v>
      </c>
      <c r="S130" t="s">
        <v>175</v>
      </c>
      <c r="T130" t="s">
        <v>175</v>
      </c>
      <c r="U130" t="s">
        <v>175</v>
      </c>
      <c r="V130" t="s">
        <v>175</v>
      </c>
      <c r="W130" t="s">
        <v>175</v>
      </c>
      <c r="X130" t="s">
        <v>175</v>
      </c>
      <c r="Y130" t="s">
        <v>175</v>
      </c>
      <c r="Z130" t="s">
        <v>175</v>
      </c>
    </row>
    <row r="131">
      <c r="A131" t="s">
        <v>175</v>
      </c>
      <c r="B131" t="s">
        <v>175</v>
      </c>
      <c r="C131" t="s">
        <v>193</v>
      </c>
      <c r="D131" t="s">
        <v>199</v>
      </c>
      <c r="E131" t="s">
        <v>175</v>
      </c>
      <c r="F131" t="s">
        <v>175</v>
      </c>
      <c r="G131" t="s">
        <v>175</v>
      </c>
      <c r="H131" t="s">
        <v>175</v>
      </c>
      <c r="I131" t="s">
        <v>175</v>
      </c>
      <c r="J131" t="s">
        <v>175</v>
      </c>
      <c r="K131" t="s">
        <v>175</v>
      </c>
      <c r="L131" t="s">
        <v>175</v>
      </c>
      <c r="M131" t="s">
        <v>175</v>
      </c>
      <c r="N131" t="s">
        <v>175</v>
      </c>
      <c r="O131" t="s">
        <v>175</v>
      </c>
      <c r="P131" t="s">
        <v>175</v>
      </c>
      <c r="Q131" t="s">
        <v>175</v>
      </c>
      <c r="R131" t="s">
        <v>175</v>
      </c>
      <c r="S131" t="s">
        <v>175</v>
      </c>
      <c r="T131" t="s">
        <v>175</v>
      </c>
      <c r="U131" t="s">
        <v>175</v>
      </c>
      <c r="V131" t="s">
        <v>175</v>
      </c>
      <c r="W131" t="s">
        <v>175</v>
      </c>
      <c r="X131" t="s">
        <v>175</v>
      </c>
      <c r="Y131" t="s">
        <v>175</v>
      </c>
      <c r="Z131" t="s">
        <v>175</v>
      </c>
    </row>
    <row r="132">
      <c r="A132" t="s">
        <v>192</v>
      </c>
      <c r="B132" t="s">
        <v>173</v>
      </c>
      <c r="C132" t="s">
        <v>175</v>
      </c>
      <c r="D132" t="s">
        <v>175</v>
      </c>
      <c r="E132" t="s">
        <v>175</v>
      </c>
      <c r="F132" t="s">
        <v>175</v>
      </c>
      <c r="G132" t="s">
        <v>175</v>
      </c>
      <c r="H132" t="s">
        <v>175</v>
      </c>
      <c r="I132" t="s">
        <v>175</v>
      </c>
      <c r="J132" t="s">
        <v>175</v>
      </c>
      <c r="K132" t="s">
        <v>175</v>
      </c>
      <c r="L132" t="s">
        <v>175</v>
      </c>
      <c r="M132" t="s">
        <v>175</v>
      </c>
      <c r="N132" t="s">
        <v>175</v>
      </c>
      <c r="O132" t="s">
        <v>175</v>
      </c>
      <c r="P132" t="s">
        <v>175</v>
      </c>
      <c r="Q132" t="s">
        <v>175</v>
      </c>
      <c r="R132" t="s">
        <v>175</v>
      </c>
      <c r="S132" t="s">
        <v>175</v>
      </c>
      <c r="T132" t="s">
        <v>175</v>
      </c>
      <c r="U132" t="s">
        <v>175</v>
      </c>
      <c r="V132" t="s">
        <v>175</v>
      </c>
      <c r="W132" t="s">
        <v>175</v>
      </c>
      <c r="X132" t="s">
        <v>175</v>
      </c>
      <c r="Y132" t="s">
        <v>175</v>
      </c>
      <c r="Z132" t="s">
        <v>175</v>
      </c>
    </row>
    <row r="133">
      <c r="A133" t="s">
        <v>175</v>
      </c>
      <c r="B133" t="s">
        <v>175</v>
      </c>
      <c r="C133" t="s">
        <v>175</v>
      </c>
      <c r="D133" t="s">
        <v>175</v>
      </c>
      <c r="E133" t="s">
        <v>175</v>
      </c>
      <c r="F133" t="s">
        <v>175</v>
      </c>
      <c r="G133" t="s">
        <v>175</v>
      </c>
      <c r="H133" t="s">
        <v>175</v>
      </c>
      <c r="I133" t="s">
        <v>175</v>
      </c>
      <c r="J133" t="s">
        <v>175</v>
      </c>
      <c r="K133" t="s">
        <v>175</v>
      </c>
      <c r="L133" t="s">
        <v>175</v>
      </c>
      <c r="M133" t="s">
        <v>175</v>
      </c>
      <c r="N133" t="s">
        <v>175</v>
      </c>
      <c r="O133" t="s">
        <v>175</v>
      </c>
      <c r="P133" t="s">
        <v>175</v>
      </c>
      <c r="Q133" t="s">
        <v>175</v>
      </c>
      <c r="R133" t="s">
        <v>175</v>
      </c>
      <c r="S133" t="s">
        <v>175</v>
      </c>
      <c r="T133" t="s">
        <v>175</v>
      </c>
      <c r="U133" t="s">
        <v>175</v>
      </c>
      <c r="V133" t="s">
        <v>175</v>
      </c>
      <c r="W133" t="s">
        <v>175</v>
      </c>
      <c r="X133" t="s">
        <v>175</v>
      </c>
      <c r="Y133" t="s">
        <v>175</v>
      </c>
      <c r="Z133" t="s">
        <v>175</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sheetData>
    <row r="1">
      <c r="A1" s="26" t="s">
        <v>433</v>
      </c>
      <c r="B1" s="26" t="s">
        <v>434</v>
      </c>
    </row>
    <row r="2">
      <c r="A2" s="26" t="s">
        <v>435</v>
      </c>
      <c r="B2" s="26">
        <v>2.05231245E8</v>
      </c>
    </row>
    <row r="3">
      <c r="A3" s="26" t="s">
        <v>436</v>
      </c>
      <c r="B3" s="26">
        <v>2.080297583E9</v>
      </c>
    </row>
    <row r="4">
      <c r="A4" s="26" t="s">
        <v>437</v>
      </c>
      <c r="B4" s="26">
        <v>2.046708162E9</v>
      </c>
    </row>
    <row r="5">
      <c r="A5" s="26" t="s">
        <v>438</v>
      </c>
      <c r="B5" s="26">
        <v>1.003255996E9</v>
      </c>
    </row>
    <row r="6">
      <c r="A6" s="26" t="s">
        <v>439</v>
      </c>
      <c r="B6" s="26">
        <v>1.312315598E9</v>
      </c>
    </row>
    <row r="7">
      <c r="A7" s="26" t="s">
        <v>440</v>
      </c>
      <c r="B7" s="26">
        <v>2.6726793E7</v>
      </c>
    </row>
    <row r="8">
      <c r="A8" s="26" t="s">
        <v>441</v>
      </c>
      <c r="B8" s="26">
        <v>1.273506506E9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t="s">
        <v>0</v>
      </c>
      <c r="B1" s="66" t="s">
        <v>443</v>
      </c>
      <c r="C1" s="66" t="s">
        <v>444</v>
      </c>
    </row>
    <row r="2">
      <c r="A2" t="s">
        <v>324</v>
      </c>
      <c r="B2" t="s">
        <v>445</v>
      </c>
      <c r="C2" t="s">
        <v>446</v>
      </c>
    </row>
    <row r="3">
      <c r="A3" t="s">
        <v>323</v>
      </c>
      <c r="B3" t="s">
        <v>447</v>
      </c>
      <c r="C3" t="s">
        <v>448</v>
      </c>
    </row>
    <row r="4">
      <c r="A4" t="s">
        <v>287</v>
      </c>
      <c r="B4" t="s">
        <v>449</v>
      </c>
      <c r="C4" s="66" t="s">
        <v>450</v>
      </c>
    </row>
    <row r="5">
      <c r="A5" t="s">
        <v>277</v>
      </c>
      <c r="B5" t="s">
        <v>451</v>
      </c>
      <c r="C5" t="s">
        <v>452</v>
      </c>
    </row>
    <row r="6">
      <c r="A6" t="s">
        <v>322</v>
      </c>
      <c r="B6" t="s">
        <v>453</v>
      </c>
      <c r="C6" t="s">
        <v>454</v>
      </c>
    </row>
    <row r="7">
      <c r="A7" t="s">
        <v>328</v>
      </c>
      <c r="B7" t="s">
        <v>455</v>
      </c>
      <c r="C7" t="s">
        <v>456</v>
      </c>
    </row>
    <row r="8">
      <c r="A8" t="s">
        <v>303</v>
      </c>
      <c r="B8" t="s">
        <v>449</v>
      </c>
      <c r="C8" s="66" t="s">
        <v>450</v>
      </c>
    </row>
    <row r="9">
      <c r="A9" t="s">
        <v>352</v>
      </c>
      <c r="B9" t="s">
        <v>457</v>
      </c>
      <c r="C9" t="s">
        <v>452</v>
      </c>
    </row>
    <row r="10">
      <c r="A10" t="s">
        <v>398</v>
      </c>
      <c r="B10" t="s">
        <v>458</v>
      </c>
      <c r="C10" t="s">
        <v>452</v>
      </c>
    </row>
    <row r="11">
      <c r="A11" t="s">
        <v>337</v>
      </c>
      <c r="B11" t="s">
        <v>459</v>
      </c>
      <c r="C11" t="s">
        <v>460</v>
      </c>
    </row>
    <row r="12">
      <c r="A12" t="s">
        <v>329</v>
      </c>
      <c r="B12" t="s">
        <v>461</v>
      </c>
      <c r="C12" t="s">
        <v>452</v>
      </c>
    </row>
    <row r="13">
      <c r="A13" t="s">
        <v>320</v>
      </c>
      <c r="B13" t="s">
        <v>462</v>
      </c>
      <c r="C13" t="s">
        <v>463</v>
      </c>
    </row>
    <row r="14">
      <c r="A14" t="s">
        <v>316</v>
      </c>
      <c r="B14" t="s">
        <v>445</v>
      </c>
      <c r="C14" t="s">
        <v>460</v>
      </c>
    </row>
    <row r="15">
      <c r="A15" t="s">
        <v>289</v>
      </c>
      <c r="B15" t="s">
        <v>464</v>
      </c>
      <c r="C15" t="s">
        <v>465</v>
      </c>
    </row>
    <row r="16">
      <c r="A16" t="s">
        <v>335</v>
      </c>
      <c r="B16" t="s">
        <v>466</v>
      </c>
      <c r="C16" t="s">
        <v>467</v>
      </c>
    </row>
    <row r="17">
      <c r="A17" t="s">
        <v>344</v>
      </c>
      <c r="B17" t="s">
        <v>468</v>
      </c>
      <c r="C17" s="66" t="s">
        <v>450</v>
      </c>
    </row>
    <row r="18">
      <c r="A18" s="66" t="s">
        <v>393</v>
      </c>
      <c r="B18" t="s">
        <v>469</v>
      </c>
      <c r="C18" t="s">
        <v>470</v>
      </c>
    </row>
    <row r="19">
      <c r="A19" t="s">
        <v>333</v>
      </c>
      <c r="B19" t="s">
        <v>471</v>
      </c>
      <c r="C19" t="s">
        <v>472</v>
      </c>
    </row>
    <row r="20">
      <c r="A20" t="s">
        <v>285</v>
      </c>
      <c r="B20" t="s">
        <v>473</v>
      </c>
      <c r="C20" t="s">
        <v>472</v>
      </c>
    </row>
    <row r="21">
      <c r="A21" t="s">
        <v>317</v>
      </c>
      <c r="B21" t="s">
        <v>474</v>
      </c>
      <c r="C21" t="s">
        <v>475</v>
      </c>
    </row>
    <row r="22">
      <c r="A22" t="s">
        <v>282</v>
      </c>
      <c r="B22" t="s">
        <v>476</v>
      </c>
      <c r="C22" t="s">
        <v>452</v>
      </c>
    </row>
    <row r="23">
      <c r="A23" t="s">
        <v>206</v>
      </c>
      <c r="B23" t="s">
        <v>477</v>
      </c>
      <c r="C23" t="s">
        <v>478</v>
      </c>
    </row>
    <row r="24">
      <c r="A24" t="s">
        <v>300</v>
      </c>
      <c r="B24" t="s">
        <v>479</v>
      </c>
      <c r="C24" t="s">
        <v>480</v>
      </c>
    </row>
    <row r="25">
      <c r="A25" t="s">
        <v>342</v>
      </c>
      <c r="B25" t="s">
        <v>481</v>
      </c>
      <c r="C25" t="s">
        <v>452</v>
      </c>
    </row>
    <row r="26">
      <c r="A26" t="s">
        <v>336</v>
      </c>
      <c r="B26" t="s">
        <v>482</v>
      </c>
      <c r="C26" t="s">
        <v>483</v>
      </c>
    </row>
    <row r="27">
      <c r="A27" t="s">
        <v>331</v>
      </c>
      <c r="B27" t="s">
        <v>484</v>
      </c>
      <c r="C27" s="66" t="s">
        <v>450</v>
      </c>
    </row>
    <row r="28">
      <c r="A28" t="s">
        <v>325</v>
      </c>
      <c r="B28" t="s">
        <v>485</v>
      </c>
      <c r="C28" t="s">
        <v>486</v>
      </c>
    </row>
    <row r="29">
      <c r="A29" t="s">
        <v>356</v>
      </c>
      <c r="B29" t="s">
        <v>487</v>
      </c>
      <c r="C29" t="s">
        <v>452</v>
      </c>
    </row>
    <row r="30">
      <c r="A30" t="s">
        <v>346</v>
      </c>
      <c r="B30" t="s">
        <v>488</v>
      </c>
      <c r="C30" t="s">
        <v>489</v>
      </c>
    </row>
    <row r="31">
      <c r="A31" t="s">
        <v>181</v>
      </c>
      <c r="B31" t="s">
        <v>454</v>
      </c>
      <c r="C31" t="s">
        <v>490</v>
      </c>
    </row>
    <row r="32">
      <c r="A32" t="s">
        <v>275</v>
      </c>
      <c r="B32" t="s">
        <v>491</v>
      </c>
      <c r="C32" t="s">
        <v>492</v>
      </c>
    </row>
    <row r="33">
      <c r="A33" t="s">
        <v>340</v>
      </c>
      <c r="B33" t="s">
        <v>493</v>
      </c>
      <c r="C33" t="s">
        <v>494</v>
      </c>
    </row>
    <row r="34">
      <c r="A34" t="s">
        <v>345</v>
      </c>
      <c r="B34" t="s">
        <v>495</v>
      </c>
      <c r="C34" t="s">
        <v>496</v>
      </c>
    </row>
    <row r="35">
      <c r="A35" t="s">
        <v>313</v>
      </c>
      <c r="B35" t="s">
        <v>497</v>
      </c>
      <c r="C35" t="s">
        <v>498</v>
      </c>
    </row>
    <row r="36">
      <c r="A36" t="s">
        <v>257</v>
      </c>
      <c r="B36" t="s">
        <v>499</v>
      </c>
      <c r="C36" t="s">
        <v>483</v>
      </c>
    </row>
    <row r="37">
      <c r="A37" t="s">
        <v>361</v>
      </c>
      <c r="B37" t="s">
        <v>500</v>
      </c>
      <c r="C37" s="66" t="s">
        <v>450</v>
      </c>
    </row>
    <row r="38">
      <c r="A38" t="s">
        <v>348</v>
      </c>
      <c r="B38" t="s">
        <v>501</v>
      </c>
      <c r="C38" t="s">
        <v>502</v>
      </c>
    </row>
    <row r="39">
      <c r="A39" t="s">
        <v>351</v>
      </c>
      <c r="B39" t="s">
        <v>503</v>
      </c>
      <c r="C39" t="s">
        <v>504</v>
      </c>
    </row>
    <row r="40">
      <c r="A40" t="s">
        <v>330</v>
      </c>
      <c r="B40" t="s">
        <v>490</v>
      </c>
      <c r="C40" s="66" t="s">
        <v>450</v>
      </c>
    </row>
    <row r="41">
      <c r="A41" s="66" t="s">
        <v>321</v>
      </c>
      <c r="B41" t="s">
        <v>471</v>
      </c>
      <c r="C41" t="s">
        <v>505</v>
      </c>
    </row>
    <row r="42">
      <c r="A42" t="s">
        <v>327</v>
      </c>
      <c r="B42" t="s">
        <v>449</v>
      </c>
      <c r="C42" s="66" t="s">
        <v>450</v>
      </c>
    </row>
    <row r="43">
      <c r="A43" t="s">
        <v>332</v>
      </c>
      <c r="B43" t="s">
        <v>506</v>
      </c>
      <c r="C43" t="s">
        <v>452</v>
      </c>
    </row>
    <row r="44">
      <c r="A44" t="s">
        <v>326</v>
      </c>
      <c r="B44" t="s">
        <v>507</v>
      </c>
      <c r="C44" t="s">
        <v>508</v>
      </c>
    </row>
    <row r="45">
      <c r="A45" s="66" t="s">
        <v>388</v>
      </c>
      <c r="B45" s="26" t="s">
        <v>509</v>
      </c>
      <c r="C45" s="26" t="s">
        <v>510</v>
      </c>
    </row>
    <row r="46">
      <c r="A46" t="s">
        <v>217</v>
      </c>
      <c r="B46" t="s">
        <v>511</v>
      </c>
      <c r="C46" t="s">
        <v>512</v>
      </c>
    </row>
    <row r="47">
      <c r="A47" t="s">
        <v>291</v>
      </c>
      <c r="B47" t="s">
        <v>513</v>
      </c>
      <c r="C47" t="s">
        <v>514</v>
      </c>
    </row>
    <row r="48">
      <c r="A48" t="s">
        <v>359</v>
      </c>
      <c r="B48" t="s">
        <v>515</v>
      </c>
      <c r="C48" t="s">
        <v>516</v>
      </c>
    </row>
    <row r="49">
      <c r="A49" t="s">
        <v>283</v>
      </c>
      <c r="B49" t="s">
        <v>500</v>
      </c>
      <c r="C49" s="66" t="s">
        <v>450</v>
      </c>
    </row>
    <row r="50">
      <c r="A50" t="s">
        <v>399</v>
      </c>
      <c r="B50" s="66" t="s">
        <v>517</v>
      </c>
      <c r="C50" s="66" t="s">
        <v>518</v>
      </c>
    </row>
    <row r="51">
      <c r="A51" t="s">
        <v>334</v>
      </c>
      <c r="B51" t="s">
        <v>519</v>
      </c>
      <c r="C51" t="s">
        <v>520</v>
      </c>
    </row>
    <row r="52">
      <c r="A52" t="s">
        <v>353</v>
      </c>
      <c r="B52" t="s">
        <v>521</v>
      </c>
      <c r="C52" t="s">
        <v>452</v>
      </c>
    </row>
    <row r="53">
      <c r="A53" s="66" t="s">
        <v>360</v>
      </c>
      <c r="B53" t="s">
        <v>522</v>
      </c>
      <c r="C53" t="s">
        <v>523</v>
      </c>
    </row>
    <row r="54">
      <c r="A54" t="s">
        <v>306</v>
      </c>
      <c r="B54" t="s">
        <v>524</v>
      </c>
      <c r="C54" t="s">
        <v>452</v>
      </c>
    </row>
    <row r="55">
      <c r="A55" t="s">
        <v>341</v>
      </c>
      <c r="B55" t="s">
        <v>525</v>
      </c>
      <c r="C55" t="s">
        <v>526</v>
      </c>
    </row>
    <row r="56">
      <c r="A56" t="s">
        <v>339</v>
      </c>
      <c r="B56" t="s">
        <v>527</v>
      </c>
      <c r="C56" t="s">
        <v>528</v>
      </c>
    </row>
    <row r="57">
      <c r="A57" s="66" t="s">
        <v>357</v>
      </c>
      <c r="B57" t="s">
        <v>529</v>
      </c>
      <c r="C57" t="s">
        <v>530</v>
      </c>
    </row>
    <row r="58">
      <c r="A58" s="66" t="s">
        <v>208</v>
      </c>
      <c r="B58" t="s">
        <v>525</v>
      </c>
      <c r="C58" t="s">
        <v>531</v>
      </c>
    </row>
    <row r="59">
      <c r="A59" t="s">
        <v>284</v>
      </c>
      <c r="B59" t="s">
        <v>532</v>
      </c>
      <c r="C59" t="s">
        <v>533</v>
      </c>
    </row>
    <row r="60">
      <c r="A60" t="s">
        <v>294</v>
      </c>
      <c r="B60" t="s">
        <v>534</v>
      </c>
      <c r="C60" s="66" t="s">
        <v>450</v>
      </c>
    </row>
    <row r="61">
      <c r="A61" t="s">
        <v>343</v>
      </c>
      <c r="B61" t="s">
        <v>535</v>
      </c>
      <c r="C61" t="s">
        <v>536</v>
      </c>
    </row>
    <row r="62">
      <c r="A62" t="s">
        <v>240</v>
      </c>
      <c r="B62" t="s">
        <v>537</v>
      </c>
      <c r="C62" t="s">
        <v>538</v>
      </c>
    </row>
    <row r="63">
      <c r="A63" t="s">
        <v>269</v>
      </c>
      <c r="B63" t="s">
        <v>539</v>
      </c>
      <c r="C63" s="66" t="s">
        <v>450</v>
      </c>
    </row>
    <row r="64">
      <c r="A64" t="s">
        <v>173</v>
      </c>
      <c r="B64" t="s">
        <v>540</v>
      </c>
      <c r="C64" t="s">
        <v>452</v>
      </c>
    </row>
    <row r="65">
      <c r="A65" t="s">
        <v>347</v>
      </c>
      <c r="B65" t="s">
        <v>541</v>
      </c>
      <c r="C65" t="s">
        <v>542</v>
      </c>
    </row>
    <row r="66">
      <c r="A66" t="s">
        <v>363</v>
      </c>
      <c r="B66" t="s">
        <v>543</v>
      </c>
      <c r="C66" t="s">
        <v>452</v>
      </c>
    </row>
    <row r="67">
      <c r="A67" s="66" t="s">
        <v>365</v>
      </c>
      <c r="B67" t="s">
        <v>525</v>
      </c>
      <c r="C67" s="66" t="s">
        <v>450</v>
      </c>
    </row>
    <row r="68">
      <c r="A68" t="s">
        <v>120</v>
      </c>
      <c r="B68" t="s">
        <v>454</v>
      </c>
      <c r="C68" t="s">
        <v>544</v>
      </c>
    </row>
    <row r="69">
      <c r="A69" t="s">
        <v>263</v>
      </c>
      <c r="B69" t="s">
        <v>545</v>
      </c>
      <c r="C69" t="s">
        <v>546</v>
      </c>
    </row>
    <row r="70">
      <c r="A70" t="s">
        <v>394</v>
      </c>
      <c r="B70" t="s">
        <v>547</v>
      </c>
      <c r="C70" s="66" t="s">
        <v>450</v>
      </c>
    </row>
    <row r="71">
      <c r="A71" t="s">
        <v>367</v>
      </c>
      <c r="B71" t="s">
        <v>548</v>
      </c>
      <c r="C71" s="66" t="s">
        <v>450</v>
      </c>
    </row>
    <row r="72">
      <c r="A72" t="s">
        <v>204</v>
      </c>
      <c r="B72" t="s">
        <v>549</v>
      </c>
      <c r="C72" s="66" t="s">
        <v>450</v>
      </c>
    </row>
    <row r="73">
      <c r="A73" t="s">
        <v>298</v>
      </c>
      <c r="B73" t="s">
        <v>490</v>
      </c>
      <c r="C73" t="s">
        <v>550</v>
      </c>
    </row>
    <row r="74">
      <c r="A74" t="s">
        <v>368</v>
      </c>
      <c r="B74" t="s">
        <v>551</v>
      </c>
      <c r="C74" s="66" t="s">
        <v>450</v>
      </c>
    </row>
    <row r="75">
      <c r="A75" t="s">
        <v>400</v>
      </c>
      <c r="B75" t="s">
        <v>552</v>
      </c>
      <c r="C75" t="s">
        <v>553</v>
      </c>
    </row>
    <row r="76">
      <c r="A76" t="s">
        <v>176</v>
      </c>
      <c r="B76" t="s">
        <v>554</v>
      </c>
      <c r="C76" t="s">
        <v>452</v>
      </c>
    </row>
    <row r="77">
      <c r="A77" t="s">
        <v>168</v>
      </c>
      <c r="B77" t="s">
        <v>555</v>
      </c>
      <c r="C77" t="s">
        <v>556</v>
      </c>
    </row>
    <row r="78">
      <c r="A78" t="s">
        <v>184</v>
      </c>
      <c r="B78" t="s">
        <v>557</v>
      </c>
      <c r="C78" s="66" t="s">
        <v>450</v>
      </c>
    </row>
    <row r="79">
      <c r="A79" t="s">
        <v>354</v>
      </c>
      <c r="B79" t="s">
        <v>558</v>
      </c>
      <c r="C79" t="s">
        <v>559</v>
      </c>
    </row>
    <row r="80">
      <c r="A80" t="s">
        <v>170</v>
      </c>
      <c r="B80" t="s">
        <v>560</v>
      </c>
      <c r="C80" t="s">
        <v>446</v>
      </c>
    </row>
    <row r="81">
      <c r="A81" s="66" t="s">
        <v>373</v>
      </c>
      <c r="B81" t="s">
        <v>561</v>
      </c>
      <c r="C81" t="s">
        <v>562</v>
      </c>
    </row>
    <row r="82">
      <c r="A82" t="s">
        <v>54</v>
      </c>
      <c r="B82" t="s">
        <v>563</v>
      </c>
      <c r="C82" t="s">
        <v>564</v>
      </c>
    </row>
    <row r="83">
      <c r="A83" t="s">
        <v>274</v>
      </c>
      <c r="B83" t="s">
        <v>565</v>
      </c>
      <c r="C83" t="s">
        <v>452</v>
      </c>
    </row>
    <row r="84">
      <c r="A84" t="s">
        <v>375</v>
      </c>
      <c r="B84" t="s">
        <v>566</v>
      </c>
      <c r="C84" s="66" t="s">
        <v>450</v>
      </c>
    </row>
    <row r="85">
      <c r="A85" t="s">
        <v>370</v>
      </c>
      <c r="B85" t="s">
        <v>567</v>
      </c>
      <c r="C85" t="s">
        <v>568</v>
      </c>
    </row>
    <row r="86">
      <c r="A86" t="s">
        <v>381</v>
      </c>
      <c r="B86" t="s">
        <v>483</v>
      </c>
      <c r="C86" t="s">
        <v>531</v>
      </c>
    </row>
    <row r="87">
      <c r="A87" t="s">
        <v>355</v>
      </c>
      <c r="B87" t="s">
        <v>496</v>
      </c>
      <c r="C87" t="s">
        <v>569</v>
      </c>
    </row>
    <row r="88">
      <c r="A88" t="s">
        <v>386</v>
      </c>
      <c r="B88" t="s">
        <v>570</v>
      </c>
      <c r="C88" t="s">
        <v>571</v>
      </c>
    </row>
    <row r="89">
      <c r="A89" t="s">
        <v>219</v>
      </c>
      <c r="B89" t="s">
        <v>572</v>
      </c>
      <c r="C89" t="s">
        <v>481</v>
      </c>
    </row>
    <row r="90">
      <c r="A90" t="s">
        <v>349</v>
      </c>
      <c r="B90" t="s">
        <v>573</v>
      </c>
      <c r="C90" t="s">
        <v>574</v>
      </c>
    </row>
    <row r="91">
      <c r="A91" s="66" t="s">
        <v>314</v>
      </c>
      <c r="B91" t="s">
        <v>575</v>
      </c>
      <c r="C91" t="s">
        <v>576</v>
      </c>
    </row>
    <row r="92">
      <c r="A92" t="s">
        <v>302</v>
      </c>
      <c r="B92" t="s">
        <v>577</v>
      </c>
      <c r="C92" t="s">
        <v>578</v>
      </c>
    </row>
    <row r="93">
      <c r="A93" t="s">
        <v>379</v>
      </c>
      <c r="B93" t="s">
        <v>579</v>
      </c>
      <c r="C93" t="s">
        <v>452</v>
      </c>
    </row>
    <row r="94">
      <c r="A94" t="s">
        <v>210</v>
      </c>
      <c r="B94" t="s">
        <v>580</v>
      </c>
      <c r="C94" t="s">
        <v>581</v>
      </c>
    </row>
    <row r="95">
      <c r="A95" t="s">
        <v>338</v>
      </c>
      <c r="B95" t="s">
        <v>582</v>
      </c>
      <c r="C95" t="s">
        <v>452</v>
      </c>
    </row>
    <row r="96">
      <c r="A96" t="s">
        <v>311</v>
      </c>
      <c r="B96" t="s">
        <v>583</v>
      </c>
      <c r="C96" t="s">
        <v>584</v>
      </c>
    </row>
    <row r="97">
      <c r="A97" t="s">
        <v>308</v>
      </c>
      <c r="B97" t="s">
        <v>585</v>
      </c>
      <c r="C97" t="s">
        <v>586</v>
      </c>
    </row>
    <row r="98">
      <c r="A98" s="66" t="s">
        <v>358</v>
      </c>
      <c r="B98" t="s">
        <v>587</v>
      </c>
      <c r="C98" s="66" t="s">
        <v>450</v>
      </c>
    </row>
    <row r="99">
      <c r="A99" t="s">
        <v>362</v>
      </c>
      <c r="B99" t="s">
        <v>588</v>
      </c>
      <c r="C99" s="66" t="s">
        <v>450</v>
      </c>
    </row>
    <row r="100">
      <c r="A100" t="s">
        <v>214</v>
      </c>
      <c r="B100" t="s">
        <v>589</v>
      </c>
      <c r="C100" s="66" t="s">
        <v>450</v>
      </c>
    </row>
    <row r="101">
      <c r="A101" t="s">
        <v>364</v>
      </c>
      <c r="B101" t="s">
        <v>590</v>
      </c>
      <c r="C101" s="66" t="s">
        <v>450</v>
      </c>
    </row>
    <row r="102">
      <c r="A102" t="s">
        <v>387</v>
      </c>
      <c r="B102" t="s">
        <v>591</v>
      </c>
      <c r="C102" t="s">
        <v>592</v>
      </c>
    </row>
    <row r="103">
      <c r="A103" t="s">
        <v>380</v>
      </c>
      <c r="B103" t="s">
        <v>593</v>
      </c>
      <c r="C103" t="s">
        <v>594</v>
      </c>
    </row>
    <row r="104">
      <c r="A104" t="s">
        <v>272</v>
      </c>
      <c r="B104" t="s">
        <v>490</v>
      </c>
      <c r="C104" t="s">
        <v>452</v>
      </c>
    </row>
    <row r="105">
      <c r="A105" t="s">
        <v>265</v>
      </c>
      <c r="B105" t="s">
        <v>595</v>
      </c>
      <c r="C105" t="s">
        <v>451</v>
      </c>
    </row>
    <row r="106">
      <c r="A106" t="s">
        <v>318</v>
      </c>
      <c r="B106" t="s">
        <v>596</v>
      </c>
      <c r="C106" t="s">
        <v>597</v>
      </c>
    </row>
    <row r="107">
      <c r="A107" t="s">
        <v>267</v>
      </c>
      <c r="B107" t="s">
        <v>598</v>
      </c>
      <c r="C107" t="s">
        <v>599</v>
      </c>
    </row>
    <row r="108">
      <c r="A108" t="s">
        <v>195</v>
      </c>
      <c r="B108" t="s">
        <v>600</v>
      </c>
      <c r="C108" t="s">
        <v>601</v>
      </c>
    </row>
    <row r="109">
      <c r="A109" t="s">
        <v>378</v>
      </c>
      <c r="B109" s="66" t="s">
        <v>602</v>
      </c>
      <c r="C109" s="66" t="s">
        <v>603</v>
      </c>
    </row>
    <row r="110">
      <c r="A110" t="s">
        <v>374</v>
      </c>
      <c r="B110" t="s">
        <v>483</v>
      </c>
      <c r="C110" t="s">
        <v>452</v>
      </c>
    </row>
    <row r="111">
      <c r="A111" s="66" t="s">
        <v>261</v>
      </c>
      <c r="B111" t="s">
        <v>604</v>
      </c>
      <c r="C111" t="s">
        <v>472</v>
      </c>
    </row>
    <row r="112">
      <c r="A112" t="s">
        <v>281</v>
      </c>
      <c r="B112" t="s">
        <v>605</v>
      </c>
      <c r="C112" t="s">
        <v>606</v>
      </c>
    </row>
    <row r="113">
      <c r="A113" t="s">
        <v>292</v>
      </c>
      <c r="B113" t="s">
        <v>607</v>
      </c>
      <c r="C113" t="s">
        <v>608</v>
      </c>
    </row>
    <row r="114">
      <c r="A114" t="s">
        <v>199</v>
      </c>
      <c r="B114" t="s">
        <v>609</v>
      </c>
      <c r="C114" t="s">
        <v>483</v>
      </c>
    </row>
    <row r="115">
      <c r="A115" t="s">
        <v>401</v>
      </c>
      <c r="B115" t="s">
        <v>609</v>
      </c>
      <c r="C115" s="66" t="s">
        <v>450</v>
      </c>
    </row>
    <row r="116">
      <c r="A116" s="66" t="s">
        <v>279</v>
      </c>
      <c r="B116" t="s">
        <v>543</v>
      </c>
      <c r="C116" t="s">
        <v>610</v>
      </c>
    </row>
    <row r="117">
      <c r="A117" s="66" t="s">
        <v>369</v>
      </c>
      <c r="B117" t="s">
        <v>517</v>
      </c>
      <c r="C117" t="s">
        <v>611</v>
      </c>
    </row>
    <row r="118">
      <c r="A118" t="s">
        <v>372</v>
      </c>
      <c r="B118" t="s">
        <v>490</v>
      </c>
      <c r="C118" t="s">
        <v>452</v>
      </c>
    </row>
    <row r="119">
      <c r="A119" t="s">
        <v>304</v>
      </c>
      <c r="B119" t="s">
        <v>612</v>
      </c>
      <c r="C119" t="s">
        <v>613</v>
      </c>
    </row>
    <row r="120">
      <c r="A120" s="66" t="s">
        <v>366</v>
      </c>
      <c r="B120" t="s">
        <v>614</v>
      </c>
      <c r="C120" t="s">
        <v>615</v>
      </c>
    </row>
    <row r="121">
      <c r="A121" s="66" t="s">
        <v>296</v>
      </c>
      <c r="B121" t="s">
        <v>616</v>
      </c>
      <c r="C121" t="s">
        <v>530</v>
      </c>
    </row>
    <row r="122">
      <c r="A122" t="s">
        <v>309</v>
      </c>
      <c r="B122" t="s">
        <v>617</v>
      </c>
      <c r="C122" t="s">
        <v>452</v>
      </c>
    </row>
    <row r="123">
      <c r="A123" t="s">
        <v>155</v>
      </c>
      <c r="B123" t="s">
        <v>618</v>
      </c>
      <c r="C123" t="s">
        <v>619</v>
      </c>
    </row>
    <row r="124">
      <c r="A124" t="s">
        <v>384</v>
      </c>
      <c r="B124" t="s">
        <v>539</v>
      </c>
      <c r="C124" t="s">
        <v>620</v>
      </c>
    </row>
    <row r="125">
      <c r="A125" t="s">
        <v>259</v>
      </c>
      <c r="B125" t="s">
        <v>621</v>
      </c>
      <c r="C125" t="s">
        <v>452</v>
      </c>
    </row>
    <row r="126">
      <c r="A126" t="s">
        <v>377</v>
      </c>
      <c r="B126" t="s">
        <v>622</v>
      </c>
      <c r="C126" t="s">
        <v>623</v>
      </c>
    </row>
    <row r="127">
      <c r="A127" t="s">
        <v>222</v>
      </c>
      <c r="B127" t="s">
        <v>624</v>
      </c>
      <c r="C127" t="s">
        <v>625</v>
      </c>
    </row>
    <row r="128">
      <c r="A128" t="s">
        <v>371</v>
      </c>
      <c r="B128" t="s">
        <v>626</v>
      </c>
      <c r="C128" t="s">
        <v>627</v>
      </c>
    </row>
    <row r="129">
      <c r="A129" t="s">
        <v>271</v>
      </c>
      <c r="B129" t="s">
        <v>628</v>
      </c>
      <c r="C129" t="s">
        <v>452</v>
      </c>
    </row>
    <row r="130">
      <c r="A130" t="s">
        <v>382</v>
      </c>
      <c r="B130" t="s">
        <v>629</v>
      </c>
      <c r="C130" t="s">
        <v>630</v>
      </c>
    </row>
    <row r="131">
      <c r="A131" t="s">
        <v>197</v>
      </c>
      <c r="B131" t="s">
        <v>631</v>
      </c>
      <c r="C131" s="66" t="s">
        <v>450</v>
      </c>
    </row>
    <row r="132">
      <c r="A132" t="s">
        <v>383</v>
      </c>
      <c r="B132" t="s">
        <v>632</v>
      </c>
      <c r="C132" t="s">
        <v>633</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t="s">
        <v>0</v>
      </c>
      <c r="B1" s="66" t="s">
        <v>443</v>
      </c>
      <c r="C1" s="66" t="s">
        <v>444</v>
      </c>
    </row>
    <row r="2">
      <c r="A2" t="s">
        <v>324</v>
      </c>
      <c r="B2" t="s">
        <v>445</v>
      </c>
      <c r="C2" t="s">
        <v>446</v>
      </c>
    </row>
    <row r="3">
      <c r="A3" t="s">
        <v>323</v>
      </c>
      <c r="B3" t="s">
        <v>447</v>
      </c>
      <c r="C3" t="s">
        <v>448</v>
      </c>
    </row>
    <row r="4">
      <c r="A4" t="s">
        <v>287</v>
      </c>
      <c r="B4" t="s">
        <v>449</v>
      </c>
      <c r="C4" s="66" t="s">
        <v>450</v>
      </c>
    </row>
    <row r="5">
      <c r="A5" t="s">
        <v>277</v>
      </c>
      <c r="B5" t="s">
        <v>451</v>
      </c>
      <c r="C5" t="s">
        <v>452</v>
      </c>
    </row>
    <row r="6">
      <c r="A6" t="s">
        <v>322</v>
      </c>
      <c r="B6" t="s">
        <v>453</v>
      </c>
      <c r="C6" t="s">
        <v>454</v>
      </c>
    </row>
    <row r="7">
      <c r="A7" t="s">
        <v>328</v>
      </c>
      <c r="B7" t="s">
        <v>455</v>
      </c>
      <c r="C7" t="s">
        <v>456</v>
      </c>
    </row>
    <row r="8">
      <c r="A8" t="s">
        <v>303</v>
      </c>
      <c r="B8" t="s">
        <v>449</v>
      </c>
      <c r="C8" s="66" t="s">
        <v>450</v>
      </c>
    </row>
    <row r="9">
      <c r="A9" t="s">
        <v>352</v>
      </c>
      <c r="B9" t="s">
        <v>457</v>
      </c>
      <c r="C9" t="s">
        <v>452</v>
      </c>
    </row>
    <row r="10">
      <c r="A10" t="s">
        <v>398</v>
      </c>
      <c r="B10" t="s">
        <v>458</v>
      </c>
      <c r="C10" t="s">
        <v>452</v>
      </c>
    </row>
    <row r="11">
      <c r="A11" t="s">
        <v>337</v>
      </c>
      <c r="B11" t="s">
        <v>459</v>
      </c>
      <c r="C11" t="s">
        <v>460</v>
      </c>
    </row>
    <row r="12">
      <c r="A12" t="s">
        <v>329</v>
      </c>
      <c r="B12" t="s">
        <v>461</v>
      </c>
      <c r="C12" t="s">
        <v>452</v>
      </c>
    </row>
    <row r="13">
      <c r="A13" t="s">
        <v>320</v>
      </c>
      <c r="B13" t="s">
        <v>462</v>
      </c>
      <c r="C13" t="s">
        <v>463</v>
      </c>
    </row>
    <row r="14">
      <c r="A14" t="s">
        <v>316</v>
      </c>
      <c r="B14" t="s">
        <v>445</v>
      </c>
      <c r="C14" t="s">
        <v>460</v>
      </c>
    </row>
    <row r="15">
      <c r="A15" t="s">
        <v>289</v>
      </c>
      <c r="B15" t="s">
        <v>464</v>
      </c>
      <c r="C15" t="s">
        <v>465</v>
      </c>
    </row>
    <row r="16">
      <c r="A16" t="s">
        <v>335</v>
      </c>
      <c r="B16" t="s">
        <v>466</v>
      </c>
      <c r="C16" t="s">
        <v>467</v>
      </c>
    </row>
    <row r="17">
      <c r="A17" t="s">
        <v>344</v>
      </c>
      <c r="B17" t="s">
        <v>468</v>
      </c>
      <c r="C17" s="66" t="s">
        <v>450</v>
      </c>
    </row>
    <row r="18">
      <c r="A18" s="66" t="s">
        <v>393</v>
      </c>
      <c r="B18" t="s">
        <v>469</v>
      </c>
      <c r="C18" t="s">
        <v>470</v>
      </c>
    </row>
    <row r="19">
      <c r="A19" t="s">
        <v>333</v>
      </c>
      <c r="B19" t="s">
        <v>471</v>
      </c>
      <c r="C19" t="s">
        <v>472</v>
      </c>
    </row>
    <row r="20">
      <c r="A20" t="s">
        <v>285</v>
      </c>
      <c r="B20" t="s">
        <v>473</v>
      </c>
      <c r="C20" t="s">
        <v>472</v>
      </c>
    </row>
    <row r="21">
      <c r="A21" t="s">
        <v>317</v>
      </c>
      <c r="B21" t="s">
        <v>474</v>
      </c>
      <c r="C21" t="s">
        <v>475</v>
      </c>
    </row>
    <row r="22">
      <c r="A22" t="s">
        <v>282</v>
      </c>
      <c r="B22" t="s">
        <v>476</v>
      </c>
      <c r="C22" t="s">
        <v>452</v>
      </c>
    </row>
    <row r="23">
      <c r="A23" t="s">
        <v>206</v>
      </c>
      <c r="B23" t="s">
        <v>477</v>
      </c>
      <c r="C23" t="s">
        <v>478</v>
      </c>
    </row>
    <row r="24">
      <c r="A24" t="s">
        <v>300</v>
      </c>
      <c r="B24" t="s">
        <v>479</v>
      </c>
      <c r="C24" t="s">
        <v>480</v>
      </c>
    </row>
    <row r="25">
      <c r="A25" t="s">
        <v>342</v>
      </c>
      <c r="B25" t="s">
        <v>481</v>
      </c>
      <c r="C25" t="s">
        <v>452</v>
      </c>
    </row>
    <row r="26">
      <c r="A26" t="s">
        <v>336</v>
      </c>
      <c r="B26" t="s">
        <v>482</v>
      </c>
      <c r="C26" t="s">
        <v>483</v>
      </c>
    </row>
    <row r="27">
      <c r="A27" t="s">
        <v>331</v>
      </c>
      <c r="B27" t="s">
        <v>484</v>
      </c>
      <c r="C27" s="66" t="s">
        <v>450</v>
      </c>
    </row>
    <row r="28">
      <c r="A28" t="s">
        <v>325</v>
      </c>
      <c r="B28" t="s">
        <v>485</v>
      </c>
      <c r="C28" t="s">
        <v>486</v>
      </c>
    </row>
    <row r="29">
      <c r="A29" t="s">
        <v>356</v>
      </c>
      <c r="B29" t="s">
        <v>487</v>
      </c>
      <c r="C29" t="s">
        <v>452</v>
      </c>
    </row>
    <row r="30">
      <c r="A30" t="s">
        <v>346</v>
      </c>
      <c r="B30" t="s">
        <v>488</v>
      </c>
      <c r="C30" t="s">
        <v>489</v>
      </c>
    </row>
    <row r="31">
      <c r="A31" t="s">
        <v>181</v>
      </c>
      <c r="B31" t="s">
        <v>454</v>
      </c>
      <c r="C31" t="s">
        <v>490</v>
      </c>
    </row>
    <row r="32">
      <c r="A32" t="s">
        <v>275</v>
      </c>
      <c r="B32" t="s">
        <v>491</v>
      </c>
      <c r="C32" t="s">
        <v>492</v>
      </c>
    </row>
    <row r="33">
      <c r="A33" t="s">
        <v>340</v>
      </c>
      <c r="B33" t="s">
        <v>493</v>
      </c>
      <c r="C33" t="s">
        <v>494</v>
      </c>
    </row>
    <row r="34">
      <c r="A34" t="s">
        <v>345</v>
      </c>
      <c r="B34" t="s">
        <v>495</v>
      </c>
      <c r="C34" t="s">
        <v>496</v>
      </c>
    </row>
    <row r="35">
      <c r="A35" t="s">
        <v>313</v>
      </c>
      <c r="B35" t="s">
        <v>497</v>
      </c>
      <c r="C35" t="s">
        <v>498</v>
      </c>
    </row>
    <row r="36">
      <c r="A36" t="s">
        <v>257</v>
      </c>
      <c r="B36" t="s">
        <v>499</v>
      </c>
      <c r="C36" t="s">
        <v>483</v>
      </c>
    </row>
    <row r="37">
      <c r="A37" t="s">
        <v>361</v>
      </c>
      <c r="B37" t="s">
        <v>500</v>
      </c>
      <c r="C37" s="66" t="s">
        <v>450</v>
      </c>
    </row>
    <row r="38">
      <c r="A38" t="s">
        <v>348</v>
      </c>
      <c r="B38" t="s">
        <v>501</v>
      </c>
      <c r="C38" t="s">
        <v>502</v>
      </c>
    </row>
    <row r="39">
      <c r="A39" t="s">
        <v>351</v>
      </c>
      <c r="B39" t="s">
        <v>503</v>
      </c>
      <c r="C39" t="s">
        <v>504</v>
      </c>
    </row>
    <row r="40">
      <c r="A40" t="s">
        <v>330</v>
      </c>
      <c r="B40" t="s">
        <v>490</v>
      </c>
      <c r="C40" s="66" t="s">
        <v>450</v>
      </c>
    </row>
    <row r="41">
      <c r="A41" s="66" t="s">
        <v>321</v>
      </c>
      <c r="B41" t="s">
        <v>471</v>
      </c>
      <c r="C41" t="s">
        <v>505</v>
      </c>
    </row>
    <row r="42">
      <c r="A42" t="s">
        <v>327</v>
      </c>
      <c r="B42" t="s">
        <v>449</v>
      </c>
      <c r="C42" s="66" t="s">
        <v>450</v>
      </c>
    </row>
    <row r="43">
      <c r="A43" t="s">
        <v>332</v>
      </c>
      <c r="B43" t="s">
        <v>506</v>
      </c>
      <c r="C43" t="s">
        <v>452</v>
      </c>
    </row>
    <row r="44">
      <c r="A44" t="s">
        <v>326</v>
      </c>
      <c r="B44" t="s">
        <v>507</v>
      </c>
      <c r="C44" t="s">
        <v>508</v>
      </c>
    </row>
    <row r="45">
      <c r="A45" s="66" t="s">
        <v>388</v>
      </c>
      <c r="B45" s="26" t="s">
        <v>509</v>
      </c>
      <c r="C45" s="26" t="s">
        <v>510</v>
      </c>
    </row>
    <row r="46">
      <c r="A46" t="s">
        <v>217</v>
      </c>
      <c r="B46" t="s">
        <v>511</v>
      </c>
      <c r="C46" t="s">
        <v>512</v>
      </c>
    </row>
    <row r="47">
      <c r="A47" t="s">
        <v>291</v>
      </c>
      <c r="B47" t="s">
        <v>513</v>
      </c>
      <c r="C47" t="s">
        <v>514</v>
      </c>
    </row>
    <row r="48">
      <c r="A48" t="s">
        <v>359</v>
      </c>
      <c r="B48" t="s">
        <v>515</v>
      </c>
      <c r="C48" t="s">
        <v>516</v>
      </c>
    </row>
    <row r="49">
      <c r="A49" t="s">
        <v>283</v>
      </c>
      <c r="B49" t="s">
        <v>500</v>
      </c>
      <c r="C49" s="66" t="s">
        <v>450</v>
      </c>
    </row>
    <row r="50">
      <c r="A50" t="s">
        <v>399</v>
      </c>
      <c r="B50" s="66" t="s">
        <v>517</v>
      </c>
      <c r="C50" s="66" t="s">
        <v>518</v>
      </c>
    </row>
    <row r="51">
      <c r="A51" t="s">
        <v>334</v>
      </c>
      <c r="B51" t="s">
        <v>519</v>
      </c>
      <c r="C51" t="s">
        <v>520</v>
      </c>
    </row>
    <row r="52">
      <c r="A52" t="s">
        <v>353</v>
      </c>
      <c r="B52" t="s">
        <v>521</v>
      </c>
      <c r="C52" t="s">
        <v>452</v>
      </c>
    </row>
    <row r="53">
      <c r="A53" s="66" t="s">
        <v>360</v>
      </c>
      <c r="B53" t="s">
        <v>522</v>
      </c>
      <c r="C53" t="s">
        <v>523</v>
      </c>
    </row>
    <row r="54">
      <c r="A54" t="s">
        <v>306</v>
      </c>
      <c r="B54" t="s">
        <v>524</v>
      </c>
      <c r="C54" t="s">
        <v>452</v>
      </c>
    </row>
    <row r="55">
      <c r="A55" t="s">
        <v>341</v>
      </c>
      <c r="B55" t="s">
        <v>525</v>
      </c>
      <c r="C55" t="s">
        <v>526</v>
      </c>
    </row>
    <row r="56">
      <c r="A56" t="s">
        <v>339</v>
      </c>
      <c r="B56" t="s">
        <v>527</v>
      </c>
      <c r="C56" t="s">
        <v>528</v>
      </c>
    </row>
    <row r="57">
      <c r="A57" s="66" t="s">
        <v>357</v>
      </c>
      <c r="B57" t="s">
        <v>529</v>
      </c>
      <c r="C57" t="s">
        <v>530</v>
      </c>
    </row>
    <row r="58">
      <c r="A58" s="66" t="s">
        <v>208</v>
      </c>
      <c r="B58" t="s">
        <v>525</v>
      </c>
      <c r="C58" t="s">
        <v>531</v>
      </c>
    </row>
    <row r="59">
      <c r="A59" t="s">
        <v>284</v>
      </c>
      <c r="B59" t="s">
        <v>532</v>
      </c>
      <c r="C59" t="s">
        <v>533</v>
      </c>
    </row>
    <row r="60">
      <c r="A60" t="s">
        <v>294</v>
      </c>
      <c r="B60" t="s">
        <v>534</v>
      </c>
      <c r="C60" s="66" t="s">
        <v>450</v>
      </c>
    </row>
    <row r="61">
      <c r="A61" t="s">
        <v>343</v>
      </c>
      <c r="B61" t="s">
        <v>535</v>
      </c>
      <c r="C61" t="s">
        <v>536</v>
      </c>
    </row>
    <row r="62">
      <c r="A62" t="s">
        <v>240</v>
      </c>
      <c r="B62" t="s">
        <v>537</v>
      </c>
      <c r="C62" t="s">
        <v>538</v>
      </c>
    </row>
    <row r="63">
      <c r="A63" t="s">
        <v>269</v>
      </c>
      <c r="B63" t="s">
        <v>539</v>
      </c>
      <c r="C63" s="66" t="s">
        <v>450</v>
      </c>
    </row>
    <row r="64">
      <c r="A64" t="s">
        <v>173</v>
      </c>
      <c r="B64" t="s">
        <v>540</v>
      </c>
      <c r="C64" t="s">
        <v>452</v>
      </c>
    </row>
    <row r="65">
      <c r="A65" t="s">
        <v>347</v>
      </c>
      <c r="B65" t="s">
        <v>541</v>
      </c>
      <c r="C65" t="s">
        <v>542</v>
      </c>
    </row>
    <row r="66">
      <c r="A66" t="s">
        <v>363</v>
      </c>
      <c r="B66" t="s">
        <v>543</v>
      </c>
      <c r="C66" t="s">
        <v>452</v>
      </c>
    </row>
    <row r="67">
      <c r="A67" s="66" t="s">
        <v>365</v>
      </c>
      <c r="B67" t="s">
        <v>525</v>
      </c>
      <c r="C67" s="66" t="s">
        <v>450</v>
      </c>
    </row>
    <row r="68">
      <c r="A68" t="s">
        <v>120</v>
      </c>
      <c r="B68" t="s">
        <v>454</v>
      </c>
      <c r="C68" t="s">
        <v>544</v>
      </c>
    </row>
    <row r="69">
      <c r="A69" t="s">
        <v>263</v>
      </c>
      <c r="B69" t="s">
        <v>545</v>
      </c>
      <c r="C69" t="s">
        <v>546</v>
      </c>
    </row>
    <row r="70">
      <c r="A70" t="s">
        <v>394</v>
      </c>
      <c r="B70" t="s">
        <v>547</v>
      </c>
      <c r="C70" s="66" t="s">
        <v>450</v>
      </c>
    </row>
    <row r="71">
      <c r="A71" t="s">
        <v>367</v>
      </c>
      <c r="B71" t="s">
        <v>548</v>
      </c>
      <c r="C71" s="66" t="s">
        <v>450</v>
      </c>
    </row>
    <row r="72">
      <c r="A72" t="s">
        <v>204</v>
      </c>
      <c r="B72" t="s">
        <v>549</v>
      </c>
      <c r="C72" s="66" t="s">
        <v>450</v>
      </c>
    </row>
    <row r="73">
      <c r="A73" t="s">
        <v>298</v>
      </c>
      <c r="B73" t="s">
        <v>490</v>
      </c>
      <c r="C73" t="s">
        <v>550</v>
      </c>
    </row>
    <row r="74">
      <c r="A74" t="s">
        <v>368</v>
      </c>
      <c r="B74" t="s">
        <v>551</v>
      </c>
      <c r="C74" s="66" t="s">
        <v>450</v>
      </c>
    </row>
    <row r="75">
      <c r="A75" t="s">
        <v>400</v>
      </c>
      <c r="B75" t="s">
        <v>552</v>
      </c>
      <c r="C75" t="s">
        <v>553</v>
      </c>
    </row>
    <row r="76">
      <c r="A76" t="s">
        <v>176</v>
      </c>
      <c r="B76" t="s">
        <v>554</v>
      </c>
      <c r="C76" t="s">
        <v>452</v>
      </c>
    </row>
    <row r="77">
      <c r="A77" t="s">
        <v>168</v>
      </c>
      <c r="B77" t="s">
        <v>555</v>
      </c>
      <c r="C77" t="s">
        <v>556</v>
      </c>
    </row>
    <row r="78">
      <c r="A78" t="s">
        <v>184</v>
      </c>
      <c r="B78" t="s">
        <v>557</v>
      </c>
      <c r="C78" s="66" t="s">
        <v>450</v>
      </c>
    </row>
    <row r="79">
      <c r="A79" t="s">
        <v>354</v>
      </c>
      <c r="B79" t="s">
        <v>558</v>
      </c>
      <c r="C79" t="s">
        <v>559</v>
      </c>
    </row>
    <row r="80">
      <c r="A80" t="s">
        <v>170</v>
      </c>
      <c r="B80" t="s">
        <v>560</v>
      </c>
      <c r="C80" t="s">
        <v>446</v>
      </c>
    </row>
    <row r="81">
      <c r="A81" s="66" t="s">
        <v>373</v>
      </c>
      <c r="B81" t="s">
        <v>561</v>
      </c>
      <c r="C81" t="s">
        <v>562</v>
      </c>
    </row>
    <row r="82">
      <c r="A82" t="s">
        <v>54</v>
      </c>
      <c r="B82" t="s">
        <v>563</v>
      </c>
      <c r="C82" t="s">
        <v>564</v>
      </c>
    </row>
    <row r="83">
      <c r="A83" t="s">
        <v>274</v>
      </c>
      <c r="B83" t="s">
        <v>565</v>
      </c>
      <c r="C83" t="s">
        <v>452</v>
      </c>
    </row>
    <row r="84">
      <c r="A84" t="s">
        <v>375</v>
      </c>
      <c r="B84" t="s">
        <v>566</v>
      </c>
      <c r="C84" s="66" t="s">
        <v>450</v>
      </c>
    </row>
    <row r="85">
      <c r="A85" t="s">
        <v>370</v>
      </c>
      <c r="B85" t="s">
        <v>567</v>
      </c>
      <c r="C85" t="s">
        <v>568</v>
      </c>
    </row>
    <row r="86">
      <c r="A86" t="s">
        <v>381</v>
      </c>
      <c r="B86" t="s">
        <v>483</v>
      </c>
      <c r="C86" t="s">
        <v>531</v>
      </c>
    </row>
    <row r="87">
      <c r="A87" t="s">
        <v>355</v>
      </c>
      <c r="B87" t="s">
        <v>496</v>
      </c>
      <c r="C87" t="s">
        <v>569</v>
      </c>
    </row>
    <row r="88">
      <c r="A88" t="s">
        <v>386</v>
      </c>
      <c r="B88" t="s">
        <v>570</v>
      </c>
      <c r="C88" t="s">
        <v>571</v>
      </c>
    </row>
    <row r="89">
      <c r="A89" t="s">
        <v>219</v>
      </c>
      <c r="B89" t="s">
        <v>572</v>
      </c>
      <c r="C89" t="s">
        <v>481</v>
      </c>
    </row>
    <row r="90">
      <c r="A90" t="s">
        <v>349</v>
      </c>
      <c r="B90" t="s">
        <v>573</v>
      </c>
      <c r="C90" t="s">
        <v>574</v>
      </c>
    </row>
    <row r="91">
      <c r="A91" s="66" t="s">
        <v>314</v>
      </c>
      <c r="B91" t="s">
        <v>575</v>
      </c>
      <c r="C91" t="s">
        <v>576</v>
      </c>
    </row>
    <row r="92">
      <c r="A92" t="s">
        <v>302</v>
      </c>
      <c r="B92" t="s">
        <v>577</v>
      </c>
      <c r="C92" t="s">
        <v>578</v>
      </c>
    </row>
    <row r="93">
      <c r="A93" t="s">
        <v>379</v>
      </c>
      <c r="B93" t="s">
        <v>579</v>
      </c>
      <c r="C93" t="s">
        <v>452</v>
      </c>
    </row>
    <row r="94">
      <c r="A94" t="s">
        <v>210</v>
      </c>
      <c r="B94" t="s">
        <v>580</v>
      </c>
      <c r="C94" t="s">
        <v>581</v>
      </c>
    </row>
    <row r="95">
      <c r="A95" t="s">
        <v>338</v>
      </c>
      <c r="B95" t="s">
        <v>582</v>
      </c>
      <c r="C95" t="s">
        <v>452</v>
      </c>
    </row>
    <row r="96">
      <c r="A96" t="s">
        <v>311</v>
      </c>
      <c r="B96" t="s">
        <v>583</v>
      </c>
      <c r="C96" t="s">
        <v>584</v>
      </c>
    </row>
    <row r="97">
      <c r="A97" t="s">
        <v>308</v>
      </c>
      <c r="B97" t="s">
        <v>585</v>
      </c>
      <c r="C97" t="s">
        <v>586</v>
      </c>
    </row>
    <row r="98">
      <c r="A98" s="66" t="s">
        <v>358</v>
      </c>
      <c r="B98" t="s">
        <v>587</v>
      </c>
      <c r="C98" s="66" t="s">
        <v>450</v>
      </c>
    </row>
    <row r="99">
      <c r="A99" t="s">
        <v>362</v>
      </c>
      <c r="B99" t="s">
        <v>588</v>
      </c>
      <c r="C99" s="66" t="s">
        <v>450</v>
      </c>
    </row>
    <row r="100">
      <c r="A100" t="s">
        <v>214</v>
      </c>
      <c r="B100" t="s">
        <v>589</v>
      </c>
      <c r="C100" s="66" t="s">
        <v>450</v>
      </c>
    </row>
    <row r="101">
      <c r="A101" t="s">
        <v>364</v>
      </c>
      <c r="B101" t="s">
        <v>590</v>
      </c>
      <c r="C101" s="66" t="s">
        <v>450</v>
      </c>
    </row>
    <row r="102">
      <c r="A102" t="s">
        <v>387</v>
      </c>
      <c r="B102" t="s">
        <v>591</v>
      </c>
      <c r="C102" t="s">
        <v>592</v>
      </c>
    </row>
    <row r="103">
      <c r="A103" t="s">
        <v>380</v>
      </c>
      <c r="B103" t="s">
        <v>593</v>
      </c>
      <c r="C103" t="s">
        <v>594</v>
      </c>
    </row>
    <row r="104">
      <c r="A104" t="s">
        <v>272</v>
      </c>
      <c r="B104" t="s">
        <v>490</v>
      </c>
      <c r="C104" t="s">
        <v>452</v>
      </c>
    </row>
    <row r="105">
      <c r="A105" t="s">
        <v>265</v>
      </c>
      <c r="B105" t="s">
        <v>595</v>
      </c>
      <c r="C105" t="s">
        <v>451</v>
      </c>
    </row>
    <row r="106">
      <c r="A106" t="s">
        <v>318</v>
      </c>
      <c r="B106" t="s">
        <v>596</v>
      </c>
      <c r="C106" t="s">
        <v>597</v>
      </c>
    </row>
    <row r="107">
      <c r="A107" t="s">
        <v>267</v>
      </c>
      <c r="B107" t="s">
        <v>598</v>
      </c>
      <c r="C107" t="s">
        <v>599</v>
      </c>
    </row>
    <row r="108">
      <c r="A108" t="s">
        <v>195</v>
      </c>
      <c r="B108" t="s">
        <v>600</v>
      </c>
      <c r="C108" t="s">
        <v>601</v>
      </c>
    </row>
    <row r="109">
      <c r="A109" t="s">
        <v>378</v>
      </c>
      <c r="B109" s="66" t="s">
        <v>602</v>
      </c>
      <c r="C109" s="66" t="s">
        <v>603</v>
      </c>
    </row>
    <row r="110">
      <c r="A110" t="s">
        <v>374</v>
      </c>
      <c r="B110" t="s">
        <v>483</v>
      </c>
      <c r="C110" t="s">
        <v>452</v>
      </c>
    </row>
    <row r="111">
      <c r="A111" s="66" t="s">
        <v>261</v>
      </c>
      <c r="B111" t="s">
        <v>604</v>
      </c>
      <c r="C111" t="s">
        <v>472</v>
      </c>
    </row>
    <row r="112">
      <c r="A112" t="s">
        <v>281</v>
      </c>
      <c r="B112" t="s">
        <v>605</v>
      </c>
      <c r="C112" t="s">
        <v>606</v>
      </c>
    </row>
    <row r="113">
      <c r="A113" t="s">
        <v>292</v>
      </c>
      <c r="B113" t="s">
        <v>607</v>
      </c>
      <c r="C113" t="s">
        <v>608</v>
      </c>
    </row>
    <row r="114">
      <c r="A114" t="s">
        <v>199</v>
      </c>
      <c r="B114" t="s">
        <v>609</v>
      </c>
      <c r="C114" t="s">
        <v>483</v>
      </c>
    </row>
    <row r="115">
      <c r="A115" t="s">
        <v>401</v>
      </c>
      <c r="B115" t="s">
        <v>609</v>
      </c>
      <c r="C115" s="66" t="s">
        <v>450</v>
      </c>
    </row>
    <row r="116">
      <c r="A116" s="66" t="s">
        <v>279</v>
      </c>
      <c r="B116" t="s">
        <v>543</v>
      </c>
      <c r="C116" t="s">
        <v>610</v>
      </c>
    </row>
    <row r="117">
      <c r="A117" s="66" t="s">
        <v>369</v>
      </c>
      <c r="B117" t="s">
        <v>517</v>
      </c>
      <c r="C117" t="s">
        <v>611</v>
      </c>
    </row>
    <row r="118">
      <c r="A118" t="s">
        <v>372</v>
      </c>
      <c r="B118" t="s">
        <v>490</v>
      </c>
      <c r="C118" t="s">
        <v>452</v>
      </c>
    </row>
    <row r="119">
      <c r="A119" t="s">
        <v>304</v>
      </c>
      <c r="B119" t="s">
        <v>612</v>
      </c>
      <c r="C119" t="s">
        <v>613</v>
      </c>
    </row>
    <row r="120">
      <c r="A120" s="66" t="s">
        <v>366</v>
      </c>
      <c r="B120" t="s">
        <v>614</v>
      </c>
      <c r="C120" t="s">
        <v>615</v>
      </c>
    </row>
    <row r="121">
      <c r="A121" s="66" t="s">
        <v>296</v>
      </c>
      <c r="B121" t="s">
        <v>616</v>
      </c>
      <c r="C121" t="s">
        <v>530</v>
      </c>
    </row>
    <row r="122">
      <c r="A122" t="s">
        <v>309</v>
      </c>
      <c r="B122" t="s">
        <v>617</v>
      </c>
      <c r="C122" t="s">
        <v>452</v>
      </c>
    </row>
    <row r="123">
      <c r="A123" t="s">
        <v>155</v>
      </c>
      <c r="B123" t="s">
        <v>618</v>
      </c>
      <c r="C123" t="s">
        <v>619</v>
      </c>
    </row>
    <row r="124">
      <c r="A124" t="s">
        <v>384</v>
      </c>
      <c r="B124" t="s">
        <v>539</v>
      </c>
      <c r="C124" t="s">
        <v>620</v>
      </c>
    </row>
    <row r="125">
      <c r="A125" t="s">
        <v>259</v>
      </c>
      <c r="B125" t="s">
        <v>621</v>
      </c>
      <c r="C125" t="s">
        <v>452</v>
      </c>
    </row>
    <row r="126">
      <c r="A126" t="s">
        <v>377</v>
      </c>
      <c r="B126" t="s">
        <v>622</v>
      </c>
      <c r="C126" t="s">
        <v>623</v>
      </c>
    </row>
    <row r="127">
      <c r="A127" t="s">
        <v>222</v>
      </c>
      <c r="B127" t="s">
        <v>624</v>
      </c>
      <c r="C127" t="s">
        <v>625</v>
      </c>
    </row>
    <row r="128">
      <c r="A128" t="s">
        <v>371</v>
      </c>
      <c r="B128" t="s">
        <v>626</v>
      </c>
      <c r="C128" t="s">
        <v>627</v>
      </c>
    </row>
    <row r="129">
      <c r="A129" t="s">
        <v>271</v>
      </c>
      <c r="B129" t="s">
        <v>628</v>
      </c>
      <c r="C129" t="s">
        <v>452</v>
      </c>
    </row>
    <row r="130">
      <c r="A130" t="s">
        <v>382</v>
      </c>
      <c r="B130" t="s">
        <v>629</v>
      </c>
      <c r="C130" t="s">
        <v>630</v>
      </c>
    </row>
    <row r="131">
      <c r="A131" t="s">
        <v>197</v>
      </c>
      <c r="B131" t="s">
        <v>631</v>
      </c>
      <c r="C131" s="66" t="s">
        <v>450</v>
      </c>
    </row>
    <row r="132">
      <c r="A132" t="s">
        <v>383</v>
      </c>
      <c r="B132" t="s">
        <v>632</v>
      </c>
      <c r="C132" t="s">
        <v>633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t="s">
        <v>228</v>
      </c>
      <c r="B1" s="66" t="s">
        <v>443</v>
      </c>
      <c r="C1" s="66" t="s">
        <v>444</v>
      </c>
    </row>
    <row r="2">
      <c r="A2" t="s">
        <v>187</v>
      </c>
      <c r="B2" s="26" t="s">
        <v>634</v>
      </c>
      <c r="C2" s="26" t="s">
        <v>635</v>
      </c>
    </row>
    <row r="3">
      <c r="A3" t="s">
        <v>186</v>
      </c>
      <c r="B3" s="26" t="s">
        <v>636</v>
      </c>
      <c r="C3" s="26" t="s">
        <v>637</v>
      </c>
    </row>
    <row r="4">
      <c r="A4" t="s">
        <v>389</v>
      </c>
      <c r="B4" s="26" t="s">
        <v>638</v>
      </c>
      <c r="C4" s="26" t="s">
        <v>639</v>
      </c>
    </row>
    <row r="5">
      <c r="A5" t="s">
        <v>193</v>
      </c>
      <c r="B5" s="26" t="s">
        <v>640</v>
      </c>
      <c r="C5" s="26" t="s">
        <v>641</v>
      </c>
    </row>
    <row r="6">
      <c r="A6" t="s">
        <v>189</v>
      </c>
      <c r="B6" s="26" t="s">
        <v>642</v>
      </c>
      <c r="C6" s="26" t="s">
        <v>643</v>
      </c>
    </row>
    <row r="7">
      <c r="A7" t="s">
        <v>190</v>
      </c>
      <c r="B7" s="26" t="s">
        <v>644</v>
      </c>
      <c r="C7" s="26" t="s">
        <v>645</v>
      </c>
    </row>
    <row r="8">
      <c r="A8" t="s">
        <v>188</v>
      </c>
      <c r="B8" s="26" t="s">
        <v>646</v>
      </c>
      <c r="C8" s="26" t="s">
        <v>452</v>
      </c>
    </row>
    <row r="9">
      <c r="A9" t="s">
        <v>192</v>
      </c>
      <c r="B9" s="26" t="s">
        <v>647</v>
      </c>
      <c r="C9" s="26" t="s">
        <v>648</v>
      </c>
    </row>
    <row r="10">
      <c r="A10" t="s">
        <v>129</v>
      </c>
      <c r="B10" s="26" t="s">
        <v>649</v>
      </c>
      <c r="C10" s="26" t="s">
        <v>650</v>
      </c>
    </row>
    <row r="11">
      <c r="A11" t="s">
        <v>191</v>
      </c>
      <c r="B11" s="26" t="s">
        <v>651</v>
      </c>
      <c r="C11" s="26" t="s">
        <v>652</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3">
      <c r="B3" t="str">
        <f>IFERROR(__xludf.DUMMYFUNCTION("IMPORTHTML(""https://www.espn.com/college-football/fpi"",""table"",A1)"),"")</f>
        <v/>
      </c>
      <c r="C3" t="str">
        <f>IFERROR(__xludf.DUMMYFUNCTION("""COMPUTED_VALUE"""),"POWER INDEX")</f>
        <v>POWER INDEX</v>
      </c>
      <c r="F3" t="str">
        <f>IFERROR(__xludf.DUMMYFUNCTION("""COMPUTED_VALUE"""),"PROJECTIONS")</f>
        <v>PROJECTIONS</v>
      </c>
      <c r="N3" t="str">
        <f>IFERROR(__xludf.DUMMYFUNCTION("IMPORTHTML(""https://www.espn.com/college-football/fpi"",""table"",1)"),"")</f>
        <v/>
      </c>
    </row>
    <row r="4">
      <c r="B4" t="str">
        <f>IFERROR(__xludf.DUMMYFUNCTION("""COMPUTED_VALUE"""),"W-L")</f>
        <v>W-L</v>
      </c>
      <c r="C4" t="str">
        <f>IFERROR(__xludf.DUMMYFUNCTION("""COMPUTED_VALUE"""),"FPI")</f>
        <v>FPI</v>
      </c>
      <c r="D4" t="str">
        <f>IFERROR(__xludf.DUMMYFUNCTION("""COMPUTED_VALUE"""),"RK")</f>
        <v>RK</v>
      </c>
      <c r="E4" t="str">
        <f>IFERROR(__xludf.DUMMYFUNCTION("""COMPUTED_VALUE"""),"TREND")</f>
        <v>TREND</v>
      </c>
      <c r="F4" t="str">
        <f>IFERROR(__xludf.DUMMYFUNCTION("""COMPUTED_VALUE"""),"PROJ W-L")</f>
        <v>PROJ W-L</v>
      </c>
      <c r="G4" t="str">
        <f>IFERROR(__xludf.DUMMYFUNCTION("""COMPUTED_VALUE"""),"WIN OUT%")</f>
        <v>WIN OUT%</v>
      </c>
      <c r="H4" t="str">
        <f>IFERROR(__xludf.DUMMYFUNCTION("""COMPUTED_VALUE"""),"6WINS%")</f>
        <v>6WINS%</v>
      </c>
      <c r="I4" t="str">
        <f>IFERROR(__xludf.DUMMYFUNCTION("""COMPUTED_VALUE"""),"WIN DIV%")</f>
        <v>WIN DIV%</v>
      </c>
      <c r="J4" t="str">
        <f>IFERROR(__xludf.DUMMYFUNCTION("""COMPUTED_VALUE"""),"WIN CONF%")</f>
        <v>WIN CONF%</v>
      </c>
      <c r="K4" t="str">
        <f>IFERROR(__xludf.DUMMYFUNCTION("""COMPUTED_VALUE"""),"PLAYOFF%")</f>
        <v>PLAYOFF%</v>
      </c>
      <c r="L4" t="str">
        <f>IFERROR(__xludf.DUMMYFUNCTION("""COMPUTED_VALUE"""),"MAKE NC%")</f>
        <v>MAKE NC%</v>
      </c>
      <c r="M4" t="str">
        <f>IFERROR(__xludf.DUMMYFUNCTION("""COMPUTED_VALUE"""),"WIN NC%")</f>
        <v>WIN NC%</v>
      </c>
      <c r="N4" t="str">
        <f>IFERROR(__xludf.DUMMYFUNCTION("""COMPUTED_VALUE"""),"Team")</f>
        <v>Team</v>
      </c>
      <c r="O4" s="26" t="str">
        <f>IFERROR(__xludf.DUMMYFUNCTION("""COMPUTED_VALUE"""),"CONF")</f>
        <v>CONF</v>
      </c>
      <c r="P4" s="26" t="s">
        <v>653</v>
      </c>
    </row>
    <row r="5">
      <c r="B5" t="str">
        <f>IFERROR(__xludf.DUMMYFUNCTION("""COMPUTED_VALUE"""),"0-0")</f>
        <v>0-0</v>
      </c>
      <c r="C5">
        <f>IFERROR(__xludf.DUMMYFUNCTION("""COMPUTED_VALUE"""),28.7)</f>
        <v>28.7</v>
      </c>
      <c r="D5">
        <f>IFERROR(__xludf.DUMMYFUNCTION("""COMPUTED_VALUE"""),1.0)</f>
        <v>1</v>
      </c>
      <c r="E5" t="str">
        <f>IFERROR(__xludf.DUMMYFUNCTION("""COMPUTED_VALUE"""),"--")</f>
        <v>--</v>
      </c>
      <c r="F5" t="str">
        <f>IFERROR(__xludf.DUMMYFUNCTION("""COMPUTED_VALUE"""),"10.2-2.4")</f>
        <v>10.2-2.4</v>
      </c>
      <c r="G5">
        <f>IFERROR(__xludf.DUMMYFUNCTION("""COMPUTED_VALUE"""),9.2)</f>
        <v>9.2</v>
      </c>
      <c r="H5">
        <f>IFERROR(__xludf.DUMMYFUNCTION("""COMPUTED_VALUE"""),99.4)</f>
        <v>99.4</v>
      </c>
      <c r="I5">
        <f>IFERROR(__xludf.DUMMYFUNCTION("""COMPUTED_VALUE"""),0.0)</f>
        <v>0</v>
      </c>
      <c r="J5">
        <f>IFERROR(__xludf.DUMMYFUNCTION("""COMPUTED_VALUE"""),38.8)</f>
        <v>38.8</v>
      </c>
      <c r="K5">
        <f>IFERROR(__xludf.DUMMYFUNCTION("""COMPUTED_VALUE"""),75.7)</f>
        <v>75.7</v>
      </c>
      <c r="L5">
        <f>IFERROR(__xludf.DUMMYFUNCTION("""COMPUTED_VALUE"""),28.0)</f>
        <v>28</v>
      </c>
      <c r="M5">
        <f>IFERROR(__xludf.DUMMYFUNCTION("""COMPUTED_VALUE"""),17.0)</f>
        <v>17</v>
      </c>
      <c r="N5" t="str">
        <f>IFERROR(__xludf.DUMMYFUNCTION("""COMPUTED_VALUE"""),"Ohio State Buckeyes")</f>
        <v>Ohio State Buckeyes</v>
      </c>
      <c r="O5" s="187" t="str">
        <f>IFERROR(__xludf.DUMMYFUNCTION("""COMPUTED_VALUE"""),"Big Ten")</f>
        <v>Big Ten</v>
      </c>
      <c r="P5" s="187">
        <f>IFERROR(__xludf.DUMMYFUNCTION("indeX(split(F5,""-""),1)-J5/100"),9.812)</f>
        <v>9.812</v>
      </c>
    </row>
    <row r="6">
      <c r="B6" t="str">
        <f>IFERROR(__xludf.DUMMYFUNCTION("""COMPUTED_VALUE"""),"0-0")</f>
        <v>0-0</v>
      </c>
      <c r="C6">
        <f>IFERROR(__xludf.DUMMYFUNCTION("""COMPUTED_VALUE"""),26.9)</f>
        <v>26.9</v>
      </c>
      <c r="D6">
        <f>IFERROR(__xludf.DUMMYFUNCTION("""COMPUTED_VALUE"""),2.0)</f>
        <v>2</v>
      </c>
      <c r="E6" t="str">
        <f>IFERROR(__xludf.DUMMYFUNCTION("""COMPUTED_VALUE"""),"--")</f>
        <v>--</v>
      </c>
      <c r="F6" t="str">
        <f>IFERROR(__xludf.DUMMYFUNCTION("""COMPUTED_VALUE"""),"9.8-2.7")</f>
        <v>9.8-2.7</v>
      </c>
      <c r="G6">
        <f>IFERROR(__xludf.DUMMYFUNCTION("""COMPUTED_VALUE"""),6.8)</f>
        <v>6.8</v>
      </c>
      <c r="H6">
        <f>IFERROR(__xludf.DUMMYFUNCTION("""COMPUTED_VALUE"""),98.0)</f>
        <v>98</v>
      </c>
      <c r="I6">
        <f>IFERROR(__xludf.DUMMYFUNCTION("""COMPUTED_VALUE"""),0.0)</f>
        <v>0</v>
      </c>
      <c r="J6">
        <f>IFERROR(__xludf.DUMMYFUNCTION("""COMPUTED_VALUE"""),29.7)</f>
        <v>29.7</v>
      </c>
      <c r="K6">
        <f>IFERROR(__xludf.DUMMYFUNCTION("""COMPUTED_VALUE"""),70.2)</f>
        <v>70.2</v>
      </c>
      <c r="L6">
        <f>IFERROR(__xludf.DUMMYFUNCTION("""COMPUTED_VALUE"""),22.5)</f>
        <v>22.5</v>
      </c>
      <c r="M6">
        <f>IFERROR(__xludf.DUMMYFUNCTION("""COMPUTED_VALUE"""),12.8)</f>
        <v>12.8</v>
      </c>
      <c r="N6" t="str">
        <f>IFERROR(__xludf.DUMMYFUNCTION("""COMPUTED_VALUE"""),"Texas Longhorns")</f>
        <v>Texas Longhorns</v>
      </c>
      <c r="O6" s="187" t="str">
        <f>IFERROR(__xludf.DUMMYFUNCTION("""COMPUTED_VALUE"""),"SEC")</f>
        <v>SEC</v>
      </c>
      <c r="P6" s="187">
        <f>IFERROR(__xludf.DUMMYFUNCTION("indeX(split(F6,""-""),1)-J6/100"),9.503)</f>
        <v>9.503</v>
      </c>
    </row>
    <row r="7">
      <c r="B7" t="str">
        <f>IFERROR(__xludf.DUMMYFUNCTION("""COMPUTED_VALUE"""),"0-0")</f>
        <v>0-0</v>
      </c>
      <c r="C7">
        <f>IFERROR(__xludf.DUMMYFUNCTION("""COMPUTED_VALUE"""),25.9)</f>
        <v>25.9</v>
      </c>
      <c r="D7">
        <f>IFERROR(__xludf.DUMMYFUNCTION("""COMPUTED_VALUE"""),3.0)</f>
        <v>3</v>
      </c>
      <c r="E7" t="str">
        <f>IFERROR(__xludf.DUMMYFUNCTION("""COMPUTED_VALUE"""),"--")</f>
        <v>--</v>
      </c>
      <c r="F7" t="str">
        <f>IFERROR(__xludf.DUMMYFUNCTION("""COMPUTED_VALUE"""),"10.7-1.3")</f>
        <v>10.7-1.3</v>
      </c>
      <c r="G7">
        <f>IFERROR(__xludf.DUMMYFUNCTION("""COMPUTED_VALUE"""),32.7)</f>
        <v>32.7</v>
      </c>
      <c r="H7">
        <f>IFERROR(__xludf.DUMMYFUNCTION("""COMPUTED_VALUE"""),100.0)</f>
        <v>100</v>
      </c>
      <c r="I7">
        <f>IFERROR(__xludf.DUMMYFUNCTION("""COMPUTED_VALUE"""),0.0)</f>
        <v>0</v>
      </c>
      <c r="J7">
        <f>IFERROR(__xludf.DUMMYFUNCTION("""COMPUTED_VALUE"""),0.0)</f>
        <v>0</v>
      </c>
      <c r="K7">
        <f>IFERROR(__xludf.DUMMYFUNCTION("""COMPUTED_VALUE"""),74.1)</f>
        <v>74.1</v>
      </c>
      <c r="L7">
        <f>IFERROR(__xludf.DUMMYFUNCTION("""COMPUTED_VALUE"""),19.6)</f>
        <v>19.6</v>
      </c>
      <c r="M7">
        <f>IFERROR(__xludf.DUMMYFUNCTION("""COMPUTED_VALUE"""),10.6)</f>
        <v>10.6</v>
      </c>
      <c r="N7" t="str">
        <f>IFERROR(__xludf.DUMMYFUNCTION("""COMPUTED_VALUE"""),"Notre Dame Fighting Irish")</f>
        <v>Notre Dame Fighting Irish</v>
      </c>
      <c r="O7" s="187" t="str">
        <f>IFERROR(__xludf.DUMMYFUNCTION("""COMPUTED_VALUE"""),"FBS Indep.")</f>
        <v>FBS Indep.</v>
      </c>
      <c r="P7" s="187">
        <f>IFERROR(__xludf.DUMMYFUNCTION("indeX(split(F7,""-""),1)-J7/100"),10.7)</f>
        <v>10.7</v>
      </c>
    </row>
    <row r="8">
      <c r="B8" t="str">
        <f>IFERROR(__xludf.DUMMYFUNCTION("""COMPUTED_VALUE"""),"0-0")</f>
        <v>0-0</v>
      </c>
      <c r="C8">
        <f>IFERROR(__xludf.DUMMYFUNCTION("""COMPUTED_VALUE"""),25.3)</f>
        <v>25.3</v>
      </c>
      <c r="D8">
        <f>IFERROR(__xludf.DUMMYFUNCTION("""COMPUTED_VALUE"""),4.0)</f>
        <v>4</v>
      </c>
      <c r="E8" t="str">
        <f>IFERROR(__xludf.DUMMYFUNCTION("""COMPUTED_VALUE"""),"--")</f>
        <v>--</v>
      </c>
      <c r="F8" t="str">
        <f>IFERROR(__xludf.DUMMYFUNCTION("""COMPUTED_VALUE"""),"10.2-2.3")</f>
        <v>10.2-2.3</v>
      </c>
      <c r="G8">
        <f>IFERROR(__xludf.DUMMYFUNCTION("""COMPUTED_VALUE"""),8.5)</f>
        <v>8.5</v>
      </c>
      <c r="H8">
        <f>IFERROR(__xludf.DUMMYFUNCTION("""COMPUTED_VALUE"""),99.4)</f>
        <v>99.4</v>
      </c>
      <c r="I8">
        <f>IFERROR(__xludf.DUMMYFUNCTION("""COMPUTED_VALUE"""),0.0)</f>
        <v>0</v>
      </c>
      <c r="J8">
        <f>IFERROR(__xludf.DUMMYFUNCTION("""COMPUTED_VALUE"""),24.2)</f>
        <v>24.2</v>
      </c>
      <c r="K8">
        <f>IFERROR(__xludf.DUMMYFUNCTION("""COMPUTED_VALUE"""),64.7)</f>
        <v>64.7</v>
      </c>
      <c r="L8">
        <f>IFERROR(__xludf.DUMMYFUNCTION("""COMPUTED_VALUE"""),17.7)</f>
        <v>17.7</v>
      </c>
      <c r="M8">
        <f>IFERROR(__xludf.DUMMYFUNCTION("""COMPUTED_VALUE"""),9.2)</f>
        <v>9.2</v>
      </c>
      <c r="N8" t="str">
        <f>IFERROR(__xludf.DUMMYFUNCTION("""COMPUTED_VALUE"""),"Oregon Ducks")</f>
        <v>Oregon Ducks</v>
      </c>
      <c r="O8" s="187" t="str">
        <f>IFERROR(__xludf.DUMMYFUNCTION("""COMPUTED_VALUE"""),"Big Ten")</f>
        <v>Big Ten</v>
      </c>
      <c r="P8" s="187">
        <f>IFERROR(__xludf.DUMMYFUNCTION("indeX(split(F8,""-""),1)-J8/100"),9.957999999999998)</f>
        <v>9.958</v>
      </c>
    </row>
    <row r="9">
      <c r="B9" t="str">
        <f>IFERROR(__xludf.DUMMYFUNCTION("""COMPUTED_VALUE"""),"0-0")</f>
        <v>0-0</v>
      </c>
      <c r="C9">
        <f>IFERROR(__xludf.DUMMYFUNCTION("""COMPUTED_VALUE"""),24.8)</f>
        <v>24.8</v>
      </c>
      <c r="D9">
        <f>IFERROR(__xludf.DUMMYFUNCTION("""COMPUTED_VALUE"""),5.0)</f>
        <v>5</v>
      </c>
      <c r="E9" t="str">
        <f>IFERROR(__xludf.DUMMYFUNCTION("""COMPUTED_VALUE"""),"--")</f>
        <v>--</v>
      </c>
      <c r="F9" t="str">
        <f>IFERROR(__xludf.DUMMYFUNCTION("""COMPUTED_VALUE"""),"9.9-2.5")</f>
        <v>9.9-2.5</v>
      </c>
      <c r="G9">
        <f>IFERROR(__xludf.DUMMYFUNCTION("""COMPUTED_VALUE"""),10.9)</f>
        <v>10.9</v>
      </c>
      <c r="H9">
        <f>IFERROR(__xludf.DUMMYFUNCTION("""COMPUTED_VALUE"""),98.5)</f>
        <v>98.5</v>
      </c>
      <c r="I9">
        <f>IFERROR(__xludf.DUMMYFUNCTION("""COMPUTED_VALUE"""),0.0)</f>
        <v>0</v>
      </c>
      <c r="J9">
        <f>IFERROR(__xludf.DUMMYFUNCTION("""COMPUTED_VALUE"""),23.3)</f>
        <v>23.3</v>
      </c>
      <c r="K9">
        <f>IFERROR(__xludf.DUMMYFUNCTION("""COMPUTED_VALUE"""),63.9)</f>
        <v>63.9</v>
      </c>
      <c r="L9">
        <f>IFERROR(__xludf.DUMMYFUNCTION("""COMPUTED_VALUE"""),17.1)</f>
        <v>17.1</v>
      </c>
      <c r="M9">
        <f>IFERROR(__xludf.DUMMYFUNCTION("""COMPUTED_VALUE"""),9.6)</f>
        <v>9.6</v>
      </c>
      <c r="N9" t="str">
        <f>IFERROR(__xludf.DUMMYFUNCTION("""COMPUTED_VALUE"""),"Georgia Bulldogs")</f>
        <v>Georgia Bulldogs</v>
      </c>
      <c r="O9" s="187" t="str">
        <f>IFERROR(__xludf.DUMMYFUNCTION("""COMPUTED_VALUE"""),"SEC")</f>
        <v>SEC</v>
      </c>
      <c r="P9" s="187">
        <f>IFERROR(__xludf.DUMMYFUNCTION("indeX(split(F9,""-""),1)-J9/100"),9.667)</f>
        <v>9.667</v>
      </c>
    </row>
    <row r="10">
      <c r="B10" t="str">
        <f>IFERROR(__xludf.DUMMYFUNCTION("""COMPUTED_VALUE"""),"0-0")</f>
        <v>0-0</v>
      </c>
      <c r="C10">
        <f>IFERROR(__xludf.DUMMYFUNCTION("""COMPUTED_VALUE"""),23.1)</f>
        <v>23.1</v>
      </c>
      <c r="D10">
        <f>IFERROR(__xludf.DUMMYFUNCTION("""COMPUTED_VALUE"""),6.0)</f>
        <v>6</v>
      </c>
      <c r="E10" t="str">
        <f>IFERROR(__xludf.DUMMYFUNCTION("""COMPUTED_VALUE"""),"--")</f>
        <v>--</v>
      </c>
      <c r="F10" t="str">
        <f>IFERROR(__xludf.DUMMYFUNCTION("""COMPUTED_VALUE"""),"10.1-2.3")</f>
        <v>10.1-2.3</v>
      </c>
      <c r="G10">
        <f>IFERROR(__xludf.DUMMYFUNCTION("""COMPUTED_VALUE"""),9.5)</f>
        <v>9.5</v>
      </c>
      <c r="H10">
        <f>IFERROR(__xludf.DUMMYFUNCTION("""COMPUTED_VALUE"""),99.4)</f>
        <v>99.4</v>
      </c>
      <c r="I10">
        <f>IFERROR(__xludf.DUMMYFUNCTION("""COMPUTED_VALUE"""),0.0)</f>
        <v>0</v>
      </c>
      <c r="J10">
        <f>IFERROR(__xludf.DUMMYFUNCTION("""COMPUTED_VALUE"""),18.7)</f>
        <v>18.7</v>
      </c>
      <c r="K10">
        <f>IFERROR(__xludf.DUMMYFUNCTION("""COMPUTED_VALUE"""),57.1)</f>
        <v>57.1</v>
      </c>
      <c r="L10">
        <f>IFERROR(__xludf.DUMMYFUNCTION("""COMPUTED_VALUE"""),13.1)</f>
        <v>13.1</v>
      </c>
      <c r="M10">
        <f>IFERROR(__xludf.DUMMYFUNCTION("""COMPUTED_VALUE"""),6.4)</f>
        <v>6.4</v>
      </c>
      <c r="N10" t="str">
        <f>IFERROR(__xludf.DUMMYFUNCTION("""COMPUTED_VALUE"""),"Indiana Hoosiers")</f>
        <v>Indiana Hoosiers</v>
      </c>
      <c r="O10" s="187" t="str">
        <f>IFERROR(__xludf.DUMMYFUNCTION("""COMPUTED_VALUE"""),"Big Ten")</f>
        <v>Big Ten</v>
      </c>
      <c r="P10" s="187">
        <f>IFERROR(__xludf.DUMMYFUNCTION("indeX(split(F10,""-""),1)-J10/100"),9.913)</f>
        <v>9.913</v>
      </c>
    </row>
    <row r="11">
      <c r="B11" t="str">
        <f>IFERROR(__xludf.DUMMYFUNCTION("""COMPUTED_VALUE"""),"0-0")</f>
        <v>0-0</v>
      </c>
      <c r="C11">
        <f>IFERROR(__xludf.DUMMYFUNCTION("""COMPUTED_VALUE"""),21.8)</f>
        <v>21.8</v>
      </c>
      <c r="D11">
        <f>IFERROR(__xludf.DUMMYFUNCTION("""COMPUTED_VALUE"""),7.0)</f>
        <v>7</v>
      </c>
      <c r="E11" t="str">
        <f>IFERROR(__xludf.DUMMYFUNCTION("""COMPUTED_VALUE"""),"--")</f>
        <v>--</v>
      </c>
      <c r="F11" t="str">
        <f>IFERROR(__xludf.DUMMYFUNCTION("""COMPUTED_VALUE"""),"10.4-2.3")</f>
        <v>10.4-2.3</v>
      </c>
      <c r="G11">
        <f>IFERROR(__xludf.DUMMYFUNCTION("""COMPUTED_VALUE"""),8.8)</f>
        <v>8.8</v>
      </c>
      <c r="H11">
        <f>IFERROR(__xludf.DUMMYFUNCTION("""COMPUTED_VALUE"""),99.4)</f>
        <v>99.4</v>
      </c>
      <c r="I11">
        <f>IFERROR(__xludf.DUMMYFUNCTION("""COMPUTED_VALUE"""),0.0)</f>
        <v>0</v>
      </c>
      <c r="J11">
        <f>IFERROR(__xludf.DUMMYFUNCTION("""COMPUTED_VALUE"""),50.3)</f>
        <v>50.3</v>
      </c>
      <c r="K11">
        <f>IFERROR(__xludf.DUMMYFUNCTION("""COMPUTED_VALUE"""),63.3)</f>
        <v>63.3</v>
      </c>
      <c r="L11">
        <f>IFERROR(__xludf.DUMMYFUNCTION("""COMPUTED_VALUE"""),11.2)</f>
        <v>11.2</v>
      </c>
      <c r="M11">
        <f>IFERROR(__xludf.DUMMYFUNCTION("""COMPUTED_VALUE"""),5.3)</f>
        <v>5.3</v>
      </c>
      <c r="N11" t="str">
        <f>IFERROR(__xludf.DUMMYFUNCTION("""COMPUTED_VALUE"""),"Miami Hurricanes")</f>
        <v>Miami Hurricanes</v>
      </c>
      <c r="O11" s="187" t="str">
        <f>IFERROR(__xludf.DUMMYFUNCTION("""COMPUTED_VALUE"""),"ACC")</f>
        <v>ACC</v>
      </c>
      <c r="P11" s="187">
        <f>IFERROR(__xludf.DUMMYFUNCTION("indeX(split(F11,""-""),1)-J11/100"),9.897)</f>
        <v>9.897</v>
      </c>
    </row>
    <row r="12">
      <c r="B12" t="str">
        <f>IFERROR(__xludf.DUMMYFUNCTION("""COMPUTED_VALUE"""),"0-0")</f>
        <v>0-0</v>
      </c>
      <c r="C12">
        <f>IFERROR(__xludf.DUMMYFUNCTION("""COMPUTED_VALUE"""),20.1)</f>
        <v>20.1</v>
      </c>
      <c r="D12">
        <f>IFERROR(__xludf.DUMMYFUNCTION("""COMPUTED_VALUE"""),8.0)</f>
        <v>8</v>
      </c>
      <c r="E12" t="str">
        <f>IFERROR(__xludf.DUMMYFUNCTION("""COMPUTED_VALUE"""),"--")</f>
        <v>--</v>
      </c>
      <c r="F12" t="str">
        <f>IFERROR(__xludf.DUMMYFUNCTION("""COMPUTED_VALUE"""),"8.6-3.6")</f>
        <v>8.6-3.6</v>
      </c>
      <c r="G12">
        <f>IFERROR(__xludf.DUMMYFUNCTION("""COMPUTED_VALUE"""),1.6)</f>
        <v>1.6</v>
      </c>
      <c r="H12">
        <f>IFERROR(__xludf.DUMMYFUNCTION("""COMPUTED_VALUE"""),93.1)</f>
        <v>93.1</v>
      </c>
      <c r="I12">
        <f>IFERROR(__xludf.DUMMYFUNCTION("""COMPUTED_VALUE"""),0.0)</f>
        <v>0</v>
      </c>
      <c r="J12">
        <f>IFERROR(__xludf.DUMMYFUNCTION("""COMPUTED_VALUE"""),10.3)</f>
        <v>10.3</v>
      </c>
      <c r="K12">
        <f>IFERROR(__xludf.DUMMYFUNCTION("""COMPUTED_VALUE"""),41.4)</f>
        <v>41.4</v>
      </c>
      <c r="L12">
        <f>IFERROR(__xludf.DUMMYFUNCTION("""COMPUTED_VALUE"""),8.1)</f>
        <v>8.1</v>
      </c>
      <c r="M12">
        <f>IFERROR(__xludf.DUMMYFUNCTION("""COMPUTED_VALUE"""),3.8)</f>
        <v>3.8</v>
      </c>
      <c r="N12" t="str">
        <f>IFERROR(__xludf.DUMMYFUNCTION("""COMPUTED_VALUE"""),"Alabama Crimson Tide")</f>
        <v>Alabama Crimson Tide</v>
      </c>
      <c r="O12" s="187" t="str">
        <f>IFERROR(__xludf.DUMMYFUNCTION("""COMPUTED_VALUE"""),"SEC")</f>
        <v>SEC</v>
      </c>
      <c r="P12" s="187">
        <f>IFERROR(__xludf.DUMMYFUNCTION("indeX(split(F12,""-""),1)-J12/100"),8.497)</f>
        <v>8.497</v>
      </c>
    </row>
    <row r="13">
      <c r="B13" t="str">
        <f>IFERROR(__xludf.DUMMYFUNCTION("""COMPUTED_VALUE"""),"0-0")</f>
        <v>0-0</v>
      </c>
      <c r="C13">
        <f>IFERROR(__xludf.DUMMYFUNCTION("""COMPUTED_VALUE"""),20.0)</f>
        <v>20</v>
      </c>
      <c r="D13">
        <f>IFERROR(__xludf.DUMMYFUNCTION("""COMPUTED_VALUE"""),9.0)</f>
        <v>9</v>
      </c>
      <c r="E13" t="str">
        <f>IFERROR(__xludf.DUMMYFUNCTION("""COMPUTED_VALUE"""),"--")</f>
        <v>--</v>
      </c>
      <c r="F13" t="str">
        <f>IFERROR(__xludf.DUMMYFUNCTION("""COMPUTED_VALUE"""),"8.4-3.8")</f>
        <v>8.4-3.8</v>
      </c>
      <c r="G13">
        <f>IFERROR(__xludf.DUMMYFUNCTION("""COMPUTED_VALUE"""),1.1)</f>
        <v>1.1</v>
      </c>
      <c r="H13">
        <f>IFERROR(__xludf.DUMMYFUNCTION("""COMPUTED_VALUE"""),91.9)</f>
        <v>91.9</v>
      </c>
      <c r="I13">
        <f>IFERROR(__xludf.DUMMYFUNCTION("""COMPUTED_VALUE"""),0.0)</f>
        <v>0</v>
      </c>
      <c r="J13">
        <f>IFERROR(__xludf.DUMMYFUNCTION("""COMPUTED_VALUE"""),8.8)</f>
        <v>8.8</v>
      </c>
      <c r="K13">
        <f>IFERROR(__xludf.DUMMYFUNCTION("""COMPUTED_VALUE"""),39.5)</f>
        <v>39.5</v>
      </c>
      <c r="L13">
        <f>IFERROR(__xludf.DUMMYFUNCTION("""COMPUTED_VALUE"""),7.6)</f>
        <v>7.6</v>
      </c>
      <c r="M13">
        <f>IFERROR(__xludf.DUMMYFUNCTION("""COMPUTED_VALUE"""),3.5)</f>
        <v>3.5</v>
      </c>
      <c r="N13" t="str">
        <f>IFERROR(__xludf.DUMMYFUNCTION("""COMPUTED_VALUE"""),"LSU Tigers")</f>
        <v>LSU Tigers</v>
      </c>
      <c r="O13" s="187" t="str">
        <f>IFERROR(__xludf.DUMMYFUNCTION("""COMPUTED_VALUE"""),"SEC")</f>
        <v>SEC</v>
      </c>
      <c r="P13" s="187">
        <f>IFERROR(__xludf.DUMMYFUNCTION("indeX(split(F13,""-""),1)-J13/100"),8.312000000000001)</f>
        <v>8.312</v>
      </c>
    </row>
    <row r="14">
      <c r="B14" t="str">
        <f>IFERROR(__xludf.DUMMYFUNCTION("""COMPUTED_VALUE"""),"0-0")</f>
        <v>0-0</v>
      </c>
      <c r="C14">
        <f>IFERROR(__xludf.DUMMYFUNCTION("""COMPUTED_VALUE"""),20.0)</f>
        <v>20</v>
      </c>
      <c r="D14">
        <f>IFERROR(__xludf.DUMMYFUNCTION("""COMPUTED_VALUE"""),10.0)</f>
        <v>10</v>
      </c>
      <c r="E14" t="str">
        <f>IFERROR(__xludf.DUMMYFUNCTION("""COMPUTED_VALUE"""),"--")</f>
        <v>--</v>
      </c>
      <c r="F14" t="str">
        <f>IFERROR(__xludf.DUMMYFUNCTION("""COMPUTED_VALUE"""),"10.8-1.8")</f>
        <v>10.8-1.8</v>
      </c>
      <c r="G14">
        <f>IFERROR(__xludf.DUMMYFUNCTION("""COMPUTED_VALUE"""),25.2)</f>
        <v>25.2</v>
      </c>
      <c r="H14">
        <f>IFERROR(__xludf.DUMMYFUNCTION("""COMPUTED_VALUE"""),99.5)</f>
        <v>99.5</v>
      </c>
      <c r="I14">
        <f>IFERROR(__xludf.DUMMYFUNCTION("""COMPUTED_VALUE"""),0.0)</f>
        <v>0</v>
      </c>
      <c r="J14">
        <f>IFERROR(__xludf.DUMMYFUNCTION("""COMPUTED_VALUE"""),45.9)</f>
        <v>45.9</v>
      </c>
      <c r="K14">
        <f>IFERROR(__xludf.DUMMYFUNCTION("""COMPUTED_VALUE"""),57.8)</f>
        <v>57.8</v>
      </c>
      <c r="L14">
        <f>IFERROR(__xludf.DUMMYFUNCTION("""COMPUTED_VALUE"""),8.1)</f>
        <v>8.1</v>
      </c>
      <c r="M14">
        <f>IFERROR(__xludf.DUMMYFUNCTION("""COMPUTED_VALUE"""),3.5)</f>
        <v>3.5</v>
      </c>
      <c r="N14" t="str">
        <f>IFERROR(__xludf.DUMMYFUNCTION("""COMPUTED_VALUE"""),"Texas Tech Red Raiders")</f>
        <v>Texas Tech Red Raiders</v>
      </c>
      <c r="O14" s="187" t="str">
        <f>IFERROR(__xludf.DUMMYFUNCTION("""COMPUTED_VALUE"""),"Big 12")</f>
        <v>Big 12</v>
      </c>
      <c r="P14" s="187">
        <f>IFERROR(__xludf.DUMMYFUNCTION("indeX(split(F14,""-""),1)-J14/100"),10.341000000000001)</f>
        <v>10.341</v>
      </c>
    </row>
    <row r="15">
      <c r="B15" t="str">
        <f>IFERROR(__xludf.DUMMYFUNCTION("""COMPUTED_VALUE"""),"0-0")</f>
        <v>0-0</v>
      </c>
      <c r="C15">
        <f>IFERROR(__xludf.DUMMYFUNCTION("""COMPUTED_VALUE"""),20.0)</f>
        <v>20</v>
      </c>
      <c r="D15">
        <f>IFERROR(__xludf.DUMMYFUNCTION("""COMPUTED_VALUE"""),11.0)</f>
        <v>11</v>
      </c>
      <c r="E15" t="str">
        <f>IFERROR(__xludf.DUMMYFUNCTION("""COMPUTED_VALUE"""),"--")</f>
        <v>--</v>
      </c>
      <c r="F15" t="str">
        <f>IFERROR(__xludf.DUMMYFUNCTION("""COMPUTED_VALUE"""),"8.4-3.8")</f>
        <v>8.4-3.8</v>
      </c>
      <c r="G15">
        <f>IFERROR(__xludf.DUMMYFUNCTION("""COMPUTED_VALUE"""),0.8)</f>
        <v>0.8</v>
      </c>
      <c r="H15">
        <f>IFERROR(__xludf.DUMMYFUNCTION("""COMPUTED_VALUE"""),92.6)</f>
        <v>92.6</v>
      </c>
      <c r="I15">
        <f>IFERROR(__xludf.DUMMYFUNCTION("""COMPUTED_VALUE"""),0.0)</f>
        <v>0</v>
      </c>
      <c r="J15">
        <f>IFERROR(__xludf.DUMMYFUNCTION("""COMPUTED_VALUE"""),8.4)</f>
        <v>8.4</v>
      </c>
      <c r="K15">
        <f>IFERROR(__xludf.DUMMYFUNCTION("""COMPUTED_VALUE"""),38.8)</f>
        <v>38.8</v>
      </c>
      <c r="L15">
        <f>IFERROR(__xludf.DUMMYFUNCTION("""COMPUTED_VALUE"""),7.3)</f>
        <v>7.3</v>
      </c>
      <c r="M15">
        <f>IFERROR(__xludf.DUMMYFUNCTION("""COMPUTED_VALUE"""),3.4)</f>
        <v>3.4</v>
      </c>
      <c r="N15" t="str">
        <f>IFERROR(__xludf.DUMMYFUNCTION("""COMPUTED_VALUE"""),"Texas A&amp;M Aggies")</f>
        <v>Texas A&amp;M Aggies</v>
      </c>
      <c r="O15" s="187" t="str">
        <f>IFERROR(__xludf.DUMMYFUNCTION("""COMPUTED_VALUE"""),"SEC")</f>
        <v>SEC</v>
      </c>
      <c r="P15" s="187">
        <f>IFERROR(__xludf.DUMMYFUNCTION("indeX(split(F15,""-""),1)-J15/100"),8.316)</f>
        <v>8.316</v>
      </c>
    </row>
    <row r="16">
      <c r="B16" t="str">
        <f>IFERROR(__xludf.DUMMYFUNCTION("""COMPUTED_VALUE"""),"0-0")</f>
        <v>0-0</v>
      </c>
      <c r="C16">
        <f>IFERROR(__xludf.DUMMYFUNCTION("""COMPUTED_VALUE"""),17.8)</f>
        <v>17.8</v>
      </c>
      <c r="D16">
        <f>IFERROR(__xludf.DUMMYFUNCTION("""COMPUTED_VALUE"""),12.0)</f>
        <v>12</v>
      </c>
      <c r="E16" t="str">
        <f>IFERROR(__xludf.DUMMYFUNCTION("""COMPUTED_VALUE"""),"--")</f>
        <v>--</v>
      </c>
      <c r="F16" t="str">
        <f>IFERROR(__xludf.DUMMYFUNCTION("""COMPUTED_VALUE"""),"7.5-4.6")</f>
        <v>7.5-4.6</v>
      </c>
      <c r="G16">
        <f>IFERROR(__xludf.DUMMYFUNCTION("""COMPUTED_VALUE"""),0.1)</f>
        <v>0.1</v>
      </c>
      <c r="H16">
        <f>IFERROR(__xludf.DUMMYFUNCTION("""COMPUTED_VALUE"""),83.2)</f>
        <v>83.2</v>
      </c>
      <c r="I16">
        <f>IFERROR(__xludf.DUMMYFUNCTION("""COMPUTED_VALUE"""),0.0)</f>
        <v>0</v>
      </c>
      <c r="J16">
        <f>IFERROR(__xludf.DUMMYFUNCTION("""COMPUTED_VALUE"""),5.4)</f>
        <v>5.4</v>
      </c>
      <c r="K16">
        <f>IFERROR(__xludf.DUMMYFUNCTION("""COMPUTED_VALUE"""),28.2)</f>
        <v>28.2</v>
      </c>
      <c r="L16">
        <f>IFERROR(__xludf.DUMMYFUNCTION("""COMPUTED_VALUE"""),4.6)</f>
        <v>4.6</v>
      </c>
      <c r="M16">
        <f>IFERROR(__xludf.DUMMYFUNCTION("""COMPUTED_VALUE"""),1.9)</f>
        <v>1.9</v>
      </c>
      <c r="N16" t="str">
        <f>IFERROR(__xludf.DUMMYFUNCTION("""COMPUTED_VALUE"""),"Oklahoma Sooners")</f>
        <v>Oklahoma Sooners</v>
      </c>
      <c r="O16" s="187" t="str">
        <f>IFERROR(__xludf.DUMMYFUNCTION("""COMPUTED_VALUE"""),"SEC")</f>
        <v>SEC</v>
      </c>
      <c r="P16" s="187">
        <f>IFERROR(__xludf.DUMMYFUNCTION("indeX(split(F16,""-""),1)-J16/100"),7.446)</f>
        <v>7.446</v>
      </c>
    </row>
    <row r="17">
      <c r="B17" t="str">
        <f>IFERROR(__xludf.DUMMYFUNCTION("""COMPUTED_VALUE"""),"0-0")</f>
        <v>0-0</v>
      </c>
      <c r="C17">
        <f>IFERROR(__xludf.DUMMYFUNCTION("""COMPUTED_VALUE"""),17.0)</f>
        <v>17</v>
      </c>
      <c r="D17">
        <f>IFERROR(__xludf.DUMMYFUNCTION("""COMPUTED_VALUE"""),13.0)</f>
        <v>13</v>
      </c>
      <c r="E17" t="str">
        <f>IFERROR(__xludf.DUMMYFUNCTION("""COMPUTED_VALUE"""),"--")</f>
        <v>--</v>
      </c>
      <c r="F17" t="str">
        <f>IFERROR(__xludf.DUMMYFUNCTION("""COMPUTED_VALUE"""),"8.2-3.9")</f>
        <v>8.2-3.9</v>
      </c>
      <c r="G17">
        <f>IFERROR(__xludf.DUMMYFUNCTION("""COMPUTED_VALUE"""),0.3)</f>
        <v>0.3</v>
      </c>
      <c r="H17">
        <f>IFERROR(__xludf.DUMMYFUNCTION("""COMPUTED_VALUE"""),93.2)</f>
        <v>93.2</v>
      </c>
      <c r="I17">
        <f>IFERROR(__xludf.DUMMYFUNCTION("""COMPUTED_VALUE"""),0.0)</f>
        <v>0</v>
      </c>
      <c r="J17">
        <f>IFERROR(__xludf.DUMMYFUNCTION("""COMPUTED_VALUE"""),5.1)</f>
        <v>5.1</v>
      </c>
      <c r="K17">
        <f>IFERROR(__xludf.DUMMYFUNCTION("""COMPUTED_VALUE"""),27.5)</f>
        <v>27.5</v>
      </c>
      <c r="L17">
        <f>IFERROR(__xludf.DUMMYFUNCTION("""COMPUTED_VALUE"""),3.9)</f>
        <v>3.9</v>
      </c>
      <c r="M17">
        <f>IFERROR(__xludf.DUMMYFUNCTION("""COMPUTED_VALUE"""),1.7)</f>
        <v>1.7</v>
      </c>
      <c r="N17" t="str">
        <f>IFERROR(__xludf.DUMMYFUNCTION("""COMPUTED_VALUE"""),"USC Trojans")</f>
        <v>USC Trojans</v>
      </c>
      <c r="O17" s="187" t="str">
        <f>IFERROR(__xludf.DUMMYFUNCTION("""COMPUTED_VALUE"""),"Big Ten")</f>
        <v>Big Ten</v>
      </c>
      <c r="P17" s="187">
        <f>IFERROR(__xludf.DUMMYFUNCTION("indeX(split(F17,""-""),1)-J17/100"),8.149)</f>
        <v>8.149</v>
      </c>
    </row>
    <row r="18">
      <c r="B18" t="str">
        <f>IFERROR(__xludf.DUMMYFUNCTION("""COMPUTED_VALUE"""),"0-0")</f>
        <v>0-0</v>
      </c>
      <c r="C18">
        <f>IFERROR(__xludf.DUMMYFUNCTION("""COMPUTED_VALUE"""),16.0)</f>
        <v>16</v>
      </c>
      <c r="D18">
        <f>IFERROR(__xludf.DUMMYFUNCTION("""COMPUTED_VALUE"""),14.0)</f>
        <v>14</v>
      </c>
      <c r="E18" t="str">
        <f>IFERROR(__xludf.DUMMYFUNCTION("""COMPUTED_VALUE"""),"--")</f>
        <v>--</v>
      </c>
      <c r="F18" t="str">
        <f>IFERROR(__xludf.DUMMYFUNCTION("""COMPUTED_VALUE"""),"7.3-4.8")</f>
        <v>7.3-4.8</v>
      </c>
      <c r="G18">
        <f>IFERROR(__xludf.DUMMYFUNCTION("""COMPUTED_VALUE"""),0.1)</f>
        <v>0.1</v>
      </c>
      <c r="H18">
        <f>IFERROR(__xludf.DUMMYFUNCTION("""COMPUTED_VALUE"""),81.0)</f>
        <v>81</v>
      </c>
      <c r="I18">
        <f>IFERROR(__xludf.DUMMYFUNCTION("""COMPUTED_VALUE"""),0.0)</f>
        <v>0</v>
      </c>
      <c r="J18">
        <f>IFERROR(__xludf.DUMMYFUNCTION("""COMPUTED_VALUE"""),3.7)</f>
        <v>3.7</v>
      </c>
      <c r="K18">
        <f>IFERROR(__xludf.DUMMYFUNCTION("""COMPUTED_VALUE"""),22.5)</f>
        <v>22.5</v>
      </c>
      <c r="L18">
        <f>IFERROR(__xludf.DUMMYFUNCTION("""COMPUTED_VALUE"""),3.4)</f>
        <v>3.4</v>
      </c>
      <c r="M18">
        <f>IFERROR(__xludf.DUMMYFUNCTION("""COMPUTED_VALUE"""),1.5)</f>
        <v>1.5</v>
      </c>
      <c r="N18" t="str">
        <f>IFERROR(__xludf.DUMMYFUNCTION("""COMPUTED_VALUE"""),"Ole Miss Rebels")</f>
        <v>Ole Miss Rebels</v>
      </c>
      <c r="O18" s="187" t="str">
        <f>IFERROR(__xludf.DUMMYFUNCTION("""COMPUTED_VALUE"""),"SEC")</f>
        <v>SEC</v>
      </c>
      <c r="P18" s="187">
        <f>IFERROR(__xludf.DUMMYFUNCTION("indeX(split(F18,""-""),1)-J18/100"),7.263)</f>
        <v>7.263</v>
      </c>
    </row>
    <row r="19">
      <c r="B19" t="str">
        <f>IFERROR(__xludf.DUMMYFUNCTION("""COMPUTED_VALUE"""),"0-0")</f>
        <v>0-0</v>
      </c>
      <c r="C19">
        <f>IFERROR(__xludf.DUMMYFUNCTION("""COMPUTED_VALUE"""),15.9)</f>
        <v>15.9</v>
      </c>
      <c r="D19">
        <f>IFERROR(__xludf.DUMMYFUNCTION("""COMPUTED_VALUE"""),15.0)</f>
        <v>15</v>
      </c>
      <c r="E19" t="str">
        <f>IFERROR(__xludf.DUMMYFUNCTION("""COMPUTED_VALUE"""),"--")</f>
        <v>--</v>
      </c>
      <c r="F19" t="str">
        <f>IFERROR(__xludf.DUMMYFUNCTION("""COMPUTED_VALUE"""),"7.8-4.3")</f>
        <v>7.8-4.3</v>
      </c>
      <c r="G19">
        <f>IFERROR(__xludf.DUMMYFUNCTION("""COMPUTED_VALUE"""),0.1)</f>
        <v>0.1</v>
      </c>
      <c r="H19">
        <f>IFERROR(__xludf.DUMMYFUNCTION("""COMPUTED_VALUE"""),89.7)</f>
        <v>89.7</v>
      </c>
      <c r="I19">
        <f>IFERROR(__xludf.DUMMYFUNCTION("""COMPUTED_VALUE"""),0.0)</f>
        <v>0</v>
      </c>
      <c r="J19">
        <f>IFERROR(__xludf.DUMMYFUNCTION("""COMPUTED_VALUE"""),3.8)</f>
        <v>3.8</v>
      </c>
      <c r="K19">
        <f>IFERROR(__xludf.DUMMYFUNCTION("""COMPUTED_VALUE"""),23.2)</f>
        <v>23.2</v>
      </c>
      <c r="L19">
        <f>IFERROR(__xludf.DUMMYFUNCTION("""COMPUTED_VALUE"""),2.8)</f>
        <v>2.8</v>
      </c>
      <c r="M19">
        <f>IFERROR(__xludf.DUMMYFUNCTION("""COMPUTED_VALUE"""),1.1)</f>
        <v>1.1</v>
      </c>
      <c r="N19" t="str">
        <f>IFERROR(__xludf.DUMMYFUNCTION("""COMPUTED_VALUE"""),"Michigan Wolverines")</f>
        <v>Michigan Wolverines</v>
      </c>
      <c r="O19" s="187" t="str">
        <f>IFERROR(__xludf.DUMMYFUNCTION("""COMPUTED_VALUE"""),"Big Ten")</f>
        <v>Big Ten</v>
      </c>
      <c r="P19" s="187">
        <f>IFERROR(__xludf.DUMMYFUNCTION("indeX(split(F19,""-""),1)-J19/100"),7.762)</f>
        <v>7.762</v>
      </c>
    </row>
    <row r="20">
      <c r="B20" t="str">
        <f>IFERROR(__xludf.DUMMYFUNCTION("""COMPUTED_VALUE"""),"0-0")</f>
        <v>0-0</v>
      </c>
      <c r="C20">
        <f>IFERROR(__xludf.DUMMYFUNCTION("""COMPUTED_VALUE"""),15.1)</f>
        <v>15.1</v>
      </c>
      <c r="D20">
        <f>IFERROR(__xludf.DUMMYFUNCTION("""COMPUTED_VALUE"""),16.0)</f>
        <v>16</v>
      </c>
      <c r="E20" t="str">
        <f>IFERROR(__xludf.DUMMYFUNCTION("""COMPUTED_VALUE"""),"--")</f>
        <v>--</v>
      </c>
      <c r="F20" t="str">
        <f>IFERROR(__xludf.DUMMYFUNCTION("""COMPUTED_VALUE"""),"7.3-4.7")</f>
        <v>7.3-4.7</v>
      </c>
      <c r="G20">
        <f>IFERROR(__xludf.DUMMYFUNCTION("""COMPUTED_VALUE"""),0.1)</f>
        <v>0.1</v>
      </c>
      <c r="H20">
        <f>IFERROR(__xludf.DUMMYFUNCTION("""COMPUTED_VALUE"""),80.8)</f>
        <v>80.8</v>
      </c>
      <c r="I20">
        <f>IFERROR(__xludf.DUMMYFUNCTION("""COMPUTED_VALUE"""),0.0)</f>
        <v>0</v>
      </c>
      <c r="J20">
        <f>IFERROR(__xludf.DUMMYFUNCTION("""COMPUTED_VALUE"""),3.1)</f>
        <v>3.1</v>
      </c>
      <c r="K20">
        <f>IFERROR(__xludf.DUMMYFUNCTION("""COMPUTED_VALUE"""),20.4)</f>
        <v>20.4</v>
      </c>
      <c r="L20">
        <f>IFERROR(__xludf.DUMMYFUNCTION("""COMPUTED_VALUE"""),2.5)</f>
        <v>2.5</v>
      </c>
      <c r="M20">
        <f>IFERROR(__xludf.DUMMYFUNCTION("""COMPUTED_VALUE"""),1.0)</f>
        <v>1</v>
      </c>
      <c r="N20" t="str">
        <f>IFERROR(__xludf.DUMMYFUNCTION("""COMPUTED_VALUE"""),"Tennessee Volunteers")</f>
        <v>Tennessee Volunteers</v>
      </c>
      <c r="O20" s="187" t="str">
        <f>IFERROR(__xludf.DUMMYFUNCTION("""COMPUTED_VALUE"""),"SEC")</f>
        <v>SEC</v>
      </c>
      <c r="P20" s="187">
        <f>IFERROR(__xludf.DUMMYFUNCTION("indeX(split(F20,""-""),1)-J20/100"),7.269)</f>
        <v>7.269</v>
      </c>
    </row>
    <row r="21">
      <c r="B21" t="str">
        <f>IFERROR(__xludf.DUMMYFUNCTION("""COMPUTED_VALUE"""),"0-0")</f>
        <v>0-0</v>
      </c>
      <c r="C21">
        <f>IFERROR(__xludf.DUMMYFUNCTION("""COMPUTED_VALUE"""),13.7)</f>
        <v>13.7</v>
      </c>
      <c r="D21">
        <f>IFERROR(__xludf.DUMMYFUNCTION("""COMPUTED_VALUE"""),17.0)</f>
        <v>17</v>
      </c>
      <c r="E21" t="str">
        <f>IFERROR(__xludf.DUMMYFUNCTION("""COMPUTED_VALUE"""),"--")</f>
        <v>--</v>
      </c>
      <c r="F21" t="str">
        <f>IFERROR(__xludf.DUMMYFUNCTION("""COMPUTED_VALUE"""),"9.0-3.2")</f>
        <v>9.0-3.2</v>
      </c>
      <c r="G21">
        <f>IFERROR(__xludf.DUMMYFUNCTION("""COMPUTED_VALUE"""),2.5)</f>
        <v>2.5</v>
      </c>
      <c r="H21">
        <f>IFERROR(__xludf.DUMMYFUNCTION("""COMPUTED_VALUE"""),95.8)</f>
        <v>95.8</v>
      </c>
      <c r="I21">
        <f>IFERROR(__xludf.DUMMYFUNCTION("""COMPUTED_VALUE"""),0.0)</f>
        <v>0</v>
      </c>
      <c r="J21">
        <f>IFERROR(__xludf.DUMMYFUNCTION("""COMPUTED_VALUE"""),4.5)</f>
        <v>4.5</v>
      </c>
      <c r="K21">
        <f>IFERROR(__xludf.DUMMYFUNCTION("""COMPUTED_VALUE"""),22.0)</f>
        <v>22</v>
      </c>
      <c r="L21">
        <f>IFERROR(__xludf.DUMMYFUNCTION("""COMPUTED_VALUE"""),2.1)</f>
        <v>2.1</v>
      </c>
      <c r="M21">
        <f>IFERROR(__xludf.DUMMYFUNCTION("""COMPUTED_VALUE"""),0.8)</f>
        <v>0.8</v>
      </c>
      <c r="N21" t="str">
        <f>IFERROR(__xludf.DUMMYFUNCTION("""COMPUTED_VALUE"""),"Penn State Nittany Lions")</f>
        <v>Penn State Nittany Lions</v>
      </c>
      <c r="O21" s="187" t="str">
        <f>IFERROR(__xludf.DUMMYFUNCTION("""COMPUTED_VALUE"""),"Big Ten")</f>
        <v>Big Ten</v>
      </c>
      <c r="P21" s="187">
        <f>IFERROR(__xludf.DUMMYFUNCTION("indeX(split(F21,""-""),1)-J21/100"),8.955)</f>
        <v>8.955</v>
      </c>
    </row>
    <row r="22">
      <c r="B22" t="str">
        <f>IFERROR(__xludf.DUMMYFUNCTION("""COMPUTED_VALUE"""),"0-0")</f>
        <v>0-0</v>
      </c>
      <c r="C22">
        <f>IFERROR(__xludf.DUMMYFUNCTION("""COMPUTED_VALUE"""),13.6)</f>
        <v>13.6</v>
      </c>
      <c r="D22">
        <f>IFERROR(__xludf.DUMMYFUNCTION("""COMPUTED_VALUE"""),18.0)</f>
        <v>18</v>
      </c>
      <c r="E22" t="str">
        <f>IFERROR(__xludf.DUMMYFUNCTION("""COMPUTED_VALUE"""),"--")</f>
        <v>--</v>
      </c>
      <c r="F22" t="str">
        <f>IFERROR(__xludf.DUMMYFUNCTION("""COMPUTED_VALUE"""),"6.7-5.3")</f>
        <v>6.7-5.3</v>
      </c>
      <c r="G22">
        <f>IFERROR(__xludf.DUMMYFUNCTION("""COMPUTED_VALUE"""),0.0)</f>
        <v>0</v>
      </c>
      <c r="H22">
        <f>IFERROR(__xludf.DUMMYFUNCTION("""COMPUTED_VALUE"""),71.6)</f>
        <v>71.6</v>
      </c>
      <c r="I22">
        <f>IFERROR(__xludf.DUMMYFUNCTION("""COMPUTED_VALUE"""),0.0)</f>
        <v>0</v>
      </c>
      <c r="J22">
        <f>IFERROR(__xludf.DUMMYFUNCTION("""COMPUTED_VALUE"""),2.0)</f>
        <v>2</v>
      </c>
      <c r="K22">
        <f>IFERROR(__xludf.DUMMYFUNCTION("""COMPUTED_VALUE"""),15.1)</f>
        <v>15.1</v>
      </c>
      <c r="L22">
        <f>IFERROR(__xludf.DUMMYFUNCTION("""COMPUTED_VALUE"""),1.7)</f>
        <v>1.7</v>
      </c>
      <c r="M22">
        <f>IFERROR(__xludf.DUMMYFUNCTION("""COMPUTED_VALUE"""),0.7)</f>
        <v>0.7</v>
      </c>
      <c r="N22" t="str">
        <f>IFERROR(__xludf.DUMMYFUNCTION("""COMPUTED_VALUE"""),"Florida Gators")</f>
        <v>Florida Gators</v>
      </c>
      <c r="O22" s="187" t="str">
        <f>IFERROR(__xludf.DUMMYFUNCTION("""COMPUTED_VALUE"""),"SEC")</f>
        <v>SEC</v>
      </c>
      <c r="P22" s="187">
        <f>IFERROR(__xludf.DUMMYFUNCTION("indeX(split(F22,""-""),1)-J22/100"),6.680000000000001)</f>
        <v>6.68</v>
      </c>
    </row>
    <row r="23">
      <c r="B23" t="str">
        <f>IFERROR(__xludf.DUMMYFUNCTION("""COMPUTED_VALUE"""),"0-0")</f>
        <v>0-0</v>
      </c>
      <c r="C23">
        <f>IFERROR(__xludf.DUMMYFUNCTION("""COMPUTED_VALUE"""),13.4)</f>
        <v>13.4</v>
      </c>
      <c r="D23">
        <f>IFERROR(__xludf.DUMMYFUNCTION("""COMPUTED_VALUE"""),19.0)</f>
        <v>19</v>
      </c>
      <c r="E23" t="str">
        <f>IFERROR(__xludf.DUMMYFUNCTION("""COMPUTED_VALUE"""),"--")</f>
        <v>--</v>
      </c>
      <c r="F23" t="str">
        <f>IFERROR(__xludf.DUMMYFUNCTION("""COMPUTED_VALUE"""),"8.1-4.1")</f>
        <v>8.1-4.1</v>
      </c>
      <c r="G23">
        <f>IFERROR(__xludf.DUMMYFUNCTION("""COMPUTED_VALUE"""),0.5)</f>
        <v>0.5</v>
      </c>
      <c r="H23">
        <f>IFERROR(__xludf.DUMMYFUNCTION("""COMPUTED_VALUE"""),89.3)</f>
        <v>89.3</v>
      </c>
      <c r="I23">
        <f>IFERROR(__xludf.DUMMYFUNCTION("""COMPUTED_VALUE"""),0.0)</f>
        <v>0</v>
      </c>
      <c r="J23">
        <f>IFERROR(__xludf.DUMMYFUNCTION("""COMPUTED_VALUE"""),11.9)</f>
        <v>11.9</v>
      </c>
      <c r="K23">
        <f>IFERROR(__xludf.DUMMYFUNCTION("""COMPUTED_VALUE"""),22.3)</f>
        <v>22.3</v>
      </c>
      <c r="L23">
        <f>IFERROR(__xludf.DUMMYFUNCTION("""COMPUTED_VALUE"""),2.1)</f>
        <v>2.1</v>
      </c>
      <c r="M23">
        <f>IFERROR(__xludf.DUMMYFUNCTION("""COMPUTED_VALUE"""),0.8)</f>
        <v>0.8</v>
      </c>
      <c r="N23" t="str">
        <f>IFERROR(__xludf.DUMMYFUNCTION("""COMPUTED_VALUE"""),"Clemson Tigers")</f>
        <v>Clemson Tigers</v>
      </c>
      <c r="O23" s="187" t="str">
        <f>IFERROR(__xludf.DUMMYFUNCTION("""COMPUTED_VALUE"""),"ACC")</f>
        <v>ACC</v>
      </c>
      <c r="P23" s="187">
        <f>IFERROR(__xludf.DUMMYFUNCTION("indeX(split(F23,""-""),1)-J23/100"),7.981)</f>
        <v>7.981</v>
      </c>
    </row>
    <row r="24">
      <c r="B24" t="str">
        <f>IFERROR(__xludf.DUMMYFUNCTION("""COMPUTED_VALUE"""),"0-0")</f>
        <v>0-0</v>
      </c>
      <c r="C24">
        <f>IFERROR(__xludf.DUMMYFUNCTION("""COMPUTED_VALUE"""),13.1)</f>
        <v>13.1</v>
      </c>
      <c r="D24">
        <f>IFERROR(__xludf.DUMMYFUNCTION("""COMPUTED_VALUE"""),20.0)</f>
        <v>20</v>
      </c>
      <c r="E24" t="str">
        <f>IFERROR(__xludf.DUMMYFUNCTION("""COMPUTED_VALUE"""),"--")</f>
        <v>--</v>
      </c>
      <c r="F24" t="str">
        <f>IFERROR(__xludf.DUMMYFUNCTION("""COMPUTED_VALUE"""),"8.7-3.6")</f>
        <v>8.7-3.6</v>
      </c>
      <c r="G24">
        <f>IFERROR(__xludf.DUMMYFUNCTION("""COMPUTED_VALUE"""),1.4)</f>
        <v>1.4</v>
      </c>
      <c r="H24">
        <f>IFERROR(__xludf.DUMMYFUNCTION("""COMPUTED_VALUE"""),93.1)</f>
        <v>93.1</v>
      </c>
      <c r="I24">
        <f>IFERROR(__xludf.DUMMYFUNCTION("""COMPUTED_VALUE"""),0.0)</f>
        <v>0</v>
      </c>
      <c r="J24">
        <f>IFERROR(__xludf.DUMMYFUNCTION("""COMPUTED_VALUE"""),16.5)</f>
        <v>16.5</v>
      </c>
      <c r="K24">
        <f>IFERROR(__xludf.DUMMYFUNCTION("""COMPUTED_VALUE"""),25.6)</f>
        <v>25.6</v>
      </c>
      <c r="L24">
        <f>IFERROR(__xludf.DUMMYFUNCTION("""COMPUTED_VALUE"""),2.0)</f>
        <v>2</v>
      </c>
      <c r="M24">
        <f>IFERROR(__xludf.DUMMYFUNCTION("""COMPUTED_VALUE"""),0.7)</f>
        <v>0.7</v>
      </c>
      <c r="N24" t="str">
        <f>IFERROR(__xludf.DUMMYFUNCTION("""COMPUTED_VALUE"""),"BYU Cougars")</f>
        <v>BYU Cougars</v>
      </c>
      <c r="O24" s="187" t="str">
        <f>IFERROR(__xludf.DUMMYFUNCTION("""COMPUTED_VALUE"""),"Big 12")</f>
        <v>Big 12</v>
      </c>
      <c r="P24" s="187">
        <f>IFERROR(__xludf.DUMMYFUNCTION("indeX(split(F24,""-""),1)-J24/100"),8.535)</f>
        <v>8.535</v>
      </c>
    </row>
    <row r="25">
      <c r="B25" t="str">
        <f>IFERROR(__xludf.DUMMYFUNCTION("""COMPUTED_VALUE"""),"0-0")</f>
        <v>0-0</v>
      </c>
      <c r="C25">
        <f>IFERROR(__xludf.DUMMYFUNCTION("""COMPUTED_VALUE"""),12.2)</f>
        <v>12.2</v>
      </c>
      <c r="D25">
        <f>IFERROR(__xludf.DUMMYFUNCTION("""COMPUTED_VALUE"""),21.0)</f>
        <v>21</v>
      </c>
      <c r="E25" t="str">
        <f>IFERROR(__xludf.DUMMYFUNCTION("""COMPUTED_VALUE"""),"--")</f>
        <v>--</v>
      </c>
      <c r="F25" t="str">
        <f>IFERROR(__xludf.DUMMYFUNCTION("""COMPUTED_VALUE"""),"6.7-5.3")</f>
        <v>6.7-5.3</v>
      </c>
      <c r="G25">
        <f>IFERROR(__xludf.DUMMYFUNCTION("""COMPUTED_VALUE"""),0.0)</f>
        <v>0</v>
      </c>
      <c r="H25">
        <f>IFERROR(__xludf.DUMMYFUNCTION("""COMPUTED_VALUE"""),71.9)</f>
        <v>71.9</v>
      </c>
      <c r="I25">
        <f>IFERROR(__xludf.DUMMYFUNCTION("""COMPUTED_VALUE"""),0.0)</f>
        <v>0</v>
      </c>
      <c r="J25">
        <f>IFERROR(__xludf.DUMMYFUNCTION("""COMPUTED_VALUE"""),1.5)</f>
        <v>1.5</v>
      </c>
      <c r="K25">
        <f>IFERROR(__xludf.DUMMYFUNCTION("""COMPUTED_VALUE"""),12.4)</f>
        <v>12.4</v>
      </c>
      <c r="L25">
        <f>IFERROR(__xludf.DUMMYFUNCTION("""COMPUTED_VALUE"""),1.2)</f>
        <v>1.2</v>
      </c>
      <c r="M25">
        <f>IFERROR(__xludf.DUMMYFUNCTION("""COMPUTED_VALUE"""),0.4)</f>
        <v>0.4</v>
      </c>
      <c r="N25" t="str">
        <f>IFERROR(__xludf.DUMMYFUNCTION("""COMPUTED_VALUE"""),"Missouri Tigers")</f>
        <v>Missouri Tigers</v>
      </c>
      <c r="O25" s="187" t="str">
        <f>IFERROR(__xludf.DUMMYFUNCTION("""COMPUTED_VALUE"""),"SEC")</f>
        <v>SEC</v>
      </c>
      <c r="P25" s="187">
        <f>IFERROR(__xludf.DUMMYFUNCTION("indeX(split(F25,""-""),1)-J25/100"),6.6850000000000005)</f>
        <v>6.685</v>
      </c>
    </row>
    <row r="26">
      <c r="B26" t="str">
        <f>IFERROR(__xludf.DUMMYFUNCTION("""COMPUTED_VALUE"""),"0-0")</f>
        <v>0-0</v>
      </c>
      <c r="C26">
        <f>IFERROR(__xludf.DUMMYFUNCTION("""COMPUTED_VALUE"""),12.0)</f>
        <v>12</v>
      </c>
      <c r="D26">
        <f>IFERROR(__xludf.DUMMYFUNCTION("""COMPUTED_VALUE"""),22.0)</f>
        <v>22</v>
      </c>
      <c r="E26" t="str">
        <f>IFERROR(__xludf.DUMMYFUNCTION("""COMPUTED_VALUE"""),"--")</f>
        <v>--</v>
      </c>
      <c r="F26" t="str">
        <f>IFERROR(__xludf.DUMMYFUNCTION("""COMPUTED_VALUE"""),"6.6-5.4")</f>
        <v>6.6-5.4</v>
      </c>
      <c r="G26">
        <f>IFERROR(__xludf.DUMMYFUNCTION("""COMPUTED_VALUE"""),0.0)</f>
        <v>0</v>
      </c>
      <c r="H26">
        <f>IFERROR(__xludf.DUMMYFUNCTION("""COMPUTED_VALUE"""),69.7)</f>
        <v>69.7</v>
      </c>
      <c r="I26">
        <f>IFERROR(__xludf.DUMMYFUNCTION("""COMPUTED_VALUE"""),0.0)</f>
        <v>0</v>
      </c>
      <c r="J26">
        <f>IFERROR(__xludf.DUMMYFUNCTION("""COMPUTED_VALUE"""),1.4)</f>
        <v>1.4</v>
      </c>
      <c r="K26">
        <f>IFERROR(__xludf.DUMMYFUNCTION("""COMPUTED_VALUE"""),12.0)</f>
        <v>12</v>
      </c>
      <c r="L26">
        <f>IFERROR(__xludf.DUMMYFUNCTION("""COMPUTED_VALUE"""),1.2)</f>
        <v>1.2</v>
      </c>
      <c r="M26">
        <f>IFERROR(__xludf.DUMMYFUNCTION("""COMPUTED_VALUE"""),0.5)</f>
        <v>0.5</v>
      </c>
      <c r="N26" t="str">
        <f>IFERROR(__xludf.DUMMYFUNCTION("""COMPUTED_VALUE"""),"Auburn Tigers")</f>
        <v>Auburn Tigers</v>
      </c>
      <c r="O26" s="187" t="str">
        <f>IFERROR(__xludf.DUMMYFUNCTION("""COMPUTED_VALUE"""),"SEC")</f>
        <v>SEC</v>
      </c>
      <c r="P26" s="187">
        <f>IFERROR(__xludf.DUMMYFUNCTION("indeX(split(F26,""-""),1)-J26/100"),6.585999999999999)</f>
        <v>6.586</v>
      </c>
    </row>
    <row r="27">
      <c r="B27" t="str">
        <f>IFERROR(__xludf.DUMMYFUNCTION("""COMPUTED_VALUE"""),"0-0")</f>
        <v>0-0</v>
      </c>
      <c r="C27">
        <f>IFERROR(__xludf.DUMMYFUNCTION("""COMPUTED_VALUE"""),11.7)</f>
        <v>11.7</v>
      </c>
      <c r="D27">
        <f>IFERROR(__xludf.DUMMYFUNCTION("""COMPUTED_VALUE"""),23.0)</f>
        <v>23</v>
      </c>
      <c r="E27" t="str">
        <f>IFERROR(__xludf.DUMMYFUNCTION("""COMPUTED_VALUE"""),"--")</f>
        <v>--</v>
      </c>
      <c r="F27" t="str">
        <f>IFERROR(__xludf.DUMMYFUNCTION("""COMPUTED_VALUE"""),"6.4-5.6")</f>
        <v>6.4-5.6</v>
      </c>
      <c r="G27">
        <f>IFERROR(__xludf.DUMMYFUNCTION("""COMPUTED_VALUE"""),0.0)</f>
        <v>0</v>
      </c>
      <c r="H27">
        <f>IFERROR(__xludf.DUMMYFUNCTION("""COMPUTED_VALUE"""),66.6)</f>
        <v>66.6</v>
      </c>
      <c r="I27">
        <f>IFERROR(__xludf.DUMMYFUNCTION("""COMPUTED_VALUE"""),0.0)</f>
        <v>0</v>
      </c>
      <c r="J27">
        <f>IFERROR(__xludf.DUMMYFUNCTION("""COMPUTED_VALUE"""),1.3)</f>
        <v>1.3</v>
      </c>
      <c r="K27">
        <f>IFERROR(__xludf.DUMMYFUNCTION("""COMPUTED_VALUE"""),10.8)</f>
        <v>10.8</v>
      </c>
      <c r="L27">
        <f>IFERROR(__xludf.DUMMYFUNCTION("""COMPUTED_VALUE"""),1.1)</f>
        <v>1.1</v>
      </c>
      <c r="M27">
        <f>IFERROR(__xludf.DUMMYFUNCTION("""COMPUTED_VALUE"""),0.4)</f>
        <v>0.4</v>
      </c>
      <c r="N27" t="str">
        <f>IFERROR(__xludf.DUMMYFUNCTION("""COMPUTED_VALUE"""),"South Carolina Gamecocks")</f>
        <v>South Carolina Gamecocks</v>
      </c>
      <c r="O27" s="187" t="str">
        <f>IFERROR(__xludf.DUMMYFUNCTION("""COMPUTED_VALUE"""),"SEC")</f>
        <v>SEC</v>
      </c>
      <c r="P27" s="187">
        <f>IFERROR(__xludf.DUMMYFUNCTION("indeX(split(F27,""-""),1)-J27/100"),6.3870000000000005)</f>
        <v>6.387</v>
      </c>
    </row>
    <row r="28">
      <c r="B28" t="str">
        <f>IFERROR(__xludf.DUMMYFUNCTION("""COMPUTED_VALUE"""),"0-0")</f>
        <v>0-0</v>
      </c>
      <c r="C28">
        <f>IFERROR(__xludf.DUMMYFUNCTION("""COMPUTED_VALUE"""),11.1)</f>
        <v>11.1</v>
      </c>
      <c r="D28">
        <f>IFERROR(__xludf.DUMMYFUNCTION("""COMPUTED_VALUE"""),24.0)</f>
        <v>24</v>
      </c>
      <c r="E28" t="str">
        <f>IFERROR(__xludf.DUMMYFUNCTION("""COMPUTED_VALUE"""),"--")</f>
        <v>--</v>
      </c>
      <c r="F28" t="str">
        <f>IFERROR(__xludf.DUMMYFUNCTION("""COMPUTED_VALUE"""),"8.3-4.0")</f>
        <v>8.3-4.0</v>
      </c>
      <c r="G28">
        <f>IFERROR(__xludf.DUMMYFUNCTION("""COMPUTED_VALUE"""),0.4)</f>
        <v>0.4</v>
      </c>
      <c r="H28">
        <f>IFERROR(__xludf.DUMMYFUNCTION("""COMPUTED_VALUE"""),91.6)</f>
        <v>91.6</v>
      </c>
      <c r="I28">
        <f>IFERROR(__xludf.DUMMYFUNCTION("""COMPUTED_VALUE"""),0.0)</f>
        <v>0</v>
      </c>
      <c r="J28">
        <f>IFERROR(__xludf.DUMMYFUNCTION("""COMPUTED_VALUE"""),10.3)</f>
        <v>10.3</v>
      </c>
      <c r="K28">
        <f>IFERROR(__xludf.DUMMYFUNCTION("""COMPUTED_VALUE"""),18.2)</f>
        <v>18.2</v>
      </c>
      <c r="L28">
        <f>IFERROR(__xludf.DUMMYFUNCTION("""COMPUTED_VALUE"""),1.3)</f>
        <v>1.3</v>
      </c>
      <c r="M28">
        <f>IFERROR(__xludf.DUMMYFUNCTION("""COMPUTED_VALUE"""),0.4)</f>
        <v>0.4</v>
      </c>
      <c r="N28" t="str">
        <f>IFERROR(__xludf.DUMMYFUNCTION("""COMPUTED_VALUE"""),"SMU Mustangs")</f>
        <v>SMU Mustangs</v>
      </c>
      <c r="O28" s="187" t="str">
        <f>IFERROR(__xludf.DUMMYFUNCTION("""COMPUTED_VALUE"""),"ACC")</f>
        <v>ACC</v>
      </c>
      <c r="P28" s="187">
        <f>IFERROR(__xludf.DUMMYFUNCTION("indeX(split(F28,""-""),1)-J28/100"),8.197000000000001)</f>
        <v>8.197</v>
      </c>
    </row>
    <row r="29">
      <c r="B29" t="str">
        <f>IFERROR(__xludf.DUMMYFUNCTION("""COMPUTED_VALUE"""),"0-0")</f>
        <v>0-0</v>
      </c>
      <c r="C29">
        <f>IFERROR(__xludf.DUMMYFUNCTION("""COMPUTED_VALUE"""),10.6)</f>
        <v>10.6</v>
      </c>
      <c r="D29">
        <f>IFERROR(__xludf.DUMMYFUNCTION("""COMPUTED_VALUE"""),25.0)</f>
        <v>25</v>
      </c>
      <c r="E29" t="str">
        <f>IFERROR(__xludf.DUMMYFUNCTION("""COMPUTED_VALUE"""),"--")</f>
        <v>--</v>
      </c>
      <c r="F29" t="str">
        <f>IFERROR(__xludf.DUMMYFUNCTION("""COMPUTED_VALUE"""),"7.6-4.4")</f>
        <v>7.6-4.4</v>
      </c>
      <c r="G29">
        <f>IFERROR(__xludf.DUMMYFUNCTION("""COMPUTED_VALUE"""),0.1)</f>
        <v>0.1</v>
      </c>
      <c r="H29">
        <f>IFERROR(__xludf.DUMMYFUNCTION("""COMPUTED_VALUE"""),86.2)</f>
        <v>86.2</v>
      </c>
      <c r="I29">
        <f>IFERROR(__xludf.DUMMYFUNCTION("""COMPUTED_VALUE"""),0.0)</f>
        <v>0</v>
      </c>
      <c r="J29">
        <f>IFERROR(__xludf.DUMMYFUNCTION("""COMPUTED_VALUE"""),1.7)</f>
        <v>1.7</v>
      </c>
      <c r="K29">
        <f>IFERROR(__xludf.DUMMYFUNCTION("""COMPUTED_VALUE"""),11.8)</f>
        <v>11.8</v>
      </c>
      <c r="L29">
        <f>IFERROR(__xludf.DUMMYFUNCTION("""COMPUTED_VALUE"""),0.8)</f>
        <v>0.8</v>
      </c>
      <c r="M29">
        <f>IFERROR(__xludf.DUMMYFUNCTION("""COMPUTED_VALUE"""),0.2)</f>
        <v>0.2</v>
      </c>
      <c r="N29" t="str">
        <f>IFERROR(__xludf.DUMMYFUNCTION("""COMPUTED_VALUE"""),"Iowa Hawkeyes")</f>
        <v>Iowa Hawkeyes</v>
      </c>
      <c r="O29" s="187" t="str">
        <f>IFERROR(__xludf.DUMMYFUNCTION("""COMPUTED_VALUE"""),"Big Ten")</f>
        <v>Big Ten</v>
      </c>
      <c r="P29" s="187">
        <f>IFERROR(__xludf.DUMMYFUNCTION("indeX(split(F29,""-""),1)-J29/100"),7.582999999999999)</f>
        <v>7.583</v>
      </c>
    </row>
    <row r="30">
      <c r="B30" t="str">
        <f>IFERROR(__xludf.DUMMYFUNCTION("""COMPUTED_VALUE"""),"0-0")</f>
        <v>0-0</v>
      </c>
      <c r="C30">
        <f>IFERROR(__xludf.DUMMYFUNCTION("""COMPUTED_VALUE"""),9.9)</f>
        <v>9.9</v>
      </c>
      <c r="D30">
        <f>IFERROR(__xludf.DUMMYFUNCTION("""COMPUTED_VALUE"""),26.0)</f>
        <v>26</v>
      </c>
      <c r="E30" t="str">
        <f>IFERROR(__xludf.DUMMYFUNCTION("""COMPUTED_VALUE"""),"--")</f>
        <v>--</v>
      </c>
      <c r="F30" t="str">
        <f>IFERROR(__xludf.DUMMYFUNCTION("""COMPUTED_VALUE"""),"7.0-5.0")</f>
        <v>7.0-5.0</v>
      </c>
      <c r="G30">
        <f>IFERROR(__xludf.DUMMYFUNCTION("""COMPUTED_VALUE"""),0.0)</f>
        <v>0</v>
      </c>
      <c r="H30">
        <f>IFERROR(__xludf.DUMMYFUNCTION("""COMPUTED_VALUE"""),78.1)</f>
        <v>78.1</v>
      </c>
      <c r="I30">
        <f>IFERROR(__xludf.DUMMYFUNCTION("""COMPUTED_VALUE"""),0.0)</f>
        <v>0</v>
      </c>
      <c r="J30">
        <f>IFERROR(__xludf.DUMMYFUNCTION("""COMPUTED_VALUE"""),1.0)</f>
        <v>1</v>
      </c>
      <c r="K30">
        <f>IFERROR(__xludf.DUMMYFUNCTION("""COMPUTED_VALUE"""),9.2)</f>
        <v>9.2</v>
      </c>
      <c r="L30">
        <f>IFERROR(__xludf.DUMMYFUNCTION("""COMPUTED_VALUE"""),0.6)</f>
        <v>0.6</v>
      </c>
      <c r="M30">
        <f>IFERROR(__xludf.DUMMYFUNCTION("""COMPUTED_VALUE"""),0.2)</f>
        <v>0.2</v>
      </c>
      <c r="N30" t="str">
        <f>IFERROR(__xludf.DUMMYFUNCTION("""COMPUTED_VALUE"""),"Washington Huskies")</f>
        <v>Washington Huskies</v>
      </c>
      <c r="O30" s="187" t="str">
        <f>IFERROR(__xludf.DUMMYFUNCTION("""COMPUTED_VALUE"""),"Big Ten")</f>
        <v>Big Ten</v>
      </c>
      <c r="P30" s="187">
        <f>IFERROR(__xludf.DUMMYFUNCTION("indeX(split(F30,""-""),1)-J30/100"),6.99)</f>
        <v>6.99</v>
      </c>
    </row>
    <row r="31">
      <c r="B31" t="str">
        <f>IFERROR(__xludf.DUMMYFUNCTION("""COMPUTED_VALUE"""),"0-0")</f>
        <v>0-0</v>
      </c>
      <c r="C31">
        <f>IFERROR(__xludf.DUMMYFUNCTION("""COMPUTED_VALUE"""),9.5)</f>
        <v>9.5</v>
      </c>
      <c r="D31">
        <f>IFERROR(__xludf.DUMMYFUNCTION("""COMPUTED_VALUE"""),27.0)</f>
        <v>27</v>
      </c>
      <c r="E31" t="str">
        <f>IFERROR(__xludf.DUMMYFUNCTION("""COMPUTED_VALUE"""),"--")</f>
        <v>--</v>
      </c>
      <c r="F31" t="str">
        <f>IFERROR(__xludf.DUMMYFUNCTION("""COMPUTED_VALUE"""),"7.6-4.6")</f>
        <v>7.6-4.6</v>
      </c>
      <c r="G31">
        <f>IFERROR(__xludf.DUMMYFUNCTION("""COMPUTED_VALUE"""),0.3)</f>
        <v>0.3</v>
      </c>
      <c r="H31">
        <f>IFERROR(__xludf.DUMMYFUNCTION("""COMPUTED_VALUE"""),82.0)</f>
        <v>82</v>
      </c>
      <c r="I31">
        <f>IFERROR(__xludf.DUMMYFUNCTION("""COMPUTED_VALUE"""),0.0)</f>
        <v>0</v>
      </c>
      <c r="J31">
        <f>IFERROR(__xludf.DUMMYFUNCTION("""COMPUTED_VALUE"""),7.0)</f>
        <v>7</v>
      </c>
      <c r="K31">
        <f>IFERROR(__xludf.DUMMYFUNCTION("""COMPUTED_VALUE"""),13.4)</f>
        <v>13.4</v>
      </c>
      <c r="L31">
        <f>IFERROR(__xludf.DUMMYFUNCTION("""COMPUTED_VALUE"""),0.8)</f>
        <v>0.8</v>
      </c>
      <c r="M31">
        <f>IFERROR(__xludf.DUMMYFUNCTION("""COMPUTED_VALUE"""),0.2)</f>
        <v>0.2</v>
      </c>
      <c r="N31" t="str">
        <f>IFERROR(__xludf.DUMMYFUNCTION("""COMPUTED_VALUE"""),"Louisville Cardinals")</f>
        <v>Louisville Cardinals</v>
      </c>
      <c r="O31" s="187" t="str">
        <f>IFERROR(__xludf.DUMMYFUNCTION("""COMPUTED_VALUE"""),"ACC")</f>
        <v>ACC</v>
      </c>
      <c r="P31" s="187">
        <f>IFERROR(__xludf.DUMMYFUNCTION("indeX(split(F31,""-""),1)-J31/100"),7.529999999999999)</f>
        <v>7.53</v>
      </c>
    </row>
    <row r="32">
      <c r="B32" t="str">
        <f>IFERROR(__xludf.DUMMYFUNCTION("""COMPUTED_VALUE"""),"0-0")</f>
        <v>0-0</v>
      </c>
      <c r="C32">
        <f>IFERROR(__xludf.DUMMYFUNCTION("""COMPUTED_VALUE"""),9.3)</f>
        <v>9.3</v>
      </c>
      <c r="D32">
        <f>IFERROR(__xludf.DUMMYFUNCTION("""COMPUTED_VALUE"""),28.0)</f>
        <v>28</v>
      </c>
      <c r="E32" t="str">
        <f>IFERROR(__xludf.DUMMYFUNCTION("""COMPUTED_VALUE"""),"--")</f>
        <v>--</v>
      </c>
      <c r="F32" t="str">
        <f>IFERROR(__xludf.DUMMYFUNCTION("""COMPUTED_VALUE"""),"6.7-5.4")</f>
        <v>6.7-5.4</v>
      </c>
      <c r="G32">
        <f>IFERROR(__xludf.DUMMYFUNCTION("""COMPUTED_VALUE"""),0.0)</f>
        <v>0</v>
      </c>
      <c r="H32">
        <f>IFERROR(__xludf.DUMMYFUNCTION("""COMPUTED_VALUE"""),71.0)</f>
        <v>71</v>
      </c>
      <c r="I32">
        <f>IFERROR(__xludf.DUMMYFUNCTION("""COMPUTED_VALUE"""),0.0)</f>
        <v>0</v>
      </c>
      <c r="J32">
        <f>IFERROR(__xludf.DUMMYFUNCTION("""COMPUTED_VALUE"""),4.2)</f>
        <v>4.2</v>
      </c>
      <c r="K32">
        <f>IFERROR(__xludf.DUMMYFUNCTION("""COMPUTED_VALUE"""),9.5)</f>
        <v>9.5</v>
      </c>
      <c r="L32">
        <f>IFERROR(__xludf.DUMMYFUNCTION("""COMPUTED_VALUE"""),0.6)</f>
        <v>0.6</v>
      </c>
      <c r="M32">
        <f>IFERROR(__xludf.DUMMYFUNCTION("""COMPUTED_VALUE"""),0.2)</f>
        <v>0.2</v>
      </c>
      <c r="N32" t="str">
        <f>IFERROR(__xludf.DUMMYFUNCTION("""COMPUTED_VALUE"""),"Florida State Seminoles")</f>
        <v>Florida State Seminoles</v>
      </c>
      <c r="O32" s="187" t="str">
        <f>IFERROR(__xludf.DUMMYFUNCTION("""COMPUTED_VALUE"""),"ACC")</f>
        <v>ACC</v>
      </c>
      <c r="P32" s="187">
        <f>IFERROR(__xludf.DUMMYFUNCTION("indeX(split(F32,""-""),1)-J32/100"),6.658)</f>
        <v>6.658</v>
      </c>
    </row>
    <row r="33">
      <c r="B33" t="str">
        <f>IFERROR(__xludf.DUMMYFUNCTION("""COMPUTED_VALUE"""),"0-0")</f>
        <v>0-0</v>
      </c>
      <c r="C33">
        <f>IFERROR(__xludf.DUMMYFUNCTION("""COMPUTED_VALUE"""),9.0)</f>
        <v>9</v>
      </c>
      <c r="D33">
        <f>IFERROR(__xludf.DUMMYFUNCTION("""COMPUTED_VALUE"""),29.0)</f>
        <v>29</v>
      </c>
      <c r="E33" t="str">
        <f>IFERROR(__xludf.DUMMYFUNCTION("""COMPUTED_VALUE"""),"--")</f>
        <v>--</v>
      </c>
      <c r="F33" t="str">
        <f>IFERROR(__xludf.DUMMYFUNCTION("""COMPUTED_VALUE"""),"6.2-5.8")</f>
        <v>6.2-5.8</v>
      </c>
      <c r="G33">
        <f>IFERROR(__xludf.DUMMYFUNCTION("""COMPUTED_VALUE"""),0.0)</f>
        <v>0</v>
      </c>
      <c r="H33">
        <f>IFERROR(__xludf.DUMMYFUNCTION("""COMPUTED_VALUE"""),62.5)</f>
        <v>62.5</v>
      </c>
      <c r="I33">
        <f>IFERROR(__xludf.DUMMYFUNCTION("""COMPUTED_VALUE"""),0.0)</f>
        <v>0</v>
      </c>
      <c r="J33">
        <f>IFERROR(__xludf.DUMMYFUNCTION("""COMPUTED_VALUE"""),0.7)</f>
        <v>0.7</v>
      </c>
      <c r="K33">
        <f>IFERROR(__xludf.DUMMYFUNCTION("""COMPUTED_VALUE"""),6.8)</f>
        <v>6.8</v>
      </c>
      <c r="L33">
        <f>IFERROR(__xludf.DUMMYFUNCTION("""COMPUTED_VALUE"""),0.5)</f>
        <v>0.5</v>
      </c>
      <c r="M33">
        <f>IFERROR(__xludf.DUMMYFUNCTION("""COMPUTED_VALUE"""),0.1)</f>
        <v>0.1</v>
      </c>
      <c r="N33" t="str">
        <f>IFERROR(__xludf.DUMMYFUNCTION("""COMPUTED_VALUE"""),"Vanderbilt Commodores")</f>
        <v>Vanderbilt Commodores</v>
      </c>
      <c r="O33" s="187" t="str">
        <f>IFERROR(__xludf.DUMMYFUNCTION("""COMPUTED_VALUE"""),"SEC")</f>
        <v>SEC</v>
      </c>
      <c r="P33" s="187">
        <f>IFERROR(__xludf.DUMMYFUNCTION("indeX(split(F33,""-""),1)-J33/100"),6.1930000000000005)</f>
        <v>6.193</v>
      </c>
    </row>
    <row r="34">
      <c r="B34" t="str">
        <f>IFERROR(__xludf.DUMMYFUNCTION("""COMPUTED_VALUE"""),"0-0")</f>
        <v>0-0</v>
      </c>
      <c r="C34">
        <f>IFERROR(__xludf.DUMMYFUNCTION("""COMPUTED_VALUE"""),8.8)</f>
        <v>8.8</v>
      </c>
      <c r="D34">
        <f>IFERROR(__xludf.DUMMYFUNCTION("""COMPUTED_VALUE"""),30.0)</f>
        <v>30</v>
      </c>
      <c r="E34" t="str">
        <f>IFERROR(__xludf.DUMMYFUNCTION("""COMPUTED_VALUE"""),"--")</f>
        <v>--</v>
      </c>
      <c r="F34" t="str">
        <f>IFERROR(__xludf.DUMMYFUNCTION("""COMPUTED_VALUE"""),"6.7-5.3")</f>
        <v>6.7-5.3</v>
      </c>
      <c r="G34">
        <f>IFERROR(__xludf.DUMMYFUNCTION("""COMPUTED_VALUE"""),0.0)</f>
        <v>0</v>
      </c>
      <c r="H34">
        <f>IFERROR(__xludf.DUMMYFUNCTION("""COMPUTED_VALUE"""),74.5)</f>
        <v>74.5</v>
      </c>
      <c r="I34">
        <f>IFERROR(__xludf.DUMMYFUNCTION("""COMPUTED_VALUE"""),0.0)</f>
        <v>0</v>
      </c>
      <c r="J34">
        <f>IFERROR(__xludf.DUMMYFUNCTION("""COMPUTED_VALUE"""),0.7)</f>
        <v>0.7</v>
      </c>
      <c r="K34">
        <f>IFERROR(__xludf.DUMMYFUNCTION("""COMPUTED_VALUE"""),7.2)</f>
        <v>7.2</v>
      </c>
      <c r="L34">
        <f>IFERROR(__xludf.DUMMYFUNCTION("""COMPUTED_VALUE"""),0.5)</f>
        <v>0.5</v>
      </c>
      <c r="M34">
        <f>IFERROR(__xludf.DUMMYFUNCTION("""COMPUTED_VALUE"""),0.2)</f>
        <v>0.2</v>
      </c>
      <c r="N34" t="str">
        <f>IFERROR(__xludf.DUMMYFUNCTION("""COMPUTED_VALUE"""),"Nebraska Cornhuskers")</f>
        <v>Nebraska Cornhuskers</v>
      </c>
      <c r="O34" s="187" t="str">
        <f>IFERROR(__xludf.DUMMYFUNCTION("""COMPUTED_VALUE"""),"Big Ten")</f>
        <v>Big Ten</v>
      </c>
      <c r="P34" s="187">
        <f>IFERROR(__xludf.DUMMYFUNCTION("indeX(split(F34,""-""),1)-J34/100"),6.6930000000000005)</f>
        <v>6.693</v>
      </c>
    </row>
    <row r="35">
      <c r="B35" t="str">
        <f>IFERROR(__xludf.DUMMYFUNCTION("""COMPUTED_VALUE"""),"0-0")</f>
        <v>0-0</v>
      </c>
      <c r="C35">
        <f>IFERROR(__xludf.DUMMYFUNCTION("""COMPUTED_VALUE"""),8.5)</f>
        <v>8.5</v>
      </c>
      <c r="D35">
        <f>IFERROR(__xludf.DUMMYFUNCTION("""COMPUTED_VALUE"""),31.0)</f>
        <v>31</v>
      </c>
      <c r="E35" t="str">
        <f>IFERROR(__xludf.DUMMYFUNCTION("""COMPUTED_VALUE"""),"--")</f>
        <v>--</v>
      </c>
      <c r="F35" t="str">
        <f>IFERROR(__xludf.DUMMYFUNCTION("""COMPUTED_VALUE"""),"7.7-4.4")</f>
        <v>7.7-4.4</v>
      </c>
      <c r="G35">
        <f>IFERROR(__xludf.DUMMYFUNCTION("""COMPUTED_VALUE"""),0.4)</f>
        <v>0.4</v>
      </c>
      <c r="H35">
        <f>IFERROR(__xludf.DUMMYFUNCTION("""COMPUTED_VALUE"""),83.7)</f>
        <v>83.7</v>
      </c>
      <c r="I35">
        <f>IFERROR(__xludf.DUMMYFUNCTION("""COMPUTED_VALUE"""),0.0)</f>
        <v>0</v>
      </c>
      <c r="J35">
        <f>IFERROR(__xludf.DUMMYFUNCTION("""COMPUTED_VALUE"""),5.9)</f>
        <v>5.9</v>
      </c>
      <c r="K35">
        <f>IFERROR(__xludf.DUMMYFUNCTION("""COMPUTED_VALUE"""),10.9)</f>
        <v>10.9</v>
      </c>
      <c r="L35">
        <f>IFERROR(__xludf.DUMMYFUNCTION("""COMPUTED_VALUE"""),0.5)</f>
        <v>0.5</v>
      </c>
      <c r="M35">
        <f>IFERROR(__xludf.DUMMYFUNCTION("""COMPUTED_VALUE"""),0.1)</f>
        <v>0.1</v>
      </c>
      <c r="N35" t="str">
        <f>IFERROR(__xludf.DUMMYFUNCTION("""COMPUTED_VALUE"""),"Utah Utes")</f>
        <v>Utah Utes</v>
      </c>
      <c r="O35" s="187" t="str">
        <f>IFERROR(__xludf.DUMMYFUNCTION("""COMPUTED_VALUE"""),"Big 12")</f>
        <v>Big 12</v>
      </c>
      <c r="P35" s="187">
        <f>IFERROR(__xludf.DUMMYFUNCTION("indeX(split(F35,""-""),1)-J35/100"),7.641)</f>
        <v>7.641</v>
      </c>
    </row>
    <row r="36">
      <c r="B36" t="str">
        <f>IFERROR(__xludf.DUMMYFUNCTION("""COMPUTED_VALUE"""),"0-0")</f>
        <v>0-0</v>
      </c>
      <c r="C36">
        <f>IFERROR(__xludf.DUMMYFUNCTION("""COMPUTED_VALUE"""),7.9)</f>
        <v>7.9</v>
      </c>
      <c r="D36">
        <f>IFERROR(__xludf.DUMMYFUNCTION("""COMPUTED_VALUE"""),32.0)</f>
        <v>32</v>
      </c>
      <c r="E36" t="str">
        <f>IFERROR(__xludf.DUMMYFUNCTION("""COMPUTED_VALUE"""),"--")</f>
        <v>--</v>
      </c>
      <c r="F36" t="str">
        <f>IFERROR(__xludf.DUMMYFUNCTION("""COMPUTED_VALUE"""),"7.7-4.4")</f>
        <v>7.7-4.4</v>
      </c>
      <c r="G36">
        <f>IFERROR(__xludf.DUMMYFUNCTION("""COMPUTED_VALUE"""),0.3)</f>
        <v>0.3</v>
      </c>
      <c r="H36">
        <f>IFERROR(__xludf.DUMMYFUNCTION("""COMPUTED_VALUE"""),84.7)</f>
        <v>84.7</v>
      </c>
      <c r="I36">
        <f>IFERROR(__xludf.DUMMYFUNCTION("""COMPUTED_VALUE"""),0.0)</f>
        <v>0</v>
      </c>
      <c r="J36">
        <f>IFERROR(__xludf.DUMMYFUNCTION("""COMPUTED_VALUE"""),3.8)</f>
        <v>3.8</v>
      </c>
      <c r="K36">
        <f>IFERROR(__xludf.DUMMYFUNCTION("""COMPUTED_VALUE"""),9.3)</f>
        <v>9.3</v>
      </c>
      <c r="L36">
        <f>IFERROR(__xludf.DUMMYFUNCTION("""COMPUTED_VALUE"""),0.5)</f>
        <v>0.5</v>
      </c>
      <c r="M36">
        <f>IFERROR(__xludf.DUMMYFUNCTION("""COMPUTED_VALUE"""),0.1)</f>
        <v>0.1</v>
      </c>
      <c r="N36" t="str">
        <f>IFERROR(__xludf.DUMMYFUNCTION("""COMPUTED_VALUE"""),"Virginia Cavaliers")</f>
        <v>Virginia Cavaliers</v>
      </c>
      <c r="O36" s="187" t="str">
        <f>IFERROR(__xludf.DUMMYFUNCTION("""COMPUTED_VALUE"""),"ACC")</f>
        <v>ACC</v>
      </c>
      <c r="P36" s="187">
        <f>IFERROR(__xludf.DUMMYFUNCTION("indeX(split(F36,""-""),1)-J36/100"),7.662)</f>
        <v>7.662</v>
      </c>
    </row>
    <row r="37">
      <c r="B37" t="str">
        <f>IFERROR(__xludf.DUMMYFUNCTION("""COMPUTED_VALUE"""),"0-0")</f>
        <v>0-0</v>
      </c>
      <c r="C37">
        <f>IFERROR(__xludf.DUMMYFUNCTION("""COMPUTED_VALUE"""),7.4)</f>
        <v>7.4</v>
      </c>
      <c r="D37">
        <f>IFERROR(__xludf.DUMMYFUNCTION("""COMPUTED_VALUE"""),33.0)</f>
        <v>33</v>
      </c>
      <c r="E37" t="str">
        <f>IFERROR(__xludf.DUMMYFUNCTION("""COMPUTED_VALUE"""),"--")</f>
        <v>--</v>
      </c>
      <c r="F37" t="str">
        <f>IFERROR(__xludf.DUMMYFUNCTION("""COMPUTED_VALUE"""),"7.0-5.1")</f>
        <v>7.0-5.1</v>
      </c>
      <c r="G37">
        <f>IFERROR(__xludf.DUMMYFUNCTION("""COMPUTED_VALUE"""),0.0)</f>
        <v>0</v>
      </c>
      <c r="H37">
        <f>IFERROR(__xludf.DUMMYFUNCTION("""COMPUTED_VALUE"""),76.4)</f>
        <v>76.4</v>
      </c>
      <c r="I37">
        <f>IFERROR(__xludf.DUMMYFUNCTION("""COMPUTED_VALUE"""),0.0)</f>
        <v>0</v>
      </c>
      <c r="J37">
        <f>IFERROR(__xludf.DUMMYFUNCTION("""COMPUTED_VALUE"""),2.8)</f>
        <v>2.8</v>
      </c>
      <c r="K37">
        <f>IFERROR(__xludf.DUMMYFUNCTION("""COMPUTED_VALUE"""),6.9)</f>
        <v>6.9</v>
      </c>
      <c r="L37">
        <f>IFERROR(__xludf.DUMMYFUNCTION("""COMPUTED_VALUE"""),0.4)</f>
        <v>0.4</v>
      </c>
      <c r="M37">
        <f>IFERROR(__xludf.DUMMYFUNCTION("""COMPUTED_VALUE"""),0.1)</f>
        <v>0.1</v>
      </c>
      <c r="N37" t="str">
        <f>IFERROR(__xludf.DUMMYFUNCTION("""COMPUTED_VALUE"""),"Virginia Tech Hokies")</f>
        <v>Virginia Tech Hokies</v>
      </c>
      <c r="O37" s="187" t="str">
        <f>IFERROR(__xludf.DUMMYFUNCTION("""COMPUTED_VALUE"""),"ACC")</f>
        <v>ACC</v>
      </c>
      <c r="P37" s="187">
        <f>IFERROR(__xludf.DUMMYFUNCTION("indeX(split(F37,""-""),1)-J37/100"),6.972)</f>
        <v>6.972</v>
      </c>
    </row>
    <row r="38">
      <c r="B38" t="str">
        <f>IFERROR(__xludf.DUMMYFUNCTION("""COMPUTED_VALUE"""),"0-0")</f>
        <v>0-0</v>
      </c>
      <c r="C38">
        <f>IFERROR(__xludf.DUMMYFUNCTION("""COMPUTED_VALUE"""),7.2)</f>
        <v>7.2</v>
      </c>
      <c r="D38">
        <f>IFERROR(__xludf.DUMMYFUNCTION("""COMPUTED_VALUE"""),34.0)</f>
        <v>34</v>
      </c>
      <c r="E38" t="str">
        <f>IFERROR(__xludf.DUMMYFUNCTION("""COMPUTED_VALUE"""),"--")</f>
        <v>--</v>
      </c>
      <c r="F38" t="str">
        <f>IFERROR(__xludf.DUMMYFUNCTION("""COMPUTED_VALUE"""),"7.3-4.8")</f>
        <v>7.3-4.8</v>
      </c>
      <c r="G38">
        <f>IFERROR(__xludf.DUMMYFUNCTION("""COMPUTED_VALUE"""),0.1)</f>
        <v>0.1</v>
      </c>
      <c r="H38">
        <f>IFERROR(__xludf.DUMMYFUNCTION("""COMPUTED_VALUE"""),80.1)</f>
        <v>80.1</v>
      </c>
      <c r="I38">
        <f>IFERROR(__xludf.DUMMYFUNCTION("""COMPUTED_VALUE"""),0.0)</f>
        <v>0</v>
      </c>
      <c r="J38">
        <f>IFERROR(__xludf.DUMMYFUNCTION("""COMPUTED_VALUE"""),4.2)</f>
        <v>4.2</v>
      </c>
      <c r="K38">
        <f>IFERROR(__xludf.DUMMYFUNCTION("""COMPUTED_VALUE"""),7.6)</f>
        <v>7.6</v>
      </c>
      <c r="L38">
        <f>IFERROR(__xludf.DUMMYFUNCTION("""COMPUTED_VALUE"""),0.3)</f>
        <v>0.3</v>
      </c>
      <c r="M38">
        <f>IFERROR(__xludf.DUMMYFUNCTION("""COMPUTED_VALUE"""),0.1)</f>
        <v>0.1</v>
      </c>
      <c r="N38" t="str">
        <f>IFERROR(__xludf.DUMMYFUNCTION("""COMPUTED_VALUE"""),"Arizona Wildcats")</f>
        <v>Arizona Wildcats</v>
      </c>
      <c r="O38" s="187" t="str">
        <f>IFERROR(__xludf.DUMMYFUNCTION("""COMPUTED_VALUE"""),"Big 12")</f>
        <v>Big 12</v>
      </c>
      <c r="P38" s="187">
        <f>IFERROR(__xludf.DUMMYFUNCTION("indeX(split(F38,""-""),1)-J38/100"),7.258)</f>
        <v>7.258</v>
      </c>
    </row>
    <row r="39">
      <c r="B39" t="str">
        <f>IFERROR(__xludf.DUMMYFUNCTION("""COMPUTED_VALUE"""),"0-0")</f>
        <v>0-0</v>
      </c>
      <c r="C39">
        <f>IFERROR(__xludf.DUMMYFUNCTION("""COMPUTED_VALUE"""),7.1)</f>
        <v>7.1</v>
      </c>
      <c r="D39">
        <f>IFERROR(__xludf.DUMMYFUNCTION("""COMPUTED_VALUE"""),35.0)</f>
        <v>35</v>
      </c>
      <c r="E39" t="str">
        <f>IFERROR(__xludf.DUMMYFUNCTION("""COMPUTED_VALUE"""),"--")</f>
        <v>--</v>
      </c>
      <c r="F39" t="str">
        <f>IFERROR(__xludf.DUMMYFUNCTION("""COMPUTED_VALUE"""),"7.4-4.7")</f>
        <v>7.4-4.7</v>
      </c>
      <c r="G39">
        <f>IFERROR(__xludf.DUMMYFUNCTION("""COMPUTED_VALUE"""),0.1)</f>
        <v>0.1</v>
      </c>
      <c r="H39">
        <f>IFERROR(__xludf.DUMMYFUNCTION("""COMPUTED_VALUE"""),81.3)</f>
        <v>81.3</v>
      </c>
      <c r="I39">
        <f>IFERROR(__xludf.DUMMYFUNCTION("""COMPUTED_VALUE"""),0.0)</f>
        <v>0</v>
      </c>
      <c r="J39">
        <f>IFERROR(__xludf.DUMMYFUNCTION("""COMPUTED_VALUE"""),4.1)</f>
        <v>4.1</v>
      </c>
      <c r="K39">
        <f>IFERROR(__xludf.DUMMYFUNCTION("""COMPUTED_VALUE"""),7.8)</f>
        <v>7.8</v>
      </c>
      <c r="L39">
        <f>IFERROR(__xludf.DUMMYFUNCTION("""COMPUTED_VALUE"""),0.4)</f>
        <v>0.4</v>
      </c>
      <c r="M39">
        <f>IFERROR(__xludf.DUMMYFUNCTION("""COMPUTED_VALUE"""),0.1)</f>
        <v>0.1</v>
      </c>
      <c r="N39" t="str">
        <f>IFERROR(__xludf.DUMMYFUNCTION("""COMPUTED_VALUE"""),"Houston Cougars")</f>
        <v>Houston Cougars</v>
      </c>
      <c r="O39" s="187" t="str">
        <f>IFERROR(__xludf.DUMMYFUNCTION("""COMPUTED_VALUE"""),"Big 12")</f>
        <v>Big 12</v>
      </c>
      <c r="P39" s="187">
        <f>IFERROR(__xludf.DUMMYFUNCTION("indeX(split(F39,""-""),1)-J39/100"),7.359)</f>
        <v>7.359</v>
      </c>
    </row>
    <row r="40">
      <c r="B40" t="str">
        <f>IFERROR(__xludf.DUMMYFUNCTION("""COMPUTED_VALUE"""),"0-0")</f>
        <v>0-0</v>
      </c>
      <c r="C40">
        <f>IFERROR(__xludf.DUMMYFUNCTION("""COMPUTED_VALUE"""),6.6)</f>
        <v>6.6</v>
      </c>
      <c r="D40">
        <f>IFERROR(__xludf.DUMMYFUNCTION("""COMPUTED_VALUE"""),36.0)</f>
        <v>36</v>
      </c>
      <c r="E40" t="str">
        <f>IFERROR(__xludf.DUMMYFUNCTION("""COMPUTED_VALUE"""),"--")</f>
        <v>--</v>
      </c>
      <c r="F40" t="str">
        <f>IFERROR(__xludf.DUMMYFUNCTION("""COMPUTED_VALUE"""),"7.1-5.0")</f>
        <v>7.1-5.0</v>
      </c>
      <c r="G40">
        <f>IFERROR(__xludf.DUMMYFUNCTION("""COMPUTED_VALUE"""),0.1)</f>
        <v>0.1</v>
      </c>
      <c r="H40">
        <f>IFERROR(__xludf.DUMMYFUNCTION("""COMPUTED_VALUE"""),77.6)</f>
        <v>77.6</v>
      </c>
      <c r="I40">
        <f>IFERROR(__xludf.DUMMYFUNCTION("""COMPUTED_VALUE"""),0.0)</f>
        <v>0</v>
      </c>
      <c r="J40">
        <f>IFERROR(__xludf.DUMMYFUNCTION("""COMPUTED_VALUE"""),2.3)</f>
        <v>2.3</v>
      </c>
      <c r="K40">
        <f>IFERROR(__xludf.DUMMYFUNCTION("""COMPUTED_VALUE"""),6.2)</f>
        <v>6.2</v>
      </c>
      <c r="L40">
        <f>IFERROR(__xludf.DUMMYFUNCTION("""COMPUTED_VALUE"""),0.3)</f>
        <v>0.3</v>
      </c>
      <c r="M40">
        <f>IFERROR(__xludf.DUMMYFUNCTION("""COMPUTED_VALUE"""),0.1)</f>
        <v>0.1</v>
      </c>
      <c r="N40" t="str">
        <f>IFERROR(__xludf.DUMMYFUNCTION("""COMPUTED_VALUE"""),"Pittsburgh Panthers")</f>
        <v>Pittsburgh Panthers</v>
      </c>
      <c r="O40" s="187" t="str">
        <f>IFERROR(__xludf.DUMMYFUNCTION("""COMPUTED_VALUE"""),"ACC")</f>
        <v>ACC</v>
      </c>
      <c r="P40" s="187">
        <f>IFERROR(__xludf.DUMMYFUNCTION("indeX(split(F40,""-""),1)-J40/100"),7.077)</f>
        <v>7.077</v>
      </c>
    </row>
    <row r="41">
      <c r="B41" t="str">
        <f>IFERROR(__xludf.DUMMYFUNCTION("""COMPUTED_VALUE"""),"0-0")</f>
        <v>0-0</v>
      </c>
      <c r="C41">
        <f>IFERROR(__xludf.DUMMYFUNCTION("""COMPUTED_VALUE"""),6.5)</f>
        <v>6.5</v>
      </c>
      <c r="D41">
        <f>IFERROR(__xludf.DUMMYFUNCTION("""COMPUTED_VALUE"""),37.0)</f>
        <v>37</v>
      </c>
      <c r="E41" t="str">
        <f>IFERROR(__xludf.DUMMYFUNCTION("""COMPUTED_VALUE"""),"--")</f>
        <v>--</v>
      </c>
      <c r="F41" t="str">
        <f>IFERROR(__xludf.DUMMYFUNCTION("""COMPUTED_VALUE"""),"6.6-5.5")</f>
        <v>6.6-5.5</v>
      </c>
      <c r="G41">
        <f>IFERROR(__xludf.DUMMYFUNCTION("""COMPUTED_VALUE"""),0.0)</f>
        <v>0</v>
      </c>
      <c r="H41">
        <f>IFERROR(__xludf.DUMMYFUNCTION("""COMPUTED_VALUE"""),68.8)</f>
        <v>68.8</v>
      </c>
      <c r="I41">
        <f>IFERROR(__xludf.DUMMYFUNCTION("""COMPUTED_VALUE"""),0.0)</f>
        <v>0</v>
      </c>
      <c r="J41">
        <f>IFERROR(__xludf.DUMMYFUNCTION("""COMPUTED_VALUE"""),3.2)</f>
        <v>3.2</v>
      </c>
      <c r="K41">
        <f>IFERROR(__xludf.DUMMYFUNCTION("""COMPUTED_VALUE"""),6.0)</f>
        <v>6</v>
      </c>
      <c r="L41">
        <f>IFERROR(__xludf.DUMMYFUNCTION("""COMPUTED_VALUE"""),0.2)</f>
        <v>0.2</v>
      </c>
      <c r="M41">
        <f>IFERROR(__xludf.DUMMYFUNCTION("""COMPUTED_VALUE"""),0.1)</f>
        <v>0.1</v>
      </c>
      <c r="N41" t="str">
        <f>IFERROR(__xludf.DUMMYFUNCTION("""COMPUTED_VALUE"""),"Baylor Bears")</f>
        <v>Baylor Bears</v>
      </c>
      <c r="O41" s="187" t="str">
        <f>IFERROR(__xludf.DUMMYFUNCTION("""COMPUTED_VALUE"""),"Big 12")</f>
        <v>Big 12</v>
      </c>
      <c r="P41" s="187">
        <f>IFERROR(__xludf.DUMMYFUNCTION("indeX(split(F41,""-""),1)-J41/100"),6.568)</f>
        <v>6.568</v>
      </c>
    </row>
    <row r="42">
      <c r="B42" t="str">
        <f>IFERROR(__xludf.DUMMYFUNCTION("""COMPUTED_VALUE"""),"0-0")</f>
        <v>0-0</v>
      </c>
      <c r="C42">
        <f>IFERROR(__xludf.DUMMYFUNCTION("""COMPUTED_VALUE"""),6.4)</f>
        <v>6.4</v>
      </c>
      <c r="D42">
        <f>IFERROR(__xludf.DUMMYFUNCTION("""COMPUTED_VALUE"""),38.0)</f>
        <v>38</v>
      </c>
      <c r="E42" t="str">
        <f>IFERROR(__xludf.DUMMYFUNCTION("""COMPUTED_VALUE"""),"--")</f>
        <v>--</v>
      </c>
      <c r="F42" t="str">
        <f>IFERROR(__xludf.DUMMYFUNCTION("""COMPUTED_VALUE"""),"6.8-5.3")</f>
        <v>6.8-5.3</v>
      </c>
      <c r="G42">
        <f>IFERROR(__xludf.DUMMYFUNCTION("""COMPUTED_VALUE"""),0.0)</f>
        <v>0</v>
      </c>
      <c r="H42">
        <f>IFERROR(__xludf.DUMMYFUNCTION("""COMPUTED_VALUE"""),72.1)</f>
        <v>72.1</v>
      </c>
      <c r="I42">
        <f>IFERROR(__xludf.DUMMYFUNCTION("""COMPUTED_VALUE"""),0.0)</f>
        <v>0</v>
      </c>
      <c r="J42">
        <f>IFERROR(__xludf.DUMMYFUNCTION("""COMPUTED_VALUE"""),4.0)</f>
        <v>4</v>
      </c>
      <c r="K42">
        <f>IFERROR(__xludf.DUMMYFUNCTION("""COMPUTED_VALUE"""),6.8)</f>
        <v>6.8</v>
      </c>
      <c r="L42">
        <f>IFERROR(__xludf.DUMMYFUNCTION("""COMPUTED_VALUE"""),0.3)</f>
        <v>0.3</v>
      </c>
      <c r="M42">
        <f>IFERROR(__xludf.DUMMYFUNCTION("""COMPUTED_VALUE"""),0.1)</f>
        <v>0.1</v>
      </c>
      <c r="N42" t="str">
        <f>IFERROR(__xludf.DUMMYFUNCTION("""COMPUTED_VALUE"""),"TCU Horned Frogs")</f>
        <v>TCU Horned Frogs</v>
      </c>
      <c r="O42" s="187" t="str">
        <f>IFERROR(__xludf.DUMMYFUNCTION("""COMPUTED_VALUE"""),"Big 12")</f>
        <v>Big 12</v>
      </c>
      <c r="P42" s="187">
        <f>IFERROR(__xludf.DUMMYFUNCTION("indeX(split(F42,""-""),1)-J42/100"),6.76)</f>
        <v>6.76</v>
      </c>
    </row>
    <row r="43">
      <c r="B43" t="str">
        <f>IFERROR(__xludf.DUMMYFUNCTION("""COMPUTED_VALUE"""),"0-0")</f>
        <v>0-0</v>
      </c>
      <c r="C43">
        <f>IFERROR(__xludf.DUMMYFUNCTION("""COMPUTED_VALUE"""),6.3)</f>
        <v>6.3</v>
      </c>
      <c r="D43">
        <f>IFERROR(__xludf.DUMMYFUNCTION("""COMPUTED_VALUE"""),39.0)</f>
        <v>39</v>
      </c>
      <c r="E43" t="str">
        <f>IFERROR(__xludf.DUMMYFUNCTION("""COMPUTED_VALUE"""),"--")</f>
        <v>--</v>
      </c>
      <c r="F43" t="str">
        <f>IFERROR(__xludf.DUMMYFUNCTION("""COMPUTED_VALUE"""),"6.7-5.3")</f>
        <v>6.7-5.3</v>
      </c>
      <c r="G43">
        <f>IFERROR(__xludf.DUMMYFUNCTION("""COMPUTED_VALUE"""),0.0)</f>
        <v>0</v>
      </c>
      <c r="H43">
        <f>IFERROR(__xludf.DUMMYFUNCTION("""COMPUTED_VALUE"""),72.3)</f>
        <v>72.3</v>
      </c>
      <c r="I43">
        <f>IFERROR(__xludf.DUMMYFUNCTION("""COMPUTED_VALUE"""),0.0)</f>
        <v>0</v>
      </c>
      <c r="J43">
        <f>IFERROR(__xludf.DUMMYFUNCTION("""COMPUTED_VALUE"""),0.5)</f>
        <v>0.5</v>
      </c>
      <c r="K43">
        <f>IFERROR(__xludf.DUMMYFUNCTION("""COMPUTED_VALUE"""),4.7)</f>
        <v>4.7</v>
      </c>
      <c r="L43">
        <f>IFERROR(__xludf.DUMMYFUNCTION("""COMPUTED_VALUE"""),0.2)</f>
        <v>0.2</v>
      </c>
      <c r="M43">
        <f>IFERROR(__xludf.DUMMYFUNCTION("""COMPUTED_VALUE"""),0.1)</f>
        <v>0.1</v>
      </c>
      <c r="N43" t="str">
        <f>IFERROR(__xludf.DUMMYFUNCTION("""COMPUTED_VALUE"""),"Illinois Fighting Illini")</f>
        <v>Illinois Fighting Illini</v>
      </c>
      <c r="O43" s="187" t="str">
        <f>IFERROR(__xludf.DUMMYFUNCTION("""COMPUTED_VALUE"""),"Big Ten")</f>
        <v>Big Ten</v>
      </c>
      <c r="P43" s="187">
        <f>IFERROR(__xludf.DUMMYFUNCTION("indeX(split(F43,""-""),1)-J43/100"),6.695)</f>
        <v>6.695</v>
      </c>
    </row>
    <row r="44">
      <c r="B44" t="str">
        <f>IFERROR(__xludf.DUMMYFUNCTION("""COMPUTED_VALUE"""),"0-0")</f>
        <v>0-0</v>
      </c>
      <c r="C44">
        <f>IFERROR(__xludf.DUMMYFUNCTION("""COMPUTED_VALUE"""),5.4)</f>
        <v>5.4</v>
      </c>
      <c r="D44">
        <f>IFERROR(__xludf.DUMMYFUNCTION("""COMPUTED_VALUE"""),40.0)</f>
        <v>40</v>
      </c>
      <c r="E44" t="str">
        <f>IFERROR(__xludf.DUMMYFUNCTION("""COMPUTED_VALUE"""),"--")</f>
        <v>--</v>
      </c>
      <c r="F44" t="str">
        <f>IFERROR(__xludf.DUMMYFUNCTION("""COMPUTED_VALUE"""),"4.6-7.4")</f>
        <v>4.6-7.4</v>
      </c>
      <c r="G44">
        <f>IFERROR(__xludf.DUMMYFUNCTION("""COMPUTED_VALUE"""),0.0)</f>
        <v>0</v>
      </c>
      <c r="H44">
        <f>IFERROR(__xludf.DUMMYFUNCTION("""COMPUTED_VALUE"""),30.4)</f>
        <v>30.4</v>
      </c>
      <c r="I44">
        <f>IFERROR(__xludf.DUMMYFUNCTION("""COMPUTED_VALUE"""),0.0)</f>
        <v>0</v>
      </c>
      <c r="J44">
        <f>IFERROR(__xludf.DUMMYFUNCTION("""COMPUTED_VALUE"""),0.2)</f>
        <v>0.2</v>
      </c>
      <c r="K44">
        <f>IFERROR(__xludf.DUMMYFUNCTION("""COMPUTED_VALUE"""),2.2)</f>
        <v>2.2</v>
      </c>
      <c r="L44">
        <f>IFERROR(__xludf.DUMMYFUNCTION("""COMPUTED_VALUE"""),0.1)</f>
        <v>0.1</v>
      </c>
      <c r="M44">
        <f>IFERROR(__xludf.DUMMYFUNCTION("""COMPUTED_VALUE"""),0.0)</f>
        <v>0</v>
      </c>
      <c r="N44" t="str">
        <f>IFERROR(__xludf.DUMMYFUNCTION("""COMPUTED_VALUE"""),"Kentucky Wildcats")</f>
        <v>Kentucky Wildcats</v>
      </c>
      <c r="O44" s="187" t="str">
        <f>IFERROR(__xludf.DUMMYFUNCTION("""COMPUTED_VALUE"""),"SEC")</f>
        <v>SEC</v>
      </c>
      <c r="P44" s="187">
        <f>IFERROR(__xludf.DUMMYFUNCTION("indeX(split(F44,""-""),1)-J44/100"),4.598)</f>
        <v>4.598</v>
      </c>
    </row>
    <row r="45">
      <c r="B45" t="str">
        <f>IFERROR(__xludf.DUMMYFUNCTION("""COMPUTED_VALUE"""),"0-0")</f>
        <v>0-0</v>
      </c>
      <c r="C45">
        <f>IFERROR(__xludf.DUMMYFUNCTION("""COMPUTED_VALUE"""),5.1)</f>
        <v>5.1</v>
      </c>
      <c r="D45">
        <f>IFERROR(__xludf.DUMMYFUNCTION("""COMPUTED_VALUE"""),41.0)</f>
        <v>41</v>
      </c>
      <c r="E45" t="str">
        <f>IFERROR(__xludf.DUMMYFUNCTION("""COMPUTED_VALUE"""),"--")</f>
        <v>--</v>
      </c>
      <c r="F45" t="str">
        <f>IFERROR(__xludf.DUMMYFUNCTION("""COMPUTED_VALUE"""),"7.0-5.1")</f>
        <v>7.0-5.1</v>
      </c>
      <c r="G45">
        <f>IFERROR(__xludf.DUMMYFUNCTION("""COMPUTED_VALUE"""),0.1)</f>
        <v>0.1</v>
      </c>
      <c r="H45">
        <f>IFERROR(__xludf.DUMMYFUNCTION("""COMPUTED_VALUE"""),74.1)</f>
        <v>74.1</v>
      </c>
      <c r="I45">
        <f>IFERROR(__xludf.DUMMYFUNCTION("""COMPUTED_VALUE"""),0.0)</f>
        <v>0</v>
      </c>
      <c r="J45">
        <f>IFERROR(__xludf.DUMMYFUNCTION("""COMPUTED_VALUE"""),3.1)</f>
        <v>3.1</v>
      </c>
      <c r="K45">
        <f>IFERROR(__xludf.DUMMYFUNCTION("""COMPUTED_VALUE"""),5.7)</f>
        <v>5.7</v>
      </c>
      <c r="L45">
        <f>IFERROR(__xludf.DUMMYFUNCTION("""COMPUTED_VALUE"""),0.2)</f>
        <v>0.2</v>
      </c>
      <c r="M45">
        <f>IFERROR(__xludf.DUMMYFUNCTION("""COMPUTED_VALUE"""),0.1)</f>
        <v>0.1</v>
      </c>
      <c r="N45" t="str">
        <f>IFERROR(__xludf.DUMMYFUNCTION("""COMPUTED_VALUE"""),"Kansas State Wildcats")</f>
        <v>Kansas State Wildcats</v>
      </c>
      <c r="O45" s="187" t="str">
        <f>IFERROR(__xludf.DUMMYFUNCTION("""COMPUTED_VALUE"""),"Big 12")</f>
        <v>Big 12</v>
      </c>
      <c r="P45" s="187">
        <f>IFERROR(__xludf.DUMMYFUNCTION("indeX(split(F45,""-""),1)-J45/100"),6.969)</f>
        <v>6.969</v>
      </c>
    </row>
    <row r="46">
      <c r="B46" t="str">
        <f>IFERROR(__xludf.DUMMYFUNCTION("""COMPUTED_VALUE"""),"0-0")</f>
        <v>0-0</v>
      </c>
      <c r="C46">
        <f>IFERROR(__xludf.DUMMYFUNCTION("""COMPUTED_VALUE"""),4.9)</f>
        <v>4.9</v>
      </c>
      <c r="D46">
        <f>IFERROR(__xludf.DUMMYFUNCTION("""COMPUTED_VALUE"""),42.0)</f>
        <v>42</v>
      </c>
      <c r="E46" t="str">
        <f>IFERROR(__xludf.DUMMYFUNCTION("""COMPUTED_VALUE"""),"--")</f>
        <v>--</v>
      </c>
      <c r="F46" t="str">
        <f>IFERROR(__xludf.DUMMYFUNCTION("""COMPUTED_VALUE"""),"5.8-6.2")</f>
        <v>5.8-6.2</v>
      </c>
      <c r="G46">
        <f>IFERROR(__xludf.DUMMYFUNCTION("""COMPUTED_VALUE"""),0.0)</f>
        <v>0</v>
      </c>
      <c r="H46">
        <f>IFERROR(__xludf.DUMMYFUNCTION("""COMPUTED_VALUE"""),55.5)</f>
        <v>55.5</v>
      </c>
      <c r="I46">
        <f>IFERROR(__xludf.DUMMYFUNCTION("""COMPUTED_VALUE"""),0.0)</f>
        <v>0</v>
      </c>
      <c r="J46">
        <f>IFERROR(__xludf.DUMMYFUNCTION("""COMPUTED_VALUE"""),1.5)</f>
        <v>1.5</v>
      </c>
      <c r="K46">
        <f>IFERROR(__xludf.DUMMYFUNCTION("""COMPUTED_VALUE"""),3.6)</f>
        <v>3.6</v>
      </c>
      <c r="L46">
        <f>IFERROR(__xludf.DUMMYFUNCTION("""COMPUTED_VALUE"""),0.1)</f>
        <v>0.1</v>
      </c>
      <c r="M46">
        <f>IFERROR(__xludf.DUMMYFUNCTION("""COMPUTED_VALUE"""),0.0)</f>
        <v>0</v>
      </c>
      <c r="N46" t="str">
        <f>IFERROR(__xludf.DUMMYFUNCTION("""COMPUTED_VALUE"""),"North Carolina Tar Heels")</f>
        <v>North Carolina Tar Heels</v>
      </c>
      <c r="O46" s="187" t="str">
        <f>IFERROR(__xludf.DUMMYFUNCTION("""COMPUTED_VALUE"""),"ACC")</f>
        <v>ACC</v>
      </c>
      <c r="P46" s="187">
        <f>IFERROR(__xludf.DUMMYFUNCTION("indeX(split(F46,""-""),1)-J46/100"),5.785)</f>
        <v>5.785</v>
      </c>
    </row>
    <row r="47">
      <c r="B47" t="str">
        <f>IFERROR(__xludf.DUMMYFUNCTION("""COMPUTED_VALUE"""),"0-0")</f>
        <v>0-0</v>
      </c>
      <c r="C47">
        <f>IFERROR(__xludf.DUMMYFUNCTION("""COMPUTED_VALUE"""),4.8)</f>
        <v>4.8</v>
      </c>
      <c r="D47">
        <f>IFERROR(__xludf.DUMMYFUNCTION("""COMPUTED_VALUE"""),43.0)</f>
        <v>43</v>
      </c>
      <c r="E47" t="str">
        <f>IFERROR(__xludf.DUMMYFUNCTION("""COMPUTED_VALUE"""),"--")</f>
        <v>--</v>
      </c>
      <c r="F47" t="str">
        <f>IFERROR(__xludf.DUMMYFUNCTION("""COMPUTED_VALUE"""),"6.5-5.5")</f>
        <v>6.5-5.5</v>
      </c>
      <c r="G47">
        <f>IFERROR(__xludf.DUMMYFUNCTION("""COMPUTED_VALUE"""),0.0)</f>
        <v>0</v>
      </c>
      <c r="H47">
        <f>IFERROR(__xludf.DUMMYFUNCTION("""COMPUTED_VALUE"""),69.2)</f>
        <v>69.2</v>
      </c>
      <c r="I47">
        <f>IFERROR(__xludf.DUMMYFUNCTION("""COMPUTED_VALUE"""),0.0)</f>
        <v>0</v>
      </c>
      <c r="J47">
        <f>IFERROR(__xludf.DUMMYFUNCTION("""COMPUTED_VALUE"""),0.6)</f>
        <v>0.6</v>
      </c>
      <c r="K47">
        <f>IFERROR(__xludf.DUMMYFUNCTION("""COMPUTED_VALUE"""),3.5)</f>
        <v>3.5</v>
      </c>
      <c r="L47">
        <f>IFERROR(__xludf.DUMMYFUNCTION("""COMPUTED_VALUE"""),0.1)</f>
        <v>0.1</v>
      </c>
      <c r="M47">
        <f>IFERROR(__xludf.DUMMYFUNCTION("""COMPUTED_VALUE"""),0.0)</f>
        <v>0</v>
      </c>
      <c r="N47" t="str">
        <f>IFERROR(__xludf.DUMMYFUNCTION("""COMPUTED_VALUE"""),"Wisconsin Badgers")</f>
        <v>Wisconsin Badgers</v>
      </c>
      <c r="O47" s="187" t="str">
        <f>IFERROR(__xludf.DUMMYFUNCTION("""COMPUTED_VALUE"""),"Big Ten")</f>
        <v>Big Ten</v>
      </c>
      <c r="P47" s="187">
        <f>IFERROR(__xludf.DUMMYFUNCTION("indeX(split(F47,""-""),1)-J47/100"),6.494)</f>
        <v>6.494</v>
      </c>
    </row>
    <row r="48">
      <c r="B48" t="str">
        <f>IFERROR(__xludf.DUMMYFUNCTION("""COMPUTED_VALUE"""),"0-0")</f>
        <v>0-0</v>
      </c>
      <c r="C48">
        <f>IFERROR(__xludf.DUMMYFUNCTION("""COMPUTED_VALUE"""),4.8)</f>
        <v>4.8</v>
      </c>
      <c r="D48">
        <f>IFERROR(__xludf.DUMMYFUNCTION("""COMPUTED_VALUE"""),44.0)</f>
        <v>44</v>
      </c>
      <c r="E48" t="str">
        <f>IFERROR(__xludf.DUMMYFUNCTION("""COMPUTED_VALUE"""),"--")</f>
        <v>--</v>
      </c>
      <c r="F48" t="str">
        <f>IFERROR(__xludf.DUMMYFUNCTION("""COMPUTED_VALUE"""),"6.0-6.1")</f>
        <v>6.0-6.1</v>
      </c>
      <c r="G48">
        <f>IFERROR(__xludf.DUMMYFUNCTION("""COMPUTED_VALUE"""),0.0)</f>
        <v>0</v>
      </c>
      <c r="H48">
        <f>IFERROR(__xludf.DUMMYFUNCTION("""COMPUTED_VALUE"""),57.6)</f>
        <v>57.6</v>
      </c>
      <c r="I48">
        <f>IFERROR(__xludf.DUMMYFUNCTION("""COMPUTED_VALUE"""),0.0)</f>
        <v>0</v>
      </c>
      <c r="J48">
        <f>IFERROR(__xludf.DUMMYFUNCTION("""COMPUTED_VALUE"""),2.3)</f>
        <v>2.3</v>
      </c>
      <c r="K48">
        <f>IFERROR(__xludf.DUMMYFUNCTION("""COMPUTED_VALUE"""),4.0)</f>
        <v>4</v>
      </c>
      <c r="L48">
        <f>IFERROR(__xludf.DUMMYFUNCTION("""COMPUTED_VALUE"""),0.1)</f>
        <v>0.1</v>
      </c>
      <c r="M48">
        <f>IFERROR(__xludf.DUMMYFUNCTION("""COMPUTED_VALUE"""),0.0)</f>
        <v>0</v>
      </c>
      <c r="N48" t="str">
        <f>IFERROR(__xludf.DUMMYFUNCTION("""COMPUTED_VALUE"""),"Arizona State Sun Devils")</f>
        <v>Arizona State Sun Devils</v>
      </c>
      <c r="O48" s="187" t="str">
        <f>IFERROR(__xludf.DUMMYFUNCTION("""COMPUTED_VALUE"""),"Big 12")</f>
        <v>Big 12</v>
      </c>
      <c r="P48" s="187">
        <f>IFERROR(__xludf.DUMMYFUNCTION("indeX(split(F48,""-""),1)-J48/100"),5.977)</f>
        <v>5.977</v>
      </c>
    </row>
    <row r="49">
      <c r="B49" t="str">
        <f>IFERROR(__xludf.DUMMYFUNCTION("""COMPUTED_VALUE"""),"0-0")</f>
        <v>0-0</v>
      </c>
      <c r="C49">
        <f>IFERROR(__xludf.DUMMYFUNCTION("""COMPUTED_VALUE"""),4.5)</f>
        <v>4.5</v>
      </c>
      <c r="D49">
        <f>IFERROR(__xludf.DUMMYFUNCTION("""COMPUTED_VALUE"""),45.0)</f>
        <v>45</v>
      </c>
      <c r="E49" t="str">
        <f>IFERROR(__xludf.DUMMYFUNCTION("""COMPUTED_VALUE"""),"--")</f>
        <v>--</v>
      </c>
      <c r="F49" t="str">
        <f>IFERROR(__xludf.DUMMYFUNCTION("""COMPUTED_VALUE"""),"6.0-6.1")</f>
        <v>6.0-6.1</v>
      </c>
      <c r="G49">
        <f>IFERROR(__xludf.DUMMYFUNCTION("""COMPUTED_VALUE"""),0.0)</f>
        <v>0</v>
      </c>
      <c r="H49">
        <f>IFERROR(__xludf.DUMMYFUNCTION("""COMPUTED_VALUE"""),57.2)</f>
        <v>57.2</v>
      </c>
      <c r="I49">
        <f>IFERROR(__xludf.DUMMYFUNCTION("""COMPUTED_VALUE"""),0.0)</f>
        <v>0</v>
      </c>
      <c r="J49">
        <f>IFERROR(__xludf.DUMMYFUNCTION("""COMPUTED_VALUE"""),2.5)</f>
        <v>2.5</v>
      </c>
      <c r="K49">
        <f>IFERROR(__xludf.DUMMYFUNCTION("""COMPUTED_VALUE"""),4.2)</f>
        <v>4.2</v>
      </c>
      <c r="L49">
        <f>IFERROR(__xludf.DUMMYFUNCTION("""COMPUTED_VALUE"""),0.1)</f>
        <v>0.1</v>
      </c>
      <c r="M49">
        <f>IFERROR(__xludf.DUMMYFUNCTION("""COMPUTED_VALUE"""),0.0)</f>
        <v>0</v>
      </c>
      <c r="N49" t="str">
        <f>IFERROR(__xludf.DUMMYFUNCTION("""COMPUTED_VALUE"""),"Colorado Buffaloes")</f>
        <v>Colorado Buffaloes</v>
      </c>
      <c r="O49" s="187" t="str">
        <f>IFERROR(__xludf.DUMMYFUNCTION("""COMPUTED_VALUE"""),"Big 12")</f>
        <v>Big 12</v>
      </c>
      <c r="P49" s="187">
        <f>IFERROR(__xludf.DUMMYFUNCTION("indeX(split(F49,""-""),1)-J49/100"),5.975)</f>
        <v>5.975</v>
      </c>
    </row>
    <row r="50">
      <c r="B50" t="str">
        <f>IFERROR(__xludf.DUMMYFUNCTION("""COMPUTED_VALUE"""),"0-0")</f>
        <v>0-0</v>
      </c>
      <c r="C50">
        <f>IFERROR(__xludf.DUMMYFUNCTION("""COMPUTED_VALUE"""),4.4)</f>
        <v>4.4</v>
      </c>
      <c r="D50">
        <f>IFERROR(__xludf.DUMMYFUNCTION("""COMPUTED_VALUE"""),46.0)</f>
        <v>46</v>
      </c>
      <c r="E50" t="str">
        <f>IFERROR(__xludf.DUMMYFUNCTION("""COMPUTED_VALUE"""),"--")</f>
        <v>--</v>
      </c>
      <c r="F50" t="str">
        <f>IFERROR(__xludf.DUMMYFUNCTION("""COMPUTED_VALUE"""),"6.4-5.7")</f>
        <v>6.4-5.7</v>
      </c>
      <c r="G50">
        <f>IFERROR(__xludf.DUMMYFUNCTION("""COMPUTED_VALUE"""),0.0)</f>
        <v>0</v>
      </c>
      <c r="H50">
        <f>IFERROR(__xludf.DUMMYFUNCTION("""COMPUTED_VALUE"""),64.9)</f>
        <v>64.9</v>
      </c>
      <c r="I50">
        <f>IFERROR(__xludf.DUMMYFUNCTION("""COMPUTED_VALUE"""),0.0)</f>
        <v>0</v>
      </c>
      <c r="J50">
        <f>IFERROR(__xludf.DUMMYFUNCTION("""COMPUTED_VALUE"""),2.1)</f>
        <v>2.1</v>
      </c>
      <c r="K50">
        <f>IFERROR(__xludf.DUMMYFUNCTION("""COMPUTED_VALUE"""),4.1)</f>
        <v>4.1</v>
      </c>
      <c r="L50">
        <f>IFERROR(__xludf.DUMMYFUNCTION("""COMPUTED_VALUE"""),0.2)</f>
        <v>0.2</v>
      </c>
      <c r="M50">
        <f>IFERROR(__xludf.DUMMYFUNCTION("""COMPUTED_VALUE"""),0.0)</f>
        <v>0</v>
      </c>
      <c r="N50" t="str">
        <f>IFERROR(__xludf.DUMMYFUNCTION("""COMPUTED_VALUE"""),"Cincinnati Bearcats")</f>
        <v>Cincinnati Bearcats</v>
      </c>
      <c r="O50" s="187" t="str">
        <f>IFERROR(__xludf.DUMMYFUNCTION("""COMPUTED_VALUE"""),"Big 12")</f>
        <v>Big 12</v>
      </c>
      <c r="P50" s="187">
        <f>IFERROR(__xludf.DUMMYFUNCTION("indeX(split(F50,""-""),1)-J50/100"),6.3790000000000004)</f>
        <v>6.379</v>
      </c>
    </row>
    <row r="51">
      <c r="B51" t="str">
        <f>IFERROR(__xludf.DUMMYFUNCTION("""COMPUTED_VALUE"""),"0-0")</f>
        <v>0-0</v>
      </c>
      <c r="C51">
        <f>IFERROR(__xludf.DUMMYFUNCTION("""COMPUTED_VALUE"""),4.4)</f>
        <v>4.4</v>
      </c>
      <c r="D51">
        <f>IFERROR(__xludf.DUMMYFUNCTION("""COMPUTED_VALUE"""),47.0)</f>
        <v>47</v>
      </c>
      <c r="E51" t="str">
        <f>IFERROR(__xludf.DUMMYFUNCTION("""COMPUTED_VALUE"""),"--")</f>
        <v>--</v>
      </c>
      <c r="F51" t="str">
        <f>IFERROR(__xludf.DUMMYFUNCTION("""COMPUTED_VALUE"""),"4.3-7.7")</f>
        <v>4.3-7.7</v>
      </c>
      <c r="G51">
        <f>IFERROR(__xludf.DUMMYFUNCTION("""COMPUTED_VALUE"""),0.0)</f>
        <v>0</v>
      </c>
      <c r="H51">
        <f>IFERROR(__xludf.DUMMYFUNCTION("""COMPUTED_VALUE"""),24.2)</f>
        <v>24.2</v>
      </c>
      <c r="I51">
        <f>IFERROR(__xludf.DUMMYFUNCTION("""COMPUTED_VALUE"""),0.0)</f>
        <v>0</v>
      </c>
      <c r="J51">
        <f>IFERROR(__xludf.DUMMYFUNCTION("""COMPUTED_VALUE"""),0.1)</f>
        <v>0.1</v>
      </c>
      <c r="K51">
        <f>IFERROR(__xludf.DUMMYFUNCTION("""COMPUTED_VALUE"""),1.7)</f>
        <v>1.7</v>
      </c>
      <c r="L51">
        <f>IFERROR(__xludf.DUMMYFUNCTION("""COMPUTED_VALUE"""),0.1)</f>
        <v>0.1</v>
      </c>
      <c r="M51">
        <f>IFERROR(__xludf.DUMMYFUNCTION("""COMPUTED_VALUE"""),0.0)</f>
        <v>0</v>
      </c>
      <c r="N51" t="str">
        <f>IFERROR(__xludf.DUMMYFUNCTION("""COMPUTED_VALUE"""),"Arkansas Razorbacks")</f>
        <v>Arkansas Razorbacks</v>
      </c>
      <c r="O51" s="187" t="str">
        <f>IFERROR(__xludf.DUMMYFUNCTION("""COMPUTED_VALUE"""),"SEC")</f>
        <v>SEC</v>
      </c>
      <c r="P51" s="187">
        <f>IFERROR(__xludf.DUMMYFUNCTION("indeX(split(F51,""-""),1)-J51/100"),4.2989999999999995)</f>
        <v>4.299</v>
      </c>
    </row>
    <row r="52">
      <c r="B52" t="str">
        <f>IFERROR(__xludf.DUMMYFUNCTION("""COMPUTED_VALUE"""),"0-0")</f>
        <v>0-0</v>
      </c>
      <c r="C52">
        <f>IFERROR(__xludf.DUMMYFUNCTION("""COMPUTED_VALUE"""),4.2)</f>
        <v>4.2</v>
      </c>
      <c r="D52">
        <f>IFERROR(__xludf.DUMMYFUNCTION("""COMPUTED_VALUE"""),48.0)</f>
        <v>48</v>
      </c>
      <c r="E52" t="str">
        <f>IFERROR(__xludf.DUMMYFUNCTION("""COMPUTED_VALUE"""),"--")</f>
        <v>--</v>
      </c>
      <c r="F52" t="str">
        <f>IFERROR(__xludf.DUMMYFUNCTION("""COMPUTED_VALUE"""),"5.8-6.3")</f>
        <v>5.8-6.3</v>
      </c>
      <c r="G52">
        <f>IFERROR(__xludf.DUMMYFUNCTION("""COMPUTED_VALUE"""),0.0)</f>
        <v>0</v>
      </c>
      <c r="H52">
        <f>IFERROR(__xludf.DUMMYFUNCTION("""COMPUTED_VALUE"""),54.4)</f>
        <v>54.4</v>
      </c>
      <c r="I52">
        <f>IFERROR(__xludf.DUMMYFUNCTION("""COMPUTED_VALUE"""),0.0)</f>
        <v>0</v>
      </c>
      <c r="J52">
        <f>IFERROR(__xludf.DUMMYFUNCTION("""COMPUTED_VALUE"""),1.4)</f>
        <v>1.4</v>
      </c>
      <c r="K52">
        <f>IFERROR(__xludf.DUMMYFUNCTION("""COMPUTED_VALUE"""),3.3)</f>
        <v>3.3</v>
      </c>
      <c r="L52">
        <f>IFERROR(__xludf.DUMMYFUNCTION("""COMPUTED_VALUE"""),0.1)</f>
        <v>0.1</v>
      </c>
      <c r="M52">
        <f>IFERROR(__xludf.DUMMYFUNCTION("""COMPUTED_VALUE"""),0.0)</f>
        <v>0</v>
      </c>
      <c r="N52" t="str">
        <f>IFERROR(__xludf.DUMMYFUNCTION("""COMPUTED_VALUE"""),"Georgia Tech Yellow Jackets")</f>
        <v>Georgia Tech Yellow Jackets</v>
      </c>
      <c r="O52" s="187" t="str">
        <f>IFERROR(__xludf.DUMMYFUNCTION("""COMPUTED_VALUE"""),"ACC")</f>
        <v>ACC</v>
      </c>
      <c r="P52" s="187">
        <f>IFERROR(__xludf.DUMMYFUNCTION("indeX(split(F52,""-""),1)-J52/100"),5.786)</f>
        <v>5.786</v>
      </c>
    </row>
    <row r="53">
      <c r="B53" t="str">
        <f>IFERROR(__xludf.DUMMYFUNCTION("""COMPUTED_VALUE"""),"0-0")</f>
        <v>0-0</v>
      </c>
      <c r="C53">
        <f>IFERROR(__xludf.DUMMYFUNCTION("""COMPUTED_VALUE"""),4.1)</f>
        <v>4.1</v>
      </c>
      <c r="D53">
        <f>IFERROR(__xludf.DUMMYFUNCTION("""COMPUTED_VALUE"""),49.0)</f>
        <v>49</v>
      </c>
      <c r="E53" t="str">
        <f>IFERROR(__xludf.DUMMYFUNCTION("""COMPUTED_VALUE"""),"--")</f>
        <v>--</v>
      </c>
      <c r="F53" t="str">
        <f>IFERROR(__xludf.DUMMYFUNCTION("""COMPUTED_VALUE"""),"4.6-7.4")</f>
        <v>4.6-7.4</v>
      </c>
      <c r="G53">
        <f>IFERROR(__xludf.DUMMYFUNCTION("""COMPUTED_VALUE"""),0.0)</f>
        <v>0</v>
      </c>
      <c r="H53">
        <f>IFERROR(__xludf.DUMMYFUNCTION("""COMPUTED_VALUE"""),29.5)</f>
        <v>29.5</v>
      </c>
      <c r="I53">
        <f>IFERROR(__xludf.DUMMYFUNCTION("""COMPUTED_VALUE"""),0.0)</f>
        <v>0</v>
      </c>
      <c r="J53">
        <f>IFERROR(__xludf.DUMMYFUNCTION("""COMPUTED_VALUE"""),0.1)</f>
        <v>0.1</v>
      </c>
      <c r="K53">
        <f>IFERROR(__xludf.DUMMYFUNCTION("""COMPUTED_VALUE"""),1.7)</f>
        <v>1.7</v>
      </c>
      <c r="L53">
        <f>IFERROR(__xludf.DUMMYFUNCTION("""COMPUTED_VALUE"""),0.1)</f>
        <v>0.1</v>
      </c>
      <c r="M53">
        <f>IFERROR(__xludf.DUMMYFUNCTION("""COMPUTED_VALUE"""),0.0)</f>
        <v>0</v>
      </c>
      <c r="N53" t="str">
        <f>IFERROR(__xludf.DUMMYFUNCTION("""COMPUTED_VALUE"""),"Mississippi State Bulldogs")</f>
        <v>Mississippi State Bulldogs</v>
      </c>
      <c r="O53" s="187" t="str">
        <f>IFERROR(__xludf.DUMMYFUNCTION("""COMPUTED_VALUE"""),"SEC")</f>
        <v>SEC</v>
      </c>
      <c r="P53" s="187">
        <f>IFERROR(__xludf.DUMMYFUNCTION("indeX(split(F53,""-""),1)-J53/100"),4.598999999999999)</f>
        <v>4.599</v>
      </c>
    </row>
    <row r="54">
      <c r="B54" t="str">
        <f>IFERROR(__xludf.DUMMYFUNCTION("""COMPUTED_VALUE"""),"0-0")</f>
        <v>0-0</v>
      </c>
      <c r="C54">
        <f>IFERROR(__xludf.DUMMYFUNCTION("""COMPUTED_VALUE"""),4.0)</f>
        <v>4</v>
      </c>
      <c r="D54">
        <f>IFERROR(__xludf.DUMMYFUNCTION("""COMPUTED_VALUE"""),50.0)</f>
        <v>50</v>
      </c>
      <c r="E54" t="str">
        <f>IFERROR(__xludf.DUMMYFUNCTION("""COMPUTED_VALUE"""),"--")</f>
        <v>--</v>
      </c>
      <c r="F54" t="str">
        <f>IFERROR(__xludf.DUMMYFUNCTION("""COMPUTED_VALUE"""),"7.8-3.8")</f>
        <v>7.8-3.8</v>
      </c>
      <c r="G54">
        <f>IFERROR(__xludf.DUMMYFUNCTION("""COMPUTED_VALUE"""),0.3)</f>
        <v>0.3</v>
      </c>
      <c r="H54">
        <f>IFERROR(__xludf.DUMMYFUNCTION("""COMPUTED_VALUE"""),84.9)</f>
        <v>84.9</v>
      </c>
      <c r="I54">
        <f>IFERROR(__xludf.DUMMYFUNCTION("""COMPUTED_VALUE"""),0.0)</f>
        <v>0</v>
      </c>
      <c r="J54">
        <f>IFERROR(__xludf.DUMMYFUNCTION("""COMPUTED_VALUE"""),36.4)</f>
        <v>36.4</v>
      </c>
      <c r="K54">
        <f>IFERROR(__xludf.DUMMYFUNCTION("""COMPUTED_VALUE"""),11.2)</f>
        <v>11.2</v>
      </c>
      <c r="L54">
        <f>IFERROR(__xludf.DUMMYFUNCTION("""COMPUTED_VALUE"""),0.2)</f>
        <v>0.2</v>
      </c>
      <c r="M54">
        <f>IFERROR(__xludf.DUMMYFUNCTION("""COMPUTED_VALUE"""),0.1)</f>
        <v>0.1</v>
      </c>
      <c r="N54" t="str">
        <f>IFERROR(__xludf.DUMMYFUNCTION("""COMPUTED_VALUE"""),"Boise State Broncos")</f>
        <v>Boise State Broncos</v>
      </c>
      <c r="O54" s="187" t="str">
        <f>IFERROR(__xludf.DUMMYFUNCTION("""COMPUTED_VALUE"""),"Pac-12")</f>
        <v>Pac-12</v>
      </c>
      <c r="P54" s="187">
        <f>IFERROR(__xludf.DUMMYFUNCTION("indeX(split(F54,""-""),1)-J54/100"),7.436)</f>
        <v>7.436</v>
      </c>
    </row>
    <row r="55">
      <c r="B55" t="str">
        <f>IFERROR(__xludf.DUMMYFUNCTION("""COMPUTED_VALUE"""),"0-0")</f>
        <v>0-0</v>
      </c>
      <c r="C55">
        <f>IFERROR(__xludf.DUMMYFUNCTION("""COMPUTED_VALUE"""),3.7)</f>
        <v>3.7</v>
      </c>
      <c r="D55">
        <f>IFERROR(__xludf.DUMMYFUNCTION("""COMPUTED_VALUE"""),51.0)</f>
        <v>51</v>
      </c>
      <c r="E55" t="str">
        <f>IFERROR(__xludf.DUMMYFUNCTION("""COMPUTED_VALUE"""),"--")</f>
        <v>--</v>
      </c>
      <c r="F55" t="str">
        <f>IFERROR(__xludf.DUMMYFUNCTION("""COMPUTED_VALUE"""),"6.7-5.4")</f>
        <v>6.7-5.4</v>
      </c>
      <c r="G55">
        <f>IFERROR(__xludf.DUMMYFUNCTION("""COMPUTED_VALUE"""),0.0)</f>
        <v>0</v>
      </c>
      <c r="H55">
        <f>IFERROR(__xludf.DUMMYFUNCTION("""COMPUTED_VALUE"""),70.1)</f>
        <v>70.1</v>
      </c>
      <c r="I55">
        <f>IFERROR(__xludf.DUMMYFUNCTION("""COMPUTED_VALUE"""),0.0)</f>
        <v>0</v>
      </c>
      <c r="J55">
        <f>IFERROR(__xludf.DUMMYFUNCTION("""COMPUTED_VALUE"""),1.5)</f>
        <v>1.5</v>
      </c>
      <c r="K55">
        <f>IFERROR(__xludf.DUMMYFUNCTION("""COMPUTED_VALUE"""),3.5)</f>
        <v>3.5</v>
      </c>
      <c r="L55">
        <f>IFERROR(__xludf.DUMMYFUNCTION("""COMPUTED_VALUE"""),0.1)</f>
        <v>0.1</v>
      </c>
      <c r="M55">
        <f>IFERROR(__xludf.DUMMYFUNCTION("""COMPUTED_VALUE"""),0.0)</f>
        <v>0</v>
      </c>
      <c r="N55" t="str">
        <f>IFERROR(__xludf.DUMMYFUNCTION("""COMPUTED_VALUE"""),"NC State Wolfpack")</f>
        <v>NC State Wolfpack</v>
      </c>
      <c r="O55" s="187" t="str">
        <f>IFERROR(__xludf.DUMMYFUNCTION("""COMPUTED_VALUE"""),"ACC")</f>
        <v>ACC</v>
      </c>
      <c r="P55" s="187">
        <f>IFERROR(__xludf.DUMMYFUNCTION("indeX(split(F55,""-""),1)-J55/100"),6.6850000000000005)</f>
        <v>6.685</v>
      </c>
    </row>
    <row r="56">
      <c r="B56" t="str">
        <f>IFERROR(__xludf.DUMMYFUNCTION("""COMPUTED_VALUE"""),"0-0")</f>
        <v>0-0</v>
      </c>
      <c r="C56">
        <f>IFERROR(__xludf.DUMMYFUNCTION("""COMPUTED_VALUE"""),3.5)</f>
        <v>3.5</v>
      </c>
      <c r="D56">
        <f>IFERROR(__xludf.DUMMYFUNCTION("""COMPUTED_VALUE"""),52.0)</f>
        <v>52</v>
      </c>
      <c r="E56" t="str">
        <f>IFERROR(__xludf.DUMMYFUNCTION("""COMPUTED_VALUE"""),"--")</f>
        <v>--</v>
      </c>
      <c r="F56" t="str">
        <f>IFERROR(__xludf.DUMMYFUNCTION("""COMPUTED_VALUE"""),"6.0-6.0")</f>
        <v>6.0-6.0</v>
      </c>
      <c r="G56">
        <f>IFERROR(__xludf.DUMMYFUNCTION("""COMPUTED_VALUE"""),0.0)</f>
        <v>0</v>
      </c>
      <c r="H56">
        <f>IFERROR(__xludf.DUMMYFUNCTION("""COMPUTED_VALUE"""),57.9)</f>
        <v>57.9</v>
      </c>
      <c r="I56">
        <f>IFERROR(__xludf.DUMMYFUNCTION("""COMPUTED_VALUE"""),0.0)</f>
        <v>0</v>
      </c>
      <c r="J56">
        <f>IFERROR(__xludf.DUMMYFUNCTION("""COMPUTED_VALUE"""),1.2)</f>
        <v>1.2</v>
      </c>
      <c r="K56">
        <f>IFERROR(__xludf.DUMMYFUNCTION("""COMPUTED_VALUE"""),2.9)</f>
        <v>2.9</v>
      </c>
      <c r="L56">
        <f>IFERROR(__xludf.DUMMYFUNCTION("""COMPUTED_VALUE"""),0.1)</f>
        <v>0.1</v>
      </c>
      <c r="M56">
        <f>IFERROR(__xludf.DUMMYFUNCTION("""COMPUTED_VALUE"""),0.0)</f>
        <v>0</v>
      </c>
      <c r="N56" t="str">
        <f>IFERROR(__xludf.DUMMYFUNCTION("""COMPUTED_VALUE"""),"Duke Blue Devils")</f>
        <v>Duke Blue Devils</v>
      </c>
      <c r="O56" s="187" t="str">
        <f>IFERROR(__xludf.DUMMYFUNCTION("""COMPUTED_VALUE"""),"ACC")</f>
        <v>ACC</v>
      </c>
      <c r="P56" s="187">
        <f>IFERROR(__xludf.DUMMYFUNCTION("indeX(split(F56,""-""),1)-J56/100"),5.988)</f>
        <v>5.988</v>
      </c>
    </row>
    <row r="57">
      <c r="B57" t="str">
        <f>IFERROR(__xludf.DUMMYFUNCTION("""COMPUTED_VALUE"""),"0-0")</f>
        <v>0-0</v>
      </c>
      <c r="C57">
        <f>IFERROR(__xludf.DUMMYFUNCTION("""COMPUTED_VALUE"""),3.4)</f>
        <v>3.4</v>
      </c>
      <c r="D57">
        <f>IFERROR(__xludf.DUMMYFUNCTION("""COMPUTED_VALUE"""),53.0)</f>
        <v>53</v>
      </c>
      <c r="E57" t="str">
        <f>IFERROR(__xludf.DUMMYFUNCTION("""COMPUTED_VALUE"""),"--")</f>
        <v>--</v>
      </c>
      <c r="F57" t="str">
        <f>IFERROR(__xludf.DUMMYFUNCTION("""COMPUTED_VALUE"""),"6.3-5.8")</f>
        <v>6.3-5.8</v>
      </c>
      <c r="G57">
        <f>IFERROR(__xludf.DUMMYFUNCTION("""COMPUTED_VALUE"""),0.0)</f>
        <v>0</v>
      </c>
      <c r="H57">
        <f>IFERROR(__xludf.DUMMYFUNCTION("""COMPUTED_VALUE"""),63.3)</f>
        <v>63.3</v>
      </c>
      <c r="I57">
        <f>IFERROR(__xludf.DUMMYFUNCTION("""COMPUTED_VALUE"""),0.0)</f>
        <v>0</v>
      </c>
      <c r="J57">
        <f>IFERROR(__xludf.DUMMYFUNCTION("""COMPUTED_VALUE"""),1.0)</f>
        <v>1</v>
      </c>
      <c r="K57">
        <f>IFERROR(__xludf.DUMMYFUNCTION("""COMPUTED_VALUE"""),2.8)</f>
        <v>2.8</v>
      </c>
      <c r="L57">
        <f>IFERROR(__xludf.DUMMYFUNCTION("""COMPUTED_VALUE"""),0.1)</f>
        <v>0.1</v>
      </c>
      <c r="M57">
        <f>IFERROR(__xludf.DUMMYFUNCTION("""COMPUTED_VALUE"""),0.0)</f>
        <v>0</v>
      </c>
      <c r="N57" t="str">
        <f>IFERROR(__xludf.DUMMYFUNCTION("""COMPUTED_VALUE"""),"Wake Forest Demon Deacons")</f>
        <v>Wake Forest Demon Deacons</v>
      </c>
      <c r="O57" s="187" t="str">
        <f>IFERROR(__xludf.DUMMYFUNCTION("""COMPUTED_VALUE"""),"ACC")</f>
        <v>ACC</v>
      </c>
      <c r="P57" s="187">
        <f>IFERROR(__xludf.DUMMYFUNCTION("indeX(split(F57,""-""),1)-J57/100"),6.29)</f>
        <v>6.29</v>
      </c>
    </row>
    <row r="58">
      <c r="B58" t="str">
        <f>IFERROR(__xludf.DUMMYFUNCTION("""COMPUTED_VALUE"""),"0-0")</f>
        <v>0-0</v>
      </c>
      <c r="C58">
        <f>IFERROR(__xludf.DUMMYFUNCTION("""COMPUTED_VALUE"""),3.3)</f>
        <v>3.3</v>
      </c>
      <c r="D58">
        <f>IFERROR(__xludf.DUMMYFUNCTION("""COMPUTED_VALUE"""),54.0)</f>
        <v>54</v>
      </c>
      <c r="E58" t="str">
        <f>IFERROR(__xludf.DUMMYFUNCTION("""COMPUTED_VALUE"""),"--")</f>
        <v>--</v>
      </c>
      <c r="F58" t="str">
        <f>IFERROR(__xludf.DUMMYFUNCTION("""COMPUTED_VALUE"""),"6.0-6.1")</f>
        <v>6.0-6.1</v>
      </c>
      <c r="G58">
        <f>IFERROR(__xludf.DUMMYFUNCTION("""COMPUTED_VALUE"""),0.0)</f>
        <v>0</v>
      </c>
      <c r="H58">
        <f>IFERROR(__xludf.DUMMYFUNCTION("""COMPUTED_VALUE"""),58.5)</f>
        <v>58.5</v>
      </c>
      <c r="I58">
        <f>IFERROR(__xludf.DUMMYFUNCTION("""COMPUTED_VALUE"""),0.0)</f>
        <v>0</v>
      </c>
      <c r="J58">
        <f>IFERROR(__xludf.DUMMYFUNCTION("""COMPUTED_VALUE"""),1.9)</f>
        <v>1.9</v>
      </c>
      <c r="K58">
        <f>IFERROR(__xludf.DUMMYFUNCTION("""COMPUTED_VALUE"""),3.2)</f>
        <v>3.2</v>
      </c>
      <c r="L58">
        <f>IFERROR(__xludf.DUMMYFUNCTION("""COMPUTED_VALUE"""),0.1)</f>
        <v>0.1</v>
      </c>
      <c r="M58">
        <f>IFERROR(__xludf.DUMMYFUNCTION("""COMPUTED_VALUE"""),0.0)</f>
        <v>0</v>
      </c>
      <c r="N58" t="str">
        <f>IFERROR(__xludf.DUMMYFUNCTION("""COMPUTED_VALUE"""),"Oklahoma State Cowboys")</f>
        <v>Oklahoma State Cowboys</v>
      </c>
      <c r="O58" s="187" t="str">
        <f>IFERROR(__xludf.DUMMYFUNCTION("""COMPUTED_VALUE"""),"Big 12")</f>
        <v>Big 12</v>
      </c>
      <c r="P58" s="187">
        <f>IFERROR(__xludf.DUMMYFUNCTION("indeX(split(F58,""-""),1)-J58/100"),5.981)</f>
        <v>5.981</v>
      </c>
    </row>
    <row r="59">
      <c r="B59" t="str">
        <f>IFERROR(__xludf.DUMMYFUNCTION("""COMPUTED_VALUE"""),"0-0")</f>
        <v>0-0</v>
      </c>
      <c r="C59">
        <f>IFERROR(__xludf.DUMMYFUNCTION("""COMPUTED_VALUE"""),2.8)</f>
        <v>2.8</v>
      </c>
      <c r="D59">
        <f>IFERROR(__xludf.DUMMYFUNCTION("""COMPUTED_VALUE"""),55.0)</f>
        <v>55</v>
      </c>
      <c r="E59" t="str">
        <f>IFERROR(__xludf.DUMMYFUNCTION("""COMPUTED_VALUE"""),"--")</f>
        <v>--</v>
      </c>
      <c r="F59" t="str">
        <f>IFERROR(__xludf.DUMMYFUNCTION("""COMPUTED_VALUE"""),"6.0-6.0")</f>
        <v>6.0-6.0</v>
      </c>
      <c r="G59">
        <f>IFERROR(__xludf.DUMMYFUNCTION("""COMPUTED_VALUE"""),0.0)</f>
        <v>0</v>
      </c>
      <c r="H59">
        <f>IFERROR(__xludf.DUMMYFUNCTION("""COMPUTED_VALUE"""),58.1)</f>
        <v>58.1</v>
      </c>
      <c r="I59">
        <f>IFERROR(__xludf.DUMMYFUNCTION("""COMPUTED_VALUE"""),0.0)</f>
        <v>0</v>
      </c>
      <c r="J59">
        <f>IFERROR(__xludf.DUMMYFUNCTION("""COMPUTED_VALUE"""),1.5)</f>
        <v>1.5</v>
      </c>
      <c r="K59">
        <f>IFERROR(__xludf.DUMMYFUNCTION("""COMPUTED_VALUE"""),2.8)</f>
        <v>2.8</v>
      </c>
      <c r="L59">
        <f>IFERROR(__xludf.DUMMYFUNCTION("""COMPUTED_VALUE"""),0.1)</f>
        <v>0.1</v>
      </c>
      <c r="M59">
        <f>IFERROR(__xludf.DUMMYFUNCTION("""COMPUTED_VALUE"""),0.0)</f>
        <v>0</v>
      </c>
      <c r="N59" t="str">
        <f>IFERROR(__xludf.DUMMYFUNCTION("""COMPUTED_VALUE"""),"Kansas Jayhawks")</f>
        <v>Kansas Jayhawks</v>
      </c>
      <c r="O59" s="187" t="str">
        <f>IFERROR(__xludf.DUMMYFUNCTION("""COMPUTED_VALUE"""),"Big 12")</f>
        <v>Big 12</v>
      </c>
      <c r="P59" s="187">
        <f>IFERROR(__xludf.DUMMYFUNCTION("indeX(split(F59,""-""),1)-J59/100"),5.985)</f>
        <v>5.985</v>
      </c>
    </row>
    <row r="60">
      <c r="B60" t="str">
        <f>IFERROR(__xludf.DUMMYFUNCTION("""COMPUTED_VALUE"""),"0-0")</f>
        <v>0-0</v>
      </c>
      <c r="C60">
        <f>IFERROR(__xludf.DUMMYFUNCTION("""COMPUTED_VALUE"""),2.3)</f>
        <v>2.3</v>
      </c>
      <c r="D60">
        <f>IFERROR(__xludf.DUMMYFUNCTION("""COMPUTED_VALUE"""),56.0)</f>
        <v>56</v>
      </c>
      <c r="E60" t="str">
        <f>IFERROR(__xludf.DUMMYFUNCTION("""COMPUTED_VALUE"""),"--")</f>
        <v>--</v>
      </c>
      <c r="F60" t="str">
        <f>IFERROR(__xludf.DUMMYFUNCTION("""COMPUTED_VALUE"""),"8.2-4.2")</f>
        <v>8.2-4.2</v>
      </c>
      <c r="G60">
        <f>IFERROR(__xludf.DUMMYFUNCTION("""COMPUTED_VALUE"""),0.7)</f>
        <v>0.7</v>
      </c>
      <c r="H60">
        <f>IFERROR(__xludf.DUMMYFUNCTION("""COMPUTED_VALUE"""),87.0)</f>
        <v>87</v>
      </c>
      <c r="I60">
        <f>IFERROR(__xludf.DUMMYFUNCTION("""COMPUTED_VALUE"""),0.0)</f>
        <v>0</v>
      </c>
      <c r="J60">
        <f>IFERROR(__xludf.DUMMYFUNCTION("""COMPUTED_VALUE"""),21.8)</f>
        <v>21.8</v>
      </c>
      <c r="K60">
        <f>IFERROR(__xludf.DUMMYFUNCTION("""COMPUTED_VALUE"""),7.6)</f>
        <v>7.6</v>
      </c>
      <c r="L60">
        <f>IFERROR(__xludf.DUMMYFUNCTION("""COMPUTED_VALUE"""),0.1)</f>
        <v>0.1</v>
      </c>
      <c r="M60">
        <f>IFERROR(__xludf.DUMMYFUNCTION("""COMPUTED_VALUE"""),0.0)</f>
        <v>0</v>
      </c>
      <c r="N60" t="str">
        <f>IFERROR(__xludf.DUMMYFUNCTION("""COMPUTED_VALUE"""),"Tulane Green Wave")</f>
        <v>Tulane Green Wave</v>
      </c>
      <c r="O60" s="187" t="str">
        <f>IFERROR(__xludf.DUMMYFUNCTION("""COMPUTED_VALUE"""),"American")</f>
        <v>American</v>
      </c>
      <c r="P60" s="187">
        <f>IFERROR(__xludf.DUMMYFUNCTION("indeX(split(F60,""-""),1)-J60/100"),7.981999999999999)</f>
        <v>7.982</v>
      </c>
    </row>
    <row r="61">
      <c r="B61" t="str">
        <f>IFERROR(__xludf.DUMMYFUNCTION("""COMPUTED_VALUE"""),"0-0")</f>
        <v>0-0</v>
      </c>
      <c r="C61">
        <f>IFERROR(__xludf.DUMMYFUNCTION("""COMPUTED_VALUE"""),2.1)</f>
        <v>2.1</v>
      </c>
      <c r="D61">
        <f>IFERROR(__xludf.DUMMYFUNCTION("""COMPUTED_VALUE"""),57.0)</f>
        <v>57</v>
      </c>
      <c r="E61" t="str">
        <f>IFERROR(__xludf.DUMMYFUNCTION("""COMPUTED_VALUE"""),"--")</f>
        <v>--</v>
      </c>
      <c r="F61" t="str">
        <f>IFERROR(__xludf.DUMMYFUNCTION("""COMPUTED_VALUE"""),"6.1-5.9")</f>
        <v>6.1-5.9</v>
      </c>
      <c r="G61">
        <f>IFERROR(__xludf.DUMMYFUNCTION("""COMPUTED_VALUE"""),0.0)</f>
        <v>0</v>
      </c>
      <c r="H61">
        <f>IFERROR(__xludf.DUMMYFUNCTION("""COMPUTED_VALUE"""),59.6)</f>
        <v>59.6</v>
      </c>
      <c r="I61">
        <f>IFERROR(__xludf.DUMMYFUNCTION("""COMPUTED_VALUE"""),0.0)</f>
        <v>0</v>
      </c>
      <c r="J61">
        <f>IFERROR(__xludf.DUMMYFUNCTION("""COMPUTED_VALUE"""),1.7)</f>
        <v>1.7</v>
      </c>
      <c r="K61">
        <f>IFERROR(__xludf.DUMMYFUNCTION("""COMPUTED_VALUE"""),3.0)</f>
        <v>3</v>
      </c>
      <c r="L61">
        <f>IFERROR(__xludf.DUMMYFUNCTION("""COMPUTED_VALUE"""),0.1)</f>
        <v>0.1</v>
      </c>
      <c r="M61">
        <f>IFERROR(__xludf.DUMMYFUNCTION("""COMPUTED_VALUE"""),0.0)</f>
        <v>0</v>
      </c>
      <c r="N61" t="str">
        <f>IFERROR(__xludf.DUMMYFUNCTION("""COMPUTED_VALUE"""),"UCF Knights")</f>
        <v>UCF Knights</v>
      </c>
      <c r="O61" s="187" t="str">
        <f>IFERROR(__xludf.DUMMYFUNCTION("""COMPUTED_VALUE"""),"Big 12")</f>
        <v>Big 12</v>
      </c>
      <c r="P61" s="187">
        <f>IFERROR(__xludf.DUMMYFUNCTION("indeX(split(F61,""-""),1)-J61/100"),6.082999999999999)</f>
        <v>6.083</v>
      </c>
    </row>
    <row r="62">
      <c r="B62" t="str">
        <f>IFERROR(__xludf.DUMMYFUNCTION("""COMPUTED_VALUE"""),"0-0")</f>
        <v>0-0</v>
      </c>
      <c r="C62">
        <f>IFERROR(__xludf.DUMMYFUNCTION("""COMPUTED_VALUE"""),1.8)</f>
        <v>1.8</v>
      </c>
      <c r="D62">
        <f>IFERROR(__xludf.DUMMYFUNCTION("""COMPUTED_VALUE"""),58.0)</f>
        <v>58</v>
      </c>
      <c r="E62" t="str">
        <f>IFERROR(__xludf.DUMMYFUNCTION("""COMPUTED_VALUE"""),"--")</f>
        <v>--</v>
      </c>
      <c r="F62" t="str">
        <f>IFERROR(__xludf.DUMMYFUNCTION("""COMPUTED_VALUE"""),"9.0-3.6")</f>
        <v>9.0-3.6</v>
      </c>
      <c r="G62">
        <f>IFERROR(__xludf.DUMMYFUNCTION("""COMPUTED_VALUE"""),2.4)</f>
        <v>2.4</v>
      </c>
      <c r="H62">
        <f>IFERROR(__xludf.DUMMYFUNCTION("""COMPUTED_VALUE"""),92.6)</f>
        <v>92.6</v>
      </c>
      <c r="I62">
        <f>IFERROR(__xludf.DUMMYFUNCTION("""COMPUTED_VALUE"""),0.0)</f>
        <v>0</v>
      </c>
      <c r="J62">
        <f>IFERROR(__xludf.DUMMYFUNCTION("""COMPUTED_VALUE"""),35.4)</f>
        <v>35.4</v>
      </c>
      <c r="K62">
        <f>IFERROR(__xludf.DUMMYFUNCTION("""COMPUTED_VALUE"""),8.7)</f>
        <v>8.7</v>
      </c>
      <c r="L62">
        <f>IFERROR(__xludf.DUMMYFUNCTION("""COMPUTED_VALUE"""),0.1)</f>
        <v>0.1</v>
      </c>
      <c r="M62">
        <f>IFERROR(__xludf.DUMMYFUNCTION("""COMPUTED_VALUE"""),0.0)</f>
        <v>0</v>
      </c>
      <c r="N62" t="str">
        <f>IFERROR(__xludf.DUMMYFUNCTION("""COMPUTED_VALUE"""),"UNLV Rebels")</f>
        <v>UNLV Rebels</v>
      </c>
      <c r="O62" s="187" t="str">
        <f>IFERROR(__xludf.DUMMYFUNCTION("""COMPUTED_VALUE"""),"Mountain West")</f>
        <v>Mountain West</v>
      </c>
      <c r="P62" s="187">
        <f>IFERROR(__xludf.DUMMYFUNCTION("indeX(split(F62,""-""),1)-J62/100"),8.646)</f>
        <v>8.646</v>
      </c>
    </row>
    <row r="63">
      <c r="B63" t="str">
        <f>IFERROR(__xludf.DUMMYFUNCTION("""COMPUTED_VALUE"""),"0-0")</f>
        <v>0-0</v>
      </c>
      <c r="C63">
        <f>IFERROR(__xludf.DUMMYFUNCTION("""COMPUTED_VALUE"""),1.4)</f>
        <v>1.4</v>
      </c>
      <c r="D63">
        <f>IFERROR(__xludf.DUMMYFUNCTION("""COMPUTED_VALUE"""),59.0)</f>
        <v>59</v>
      </c>
      <c r="E63" t="str">
        <f>IFERROR(__xludf.DUMMYFUNCTION("""COMPUTED_VALUE"""),"--")</f>
        <v>--</v>
      </c>
      <c r="F63" t="str">
        <f>IFERROR(__xludf.DUMMYFUNCTION("""COMPUTED_VALUE"""),"7.5-4.0")</f>
        <v>7.5-4.0</v>
      </c>
      <c r="G63">
        <f>IFERROR(__xludf.DUMMYFUNCTION("""COMPUTED_VALUE"""),1.0)</f>
        <v>1</v>
      </c>
      <c r="H63">
        <f>IFERROR(__xludf.DUMMYFUNCTION("""COMPUTED_VALUE"""),81.3)</f>
        <v>81.3</v>
      </c>
      <c r="I63">
        <f>IFERROR(__xludf.DUMMYFUNCTION("""COMPUTED_VALUE"""),0.0)</f>
        <v>0</v>
      </c>
      <c r="J63">
        <f>IFERROR(__xludf.DUMMYFUNCTION("""COMPUTED_VALUE"""),25.1)</f>
        <v>25.1</v>
      </c>
      <c r="K63">
        <f>IFERROR(__xludf.DUMMYFUNCTION("""COMPUTED_VALUE"""),7.5)</f>
        <v>7.5</v>
      </c>
      <c r="L63">
        <f>IFERROR(__xludf.DUMMYFUNCTION("""COMPUTED_VALUE"""),0.1)</f>
        <v>0.1</v>
      </c>
      <c r="M63">
        <f>IFERROR(__xludf.DUMMYFUNCTION("""COMPUTED_VALUE"""),0.0)</f>
        <v>0</v>
      </c>
      <c r="N63" t="str">
        <f>IFERROR(__xludf.DUMMYFUNCTION("""COMPUTED_VALUE"""),"San Diego State Aztecs")</f>
        <v>San Diego State Aztecs</v>
      </c>
      <c r="O63" s="187" t="str">
        <f>IFERROR(__xludf.DUMMYFUNCTION("""COMPUTED_VALUE"""),"Pac-12")</f>
        <v>Pac-12</v>
      </c>
      <c r="P63" s="187">
        <f>IFERROR(__xludf.DUMMYFUNCTION("indeX(split(F63,""-""),1)-J63/100"),7.249)</f>
        <v>7.249</v>
      </c>
    </row>
    <row r="64">
      <c r="B64" t="str">
        <f>IFERROR(__xludf.DUMMYFUNCTION("""COMPUTED_VALUE"""),"0-0")</f>
        <v>0-0</v>
      </c>
      <c r="C64">
        <f>IFERROR(__xludf.DUMMYFUNCTION("""COMPUTED_VALUE"""),1.4)</f>
        <v>1.4</v>
      </c>
      <c r="D64">
        <f>IFERROR(__xludf.DUMMYFUNCTION("""COMPUTED_VALUE"""),60.0)</f>
        <v>60</v>
      </c>
      <c r="E64" t="str">
        <f>IFERROR(__xludf.DUMMYFUNCTION("""COMPUTED_VALUE"""),"--")</f>
        <v>--</v>
      </c>
      <c r="F64" t="str">
        <f>IFERROR(__xludf.DUMMYFUNCTION("""COMPUTED_VALUE"""),"4.9-7.1")</f>
        <v>4.9-7.1</v>
      </c>
      <c r="G64">
        <f>IFERROR(__xludf.DUMMYFUNCTION("""COMPUTED_VALUE"""),0.0)</f>
        <v>0</v>
      </c>
      <c r="H64">
        <f>IFERROR(__xludf.DUMMYFUNCTION("""COMPUTED_VALUE"""),37.6)</f>
        <v>37.6</v>
      </c>
      <c r="I64">
        <f>IFERROR(__xludf.DUMMYFUNCTION("""COMPUTED_VALUE"""),0.0)</f>
        <v>0</v>
      </c>
      <c r="J64">
        <f>IFERROR(__xludf.DUMMYFUNCTION("""COMPUTED_VALUE"""),0.1)</f>
        <v>0.1</v>
      </c>
      <c r="K64">
        <f>IFERROR(__xludf.DUMMYFUNCTION("""COMPUTED_VALUE"""),0.9)</f>
        <v>0.9</v>
      </c>
      <c r="L64">
        <f>IFERROR(__xludf.DUMMYFUNCTION("""COMPUTED_VALUE"""),0.0)</f>
        <v>0</v>
      </c>
      <c r="M64">
        <f>IFERROR(__xludf.DUMMYFUNCTION("""COMPUTED_VALUE"""),0.0)</f>
        <v>0</v>
      </c>
      <c r="N64" t="str">
        <f>IFERROR(__xludf.DUMMYFUNCTION("""COMPUTED_VALUE"""),"Northwestern Wildcats")</f>
        <v>Northwestern Wildcats</v>
      </c>
      <c r="O64" s="187" t="str">
        <f>IFERROR(__xludf.DUMMYFUNCTION("""COMPUTED_VALUE"""),"Big Ten")</f>
        <v>Big Ten</v>
      </c>
      <c r="P64" s="187">
        <f>IFERROR(__xludf.DUMMYFUNCTION("indeX(split(F64,""-""),1)-J64/100"),4.899)</f>
        <v>4.899</v>
      </c>
    </row>
    <row r="65">
      <c r="B65" t="str">
        <f>IFERROR(__xludf.DUMMYFUNCTION("""COMPUTED_VALUE"""),"0-0")</f>
        <v>0-0</v>
      </c>
      <c r="C65">
        <f>IFERROR(__xludf.DUMMYFUNCTION("""COMPUTED_VALUE"""),1.0)</f>
        <v>1</v>
      </c>
      <c r="D65">
        <f>IFERROR(__xludf.DUMMYFUNCTION("""COMPUTED_VALUE"""),61.0)</f>
        <v>61</v>
      </c>
      <c r="E65" t="str">
        <f>IFERROR(__xludf.DUMMYFUNCTION("""COMPUTED_VALUE"""),"--")</f>
        <v>--</v>
      </c>
      <c r="F65" t="str">
        <f>IFERROR(__xludf.DUMMYFUNCTION("""COMPUTED_VALUE"""),"5.4-6.6")</f>
        <v>5.4-6.6</v>
      </c>
      <c r="G65">
        <f>IFERROR(__xludf.DUMMYFUNCTION("""COMPUTED_VALUE"""),0.0)</f>
        <v>0</v>
      </c>
      <c r="H65">
        <f>IFERROR(__xludf.DUMMYFUNCTION("""COMPUTED_VALUE"""),46.0)</f>
        <v>46</v>
      </c>
      <c r="I65">
        <f>IFERROR(__xludf.DUMMYFUNCTION("""COMPUTED_VALUE"""),0.0)</f>
        <v>0</v>
      </c>
      <c r="J65">
        <f>IFERROR(__xludf.DUMMYFUNCTION("""COMPUTED_VALUE"""),0.1)</f>
        <v>0.1</v>
      </c>
      <c r="K65">
        <f>IFERROR(__xludf.DUMMYFUNCTION("""COMPUTED_VALUE"""),1.2)</f>
        <v>1.2</v>
      </c>
      <c r="L65">
        <f>IFERROR(__xludf.DUMMYFUNCTION("""COMPUTED_VALUE"""),0.0)</f>
        <v>0</v>
      </c>
      <c r="M65">
        <f>IFERROR(__xludf.DUMMYFUNCTION("""COMPUTED_VALUE"""),0.0)</f>
        <v>0</v>
      </c>
      <c r="N65" t="str">
        <f>IFERROR(__xludf.DUMMYFUNCTION("""COMPUTED_VALUE"""),"Maryland Terrapins")</f>
        <v>Maryland Terrapins</v>
      </c>
      <c r="O65" s="187" t="str">
        <f>IFERROR(__xludf.DUMMYFUNCTION("""COMPUTED_VALUE"""),"Big Ten")</f>
        <v>Big Ten</v>
      </c>
      <c r="P65" s="187">
        <f>IFERROR(__xludf.DUMMYFUNCTION("indeX(split(F65,""-""),1)-J65/100"),5.399)</f>
        <v>5.399</v>
      </c>
    </row>
    <row r="66">
      <c r="B66" t="str">
        <f>IFERROR(__xludf.DUMMYFUNCTION("""COMPUTED_VALUE"""),"0-0")</f>
        <v>0-0</v>
      </c>
      <c r="C66">
        <f>IFERROR(__xludf.DUMMYFUNCTION("""COMPUTED_VALUE"""),0.9)</f>
        <v>0.9</v>
      </c>
      <c r="D66">
        <f>IFERROR(__xludf.DUMMYFUNCTION("""COMPUTED_VALUE"""),62.0)</f>
        <v>62</v>
      </c>
      <c r="E66" t="str">
        <f>IFERROR(__xludf.DUMMYFUNCTION("""COMPUTED_VALUE"""),"--")</f>
        <v>--</v>
      </c>
      <c r="F66" t="str">
        <f>IFERROR(__xludf.DUMMYFUNCTION("""COMPUTED_VALUE"""),"5.6-6.5")</f>
        <v>5.6-6.5</v>
      </c>
      <c r="G66">
        <f>IFERROR(__xludf.DUMMYFUNCTION("""COMPUTED_VALUE"""),0.0)</f>
        <v>0</v>
      </c>
      <c r="H66">
        <f>IFERROR(__xludf.DUMMYFUNCTION("""COMPUTED_VALUE"""),49.2)</f>
        <v>49.2</v>
      </c>
      <c r="I66">
        <f>IFERROR(__xludf.DUMMYFUNCTION("""COMPUTED_VALUE"""),0.0)</f>
        <v>0</v>
      </c>
      <c r="J66">
        <f>IFERROR(__xludf.DUMMYFUNCTION("""COMPUTED_VALUE"""),0.5)</f>
        <v>0.5</v>
      </c>
      <c r="K66">
        <f>IFERROR(__xludf.DUMMYFUNCTION("""COMPUTED_VALUE"""),1.4)</f>
        <v>1.4</v>
      </c>
      <c r="L66">
        <f>IFERROR(__xludf.DUMMYFUNCTION("""COMPUTED_VALUE"""),0.0)</f>
        <v>0</v>
      </c>
      <c r="M66">
        <f>IFERROR(__xludf.DUMMYFUNCTION("""COMPUTED_VALUE"""),0.0)</f>
        <v>0</v>
      </c>
      <c r="N66" t="str">
        <f>IFERROR(__xludf.DUMMYFUNCTION("""COMPUTED_VALUE"""),"California Golden Bears")</f>
        <v>California Golden Bears</v>
      </c>
      <c r="O66" s="187" t="str">
        <f>IFERROR(__xludf.DUMMYFUNCTION("""COMPUTED_VALUE"""),"ACC")</f>
        <v>ACC</v>
      </c>
      <c r="P66" s="187">
        <f>IFERROR(__xludf.DUMMYFUNCTION("indeX(split(F66,""-""),1)-J66/100"),5.595)</f>
        <v>5.595</v>
      </c>
    </row>
    <row r="67">
      <c r="B67" t="str">
        <f>IFERROR(__xludf.DUMMYFUNCTION("""COMPUTED_VALUE"""),"0-0")</f>
        <v>0-0</v>
      </c>
      <c r="C67">
        <f>IFERROR(__xludf.DUMMYFUNCTION("""COMPUTED_VALUE"""),0.6)</f>
        <v>0.6</v>
      </c>
      <c r="D67">
        <f>IFERROR(__xludf.DUMMYFUNCTION("""COMPUTED_VALUE"""),63.0)</f>
        <v>63</v>
      </c>
      <c r="E67" t="str">
        <f>IFERROR(__xludf.DUMMYFUNCTION("""COMPUTED_VALUE"""),"--")</f>
        <v>--</v>
      </c>
      <c r="F67" t="str">
        <f>IFERROR(__xludf.DUMMYFUNCTION("""COMPUTED_VALUE"""),"5.3-6.7")</f>
        <v>5.3-6.7</v>
      </c>
      <c r="G67">
        <f>IFERROR(__xludf.DUMMYFUNCTION("""COMPUTED_VALUE"""),0.0)</f>
        <v>0</v>
      </c>
      <c r="H67">
        <f>IFERROR(__xludf.DUMMYFUNCTION("""COMPUTED_VALUE"""),43.7)</f>
        <v>43.7</v>
      </c>
      <c r="I67">
        <f>IFERROR(__xludf.DUMMYFUNCTION("""COMPUTED_VALUE"""),0.0)</f>
        <v>0</v>
      </c>
      <c r="J67">
        <f>IFERROR(__xludf.DUMMYFUNCTION("""COMPUTED_VALUE"""),0.1)</f>
        <v>0.1</v>
      </c>
      <c r="K67">
        <f>IFERROR(__xludf.DUMMYFUNCTION("""COMPUTED_VALUE"""),0.8)</f>
        <v>0.8</v>
      </c>
      <c r="L67">
        <f>IFERROR(__xludf.DUMMYFUNCTION("""COMPUTED_VALUE"""),0.0)</f>
        <v>0</v>
      </c>
      <c r="M67">
        <f>IFERROR(__xludf.DUMMYFUNCTION("""COMPUTED_VALUE"""),0.0)</f>
        <v>0</v>
      </c>
      <c r="N67" t="str">
        <f>IFERROR(__xludf.DUMMYFUNCTION("""COMPUTED_VALUE"""),"Minnesota Golden Gophers")</f>
        <v>Minnesota Golden Gophers</v>
      </c>
      <c r="O67" s="187" t="str">
        <f>IFERROR(__xludf.DUMMYFUNCTION("""COMPUTED_VALUE"""),"Big Ten")</f>
        <v>Big Ten</v>
      </c>
      <c r="P67" s="187">
        <f>IFERROR(__xludf.DUMMYFUNCTION("indeX(split(F67,""-""),1)-J67/100"),5.2989999999999995)</f>
        <v>5.299</v>
      </c>
    </row>
    <row r="68">
      <c r="B68" t="str">
        <f>IFERROR(__xludf.DUMMYFUNCTION("""COMPUTED_VALUE"""),"0-0")</f>
        <v>0-0</v>
      </c>
      <c r="C68">
        <f>IFERROR(__xludf.DUMMYFUNCTION("""COMPUTED_VALUE"""),0.5)</f>
        <v>0.5</v>
      </c>
      <c r="D68">
        <f>IFERROR(__xludf.DUMMYFUNCTION("""COMPUTED_VALUE"""),64.0)</f>
        <v>64</v>
      </c>
      <c r="E68" t="str">
        <f>IFERROR(__xludf.DUMMYFUNCTION("""COMPUTED_VALUE"""),"--")</f>
        <v>--</v>
      </c>
      <c r="F68" t="str">
        <f>IFERROR(__xludf.DUMMYFUNCTION("""COMPUTED_VALUE"""),"5.1-6.9")</f>
        <v>5.1-6.9</v>
      </c>
      <c r="G68">
        <f>IFERROR(__xludf.DUMMYFUNCTION("""COMPUTED_VALUE"""),0.0)</f>
        <v>0</v>
      </c>
      <c r="H68">
        <f>IFERROR(__xludf.DUMMYFUNCTION("""COMPUTED_VALUE"""),41.6)</f>
        <v>41.6</v>
      </c>
      <c r="I68">
        <f>IFERROR(__xludf.DUMMYFUNCTION("""COMPUTED_VALUE"""),0.0)</f>
        <v>0</v>
      </c>
      <c r="J68">
        <f>IFERROR(__xludf.DUMMYFUNCTION("""COMPUTED_VALUE"""),0.1)</f>
        <v>0.1</v>
      </c>
      <c r="K68">
        <f>IFERROR(__xludf.DUMMYFUNCTION("""COMPUTED_VALUE"""),1.0)</f>
        <v>1</v>
      </c>
      <c r="L68">
        <f>IFERROR(__xludf.DUMMYFUNCTION("""COMPUTED_VALUE"""),0.0)</f>
        <v>0</v>
      </c>
      <c r="M68">
        <f>IFERROR(__xludf.DUMMYFUNCTION("""COMPUTED_VALUE"""),0.0)</f>
        <v>0</v>
      </c>
      <c r="N68" t="str">
        <f>IFERROR(__xludf.DUMMYFUNCTION("""COMPUTED_VALUE"""),"UCLA Bruins")</f>
        <v>UCLA Bruins</v>
      </c>
      <c r="O68" s="187" t="str">
        <f>IFERROR(__xludf.DUMMYFUNCTION("""COMPUTED_VALUE"""),"Big Ten")</f>
        <v>Big Ten</v>
      </c>
      <c r="P68" s="187">
        <f>IFERROR(__xludf.DUMMYFUNCTION("indeX(split(F68,""-""),1)-J68/100"),5.098999999999999)</f>
        <v>5.099</v>
      </c>
    </row>
    <row r="69">
      <c r="B69" t="str">
        <f>IFERROR(__xludf.DUMMYFUNCTION("""COMPUTED_VALUE"""),"0-0")</f>
        <v>0-0</v>
      </c>
      <c r="C69">
        <f>IFERROR(__xludf.DUMMYFUNCTION("""COMPUTED_VALUE"""),0.3)</f>
        <v>0.3</v>
      </c>
      <c r="D69">
        <f>IFERROR(__xludf.DUMMYFUNCTION("""COMPUTED_VALUE"""),65.0)</f>
        <v>65</v>
      </c>
      <c r="E69" t="str">
        <f>IFERROR(__xludf.DUMMYFUNCTION("""COMPUTED_VALUE"""),"--")</f>
        <v>--</v>
      </c>
      <c r="F69" t="str">
        <f>IFERROR(__xludf.DUMMYFUNCTION("""COMPUTED_VALUE"""),"4.6-7.4")</f>
        <v>4.6-7.4</v>
      </c>
      <c r="G69">
        <f>IFERROR(__xludf.DUMMYFUNCTION("""COMPUTED_VALUE"""),0.0)</f>
        <v>0</v>
      </c>
      <c r="H69">
        <f>IFERROR(__xludf.DUMMYFUNCTION("""COMPUTED_VALUE"""),32.7)</f>
        <v>32.7</v>
      </c>
      <c r="I69">
        <f>IFERROR(__xludf.DUMMYFUNCTION("""COMPUTED_VALUE"""),0.0)</f>
        <v>0</v>
      </c>
      <c r="J69">
        <f>IFERROR(__xludf.DUMMYFUNCTION("""COMPUTED_VALUE"""),0.1)</f>
        <v>0.1</v>
      </c>
      <c r="K69">
        <f>IFERROR(__xludf.DUMMYFUNCTION("""COMPUTED_VALUE"""),0.8)</f>
        <v>0.8</v>
      </c>
      <c r="L69">
        <f>IFERROR(__xludf.DUMMYFUNCTION("""COMPUTED_VALUE"""),0.0)</f>
        <v>0</v>
      </c>
      <c r="M69">
        <f>IFERROR(__xludf.DUMMYFUNCTION("""COMPUTED_VALUE"""),0.0)</f>
        <v>0</v>
      </c>
      <c r="N69" t="str">
        <f>IFERROR(__xludf.DUMMYFUNCTION("""COMPUTED_VALUE"""),"Michigan State Spartans")</f>
        <v>Michigan State Spartans</v>
      </c>
      <c r="O69" s="187" t="str">
        <f>IFERROR(__xludf.DUMMYFUNCTION("""COMPUTED_VALUE"""),"Big Ten")</f>
        <v>Big Ten</v>
      </c>
      <c r="P69" s="187">
        <f>IFERROR(__xludf.DUMMYFUNCTION("indeX(split(F69,""-""),1)-J69/100"),4.598999999999999)</f>
        <v>4.599</v>
      </c>
    </row>
    <row r="70">
      <c r="B70" t="str">
        <f>IFERROR(__xludf.DUMMYFUNCTION("""COMPUTED_VALUE"""),"0-0")</f>
        <v>0-0</v>
      </c>
      <c r="C70">
        <f>IFERROR(__xludf.DUMMYFUNCTION("""COMPUTED_VALUE"""),0.2)</f>
        <v>0.2</v>
      </c>
      <c r="D70">
        <f>IFERROR(__xludf.DUMMYFUNCTION("""COMPUTED_VALUE"""),66.0)</f>
        <v>66</v>
      </c>
      <c r="E70" t="str">
        <f>IFERROR(__xludf.DUMMYFUNCTION("""COMPUTED_VALUE"""),"--")</f>
        <v>--</v>
      </c>
      <c r="F70" t="str">
        <f>IFERROR(__xludf.DUMMYFUNCTION("""COMPUTED_VALUE"""),"5.4-6.6")</f>
        <v>5.4-6.6</v>
      </c>
      <c r="G70">
        <f>IFERROR(__xludf.DUMMYFUNCTION("""COMPUTED_VALUE"""),0.0)</f>
        <v>0</v>
      </c>
      <c r="H70">
        <f>IFERROR(__xludf.DUMMYFUNCTION("""COMPUTED_VALUE"""),46.5)</f>
        <v>46.5</v>
      </c>
      <c r="I70">
        <f>IFERROR(__xludf.DUMMYFUNCTION("""COMPUTED_VALUE"""),0.0)</f>
        <v>0</v>
      </c>
      <c r="J70">
        <f>IFERROR(__xludf.DUMMYFUNCTION("""COMPUTED_VALUE"""),0.7)</f>
        <v>0.7</v>
      </c>
      <c r="K70">
        <f>IFERROR(__xludf.DUMMYFUNCTION("""COMPUTED_VALUE"""),1.4)</f>
        <v>1.4</v>
      </c>
      <c r="L70">
        <f>IFERROR(__xludf.DUMMYFUNCTION("""COMPUTED_VALUE"""),0.0)</f>
        <v>0</v>
      </c>
      <c r="M70">
        <f>IFERROR(__xludf.DUMMYFUNCTION("""COMPUTED_VALUE"""),0.0)</f>
        <v>0</v>
      </c>
      <c r="N70" t="str">
        <f>IFERROR(__xludf.DUMMYFUNCTION("""COMPUTED_VALUE"""),"West Virginia Mountaineers")</f>
        <v>West Virginia Mountaineers</v>
      </c>
      <c r="O70" s="187" t="str">
        <f>IFERROR(__xludf.DUMMYFUNCTION("""COMPUTED_VALUE"""),"Big 12")</f>
        <v>Big 12</v>
      </c>
      <c r="P70" s="187">
        <f>IFERROR(__xludf.DUMMYFUNCTION("indeX(split(F70,""-""),1)-J70/100"),5.393000000000001)</f>
        <v>5.393</v>
      </c>
    </row>
    <row r="71">
      <c r="B71" t="str">
        <f>IFERROR(__xludf.DUMMYFUNCTION("""COMPUTED_VALUE"""),"0-0")</f>
        <v>0-0</v>
      </c>
      <c r="C71">
        <f>IFERROR(__xludf.DUMMYFUNCTION("""COMPUTED_VALUE"""),-0.2)</f>
        <v>-0.2</v>
      </c>
      <c r="D71">
        <f>IFERROR(__xludf.DUMMYFUNCTION("""COMPUTED_VALUE"""),67.0)</f>
        <v>67</v>
      </c>
      <c r="E71" t="str">
        <f>IFERROR(__xludf.DUMMYFUNCTION("""COMPUTED_VALUE"""),"--")</f>
        <v>--</v>
      </c>
      <c r="F71" t="str">
        <f>IFERROR(__xludf.DUMMYFUNCTION("""COMPUTED_VALUE"""),"5.1-6.9")</f>
        <v>5.1-6.9</v>
      </c>
      <c r="G71">
        <f>IFERROR(__xludf.DUMMYFUNCTION("""COMPUTED_VALUE"""),0.0)</f>
        <v>0</v>
      </c>
      <c r="H71">
        <f>IFERROR(__xludf.DUMMYFUNCTION("""COMPUTED_VALUE"""),40.6)</f>
        <v>40.6</v>
      </c>
      <c r="I71">
        <f>IFERROR(__xludf.DUMMYFUNCTION("""COMPUTED_VALUE"""),0.0)</f>
        <v>0</v>
      </c>
      <c r="J71">
        <f>IFERROR(__xludf.DUMMYFUNCTION("""COMPUTED_VALUE"""),0.1)</f>
        <v>0.1</v>
      </c>
      <c r="K71">
        <f>IFERROR(__xludf.DUMMYFUNCTION("""COMPUTED_VALUE"""),0.8)</f>
        <v>0.8</v>
      </c>
      <c r="L71">
        <f>IFERROR(__xludf.DUMMYFUNCTION("""COMPUTED_VALUE"""),0.0)</f>
        <v>0</v>
      </c>
      <c r="M71">
        <f>IFERROR(__xludf.DUMMYFUNCTION("""COMPUTED_VALUE"""),0.0)</f>
        <v>0</v>
      </c>
      <c r="N71" t="str">
        <f>IFERROR(__xludf.DUMMYFUNCTION("""COMPUTED_VALUE"""),"Rutgers Scarlet Knights")</f>
        <v>Rutgers Scarlet Knights</v>
      </c>
      <c r="O71" s="187" t="str">
        <f>IFERROR(__xludf.DUMMYFUNCTION("""COMPUTED_VALUE"""),"Big Ten")</f>
        <v>Big Ten</v>
      </c>
      <c r="P71" s="187">
        <f>IFERROR(__xludf.DUMMYFUNCTION("indeX(split(F71,""-""),1)-J71/100"),5.098999999999999)</f>
        <v>5.099</v>
      </c>
    </row>
    <row r="72">
      <c r="B72" t="str">
        <f>IFERROR(__xludf.DUMMYFUNCTION("""COMPUTED_VALUE"""),"0-0")</f>
        <v>0-0</v>
      </c>
      <c r="C72">
        <f>IFERROR(__xludf.DUMMYFUNCTION("""COMPUTED_VALUE"""),-0.6)</f>
        <v>-0.6</v>
      </c>
      <c r="D72">
        <f>IFERROR(__xludf.DUMMYFUNCTION("""COMPUTED_VALUE"""),68.0)</f>
        <v>68</v>
      </c>
      <c r="E72" t="str">
        <f>IFERROR(__xludf.DUMMYFUNCTION("""COMPUTED_VALUE"""),"--")</f>
        <v>--</v>
      </c>
      <c r="F72" t="str">
        <f>IFERROR(__xludf.DUMMYFUNCTION("""COMPUTED_VALUE"""),"8.0-4.3")</f>
        <v>8.0-4.3</v>
      </c>
      <c r="G72">
        <f>IFERROR(__xludf.DUMMYFUNCTION("""COMPUTED_VALUE"""),0.1)</f>
        <v>0.1</v>
      </c>
      <c r="H72">
        <f>IFERROR(__xludf.DUMMYFUNCTION("""COMPUTED_VALUE"""),88.2)</f>
        <v>88.2</v>
      </c>
      <c r="I72">
        <f>IFERROR(__xludf.DUMMYFUNCTION("""COMPUTED_VALUE"""),0.0)</f>
        <v>0</v>
      </c>
      <c r="J72">
        <f>IFERROR(__xludf.DUMMYFUNCTION("""COMPUTED_VALUE"""),15.9)</f>
        <v>15.9</v>
      </c>
      <c r="K72">
        <f>IFERROR(__xludf.DUMMYFUNCTION("""COMPUTED_VALUE"""),4.7)</f>
        <v>4.7</v>
      </c>
      <c r="L72">
        <f>IFERROR(__xludf.DUMMYFUNCTION("""COMPUTED_VALUE"""),0.0)</f>
        <v>0</v>
      </c>
      <c r="M72">
        <f>IFERROR(__xludf.DUMMYFUNCTION("""COMPUTED_VALUE"""),0.0)</f>
        <v>0</v>
      </c>
      <c r="N72" t="str">
        <f>IFERROR(__xludf.DUMMYFUNCTION("""COMPUTED_VALUE"""),"East Carolina Pirates")</f>
        <v>East Carolina Pirates</v>
      </c>
      <c r="O72" s="187" t="str">
        <f>IFERROR(__xludf.DUMMYFUNCTION("""COMPUTED_VALUE"""),"American")</f>
        <v>American</v>
      </c>
      <c r="P72" s="187">
        <f>IFERROR(__xludf.DUMMYFUNCTION("indeX(split(F72,""-""),1)-J72/100"),7.841)</f>
        <v>7.841</v>
      </c>
    </row>
    <row r="73">
      <c r="B73" t="str">
        <f>IFERROR(__xludf.DUMMYFUNCTION("""COMPUTED_VALUE"""),"0-0")</f>
        <v>0-0</v>
      </c>
      <c r="C73">
        <f>IFERROR(__xludf.DUMMYFUNCTION("""COMPUTED_VALUE"""),-0.7)</f>
        <v>-0.7</v>
      </c>
      <c r="D73">
        <f>IFERROR(__xludf.DUMMYFUNCTION("""COMPUTED_VALUE"""),69.0)</f>
        <v>69</v>
      </c>
      <c r="E73" t="str">
        <f>IFERROR(__xludf.DUMMYFUNCTION("""COMPUTED_VALUE"""),"--")</f>
        <v>--</v>
      </c>
      <c r="F73" t="str">
        <f>IFERROR(__xludf.DUMMYFUNCTION("""COMPUTED_VALUE"""),"7.9-4.4")</f>
        <v>7.9-4.4</v>
      </c>
      <c r="G73">
        <f>IFERROR(__xludf.DUMMYFUNCTION("""COMPUTED_VALUE"""),0.1)</f>
        <v>0.1</v>
      </c>
      <c r="H73">
        <f>IFERROR(__xludf.DUMMYFUNCTION("""COMPUTED_VALUE"""),86.1)</f>
        <v>86.1</v>
      </c>
      <c r="I73">
        <f>IFERROR(__xludf.DUMMYFUNCTION("""COMPUTED_VALUE"""),0.0)</f>
        <v>0</v>
      </c>
      <c r="J73">
        <f>IFERROR(__xludf.DUMMYFUNCTION("""COMPUTED_VALUE"""),18.9)</f>
        <v>18.9</v>
      </c>
      <c r="K73">
        <f>IFERROR(__xludf.DUMMYFUNCTION("""COMPUTED_VALUE"""),4.7)</f>
        <v>4.7</v>
      </c>
      <c r="L73">
        <f>IFERROR(__xludf.DUMMYFUNCTION("""COMPUTED_VALUE"""),0.0)</f>
        <v>0</v>
      </c>
      <c r="M73">
        <f>IFERROR(__xludf.DUMMYFUNCTION("""COMPUTED_VALUE"""),0.0)</f>
        <v>0</v>
      </c>
      <c r="N73" t="str">
        <f>IFERROR(__xludf.DUMMYFUNCTION("""COMPUTED_VALUE"""),"Navy Midshipmen")</f>
        <v>Navy Midshipmen</v>
      </c>
      <c r="O73" s="187" t="str">
        <f>IFERROR(__xludf.DUMMYFUNCTION("""COMPUTED_VALUE"""),"American")</f>
        <v>American</v>
      </c>
      <c r="P73" s="187">
        <f>IFERROR(__xludf.DUMMYFUNCTION("indeX(split(F73,""-""),1)-J73/100"),7.711)</f>
        <v>7.711</v>
      </c>
    </row>
    <row r="74">
      <c r="B74" t="str">
        <f>IFERROR(__xludf.DUMMYFUNCTION("""COMPUTED_VALUE"""),"0-0")</f>
        <v>0-0</v>
      </c>
      <c r="C74">
        <f>IFERROR(__xludf.DUMMYFUNCTION("""COMPUTED_VALUE"""),-0.8)</f>
        <v>-0.8</v>
      </c>
      <c r="D74">
        <f>IFERROR(__xludf.DUMMYFUNCTION("""COMPUTED_VALUE"""),70.0)</f>
        <v>70</v>
      </c>
      <c r="E74" t="str">
        <f>IFERROR(__xludf.DUMMYFUNCTION("""COMPUTED_VALUE"""),"--")</f>
        <v>--</v>
      </c>
      <c r="F74" t="str">
        <f>IFERROR(__xludf.DUMMYFUNCTION("""COMPUTED_VALUE"""),"4.8-7.2")</f>
        <v>4.8-7.2</v>
      </c>
      <c r="G74">
        <f>IFERROR(__xludf.DUMMYFUNCTION("""COMPUTED_VALUE"""),0.0)</f>
        <v>0</v>
      </c>
      <c r="H74">
        <f>IFERROR(__xludf.DUMMYFUNCTION("""COMPUTED_VALUE"""),35.0)</f>
        <v>35</v>
      </c>
      <c r="I74">
        <f>IFERROR(__xludf.DUMMYFUNCTION("""COMPUTED_VALUE"""),0.0)</f>
        <v>0</v>
      </c>
      <c r="J74">
        <f>IFERROR(__xludf.DUMMYFUNCTION("""COMPUTED_VALUE"""),0.4)</f>
        <v>0.4</v>
      </c>
      <c r="K74">
        <f>IFERROR(__xludf.DUMMYFUNCTION("""COMPUTED_VALUE"""),0.9)</f>
        <v>0.9</v>
      </c>
      <c r="L74">
        <f>IFERROR(__xludf.DUMMYFUNCTION("""COMPUTED_VALUE"""),0.0)</f>
        <v>0</v>
      </c>
      <c r="M74">
        <f>IFERROR(__xludf.DUMMYFUNCTION("""COMPUTED_VALUE"""),0.0)</f>
        <v>0</v>
      </c>
      <c r="N74" t="str">
        <f>IFERROR(__xludf.DUMMYFUNCTION("""COMPUTED_VALUE"""),"Syracuse Orange")</f>
        <v>Syracuse Orange</v>
      </c>
      <c r="O74" s="187" t="str">
        <f>IFERROR(__xludf.DUMMYFUNCTION("""COMPUTED_VALUE"""),"ACC")</f>
        <v>ACC</v>
      </c>
      <c r="P74" s="187">
        <f>IFERROR(__xludf.DUMMYFUNCTION("indeX(split(F74,""-""),1)-J74/100"),4.796)</f>
        <v>4.796</v>
      </c>
    </row>
    <row r="75">
      <c r="B75" t="str">
        <f>IFERROR(__xludf.DUMMYFUNCTION("""COMPUTED_VALUE"""),"0-0")</f>
        <v>0-0</v>
      </c>
      <c r="C75">
        <f>IFERROR(__xludf.DUMMYFUNCTION("""COMPUTED_VALUE"""),-0.9)</f>
        <v>-0.9</v>
      </c>
      <c r="D75">
        <f>IFERROR(__xludf.DUMMYFUNCTION("""COMPUTED_VALUE"""),71.0)</f>
        <v>71</v>
      </c>
      <c r="E75" t="str">
        <f>IFERROR(__xludf.DUMMYFUNCTION("""COMPUTED_VALUE"""),"--")</f>
        <v>--</v>
      </c>
      <c r="F75" t="str">
        <f>IFERROR(__xludf.DUMMYFUNCTION("""COMPUTED_VALUE"""),"4.3-7.7")</f>
        <v>4.3-7.7</v>
      </c>
      <c r="G75">
        <f>IFERROR(__xludf.DUMMYFUNCTION("""COMPUTED_VALUE"""),0.0)</f>
        <v>0</v>
      </c>
      <c r="H75">
        <f>IFERROR(__xludf.DUMMYFUNCTION("""COMPUTED_VALUE"""),25.1)</f>
        <v>25.1</v>
      </c>
      <c r="I75">
        <f>IFERROR(__xludf.DUMMYFUNCTION("""COMPUTED_VALUE"""),0.0)</f>
        <v>0</v>
      </c>
      <c r="J75">
        <f>IFERROR(__xludf.DUMMYFUNCTION("""COMPUTED_VALUE"""),0.1)</f>
        <v>0.1</v>
      </c>
      <c r="K75">
        <f>IFERROR(__xludf.DUMMYFUNCTION("""COMPUTED_VALUE"""),0.6)</f>
        <v>0.6</v>
      </c>
      <c r="L75">
        <f>IFERROR(__xludf.DUMMYFUNCTION("""COMPUTED_VALUE"""),0.0)</f>
        <v>0</v>
      </c>
      <c r="M75">
        <f>IFERROR(__xludf.DUMMYFUNCTION("""COMPUTED_VALUE"""),0.0)</f>
        <v>0</v>
      </c>
      <c r="N75" t="str">
        <f>IFERROR(__xludf.DUMMYFUNCTION("""COMPUTED_VALUE"""),"Purdue Boilermakers")</f>
        <v>Purdue Boilermakers</v>
      </c>
      <c r="O75" s="187" t="str">
        <f>IFERROR(__xludf.DUMMYFUNCTION("""COMPUTED_VALUE"""),"Big Ten")</f>
        <v>Big Ten</v>
      </c>
      <c r="P75" s="187">
        <f>IFERROR(__xludf.DUMMYFUNCTION("indeX(split(F75,""-""),1)-J75/100"),4.2989999999999995)</f>
        <v>4.299</v>
      </c>
    </row>
    <row r="76">
      <c r="B76" t="str">
        <f>IFERROR(__xludf.DUMMYFUNCTION("""COMPUTED_VALUE"""),"0-0")</f>
        <v>0-0</v>
      </c>
      <c r="C76">
        <f>IFERROR(__xludf.DUMMYFUNCTION("""COMPUTED_VALUE"""),-0.9)</f>
        <v>-0.9</v>
      </c>
      <c r="D76">
        <f>IFERROR(__xludf.DUMMYFUNCTION("""COMPUTED_VALUE"""),72.0)</f>
        <v>72</v>
      </c>
      <c r="E76" t="str">
        <f>IFERROR(__xludf.DUMMYFUNCTION("""COMPUTED_VALUE"""),"--")</f>
        <v>--</v>
      </c>
      <c r="F76" t="str">
        <f>IFERROR(__xludf.DUMMYFUNCTION("""COMPUTED_VALUE"""),"5.1-6.9")</f>
        <v>5.1-6.9</v>
      </c>
      <c r="G76">
        <f>IFERROR(__xludf.DUMMYFUNCTION("""COMPUTED_VALUE"""),0.0)</f>
        <v>0</v>
      </c>
      <c r="H76">
        <f>IFERROR(__xludf.DUMMYFUNCTION("""COMPUTED_VALUE"""),41.0)</f>
        <v>41</v>
      </c>
      <c r="I76">
        <f>IFERROR(__xludf.DUMMYFUNCTION("""COMPUTED_VALUE"""),0.0)</f>
        <v>0</v>
      </c>
      <c r="J76">
        <f>IFERROR(__xludf.DUMMYFUNCTION("""COMPUTED_VALUE"""),0.5)</f>
        <v>0.5</v>
      </c>
      <c r="K76">
        <f>IFERROR(__xludf.DUMMYFUNCTION("""COMPUTED_VALUE"""),0.9)</f>
        <v>0.9</v>
      </c>
      <c r="L76">
        <f>IFERROR(__xludf.DUMMYFUNCTION("""COMPUTED_VALUE"""),0.0)</f>
        <v>0</v>
      </c>
      <c r="M76">
        <f>IFERROR(__xludf.DUMMYFUNCTION("""COMPUTED_VALUE"""),0.0)</f>
        <v>0</v>
      </c>
      <c r="N76" t="str">
        <f>IFERROR(__xludf.DUMMYFUNCTION("""COMPUTED_VALUE"""),"Iowa State Cyclones")</f>
        <v>Iowa State Cyclones</v>
      </c>
      <c r="O76" s="187" t="str">
        <f>IFERROR(__xludf.DUMMYFUNCTION("""COMPUTED_VALUE"""),"Big 12")</f>
        <v>Big 12</v>
      </c>
      <c r="P76" s="187">
        <f>IFERROR(__xludf.DUMMYFUNCTION("indeX(split(F76,""-""),1)-J76/100"),5.095)</f>
        <v>5.095</v>
      </c>
    </row>
    <row r="77">
      <c r="B77" t="str">
        <f>IFERROR(__xludf.DUMMYFUNCTION("""COMPUTED_VALUE"""),"0-0")</f>
        <v>0-0</v>
      </c>
      <c r="C77">
        <f>IFERROR(__xludf.DUMMYFUNCTION("""COMPUTED_VALUE"""),-0.9)</f>
        <v>-0.9</v>
      </c>
      <c r="D77">
        <f>IFERROR(__xludf.DUMMYFUNCTION("""COMPUTED_VALUE"""),73.0)</f>
        <v>73</v>
      </c>
      <c r="E77" t="str">
        <f>IFERROR(__xludf.DUMMYFUNCTION("""COMPUTED_VALUE"""),"--")</f>
        <v>--</v>
      </c>
      <c r="F77" t="str">
        <f>IFERROR(__xludf.DUMMYFUNCTION("""COMPUTED_VALUE"""),"8.4-3.8")</f>
        <v>8.4-3.8</v>
      </c>
      <c r="G77">
        <f>IFERROR(__xludf.DUMMYFUNCTION("""COMPUTED_VALUE"""),1.0)</f>
        <v>1</v>
      </c>
      <c r="H77">
        <f>IFERROR(__xludf.DUMMYFUNCTION("""COMPUTED_VALUE"""),90.9)</f>
        <v>90.9</v>
      </c>
      <c r="I77">
        <f>IFERROR(__xludf.DUMMYFUNCTION("""COMPUTED_VALUE"""),0.0)</f>
        <v>0</v>
      </c>
      <c r="J77">
        <f>IFERROR(__xludf.DUMMYFUNCTION("""COMPUTED_VALUE"""),12.0)</f>
        <v>12</v>
      </c>
      <c r="K77">
        <f>IFERROR(__xludf.DUMMYFUNCTION("""COMPUTED_VALUE"""),5.1)</f>
        <v>5.1</v>
      </c>
      <c r="L77">
        <f>IFERROR(__xludf.DUMMYFUNCTION("""COMPUTED_VALUE"""),0.0)</f>
        <v>0</v>
      </c>
      <c r="M77">
        <f>IFERROR(__xludf.DUMMYFUNCTION("""COMPUTED_VALUE"""),0.0)</f>
        <v>0</v>
      </c>
      <c r="N77" t="str">
        <f>IFERROR(__xludf.DUMMYFUNCTION("""COMPUTED_VALUE"""),"South Florida Bulls")</f>
        <v>South Florida Bulls</v>
      </c>
      <c r="O77" s="187" t="str">
        <f>IFERROR(__xludf.DUMMYFUNCTION("""COMPUTED_VALUE"""),"American")</f>
        <v>American</v>
      </c>
      <c r="P77" s="187">
        <f>IFERROR(__xludf.DUMMYFUNCTION("indeX(split(F77,""-""),1)-J77/100"),8.280000000000001)</f>
        <v>8.28</v>
      </c>
    </row>
    <row r="78">
      <c r="B78" t="str">
        <f>IFERROR(__xludf.DUMMYFUNCTION("""COMPUTED_VALUE"""),"0-0")</f>
        <v>0-0</v>
      </c>
      <c r="C78">
        <f>IFERROR(__xludf.DUMMYFUNCTION("""COMPUTED_VALUE"""),-1.9)</f>
        <v>-1.9</v>
      </c>
      <c r="D78">
        <f>IFERROR(__xludf.DUMMYFUNCTION("""COMPUTED_VALUE"""),74.0)</f>
        <v>74</v>
      </c>
      <c r="E78" t="str">
        <f>IFERROR(__xludf.DUMMYFUNCTION("""COMPUTED_VALUE"""),"--")</f>
        <v>--</v>
      </c>
      <c r="F78" t="str">
        <f>IFERROR(__xludf.DUMMYFUNCTION("""COMPUTED_VALUE"""),"7.0-5.2")</f>
        <v>7.0-5.2</v>
      </c>
      <c r="G78">
        <f>IFERROR(__xludf.DUMMYFUNCTION("""COMPUTED_VALUE"""),0.1)</f>
        <v>0.1</v>
      </c>
      <c r="H78">
        <f>IFERROR(__xludf.DUMMYFUNCTION("""COMPUTED_VALUE"""),74.3)</f>
        <v>74.3</v>
      </c>
      <c r="I78">
        <f>IFERROR(__xludf.DUMMYFUNCTION("""COMPUTED_VALUE"""),0.0)</f>
        <v>0</v>
      </c>
      <c r="J78">
        <f>IFERROR(__xludf.DUMMYFUNCTION("""COMPUTED_VALUE"""),9.3)</f>
        <v>9.3</v>
      </c>
      <c r="K78">
        <f>IFERROR(__xludf.DUMMYFUNCTION("""COMPUTED_VALUE"""),3.1)</f>
        <v>3.1</v>
      </c>
      <c r="L78">
        <f>IFERROR(__xludf.DUMMYFUNCTION("""COMPUTED_VALUE"""),0.0)</f>
        <v>0</v>
      </c>
      <c r="M78">
        <f>IFERROR(__xludf.DUMMYFUNCTION("""COMPUTED_VALUE"""),0.0)</f>
        <v>0</v>
      </c>
      <c r="N78" t="str">
        <f>IFERROR(__xludf.DUMMYFUNCTION("""COMPUTED_VALUE"""),"Memphis Tigers")</f>
        <v>Memphis Tigers</v>
      </c>
      <c r="O78" s="187" t="str">
        <f>IFERROR(__xludf.DUMMYFUNCTION("""COMPUTED_VALUE"""),"American")</f>
        <v>American</v>
      </c>
      <c r="P78" s="187">
        <f>IFERROR(__xludf.DUMMYFUNCTION("indeX(split(F78,""-""),1)-J78/100"),6.907)</f>
        <v>6.907</v>
      </c>
    </row>
    <row r="79">
      <c r="B79" t="str">
        <f>IFERROR(__xludf.DUMMYFUNCTION("""COMPUTED_VALUE"""),"0-0")</f>
        <v>0-0</v>
      </c>
      <c r="C79">
        <f>IFERROR(__xludf.DUMMYFUNCTION("""COMPUTED_VALUE"""),-2.0)</f>
        <v>-2</v>
      </c>
      <c r="D79">
        <f>IFERROR(__xludf.DUMMYFUNCTION("""COMPUTED_VALUE"""),75.0)</f>
        <v>75</v>
      </c>
      <c r="E79" t="str">
        <f>IFERROR(__xludf.DUMMYFUNCTION("""COMPUTED_VALUE"""),"--")</f>
        <v>--</v>
      </c>
      <c r="F79" t="str">
        <f>IFERROR(__xludf.DUMMYFUNCTION("""COMPUTED_VALUE"""),"8.2-4.2")</f>
        <v>8.2-4.2</v>
      </c>
      <c r="G79">
        <f>IFERROR(__xludf.DUMMYFUNCTION("""COMPUTED_VALUE"""),0.6)</f>
        <v>0.6</v>
      </c>
      <c r="H79">
        <f>IFERROR(__xludf.DUMMYFUNCTION("""COMPUTED_VALUE"""),87.1)</f>
        <v>87.1</v>
      </c>
      <c r="I79">
        <f>IFERROR(__xludf.DUMMYFUNCTION("""COMPUTED_VALUE"""),31.9)</f>
        <v>31.9</v>
      </c>
      <c r="J79">
        <f>IFERROR(__xludf.DUMMYFUNCTION("""COMPUTED_VALUE"""),19.9)</f>
        <v>19.9</v>
      </c>
      <c r="K79">
        <f>IFERROR(__xludf.DUMMYFUNCTION("""COMPUTED_VALUE"""),4.3)</f>
        <v>4.3</v>
      </c>
      <c r="L79">
        <f>IFERROR(__xludf.DUMMYFUNCTION("""COMPUTED_VALUE"""),0.0)</f>
        <v>0</v>
      </c>
      <c r="M79">
        <f>IFERROR(__xludf.DUMMYFUNCTION("""COMPUTED_VALUE"""),0.0)</f>
        <v>0</v>
      </c>
      <c r="N79" t="str">
        <f>IFERROR(__xludf.DUMMYFUNCTION("""COMPUTED_VALUE"""),"James Madison Dukes")</f>
        <v>James Madison Dukes</v>
      </c>
      <c r="O79" s="187" t="str">
        <f>IFERROR(__xludf.DUMMYFUNCTION("""COMPUTED_VALUE"""),"Sun Belt")</f>
        <v>Sun Belt</v>
      </c>
      <c r="P79" s="187">
        <f>IFERROR(__xludf.DUMMYFUNCTION("indeX(split(F79,""-""),1)-J79/100"),8.001)</f>
        <v>8.001</v>
      </c>
    </row>
    <row r="80">
      <c r="B80" t="str">
        <f>IFERROR(__xludf.DUMMYFUNCTION("""COMPUTED_VALUE"""),"0-0")</f>
        <v>0-0</v>
      </c>
      <c r="C80">
        <f>IFERROR(__xludf.DUMMYFUNCTION("""COMPUTED_VALUE"""),-2.4)</f>
        <v>-2.4</v>
      </c>
      <c r="D80">
        <f>IFERROR(__xludf.DUMMYFUNCTION("""COMPUTED_VALUE"""),76.0)</f>
        <v>76</v>
      </c>
      <c r="E80" t="str">
        <f>IFERROR(__xludf.DUMMYFUNCTION("""COMPUTED_VALUE"""),"--")</f>
        <v>--</v>
      </c>
      <c r="F80" t="str">
        <f>IFERROR(__xludf.DUMMYFUNCTION("""COMPUTED_VALUE"""),"7.9-4.5")</f>
        <v>7.9-4.5</v>
      </c>
      <c r="G80">
        <f>IFERROR(__xludf.DUMMYFUNCTION("""COMPUTED_VALUE"""),0.3)</f>
        <v>0.3</v>
      </c>
      <c r="H80">
        <f>IFERROR(__xludf.DUMMYFUNCTION("""COMPUTED_VALUE"""),84.5)</f>
        <v>84.5</v>
      </c>
      <c r="I80">
        <f>IFERROR(__xludf.DUMMYFUNCTION("""COMPUTED_VALUE"""),0.0)</f>
        <v>0</v>
      </c>
      <c r="J80">
        <f>IFERROR(__xludf.DUMMYFUNCTION("""COMPUTED_VALUE"""),22.0)</f>
        <v>22</v>
      </c>
      <c r="K80">
        <f>IFERROR(__xludf.DUMMYFUNCTION("""COMPUTED_VALUE"""),3.5)</f>
        <v>3.5</v>
      </c>
      <c r="L80">
        <f>IFERROR(__xludf.DUMMYFUNCTION("""COMPUTED_VALUE"""),0.0)</f>
        <v>0</v>
      </c>
      <c r="M80">
        <f>IFERROR(__xludf.DUMMYFUNCTION("""COMPUTED_VALUE"""),0.0)</f>
        <v>0</v>
      </c>
      <c r="N80" t="str">
        <f>IFERROR(__xludf.DUMMYFUNCTION("""COMPUTED_VALUE"""),"Hawai'i Rainbow Warriors")</f>
        <v>Hawai'i Rainbow Warriors</v>
      </c>
      <c r="O80" s="187" t="str">
        <f>IFERROR(__xludf.DUMMYFUNCTION("""COMPUTED_VALUE"""),"Mountain West")</f>
        <v>Mountain West</v>
      </c>
      <c r="P80" s="187">
        <f>IFERROR(__xludf.DUMMYFUNCTION("indeX(split(F80,""-""),1)-J80/100"),7.680000000000001)</f>
        <v>7.68</v>
      </c>
    </row>
    <row r="81">
      <c r="B81" t="str">
        <f>IFERROR(__xludf.DUMMYFUNCTION("""COMPUTED_VALUE"""),"0-0")</f>
        <v>0-0</v>
      </c>
      <c r="C81">
        <f>IFERROR(__xludf.DUMMYFUNCTION("""COMPUTED_VALUE"""),-2.5)</f>
        <v>-2.5</v>
      </c>
      <c r="D81">
        <f>IFERROR(__xludf.DUMMYFUNCTION("""COMPUTED_VALUE"""),77.0)</f>
        <v>77</v>
      </c>
      <c r="E81" t="str">
        <f>IFERROR(__xludf.DUMMYFUNCTION("""COMPUTED_VALUE"""),"--")</f>
        <v>--</v>
      </c>
      <c r="F81" t="str">
        <f>IFERROR(__xludf.DUMMYFUNCTION("""COMPUTED_VALUE"""),"6.2-5.0")</f>
        <v>6.2-5.0</v>
      </c>
      <c r="G81">
        <f>IFERROR(__xludf.DUMMYFUNCTION("""COMPUTED_VALUE"""),0.0)</f>
        <v>0</v>
      </c>
      <c r="H81">
        <f>IFERROR(__xludf.DUMMYFUNCTION("""COMPUTED_VALUE"""),62.3)</f>
        <v>62.3</v>
      </c>
      <c r="I81">
        <f>IFERROR(__xludf.DUMMYFUNCTION("""COMPUTED_VALUE"""),0.0)</f>
        <v>0</v>
      </c>
      <c r="J81">
        <f>IFERROR(__xludf.DUMMYFUNCTION("""COMPUTED_VALUE"""),11.4)</f>
        <v>11.4</v>
      </c>
      <c r="K81">
        <f>IFERROR(__xludf.DUMMYFUNCTION("""COMPUTED_VALUE"""),2.9)</f>
        <v>2.9</v>
      </c>
      <c r="L81">
        <f>IFERROR(__xludf.DUMMYFUNCTION("""COMPUTED_VALUE"""),0.0)</f>
        <v>0</v>
      </c>
      <c r="M81">
        <f>IFERROR(__xludf.DUMMYFUNCTION("""COMPUTED_VALUE"""),0.0)</f>
        <v>0</v>
      </c>
      <c r="N81" t="str">
        <f>IFERROR(__xludf.DUMMYFUNCTION("""COMPUTED_VALUE"""),"Fresno State Bulldogs")</f>
        <v>Fresno State Bulldogs</v>
      </c>
      <c r="O81" s="187" t="str">
        <f>IFERROR(__xludf.DUMMYFUNCTION("""COMPUTED_VALUE"""),"Pac-12")</f>
        <v>Pac-12</v>
      </c>
      <c r="P81" s="187">
        <f>IFERROR(__xludf.DUMMYFUNCTION("indeX(split(F81,""-""),1)-J81/100"),6.086)</f>
        <v>6.086</v>
      </c>
    </row>
    <row r="82">
      <c r="B82" t="str">
        <f>IFERROR(__xludf.DUMMYFUNCTION("""COMPUTED_VALUE"""),"0-0")</f>
        <v>0-0</v>
      </c>
      <c r="C82">
        <f>IFERROR(__xludf.DUMMYFUNCTION("""COMPUTED_VALUE"""),-2.7)</f>
        <v>-2.7</v>
      </c>
      <c r="D82">
        <f>IFERROR(__xludf.DUMMYFUNCTION("""COMPUTED_VALUE"""),78.0)</f>
        <v>78</v>
      </c>
      <c r="E82" t="str">
        <f>IFERROR(__xludf.DUMMYFUNCTION("""COMPUTED_VALUE"""),"--")</f>
        <v>--</v>
      </c>
      <c r="F82" t="str">
        <f>IFERROR(__xludf.DUMMYFUNCTION("""COMPUTED_VALUE"""),"4.0-8.1")</f>
        <v>4.0-8.1</v>
      </c>
      <c r="G82">
        <f>IFERROR(__xludf.DUMMYFUNCTION("""COMPUTED_VALUE"""),0.0)</f>
        <v>0</v>
      </c>
      <c r="H82">
        <f>IFERROR(__xludf.DUMMYFUNCTION("""COMPUTED_VALUE"""),19.9)</f>
        <v>19.9</v>
      </c>
      <c r="I82">
        <f>IFERROR(__xludf.DUMMYFUNCTION("""COMPUTED_VALUE"""),0.0)</f>
        <v>0</v>
      </c>
      <c r="J82">
        <f>IFERROR(__xludf.DUMMYFUNCTION("""COMPUTED_VALUE"""),0.1)</f>
        <v>0.1</v>
      </c>
      <c r="K82">
        <f>IFERROR(__xludf.DUMMYFUNCTION("""COMPUTED_VALUE"""),0.4)</f>
        <v>0.4</v>
      </c>
      <c r="L82">
        <f>IFERROR(__xludf.DUMMYFUNCTION("""COMPUTED_VALUE"""),0.0)</f>
        <v>0</v>
      </c>
      <c r="M82">
        <f>IFERROR(__xludf.DUMMYFUNCTION("""COMPUTED_VALUE"""),0.0)</f>
        <v>0</v>
      </c>
      <c r="N82" t="str">
        <f>IFERROR(__xludf.DUMMYFUNCTION("""COMPUTED_VALUE"""),"Boston College Eagles")</f>
        <v>Boston College Eagles</v>
      </c>
      <c r="O82" s="187" t="str">
        <f>IFERROR(__xludf.DUMMYFUNCTION("""COMPUTED_VALUE"""),"ACC")</f>
        <v>ACC</v>
      </c>
      <c r="P82" s="187">
        <f>IFERROR(__xludf.DUMMYFUNCTION("indeX(split(F82,""-""),1)-J82/100"),3.999)</f>
        <v>3.999</v>
      </c>
    </row>
    <row r="83">
      <c r="B83" t="str">
        <f>IFERROR(__xludf.DUMMYFUNCTION("""COMPUTED_VALUE"""),"0-0")</f>
        <v>0-0</v>
      </c>
      <c r="C83">
        <f>IFERROR(__xludf.DUMMYFUNCTION("""COMPUTED_VALUE"""),-3.0)</f>
        <v>-3</v>
      </c>
      <c r="D83">
        <f>IFERROR(__xludf.DUMMYFUNCTION("""COMPUTED_VALUE"""),79.0)</f>
        <v>79</v>
      </c>
      <c r="E83" t="str">
        <f>IFERROR(__xludf.DUMMYFUNCTION("""COMPUTED_VALUE"""),"--")</f>
        <v>--</v>
      </c>
      <c r="F83" t="str">
        <f>IFERROR(__xludf.DUMMYFUNCTION("""COMPUTED_VALUE"""),"8.5-4.0")</f>
        <v>8.5-4.0</v>
      </c>
      <c r="G83">
        <f>IFERROR(__xludf.DUMMYFUNCTION("""COMPUTED_VALUE"""),1.0)</f>
        <v>1</v>
      </c>
      <c r="H83">
        <f>IFERROR(__xludf.DUMMYFUNCTION("""COMPUTED_VALUE"""),89.7)</f>
        <v>89.7</v>
      </c>
      <c r="I83">
        <f>IFERROR(__xludf.DUMMYFUNCTION("""COMPUTED_VALUE"""),0.0)</f>
        <v>0</v>
      </c>
      <c r="J83">
        <f>IFERROR(__xludf.DUMMYFUNCTION("""COMPUTED_VALUE"""),26.3)</f>
        <v>26.3</v>
      </c>
      <c r="K83">
        <f>IFERROR(__xludf.DUMMYFUNCTION("""COMPUTED_VALUE"""),4.0)</f>
        <v>4</v>
      </c>
      <c r="L83">
        <f>IFERROR(__xludf.DUMMYFUNCTION("""COMPUTED_VALUE"""),0.0)</f>
        <v>0</v>
      </c>
      <c r="M83">
        <f>IFERROR(__xludf.DUMMYFUNCTION("""COMPUTED_VALUE"""),0.0)</f>
        <v>0</v>
      </c>
      <c r="N83" t="str">
        <f>IFERROR(__xludf.DUMMYFUNCTION("""COMPUTED_VALUE"""),"Toledo Rockets")</f>
        <v>Toledo Rockets</v>
      </c>
      <c r="O83" s="187" t="str">
        <f>IFERROR(__xludf.DUMMYFUNCTION("""COMPUTED_VALUE"""),"MAC")</f>
        <v>MAC</v>
      </c>
      <c r="P83" s="187">
        <f>IFERROR(__xludf.DUMMYFUNCTION("indeX(split(F83,""-""),1)-J83/100"),8.237)</f>
        <v>8.237</v>
      </c>
    </row>
    <row r="84">
      <c r="B84" t="str">
        <f>IFERROR(__xludf.DUMMYFUNCTION("""COMPUTED_VALUE"""),"0-0")</f>
        <v>0-0</v>
      </c>
      <c r="C84">
        <f>IFERROR(__xludf.DUMMYFUNCTION("""COMPUTED_VALUE"""),-3.3)</f>
        <v>-3.3</v>
      </c>
      <c r="D84">
        <f>IFERROR(__xludf.DUMMYFUNCTION("""COMPUTED_VALUE"""),80.0)</f>
        <v>80</v>
      </c>
      <c r="E84" t="str">
        <f>IFERROR(__xludf.DUMMYFUNCTION("""COMPUTED_VALUE"""),"--")</f>
        <v>--</v>
      </c>
      <c r="F84" t="str">
        <f>IFERROR(__xludf.DUMMYFUNCTION("""COMPUTED_VALUE"""),"3.9-8.1")</f>
        <v>3.9-8.1</v>
      </c>
      <c r="G84">
        <f>IFERROR(__xludf.DUMMYFUNCTION("""COMPUTED_VALUE"""),0.0)</f>
        <v>0</v>
      </c>
      <c r="H84">
        <f>IFERROR(__xludf.DUMMYFUNCTION("""COMPUTED_VALUE"""),18.9)</f>
        <v>18.9</v>
      </c>
      <c r="I84">
        <f>IFERROR(__xludf.DUMMYFUNCTION("""COMPUTED_VALUE"""),0.0)</f>
        <v>0</v>
      </c>
      <c r="J84">
        <f>IFERROR(__xludf.DUMMYFUNCTION("""COMPUTED_VALUE"""),0.1)</f>
        <v>0.1</v>
      </c>
      <c r="K84">
        <f>IFERROR(__xludf.DUMMYFUNCTION("""COMPUTED_VALUE"""),0.2)</f>
        <v>0.2</v>
      </c>
      <c r="L84">
        <f>IFERROR(__xludf.DUMMYFUNCTION("""COMPUTED_VALUE"""),0.0)</f>
        <v>0</v>
      </c>
      <c r="M84">
        <f>IFERROR(__xludf.DUMMYFUNCTION("""COMPUTED_VALUE"""),0.0)</f>
        <v>0</v>
      </c>
      <c r="N84" t="str">
        <f>IFERROR(__xludf.DUMMYFUNCTION("""COMPUTED_VALUE"""),"Stanford Cardinal")</f>
        <v>Stanford Cardinal</v>
      </c>
      <c r="O84" s="187" t="str">
        <f>IFERROR(__xludf.DUMMYFUNCTION("""COMPUTED_VALUE"""),"ACC")</f>
        <v>ACC</v>
      </c>
      <c r="P84" s="187">
        <f>IFERROR(__xludf.DUMMYFUNCTION("indeX(split(F84,""-""),1)-J84/100"),3.899)</f>
        <v>3.899</v>
      </c>
    </row>
    <row r="85">
      <c r="B85" t="str">
        <f>IFERROR(__xludf.DUMMYFUNCTION("""COMPUTED_VALUE"""),"0-0")</f>
        <v>0-0</v>
      </c>
      <c r="C85">
        <f>IFERROR(__xludf.DUMMYFUNCTION("""COMPUTED_VALUE"""),-3.5)</f>
        <v>-3.5</v>
      </c>
      <c r="D85">
        <f>IFERROR(__xludf.DUMMYFUNCTION("""COMPUTED_VALUE"""),81.0)</f>
        <v>81</v>
      </c>
      <c r="E85" t="str">
        <f>IFERROR(__xludf.DUMMYFUNCTION("""COMPUTED_VALUE"""),"--")</f>
        <v>--</v>
      </c>
      <c r="F85" t="str">
        <f>IFERROR(__xludf.DUMMYFUNCTION("""COMPUTED_VALUE"""),"7.7-4.7")</f>
        <v>7.7-4.7</v>
      </c>
      <c r="G85">
        <f>IFERROR(__xludf.DUMMYFUNCTION("""COMPUTED_VALUE"""),0.1)</f>
        <v>0.1</v>
      </c>
      <c r="H85">
        <f>IFERROR(__xludf.DUMMYFUNCTION("""COMPUTED_VALUE"""),83.8)</f>
        <v>83.8</v>
      </c>
      <c r="I85">
        <f>IFERROR(__xludf.DUMMYFUNCTION("""COMPUTED_VALUE"""),0.0)</f>
        <v>0</v>
      </c>
      <c r="J85">
        <f>IFERROR(__xludf.DUMMYFUNCTION("""COMPUTED_VALUE"""),16.5)</f>
        <v>16.5</v>
      </c>
      <c r="K85">
        <f>IFERROR(__xludf.DUMMYFUNCTION("""COMPUTED_VALUE"""),2.9)</f>
        <v>2.9</v>
      </c>
      <c r="L85">
        <f>IFERROR(__xludf.DUMMYFUNCTION("""COMPUTED_VALUE"""),0.0)</f>
        <v>0</v>
      </c>
      <c r="M85">
        <f>IFERROR(__xludf.DUMMYFUNCTION("""COMPUTED_VALUE"""),0.0)</f>
        <v>0</v>
      </c>
      <c r="N85" t="str">
        <f>IFERROR(__xludf.DUMMYFUNCTION("""COMPUTED_VALUE"""),"New Mexico Lobos")</f>
        <v>New Mexico Lobos</v>
      </c>
      <c r="O85" s="187" t="str">
        <f>IFERROR(__xludf.DUMMYFUNCTION("""COMPUTED_VALUE"""),"Mountain West")</f>
        <v>Mountain West</v>
      </c>
      <c r="P85" s="187">
        <f>IFERROR(__xludf.DUMMYFUNCTION("indeX(split(F85,""-""),1)-J85/100"),7.535)</f>
        <v>7.535</v>
      </c>
    </row>
    <row r="86">
      <c r="B86" t="str">
        <f>IFERROR(__xludf.DUMMYFUNCTION("""COMPUTED_VALUE"""),"0-0")</f>
        <v>0-0</v>
      </c>
      <c r="C86">
        <f>IFERROR(__xludf.DUMMYFUNCTION("""COMPUTED_VALUE"""),-4.0)</f>
        <v>-4</v>
      </c>
      <c r="D86">
        <f>IFERROR(__xludf.DUMMYFUNCTION("""COMPUTED_VALUE"""),82.0)</f>
        <v>82</v>
      </c>
      <c r="E86" t="str">
        <f>IFERROR(__xludf.DUMMYFUNCTION("""COMPUTED_VALUE"""),"--")</f>
        <v>--</v>
      </c>
      <c r="F86" t="str">
        <f>IFERROR(__xludf.DUMMYFUNCTION("""COMPUTED_VALUE"""),"7.7-4.6")</f>
        <v>7.7-4.6</v>
      </c>
      <c r="G86">
        <f>IFERROR(__xludf.DUMMYFUNCTION("""COMPUTED_VALUE"""),0.1)</f>
        <v>0.1</v>
      </c>
      <c r="H86">
        <f>IFERROR(__xludf.DUMMYFUNCTION("""COMPUTED_VALUE"""),84.4)</f>
        <v>84.4</v>
      </c>
      <c r="I86">
        <f>IFERROR(__xludf.DUMMYFUNCTION("""COMPUTED_VALUE"""),0.0)</f>
        <v>0</v>
      </c>
      <c r="J86">
        <f>IFERROR(__xludf.DUMMYFUNCTION("""COMPUTED_VALUE"""),21.6)</f>
        <v>21.6</v>
      </c>
      <c r="K86">
        <f>IFERROR(__xludf.DUMMYFUNCTION("""COMPUTED_VALUE"""),2.6)</f>
        <v>2.6</v>
      </c>
      <c r="L86">
        <f>IFERROR(__xludf.DUMMYFUNCTION("""COMPUTED_VALUE"""),0.0)</f>
        <v>0</v>
      </c>
      <c r="M86">
        <f>IFERROR(__xludf.DUMMYFUNCTION("""COMPUTED_VALUE"""),0.0)</f>
        <v>0</v>
      </c>
      <c r="N86" t="str">
        <f>IFERROR(__xludf.DUMMYFUNCTION("""COMPUTED_VALUE"""),"Western Michigan Broncos")</f>
        <v>Western Michigan Broncos</v>
      </c>
      <c r="O86" s="187" t="str">
        <f>IFERROR(__xludf.DUMMYFUNCTION("""COMPUTED_VALUE"""),"MAC")</f>
        <v>MAC</v>
      </c>
      <c r="P86" s="187">
        <f>IFERROR(__xludf.DUMMYFUNCTION("indeX(split(F86,""-""),1)-J86/100"),7.484)</f>
        <v>7.484</v>
      </c>
    </row>
    <row r="87">
      <c r="B87" t="str">
        <f>IFERROR(__xludf.DUMMYFUNCTION("""COMPUTED_VALUE"""),"0-0")</f>
        <v>0-0</v>
      </c>
      <c r="C87">
        <f>IFERROR(__xludf.DUMMYFUNCTION("""COMPUTED_VALUE"""),-4.1)</f>
        <v>-4.1</v>
      </c>
      <c r="D87">
        <f>IFERROR(__xludf.DUMMYFUNCTION("""COMPUTED_VALUE"""),83.0)</f>
        <v>83</v>
      </c>
      <c r="E87" t="str">
        <f>IFERROR(__xludf.DUMMYFUNCTION("""COMPUTED_VALUE"""),"--")</f>
        <v>--</v>
      </c>
      <c r="F87" t="str">
        <f>IFERROR(__xludf.DUMMYFUNCTION("""COMPUTED_VALUE"""),"5.1-6.1")</f>
        <v>5.1-6.1</v>
      </c>
      <c r="G87">
        <f>IFERROR(__xludf.DUMMYFUNCTION("""COMPUTED_VALUE"""),0.0)</f>
        <v>0</v>
      </c>
      <c r="H87">
        <f>IFERROR(__xludf.DUMMYFUNCTION("""COMPUTED_VALUE"""),39.3)</f>
        <v>39.3</v>
      </c>
      <c r="I87">
        <f>IFERROR(__xludf.DUMMYFUNCTION("""COMPUTED_VALUE"""),0.0)</f>
        <v>0</v>
      </c>
      <c r="J87">
        <f>IFERROR(__xludf.DUMMYFUNCTION("""COMPUTED_VALUE"""),8.3)</f>
        <v>8.3</v>
      </c>
      <c r="K87">
        <f>IFERROR(__xludf.DUMMYFUNCTION("""COMPUTED_VALUE"""),1.4)</f>
        <v>1.4</v>
      </c>
      <c r="L87">
        <f>IFERROR(__xludf.DUMMYFUNCTION("""COMPUTED_VALUE"""),0.0)</f>
        <v>0</v>
      </c>
      <c r="M87">
        <f>IFERROR(__xludf.DUMMYFUNCTION("""COMPUTED_VALUE"""),0.0)</f>
        <v>0</v>
      </c>
      <c r="N87" t="str">
        <f>IFERROR(__xludf.DUMMYFUNCTION("""COMPUTED_VALUE"""),"Washington State Cougars")</f>
        <v>Washington State Cougars</v>
      </c>
      <c r="O87" s="187" t="str">
        <f>IFERROR(__xludf.DUMMYFUNCTION("""COMPUTED_VALUE"""),"Pac-12")</f>
        <v>Pac-12</v>
      </c>
      <c r="P87" s="187">
        <f>IFERROR(__xludf.DUMMYFUNCTION("indeX(split(F87,""-""),1)-J87/100"),5.0169999999999995)</f>
        <v>5.017</v>
      </c>
    </row>
    <row r="88">
      <c r="B88" t="str">
        <f>IFERROR(__xludf.DUMMYFUNCTION("""COMPUTED_VALUE"""),"0-0")</f>
        <v>0-0</v>
      </c>
      <c r="C88">
        <f>IFERROR(__xludf.DUMMYFUNCTION("""COMPUTED_VALUE"""),-4.3)</f>
        <v>-4.3</v>
      </c>
      <c r="D88">
        <f>IFERROR(__xludf.DUMMYFUNCTION("""COMPUTED_VALUE"""),84.0)</f>
        <v>84</v>
      </c>
      <c r="E88" t="str">
        <f>IFERROR(__xludf.DUMMYFUNCTION("""COMPUTED_VALUE"""),"--")</f>
        <v>--</v>
      </c>
      <c r="F88" t="str">
        <f>IFERROR(__xludf.DUMMYFUNCTION("""COMPUTED_VALUE"""),"5.6-5.6")</f>
        <v>5.6-5.6</v>
      </c>
      <c r="G88">
        <f>IFERROR(__xludf.DUMMYFUNCTION("""COMPUTED_VALUE"""),0.0)</f>
        <v>0</v>
      </c>
      <c r="H88">
        <f>IFERROR(__xludf.DUMMYFUNCTION("""COMPUTED_VALUE"""),52.2)</f>
        <v>52.2</v>
      </c>
      <c r="I88">
        <f>IFERROR(__xludf.DUMMYFUNCTION("""COMPUTED_VALUE"""),0.0)</f>
        <v>0</v>
      </c>
      <c r="J88">
        <f>IFERROR(__xludf.DUMMYFUNCTION("""COMPUTED_VALUE"""),8.6)</f>
        <v>8.6</v>
      </c>
      <c r="K88">
        <f>IFERROR(__xludf.DUMMYFUNCTION("""COMPUTED_VALUE"""),1.9)</f>
        <v>1.9</v>
      </c>
      <c r="L88">
        <f>IFERROR(__xludf.DUMMYFUNCTION("""COMPUTED_VALUE"""),0.0)</f>
        <v>0</v>
      </c>
      <c r="M88">
        <f>IFERROR(__xludf.DUMMYFUNCTION("""COMPUTED_VALUE"""),0.0)</f>
        <v>0</v>
      </c>
      <c r="N88" t="str">
        <f>IFERROR(__xludf.DUMMYFUNCTION("""COMPUTED_VALUE"""),"Texas State Bobcats")</f>
        <v>Texas State Bobcats</v>
      </c>
      <c r="O88" s="187" t="str">
        <f>IFERROR(__xludf.DUMMYFUNCTION("""COMPUTED_VALUE"""),"Pac-12")</f>
        <v>Pac-12</v>
      </c>
      <c r="P88" s="187">
        <f>IFERROR(__xludf.DUMMYFUNCTION("indeX(split(F88,""-""),1)-J88/100"),5.513999999999999)</f>
        <v>5.514</v>
      </c>
    </row>
    <row r="89">
      <c r="B89" t="str">
        <f>IFERROR(__xludf.DUMMYFUNCTION("""COMPUTED_VALUE"""),"0-0")</f>
        <v>0-0</v>
      </c>
      <c r="C89">
        <f>IFERROR(__xludf.DUMMYFUNCTION("""COMPUTED_VALUE"""),-4.4)</f>
        <v>-4.4</v>
      </c>
      <c r="D89">
        <f>IFERROR(__xludf.DUMMYFUNCTION("""COMPUTED_VALUE"""),85.0)</f>
        <v>85</v>
      </c>
      <c r="E89" t="str">
        <f>IFERROR(__xludf.DUMMYFUNCTION("""COMPUTED_VALUE"""),"--")</f>
        <v>--</v>
      </c>
      <c r="F89" t="str">
        <f>IFERROR(__xludf.DUMMYFUNCTION("""COMPUTED_VALUE"""),"7.3-5.0")</f>
        <v>7.3-5.0</v>
      </c>
      <c r="G89">
        <f>IFERROR(__xludf.DUMMYFUNCTION("""COMPUTED_VALUE"""),0.1)</f>
        <v>0.1</v>
      </c>
      <c r="H89">
        <f>IFERROR(__xludf.DUMMYFUNCTION("""COMPUTED_VALUE"""),76.7)</f>
        <v>76.7</v>
      </c>
      <c r="I89">
        <f>IFERROR(__xludf.DUMMYFUNCTION("""COMPUTED_VALUE"""),24.0)</f>
        <v>24</v>
      </c>
      <c r="J89">
        <f>IFERROR(__xludf.DUMMYFUNCTION("""COMPUTED_VALUE"""),14.0)</f>
        <v>14</v>
      </c>
      <c r="K89">
        <f>IFERROR(__xludf.DUMMYFUNCTION("""COMPUTED_VALUE"""),2.2)</f>
        <v>2.2</v>
      </c>
      <c r="L89">
        <f>IFERROR(__xludf.DUMMYFUNCTION("""COMPUTED_VALUE"""),0.0)</f>
        <v>0</v>
      </c>
      <c r="M89">
        <f>IFERROR(__xludf.DUMMYFUNCTION("""COMPUTED_VALUE"""),0.0)</f>
        <v>0</v>
      </c>
      <c r="N89" t="str">
        <f>IFERROR(__xludf.DUMMYFUNCTION("""COMPUTED_VALUE"""),"Old Dominion Monarchs")</f>
        <v>Old Dominion Monarchs</v>
      </c>
      <c r="O89" s="187" t="str">
        <f>IFERROR(__xludf.DUMMYFUNCTION("""COMPUTED_VALUE"""),"Sun Belt")</f>
        <v>Sun Belt</v>
      </c>
      <c r="P89" s="187">
        <f>IFERROR(__xludf.DUMMYFUNCTION("indeX(split(F89,""-""),1)-J89/100"),7.16)</f>
        <v>7.16</v>
      </c>
    </row>
    <row r="90">
      <c r="B90" t="str">
        <f>IFERROR(__xludf.DUMMYFUNCTION("""COMPUTED_VALUE"""),"0-0")</f>
        <v>0-0</v>
      </c>
      <c r="C90">
        <f>IFERROR(__xludf.DUMMYFUNCTION("""COMPUTED_VALUE"""),-4.9)</f>
        <v>-4.9</v>
      </c>
      <c r="D90">
        <f>IFERROR(__xludf.DUMMYFUNCTION("""COMPUTED_VALUE"""),86.0)</f>
        <v>86</v>
      </c>
      <c r="E90" t="str">
        <f>IFERROR(__xludf.DUMMYFUNCTION("""COMPUTED_VALUE"""),"--")</f>
        <v>--</v>
      </c>
      <c r="F90" t="str">
        <f>IFERROR(__xludf.DUMMYFUNCTION("""COMPUTED_VALUE"""),"7.1-5.3")</f>
        <v>7.1-5.3</v>
      </c>
      <c r="G90">
        <f>IFERROR(__xludf.DUMMYFUNCTION("""COMPUTED_VALUE"""),0.0)</f>
        <v>0</v>
      </c>
      <c r="H90">
        <f>IFERROR(__xludf.DUMMYFUNCTION("""COMPUTED_VALUE"""),77.1)</f>
        <v>77.1</v>
      </c>
      <c r="I90">
        <f>IFERROR(__xludf.DUMMYFUNCTION("""COMPUTED_VALUE"""),0.0)</f>
        <v>0</v>
      </c>
      <c r="J90">
        <f>IFERROR(__xludf.DUMMYFUNCTION("""COMPUTED_VALUE"""),24.8)</f>
        <v>24.8</v>
      </c>
      <c r="K90">
        <f>IFERROR(__xludf.DUMMYFUNCTION("""COMPUTED_VALUE"""),1.9)</f>
        <v>1.9</v>
      </c>
      <c r="L90">
        <f>IFERROR(__xludf.DUMMYFUNCTION("""COMPUTED_VALUE"""),0.0)</f>
        <v>0</v>
      </c>
      <c r="M90">
        <f>IFERROR(__xludf.DUMMYFUNCTION("""COMPUTED_VALUE"""),0.0)</f>
        <v>0</v>
      </c>
      <c r="N90" t="str">
        <f>IFERROR(__xludf.DUMMYFUNCTION("""COMPUTED_VALUE"""),"Western Kentucky Hilltoppers")</f>
        <v>Western Kentucky Hilltoppers</v>
      </c>
      <c r="O90" s="187" t="str">
        <f>IFERROR(__xludf.DUMMYFUNCTION("""COMPUTED_VALUE"""),"CUSA")</f>
        <v>CUSA</v>
      </c>
      <c r="P90" s="187">
        <f>IFERROR(__xludf.DUMMYFUNCTION("indeX(split(F90,""-""),1)-J90/100"),6.851999999999999)</f>
        <v>6.852</v>
      </c>
    </row>
    <row r="91">
      <c r="B91" t="str">
        <f>IFERROR(__xludf.DUMMYFUNCTION("""COMPUTED_VALUE"""),"0-0")</f>
        <v>0-0</v>
      </c>
      <c r="C91">
        <f>IFERROR(__xludf.DUMMYFUNCTION("""COMPUTED_VALUE"""),-5.1)</f>
        <v>-5.1</v>
      </c>
      <c r="D91">
        <f>IFERROR(__xludf.DUMMYFUNCTION("""COMPUTED_VALUE"""),87.0)</f>
        <v>87</v>
      </c>
      <c r="E91" t="str">
        <f>IFERROR(__xludf.DUMMYFUNCTION("""COMPUTED_VALUE"""),"--")</f>
        <v>--</v>
      </c>
      <c r="F91" t="str">
        <f>IFERROR(__xludf.DUMMYFUNCTION("""COMPUTED_VALUE"""),"6.9-5.3")</f>
        <v>6.9-5.3</v>
      </c>
      <c r="G91">
        <f>IFERROR(__xludf.DUMMYFUNCTION("""COMPUTED_VALUE"""),0.0)</f>
        <v>0</v>
      </c>
      <c r="H91">
        <f>IFERROR(__xludf.DUMMYFUNCTION("""COMPUTED_VALUE"""),73.5)</f>
        <v>73.5</v>
      </c>
      <c r="I91">
        <f>IFERROR(__xludf.DUMMYFUNCTION("""COMPUTED_VALUE"""),24.5)</f>
        <v>24.5</v>
      </c>
      <c r="J91">
        <f>IFERROR(__xludf.DUMMYFUNCTION("""COMPUTED_VALUE"""),12.6)</f>
        <v>12.6</v>
      </c>
      <c r="K91">
        <f>IFERROR(__xludf.DUMMYFUNCTION("""COMPUTED_VALUE"""),1.6)</f>
        <v>1.6</v>
      </c>
      <c r="L91">
        <f>IFERROR(__xludf.DUMMYFUNCTION("""COMPUTED_VALUE"""),0.0)</f>
        <v>0</v>
      </c>
      <c r="M91">
        <f>IFERROR(__xludf.DUMMYFUNCTION("""COMPUTED_VALUE"""),0.0)</f>
        <v>0</v>
      </c>
      <c r="N91" t="str">
        <f>IFERROR(__xludf.DUMMYFUNCTION("""COMPUTED_VALUE"""),"Southern Miss Golden Eagles")</f>
        <v>Southern Miss Golden Eagles</v>
      </c>
      <c r="O91" s="187" t="str">
        <f>IFERROR(__xludf.DUMMYFUNCTION("""COMPUTED_VALUE"""),"Sun Belt")</f>
        <v>Sun Belt</v>
      </c>
      <c r="P91" s="187">
        <f>IFERROR(__xludf.DUMMYFUNCTION("indeX(split(F91,""-""),1)-J91/100"),6.774)</f>
        <v>6.774</v>
      </c>
    </row>
    <row r="92">
      <c r="B92" t="str">
        <f>IFERROR(__xludf.DUMMYFUNCTION("""COMPUTED_VALUE"""),"0-0")</f>
        <v>0-0</v>
      </c>
      <c r="C92">
        <f>IFERROR(__xludf.DUMMYFUNCTION("""COMPUTED_VALUE"""),-5.3)</f>
        <v>-5.3</v>
      </c>
      <c r="D92">
        <f>IFERROR(__xludf.DUMMYFUNCTION("""COMPUTED_VALUE"""),88.0)</f>
        <v>88</v>
      </c>
      <c r="E92" t="str">
        <f>IFERROR(__xludf.DUMMYFUNCTION("""COMPUTED_VALUE"""),"--")</f>
        <v>--</v>
      </c>
      <c r="F92" t="str">
        <f>IFERROR(__xludf.DUMMYFUNCTION("""COMPUTED_VALUE"""),"6.4-5.7")</f>
        <v>6.4-5.7</v>
      </c>
      <c r="G92">
        <f>IFERROR(__xludf.DUMMYFUNCTION("""COMPUTED_VALUE"""),0.0)</f>
        <v>0</v>
      </c>
      <c r="H92">
        <f>IFERROR(__xludf.DUMMYFUNCTION("""COMPUTED_VALUE"""),66.5)</f>
        <v>66.5</v>
      </c>
      <c r="I92">
        <f>IFERROR(__xludf.DUMMYFUNCTION("""COMPUTED_VALUE"""),0.0)</f>
        <v>0</v>
      </c>
      <c r="J92">
        <f>IFERROR(__xludf.DUMMYFUNCTION("""COMPUTED_VALUE"""),5.9)</f>
        <v>5.9</v>
      </c>
      <c r="K92">
        <f>IFERROR(__xludf.DUMMYFUNCTION("""COMPUTED_VALUE"""),1.5)</f>
        <v>1.5</v>
      </c>
      <c r="L92">
        <f>IFERROR(__xludf.DUMMYFUNCTION("""COMPUTED_VALUE"""),0.0)</f>
        <v>0</v>
      </c>
      <c r="M92">
        <f>IFERROR(__xludf.DUMMYFUNCTION("""COMPUTED_VALUE"""),0.0)</f>
        <v>0</v>
      </c>
      <c r="N92" t="str">
        <f>IFERROR(__xludf.DUMMYFUNCTION("""COMPUTED_VALUE"""),"UTSA Roadrunners")</f>
        <v>UTSA Roadrunners</v>
      </c>
      <c r="O92" s="187" t="str">
        <f>IFERROR(__xludf.DUMMYFUNCTION("""COMPUTED_VALUE"""),"American")</f>
        <v>American</v>
      </c>
      <c r="P92" s="187">
        <f>IFERROR(__xludf.DUMMYFUNCTION("indeX(split(F92,""-""),1)-J92/100"),6.341)</f>
        <v>6.341</v>
      </c>
    </row>
    <row r="93">
      <c r="B93" t="str">
        <f>IFERROR(__xludf.DUMMYFUNCTION("""COMPUTED_VALUE"""),"0-0")</f>
        <v>0-0</v>
      </c>
      <c r="C93">
        <f>IFERROR(__xludf.DUMMYFUNCTION("""COMPUTED_VALUE"""),-5.6)</f>
        <v>-5.6</v>
      </c>
      <c r="D93">
        <f>IFERROR(__xludf.DUMMYFUNCTION("""COMPUTED_VALUE"""),89.0)</f>
        <v>89</v>
      </c>
      <c r="E93" t="str">
        <f>IFERROR(__xludf.DUMMYFUNCTION("""COMPUTED_VALUE"""),"--")</f>
        <v>--</v>
      </c>
      <c r="F93" t="str">
        <f>IFERROR(__xludf.DUMMYFUNCTION("""COMPUTED_VALUE"""),"6.4-5.7")</f>
        <v>6.4-5.7</v>
      </c>
      <c r="G93">
        <f>IFERROR(__xludf.DUMMYFUNCTION("""COMPUTED_VALUE"""),0.0)</f>
        <v>0</v>
      </c>
      <c r="H93">
        <f>IFERROR(__xludf.DUMMYFUNCTION("""COMPUTED_VALUE"""),64.3)</f>
        <v>64.3</v>
      </c>
      <c r="I93">
        <f>IFERROR(__xludf.DUMMYFUNCTION("""COMPUTED_VALUE"""),0.0)</f>
        <v>0</v>
      </c>
      <c r="J93">
        <f>IFERROR(__xludf.DUMMYFUNCTION("""COMPUTED_VALUE"""),5.0)</f>
        <v>5</v>
      </c>
      <c r="K93">
        <f>IFERROR(__xludf.DUMMYFUNCTION("""COMPUTED_VALUE"""),1.4)</f>
        <v>1.4</v>
      </c>
      <c r="L93">
        <f>IFERROR(__xludf.DUMMYFUNCTION("""COMPUTED_VALUE"""),0.0)</f>
        <v>0</v>
      </c>
      <c r="M93">
        <f>IFERROR(__xludf.DUMMYFUNCTION("""COMPUTED_VALUE"""),0.0)</f>
        <v>0</v>
      </c>
      <c r="N93" t="str">
        <f>IFERROR(__xludf.DUMMYFUNCTION("""COMPUTED_VALUE"""),"Army Black Knights")</f>
        <v>Army Black Knights</v>
      </c>
      <c r="O93" s="187" t="str">
        <f>IFERROR(__xludf.DUMMYFUNCTION("""COMPUTED_VALUE"""),"American")</f>
        <v>American</v>
      </c>
      <c r="P93" s="187">
        <f>IFERROR(__xludf.DUMMYFUNCTION("indeX(split(F93,""-""),1)-J93/100"),6.3500000000000005)</f>
        <v>6.35</v>
      </c>
    </row>
    <row r="94">
      <c r="B94" t="str">
        <f>IFERROR(__xludf.DUMMYFUNCTION("""COMPUTED_VALUE"""),"0-0")</f>
        <v>0-0</v>
      </c>
      <c r="C94">
        <f>IFERROR(__xludf.DUMMYFUNCTION("""COMPUTED_VALUE"""),-6.4)</f>
        <v>-6.4</v>
      </c>
      <c r="D94">
        <f>IFERROR(__xludf.DUMMYFUNCTION("""COMPUTED_VALUE"""),90.0)</f>
        <v>90</v>
      </c>
      <c r="E94" t="str">
        <f>IFERROR(__xludf.DUMMYFUNCTION("""COMPUTED_VALUE"""),"--")</f>
        <v>--</v>
      </c>
      <c r="F94" t="str">
        <f>IFERROR(__xludf.DUMMYFUNCTION("""COMPUTED_VALUE"""),"6.2-5.9")</f>
        <v>6.2-5.9</v>
      </c>
      <c r="G94">
        <f>IFERROR(__xludf.DUMMYFUNCTION("""COMPUTED_VALUE"""),0.0)</f>
        <v>0</v>
      </c>
      <c r="H94">
        <f>IFERROR(__xludf.DUMMYFUNCTION("""COMPUTED_VALUE"""),62.6)</f>
        <v>62.6</v>
      </c>
      <c r="I94">
        <f>IFERROR(__xludf.DUMMYFUNCTION("""COMPUTED_VALUE"""),0.0)</f>
        <v>0</v>
      </c>
      <c r="J94">
        <f>IFERROR(__xludf.DUMMYFUNCTION("""COMPUTED_VALUE"""),4.5)</f>
        <v>4.5</v>
      </c>
      <c r="K94">
        <f>IFERROR(__xludf.DUMMYFUNCTION("""COMPUTED_VALUE"""),1.0)</f>
        <v>1</v>
      </c>
      <c r="L94">
        <f>IFERROR(__xludf.DUMMYFUNCTION("""COMPUTED_VALUE"""),0.0)</f>
        <v>0</v>
      </c>
      <c r="M94">
        <f>IFERROR(__xludf.DUMMYFUNCTION("""COMPUTED_VALUE"""),0.0)</f>
        <v>0</v>
      </c>
      <c r="N94" t="str">
        <f>IFERROR(__xludf.DUMMYFUNCTION("""COMPUTED_VALUE"""),"North Texas Mean Green")</f>
        <v>North Texas Mean Green</v>
      </c>
      <c r="O94" s="187" t="str">
        <f>IFERROR(__xludf.DUMMYFUNCTION("""COMPUTED_VALUE"""),"American")</f>
        <v>American</v>
      </c>
      <c r="P94" s="187">
        <f>IFERROR(__xludf.DUMMYFUNCTION("indeX(split(F94,""-""),1)-J94/100"),6.155)</f>
        <v>6.155</v>
      </c>
    </row>
    <row r="95">
      <c r="B95" t="str">
        <f>IFERROR(__xludf.DUMMYFUNCTION("""COMPUTED_VALUE"""),"0-0")</f>
        <v>0-0</v>
      </c>
      <c r="C95">
        <f>IFERROR(__xludf.DUMMYFUNCTION("""COMPUTED_VALUE"""),-6.6)</f>
        <v>-6.6</v>
      </c>
      <c r="D95">
        <f>IFERROR(__xludf.DUMMYFUNCTION("""COMPUTED_VALUE"""),91.0)</f>
        <v>91</v>
      </c>
      <c r="E95" t="str">
        <f>IFERROR(__xludf.DUMMYFUNCTION("""COMPUTED_VALUE"""),"--")</f>
        <v>--</v>
      </c>
      <c r="F95" t="str">
        <f>IFERROR(__xludf.DUMMYFUNCTION("""COMPUTED_VALUE"""),"6.9-5.5")</f>
        <v>6.9-5.5</v>
      </c>
      <c r="G95">
        <f>IFERROR(__xludf.DUMMYFUNCTION("""COMPUTED_VALUE"""),0.0)</f>
        <v>0</v>
      </c>
      <c r="H95">
        <f>IFERROR(__xludf.DUMMYFUNCTION("""COMPUTED_VALUE"""),71.8)</f>
        <v>71.8</v>
      </c>
      <c r="I95">
        <f>IFERROR(__xludf.DUMMYFUNCTION("""COMPUTED_VALUE"""),0.0)</f>
        <v>0</v>
      </c>
      <c r="J95">
        <f>IFERROR(__xludf.DUMMYFUNCTION("""COMPUTED_VALUE"""),16.8)</f>
        <v>16.8</v>
      </c>
      <c r="K95">
        <f>IFERROR(__xludf.DUMMYFUNCTION("""COMPUTED_VALUE"""),1.3)</f>
        <v>1.3</v>
      </c>
      <c r="L95">
        <f>IFERROR(__xludf.DUMMYFUNCTION("""COMPUTED_VALUE"""),0.0)</f>
        <v>0</v>
      </c>
      <c r="M95">
        <f>IFERROR(__xludf.DUMMYFUNCTION("""COMPUTED_VALUE"""),0.0)</f>
        <v>0</v>
      </c>
      <c r="N95" t="str">
        <f>IFERROR(__xludf.DUMMYFUNCTION("""COMPUTED_VALUE"""),"Delaware Blue Hens")</f>
        <v>Delaware Blue Hens</v>
      </c>
      <c r="O95" s="187" t="str">
        <f>IFERROR(__xludf.DUMMYFUNCTION("""COMPUTED_VALUE"""),"CUSA")</f>
        <v>CUSA</v>
      </c>
      <c r="P95" s="187">
        <f>IFERROR(__xludf.DUMMYFUNCTION("indeX(split(F95,""-""),1)-J95/100"),6.732)</f>
        <v>6.732</v>
      </c>
    </row>
    <row r="96">
      <c r="B96" t="str">
        <f>IFERROR(__xludf.DUMMYFUNCTION("""COMPUTED_VALUE"""),"0-0")</f>
        <v>0-0</v>
      </c>
      <c r="C96">
        <f>IFERROR(__xludf.DUMMYFUNCTION("""COMPUTED_VALUE"""),-6.7)</f>
        <v>-6.7</v>
      </c>
      <c r="D96">
        <f>IFERROR(__xludf.DUMMYFUNCTION("""COMPUTED_VALUE"""),92.0)</f>
        <v>92</v>
      </c>
      <c r="E96" t="str">
        <f>IFERROR(__xludf.DUMMYFUNCTION("""COMPUTED_VALUE"""),"--")</f>
        <v>--</v>
      </c>
      <c r="F96" t="str">
        <f>IFERROR(__xludf.DUMMYFUNCTION("""COMPUTED_VALUE"""),"4.7-6.4")</f>
        <v>4.7-6.4</v>
      </c>
      <c r="G96">
        <f>IFERROR(__xludf.DUMMYFUNCTION("""COMPUTED_VALUE"""),0.0)</f>
        <v>0</v>
      </c>
      <c r="H96">
        <f>IFERROR(__xludf.DUMMYFUNCTION("""COMPUTED_VALUE"""),33.2)</f>
        <v>33.2</v>
      </c>
      <c r="I96">
        <f>IFERROR(__xludf.DUMMYFUNCTION("""COMPUTED_VALUE"""),0.0)</f>
        <v>0</v>
      </c>
      <c r="J96">
        <f>IFERROR(__xludf.DUMMYFUNCTION("""COMPUTED_VALUE"""),4.7)</f>
        <v>4.7</v>
      </c>
      <c r="K96">
        <f>IFERROR(__xludf.DUMMYFUNCTION("""COMPUTED_VALUE"""),0.7)</f>
        <v>0.7</v>
      </c>
      <c r="L96">
        <f>IFERROR(__xludf.DUMMYFUNCTION("""COMPUTED_VALUE"""),0.0)</f>
        <v>0</v>
      </c>
      <c r="M96">
        <f>IFERROR(__xludf.DUMMYFUNCTION("""COMPUTED_VALUE"""),0.0)</f>
        <v>0</v>
      </c>
      <c r="N96" t="str">
        <f>IFERROR(__xludf.DUMMYFUNCTION("""COMPUTED_VALUE"""),"Utah State Aggies")</f>
        <v>Utah State Aggies</v>
      </c>
      <c r="O96" s="187" t="str">
        <f>IFERROR(__xludf.DUMMYFUNCTION("""COMPUTED_VALUE"""),"Pac-12")</f>
        <v>Pac-12</v>
      </c>
      <c r="P96" s="187">
        <f>IFERROR(__xludf.DUMMYFUNCTION("indeX(split(F96,""-""),1)-J96/100"),4.6530000000000005)</f>
        <v>4.653</v>
      </c>
    </row>
    <row r="97">
      <c r="B97" t="str">
        <f>IFERROR(__xludf.DUMMYFUNCTION("""COMPUTED_VALUE"""),"0-0")</f>
        <v>0-0</v>
      </c>
      <c r="C97">
        <f>IFERROR(__xludf.DUMMYFUNCTION("""COMPUTED_VALUE"""),-6.8)</f>
        <v>-6.8</v>
      </c>
      <c r="D97">
        <f>IFERROR(__xludf.DUMMYFUNCTION("""COMPUTED_VALUE"""),93.0)</f>
        <v>93</v>
      </c>
      <c r="E97" t="str">
        <f>IFERROR(__xludf.DUMMYFUNCTION("""COMPUTED_VALUE"""),"--")</f>
        <v>--</v>
      </c>
      <c r="F97" t="str">
        <f>IFERROR(__xludf.DUMMYFUNCTION("""COMPUTED_VALUE"""),"7.2-5.1")</f>
        <v>7.2-5.1</v>
      </c>
      <c r="G97">
        <f>IFERROR(__xludf.DUMMYFUNCTION("""COMPUTED_VALUE"""),0.1)</f>
        <v>0.1</v>
      </c>
      <c r="H97">
        <f>IFERROR(__xludf.DUMMYFUNCTION("""COMPUTED_VALUE"""),75.7)</f>
        <v>75.7</v>
      </c>
      <c r="I97">
        <f>IFERROR(__xludf.DUMMYFUNCTION("""COMPUTED_VALUE"""),0.0)</f>
        <v>0</v>
      </c>
      <c r="J97">
        <f>IFERROR(__xludf.DUMMYFUNCTION("""COMPUTED_VALUE"""),10.0)</f>
        <v>10</v>
      </c>
      <c r="K97">
        <f>IFERROR(__xludf.DUMMYFUNCTION("""COMPUTED_VALUE"""),1.5)</f>
        <v>1.5</v>
      </c>
      <c r="L97">
        <f>IFERROR(__xludf.DUMMYFUNCTION("""COMPUTED_VALUE"""),0.0)</f>
        <v>0</v>
      </c>
      <c r="M97">
        <f>IFERROR(__xludf.DUMMYFUNCTION("""COMPUTED_VALUE"""),0.0)</f>
        <v>0</v>
      </c>
      <c r="N97" t="str">
        <f>IFERROR(__xludf.DUMMYFUNCTION("""COMPUTED_VALUE"""),"Air Force Falcons")</f>
        <v>Air Force Falcons</v>
      </c>
      <c r="O97" s="187" t="str">
        <f>IFERROR(__xludf.DUMMYFUNCTION("""COMPUTED_VALUE"""),"Mountain West")</f>
        <v>Mountain West</v>
      </c>
      <c r="P97" s="187">
        <f>IFERROR(__xludf.DUMMYFUNCTION("indeX(split(F97,""-""),1)-J97/100"),7.1000000000000005)</f>
        <v>7.1</v>
      </c>
    </row>
    <row r="98">
      <c r="B98" t="str">
        <f>IFERROR(__xludf.DUMMYFUNCTION("""COMPUTED_VALUE"""),"0-0")</f>
        <v>0-0</v>
      </c>
      <c r="C98">
        <f>IFERROR(__xludf.DUMMYFUNCTION("""COMPUTED_VALUE"""),-7.0)</f>
        <v>-7</v>
      </c>
      <c r="D98">
        <f>IFERROR(__xludf.DUMMYFUNCTION("""COMPUTED_VALUE"""),94.0)</f>
        <v>94</v>
      </c>
      <c r="E98" t="str">
        <f>IFERROR(__xludf.DUMMYFUNCTION("""COMPUTED_VALUE"""),"--")</f>
        <v>--</v>
      </c>
      <c r="F98" t="str">
        <f>IFERROR(__xludf.DUMMYFUNCTION("""COMPUTED_VALUE"""),"7.2-5.1")</f>
        <v>7.2-5.1</v>
      </c>
      <c r="G98">
        <f>IFERROR(__xludf.DUMMYFUNCTION("""COMPUTED_VALUE"""),0.0)</f>
        <v>0</v>
      </c>
      <c r="H98">
        <f>IFERROR(__xludf.DUMMYFUNCTION("""COMPUTED_VALUE"""),77.0)</f>
        <v>77</v>
      </c>
      <c r="I98">
        <f>IFERROR(__xludf.DUMMYFUNCTION("""COMPUTED_VALUE"""),0.0)</f>
        <v>0</v>
      </c>
      <c r="J98">
        <f>IFERROR(__xludf.DUMMYFUNCTION("""COMPUTED_VALUE"""),13.8)</f>
        <v>13.8</v>
      </c>
      <c r="K98">
        <f>IFERROR(__xludf.DUMMYFUNCTION("""COMPUTED_VALUE"""),1.1)</f>
        <v>1.1</v>
      </c>
      <c r="L98">
        <f>IFERROR(__xludf.DUMMYFUNCTION("""COMPUTED_VALUE"""),0.0)</f>
        <v>0</v>
      </c>
      <c r="M98">
        <f>IFERROR(__xludf.DUMMYFUNCTION("""COMPUTED_VALUE"""),0.0)</f>
        <v>0</v>
      </c>
      <c r="N98" t="str">
        <f>IFERROR(__xludf.DUMMYFUNCTION("""COMPUTED_VALUE"""),"Miami (OH) RedHawks")</f>
        <v>Miami (OH) RedHawks</v>
      </c>
      <c r="O98" s="187" t="str">
        <f>IFERROR(__xludf.DUMMYFUNCTION("""COMPUTED_VALUE"""),"MAC")</f>
        <v>MAC</v>
      </c>
      <c r="P98" s="187">
        <f>IFERROR(__xludf.DUMMYFUNCTION("indeX(split(F98,""-""),1)-J98/100"),7.062)</f>
        <v>7.062</v>
      </c>
    </row>
    <row r="99">
      <c r="B99" t="str">
        <f>IFERROR(__xludf.DUMMYFUNCTION("""COMPUTED_VALUE"""),"0-0")</f>
        <v>0-0</v>
      </c>
      <c r="C99">
        <f>IFERROR(__xludf.DUMMYFUNCTION("""COMPUTED_VALUE"""),-7.4)</f>
        <v>-7.4</v>
      </c>
      <c r="D99">
        <f>IFERROR(__xludf.DUMMYFUNCTION("""COMPUTED_VALUE"""),95.0)</f>
        <v>95</v>
      </c>
      <c r="E99" t="str">
        <f>IFERROR(__xludf.DUMMYFUNCTION("""COMPUTED_VALUE"""),"--")</f>
        <v>--</v>
      </c>
      <c r="F99" t="str">
        <f>IFERROR(__xludf.DUMMYFUNCTION("""COMPUTED_VALUE"""),"6.6-5.6")</f>
        <v>6.6-5.6</v>
      </c>
      <c r="G99">
        <f>IFERROR(__xludf.DUMMYFUNCTION("""COMPUTED_VALUE"""),0.0)</f>
        <v>0</v>
      </c>
      <c r="H99">
        <f>IFERROR(__xludf.DUMMYFUNCTION("""COMPUTED_VALUE"""),68.2)</f>
        <v>68.2</v>
      </c>
      <c r="I99">
        <f>IFERROR(__xludf.DUMMYFUNCTION("""COMPUTED_VALUE"""),17.1)</f>
        <v>17.1</v>
      </c>
      <c r="J99">
        <f>IFERROR(__xludf.DUMMYFUNCTION("""COMPUTED_VALUE"""),8.2)</f>
        <v>8.2</v>
      </c>
      <c r="K99">
        <f>IFERROR(__xludf.DUMMYFUNCTION("""COMPUTED_VALUE"""),1.0)</f>
        <v>1</v>
      </c>
      <c r="L99">
        <f>IFERROR(__xludf.DUMMYFUNCTION("""COMPUTED_VALUE"""),0.0)</f>
        <v>0</v>
      </c>
      <c r="M99">
        <f>IFERROR(__xludf.DUMMYFUNCTION("""COMPUTED_VALUE"""),0.0)</f>
        <v>0</v>
      </c>
      <c r="N99" t="str">
        <f>IFERROR(__xludf.DUMMYFUNCTION("""COMPUTED_VALUE"""),"Troy Trojans")</f>
        <v>Troy Trojans</v>
      </c>
      <c r="O99" s="187" t="str">
        <f>IFERROR(__xludf.DUMMYFUNCTION("""COMPUTED_VALUE"""),"Sun Belt")</f>
        <v>Sun Belt</v>
      </c>
      <c r="P99" s="187">
        <f>IFERROR(__xludf.DUMMYFUNCTION("indeX(split(F99,""-""),1)-J99/100"),6.518)</f>
        <v>6.518</v>
      </c>
    </row>
    <row r="100">
      <c r="B100" t="str">
        <f>IFERROR(__xludf.DUMMYFUNCTION("""COMPUTED_VALUE"""),"0-0")</f>
        <v>0-0</v>
      </c>
      <c r="C100">
        <f>IFERROR(__xludf.DUMMYFUNCTION("""COMPUTED_VALUE"""),-7.7)</f>
        <v>-7.7</v>
      </c>
      <c r="D100">
        <f>IFERROR(__xludf.DUMMYFUNCTION("""COMPUTED_VALUE"""),96.0)</f>
        <v>96</v>
      </c>
      <c r="E100" t="str">
        <f>IFERROR(__xludf.DUMMYFUNCTION("""COMPUTED_VALUE"""),"--")</f>
        <v>--</v>
      </c>
      <c r="F100" t="str">
        <f>IFERROR(__xludf.DUMMYFUNCTION("""COMPUTED_VALUE"""),"7.4-4.9")</f>
        <v>7.4-4.9</v>
      </c>
      <c r="G100">
        <f>IFERROR(__xludf.DUMMYFUNCTION("""COMPUTED_VALUE"""),0.2)</f>
        <v>0.2</v>
      </c>
      <c r="H100">
        <f>IFERROR(__xludf.DUMMYFUNCTION("""COMPUTED_VALUE"""),77.9)</f>
        <v>77.9</v>
      </c>
      <c r="I100">
        <f>IFERROR(__xludf.DUMMYFUNCTION("""COMPUTED_VALUE"""),0.0)</f>
        <v>0</v>
      </c>
      <c r="J100">
        <f>IFERROR(__xludf.DUMMYFUNCTION("""COMPUTED_VALUE"""),14.8)</f>
        <v>14.8</v>
      </c>
      <c r="K100">
        <f>IFERROR(__xludf.DUMMYFUNCTION("""COMPUTED_VALUE"""),1.3)</f>
        <v>1.3</v>
      </c>
      <c r="L100">
        <f>IFERROR(__xludf.DUMMYFUNCTION("""COMPUTED_VALUE"""),0.0)</f>
        <v>0</v>
      </c>
      <c r="M100">
        <f>IFERROR(__xludf.DUMMYFUNCTION("""COMPUTED_VALUE"""),0.0)</f>
        <v>0</v>
      </c>
      <c r="N100" t="str">
        <f>IFERROR(__xludf.DUMMYFUNCTION("""COMPUTED_VALUE"""),"Liberty Flames")</f>
        <v>Liberty Flames</v>
      </c>
      <c r="O100" s="187" t="str">
        <f>IFERROR(__xludf.DUMMYFUNCTION("""COMPUTED_VALUE"""),"CUSA")</f>
        <v>CUSA</v>
      </c>
      <c r="P100" s="187">
        <f>IFERROR(__xludf.DUMMYFUNCTION("indeX(split(F100,""-""),1)-J100/100"),7.252000000000001)</f>
        <v>7.252</v>
      </c>
    </row>
    <row r="101">
      <c r="B101" t="str">
        <f>IFERROR(__xludf.DUMMYFUNCTION("""COMPUTED_VALUE"""),"0-0")</f>
        <v>0-0</v>
      </c>
      <c r="C101">
        <f>IFERROR(__xludf.DUMMYFUNCTION("""COMPUTED_VALUE"""),-8.0)</f>
        <v>-8</v>
      </c>
      <c r="D101">
        <f>IFERROR(__xludf.DUMMYFUNCTION("""COMPUTED_VALUE"""),97.0)</f>
        <v>97</v>
      </c>
      <c r="E101" t="str">
        <f>IFERROR(__xludf.DUMMYFUNCTION("""COMPUTED_VALUE"""),"--")</f>
        <v>--</v>
      </c>
      <c r="F101" t="str">
        <f>IFERROR(__xludf.DUMMYFUNCTION("""COMPUTED_VALUE"""),"7.1-5.1")</f>
        <v>7.1-5.1</v>
      </c>
      <c r="G101">
        <f>IFERROR(__xludf.DUMMYFUNCTION("""COMPUTED_VALUE"""),0.0)</f>
        <v>0</v>
      </c>
      <c r="H101">
        <f>IFERROR(__xludf.DUMMYFUNCTION("""COMPUTED_VALUE"""),76.0)</f>
        <v>76</v>
      </c>
      <c r="I101">
        <f>IFERROR(__xludf.DUMMYFUNCTION("""COMPUTED_VALUE"""),0.0)</f>
        <v>0</v>
      </c>
      <c r="J101">
        <f>IFERROR(__xludf.DUMMYFUNCTION("""COMPUTED_VALUE"""),11.4)</f>
        <v>11.4</v>
      </c>
      <c r="K101">
        <f>IFERROR(__xludf.DUMMYFUNCTION("""COMPUTED_VALUE"""),1.2)</f>
        <v>1.2</v>
      </c>
      <c r="L101">
        <f>IFERROR(__xludf.DUMMYFUNCTION("""COMPUTED_VALUE"""),0.0)</f>
        <v>0</v>
      </c>
      <c r="M101">
        <f>IFERROR(__xludf.DUMMYFUNCTION("""COMPUTED_VALUE"""),0.0)</f>
        <v>0</v>
      </c>
      <c r="N101" t="str">
        <f>IFERROR(__xludf.DUMMYFUNCTION("""COMPUTED_VALUE"""),"Ohio Bobcats")</f>
        <v>Ohio Bobcats</v>
      </c>
      <c r="O101" s="187" t="str">
        <f>IFERROR(__xludf.DUMMYFUNCTION("""COMPUTED_VALUE"""),"MAC")</f>
        <v>MAC</v>
      </c>
      <c r="P101" s="187">
        <f>IFERROR(__xludf.DUMMYFUNCTION("indeX(split(F101,""-""),1)-J101/100"),6.986)</f>
        <v>6.986</v>
      </c>
    </row>
    <row r="102">
      <c r="B102" t="str">
        <f>IFERROR(__xludf.DUMMYFUNCTION("""COMPUTED_VALUE"""),"0-0")</f>
        <v>0-0</v>
      </c>
      <c r="C102">
        <f>IFERROR(__xludf.DUMMYFUNCTION("""COMPUTED_VALUE"""),-8.1)</f>
        <v>-8.1</v>
      </c>
      <c r="D102">
        <f>IFERROR(__xludf.DUMMYFUNCTION("""COMPUTED_VALUE"""),98.0)</f>
        <v>98</v>
      </c>
      <c r="E102" t="str">
        <f>IFERROR(__xludf.DUMMYFUNCTION("""COMPUTED_VALUE"""),"--")</f>
        <v>--</v>
      </c>
      <c r="F102" t="str">
        <f>IFERROR(__xludf.DUMMYFUNCTION("""COMPUTED_VALUE"""),"4.4-6.7")</f>
        <v>4.4-6.7</v>
      </c>
      <c r="G102">
        <f>IFERROR(__xludf.DUMMYFUNCTION("""COMPUTED_VALUE"""),0.0)</f>
        <v>0</v>
      </c>
      <c r="H102">
        <f>IFERROR(__xludf.DUMMYFUNCTION("""COMPUTED_VALUE"""),27.6)</f>
        <v>27.6</v>
      </c>
      <c r="I102">
        <f>IFERROR(__xludf.DUMMYFUNCTION("""COMPUTED_VALUE"""),0.0)</f>
        <v>0</v>
      </c>
      <c r="J102">
        <f>IFERROR(__xludf.DUMMYFUNCTION("""COMPUTED_VALUE"""),4.2)</f>
        <v>4.2</v>
      </c>
      <c r="K102">
        <f>IFERROR(__xludf.DUMMYFUNCTION("""COMPUTED_VALUE"""),0.5)</f>
        <v>0.5</v>
      </c>
      <c r="L102">
        <f>IFERROR(__xludf.DUMMYFUNCTION("""COMPUTED_VALUE"""),0.0)</f>
        <v>0</v>
      </c>
      <c r="M102">
        <f>IFERROR(__xludf.DUMMYFUNCTION("""COMPUTED_VALUE"""),0.0)</f>
        <v>0</v>
      </c>
      <c r="N102" t="str">
        <f>IFERROR(__xludf.DUMMYFUNCTION("""COMPUTED_VALUE"""),"Oregon State Beavers")</f>
        <v>Oregon State Beavers</v>
      </c>
      <c r="O102" s="187" t="str">
        <f>IFERROR(__xludf.DUMMYFUNCTION("""COMPUTED_VALUE"""),"Pac-12")</f>
        <v>Pac-12</v>
      </c>
      <c r="P102" s="187">
        <f>IFERROR(__xludf.DUMMYFUNCTION("indeX(split(F102,""-""),1)-J102/100"),4.3580000000000005)</f>
        <v>4.358</v>
      </c>
    </row>
    <row r="103">
      <c r="B103" t="str">
        <f>IFERROR(__xludf.DUMMYFUNCTION("""COMPUTED_VALUE"""),"0-0")</f>
        <v>0-0</v>
      </c>
      <c r="C103">
        <f>IFERROR(__xludf.DUMMYFUNCTION("""COMPUTED_VALUE"""),-8.3)</f>
        <v>-8.3</v>
      </c>
      <c r="D103">
        <f>IFERROR(__xludf.DUMMYFUNCTION("""COMPUTED_VALUE"""),99.0)</f>
        <v>99</v>
      </c>
      <c r="E103" t="str">
        <f>IFERROR(__xludf.DUMMYFUNCTION("""COMPUTED_VALUE"""),"--")</f>
        <v>--</v>
      </c>
      <c r="F103" t="str">
        <f>IFERROR(__xludf.DUMMYFUNCTION("""COMPUTED_VALUE"""),"6.9-5.3")</f>
        <v>6.9-5.3</v>
      </c>
      <c r="G103">
        <f>IFERROR(__xludf.DUMMYFUNCTION("""COMPUTED_VALUE"""),0.0)</f>
        <v>0</v>
      </c>
      <c r="H103">
        <f>IFERROR(__xludf.DUMMYFUNCTION("""COMPUTED_VALUE"""),72.7)</f>
        <v>72.7</v>
      </c>
      <c r="I103">
        <f>IFERROR(__xludf.DUMMYFUNCTION("""COMPUTED_VALUE"""),19.2)</f>
        <v>19.2</v>
      </c>
      <c r="J103">
        <f>IFERROR(__xludf.DUMMYFUNCTION("""COMPUTED_VALUE"""),8.3)</f>
        <v>8.3</v>
      </c>
      <c r="K103">
        <f>IFERROR(__xludf.DUMMYFUNCTION("""COMPUTED_VALUE"""),1.0)</f>
        <v>1</v>
      </c>
      <c r="L103">
        <f>IFERROR(__xludf.DUMMYFUNCTION("""COMPUTED_VALUE"""),0.0)</f>
        <v>0</v>
      </c>
      <c r="M103">
        <f>IFERROR(__xludf.DUMMYFUNCTION("""COMPUTED_VALUE"""),0.0)</f>
        <v>0</v>
      </c>
      <c r="N103" t="str">
        <f>IFERROR(__xludf.DUMMYFUNCTION("""COMPUTED_VALUE"""),"Louisiana Ragin' Cajuns")</f>
        <v>Louisiana Ragin' Cajuns</v>
      </c>
      <c r="O103" s="187" t="str">
        <f>IFERROR(__xludf.DUMMYFUNCTION("""COMPUTED_VALUE"""),"Sun Belt")</f>
        <v>Sun Belt</v>
      </c>
      <c r="P103" s="187">
        <f>IFERROR(__xludf.DUMMYFUNCTION("indeX(split(F103,""-""),1)-J103/100"),6.817)</f>
        <v>6.817</v>
      </c>
    </row>
    <row r="104">
      <c r="B104" t="str">
        <f>IFERROR(__xludf.DUMMYFUNCTION("""COMPUTED_VALUE"""),"0-0")</f>
        <v>0-0</v>
      </c>
      <c r="C104">
        <f>IFERROR(__xludf.DUMMYFUNCTION("""COMPUTED_VALUE"""),-8.3)</f>
        <v>-8.3</v>
      </c>
      <c r="D104">
        <f>IFERROR(__xludf.DUMMYFUNCTION("""COMPUTED_VALUE"""),100.0)</f>
        <v>100</v>
      </c>
      <c r="E104" t="str">
        <f>IFERROR(__xludf.DUMMYFUNCTION("""COMPUTED_VALUE"""),"--")</f>
        <v>--</v>
      </c>
      <c r="F104" t="str">
        <f>IFERROR(__xludf.DUMMYFUNCTION("""COMPUTED_VALUE"""),"6.6-5.6")</f>
        <v>6.6-5.6</v>
      </c>
      <c r="G104">
        <f>IFERROR(__xludf.DUMMYFUNCTION("""COMPUTED_VALUE"""),0.0)</f>
        <v>0</v>
      </c>
      <c r="H104">
        <f>IFERROR(__xludf.DUMMYFUNCTION("""COMPUTED_VALUE"""),68.3)</f>
        <v>68.3</v>
      </c>
      <c r="I104">
        <f>IFERROR(__xludf.DUMMYFUNCTION("""COMPUTED_VALUE"""),0.0)</f>
        <v>0</v>
      </c>
      <c r="J104">
        <f>IFERROR(__xludf.DUMMYFUNCTION("""COMPUTED_VALUE"""),6.4)</f>
        <v>6.4</v>
      </c>
      <c r="K104">
        <f>IFERROR(__xludf.DUMMYFUNCTION("""COMPUTED_VALUE"""),0.8)</f>
        <v>0.8</v>
      </c>
      <c r="L104">
        <f>IFERROR(__xludf.DUMMYFUNCTION("""COMPUTED_VALUE"""),0.0)</f>
        <v>0</v>
      </c>
      <c r="M104">
        <f>IFERROR(__xludf.DUMMYFUNCTION("""COMPUTED_VALUE"""),0.0)</f>
        <v>0</v>
      </c>
      <c r="N104" t="str">
        <f>IFERROR(__xludf.DUMMYFUNCTION("""COMPUTED_VALUE"""),"North Dakota State Bison")</f>
        <v>North Dakota State Bison</v>
      </c>
      <c r="O104" s="187" t="str">
        <f>IFERROR(__xludf.DUMMYFUNCTION("""COMPUTED_VALUE"""),"Mountain West")</f>
        <v>Mountain West</v>
      </c>
      <c r="P104" s="187">
        <f>IFERROR(__xludf.DUMMYFUNCTION("indeX(split(F104,""-""),1)-J104/100"),6.536)</f>
        <v>6.536</v>
      </c>
    </row>
    <row r="105">
      <c r="B105" t="str">
        <f>IFERROR(__xludf.DUMMYFUNCTION("""COMPUTED_VALUE"""),"0-0")</f>
        <v>0-0</v>
      </c>
      <c r="C105">
        <f>IFERROR(__xludf.DUMMYFUNCTION("""COMPUTED_VALUE"""),-8.5)</f>
        <v>-8.5</v>
      </c>
      <c r="D105">
        <f>IFERROR(__xludf.DUMMYFUNCTION("""COMPUTED_VALUE"""),101.0)</f>
        <v>101</v>
      </c>
      <c r="E105" t="str">
        <f>IFERROR(__xludf.DUMMYFUNCTION("""COMPUTED_VALUE"""),"--")</f>
        <v>--</v>
      </c>
      <c r="F105" t="str">
        <f>IFERROR(__xludf.DUMMYFUNCTION("""COMPUTED_VALUE"""),"7.0-5.3")</f>
        <v>7.0-5.3</v>
      </c>
      <c r="G105">
        <f>IFERROR(__xludf.DUMMYFUNCTION("""COMPUTED_VALUE"""),0.1)</f>
        <v>0.1</v>
      </c>
      <c r="H105">
        <f>IFERROR(__xludf.DUMMYFUNCTION("""COMPUTED_VALUE"""),72.5)</f>
        <v>72.5</v>
      </c>
      <c r="I105">
        <f>IFERROR(__xludf.DUMMYFUNCTION("""COMPUTED_VALUE"""),0.0)</f>
        <v>0</v>
      </c>
      <c r="J105">
        <f>IFERROR(__xludf.DUMMYFUNCTION("""COMPUTED_VALUE"""),12.5)</f>
        <v>12.5</v>
      </c>
      <c r="K105">
        <f>IFERROR(__xludf.DUMMYFUNCTION("""COMPUTED_VALUE"""),1.0)</f>
        <v>1</v>
      </c>
      <c r="L105">
        <f>IFERROR(__xludf.DUMMYFUNCTION("""COMPUTED_VALUE"""),0.0)</f>
        <v>0</v>
      </c>
      <c r="M105">
        <f>IFERROR(__xludf.DUMMYFUNCTION("""COMPUTED_VALUE"""),0.0)</f>
        <v>0</v>
      </c>
      <c r="N105" t="str">
        <f>IFERROR(__xludf.DUMMYFUNCTION("""COMPUTED_VALUE"""),"Jacksonville State Gamecocks")</f>
        <v>Jacksonville State Gamecocks</v>
      </c>
      <c r="O105" s="187" t="str">
        <f>IFERROR(__xludf.DUMMYFUNCTION("""COMPUTED_VALUE"""),"CUSA")</f>
        <v>CUSA</v>
      </c>
      <c r="P105" s="187">
        <f>IFERROR(__xludf.DUMMYFUNCTION("indeX(split(F105,""-""),1)-J105/100"),6.875)</f>
        <v>6.875</v>
      </c>
    </row>
    <row r="106">
      <c r="B106" t="str">
        <f>IFERROR(__xludf.DUMMYFUNCTION("""COMPUTED_VALUE"""),"0-0")</f>
        <v>0-0</v>
      </c>
      <c r="C106">
        <f>IFERROR(__xludf.DUMMYFUNCTION("""COMPUTED_VALUE"""),-8.6)</f>
        <v>-8.6</v>
      </c>
      <c r="D106">
        <f>IFERROR(__xludf.DUMMYFUNCTION("""COMPUTED_VALUE"""),102.0)</f>
        <v>102</v>
      </c>
      <c r="E106" t="str">
        <f>IFERROR(__xludf.DUMMYFUNCTION("""COMPUTED_VALUE"""),"--")</f>
        <v>--</v>
      </c>
      <c r="F106" t="str">
        <f>IFERROR(__xludf.DUMMYFUNCTION("""COMPUTED_VALUE"""),"5.5-6.5")</f>
        <v>5.5-6.5</v>
      </c>
      <c r="G106">
        <f>IFERROR(__xludf.DUMMYFUNCTION("""COMPUTED_VALUE"""),0.0)</f>
        <v>0</v>
      </c>
      <c r="H106">
        <f>IFERROR(__xludf.DUMMYFUNCTION("""COMPUTED_VALUE"""),49.2)</f>
        <v>49.2</v>
      </c>
      <c r="I106">
        <f>IFERROR(__xludf.DUMMYFUNCTION("""COMPUTED_VALUE"""),0.0)</f>
        <v>0</v>
      </c>
      <c r="J106">
        <f>IFERROR(__xludf.DUMMYFUNCTION("""COMPUTED_VALUE"""),2.1)</f>
        <v>2.1</v>
      </c>
      <c r="K106">
        <f>IFERROR(__xludf.DUMMYFUNCTION("""COMPUTED_VALUE"""),0.4)</f>
        <v>0.4</v>
      </c>
      <c r="L106">
        <f>IFERROR(__xludf.DUMMYFUNCTION("""COMPUTED_VALUE"""),0.0)</f>
        <v>0</v>
      </c>
      <c r="M106">
        <f>IFERROR(__xludf.DUMMYFUNCTION("""COMPUTED_VALUE"""),0.0)</f>
        <v>0</v>
      </c>
      <c r="N106" t="str">
        <f>IFERROR(__xludf.DUMMYFUNCTION("""COMPUTED_VALUE"""),"Temple Owls")</f>
        <v>Temple Owls</v>
      </c>
      <c r="O106" s="187" t="str">
        <f>IFERROR(__xludf.DUMMYFUNCTION("""COMPUTED_VALUE"""),"American")</f>
        <v>American</v>
      </c>
      <c r="P106" s="187">
        <f>IFERROR(__xludf.DUMMYFUNCTION("indeX(split(F106,""-""),1)-J106/100"),5.479)</f>
        <v>5.479</v>
      </c>
    </row>
    <row r="107">
      <c r="B107" t="str">
        <f>IFERROR(__xludf.DUMMYFUNCTION("""COMPUTED_VALUE"""),"0-0")</f>
        <v>0-0</v>
      </c>
      <c r="C107">
        <f>IFERROR(__xludf.DUMMYFUNCTION("""COMPUTED_VALUE"""),-8.7)</f>
        <v>-8.7</v>
      </c>
      <c r="D107">
        <f>IFERROR(__xludf.DUMMYFUNCTION("""COMPUTED_VALUE"""),103.0)</f>
        <v>103</v>
      </c>
      <c r="E107" t="str">
        <f>IFERROR(__xludf.DUMMYFUNCTION("""COMPUTED_VALUE"""),"--")</f>
        <v>--</v>
      </c>
      <c r="F107" t="str">
        <f>IFERROR(__xludf.DUMMYFUNCTION("""COMPUTED_VALUE"""),"5.7-6.4")</f>
        <v>5.7-6.4</v>
      </c>
      <c r="G107">
        <f>IFERROR(__xludf.DUMMYFUNCTION("""COMPUTED_VALUE"""),0.0)</f>
        <v>0</v>
      </c>
      <c r="H107">
        <f>IFERROR(__xludf.DUMMYFUNCTION("""COMPUTED_VALUE"""),52.8)</f>
        <v>52.8</v>
      </c>
      <c r="I107">
        <f>IFERROR(__xludf.DUMMYFUNCTION("""COMPUTED_VALUE"""),12.1)</f>
        <v>12.1</v>
      </c>
      <c r="J107">
        <f>IFERROR(__xludf.DUMMYFUNCTION("""COMPUTED_VALUE"""),6.0)</f>
        <v>6</v>
      </c>
      <c r="K107">
        <f>IFERROR(__xludf.DUMMYFUNCTION("""COMPUTED_VALUE"""),0.5)</f>
        <v>0.5</v>
      </c>
      <c r="L107">
        <f>IFERROR(__xludf.DUMMYFUNCTION("""COMPUTED_VALUE"""),0.0)</f>
        <v>0</v>
      </c>
      <c r="M107">
        <f>IFERROR(__xludf.DUMMYFUNCTION("""COMPUTED_VALUE"""),0.0)</f>
        <v>0</v>
      </c>
      <c r="N107" t="str">
        <f>IFERROR(__xludf.DUMMYFUNCTION("""COMPUTED_VALUE"""),"Georgia Southern Eagles")</f>
        <v>Georgia Southern Eagles</v>
      </c>
      <c r="O107" s="187" t="str">
        <f>IFERROR(__xludf.DUMMYFUNCTION("""COMPUTED_VALUE"""),"Sun Belt")</f>
        <v>Sun Belt</v>
      </c>
      <c r="P107" s="187">
        <f>IFERROR(__xludf.DUMMYFUNCTION("indeX(split(F107,""-""),1)-J107/100"),5.640000000000001)</f>
        <v>5.64</v>
      </c>
    </row>
    <row r="108">
      <c r="B108" t="str">
        <f>IFERROR(__xludf.DUMMYFUNCTION("""COMPUTED_VALUE"""),"0-0")</f>
        <v>0-0</v>
      </c>
      <c r="C108">
        <f>IFERROR(__xludf.DUMMYFUNCTION("""COMPUTED_VALUE"""),-8.8)</f>
        <v>-8.8</v>
      </c>
      <c r="D108">
        <f>IFERROR(__xludf.DUMMYFUNCTION("""COMPUTED_VALUE"""),104.0)</f>
        <v>104</v>
      </c>
      <c r="E108" t="str">
        <f>IFERROR(__xludf.DUMMYFUNCTION("""COMPUTED_VALUE"""),"--")</f>
        <v>--</v>
      </c>
      <c r="F108" t="str">
        <f>IFERROR(__xludf.DUMMYFUNCTION("""COMPUTED_VALUE"""),"6.5-5.6")</f>
        <v>6.5-5.6</v>
      </c>
      <c r="G108">
        <f>IFERROR(__xludf.DUMMYFUNCTION("""COMPUTED_VALUE"""),0.0)</f>
        <v>0</v>
      </c>
      <c r="H108">
        <f>IFERROR(__xludf.DUMMYFUNCTION("""COMPUTED_VALUE"""),67.4)</f>
        <v>67.4</v>
      </c>
      <c r="I108">
        <f>IFERROR(__xludf.DUMMYFUNCTION("""COMPUTED_VALUE"""),12.4)</f>
        <v>12.4</v>
      </c>
      <c r="J108">
        <f>IFERROR(__xludf.DUMMYFUNCTION("""COMPUTED_VALUE"""),6.1)</f>
        <v>6.1</v>
      </c>
      <c r="K108">
        <f>IFERROR(__xludf.DUMMYFUNCTION("""COMPUTED_VALUE"""),0.7)</f>
        <v>0.7</v>
      </c>
      <c r="L108">
        <f>IFERROR(__xludf.DUMMYFUNCTION("""COMPUTED_VALUE"""),0.0)</f>
        <v>0</v>
      </c>
      <c r="M108">
        <f>IFERROR(__xludf.DUMMYFUNCTION("""COMPUTED_VALUE"""),0.0)</f>
        <v>0</v>
      </c>
      <c r="N108" t="str">
        <f>IFERROR(__xludf.DUMMYFUNCTION("""COMPUTED_VALUE"""),"Marshall Thundering Herd")</f>
        <v>Marshall Thundering Herd</v>
      </c>
      <c r="O108" s="187" t="str">
        <f>IFERROR(__xludf.DUMMYFUNCTION("""COMPUTED_VALUE"""),"Sun Belt")</f>
        <v>Sun Belt</v>
      </c>
      <c r="P108" s="187">
        <f>IFERROR(__xludf.DUMMYFUNCTION("indeX(split(F108,""-""),1)-J108/100"),6.439)</f>
        <v>6.439</v>
      </c>
    </row>
    <row r="109">
      <c r="B109" t="str">
        <f>IFERROR(__xludf.DUMMYFUNCTION("""COMPUTED_VALUE"""),"0-0")</f>
        <v>0-0</v>
      </c>
      <c r="C109">
        <f>IFERROR(__xludf.DUMMYFUNCTION("""COMPUTED_VALUE"""),-9.0)</f>
        <v>-9</v>
      </c>
      <c r="D109">
        <f>IFERROR(__xludf.DUMMYFUNCTION("""COMPUTED_VALUE"""),105.0)</f>
        <v>105</v>
      </c>
      <c r="E109" t="str">
        <f>IFERROR(__xludf.DUMMYFUNCTION("""COMPUTED_VALUE"""),"--")</f>
        <v>--</v>
      </c>
      <c r="F109" t="str">
        <f>IFERROR(__xludf.DUMMYFUNCTION("""COMPUTED_VALUE"""),"5.7-6.3")</f>
        <v>5.7-6.3</v>
      </c>
      <c r="G109">
        <f>IFERROR(__xludf.DUMMYFUNCTION("""COMPUTED_VALUE"""),0.0)</f>
        <v>0</v>
      </c>
      <c r="H109">
        <f>IFERROR(__xludf.DUMMYFUNCTION("""COMPUTED_VALUE"""),53.0)</f>
        <v>53</v>
      </c>
      <c r="I109">
        <f>IFERROR(__xludf.DUMMYFUNCTION("""COMPUTED_VALUE"""),0.0)</f>
        <v>0</v>
      </c>
      <c r="J109">
        <f>IFERROR(__xludf.DUMMYFUNCTION("""COMPUTED_VALUE"""),2.2)</f>
        <v>2.2</v>
      </c>
      <c r="K109">
        <f>IFERROR(__xludf.DUMMYFUNCTION("""COMPUTED_VALUE"""),0.4)</f>
        <v>0.4</v>
      </c>
      <c r="L109">
        <f>IFERROR(__xludf.DUMMYFUNCTION("""COMPUTED_VALUE"""),0.0)</f>
        <v>0</v>
      </c>
      <c r="M109">
        <f>IFERROR(__xludf.DUMMYFUNCTION("""COMPUTED_VALUE"""),0.0)</f>
        <v>0</v>
      </c>
      <c r="N109" t="str">
        <f>IFERROR(__xludf.DUMMYFUNCTION("""COMPUTED_VALUE"""),"Tulsa Golden Hurricane")</f>
        <v>Tulsa Golden Hurricane</v>
      </c>
      <c r="O109" s="187" t="str">
        <f>IFERROR(__xludf.DUMMYFUNCTION("""COMPUTED_VALUE"""),"American")</f>
        <v>American</v>
      </c>
      <c r="P109" s="187">
        <f>IFERROR(__xludf.DUMMYFUNCTION("indeX(split(F109,""-""),1)-J109/100"),5.678)</f>
        <v>5.678</v>
      </c>
    </row>
    <row r="110">
      <c r="B110" t="str">
        <f>IFERROR(__xludf.DUMMYFUNCTION("""COMPUTED_VALUE"""),"0-0")</f>
        <v>0-0</v>
      </c>
      <c r="C110">
        <f>IFERROR(__xludf.DUMMYFUNCTION("""COMPUTED_VALUE"""),-9.0)</f>
        <v>-9</v>
      </c>
      <c r="D110">
        <f>IFERROR(__xludf.DUMMYFUNCTION("""COMPUTED_VALUE"""),106.0)</f>
        <v>106</v>
      </c>
      <c r="E110" t="str">
        <f>IFERROR(__xludf.DUMMYFUNCTION("""COMPUTED_VALUE"""),"--")</f>
        <v>--</v>
      </c>
      <c r="F110" t="str">
        <f>IFERROR(__xludf.DUMMYFUNCTION("""COMPUTED_VALUE"""),"6.5-5.8")</f>
        <v>6.5-5.8</v>
      </c>
      <c r="G110">
        <f>IFERROR(__xludf.DUMMYFUNCTION("""COMPUTED_VALUE"""),0.0)</f>
        <v>0</v>
      </c>
      <c r="H110">
        <f>IFERROR(__xludf.DUMMYFUNCTION("""COMPUTED_VALUE"""),65.4)</f>
        <v>65.4</v>
      </c>
      <c r="I110">
        <f>IFERROR(__xludf.DUMMYFUNCTION("""COMPUTED_VALUE"""),0.0)</f>
        <v>0</v>
      </c>
      <c r="J110">
        <f>IFERROR(__xludf.DUMMYFUNCTION("""COMPUTED_VALUE"""),11.3)</f>
        <v>11.3</v>
      </c>
      <c r="K110">
        <f>IFERROR(__xludf.DUMMYFUNCTION("""COMPUTED_VALUE"""),0.7)</f>
        <v>0.7</v>
      </c>
      <c r="L110">
        <f>IFERROR(__xludf.DUMMYFUNCTION("""COMPUTED_VALUE"""),0.0)</f>
        <v>0</v>
      </c>
      <c r="M110">
        <f>IFERROR(__xludf.DUMMYFUNCTION("""COMPUTED_VALUE"""),0.0)</f>
        <v>0</v>
      </c>
      <c r="N110" t="str">
        <f>IFERROR(__xludf.DUMMYFUNCTION("""COMPUTED_VALUE"""),"Kennesaw State Owls")</f>
        <v>Kennesaw State Owls</v>
      </c>
      <c r="O110" s="187" t="str">
        <f>IFERROR(__xludf.DUMMYFUNCTION("""COMPUTED_VALUE"""),"CUSA")</f>
        <v>CUSA</v>
      </c>
      <c r="P110" s="187">
        <f>IFERROR(__xludf.DUMMYFUNCTION("indeX(split(F110,""-""),1)-J110/100"),6.387)</f>
        <v>6.387</v>
      </c>
    </row>
    <row r="111">
      <c r="B111" t="str">
        <f>IFERROR(__xludf.DUMMYFUNCTION("""COMPUTED_VALUE"""),"0-0")</f>
        <v>0-0</v>
      </c>
      <c r="C111">
        <f>IFERROR(__xludf.DUMMYFUNCTION("""COMPUTED_VALUE"""),-9.2)</f>
        <v>-9.2</v>
      </c>
      <c r="D111">
        <f>IFERROR(__xludf.DUMMYFUNCTION("""COMPUTED_VALUE"""),107.0)</f>
        <v>107</v>
      </c>
      <c r="E111" t="str">
        <f>IFERROR(__xludf.DUMMYFUNCTION("""COMPUTED_VALUE"""),"--")</f>
        <v>--</v>
      </c>
      <c r="F111" t="str">
        <f>IFERROR(__xludf.DUMMYFUNCTION("""COMPUTED_VALUE"""),"6.2-5.9")</f>
        <v>6.2-5.9</v>
      </c>
      <c r="G111">
        <f>IFERROR(__xludf.DUMMYFUNCTION("""COMPUTED_VALUE"""),0.0)</f>
        <v>0</v>
      </c>
      <c r="H111">
        <f>IFERROR(__xludf.DUMMYFUNCTION("""COMPUTED_VALUE"""),61.8)</f>
        <v>61.8</v>
      </c>
      <c r="I111">
        <f>IFERROR(__xludf.DUMMYFUNCTION("""COMPUTED_VALUE"""),15.3)</f>
        <v>15.3</v>
      </c>
      <c r="J111">
        <f>IFERROR(__xludf.DUMMYFUNCTION("""COMPUTED_VALUE"""),6.1)</f>
        <v>6.1</v>
      </c>
      <c r="K111">
        <f>IFERROR(__xludf.DUMMYFUNCTION("""COMPUTED_VALUE"""),0.6)</f>
        <v>0.6</v>
      </c>
      <c r="L111">
        <f>IFERROR(__xludf.DUMMYFUNCTION("""COMPUTED_VALUE"""),0.0)</f>
        <v>0</v>
      </c>
      <c r="M111">
        <f>IFERROR(__xludf.DUMMYFUNCTION("""COMPUTED_VALUE"""),0.0)</f>
        <v>0</v>
      </c>
      <c r="N111" t="str">
        <f>IFERROR(__xludf.DUMMYFUNCTION("""COMPUTED_VALUE"""),"Arkansas State Red Wolves")</f>
        <v>Arkansas State Red Wolves</v>
      </c>
      <c r="O111" s="187" t="str">
        <f>IFERROR(__xludf.DUMMYFUNCTION("""COMPUTED_VALUE"""),"Sun Belt")</f>
        <v>Sun Belt</v>
      </c>
      <c r="P111" s="187">
        <f>IFERROR(__xludf.DUMMYFUNCTION("indeX(split(F111,""-""),1)-J111/100"),6.139)</f>
        <v>6.139</v>
      </c>
    </row>
    <row r="112">
      <c r="B112" t="str">
        <f>IFERROR(__xludf.DUMMYFUNCTION("""COMPUTED_VALUE"""),"0-0")</f>
        <v>0-0</v>
      </c>
      <c r="C112">
        <f>IFERROR(__xludf.DUMMYFUNCTION("""COMPUTED_VALUE"""),-9.6)</f>
        <v>-9.6</v>
      </c>
      <c r="D112">
        <f>IFERROR(__xludf.DUMMYFUNCTION("""COMPUTED_VALUE"""),108.0)</f>
        <v>108</v>
      </c>
      <c r="E112" t="str">
        <f>IFERROR(__xludf.DUMMYFUNCTION("""COMPUTED_VALUE"""),"--")</f>
        <v>--</v>
      </c>
      <c r="F112" t="str">
        <f>IFERROR(__xludf.DUMMYFUNCTION("""COMPUTED_VALUE"""),"5.6-6.6")</f>
        <v>5.6-6.6</v>
      </c>
      <c r="G112">
        <f>IFERROR(__xludf.DUMMYFUNCTION("""COMPUTED_VALUE"""),0.0)</f>
        <v>0</v>
      </c>
      <c r="H112">
        <f>IFERROR(__xludf.DUMMYFUNCTION("""COMPUTED_VALUE"""),49.5)</f>
        <v>49.5</v>
      </c>
      <c r="I112">
        <f>IFERROR(__xludf.DUMMYFUNCTION("""COMPUTED_VALUE"""),12.1)</f>
        <v>12.1</v>
      </c>
      <c r="J112">
        <f>IFERROR(__xludf.DUMMYFUNCTION("""COMPUTED_VALUE"""),5.3)</f>
        <v>5.3</v>
      </c>
      <c r="K112">
        <f>IFERROR(__xludf.DUMMYFUNCTION("""COMPUTED_VALUE"""),0.4)</f>
        <v>0.4</v>
      </c>
      <c r="L112">
        <f>IFERROR(__xludf.DUMMYFUNCTION("""COMPUTED_VALUE"""),0.0)</f>
        <v>0</v>
      </c>
      <c r="M112">
        <f>IFERROR(__xludf.DUMMYFUNCTION("""COMPUTED_VALUE"""),0.0)</f>
        <v>0</v>
      </c>
      <c r="N112" t="str">
        <f>IFERROR(__xludf.DUMMYFUNCTION("""COMPUTED_VALUE"""),"Louisiana Tech Bulldogs")</f>
        <v>Louisiana Tech Bulldogs</v>
      </c>
      <c r="O112" s="187" t="str">
        <f>IFERROR(__xludf.DUMMYFUNCTION("""COMPUTED_VALUE"""),"Sun Belt")</f>
        <v>Sun Belt</v>
      </c>
      <c r="P112" s="187">
        <f>IFERROR(__xludf.DUMMYFUNCTION("indeX(split(F112,""-""),1)-J112/100"),5.547)</f>
        <v>5.547</v>
      </c>
    </row>
    <row r="113">
      <c r="B113" t="str">
        <f>IFERROR(__xludf.DUMMYFUNCTION("""COMPUTED_VALUE"""),"0-0")</f>
        <v>0-0</v>
      </c>
      <c r="C113">
        <f>IFERROR(__xludf.DUMMYFUNCTION("""COMPUTED_VALUE"""),-9.8)</f>
        <v>-9.8</v>
      </c>
      <c r="D113">
        <f>IFERROR(__xludf.DUMMYFUNCTION("""COMPUTED_VALUE"""),109.0)</f>
        <v>109</v>
      </c>
      <c r="E113" t="str">
        <f>IFERROR(__xludf.DUMMYFUNCTION("""COMPUTED_VALUE"""),"--")</f>
        <v>--</v>
      </c>
      <c r="F113" t="str">
        <f>IFERROR(__xludf.DUMMYFUNCTION("""COMPUTED_VALUE"""),"6.1-6.0")</f>
        <v>6.1-6.0</v>
      </c>
      <c r="G113">
        <f>IFERROR(__xludf.DUMMYFUNCTION("""COMPUTED_VALUE"""),0.0)</f>
        <v>0</v>
      </c>
      <c r="H113">
        <f>IFERROR(__xludf.DUMMYFUNCTION("""COMPUTED_VALUE"""),59.0)</f>
        <v>59</v>
      </c>
      <c r="I113">
        <f>IFERROR(__xludf.DUMMYFUNCTION("""COMPUTED_VALUE"""),11.1)</f>
        <v>11.1</v>
      </c>
      <c r="J113">
        <f>IFERROR(__xludf.DUMMYFUNCTION("""COMPUTED_VALUE"""),5.1)</f>
        <v>5.1</v>
      </c>
      <c r="K113">
        <f>IFERROR(__xludf.DUMMYFUNCTION("""COMPUTED_VALUE"""),0.4)</f>
        <v>0.4</v>
      </c>
      <c r="L113">
        <f>IFERROR(__xludf.DUMMYFUNCTION("""COMPUTED_VALUE"""),0.0)</f>
        <v>0</v>
      </c>
      <c r="M113">
        <f>IFERROR(__xludf.DUMMYFUNCTION("""COMPUTED_VALUE"""),0.0)</f>
        <v>0</v>
      </c>
      <c r="N113" t="str">
        <f>IFERROR(__xludf.DUMMYFUNCTION("""COMPUTED_VALUE"""),"App State Mountaineers")</f>
        <v>App State Mountaineers</v>
      </c>
      <c r="O113" s="187" t="str">
        <f>IFERROR(__xludf.DUMMYFUNCTION("""COMPUTED_VALUE"""),"Sun Belt")</f>
        <v>Sun Belt</v>
      </c>
      <c r="P113" s="187">
        <f>IFERROR(__xludf.DUMMYFUNCTION("indeX(split(F113,""-""),1)-J113/100"),6.0489999999999995)</f>
        <v>6.049</v>
      </c>
    </row>
    <row r="114">
      <c r="B114" t="str">
        <f>IFERROR(__xludf.DUMMYFUNCTION("""COMPUTED_VALUE"""),"0-0")</f>
        <v>0-0</v>
      </c>
      <c r="C114">
        <f>IFERROR(__xludf.DUMMYFUNCTION("""COMPUTED_VALUE"""),-10.3)</f>
        <v>-10.3</v>
      </c>
      <c r="D114">
        <f>IFERROR(__xludf.DUMMYFUNCTION("""COMPUTED_VALUE"""),110.0)</f>
        <v>110</v>
      </c>
      <c r="E114" t="str">
        <f>IFERROR(__xludf.DUMMYFUNCTION("""COMPUTED_VALUE"""),"--")</f>
        <v>--</v>
      </c>
      <c r="F114" t="str">
        <f>IFERROR(__xludf.DUMMYFUNCTION("""COMPUTED_VALUE"""),"5.7-6.5")</f>
        <v>5.7-6.5</v>
      </c>
      <c r="G114">
        <f>IFERROR(__xludf.DUMMYFUNCTION("""COMPUTED_VALUE"""),0.0)</f>
        <v>0</v>
      </c>
      <c r="H114">
        <f>IFERROR(__xludf.DUMMYFUNCTION("""COMPUTED_VALUE"""),51.0)</f>
        <v>51</v>
      </c>
      <c r="I114">
        <f>IFERROR(__xludf.DUMMYFUNCTION("""COMPUTED_VALUE"""),0.0)</f>
        <v>0</v>
      </c>
      <c r="J114">
        <f>IFERROR(__xludf.DUMMYFUNCTION("""COMPUTED_VALUE"""),8.3)</f>
        <v>8.3</v>
      </c>
      <c r="K114">
        <f>IFERROR(__xludf.DUMMYFUNCTION("""COMPUTED_VALUE"""),0.4)</f>
        <v>0.4</v>
      </c>
      <c r="L114">
        <f>IFERROR(__xludf.DUMMYFUNCTION("""COMPUTED_VALUE"""),0.0)</f>
        <v>0</v>
      </c>
      <c r="M114">
        <f>IFERROR(__xludf.DUMMYFUNCTION("""COMPUTED_VALUE"""),0.0)</f>
        <v>0</v>
      </c>
      <c r="N114" t="str">
        <f>IFERROR(__xludf.DUMMYFUNCTION("""COMPUTED_VALUE"""),"Missouri State Bears")</f>
        <v>Missouri State Bears</v>
      </c>
      <c r="O114" s="187" t="str">
        <f>IFERROR(__xludf.DUMMYFUNCTION("""COMPUTED_VALUE"""),"CUSA")</f>
        <v>CUSA</v>
      </c>
      <c r="P114" s="187">
        <f>IFERROR(__xludf.DUMMYFUNCTION("indeX(split(F114,""-""),1)-J114/100"),5.617)</f>
        <v>5.617</v>
      </c>
    </row>
    <row r="115">
      <c r="B115" t="str">
        <f>IFERROR(__xludf.DUMMYFUNCTION("""COMPUTED_VALUE"""),"0-0")</f>
        <v>0-0</v>
      </c>
      <c r="C115">
        <f>IFERROR(__xludf.DUMMYFUNCTION("""COMPUTED_VALUE"""),-10.4)</f>
        <v>-10.4</v>
      </c>
      <c r="D115">
        <f>IFERROR(__xludf.DUMMYFUNCTION("""COMPUTED_VALUE"""),111.0)</f>
        <v>111</v>
      </c>
      <c r="E115" t="str">
        <f>IFERROR(__xludf.DUMMYFUNCTION("""COMPUTED_VALUE"""),"--")</f>
        <v>--</v>
      </c>
      <c r="F115" t="str">
        <f>IFERROR(__xludf.DUMMYFUNCTION("""COMPUTED_VALUE"""),"6.7-5.5")</f>
        <v>6.7-5.5</v>
      </c>
      <c r="G115">
        <f>IFERROR(__xludf.DUMMYFUNCTION("""COMPUTED_VALUE"""),0.0)</f>
        <v>0</v>
      </c>
      <c r="H115">
        <f>IFERROR(__xludf.DUMMYFUNCTION("""COMPUTED_VALUE"""),69.2)</f>
        <v>69.2</v>
      </c>
      <c r="I115">
        <f>IFERROR(__xludf.DUMMYFUNCTION("""COMPUTED_VALUE"""),0.0)</f>
        <v>0</v>
      </c>
      <c r="J115">
        <f>IFERROR(__xludf.DUMMYFUNCTION("""COMPUTED_VALUE"""),7.5)</f>
        <v>7.5</v>
      </c>
      <c r="K115">
        <f>IFERROR(__xludf.DUMMYFUNCTION("""COMPUTED_VALUE"""),0.6)</f>
        <v>0.6</v>
      </c>
      <c r="L115">
        <f>IFERROR(__xludf.DUMMYFUNCTION("""COMPUTED_VALUE"""),0.0)</f>
        <v>0</v>
      </c>
      <c r="M115">
        <f>IFERROR(__xludf.DUMMYFUNCTION("""COMPUTED_VALUE"""),0.0)</f>
        <v>0</v>
      </c>
      <c r="N115" t="str">
        <f>IFERROR(__xludf.DUMMYFUNCTION("""COMPUTED_VALUE"""),"Sacramento State Hornets")</f>
        <v>Sacramento State Hornets</v>
      </c>
      <c r="O115" s="187" t="str">
        <f>IFERROR(__xludf.DUMMYFUNCTION("""COMPUTED_VALUE"""),"MAC")</f>
        <v>MAC</v>
      </c>
      <c r="P115" s="187">
        <f>IFERROR(__xludf.DUMMYFUNCTION("indeX(split(F115,""-""),1)-J115/100"),6.625)</f>
        <v>6.625</v>
      </c>
    </row>
    <row r="116">
      <c r="B116" t="str">
        <f>IFERROR(__xludf.DUMMYFUNCTION("""COMPUTED_VALUE"""),"0-0")</f>
        <v>0-0</v>
      </c>
      <c r="C116">
        <f>IFERROR(__xludf.DUMMYFUNCTION("""COMPUTED_VALUE"""),-10.5)</f>
        <v>-10.5</v>
      </c>
      <c r="D116">
        <f>IFERROR(__xludf.DUMMYFUNCTION("""COMPUTED_VALUE"""),112.0)</f>
        <v>112</v>
      </c>
      <c r="E116" t="str">
        <f>IFERROR(__xludf.DUMMYFUNCTION("""COMPUTED_VALUE"""),"--")</f>
        <v>--</v>
      </c>
      <c r="F116" t="str">
        <f>IFERROR(__xludf.DUMMYFUNCTION("""COMPUTED_VALUE"""),"5.4-6.7")</f>
        <v>5.4-6.7</v>
      </c>
      <c r="G116">
        <f>IFERROR(__xludf.DUMMYFUNCTION("""COMPUTED_VALUE"""),0.0)</f>
        <v>0</v>
      </c>
      <c r="H116">
        <f>IFERROR(__xludf.DUMMYFUNCTION("""COMPUTED_VALUE"""),47.3)</f>
        <v>47.3</v>
      </c>
      <c r="I116">
        <f>IFERROR(__xludf.DUMMYFUNCTION("""COMPUTED_VALUE"""),10.3)</f>
        <v>10.3</v>
      </c>
      <c r="J116">
        <f>IFERROR(__xludf.DUMMYFUNCTION("""COMPUTED_VALUE"""),4.5)</f>
        <v>4.5</v>
      </c>
      <c r="K116">
        <f>IFERROR(__xludf.DUMMYFUNCTION("""COMPUTED_VALUE"""),0.3)</f>
        <v>0.3</v>
      </c>
      <c r="L116">
        <f>IFERROR(__xludf.DUMMYFUNCTION("""COMPUTED_VALUE"""),0.0)</f>
        <v>0</v>
      </c>
      <c r="M116">
        <f>IFERROR(__xludf.DUMMYFUNCTION("""COMPUTED_VALUE"""),0.0)</f>
        <v>0</v>
      </c>
      <c r="N116" t="str">
        <f>IFERROR(__xludf.DUMMYFUNCTION("""COMPUTED_VALUE"""),"South Alabama Jaguars")</f>
        <v>South Alabama Jaguars</v>
      </c>
      <c r="O116" s="187" t="str">
        <f>IFERROR(__xludf.DUMMYFUNCTION("""COMPUTED_VALUE"""),"Sun Belt")</f>
        <v>Sun Belt</v>
      </c>
      <c r="P116" s="187">
        <f>IFERROR(__xludf.DUMMYFUNCTION("indeX(split(F116,""-""),1)-J116/100"),5.355)</f>
        <v>5.355</v>
      </c>
    </row>
    <row r="117">
      <c r="B117" t="str">
        <f>IFERROR(__xludf.DUMMYFUNCTION("""COMPUTED_VALUE"""),"0-0")</f>
        <v>0-0</v>
      </c>
      <c r="C117">
        <f>IFERROR(__xludf.DUMMYFUNCTION("""COMPUTED_VALUE"""),-10.8)</f>
        <v>-10.8</v>
      </c>
      <c r="D117">
        <f>IFERROR(__xludf.DUMMYFUNCTION("""COMPUTED_VALUE"""),113.0)</f>
        <v>113</v>
      </c>
      <c r="E117" t="str">
        <f>IFERROR(__xludf.DUMMYFUNCTION("""COMPUTED_VALUE"""),"--")</f>
        <v>--</v>
      </c>
      <c r="F117" t="str">
        <f>IFERROR(__xludf.DUMMYFUNCTION("""COMPUTED_VALUE"""),"6.6-5.5")</f>
        <v>6.6-5.5</v>
      </c>
      <c r="G117">
        <f>IFERROR(__xludf.DUMMYFUNCTION("""COMPUTED_VALUE"""),0.0)</f>
        <v>0</v>
      </c>
      <c r="H117">
        <f>IFERROR(__xludf.DUMMYFUNCTION("""COMPUTED_VALUE"""),70.4)</f>
        <v>70.4</v>
      </c>
      <c r="I117">
        <f>IFERROR(__xludf.DUMMYFUNCTION("""COMPUTED_VALUE"""),0.0)</f>
        <v>0</v>
      </c>
      <c r="J117">
        <f>IFERROR(__xludf.DUMMYFUNCTION("""COMPUTED_VALUE"""),5.9)</f>
        <v>5.9</v>
      </c>
      <c r="K117">
        <f>IFERROR(__xludf.DUMMYFUNCTION("""COMPUTED_VALUE"""),0.6)</f>
        <v>0.6</v>
      </c>
      <c r="L117">
        <f>IFERROR(__xludf.DUMMYFUNCTION("""COMPUTED_VALUE"""),0.0)</f>
        <v>0</v>
      </c>
      <c r="M117">
        <f>IFERROR(__xludf.DUMMYFUNCTION("""COMPUTED_VALUE"""),0.0)</f>
        <v>0</v>
      </c>
      <c r="N117" t="str">
        <f>IFERROR(__xludf.DUMMYFUNCTION("""COMPUTED_VALUE"""),"Buffalo Bulls")</f>
        <v>Buffalo Bulls</v>
      </c>
      <c r="O117" s="187" t="str">
        <f>IFERROR(__xludf.DUMMYFUNCTION("""COMPUTED_VALUE"""),"MAC")</f>
        <v>MAC</v>
      </c>
      <c r="P117" s="187">
        <f>IFERROR(__xludf.DUMMYFUNCTION("indeX(split(F117,""-""),1)-J117/100"),6.5409999999999995)</f>
        <v>6.541</v>
      </c>
    </row>
    <row r="118">
      <c r="B118" t="str">
        <f>IFERROR(__xludf.DUMMYFUNCTION("""COMPUTED_VALUE"""),"0-0")</f>
        <v>0-0</v>
      </c>
      <c r="C118">
        <f>IFERROR(__xludf.DUMMYFUNCTION("""COMPUTED_VALUE"""),-11.2)</f>
        <v>-11.2</v>
      </c>
      <c r="D118">
        <f>IFERROR(__xludf.DUMMYFUNCTION("""COMPUTED_VALUE"""),114.0)</f>
        <v>114</v>
      </c>
      <c r="E118" t="str">
        <f>IFERROR(__xludf.DUMMYFUNCTION("""COMPUTED_VALUE"""),"--")</f>
        <v>--</v>
      </c>
      <c r="F118" t="str">
        <f>IFERROR(__xludf.DUMMYFUNCTION("""COMPUTED_VALUE"""),"4.8-7.2")</f>
        <v>4.8-7.2</v>
      </c>
      <c r="G118">
        <f>IFERROR(__xludf.DUMMYFUNCTION("""COMPUTED_VALUE"""),0.0)</f>
        <v>0</v>
      </c>
      <c r="H118">
        <f>IFERROR(__xludf.DUMMYFUNCTION("""COMPUTED_VALUE"""),35.1)</f>
        <v>35.1</v>
      </c>
      <c r="I118">
        <f>IFERROR(__xludf.DUMMYFUNCTION("""COMPUTED_VALUE"""),0.0)</f>
        <v>0</v>
      </c>
      <c r="J118">
        <f>IFERROR(__xludf.DUMMYFUNCTION("""COMPUTED_VALUE"""),0.0)</f>
        <v>0</v>
      </c>
      <c r="K118">
        <f>IFERROR(__xludf.DUMMYFUNCTION("""COMPUTED_VALUE"""),0.1)</f>
        <v>0.1</v>
      </c>
      <c r="L118">
        <f>IFERROR(__xludf.DUMMYFUNCTION("""COMPUTED_VALUE"""),0.0)</f>
        <v>0</v>
      </c>
      <c r="M118">
        <f>IFERROR(__xludf.DUMMYFUNCTION("""COMPUTED_VALUE"""),0.0)</f>
        <v>0</v>
      </c>
      <c r="N118" t="str">
        <f>IFERROR(__xludf.DUMMYFUNCTION("""COMPUTED_VALUE"""),"UConn Huskies")</f>
        <v>UConn Huskies</v>
      </c>
      <c r="O118" s="187" t="str">
        <f>IFERROR(__xludf.DUMMYFUNCTION("""COMPUTED_VALUE"""),"FBS Indep.")</f>
        <v>FBS Indep.</v>
      </c>
      <c r="P118" s="187">
        <f>IFERROR(__xludf.DUMMYFUNCTION("indeX(split(F118,""-""),1)-J118/100"),4.8)</f>
        <v>4.8</v>
      </c>
    </row>
    <row r="119">
      <c r="B119" t="str">
        <f>IFERROR(__xludf.DUMMYFUNCTION("""COMPUTED_VALUE"""),"0-0")</f>
        <v>0-0</v>
      </c>
      <c r="C119">
        <f>IFERROR(__xludf.DUMMYFUNCTION("""COMPUTED_VALUE"""),-11.3)</f>
        <v>-11.3</v>
      </c>
      <c r="D119">
        <f>IFERROR(__xludf.DUMMYFUNCTION("""COMPUTED_VALUE"""),115.0)</f>
        <v>115</v>
      </c>
      <c r="E119" t="str">
        <f>IFERROR(__xludf.DUMMYFUNCTION("""COMPUTED_VALUE"""),"--")</f>
        <v>--</v>
      </c>
      <c r="F119" t="str">
        <f>IFERROR(__xludf.DUMMYFUNCTION("""COMPUTED_VALUE"""),"5.1-6.9")</f>
        <v>5.1-6.9</v>
      </c>
      <c r="G119">
        <f>IFERROR(__xludf.DUMMYFUNCTION("""COMPUTED_VALUE"""),0.0)</f>
        <v>0</v>
      </c>
      <c r="H119">
        <f>IFERROR(__xludf.DUMMYFUNCTION("""COMPUTED_VALUE"""),41.2)</f>
        <v>41.2</v>
      </c>
      <c r="I119">
        <f>IFERROR(__xludf.DUMMYFUNCTION("""COMPUTED_VALUE"""),0.0)</f>
        <v>0</v>
      </c>
      <c r="J119">
        <f>IFERROR(__xludf.DUMMYFUNCTION("""COMPUTED_VALUE"""),1.1)</f>
        <v>1.1</v>
      </c>
      <c r="K119">
        <f>IFERROR(__xludf.DUMMYFUNCTION("""COMPUTED_VALUE"""),0.2)</f>
        <v>0.2</v>
      </c>
      <c r="L119">
        <f>IFERROR(__xludf.DUMMYFUNCTION("""COMPUTED_VALUE"""),0.0)</f>
        <v>0</v>
      </c>
      <c r="M119">
        <f>IFERROR(__xludf.DUMMYFUNCTION("""COMPUTED_VALUE"""),0.0)</f>
        <v>0</v>
      </c>
      <c r="N119" t="str">
        <f>IFERROR(__xludf.DUMMYFUNCTION("""COMPUTED_VALUE"""),"Florida Atlantic Owls")</f>
        <v>Florida Atlantic Owls</v>
      </c>
      <c r="O119" s="187" t="str">
        <f>IFERROR(__xludf.DUMMYFUNCTION("""COMPUTED_VALUE"""),"American")</f>
        <v>American</v>
      </c>
      <c r="P119" s="187">
        <f>IFERROR(__xludf.DUMMYFUNCTION("indeX(split(F119,""-""),1)-J119/100"),5.0889999999999995)</f>
        <v>5.089</v>
      </c>
    </row>
    <row r="120">
      <c r="B120" t="str">
        <f>IFERROR(__xludf.DUMMYFUNCTION("""COMPUTED_VALUE"""),"0-0")</f>
        <v>0-0</v>
      </c>
      <c r="C120">
        <f>IFERROR(__xludf.DUMMYFUNCTION("""COMPUTED_VALUE"""),-11.9)</f>
        <v>-11.9</v>
      </c>
      <c r="D120">
        <f>IFERROR(__xludf.DUMMYFUNCTION("""COMPUTED_VALUE"""),116.0)</f>
        <v>116</v>
      </c>
      <c r="E120" t="str">
        <f>IFERROR(__xludf.DUMMYFUNCTION("""COMPUTED_VALUE"""),"--")</f>
        <v>--</v>
      </c>
      <c r="F120" t="str">
        <f>IFERROR(__xludf.DUMMYFUNCTION("""COMPUTED_VALUE"""),"4.8-7.2")</f>
        <v>4.8-7.2</v>
      </c>
      <c r="G120">
        <f>IFERROR(__xludf.DUMMYFUNCTION("""COMPUTED_VALUE"""),0.0)</f>
        <v>0</v>
      </c>
      <c r="H120">
        <f>IFERROR(__xludf.DUMMYFUNCTION("""COMPUTED_VALUE"""),37.0)</f>
        <v>37</v>
      </c>
      <c r="I120">
        <f>IFERROR(__xludf.DUMMYFUNCTION("""COMPUTED_VALUE"""),0.0)</f>
        <v>0</v>
      </c>
      <c r="J120">
        <f>IFERROR(__xludf.DUMMYFUNCTION("""COMPUTED_VALUE"""),2.8)</f>
        <v>2.8</v>
      </c>
      <c r="K120">
        <f>IFERROR(__xludf.DUMMYFUNCTION("""COMPUTED_VALUE"""),0.2)</f>
        <v>0.2</v>
      </c>
      <c r="L120">
        <f>IFERROR(__xludf.DUMMYFUNCTION("""COMPUTED_VALUE"""),0.0)</f>
        <v>0</v>
      </c>
      <c r="M120">
        <f>IFERROR(__xludf.DUMMYFUNCTION("""COMPUTED_VALUE"""),0.0)</f>
        <v>0</v>
      </c>
      <c r="N120" t="str">
        <f>IFERROR(__xludf.DUMMYFUNCTION("""COMPUTED_VALUE"""),"Nevada Wolf Pack")</f>
        <v>Nevada Wolf Pack</v>
      </c>
      <c r="O120" s="187" t="str">
        <f>IFERROR(__xludf.DUMMYFUNCTION("""COMPUTED_VALUE"""),"Mountain West")</f>
        <v>Mountain West</v>
      </c>
      <c r="P120" s="187">
        <f>IFERROR(__xludf.DUMMYFUNCTION("indeX(split(F120,""-""),1)-J120/100"),4.772)</f>
        <v>4.772</v>
      </c>
    </row>
    <row r="121">
      <c r="B121" t="str">
        <f>IFERROR(__xludf.DUMMYFUNCTION("""COMPUTED_VALUE"""),"0-0")</f>
        <v>0-0</v>
      </c>
      <c r="C121">
        <f>IFERROR(__xludf.DUMMYFUNCTION("""COMPUTED_VALUE"""),-12.1)</f>
        <v>-12.1</v>
      </c>
      <c r="D121">
        <f>IFERROR(__xludf.DUMMYFUNCTION("""COMPUTED_VALUE"""),117.0)</f>
        <v>117</v>
      </c>
      <c r="E121" t="str">
        <f>IFERROR(__xludf.DUMMYFUNCTION("""COMPUTED_VALUE"""),"--")</f>
        <v>--</v>
      </c>
      <c r="F121" t="str">
        <f>IFERROR(__xludf.DUMMYFUNCTION("""COMPUTED_VALUE"""),"5.2-6.9")</f>
        <v>5.2-6.9</v>
      </c>
      <c r="G121">
        <f>IFERROR(__xludf.DUMMYFUNCTION("""COMPUTED_VALUE"""),0.0)</f>
        <v>0</v>
      </c>
      <c r="H121">
        <f>IFERROR(__xludf.DUMMYFUNCTION("""COMPUTED_VALUE"""),41.8)</f>
        <v>41.8</v>
      </c>
      <c r="I121">
        <f>IFERROR(__xludf.DUMMYFUNCTION("""COMPUTED_VALUE"""),5.8)</f>
        <v>5.8</v>
      </c>
      <c r="J121">
        <f>IFERROR(__xludf.DUMMYFUNCTION("""COMPUTED_VALUE"""),2.4)</f>
        <v>2.4</v>
      </c>
      <c r="K121">
        <f>IFERROR(__xludf.DUMMYFUNCTION("""COMPUTED_VALUE"""),0.2)</f>
        <v>0.2</v>
      </c>
      <c r="L121">
        <f>IFERROR(__xludf.DUMMYFUNCTION("""COMPUTED_VALUE"""),0.0)</f>
        <v>0</v>
      </c>
      <c r="M121">
        <f>IFERROR(__xludf.DUMMYFUNCTION("""COMPUTED_VALUE"""),0.0)</f>
        <v>0</v>
      </c>
      <c r="N121" t="str">
        <f>IFERROR(__xludf.DUMMYFUNCTION("""COMPUTED_VALUE"""),"Coastal Carolina Chanticleers")</f>
        <v>Coastal Carolina Chanticleers</v>
      </c>
      <c r="O121" s="187" t="str">
        <f>IFERROR(__xludf.DUMMYFUNCTION("""COMPUTED_VALUE"""),"Sun Belt")</f>
        <v>Sun Belt</v>
      </c>
      <c r="P121" s="187">
        <f>IFERROR(__xludf.DUMMYFUNCTION("indeX(split(F121,""-""),1)-J121/100"),5.176)</f>
        <v>5.176</v>
      </c>
    </row>
    <row r="122">
      <c r="B122" t="str">
        <f>IFERROR(__xludf.DUMMYFUNCTION("""COMPUTED_VALUE"""),"0-0")</f>
        <v>0-0</v>
      </c>
      <c r="C122">
        <f>IFERROR(__xludf.DUMMYFUNCTION("""COMPUTED_VALUE"""),-12.4)</f>
        <v>-12.4</v>
      </c>
      <c r="D122">
        <f>IFERROR(__xludf.DUMMYFUNCTION("""COMPUTED_VALUE"""),118.0)</f>
        <v>118</v>
      </c>
      <c r="E122" t="str">
        <f>IFERROR(__xludf.DUMMYFUNCTION("""COMPUTED_VALUE"""),"--")</f>
        <v>--</v>
      </c>
      <c r="F122" t="str">
        <f>IFERROR(__xludf.DUMMYFUNCTION("""COMPUTED_VALUE"""),"3.6-7.5")</f>
        <v>3.6-7.5</v>
      </c>
      <c r="G122">
        <f>IFERROR(__xludf.DUMMYFUNCTION("""COMPUTED_VALUE"""),0.0)</f>
        <v>0</v>
      </c>
      <c r="H122">
        <f>IFERROR(__xludf.DUMMYFUNCTION("""COMPUTED_VALUE"""),15.7)</f>
        <v>15.7</v>
      </c>
      <c r="I122">
        <f>IFERROR(__xludf.DUMMYFUNCTION("""COMPUTED_VALUE"""),0.0)</f>
        <v>0</v>
      </c>
      <c r="J122">
        <f>IFERROR(__xludf.DUMMYFUNCTION("""COMPUTED_VALUE"""),1.3)</f>
        <v>1.3</v>
      </c>
      <c r="K122">
        <f>IFERROR(__xludf.DUMMYFUNCTION("""COMPUTED_VALUE"""),0.1)</f>
        <v>0.1</v>
      </c>
      <c r="L122">
        <f>IFERROR(__xludf.DUMMYFUNCTION("""COMPUTED_VALUE"""),0.0)</f>
        <v>0</v>
      </c>
      <c r="M122">
        <f>IFERROR(__xludf.DUMMYFUNCTION("""COMPUTED_VALUE"""),0.0)</f>
        <v>0</v>
      </c>
      <c r="N122" t="str">
        <f>IFERROR(__xludf.DUMMYFUNCTION("""COMPUTED_VALUE"""),"Colorado State Rams")</f>
        <v>Colorado State Rams</v>
      </c>
      <c r="O122" s="187" t="str">
        <f>IFERROR(__xludf.DUMMYFUNCTION("""COMPUTED_VALUE"""),"Pac-12")</f>
        <v>Pac-12</v>
      </c>
      <c r="P122" s="187">
        <f>IFERROR(__xludf.DUMMYFUNCTION("indeX(split(F122,""-""),1)-J122/100"),3.587)</f>
        <v>3.587</v>
      </c>
    </row>
    <row r="123">
      <c r="B123" t="str">
        <f>IFERROR(__xludf.DUMMYFUNCTION("""COMPUTED_VALUE"""),"0-0")</f>
        <v>0-0</v>
      </c>
      <c r="C123">
        <f>IFERROR(__xludf.DUMMYFUNCTION("""COMPUTED_VALUE"""),-12.6)</f>
        <v>-12.6</v>
      </c>
      <c r="D123">
        <f>IFERROR(__xludf.DUMMYFUNCTION("""COMPUTED_VALUE"""),119.0)</f>
        <v>119</v>
      </c>
      <c r="E123" t="str">
        <f>IFERROR(__xludf.DUMMYFUNCTION("""COMPUTED_VALUE"""),"--")</f>
        <v>--</v>
      </c>
      <c r="F123" t="str">
        <f>IFERROR(__xludf.DUMMYFUNCTION("""COMPUTED_VALUE"""),"6.0-6.2")</f>
        <v>6.0-6.2</v>
      </c>
      <c r="G123">
        <f>IFERROR(__xludf.DUMMYFUNCTION("""COMPUTED_VALUE"""),0.0)</f>
        <v>0</v>
      </c>
      <c r="H123">
        <f>IFERROR(__xludf.DUMMYFUNCTION("""COMPUTED_VALUE"""),56.7)</f>
        <v>56.7</v>
      </c>
      <c r="I123">
        <f>IFERROR(__xludf.DUMMYFUNCTION("""COMPUTED_VALUE"""),0.0)</f>
        <v>0</v>
      </c>
      <c r="J123">
        <f>IFERROR(__xludf.DUMMYFUNCTION("""COMPUTED_VALUE"""),5.2)</f>
        <v>5.2</v>
      </c>
      <c r="K123">
        <f>IFERROR(__xludf.DUMMYFUNCTION("""COMPUTED_VALUE"""),0.3)</f>
        <v>0.3</v>
      </c>
      <c r="L123">
        <f>IFERROR(__xludf.DUMMYFUNCTION("""COMPUTED_VALUE"""),0.0)</f>
        <v>0</v>
      </c>
      <c r="M123">
        <f>IFERROR(__xludf.DUMMYFUNCTION("""COMPUTED_VALUE"""),0.0)</f>
        <v>0</v>
      </c>
      <c r="N123" t="str">
        <f>IFERROR(__xludf.DUMMYFUNCTION("""COMPUTED_VALUE"""),"Florida International Panthers")</f>
        <v>Florida International Panthers</v>
      </c>
      <c r="O123" s="187" t="str">
        <f>IFERROR(__xludf.DUMMYFUNCTION("""COMPUTED_VALUE"""),"CUSA")</f>
        <v>CUSA</v>
      </c>
      <c r="P123" s="187">
        <f>IFERROR(__xludf.DUMMYFUNCTION("indeX(split(F123,""-""),1)-J123/100"),5.948)</f>
        <v>5.948</v>
      </c>
    </row>
    <row r="124">
      <c r="B124" t="str">
        <f>IFERROR(__xludf.DUMMYFUNCTION("""COMPUTED_VALUE"""),"0-0")</f>
        <v>0-0</v>
      </c>
      <c r="C124">
        <f>IFERROR(__xludf.DUMMYFUNCTION("""COMPUTED_VALUE"""),-12.8)</f>
        <v>-12.8</v>
      </c>
      <c r="D124">
        <f>IFERROR(__xludf.DUMMYFUNCTION("""COMPUTED_VALUE"""),120.0)</f>
        <v>120</v>
      </c>
      <c r="E124" t="str">
        <f>IFERROR(__xludf.DUMMYFUNCTION("""COMPUTED_VALUE"""),"--")</f>
        <v>--</v>
      </c>
      <c r="F124" t="str">
        <f>IFERROR(__xludf.DUMMYFUNCTION("""COMPUTED_VALUE"""),"5.6-6.6")</f>
        <v>5.6-6.6</v>
      </c>
      <c r="G124">
        <f>IFERROR(__xludf.DUMMYFUNCTION("""COMPUTED_VALUE"""),0.0)</f>
        <v>0</v>
      </c>
      <c r="H124">
        <f>IFERROR(__xludf.DUMMYFUNCTION("""COMPUTED_VALUE"""),50.0)</f>
        <v>50</v>
      </c>
      <c r="I124">
        <f>IFERROR(__xludf.DUMMYFUNCTION("""COMPUTED_VALUE"""),0.0)</f>
        <v>0</v>
      </c>
      <c r="J124">
        <f>IFERROR(__xludf.DUMMYFUNCTION("""COMPUTED_VALUE"""),4.5)</f>
        <v>4.5</v>
      </c>
      <c r="K124">
        <f>IFERROR(__xludf.DUMMYFUNCTION("""COMPUTED_VALUE"""),0.3)</f>
        <v>0.3</v>
      </c>
      <c r="L124">
        <f>IFERROR(__xludf.DUMMYFUNCTION("""COMPUTED_VALUE"""),0.0)</f>
        <v>0</v>
      </c>
      <c r="M124">
        <f>IFERROR(__xludf.DUMMYFUNCTION("""COMPUTED_VALUE"""),0.0)</f>
        <v>0</v>
      </c>
      <c r="N124" t="str">
        <f>IFERROR(__xludf.DUMMYFUNCTION("""COMPUTED_VALUE"""),"Central Michigan Chippewas")</f>
        <v>Central Michigan Chippewas</v>
      </c>
      <c r="O124" s="187" t="str">
        <f>IFERROR(__xludf.DUMMYFUNCTION("""COMPUTED_VALUE"""),"MAC")</f>
        <v>MAC</v>
      </c>
      <c r="P124" s="187">
        <f>IFERROR(__xludf.DUMMYFUNCTION("indeX(split(F124,""-""),1)-J124/100"),5.555)</f>
        <v>5.555</v>
      </c>
    </row>
    <row r="125">
      <c r="B125" t="str">
        <f>IFERROR(__xludf.DUMMYFUNCTION("""COMPUTED_VALUE"""),"0-0")</f>
        <v>0-0</v>
      </c>
      <c r="C125">
        <f>IFERROR(__xludf.DUMMYFUNCTION("""COMPUTED_VALUE"""),-13.1)</f>
        <v>-13.1</v>
      </c>
      <c r="D125">
        <f>IFERROR(__xludf.DUMMYFUNCTION("""COMPUTED_VALUE"""),121.0)</f>
        <v>121</v>
      </c>
      <c r="E125" t="str">
        <f>IFERROR(__xludf.DUMMYFUNCTION("""COMPUTED_VALUE"""),"--")</f>
        <v>--</v>
      </c>
      <c r="F125" t="str">
        <f>IFERROR(__xludf.DUMMYFUNCTION("""COMPUTED_VALUE"""),"5.4-6.6")</f>
        <v>5.4-6.6</v>
      </c>
      <c r="G125">
        <f>IFERROR(__xludf.DUMMYFUNCTION("""COMPUTED_VALUE"""),0.0)</f>
        <v>0</v>
      </c>
      <c r="H125">
        <f>IFERROR(__xludf.DUMMYFUNCTION("""COMPUTED_VALUE"""),46.8)</f>
        <v>46.8</v>
      </c>
      <c r="I125">
        <f>IFERROR(__xludf.DUMMYFUNCTION("""COMPUTED_VALUE"""),0.0)</f>
        <v>0</v>
      </c>
      <c r="J125">
        <f>IFERROR(__xludf.DUMMYFUNCTION("""COMPUTED_VALUE"""),2.3)</f>
        <v>2.3</v>
      </c>
      <c r="K125">
        <f>IFERROR(__xludf.DUMMYFUNCTION("""COMPUTED_VALUE"""),0.2)</f>
        <v>0.2</v>
      </c>
      <c r="L125">
        <f>IFERROR(__xludf.DUMMYFUNCTION("""COMPUTED_VALUE"""),0.0)</f>
        <v>0</v>
      </c>
      <c r="M125">
        <f>IFERROR(__xludf.DUMMYFUNCTION("""COMPUTED_VALUE"""),0.0)</f>
        <v>0</v>
      </c>
      <c r="N125" t="str">
        <f>IFERROR(__xludf.DUMMYFUNCTION("""COMPUTED_VALUE"""),"Wyoming Cowboys")</f>
        <v>Wyoming Cowboys</v>
      </c>
      <c r="O125" s="187" t="str">
        <f>IFERROR(__xludf.DUMMYFUNCTION("""COMPUTED_VALUE"""),"Mountain West")</f>
        <v>Mountain West</v>
      </c>
      <c r="P125" s="187">
        <f>IFERROR(__xludf.DUMMYFUNCTION("indeX(split(F125,""-""),1)-J125/100"),5.377000000000001)</f>
        <v>5.377</v>
      </c>
    </row>
    <row r="126">
      <c r="B126" t="str">
        <f>IFERROR(__xludf.DUMMYFUNCTION("""COMPUTED_VALUE"""),"0-0")</f>
        <v>0-0</v>
      </c>
      <c r="C126">
        <f>IFERROR(__xludf.DUMMYFUNCTION("""COMPUTED_VALUE"""),-13.4)</f>
        <v>-13.4</v>
      </c>
      <c r="D126">
        <f>IFERROR(__xludf.DUMMYFUNCTION("""COMPUTED_VALUE"""),122.0)</f>
        <v>122</v>
      </c>
      <c r="E126" t="str">
        <f>IFERROR(__xludf.DUMMYFUNCTION("""COMPUTED_VALUE"""),"--")</f>
        <v>--</v>
      </c>
      <c r="F126" t="str">
        <f>IFERROR(__xludf.DUMMYFUNCTION("""COMPUTED_VALUE"""),"4.0-8.0")</f>
        <v>4.0-8.0</v>
      </c>
      <c r="G126">
        <f>IFERROR(__xludf.DUMMYFUNCTION("""COMPUTED_VALUE"""),0.0)</f>
        <v>0</v>
      </c>
      <c r="H126">
        <f>IFERROR(__xludf.DUMMYFUNCTION("""COMPUTED_VALUE"""),21.4)</f>
        <v>21.4</v>
      </c>
      <c r="I126">
        <f>IFERROR(__xludf.DUMMYFUNCTION("""COMPUTED_VALUE"""),0.0)</f>
        <v>0</v>
      </c>
      <c r="J126">
        <f>IFERROR(__xludf.DUMMYFUNCTION("""COMPUTED_VALUE"""),0.5)</f>
        <v>0.5</v>
      </c>
      <c r="K126">
        <f>IFERROR(__xludf.DUMMYFUNCTION("""COMPUTED_VALUE"""),0.1)</f>
        <v>0.1</v>
      </c>
      <c r="L126">
        <f>IFERROR(__xludf.DUMMYFUNCTION("""COMPUTED_VALUE"""),0.0)</f>
        <v>0</v>
      </c>
      <c r="M126">
        <f>IFERROR(__xludf.DUMMYFUNCTION("""COMPUTED_VALUE"""),0.0)</f>
        <v>0</v>
      </c>
      <c r="N126" t="str">
        <f>IFERROR(__xludf.DUMMYFUNCTION("""COMPUTED_VALUE"""),"Rice Owls")</f>
        <v>Rice Owls</v>
      </c>
      <c r="O126" s="187" t="str">
        <f>IFERROR(__xludf.DUMMYFUNCTION("""COMPUTED_VALUE"""),"American")</f>
        <v>American</v>
      </c>
      <c r="P126" s="187">
        <f>IFERROR(__xludf.DUMMYFUNCTION("indeX(split(F126,""-""),1)-J126/100"),3.995)</f>
        <v>3.995</v>
      </c>
    </row>
    <row r="127">
      <c r="B127" t="str">
        <f>IFERROR(__xludf.DUMMYFUNCTION("""COMPUTED_VALUE"""),"0-0")</f>
        <v>0-0</v>
      </c>
      <c r="C127">
        <f>IFERROR(__xludf.DUMMYFUNCTION("""COMPUTED_VALUE"""),-13.7)</f>
        <v>-13.7</v>
      </c>
      <c r="D127">
        <f>IFERROR(__xludf.DUMMYFUNCTION("""COMPUTED_VALUE"""),123.0)</f>
        <v>123</v>
      </c>
      <c r="E127" t="str">
        <f>IFERROR(__xludf.DUMMYFUNCTION("""COMPUTED_VALUE"""),"--")</f>
        <v>--</v>
      </c>
      <c r="F127" t="str">
        <f>IFERROR(__xludf.DUMMYFUNCTION("""COMPUTED_VALUE"""),"4.7-7.4")</f>
        <v>4.7-7.4</v>
      </c>
      <c r="G127">
        <f>IFERROR(__xludf.DUMMYFUNCTION("""COMPUTED_VALUE"""),0.0)</f>
        <v>0</v>
      </c>
      <c r="H127">
        <f>IFERROR(__xludf.DUMMYFUNCTION("""COMPUTED_VALUE"""),33.2)</f>
        <v>33.2</v>
      </c>
      <c r="I127">
        <f>IFERROR(__xludf.DUMMYFUNCTION("""COMPUTED_VALUE"""),0.0)</f>
        <v>0</v>
      </c>
      <c r="J127">
        <f>IFERROR(__xludf.DUMMYFUNCTION("""COMPUTED_VALUE"""),3.0)</f>
        <v>3</v>
      </c>
      <c r="K127">
        <f>IFERROR(__xludf.DUMMYFUNCTION("""COMPUTED_VALUE"""),0.1)</f>
        <v>0.1</v>
      </c>
      <c r="L127">
        <f>IFERROR(__xludf.DUMMYFUNCTION("""COMPUTED_VALUE"""),0.0)</f>
        <v>0</v>
      </c>
      <c r="M127">
        <f>IFERROR(__xludf.DUMMYFUNCTION("""COMPUTED_VALUE"""),0.0)</f>
        <v>0</v>
      </c>
      <c r="N127" t="str">
        <f>IFERROR(__xludf.DUMMYFUNCTION("""COMPUTED_VALUE"""),"Bowling Green Falcons")</f>
        <v>Bowling Green Falcons</v>
      </c>
      <c r="O127" s="187" t="str">
        <f>IFERROR(__xludf.DUMMYFUNCTION("""COMPUTED_VALUE"""),"MAC")</f>
        <v>MAC</v>
      </c>
      <c r="P127" s="187">
        <f>IFERROR(__xludf.DUMMYFUNCTION("indeX(split(F127,""-""),1)-J127/100"),4.67)</f>
        <v>4.67</v>
      </c>
    </row>
    <row r="128">
      <c r="B128" t="str">
        <f>IFERROR(__xludf.DUMMYFUNCTION("""COMPUTED_VALUE"""),"0-0")</f>
        <v>0-0</v>
      </c>
      <c r="C128">
        <f>IFERROR(__xludf.DUMMYFUNCTION("""COMPUTED_VALUE"""),-14.3)</f>
        <v>-14.3</v>
      </c>
      <c r="D128">
        <f>IFERROR(__xludf.DUMMYFUNCTION("""COMPUTED_VALUE"""),124.0)</f>
        <v>124</v>
      </c>
      <c r="E128" t="str">
        <f>IFERROR(__xludf.DUMMYFUNCTION("""COMPUTED_VALUE"""),"--")</f>
        <v>--</v>
      </c>
      <c r="F128" t="str">
        <f>IFERROR(__xludf.DUMMYFUNCTION("""COMPUTED_VALUE"""),"5.0-8.0")</f>
        <v>5.0-8.0</v>
      </c>
      <c r="G128">
        <f>IFERROR(__xludf.DUMMYFUNCTION("""COMPUTED_VALUE"""),0.0)</f>
        <v>0</v>
      </c>
      <c r="H128">
        <f>IFERROR(__xludf.DUMMYFUNCTION("""COMPUTED_VALUE"""),39.8)</f>
        <v>39.8</v>
      </c>
      <c r="I128">
        <f>IFERROR(__xludf.DUMMYFUNCTION("""COMPUTED_VALUE"""),0.0)</f>
        <v>0</v>
      </c>
      <c r="J128">
        <f>IFERROR(__xludf.DUMMYFUNCTION("""COMPUTED_VALUE"""),2.1)</f>
        <v>2.1</v>
      </c>
      <c r="K128">
        <f>IFERROR(__xludf.DUMMYFUNCTION("""COMPUTED_VALUE"""),0.1)</f>
        <v>0.1</v>
      </c>
      <c r="L128">
        <f>IFERROR(__xludf.DUMMYFUNCTION("""COMPUTED_VALUE"""),0.0)</f>
        <v>0</v>
      </c>
      <c r="M128">
        <f>IFERROR(__xludf.DUMMYFUNCTION("""COMPUTED_VALUE"""),0.0)</f>
        <v>0</v>
      </c>
      <c r="N128" t="str">
        <f>IFERROR(__xludf.DUMMYFUNCTION("""COMPUTED_VALUE"""),"San José State Spartans")</f>
        <v>San José State Spartans</v>
      </c>
      <c r="O128" s="187" t="str">
        <f>IFERROR(__xludf.DUMMYFUNCTION("""COMPUTED_VALUE"""),"Mountain West")</f>
        <v>Mountain West</v>
      </c>
      <c r="P128" s="187">
        <f>IFERROR(__xludf.DUMMYFUNCTION("indeX(split(F128,""-""),1)-J128/100"),4.979)</f>
        <v>4.979</v>
      </c>
    </row>
    <row r="129">
      <c r="B129" t="str">
        <f>IFERROR(__xludf.DUMMYFUNCTION("""COMPUTED_VALUE"""),"0-0")</f>
        <v>0-0</v>
      </c>
      <c r="C129">
        <f>IFERROR(__xludf.DUMMYFUNCTION("""COMPUTED_VALUE"""),-14.5)</f>
        <v>-14.5</v>
      </c>
      <c r="D129">
        <f>IFERROR(__xludf.DUMMYFUNCTION("""COMPUTED_VALUE"""),125.0)</f>
        <v>125</v>
      </c>
      <c r="E129" t="str">
        <f>IFERROR(__xludf.DUMMYFUNCTION("""COMPUTED_VALUE"""),"--")</f>
        <v>--</v>
      </c>
      <c r="F129" t="str">
        <f>IFERROR(__xludf.DUMMYFUNCTION("""COMPUTED_VALUE"""),"4.3-7.8")</f>
        <v>4.3-7.8</v>
      </c>
      <c r="G129">
        <f>IFERROR(__xludf.DUMMYFUNCTION("""COMPUTED_VALUE"""),0.0)</f>
        <v>0</v>
      </c>
      <c r="H129">
        <f>IFERROR(__xludf.DUMMYFUNCTION("""COMPUTED_VALUE"""),26.8)</f>
        <v>26.8</v>
      </c>
      <c r="I129">
        <f>IFERROR(__xludf.DUMMYFUNCTION("""COMPUTED_VALUE"""),0.0)</f>
        <v>0</v>
      </c>
      <c r="J129">
        <f>IFERROR(__xludf.DUMMYFUNCTION("""COMPUTED_VALUE"""),1.6)</f>
        <v>1.6</v>
      </c>
      <c r="K129">
        <f>IFERROR(__xludf.DUMMYFUNCTION("""COMPUTED_VALUE"""),0.1)</f>
        <v>0.1</v>
      </c>
      <c r="L129">
        <f>IFERROR(__xludf.DUMMYFUNCTION("""COMPUTED_VALUE"""),0.0)</f>
        <v>0</v>
      </c>
      <c r="M129">
        <f>IFERROR(__xludf.DUMMYFUNCTION("""COMPUTED_VALUE"""),0.0)</f>
        <v>0</v>
      </c>
      <c r="N129" t="str">
        <f>IFERROR(__xludf.DUMMYFUNCTION("""COMPUTED_VALUE"""),"Northern Illinois Huskies")</f>
        <v>Northern Illinois Huskies</v>
      </c>
      <c r="O129" s="187" t="str">
        <f>IFERROR(__xludf.DUMMYFUNCTION("""COMPUTED_VALUE"""),"Mountain West")</f>
        <v>Mountain West</v>
      </c>
      <c r="P129" s="187">
        <f>IFERROR(__xludf.DUMMYFUNCTION("indeX(split(F129,""-""),1)-J129/100"),4.284)</f>
        <v>4.284</v>
      </c>
    </row>
    <row r="130">
      <c r="B130" t="str">
        <f>IFERROR(__xludf.DUMMYFUNCTION("""COMPUTED_VALUE"""),"0-0")</f>
        <v>0-0</v>
      </c>
      <c r="C130">
        <f>IFERROR(__xludf.DUMMYFUNCTION("""COMPUTED_VALUE"""),-14.6)</f>
        <v>-14.6</v>
      </c>
      <c r="D130">
        <f>IFERROR(__xludf.DUMMYFUNCTION("""COMPUTED_VALUE"""),126.0)</f>
        <v>126</v>
      </c>
      <c r="E130" t="str">
        <f>IFERROR(__xludf.DUMMYFUNCTION("""COMPUTED_VALUE"""),"--")</f>
        <v>--</v>
      </c>
      <c r="F130" t="str">
        <f>IFERROR(__xludf.DUMMYFUNCTION("""COMPUTED_VALUE"""),"3.9-8.1")</f>
        <v>3.9-8.1</v>
      </c>
      <c r="G130">
        <f>IFERROR(__xludf.DUMMYFUNCTION("""COMPUTED_VALUE"""),0.0)</f>
        <v>0</v>
      </c>
      <c r="H130">
        <f>IFERROR(__xludf.DUMMYFUNCTION("""COMPUTED_VALUE"""),20.1)</f>
        <v>20.1</v>
      </c>
      <c r="I130">
        <f>IFERROR(__xludf.DUMMYFUNCTION("""COMPUTED_VALUE"""),0.0)</f>
        <v>0</v>
      </c>
      <c r="J130">
        <f>IFERROR(__xludf.DUMMYFUNCTION("""COMPUTED_VALUE"""),0.4)</f>
        <v>0.4</v>
      </c>
      <c r="K130">
        <f>IFERROR(__xludf.DUMMYFUNCTION("""COMPUTED_VALUE"""),0.1)</f>
        <v>0.1</v>
      </c>
      <c r="L130">
        <f>IFERROR(__xludf.DUMMYFUNCTION("""COMPUTED_VALUE"""),0.0)</f>
        <v>0</v>
      </c>
      <c r="M130">
        <f>IFERROR(__xludf.DUMMYFUNCTION("""COMPUTED_VALUE"""),0.0)</f>
        <v>0</v>
      </c>
      <c r="N130" t="str">
        <f>IFERROR(__xludf.DUMMYFUNCTION("""COMPUTED_VALUE"""),"Charlotte 49ers")</f>
        <v>Charlotte 49ers</v>
      </c>
      <c r="O130" s="187" t="str">
        <f>IFERROR(__xludf.DUMMYFUNCTION("""COMPUTED_VALUE"""),"American")</f>
        <v>American</v>
      </c>
      <c r="P130" s="187">
        <f>IFERROR(__xludf.DUMMYFUNCTION("indeX(split(F130,""-""),1)-J130/100"),3.896)</f>
        <v>3.896</v>
      </c>
    </row>
    <row r="131">
      <c r="B131" t="str">
        <f>IFERROR(__xludf.DUMMYFUNCTION("""COMPUTED_VALUE"""),"0-0")</f>
        <v>0-0</v>
      </c>
      <c r="C131">
        <f>IFERROR(__xludf.DUMMYFUNCTION("""COMPUTED_VALUE"""),-15.2)</f>
        <v>-15.2</v>
      </c>
      <c r="D131">
        <f>IFERROR(__xludf.DUMMYFUNCTION("""COMPUTED_VALUE"""),127.0)</f>
        <v>127</v>
      </c>
      <c r="E131" t="str">
        <f>IFERROR(__xludf.DUMMYFUNCTION("""COMPUTED_VALUE"""),"--")</f>
        <v>--</v>
      </c>
      <c r="F131" t="str">
        <f>IFERROR(__xludf.DUMMYFUNCTION("""COMPUTED_VALUE"""),"4.6-7.5")</f>
        <v>4.6-7.5</v>
      </c>
      <c r="G131">
        <f>IFERROR(__xludf.DUMMYFUNCTION("""COMPUTED_VALUE"""),0.0)</f>
        <v>0</v>
      </c>
      <c r="H131">
        <f>IFERROR(__xludf.DUMMYFUNCTION("""COMPUTED_VALUE"""),30.6)</f>
        <v>30.6</v>
      </c>
      <c r="I131">
        <f>IFERROR(__xludf.DUMMYFUNCTION("""COMPUTED_VALUE"""),2.8)</f>
        <v>2.8</v>
      </c>
      <c r="J131">
        <f>IFERROR(__xludf.DUMMYFUNCTION("""COMPUTED_VALUE"""),1.1)</f>
        <v>1.1</v>
      </c>
      <c r="K131">
        <f>IFERROR(__xludf.DUMMYFUNCTION("""COMPUTED_VALUE"""),0.1)</f>
        <v>0.1</v>
      </c>
      <c r="L131">
        <f>IFERROR(__xludf.DUMMYFUNCTION("""COMPUTED_VALUE"""),0.0)</f>
        <v>0</v>
      </c>
      <c r="M131">
        <f>IFERROR(__xludf.DUMMYFUNCTION("""COMPUTED_VALUE"""),0.0)</f>
        <v>0</v>
      </c>
      <c r="N131" t="str">
        <f>IFERROR(__xludf.DUMMYFUNCTION("""COMPUTED_VALUE"""),"Georgia State Panthers")</f>
        <v>Georgia State Panthers</v>
      </c>
      <c r="O131" s="187" t="str">
        <f>IFERROR(__xludf.DUMMYFUNCTION("""COMPUTED_VALUE"""),"Sun Belt")</f>
        <v>Sun Belt</v>
      </c>
      <c r="P131" s="187">
        <f>IFERROR(__xludf.DUMMYFUNCTION("indeX(split(F131,""-""),1)-J131/100"),4.5889999999999995)</f>
        <v>4.589</v>
      </c>
    </row>
    <row r="132">
      <c r="B132" t="str">
        <f>IFERROR(__xludf.DUMMYFUNCTION("""COMPUTED_VALUE"""),"0-0")</f>
        <v>0-0</v>
      </c>
      <c r="C132">
        <f>IFERROR(__xludf.DUMMYFUNCTION("""COMPUTED_VALUE"""),-15.5)</f>
        <v>-15.5</v>
      </c>
      <c r="D132">
        <f>IFERROR(__xludf.DUMMYFUNCTION("""COMPUTED_VALUE"""),128.0)</f>
        <v>128</v>
      </c>
      <c r="E132" t="str">
        <f>IFERROR(__xludf.DUMMYFUNCTION("""COMPUTED_VALUE"""),"--")</f>
        <v>--</v>
      </c>
      <c r="F132" t="str">
        <f>IFERROR(__xludf.DUMMYFUNCTION("""COMPUTED_VALUE"""),"4.0-8.0")</f>
        <v>4.0-8.0</v>
      </c>
      <c r="G132">
        <f>IFERROR(__xludf.DUMMYFUNCTION("""COMPUTED_VALUE"""),0.0)</f>
        <v>0</v>
      </c>
      <c r="H132">
        <f>IFERROR(__xludf.DUMMYFUNCTION("""COMPUTED_VALUE"""),20.5)</f>
        <v>20.5</v>
      </c>
      <c r="I132">
        <f>IFERROR(__xludf.DUMMYFUNCTION("""COMPUTED_VALUE"""),0.0)</f>
        <v>0</v>
      </c>
      <c r="J132">
        <f>IFERROR(__xludf.DUMMYFUNCTION("""COMPUTED_VALUE"""),0.3)</f>
        <v>0.3</v>
      </c>
      <c r="K132">
        <f>IFERROR(__xludf.DUMMYFUNCTION("""COMPUTED_VALUE"""),0.0)</f>
        <v>0</v>
      </c>
      <c r="L132">
        <f>IFERROR(__xludf.DUMMYFUNCTION("""COMPUTED_VALUE"""),0.0)</f>
        <v>0</v>
      </c>
      <c r="M132">
        <f>IFERROR(__xludf.DUMMYFUNCTION("""COMPUTED_VALUE"""),0.0)</f>
        <v>0</v>
      </c>
      <c r="N132" t="str">
        <f>IFERROR(__xludf.DUMMYFUNCTION("""COMPUTED_VALUE"""),"UAB Blazers")</f>
        <v>UAB Blazers</v>
      </c>
      <c r="O132" s="187" t="str">
        <f>IFERROR(__xludf.DUMMYFUNCTION("""COMPUTED_VALUE"""),"American")</f>
        <v>American</v>
      </c>
      <c r="P132" s="187">
        <f>IFERROR(__xludf.DUMMYFUNCTION("indeX(split(F132,""-""),1)-J132/100"),3.997)</f>
        <v>3.997</v>
      </c>
    </row>
    <row r="133">
      <c r="B133" t="str">
        <f>IFERROR(__xludf.DUMMYFUNCTION("""COMPUTED_VALUE"""),"0-0")</f>
        <v>0-0</v>
      </c>
      <c r="C133">
        <f>IFERROR(__xludf.DUMMYFUNCTION("""COMPUTED_VALUE"""),-15.7)</f>
        <v>-15.7</v>
      </c>
      <c r="D133">
        <f>IFERROR(__xludf.DUMMYFUNCTION("""COMPUTED_VALUE"""),129.0)</f>
        <v>129</v>
      </c>
      <c r="E133" t="str">
        <f>IFERROR(__xludf.DUMMYFUNCTION("""COMPUTED_VALUE"""),"--")</f>
        <v>--</v>
      </c>
      <c r="F133" t="str">
        <f>IFERROR(__xludf.DUMMYFUNCTION("""COMPUTED_VALUE"""),"4.4-7.6")</f>
        <v>4.4-7.6</v>
      </c>
      <c r="G133">
        <f>IFERROR(__xludf.DUMMYFUNCTION("""COMPUTED_VALUE"""),0.0)</f>
        <v>0</v>
      </c>
      <c r="H133">
        <f>IFERROR(__xludf.DUMMYFUNCTION("""COMPUTED_VALUE"""),28.6)</f>
        <v>28.6</v>
      </c>
      <c r="I133">
        <f>IFERROR(__xludf.DUMMYFUNCTION("""COMPUTED_VALUE"""),0.0)</f>
        <v>0</v>
      </c>
      <c r="J133">
        <f>IFERROR(__xludf.DUMMYFUNCTION("""COMPUTED_VALUE"""),2.8)</f>
        <v>2.8</v>
      </c>
      <c r="K133">
        <f>IFERROR(__xludf.DUMMYFUNCTION("""COMPUTED_VALUE"""),0.1)</f>
        <v>0.1</v>
      </c>
      <c r="L133">
        <f>IFERROR(__xludf.DUMMYFUNCTION("""COMPUTED_VALUE"""),0.0)</f>
        <v>0</v>
      </c>
      <c r="M133">
        <f>IFERROR(__xludf.DUMMYFUNCTION("""COMPUTED_VALUE"""),0.0)</f>
        <v>0</v>
      </c>
      <c r="N133" t="str">
        <f>IFERROR(__xludf.DUMMYFUNCTION("""COMPUTED_VALUE"""),"New Mexico State Aggies")</f>
        <v>New Mexico State Aggies</v>
      </c>
      <c r="O133" s="187" t="str">
        <f>IFERROR(__xludf.DUMMYFUNCTION("""COMPUTED_VALUE"""),"CUSA")</f>
        <v>CUSA</v>
      </c>
      <c r="P133" s="187">
        <f>IFERROR(__xludf.DUMMYFUNCTION("indeX(split(F133,""-""),1)-J133/100"),4.372000000000001)</f>
        <v>4.372</v>
      </c>
    </row>
    <row r="134">
      <c r="B134" t="str">
        <f>IFERROR(__xludf.DUMMYFUNCTION("""COMPUTED_VALUE"""),"0-0")</f>
        <v>0-0</v>
      </c>
      <c r="C134">
        <f>IFERROR(__xludf.DUMMYFUNCTION("""COMPUTED_VALUE"""),-16.1)</f>
        <v>-16.1</v>
      </c>
      <c r="D134">
        <f>IFERROR(__xludf.DUMMYFUNCTION("""COMPUTED_VALUE"""),130.0)</f>
        <v>130</v>
      </c>
      <c r="E134" t="str">
        <f>IFERROR(__xludf.DUMMYFUNCTION("""COMPUTED_VALUE"""),"--")</f>
        <v>--</v>
      </c>
      <c r="F134" t="str">
        <f>IFERROR(__xludf.DUMMYFUNCTION("""COMPUTED_VALUE"""),"4.7-7.4")</f>
        <v>4.7-7.4</v>
      </c>
      <c r="G134">
        <f>IFERROR(__xludf.DUMMYFUNCTION("""COMPUTED_VALUE"""),0.0)</f>
        <v>0</v>
      </c>
      <c r="H134">
        <f>IFERROR(__xludf.DUMMYFUNCTION("""COMPUTED_VALUE"""),33.6)</f>
        <v>33.6</v>
      </c>
      <c r="I134">
        <f>IFERROR(__xludf.DUMMYFUNCTION("""COMPUTED_VALUE"""),0.0)</f>
        <v>0</v>
      </c>
      <c r="J134">
        <f>IFERROR(__xludf.DUMMYFUNCTION("""COMPUTED_VALUE"""),2.3)</f>
        <v>2.3</v>
      </c>
      <c r="K134">
        <f>IFERROR(__xludf.DUMMYFUNCTION("""COMPUTED_VALUE"""),0.1)</f>
        <v>0.1</v>
      </c>
      <c r="L134">
        <f>IFERROR(__xludf.DUMMYFUNCTION("""COMPUTED_VALUE"""),0.0)</f>
        <v>0</v>
      </c>
      <c r="M134">
        <f>IFERROR(__xludf.DUMMYFUNCTION("""COMPUTED_VALUE"""),0.0)</f>
        <v>0</v>
      </c>
      <c r="N134" t="str">
        <f>IFERROR(__xludf.DUMMYFUNCTION("""COMPUTED_VALUE"""),"Middle Tennessee Blue Raiders")</f>
        <v>Middle Tennessee Blue Raiders</v>
      </c>
      <c r="O134" s="187" t="str">
        <f>IFERROR(__xludf.DUMMYFUNCTION("""COMPUTED_VALUE"""),"CUSA")</f>
        <v>CUSA</v>
      </c>
      <c r="P134" s="187">
        <f>IFERROR(__xludf.DUMMYFUNCTION("indeX(split(F134,""-""),1)-J134/100"),4.6770000000000005)</f>
        <v>4.677</v>
      </c>
    </row>
    <row r="135">
      <c r="B135" t="str">
        <f>IFERROR(__xludf.DUMMYFUNCTION("""COMPUTED_VALUE"""),"0-0")</f>
        <v>0-0</v>
      </c>
      <c r="C135">
        <f>IFERROR(__xludf.DUMMYFUNCTION("""COMPUTED_VALUE"""),-16.3)</f>
        <v>-16.3</v>
      </c>
      <c r="D135">
        <f>IFERROR(__xludf.DUMMYFUNCTION("""COMPUTED_VALUE"""),131.0)</f>
        <v>131</v>
      </c>
      <c r="E135" t="str">
        <f>IFERROR(__xludf.DUMMYFUNCTION("""COMPUTED_VALUE"""),"--")</f>
        <v>--</v>
      </c>
      <c r="F135" t="str">
        <f>IFERROR(__xludf.DUMMYFUNCTION("""COMPUTED_VALUE"""),"4.8-7.3")</f>
        <v>4.8-7.3</v>
      </c>
      <c r="G135">
        <f>IFERROR(__xludf.DUMMYFUNCTION("""COMPUTED_VALUE"""),0.0)</f>
        <v>0</v>
      </c>
      <c r="H135">
        <f>IFERROR(__xludf.DUMMYFUNCTION("""COMPUTED_VALUE"""),34.8)</f>
        <v>34.8</v>
      </c>
      <c r="I135">
        <f>IFERROR(__xludf.DUMMYFUNCTION("""COMPUTED_VALUE"""),0.0)</f>
        <v>0</v>
      </c>
      <c r="J135">
        <f>IFERROR(__xludf.DUMMYFUNCTION("""COMPUTED_VALUE"""),1.6)</f>
        <v>1.6</v>
      </c>
      <c r="K135">
        <f>IFERROR(__xludf.DUMMYFUNCTION("""COMPUTED_VALUE"""),0.1)</f>
        <v>0.1</v>
      </c>
      <c r="L135">
        <f>IFERROR(__xludf.DUMMYFUNCTION("""COMPUTED_VALUE"""),0.0)</f>
        <v>0</v>
      </c>
      <c r="M135">
        <f>IFERROR(__xludf.DUMMYFUNCTION("""COMPUTED_VALUE"""),0.0)</f>
        <v>0</v>
      </c>
      <c r="N135" t="str">
        <f>IFERROR(__xludf.DUMMYFUNCTION("""COMPUTED_VALUE"""),"Eastern Michigan Eagles")</f>
        <v>Eastern Michigan Eagles</v>
      </c>
      <c r="O135" t="str">
        <f>IFERROR(__xludf.DUMMYFUNCTION("""COMPUTED_VALUE"""),"MAC")</f>
        <v>MAC</v>
      </c>
      <c r="P135" s="187">
        <f>IFERROR(__xludf.DUMMYFUNCTION("indeX(split(F135,""-""),1)-J135/100"),4.784)</f>
        <v>4.784</v>
      </c>
    </row>
    <row r="136">
      <c r="B136" t="str">
        <f>IFERROR(__xludf.DUMMYFUNCTION("""COMPUTED_VALUE"""),"0-0")</f>
        <v>0-0</v>
      </c>
      <c r="C136">
        <f>IFERROR(__xludf.DUMMYFUNCTION("""COMPUTED_VALUE"""),-16.6)</f>
        <v>-16.6</v>
      </c>
      <c r="D136">
        <f>IFERROR(__xludf.DUMMYFUNCTION("""COMPUTED_VALUE"""),132.0)</f>
        <v>132</v>
      </c>
      <c r="E136" t="str">
        <f>IFERROR(__xludf.DUMMYFUNCTION("""COMPUTED_VALUE"""),"--")</f>
        <v>--</v>
      </c>
      <c r="F136" t="str">
        <f>IFERROR(__xludf.DUMMYFUNCTION("""COMPUTED_VALUE"""),"4.1-8.0")</f>
        <v>4.1-8.0</v>
      </c>
      <c r="G136">
        <f>IFERROR(__xludf.DUMMYFUNCTION("""COMPUTED_VALUE"""),0.0)</f>
        <v>0</v>
      </c>
      <c r="H136">
        <f>IFERROR(__xludf.DUMMYFUNCTION("""COMPUTED_VALUE"""),21.7)</f>
        <v>21.7</v>
      </c>
      <c r="I136">
        <f>IFERROR(__xludf.DUMMYFUNCTION("""COMPUTED_VALUE"""),0.0)</f>
        <v>0</v>
      </c>
      <c r="J136">
        <f>IFERROR(__xludf.DUMMYFUNCTION("""COMPUTED_VALUE"""),0.9)</f>
        <v>0.9</v>
      </c>
      <c r="K136">
        <f>IFERROR(__xludf.DUMMYFUNCTION("""COMPUTED_VALUE"""),0.0)</f>
        <v>0</v>
      </c>
      <c r="L136">
        <f>IFERROR(__xludf.DUMMYFUNCTION("""COMPUTED_VALUE"""),0.0)</f>
        <v>0</v>
      </c>
      <c r="M136">
        <f>IFERROR(__xludf.DUMMYFUNCTION("""COMPUTED_VALUE"""),0.0)</f>
        <v>0</v>
      </c>
      <c r="N136" t="str">
        <f>IFERROR(__xludf.DUMMYFUNCTION("""COMPUTED_VALUE"""),"UTEP Miners")</f>
        <v>UTEP Miners</v>
      </c>
      <c r="O136" t="str">
        <f>IFERROR(__xludf.DUMMYFUNCTION("""COMPUTED_VALUE"""),"Mountain West")</f>
        <v>Mountain West</v>
      </c>
    </row>
    <row r="137">
      <c r="B137" t="str">
        <f>IFERROR(__xludf.DUMMYFUNCTION("""COMPUTED_VALUE"""),"0-0")</f>
        <v>0-0</v>
      </c>
      <c r="C137">
        <f>IFERROR(__xludf.DUMMYFUNCTION("""COMPUTED_VALUE"""),-16.9)</f>
        <v>-16.9</v>
      </c>
      <c r="D137">
        <f>IFERROR(__xludf.DUMMYFUNCTION("""COMPUTED_VALUE"""),133.0)</f>
        <v>133</v>
      </c>
      <c r="E137" t="str">
        <f>IFERROR(__xludf.DUMMYFUNCTION("""COMPUTED_VALUE"""),"--")</f>
        <v>--</v>
      </c>
      <c r="F137" t="str">
        <f>IFERROR(__xludf.DUMMYFUNCTION("""COMPUTED_VALUE"""),"4.4-7.7")</f>
        <v>4.4-7.7</v>
      </c>
      <c r="G137">
        <f>IFERROR(__xludf.DUMMYFUNCTION("""COMPUTED_VALUE"""),0.0)</f>
        <v>0</v>
      </c>
      <c r="H137">
        <f>IFERROR(__xludf.DUMMYFUNCTION("""COMPUTED_VALUE"""),26.9)</f>
        <v>26.9</v>
      </c>
      <c r="I137">
        <f>IFERROR(__xludf.DUMMYFUNCTION("""COMPUTED_VALUE"""),0.0)</f>
        <v>0</v>
      </c>
      <c r="J137">
        <f>IFERROR(__xludf.DUMMYFUNCTION("""COMPUTED_VALUE"""),1.6)</f>
        <v>1.6</v>
      </c>
      <c r="K137">
        <f>IFERROR(__xludf.DUMMYFUNCTION("""COMPUTED_VALUE"""),0.0)</f>
        <v>0</v>
      </c>
      <c r="L137">
        <f>IFERROR(__xludf.DUMMYFUNCTION("""COMPUTED_VALUE"""),0.0)</f>
        <v>0</v>
      </c>
      <c r="M137">
        <f>IFERROR(__xludf.DUMMYFUNCTION("""COMPUTED_VALUE"""),0.0)</f>
        <v>0</v>
      </c>
      <c r="N137" t="str">
        <f>IFERROR(__xludf.DUMMYFUNCTION("""COMPUTED_VALUE"""),"Akron Zips")</f>
        <v>Akron Zips</v>
      </c>
      <c r="O137" t="str">
        <f>IFERROR(__xludf.DUMMYFUNCTION("""COMPUTED_VALUE"""),"MAC")</f>
        <v>MAC</v>
      </c>
    </row>
    <row r="138">
      <c r="B138" t="str">
        <f>IFERROR(__xludf.DUMMYFUNCTION("""COMPUTED_VALUE"""),"0-0")</f>
        <v>0-0</v>
      </c>
      <c r="C138">
        <f>IFERROR(__xludf.DUMMYFUNCTION("""COMPUTED_VALUE"""),-17.3)</f>
        <v>-17.3</v>
      </c>
      <c r="D138">
        <f>IFERROR(__xludf.DUMMYFUNCTION("""COMPUTED_VALUE"""),134.0)</f>
        <v>134</v>
      </c>
      <c r="E138" t="str">
        <f>IFERROR(__xludf.DUMMYFUNCTION("""COMPUTED_VALUE"""),"--")</f>
        <v>--</v>
      </c>
      <c r="F138" t="str">
        <f>IFERROR(__xludf.DUMMYFUNCTION("""COMPUTED_VALUE"""),"4.2-7.8")</f>
        <v>4.2-7.8</v>
      </c>
      <c r="G138">
        <f>IFERROR(__xludf.DUMMYFUNCTION("""COMPUTED_VALUE"""),0.0)</f>
        <v>0</v>
      </c>
      <c r="H138">
        <f>IFERROR(__xludf.DUMMYFUNCTION("""COMPUTED_VALUE"""),25.3)</f>
        <v>25.3</v>
      </c>
      <c r="I138">
        <f>IFERROR(__xludf.DUMMYFUNCTION("""COMPUTED_VALUE"""),0.0)</f>
        <v>0</v>
      </c>
      <c r="J138">
        <f>IFERROR(__xludf.DUMMYFUNCTION("""COMPUTED_VALUE"""),1.3)</f>
        <v>1.3</v>
      </c>
      <c r="K138">
        <f>IFERROR(__xludf.DUMMYFUNCTION("""COMPUTED_VALUE"""),0.1)</f>
        <v>0.1</v>
      </c>
      <c r="L138">
        <f>IFERROR(__xludf.DUMMYFUNCTION("""COMPUTED_VALUE"""),0.0)</f>
        <v>0</v>
      </c>
      <c r="M138">
        <f>IFERROR(__xludf.DUMMYFUNCTION("""COMPUTED_VALUE"""),0.0)</f>
        <v>0</v>
      </c>
      <c r="N138" t="str">
        <f>IFERROR(__xludf.DUMMYFUNCTION("""COMPUTED_VALUE"""),"Ball State Cardinals")</f>
        <v>Ball State Cardinals</v>
      </c>
      <c r="O138" t="str">
        <f>IFERROR(__xludf.DUMMYFUNCTION("""COMPUTED_VALUE"""),"MAC")</f>
        <v>MAC</v>
      </c>
    </row>
    <row r="139">
      <c r="B139" t="str">
        <f>IFERROR(__xludf.DUMMYFUNCTION("""COMPUTED_VALUE"""),"0-0")</f>
        <v>0-0</v>
      </c>
      <c r="C139">
        <f>IFERROR(__xludf.DUMMYFUNCTION("""COMPUTED_VALUE"""),-17.9)</f>
        <v>-17.9</v>
      </c>
      <c r="D139">
        <f>IFERROR(__xludf.DUMMYFUNCTION("""COMPUTED_VALUE"""),135.0)</f>
        <v>135</v>
      </c>
      <c r="E139" t="str">
        <f>IFERROR(__xludf.DUMMYFUNCTION("""COMPUTED_VALUE"""),"--")</f>
        <v>--</v>
      </c>
      <c r="F139" t="str">
        <f>IFERROR(__xludf.DUMMYFUNCTION("""COMPUTED_VALUE"""),"3.8-8.3")</f>
        <v>3.8-8.3</v>
      </c>
      <c r="G139">
        <f>IFERROR(__xludf.DUMMYFUNCTION("""COMPUTED_VALUE"""),0.0)</f>
        <v>0</v>
      </c>
      <c r="H139">
        <f>IFERROR(__xludf.DUMMYFUNCTION("""COMPUTED_VALUE"""),17.4)</f>
        <v>17.4</v>
      </c>
      <c r="I139">
        <f>IFERROR(__xludf.DUMMYFUNCTION("""COMPUTED_VALUE"""),0.0)</f>
        <v>0</v>
      </c>
      <c r="J139">
        <f>IFERROR(__xludf.DUMMYFUNCTION("""COMPUTED_VALUE"""),0.9)</f>
        <v>0.9</v>
      </c>
      <c r="K139">
        <f>IFERROR(__xludf.DUMMYFUNCTION("""COMPUTED_VALUE"""),0.0)</f>
        <v>0</v>
      </c>
      <c r="L139">
        <f>IFERROR(__xludf.DUMMYFUNCTION("""COMPUTED_VALUE"""),0.0)</f>
        <v>0</v>
      </c>
      <c r="M139">
        <f>IFERROR(__xludf.DUMMYFUNCTION("""COMPUTED_VALUE"""),0.0)</f>
        <v>0</v>
      </c>
      <c r="N139" t="str">
        <f>IFERROR(__xludf.DUMMYFUNCTION("""COMPUTED_VALUE"""),"Kent State Golden Flashes")</f>
        <v>Kent State Golden Flashes</v>
      </c>
      <c r="O139" t="str">
        <f>IFERROR(__xludf.DUMMYFUNCTION("""COMPUTED_VALUE"""),"MAC")</f>
        <v>MAC</v>
      </c>
    </row>
    <row r="140">
      <c r="B140" t="str">
        <f>IFERROR(__xludf.DUMMYFUNCTION("""COMPUTED_VALUE"""),"0-0")</f>
        <v>0-0</v>
      </c>
      <c r="C140">
        <f>IFERROR(__xludf.DUMMYFUNCTION("""COMPUTED_VALUE"""),-18.4)</f>
        <v>-18.4</v>
      </c>
      <c r="D140">
        <f>IFERROR(__xludf.DUMMYFUNCTION("""COMPUTED_VALUE"""),136.0)</f>
        <v>136</v>
      </c>
      <c r="E140" t="str">
        <f>IFERROR(__xludf.DUMMYFUNCTION("""COMPUTED_VALUE"""),"--")</f>
        <v>--</v>
      </c>
      <c r="F140" t="str">
        <f>IFERROR(__xludf.DUMMYFUNCTION("""COMPUTED_VALUE"""),"3.9-8.2")</f>
        <v>3.9-8.2</v>
      </c>
      <c r="G140">
        <f>IFERROR(__xludf.DUMMYFUNCTION("""COMPUTED_VALUE"""),0.0)</f>
        <v>0</v>
      </c>
      <c r="H140">
        <f>IFERROR(__xludf.DUMMYFUNCTION("""COMPUTED_VALUE"""),20.4)</f>
        <v>20.4</v>
      </c>
      <c r="I140">
        <f>IFERROR(__xludf.DUMMYFUNCTION("""COMPUTED_VALUE"""),0.0)</f>
        <v>0</v>
      </c>
      <c r="J140">
        <f>IFERROR(__xludf.DUMMYFUNCTION("""COMPUTED_VALUE"""),1.2)</f>
        <v>1.2</v>
      </c>
      <c r="K140">
        <f>IFERROR(__xludf.DUMMYFUNCTION("""COMPUTED_VALUE"""),0.0)</f>
        <v>0</v>
      </c>
      <c r="L140">
        <f>IFERROR(__xludf.DUMMYFUNCTION("""COMPUTED_VALUE"""),0.0)</f>
        <v>0</v>
      </c>
      <c r="M140">
        <f>IFERROR(__xludf.DUMMYFUNCTION("""COMPUTED_VALUE"""),0.0)</f>
        <v>0</v>
      </c>
      <c r="N140" t="str">
        <f>IFERROR(__xludf.DUMMYFUNCTION("""COMPUTED_VALUE"""),"Sam Houston Bearkats")</f>
        <v>Sam Houston Bearkats</v>
      </c>
      <c r="O140" t="str">
        <f>IFERROR(__xludf.DUMMYFUNCTION("""COMPUTED_VALUE"""),"CUSA")</f>
        <v>CUSA</v>
      </c>
    </row>
    <row r="141">
      <c r="B141" t="str">
        <f>IFERROR(__xludf.DUMMYFUNCTION("""COMPUTED_VALUE"""),"0-0")</f>
        <v>0-0</v>
      </c>
      <c r="C141">
        <f>IFERROR(__xludf.DUMMYFUNCTION("""COMPUTED_VALUE"""),-18.8)</f>
        <v>-18.8</v>
      </c>
      <c r="D141">
        <f>IFERROR(__xludf.DUMMYFUNCTION("""COMPUTED_VALUE"""),137.0)</f>
        <v>137</v>
      </c>
      <c r="E141" t="str">
        <f>IFERROR(__xludf.DUMMYFUNCTION("""COMPUTED_VALUE"""),"--")</f>
        <v>--</v>
      </c>
      <c r="F141" t="str">
        <f>IFERROR(__xludf.DUMMYFUNCTION("""COMPUTED_VALUE"""),"4.9-7.1")</f>
        <v>4.9-7.1</v>
      </c>
      <c r="G141">
        <f>IFERROR(__xludf.DUMMYFUNCTION("""COMPUTED_VALUE"""),0.0)</f>
        <v>0</v>
      </c>
      <c r="H141">
        <f>IFERROR(__xludf.DUMMYFUNCTION("""COMPUTED_VALUE"""),35.5)</f>
        <v>35.5</v>
      </c>
      <c r="I141">
        <f>IFERROR(__xludf.DUMMYFUNCTION("""COMPUTED_VALUE"""),0.0)</f>
        <v>0</v>
      </c>
      <c r="J141">
        <f>IFERROR(__xludf.DUMMYFUNCTION("""COMPUTED_VALUE"""),0.7)</f>
        <v>0.7</v>
      </c>
      <c r="K141">
        <f>IFERROR(__xludf.DUMMYFUNCTION("""COMPUTED_VALUE"""),0.0)</f>
        <v>0</v>
      </c>
      <c r="L141">
        <f>IFERROR(__xludf.DUMMYFUNCTION("""COMPUTED_VALUE"""),0.0)</f>
        <v>0</v>
      </c>
      <c r="M141">
        <f>IFERROR(__xludf.DUMMYFUNCTION("""COMPUTED_VALUE"""),0.0)</f>
        <v>0</v>
      </c>
      <c r="N141" t="str">
        <f>IFERROR(__xludf.DUMMYFUNCTION("""COMPUTED_VALUE"""),"Massachusetts Minutemen")</f>
        <v>Massachusetts Minutemen</v>
      </c>
      <c r="O141" t="str">
        <f>IFERROR(__xludf.DUMMYFUNCTION("""COMPUTED_VALUE"""),"MAC")</f>
        <v>MAC</v>
      </c>
    </row>
    <row r="142">
      <c r="B142" t="str">
        <f>IFERROR(__xludf.DUMMYFUNCTION("""COMPUTED_VALUE"""),"0-0")</f>
        <v>0-0</v>
      </c>
      <c r="C142">
        <f>IFERROR(__xludf.DUMMYFUNCTION("""COMPUTED_VALUE"""),-19.3)</f>
        <v>-19.3</v>
      </c>
      <c r="D142">
        <f>IFERROR(__xludf.DUMMYFUNCTION("""COMPUTED_VALUE"""),138.0)</f>
        <v>138</v>
      </c>
      <c r="E142" t="str">
        <f>IFERROR(__xludf.DUMMYFUNCTION("""COMPUTED_VALUE"""),"--")</f>
        <v>--</v>
      </c>
      <c r="F142" t="str">
        <f>IFERROR(__xludf.DUMMYFUNCTION("""COMPUTED_VALUE"""),"3.4-8.6")</f>
        <v>3.4-8.6</v>
      </c>
      <c r="G142">
        <f>IFERROR(__xludf.DUMMYFUNCTION("""COMPUTED_VALUE"""),0.0)</f>
        <v>0</v>
      </c>
      <c r="H142">
        <f>IFERROR(__xludf.DUMMYFUNCTION("""COMPUTED_VALUE"""),15.2)</f>
        <v>15.2</v>
      </c>
      <c r="I142">
        <f>IFERROR(__xludf.DUMMYFUNCTION("""COMPUTED_VALUE"""),1.5)</f>
        <v>1.5</v>
      </c>
      <c r="J142">
        <f>IFERROR(__xludf.DUMMYFUNCTION("""COMPUTED_VALUE"""),0.4)</f>
        <v>0.4</v>
      </c>
      <c r="K142">
        <f>IFERROR(__xludf.DUMMYFUNCTION("""COMPUTED_VALUE"""),0.0)</f>
        <v>0</v>
      </c>
      <c r="L142">
        <f>IFERROR(__xludf.DUMMYFUNCTION("""COMPUTED_VALUE"""),0.0)</f>
        <v>0</v>
      </c>
      <c r="M142">
        <f>IFERROR(__xludf.DUMMYFUNCTION("""COMPUTED_VALUE"""),0.0)</f>
        <v>0</v>
      </c>
      <c r="N142" t="str">
        <f>IFERROR(__xludf.DUMMYFUNCTION("""COMPUTED_VALUE"""),"UL Monroe Warhawks")</f>
        <v>UL Monroe Warhawks</v>
      </c>
      <c r="O142" t="str">
        <f>IFERROR(__xludf.DUMMYFUNCTION("""COMPUTED_VALUE"""),"Sun Belt")</f>
        <v>Sun Belt</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sheetData>
    <row r="1">
      <c r="A1" s="188" t="s">
        <v>654</v>
      </c>
      <c r="B1" s="26" t="s">
        <v>0</v>
      </c>
      <c r="C1" s="26" t="s">
        <v>655</v>
      </c>
      <c r="D1" s="26" t="s">
        <v>656</v>
      </c>
    </row>
    <row r="2">
      <c r="A2" s="188">
        <v>44803.02510108796</v>
      </c>
      <c r="B2" s="26" t="s">
        <v>324</v>
      </c>
      <c r="C2" s="189">
        <v>7.876</v>
      </c>
      <c r="D2" s="189" t="s">
        <v>103</v>
      </c>
    </row>
    <row r="3">
      <c r="A3" s="188">
        <v>44803.02510108796</v>
      </c>
      <c r="B3" s="26" t="s">
        <v>323</v>
      </c>
      <c r="C3" s="189">
        <v>3.596</v>
      </c>
      <c r="D3" s="189" t="s">
        <v>141</v>
      </c>
    </row>
    <row r="4">
      <c r="A4" s="188">
        <v>44803.02510108796</v>
      </c>
      <c r="B4" s="26" t="s">
        <v>287</v>
      </c>
      <c r="C4" s="189">
        <v>10.917</v>
      </c>
      <c r="D4" s="189" t="s">
        <v>141</v>
      </c>
    </row>
    <row r="5">
      <c r="A5" s="188">
        <v>44803.02510108796</v>
      </c>
      <c r="B5" s="26" t="s">
        <v>277</v>
      </c>
      <c r="C5" s="189">
        <v>8.318999999999999</v>
      </c>
      <c r="D5" s="189" t="s">
        <v>59</v>
      </c>
    </row>
    <row r="6">
      <c r="A6" s="188">
        <v>44803.02510108796</v>
      </c>
      <c r="B6" s="26" t="s">
        <v>328</v>
      </c>
      <c r="C6" s="189">
        <v>6.863</v>
      </c>
      <c r="D6" s="189" t="s">
        <v>109</v>
      </c>
    </row>
    <row r="7">
      <c r="A7" s="188">
        <v>44803.02510108796</v>
      </c>
      <c r="B7" s="26" t="s">
        <v>322</v>
      </c>
      <c r="C7" s="189">
        <v>3.4</v>
      </c>
      <c r="D7" s="189" t="s">
        <v>103</v>
      </c>
    </row>
    <row r="8">
      <c r="A8" s="188">
        <v>44803.02510108796</v>
      </c>
      <c r="B8" s="26" t="s">
        <v>303</v>
      </c>
      <c r="C8" s="189">
        <v>6.497</v>
      </c>
      <c r="D8" s="189" t="s">
        <v>138</v>
      </c>
    </row>
    <row r="9">
      <c r="A9" s="188">
        <v>44803.02510108796</v>
      </c>
      <c r="B9" s="26" t="s">
        <v>352</v>
      </c>
      <c r="C9" s="189">
        <v>5.5889999999999995</v>
      </c>
      <c r="D9" s="189" t="s">
        <v>154</v>
      </c>
    </row>
    <row r="10">
      <c r="A10" s="188">
        <v>44803.02510108796</v>
      </c>
      <c r="B10" s="26" t="s">
        <v>398</v>
      </c>
      <c r="C10" s="189">
        <v>8.8</v>
      </c>
      <c r="D10" s="189" t="s">
        <v>166</v>
      </c>
    </row>
    <row r="11">
      <c r="A11" s="188">
        <v>44803.02510108796</v>
      </c>
      <c r="B11" s="26" t="s">
        <v>337</v>
      </c>
      <c r="C11" s="189">
        <v>7.396000000000001</v>
      </c>
      <c r="D11" s="189" t="s">
        <v>166</v>
      </c>
    </row>
    <row r="12">
      <c r="A12" s="188">
        <v>44803.02510108796</v>
      </c>
      <c r="B12" s="26" t="s">
        <v>329</v>
      </c>
      <c r="C12" s="189">
        <v>5.3870000000000005</v>
      </c>
      <c r="D12" s="189" t="s">
        <v>116</v>
      </c>
    </row>
    <row r="13">
      <c r="A13" s="188">
        <v>44803.02510108796</v>
      </c>
      <c r="B13" s="26" t="s">
        <v>320</v>
      </c>
      <c r="C13" s="189">
        <v>7.619</v>
      </c>
      <c r="D13" s="189" t="s">
        <v>154</v>
      </c>
    </row>
    <row r="14">
      <c r="A14" s="188">
        <v>44803.02510108796</v>
      </c>
      <c r="B14" s="26" t="s">
        <v>316</v>
      </c>
      <c r="C14" s="189">
        <v>9.326</v>
      </c>
      <c r="D14" s="189" t="s">
        <v>148</v>
      </c>
    </row>
    <row r="15">
      <c r="A15" s="188">
        <v>44803.02510108796</v>
      </c>
      <c r="B15" s="26" t="s">
        <v>289</v>
      </c>
      <c r="C15" s="189">
        <v>5.699</v>
      </c>
      <c r="D15" s="189" t="s">
        <v>59</v>
      </c>
    </row>
    <row r="16">
      <c r="A16" s="188">
        <v>44803.02510108796</v>
      </c>
      <c r="B16" s="26" t="s">
        <v>335</v>
      </c>
      <c r="C16" s="189">
        <v>3.395</v>
      </c>
      <c r="D16" s="189" t="s">
        <v>148</v>
      </c>
    </row>
    <row r="17">
      <c r="A17" s="188">
        <v>44803.02510108796</v>
      </c>
      <c r="B17" s="26" t="s">
        <v>344</v>
      </c>
      <c r="C17" s="189">
        <v>6.941</v>
      </c>
      <c r="D17" s="189" t="s">
        <v>109</v>
      </c>
    </row>
    <row r="18">
      <c r="A18" s="188">
        <v>44803.02510108796</v>
      </c>
      <c r="B18" s="26" t="s">
        <v>393</v>
      </c>
      <c r="C18" s="189">
        <v>7.1</v>
      </c>
      <c r="D18" s="189" t="s">
        <v>141</v>
      </c>
    </row>
    <row r="19">
      <c r="A19" s="188">
        <v>44803.02510108796</v>
      </c>
      <c r="B19" s="26" t="s">
        <v>333</v>
      </c>
      <c r="C19" s="189">
        <v>5.493</v>
      </c>
      <c r="D19" s="189" t="s">
        <v>166</v>
      </c>
    </row>
    <row r="20">
      <c r="A20" s="188">
        <v>44803.02510108796</v>
      </c>
      <c r="B20" s="26" t="s">
        <v>285</v>
      </c>
      <c r="C20" s="189">
        <v>6.504</v>
      </c>
      <c r="D20" s="189" t="s">
        <v>59</v>
      </c>
    </row>
    <row r="21">
      <c r="A21" s="188">
        <v>44803.02510108796</v>
      </c>
      <c r="B21" s="26" t="s">
        <v>317</v>
      </c>
      <c r="C21" s="189">
        <v>4.298</v>
      </c>
      <c r="D21" s="189" t="s">
        <v>141</v>
      </c>
    </row>
    <row r="22">
      <c r="A22" s="188">
        <v>44803.02510108796</v>
      </c>
      <c r="B22" s="26" t="s">
        <v>282</v>
      </c>
      <c r="C22" s="189">
        <v>9.398000000000001</v>
      </c>
      <c r="D22" s="189" t="s">
        <v>138</v>
      </c>
    </row>
    <row r="23">
      <c r="A23" s="188">
        <v>44803.02510108796</v>
      </c>
      <c r="B23" s="26" t="s">
        <v>206</v>
      </c>
      <c r="C23" s="189">
        <v>10.448</v>
      </c>
      <c r="D23" s="189" t="s">
        <v>131</v>
      </c>
    </row>
    <row r="24">
      <c r="A24" s="188">
        <v>44803.02510108796</v>
      </c>
      <c r="B24" s="26" t="s">
        <v>300</v>
      </c>
      <c r="C24" s="189">
        <v>7.2219999999999995</v>
      </c>
      <c r="D24" s="189" t="s">
        <v>144</v>
      </c>
    </row>
    <row r="25">
      <c r="A25" s="188">
        <v>44803.02510108796</v>
      </c>
      <c r="B25" s="26" t="s">
        <v>342</v>
      </c>
      <c r="C25" s="189">
        <v>3.499</v>
      </c>
      <c r="D25" s="189" t="s">
        <v>144</v>
      </c>
    </row>
    <row r="26">
      <c r="A26" s="188">
        <v>44803.02510108796</v>
      </c>
      <c r="B26" s="26" t="s">
        <v>336</v>
      </c>
      <c r="C26" s="189">
        <v>5.093999999999999</v>
      </c>
      <c r="D26" s="189" t="s">
        <v>116</v>
      </c>
    </row>
    <row r="27">
      <c r="A27" s="188">
        <v>44803.02510108796</v>
      </c>
      <c r="B27" s="26" t="s">
        <v>331</v>
      </c>
      <c r="C27" s="189">
        <v>3.8</v>
      </c>
      <c r="D27" s="26" t="s">
        <v>442</v>
      </c>
    </row>
    <row r="28">
      <c r="A28" s="188">
        <v>44803.02510108796</v>
      </c>
      <c r="B28" s="26" t="s">
        <v>325</v>
      </c>
      <c r="C28" s="189">
        <v>5.788</v>
      </c>
      <c r="D28" s="189" t="s">
        <v>144</v>
      </c>
    </row>
    <row r="29">
      <c r="A29" s="188">
        <v>44803.02510108796</v>
      </c>
      <c r="B29" s="26" t="s">
        <v>356</v>
      </c>
      <c r="C29" s="189">
        <v>5.574</v>
      </c>
      <c r="D29" s="189" t="s">
        <v>103</v>
      </c>
    </row>
    <row r="30">
      <c r="A30" s="188">
        <v>44803.02510108796</v>
      </c>
      <c r="B30" s="26" t="s">
        <v>181</v>
      </c>
      <c r="C30" s="189">
        <v>8.081</v>
      </c>
      <c r="D30" s="189" t="s">
        <v>53</v>
      </c>
    </row>
    <row r="31">
      <c r="A31" s="188">
        <v>44803.02510108796</v>
      </c>
      <c r="B31" s="26" t="s">
        <v>346</v>
      </c>
      <c r="C31" s="189">
        <v>6.697</v>
      </c>
      <c r="D31" s="189" t="s">
        <v>144</v>
      </c>
    </row>
    <row r="32">
      <c r="A32" s="188">
        <v>44803.02510108796</v>
      </c>
      <c r="B32" s="26" t="s">
        <v>275</v>
      </c>
      <c r="C32" s="189">
        <v>4.399</v>
      </c>
      <c r="D32" s="189" t="s">
        <v>59</v>
      </c>
    </row>
    <row r="33">
      <c r="A33" s="188">
        <v>44803.02510108796</v>
      </c>
      <c r="B33" s="26" t="s">
        <v>340</v>
      </c>
      <c r="C33" s="189">
        <v>6.6850000000000005</v>
      </c>
      <c r="D33" s="189" t="s">
        <v>103</v>
      </c>
    </row>
    <row r="34">
      <c r="A34" s="188">
        <v>44803.02510108796</v>
      </c>
      <c r="B34" s="26" t="s">
        <v>345</v>
      </c>
      <c r="C34" s="189">
        <v>8.096</v>
      </c>
      <c r="D34" s="189" t="s">
        <v>144</v>
      </c>
    </row>
    <row r="35">
      <c r="A35" s="188">
        <v>44803.02510108796</v>
      </c>
      <c r="B35" s="26" t="s">
        <v>313</v>
      </c>
      <c r="C35" s="189">
        <v>11.122</v>
      </c>
      <c r="D35" s="189" t="s">
        <v>116</v>
      </c>
    </row>
    <row r="36">
      <c r="A36" s="188">
        <v>44803.02510108796</v>
      </c>
      <c r="B36" s="26" t="s">
        <v>257</v>
      </c>
      <c r="C36" s="189">
        <v>5.2909999999999995</v>
      </c>
      <c r="D36" s="189" t="s">
        <v>178</v>
      </c>
    </row>
    <row r="37">
      <c r="A37" s="188">
        <v>44803.02510108796</v>
      </c>
      <c r="B37" s="26" t="s">
        <v>361</v>
      </c>
      <c r="C37" s="189">
        <v>5.764</v>
      </c>
      <c r="D37" s="189" t="s">
        <v>103</v>
      </c>
    </row>
    <row r="38">
      <c r="A38" s="188">
        <v>44803.02510108796</v>
      </c>
      <c r="B38" s="26" t="s">
        <v>348</v>
      </c>
      <c r="C38" s="189">
        <v>3.899</v>
      </c>
      <c r="D38" s="189" t="s">
        <v>116</v>
      </c>
    </row>
    <row r="39">
      <c r="A39" s="188">
        <v>44803.02510108796</v>
      </c>
      <c r="B39" s="26" t="s">
        <v>351</v>
      </c>
      <c r="C39" s="189">
        <v>3.7</v>
      </c>
      <c r="D39" s="189" t="s">
        <v>166</v>
      </c>
    </row>
    <row r="40">
      <c r="A40" s="188">
        <v>44803.02510108796</v>
      </c>
      <c r="B40" s="26" t="s">
        <v>330</v>
      </c>
      <c r="C40" s="189">
        <v>8.631</v>
      </c>
      <c r="D40" s="189" t="s">
        <v>154</v>
      </c>
    </row>
    <row r="41">
      <c r="A41" s="188">
        <v>44803.02510108796</v>
      </c>
      <c r="B41" s="26" t="s">
        <v>321</v>
      </c>
      <c r="C41" s="189">
        <v>5.897</v>
      </c>
      <c r="D41" s="189" t="s">
        <v>144</v>
      </c>
    </row>
    <row r="42">
      <c r="A42" s="188">
        <v>44803.02510108796</v>
      </c>
      <c r="B42" s="26" t="s">
        <v>327</v>
      </c>
      <c r="C42" s="189">
        <v>4.2</v>
      </c>
      <c r="D42" s="189" t="s">
        <v>166</v>
      </c>
    </row>
    <row r="43">
      <c r="A43" s="188">
        <v>44803.02510108796</v>
      </c>
      <c r="B43" s="26" t="s">
        <v>332</v>
      </c>
      <c r="C43" s="189">
        <v>6.584</v>
      </c>
      <c r="D43" s="189" t="s">
        <v>116</v>
      </c>
    </row>
    <row r="44">
      <c r="A44" s="188">
        <v>44803.02510108796</v>
      </c>
      <c r="B44" s="26" t="s">
        <v>326</v>
      </c>
      <c r="C44" s="189">
        <v>7.444</v>
      </c>
      <c r="D44" s="189" t="s">
        <v>148</v>
      </c>
    </row>
    <row r="45">
      <c r="A45" s="188">
        <v>44803.02510108796</v>
      </c>
      <c r="B45" s="26" t="s">
        <v>388</v>
      </c>
      <c r="C45" s="189">
        <v>3.6</v>
      </c>
      <c r="D45" s="189" t="s">
        <v>116</v>
      </c>
    </row>
    <row r="46">
      <c r="A46" s="188">
        <v>44803.02510108796</v>
      </c>
      <c r="B46" s="26" t="s">
        <v>217</v>
      </c>
      <c r="C46" s="189">
        <v>2.6</v>
      </c>
      <c r="D46" s="189" t="s">
        <v>131</v>
      </c>
    </row>
    <row r="47">
      <c r="A47" s="188">
        <v>44803.02510108796</v>
      </c>
      <c r="B47" s="26" t="s">
        <v>291</v>
      </c>
      <c r="C47" s="189">
        <v>6.285</v>
      </c>
      <c r="D47" s="189" t="s">
        <v>59</v>
      </c>
    </row>
    <row r="48">
      <c r="A48" s="188">
        <v>44803.02510108796</v>
      </c>
      <c r="B48" s="26" t="s">
        <v>359</v>
      </c>
      <c r="C48" s="189">
        <v>5.247</v>
      </c>
      <c r="D48" s="189" t="s">
        <v>144</v>
      </c>
    </row>
    <row r="49">
      <c r="A49" s="188">
        <v>44803.02510108796</v>
      </c>
      <c r="B49" s="26" t="s">
        <v>283</v>
      </c>
      <c r="C49" s="189">
        <v>8.091</v>
      </c>
      <c r="D49" s="189" t="s">
        <v>59</v>
      </c>
    </row>
    <row r="50">
      <c r="A50" s="188">
        <v>44803.02510108796</v>
      </c>
      <c r="B50" s="26" t="s">
        <v>399</v>
      </c>
      <c r="C50" s="189">
        <v>7.6</v>
      </c>
      <c r="D50" s="189" t="s">
        <v>166</v>
      </c>
    </row>
    <row r="51">
      <c r="A51" s="188">
        <v>44803.02510108796</v>
      </c>
      <c r="B51" s="26" t="s">
        <v>292</v>
      </c>
      <c r="C51" s="189">
        <v>8.027999999999999</v>
      </c>
      <c r="D51" s="189" t="s">
        <v>109</v>
      </c>
    </row>
    <row r="52">
      <c r="A52" s="188">
        <v>44803.02510108796</v>
      </c>
      <c r="B52" s="26" t="s">
        <v>334</v>
      </c>
      <c r="C52" s="189">
        <v>6.3500000000000005</v>
      </c>
      <c r="D52" s="189" t="s">
        <v>166</v>
      </c>
    </row>
    <row r="53">
      <c r="A53" s="188">
        <v>44803.02510108796</v>
      </c>
      <c r="B53" s="26" t="s">
        <v>353</v>
      </c>
      <c r="C53" s="189">
        <v>6.390000000000001</v>
      </c>
      <c r="D53" s="189" t="s">
        <v>141</v>
      </c>
    </row>
    <row r="54">
      <c r="A54" s="188">
        <v>44803.02510108796</v>
      </c>
      <c r="B54" s="26" t="s">
        <v>360</v>
      </c>
      <c r="C54" s="189">
        <v>7.692</v>
      </c>
      <c r="D54" s="189" t="s">
        <v>109</v>
      </c>
    </row>
    <row r="55">
      <c r="A55" s="188">
        <v>44803.02510108796</v>
      </c>
      <c r="B55" s="26" t="s">
        <v>306</v>
      </c>
      <c r="C55" s="189">
        <v>8.368</v>
      </c>
      <c r="D55" s="189" t="s">
        <v>166</v>
      </c>
    </row>
    <row r="56">
      <c r="A56" s="188">
        <v>44803.02510108796</v>
      </c>
      <c r="B56" s="26" t="s">
        <v>341</v>
      </c>
      <c r="C56" s="189">
        <v>6.498</v>
      </c>
      <c r="D56" s="189" t="s">
        <v>103</v>
      </c>
    </row>
    <row r="57">
      <c r="A57" s="188">
        <v>44803.02510108796</v>
      </c>
      <c r="B57" s="26" t="s">
        <v>339</v>
      </c>
      <c r="C57" s="189">
        <v>7.723</v>
      </c>
      <c r="D57" s="189" t="s">
        <v>109</v>
      </c>
    </row>
    <row r="58">
      <c r="A58" s="188">
        <v>44803.02510108796</v>
      </c>
      <c r="B58" s="26" t="s">
        <v>208</v>
      </c>
      <c r="C58" s="189">
        <v>6.527</v>
      </c>
      <c r="D58" s="189" t="s">
        <v>131</v>
      </c>
    </row>
    <row r="59">
      <c r="A59" s="188">
        <v>44803.02510108796</v>
      </c>
      <c r="B59" s="26" t="s">
        <v>357</v>
      </c>
      <c r="C59" s="189">
        <v>9.036</v>
      </c>
      <c r="D59" s="189" t="s">
        <v>144</v>
      </c>
    </row>
    <row r="60">
      <c r="A60" s="188">
        <v>44803.02510108796</v>
      </c>
      <c r="B60" s="26" t="s">
        <v>294</v>
      </c>
      <c r="C60" s="189">
        <v>7.878</v>
      </c>
      <c r="D60" s="189" t="s">
        <v>138</v>
      </c>
    </row>
    <row r="61">
      <c r="A61" s="188">
        <v>44803.02510108796</v>
      </c>
      <c r="B61" s="26" t="s">
        <v>284</v>
      </c>
      <c r="C61" s="189">
        <v>9.42</v>
      </c>
      <c r="D61" s="189" t="s">
        <v>59</v>
      </c>
    </row>
    <row r="62">
      <c r="A62" s="188">
        <v>44803.02510108796</v>
      </c>
      <c r="B62" s="26" t="s">
        <v>343</v>
      </c>
      <c r="C62" s="189">
        <v>6.997</v>
      </c>
      <c r="D62" s="189" t="s">
        <v>109</v>
      </c>
    </row>
    <row r="63">
      <c r="A63" s="188">
        <v>44803.02510108796</v>
      </c>
      <c r="B63" s="26" t="s">
        <v>240</v>
      </c>
      <c r="C63" s="189">
        <v>7.382000000000001</v>
      </c>
      <c r="D63" s="189" t="s">
        <v>178</v>
      </c>
    </row>
    <row r="64">
      <c r="A64" s="188">
        <v>44803.02510108796</v>
      </c>
      <c r="B64" s="26" t="s">
        <v>269</v>
      </c>
      <c r="C64" s="189">
        <v>6.499</v>
      </c>
      <c r="D64" s="189" t="s">
        <v>178</v>
      </c>
    </row>
    <row r="65">
      <c r="A65" s="188">
        <v>44803.02510108796</v>
      </c>
      <c r="B65" s="26" t="s">
        <v>173</v>
      </c>
      <c r="C65" s="189">
        <v>5.3</v>
      </c>
      <c r="D65" s="189" t="s">
        <v>53</v>
      </c>
    </row>
    <row r="66">
      <c r="A66" s="188">
        <v>44803.02510108796</v>
      </c>
      <c r="B66" s="26" t="s">
        <v>347</v>
      </c>
      <c r="C66" s="189">
        <v>3.7</v>
      </c>
      <c r="D66" s="189" t="s">
        <v>116</v>
      </c>
    </row>
    <row r="67">
      <c r="A67" s="188">
        <v>44803.02510108796</v>
      </c>
      <c r="B67" s="26" t="s">
        <v>363</v>
      </c>
      <c r="C67" s="189">
        <v>8.073</v>
      </c>
      <c r="D67" s="189" t="s">
        <v>154</v>
      </c>
    </row>
    <row r="68">
      <c r="A68" s="188">
        <v>44803.02510108796</v>
      </c>
      <c r="B68" s="26" t="s">
        <v>365</v>
      </c>
      <c r="C68" s="189">
        <v>6.289</v>
      </c>
      <c r="D68" s="189" t="s">
        <v>141</v>
      </c>
    </row>
    <row r="69">
      <c r="A69" s="188">
        <v>44803.02510108796</v>
      </c>
      <c r="B69" s="26" t="s">
        <v>120</v>
      </c>
      <c r="C69" s="189">
        <v>6.183</v>
      </c>
      <c r="D69" s="189" t="s">
        <v>53</v>
      </c>
    </row>
    <row r="70">
      <c r="A70" s="188">
        <v>44803.02510108796</v>
      </c>
      <c r="B70" s="26" t="s">
        <v>263</v>
      </c>
      <c r="C70" s="189">
        <v>3.3</v>
      </c>
      <c r="D70" s="189" t="s">
        <v>178</v>
      </c>
    </row>
    <row r="71">
      <c r="A71" s="188">
        <v>44803.02510108796</v>
      </c>
      <c r="B71" s="26" t="s">
        <v>394</v>
      </c>
      <c r="C71" s="189">
        <v>3.3</v>
      </c>
      <c r="D71" s="189" t="s">
        <v>109</v>
      </c>
    </row>
    <row r="72">
      <c r="A72" s="188">
        <v>44803.02510108796</v>
      </c>
      <c r="B72" s="26" t="s">
        <v>367</v>
      </c>
      <c r="C72" s="189">
        <v>7.564</v>
      </c>
      <c r="D72" s="189" t="s">
        <v>109</v>
      </c>
    </row>
    <row r="73">
      <c r="A73" s="188">
        <v>44803.02510108796</v>
      </c>
      <c r="B73" s="26" t="s">
        <v>204</v>
      </c>
      <c r="C73" s="189">
        <v>7.287</v>
      </c>
      <c r="D73" s="189" t="s">
        <v>131</v>
      </c>
    </row>
    <row r="74">
      <c r="A74" s="188">
        <v>44803.02510108796</v>
      </c>
      <c r="B74" s="26" t="s">
        <v>298</v>
      </c>
      <c r="C74" s="189">
        <v>5.558999999999999</v>
      </c>
      <c r="D74" s="189" t="s">
        <v>138</v>
      </c>
    </row>
    <row r="75">
      <c r="A75" s="188">
        <v>44803.02510108796</v>
      </c>
      <c r="B75" s="26" t="s">
        <v>368</v>
      </c>
      <c r="C75" s="189">
        <v>5.399</v>
      </c>
      <c r="D75" s="189" t="s">
        <v>154</v>
      </c>
    </row>
    <row r="76">
      <c r="A76" s="188">
        <v>44803.02510108796</v>
      </c>
      <c r="B76" s="26" t="s">
        <v>400</v>
      </c>
      <c r="C76" s="189">
        <v>9.2</v>
      </c>
      <c r="D76" s="189" t="s">
        <v>109</v>
      </c>
    </row>
    <row r="77">
      <c r="A77" s="188">
        <v>44803.02510108796</v>
      </c>
      <c r="B77" s="26" t="s">
        <v>176</v>
      </c>
      <c r="C77" s="189">
        <v>4.486</v>
      </c>
      <c r="D77" s="189" t="s">
        <v>53</v>
      </c>
    </row>
    <row r="78">
      <c r="A78" s="188">
        <v>44803.02510108796</v>
      </c>
      <c r="B78" s="26" t="s">
        <v>168</v>
      </c>
      <c r="C78" s="189">
        <v>11.06</v>
      </c>
      <c r="D78" s="189" t="s">
        <v>53</v>
      </c>
    </row>
    <row r="79">
      <c r="A79" s="188">
        <v>44803.02510108796</v>
      </c>
      <c r="B79" s="26" t="s">
        <v>184</v>
      </c>
      <c r="C79" s="189">
        <v>8.911</v>
      </c>
      <c r="D79" s="189" t="s">
        <v>53</v>
      </c>
    </row>
    <row r="80">
      <c r="A80" s="188">
        <v>44803.02510108796</v>
      </c>
      <c r="B80" s="26" t="s">
        <v>354</v>
      </c>
      <c r="C80" s="189">
        <v>8.627</v>
      </c>
      <c r="D80" s="189" t="s">
        <v>116</v>
      </c>
    </row>
    <row r="81">
      <c r="A81" s="188">
        <v>44803.02510108796</v>
      </c>
      <c r="B81" s="26" t="s">
        <v>170</v>
      </c>
      <c r="C81" s="189">
        <v>4.195</v>
      </c>
      <c r="D81" s="189" t="s">
        <v>53</v>
      </c>
    </row>
    <row r="82">
      <c r="A82" s="188">
        <v>44803.02510108796</v>
      </c>
      <c r="B82" s="26" t="s">
        <v>373</v>
      </c>
      <c r="C82" s="189">
        <v>7.494</v>
      </c>
      <c r="D82" s="189" t="s">
        <v>103</v>
      </c>
    </row>
    <row r="83">
      <c r="A83" s="188">
        <v>44803.02510108796</v>
      </c>
      <c r="B83" s="26" t="s">
        <v>54</v>
      </c>
      <c r="C83" s="189">
        <v>8.405</v>
      </c>
      <c r="D83" s="189" t="s">
        <v>53</v>
      </c>
    </row>
    <row r="84">
      <c r="A84" s="188">
        <v>44803.02510108796</v>
      </c>
      <c r="B84" s="26" t="s">
        <v>274</v>
      </c>
      <c r="C84" s="189">
        <v>5.986</v>
      </c>
      <c r="D84" s="189" t="s">
        <v>59</v>
      </c>
    </row>
    <row r="85">
      <c r="A85" s="188">
        <v>44803.02510108796</v>
      </c>
      <c r="B85" s="26" t="s">
        <v>375</v>
      </c>
      <c r="C85" s="189">
        <v>7.869000000000001</v>
      </c>
      <c r="D85" s="189" t="s">
        <v>109</v>
      </c>
    </row>
    <row r="86">
      <c r="A86" s="188">
        <v>44803.02510108796</v>
      </c>
      <c r="B86" s="26" t="s">
        <v>370</v>
      </c>
      <c r="C86" s="189">
        <v>8.73</v>
      </c>
      <c r="D86" s="189" t="s">
        <v>166</v>
      </c>
    </row>
    <row r="87">
      <c r="A87" s="188">
        <v>44803.02510108796</v>
      </c>
      <c r="B87" s="26" t="s">
        <v>381</v>
      </c>
      <c r="C87" s="189">
        <v>6.784</v>
      </c>
      <c r="D87" s="189" t="s">
        <v>148</v>
      </c>
    </row>
    <row r="88">
      <c r="A88" s="188">
        <v>44803.02510108796</v>
      </c>
      <c r="B88" s="26" t="s">
        <v>355</v>
      </c>
      <c r="C88" s="189">
        <v>3.1990000000000003</v>
      </c>
      <c r="D88" s="189" t="s">
        <v>116</v>
      </c>
    </row>
    <row r="89">
      <c r="A89" s="188">
        <v>44803.02510108796</v>
      </c>
      <c r="B89" s="26" t="s">
        <v>386</v>
      </c>
      <c r="C89" s="189">
        <v>4.0</v>
      </c>
      <c r="D89" s="189" t="s">
        <v>141</v>
      </c>
    </row>
    <row r="90">
      <c r="A90" s="188">
        <v>44803.02510108796</v>
      </c>
      <c r="B90" s="26" t="s">
        <v>219</v>
      </c>
      <c r="C90" s="189">
        <v>7.396</v>
      </c>
      <c r="D90" s="189" t="s">
        <v>131</v>
      </c>
    </row>
    <row r="91">
      <c r="A91" s="188">
        <v>44803.02510108796</v>
      </c>
      <c r="B91" s="26" t="s">
        <v>349</v>
      </c>
      <c r="C91" s="189">
        <v>6.186</v>
      </c>
      <c r="D91" s="189" t="s">
        <v>141</v>
      </c>
    </row>
    <row r="92">
      <c r="A92" s="188">
        <v>44803.02510108796</v>
      </c>
      <c r="B92" s="26" t="s">
        <v>314</v>
      </c>
      <c r="C92" s="189">
        <v>6.844</v>
      </c>
      <c r="D92" s="189" t="s">
        <v>141</v>
      </c>
    </row>
    <row r="93">
      <c r="A93" s="188">
        <v>44803.02510108796</v>
      </c>
      <c r="B93" s="26" t="s">
        <v>302</v>
      </c>
      <c r="C93" s="189">
        <v>5.384</v>
      </c>
      <c r="D93" s="189" t="s">
        <v>138</v>
      </c>
    </row>
    <row r="94">
      <c r="A94" s="188">
        <v>44803.02510108796</v>
      </c>
      <c r="B94" s="26" t="s">
        <v>379</v>
      </c>
      <c r="C94" s="189">
        <v>5.7</v>
      </c>
      <c r="D94" s="189" t="s">
        <v>154</v>
      </c>
    </row>
    <row r="95">
      <c r="A95" s="188">
        <v>44803.02510108796</v>
      </c>
      <c r="B95" s="26" t="s">
        <v>210</v>
      </c>
      <c r="C95" s="189">
        <v>4.5969999999999995</v>
      </c>
      <c r="D95" s="189" t="s">
        <v>131</v>
      </c>
    </row>
    <row r="96">
      <c r="A96" s="188">
        <v>44803.02510108796</v>
      </c>
      <c r="B96" s="26" t="s">
        <v>338</v>
      </c>
      <c r="C96" s="189">
        <v>5.673</v>
      </c>
      <c r="D96" s="189" t="s">
        <v>144</v>
      </c>
    </row>
    <row r="97">
      <c r="A97" s="188">
        <v>44803.02510108796</v>
      </c>
      <c r="B97" s="26" t="s">
        <v>311</v>
      </c>
      <c r="C97" s="189">
        <v>4.993</v>
      </c>
      <c r="D97" s="189" t="s">
        <v>138</v>
      </c>
    </row>
    <row r="98">
      <c r="A98" s="188">
        <v>44803.02510108796</v>
      </c>
      <c r="B98" s="26" t="s">
        <v>308</v>
      </c>
      <c r="C98" s="189">
        <v>5.199</v>
      </c>
      <c r="D98" s="189" t="s">
        <v>138</v>
      </c>
    </row>
    <row r="99">
      <c r="A99" s="188">
        <v>44803.02510108796</v>
      </c>
      <c r="B99" s="26" t="s">
        <v>358</v>
      </c>
      <c r="C99" s="189">
        <v>6.381</v>
      </c>
      <c r="D99" s="189" t="s">
        <v>103</v>
      </c>
    </row>
    <row r="100">
      <c r="A100" s="188">
        <v>44803.02510108796</v>
      </c>
      <c r="B100" s="26" t="s">
        <v>362</v>
      </c>
      <c r="C100" s="189">
        <v>3.6</v>
      </c>
      <c r="D100" s="189" t="s">
        <v>103</v>
      </c>
    </row>
    <row r="101">
      <c r="A101" s="188">
        <v>44803.02510108796</v>
      </c>
      <c r="B101" s="26" t="s">
        <v>214</v>
      </c>
      <c r="C101" s="189">
        <v>6.898000000000001</v>
      </c>
      <c r="D101" s="189" t="s">
        <v>131</v>
      </c>
    </row>
    <row r="102">
      <c r="A102" s="188">
        <v>44803.02510108796</v>
      </c>
      <c r="B102" s="26" t="s">
        <v>387</v>
      </c>
      <c r="C102" s="189">
        <v>7.495</v>
      </c>
      <c r="D102" s="189" t="s">
        <v>148</v>
      </c>
    </row>
    <row r="103">
      <c r="A103" s="188">
        <v>44803.02510108796</v>
      </c>
      <c r="B103" s="26" t="s">
        <v>364</v>
      </c>
      <c r="C103" s="189">
        <v>8.646</v>
      </c>
      <c r="D103" s="189" t="s">
        <v>166</v>
      </c>
    </row>
    <row r="104">
      <c r="A104" s="188">
        <v>44803.02510108796</v>
      </c>
      <c r="B104" s="26" t="s">
        <v>380</v>
      </c>
      <c r="C104" s="189">
        <v>5.689</v>
      </c>
      <c r="D104" s="189" t="s">
        <v>148</v>
      </c>
    </row>
    <row r="105">
      <c r="A105" s="188">
        <v>44803.02510108796</v>
      </c>
      <c r="B105" s="26" t="s">
        <v>272</v>
      </c>
      <c r="C105" s="189">
        <v>5.491</v>
      </c>
      <c r="D105" s="189" t="s">
        <v>178</v>
      </c>
    </row>
    <row r="106">
      <c r="A106" s="188">
        <v>44803.02510108796</v>
      </c>
      <c r="B106" s="26" t="s">
        <v>265</v>
      </c>
      <c r="C106" s="189">
        <v>8.063</v>
      </c>
      <c r="D106" s="189" t="s">
        <v>178</v>
      </c>
    </row>
    <row r="107">
      <c r="A107" s="188">
        <v>44803.02510108796</v>
      </c>
      <c r="B107" s="26" t="s">
        <v>318</v>
      </c>
      <c r="C107" s="189">
        <v>6.976</v>
      </c>
      <c r="D107" s="189" t="s">
        <v>141</v>
      </c>
    </row>
    <row r="108">
      <c r="A108" s="188">
        <v>44803.02510108796</v>
      </c>
      <c r="B108" s="26" t="s">
        <v>267</v>
      </c>
      <c r="C108" s="189">
        <v>6.485</v>
      </c>
      <c r="D108" s="189" t="s">
        <v>178</v>
      </c>
    </row>
    <row r="109">
      <c r="A109" s="188">
        <v>44803.02510108796</v>
      </c>
      <c r="B109" s="26" t="s">
        <v>195</v>
      </c>
      <c r="C109" s="189">
        <v>5.397</v>
      </c>
      <c r="D109" s="189" t="s">
        <v>53</v>
      </c>
    </row>
    <row r="110">
      <c r="A110" s="188">
        <v>44803.02510108796</v>
      </c>
      <c r="B110" s="26" t="s">
        <v>378</v>
      </c>
      <c r="C110" s="189">
        <v>7.435</v>
      </c>
      <c r="D110" s="189" t="s">
        <v>103</v>
      </c>
    </row>
    <row r="111">
      <c r="A111" s="188">
        <v>44803.02510108796</v>
      </c>
      <c r="B111" s="26" t="s">
        <v>374</v>
      </c>
      <c r="C111" s="189">
        <v>8.936</v>
      </c>
      <c r="D111" s="189" t="s">
        <v>148</v>
      </c>
    </row>
    <row r="112">
      <c r="A112" s="188">
        <v>44803.02510108796</v>
      </c>
      <c r="B112" s="26" t="s">
        <v>261</v>
      </c>
      <c r="C112" s="189">
        <v>8.21</v>
      </c>
      <c r="D112" s="189" t="s">
        <v>178</v>
      </c>
    </row>
    <row r="113">
      <c r="A113" s="188">
        <v>44803.02510108796</v>
      </c>
      <c r="B113" s="26" t="s">
        <v>281</v>
      </c>
      <c r="C113" s="189">
        <v>2.6</v>
      </c>
      <c r="D113" s="189" t="s">
        <v>59</v>
      </c>
    </row>
    <row r="114">
      <c r="A114" s="188">
        <v>44803.02510108796</v>
      </c>
      <c r="B114" s="26" t="s">
        <v>199</v>
      </c>
      <c r="C114" s="189">
        <v>2.5</v>
      </c>
      <c r="D114" s="189" t="s">
        <v>131</v>
      </c>
    </row>
    <row r="115">
      <c r="A115" s="188">
        <v>44803.02510108796</v>
      </c>
      <c r="B115" s="26" t="s">
        <v>401</v>
      </c>
      <c r="C115" s="189">
        <v>3.2</v>
      </c>
      <c r="D115" s="189" t="s">
        <v>148</v>
      </c>
    </row>
    <row r="116">
      <c r="A116" s="188">
        <v>44803.02510108796</v>
      </c>
      <c r="B116" s="26" t="s">
        <v>279</v>
      </c>
      <c r="C116" s="189">
        <v>5.189</v>
      </c>
      <c r="D116" s="189" t="s">
        <v>59</v>
      </c>
    </row>
    <row r="117">
      <c r="A117" s="188">
        <v>44803.02510108796</v>
      </c>
      <c r="B117" s="26" t="s">
        <v>369</v>
      </c>
      <c r="C117" s="189">
        <v>7.976999999999999</v>
      </c>
      <c r="D117" s="189" t="s">
        <v>116</v>
      </c>
    </row>
    <row r="118">
      <c r="A118" s="188">
        <v>44803.02510108796</v>
      </c>
      <c r="B118" s="26" t="s">
        <v>304</v>
      </c>
      <c r="C118" s="189">
        <v>6.657</v>
      </c>
      <c r="D118" s="189" t="s">
        <v>138</v>
      </c>
    </row>
    <row r="119">
      <c r="A119" s="188">
        <v>44803.02510108796</v>
      </c>
      <c r="B119" s="26" t="s">
        <v>372</v>
      </c>
      <c r="C119" s="189">
        <v>9.12</v>
      </c>
      <c r="D119" s="189" t="s">
        <v>154</v>
      </c>
    </row>
    <row r="120">
      <c r="A120" s="188">
        <v>44803.02510108796</v>
      </c>
      <c r="B120" s="26" t="s">
        <v>366</v>
      </c>
      <c r="C120" s="189">
        <v>3.4</v>
      </c>
      <c r="D120" s="189" t="s">
        <v>154</v>
      </c>
    </row>
    <row r="121">
      <c r="A121" s="188">
        <v>44803.02510108796</v>
      </c>
      <c r="B121" s="26" t="s">
        <v>296</v>
      </c>
      <c r="C121" s="189">
        <v>7.039000000000001</v>
      </c>
      <c r="D121" s="189" t="s">
        <v>138</v>
      </c>
    </row>
    <row r="122">
      <c r="A122" s="188">
        <v>44803.02510108796</v>
      </c>
      <c r="B122" s="26" t="s">
        <v>309</v>
      </c>
      <c r="C122" s="189">
        <v>5.0</v>
      </c>
      <c r="D122" s="189" t="s">
        <v>138</v>
      </c>
    </row>
    <row r="123">
      <c r="A123" s="188">
        <v>44803.02510108796</v>
      </c>
      <c r="B123" s="26" t="s">
        <v>155</v>
      </c>
      <c r="C123" s="189">
        <v>6.595</v>
      </c>
      <c r="D123" s="189" t="s">
        <v>53</v>
      </c>
    </row>
    <row r="124">
      <c r="A124" s="188">
        <v>44803.02510108796</v>
      </c>
      <c r="B124" s="26" t="s">
        <v>384</v>
      </c>
      <c r="C124" s="189">
        <v>5.199</v>
      </c>
      <c r="D124" s="189" t="s">
        <v>148</v>
      </c>
    </row>
    <row r="125">
      <c r="A125" s="188">
        <v>44803.02510108796</v>
      </c>
      <c r="B125" s="26" t="s">
        <v>259</v>
      </c>
      <c r="C125" s="189">
        <v>7.483</v>
      </c>
      <c r="D125" s="189" t="s">
        <v>178</v>
      </c>
    </row>
    <row r="126">
      <c r="A126" s="188">
        <v>44803.02510108796</v>
      </c>
      <c r="B126" s="26" t="s">
        <v>377</v>
      </c>
      <c r="C126" s="189">
        <v>7.455</v>
      </c>
      <c r="D126" s="189" t="s">
        <v>148</v>
      </c>
    </row>
    <row r="127">
      <c r="A127" s="188">
        <v>44803.02510108796</v>
      </c>
      <c r="B127" s="26" t="s">
        <v>222</v>
      </c>
      <c r="C127" s="189">
        <v>4.898000000000001</v>
      </c>
      <c r="D127" s="189" t="s">
        <v>131</v>
      </c>
    </row>
    <row r="128">
      <c r="A128" s="188">
        <v>44803.02510108796</v>
      </c>
      <c r="B128" s="26" t="s">
        <v>371</v>
      </c>
      <c r="C128" s="189">
        <v>5.196000000000001</v>
      </c>
      <c r="D128" s="189" t="s">
        <v>144</v>
      </c>
    </row>
    <row r="129">
      <c r="A129" s="188">
        <v>44803.02510108796</v>
      </c>
      <c r="B129" s="26" t="s">
        <v>271</v>
      </c>
      <c r="C129" s="189">
        <v>7.414</v>
      </c>
      <c r="D129" s="189" t="s">
        <v>178</v>
      </c>
    </row>
    <row r="130">
      <c r="A130" s="188">
        <v>44803.02510108796</v>
      </c>
      <c r="B130" s="26" t="s">
        <v>382</v>
      </c>
      <c r="C130" s="189">
        <v>5.921</v>
      </c>
      <c r="D130" s="189" t="s">
        <v>154</v>
      </c>
    </row>
    <row r="131">
      <c r="A131" s="188">
        <v>44803.02510108796</v>
      </c>
      <c r="B131" s="26" t="s">
        <v>197</v>
      </c>
      <c r="C131" s="189">
        <v>8.042</v>
      </c>
      <c r="D131" s="189" t="s">
        <v>131</v>
      </c>
    </row>
    <row r="132">
      <c r="A132" s="188">
        <v>44803.02510108796</v>
      </c>
      <c r="B132" s="26" t="s">
        <v>383</v>
      </c>
      <c r="C132" s="189">
        <v>4.397</v>
      </c>
      <c r="D132" s="189" t="s">
        <v>154</v>
      </c>
    </row>
    <row r="133">
      <c r="A133" s="188" t="s">
        <v>654</v>
      </c>
      <c r="B133" s="26" t="s">
        <v>0</v>
      </c>
      <c r="C133" s="26" t="s">
        <v>655</v>
      </c>
      <c r="D133" s="26" t="s">
        <v>656</v>
      </c>
    </row>
    <row r="134">
      <c r="A134" s="188">
        <v>44810.02510108796</v>
      </c>
      <c r="B134" s="26" t="s">
        <v>324</v>
      </c>
      <c r="C134" s="189">
        <v>9.192</v>
      </c>
      <c r="D134" s="189" t="s">
        <v>103</v>
      </c>
    </row>
    <row r="135">
      <c r="A135" s="188">
        <v>44810.02510108796</v>
      </c>
      <c r="B135" s="26" t="s">
        <v>323</v>
      </c>
      <c r="C135" s="189">
        <v>3.298</v>
      </c>
      <c r="D135" s="189" t="s">
        <v>141</v>
      </c>
    </row>
    <row r="136">
      <c r="A136" s="188">
        <v>44810.02510108796</v>
      </c>
      <c r="B136" s="26" t="s">
        <v>287</v>
      </c>
      <c r="C136" s="189">
        <v>11.064</v>
      </c>
      <c r="D136" s="189" t="s">
        <v>141</v>
      </c>
    </row>
    <row r="137">
      <c r="A137" s="188">
        <v>44810.02510108796</v>
      </c>
      <c r="B137" s="26" t="s">
        <v>277</v>
      </c>
      <c r="C137" s="189">
        <v>7.672000000000001</v>
      </c>
      <c r="D137" s="189" t="s">
        <v>59</v>
      </c>
    </row>
    <row r="138">
      <c r="A138" s="188">
        <v>44810.02510108796</v>
      </c>
      <c r="B138" s="26" t="s">
        <v>328</v>
      </c>
      <c r="C138" s="189">
        <v>6.768</v>
      </c>
      <c r="D138" s="189" t="s">
        <v>109</v>
      </c>
    </row>
    <row r="139">
      <c r="A139" s="188">
        <v>44810.02510108796</v>
      </c>
      <c r="B139" s="26" t="s">
        <v>322</v>
      </c>
      <c r="C139" s="189">
        <v>5.397</v>
      </c>
      <c r="D139" s="189" t="s">
        <v>103</v>
      </c>
    </row>
    <row r="140">
      <c r="A140" s="188">
        <v>44810.02510108796</v>
      </c>
      <c r="B140" s="26" t="s">
        <v>303</v>
      </c>
      <c r="C140" s="189">
        <v>6.898000000000001</v>
      </c>
      <c r="D140" s="189" t="s">
        <v>138</v>
      </c>
    </row>
    <row r="141">
      <c r="A141" s="188">
        <v>44810.02510108796</v>
      </c>
      <c r="B141" s="26" t="s">
        <v>352</v>
      </c>
      <c r="C141" s="189">
        <v>7.298</v>
      </c>
      <c r="D141" s="189" t="s">
        <v>154</v>
      </c>
    </row>
    <row r="142">
      <c r="A142" s="188">
        <v>44810.02510108796</v>
      </c>
      <c r="B142" s="26" t="s">
        <v>398</v>
      </c>
      <c r="C142" s="189">
        <v>7.9</v>
      </c>
      <c r="D142" s="189" t="s">
        <v>166</v>
      </c>
    </row>
    <row r="143">
      <c r="A143" s="188">
        <v>44810.02510108796</v>
      </c>
      <c r="B143" s="26" t="s">
        <v>337</v>
      </c>
      <c r="C143" s="189">
        <v>6.399</v>
      </c>
      <c r="D143" s="189" t="s">
        <v>166</v>
      </c>
    </row>
    <row r="144">
      <c r="A144" s="188">
        <v>44810.02510108796</v>
      </c>
      <c r="B144" s="26" t="s">
        <v>329</v>
      </c>
      <c r="C144" s="189">
        <v>4.197</v>
      </c>
      <c r="D144" s="189" t="s">
        <v>116</v>
      </c>
    </row>
    <row r="145">
      <c r="A145" s="188">
        <v>44810.02510108796</v>
      </c>
      <c r="B145" s="26" t="s">
        <v>320</v>
      </c>
      <c r="C145" s="189">
        <v>8.647</v>
      </c>
      <c r="D145" s="189" t="s">
        <v>154</v>
      </c>
    </row>
    <row r="146">
      <c r="A146" s="188">
        <v>44810.02510108796</v>
      </c>
      <c r="B146" s="26" t="s">
        <v>316</v>
      </c>
      <c r="C146" s="189">
        <v>8.014000000000001</v>
      </c>
      <c r="D146" s="189" t="s">
        <v>148</v>
      </c>
    </row>
    <row r="147">
      <c r="A147" s="188">
        <v>44810.02510108796</v>
      </c>
      <c r="B147" s="26" t="s">
        <v>289</v>
      </c>
      <c r="C147" s="189">
        <v>4.598999999999999</v>
      </c>
      <c r="D147" s="189" t="s">
        <v>59</v>
      </c>
    </row>
    <row r="148">
      <c r="A148" s="188">
        <v>44810.02510108796</v>
      </c>
      <c r="B148" s="26" t="s">
        <v>335</v>
      </c>
      <c r="C148" s="189">
        <v>2.998</v>
      </c>
      <c r="D148" s="189" t="s">
        <v>148</v>
      </c>
    </row>
    <row r="149">
      <c r="A149" s="188">
        <v>44810.02510108796</v>
      </c>
      <c r="B149" s="26" t="s">
        <v>344</v>
      </c>
      <c r="C149" s="189">
        <v>6.679</v>
      </c>
      <c r="D149" s="189" t="s">
        <v>109</v>
      </c>
    </row>
    <row r="150">
      <c r="A150" s="188">
        <v>44810.02510108796</v>
      </c>
      <c r="B150" s="26" t="s">
        <v>393</v>
      </c>
      <c r="C150" s="189">
        <v>8.5</v>
      </c>
      <c r="D150" s="189" t="s">
        <v>141</v>
      </c>
    </row>
    <row r="151">
      <c r="A151" s="188">
        <v>44810.02510108796</v>
      </c>
      <c r="B151" s="26" t="s">
        <v>333</v>
      </c>
      <c r="C151" s="189">
        <v>5.496</v>
      </c>
      <c r="D151" s="189" t="s">
        <v>166</v>
      </c>
    </row>
    <row r="152">
      <c r="A152" s="188">
        <v>44810.02510108796</v>
      </c>
      <c r="B152" s="26" t="s">
        <v>285</v>
      </c>
      <c r="C152" s="189">
        <v>7.194</v>
      </c>
      <c r="D152" s="189" t="s">
        <v>59</v>
      </c>
    </row>
    <row r="153">
      <c r="A153" s="188">
        <v>44810.02510108796</v>
      </c>
      <c r="B153" s="26" t="s">
        <v>317</v>
      </c>
      <c r="C153" s="189">
        <v>2.999</v>
      </c>
      <c r="D153" s="189" t="s">
        <v>141</v>
      </c>
    </row>
    <row r="154">
      <c r="A154" s="188">
        <v>44810.02510108796</v>
      </c>
      <c r="B154" s="26" t="s">
        <v>282</v>
      </c>
      <c r="C154" s="189">
        <v>8.654</v>
      </c>
      <c r="D154" s="189" t="s">
        <v>138</v>
      </c>
    </row>
    <row r="155">
      <c r="A155" s="188">
        <v>44810.02510108796</v>
      </c>
      <c r="B155" s="26" t="s">
        <v>206</v>
      </c>
      <c r="C155" s="189">
        <v>10.535</v>
      </c>
      <c r="D155" s="189" t="s">
        <v>131</v>
      </c>
    </row>
    <row r="156">
      <c r="A156" s="188">
        <v>44810.02510108796</v>
      </c>
      <c r="B156" s="26" t="s">
        <v>300</v>
      </c>
      <c r="C156" s="189">
        <v>8.271</v>
      </c>
      <c r="D156" s="189" t="s">
        <v>144</v>
      </c>
    </row>
    <row r="157">
      <c r="A157" s="188">
        <v>44810.02510108796</v>
      </c>
      <c r="B157" s="26" t="s">
        <v>342</v>
      </c>
      <c r="C157" s="189">
        <v>2.2</v>
      </c>
      <c r="D157" s="189" t="s">
        <v>144</v>
      </c>
    </row>
    <row r="158">
      <c r="A158" s="188">
        <v>44810.02510108796</v>
      </c>
      <c r="B158" s="26" t="s">
        <v>336</v>
      </c>
      <c r="C158" s="189">
        <v>4.598</v>
      </c>
      <c r="D158" s="189" t="s">
        <v>116</v>
      </c>
    </row>
    <row r="159">
      <c r="A159" s="188">
        <v>44810.02510108796</v>
      </c>
      <c r="B159" s="26" t="s">
        <v>331</v>
      </c>
      <c r="C159" s="189">
        <v>5.3</v>
      </c>
      <c r="D159" s="26" t="s">
        <v>442</v>
      </c>
    </row>
    <row r="160">
      <c r="A160" s="188">
        <v>44810.02510108796</v>
      </c>
      <c r="B160" s="26" t="s">
        <v>325</v>
      </c>
      <c r="C160" s="189">
        <v>6.2829999999999995</v>
      </c>
      <c r="D160" s="189" t="s">
        <v>144</v>
      </c>
    </row>
    <row r="161">
      <c r="A161" s="188">
        <v>44810.02510108796</v>
      </c>
      <c r="B161" s="26" t="s">
        <v>356</v>
      </c>
      <c r="C161" s="189">
        <v>5.582</v>
      </c>
      <c r="D161" s="189" t="s">
        <v>103</v>
      </c>
    </row>
    <row r="162">
      <c r="A162" s="188">
        <v>44810.02510108796</v>
      </c>
      <c r="B162" s="26" t="s">
        <v>181</v>
      </c>
      <c r="C162" s="189">
        <v>7.029</v>
      </c>
      <c r="D162" s="189" t="s">
        <v>53</v>
      </c>
    </row>
    <row r="163">
      <c r="A163" s="188">
        <v>44810.02510108796</v>
      </c>
      <c r="B163" s="26" t="s">
        <v>346</v>
      </c>
      <c r="C163" s="189">
        <v>7.397</v>
      </c>
      <c r="D163" s="189" t="s">
        <v>144</v>
      </c>
    </row>
    <row r="164">
      <c r="A164" s="188">
        <v>44810.02510108796</v>
      </c>
      <c r="B164" s="26" t="s">
        <v>275</v>
      </c>
      <c r="C164" s="189">
        <v>3.9</v>
      </c>
      <c r="D164" s="189" t="s">
        <v>59</v>
      </c>
    </row>
    <row r="165">
      <c r="A165" s="188">
        <v>44810.02510108796</v>
      </c>
      <c r="B165" s="26" t="s">
        <v>340</v>
      </c>
      <c r="C165" s="189">
        <v>7.582</v>
      </c>
      <c r="D165" s="189" t="s">
        <v>103</v>
      </c>
    </row>
    <row r="166">
      <c r="A166" s="188">
        <v>44810.02510108796</v>
      </c>
      <c r="B166" s="26" t="s">
        <v>345</v>
      </c>
      <c r="C166" s="189">
        <v>8.232</v>
      </c>
      <c r="D166" s="189" t="s">
        <v>144</v>
      </c>
    </row>
    <row r="167">
      <c r="A167" s="188">
        <v>44810.02510108796</v>
      </c>
      <c r="B167" s="26" t="s">
        <v>313</v>
      </c>
      <c r="C167" s="189">
        <v>11.264</v>
      </c>
      <c r="D167" s="189" t="s">
        <v>116</v>
      </c>
    </row>
    <row r="168">
      <c r="A168" s="188">
        <v>44810.02510108796</v>
      </c>
      <c r="B168" s="26" t="s">
        <v>257</v>
      </c>
      <c r="C168" s="189">
        <v>5.487</v>
      </c>
      <c r="D168" s="189" t="s">
        <v>178</v>
      </c>
    </row>
    <row r="169">
      <c r="A169" s="188">
        <v>44810.02510108796</v>
      </c>
      <c r="B169" s="26" t="s">
        <v>361</v>
      </c>
      <c r="C169" s="189">
        <v>5.279</v>
      </c>
      <c r="D169" s="189" t="s">
        <v>103</v>
      </c>
    </row>
    <row r="170">
      <c r="A170" s="188">
        <v>44810.02510108796</v>
      </c>
      <c r="B170" s="26" t="s">
        <v>348</v>
      </c>
      <c r="C170" s="189">
        <v>3.899</v>
      </c>
      <c r="D170" s="189" t="s">
        <v>116</v>
      </c>
    </row>
    <row r="171">
      <c r="A171" s="188">
        <v>44810.02510108796</v>
      </c>
      <c r="B171" s="26" t="s">
        <v>351</v>
      </c>
      <c r="C171" s="189">
        <v>2.7</v>
      </c>
      <c r="D171" s="189" t="s">
        <v>166</v>
      </c>
    </row>
    <row r="172">
      <c r="A172" s="188">
        <v>44810.02510108796</v>
      </c>
      <c r="B172" s="26" t="s">
        <v>330</v>
      </c>
      <c r="C172" s="189">
        <v>8.792</v>
      </c>
      <c r="D172" s="189" t="s">
        <v>154</v>
      </c>
    </row>
    <row r="173">
      <c r="A173" s="188">
        <v>44810.02510108796</v>
      </c>
      <c r="B173" s="26" t="s">
        <v>321</v>
      </c>
      <c r="C173" s="189">
        <v>5.498</v>
      </c>
      <c r="D173" s="189" t="s">
        <v>144</v>
      </c>
    </row>
    <row r="174">
      <c r="A174" s="188">
        <v>44810.02510108796</v>
      </c>
      <c r="B174" s="26" t="s">
        <v>327</v>
      </c>
      <c r="C174" s="189">
        <v>4.6</v>
      </c>
      <c r="D174" s="189" t="s">
        <v>166</v>
      </c>
    </row>
    <row r="175">
      <c r="A175" s="188">
        <v>44810.02510108796</v>
      </c>
      <c r="B175" s="26" t="s">
        <v>332</v>
      </c>
      <c r="C175" s="189">
        <v>5.397</v>
      </c>
      <c r="D175" s="189" t="s">
        <v>116</v>
      </c>
    </row>
    <row r="176">
      <c r="A176" s="188">
        <v>44810.02510108796</v>
      </c>
      <c r="B176" s="26" t="s">
        <v>326</v>
      </c>
      <c r="C176" s="189">
        <v>6.969</v>
      </c>
      <c r="D176" s="189" t="s">
        <v>148</v>
      </c>
    </row>
    <row r="177">
      <c r="A177" s="188">
        <v>44810.02510108796</v>
      </c>
      <c r="B177" s="26" t="s">
        <v>388</v>
      </c>
      <c r="C177" s="189">
        <v>6.0</v>
      </c>
      <c r="D177" s="189" t="s">
        <v>116</v>
      </c>
    </row>
    <row r="178">
      <c r="A178" s="188">
        <v>44810.02510108796</v>
      </c>
      <c r="B178" s="26" t="s">
        <v>217</v>
      </c>
      <c r="C178" s="189">
        <v>2.9</v>
      </c>
      <c r="D178" s="189" t="s">
        <v>131</v>
      </c>
    </row>
    <row r="179">
      <c r="A179" s="188">
        <v>44810.02510108796</v>
      </c>
      <c r="B179" s="26" t="s">
        <v>291</v>
      </c>
      <c r="C179" s="189">
        <v>6.087</v>
      </c>
      <c r="D179" s="189" t="s">
        <v>59</v>
      </c>
    </row>
    <row r="180">
      <c r="A180" s="188">
        <v>44810.02510108796</v>
      </c>
      <c r="B180" s="26" t="s">
        <v>359</v>
      </c>
      <c r="C180" s="189">
        <v>5.063</v>
      </c>
      <c r="D180" s="189" t="s">
        <v>144</v>
      </c>
    </row>
    <row r="181">
      <c r="A181" s="188">
        <v>44810.02510108796</v>
      </c>
      <c r="B181" s="26" t="s">
        <v>283</v>
      </c>
      <c r="C181" s="189">
        <v>7.996</v>
      </c>
      <c r="D181" s="189" t="s">
        <v>59</v>
      </c>
    </row>
    <row r="182">
      <c r="A182" s="188">
        <v>44810.02510108796</v>
      </c>
      <c r="B182" s="26" t="s">
        <v>399</v>
      </c>
      <c r="C182" s="189">
        <v>7.9</v>
      </c>
      <c r="D182" s="189" t="s">
        <v>166</v>
      </c>
    </row>
    <row r="183">
      <c r="A183" s="188">
        <v>44810.02510108796</v>
      </c>
      <c r="B183" s="26" t="s">
        <v>292</v>
      </c>
      <c r="C183" s="189">
        <v>7.6160000000000005</v>
      </c>
      <c r="D183" s="189" t="s">
        <v>109</v>
      </c>
    </row>
    <row r="184">
      <c r="A184" s="188">
        <v>44810.02510108796</v>
      </c>
      <c r="B184" s="26" t="s">
        <v>334</v>
      </c>
      <c r="C184" s="189">
        <v>5.878</v>
      </c>
      <c r="D184" s="189" t="s">
        <v>166</v>
      </c>
    </row>
    <row r="185">
      <c r="A185" s="188">
        <v>44810.02510108796</v>
      </c>
      <c r="B185" s="26" t="s">
        <v>353</v>
      </c>
      <c r="C185" s="189">
        <v>4.598999999999999</v>
      </c>
      <c r="D185" s="189" t="s">
        <v>141</v>
      </c>
    </row>
    <row r="186">
      <c r="A186" s="188">
        <v>44810.02510108796</v>
      </c>
      <c r="B186" s="26" t="s">
        <v>360</v>
      </c>
      <c r="C186" s="189">
        <v>6.696000000000001</v>
      </c>
      <c r="D186" s="189" t="s">
        <v>109</v>
      </c>
    </row>
    <row r="187">
      <c r="A187" s="188">
        <v>44810.02510108796</v>
      </c>
      <c r="B187" s="26" t="s">
        <v>306</v>
      </c>
      <c r="C187" s="189">
        <v>8.612</v>
      </c>
      <c r="D187" s="189" t="s">
        <v>166</v>
      </c>
    </row>
    <row r="188">
      <c r="A188" s="188">
        <v>44810.02510108796</v>
      </c>
      <c r="B188" s="26" t="s">
        <v>341</v>
      </c>
      <c r="C188" s="189">
        <v>6.498</v>
      </c>
      <c r="D188" s="189" t="s">
        <v>103</v>
      </c>
    </row>
    <row r="189">
      <c r="A189" s="188">
        <v>44810.02510108796</v>
      </c>
      <c r="B189" s="26" t="s">
        <v>339</v>
      </c>
      <c r="C189" s="189">
        <v>6.681</v>
      </c>
      <c r="D189" s="189" t="s">
        <v>109</v>
      </c>
    </row>
    <row r="190">
      <c r="A190" s="188">
        <v>44810.02510108796</v>
      </c>
      <c r="B190" s="26" t="s">
        <v>208</v>
      </c>
      <c r="C190" s="189">
        <v>6.7010000000000005</v>
      </c>
      <c r="D190" s="189" t="s">
        <v>131</v>
      </c>
    </row>
    <row r="191">
      <c r="A191" s="188">
        <v>44810.02510108796</v>
      </c>
      <c r="B191" s="26" t="s">
        <v>357</v>
      </c>
      <c r="C191" s="189">
        <v>9.402</v>
      </c>
      <c r="D191" s="189" t="s">
        <v>144</v>
      </c>
    </row>
    <row r="192">
      <c r="A192" s="188">
        <v>44810.02510108796</v>
      </c>
      <c r="B192" s="26" t="s">
        <v>294</v>
      </c>
      <c r="C192" s="189">
        <v>7.683</v>
      </c>
      <c r="D192" s="189" t="s">
        <v>138</v>
      </c>
    </row>
    <row r="193">
      <c r="A193" s="188">
        <v>44810.02510108796</v>
      </c>
      <c r="B193" s="26" t="s">
        <v>284</v>
      </c>
      <c r="C193" s="189">
        <v>9.961</v>
      </c>
      <c r="D193" s="189" t="s">
        <v>59</v>
      </c>
    </row>
    <row r="194">
      <c r="A194" s="188">
        <v>44810.02510108796</v>
      </c>
      <c r="B194" s="26" t="s">
        <v>343</v>
      </c>
      <c r="C194" s="189">
        <v>4.593999999999999</v>
      </c>
      <c r="D194" s="189" t="s">
        <v>109</v>
      </c>
    </row>
    <row r="195">
      <c r="A195" s="188">
        <v>44810.02510108796</v>
      </c>
      <c r="B195" s="26" t="s">
        <v>240</v>
      </c>
      <c r="C195" s="189">
        <v>7.968</v>
      </c>
      <c r="D195" s="189" t="s">
        <v>178</v>
      </c>
    </row>
    <row r="196">
      <c r="A196" s="188">
        <v>44810.02510108796</v>
      </c>
      <c r="B196" s="26" t="s">
        <v>269</v>
      </c>
      <c r="C196" s="189">
        <v>7.398000000000001</v>
      </c>
      <c r="D196" s="189" t="s">
        <v>178</v>
      </c>
    </row>
    <row r="197">
      <c r="A197" s="188">
        <v>44810.02510108796</v>
      </c>
      <c r="B197" s="26" t="s">
        <v>173</v>
      </c>
      <c r="C197" s="189">
        <v>6.1</v>
      </c>
      <c r="D197" s="189" t="s">
        <v>53</v>
      </c>
    </row>
    <row r="198">
      <c r="A198" s="188">
        <v>44810.02510108796</v>
      </c>
      <c r="B198" s="26" t="s">
        <v>347</v>
      </c>
      <c r="C198" s="189">
        <v>2.1</v>
      </c>
      <c r="D198" s="189" t="s">
        <v>116</v>
      </c>
    </row>
    <row r="199">
      <c r="A199" s="188">
        <v>44810.02510108796</v>
      </c>
      <c r="B199" s="26" t="s">
        <v>363</v>
      </c>
      <c r="C199" s="189">
        <v>7.987</v>
      </c>
      <c r="D199" s="189" t="s">
        <v>154</v>
      </c>
    </row>
    <row r="200">
      <c r="A200" s="188">
        <v>44810.02510108796</v>
      </c>
      <c r="B200" s="26" t="s">
        <v>365</v>
      </c>
      <c r="C200" s="189">
        <v>5.793</v>
      </c>
      <c r="D200" s="189" t="s">
        <v>141</v>
      </c>
    </row>
    <row r="201">
      <c r="A201" s="188">
        <v>44810.02510108796</v>
      </c>
      <c r="B201" s="26" t="s">
        <v>120</v>
      </c>
      <c r="C201" s="189">
        <v>7.542999999999999</v>
      </c>
      <c r="D201" s="189" t="s">
        <v>53</v>
      </c>
    </row>
    <row r="202">
      <c r="A202" s="188">
        <v>44810.02510108796</v>
      </c>
      <c r="B202" s="26" t="s">
        <v>263</v>
      </c>
      <c r="C202" s="189">
        <v>5.495</v>
      </c>
      <c r="D202" s="189" t="s">
        <v>178</v>
      </c>
    </row>
    <row r="203">
      <c r="A203" s="188">
        <v>44810.02510108796</v>
      </c>
      <c r="B203" s="26" t="s">
        <v>394</v>
      </c>
      <c r="C203" s="189">
        <v>3.4</v>
      </c>
      <c r="D203" s="189" t="s">
        <v>109</v>
      </c>
    </row>
    <row r="204">
      <c r="A204" s="188">
        <v>44810.02510108796</v>
      </c>
      <c r="B204" s="26" t="s">
        <v>367</v>
      </c>
      <c r="C204" s="189">
        <v>7.776</v>
      </c>
      <c r="D204" s="189" t="s">
        <v>109</v>
      </c>
    </row>
    <row r="205">
      <c r="A205" s="188">
        <v>44810.02510108796</v>
      </c>
      <c r="B205" s="26" t="s">
        <v>204</v>
      </c>
      <c r="C205" s="189">
        <v>6.082</v>
      </c>
      <c r="D205" s="189" t="s">
        <v>131</v>
      </c>
    </row>
    <row r="206">
      <c r="A206" s="188">
        <v>44810.02510108796</v>
      </c>
      <c r="B206" s="26" t="s">
        <v>298</v>
      </c>
      <c r="C206" s="189">
        <v>4.788</v>
      </c>
      <c r="D206" s="189" t="s">
        <v>138</v>
      </c>
    </row>
    <row r="207">
      <c r="A207" s="188">
        <v>44810.02510108796</v>
      </c>
      <c r="B207" s="26" t="s">
        <v>368</v>
      </c>
      <c r="C207" s="189">
        <v>5.2989999999999995</v>
      </c>
      <c r="D207" s="189" t="s">
        <v>154</v>
      </c>
    </row>
    <row r="208">
      <c r="A208" s="188">
        <v>44810.02510108796</v>
      </c>
      <c r="B208" s="26" t="s">
        <v>400</v>
      </c>
      <c r="C208" s="189">
        <v>8.7</v>
      </c>
      <c r="D208" s="189" t="s">
        <v>109</v>
      </c>
    </row>
    <row r="209">
      <c r="A209" s="188">
        <v>44810.02510108796</v>
      </c>
      <c r="B209" s="26" t="s">
        <v>176</v>
      </c>
      <c r="C209" s="189">
        <v>6.255</v>
      </c>
      <c r="D209" s="189" t="s">
        <v>53</v>
      </c>
    </row>
    <row r="210">
      <c r="A210" s="188">
        <v>44810.02510108796</v>
      </c>
      <c r="B210" s="26" t="s">
        <v>168</v>
      </c>
      <c r="C210" s="189">
        <v>11.135000000000002</v>
      </c>
      <c r="D210" s="189" t="s">
        <v>53</v>
      </c>
    </row>
    <row r="211">
      <c r="A211" s="188">
        <v>44810.02510108796</v>
      </c>
      <c r="B211" s="26" t="s">
        <v>184</v>
      </c>
      <c r="C211" s="189">
        <v>8.598</v>
      </c>
      <c r="D211" s="189" t="s">
        <v>53</v>
      </c>
    </row>
    <row r="212">
      <c r="A212" s="188">
        <v>44810.02510108796</v>
      </c>
      <c r="B212" s="26" t="s">
        <v>354</v>
      </c>
      <c r="C212" s="189">
        <v>7.999</v>
      </c>
      <c r="D212" s="189" t="s">
        <v>116</v>
      </c>
    </row>
    <row r="213">
      <c r="A213" s="188">
        <v>44810.02510108796</v>
      </c>
      <c r="B213" s="26" t="s">
        <v>170</v>
      </c>
      <c r="C213" s="189">
        <v>4.297</v>
      </c>
      <c r="D213" s="189" t="s">
        <v>53</v>
      </c>
    </row>
    <row r="214">
      <c r="A214" s="188">
        <v>44810.02510108796</v>
      </c>
      <c r="B214" s="26" t="s">
        <v>373</v>
      </c>
      <c r="C214" s="189">
        <v>7.696000000000001</v>
      </c>
      <c r="D214" s="189" t="s">
        <v>103</v>
      </c>
    </row>
    <row r="215">
      <c r="A215" s="188">
        <v>44810.02510108796</v>
      </c>
      <c r="B215" s="26" t="s">
        <v>54</v>
      </c>
      <c r="C215" s="189">
        <v>6.8260000000000005</v>
      </c>
      <c r="D215" s="189" t="s">
        <v>53</v>
      </c>
    </row>
    <row r="216">
      <c r="A216" s="188">
        <v>44810.02510108796</v>
      </c>
      <c r="B216" s="26" t="s">
        <v>274</v>
      </c>
      <c r="C216" s="189">
        <v>7.074</v>
      </c>
      <c r="D216" s="189" t="s">
        <v>59</v>
      </c>
    </row>
    <row r="217">
      <c r="A217" s="188">
        <v>44810.02510108796</v>
      </c>
      <c r="B217" s="26" t="s">
        <v>375</v>
      </c>
      <c r="C217" s="189">
        <v>8.268</v>
      </c>
      <c r="D217" s="189" t="s">
        <v>109</v>
      </c>
    </row>
    <row r="218">
      <c r="A218" s="188">
        <v>44810.02510108796</v>
      </c>
      <c r="B218" s="26" t="s">
        <v>370</v>
      </c>
      <c r="C218" s="189">
        <v>8.739</v>
      </c>
      <c r="D218" s="189" t="s">
        <v>166</v>
      </c>
    </row>
    <row r="219">
      <c r="A219" s="188">
        <v>44810.02510108796</v>
      </c>
      <c r="B219" s="26" t="s">
        <v>381</v>
      </c>
      <c r="C219" s="189">
        <v>6.487</v>
      </c>
      <c r="D219" s="189" t="s">
        <v>148</v>
      </c>
    </row>
    <row r="220">
      <c r="A220" s="188">
        <v>44810.02510108796</v>
      </c>
      <c r="B220" s="26" t="s">
        <v>355</v>
      </c>
      <c r="C220" s="189">
        <v>2.6</v>
      </c>
      <c r="D220" s="189" t="s">
        <v>116</v>
      </c>
    </row>
    <row r="221">
      <c r="A221" s="188">
        <v>44810.02510108796</v>
      </c>
      <c r="B221" s="26" t="s">
        <v>386</v>
      </c>
      <c r="C221" s="189">
        <v>5.2</v>
      </c>
      <c r="D221" s="189" t="s">
        <v>141</v>
      </c>
    </row>
    <row r="222">
      <c r="A222" s="188">
        <v>44810.02510108796</v>
      </c>
      <c r="B222" s="26" t="s">
        <v>219</v>
      </c>
      <c r="C222" s="189">
        <v>5.476</v>
      </c>
      <c r="D222" s="189" t="s">
        <v>131</v>
      </c>
    </row>
    <row r="223">
      <c r="A223" s="188">
        <v>44810.02510108796</v>
      </c>
      <c r="B223" s="26" t="s">
        <v>349</v>
      </c>
      <c r="C223" s="189">
        <v>5.6930000000000005</v>
      </c>
      <c r="D223" s="189" t="s">
        <v>141</v>
      </c>
    </row>
    <row r="224">
      <c r="A224" s="188">
        <v>44810.02510108796</v>
      </c>
      <c r="B224" s="26" t="s">
        <v>314</v>
      </c>
      <c r="C224" s="189">
        <v>9.072000000000001</v>
      </c>
      <c r="D224" s="189" t="s">
        <v>141</v>
      </c>
    </row>
    <row r="225">
      <c r="A225" s="188">
        <v>44810.02510108796</v>
      </c>
      <c r="B225" s="26" t="s">
        <v>302</v>
      </c>
      <c r="C225" s="189">
        <v>6.747</v>
      </c>
      <c r="D225" s="189" t="s">
        <v>138</v>
      </c>
    </row>
    <row r="226">
      <c r="A226" s="188">
        <v>44810.02510108796</v>
      </c>
      <c r="B226" s="26" t="s">
        <v>379</v>
      </c>
      <c r="C226" s="189">
        <v>5.8</v>
      </c>
      <c r="D226" s="189" t="s">
        <v>154</v>
      </c>
    </row>
    <row r="227">
      <c r="A227" s="188">
        <v>44810.02510108796</v>
      </c>
      <c r="B227" s="26" t="s">
        <v>210</v>
      </c>
      <c r="C227" s="189">
        <v>3.3</v>
      </c>
      <c r="D227" s="189" t="s">
        <v>131</v>
      </c>
    </row>
    <row r="228">
      <c r="A228" s="188">
        <v>44810.02510108796</v>
      </c>
      <c r="B228" s="26" t="s">
        <v>338</v>
      </c>
      <c r="C228" s="189">
        <v>4.786</v>
      </c>
      <c r="D228" s="189" t="s">
        <v>144</v>
      </c>
    </row>
    <row r="229">
      <c r="A229" s="188">
        <v>44810.02510108796</v>
      </c>
      <c r="B229" s="26" t="s">
        <v>311</v>
      </c>
      <c r="C229" s="189">
        <v>4.993</v>
      </c>
      <c r="D229" s="189" t="s">
        <v>138</v>
      </c>
    </row>
    <row r="230">
      <c r="A230" s="188">
        <v>44810.02510108796</v>
      </c>
      <c r="B230" s="26" t="s">
        <v>308</v>
      </c>
      <c r="C230" s="189">
        <v>7.189</v>
      </c>
      <c r="D230" s="189" t="s">
        <v>138</v>
      </c>
    </row>
    <row r="231">
      <c r="A231" s="188">
        <v>44810.02510108796</v>
      </c>
      <c r="B231" s="26" t="s">
        <v>358</v>
      </c>
      <c r="C231" s="189">
        <v>7.148000000000001</v>
      </c>
      <c r="D231" s="189" t="s">
        <v>103</v>
      </c>
    </row>
    <row r="232">
      <c r="A232" s="188">
        <v>44810.02510108796</v>
      </c>
      <c r="B232" s="26" t="s">
        <v>362</v>
      </c>
      <c r="C232" s="189">
        <v>2.8</v>
      </c>
      <c r="D232" s="189" t="s">
        <v>103</v>
      </c>
    </row>
    <row r="233">
      <c r="A233" s="188">
        <v>44810.02510108796</v>
      </c>
      <c r="B233" s="26" t="s">
        <v>214</v>
      </c>
      <c r="C233" s="189">
        <v>7.994</v>
      </c>
      <c r="D233" s="189" t="s">
        <v>131</v>
      </c>
    </row>
    <row r="234">
      <c r="A234" s="188">
        <v>44810.02510108796</v>
      </c>
      <c r="B234" s="26" t="s">
        <v>387</v>
      </c>
      <c r="C234" s="189">
        <v>7.098</v>
      </c>
      <c r="D234" s="189" t="s">
        <v>148</v>
      </c>
    </row>
    <row r="235">
      <c r="A235" s="188">
        <v>44810.02510108796</v>
      </c>
      <c r="B235" s="26" t="s">
        <v>364</v>
      </c>
      <c r="C235" s="189">
        <v>8.479000000000001</v>
      </c>
      <c r="D235" s="189" t="s">
        <v>166</v>
      </c>
    </row>
    <row r="236">
      <c r="A236" s="188">
        <v>44810.02510108796</v>
      </c>
      <c r="B236" s="26" t="s">
        <v>380</v>
      </c>
      <c r="C236" s="189">
        <v>3.999</v>
      </c>
      <c r="D236" s="189" t="s">
        <v>148</v>
      </c>
    </row>
    <row r="237">
      <c r="A237" s="188">
        <v>44810.02510108796</v>
      </c>
      <c r="B237" s="26" t="s">
        <v>272</v>
      </c>
      <c r="C237" s="189">
        <v>6.178</v>
      </c>
      <c r="D237" s="189" t="s">
        <v>178</v>
      </c>
    </row>
    <row r="238">
      <c r="A238" s="188">
        <v>44810.02510108796</v>
      </c>
      <c r="B238" s="26" t="s">
        <v>265</v>
      </c>
      <c r="C238" s="189">
        <v>8.032</v>
      </c>
      <c r="D238" s="189" t="s">
        <v>178</v>
      </c>
    </row>
    <row r="239">
      <c r="A239" s="188">
        <v>44810.02510108796</v>
      </c>
      <c r="B239" s="26" t="s">
        <v>318</v>
      </c>
      <c r="C239" s="189">
        <v>6.335</v>
      </c>
      <c r="D239" s="189" t="s">
        <v>141</v>
      </c>
    </row>
    <row r="240">
      <c r="A240" s="188">
        <v>44810.02510108796</v>
      </c>
      <c r="B240" s="26" t="s">
        <v>267</v>
      </c>
      <c r="C240" s="189">
        <v>6.883</v>
      </c>
      <c r="D240" s="189" t="s">
        <v>178</v>
      </c>
    </row>
    <row r="241">
      <c r="A241" s="188">
        <v>44810.02510108796</v>
      </c>
      <c r="B241" s="26" t="s">
        <v>195</v>
      </c>
      <c r="C241" s="189">
        <v>4.898000000000001</v>
      </c>
      <c r="D241" s="189" t="s">
        <v>53</v>
      </c>
    </row>
    <row r="242">
      <c r="A242" s="188">
        <v>44810.02510108796</v>
      </c>
      <c r="B242" s="26" t="s">
        <v>378</v>
      </c>
      <c r="C242" s="189">
        <v>8.488000000000001</v>
      </c>
      <c r="D242" s="189" t="s">
        <v>103</v>
      </c>
    </row>
    <row r="243">
      <c r="A243" s="188">
        <v>44810.02510108796</v>
      </c>
      <c r="B243" s="26" t="s">
        <v>374</v>
      </c>
      <c r="C243" s="189">
        <v>9.239</v>
      </c>
      <c r="D243" s="189" t="s">
        <v>148</v>
      </c>
    </row>
    <row r="244">
      <c r="A244" s="188">
        <v>44810.02510108796</v>
      </c>
      <c r="B244" s="26" t="s">
        <v>261</v>
      </c>
      <c r="C244" s="189">
        <v>8.393</v>
      </c>
      <c r="D244" s="189" t="s">
        <v>178</v>
      </c>
    </row>
    <row r="245">
      <c r="A245" s="188">
        <v>44810.02510108796</v>
      </c>
      <c r="B245" s="26" t="s">
        <v>281</v>
      </c>
      <c r="C245" s="189">
        <v>3.4</v>
      </c>
      <c r="D245" s="189" t="s">
        <v>59</v>
      </c>
    </row>
    <row r="246">
      <c r="A246" s="188">
        <v>44810.02510108796</v>
      </c>
      <c r="B246" s="26" t="s">
        <v>199</v>
      </c>
      <c r="C246" s="189">
        <v>2.4</v>
      </c>
      <c r="D246" s="189" t="s">
        <v>131</v>
      </c>
    </row>
    <row r="247">
      <c r="A247" s="188">
        <v>44810.02510108796</v>
      </c>
      <c r="B247" s="26" t="s">
        <v>401</v>
      </c>
      <c r="C247" s="189">
        <v>3.0</v>
      </c>
      <c r="D247" s="189" t="s">
        <v>148</v>
      </c>
    </row>
    <row r="248">
      <c r="A248" s="188">
        <v>44810.02510108796</v>
      </c>
      <c r="B248" s="26" t="s">
        <v>279</v>
      </c>
      <c r="C248" s="189">
        <v>5.386</v>
      </c>
      <c r="D248" s="189" t="s">
        <v>59</v>
      </c>
    </row>
    <row r="249">
      <c r="A249" s="188">
        <v>44810.02510108796</v>
      </c>
      <c r="B249" s="26" t="s">
        <v>369</v>
      </c>
      <c r="C249" s="189">
        <v>9.134</v>
      </c>
      <c r="D249" s="189" t="s">
        <v>116</v>
      </c>
    </row>
    <row r="250">
      <c r="A250" s="188">
        <v>44810.02510108796</v>
      </c>
      <c r="B250" s="26" t="s">
        <v>304</v>
      </c>
      <c r="C250" s="189">
        <v>6.178</v>
      </c>
      <c r="D250" s="189" t="s">
        <v>138</v>
      </c>
    </row>
    <row r="251">
      <c r="A251" s="188">
        <v>44810.02510108796</v>
      </c>
      <c r="B251" s="26" t="s">
        <v>372</v>
      </c>
      <c r="C251" s="189">
        <v>8.498000000000001</v>
      </c>
      <c r="D251" s="189" t="s">
        <v>154</v>
      </c>
    </row>
    <row r="252">
      <c r="A252" s="188">
        <v>44810.02510108796</v>
      </c>
      <c r="B252" s="26" t="s">
        <v>366</v>
      </c>
      <c r="C252" s="189">
        <v>3.8</v>
      </c>
      <c r="D252" s="189" t="s">
        <v>154</v>
      </c>
    </row>
    <row r="253">
      <c r="A253" s="188">
        <v>44810.02510108796</v>
      </c>
      <c r="B253" s="26" t="s">
        <v>296</v>
      </c>
      <c r="C253" s="189">
        <v>7.224</v>
      </c>
      <c r="D253" s="189" t="s">
        <v>138</v>
      </c>
    </row>
    <row r="254">
      <c r="A254" s="188">
        <v>44810.02510108796</v>
      </c>
      <c r="B254" s="26" t="s">
        <v>309</v>
      </c>
      <c r="C254" s="189">
        <v>4.5</v>
      </c>
      <c r="D254" s="189" t="s">
        <v>138</v>
      </c>
    </row>
    <row r="255">
      <c r="A255" s="188">
        <v>44810.02510108796</v>
      </c>
      <c r="B255" s="26" t="s">
        <v>155</v>
      </c>
      <c r="C255" s="189">
        <v>5.898000000000001</v>
      </c>
      <c r="D255" s="189" t="s">
        <v>53</v>
      </c>
    </row>
    <row r="256">
      <c r="A256" s="188">
        <v>44810.02510108796</v>
      </c>
      <c r="B256" s="26" t="s">
        <v>384</v>
      </c>
      <c r="C256" s="189">
        <v>4.2</v>
      </c>
      <c r="D256" s="189" t="s">
        <v>148</v>
      </c>
    </row>
    <row r="257">
      <c r="A257" s="188">
        <v>44810.02510108796</v>
      </c>
      <c r="B257" s="26" t="s">
        <v>259</v>
      </c>
      <c r="C257" s="189">
        <v>6.695</v>
      </c>
      <c r="D257" s="189" t="s">
        <v>178</v>
      </c>
    </row>
    <row r="258">
      <c r="A258" s="188">
        <v>44810.02510108796</v>
      </c>
      <c r="B258" s="26" t="s">
        <v>377</v>
      </c>
      <c r="C258" s="189">
        <v>8.120999999999999</v>
      </c>
      <c r="D258" s="189" t="s">
        <v>148</v>
      </c>
    </row>
    <row r="259">
      <c r="A259" s="188">
        <v>44810.02510108796</v>
      </c>
      <c r="B259" s="26" t="s">
        <v>222</v>
      </c>
      <c r="C259" s="189">
        <v>4.1</v>
      </c>
      <c r="D259" s="189" t="s">
        <v>131</v>
      </c>
    </row>
    <row r="260">
      <c r="A260" s="188">
        <v>44810.02510108796</v>
      </c>
      <c r="B260" s="26" t="s">
        <v>371</v>
      </c>
      <c r="C260" s="189">
        <v>4.8950000000000005</v>
      </c>
      <c r="D260" s="189" t="s">
        <v>144</v>
      </c>
    </row>
    <row r="261">
      <c r="A261" s="188">
        <v>44810.02510108796</v>
      </c>
      <c r="B261" s="26" t="s">
        <v>271</v>
      </c>
      <c r="C261" s="189">
        <v>9.306</v>
      </c>
      <c r="D261" s="189" t="s">
        <v>178</v>
      </c>
    </row>
    <row r="262">
      <c r="A262" s="188">
        <v>44810.02510108796</v>
      </c>
      <c r="B262" s="26" t="s">
        <v>382</v>
      </c>
      <c r="C262" s="189">
        <v>6.212</v>
      </c>
      <c r="D262" s="189" t="s">
        <v>154</v>
      </c>
    </row>
    <row r="263">
      <c r="A263" s="188">
        <v>44810.02510108796</v>
      </c>
      <c r="B263" s="26" t="s">
        <v>197</v>
      </c>
      <c r="C263" s="189">
        <v>8.511</v>
      </c>
      <c r="D263" s="189" t="s">
        <v>131</v>
      </c>
    </row>
    <row r="264">
      <c r="A264" s="188">
        <v>44810.02510108796</v>
      </c>
      <c r="B264" s="26" t="s">
        <v>383</v>
      </c>
      <c r="C264" s="189">
        <v>5.294</v>
      </c>
      <c r="D264" s="189" t="s">
        <v>154</v>
      </c>
    </row>
    <row r="265">
      <c r="A265" s="26" t="s">
        <v>654</v>
      </c>
      <c r="B265" s="26" t="s">
        <v>0</v>
      </c>
      <c r="C265" s="26" t="s">
        <v>655</v>
      </c>
      <c r="D265" s="26" t="s">
        <v>656</v>
      </c>
    </row>
    <row r="266">
      <c r="A266" s="188">
        <v>44817.0251005787</v>
      </c>
      <c r="B266" s="26" t="s">
        <v>324</v>
      </c>
      <c r="C266" s="189">
        <v>10.203999999999999</v>
      </c>
      <c r="D266" s="189" t="s">
        <v>103</v>
      </c>
    </row>
    <row r="267">
      <c r="A267" s="188">
        <v>44817.0251005787</v>
      </c>
      <c r="B267" s="26" t="s">
        <v>323</v>
      </c>
      <c r="C267" s="189">
        <v>3.099</v>
      </c>
      <c r="D267" s="189" t="s">
        <v>141</v>
      </c>
    </row>
    <row r="268">
      <c r="A268" s="188">
        <v>44817.0251005787</v>
      </c>
      <c r="B268" s="26" t="s">
        <v>287</v>
      </c>
      <c r="C268" s="189">
        <v>10.928</v>
      </c>
      <c r="D268" s="189" t="s">
        <v>141</v>
      </c>
    </row>
    <row r="269">
      <c r="A269" s="188">
        <v>44817.0251005787</v>
      </c>
      <c r="B269" s="26" t="s">
        <v>277</v>
      </c>
      <c r="C269" s="189">
        <v>8.836</v>
      </c>
      <c r="D269" s="189" t="s">
        <v>59</v>
      </c>
    </row>
    <row r="270">
      <c r="A270" s="188">
        <v>44817.0251005787</v>
      </c>
      <c r="B270" s="26" t="s">
        <v>328</v>
      </c>
      <c r="C270" s="189">
        <v>6.388000000000001</v>
      </c>
      <c r="D270" s="189" t="s">
        <v>109</v>
      </c>
    </row>
    <row r="271">
      <c r="A271" s="188">
        <v>44817.0251005787</v>
      </c>
      <c r="B271" s="26" t="s">
        <v>322</v>
      </c>
      <c r="C271" s="189">
        <v>4.6</v>
      </c>
      <c r="D271" s="189" t="s">
        <v>103</v>
      </c>
    </row>
    <row r="272">
      <c r="A272" s="188">
        <v>44817.0251005787</v>
      </c>
      <c r="B272" s="26" t="s">
        <v>303</v>
      </c>
      <c r="C272" s="189">
        <v>7.592</v>
      </c>
      <c r="D272" s="189" t="s">
        <v>138</v>
      </c>
    </row>
    <row r="273">
      <c r="A273" s="188">
        <v>44817.0251005787</v>
      </c>
      <c r="B273" s="26" t="s">
        <v>352</v>
      </c>
      <c r="C273" s="189">
        <v>6.941</v>
      </c>
      <c r="D273" s="189" t="s">
        <v>154</v>
      </c>
    </row>
    <row r="274">
      <c r="A274" s="188">
        <v>44817.0251005787</v>
      </c>
      <c r="B274" s="26" t="s">
        <v>398</v>
      </c>
      <c r="C274" s="189">
        <v>6.9</v>
      </c>
      <c r="D274" s="189" t="s">
        <v>166</v>
      </c>
    </row>
    <row r="275">
      <c r="A275" s="188">
        <v>44817.0251005787</v>
      </c>
      <c r="B275" s="26" t="s">
        <v>337</v>
      </c>
      <c r="C275" s="189">
        <v>5.7</v>
      </c>
      <c r="D275" s="189" t="s">
        <v>166</v>
      </c>
    </row>
    <row r="276">
      <c r="A276" s="188">
        <v>44817.0251005787</v>
      </c>
      <c r="B276" s="26" t="s">
        <v>329</v>
      </c>
      <c r="C276" s="189">
        <v>4.199</v>
      </c>
      <c r="D276" s="189" t="s">
        <v>116</v>
      </c>
    </row>
    <row r="277">
      <c r="A277" s="188">
        <v>44817.0251005787</v>
      </c>
      <c r="B277" s="26" t="s">
        <v>320</v>
      </c>
      <c r="C277" s="189">
        <v>7.743</v>
      </c>
      <c r="D277" s="189" t="s">
        <v>154</v>
      </c>
    </row>
    <row r="278">
      <c r="A278" s="188">
        <v>44817.0251005787</v>
      </c>
      <c r="B278" s="26" t="s">
        <v>316</v>
      </c>
      <c r="C278" s="189">
        <v>8.678</v>
      </c>
      <c r="D278" s="189" t="s">
        <v>148</v>
      </c>
    </row>
    <row r="279">
      <c r="A279" s="188">
        <v>44817.0251005787</v>
      </c>
      <c r="B279" s="26" t="s">
        <v>289</v>
      </c>
      <c r="C279" s="189">
        <v>3.6</v>
      </c>
      <c r="D279" s="189" t="s">
        <v>59</v>
      </c>
    </row>
    <row r="280">
      <c r="A280" s="188">
        <v>44817.0251005787</v>
      </c>
      <c r="B280" s="26" t="s">
        <v>335</v>
      </c>
      <c r="C280" s="189">
        <v>1.999</v>
      </c>
      <c r="D280" s="189" t="s">
        <v>148</v>
      </c>
    </row>
    <row r="281">
      <c r="A281" s="188">
        <v>44817.0251005787</v>
      </c>
      <c r="B281" s="26" t="s">
        <v>344</v>
      </c>
      <c r="C281" s="189">
        <v>5.339</v>
      </c>
      <c r="D281" s="189" t="s">
        <v>109</v>
      </c>
    </row>
    <row r="282">
      <c r="A282" s="188">
        <v>44817.0251005787</v>
      </c>
      <c r="B282" s="26" t="s">
        <v>393</v>
      </c>
      <c r="C282" s="189">
        <v>9.1</v>
      </c>
      <c r="D282" s="189" t="s">
        <v>141</v>
      </c>
    </row>
    <row r="283">
      <c r="A283" s="188">
        <v>44817.0251005787</v>
      </c>
      <c r="B283" s="26" t="s">
        <v>333</v>
      </c>
      <c r="C283" s="189">
        <v>5.598</v>
      </c>
      <c r="D283" s="189" t="s">
        <v>166</v>
      </c>
    </row>
    <row r="284">
      <c r="A284" s="188">
        <v>44817.0251005787</v>
      </c>
      <c r="B284" s="26" t="s">
        <v>285</v>
      </c>
      <c r="C284" s="189">
        <v>6.201</v>
      </c>
      <c r="D284" s="189" t="s">
        <v>59</v>
      </c>
    </row>
    <row r="285">
      <c r="A285" s="188">
        <v>44817.0251005787</v>
      </c>
      <c r="B285" s="26" t="s">
        <v>317</v>
      </c>
      <c r="C285" s="189">
        <v>2.4</v>
      </c>
      <c r="D285" s="189" t="s">
        <v>141</v>
      </c>
    </row>
    <row r="286">
      <c r="A286" s="188">
        <v>44817.0251005787</v>
      </c>
      <c r="B286" s="26" t="s">
        <v>282</v>
      </c>
      <c r="C286" s="189">
        <v>9.494</v>
      </c>
      <c r="D286" s="189" t="s">
        <v>138</v>
      </c>
    </row>
    <row r="287">
      <c r="A287" s="188">
        <v>44817.0251005787</v>
      </c>
      <c r="B287" s="26" t="s">
        <v>206</v>
      </c>
      <c r="C287" s="189">
        <v>10.338000000000001</v>
      </c>
      <c r="D287" s="189" t="s">
        <v>131</v>
      </c>
    </row>
    <row r="288">
      <c r="A288" s="188">
        <v>44817.0251005787</v>
      </c>
      <c r="B288" s="26" t="s">
        <v>300</v>
      </c>
      <c r="C288" s="189">
        <v>6.196000000000001</v>
      </c>
      <c r="D288" s="189" t="s">
        <v>144</v>
      </c>
    </row>
    <row r="289">
      <c r="A289" s="188">
        <v>44817.0251005787</v>
      </c>
      <c r="B289" s="26" t="s">
        <v>342</v>
      </c>
      <c r="C289" s="189">
        <v>1.3</v>
      </c>
      <c r="D289" s="189" t="s">
        <v>144</v>
      </c>
    </row>
    <row r="290">
      <c r="A290" s="188">
        <v>44817.0251005787</v>
      </c>
      <c r="B290" s="26" t="s">
        <v>336</v>
      </c>
      <c r="C290" s="189">
        <v>3.8</v>
      </c>
      <c r="D290" s="189" t="s">
        <v>116</v>
      </c>
    </row>
    <row r="291">
      <c r="A291" s="188">
        <v>44817.0251005787</v>
      </c>
      <c r="B291" s="26" t="s">
        <v>331</v>
      </c>
      <c r="C291" s="189">
        <v>6.697</v>
      </c>
      <c r="D291" s="26" t="s">
        <v>442</v>
      </c>
    </row>
    <row r="292">
      <c r="A292" s="188">
        <v>44817.0251005787</v>
      </c>
      <c r="B292" s="26" t="s">
        <v>325</v>
      </c>
      <c r="C292" s="189">
        <v>6.574</v>
      </c>
      <c r="D292" s="189" t="s">
        <v>144</v>
      </c>
    </row>
    <row r="293">
      <c r="A293" s="188">
        <v>44817.0251005787</v>
      </c>
      <c r="B293" s="26" t="s">
        <v>356</v>
      </c>
      <c r="C293" s="189">
        <v>4.994</v>
      </c>
      <c r="D293" s="189" t="s">
        <v>103</v>
      </c>
    </row>
    <row r="294">
      <c r="A294" s="188">
        <v>44817.0251005787</v>
      </c>
      <c r="B294" s="26" t="s">
        <v>181</v>
      </c>
      <c r="C294" s="189">
        <v>7.286</v>
      </c>
      <c r="D294" s="189" t="s">
        <v>53</v>
      </c>
    </row>
    <row r="295">
      <c r="A295" s="188">
        <v>44817.0251005787</v>
      </c>
      <c r="B295" s="26" t="s">
        <v>346</v>
      </c>
      <c r="C295" s="189">
        <v>6.598999999999999</v>
      </c>
      <c r="D295" s="189" t="s">
        <v>144</v>
      </c>
    </row>
    <row r="296">
      <c r="A296" s="188">
        <v>44817.0251005787</v>
      </c>
      <c r="B296" s="26" t="s">
        <v>275</v>
      </c>
      <c r="C296" s="189">
        <v>2.8</v>
      </c>
      <c r="D296" s="189" t="s">
        <v>59</v>
      </c>
    </row>
    <row r="297">
      <c r="A297" s="188">
        <v>44817.0251005787</v>
      </c>
      <c r="B297" s="26" t="s">
        <v>340</v>
      </c>
      <c r="C297" s="189">
        <v>7.577</v>
      </c>
      <c r="D297" s="189" t="s">
        <v>103</v>
      </c>
    </row>
    <row r="298">
      <c r="A298" s="188">
        <v>44817.0251005787</v>
      </c>
      <c r="B298" s="26" t="s">
        <v>345</v>
      </c>
      <c r="C298" s="189">
        <v>7.8759999999999994</v>
      </c>
      <c r="D298" s="189" t="s">
        <v>144</v>
      </c>
    </row>
    <row r="299">
      <c r="A299" s="188">
        <v>44817.0251005787</v>
      </c>
      <c r="B299" s="26" t="s">
        <v>313</v>
      </c>
      <c r="C299" s="189">
        <v>11.052</v>
      </c>
      <c r="D299" s="189" t="s">
        <v>116</v>
      </c>
    </row>
    <row r="300">
      <c r="A300" s="188">
        <v>44817.0251005787</v>
      </c>
      <c r="B300" s="26" t="s">
        <v>257</v>
      </c>
      <c r="C300" s="189">
        <v>6.8740000000000006</v>
      </c>
      <c r="D300" s="189" t="s">
        <v>178</v>
      </c>
    </row>
    <row r="301">
      <c r="A301" s="188">
        <v>44817.0251005787</v>
      </c>
      <c r="B301" s="26" t="s">
        <v>361</v>
      </c>
      <c r="C301" s="189">
        <v>4.987</v>
      </c>
      <c r="D301" s="189" t="s">
        <v>103</v>
      </c>
    </row>
    <row r="302">
      <c r="A302" s="188">
        <v>44817.0251005787</v>
      </c>
      <c r="B302" s="26" t="s">
        <v>348</v>
      </c>
      <c r="C302" s="189">
        <v>3.0</v>
      </c>
      <c r="D302" s="189" t="s">
        <v>116</v>
      </c>
    </row>
    <row r="303">
      <c r="A303" s="188">
        <v>44817.0251005787</v>
      </c>
      <c r="B303" s="26" t="s">
        <v>351</v>
      </c>
      <c r="C303" s="189">
        <v>2.9</v>
      </c>
      <c r="D303" s="189" t="s">
        <v>166</v>
      </c>
    </row>
    <row r="304">
      <c r="A304" s="188">
        <v>44817.0251005787</v>
      </c>
      <c r="B304" s="26" t="s">
        <v>330</v>
      </c>
      <c r="C304" s="189">
        <v>8.383</v>
      </c>
      <c r="D304" s="189" t="s">
        <v>154</v>
      </c>
    </row>
    <row r="305">
      <c r="A305" s="188">
        <v>44817.0251005787</v>
      </c>
      <c r="B305" s="26" t="s">
        <v>321</v>
      </c>
      <c r="C305" s="189">
        <v>5.898000000000001</v>
      </c>
      <c r="D305" s="189" t="s">
        <v>144</v>
      </c>
    </row>
    <row r="306">
      <c r="A306" s="188">
        <v>44817.0251005787</v>
      </c>
      <c r="B306" s="26" t="s">
        <v>327</v>
      </c>
      <c r="C306" s="189">
        <v>4.0</v>
      </c>
      <c r="D306" s="189" t="s">
        <v>166</v>
      </c>
    </row>
    <row r="307">
      <c r="A307" s="188">
        <v>44817.0251005787</v>
      </c>
      <c r="B307" s="26" t="s">
        <v>332</v>
      </c>
      <c r="C307" s="189">
        <v>5.196000000000001</v>
      </c>
      <c r="D307" s="189" t="s">
        <v>116</v>
      </c>
    </row>
    <row r="308">
      <c r="A308" s="188">
        <v>44817.0251005787</v>
      </c>
      <c r="B308" s="26" t="s">
        <v>326</v>
      </c>
      <c r="C308" s="189">
        <v>7.471</v>
      </c>
      <c r="D308" s="189" t="s">
        <v>148</v>
      </c>
    </row>
    <row r="309">
      <c r="A309" s="188">
        <v>44817.0251005787</v>
      </c>
      <c r="B309" s="26" t="s">
        <v>388</v>
      </c>
      <c r="C309" s="189">
        <v>6.8</v>
      </c>
      <c r="D309" s="189" t="s">
        <v>116</v>
      </c>
    </row>
    <row r="310">
      <c r="A310" s="188">
        <v>44817.0251005787</v>
      </c>
      <c r="B310" s="26" t="s">
        <v>217</v>
      </c>
      <c r="C310" s="189">
        <v>4.2</v>
      </c>
      <c r="D310" s="189" t="s">
        <v>131</v>
      </c>
    </row>
    <row r="311">
      <c r="A311" s="188">
        <v>44817.0251005787</v>
      </c>
      <c r="B311" s="26" t="s">
        <v>291</v>
      </c>
      <c r="C311" s="189">
        <v>7.266</v>
      </c>
      <c r="D311" s="189" t="s">
        <v>59</v>
      </c>
    </row>
    <row r="312">
      <c r="A312" s="188">
        <v>44817.0251005787</v>
      </c>
      <c r="B312" s="26" t="s">
        <v>359</v>
      </c>
      <c r="C312" s="189">
        <v>5.438</v>
      </c>
      <c r="D312" s="189" t="s">
        <v>144</v>
      </c>
    </row>
    <row r="313">
      <c r="A313" s="188">
        <v>44817.0251005787</v>
      </c>
      <c r="B313" s="26" t="s">
        <v>283</v>
      </c>
      <c r="C313" s="189">
        <v>8.389000000000001</v>
      </c>
      <c r="D313" s="189" t="s">
        <v>59</v>
      </c>
    </row>
    <row r="314">
      <c r="A314" s="188">
        <v>44817.0251005787</v>
      </c>
      <c r="B314" s="26" t="s">
        <v>399</v>
      </c>
      <c r="C314" s="189">
        <v>8.7</v>
      </c>
      <c r="D314" s="189" t="s">
        <v>166</v>
      </c>
    </row>
    <row r="315">
      <c r="A315" s="188">
        <v>44817.0251005787</v>
      </c>
      <c r="B315" s="26" t="s">
        <v>292</v>
      </c>
      <c r="C315" s="189">
        <v>8.087</v>
      </c>
      <c r="D315" s="189" t="s">
        <v>109</v>
      </c>
    </row>
    <row r="316">
      <c r="A316" s="188">
        <v>44817.0251005787</v>
      </c>
      <c r="B316" s="26" t="s">
        <v>334</v>
      </c>
      <c r="C316" s="189">
        <v>6.069</v>
      </c>
      <c r="D316" s="189" t="s">
        <v>166</v>
      </c>
    </row>
    <row r="317">
      <c r="A317" s="188">
        <v>44817.0251005787</v>
      </c>
      <c r="B317" s="26" t="s">
        <v>353</v>
      </c>
      <c r="C317" s="189">
        <v>6.0969999999999995</v>
      </c>
      <c r="D317" s="189" t="s">
        <v>141</v>
      </c>
    </row>
    <row r="318">
      <c r="A318" s="188">
        <v>44817.0251005787</v>
      </c>
      <c r="B318" s="26" t="s">
        <v>360</v>
      </c>
      <c r="C318" s="189">
        <v>7.085</v>
      </c>
      <c r="D318" s="189" t="s">
        <v>109</v>
      </c>
    </row>
    <row r="319">
      <c r="A319" s="188">
        <v>44817.0251005787</v>
      </c>
      <c r="B319" s="26" t="s">
        <v>306</v>
      </c>
      <c r="C319" s="189">
        <v>10.071</v>
      </c>
      <c r="D319" s="189" t="s">
        <v>166</v>
      </c>
    </row>
    <row r="320">
      <c r="A320" s="188">
        <v>44817.0251005787</v>
      </c>
      <c r="B320" s="26" t="s">
        <v>341</v>
      </c>
      <c r="C320" s="189">
        <v>7.095</v>
      </c>
      <c r="D320" s="189" t="s">
        <v>103</v>
      </c>
    </row>
    <row r="321">
      <c r="A321" s="188">
        <v>44817.0251005787</v>
      </c>
      <c r="B321" s="26" t="s">
        <v>339</v>
      </c>
      <c r="C321" s="189">
        <v>7.649</v>
      </c>
      <c r="D321" s="189" t="s">
        <v>109</v>
      </c>
    </row>
    <row r="322">
      <c r="A322" s="188">
        <v>44817.0251005787</v>
      </c>
      <c r="B322" s="26" t="s">
        <v>208</v>
      </c>
      <c r="C322" s="189">
        <v>6.196</v>
      </c>
      <c r="D322" s="189" t="s">
        <v>131</v>
      </c>
    </row>
    <row r="323">
      <c r="A323" s="188">
        <v>44817.0251005787</v>
      </c>
      <c r="B323" s="26" t="s">
        <v>357</v>
      </c>
      <c r="C323" s="189">
        <v>9.463</v>
      </c>
      <c r="D323" s="189" t="s">
        <v>144</v>
      </c>
    </row>
    <row r="324">
      <c r="A324" s="188">
        <v>44817.0251005787</v>
      </c>
      <c r="B324" s="26" t="s">
        <v>294</v>
      </c>
      <c r="C324" s="189">
        <v>8.16</v>
      </c>
      <c r="D324" s="189" t="s">
        <v>138</v>
      </c>
    </row>
    <row r="325">
      <c r="A325" s="188">
        <v>44817.0251005787</v>
      </c>
      <c r="B325" s="26" t="s">
        <v>284</v>
      </c>
      <c r="C325" s="189">
        <v>9.775</v>
      </c>
      <c r="D325" s="189" t="s">
        <v>59</v>
      </c>
    </row>
    <row r="326">
      <c r="A326" s="188">
        <v>44817.0251005787</v>
      </c>
      <c r="B326" s="26" t="s">
        <v>343</v>
      </c>
      <c r="C326" s="189">
        <v>5.882000000000001</v>
      </c>
      <c r="D326" s="189" t="s">
        <v>109</v>
      </c>
    </row>
    <row r="327">
      <c r="A327" s="188">
        <v>44817.0251005787</v>
      </c>
      <c r="B327" s="26" t="s">
        <v>240</v>
      </c>
      <c r="C327" s="189">
        <v>8.429</v>
      </c>
      <c r="D327" s="189" t="s">
        <v>178</v>
      </c>
    </row>
    <row r="328">
      <c r="A328" s="188">
        <v>44817.0251005787</v>
      </c>
      <c r="B328" s="26" t="s">
        <v>269</v>
      </c>
      <c r="C328" s="189">
        <v>8.091</v>
      </c>
      <c r="D328" s="189" t="s">
        <v>178</v>
      </c>
    </row>
    <row r="329">
      <c r="A329" s="188">
        <v>44817.0251005787</v>
      </c>
      <c r="B329" s="26" t="s">
        <v>173</v>
      </c>
      <c r="C329" s="189">
        <v>5.3</v>
      </c>
      <c r="D329" s="189" t="s">
        <v>53</v>
      </c>
    </row>
    <row r="330">
      <c r="A330" s="188">
        <v>44817.0251005787</v>
      </c>
      <c r="B330" s="26" t="s">
        <v>347</v>
      </c>
      <c r="C330" s="189">
        <v>1.6</v>
      </c>
      <c r="D330" s="189" t="s">
        <v>116</v>
      </c>
    </row>
    <row r="331">
      <c r="A331" s="188">
        <v>44817.0251005787</v>
      </c>
      <c r="B331" s="26" t="s">
        <v>363</v>
      </c>
      <c r="C331" s="189">
        <v>8.077</v>
      </c>
      <c r="D331" s="189" t="s">
        <v>154</v>
      </c>
    </row>
    <row r="332">
      <c r="A332" s="188">
        <v>44817.0251005787</v>
      </c>
      <c r="B332" s="26" t="s">
        <v>365</v>
      </c>
      <c r="C332" s="189">
        <v>4.397</v>
      </c>
      <c r="D332" s="189" t="s">
        <v>141</v>
      </c>
    </row>
    <row r="333">
      <c r="A333" s="188">
        <v>44817.0251005787</v>
      </c>
      <c r="B333" s="26" t="s">
        <v>120</v>
      </c>
      <c r="C333" s="189">
        <v>5.295</v>
      </c>
      <c r="D333" s="189" t="s">
        <v>53</v>
      </c>
    </row>
    <row r="334">
      <c r="A334" s="188">
        <v>44817.0251005787</v>
      </c>
      <c r="B334" s="26" t="s">
        <v>263</v>
      </c>
      <c r="C334" s="189">
        <v>5.098999999999999</v>
      </c>
      <c r="D334" s="189" t="s">
        <v>178</v>
      </c>
    </row>
    <row r="335">
      <c r="A335" s="188">
        <v>44817.0251005787</v>
      </c>
      <c r="B335" s="26" t="s">
        <v>394</v>
      </c>
      <c r="C335" s="189">
        <v>3.3</v>
      </c>
      <c r="D335" s="189" t="s">
        <v>109</v>
      </c>
    </row>
    <row r="336">
      <c r="A336" s="188">
        <v>44817.0251005787</v>
      </c>
      <c r="B336" s="26" t="s">
        <v>367</v>
      </c>
      <c r="C336" s="189">
        <v>7.778</v>
      </c>
      <c r="D336" s="189" t="s">
        <v>109</v>
      </c>
    </row>
    <row r="337">
      <c r="A337" s="188">
        <v>44817.0251005787</v>
      </c>
      <c r="B337" s="26" t="s">
        <v>204</v>
      </c>
      <c r="C337" s="189">
        <v>5.492</v>
      </c>
      <c r="D337" s="189" t="s">
        <v>131</v>
      </c>
    </row>
    <row r="338">
      <c r="A338" s="188">
        <v>44817.0251005787</v>
      </c>
      <c r="B338" s="26" t="s">
        <v>298</v>
      </c>
      <c r="C338" s="189">
        <v>5.085</v>
      </c>
      <c r="D338" s="189" t="s">
        <v>138</v>
      </c>
    </row>
    <row r="339">
      <c r="A339" s="188">
        <v>44817.0251005787</v>
      </c>
      <c r="B339" s="26" t="s">
        <v>368</v>
      </c>
      <c r="C339" s="189">
        <v>4.2</v>
      </c>
      <c r="D339" s="189" t="s">
        <v>154</v>
      </c>
    </row>
    <row r="340">
      <c r="A340" s="188">
        <v>44817.0251005787</v>
      </c>
      <c r="B340" s="26" t="s">
        <v>400</v>
      </c>
      <c r="C340" s="189">
        <v>7.1</v>
      </c>
      <c r="D340" s="189" t="s">
        <v>109</v>
      </c>
    </row>
    <row r="341">
      <c r="A341" s="188">
        <v>44817.0251005787</v>
      </c>
      <c r="B341" s="26" t="s">
        <v>176</v>
      </c>
      <c r="C341" s="189">
        <v>6.254</v>
      </c>
      <c r="D341" s="189" t="s">
        <v>53</v>
      </c>
    </row>
    <row r="342">
      <c r="A342" s="188">
        <v>44817.0251005787</v>
      </c>
      <c r="B342" s="26" t="s">
        <v>168</v>
      </c>
      <c r="C342" s="189">
        <v>10.975999999999999</v>
      </c>
      <c r="D342" s="189" t="s">
        <v>53</v>
      </c>
    </row>
    <row r="343">
      <c r="A343" s="188">
        <v>44817.0251005787</v>
      </c>
      <c r="B343" s="26" t="s">
        <v>184</v>
      </c>
      <c r="C343" s="189">
        <v>8.628</v>
      </c>
      <c r="D343" s="189" t="s">
        <v>53</v>
      </c>
    </row>
    <row r="344">
      <c r="A344" s="188">
        <v>44817.0251005787</v>
      </c>
      <c r="B344" s="26" t="s">
        <v>354</v>
      </c>
      <c r="C344" s="189">
        <v>8.397</v>
      </c>
      <c r="D344" s="189" t="s">
        <v>116</v>
      </c>
    </row>
    <row r="345">
      <c r="A345" s="188">
        <v>44817.0251005787</v>
      </c>
      <c r="B345" s="26" t="s">
        <v>170</v>
      </c>
      <c r="C345" s="189">
        <v>3.898</v>
      </c>
      <c r="D345" s="189" t="s">
        <v>53</v>
      </c>
    </row>
    <row r="346">
      <c r="A346" s="188">
        <v>44817.0251005787</v>
      </c>
      <c r="B346" s="26" t="s">
        <v>373</v>
      </c>
      <c r="C346" s="189">
        <v>8.286000000000001</v>
      </c>
      <c r="D346" s="189" t="s">
        <v>103</v>
      </c>
    </row>
    <row r="347">
      <c r="A347" s="188">
        <v>44817.0251005787</v>
      </c>
      <c r="B347" s="26" t="s">
        <v>54</v>
      </c>
      <c r="C347" s="189">
        <v>7.416</v>
      </c>
      <c r="D347" s="189" t="s">
        <v>53</v>
      </c>
    </row>
    <row r="348">
      <c r="A348" s="188">
        <v>44817.0251005787</v>
      </c>
      <c r="B348" s="26" t="s">
        <v>274</v>
      </c>
      <c r="C348" s="189">
        <v>7.386</v>
      </c>
      <c r="D348" s="189" t="s">
        <v>59</v>
      </c>
    </row>
    <row r="349">
      <c r="A349" s="188">
        <v>44817.0251005787</v>
      </c>
      <c r="B349" s="26" t="s">
        <v>375</v>
      </c>
      <c r="C349" s="189">
        <v>8.546999999999999</v>
      </c>
      <c r="D349" s="189" t="s">
        <v>109</v>
      </c>
    </row>
    <row r="350">
      <c r="A350" s="188">
        <v>44817.0251005787</v>
      </c>
      <c r="B350" s="26" t="s">
        <v>370</v>
      </c>
      <c r="C350" s="189">
        <v>7.94</v>
      </c>
      <c r="D350" s="189" t="s">
        <v>166</v>
      </c>
    </row>
    <row r="351">
      <c r="A351" s="188">
        <v>44817.0251005787</v>
      </c>
      <c r="B351" s="26" t="s">
        <v>381</v>
      </c>
      <c r="C351" s="189">
        <v>7.2589999999999995</v>
      </c>
      <c r="D351" s="189" t="s">
        <v>148</v>
      </c>
    </row>
    <row r="352">
      <c r="A352" s="188">
        <v>44817.0251005787</v>
      </c>
      <c r="B352" s="26" t="s">
        <v>355</v>
      </c>
      <c r="C352" s="189">
        <v>3.6990000000000003</v>
      </c>
      <c r="D352" s="189" t="s">
        <v>116</v>
      </c>
    </row>
    <row r="353">
      <c r="A353" s="188">
        <v>44817.0251005787</v>
      </c>
      <c r="B353" s="26" t="s">
        <v>386</v>
      </c>
      <c r="C353" s="189">
        <v>5.7</v>
      </c>
      <c r="D353" s="189" t="s">
        <v>141</v>
      </c>
    </row>
    <row r="354">
      <c r="A354" s="188">
        <v>44817.0251005787</v>
      </c>
      <c r="B354" s="26" t="s">
        <v>219</v>
      </c>
      <c r="C354" s="189">
        <v>5.482</v>
      </c>
      <c r="D354" s="189" t="s">
        <v>131</v>
      </c>
    </row>
    <row r="355">
      <c r="A355" s="188">
        <v>44817.0251005787</v>
      </c>
      <c r="B355" s="26" t="s">
        <v>349</v>
      </c>
      <c r="C355" s="189">
        <v>6.6850000000000005</v>
      </c>
      <c r="D355" s="189" t="s">
        <v>141</v>
      </c>
    </row>
    <row r="356">
      <c r="A356" s="188">
        <v>44817.0251005787</v>
      </c>
      <c r="B356" s="26" t="s">
        <v>314</v>
      </c>
      <c r="C356" s="189">
        <v>8.174000000000001</v>
      </c>
      <c r="D356" s="189" t="s">
        <v>141</v>
      </c>
    </row>
    <row r="357">
      <c r="A357" s="188">
        <v>44817.0251005787</v>
      </c>
      <c r="B357" s="26" t="s">
        <v>302</v>
      </c>
      <c r="C357" s="189">
        <v>7.74</v>
      </c>
      <c r="D357" s="189" t="s">
        <v>138</v>
      </c>
    </row>
    <row r="358">
      <c r="A358" s="188">
        <v>44817.0251005787</v>
      </c>
      <c r="B358" s="26" t="s">
        <v>379</v>
      </c>
      <c r="C358" s="189">
        <v>5.8</v>
      </c>
      <c r="D358" s="189" t="s">
        <v>154</v>
      </c>
    </row>
    <row r="359">
      <c r="A359" s="188">
        <v>44817.0251005787</v>
      </c>
      <c r="B359" s="26" t="s">
        <v>210</v>
      </c>
      <c r="C359" s="189">
        <v>2.8</v>
      </c>
      <c r="D359" s="189" t="s">
        <v>131</v>
      </c>
    </row>
    <row r="360">
      <c r="A360" s="188">
        <v>44817.0251005787</v>
      </c>
      <c r="B360" s="26" t="s">
        <v>338</v>
      </c>
      <c r="C360" s="189">
        <v>4.983</v>
      </c>
      <c r="D360" s="189" t="s">
        <v>144</v>
      </c>
    </row>
    <row r="361">
      <c r="A361" s="188">
        <v>44817.0251005787</v>
      </c>
      <c r="B361" s="26" t="s">
        <v>311</v>
      </c>
      <c r="C361" s="189">
        <v>4.399</v>
      </c>
      <c r="D361" s="189" t="s">
        <v>138</v>
      </c>
    </row>
    <row r="362">
      <c r="A362" s="188">
        <v>44817.0251005787</v>
      </c>
      <c r="B362" s="26" t="s">
        <v>308</v>
      </c>
      <c r="C362" s="189">
        <v>7.959</v>
      </c>
      <c r="D362" s="189" t="s">
        <v>138</v>
      </c>
    </row>
    <row r="363">
      <c r="A363" s="188">
        <v>44817.0251005787</v>
      </c>
      <c r="B363" s="26" t="s">
        <v>358</v>
      </c>
      <c r="C363" s="189">
        <v>6.484</v>
      </c>
      <c r="D363" s="189" t="s">
        <v>103</v>
      </c>
    </row>
    <row r="364">
      <c r="A364" s="188">
        <v>44817.0251005787</v>
      </c>
      <c r="B364" s="26" t="s">
        <v>362</v>
      </c>
      <c r="C364" s="189">
        <v>3.0</v>
      </c>
      <c r="D364" s="189" t="s">
        <v>103</v>
      </c>
    </row>
    <row r="365">
      <c r="A365" s="188">
        <v>44817.0251005787</v>
      </c>
      <c r="B365" s="26" t="s">
        <v>214</v>
      </c>
      <c r="C365" s="189">
        <v>8.780000000000001</v>
      </c>
      <c r="D365" s="189" t="s">
        <v>131</v>
      </c>
    </row>
    <row r="366">
      <c r="A366" s="188">
        <v>44817.0251005787</v>
      </c>
      <c r="B366" s="26" t="s">
        <v>387</v>
      </c>
      <c r="C366" s="189">
        <v>5.699</v>
      </c>
      <c r="D366" s="189" t="s">
        <v>148</v>
      </c>
    </row>
    <row r="367">
      <c r="A367" s="188">
        <v>44817.0251005787</v>
      </c>
      <c r="B367" s="26" t="s">
        <v>364</v>
      </c>
      <c r="C367" s="189">
        <v>8.924</v>
      </c>
      <c r="D367" s="189" t="s">
        <v>166</v>
      </c>
    </row>
    <row r="368">
      <c r="A368" s="188">
        <v>44817.0251005787</v>
      </c>
      <c r="B368" s="26" t="s">
        <v>380</v>
      </c>
      <c r="C368" s="189">
        <v>4.399</v>
      </c>
      <c r="D368" s="189" t="s">
        <v>148</v>
      </c>
    </row>
    <row r="369">
      <c r="A369" s="188">
        <v>44817.0251005787</v>
      </c>
      <c r="B369" s="26" t="s">
        <v>272</v>
      </c>
      <c r="C369" s="189">
        <v>6.188000000000001</v>
      </c>
      <c r="D369" s="189" t="s">
        <v>178</v>
      </c>
    </row>
    <row r="370">
      <c r="A370" s="188">
        <v>44817.0251005787</v>
      </c>
      <c r="B370" s="26" t="s">
        <v>265</v>
      </c>
      <c r="C370" s="189">
        <v>9.018</v>
      </c>
      <c r="D370" s="189" t="s">
        <v>178</v>
      </c>
    </row>
    <row r="371">
      <c r="A371" s="188">
        <v>44817.0251005787</v>
      </c>
      <c r="B371" s="26" t="s">
        <v>318</v>
      </c>
      <c r="C371" s="189">
        <v>5.189</v>
      </c>
      <c r="D371" s="189" t="s">
        <v>141</v>
      </c>
    </row>
    <row r="372">
      <c r="A372" s="188">
        <v>44817.0251005787</v>
      </c>
      <c r="B372" s="26" t="s">
        <v>267</v>
      </c>
      <c r="C372" s="189">
        <v>7.369000000000001</v>
      </c>
      <c r="D372" s="189" t="s">
        <v>178</v>
      </c>
    </row>
    <row r="373">
      <c r="A373" s="188">
        <v>44817.0251005787</v>
      </c>
      <c r="B373" s="26" t="s">
        <v>195</v>
      </c>
      <c r="C373" s="189">
        <v>4.999</v>
      </c>
      <c r="D373" s="189" t="s">
        <v>53</v>
      </c>
    </row>
    <row r="374">
      <c r="A374" s="188">
        <v>44817.0251005787</v>
      </c>
      <c r="B374" s="26" t="s">
        <v>378</v>
      </c>
      <c r="C374" s="189">
        <v>7.464</v>
      </c>
      <c r="D374" s="189" t="s">
        <v>103</v>
      </c>
    </row>
    <row r="375">
      <c r="A375" s="188">
        <v>44817.0251005787</v>
      </c>
      <c r="B375" s="26" t="s">
        <v>374</v>
      </c>
      <c r="C375" s="189">
        <v>7.957</v>
      </c>
      <c r="D375" s="189" t="s">
        <v>148</v>
      </c>
    </row>
    <row r="376">
      <c r="A376" s="188">
        <v>44817.0251005787</v>
      </c>
      <c r="B376" s="26" t="s">
        <v>261</v>
      </c>
      <c r="C376" s="189">
        <v>7.675</v>
      </c>
      <c r="D376" s="189" t="s">
        <v>178</v>
      </c>
    </row>
    <row r="377">
      <c r="A377" s="188">
        <v>44817.0251005787</v>
      </c>
      <c r="B377" s="26" t="s">
        <v>281</v>
      </c>
      <c r="C377" s="189">
        <v>3.1</v>
      </c>
      <c r="D377" s="189" t="s">
        <v>59</v>
      </c>
    </row>
    <row r="378">
      <c r="A378" s="188">
        <v>44817.0251005787</v>
      </c>
      <c r="B378" s="26" t="s">
        <v>199</v>
      </c>
      <c r="C378" s="189">
        <v>3.2</v>
      </c>
      <c r="D378" s="189" t="s">
        <v>131</v>
      </c>
    </row>
    <row r="379">
      <c r="A379" s="188">
        <v>44817.0251005787</v>
      </c>
      <c r="B379" s="26" t="s">
        <v>401</v>
      </c>
      <c r="C379" s="189">
        <v>2.6</v>
      </c>
      <c r="D379" s="189" t="s">
        <v>148</v>
      </c>
    </row>
    <row r="380">
      <c r="A380" s="188">
        <v>44817.0251005787</v>
      </c>
      <c r="B380" s="26" t="s">
        <v>279</v>
      </c>
      <c r="C380" s="189">
        <v>5.585</v>
      </c>
      <c r="D380" s="189" t="s">
        <v>59</v>
      </c>
    </row>
    <row r="381">
      <c r="A381" s="188">
        <v>44817.0251005787</v>
      </c>
      <c r="B381" s="26" t="s">
        <v>369</v>
      </c>
      <c r="C381" s="189">
        <v>9.893</v>
      </c>
      <c r="D381" s="189" t="s">
        <v>116</v>
      </c>
    </row>
    <row r="382">
      <c r="A382" s="188">
        <v>44817.0251005787</v>
      </c>
      <c r="B382" s="26" t="s">
        <v>304</v>
      </c>
      <c r="C382" s="189">
        <v>4.098</v>
      </c>
      <c r="D382" s="189" t="s">
        <v>138</v>
      </c>
    </row>
    <row r="383">
      <c r="A383" s="188">
        <v>44817.0251005787</v>
      </c>
      <c r="B383" s="26" t="s">
        <v>372</v>
      </c>
      <c r="C383" s="189">
        <v>9.057</v>
      </c>
      <c r="D383" s="189" t="s">
        <v>154</v>
      </c>
    </row>
    <row r="384">
      <c r="A384" s="188">
        <v>44817.0251005787</v>
      </c>
      <c r="B384" s="26" t="s">
        <v>366</v>
      </c>
      <c r="C384" s="189">
        <v>3.8</v>
      </c>
      <c r="D384" s="189" t="s">
        <v>154</v>
      </c>
    </row>
    <row r="385">
      <c r="A385" s="188">
        <v>44817.0251005787</v>
      </c>
      <c r="B385" s="26" t="s">
        <v>296</v>
      </c>
      <c r="C385" s="189">
        <v>8.037</v>
      </c>
      <c r="D385" s="189" t="s">
        <v>138</v>
      </c>
    </row>
    <row r="386">
      <c r="A386" s="188">
        <v>44817.0251005787</v>
      </c>
      <c r="B386" s="26" t="s">
        <v>309</v>
      </c>
      <c r="C386" s="189">
        <v>3.9</v>
      </c>
      <c r="D386" s="189" t="s">
        <v>138</v>
      </c>
    </row>
    <row r="387">
      <c r="A387" s="188">
        <v>44817.0251005787</v>
      </c>
      <c r="B387" s="26" t="s">
        <v>155</v>
      </c>
      <c r="C387" s="189">
        <v>4.899</v>
      </c>
      <c r="D387" s="189" t="s">
        <v>53</v>
      </c>
    </row>
    <row r="388">
      <c r="A388" s="188">
        <v>44817.0251005787</v>
      </c>
      <c r="B388" s="26" t="s">
        <v>384</v>
      </c>
      <c r="C388" s="189">
        <v>5.596</v>
      </c>
      <c r="D388" s="189" t="s">
        <v>148</v>
      </c>
    </row>
    <row r="389">
      <c r="A389" s="188">
        <v>44817.0251005787</v>
      </c>
      <c r="B389" s="26" t="s">
        <v>259</v>
      </c>
      <c r="C389" s="189">
        <v>7.779</v>
      </c>
      <c r="D389" s="189" t="s">
        <v>178</v>
      </c>
    </row>
    <row r="390">
      <c r="A390" s="188">
        <v>44817.0251005787</v>
      </c>
      <c r="B390" s="26" t="s">
        <v>377</v>
      </c>
      <c r="C390" s="189">
        <v>8.789</v>
      </c>
      <c r="D390" s="189" t="s">
        <v>148</v>
      </c>
    </row>
    <row r="391">
      <c r="A391" s="188">
        <v>44817.0251005787</v>
      </c>
      <c r="B391" s="26" t="s">
        <v>222</v>
      </c>
      <c r="C391" s="189">
        <v>5.699</v>
      </c>
      <c r="D391" s="189" t="s">
        <v>131</v>
      </c>
    </row>
    <row r="392">
      <c r="A392" s="188">
        <v>44817.0251005787</v>
      </c>
      <c r="B392" s="26" t="s">
        <v>371</v>
      </c>
      <c r="C392" s="189">
        <v>3.1</v>
      </c>
      <c r="D392" s="189" t="s">
        <v>144</v>
      </c>
    </row>
    <row r="393">
      <c r="A393" s="188">
        <v>44817.0251005787</v>
      </c>
      <c r="B393" s="26" t="s">
        <v>271</v>
      </c>
      <c r="C393" s="189">
        <v>9.271</v>
      </c>
      <c r="D393" s="189" t="s">
        <v>178</v>
      </c>
    </row>
    <row r="394">
      <c r="A394" s="188">
        <v>44817.0251005787</v>
      </c>
      <c r="B394" s="26" t="s">
        <v>382</v>
      </c>
      <c r="C394" s="189">
        <v>6.777</v>
      </c>
      <c r="D394" s="189" t="s">
        <v>154</v>
      </c>
    </row>
    <row r="395">
      <c r="A395" s="188">
        <v>44817.0251005787</v>
      </c>
      <c r="B395" s="26" t="s">
        <v>197</v>
      </c>
      <c r="C395" s="189">
        <v>6.569999999999999</v>
      </c>
      <c r="D395" s="189" t="s">
        <v>131</v>
      </c>
    </row>
    <row r="396">
      <c r="A396" s="188">
        <v>44817.0251005787</v>
      </c>
      <c r="B396" s="26" t="s">
        <v>383</v>
      </c>
      <c r="C396" s="189">
        <v>5.297</v>
      </c>
      <c r="D396" s="189" t="s">
        <v>154</v>
      </c>
    </row>
    <row r="397">
      <c r="A397" s="26" t="s">
        <v>654</v>
      </c>
      <c r="B397" s="26" t="s">
        <v>0</v>
      </c>
      <c r="C397" s="26" t="s">
        <v>655</v>
      </c>
      <c r="D397" s="26" t="s">
        <v>656</v>
      </c>
    </row>
    <row r="398">
      <c r="A398" s="188">
        <v>44824.025102534724</v>
      </c>
      <c r="B398" s="26" t="s">
        <v>324</v>
      </c>
      <c r="C398" s="26">
        <v>8.742</v>
      </c>
      <c r="D398" s="26" t="s">
        <v>103</v>
      </c>
    </row>
    <row r="399">
      <c r="A399" s="188">
        <v>44824.025102534724</v>
      </c>
      <c r="B399" s="26" t="s">
        <v>323</v>
      </c>
      <c r="C399" s="26">
        <v>2.5</v>
      </c>
      <c r="D399" s="26" t="s">
        <v>141</v>
      </c>
    </row>
    <row r="400">
      <c r="A400" s="188">
        <v>44824.025102534724</v>
      </c>
      <c r="B400" s="26" t="s">
        <v>287</v>
      </c>
      <c r="C400" s="26">
        <v>10.841</v>
      </c>
      <c r="D400" s="26" t="s">
        <v>141</v>
      </c>
    </row>
    <row r="401">
      <c r="A401" s="188">
        <v>44824.025102534724</v>
      </c>
      <c r="B401" s="26" t="s">
        <v>277</v>
      </c>
      <c r="C401" s="26">
        <v>9.023</v>
      </c>
      <c r="D401" s="26" t="s">
        <v>59</v>
      </c>
    </row>
    <row r="402">
      <c r="A402" s="188">
        <v>44824.025102534724</v>
      </c>
      <c r="B402" s="26" t="s">
        <v>328</v>
      </c>
      <c r="C402" s="26">
        <v>4.2</v>
      </c>
      <c r="D402" s="26" t="s">
        <v>109</v>
      </c>
    </row>
    <row r="403">
      <c r="A403" s="188">
        <v>44824.025102534724</v>
      </c>
      <c r="B403" s="26" t="s">
        <v>322</v>
      </c>
      <c r="C403" s="26">
        <v>4.999</v>
      </c>
      <c r="D403" s="26" t="s">
        <v>103</v>
      </c>
    </row>
    <row r="404">
      <c r="A404" s="188">
        <v>44824.025102534724</v>
      </c>
      <c r="B404" s="26" t="s">
        <v>303</v>
      </c>
      <c r="C404" s="26">
        <v>6.499</v>
      </c>
      <c r="D404" s="26" t="s">
        <v>138</v>
      </c>
    </row>
    <row r="405">
      <c r="A405" s="188">
        <v>44824.025102534724</v>
      </c>
      <c r="B405" s="26" t="s">
        <v>352</v>
      </c>
      <c r="C405" s="26">
        <v>6.349</v>
      </c>
      <c r="D405" s="26" t="s">
        <v>154</v>
      </c>
    </row>
    <row r="406">
      <c r="A406" s="188">
        <v>44824.025102534724</v>
      </c>
      <c r="B406" s="26" t="s">
        <v>398</v>
      </c>
      <c r="C406" s="26">
        <v>7.7</v>
      </c>
      <c r="D406" s="26" t="s">
        <v>166</v>
      </c>
    </row>
    <row r="407">
      <c r="A407" s="188">
        <v>44824.025102534724</v>
      </c>
      <c r="B407" s="26" t="s">
        <v>337</v>
      </c>
      <c r="C407" s="26">
        <v>4.9</v>
      </c>
      <c r="D407" s="26" t="s">
        <v>166</v>
      </c>
    </row>
    <row r="408">
      <c r="A408" s="188">
        <v>44824.025102534724</v>
      </c>
      <c r="B408" s="26" t="s">
        <v>329</v>
      </c>
      <c r="C408" s="26">
        <v>4.398000000000001</v>
      </c>
      <c r="D408" s="26" t="s">
        <v>116</v>
      </c>
    </row>
    <row r="409">
      <c r="A409" s="188">
        <v>44824.025102534724</v>
      </c>
      <c r="B409" s="26" t="s">
        <v>320</v>
      </c>
      <c r="C409" s="26">
        <v>7.486</v>
      </c>
      <c r="D409" s="26" t="s">
        <v>154</v>
      </c>
    </row>
    <row r="410">
      <c r="A410" s="188">
        <v>44824.025102534724</v>
      </c>
      <c r="B410" s="26" t="s">
        <v>316</v>
      </c>
      <c r="C410" s="26">
        <v>8.744</v>
      </c>
      <c r="D410" s="26" t="s">
        <v>148</v>
      </c>
    </row>
    <row r="411">
      <c r="A411" s="188">
        <v>44824.025102534724</v>
      </c>
      <c r="B411" s="26" t="s">
        <v>289</v>
      </c>
      <c r="C411" s="26">
        <v>3.5</v>
      </c>
      <c r="D411" s="26" t="s">
        <v>59</v>
      </c>
    </row>
    <row r="412">
      <c r="A412" s="188">
        <v>44824.025102534724</v>
      </c>
      <c r="B412" s="26" t="s">
        <v>335</v>
      </c>
      <c r="C412" s="26">
        <v>3.792</v>
      </c>
      <c r="D412" s="26" t="s">
        <v>148</v>
      </c>
    </row>
    <row r="413">
      <c r="A413" s="188">
        <v>44824.025102534724</v>
      </c>
      <c r="B413" s="26" t="s">
        <v>344</v>
      </c>
      <c r="C413" s="26">
        <v>4.56</v>
      </c>
      <c r="D413" s="26" t="s">
        <v>109</v>
      </c>
    </row>
    <row r="414">
      <c r="A414" s="188">
        <v>44824.025102534724</v>
      </c>
      <c r="B414" s="26" t="s">
        <v>393</v>
      </c>
      <c r="C414" s="26">
        <v>8.5</v>
      </c>
      <c r="D414" s="26" t="s">
        <v>141</v>
      </c>
    </row>
    <row r="415">
      <c r="A415" s="188">
        <v>44824.025102534724</v>
      </c>
      <c r="B415" s="26" t="s">
        <v>333</v>
      </c>
      <c r="C415" s="26">
        <v>5.898000000000001</v>
      </c>
      <c r="D415" s="26" t="s">
        <v>166</v>
      </c>
    </row>
    <row r="416">
      <c r="A416" s="188">
        <v>44824.025102534724</v>
      </c>
      <c r="B416" s="26" t="s">
        <v>285</v>
      </c>
      <c r="C416" s="26">
        <v>6.427</v>
      </c>
      <c r="D416" s="26" t="s">
        <v>59</v>
      </c>
    </row>
    <row r="417">
      <c r="A417" s="188">
        <v>44824.025102534724</v>
      </c>
      <c r="B417" s="26" t="s">
        <v>317</v>
      </c>
      <c r="C417" s="26">
        <v>3.5</v>
      </c>
      <c r="D417" s="26" t="s">
        <v>141</v>
      </c>
    </row>
    <row r="418">
      <c r="A418" s="188">
        <v>44824.025102534724</v>
      </c>
      <c r="B418" s="26" t="s">
        <v>282</v>
      </c>
      <c r="C418" s="26">
        <v>9.174</v>
      </c>
      <c r="D418" s="26" t="s">
        <v>138</v>
      </c>
    </row>
    <row r="419">
      <c r="A419" s="188">
        <v>44824.025102534724</v>
      </c>
      <c r="B419" s="26" t="s">
        <v>206</v>
      </c>
      <c r="C419" s="26">
        <v>10.375</v>
      </c>
      <c r="D419" s="26" t="s">
        <v>131</v>
      </c>
    </row>
    <row r="420">
      <c r="A420" s="188">
        <v>44824.025102534724</v>
      </c>
      <c r="B420" s="26" t="s">
        <v>300</v>
      </c>
      <c r="C420" s="26">
        <v>7.079</v>
      </c>
      <c r="D420" s="26" t="s">
        <v>144</v>
      </c>
    </row>
    <row r="421">
      <c r="A421" s="188">
        <v>44824.025102534724</v>
      </c>
      <c r="B421" s="26" t="s">
        <v>342</v>
      </c>
      <c r="C421" s="26">
        <v>0.9</v>
      </c>
      <c r="D421" s="26" t="s">
        <v>144</v>
      </c>
    </row>
    <row r="422">
      <c r="A422" s="188">
        <v>44824.025102534724</v>
      </c>
      <c r="B422" s="26" t="s">
        <v>336</v>
      </c>
      <c r="C422" s="26">
        <v>3.299</v>
      </c>
      <c r="D422" s="26" t="s">
        <v>116</v>
      </c>
    </row>
    <row r="423">
      <c r="A423" s="188">
        <v>44824.025102534724</v>
      </c>
      <c r="B423" s="26" t="s">
        <v>331</v>
      </c>
      <c r="C423" s="26">
        <v>6.598</v>
      </c>
      <c r="D423" s="26" t="s">
        <v>442</v>
      </c>
    </row>
    <row r="424">
      <c r="A424" s="188">
        <v>44824.025102534724</v>
      </c>
      <c r="B424" s="26" t="s">
        <v>325</v>
      </c>
      <c r="C424" s="26">
        <v>6.67</v>
      </c>
      <c r="D424" s="26" t="s">
        <v>144</v>
      </c>
    </row>
    <row r="425">
      <c r="A425" s="188">
        <v>44824.025102534724</v>
      </c>
      <c r="B425" s="26" t="s">
        <v>356</v>
      </c>
      <c r="C425" s="26">
        <v>7.055</v>
      </c>
      <c r="D425" s="26" t="s">
        <v>103</v>
      </c>
    </row>
    <row r="426">
      <c r="A426" s="188">
        <v>44824.025102534724</v>
      </c>
      <c r="B426" s="26" t="s">
        <v>181</v>
      </c>
      <c r="C426" s="26">
        <v>6.7410000000000005</v>
      </c>
      <c r="D426" s="26" t="s">
        <v>53</v>
      </c>
    </row>
    <row r="427">
      <c r="A427" s="188">
        <v>44824.025102534724</v>
      </c>
      <c r="B427" s="26" t="s">
        <v>346</v>
      </c>
      <c r="C427" s="26">
        <v>6.2</v>
      </c>
      <c r="D427" s="26" t="s">
        <v>144</v>
      </c>
    </row>
    <row r="428">
      <c r="A428" s="188">
        <v>44824.025102534724</v>
      </c>
      <c r="B428" s="26" t="s">
        <v>275</v>
      </c>
      <c r="C428" s="26">
        <v>3.0</v>
      </c>
      <c r="D428" s="26" t="s">
        <v>59</v>
      </c>
    </row>
    <row r="429">
      <c r="A429" s="188">
        <v>44824.025102534724</v>
      </c>
      <c r="B429" s="26" t="s">
        <v>340</v>
      </c>
      <c r="C429" s="26">
        <v>8.551</v>
      </c>
      <c r="D429" s="26" t="s">
        <v>103</v>
      </c>
    </row>
    <row r="430">
      <c r="A430" s="188">
        <v>44824.025102534724</v>
      </c>
      <c r="B430" s="26" t="s">
        <v>345</v>
      </c>
      <c r="C430" s="26">
        <v>7.577</v>
      </c>
      <c r="D430" s="26" t="s">
        <v>144</v>
      </c>
    </row>
    <row r="431">
      <c r="A431" s="188">
        <v>44824.025102534724</v>
      </c>
      <c r="B431" s="26" t="s">
        <v>313</v>
      </c>
      <c r="C431" s="26">
        <v>11.354000000000001</v>
      </c>
      <c r="D431" s="26" t="s">
        <v>116</v>
      </c>
    </row>
    <row r="432">
      <c r="A432" s="188">
        <v>44824.025102534724</v>
      </c>
      <c r="B432" s="26" t="s">
        <v>257</v>
      </c>
      <c r="C432" s="26">
        <v>6.664000000000001</v>
      </c>
      <c r="D432" s="26" t="s">
        <v>178</v>
      </c>
    </row>
    <row r="433">
      <c r="A433" s="188">
        <v>44824.025102534724</v>
      </c>
      <c r="B433" s="26" t="s">
        <v>361</v>
      </c>
      <c r="C433" s="26">
        <v>3.394</v>
      </c>
      <c r="D433" s="26" t="s">
        <v>103</v>
      </c>
    </row>
    <row r="434">
      <c r="A434" s="188">
        <v>44824.025102534724</v>
      </c>
      <c r="B434" s="26" t="s">
        <v>348</v>
      </c>
      <c r="C434" s="26">
        <v>2.5</v>
      </c>
      <c r="D434" s="26" t="s">
        <v>116</v>
      </c>
    </row>
    <row r="435">
      <c r="A435" s="188">
        <v>44824.025102534724</v>
      </c>
      <c r="B435" s="26" t="s">
        <v>351</v>
      </c>
      <c r="C435" s="26">
        <v>3.0</v>
      </c>
      <c r="D435" s="26" t="s">
        <v>166</v>
      </c>
    </row>
    <row r="436">
      <c r="A436" s="188">
        <v>44824.025102534724</v>
      </c>
      <c r="B436" s="26" t="s">
        <v>330</v>
      </c>
      <c r="C436" s="26">
        <v>6.662</v>
      </c>
      <c r="D436" s="26" t="s">
        <v>154</v>
      </c>
    </row>
    <row r="437">
      <c r="A437" s="188">
        <v>44824.025102534724</v>
      </c>
      <c r="B437" s="26" t="s">
        <v>321</v>
      </c>
      <c r="C437" s="26">
        <v>5.998</v>
      </c>
      <c r="D437" s="26" t="s">
        <v>144</v>
      </c>
    </row>
    <row r="438">
      <c r="A438" s="188">
        <v>44824.025102534724</v>
      </c>
      <c r="B438" s="26" t="s">
        <v>327</v>
      </c>
      <c r="C438" s="26">
        <v>4.7</v>
      </c>
      <c r="D438" s="26" t="s">
        <v>166</v>
      </c>
    </row>
    <row r="439">
      <c r="A439" s="188">
        <v>44824.025102534724</v>
      </c>
      <c r="B439" s="26" t="s">
        <v>332</v>
      </c>
      <c r="C439" s="26">
        <v>5.697</v>
      </c>
      <c r="D439" s="26" t="s">
        <v>116</v>
      </c>
    </row>
    <row r="440">
      <c r="A440" s="188">
        <v>44824.025102534724</v>
      </c>
      <c r="B440" s="26" t="s">
        <v>326</v>
      </c>
      <c r="C440" s="26">
        <v>7.665</v>
      </c>
      <c r="D440" s="26" t="s">
        <v>148</v>
      </c>
    </row>
    <row r="441">
      <c r="A441" s="188">
        <v>44824.025102534724</v>
      </c>
      <c r="B441" s="26" t="s">
        <v>388</v>
      </c>
      <c r="C441" s="26">
        <v>7.0</v>
      </c>
      <c r="D441" s="26" t="s">
        <v>442</v>
      </c>
    </row>
    <row r="442">
      <c r="A442" s="188">
        <v>44824.025102534724</v>
      </c>
      <c r="B442" s="26" t="s">
        <v>217</v>
      </c>
      <c r="C442" s="26">
        <v>6.0969999999999995</v>
      </c>
      <c r="D442" s="26" t="s">
        <v>131</v>
      </c>
    </row>
    <row r="443">
      <c r="A443" s="188">
        <v>44824.025102534724</v>
      </c>
      <c r="B443" s="26" t="s">
        <v>291</v>
      </c>
      <c r="C443" s="26">
        <v>5.592</v>
      </c>
      <c r="D443" s="26" t="s">
        <v>59</v>
      </c>
    </row>
    <row r="444">
      <c r="A444" s="188">
        <v>44824.025102534724</v>
      </c>
      <c r="B444" s="26" t="s">
        <v>359</v>
      </c>
      <c r="C444" s="26">
        <v>6.2</v>
      </c>
      <c r="D444" s="26" t="s">
        <v>144</v>
      </c>
    </row>
    <row r="445">
      <c r="A445" s="188">
        <v>44824.025102534724</v>
      </c>
      <c r="B445" s="26" t="s">
        <v>283</v>
      </c>
      <c r="C445" s="26">
        <v>8.394</v>
      </c>
      <c r="D445" s="26" t="s">
        <v>59</v>
      </c>
    </row>
    <row r="446">
      <c r="A446" s="188">
        <v>44824.025102534724</v>
      </c>
      <c r="B446" s="26" t="s">
        <v>399</v>
      </c>
      <c r="C446" s="26">
        <v>8.9</v>
      </c>
      <c r="D446" s="26" t="s">
        <v>166</v>
      </c>
    </row>
    <row r="447">
      <c r="A447" s="188">
        <v>44824.025102534724</v>
      </c>
      <c r="B447" s="26" t="s">
        <v>292</v>
      </c>
      <c r="C447" s="26">
        <v>6.815</v>
      </c>
      <c r="D447" s="26" t="s">
        <v>109</v>
      </c>
    </row>
    <row r="448">
      <c r="A448" s="188">
        <v>44824.025102534724</v>
      </c>
      <c r="B448" s="26" t="s">
        <v>334</v>
      </c>
      <c r="C448" s="26">
        <v>5.869000000000001</v>
      </c>
      <c r="D448" s="26" t="s">
        <v>166</v>
      </c>
    </row>
    <row r="449">
      <c r="A449" s="188">
        <v>44824.025102534724</v>
      </c>
      <c r="B449" s="26" t="s">
        <v>353</v>
      </c>
      <c r="C449" s="26">
        <v>5.6</v>
      </c>
      <c r="D449" s="26" t="s">
        <v>141</v>
      </c>
    </row>
    <row r="450">
      <c r="A450" s="188">
        <v>44824.025102534724</v>
      </c>
      <c r="B450" s="26" t="s">
        <v>360</v>
      </c>
      <c r="C450" s="26">
        <v>7.8790000000000004</v>
      </c>
      <c r="D450" s="26" t="s">
        <v>109</v>
      </c>
    </row>
    <row r="451">
      <c r="A451" s="188">
        <v>44824.025102534724</v>
      </c>
      <c r="B451" s="26" t="s">
        <v>306</v>
      </c>
      <c r="C451" s="26">
        <v>8.282</v>
      </c>
      <c r="D451" s="26" t="s">
        <v>166</v>
      </c>
    </row>
    <row r="452">
      <c r="A452" s="188">
        <v>44824.025102534724</v>
      </c>
      <c r="B452" s="26" t="s">
        <v>341</v>
      </c>
      <c r="C452" s="26">
        <v>7.496</v>
      </c>
      <c r="D452" s="26" t="s">
        <v>103</v>
      </c>
    </row>
    <row r="453">
      <c r="A453" s="188">
        <v>44824.025102534724</v>
      </c>
      <c r="B453" s="26" t="s">
        <v>339</v>
      </c>
      <c r="C453" s="26">
        <v>7.747</v>
      </c>
      <c r="D453" s="26" t="s">
        <v>109</v>
      </c>
    </row>
    <row r="454">
      <c r="A454" s="188">
        <v>44824.025102534724</v>
      </c>
      <c r="B454" s="26" t="s">
        <v>208</v>
      </c>
      <c r="C454" s="26">
        <v>6.085</v>
      </c>
      <c r="D454" s="26" t="s">
        <v>131</v>
      </c>
    </row>
    <row r="455">
      <c r="A455" s="188">
        <v>44824.025102534724</v>
      </c>
      <c r="B455" s="26" t="s">
        <v>357</v>
      </c>
      <c r="C455" s="26">
        <v>8.797</v>
      </c>
      <c r="D455" s="26" t="s">
        <v>144</v>
      </c>
    </row>
    <row r="456">
      <c r="A456" s="188">
        <v>44824.025102534724</v>
      </c>
      <c r="B456" s="26" t="s">
        <v>294</v>
      </c>
      <c r="C456" s="26">
        <v>6.888000000000001</v>
      </c>
      <c r="D456" s="26" t="s">
        <v>138</v>
      </c>
    </row>
    <row r="457">
      <c r="A457" s="188">
        <v>44824.025102534724</v>
      </c>
      <c r="B457" s="26" t="s">
        <v>284</v>
      </c>
      <c r="C457" s="26">
        <v>10.128</v>
      </c>
      <c r="D457" s="26" t="s">
        <v>59</v>
      </c>
    </row>
    <row r="458">
      <c r="A458" s="188">
        <v>44824.025102534724</v>
      </c>
      <c r="B458" s="26" t="s">
        <v>343</v>
      </c>
      <c r="C458" s="26">
        <v>6.266</v>
      </c>
      <c r="D458" s="26" t="s">
        <v>109</v>
      </c>
    </row>
    <row r="459">
      <c r="A459" s="188">
        <v>44824.025102534724</v>
      </c>
      <c r="B459" s="26" t="s">
        <v>240</v>
      </c>
      <c r="C459" s="26">
        <v>8.813</v>
      </c>
      <c r="D459" s="26" t="s">
        <v>178</v>
      </c>
    </row>
    <row r="460">
      <c r="A460" s="188">
        <v>44824.025102534724</v>
      </c>
      <c r="B460" s="26" t="s">
        <v>269</v>
      </c>
      <c r="C460" s="26">
        <v>7.199</v>
      </c>
      <c r="D460" s="26" t="s">
        <v>178</v>
      </c>
    </row>
    <row r="461">
      <c r="A461" s="188">
        <v>44824.025102534724</v>
      </c>
      <c r="B461" s="26" t="s">
        <v>173</v>
      </c>
      <c r="C461" s="26">
        <v>5.3</v>
      </c>
      <c r="D461" s="26" t="s">
        <v>53</v>
      </c>
    </row>
    <row r="462">
      <c r="A462" s="188">
        <v>44824.025102534724</v>
      </c>
      <c r="B462" s="26" t="s">
        <v>347</v>
      </c>
      <c r="C462" s="26">
        <v>1.6</v>
      </c>
      <c r="D462" s="26" t="s">
        <v>116</v>
      </c>
    </row>
    <row r="463">
      <c r="A463" s="188">
        <v>44824.025102534724</v>
      </c>
      <c r="B463" s="26" t="s">
        <v>363</v>
      </c>
      <c r="C463" s="26">
        <v>8.572</v>
      </c>
      <c r="D463" s="26" t="s">
        <v>154</v>
      </c>
    </row>
    <row r="464">
      <c r="A464" s="188">
        <v>44824.025102534724</v>
      </c>
      <c r="B464" s="26" t="s">
        <v>365</v>
      </c>
      <c r="C464" s="26">
        <v>3.3</v>
      </c>
      <c r="D464" s="26" t="s">
        <v>141</v>
      </c>
    </row>
    <row r="465">
      <c r="A465" s="188">
        <v>44824.025102534724</v>
      </c>
      <c r="B465" s="26" t="s">
        <v>120</v>
      </c>
      <c r="C465" s="26">
        <v>4.996</v>
      </c>
      <c r="D465" s="26" t="s">
        <v>53</v>
      </c>
    </row>
    <row r="466">
      <c r="A466" s="188">
        <v>44824.025102534724</v>
      </c>
      <c r="B466" s="26" t="s">
        <v>263</v>
      </c>
      <c r="C466" s="26">
        <v>5.499</v>
      </c>
      <c r="D466" s="26" t="s">
        <v>178</v>
      </c>
    </row>
    <row r="467">
      <c r="A467" s="188">
        <v>44824.025102534724</v>
      </c>
      <c r="B467" s="26" t="s">
        <v>394</v>
      </c>
      <c r="C467" s="26">
        <v>2.8</v>
      </c>
      <c r="D467" s="26" t="s">
        <v>109</v>
      </c>
    </row>
    <row r="468">
      <c r="A468" s="188">
        <v>44824.025102534724</v>
      </c>
      <c r="B468" s="26" t="s">
        <v>367</v>
      </c>
      <c r="C468" s="26">
        <v>7.974</v>
      </c>
      <c r="D468" s="26" t="s">
        <v>109</v>
      </c>
    </row>
    <row r="469">
      <c r="A469" s="188">
        <v>44824.025102534724</v>
      </c>
      <c r="B469" s="26" t="s">
        <v>204</v>
      </c>
      <c r="C469" s="26">
        <v>4.696000000000001</v>
      </c>
      <c r="D469" s="26" t="s">
        <v>131</v>
      </c>
    </row>
    <row r="470">
      <c r="A470" s="188">
        <v>44824.025102534724</v>
      </c>
      <c r="B470" s="26" t="s">
        <v>298</v>
      </c>
      <c r="C470" s="26">
        <v>4.584</v>
      </c>
      <c r="D470" s="26" t="s">
        <v>138</v>
      </c>
    </row>
    <row r="471">
      <c r="A471" s="188">
        <v>44824.025102534724</v>
      </c>
      <c r="B471" s="26" t="s">
        <v>368</v>
      </c>
      <c r="C471" s="26">
        <v>2.4</v>
      </c>
      <c r="D471" s="26" t="s">
        <v>154</v>
      </c>
    </row>
    <row r="472">
      <c r="A472" s="188">
        <v>44824.025102534724</v>
      </c>
      <c r="B472" s="26" t="s">
        <v>400</v>
      </c>
      <c r="C472" s="26">
        <v>6.8</v>
      </c>
      <c r="D472" s="26" t="s">
        <v>109</v>
      </c>
    </row>
    <row r="473">
      <c r="A473" s="188">
        <v>44824.025102534724</v>
      </c>
      <c r="B473" s="26" t="s">
        <v>176</v>
      </c>
      <c r="C473" s="26">
        <v>5.865</v>
      </c>
      <c r="D473" s="26" t="s">
        <v>53</v>
      </c>
    </row>
    <row r="474">
      <c r="A474" s="188">
        <v>44824.025102534724</v>
      </c>
      <c r="B474" s="26" t="s">
        <v>168</v>
      </c>
      <c r="C474" s="26">
        <v>10.889000000000001</v>
      </c>
      <c r="D474" s="26" t="s">
        <v>53</v>
      </c>
    </row>
    <row r="475">
      <c r="A475" s="188">
        <v>44824.025102534724</v>
      </c>
      <c r="B475" s="26" t="s">
        <v>184</v>
      </c>
      <c r="C475" s="26">
        <v>9.56</v>
      </c>
      <c r="D475" s="26" t="s">
        <v>53</v>
      </c>
    </row>
    <row r="476">
      <c r="A476" s="188">
        <v>44824.025102534724</v>
      </c>
      <c r="B476" s="26" t="s">
        <v>354</v>
      </c>
      <c r="C476" s="26">
        <v>8.035</v>
      </c>
      <c r="D476" s="26" t="s">
        <v>116</v>
      </c>
    </row>
    <row r="477">
      <c r="A477" s="188">
        <v>44824.025102534724</v>
      </c>
      <c r="B477" s="26" t="s">
        <v>170</v>
      </c>
      <c r="C477" s="26">
        <v>3.896</v>
      </c>
      <c r="D477" s="26" t="s">
        <v>53</v>
      </c>
    </row>
    <row r="478">
      <c r="A478" s="188">
        <v>44824.025102534724</v>
      </c>
      <c r="B478" s="26" t="s">
        <v>373</v>
      </c>
      <c r="C478" s="26">
        <v>9.458</v>
      </c>
      <c r="D478" s="26" t="s">
        <v>103</v>
      </c>
    </row>
    <row r="479">
      <c r="A479" s="188">
        <v>44824.025102534724</v>
      </c>
      <c r="B479" s="26" t="s">
        <v>54</v>
      </c>
      <c r="C479" s="26">
        <v>8.459999999999999</v>
      </c>
      <c r="D479" s="26" t="s">
        <v>53</v>
      </c>
    </row>
    <row r="480">
      <c r="A480" s="188">
        <v>44824.025102534724</v>
      </c>
      <c r="B480" s="26" t="s">
        <v>274</v>
      </c>
      <c r="C480" s="26">
        <v>7.880000000000001</v>
      </c>
      <c r="D480" s="26" t="s">
        <v>59</v>
      </c>
    </row>
    <row r="481">
      <c r="A481" s="188">
        <v>44824.025102534724</v>
      </c>
      <c r="B481" s="26" t="s">
        <v>375</v>
      </c>
      <c r="C481" s="26">
        <v>9.5</v>
      </c>
      <c r="D481" s="26" t="s">
        <v>109</v>
      </c>
    </row>
    <row r="482">
      <c r="A482" s="188">
        <v>44824.025102534724</v>
      </c>
      <c r="B482" s="26" t="s">
        <v>370</v>
      </c>
      <c r="C482" s="26">
        <v>8.682</v>
      </c>
      <c r="D482" s="26" t="s">
        <v>166</v>
      </c>
    </row>
    <row r="483">
      <c r="A483" s="188">
        <v>44824.025102534724</v>
      </c>
      <c r="B483" s="26" t="s">
        <v>381</v>
      </c>
      <c r="C483" s="26">
        <v>6.871</v>
      </c>
      <c r="D483" s="26" t="s">
        <v>148</v>
      </c>
    </row>
    <row r="484">
      <c r="A484" s="188">
        <v>44824.025102534724</v>
      </c>
      <c r="B484" s="26" t="s">
        <v>355</v>
      </c>
      <c r="C484" s="26">
        <v>5.196000000000001</v>
      </c>
      <c r="D484" s="26" t="s">
        <v>116</v>
      </c>
    </row>
    <row r="485">
      <c r="A485" s="188">
        <v>44824.025102534724</v>
      </c>
      <c r="B485" s="26" t="s">
        <v>386</v>
      </c>
      <c r="C485" s="26">
        <v>5.4</v>
      </c>
      <c r="D485" s="26" t="s">
        <v>141</v>
      </c>
    </row>
    <row r="486">
      <c r="A486" s="188">
        <v>44824.025102534724</v>
      </c>
      <c r="B486" s="26" t="s">
        <v>219</v>
      </c>
      <c r="C486" s="26">
        <v>5.477</v>
      </c>
      <c r="D486" s="26" t="s">
        <v>131</v>
      </c>
    </row>
    <row r="487">
      <c r="A487" s="188">
        <v>44824.025102534724</v>
      </c>
      <c r="B487" s="26" t="s">
        <v>349</v>
      </c>
      <c r="C487" s="26">
        <v>6.58</v>
      </c>
      <c r="D487" s="26" t="s">
        <v>141</v>
      </c>
    </row>
    <row r="488">
      <c r="A488" s="188">
        <v>44824.025102534724</v>
      </c>
      <c r="B488" s="26" t="s">
        <v>314</v>
      </c>
      <c r="C488" s="26">
        <v>7.412</v>
      </c>
      <c r="D488" s="26" t="s">
        <v>141</v>
      </c>
    </row>
    <row r="489">
      <c r="A489" s="188">
        <v>44824.025102534724</v>
      </c>
      <c r="B489" s="26" t="s">
        <v>302</v>
      </c>
      <c r="C489" s="26">
        <v>7.881</v>
      </c>
      <c r="D489" s="26" t="s">
        <v>138</v>
      </c>
    </row>
    <row r="490">
      <c r="A490" s="188">
        <v>44824.025102534724</v>
      </c>
      <c r="B490" s="26" t="s">
        <v>379</v>
      </c>
      <c r="C490" s="26">
        <v>5.1</v>
      </c>
      <c r="D490" s="26" t="s">
        <v>154</v>
      </c>
    </row>
    <row r="491">
      <c r="A491" s="188">
        <v>44824.025102534724</v>
      </c>
      <c r="B491" s="26" t="s">
        <v>210</v>
      </c>
      <c r="C491" s="26">
        <v>3.0</v>
      </c>
      <c r="D491" s="26" t="s">
        <v>131</v>
      </c>
    </row>
    <row r="492">
      <c r="A492" s="188">
        <v>44824.025102534724</v>
      </c>
      <c r="B492" s="26" t="s">
        <v>338</v>
      </c>
      <c r="C492" s="26">
        <v>5.545999999999999</v>
      </c>
      <c r="D492" s="26" t="s">
        <v>144</v>
      </c>
    </row>
    <row r="493">
      <c r="A493" s="188">
        <v>44824.025102534724</v>
      </c>
      <c r="B493" s="26" t="s">
        <v>311</v>
      </c>
      <c r="C493" s="26">
        <v>4.3</v>
      </c>
      <c r="D493" s="26" t="s">
        <v>138</v>
      </c>
    </row>
    <row r="494">
      <c r="A494" s="188">
        <v>44824.025102534724</v>
      </c>
      <c r="B494" s="26" t="s">
        <v>308</v>
      </c>
      <c r="C494" s="26">
        <v>8.268</v>
      </c>
      <c r="D494" s="26" t="s">
        <v>138</v>
      </c>
    </row>
    <row r="495">
      <c r="A495" s="188">
        <v>44824.025102534724</v>
      </c>
      <c r="B495" s="26" t="s">
        <v>358</v>
      </c>
      <c r="C495" s="26">
        <v>6.09</v>
      </c>
      <c r="D495" s="26" t="s">
        <v>103</v>
      </c>
    </row>
    <row r="496">
      <c r="A496" s="188">
        <v>44824.025102534724</v>
      </c>
      <c r="B496" s="26" t="s">
        <v>362</v>
      </c>
      <c r="C496" s="26">
        <v>2.9</v>
      </c>
      <c r="D496" s="26" t="s">
        <v>103</v>
      </c>
    </row>
    <row r="497">
      <c r="A497" s="188">
        <v>44824.025102534724</v>
      </c>
      <c r="B497" s="26" t="s">
        <v>214</v>
      </c>
      <c r="C497" s="26">
        <v>9.275</v>
      </c>
      <c r="D497" s="26" t="s">
        <v>131</v>
      </c>
    </row>
    <row r="498">
      <c r="A498" s="188">
        <v>44824.025102534724</v>
      </c>
      <c r="B498" s="26" t="s">
        <v>387</v>
      </c>
      <c r="C498" s="26">
        <v>6.598999999999999</v>
      </c>
      <c r="D498" s="26" t="s">
        <v>148</v>
      </c>
    </row>
    <row r="499">
      <c r="A499" s="188">
        <v>44824.025102534724</v>
      </c>
      <c r="B499" s="26" t="s">
        <v>364</v>
      </c>
      <c r="C499" s="26">
        <v>8.879000000000001</v>
      </c>
      <c r="D499" s="26" t="s">
        <v>166</v>
      </c>
    </row>
    <row r="500">
      <c r="A500" s="188">
        <v>44824.025102534724</v>
      </c>
      <c r="B500" s="26" t="s">
        <v>380</v>
      </c>
      <c r="C500" s="26">
        <v>4.098999999999999</v>
      </c>
      <c r="D500" s="26" t="s">
        <v>148</v>
      </c>
    </row>
    <row r="501">
      <c r="A501" s="188">
        <v>44824.025102534724</v>
      </c>
      <c r="B501" s="26" t="s">
        <v>272</v>
      </c>
      <c r="C501" s="26">
        <v>5.196000000000001</v>
      </c>
      <c r="D501" s="26" t="s">
        <v>178</v>
      </c>
    </row>
    <row r="502">
      <c r="A502" s="188">
        <v>44824.025102534724</v>
      </c>
      <c r="B502" s="26" t="s">
        <v>265</v>
      </c>
      <c r="C502" s="26">
        <v>8.134</v>
      </c>
      <c r="D502" s="26" t="s">
        <v>178</v>
      </c>
    </row>
    <row r="503">
      <c r="A503" s="188">
        <v>44824.025102534724</v>
      </c>
      <c r="B503" s="26" t="s">
        <v>318</v>
      </c>
      <c r="C503" s="26">
        <v>5.5729999999999995</v>
      </c>
      <c r="D503" s="26" t="s">
        <v>141</v>
      </c>
    </row>
    <row r="504">
      <c r="A504" s="188">
        <v>44824.025102534724</v>
      </c>
      <c r="B504" s="26" t="s">
        <v>267</v>
      </c>
      <c r="C504" s="26">
        <v>8.616999999999999</v>
      </c>
      <c r="D504" s="26" t="s">
        <v>178</v>
      </c>
    </row>
    <row r="505">
      <c r="A505" s="188">
        <v>44824.025102534724</v>
      </c>
      <c r="B505" s="26" t="s">
        <v>195</v>
      </c>
      <c r="C505" s="26">
        <v>5.595</v>
      </c>
      <c r="D505" s="26" t="s">
        <v>53</v>
      </c>
    </row>
    <row r="506">
      <c r="A506" s="188">
        <v>44824.025102534724</v>
      </c>
      <c r="B506" s="26" t="s">
        <v>378</v>
      </c>
      <c r="C506" s="26">
        <v>7.989000000000001</v>
      </c>
      <c r="D506" s="26" t="s">
        <v>103</v>
      </c>
    </row>
    <row r="507">
      <c r="A507" s="188">
        <v>44824.025102534724</v>
      </c>
      <c r="B507" s="26" t="s">
        <v>374</v>
      </c>
      <c r="C507" s="26">
        <v>8.723</v>
      </c>
      <c r="D507" s="26" t="s">
        <v>148</v>
      </c>
    </row>
    <row r="508">
      <c r="A508" s="188">
        <v>44824.025102534724</v>
      </c>
      <c r="B508" s="26" t="s">
        <v>261</v>
      </c>
      <c r="C508" s="26">
        <v>7.489</v>
      </c>
      <c r="D508" s="26" t="s">
        <v>178</v>
      </c>
    </row>
    <row r="509">
      <c r="A509" s="188">
        <v>44824.025102534724</v>
      </c>
      <c r="B509" s="26" t="s">
        <v>281</v>
      </c>
      <c r="C509" s="26">
        <v>2.6</v>
      </c>
      <c r="D509" s="26" t="s">
        <v>59</v>
      </c>
    </row>
    <row r="510">
      <c r="A510" s="188">
        <v>44824.025102534724</v>
      </c>
      <c r="B510" s="26" t="s">
        <v>199</v>
      </c>
      <c r="C510" s="26">
        <v>3.1</v>
      </c>
      <c r="D510" s="26" t="s">
        <v>131</v>
      </c>
    </row>
    <row r="511">
      <c r="A511" s="188">
        <v>44824.025102534724</v>
      </c>
      <c r="B511" s="26" t="s">
        <v>401</v>
      </c>
      <c r="C511" s="26">
        <v>3.1</v>
      </c>
      <c r="D511" s="26" t="s">
        <v>148</v>
      </c>
    </row>
    <row r="512">
      <c r="A512" s="188">
        <v>44824.025102534724</v>
      </c>
      <c r="B512" s="26" t="s">
        <v>279</v>
      </c>
      <c r="C512" s="26">
        <v>7.021</v>
      </c>
      <c r="D512" s="26" t="s">
        <v>59</v>
      </c>
    </row>
    <row r="513">
      <c r="A513" s="188">
        <v>44824.025102534724</v>
      </c>
      <c r="B513" s="26" t="s">
        <v>369</v>
      </c>
      <c r="C513" s="26">
        <v>10.279</v>
      </c>
      <c r="D513" s="26" t="s">
        <v>116</v>
      </c>
    </row>
    <row r="514">
      <c r="A514" s="188">
        <v>44824.025102534724</v>
      </c>
      <c r="B514" s="26" t="s">
        <v>304</v>
      </c>
      <c r="C514" s="26">
        <v>3.999</v>
      </c>
      <c r="D514" s="26" t="s">
        <v>138</v>
      </c>
    </row>
    <row r="515">
      <c r="A515" s="188">
        <v>44824.025102534724</v>
      </c>
      <c r="B515" s="26" t="s">
        <v>372</v>
      </c>
      <c r="C515" s="26">
        <v>8.934999999999999</v>
      </c>
      <c r="D515" s="26" t="s">
        <v>154</v>
      </c>
    </row>
    <row r="516">
      <c r="A516" s="188">
        <v>44824.025102534724</v>
      </c>
      <c r="B516" s="26" t="s">
        <v>366</v>
      </c>
      <c r="C516" s="26">
        <v>3.1</v>
      </c>
      <c r="D516" s="26" t="s">
        <v>154</v>
      </c>
    </row>
    <row r="517">
      <c r="A517" s="188">
        <v>44824.025102534724</v>
      </c>
      <c r="B517" s="26" t="s">
        <v>296</v>
      </c>
      <c r="C517" s="26">
        <v>7.783</v>
      </c>
      <c r="D517" s="26" t="s">
        <v>138</v>
      </c>
    </row>
    <row r="518">
      <c r="A518" s="188">
        <v>44824.025102534724</v>
      </c>
      <c r="B518" s="26" t="s">
        <v>309</v>
      </c>
      <c r="C518" s="26">
        <v>4.4</v>
      </c>
      <c r="D518" s="26" t="s">
        <v>138</v>
      </c>
    </row>
    <row r="519">
      <c r="A519" s="188">
        <v>44824.025102534724</v>
      </c>
      <c r="B519" s="26" t="s">
        <v>155</v>
      </c>
      <c r="C519" s="26">
        <v>5.098999999999999</v>
      </c>
      <c r="D519" s="26" t="s">
        <v>53</v>
      </c>
    </row>
    <row r="520">
      <c r="A520" s="188">
        <v>44824.025102534724</v>
      </c>
      <c r="B520" s="26" t="s">
        <v>384</v>
      </c>
      <c r="C520" s="26">
        <v>5.198</v>
      </c>
      <c r="D520" s="26" t="s">
        <v>148</v>
      </c>
    </row>
    <row r="521">
      <c r="A521" s="188">
        <v>44824.025102534724</v>
      </c>
      <c r="B521" s="26" t="s">
        <v>259</v>
      </c>
      <c r="C521" s="26">
        <v>7.687</v>
      </c>
      <c r="D521" s="26" t="s">
        <v>178</v>
      </c>
    </row>
    <row r="522">
      <c r="A522" s="188">
        <v>44824.025102534724</v>
      </c>
      <c r="B522" s="26" t="s">
        <v>377</v>
      </c>
      <c r="C522" s="26">
        <v>9.66</v>
      </c>
      <c r="D522" s="26" t="s">
        <v>148</v>
      </c>
    </row>
    <row r="523">
      <c r="A523" s="188">
        <v>44824.025102534724</v>
      </c>
      <c r="B523" s="26" t="s">
        <v>222</v>
      </c>
      <c r="C523" s="26">
        <v>6.2989999999999995</v>
      </c>
      <c r="D523" s="26" t="s">
        <v>131</v>
      </c>
    </row>
    <row r="524">
      <c r="A524" s="188">
        <v>44824.025102534724</v>
      </c>
      <c r="B524" s="26" t="s">
        <v>371</v>
      </c>
      <c r="C524" s="26">
        <v>4.2989999999999995</v>
      </c>
      <c r="D524" s="26" t="s">
        <v>144</v>
      </c>
    </row>
    <row r="525">
      <c r="A525" s="188">
        <v>44824.025102534724</v>
      </c>
      <c r="B525" s="26" t="s">
        <v>271</v>
      </c>
      <c r="C525" s="26">
        <v>8.759</v>
      </c>
      <c r="D525" s="26" t="s">
        <v>178</v>
      </c>
    </row>
    <row r="526">
      <c r="A526" s="188">
        <v>44824.025102534724</v>
      </c>
      <c r="B526" s="26" t="s">
        <v>382</v>
      </c>
      <c r="C526" s="26">
        <v>6.2</v>
      </c>
      <c r="D526" s="26" t="s">
        <v>154</v>
      </c>
    </row>
    <row r="527">
      <c r="A527" s="188">
        <v>44824.025102534724</v>
      </c>
      <c r="B527" s="26" t="s">
        <v>197</v>
      </c>
      <c r="C527" s="26">
        <v>7.521</v>
      </c>
      <c r="D527" s="26" t="s">
        <v>131</v>
      </c>
    </row>
    <row r="528">
      <c r="A528" s="26" t="s">
        <v>654</v>
      </c>
      <c r="B528" s="26" t="s">
        <v>0</v>
      </c>
      <c r="C528" s="26" t="s">
        <v>655</v>
      </c>
      <c r="D528" s="26" t="s">
        <v>656</v>
      </c>
    </row>
    <row r="529">
      <c r="A529" s="188">
        <v>44831.02510368056</v>
      </c>
      <c r="B529" s="26" t="s">
        <v>324</v>
      </c>
      <c r="C529" s="26">
        <v>9.219</v>
      </c>
      <c r="D529" s="26" t="s">
        <v>103</v>
      </c>
    </row>
    <row r="530">
      <c r="A530" s="188">
        <v>44831.02510368056</v>
      </c>
      <c r="B530" s="26" t="s">
        <v>323</v>
      </c>
      <c r="C530" s="26">
        <v>2.7</v>
      </c>
      <c r="D530" s="26" t="s">
        <v>141</v>
      </c>
    </row>
    <row r="531">
      <c r="A531" s="188">
        <v>44831.02510368056</v>
      </c>
      <c r="B531" s="26" t="s">
        <v>287</v>
      </c>
      <c r="C531" s="26">
        <v>11.209</v>
      </c>
      <c r="D531" s="26" t="s">
        <v>141</v>
      </c>
    </row>
    <row r="532">
      <c r="A532" s="188">
        <v>44831.02510368056</v>
      </c>
      <c r="B532" s="26" t="s">
        <v>277</v>
      </c>
      <c r="C532" s="26">
        <v>8.154</v>
      </c>
      <c r="D532" s="26" t="s">
        <v>59</v>
      </c>
    </row>
    <row r="533">
      <c r="A533" s="188">
        <v>44831.02510368056</v>
      </c>
      <c r="B533" s="26" t="s">
        <v>328</v>
      </c>
      <c r="C533" s="26">
        <v>3.7</v>
      </c>
      <c r="D533" s="26" t="s">
        <v>109</v>
      </c>
    </row>
    <row r="534">
      <c r="A534" s="188">
        <v>44831.02510368056</v>
      </c>
      <c r="B534" s="26" t="s">
        <v>322</v>
      </c>
      <c r="C534" s="26">
        <v>4.5</v>
      </c>
      <c r="D534" s="26" t="s">
        <v>103</v>
      </c>
    </row>
    <row r="535">
      <c r="A535" s="188">
        <v>44831.02510368056</v>
      </c>
      <c r="B535" s="26" t="s">
        <v>303</v>
      </c>
      <c r="C535" s="26">
        <v>6.1</v>
      </c>
      <c r="D535" s="26" t="s">
        <v>138</v>
      </c>
    </row>
    <row r="536">
      <c r="A536" s="188">
        <v>44831.02510368056</v>
      </c>
      <c r="B536" s="26" t="s">
        <v>352</v>
      </c>
      <c r="C536" s="26">
        <v>5.478</v>
      </c>
      <c r="D536" s="26" t="s">
        <v>154</v>
      </c>
    </row>
    <row r="537">
      <c r="A537" s="188">
        <v>44831.02510368056</v>
      </c>
      <c r="B537" s="26" t="s">
        <v>398</v>
      </c>
      <c r="C537" s="26">
        <v>7.6</v>
      </c>
      <c r="D537" s="26" t="s">
        <v>166</v>
      </c>
    </row>
    <row r="538">
      <c r="A538" s="188">
        <v>44831.02510368056</v>
      </c>
      <c r="B538" s="26" t="s">
        <v>337</v>
      </c>
      <c r="C538" s="26">
        <v>5.1</v>
      </c>
      <c r="D538" s="26" t="s">
        <v>166</v>
      </c>
    </row>
    <row r="539">
      <c r="A539" s="188">
        <v>44831.02510368056</v>
      </c>
      <c r="B539" s="26" t="s">
        <v>329</v>
      </c>
      <c r="C539" s="26">
        <v>4.098</v>
      </c>
      <c r="D539" s="26" t="s">
        <v>116</v>
      </c>
    </row>
    <row r="540">
      <c r="A540" s="188">
        <v>44831.02510368056</v>
      </c>
      <c r="B540" s="26" t="s">
        <v>320</v>
      </c>
      <c r="C540" s="26">
        <v>8.120000000000001</v>
      </c>
      <c r="D540" s="26" t="s">
        <v>154</v>
      </c>
    </row>
    <row r="541">
      <c r="A541" s="188">
        <v>44831.02510368056</v>
      </c>
      <c r="B541" s="26" t="s">
        <v>316</v>
      </c>
      <c r="C541" s="26">
        <v>7.093999999999999</v>
      </c>
      <c r="D541" s="26" t="s">
        <v>148</v>
      </c>
    </row>
    <row r="542">
      <c r="A542" s="188">
        <v>44831.02510368056</v>
      </c>
      <c r="B542" s="26" t="s">
        <v>289</v>
      </c>
      <c r="C542" s="26">
        <v>3.0</v>
      </c>
      <c r="D542" s="26" t="s">
        <v>59</v>
      </c>
    </row>
    <row r="543">
      <c r="A543" s="188">
        <v>44831.02510368056</v>
      </c>
      <c r="B543" s="26" t="s">
        <v>335</v>
      </c>
      <c r="C543" s="26">
        <v>3.794</v>
      </c>
      <c r="D543" s="26" t="s">
        <v>148</v>
      </c>
    </row>
    <row r="544">
      <c r="A544" s="188">
        <v>44831.02510368056</v>
      </c>
      <c r="B544" s="26" t="s">
        <v>344</v>
      </c>
      <c r="C544" s="26">
        <v>5.965999999999999</v>
      </c>
      <c r="D544" s="26" t="s">
        <v>109</v>
      </c>
    </row>
    <row r="545">
      <c r="A545" s="188">
        <v>44831.02510368056</v>
      </c>
      <c r="B545" s="26" t="s">
        <v>393</v>
      </c>
      <c r="C545" s="26">
        <v>8.6</v>
      </c>
      <c r="D545" s="26" t="s">
        <v>141</v>
      </c>
    </row>
    <row r="546">
      <c r="A546" s="188">
        <v>44831.02510368056</v>
      </c>
      <c r="B546" s="26" t="s">
        <v>333</v>
      </c>
      <c r="C546" s="26">
        <v>6.494</v>
      </c>
      <c r="D546" s="26" t="s">
        <v>166</v>
      </c>
    </row>
    <row r="547">
      <c r="A547" s="188">
        <v>44831.02510368056</v>
      </c>
      <c r="B547" s="26" t="s">
        <v>285</v>
      </c>
      <c r="C547" s="26">
        <v>6.593</v>
      </c>
      <c r="D547" s="26" t="s">
        <v>59</v>
      </c>
    </row>
    <row r="548">
      <c r="A548" s="188">
        <v>44831.02510368056</v>
      </c>
      <c r="B548" s="26" t="s">
        <v>317</v>
      </c>
      <c r="C548" s="26">
        <v>3.1</v>
      </c>
      <c r="D548" s="26" t="s">
        <v>141</v>
      </c>
    </row>
    <row r="549">
      <c r="A549" s="188">
        <v>44831.02510368056</v>
      </c>
      <c r="B549" s="26" t="s">
        <v>282</v>
      </c>
      <c r="C549" s="26">
        <v>9.412</v>
      </c>
      <c r="D549" s="26" t="s">
        <v>138</v>
      </c>
    </row>
    <row r="550">
      <c r="A550" s="188">
        <v>44831.02510368056</v>
      </c>
      <c r="B550" s="26" t="s">
        <v>206</v>
      </c>
      <c r="C550" s="26">
        <v>10.516</v>
      </c>
      <c r="D550" s="26" t="s">
        <v>131</v>
      </c>
    </row>
    <row r="551">
      <c r="A551" s="188">
        <v>44831.02510368056</v>
      </c>
      <c r="B551" s="26" t="s">
        <v>300</v>
      </c>
      <c r="C551" s="26">
        <v>8.004</v>
      </c>
      <c r="D551" s="26" t="s">
        <v>144</v>
      </c>
    </row>
    <row r="552">
      <c r="A552" s="188">
        <v>44831.02510368056</v>
      </c>
      <c r="B552" s="26" t="s">
        <v>342</v>
      </c>
      <c r="C552" s="26">
        <v>0.8</v>
      </c>
      <c r="D552" s="26" t="s">
        <v>144</v>
      </c>
    </row>
    <row r="553">
      <c r="A553" s="188">
        <v>44831.02510368056</v>
      </c>
      <c r="B553" s="26" t="s">
        <v>336</v>
      </c>
      <c r="C553" s="26">
        <v>2.2</v>
      </c>
      <c r="D553" s="26" t="s">
        <v>116</v>
      </c>
    </row>
    <row r="554">
      <c r="A554" s="188">
        <v>44831.02510368056</v>
      </c>
      <c r="B554" s="26" t="s">
        <v>331</v>
      </c>
      <c r="C554" s="26">
        <v>6.692</v>
      </c>
      <c r="D554" s="26" t="s">
        <v>442</v>
      </c>
    </row>
    <row r="555">
      <c r="A555" s="188">
        <v>44831.02510368056</v>
      </c>
      <c r="B555" s="26" t="s">
        <v>325</v>
      </c>
      <c r="C555" s="26">
        <v>5.494</v>
      </c>
      <c r="D555" s="26" t="s">
        <v>144</v>
      </c>
    </row>
    <row r="556">
      <c r="A556" s="188">
        <v>44831.02510368056</v>
      </c>
      <c r="B556" s="26" t="s">
        <v>356</v>
      </c>
      <c r="C556" s="26">
        <v>5.6930000000000005</v>
      </c>
      <c r="D556" s="26" t="s">
        <v>103</v>
      </c>
    </row>
    <row r="557">
      <c r="A557" s="188">
        <v>44831.02510368056</v>
      </c>
      <c r="B557" s="26" t="s">
        <v>181</v>
      </c>
      <c r="C557" s="26">
        <v>6.396</v>
      </c>
      <c r="D557" s="26" t="s">
        <v>53</v>
      </c>
    </row>
    <row r="558">
      <c r="A558" s="188">
        <v>44831.02510368056</v>
      </c>
      <c r="B558" s="26" t="s">
        <v>346</v>
      </c>
      <c r="C558" s="26">
        <v>6.1</v>
      </c>
      <c r="D558" s="26" t="s">
        <v>144</v>
      </c>
    </row>
    <row r="559">
      <c r="A559" s="188">
        <v>44831.02510368056</v>
      </c>
      <c r="B559" s="26" t="s">
        <v>275</v>
      </c>
      <c r="C559" s="26">
        <v>2.1</v>
      </c>
      <c r="D559" s="26" t="s">
        <v>59</v>
      </c>
    </row>
    <row r="560">
      <c r="A560" s="188">
        <v>44831.02510368056</v>
      </c>
      <c r="B560" s="26" t="s">
        <v>340</v>
      </c>
      <c r="C560" s="26">
        <v>9.184000000000001</v>
      </c>
      <c r="D560" s="26" t="s">
        <v>103</v>
      </c>
    </row>
    <row r="561">
      <c r="A561" s="188">
        <v>44831.02510368056</v>
      </c>
      <c r="B561" s="26" t="s">
        <v>345</v>
      </c>
      <c r="C561" s="26">
        <v>7.569999999999999</v>
      </c>
      <c r="D561" s="26" t="s">
        <v>144</v>
      </c>
    </row>
    <row r="562">
      <c r="A562" s="188">
        <v>44831.02510368056</v>
      </c>
      <c r="B562" s="26" t="s">
        <v>313</v>
      </c>
      <c r="C562" s="26">
        <v>11.370000000000001</v>
      </c>
      <c r="D562" s="26" t="s">
        <v>116</v>
      </c>
    </row>
    <row r="563">
      <c r="A563" s="188">
        <v>44831.02510368056</v>
      </c>
      <c r="B563" s="26" t="s">
        <v>257</v>
      </c>
      <c r="C563" s="26">
        <v>6.66</v>
      </c>
      <c r="D563" s="26" t="s">
        <v>178</v>
      </c>
    </row>
    <row r="564">
      <c r="A564" s="188">
        <v>44831.02510368056</v>
      </c>
      <c r="B564" s="26" t="s">
        <v>361</v>
      </c>
      <c r="C564" s="26">
        <v>2.399</v>
      </c>
      <c r="D564" s="26" t="s">
        <v>103</v>
      </c>
    </row>
    <row r="565">
      <c r="A565" s="188">
        <v>44831.02510368056</v>
      </c>
      <c r="B565" s="26" t="s">
        <v>348</v>
      </c>
      <c r="C565" s="26">
        <v>2.6</v>
      </c>
      <c r="D565" s="26" t="s">
        <v>116</v>
      </c>
    </row>
    <row r="566">
      <c r="A566" s="188">
        <v>44831.02510368056</v>
      </c>
      <c r="B566" s="26" t="s">
        <v>351</v>
      </c>
      <c r="C566" s="26">
        <v>2.4</v>
      </c>
      <c r="D566" s="26" t="s">
        <v>166</v>
      </c>
    </row>
    <row r="567">
      <c r="A567" s="188">
        <v>44831.02510368056</v>
      </c>
      <c r="B567" s="26" t="s">
        <v>330</v>
      </c>
      <c r="C567" s="26">
        <v>6.67</v>
      </c>
      <c r="D567" s="26" t="s">
        <v>154</v>
      </c>
    </row>
    <row r="568">
      <c r="A568" s="188">
        <v>44831.02510368056</v>
      </c>
      <c r="B568" s="26" t="s">
        <v>321</v>
      </c>
      <c r="C568" s="26">
        <v>6.499</v>
      </c>
      <c r="D568" s="26" t="s">
        <v>144</v>
      </c>
    </row>
    <row r="569">
      <c r="A569" s="188">
        <v>44831.02510368056</v>
      </c>
      <c r="B569" s="26" t="s">
        <v>327</v>
      </c>
      <c r="C569" s="26">
        <v>4.8</v>
      </c>
      <c r="D569" s="26" t="s">
        <v>166</v>
      </c>
    </row>
    <row r="570">
      <c r="A570" s="188">
        <v>44831.02510368056</v>
      </c>
      <c r="B570" s="26" t="s">
        <v>332</v>
      </c>
      <c r="C570" s="26">
        <v>6.494</v>
      </c>
      <c r="D570" s="26" t="s">
        <v>116</v>
      </c>
    </row>
    <row r="571">
      <c r="A571" s="188">
        <v>44831.02510368056</v>
      </c>
      <c r="B571" s="26" t="s">
        <v>326</v>
      </c>
      <c r="C571" s="26">
        <v>6.98</v>
      </c>
      <c r="D571" s="26" t="s">
        <v>148</v>
      </c>
    </row>
    <row r="572">
      <c r="A572" s="188">
        <v>44831.02510368056</v>
      </c>
      <c r="B572" s="26" t="s">
        <v>388</v>
      </c>
      <c r="C572" s="26">
        <v>8.0</v>
      </c>
      <c r="D572" s="26" t="s">
        <v>442</v>
      </c>
    </row>
    <row r="573">
      <c r="A573" s="188">
        <v>44831.02510368056</v>
      </c>
      <c r="B573" s="26" t="s">
        <v>217</v>
      </c>
      <c r="C573" s="26">
        <v>6.194</v>
      </c>
      <c r="D573" s="26" t="s">
        <v>131</v>
      </c>
    </row>
    <row r="574">
      <c r="A574" s="188">
        <v>44831.02510368056</v>
      </c>
      <c r="B574" s="26" t="s">
        <v>291</v>
      </c>
      <c r="C574" s="26">
        <v>6.831</v>
      </c>
      <c r="D574" s="26" t="s">
        <v>59</v>
      </c>
    </row>
    <row r="575">
      <c r="A575" s="188">
        <v>44831.02510368056</v>
      </c>
      <c r="B575" s="26" t="s">
        <v>359</v>
      </c>
      <c r="C575" s="26">
        <v>6.647</v>
      </c>
      <c r="D575" s="26" t="s">
        <v>144</v>
      </c>
    </row>
    <row r="576">
      <c r="A576" s="188">
        <v>44831.02510368056</v>
      </c>
      <c r="B576" s="26" t="s">
        <v>283</v>
      </c>
      <c r="C576" s="26">
        <v>7.997</v>
      </c>
      <c r="D576" s="26" t="s">
        <v>59</v>
      </c>
    </row>
    <row r="577">
      <c r="A577" s="188">
        <v>44831.02510368056</v>
      </c>
      <c r="B577" s="26" t="s">
        <v>399</v>
      </c>
      <c r="C577" s="26">
        <v>8.7</v>
      </c>
      <c r="D577" s="26" t="s">
        <v>166</v>
      </c>
    </row>
    <row r="578">
      <c r="A578" s="188">
        <v>44831.02510368056</v>
      </c>
      <c r="B578" s="26" t="s">
        <v>292</v>
      </c>
      <c r="C578" s="26">
        <v>5.483</v>
      </c>
      <c r="D578" s="26" t="s">
        <v>109</v>
      </c>
    </row>
    <row r="579">
      <c r="A579" s="188">
        <v>44831.02510368056</v>
      </c>
      <c r="B579" s="26" t="s">
        <v>334</v>
      </c>
      <c r="C579" s="26">
        <v>5.474</v>
      </c>
      <c r="D579" s="26" t="s">
        <v>166</v>
      </c>
    </row>
    <row r="580">
      <c r="A580" s="188">
        <v>44831.02510368056</v>
      </c>
      <c r="B580" s="26" t="s">
        <v>353</v>
      </c>
      <c r="C580" s="26">
        <v>6.199</v>
      </c>
      <c r="D580" s="26" t="s">
        <v>141</v>
      </c>
    </row>
    <row r="581">
      <c r="A581" s="188">
        <v>44831.02510368056</v>
      </c>
      <c r="B581" s="26" t="s">
        <v>360</v>
      </c>
      <c r="C581" s="26">
        <v>8.265</v>
      </c>
      <c r="D581" s="26" t="s">
        <v>109</v>
      </c>
    </row>
    <row r="582">
      <c r="A582" s="188">
        <v>44831.02510368056</v>
      </c>
      <c r="B582" s="26" t="s">
        <v>306</v>
      </c>
      <c r="C582" s="26">
        <v>7.5520000000000005</v>
      </c>
      <c r="D582" s="26" t="s">
        <v>166</v>
      </c>
    </row>
    <row r="583">
      <c r="A583" s="188">
        <v>44831.02510368056</v>
      </c>
      <c r="B583" s="26" t="s">
        <v>341</v>
      </c>
      <c r="C583" s="26">
        <v>7.698</v>
      </c>
      <c r="D583" s="26" t="s">
        <v>103</v>
      </c>
    </row>
    <row r="584">
      <c r="A584" s="188">
        <v>44831.02510368056</v>
      </c>
      <c r="B584" s="26" t="s">
        <v>339</v>
      </c>
      <c r="C584" s="26">
        <v>7.752</v>
      </c>
      <c r="D584" s="26" t="s">
        <v>109</v>
      </c>
    </row>
    <row r="585">
      <c r="A585" s="188">
        <v>44831.02510368056</v>
      </c>
      <c r="B585" s="26" t="s">
        <v>208</v>
      </c>
      <c r="C585" s="26">
        <v>6.631</v>
      </c>
      <c r="D585" s="26" t="s">
        <v>131</v>
      </c>
    </row>
    <row r="586">
      <c r="A586" s="188">
        <v>44831.02510368056</v>
      </c>
      <c r="B586" s="26" t="s">
        <v>357</v>
      </c>
      <c r="C586" s="26">
        <v>7.098</v>
      </c>
      <c r="D586" s="26" t="s">
        <v>144</v>
      </c>
    </row>
    <row r="587">
      <c r="A587" s="188">
        <v>44831.02510368056</v>
      </c>
      <c r="B587" s="26" t="s">
        <v>294</v>
      </c>
      <c r="C587" s="26">
        <v>5.598999999999999</v>
      </c>
      <c r="D587" s="26" t="s">
        <v>138</v>
      </c>
    </row>
    <row r="588">
      <c r="A588" s="188">
        <v>44831.02510368056</v>
      </c>
      <c r="B588" s="26" t="s">
        <v>284</v>
      </c>
      <c r="C588" s="26">
        <v>10.082999999999998</v>
      </c>
      <c r="D588" s="26" t="s">
        <v>59</v>
      </c>
    </row>
    <row r="589">
      <c r="A589" s="188">
        <v>44831.02510368056</v>
      </c>
      <c r="B589" s="26" t="s">
        <v>343</v>
      </c>
      <c r="C589" s="26">
        <v>8.017</v>
      </c>
      <c r="D589" s="26" t="s">
        <v>109</v>
      </c>
    </row>
    <row r="590">
      <c r="A590" s="188">
        <v>44831.02510368056</v>
      </c>
      <c r="B590" s="26" t="s">
        <v>240</v>
      </c>
      <c r="C590" s="26">
        <v>10.202</v>
      </c>
      <c r="D590" s="26" t="s">
        <v>178</v>
      </c>
    </row>
    <row r="591">
      <c r="A591" s="188">
        <v>44831.02510368056</v>
      </c>
      <c r="B591" s="26" t="s">
        <v>269</v>
      </c>
      <c r="C591" s="26">
        <v>7.3</v>
      </c>
      <c r="D591" s="26" t="s">
        <v>178</v>
      </c>
    </row>
    <row r="592">
      <c r="A592" s="188">
        <v>44831.02510368056</v>
      </c>
      <c r="B592" s="26" t="s">
        <v>173</v>
      </c>
      <c r="C592" s="26">
        <v>5.2</v>
      </c>
      <c r="D592" s="26" t="s">
        <v>53</v>
      </c>
    </row>
    <row r="593">
      <c r="A593" s="188">
        <v>44831.02510368056</v>
      </c>
      <c r="B593" s="26" t="s">
        <v>347</v>
      </c>
      <c r="C593" s="26">
        <v>2.6</v>
      </c>
      <c r="D593" s="26" t="s">
        <v>116</v>
      </c>
    </row>
    <row r="594">
      <c r="A594" s="188">
        <v>44831.02510368056</v>
      </c>
      <c r="B594" s="26" t="s">
        <v>363</v>
      </c>
      <c r="C594" s="26">
        <v>8.57</v>
      </c>
      <c r="D594" s="26" t="s">
        <v>154</v>
      </c>
    </row>
    <row r="595">
      <c r="A595" s="188">
        <v>44831.02510368056</v>
      </c>
      <c r="B595" s="26" t="s">
        <v>365</v>
      </c>
      <c r="C595" s="26">
        <v>3.2</v>
      </c>
      <c r="D595" s="26" t="s">
        <v>141</v>
      </c>
    </row>
    <row r="596">
      <c r="A596" s="188">
        <v>44831.02510368056</v>
      </c>
      <c r="B596" s="26" t="s">
        <v>120</v>
      </c>
      <c r="C596" s="26">
        <v>4.897</v>
      </c>
      <c r="D596" s="26" t="s">
        <v>53</v>
      </c>
    </row>
    <row r="597">
      <c r="A597" s="188">
        <v>44831.02510368056</v>
      </c>
      <c r="B597" s="26" t="s">
        <v>263</v>
      </c>
      <c r="C597" s="26">
        <v>5.2989999999999995</v>
      </c>
      <c r="D597" s="26" t="s">
        <v>178</v>
      </c>
    </row>
    <row r="598">
      <c r="A598" s="188">
        <v>44831.02510368056</v>
      </c>
      <c r="B598" s="26" t="s">
        <v>394</v>
      </c>
      <c r="C598" s="26">
        <v>3.7</v>
      </c>
      <c r="D598" s="26" t="s">
        <v>109</v>
      </c>
    </row>
    <row r="599">
      <c r="A599" s="188">
        <v>44831.02510368056</v>
      </c>
      <c r="B599" s="26" t="s">
        <v>367</v>
      </c>
      <c r="C599" s="26">
        <v>7.37</v>
      </c>
      <c r="D599" s="26" t="s">
        <v>109</v>
      </c>
    </row>
    <row r="600">
      <c r="A600" s="188">
        <v>44831.02510368056</v>
      </c>
      <c r="B600" s="26" t="s">
        <v>204</v>
      </c>
      <c r="C600" s="26">
        <v>4.893000000000001</v>
      </c>
      <c r="D600" s="26" t="s">
        <v>131</v>
      </c>
    </row>
    <row r="601">
      <c r="A601" s="188">
        <v>44831.02510368056</v>
      </c>
      <c r="B601" s="26" t="s">
        <v>298</v>
      </c>
      <c r="C601" s="26">
        <v>5.442</v>
      </c>
      <c r="D601" s="26" t="s">
        <v>138</v>
      </c>
    </row>
    <row r="602">
      <c r="A602" s="188">
        <v>44831.02510368056</v>
      </c>
      <c r="B602" s="26" t="s">
        <v>368</v>
      </c>
      <c r="C602" s="26">
        <v>1.6</v>
      </c>
      <c r="D602" s="26" t="s">
        <v>154</v>
      </c>
    </row>
    <row r="603">
      <c r="A603" s="188">
        <v>44831.02510368056</v>
      </c>
      <c r="B603" s="26" t="s">
        <v>400</v>
      </c>
      <c r="C603" s="26">
        <v>7.6</v>
      </c>
      <c r="D603" s="26" t="s">
        <v>109</v>
      </c>
    </row>
    <row r="604">
      <c r="A604" s="188">
        <v>44831.02510368056</v>
      </c>
      <c r="B604" s="26" t="s">
        <v>176</v>
      </c>
      <c r="C604" s="26">
        <v>5.588</v>
      </c>
      <c r="D604" s="26" t="s">
        <v>53</v>
      </c>
    </row>
    <row r="605">
      <c r="A605" s="188">
        <v>44831.02510368056</v>
      </c>
      <c r="B605" s="26" t="s">
        <v>168</v>
      </c>
      <c r="C605" s="26">
        <v>11.117999999999999</v>
      </c>
      <c r="D605" s="26" t="s">
        <v>53</v>
      </c>
    </row>
    <row r="606">
      <c r="A606" s="188">
        <v>44831.02510368056</v>
      </c>
      <c r="B606" s="26" t="s">
        <v>184</v>
      </c>
      <c r="C606" s="26">
        <v>8.308</v>
      </c>
      <c r="D606" s="26" t="s">
        <v>53</v>
      </c>
    </row>
    <row r="607">
      <c r="A607" s="188">
        <v>44831.02510368056</v>
      </c>
      <c r="B607" s="26" t="s">
        <v>354</v>
      </c>
      <c r="C607" s="26">
        <v>7.7219999999999995</v>
      </c>
      <c r="D607" s="26" t="s">
        <v>116</v>
      </c>
    </row>
    <row r="608">
      <c r="A608" s="188">
        <v>44831.02510368056</v>
      </c>
      <c r="B608" s="26" t="s">
        <v>170</v>
      </c>
      <c r="C608" s="26">
        <v>4.5889999999999995</v>
      </c>
      <c r="D608" s="26" t="s">
        <v>53</v>
      </c>
    </row>
    <row r="609">
      <c r="A609" s="188">
        <v>44831.02510368056</v>
      </c>
      <c r="B609" s="26" t="s">
        <v>373</v>
      </c>
      <c r="C609" s="26">
        <v>9.177</v>
      </c>
      <c r="D609" s="26" t="s">
        <v>103</v>
      </c>
    </row>
    <row r="610">
      <c r="A610" s="188">
        <v>44831.02510368056</v>
      </c>
      <c r="B610" s="26" t="s">
        <v>54</v>
      </c>
      <c r="C610" s="26">
        <v>8.482</v>
      </c>
      <c r="D610" s="26" t="s">
        <v>53</v>
      </c>
    </row>
    <row r="611">
      <c r="A611" s="188">
        <v>44831.02510368056</v>
      </c>
      <c r="B611" s="26" t="s">
        <v>274</v>
      </c>
      <c r="C611" s="26">
        <v>7.593999999999999</v>
      </c>
      <c r="D611" s="26" t="s">
        <v>59</v>
      </c>
    </row>
    <row r="612">
      <c r="A612" s="188">
        <v>44831.02510368056</v>
      </c>
      <c r="B612" s="26" t="s">
        <v>375</v>
      </c>
      <c r="C612" s="26">
        <v>9.437</v>
      </c>
      <c r="D612" s="26" t="s">
        <v>109</v>
      </c>
    </row>
    <row r="613">
      <c r="A613" s="188">
        <v>44831.02510368056</v>
      </c>
      <c r="B613" s="26" t="s">
        <v>370</v>
      </c>
      <c r="C613" s="26">
        <v>8.302</v>
      </c>
      <c r="D613" s="26" t="s">
        <v>166</v>
      </c>
    </row>
    <row r="614">
      <c r="A614" s="188">
        <v>44831.02510368056</v>
      </c>
      <c r="B614" s="26" t="s">
        <v>381</v>
      </c>
      <c r="C614" s="26">
        <v>6.394</v>
      </c>
      <c r="D614" s="26" t="s">
        <v>148</v>
      </c>
    </row>
    <row r="615">
      <c r="A615" s="188">
        <v>44831.02510368056</v>
      </c>
      <c r="B615" s="26" t="s">
        <v>355</v>
      </c>
      <c r="C615" s="26">
        <v>5.096</v>
      </c>
      <c r="D615" s="26" t="s">
        <v>116</v>
      </c>
    </row>
    <row r="616">
      <c r="A616" s="188">
        <v>44831.02510368056</v>
      </c>
      <c r="B616" s="26" t="s">
        <v>386</v>
      </c>
      <c r="C616" s="26">
        <v>4.8</v>
      </c>
      <c r="D616" s="26" t="s">
        <v>141</v>
      </c>
    </row>
    <row r="617">
      <c r="A617" s="188">
        <v>44831.02510368056</v>
      </c>
      <c r="B617" s="26" t="s">
        <v>219</v>
      </c>
      <c r="C617" s="26">
        <v>5.875</v>
      </c>
      <c r="D617" s="26" t="s">
        <v>131</v>
      </c>
    </row>
    <row r="618">
      <c r="A618" s="188">
        <v>44831.02510368056</v>
      </c>
      <c r="B618" s="26" t="s">
        <v>349</v>
      </c>
      <c r="C618" s="26">
        <v>7.6450000000000005</v>
      </c>
      <c r="D618" s="26" t="s">
        <v>141</v>
      </c>
    </row>
    <row r="619">
      <c r="A619" s="188">
        <v>44831.02510368056</v>
      </c>
      <c r="B619" s="26" t="s">
        <v>314</v>
      </c>
      <c r="C619" s="26">
        <v>6.82</v>
      </c>
      <c r="D619" s="26" t="s">
        <v>141</v>
      </c>
    </row>
    <row r="620">
      <c r="A620" s="188">
        <v>44831.02510368056</v>
      </c>
      <c r="B620" s="26" t="s">
        <v>302</v>
      </c>
      <c r="C620" s="26">
        <v>8.633000000000001</v>
      </c>
      <c r="D620" s="26" t="s">
        <v>138</v>
      </c>
    </row>
    <row r="621">
      <c r="A621" s="188">
        <v>44831.02510368056</v>
      </c>
      <c r="B621" s="26" t="s">
        <v>379</v>
      </c>
      <c r="C621" s="26">
        <v>5.5</v>
      </c>
      <c r="D621" s="26" t="s">
        <v>154</v>
      </c>
    </row>
    <row r="622">
      <c r="A622" s="188">
        <v>44831.02510368056</v>
      </c>
      <c r="B622" s="26" t="s">
        <v>210</v>
      </c>
      <c r="C622" s="26">
        <v>2.6</v>
      </c>
      <c r="D622" s="26" t="s">
        <v>131</v>
      </c>
    </row>
    <row r="623">
      <c r="A623" s="188">
        <v>44831.02510368056</v>
      </c>
      <c r="B623" s="26" t="s">
        <v>338</v>
      </c>
      <c r="C623" s="26">
        <v>6.614</v>
      </c>
      <c r="D623" s="26" t="s">
        <v>144</v>
      </c>
    </row>
    <row r="624">
      <c r="A624" s="188">
        <v>44831.02510368056</v>
      </c>
      <c r="B624" s="26" t="s">
        <v>311</v>
      </c>
      <c r="C624" s="26">
        <v>3.9</v>
      </c>
      <c r="D624" s="26" t="s">
        <v>138</v>
      </c>
    </row>
    <row r="625">
      <c r="A625" s="188">
        <v>44831.02510368056</v>
      </c>
      <c r="B625" s="26" t="s">
        <v>308</v>
      </c>
      <c r="C625" s="26">
        <v>8.174</v>
      </c>
      <c r="D625" s="26" t="s">
        <v>138</v>
      </c>
    </row>
    <row r="626">
      <c r="A626" s="188">
        <v>44831.02510368056</v>
      </c>
      <c r="B626" s="26" t="s">
        <v>358</v>
      </c>
      <c r="C626" s="26">
        <v>7.068</v>
      </c>
      <c r="D626" s="26" t="s">
        <v>103</v>
      </c>
    </row>
    <row r="627">
      <c r="A627" s="188">
        <v>44831.02510368056</v>
      </c>
      <c r="B627" s="26" t="s">
        <v>362</v>
      </c>
      <c r="C627" s="26">
        <v>3.5</v>
      </c>
      <c r="D627" s="26" t="s">
        <v>103</v>
      </c>
    </row>
    <row r="628">
      <c r="A628" s="188">
        <v>44831.02510368056</v>
      </c>
      <c r="B628" s="26" t="s">
        <v>214</v>
      </c>
      <c r="C628" s="26">
        <v>9.081999999999999</v>
      </c>
      <c r="D628" s="26" t="s">
        <v>131</v>
      </c>
    </row>
    <row r="629">
      <c r="A629" s="188">
        <v>44831.02510368056</v>
      </c>
      <c r="B629" s="26" t="s">
        <v>387</v>
      </c>
      <c r="C629" s="26">
        <v>6.7989999999999995</v>
      </c>
      <c r="D629" s="26" t="s">
        <v>148</v>
      </c>
    </row>
    <row r="630">
      <c r="A630" s="188">
        <v>44831.02510368056</v>
      </c>
      <c r="B630" s="26" t="s">
        <v>364</v>
      </c>
      <c r="C630" s="26">
        <v>7.704</v>
      </c>
      <c r="D630" s="26" t="s">
        <v>166</v>
      </c>
    </row>
    <row r="631">
      <c r="A631" s="188">
        <v>44831.02510368056</v>
      </c>
      <c r="B631" s="26" t="s">
        <v>380</v>
      </c>
      <c r="C631" s="26">
        <v>4.199</v>
      </c>
      <c r="D631" s="26" t="s">
        <v>148</v>
      </c>
    </row>
    <row r="632">
      <c r="A632" s="188">
        <v>44831.02510368056</v>
      </c>
      <c r="B632" s="26" t="s">
        <v>272</v>
      </c>
      <c r="C632" s="26">
        <v>6.077999999999999</v>
      </c>
      <c r="D632" s="26" t="s">
        <v>178</v>
      </c>
    </row>
    <row r="633">
      <c r="A633" s="188">
        <v>44831.02510368056</v>
      </c>
      <c r="B633" s="26" t="s">
        <v>265</v>
      </c>
      <c r="C633" s="26">
        <v>7.372999999999999</v>
      </c>
      <c r="D633" s="26" t="s">
        <v>178</v>
      </c>
    </row>
    <row r="634">
      <c r="A634" s="188">
        <v>44831.02510368056</v>
      </c>
      <c r="B634" s="26" t="s">
        <v>318</v>
      </c>
      <c r="C634" s="26">
        <v>6.139</v>
      </c>
      <c r="D634" s="26" t="s">
        <v>141</v>
      </c>
    </row>
    <row r="635">
      <c r="A635" s="188">
        <v>44831.02510368056</v>
      </c>
      <c r="B635" s="26" t="s">
        <v>267</v>
      </c>
      <c r="C635" s="26">
        <v>7.545</v>
      </c>
      <c r="D635" s="26" t="s">
        <v>178</v>
      </c>
    </row>
    <row r="636">
      <c r="A636" s="188">
        <v>44831.02510368056</v>
      </c>
      <c r="B636" s="26" t="s">
        <v>195</v>
      </c>
      <c r="C636" s="26">
        <v>6.278</v>
      </c>
      <c r="D636" s="26" t="s">
        <v>53</v>
      </c>
    </row>
    <row r="637">
      <c r="A637" s="188">
        <v>44831.02510368056</v>
      </c>
      <c r="B637" s="26" t="s">
        <v>378</v>
      </c>
      <c r="C637" s="26">
        <v>7.659000000000001</v>
      </c>
      <c r="D637" s="26" t="s">
        <v>103</v>
      </c>
    </row>
    <row r="638">
      <c r="A638" s="188">
        <v>44831.02510368056</v>
      </c>
      <c r="B638" s="26" t="s">
        <v>374</v>
      </c>
      <c r="C638" s="26">
        <v>8.928999999999998</v>
      </c>
      <c r="D638" s="26" t="s">
        <v>148</v>
      </c>
    </row>
    <row r="639">
      <c r="A639" s="188">
        <v>44831.02510368056</v>
      </c>
      <c r="B639" s="26" t="s">
        <v>261</v>
      </c>
      <c r="C639" s="26">
        <v>8.178999999999998</v>
      </c>
      <c r="D639" s="26" t="s">
        <v>178</v>
      </c>
    </row>
    <row r="640">
      <c r="A640" s="188">
        <v>44831.02510368056</v>
      </c>
      <c r="B640" s="26" t="s">
        <v>281</v>
      </c>
      <c r="C640" s="26">
        <v>2.9</v>
      </c>
      <c r="D640" s="26" t="s">
        <v>59</v>
      </c>
    </row>
    <row r="641">
      <c r="A641" s="188">
        <v>44831.02510368056</v>
      </c>
      <c r="B641" s="26" t="s">
        <v>199</v>
      </c>
      <c r="C641" s="26">
        <v>4.196000000000001</v>
      </c>
      <c r="D641" s="26" t="s">
        <v>131</v>
      </c>
    </row>
    <row r="642">
      <c r="A642" s="188">
        <v>44831.02510368056</v>
      </c>
      <c r="B642" s="26" t="s">
        <v>401</v>
      </c>
      <c r="C642" s="26">
        <v>2.4</v>
      </c>
      <c r="D642" s="26" t="s">
        <v>148</v>
      </c>
    </row>
    <row r="643">
      <c r="A643" s="188">
        <v>44831.02510368056</v>
      </c>
      <c r="B643" s="26" t="s">
        <v>279</v>
      </c>
      <c r="C643" s="26">
        <v>7.386</v>
      </c>
      <c r="D643" s="26" t="s">
        <v>59</v>
      </c>
    </row>
    <row r="644">
      <c r="A644" s="188">
        <v>44831.02510368056</v>
      </c>
      <c r="B644" s="26" t="s">
        <v>369</v>
      </c>
      <c r="C644" s="26">
        <v>10.402000000000001</v>
      </c>
      <c r="D644" s="26" t="s">
        <v>116</v>
      </c>
    </row>
    <row r="645">
      <c r="A645" s="188">
        <v>44831.02510368056</v>
      </c>
      <c r="B645" s="26" t="s">
        <v>304</v>
      </c>
      <c r="C645" s="26">
        <v>3.599</v>
      </c>
      <c r="D645" s="26" t="s">
        <v>138</v>
      </c>
    </row>
    <row r="646">
      <c r="A646" s="188">
        <v>44831.02510368056</v>
      </c>
      <c r="B646" s="26" t="s">
        <v>372</v>
      </c>
      <c r="C646" s="26">
        <v>9.274</v>
      </c>
      <c r="D646" s="26" t="s">
        <v>154</v>
      </c>
    </row>
    <row r="647">
      <c r="A647" s="188">
        <v>44831.02510368056</v>
      </c>
      <c r="B647" s="26" t="s">
        <v>366</v>
      </c>
      <c r="C647" s="26">
        <v>4.598999999999999</v>
      </c>
      <c r="D647" s="26" t="s">
        <v>154</v>
      </c>
    </row>
    <row r="648">
      <c r="A648" s="188">
        <v>44831.02510368056</v>
      </c>
      <c r="B648" s="26" t="s">
        <v>296</v>
      </c>
      <c r="C648" s="26">
        <v>6.921</v>
      </c>
      <c r="D648" s="26" t="s">
        <v>138</v>
      </c>
    </row>
    <row r="649">
      <c r="A649" s="188">
        <v>44831.02510368056</v>
      </c>
      <c r="B649" s="26" t="s">
        <v>309</v>
      </c>
      <c r="C649" s="26">
        <v>4.2</v>
      </c>
      <c r="D649" s="26" t="s">
        <v>138</v>
      </c>
    </row>
    <row r="650">
      <c r="A650" s="188">
        <v>44831.02510368056</v>
      </c>
      <c r="B650" s="26" t="s">
        <v>155</v>
      </c>
      <c r="C650" s="26">
        <v>5.596</v>
      </c>
      <c r="D650" s="26" t="s">
        <v>53</v>
      </c>
    </row>
    <row r="651">
      <c r="A651" s="188">
        <v>44831.02510368056</v>
      </c>
      <c r="B651" s="26" t="s">
        <v>384</v>
      </c>
      <c r="C651" s="26">
        <v>4.399</v>
      </c>
      <c r="D651" s="26" t="s">
        <v>148</v>
      </c>
    </row>
    <row r="652">
      <c r="A652" s="188">
        <v>44831.02510368056</v>
      </c>
      <c r="B652" s="26" t="s">
        <v>259</v>
      </c>
      <c r="C652" s="26">
        <v>7.398000000000001</v>
      </c>
      <c r="D652" s="26" t="s">
        <v>178</v>
      </c>
    </row>
    <row r="653">
      <c r="A653" s="188">
        <v>44831.02510368056</v>
      </c>
      <c r="B653" s="26" t="s">
        <v>377</v>
      </c>
      <c r="C653" s="26">
        <v>9.774000000000001</v>
      </c>
      <c r="D653" s="26" t="s">
        <v>148</v>
      </c>
    </row>
    <row r="654">
      <c r="A654" s="188">
        <v>44831.02510368056</v>
      </c>
      <c r="B654" s="26" t="s">
        <v>222</v>
      </c>
      <c r="C654" s="26">
        <v>6.0</v>
      </c>
      <c r="D654" s="26" t="s">
        <v>131</v>
      </c>
    </row>
    <row r="655">
      <c r="A655" s="188">
        <v>44831.02510368056</v>
      </c>
      <c r="B655" s="26" t="s">
        <v>371</v>
      </c>
      <c r="C655" s="26">
        <v>4.894</v>
      </c>
      <c r="D655" s="26" t="s">
        <v>144</v>
      </c>
    </row>
    <row r="656">
      <c r="A656" s="188">
        <v>44831.02510368056</v>
      </c>
      <c r="B656" s="26" t="s">
        <v>271</v>
      </c>
      <c r="C656" s="26">
        <v>9.744</v>
      </c>
      <c r="D656" s="26" t="s">
        <v>178</v>
      </c>
    </row>
    <row r="657">
      <c r="A657" s="188">
        <v>44831.02510368056</v>
      </c>
      <c r="B657" s="26" t="s">
        <v>382</v>
      </c>
      <c r="C657" s="26">
        <v>4.873</v>
      </c>
      <c r="D657" s="26" t="s">
        <v>154</v>
      </c>
    </row>
    <row r="658">
      <c r="A658" s="188">
        <v>44831.02510368056</v>
      </c>
      <c r="B658" s="26" t="s">
        <v>197</v>
      </c>
      <c r="C658" s="26">
        <v>7.175</v>
      </c>
      <c r="D658" s="26" t="s">
        <v>131</v>
      </c>
    </row>
    <row r="659">
      <c r="A659" s="26" t="s">
        <v>654</v>
      </c>
      <c r="B659" s="26" t="s">
        <v>0</v>
      </c>
      <c r="C659" s="26" t="s">
        <v>655</v>
      </c>
      <c r="D659" s="26" t="s">
        <v>656</v>
      </c>
    </row>
    <row r="660">
      <c r="A660" s="188">
        <v>44838.02510101852</v>
      </c>
      <c r="B660" s="26" t="s">
        <v>324</v>
      </c>
      <c r="C660" s="26">
        <v>9.099</v>
      </c>
      <c r="D660" s="26" t="s">
        <v>103</v>
      </c>
    </row>
    <row r="661">
      <c r="A661" s="188">
        <v>44838.02510101852</v>
      </c>
      <c r="B661" s="26" t="s">
        <v>323</v>
      </c>
      <c r="C661" s="26">
        <v>2.4</v>
      </c>
      <c r="D661" s="26" t="s">
        <v>141</v>
      </c>
    </row>
    <row r="662">
      <c r="A662" s="188">
        <v>44838.02510101852</v>
      </c>
      <c r="B662" s="26" t="s">
        <v>287</v>
      </c>
      <c r="C662" s="26">
        <v>11.265</v>
      </c>
      <c r="D662" s="26" t="s">
        <v>141</v>
      </c>
    </row>
    <row r="663">
      <c r="A663" s="188">
        <v>44838.02510101852</v>
      </c>
      <c r="B663" s="26" t="s">
        <v>277</v>
      </c>
      <c r="C663" s="26">
        <v>8.391</v>
      </c>
      <c r="D663" s="26" t="s">
        <v>59</v>
      </c>
    </row>
    <row r="664">
      <c r="A664" s="188">
        <v>44838.02510101852</v>
      </c>
      <c r="B664" s="26" t="s">
        <v>328</v>
      </c>
      <c r="C664" s="26">
        <v>3.8</v>
      </c>
      <c r="D664" s="26" t="s">
        <v>109</v>
      </c>
    </row>
    <row r="665">
      <c r="A665" s="188">
        <v>44838.02510101852</v>
      </c>
      <c r="B665" s="26" t="s">
        <v>322</v>
      </c>
      <c r="C665" s="26">
        <v>4.7</v>
      </c>
      <c r="D665" s="26" t="s">
        <v>103</v>
      </c>
    </row>
    <row r="666">
      <c r="A666" s="188">
        <v>44838.02510101852</v>
      </c>
      <c r="B666" s="26" t="s">
        <v>303</v>
      </c>
      <c r="C666" s="26">
        <v>5.9</v>
      </c>
      <c r="D666" s="26" t="s">
        <v>138</v>
      </c>
    </row>
    <row r="667">
      <c r="A667" s="188">
        <v>44838.02510101852</v>
      </c>
      <c r="B667" s="26" t="s">
        <v>352</v>
      </c>
      <c r="C667" s="26">
        <v>5.679</v>
      </c>
      <c r="D667" s="26" t="s">
        <v>154</v>
      </c>
    </row>
    <row r="668">
      <c r="A668" s="188">
        <v>44838.02510101852</v>
      </c>
      <c r="B668" s="26" t="s">
        <v>398</v>
      </c>
      <c r="C668" s="26">
        <v>6.2</v>
      </c>
      <c r="D668" s="26" t="s">
        <v>166</v>
      </c>
    </row>
    <row r="669">
      <c r="A669" s="188">
        <v>44838.02510101852</v>
      </c>
      <c r="B669" s="26" t="s">
        <v>337</v>
      </c>
      <c r="C669" s="26">
        <v>5.2</v>
      </c>
      <c r="D669" s="26" t="s">
        <v>166</v>
      </c>
    </row>
    <row r="670">
      <c r="A670" s="188">
        <v>44838.02510101852</v>
      </c>
      <c r="B670" s="26" t="s">
        <v>329</v>
      </c>
      <c r="C670" s="26">
        <v>4.796</v>
      </c>
      <c r="D670" s="26" t="s">
        <v>116</v>
      </c>
    </row>
    <row r="671">
      <c r="A671" s="188">
        <v>44838.02510101852</v>
      </c>
      <c r="B671" s="26" t="s">
        <v>320</v>
      </c>
      <c r="C671" s="26">
        <v>7.008</v>
      </c>
      <c r="D671" s="26" t="s">
        <v>154</v>
      </c>
    </row>
    <row r="672">
      <c r="A672" s="188">
        <v>44838.02510101852</v>
      </c>
      <c r="B672" s="26" t="s">
        <v>316</v>
      </c>
      <c r="C672" s="26">
        <v>7.803999999999999</v>
      </c>
      <c r="D672" s="26" t="s">
        <v>148</v>
      </c>
    </row>
    <row r="673">
      <c r="A673" s="188">
        <v>44838.02510101852</v>
      </c>
      <c r="B673" s="26" t="s">
        <v>289</v>
      </c>
      <c r="C673" s="26">
        <v>3.6</v>
      </c>
      <c r="D673" s="26" t="s">
        <v>59</v>
      </c>
    </row>
    <row r="674">
      <c r="A674" s="188">
        <v>44838.02510101852</v>
      </c>
      <c r="B674" s="26" t="s">
        <v>335</v>
      </c>
      <c r="C674" s="26">
        <v>4.093999999999999</v>
      </c>
      <c r="D674" s="26" t="s">
        <v>148</v>
      </c>
    </row>
    <row r="675">
      <c r="A675" s="188">
        <v>44838.02510101852</v>
      </c>
      <c r="B675" s="26" t="s">
        <v>344</v>
      </c>
      <c r="C675" s="26">
        <v>6.333</v>
      </c>
      <c r="D675" s="26" t="s">
        <v>109</v>
      </c>
    </row>
    <row r="676">
      <c r="A676" s="188">
        <v>44838.02510101852</v>
      </c>
      <c r="B676" s="26" t="s">
        <v>393</v>
      </c>
      <c r="C676" s="26">
        <v>8.3</v>
      </c>
      <c r="D676" s="26" t="s">
        <v>141</v>
      </c>
    </row>
    <row r="677">
      <c r="A677" s="188">
        <v>44838.02510101852</v>
      </c>
      <c r="B677" s="26" t="s">
        <v>333</v>
      </c>
      <c r="C677" s="26">
        <v>5.7989999999999995</v>
      </c>
      <c r="D677" s="26" t="s">
        <v>166</v>
      </c>
    </row>
    <row r="678">
      <c r="A678" s="188">
        <v>44838.02510101852</v>
      </c>
      <c r="B678" s="26" t="s">
        <v>285</v>
      </c>
      <c r="C678" s="26">
        <v>5.753</v>
      </c>
      <c r="D678" s="26" t="s">
        <v>59</v>
      </c>
    </row>
    <row r="679">
      <c r="A679" s="188">
        <v>44838.02510101852</v>
      </c>
      <c r="B679" s="26" t="s">
        <v>317</v>
      </c>
      <c r="C679" s="26">
        <v>2.5</v>
      </c>
      <c r="D679" s="26" t="s">
        <v>141</v>
      </c>
    </row>
    <row r="680">
      <c r="A680" s="188">
        <v>44838.02510101852</v>
      </c>
      <c r="B680" s="26" t="s">
        <v>282</v>
      </c>
      <c r="C680" s="26">
        <v>9.661999999999999</v>
      </c>
      <c r="D680" s="26" t="s">
        <v>138</v>
      </c>
    </row>
    <row r="681">
      <c r="A681" s="188">
        <v>44838.02510101852</v>
      </c>
      <c r="B681" s="26" t="s">
        <v>206</v>
      </c>
      <c r="C681" s="26">
        <v>10.765</v>
      </c>
      <c r="D681" s="26" t="s">
        <v>131</v>
      </c>
    </row>
    <row r="682">
      <c r="A682" s="188">
        <v>44838.02510101852</v>
      </c>
      <c r="B682" s="26" t="s">
        <v>300</v>
      </c>
      <c r="C682" s="26">
        <v>8.565999999999999</v>
      </c>
      <c r="D682" s="26" t="s">
        <v>144</v>
      </c>
    </row>
    <row r="683">
      <c r="A683" s="188">
        <v>44838.02510101852</v>
      </c>
      <c r="B683" s="26" t="s">
        <v>342</v>
      </c>
      <c r="C683" s="26">
        <v>0.6</v>
      </c>
      <c r="D683" s="26" t="s">
        <v>144</v>
      </c>
    </row>
    <row r="684">
      <c r="A684" s="188">
        <v>44838.02510101852</v>
      </c>
      <c r="B684" s="26" t="s">
        <v>336</v>
      </c>
      <c r="C684" s="26">
        <v>2.2</v>
      </c>
      <c r="D684" s="26" t="s">
        <v>116</v>
      </c>
    </row>
    <row r="685">
      <c r="A685" s="188">
        <v>44838.02510101852</v>
      </c>
      <c r="B685" s="26" t="s">
        <v>331</v>
      </c>
      <c r="C685" s="26">
        <v>7.380000000000001</v>
      </c>
      <c r="D685" s="26" t="s">
        <v>442</v>
      </c>
    </row>
    <row r="686">
      <c r="A686" s="188">
        <v>44838.02510101852</v>
      </c>
      <c r="B686" s="26" t="s">
        <v>325</v>
      </c>
      <c r="C686" s="26">
        <v>5.989</v>
      </c>
      <c r="D686" s="26" t="s">
        <v>144</v>
      </c>
    </row>
    <row r="687">
      <c r="A687" s="188">
        <v>44838.02510101852</v>
      </c>
      <c r="B687" s="26" t="s">
        <v>356</v>
      </c>
      <c r="C687" s="26">
        <v>5.596</v>
      </c>
      <c r="D687" s="26" t="s">
        <v>103</v>
      </c>
    </row>
    <row r="688">
      <c r="A688" s="188">
        <v>44838.02510101852</v>
      </c>
      <c r="B688" s="26" t="s">
        <v>181</v>
      </c>
      <c r="C688" s="26">
        <v>5.531</v>
      </c>
      <c r="D688" s="26" t="s">
        <v>53</v>
      </c>
    </row>
    <row r="689">
      <c r="A689" s="188">
        <v>44838.02510101852</v>
      </c>
      <c r="B689" s="26" t="s">
        <v>346</v>
      </c>
      <c r="C689" s="26">
        <v>6.3</v>
      </c>
      <c r="D689" s="26" t="s">
        <v>144</v>
      </c>
    </row>
    <row r="690">
      <c r="A690" s="188">
        <v>44838.02510101852</v>
      </c>
      <c r="B690" s="26" t="s">
        <v>275</v>
      </c>
      <c r="C690" s="26">
        <v>3.2</v>
      </c>
      <c r="D690" s="26" t="s">
        <v>59</v>
      </c>
    </row>
    <row r="691">
      <c r="A691" s="188">
        <v>44838.02510101852</v>
      </c>
      <c r="B691" s="26" t="s">
        <v>340</v>
      </c>
      <c r="C691" s="26">
        <v>7.977</v>
      </c>
      <c r="D691" s="26" t="s">
        <v>103</v>
      </c>
    </row>
    <row r="692">
      <c r="A692" s="188">
        <v>44838.02510101852</v>
      </c>
      <c r="B692" s="26" t="s">
        <v>345</v>
      </c>
      <c r="C692" s="26">
        <v>5.838</v>
      </c>
      <c r="D692" s="26" t="s">
        <v>144</v>
      </c>
    </row>
    <row r="693">
      <c r="A693" s="188">
        <v>44838.02510101852</v>
      </c>
      <c r="B693" s="26" t="s">
        <v>313</v>
      </c>
      <c r="C693" s="26">
        <v>11.222999999999999</v>
      </c>
      <c r="D693" s="26" t="s">
        <v>116</v>
      </c>
    </row>
    <row r="694">
      <c r="A694" s="188">
        <v>44838.02510101852</v>
      </c>
      <c r="B694" s="26" t="s">
        <v>257</v>
      </c>
      <c r="C694" s="26">
        <v>6.19</v>
      </c>
      <c r="D694" s="26" t="s">
        <v>178</v>
      </c>
    </row>
    <row r="695">
      <c r="A695" s="188">
        <v>44838.02510101852</v>
      </c>
      <c r="B695" s="26" t="s">
        <v>361</v>
      </c>
      <c r="C695" s="26">
        <v>3.896</v>
      </c>
      <c r="D695" s="26" t="s">
        <v>103</v>
      </c>
    </row>
    <row r="696">
      <c r="A696" s="188">
        <v>44838.02510101852</v>
      </c>
      <c r="B696" s="26" t="s">
        <v>348</v>
      </c>
      <c r="C696" s="26">
        <v>3.898</v>
      </c>
      <c r="D696" s="26" t="s">
        <v>116</v>
      </c>
    </row>
    <row r="697">
      <c r="A697" s="188">
        <v>44838.02510101852</v>
      </c>
      <c r="B697" s="26" t="s">
        <v>351</v>
      </c>
      <c r="C697" s="26">
        <v>2.3</v>
      </c>
      <c r="D697" s="26" t="s">
        <v>166</v>
      </c>
    </row>
    <row r="698">
      <c r="A698" s="188">
        <v>44838.02510101852</v>
      </c>
      <c r="B698" s="26" t="s">
        <v>330</v>
      </c>
      <c r="C698" s="26">
        <v>6.092</v>
      </c>
      <c r="D698" s="26" t="s">
        <v>154</v>
      </c>
    </row>
    <row r="699">
      <c r="A699" s="188">
        <v>44838.02510101852</v>
      </c>
      <c r="B699" s="26" t="s">
        <v>321</v>
      </c>
      <c r="C699" s="26">
        <v>7.582999999999999</v>
      </c>
      <c r="D699" s="26" t="s">
        <v>144</v>
      </c>
    </row>
    <row r="700">
      <c r="A700" s="188">
        <v>44838.02510101852</v>
      </c>
      <c r="B700" s="26" t="s">
        <v>327</v>
      </c>
      <c r="C700" s="26">
        <v>4.3</v>
      </c>
      <c r="D700" s="26" t="s">
        <v>166</v>
      </c>
    </row>
    <row r="701">
      <c r="A701" s="188">
        <v>44838.02510101852</v>
      </c>
      <c r="B701" s="26" t="s">
        <v>332</v>
      </c>
      <c r="C701" s="26">
        <v>6.1930000000000005</v>
      </c>
      <c r="D701" s="26" t="s">
        <v>116</v>
      </c>
    </row>
    <row r="702">
      <c r="A702" s="188">
        <v>44838.02510101852</v>
      </c>
      <c r="B702" s="26" t="s">
        <v>326</v>
      </c>
      <c r="C702" s="26">
        <v>6.095</v>
      </c>
      <c r="D702" s="26" t="s">
        <v>148</v>
      </c>
    </row>
    <row r="703">
      <c r="A703" s="188">
        <v>44838.02510101852</v>
      </c>
      <c r="B703" s="26" t="s">
        <v>388</v>
      </c>
      <c r="C703" s="26">
        <v>8.3</v>
      </c>
      <c r="D703" s="26" t="s">
        <v>442</v>
      </c>
    </row>
    <row r="704">
      <c r="A704" s="188">
        <v>44838.02510101852</v>
      </c>
      <c r="B704" s="26" t="s">
        <v>217</v>
      </c>
      <c r="C704" s="26">
        <v>6.889</v>
      </c>
      <c r="D704" s="26" t="s">
        <v>131</v>
      </c>
    </row>
    <row r="705">
      <c r="A705" s="188">
        <v>44838.02510101852</v>
      </c>
      <c r="B705" s="26" t="s">
        <v>291</v>
      </c>
      <c r="C705" s="26">
        <v>7.119</v>
      </c>
      <c r="D705" s="26" t="s">
        <v>59</v>
      </c>
    </row>
    <row r="706">
      <c r="A706" s="188">
        <v>44838.02510101852</v>
      </c>
      <c r="B706" s="26" t="s">
        <v>359</v>
      </c>
      <c r="C706" s="26">
        <v>6.501</v>
      </c>
      <c r="D706" s="26" t="s">
        <v>144</v>
      </c>
    </row>
    <row r="707">
      <c r="A707" s="188">
        <v>44838.02510101852</v>
      </c>
      <c r="B707" s="26" t="s">
        <v>283</v>
      </c>
      <c r="C707" s="26">
        <v>7.995</v>
      </c>
      <c r="D707" s="26" t="s">
        <v>59</v>
      </c>
    </row>
    <row r="708">
      <c r="A708" s="188">
        <v>44838.02510101852</v>
      </c>
      <c r="B708" s="26" t="s">
        <v>399</v>
      </c>
      <c r="C708" s="26">
        <v>9.4</v>
      </c>
      <c r="D708" s="26" t="s">
        <v>166</v>
      </c>
    </row>
    <row r="709">
      <c r="A709" s="188">
        <v>44838.02510101852</v>
      </c>
      <c r="B709" s="26" t="s">
        <v>292</v>
      </c>
      <c r="C709" s="26">
        <v>4.998</v>
      </c>
      <c r="D709" s="26" t="s">
        <v>109</v>
      </c>
    </row>
    <row r="710">
      <c r="A710" s="188">
        <v>44838.02510101852</v>
      </c>
      <c r="B710" s="26" t="s">
        <v>334</v>
      </c>
      <c r="C710" s="26">
        <v>5.377000000000001</v>
      </c>
      <c r="D710" s="26" t="s">
        <v>166</v>
      </c>
    </row>
    <row r="711">
      <c r="A711" s="188">
        <v>44838.02510101852</v>
      </c>
      <c r="B711" s="26" t="s">
        <v>353</v>
      </c>
      <c r="C711" s="26">
        <v>5.2</v>
      </c>
      <c r="D711" s="26" t="s">
        <v>141</v>
      </c>
    </row>
    <row r="712">
      <c r="A712" s="188">
        <v>44838.02510101852</v>
      </c>
      <c r="B712" s="26" t="s">
        <v>360</v>
      </c>
      <c r="C712" s="26">
        <v>8.465</v>
      </c>
      <c r="D712" s="26" t="s">
        <v>109</v>
      </c>
    </row>
    <row r="713">
      <c r="A713" s="188">
        <v>44838.02510101852</v>
      </c>
      <c r="B713" s="26" t="s">
        <v>306</v>
      </c>
      <c r="C713" s="26">
        <v>7.1160000000000005</v>
      </c>
      <c r="D713" s="26" t="s">
        <v>166</v>
      </c>
    </row>
    <row r="714">
      <c r="A714" s="188">
        <v>44838.02510101852</v>
      </c>
      <c r="B714" s="26" t="s">
        <v>341</v>
      </c>
      <c r="C714" s="26">
        <v>8.394</v>
      </c>
      <c r="D714" s="26" t="s">
        <v>103</v>
      </c>
    </row>
    <row r="715">
      <c r="A715" s="188">
        <v>44838.02510101852</v>
      </c>
      <c r="B715" s="26" t="s">
        <v>339</v>
      </c>
      <c r="C715" s="26">
        <v>7.953</v>
      </c>
      <c r="D715" s="26" t="s">
        <v>109</v>
      </c>
    </row>
    <row r="716">
      <c r="A716" s="188">
        <v>44838.02510101852</v>
      </c>
      <c r="B716" s="26" t="s">
        <v>208</v>
      </c>
      <c r="C716" s="26">
        <v>6.365</v>
      </c>
      <c r="D716" s="26" t="s">
        <v>131</v>
      </c>
    </row>
    <row r="717">
      <c r="A717" s="188">
        <v>44838.02510101852</v>
      </c>
      <c r="B717" s="26" t="s">
        <v>357</v>
      </c>
      <c r="C717" s="26">
        <v>7.109</v>
      </c>
      <c r="D717" s="26" t="s">
        <v>144</v>
      </c>
    </row>
    <row r="718">
      <c r="A718" s="188">
        <v>44838.02510101852</v>
      </c>
      <c r="B718" s="26" t="s">
        <v>294</v>
      </c>
      <c r="C718" s="26">
        <v>5.3</v>
      </c>
      <c r="D718" s="26" t="s">
        <v>138</v>
      </c>
    </row>
    <row r="719">
      <c r="A719" s="188">
        <v>44838.02510101852</v>
      </c>
      <c r="B719" s="26" t="s">
        <v>284</v>
      </c>
      <c r="C719" s="26">
        <v>10.519</v>
      </c>
      <c r="D719" s="26" t="s">
        <v>59</v>
      </c>
    </row>
    <row r="720">
      <c r="A720" s="188">
        <v>44838.02510101852</v>
      </c>
      <c r="B720" s="26" t="s">
        <v>343</v>
      </c>
      <c r="C720" s="26">
        <v>7.154</v>
      </c>
      <c r="D720" s="26" t="s">
        <v>109</v>
      </c>
    </row>
    <row r="721">
      <c r="A721" s="188">
        <v>44838.02510101852</v>
      </c>
      <c r="B721" s="26" t="s">
        <v>240</v>
      </c>
      <c r="C721" s="26">
        <v>9.019</v>
      </c>
      <c r="D721" s="26" t="s">
        <v>178</v>
      </c>
    </row>
    <row r="722">
      <c r="A722" s="188">
        <v>44838.02510101852</v>
      </c>
      <c r="B722" s="26" t="s">
        <v>269</v>
      </c>
      <c r="C722" s="26">
        <v>7.699</v>
      </c>
      <c r="D722" s="26" t="s">
        <v>178</v>
      </c>
    </row>
    <row r="723">
      <c r="A723" s="188">
        <v>44838.02510101852</v>
      </c>
      <c r="B723" s="26" t="s">
        <v>173</v>
      </c>
      <c r="C723" s="26">
        <v>5.4</v>
      </c>
      <c r="D723" s="26" t="s">
        <v>53</v>
      </c>
    </row>
    <row r="724">
      <c r="A724" s="188">
        <v>44838.02510101852</v>
      </c>
      <c r="B724" s="26" t="s">
        <v>347</v>
      </c>
      <c r="C724" s="26">
        <v>2.9</v>
      </c>
      <c r="D724" s="26" t="s">
        <v>116</v>
      </c>
    </row>
    <row r="725">
      <c r="A725" s="188">
        <v>44838.02510101852</v>
      </c>
      <c r="B725" s="26" t="s">
        <v>363</v>
      </c>
      <c r="C725" s="26">
        <v>8.596</v>
      </c>
      <c r="D725" s="26" t="s">
        <v>154</v>
      </c>
    </row>
    <row r="726">
      <c r="A726" s="188">
        <v>44838.02510101852</v>
      </c>
      <c r="B726" s="26" t="s">
        <v>365</v>
      </c>
      <c r="C726" s="26">
        <v>3.8</v>
      </c>
      <c r="D726" s="26" t="s">
        <v>141</v>
      </c>
    </row>
    <row r="727">
      <c r="A727" s="188">
        <v>44838.02510101852</v>
      </c>
      <c r="B727" s="26" t="s">
        <v>120</v>
      </c>
      <c r="C727" s="26">
        <v>4.7989999999999995</v>
      </c>
      <c r="D727" s="26" t="s">
        <v>53</v>
      </c>
    </row>
    <row r="728">
      <c r="A728" s="188">
        <v>44838.02510101852</v>
      </c>
      <c r="B728" s="26" t="s">
        <v>263</v>
      </c>
      <c r="C728" s="26">
        <v>5.3</v>
      </c>
      <c r="D728" s="26" t="s">
        <v>178</v>
      </c>
    </row>
    <row r="729">
      <c r="A729" s="188">
        <v>44838.02510101852</v>
      </c>
      <c r="B729" s="26" t="s">
        <v>394</v>
      </c>
      <c r="C729" s="26">
        <v>2.5</v>
      </c>
      <c r="D729" s="26" t="s">
        <v>109</v>
      </c>
    </row>
    <row r="730">
      <c r="A730" s="188">
        <v>44838.02510101852</v>
      </c>
      <c r="B730" s="26" t="s">
        <v>367</v>
      </c>
      <c r="C730" s="26">
        <v>7.936</v>
      </c>
      <c r="D730" s="26" t="s">
        <v>109</v>
      </c>
    </row>
    <row r="731">
      <c r="A731" s="188">
        <v>44838.02510101852</v>
      </c>
      <c r="B731" s="26" t="s">
        <v>204</v>
      </c>
      <c r="C731" s="26">
        <v>5.772</v>
      </c>
      <c r="D731" s="26" t="s">
        <v>131</v>
      </c>
    </row>
    <row r="732">
      <c r="A732" s="188">
        <v>44838.02510101852</v>
      </c>
      <c r="B732" s="26" t="s">
        <v>298</v>
      </c>
      <c r="C732" s="26">
        <v>4.679</v>
      </c>
      <c r="D732" s="26" t="s">
        <v>138</v>
      </c>
    </row>
    <row r="733">
      <c r="A733" s="188">
        <v>44838.02510101852</v>
      </c>
      <c r="B733" s="26" t="s">
        <v>368</v>
      </c>
      <c r="C733" s="26">
        <v>1.8</v>
      </c>
      <c r="D733" s="26" t="s">
        <v>154</v>
      </c>
    </row>
    <row r="734">
      <c r="A734" s="188">
        <v>44838.02510101852</v>
      </c>
      <c r="B734" s="26" t="s">
        <v>400</v>
      </c>
      <c r="C734" s="26">
        <v>7.6</v>
      </c>
      <c r="D734" s="26" t="s">
        <v>109</v>
      </c>
    </row>
    <row r="735">
      <c r="A735" s="188">
        <v>44838.02510101852</v>
      </c>
      <c r="B735" s="26" t="s">
        <v>176</v>
      </c>
      <c r="C735" s="26">
        <v>5.196000000000001</v>
      </c>
      <c r="D735" s="26" t="s">
        <v>53</v>
      </c>
    </row>
    <row r="736">
      <c r="A736" s="188">
        <v>44838.02510101852</v>
      </c>
      <c r="B736" s="26" t="s">
        <v>168</v>
      </c>
      <c r="C736" s="26">
        <v>11.191</v>
      </c>
      <c r="D736" s="26" t="s">
        <v>53</v>
      </c>
    </row>
    <row r="737">
      <c r="A737" s="188">
        <v>44838.02510101852</v>
      </c>
      <c r="B737" s="26" t="s">
        <v>184</v>
      </c>
      <c r="C737" s="26">
        <v>6.97</v>
      </c>
      <c r="D737" s="26" t="s">
        <v>53</v>
      </c>
    </row>
    <row r="738">
      <c r="A738" s="188">
        <v>44838.02510101852</v>
      </c>
      <c r="B738" s="26" t="s">
        <v>354</v>
      </c>
      <c r="C738" s="26">
        <v>8.712</v>
      </c>
      <c r="D738" s="26" t="s">
        <v>116</v>
      </c>
    </row>
    <row r="739">
      <c r="A739" s="188">
        <v>44838.02510101852</v>
      </c>
      <c r="B739" s="26" t="s">
        <v>170</v>
      </c>
      <c r="C739" s="26">
        <v>3.796</v>
      </c>
      <c r="D739" s="26" t="s">
        <v>53</v>
      </c>
    </row>
    <row r="740">
      <c r="A740" s="188">
        <v>44838.02510101852</v>
      </c>
      <c r="B740" s="26" t="s">
        <v>373</v>
      </c>
      <c r="C740" s="26">
        <v>9.374</v>
      </c>
      <c r="D740" s="26" t="s">
        <v>103</v>
      </c>
    </row>
    <row r="741">
      <c r="A741" s="188">
        <v>44838.02510101852</v>
      </c>
      <c r="B741" s="26" t="s">
        <v>54</v>
      </c>
      <c r="C741" s="26">
        <v>8.77</v>
      </c>
      <c r="D741" s="26" t="s">
        <v>53</v>
      </c>
    </row>
    <row r="742">
      <c r="A742" s="188">
        <v>44838.02510101852</v>
      </c>
      <c r="B742" s="26" t="s">
        <v>274</v>
      </c>
      <c r="C742" s="26">
        <v>7.1</v>
      </c>
      <c r="D742" s="26" t="s">
        <v>59</v>
      </c>
    </row>
    <row r="743">
      <c r="A743" s="188">
        <v>44838.02510101852</v>
      </c>
      <c r="B743" s="26" t="s">
        <v>375</v>
      </c>
      <c r="C743" s="26">
        <v>9.252</v>
      </c>
      <c r="D743" s="26" t="s">
        <v>109</v>
      </c>
    </row>
    <row r="744">
      <c r="A744" s="188">
        <v>44838.02510101852</v>
      </c>
      <c r="B744" s="26" t="s">
        <v>370</v>
      </c>
      <c r="C744" s="26">
        <v>6.979</v>
      </c>
      <c r="D744" s="26" t="s">
        <v>166</v>
      </c>
    </row>
    <row r="745">
      <c r="A745" s="188">
        <v>44838.02510101852</v>
      </c>
      <c r="B745" s="26" t="s">
        <v>381</v>
      </c>
      <c r="C745" s="26">
        <v>7.454</v>
      </c>
      <c r="D745" s="26" t="s">
        <v>148</v>
      </c>
    </row>
    <row r="746">
      <c r="A746" s="188">
        <v>44838.02510101852</v>
      </c>
      <c r="B746" s="26" t="s">
        <v>355</v>
      </c>
      <c r="C746" s="26">
        <v>5.985</v>
      </c>
      <c r="D746" s="26" t="s">
        <v>116</v>
      </c>
    </row>
    <row r="747">
      <c r="A747" s="188">
        <v>44838.02510101852</v>
      </c>
      <c r="B747" s="26" t="s">
        <v>386</v>
      </c>
      <c r="C747" s="26">
        <v>4.7</v>
      </c>
      <c r="D747" s="26" t="s">
        <v>141</v>
      </c>
    </row>
    <row r="748">
      <c r="A748" s="188">
        <v>44838.02510101852</v>
      </c>
      <c r="B748" s="26" t="s">
        <v>219</v>
      </c>
      <c r="C748" s="26">
        <v>5.5889999999999995</v>
      </c>
      <c r="D748" s="26" t="s">
        <v>131</v>
      </c>
    </row>
    <row r="749">
      <c r="A749" s="188">
        <v>44838.02510101852</v>
      </c>
      <c r="B749" s="26" t="s">
        <v>349</v>
      </c>
      <c r="C749" s="26">
        <v>8.927</v>
      </c>
      <c r="D749" s="26" t="s">
        <v>141</v>
      </c>
    </row>
    <row r="750">
      <c r="A750" s="188">
        <v>44838.02510101852</v>
      </c>
      <c r="B750" s="26" t="s">
        <v>314</v>
      </c>
      <c r="C750" s="26">
        <v>7.004</v>
      </c>
      <c r="D750" s="26" t="s">
        <v>141</v>
      </c>
    </row>
    <row r="751">
      <c r="A751" s="188">
        <v>44838.02510101852</v>
      </c>
      <c r="B751" s="26" t="s">
        <v>302</v>
      </c>
      <c r="C751" s="26">
        <v>8.927</v>
      </c>
      <c r="D751" s="26" t="s">
        <v>138</v>
      </c>
    </row>
    <row r="752">
      <c r="A752" s="188">
        <v>44838.02510101852</v>
      </c>
      <c r="B752" s="26" t="s">
        <v>379</v>
      </c>
      <c r="C752" s="26">
        <v>5.5</v>
      </c>
      <c r="D752" s="26" t="s">
        <v>154</v>
      </c>
    </row>
    <row r="753">
      <c r="A753" s="188">
        <v>44838.02510101852</v>
      </c>
      <c r="B753" s="26" t="s">
        <v>210</v>
      </c>
      <c r="C753" s="26">
        <v>2.2</v>
      </c>
      <c r="D753" s="26" t="s">
        <v>131</v>
      </c>
    </row>
    <row r="754">
      <c r="A754" s="188">
        <v>44838.02510101852</v>
      </c>
      <c r="B754" s="26" t="s">
        <v>338</v>
      </c>
      <c r="C754" s="26">
        <v>6.537999999999999</v>
      </c>
      <c r="D754" s="26" t="s">
        <v>144</v>
      </c>
    </row>
    <row r="755">
      <c r="A755" s="188">
        <v>44838.02510101852</v>
      </c>
      <c r="B755" s="26" t="s">
        <v>311</v>
      </c>
      <c r="C755" s="26">
        <v>3.7</v>
      </c>
      <c r="D755" s="26" t="s">
        <v>138</v>
      </c>
    </row>
    <row r="756">
      <c r="A756" s="188">
        <v>44838.02510101852</v>
      </c>
      <c r="B756" s="26" t="s">
        <v>308</v>
      </c>
      <c r="C756" s="26">
        <v>8.366</v>
      </c>
      <c r="D756" s="26" t="s">
        <v>138</v>
      </c>
    </row>
    <row r="757">
      <c r="A757" s="188">
        <v>44838.02510101852</v>
      </c>
      <c r="B757" s="26" t="s">
        <v>358</v>
      </c>
      <c r="C757" s="26">
        <v>8.713000000000001</v>
      </c>
      <c r="D757" s="26" t="s">
        <v>103</v>
      </c>
    </row>
    <row r="758">
      <c r="A758" s="188">
        <v>44838.02510101852</v>
      </c>
      <c r="B758" s="26" t="s">
        <v>362</v>
      </c>
      <c r="C758" s="26">
        <v>3.4</v>
      </c>
      <c r="D758" s="26" t="s">
        <v>103</v>
      </c>
    </row>
    <row r="759">
      <c r="A759" s="188">
        <v>44838.02510101852</v>
      </c>
      <c r="B759" s="26" t="s">
        <v>214</v>
      </c>
      <c r="C759" s="26">
        <v>9.078999999999999</v>
      </c>
      <c r="D759" s="26" t="s">
        <v>131</v>
      </c>
    </row>
    <row r="760">
      <c r="A760" s="188">
        <v>44838.02510101852</v>
      </c>
      <c r="B760" s="26" t="s">
        <v>387</v>
      </c>
      <c r="C760" s="26">
        <v>6.2989999999999995</v>
      </c>
      <c r="D760" s="26" t="s">
        <v>148</v>
      </c>
    </row>
    <row r="761">
      <c r="A761" s="188">
        <v>44838.02510101852</v>
      </c>
      <c r="B761" s="26" t="s">
        <v>364</v>
      </c>
      <c r="C761" s="26">
        <v>8.109</v>
      </c>
      <c r="D761" s="26" t="s">
        <v>166</v>
      </c>
    </row>
    <row r="762">
      <c r="A762" s="188">
        <v>44838.02510101852</v>
      </c>
      <c r="B762" s="26" t="s">
        <v>380</v>
      </c>
      <c r="C762" s="26">
        <v>3.8</v>
      </c>
      <c r="D762" s="26" t="s">
        <v>148</v>
      </c>
    </row>
    <row r="763">
      <c r="A763" s="188">
        <v>44838.02510101852</v>
      </c>
      <c r="B763" s="26" t="s">
        <v>272</v>
      </c>
      <c r="C763" s="26">
        <v>5.788</v>
      </c>
      <c r="D763" s="26" t="s">
        <v>178</v>
      </c>
    </row>
    <row r="764">
      <c r="A764" s="188">
        <v>44838.02510101852</v>
      </c>
      <c r="B764" s="26" t="s">
        <v>265</v>
      </c>
      <c r="C764" s="26">
        <v>8.065</v>
      </c>
      <c r="D764" s="26" t="s">
        <v>178</v>
      </c>
    </row>
    <row r="765">
      <c r="A765" s="188">
        <v>44838.02510101852</v>
      </c>
      <c r="B765" s="26" t="s">
        <v>318</v>
      </c>
      <c r="C765" s="26">
        <v>7.505</v>
      </c>
      <c r="D765" s="26" t="s">
        <v>141</v>
      </c>
    </row>
    <row r="766">
      <c r="A766" s="188">
        <v>44838.02510101852</v>
      </c>
      <c r="B766" s="26" t="s">
        <v>267</v>
      </c>
      <c r="C766" s="26">
        <v>8.023</v>
      </c>
      <c r="D766" s="26" t="s">
        <v>178</v>
      </c>
    </row>
    <row r="767">
      <c r="A767" s="188">
        <v>44838.02510101852</v>
      </c>
      <c r="B767" s="26" t="s">
        <v>195</v>
      </c>
      <c r="C767" s="26">
        <v>5.894</v>
      </c>
      <c r="D767" s="26" t="s">
        <v>53</v>
      </c>
    </row>
    <row r="768">
      <c r="A768" s="188">
        <v>44838.02510101852</v>
      </c>
      <c r="B768" s="26" t="s">
        <v>378</v>
      </c>
      <c r="C768" s="26">
        <v>6.807</v>
      </c>
      <c r="D768" s="26" t="s">
        <v>103</v>
      </c>
    </row>
    <row r="769">
      <c r="A769" s="188">
        <v>44838.02510101852</v>
      </c>
      <c r="B769" s="26" t="s">
        <v>374</v>
      </c>
      <c r="C769" s="26">
        <v>8.683</v>
      </c>
      <c r="D769" s="26" t="s">
        <v>148</v>
      </c>
    </row>
    <row r="770">
      <c r="A770" s="188">
        <v>44838.02510101852</v>
      </c>
      <c r="B770" s="26" t="s">
        <v>261</v>
      </c>
      <c r="C770" s="26">
        <v>8.947</v>
      </c>
      <c r="D770" s="26" t="s">
        <v>178</v>
      </c>
    </row>
    <row r="771">
      <c r="A771" s="188">
        <v>44838.02510101852</v>
      </c>
      <c r="B771" s="26" t="s">
        <v>281</v>
      </c>
      <c r="C771" s="26">
        <v>4.0</v>
      </c>
      <c r="D771" s="26" t="s">
        <v>59</v>
      </c>
    </row>
    <row r="772">
      <c r="A772" s="188">
        <v>44838.02510101852</v>
      </c>
      <c r="B772" s="26" t="s">
        <v>199</v>
      </c>
      <c r="C772" s="26">
        <v>3.799</v>
      </c>
      <c r="D772" s="26" t="s">
        <v>131</v>
      </c>
    </row>
    <row r="773">
      <c r="A773" s="188">
        <v>44838.02510101852</v>
      </c>
      <c r="B773" s="26" t="s">
        <v>401</v>
      </c>
      <c r="C773" s="26">
        <v>2.3</v>
      </c>
      <c r="D773" s="26" t="s">
        <v>148</v>
      </c>
    </row>
    <row r="774">
      <c r="A774" s="188">
        <v>44838.02510101852</v>
      </c>
      <c r="B774" s="26" t="s">
        <v>279</v>
      </c>
      <c r="C774" s="26">
        <v>7.773000000000001</v>
      </c>
      <c r="D774" s="26" t="s">
        <v>59</v>
      </c>
    </row>
    <row r="775">
      <c r="A775" s="188">
        <v>44838.02510101852</v>
      </c>
      <c r="B775" s="26" t="s">
        <v>369</v>
      </c>
      <c r="C775" s="26">
        <v>10.262</v>
      </c>
      <c r="D775" s="26" t="s">
        <v>116</v>
      </c>
    </row>
    <row r="776">
      <c r="A776" s="188">
        <v>44838.02510101852</v>
      </c>
      <c r="B776" s="26" t="s">
        <v>304</v>
      </c>
      <c r="C776" s="26">
        <v>3.898</v>
      </c>
      <c r="D776" s="26" t="s">
        <v>138</v>
      </c>
    </row>
    <row r="777">
      <c r="A777" s="188">
        <v>44838.02510101852</v>
      </c>
      <c r="B777" s="26" t="s">
        <v>372</v>
      </c>
      <c r="C777" s="26">
        <v>9.567</v>
      </c>
      <c r="D777" s="26" t="s">
        <v>154</v>
      </c>
    </row>
    <row r="778">
      <c r="A778" s="188">
        <v>44838.02510101852</v>
      </c>
      <c r="B778" s="26" t="s">
        <v>366</v>
      </c>
      <c r="C778" s="26">
        <v>5.1</v>
      </c>
      <c r="D778" s="26" t="s">
        <v>154</v>
      </c>
    </row>
    <row r="779">
      <c r="A779" s="188">
        <v>44838.02510101852</v>
      </c>
      <c r="B779" s="26" t="s">
        <v>296</v>
      </c>
      <c r="C779" s="26">
        <v>7.885999999999999</v>
      </c>
      <c r="D779" s="26" t="s">
        <v>138</v>
      </c>
    </row>
    <row r="780">
      <c r="A780" s="188">
        <v>44838.02510101852</v>
      </c>
      <c r="B780" s="26" t="s">
        <v>309</v>
      </c>
      <c r="C780" s="26">
        <v>4.1</v>
      </c>
      <c r="D780" s="26" t="s">
        <v>138</v>
      </c>
    </row>
    <row r="781">
      <c r="A781" s="188">
        <v>44838.02510101852</v>
      </c>
      <c r="B781" s="26" t="s">
        <v>155</v>
      </c>
      <c r="C781" s="26">
        <v>4.9</v>
      </c>
      <c r="D781" s="26" t="s">
        <v>53</v>
      </c>
    </row>
    <row r="782">
      <c r="A782" s="188">
        <v>44838.02510101852</v>
      </c>
      <c r="B782" s="26" t="s">
        <v>384</v>
      </c>
      <c r="C782" s="26">
        <v>3.7</v>
      </c>
      <c r="D782" s="26" t="s">
        <v>148</v>
      </c>
    </row>
    <row r="783">
      <c r="A783" s="188">
        <v>44838.02510101852</v>
      </c>
      <c r="B783" s="26" t="s">
        <v>259</v>
      </c>
      <c r="C783" s="26">
        <v>8.494</v>
      </c>
      <c r="D783" s="26" t="s">
        <v>178</v>
      </c>
    </row>
    <row r="784">
      <c r="A784" s="188">
        <v>44838.02510101852</v>
      </c>
      <c r="B784" s="26" t="s">
        <v>377</v>
      </c>
      <c r="C784" s="26">
        <v>9.056</v>
      </c>
      <c r="D784" s="26" t="s">
        <v>148</v>
      </c>
    </row>
    <row r="785">
      <c r="A785" s="188">
        <v>44838.02510101852</v>
      </c>
      <c r="B785" s="26" t="s">
        <v>222</v>
      </c>
      <c r="C785" s="26">
        <v>6.7989999999999995</v>
      </c>
      <c r="D785" s="26" t="s">
        <v>131</v>
      </c>
    </row>
    <row r="786">
      <c r="A786" s="188">
        <v>44838.02510101852</v>
      </c>
      <c r="B786" s="26" t="s">
        <v>371</v>
      </c>
      <c r="C786" s="26">
        <v>4.598</v>
      </c>
      <c r="D786" s="26" t="s">
        <v>144</v>
      </c>
    </row>
    <row r="787">
      <c r="A787" s="188">
        <v>44838.02510101852</v>
      </c>
      <c r="B787" s="26" t="s">
        <v>271</v>
      </c>
      <c r="C787" s="26">
        <v>8.588</v>
      </c>
      <c r="D787" s="26" t="s">
        <v>178</v>
      </c>
    </row>
    <row r="788">
      <c r="A788" s="188">
        <v>44838.02510101852</v>
      </c>
      <c r="B788" s="26" t="s">
        <v>382</v>
      </c>
      <c r="C788" s="26">
        <v>5.7219999999999995</v>
      </c>
      <c r="D788" s="26" t="s">
        <v>154</v>
      </c>
    </row>
    <row r="789">
      <c r="A789" s="188">
        <v>44838.02510101852</v>
      </c>
      <c r="B789" s="26" t="s">
        <v>197</v>
      </c>
      <c r="C789" s="26">
        <v>5.695</v>
      </c>
      <c r="D789" s="26" t="s">
        <v>131</v>
      </c>
    </row>
    <row r="790">
      <c r="A790" s="26" t="s">
        <v>654</v>
      </c>
      <c r="B790" s="26" t="s">
        <v>0</v>
      </c>
      <c r="C790" s="26" t="s">
        <v>655</v>
      </c>
      <c r="D790" s="26" t="s">
        <v>656</v>
      </c>
    </row>
    <row r="791">
      <c r="A791" s="188">
        <v>44845.02510600694</v>
      </c>
      <c r="B791" s="26" t="s">
        <v>324</v>
      </c>
      <c r="C791" s="26">
        <v>8.269</v>
      </c>
      <c r="D791" s="26" t="s">
        <v>103</v>
      </c>
    </row>
    <row r="792">
      <c r="A792" s="188">
        <v>44845.02510600694</v>
      </c>
      <c r="B792" s="26" t="s">
        <v>323</v>
      </c>
      <c r="C792" s="26">
        <v>2.0</v>
      </c>
      <c r="D792" s="26" t="s">
        <v>141</v>
      </c>
    </row>
    <row r="793">
      <c r="A793" s="188">
        <v>44845.02510600694</v>
      </c>
      <c r="B793" s="26" t="s">
        <v>287</v>
      </c>
      <c r="C793" s="26">
        <v>11.12</v>
      </c>
      <c r="D793" s="26" t="s">
        <v>141</v>
      </c>
    </row>
    <row r="794">
      <c r="A794" s="188">
        <v>44845.02510600694</v>
      </c>
      <c r="B794" s="26" t="s">
        <v>277</v>
      </c>
      <c r="C794" s="26">
        <v>7.376</v>
      </c>
      <c r="D794" s="26" t="s">
        <v>59</v>
      </c>
    </row>
    <row r="795">
      <c r="A795" s="188">
        <v>44845.02510600694</v>
      </c>
      <c r="B795" s="26" t="s">
        <v>328</v>
      </c>
      <c r="C795" s="26">
        <v>4.9</v>
      </c>
      <c r="D795" s="26" t="s">
        <v>109</v>
      </c>
    </row>
    <row r="796">
      <c r="A796" s="188">
        <v>44845.02510600694</v>
      </c>
      <c r="B796" s="26" t="s">
        <v>322</v>
      </c>
      <c r="C796" s="26">
        <v>4.2</v>
      </c>
      <c r="D796" s="26" t="s">
        <v>103</v>
      </c>
    </row>
    <row r="797">
      <c r="A797" s="188">
        <v>44845.02510600694</v>
      </c>
      <c r="B797" s="26" t="s">
        <v>303</v>
      </c>
      <c r="C797" s="26">
        <v>5.5</v>
      </c>
      <c r="D797" s="26" t="s">
        <v>138</v>
      </c>
    </row>
    <row r="798">
      <c r="A798" s="188">
        <v>44845.02510600694</v>
      </c>
      <c r="B798" s="26" t="s">
        <v>352</v>
      </c>
      <c r="C798" s="26">
        <v>4.893000000000001</v>
      </c>
      <c r="D798" s="26" t="s">
        <v>154</v>
      </c>
    </row>
    <row r="799">
      <c r="A799" s="188">
        <v>44845.02510600694</v>
      </c>
      <c r="B799" s="26" t="s">
        <v>398</v>
      </c>
      <c r="C799" s="26">
        <v>5.7</v>
      </c>
      <c r="D799" s="26" t="s">
        <v>166</v>
      </c>
    </row>
    <row r="800">
      <c r="A800" s="188">
        <v>44845.02510600694</v>
      </c>
      <c r="B800" s="26" t="s">
        <v>337</v>
      </c>
      <c r="C800" s="26">
        <v>5.0</v>
      </c>
      <c r="D800" s="26" t="s">
        <v>166</v>
      </c>
    </row>
    <row r="801">
      <c r="A801" s="188">
        <v>44845.02510600694</v>
      </c>
      <c r="B801" s="26" t="s">
        <v>329</v>
      </c>
      <c r="C801" s="26">
        <v>5.491</v>
      </c>
      <c r="D801" s="26" t="s">
        <v>116</v>
      </c>
    </row>
    <row r="802">
      <c r="A802" s="188">
        <v>44845.02510600694</v>
      </c>
      <c r="B802" s="26" t="s">
        <v>320</v>
      </c>
      <c r="C802" s="26">
        <v>7.135</v>
      </c>
      <c r="D802" s="26" t="s">
        <v>154</v>
      </c>
    </row>
    <row r="803">
      <c r="A803" s="188">
        <v>44845.02510600694</v>
      </c>
      <c r="B803" s="26" t="s">
        <v>316</v>
      </c>
      <c r="C803" s="26">
        <v>8.235999999999999</v>
      </c>
      <c r="D803" s="26" t="s">
        <v>148</v>
      </c>
    </row>
    <row r="804">
      <c r="A804" s="188">
        <v>44845.02510600694</v>
      </c>
      <c r="B804" s="26" t="s">
        <v>289</v>
      </c>
      <c r="C804" s="26">
        <v>3.5</v>
      </c>
      <c r="D804" s="26" t="s">
        <v>59</v>
      </c>
    </row>
    <row r="805">
      <c r="A805" s="188">
        <v>44845.02510600694</v>
      </c>
      <c r="B805" s="26" t="s">
        <v>335</v>
      </c>
      <c r="C805" s="26">
        <v>3.5</v>
      </c>
      <c r="D805" s="26" t="s">
        <v>148</v>
      </c>
    </row>
    <row r="806">
      <c r="A806" s="188">
        <v>44845.02510600694</v>
      </c>
      <c r="B806" s="26" t="s">
        <v>344</v>
      </c>
      <c r="C806" s="26">
        <v>7.103000000000001</v>
      </c>
      <c r="D806" s="26" t="s">
        <v>109</v>
      </c>
    </row>
    <row r="807">
      <c r="A807" s="188">
        <v>44845.02510600694</v>
      </c>
      <c r="B807" s="26" t="s">
        <v>393</v>
      </c>
      <c r="C807" s="26">
        <v>8.1</v>
      </c>
      <c r="D807" s="26" t="s">
        <v>141</v>
      </c>
    </row>
    <row r="808">
      <c r="A808" s="188">
        <v>44845.02510600694</v>
      </c>
      <c r="B808" s="26" t="s">
        <v>333</v>
      </c>
      <c r="C808" s="26">
        <v>5.7989999999999995</v>
      </c>
      <c r="D808" s="26" t="s">
        <v>166</v>
      </c>
    </row>
    <row r="809">
      <c r="A809" s="188">
        <v>44845.02510600694</v>
      </c>
      <c r="B809" s="26" t="s">
        <v>285</v>
      </c>
      <c r="C809" s="26">
        <v>4.795</v>
      </c>
      <c r="D809" s="26" t="s">
        <v>59</v>
      </c>
    </row>
    <row r="810">
      <c r="A810" s="188">
        <v>44845.02510600694</v>
      </c>
      <c r="B810" s="26" t="s">
        <v>317</v>
      </c>
      <c r="C810" s="26">
        <v>2.6</v>
      </c>
      <c r="D810" s="26" t="s">
        <v>141</v>
      </c>
    </row>
    <row r="811">
      <c r="A811" s="188">
        <v>44845.02510600694</v>
      </c>
      <c r="B811" s="26" t="s">
        <v>282</v>
      </c>
      <c r="C811" s="26">
        <v>9.266</v>
      </c>
      <c r="D811" s="26" t="s">
        <v>138</v>
      </c>
    </row>
    <row r="812">
      <c r="A812" s="188">
        <v>44845.02510600694</v>
      </c>
      <c r="B812" s="26" t="s">
        <v>206</v>
      </c>
      <c r="C812" s="26">
        <v>10.931</v>
      </c>
      <c r="D812" s="26" t="s">
        <v>131</v>
      </c>
    </row>
    <row r="813">
      <c r="A813" s="188">
        <v>44845.02510600694</v>
      </c>
      <c r="B813" s="26" t="s">
        <v>300</v>
      </c>
      <c r="C813" s="26">
        <v>8.982999999999999</v>
      </c>
      <c r="D813" s="26" t="s">
        <v>144</v>
      </c>
    </row>
    <row r="814">
      <c r="A814" s="188">
        <v>44845.02510600694</v>
      </c>
      <c r="B814" s="26" t="s">
        <v>342</v>
      </c>
      <c r="C814" s="26">
        <v>0.6</v>
      </c>
      <c r="D814" s="26" t="s">
        <v>144</v>
      </c>
    </row>
    <row r="815">
      <c r="A815" s="188">
        <v>44845.02510600694</v>
      </c>
      <c r="B815" s="26" t="s">
        <v>336</v>
      </c>
      <c r="C815" s="26">
        <v>3.1</v>
      </c>
      <c r="D815" s="26" t="s">
        <v>116</v>
      </c>
    </row>
    <row r="816">
      <c r="A816" s="188">
        <v>44845.02510600694</v>
      </c>
      <c r="B816" s="26" t="s">
        <v>331</v>
      </c>
      <c r="C816" s="26">
        <v>6.595</v>
      </c>
      <c r="D816" s="26" t="s">
        <v>442</v>
      </c>
    </row>
    <row r="817">
      <c r="A817" s="188">
        <v>44845.02510600694</v>
      </c>
      <c r="B817" s="26" t="s">
        <v>325</v>
      </c>
      <c r="C817" s="26">
        <v>5.695</v>
      </c>
      <c r="D817" s="26" t="s">
        <v>144</v>
      </c>
    </row>
    <row r="818">
      <c r="A818" s="188">
        <v>44845.02510600694</v>
      </c>
      <c r="B818" s="26" t="s">
        <v>356</v>
      </c>
      <c r="C818" s="26">
        <v>6.97</v>
      </c>
      <c r="D818" s="26" t="s">
        <v>103</v>
      </c>
    </row>
    <row r="819">
      <c r="A819" s="188">
        <v>44845.02510600694</v>
      </c>
      <c r="B819" s="26" t="s">
        <v>181</v>
      </c>
      <c r="C819" s="26">
        <v>5.5169999999999995</v>
      </c>
      <c r="D819" s="26" t="s">
        <v>53</v>
      </c>
    </row>
    <row r="820">
      <c r="A820" s="188">
        <v>44845.02510600694</v>
      </c>
      <c r="B820" s="26" t="s">
        <v>346</v>
      </c>
      <c r="C820" s="26">
        <v>6.6</v>
      </c>
      <c r="D820" s="26" t="s">
        <v>144</v>
      </c>
    </row>
    <row r="821">
      <c r="A821" s="188">
        <v>44845.02510600694</v>
      </c>
      <c r="B821" s="26" t="s">
        <v>275</v>
      </c>
      <c r="C821" s="26">
        <v>2.7</v>
      </c>
      <c r="D821" s="26" t="s">
        <v>59</v>
      </c>
    </row>
    <row r="822">
      <c r="A822" s="188">
        <v>44845.02510600694</v>
      </c>
      <c r="B822" s="26" t="s">
        <v>340</v>
      </c>
      <c r="C822" s="26">
        <v>7.595</v>
      </c>
      <c r="D822" s="26" t="s">
        <v>103</v>
      </c>
    </row>
    <row r="823">
      <c r="A823" s="188">
        <v>44845.02510600694</v>
      </c>
      <c r="B823" s="26" t="s">
        <v>345</v>
      </c>
      <c r="C823" s="26">
        <v>5.564</v>
      </c>
      <c r="D823" s="26" t="s">
        <v>144</v>
      </c>
    </row>
    <row r="824">
      <c r="A824" s="188">
        <v>44845.02510600694</v>
      </c>
      <c r="B824" s="26" t="s">
        <v>313</v>
      </c>
      <c r="C824" s="26">
        <v>11.299</v>
      </c>
      <c r="D824" s="26" t="s">
        <v>116</v>
      </c>
    </row>
    <row r="825">
      <c r="A825" s="188">
        <v>44845.02510600694</v>
      </c>
      <c r="B825" s="26" t="s">
        <v>257</v>
      </c>
      <c r="C825" s="26">
        <v>5.5969999999999995</v>
      </c>
      <c r="D825" s="26" t="s">
        <v>178</v>
      </c>
    </row>
    <row r="826">
      <c r="A826" s="188">
        <v>44845.02510600694</v>
      </c>
      <c r="B826" s="26" t="s">
        <v>361</v>
      </c>
      <c r="C826" s="26">
        <v>4.492</v>
      </c>
      <c r="D826" s="26" t="s">
        <v>103</v>
      </c>
    </row>
    <row r="827">
      <c r="A827" s="188">
        <v>44845.02510600694</v>
      </c>
      <c r="B827" s="26" t="s">
        <v>348</v>
      </c>
      <c r="C827" s="26">
        <v>4.697</v>
      </c>
      <c r="D827" s="26" t="s">
        <v>116</v>
      </c>
    </row>
    <row r="828">
      <c r="A828" s="188">
        <v>44845.02510600694</v>
      </c>
      <c r="B828" s="26" t="s">
        <v>351</v>
      </c>
      <c r="C828" s="26">
        <v>2.5</v>
      </c>
      <c r="D828" s="26" t="s">
        <v>166</v>
      </c>
    </row>
    <row r="829">
      <c r="A829" s="188">
        <v>44845.02510600694</v>
      </c>
      <c r="B829" s="26" t="s">
        <v>330</v>
      </c>
      <c r="C829" s="26">
        <v>6.873</v>
      </c>
      <c r="D829" s="26" t="s">
        <v>154</v>
      </c>
    </row>
    <row r="830">
      <c r="A830" s="188">
        <v>44845.02510600694</v>
      </c>
      <c r="B830" s="26" t="s">
        <v>321</v>
      </c>
      <c r="C830" s="26">
        <v>8.081999999999999</v>
      </c>
      <c r="D830" s="26" t="s">
        <v>144</v>
      </c>
    </row>
    <row r="831">
      <c r="A831" s="188">
        <v>44845.02510600694</v>
      </c>
      <c r="B831" s="26" t="s">
        <v>327</v>
      </c>
      <c r="C831" s="26">
        <v>4.2</v>
      </c>
      <c r="D831" s="26" t="s">
        <v>166</v>
      </c>
    </row>
    <row r="832">
      <c r="A832" s="188">
        <v>44845.02510600694</v>
      </c>
      <c r="B832" s="26" t="s">
        <v>332</v>
      </c>
      <c r="C832" s="26">
        <v>5.7989999999999995</v>
      </c>
      <c r="D832" s="26" t="s">
        <v>116</v>
      </c>
    </row>
    <row r="833">
      <c r="A833" s="188">
        <v>44845.02510600694</v>
      </c>
      <c r="B833" s="26" t="s">
        <v>326</v>
      </c>
      <c r="C833" s="26">
        <v>5.5</v>
      </c>
      <c r="D833" s="26" t="s">
        <v>148</v>
      </c>
    </row>
    <row r="834">
      <c r="A834" s="188">
        <v>44845.02510600694</v>
      </c>
      <c r="B834" s="26" t="s">
        <v>388</v>
      </c>
      <c r="C834" s="26">
        <v>9.0</v>
      </c>
      <c r="D834" s="26" t="s">
        <v>442</v>
      </c>
    </row>
    <row r="835">
      <c r="A835" s="188">
        <v>44845.02510600694</v>
      </c>
      <c r="B835" s="26" t="s">
        <v>217</v>
      </c>
      <c r="C835" s="26">
        <v>6.5969999999999995</v>
      </c>
      <c r="D835" s="26" t="s">
        <v>131</v>
      </c>
    </row>
    <row r="836">
      <c r="A836" s="188">
        <v>44845.02510600694</v>
      </c>
      <c r="B836" s="26" t="s">
        <v>291</v>
      </c>
      <c r="C836" s="26">
        <v>7.628</v>
      </c>
      <c r="D836" s="26" t="s">
        <v>59</v>
      </c>
    </row>
    <row r="837">
      <c r="A837" s="188">
        <v>44845.02510600694</v>
      </c>
      <c r="B837" s="26" t="s">
        <v>359</v>
      </c>
      <c r="C837" s="26">
        <v>5.835</v>
      </c>
      <c r="D837" s="26" t="s">
        <v>144</v>
      </c>
    </row>
    <row r="838">
      <c r="A838" s="188">
        <v>44845.02510600694</v>
      </c>
      <c r="B838" s="26" t="s">
        <v>283</v>
      </c>
      <c r="C838" s="26">
        <v>6.7</v>
      </c>
      <c r="D838" s="26" t="s">
        <v>59</v>
      </c>
    </row>
    <row r="839">
      <c r="A839" s="188">
        <v>44845.02510600694</v>
      </c>
      <c r="B839" s="26" t="s">
        <v>399</v>
      </c>
      <c r="C839" s="26">
        <v>9.4</v>
      </c>
      <c r="D839" s="26" t="s">
        <v>166</v>
      </c>
    </row>
    <row r="840">
      <c r="A840" s="188">
        <v>44845.02510600694</v>
      </c>
      <c r="B840" s="26" t="s">
        <v>292</v>
      </c>
      <c r="C840" s="26">
        <v>4.998</v>
      </c>
      <c r="D840" s="26" t="s">
        <v>109</v>
      </c>
    </row>
    <row r="841">
      <c r="A841" s="188">
        <v>44845.02510600694</v>
      </c>
      <c r="B841" s="26" t="s">
        <v>334</v>
      </c>
      <c r="C841" s="26">
        <v>5.678</v>
      </c>
      <c r="D841" s="26" t="s">
        <v>166</v>
      </c>
    </row>
    <row r="842">
      <c r="A842" s="188">
        <v>44845.02510600694</v>
      </c>
      <c r="B842" s="26" t="s">
        <v>353</v>
      </c>
      <c r="C842" s="26">
        <v>5.7</v>
      </c>
      <c r="D842" s="26" t="s">
        <v>141</v>
      </c>
    </row>
    <row r="843">
      <c r="A843" s="188">
        <v>44845.02510600694</v>
      </c>
      <c r="B843" s="26" t="s">
        <v>360</v>
      </c>
      <c r="C843" s="26">
        <v>7.389</v>
      </c>
      <c r="D843" s="26" t="s">
        <v>109</v>
      </c>
    </row>
    <row r="844">
      <c r="A844" s="188">
        <v>44845.02510600694</v>
      </c>
      <c r="B844" s="26" t="s">
        <v>306</v>
      </c>
      <c r="C844" s="26">
        <v>7.196</v>
      </c>
      <c r="D844" s="26" t="s">
        <v>166</v>
      </c>
    </row>
    <row r="845">
      <c r="A845" s="188">
        <v>44845.02510600694</v>
      </c>
      <c r="B845" s="26" t="s">
        <v>341</v>
      </c>
      <c r="C845" s="26">
        <v>7.598999999999999</v>
      </c>
      <c r="D845" s="26" t="s">
        <v>103</v>
      </c>
    </row>
    <row r="846">
      <c r="A846" s="188">
        <v>44845.02510600694</v>
      </c>
      <c r="B846" s="26" t="s">
        <v>339</v>
      </c>
      <c r="C846" s="26">
        <v>7.281</v>
      </c>
      <c r="D846" s="26" t="s">
        <v>109</v>
      </c>
    </row>
    <row r="847">
      <c r="A847" s="188">
        <v>44845.02510600694</v>
      </c>
      <c r="B847" s="26" t="s">
        <v>208</v>
      </c>
      <c r="C847" s="26">
        <v>6.964</v>
      </c>
      <c r="D847" s="26" t="s">
        <v>131</v>
      </c>
    </row>
    <row r="848">
      <c r="A848" s="188">
        <v>44845.02510600694</v>
      </c>
      <c r="B848" s="26" t="s">
        <v>357</v>
      </c>
      <c r="C848" s="26">
        <v>6.2829999999999995</v>
      </c>
      <c r="D848" s="26" t="s">
        <v>144</v>
      </c>
    </row>
    <row r="849">
      <c r="A849" s="188">
        <v>44845.02510600694</v>
      </c>
      <c r="B849" s="26" t="s">
        <v>294</v>
      </c>
      <c r="C849" s="26">
        <v>4.8</v>
      </c>
      <c r="D849" s="26" t="s">
        <v>138</v>
      </c>
    </row>
    <row r="850">
      <c r="A850" s="188">
        <v>44845.02510600694</v>
      </c>
      <c r="B850" s="26" t="s">
        <v>284</v>
      </c>
      <c r="C850" s="26">
        <v>10.627</v>
      </c>
      <c r="D850" s="26" t="s">
        <v>59</v>
      </c>
    </row>
    <row r="851">
      <c r="A851" s="188">
        <v>44845.02510600694</v>
      </c>
      <c r="B851" s="26" t="s">
        <v>343</v>
      </c>
      <c r="C851" s="26">
        <v>6.763</v>
      </c>
      <c r="D851" s="26" t="s">
        <v>109</v>
      </c>
    </row>
    <row r="852">
      <c r="A852" s="188">
        <v>44845.02510600694</v>
      </c>
      <c r="B852" s="26" t="s">
        <v>240</v>
      </c>
      <c r="C852" s="26">
        <v>8.956</v>
      </c>
      <c r="D852" s="26" t="s">
        <v>178</v>
      </c>
    </row>
    <row r="853">
      <c r="A853" s="188">
        <v>44845.02510600694</v>
      </c>
      <c r="B853" s="26" t="s">
        <v>269</v>
      </c>
      <c r="C853" s="26">
        <v>8.097</v>
      </c>
      <c r="D853" s="26" t="s">
        <v>178</v>
      </c>
    </row>
    <row r="854">
      <c r="A854" s="188">
        <v>44845.02510600694</v>
      </c>
      <c r="B854" s="26" t="s">
        <v>173</v>
      </c>
      <c r="C854" s="26">
        <v>5.2</v>
      </c>
      <c r="D854" s="26" t="s">
        <v>53</v>
      </c>
    </row>
    <row r="855">
      <c r="A855" s="188">
        <v>44845.02510600694</v>
      </c>
      <c r="B855" s="26" t="s">
        <v>347</v>
      </c>
      <c r="C855" s="26">
        <v>3.999</v>
      </c>
      <c r="D855" s="26" t="s">
        <v>116</v>
      </c>
    </row>
    <row r="856">
      <c r="A856" s="188">
        <v>44845.02510600694</v>
      </c>
      <c r="B856" s="26" t="s">
        <v>363</v>
      </c>
      <c r="C856" s="26">
        <v>8.794</v>
      </c>
      <c r="D856" s="26" t="s">
        <v>154</v>
      </c>
    </row>
    <row r="857">
      <c r="A857" s="188">
        <v>44845.02510600694</v>
      </c>
      <c r="B857" s="26" t="s">
        <v>365</v>
      </c>
      <c r="C857" s="26">
        <v>4.2</v>
      </c>
      <c r="D857" s="26" t="s">
        <v>141</v>
      </c>
    </row>
    <row r="858">
      <c r="A858" s="188">
        <v>44845.02510600694</v>
      </c>
      <c r="B858" s="26" t="s">
        <v>120</v>
      </c>
      <c r="C858" s="26">
        <v>3.9</v>
      </c>
      <c r="D858" s="26" t="s">
        <v>53</v>
      </c>
    </row>
    <row r="859">
      <c r="A859" s="188">
        <v>44845.02510600694</v>
      </c>
      <c r="B859" s="26" t="s">
        <v>263</v>
      </c>
      <c r="C859" s="26">
        <v>4.5</v>
      </c>
      <c r="D859" s="26" t="s">
        <v>178</v>
      </c>
    </row>
    <row r="860">
      <c r="A860" s="188">
        <v>44845.02510600694</v>
      </c>
      <c r="B860" s="26" t="s">
        <v>394</v>
      </c>
      <c r="C860" s="26">
        <v>2.6</v>
      </c>
      <c r="D860" s="26" t="s">
        <v>109</v>
      </c>
    </row>
    <row r="861">
      <c r="A861" s="188">
        <v>44845.02510600694</v>
      </c>
      <c r="B861" s="26" t="s">
        <v>367</v>
      </c>
      <c r="C861" s="26">
        <v>8.762</v>
      </c>
      <c r="D861" s="26" t="s">
        <v>109</v>
      </c>
    </row>
    <row r="862">
      <c r="A862" s="188">
        <v>44845.02510600694</v>
      </c>
      <c r="B862" s="26" t="s">
        <v>204</v>
      </c>
      <c r="C862" s="26">
        <v>5.584</v>
      </c>
      <c r="D862" s="26" t="s">
        <v>131</v>
      </c>
    </row>
    <row r="863">
      <c r="A863" s="188">
        <v>44845.02510600694</v>
      </c>
      <c r="B863" s="26" t="s">
        <v>298</v>
      </c>
      <c r="C863" s="26">
        <v>3.999</v>
      </c>
      <c r="D863" s="26" t="s">
        <v>138</v>
      </c>
    </row>
    <row r="864">
      <c r="A864" s="188">
        <v>44845.02510600694</v>
      </c>
      <c r="B864" s="26" t="s">
        <v>368</v>
      </c>
      <c r="C864" s="26">
        <v>1.5</v>
      </c>
      <c r="D864" s="26" t="s">
        <v>154</v>
      </c>
    </row>
    <row r="865">
      <c r="A865" s="188">
        <v>44845.02510600694</v>
      </c>
      <c r="B865" s="26" t="s">
        <v>400</v>
      </c>
      <c r="C865" s="26">
        <v>8.0</v>
      </c>
      <c r="D865" s="26" t="s">
        <v>109</v>
      </c>
    </row>
    <row r="866">
      <c r="A866" s="188">
        <v>44845.02510600694</v>
      </c>
      <c r="B866" s="26" t="s">
        <v>176</v>
      </c>
      <c r="C866" s="26">
        <v>5.692</v>
      </c>
      <c r="D866" s="26" t="s">
        <v>53</v>
      </c>
    </row>
    <row r="867">
      <c r="A867" s="188">
        <v>44845.02510600694</v>
      </c>
      <c r="B867" s="26" t="s">
        <v>168</v>
      </c>
      <c r="C867" s="26">
        <v>11.354</v>
      </c>
      <c r="D867" s="26" t="s">
        <v>53</v>
      </c>
    </row>
    <row r="868">
      <c r="A868" s="188">
        <v>44845.02510600694</v>
      </c>
      <c r="B868" s="26" t="s">
        <v>184</v>
      </c>
      <c r="C868" s="26">
        <v>5.899</v>
      </c>
      <c r="D868" s="26" t="s">
        <v>53</v>
      </c>
    </row>
    <row r="869">
      <c r="A869" s="188">
        <v>44845.02510600694</v>
      </c>
      <c r="B869" s="26" t="s">
        <v>354</v>
      </c>
      <c r="C869" s="26">
        <v>9.039</v>
      </c>
      <c r="D869" s="26" t="s">
        <v>116</v>
      </c>
    </row>
    <row r="870">
      <c r="A870" s="188">
        <v>44845.02510600694</v>
      </c>
      <c r="B870" s="26" t="s">
        <v>170</v>
      </c>
      <c r="C870" s="26">
        <v>3.696</v>
      </c>
      <c r="D870" s="26" t="s">
        <v>53</v>
      </c>
    </row>
    <row r="871">
      <c r="A871" s="188">
        <v>44845.02510600694</v>
      </c>
      <c r="B871" s="26" t="s">
        <v>373</v>
      </c>
      <c r="C871" s="26">
        <v>9.658999999999999</v>
      </c>
      <c r="D871" s="26" t="s">
        <v>103</v>
      </c>
    </row>
    <row r="872">
      <c r="A872" s="188">
        <v>44845.02510600694</v>
      </c>
      <c r="B872" s="26" t="s">
        <v>54</v>
      </c>
      <c r="C872" s="26">
        <v>9.339</v>
      </c>
      <c r="D872" s="26" t="s">
        <v>53</v>
      </c>
    </row>
    <row r="873">
      <c r="A873" s="188">
        <v>44845.02510600694</v>
      </c>
      <c r="B873" s="26" t="s">
        <v>274</v>
      </c>
      <c r="C873" s="26">
        <v>7.399</v>
      </c>
      <c r="D873" s="26" t="s">
        <v>59</v>
      </c>
    </row>
    <row r="874">
      <c r="A874" s="188">
        <v>44845.02510600694</v>
      </c>
      <c r="B874" s="26" t="s">
        <v>375</v>
      </c>
      <c r="C874" s="26">
        <v>9.261000000000001</v>
      </c>
      <c r="D874" s="26" t="s">
        <v>109</v>
      </c>
    </row>
    <row r="875">
      <c r="A875" s="188">
        <v>44845.02510600694</v>
      </c>
      <c r="B875" s="26" t="s">
        <v>370</v>
      </c>
      <c r="C875" s="26">
        <v>7.178</v>
      </c>
      <c r="D875" s="26" t="s">
        <v>166</v>
      </c>
    </row>
    <row r="876">
      <c r="A876" s="188">
        <v>44845.02510600694</v>
      </c>
      <c r="B876" s="26" t="s">
        <v>381</v>
      </c>
      <c r="C876" s="26">
        <v>8.231</v>
      </c>
      <c r="D876" s="26" t="s">
        <v>148</v>
      </c>
    </row>
    <row r="877">
      <c r="A877" s="188">
        <v>44845.02510600694</v>
      </c>
      <c r="B877" s="26" t="s">
        <v>355</v>
      </c>
      <c r="C877" s="26">
        <v>6.085999999999999</v>
      </c>
      <c r="D877" s="26" t="s">
        <v>116</v>
      </c>
    </row>
    <row r="878">
      <c r="A878" s="188">
        <v>44845.02510600694</v>
      </c>
      <c r="B878" s="26" t="s">
        <v>386</v>
      </c>
      <c r="C878" s="26">
        <v>4.2</v>
      </c>
      <c r="D878" s="26" t="s">
        <v>141</v>
      </c>
    </row>
    <row r="879">
      <c r="A879" s="188">
        <v>44845.02510600694</v>
      </c>
      <c r="B879" s="26" t="s">
        <v>219</v>
      </c>
      <c r="C879" s="26">
        <v>5.493</v>
      </c>
      <c r="D879" s="26" t="s">
        <v>131</v>
      </c>
    </row>
    <row r="880">
      <c r="A880" s="188">
        <v>44845.02510600694</v>
      </c>
      <c r="B880" s="26" t="s">
        <v>349</v>
      </c>
      <c r="C880" s="26">
        <v>9.696</v>
      </c>
      <c r="D880" s="26" t="s">
        <v>141</v>
      </c>
    </row>
    <row r="881">
      <c r="A881" s="188">
        <v>44845.02510600694</v>
      </c>
      <c r="B881" s="26" t="s">
        <v>314</v>
      </c>
      <c r="C881" s="26">
        <v>6.364000000000001</v>
      </c>
      <c r="D881" s="26" t="s">
        <v>141</v>
      </c>
    </row>
    <row r="882">
      <c r="A882" s="188">
        <v>44845.02510600694</v>
      </c>
      <c r="B882" s="26" t="s">
        <v>302</v>
      </c>
      <c r="C882" s="26">
        <v>8.978000000000002</v>
      </c>
      <c r="D882" s="26" t="s">
        <v>138</v>
      </c>
    </row>
    <row r="883">
      <c r="A883" s="188">
        <v>44845.02510600694</v>
      </c>
      <c r="B883" s="26" t="s">
        <v>379</v>
      </c>
      <c r="C883" s="26">
        <v>6.4</v>
      </c>
      <c r="D883" s="26" t="s">
        <v>154</v>
      </c>
    </row>
    <row r="884">
      <c r="A884" s="188">
        <v>44845.02510600694</v>
      </c>
      <c r="B884" s="26" t="s">
        <v>210</v>
      </c>
      <c r="C884" s="26">
        <v>2.4</v>
      </c>
      <c r="D884" s="26" t="s">
        <v>131</v>
      </c>
    </row>
    <row r="885">
      <c r="A885" s="188">
        <v>44845.02510600694</v>
      </c>
      <c r="B885" s="26" t="s">
        <v>338</v>
      </c>
      <c r="C885" s="26">
        <v>5.8790000000000004</v>
      </c>
      <c r="D885" s="26" t="s">
        <v>144</v>
      </c>
    </row>
    <row r="886">
      <c r="A886" s="188">
        <v>44845.02510600694</v>
      </c>
      <c r="B886" s="26" t="s">
        <v>311</v>
      </c>
      <c r="C886" s="26">
        <v>3.2</v>
      </c>
      <c r="D886" s="26" t="s">
        <v>138</v>
      </c>
    </row>
    <row r="887">
      <c r="A887" s="188">
        <v>44845.02510600694</v>
      </c>
      <c r="B887" s="26" t="s">
        <v>308</v>
      </c>
      <c r="C887" s="26">
        <v>8.372</v>
      </c>
      <c r="D887" s="26" t="s">
        <v>138</v>
      </c>
    </row>
    <row r="888">
      <c r="A888" s="188">
        <v>44845.02510600694</v>
      </c>
      <c r="B888" s="26" t="s">
        <v>358</v>
      </c>
      <c r="C888" s="26">
        <v>8.964</v>
      </c>
      <c r="D888" s="26" t="s">
        <v>103</v>
      </c>
    </row>
    <row r="889">
      <c r="A889" s="188">
        <v>44845.02510600694</v>
      </c>
      <c r="B889" s="26" t="s">
        <v>362</v>
      </c>
      <c r="C889" s="26">
        <v>3.3</v>
      </c>
      <c r="D889" s="26" t="s">
        <v>103</v>
      </c>
    </row>
    <row r="890">
      <c r="A890" s="188">
        <v>44845.02510600694</v>
      </c>
      <c r="B890" s="26" t="s">
        <v>214</v>
      </c>
      <c r="C890" s="26">
        <v>10.035</v>
      </c>
      <c r="D890" s="26" t="s">
        <v>131</v>
      </c>
    </row>
    <row r="891">
      <c r="A891" s="188">
        <v>44845.02510600694</v>
      </c>
      <c r="B891" s="26" t="s">
        <v>387</v>
      </c>
      <c r="C891" s="26">
        <v>6.6</v>
      </c>
      <c r="D891" s="26" t="s">
        <v>148</v>
      </c>
    </row>
    <row r="892">
      <c r="A892" s="188">
        <v>44845.02510600694</v>
      </c>
      <c r="B892" s="26" t="s">
        <v>364</v>
      </c>
      <c r="C892" s="26">
        <v>8.743</v>
      </c>
      <c r="D892" s="26" t="s">
        <v>166</v>
      </c>
    </row>
    <row r="893">
      <c r="A893" s="188">
        <v>44845.02510600694</v>
      </c>
      <c r="B893" s="26" t="s">
        <v>380</v>
      </c>
      <c r="C893" s="26">
        <v>5.0969999999999995</v>
      </c>
      <c r="D893" s="26" t="s">
        <v>148</v>
      </c>
    </row>
    <row r="894">
      <c r="A894" s="188">
        <v>44845.02510600694</v>
      </c>
      <c r="B894" s="26" t="s">
        <v>272</v>
      </c>
      <c r="C894" s="26">
        <v>5.796</v>
      </c>
      <c r="D894" s="26" t="s">
        <v>178</v>
      </c>
    </row>
    <row r="895">
      <c r="A895" s="188">
        <v>44845.02510600694</v>
      </c>
      <c r="B895" s="26" t="s">
        <v>265</v>
      </c>
      <c r="C895" s="26">
        <v>8.464</v>
      </c>
      <c r="D895" s="26" t="s">
        <v>178</v>
      </c>
    </row>
    <row r="896">
      <c r="A896" s="188">
        <v>44845.02510600694</v>
      </c>
      <c r="B896" s="26" t="s">
        <v>318</v>
      </c>
      <c r="C896" s="26">
        <v>8.115</v>
      </c>
      <c r="D896" s="26" t="s">
        <v>141</v>
      </c>
    </row>
    <row r="897">
      <c r="A897" s="188">
        <v>44845.02510600694</v>
      </c>
      <c r="B897" s="26" t="s">
        <v>267</v>
      </c>
      <c r="C897" s="26">
        <v>8.556999999999999</v>
      </c>
      <c r="D897" s="26" t="s">
        <v>178</v>
      </c>
    </row>
    <row r="898">
      <c r="A898" s="188">
        <v>44845.02510600694</v>
      </c>
      <c r="B898" s="26" t="s">
        <v>195</v>
      </c>
      <c r="C898" s="26">
        <v>4.6</v>
      </c>
      <c r="D898" s="26" t="s">
        <v>53</v>
      </c>
    </row>
    <row r="899">
      <c r="A899" s="188">
        <v>44845.02510600694</v>
      </c>
      <c r="B899" s="26" t="s">
        <v>378</v>
      </c>
      <c r="C899" s="26">
        <v>7.358</v>
      </c>
      <c r="D899" s="26" t="s">
        <v>103</v>
      </c>
    </row>
    <row r="900">
      <c r="A900" s="188">
        <v>44845.02510600694</v>
      </c>
      <c r="B900" s="26" t="s">
        <v>374</v>
      </c>
      <c r="C900" s="26">
        <v>9.366000000000001</v>
      </c>
      <c r="D900" s="26" t="s">
        <v>148</v>
      </c>
    </row>
    <row r="901">
      <c r="A901" s="188">
        <v>44845.02510600694</v>
      </c>
      <c r="B901" s="26" t="s">
        <v>261</v>
      </c>
      <c r="C901" s="26">
        <v>9.766</v>
      </c>
      <c r="D901" s="26" t="s">
        <v>178</v>
      </c>
    </row>
    <row r="902">
      <c r="A902" s="188">
        <v>44845.02510600694</v>
      </c>
      <c r="B902" s="26" t="s">
        <v>281</v>
      </c>
      <c r="C902" s="26">
        <v>4.6</v>
      </c>
      <c r="D902" s="26" t="s">
        <v>59</v>
      </c>
    </row>
    <row r="903">
      <c r="A903" s="188">
        <v>44845.02510600694</v>
      </c>
      <c r="B903" s="26" t="s">
        <v>199</v>
      </c>
      <c r="C903" s="26">
        <v>3.499</v>
      </c>
      <c r="D903" s="26" t="s">
        <v>131</v>
      </c>
    </row>
    <row r="904">
      <c r="A904" s="188">
        <v>44845.02510600694</v>
      </c>
      <c r="B904" s="26" t="s">
        <v>401</v>
      </c>
      <c r="C904" s="26">
        <v>2.3</v>
      </c>
      <c r="D904" s="26" t="s">
        <v>148</v>
      </c>
    </row>
    <row r="905">
      <c r="A905" s="188">
        <v>44845.02510600694</v>
      </c>
      <c r="B905" s="26" t="s">
        <v>279</v>
      </c>
      <c r="C905" s="26">
        <v>7.082999999999999</v>
      </c>
      <c r="D905" s="26" t="s">
        <v>59</v>
      </c>
    </row>
    <row r="906">
      <c r="A906" s="188">
        <v>44845.02510600694</v>
      </c>
      <c r="B906" s="26" t="s">
        <v>369</v>
      </c>
      <c r="C906" s="26">
        <v>10.495000000000001</v>
      </c>
      <c r="D906" s="26" t="s">
        <v>116</v>
      </c>
    </row>
    <row r="907">
      <c r="A907" s="188">
        <v>44845.02510600694</v>
      </c>
      <c r="B907" s="26" t="s">
        <v>304</v>
      </c>
      <c r="C907" s="26">
        <v>4.792</v>
      </c>
      <c r="D907" s="26" t="s">
        <v>138</v>
      </c>
    </row>
    <row r="908">
      <c r="A908" s="188">
        <v>44845.02510600694</v>
      </c>
      <c r="B908" s="26" t="s">
        <v>372</v>
      </c>
      <c r="C908" s="26">
        <v>8.709</v>
      </c>
      <c r="D908" s="26" t="s">
        <v>154</v>
      </c>
    </row>
    <row r="909">
      <c r="A909" s="188">
        <v>44845.02510600694</v>
      </c>
      <c r="B909" s="26" t="s">
        <v>366</v>
      </c>
      <c r="C909" s="26">
        <v>4.9</v>
      </c>
      <c r="D909" s="26" t="s">
        <v>154</v>
      </c>
    </row>
    <row r="910">
      <c r="A910" s="188">
        <v>44845.02510600694</v>
      </c>
      <c r="B910" s="26" t="s">
        <v>296</v>
      </c>
      <c r="C910" s="26">
        <v>8.421</v>
      </c>
      <c r="D910" s="26" t="s">
        <v>138</v>
      </c>
    </row>
    <row r="911">
      <c r="A911" s="188">
        <v>44845.02510600694</v>
      </c>
      <c r="B911" s="26" t="s">
        <v>309</v>
      </c>
      <c r="C911" s="26">
        <v>3.9</v>
      </c>
      <c r="D911" s="26" t="s">
        <v>138</v>
      </c>
    </row>
    <row r="912">
      <c r="A912" s="188">
        <v>44845.02510600694</v>
      </c>
      <c r="B912" s="26" t="s">
        <v>155</v>
      </c>
      <c r="C912" s="26">
        <v>4.3</v>
      </c>
      <c r="D912" s="26" t="s">
        <v>53</v>
      </c>
    </row>
    <row r="913">
      <c r="A913" s="188">
        <v>44845.02510600694</v>
      </c>
      <c r="B913" s="26" t="s">
        <v>384</v>
      </c>
      <c r="C913" s="26">
        <v>3.8</v>
      </c>
      <c r="D913" s="26" t="s">
        <v>148</v>
      </c>
    </row>
    <row r="914">
      <c r="A914" s="188">
        <v>44845.02510600694</v>
      </c>
      <c r="B914" s="26" t="s">
        <v>259</v>
      </c>
      <c r="C914" s="26">
        <v>8.793000000000001</v>
      </c>
      <c r="D914" s="26" t="s">
        <v>178</v>
      </c>
    </row>
    <row r="915">
      <c r="A915" s="188">
        <v>44845.02510600694</v>
      </c>
      <c r="B915" s="26" t="s">
        <v>377</v>
      </c>
      <c r="C915" s="26">
        <v>8.093</v>
      </c>
      <c r="D915" s="26" t="s">
        <v>148</v>
      </c>
    </row>
    <row r="916">
      <c r="A916" s="188">
        <v>44845.02510600694</v>
      </c>
      <c r="B916" s="26" t="s">
        <v>222</v>
      </c>
      <c r="C916" s="26">
        <v>6.9</v>
      </c>
      <c r="D916" s="26" t="s">
        <v>131</v>
      </c>
    </row>
    <row r="917">
      <c r="A917" s="188">
        <v>44845.02510600694</v>
      </c>
      <c r="B917" s="26" t="s">
        <v>371</v>
      </c>
      <c r="C917" s="26">
        <v>4.798</v>
      </c>
      <c r="D917" s="26" t="s">
        <v>144</v>
      </c>
    </row>
    <row r="918">
      <c r="A918" s="188">
        <v>44845.02510600694</v>
      </c>
      <c r="B918" s="26" t="s">
        <v>271</v>
      </c>
      <c r="C918" s="26">
        <v>7.993</v>
      </c>
      <c r="D918" s="26" t="s">
        <v>178</v>
      </c>
    </row>
    <row r="919">
      <c r="A919" s="188">
        <v>44845.02510600694</v>
      </c>
      <c r="B919" s="26" t="s">
        <v>382</v>
      </c>
      <c r="C919" s="26">
        <v>4.687</v>
      </c>
      <c r="D919" s="26" t="s">
        <v>154</v>
      </c>
    </row>
    <row r="920">
      <c r="A920" s="188">
        <v>44845.02510600694</v>
      </c>
      <c r="B920" s="26" t="s">
        <v>197</v>
      </c>
      <c r="C920" s="26">
        <v>6.391</v>
      </c>
      <c r="D920" s="26" t="s">
        <v>131</v>
      </c>
    </row>
    <row r="921">
      <c r="A921" s="26" t="s">
        <v>654</v>
      </c>
      <c r="B921" s="26" t="s">
        <v>0</v>
      </c>
      <c r="C921" s="26" t="s">
        <v>655</v>
      </c>
      <c r="D921" s="26" t="s">
        <v>656</v>
      </c>
    </row>
    <row r="922">
      <c r="A922" s="188">
        <v>44852.025106597226</v>
      </c>
      <c r="B922" s="26" t="s">
        <v>324</v>
      </c>
      <c r="C922" s="26">
        <v>8.911</v>
      </c>
      <c r="D922" s="26" t="s">
        <v>103</v>
      </c>
    </row>
    <row r="923">
      <c r="A923" s="188">
        <v>44852.025106597226</v>
      </c>
      <c r="B923" s="26" t="s">
        <v>323</v>
      </c>
      <c r="C923" s="26">
        <v>1.9</v>
      </c>
      <c r="D923" s="26" t="s">
        <v>141</v>
      </c>
    </row>
    <row r="924">
      <c r="A924" s="188">
        <v>44852.025106597226</v>
      </c>
      <c r="B924" s="26" t="s">
        <v>287</v>
      </c>
      <c r="C924" s="26">
        <v>10.434000000000001</v>
      </c>
      <c r="D924" s="26" t="s">
        <v>141</v>
      </c>
    </row>
    <row r="925">
      <c r="A925" s="188">
        <v>44852.025106597226</v>
      </c>
      <c r="B925" s="26" t="s">
        <v>277</v>
      </c>
      <c r="C925" s="26">
        <v>7.412999999999999</v>
      </c>
      <c r="D925" s="26" t="s">
        <v>59</v>
      </c>
    </row>
    <row r="926">
      <c r="A926" s="188">
        <v>44852.025106597226</v>
      </c>
      <c r="B926" s="26" t="s">
        <v>328</v>
      </c>
      <c r="C926" s="26">
        <v>4.6</v>
      </c>
      <c r="D926" s="26" t="s">
        <v>109</v>
      </c>
    </row>
    <row r="927">
      <c r="A927" s="188">
        <v>44852.025106597226</v>
      </c>
      <c r="B927" s="26" t="s">
        <v>322</v>
      </c>
      <c r="C927" s="26">
        <v>4.2</v>
      </c>
      <c r="D927" s="26" t="s">
        <v>103</v>
      </c>
    </row>
    <row r="928">
      <c r="A928" s="188">
        <v>44852.025106597226</v>
      </c>
      <c r="B928" s="26" t="s">
        <v>303</v>
      </c>
      <c r="C928" s="26">
        <v>6.4</v>
      </c>
      <c r="D928" s="26" t="s">
        <v>138</v>
      </c>
    </row>
    <row r="929">
      <c r="A929" s="188">
        <v>44852.025106597226</v>
      </c>
      <c r="B929" s="26" t="s">
        <v>352</v>
      </c>
      <c r="C929" s="26">
        <v>4.5969999999999995</v>
      </c>
      <c r="D929" s="26" t="s">
        <v>154</v>
      </c>
    </row>
    <row r="930">
      <c r="A930" s="188">
        <v>44852.025106597226</v>
      </c>
      <c r="B930" s="26" t="s">
        <v>398</v>
      </c>
      <c r="C930" s="26">
        <v>5.5</v>
      </c>
      <c r="D930" s="26" t="s">
        <v>166</v>
      </c>
    </row>
    <row r="931">
      <c r="A931" s="188">
        <v>44852.025106597226</v>
      </c>
      <c r="B931" s="26" t="s">
        <v>337</v>
      </c>
      <c r="C931" s="26">
        <v>4.8</v>
      </c>
      <c r="D931" s="26" t="s">
        <v>166</v>
      </c>
    </row>
    <row r="932">
      <c r="A932" s="188">
        <v>44852.025106597226</v>
      </c>
      <c r="B932" s="26" t="s">
        <v>329</v>
      </c>
      <c r="C932" s="26">
        <v>5.794</v>
      </c>
      <c r="D932" s="26" t="s">
        <v>116</v>
      </c>
    </row>
    <row r="933">
      <c r="A933" s="188">
        <v>44852.025106597226</v>
      </c>
      <c r="B933" s="26" t="s">
        <v>320</v>
      </c>
      <c r="C933" s="26">
        <v>6.274</v>
      </c>
      <c r="D933" s="26" t="s">
        <v>154</v>
      </c>
    </row>
    <row r="934">
      <c r="A934" s="188">
        <v>44852.025106597226</v>
      </c>
      <c r="B934" s="26" t="s">
        <v>316</v>
      </c>
      <c r="C934" s="26">
        <v>8.216</v>
      </c>
      <c r="D934" s="26" t="s">
        <v>148</v>
      </c>
    </row>
    <row r="935">
      <c r="A935" s="188">
        <v>44852.025106597226</v>
      </c>
      <c r="B935" s="26" t="s">
        <v>289</v>
      </c>
      <c r="C935" s="26">
        <v>3.5</v>
      </c>
      <c r="D935" s="26" t="s">
        <v>59</v>
      </c>
    </row>
    <row r="936">
      <c r="A936" s="188">
        <v>44852.025106597226</v>
      </c>
      <c r="B936" s="26" t="s">
        <v>335</v>
      </c>
      <c r="C936" s="26">
        <v>4.2989999999999995</v>
      </c>
      <c r="D936" s="26" t="s">
        <v>148</v>
      </c>
    </row>
    <row r="937">
      <c r="A937" s="188">
        <v>44852.025106597226</v>
      </c>
      <c r="B937" s="26" t="s">
        <v>344</v>
      </c>
      <c r="C937" s="26">
        <v>7.228</v>
      </c>
      <c r="D937" s="26" t="s">
        <v>109</v>
      </c>
    </row>
    <row r="938">
      <c r="A938" s="188">
        <v>44852.025106597226</v>
      </c>
      <c r="B938" s="26" t="s">
        <v>393</v>
      </c>
      <c r="C938" s="26">
        <v>7.2</v>
      </c>
      <c r="D938" s="26" t="s">
        <v>141</v>
      </c>
    </row>
    <row r="939">
      <c r="A939" s="188">
        <v>44852.025106597226</v>
      </c>
      <c r="B939" s="26" t="s">
        <v>333</v>
      </c>
      <c r="C939" s="26">
        <v>4.5</v>
      </c>
      <c r="D939" s="26" t="s">
        <v>166</v>
      </c>
    </row>
    <row r="940">
      <c r="A940" s="188">
        <v>44852.025106597226</v>
      </c>
      <c r="B940" s="26" t="s">
        <v>285</v>
      </c>
      <c r="C940" s="26">
        <v>4.999</v>
      </c>
      <c r="D940" s="26" t="s">
        <v>59</v>
      </c>
    </row>
    <row r="941">
      <c r="A941" s="188">
        <v>44852.025106597226</v>
      </c>
      <c r="B941" s="26" t="s">
        <v>317</v>
      </c>
      <c r="C941" s="26">
        <v>2.6</v>
      </c>
      <c r="D941" s="26" t="s">
        <v>141</v>
      </c>
    </row>
    <row r="942">
      <c r="A942" s="188">
        <v>44852.025106597226</v>
      </c>
      <c r="B942" s="26" t="s">
        <v>282</v>
      </c>
      <c r="C942" s="26">
        <v>9.201</v>
      </c>
      <c r="D942" s="26" t="s">
        <v>138</v>
      </c>
    </row>
    <row r="943">
      <c r="A943" s="188">
        <v>44852.025106597226</v>
      </c>
      <c r="B943" s="26" t="s">
        <v>206</v>
      </c>
      <c r="C943" s="26">
        <v>11.154</v>
      </c>
      <c r="D943" s="26" t="s">
        <v>131</v>
      </c>
    </row>
    <row r="944">
      <c r="A944" s="188">
        <v>44852.025106597226</v>
      </c>
      <c r="B944" s="26" t="s">
        <v>300</v>
      </c>
      <c r="C944" s="26">
        <v>8.0</v>
      </c>
      <c r="D944" s="26" t="s">
        <v>144</v>
      </c>
    </row>
    <row r="945">
      <c r="A945" s="188">
        <v>44852.025106597226</v>
      </c>
      <c r="B945" s="26" t="s">
        <v>342</v>
      </c>
      <c r="C945" s="26">
        <v>1.5</v>
      </c>
      <c r="D945" s="26" t="s">
        <v>144</v>
      </c>
    </row>
    <row r="946">
      <c r="A946" s="188">
        <v>44852.025106597226</v>
      </c>
      <c r="B946" s="26" t="s">
        <v>336</v>
      </c>
      <c r="C946" s="26">
        <v>2.7</v>
      </c>
      <c r="D946" s="26" t="s">
        <v>116</v>
      </c>
    </row>
    <row r="947">
      <c r="A947" s="188">
        <v>44852.025106597226</v>
      </c>
      <c r="B947" s="26" t="s">
        <v>331</v>
      </c>
      <c r="C947" s="26">
        <v>6.2</v>
      </c>
      <c r="D947" s="26" t="s">
        <v>442</v>
      </c>
    </row>
    <row r="948">
      <c r="A948" s="188">
        <v>44852.025106597226</v>
      </c>
      <c r="B948" s="26" t="s">
        <v>325</v>
      </c>
      <c r="C948" s="26">
        <v>6.2909999999999995</v>
      </c>
      <c r="D948" s="26" t="s">
        <v>144</v>
      </c>
    </row>
    <row r="949">
      <c r="A949" s="188">
        <v>44852.025106597226</v>
      </c>
      <c r="B949" s="26" t="s">
        <v>356</v>
      </c>
      <c r="C949" s="26">
        <v>5.898000000000001</v>
      </c>
      <c r="D949" s="26" t="s">
        <v>103</v>
      </c>
    </row>
    <row r="950">
      <c r="A950" s="188">
        <v>44852.025106597226</v>
      </c>
      <c r="B950" s="26" t="s">
        <v>181</v>
      </c>
      <c r="C950" s="26">
        <v>5.812</v>
      </c>
      <c r="D950" s="26" t="s">
        <v>53</v>
      </c>
    </row>
    <row r="951">
      <c r="A951" s="188">
        <v>44852.025106597226</v>
      </c>
      <c r="B951" s="26" t="s">
        <v>346</v>
      </c>
      <c r="C951" s="26">
        <v>6.1</v>
      </c>
      <c r="D951" s="26" t="s">
        <v>144</v>
      </c>
    </row>
    <row r="952">
      <c r="A952" s="188">
        <v>44852.025106597226</v>
      </c>
      <c r="B952" s="26" t="s">
        <v>275</v>
      </c>
      <c r="C952" s="26">
        <v>2.6</v>
      </c>
      <c r="D952" s="26" t="s">
        <v>59</v>
      </c>
    </row>
    <row r="953">
      <c r="A953" s="188">
        <v>44852.025106597226</v>
      </c>
      <c r="B953" s="26" t="s">
        <v>340</v>
      </c>
      <c r="C953" s="26">
        <v>7.3</v>
      </c>
      <c r="D953" s="26" t="s">
        <v>103</v>
      </c>
    </row>
    <row r="954">
      <c r="A954" s="188">
        <v>44852.025106597226</v>
      </c>
      <c r="B954" s="26" t="s">
        <v>345</v>
      </c>
      <c r="C954" s="26">
        <v>6.363</v>
      </c>
      <c r="D954" s="26" t="s">
        <v>144</v>
      </c>
    </row>
    <row r="955">
      <c r="A955" s="188">
        <v>44852.025106597226</v>
      </c>
      <c r="B955" s="26" t="s">
        <v>313</v>
      </c>
      <c r="C955" s="26">
        <v>11.432</v>
      </c>
      <c r="D955" s="26" t="s">
        <v>116</v>
      </c>
    </row>
    <row r="956">
      <c r="A956" s="188">
        <v>44852.025106597226</v>
      </c>
      <c r="B956" s="26" t="s">
        <v>257</v>
      </c>
      <c r="C956" s="26">
        <v>6.281</v>
      </c>
      <c r="D956" s="26" t="s">
        <v>178</v>
      </c>
    </row>
    <row r="957">
      <c r="A957" s="188">
        <v>44852.025106597226</v>
      </c>
      <c r="B957" s="26" t="s">
        <v>361</v>
      </c>
      <c r="C957" s="26">
        <v>4.479</v>
      </c>
      <c r="D957" s="26" t="s">
        <v>103</v>
      </c>
    </row>
    <row r="958">
      <c r="A958" s="188">
        <v>44852.025106597226</v>
      </c>
      <c r="B958" s="26" t="s">
        <v>348</v>
      </c>
      <c r="C958" s="26">
        <v>4.697</v>
      </c>
      <c r="D958" s="26" t="s">
        <v>116</v>
      </c>
    </row>
    <row r="959">
      <c r="A959" s="188">
        <v>44852.025106597226</v>
      </c>
      <c r="B959" s="26" t="s">
        <v>351</v>
      </c>
      <c r="C959" s="26">
        <v>3.4</v>
      </c>
      <c r="D959" s="26" t="s">
        <v>166</v>
      </c>
    </row>
    <row r="960">
      <c r="A960" s="188">
        <v>44852.025106597226</v>
      </c>
      <c r="B960" s="26" t="s">
        <v>330</v>
      </c>
      <c r="C960" s="26">
        <v>6.878</v>
      </c>
      <c r="D960" s="26" t="s">
        <v>154</v>
      </c>
    </row>
    <row r="961">
      <c r="A961" s="188">
        <v>44852.025106597226</v>
      </c>
      <c r="B961" s="26" t="s">
        <v>321</v>
      </c>
      <c r="C961" s="26">
        <v>8.853</v>
      </c>
      <c r="D961" s="26" t="s">
        <v>144</v>
      </c>
    </row>
    <row r="962">
      <c r="A962" s="188">
        <v>44852.025106597226</v>
      </c>
      <c r="B962" s="26" t="s">
        <v>327</v>
      </c>
      <c r="C962" s="26">
        <v>4.1</v>
      </c>
      <c r="D962" s="26" t="s">
        <v>166</v>
      </c>
    </row>
    <row r="963">
      <c r="A963" s="188">
        <v>44852.025106597226</v>
      </c>
      <c r="B963" s="26" t="s">
        <v>332</v>
      </c>
      <c r="C963" s="26">
        <v>5.899</v>
      </c>
      <c r="D963" s="26" t="s">
        <v>116</v>
      </c>
    </row>
    <row r="964">
      <c r="A964" s="188">
        <v>44852.025106597226</v>
      </c>
      <c r="B964" s="26" t="s">
        <v>326</v>
      </c>
      <c r="C964" s="26">
        <v>5.6</v>
      </c>
      <c r="D964" s="26" t="s">
        <v>148</v>
      </c>
    </row>
    <row r="965">
      <c r="A965" s="188">
        <v>44852.025106597226</v>
      </c>
      <c r="B965" s="26" t="s">
        <v>388</v>
      </c>
      <c r="C965" s="26">
        <v>8.2</v>
      </c>
      <c r="D965" s="26" t="s">
        <v>442</v>
      </c>
    </row>
    <row r="966">
      <c r="A966" s="188">
        <v>44852.025106597226</v>
      </c>
      <c r="B966" s="26" t="s">
        <v>217</v>
      </c>
      <c r="C966" s="26">
        <v>6.398000000000001</v>
      </c>
      <c r="D966" s="26" t="s">
        <v>131</v>
      </c>
    </row>
    <row r="967">
      <c r="A967" s="188">
        <v>44852.025106597226</v>
      </c>
      <c r="B967" s="26" t="s">
        <v>291</v>
      </c>
      <c r="C967" s="26">
        <v>7.62</v>
      </c>
      <c r="D967" s="26" t="s">
        <v>59</v>
      </c>
    </row>
    <row r="968">
      <c r="A968" s="188">
        <v>44852.025106597226</v>
      </c>
      <c r="B968" s="26" t="s">
        <v>359</v>
      </c>
      <c r="C968" s="26">
        <v>5.458</v>
      </c>
      <c r="D968" s="26" t="s">
        <v>144</v>
      </c>
    </row>
    <row r="969">
      <c r="A969" s="188">
        <v>44852.025106597226</v>
      </c>
      <c r="B969" s="26" t="s">
        <v>283</v>
      </c>
      <c r="C969" s="26">
        <v>7.4</v>
      </c>
      <c r="D969" s="26" t="s">
        <v>59</v>
      </c>
    </row>
    <row r="970">
      <c r="A970" s="188">
        <v>44852.025106597226</v>
      </c>
      <c r="B970" s="26" t="s">
        <v>399</v>
      </c>
      <c r="C970" s="26">
        <v>9.1</v>
      </c>
      <c r="D970" s="26" t="s">
        <v>166</v>
      </c>
    </row>
    <row r="971">
      <c r="A971" s="188">
        <v>44852.025106597226</v>
      </c>
      <c r="B971" s="26" t="s">
        <v>292</v>
      </c>
      <c r="C971" s="26">
        <v>5.986</v>
      </c>
      <c r="D971" s="26" t="s">
        <v>109</v>
      </c>
    </row>
    <row r="972">
      <c r="A972" s="188">
        <v>44852.025106597226</v>
      </c>
      <c r="B972" s="26" t="s">
        <v>334</v>
      </c>
      <c r="C972" s="26">
        <v>4.995</v>
      </c>
      <c r="D972" s="26" t="s">
        <v>166</v>
      </c>
    </row>
    <row r="973">
      <c r="A973" s="188">
        <v>44852.025106597226</v>
      </c>
      <c r="B973" s="26" t="s">
        <v>353</v>
      </c>
      <c r="C973" s="26">
        <v>5.8</v>
      </c>
      <c r="D973" s="26" t="s">
        <v>141</v>
      </c>
    </row>
    <row r="974">
      <c r="A974" s="188">
        <v>44852.025106597226</v>
      </c>
      <c r="B974" s="26" t="s">
        <v>360</v>
      </c>
      <c r="C974" s="26">
        <v>7.781</v>
      </c>
      <c r="D974" s="26" t="s">
        <v>109</v>
      </c>
    </row>
    <row r="975">
      <c r="A975" s="188">
        <v>44852.025106597226</v>
      </c>
      <c r="B975" s="26" t="s">
        <v>306</v>
      </c>
      <c r="C975" s="26">
        <v>6.157</v>
      </c>
      <c r="D975" s="26" t="s">
        <v>166</v>
      </c>
    </row>
    <row r="976">
      <c r="A976" s="188">
        <v>44852.025106597226</v>
      </c>
      <c r="B976" s="26" t="s">
        <v>341</v>
      </c>
      <c r="C976" s="26">
        <v>7.8</v>
      </c>
      <c r="D976" s="26" t="s">
        <v>103</v>
      </c>
    </row>
    <row r="977">
      <c r="A977" s="188">
        <v>44852.025106597226</v>
      </c>
      <c r="B977" s="26" t="s">
        <v>339</v>
      </c>
      <c r="C977" s="26">
        <v>6.792</v>
      </c>
      <c r="D977" s="26" t="s">
        <v>109</v>
      </c>
    </row>
    <row r="978">
      <c r="A978" s="188">
        <v>44852.025106597226</v>
      </c>
      <c r="B978" s="26" t="s">
        <v>208</v>
      </c>
      <c r="C978" s="26">
        <v>6.093999999999999</v>
      </c>
      <c r="D978" s="26" t="s">
        <v>131</v>
      </c>
    </row>
    <row r="979">
      <c r="A979" s="188">
        <v>44852.025106597226</v>
      </c>
      <c r="B979" s="26" t="s">
        <v>357</v>
      </c>
      <c r="C979" s="26">
        <v>6.29</v>
      </c>
      <c r="D979" s="26" t="s">
        <v>144</v>
      </c>
    </row>
    <row r="980">
      <c r="A980" s="188">
        <v>44852.025106597226</v>
      </c>
      <c r="B980" s="26" t="s">
        <v>294</v>
      </c>
      <c r="C980" s="26">
        <v>5.4</v>
      </c>
      <c r="D980" s="26" t="s">
        <v>138</v>
      </c>
    </row>
    <row r="981">
      <c r="A981" s="188">
        <v>44852.025106597226</v>
      </c>
      <c r="B981" s="26" t="s">
        <v>284</v>
      </c>
      <c r="C981" s="26">
        <v>10.959</v>
      </c>
      <c r="D981" s="26" t="s">
        <v>59</v>
      </c>
    </row>
    <row r="982">
      <c r="A982" s="188">
        <v>44852.025106597226</v>
      </c>
      <c r="B982" s="26" t="s">
        <v>343</v>
      </c>
      <c r="C982" s="26">
        <v>6.398000000000001</v>
      </c>
      <c r="D982" s="26" t="s">
        <v>109</v>
      </c>
    </row>
    <row r="983">
      <c r="A983" s="188">
        <v>44852.025106597226</v>
      </c>
      <c r="B983" s="26" t="s">
        <v>240</v>
      </c>
      <c r="C983" s="26">
        <v>8.292000000000002</v>
      </c>
      <c r="D983" s="26" t="s">
        <v>178</v>
      </c>
    </row>
    <row r="984">
      <c r="A984" s="188">
        <v>44852.025106597226</v>
      </c>
      <c r="B984" s="26" t="s">
        <v>269</v>
      </c>
      <c r="C984" s="26">
        <v>7.2989999999999995</v>
      </c>
      <c r="D984" s="26" t="s">
        <v>178</v>
      </c>
    </row>
    <row r="985">
      <c r="A985" s="188">
        <v>44852.025106597226</v>
      </c>
      <c r="B985" s="26" t="s">
        <v>173</v>
      </c>
      <c r="C985" s="26">
        <v>5.1</v>
      </c>
      <c r="D985" s="26" t="s">
        <v>53</v>
      </c>
    </row>
    <row r="986">
      <c r="A986" s="188">
        <v>44852.025106597226</v>
      </c>
      <c r="B986" s="26" t="s">
        <v>347</v>
      </c>
      <c r="C986" s="26">
        <v>4.098999999999999</v>
      </c>
      <c r="D986" s="26" t="s">
        <v>116</v>
      </c>
    </row>
    <row r="987">
      <c r="A987" s="188">
        <v>44852.025106597226</v>
      </c>
      <c r="B987" s="26" t="s">
        <v>363</v>
      </c>
      <c r="C987" s="26">
        <v>8.3</v>
      </c>
      <c r="D987" s="26" t="s">
        <v>154</v>
      </c>
    </row>
    <row r="988">
      <c r="A988" s="188">
        <v>44852.025106597226</v>
      </c>
      <c r="B988" s="26" t="s">
        <v>365</v>
      </c>
      <c r="C988" s="26">
        <v>4.1</v>
      </c>
      <c r="D988" s="26" t="s">
        <v>141</v>
      </c>
    </row>
    <row r="989">
      <c r="A989" s="188">
        <v>44852.025106597226</v>
      </c>
      <c r="B989" s="26" t="s">
        <v>120</v>
      </c>
      <c r="C989" s="26">
        <v>3.3</v>
      </c>
      <c r="D989" s="26" t="s">
        <v>53</v>
      </c>
    </row>
    <row r="990">
      <c r="A990" s="188">
        <v>44852.025106597226</v>
      </c>
      <c r="B990" s="26" t="s">
        <v>263</v>
      </c>
      <c r="C990" s="26">
        <v>3.5</v>
      </c>
      <c r="D990" s="26" t="s">
        <v>178</v>
      </c>
    </row>
    <row r="991">
      <c r="A991" s="188">
        <v>44852.025106597226</v>
      </c>
      <c r="B991" s="26" t="s">
        <v>394</v>
      </c>
      <c r="C991" s="26">
        <v>3.5</v>
      </c>
      <c r="D991" s="26" t="s">
        <v>109</v>
      </c>
    </row>
    <row r="992">
      <c r="A992" s="188">
        <v>44852.025106597226</v>
      </c>
      <c r="B992" s="26" t="s">
        <v>367</v>
      </c>
      <c r="C992" s="26">
        <v>9.134</v>
      </c>
      <c r="D992" s="26" t="s">
        <v>109</v>
      </c>
    </row>
    <row r="993">
      <c r="A993" s="188">
        <v>44852.025106597226</v>
      </c>
      <c r="B993" s="26" t="s">
        <v>204</v>
      </c>
      <c r="C993" s="26">
        <v>6.17</v>
      </c>
      <c r="D993" s="26" t="s">
        <v>131</v>
      </c>
    </row>
    <row r="994">
      <c r="A994" s="188">
        <v>44852.025106597226</v>
      </c>
      <c r="B994" s="26" t="s">
        <v>298</v>
      </c>
      <c r="C994" s="26">
        <v>5.098</v>
      </c>
      <c r="D994" s="26" t="s">
        <v>138</v>
      </c>
    </row>
    <row r="995">
      <c r="A995" s="188">
        <v>44852.025106597226</v>
      </c>
      <c r="B995" s="26" t="s">
        <v>368</v>
      </c>
      <c r="C995" s="26">
        <v>1.4</v>
      </c>
      <c r="D995" s="26" t="s">
        <v>154</v>
      </c>
    </row>
    <row r="996">
      <c r="A996" s="188">
        <v>44852.025106597226</v>
      </c>
      <c r="B996" s="26" t="s">
        <v>400</v>
      </c>
      <c r="C996" s="26">
        <v>6.7</v>
      </c>
      <c r="D996" s="26" t="s">
        <v>109</v>
      </c>
    </row>
    <row r="997">
      <c r="A997" s="188">
        <v>44852.025106597226</v>
      </c>
      <c r="B997" s="26" t="s">
        <v>176</v>
      </c>
      <c r="C997" s="26">
        <v>6.5729999999999995</v>
      </c>
      <c r="D997" s="26" t="s">
        <v>53</v>
      </c>
    </row>
    <row r="998">
      <c r="A998" s="188">
        <v>44852.025106597226</v>
      </c>
      <c r="B998" s="26" t="s">
        <v>168</v>
      </c>
      <c r="C998" s="26">
        <v>11.361</v>
      </c>
      <c r="D998" s="26" t="s">
        <v>53</v>
      </c>
    </row>
    <row r="999">
      <c r="A999" s="188">
        <v>44852.025106597226</v>
      </c>
      <c r="B999" s="26" t="s">
        <v>184</v>
      </c>
      <c r="C999" s="26">
        <v>6.2</v>
      </c>
      <c r="D999" s="26" t="s">
        <v>53</v>
      </c>
    </row>
    <row r="1000">
      <c r="A1000" s="188">
        <v>44852.025106597226</v>
      </c>
      <c r="B1000" s="26" t="s">
        <v>354</v>
      </c>
      <c r="C1000" s="26">
        <v>8.411</v>
      </c>
      <c r="D1000" s="26" t="s">
        <v>116</v>
      </c>
    </row>
    <row r="1001">
      <c r="A1001" s="188">
        <v>44852.025106597226</v>
      </c>
      <c r="B1001" s="26" t="s">
        <v>170</v>
      </c>
      <c r="C1001" s="26">
        <v>5.1370000000000005</v>
      </c>
      <c r="D1001" s="26" t="s">
        <v>53</v>
      </c>
    </row>
    <row r="1002">
      <c r="A1002" s="188">
        <v>44852.025106597226</v>
      </c>
      <c r="B1002" s="26" t="s">
        <v>373</v>
      </c>
      <c r="C1002" s="26">
        <v>9.842</v>
      </c>
      <c r="D1002" s="26" t="s">
        <v>103</v>
      </c>
    </row>
    <row r="1003">
      <c r="A1003" s="188">
        <v>44852.025106597226</v>
      </c>
      <c r="B1003" s="26" t="s">
        <v>54</v>
      </c>
      <c r="C1003" s="26">
        <v>9.339</v>
      </c>
      <c r="D1003" s="26" t="s">
        <v>53</v>
      </c>
    </row>
    <row r="1004">
      <c r="A1004" s="188">
        <v>44852.025106597226</v>
      </c>
      <c r="B1004" s="26" t="s">
        <v>274</v>
      </c>
      <c r="C1004" s="26">
        <v>7.999</v>
      </c>
      <c r="D1004" s="26" t="s">
        <v>59</v>
      </c>
    </row>
    <row r="1005">
      <c r="A1005" s="188">
        <v>44852.025106597226</v>
      </c>
      <c r="B1005" s="26" t="s">
        <v>375</v>
      </c>
      <c r="C1005" s="26">
        <v>8.791</v>
      </c>
      <c r="D1005" s="26" t="s">
        <v>109</v>
      </c>
    </row>
    <row r="1006">
      <c r="A1006" s="188">
        <v>44852.025106597226</v>
      </c>
      <c r="B1006" s="26" t="s">
        <v>370</v>
      </c>
      <c r="C1006" s="26">
        <v>7.08</v>
      </c>
      <c r="D1006" s="26" t="s">
        <v>166</v>
      </c>
    </row>
    <row r="1007">
      <c r="A1007" s="188">
        <v>44852.025106597226</v>
      </c>
      <c r="B1007" s="26" t="s">
        <v>381</v>
      </c>
      <c r="C1007" s="26">
        <v>8.246</v>
      </c>
      <c r="D1007" s="26" t="s">
        <v>148</v>
      </c>
    </row>
    <row r="1008">
      <c r="A1008" s="188">
        <v>44852.025106597226</v>
      </c>
      <c r="B1008" s="26" t="s">
        <v>355</v>
      </c>
      <c r="C1008" s="26">
        <v>5.793</v>
      </c>
      <c r="D1008" s="26" t="s">
        <v>116</v>
      </c>
    </row>
    <row r="1009">
      <c r="A1009" s="188">
        <v>44852.025106597226</v>
      </c>
      <c r="B1009" s="26" t="s">
        <v>386</v>
      </c>
      <c r="C1009" s="26">
        <v>4.1</v>
      </c>
      <c r="D1009" s="26" t="s">
        <v>141</v>
      </c>
    </row>
    <row r="1010">
      <c r="A1010" s="188">
        <v>44852.025106597226</v>
      </c>
      <c r="B1010" s="26" t="s">
        <v>219</v>
      </c>
      <c r="C1010" s="26">
        <v>5.687</v>
      </c>
      <c r="D1010" s="26" t="s">
        <v>131</v>
      </c>
    </row>
    <row r="1011">
      <c r="A1011" s="188">
        <v>44852.025106597226</v>
      </c>
      <c r="B1011" s="26" t="s">
        <v>349</v>
      </c>
      <c r="C1011" s="26">
        <v>8.982</v>
      </c>
      <c r="D1011" s="26" t="s">
        <v>141</v>
      </c>
    </row>
    <row r="1012">
      <c r="A1012" s="188">
        <v>44852.025106597226</v>
      </c>
      <c r="B1012" s="26" t="s">
        <v>314</v>
      </c>
      <c r="C1012" s="26">
        <v>6.468</v>
      </c>
      <c r="D1012" s="26" t="s">
        <v>141</v>
      </c>
    </row>
    <row r="1013">
      <c r="A1013" s="188">
        <v>44852.025106597226</v>
      </c>
      <c r="B1013" s="26" t="s">
        <v>302</v>
      </c>
      <c r="C1013" s="26">
        <v>8.785</v>
      </c>
      <c r="D1013" s="26" t="s">
        <v>138</v>
      </c>
    </row>
    <row r="1014">
      <c r="A1014" s="188">
        <v>44852.025106597226</v>
      </c>
      <c r="B1014" s="26" t="s">
        <v>379</v>
      </c>
      <c r="C1014" s="26">
        <v>6.5</v>
      </c>
      <c r="D1014" s="26" t="s">
        <v>154</v>
      </c>
    </row>
    <row r="1015">
      <c r="A1015" s="188">
        <v>44852.025106597226</v>
      </c>
      <c r="B1015" s="26" t="s">
        <v>210</v>
      </c>
      <c r="C1015" s="26">
        <v>2.3</v>
      </c>
      <c r="D1015" s="26" t="s">
        <v>131</v>
      </c>
    </row>
    <row r="1016">
      <c r="A1016" s="188">
        <v>44852.025106597226</v>
      </c>
      <c r="B1016" s="26" t="s">
        <v>338</v>
      </c>
      <c r="C1016" s="26">
        <v>6.17</v>
      </c>
      <c r="D1016" s="26" t="s">
        <v>144</v>
      </c>
    </row>
    <row r="1017">
      <c r="A1017" s="188">
        <v>44852.025106597226</v>
      </c>
      <c r="B1017" s="26" t="s">
        <v>311</v>
      </c>
      <c r="C1017" s="26">
        <v>4.6</v>
      </c>
      <c r="D1017" s="26" t="s">
        <v>138</v>
      </c>
    </row>
    <row r="1018">
      <c r="A1018" s="188">
        <v>44852.025106597226</v>
      </c>
      <c r="B1018" s="26" t="s">
        <v>308</v>
      </c>
      <c r="C1018" s="26">
        <v>9.148</v>
      </c>
      <c r="D1018" s="26" t="s">
        <v>138</v>
      </c>
    </row>
    <row r="1019">
      <c r="A1019" s="188">
        <v>44852.025106597226</v>
      </c>
      <c r="B1019" s="26" t="s">
        <v>358</v>
      </c>
      <c r="C1019" s="26">
        <v>9.468</v>
      </c>
      <c r="D1019" s="26" t="s">
        <v>103</v>
      </c>
    </row>
    <row r="1020">
      <c r="A1020" s="188">
        <v>44852.025106597226</v>
      </c>
      <c r="B1020" s="26" t="s">
        <v>362</v>
      </c>
      <c r="C1020" s="26">
        <v>3.0</v>
      </c>
      <c r="D1020" s="26" t="s">
        <v>103</v>
      </c>
    </row>
    <row r="1021">
      <c r="A1021" s="188">
        <v>44852.025106597226</v>
      </c>
      <c r="B1021" s="26" t="s">
        <v>214</v>
      </c>
      <c r="C1021" s="26">
        <v>10.712000000000002</v>
      </c>
      <c r="D1021" s="26" t="s">
        <v>131</v>
      </c>
    </row>
    <row r="1022">
      <c r="A1022" s="188">
        <v>44852.025106597226</v>
      </c>
      <c r="B1022" s="26" t="s">
        <v>387</v>
      </c>
      <c r="C1022" s="26">
        <v>6.6</v>
      </c>
      <c r="D1022" s="26" t="s">
        <v>148</v>
      </c>
    </row>
    <row r="1023">
      <c r="A1023" s="188">
        <v>44852.025106597226</v>
      </c>
      <c r="B1023" s="26" t="s">
        <v>364</v>
      </c>
      <c r="C1023" s="26">
        <v>8.84</v>
      </c>
      <c r="D1023" s="26" t="s">
        <v>166</v>
      </c>
    </row>
    <row r="1024">
      <c r="A1024" s="188">
        <v>44852.025106597226</v>
      </c>
      <c r="B1024" s="26" t="s">
        <v>380</v>
      </c>
      <c r="C1024" s="26">
        <v>4.999</v>
      </c>
      <c r="D1024" s="26" t="s">
        <v>148</v>
      </c>
    </row>
    <row r="1025">
      <c r="A1025" s="188">
        <v>44852.025106597226</v>
      </c>
      <c r="B1025" s="26" t="s">
        <v>272</v>
      </c>
      <c r="C1025" s="26">
        <v>5.596</v>
      </c>
      <c r="D1025" s="26" t="s">
        <v>178</v>
      </c>
    </row>
    <row r="1026">
      <c r="A1026" s="188">
        <v>44852.025106597226</v>
      </c>
      <c r="B1026" s="26" t="s">
        <v>265</v>
      </c>
      <c r="C1026" s="26">
        <v>8.959999999999999</v>
      </c>
      <c r="D1026" s="26" t="s">
        <v>178</v>
      </c>
    </row>
    <row r="1027">
      <c r="A1027" s="188">
        <v>44852.025106597226</v>
      </c>
      <c r="B1027" s="26" t="s">
        <v>318</v>
      </c>
      <c r="C1027" s="26">
        <v>8.095</v>
      </c>
      <c r="D1027" s="26" t="s">
        <v>141</v>
      </c>
    </row>
    <row r="1028">
      <c r="A1028" s="188">
        <v>44852.025106597226</v>
      </c>
      <c r="B1028" s="26" t="s">
        <v>267</v>
      </c>
      <c r="C1028" s="26">
        <v>8.756</v>
      </c>
      <c r="D1028" s="26" t="s">
        <v>178</v>
      </c>
    </row>
    <row r="1029">
      <c r="A1029" s="188">
        <v>44852.025106597226</v>
      </c>
      <c r="B1029" s="26" t="s">
        <v>195</v>
      </c>
      <c r="C1029" s="26">
        <v>4.699</v>
      </c>
      <c r="D1029" s="26" t="s">
        <v>53</v>
      </c>
    </row>
    <row r="1030">
      <c r="A1030" s="188">
        <v>44852.025106597226</v>
      </c>
      <c r="B1030" s="26" t="s">
        <v>378</v>
      </c>
      <c r="C1030" s="26">
        <v>7.289000000000001</v>
      </c>
      <c r="D1030" s="26" t="s">
        <v>103</v>
      </c>
    </row>
    <row r="1031">
      <c r="A1031" s="188">
        <v>44852.025106597226</v>
      </c>
      <c r="B1031" s="26" t="s">
        <v>374</v>
      </c>
      <c r="C1031" s="26">
        <v>9.415000000000001</v>
      </c>
      <c r="D1031" s="26" t="s">
        <v>148</v>
      </c>
    </row>
    <row r="1032">
      <c r="A1032" s="188">
        <v>44852.025106597226</v>
      </c>
      <c r="B1032" s="26" t="s">
        <v>261</v>
      </c>
      <c r="C1032" s="26">
        <v>9.756</v>
      </c>
      <c r="D1032" s="26" t="s">
        <v>178</v>
      </c>
    </row>
    <row r="1033">
      <c r="A1033" s="188">
        <v>44852.025106597226</v>
      </c>
      <c r="B1033" s="26" t="s">
        <v>281</v>
      </c>
      <c r="C1033" s="26">
        <v>4.4</v>
      </c>
      <c r="D1033" s="26" t="s">
        <v>59</v>
      </c>
    </row>
    <row r="1034">
      <c r="A1034" s="188">
        <v>44852.025106597226</v>
      </c>
      <c r="B1034" s="26" t="s">
        <v>199</v>
      </c>
      <c r="C1034" s="26">
        <v>3.5</v>
      </c>
      <c r="D1034" s="26" t="s">
        <v>131</v>
      </c>
    </row>
    <row r="1035">
      <c r="A1035" s="188">
        <v>44852.025106597226</v>
      </c>
      <c r="B1035" s="26" t="s">
        <v>401</v>
      </c>
      <c r="C1035" s="26">
        <v>2.0</v>
      </c>
      <c r="D1035" s="26" t="s">
        <v>148</v>
      </c>
    </row>
    <row r="1036">
      <c r="A1036" s="188">
        <v>44852.025106597226</v>
      </c>
      <c r="B1036" s="26" t="s">
        <v>279</v>
      </c>
      <c r="C1036" s="26">
        <v>6.293</v>
      </c>
      <c r="D1036" s="26" t="s">
        <v>59</v>
      </c>
    </row>
    <row r="1037">
      <c r="A1037" s="188">
        <v>44852.025106597226</v>
      </c>
      <c r="B1037" s="26" t="s">
        <v>369</v>
      </c>
      <c r="C1037" s="26">
        <v>10.186</v>
      </c>
      <c r="D1037" s="26" t="s">
        <v>116</v>
      </c>
    </row>
    <row r="1038">
      <c r="A1038" s="188">
        <v>44852.025106597226</v>
      </c>
      <c r="B1038" s="26" t="s">
        <v>304</v>
      </c>
      <c r="C1038" s="26">
        <v>5.186</v>
      </c>
      <c r="D1038" s="26" t="s">
        <v>138</v>
      </c>
    </row>
    <row r="1039">
      <c r="A1039" s="188">
        <v>44852.025106597226</v>
      </c>
      <c r="B1039" s="26" t="s">
        <v>372</v>
      </c>
      <c r="C1039" s="26">
        <v>9.126000000000001</v>
      </c>
      <c r="D1039" s="26" t="s">
        <v>154</v>
      </c>
    </row>
    <row r="1040">
      <c r="A1040" s="188">
        <v>44852.025106597226</v>
      </c>
      <c r="B1040" s="26" t="s">
        <v>366</v>
      </c>
      <c r="C1040" s="26">
        <v>4.9</v>
      </c>
      <c r="D1040" s="26" t="s">
        <v>154</v>
      </c>
    </row>
    <row r="1041">
      <c r="A1041" s="188">
        <v>44852.025106597226</v>
      </c>
      <c r="B1041" s="26" t="s">
        <v>296</v>
      </c>
      <c r="C1041" s="26">
        <v>8.453</v>
      </c>
      <c r="D1041" s="26" t="s">
        <v>138</v>
      </c>
    </row>
    <row r="1042">
      <c r="A1042" s="188">
        <v>44852.025106597226</v>
      </c>
      <c r="B1042" s="26" t="s">
        <v>309</v>
      </c>
      <c r="C1042" s="26">
        <v>3.8</v>
      </c>
      <c r="D1042" s="26" t="s">
        <v>138</v>
      </c>
    </row>
    <row r="1043">
      <c r="A1043" s="188">
        <v>44852.025106597226</v>
      </c>
      <c r="B1043" s="26" t="s">
        <v>155</v>
      </c>
      <c r="C1043" s="26">
        <v>4.5</v>
      </c>
      <c r="D1043" s="26" t="s">
        <v>53</v>
      </c>
    </row>
    <row r="1044">
      <c r="A1044" s="188">
        <v>44852.025106597226</v>
      </c>
      <c r="B1044" s="26" t="s">
        <v>384</v>
      </c>
      <c r="C1044" s="26">
        <v>3.7</v>
      </c>
      <c r="D1044" s="26" t="s">
        <v>148</v>
      </c>
    </row>
    <row r="1045">
      <c r="A1045" s="188">
        <v>44852.025106597226</v>
      </c>
      <c r="B1045" s="26" t="s">
        <v>259</v>
      </c>
      <c r="C1045" s="26">
        <v>8.697999999999999</v>
      </c>
      <c r="D1045" s="26" t="s">
        <v>178</v>
      </c>
    </row>
    <row r="1046">
      <c r="A1046" s="188">
        <v>44852.025106597226</v>
      </c>
      <c r="B1046" s="26" t="s">
        <v>377</v>
      </c>
      <c r="C1046" s="26">
        <v>8.193999999999999</v>
      </c>
      <c r="D1046" s="26" t="s">
        <v>148</v>
      </c>
    </row>
    <row r="1047">
      <c r="A1047" s="188">
        <v>44852.025106597226</v>
      </c>
      <c r="B1047" s="26" t="s">
        <v>222</v>
      </c>
      <c r="C1047" s="26">
        <v>6.4</v>
      </c>
      <c r="D1047" s="26" t="s">
        <v>131</v>
      </c>
    </row>
    <row r="1048">
      <c r="A1048" s="188">
        <v>44852.025106597226</v>
      </c>
      <c r="B1048" s="26" t="s">
        <v>371</v>
      </c>
      <c r="C1048" s="26">
        <v>5.595</v>
      </c>
      <c r="D1048" s="26" t="s">
        <v>144</v>
      </c>
    </row>
    <row r="1049">
      <c r="A1049" s="188">
        <v>44852.025106597226</v>
      </c>
      <c r="B1049" s="26" t="s">
        <v>271</v>
      </c>
      <c r="C1049" s="26">
        <v>8.389000000000001</v>
      </c>
      <c r="D1049" s="26" t="s">
        <v>178</v>
      </c>
    </row>
    <row r="1050">
      <c r="A1050" s="188">
        <v>44852.025106597226</v>
      </c>
      <c r="B1050" s="26" t="s">
        <v>382</v>
      </c>
      <c r="C1050" s="26">
        <v>3.6980000000000004</v>
      </c>
      <c r="D1050" s="26" t="s">
        <v>154</v>
      </c>
    </row>
    <row r="1051">
      <c r="A1051" s="188">
        <v>44852.025106597226</v>
      </c>
      <c r="B1051" s="26" t="s">
        <v>197</v>
      </c>
      <c r="C1051" s="26">
        <v>5.798</v>
      </c>
      <c r="D1051" s="26" t="s">
        <v>131</v>
      </c>
    </row>
    <row r="1052">
      <c r="A1052" s="26" t="s">
        <v>654</v>
      </c>
      <c r="B1052" s="26" t="s">
        <v>0</v>
      </c>
      <c r="C1052" s="26" t="s">
        <v>655</v>
      </c>
      <c r="D1052" s="26" t="s">
        <v>656</v>
      </c>
    </row>
    <row r="1053">
      <c r="A1053" s="188">
        <v>44859.02510291667</v>
      </c>
      <c r="B1053" s="26" t="s">
        <v>324</v>
      </c>
      <c r="C1053" s="26">
        <v>8.2</v>
      </c>
      <c r="D1053" s="26" t="s">
        <v>103</v>
      </c>
    </row>
    <row r="1054">
      <c r="A1054" s="188">
        <v>44859.02510291667</v>
      </c>
      <c r="B1054" s="26" t="s">
        <v>323</v>
      </c>
      <c r="C1054" s="26">
        <v>1.9</v>
      </c>
      <c r="D1054" s="26" t="s">
        <v>141</v>
      </c>
    </row>
    <row r="1055">
      <c r="A1055" s="188">
        <v>44859.02510291667</v>
      </c>
      <c r="B1055" s="26" t="s">
        <v>287</v>
      </c>
      <c r="C1055" s="26">
        <v>10.513</v>
      </c>
      <c r="D1055" s="26" t="s">
        <v>141</v>
      </c>
    </row>
    <row r="1056">
      <c r="A1056" s="188">
        <v>44859.02510291667</v>
      </c>
      <c r="B1056" s="26" t="s">
        <v>277</v>
      </c>
      <c r="C1056" s="26">
        <v>7.67</v>
      </c>
      <c r="D1056" s="26" t="s">
        <v>59</v>
      </c>
    </row>
    <row r="1057">
      <c r="A1057" s="188">
        <v>44859.02510291667</v>
      </c>
      <c r="B1057" s="26" t="s">
        <v>328</v>
      </c>
      <c r="C1057" s="26">
        <v>4.4</v>
      </c>
      <c r="D1057" s="26" t="s">
        <v>109</v>
      </c>
    </row>
    <row r="1058">
      <c r="A1058" s="188">
        <v>44859.02510291667</v>
      </c>
      <c r="B1058" s="26" t="s">
        <v>322</v>
      </c>
      <c r="C1058" s="26">
        <v>4.2</v>
      </c>
      <c r="D1058" s="26" t="s">
        <v>103</v>
      </c>
    </row>
    <row r="1059">
      <c r="A1059" s="188">
        <v>44859.02510291667</v>
      </c>
      <c r="B1059" s="26" t="s">
        <v>303</v>
      </c>
      <c r="C1059" s="26">
        <v>6.3</v>
      </c>
      <c r="D1059" s="26" t="s">
        <v>138</v>
      </c>
    </row>
    <row r="1060">
      <c r="A1060" s="188">
        <v>44859.02510291667</v>
      </c>
      <c r="B1060" s="26" t="s">
        <v>352</v>
      </c>
      <c r="C1060" s="26">
        <v>4.2</v>
      </c>
      <c r="D1060" s="26" t="s">
        <v>154</v>
      </c>
    </row>
    <row r="1061">
      <c r="A1061" s="188">
        <v>44859.02510291667</v>
      </c>
      <c r="B1061" s="26" t="s">
        <v>398</v>
      </c>
      <c r="C1061" s="26">
        <v>5.9</v>
      </c>
      <c r="D1061" s="26" t="s">
        <v>166</v>
      </c>
    </row>
    <row r="1062">
      <c r="A1062" s="188">
        <v>44859.02510291667</v>
      </c>
      <c r="B1062" s="26" t="s">
        <v>337</v>
      </c>
      <c r="C1062" s="26">
        <v>4.9</v>
      </c>
      <c r="D1062" s="26" t="s">
        <v>166</v>
      </c>
    </row>
    <row r="1063">
      <c r="A1063" s="188">
        <v>44859.02510291667</v>
      </c>
      <c r="B1063" s="26" t="s">
        <v>329</v>
      </c>
      <c r="C1063" s="26">
        <v>5.197</v>
      </c>
      <c r="D1063" s="26" t="s">
        <v>116</v>
      </c>
    </row>
    <row r="1064">
      <c r="A1064" s="188">
        <v>44859.02510291667</v>
      </c>
      <c r="B1064" s="26" t="s">
        <v>320</v>
      </c>
      <c r="C1064" s="26">
        <v>6.378</v>
      </c>
      <c r="D1064" s="26" t="s">
        <v>154</v>
      </c>
    </row>
    <row r="1065">
      <c r="A1065" s="188">
        <v>44859.02510291667</v>
      </c>
      <c r="B1065" s="26" t="s">
        <v>316</v>
      </c>
      <c r="C1065" s="26">
        <v>9.065999999999999</v>
      </c>
      <c r="D1065" s="26" t="s">
        <v>148</v>
      </c>
    </row>
    <row r="1066">
      <c r="A1066" s="188">
        <v>44859.02510291667</v>
      </c>
      <c r="B1066" s="26" t="s">
        <v>289</v>
      </c>
      <c r="C1066" s="26">
        <v>3.3</v>
      </c>
      <c r="D1066" s="26" t="s">
        <v>59</v>
      </c>
    </row>
    <row r="1067">
      <c r="A1067" s="188">
        <v>44859.02510291667</v>
      </c>
      <c r="B1067" s="26" t="s">
        <v>335</v>
      </c>
      <c r="C1067" s="26">
        <v>5.2989999999999995</v>
      </c>
      <c r="D1067" s="26" t="s">
        <v>148</v>
      </c>
    </row>
    <row r="1068">
      <c r="A1068" s="188">
        <v>44859.02510291667</v>
      </c>
      <c r="B1068" s="26" t="s">
        <v>344</v>
      </c>
      <c r="C1068" s="26">
        <v>7.866999999999999</v>
      </c>
      <c r="D1068" s="26" t="s">
        <v>109</v>
      </c>
    </row>
    <row r="1069">
      <c r="A1069" s="188">
        <v>44859.02510291667</v>
      </c>
      <c r="B1069" s="26" t="s">
        <v>393</v>
      </c>
      <c r="C1069" s="26">
        <v>6.3</v>
      </c>
      <c r="D1069" s="26" t="s">
        <v>141</v>
      </c>
    </row>
    <row r="1070">
      <c r="A1070" s="188">
        <v>44859.02510291667</v>
      </c>
      <c r="B1070" s="26" t="s">
        <v>333</v>
      </c>
      <c r="C1070" s="26">
        <v>4.2</v>
      </c>
      <c r="D1070" s="26" t="s">
        <v>166</v>
      </c>
    </row>
    <row r="1071">
      <c r="A1071" s="188">
        <v>44859.02510291667</v>
      </c>
      <c r="B1071" s="26" t="s">
        <v>285</v>
      </c>
      <c r="C1071" s="26">
        <v>3.899</v>
      </c>
      <c r="D1071" s="26" t="s">
        <v>59</v>
      </c>
    </row>
    <row r="1072">
      <c r="A1072" s="188">
        <v>44859.02510291667</v>
      </c>
      <c r="B1072" s="26" t="s">
        <v>317</v>
      </c>
      <c r="C1072" s="26">
        <v>1.6</v>
      </c>
      <c r="D1072" s="26" t="s">
        <v>141</v>
      </c>
    </row>
    <row r="1073">
      <c r="A1073" s="188">
        <v>44859.02510291667</v>
      </c>
      <c r="B1073" s="26" t="s">
        <v>282</v>
      </c>
      <c r="C1073" s="26">
        <v>9.576</v>
      </c>
      <c r="D1073" s="26" t="s">
        <v>138</v>
      </c>
    </row>
    <row r="1074">
      <c r="A1074" s="188">
        <v>44859.02510291667</v>
      </c>
      <c r="B1074" s="26" t="s">
        <v>206</v>
      </c>
      <c r="C1074" s="26">
        <v>11.379</v>
      </c>
      <c r="D1074" s="26" t="s">
        <v>131</v>
      </c>
    </row>
    <row r="1075">
      <c r="A1075" s="188">
        <v>44859.02510291667</v>
      </c>
      <c r="B1075" s="26" t="s">
        <v>300</v>
      </c>
      <c r="C1075" s="26">
        <v>7.91</v>
      </c>
      <c r="D1075" s="26" t="s">
        <v>144</v>
      </c>
    </row>
    <row r="1076">
      <c r="A1076" s="188">
        <v>44859.02510291667</v>
      </c>
      <c r="B1076" s="26" t="s">
        <v>342</v>
      </c>
      <c r="C1076" s="26">
        <v>1.3</v>
      </c>
      <c r="D1076" s="26" t="s">
        <v>144</v>
      </c>
    </row>
    <row r="1077">
      <c r="A1077" s="188">
        <v>44859.02510291667</v>
      </c>
      <c r="B1077" s="26" t="s">
        <v>336</v>
      </c>
      <c r="C1077" s="26">
        <v>3.0</v>
      </c>
      <c r="D1077" s="26" t="s">
        <v>116</v>
      </c>
    </row>
    <row r="1078">
      <c r="A1078" s="188">
        <v>44859.02510291667</v>
      </c>
      <c r="B1078" s="26" t="s">
        <v>331</v>
      </c>
      <c r="C1078" s="26">
        <v>7.196000000000001</v>
      </c>
      <c r="D1078" s="26" t="s">
        <v>442</v>
      </c>
    </row>
    <row r="1079">
      <c r="A1079" s="188">
        <v>44859.02510291667</v>
      </c>
      <c r="B1079" s="26" t="s">
        <v>325</v>
      </c>
      <c r="C1079" s="26">
        <v>7.253</v>
      </c>
      <c r="D1079" s="26" t="s">
        <v>144</v>
      </c>
    </row>
    <row r="1080">
      <c r="A1080" s="188">
        <v>44859.02510291667</v>
      </c>
      <c r="B1080" s="26" t="s">
        <v>356</v>
      </c>
      <c r="C1080" s="26">
        <v>6.684</v>
      </c>
      <c r="D1080" s="26" t="s">
        <v>103</v>
      </c>
    </row>
    <row r="1081">
      <c r="A1081" s="188">
        <v>44859.02510291667</v>
      </c>
      <c r="B1081" s="26" t="s">
        <v>181</v>
      </c>
      <c r="C1081" s="26">
        <v>4.974</v>
      </c>
      <c r="D1081" s="26" t="s">
        <v>53</v>
      </c>
    </row>
    <row r="1082">
      <c r="A1082" s="188">
        <v>44859.02510291667</v>
      </c>
      <c r="B1082" s="26" t="s">
        <v>346</v>
      </c>
      <c r="C1082" s="26">
        <v>6.2</v>
      </c>
      <c r="D1082" s="26" t="s">
        <v>144</v>
      </c>
    </row>
    <row r="1083">
      <c r="A1083" s="188">
        <v>44859.02510291667</v>
      </c>
      <c r="B1083" s="26" t="s">
        <v>275</v>
      </c>
      <c r="C1083" s="26">
        <v>3.6</v>
      </c>
      <c r="D1083" s="26" t="s">
        <v>59</v>
      </c>
    </row>
    <row r="1084">
      <c r="A1084" s="188">
        <v>44859.02510291667</v>
      </c>
      <c r="B1084" s="26" t="s">
        <v>340</v>
      </c>
      <c r="C1084" s="26">
        <v>7.4</v>
      </c>
      <c r="D1084" s="26" t="s">
        <v>103</v>
      </c>
    </row>
    <row r="1085">
      <c r="A1085" s="188">
        <v>44859.02510291667</v>
      </c>
      <c r="B1085" s="26" t="s">
        <v>345</v>
      </c>
      <c r="C1085" s="26">
        <v>6.911</v>
      </c>
      <c r="D1085" s="26" t="s">
        <v>144</v>
      </c>
    </row>
    <row r="1086">
      <c r="A1086" s="188">
        <v>44859.02510291667</v>
      </c>
      <c r="B1086" s="26" t="s">
        <v>313</v>
      </c>
      <c r="C1086" s="26">
        <v>11.445</v>
      </c>
      <c r="D1086" s="26" t="s">
        <v>116</v>
      </c>
    </row>
    <row r="1087">
      <c r="A1087" s="188">
        <v>44859.02510291667</v>
      </c>
      <c r="B1087" s="26" t="s">
        <v>257</v>
      </c>
      <c r="C1087" s="26">
        <v>6.862</v>
      </c>
      <c r="D1087" s="26" t="s">
        <v>178</v>
      </c>
    </row>
    <row r="1088">
      <c r="A1088" s="188">
        <v>44859.02510291667</v>
      </c>
      <c r="B1088" s="26" t="s">
        <v>361</v>
      </c>
      <c r="C1088" s="26">
        <v>4.196000000000001</v>
      </c>
      <c r="D1088" s="26" t="s">
        <v>103</v>
      </c>
    </row>
    <row r="1089">
      <c r="A1089" s="188">
        <v>44859.02510291667</v>
      </c>
      <c r="B1089" s="26" t="s">
        <v>348</v>
      </c>
      <c r="C1089" s="26">
        <v>3.999</v>
      </c>
      <c r="D1089" s="26" t="s">
        <v>116</v>
      </c>
    </row>
    <row r="1090">
      <c r="A1090" s="188">
        <v>44859.02510291667</v>
      </c>
      <c r="B1090" s="26" t="s">
        <v>351</v>
      </c>
      <c r="C1090" s="26">
        <v>3.2</v>
      </c>
      <c r="D1090" s="26" t="s">
        <v>166</v>
      </c>
    </row>
    <row r="1091">
      <c r="A1091" s="188">
        <v>44859.02510291667</v>
      </c>
      <c r="B1091" s="26" t="s">
        <v>330</v>
      </c>
      <c r="C1091" s="26">
        <v>7.362</v>
      </c>
      <c r="D1091" s="26" t="s">
        <v>154</v>
      </c>
    </row>
    <row r="1092">
      <c r="A1092" s="188">
        <v>44859.02510291667</v>
      </c>
      <c r="B1092" s="26" t="s">
        <v>321</v>
      </c>
      <c r="C1092" s="26">
        <v>8.842</v>
      </c>
      <c r="D1092" s="26" t="s">
        <v>144</v>
      </c>
    </row>
    <row r="1093">
      <c r="A1093" s="188">
        <v>44859.02510291667</v>
      </c>
      <c r="B1093" s="26" t="s">
        <v>327</v>
      </c>
      <c r="C1093" s="26">
        <v>3.6</v>
      </c>
      <c r="D1093" s="26" t="s">
        <v>166</v>
      </c>
    </row>
    <row r="1094">
      <c r="A1094" s="188">
        <v>44859.02510291667</v>
      </c>
      <c r="B1094" s="26" t="s">
        <v>332</v>
      </c>
      <c r="C1094" s="26">
        <v>5.598999999999999</v>
      </c>
      <c r="D1094" s="26" t="s">
        <v>116</v>
      </c>
    </row>
    <row r="1095">
      <c r="A1095" s="188">
        <v>44859.02510291667</v>
      </c>
      <c r="B1095" s="26" t="s">
        <v>326</v>
      </c>
      <c r="C1095" s="26">
        <v>5.5</v>
      </c>
      <c r="D1095" s="26" t="s">
        <v>148</v>
      </c>
    </row>
    <row r="1096">
      <c r="A1096" s="188">
        <v>44859.02510291667</v>
      </c>
      <c r="B1096" s="26" t="s">
        <v>388</v>
      </c>
      <c r="C1096" s="26">
        <v>7.3</v>
      </c>
      <c r="D1096" s="26" t="s">
        <v>442</v>
      </c>
    </row>
    <row r="1097">
      <c r="A1097" s="188">
        <v>44859.02510291667</v>
      </c>
      <c r="B1097" s="26" t="s">
        <v>217</v>
      </c>
      <c r="C1097" s="26">
        <v>6.098999999999999</v>
      </c>
      <c r="D1097" s="26" t="s">
        <v>131</v>
      </c>
    </row>
    <row r="1098">
      <c r="A1098" s="188">
        <v>44859.02510291667</v>
      </c>
      <c r="B1098" s="26" t="s">
        <v>291</v>
      </c>
      <c r="C1098" s="26">
        <v>7.431</v>
      </c>
      <c r="D1098" s="26" t="s">
        <v>59</v>
      </c>
    </row>
    <row r="1099">
      <c r="A1099" s="188">
        <v>44859.02510291667</v>
      </c>
      <c r="B1099" s="26" t="s">
        <v>359</v>
      </c>
      <c r="C1099" s="26">
        <v>5.380000000000001</v>
      </c>
      <c r="D1099" s="26" t="s">
        <v>144</v>
      </c>
    </row>
    <row r="1100">
      <c r="A1100" s="188">
        <v>44859.02510291667</v>
      </c>
      <c r="B1100" s="26" t="s">
        <v>283</v>
      </c>
      <c r="C1100" s="26">
        <v>7.399</v>
      </c>
      <c r="D1100" s="26" t="s">
        <v>59</v>
      </c>
    </row>
    <row r="1101">
      <c r="A1101" s="188">
        <v>44859.02510291667</v>
      </c>
      <c r="B1101" s="26" t="s">
        <v>399</v>
      </c>
      <c r="C1101" s="26">
        <v>9.9</v>
      </c>
      <c r="D1101" s="26" t="s">
        <v>166</v>
      </c>
    </row>
    <row r="1102">
      <c r="A1102" s="188">
        <v>44859.02510291667</v>
      </c>
      <c r="B1102" s="26" t="s">
        <v>292</v>
      </c>
      <c r="C1102" s="26">
        <v>6.457</v>
      </c>
      <c r="D1102" s="26" t="s">
        <v>109</v>
      </c>
    </row>
    <row r="1103">
      <c r="A1103" s="188">
        <v>44859.02510291667</v>
      </c>
      <c r="B1103" s="26" t="s">
        <v>334</v>
      </c>
      <c r="C1103" s="26">
        <v>4.399</v>
      </c>
      <c r="D1103" s="26" t="s">
        <v>166</v>
      </c>
    </row>
    <row r="1104">
      <c r="A1104" s="188">
        <v>44859.02510291667</v>
      </c>
      <c r="B1104" s="26" t="s">
        <v>353</v>
      </c>
      <c r="C1104" s="26">
        <v>6.4</v>
      </c>
      <c r="D1104" s="26" t="s">
        <v>141</v>
      </c>
    </row>
    <row r="1105">
      <c r="A1105" s="188">
        <v>44859.02510291667</v>
      </c>
      <c r="B1105" s="26" t="s">
        <v>360</v>
      </c>
      <c r="C1105" s="26">
        <v>8.451</v>
      </c>
      <c r="D1105" s="26" t="s">
        <v>109</v>
      </c>
    </row>
    <row r="1106">
      <c r="A1106" s="188">
        <v>44859.02510291667</v>
      </c>
      <c r="B1106" s="26" t="s">
        <v>306</v>
      </c>
      <c r="C1106" s="26">
        <v>6.823</v>
      </c>
      <c r="D1106" s="26" t="s">
        <v>166</v>
      </c>
    </row>
    <row r="1107">
      <c r="A1107" s="188">
        <v>44859.02510291667</v>
      </c>
      <c r="B1107" s="26" t="s">
        <v>341</v>
      </c>
      <c r="C1107" s="26">
        <v>7.6</v>
      </c>
      <c r="D1107" s="26" t="s">
        <v>103</v>
      </c>
    </row>
    <row r="1108">
      <c r="A1108" s="188">
        <v>44859.02510291667</v>
      </c>
      <c r="B1108" s="26" t="s">
        <v>339</v>
      </c>
      <c r="C1108" s="26">
        <v>6.5</v>
      </c>
      <c r="D1108" s="26" t="s">
        <v>109</v>
      </c>
    </row>
    <row r="1109">
      <c r="A1109" s="188">
        <v>44859.02510291667</v>
      </c>
      <c r="B1109" s="26" t="s">
        <v>208</v>
      </c>
      <c r="C1109" s="26">
        <v>5.3</v>
      </c>
      <c r="D1109" s="26" t="s">
        <v>131</v>
      </c>
    </row>
    <row r="1110">
      <c r="A1110" s="188">
        <v>44859.02510291667</v>
      </c>
      <c r="B1110" s="26" t="s">
        <v>357</v>
      </c>
      <c r="C1110" s="26">
        <v>5.199</v>
      </c>
      <c r="D1110" s="26" t="s">
        <v>144</v>
      </c>
    </row>
    <row r="1111">
      <c r="A1111" s="188">
        <v>44859.02510291667</v>
      </c>
      <c r="B1111" s="26" t="s">
        <v>294</v>
      </c>
      <c r="C1111" s="26">
        <v>5.3</v>
      </c>
      <c r="D1111" s="26" t="s">
        <v>138</v>
      </c>
    </row>
    <row r="1112">
      <c r="A1112" s="188">
        <v>44859.02510291667</v>
      </c>
      <c r="B1112" s="26" t="s">
        <v>284</v>
      </c>
      <c r="C1112" s="26">
        <v>10.960999999999999</v>
      </c>
      <c r="D1112" s="26" t="s">
        <v>59</v>
      </c>
    </row>
    <row r="1113">
      <c r="A1113" s="188">
        <v>44859.02510291667</v>
      </c>
      <c r="B1113" s="26" t="s">
        <v>343</v>
      </c>
      <c r="C1113" s="26">
        <v>6.399</v>
      </c>
      <c r="D1113" s="26" t="s">
        <v>109</v>
      </c>
    </row>
    <row r="1114">
      <c r="A1114" s="188">
        <v>44859.02510291667</v>
      </c>
      <c r="B1114" s="26" t="s">
        <v>240</v>
      </c>
      <c r="C1114" s="26">
        <v>7.698</v>
      </c>
      <c r="D1114" s="26" t="s">
        <v>178</v>
      </c>
    </row>
    <row r="1115">
      <c r="A1115" s="188">
        <v>44859.02510291667</v>
      </c>
      <c r="B1115" s="26" t="s">
        <v>269</v>
      </c>
      <c r="C1115" s="26">
        <v>7.3</v>
      </c>
      <c r="D1115" s="26" t="s">
        <v>178</v>
      </c>
    </row>
    <row r="1116">
      <c r="A1116" s="188">
        <v>44859.02510291667</v>
      </c>
      <c r="B1116" s="26" t="s">
        <v>173</v>
      </c>
      <c r="C1116" s="26">
        <v>5.2</v>
      </c>
      <c r="D1116" s="26" t="s">
        <v>53</v>
      </c>
    </row>
    <row r="1117">
      <c r="A1117" s="188">
        <v>44859.02510291667</v>
      </c>
      <c r="B1117" s="26" t="s">
        <v>347</v>
      </c>
      <c r="C1117" s="26">
        <v>3.6</v>
      </c>
      <c r="D1117" s="26" t="s">
        <v>116</v>
      </c>
    </row>
    <row r="1118">
      <c r="A1118" s="188">
        <v>44859.02510291667</v>
      </c>
      <c r="B1118" s="26" t="s">
        <v>363</v>
      </c>
      <c r="C1118" s="26">
        <v>8.3</v>
      </c>
      <c r="D1118" s="26" t="s">
        <v>154</v>
      </c>
    </row>
    <row r="1119">
      <c r="A1119" s="188">
        <v>44859.02510291667</v>
      </c>
      <c r="B1119" s="26" t="s">
        <v>365</v>
      </c>
      <c r="C1119" s="26">
        <v>4.2</v>
      </c>
      <c r="D1119" s="26" t="s">
        <v>141</v>
      </c>
    </row>
    <row r="1120">
      <c r="A1120" s="188">
        <v>44859.02510291667</v>
      </c>
      <c r="B1120" s="26" t="s">
        <v>120</v>
      </c>
      <c r="C1120" s="26">
        <v>2.7</v>
      </c>
      <c r="D1120" s="26" t="s">
        <v>53</v>
      </c>
    </row>
    <row r="1121">
      <c r="A1121" s="188">
        <v>44859.02510291667</v>
      </c>
      <c r="B1121" s="26" t="s">
        <v>263</v>
      </c>
      <c r="C1121" s="26">
        <v>3.1</v>
      </c>
      <c r="D1121" s="26" t="s">
        <v>178</v>
      </c>
    </row>
    <row r="1122">
      <c r="A1122" s="188">
        <v>44859.02510291667</v>
      </c>
      <c r="B1122" s="26" t="s">
        <v>394</v>
      </c>
      <c r="C1122" s="26">
        <v>3.4</v>
      </c>
      <c r="D1122" s="26" t="s">
        <v>109</v>
      </c>
    </row>
    <row r="1123">
      <c r="A1123" s="188">
        <v>44859.02510291667</v>
      </c>
      <c r="B1123" s="26" t="s">
        <v>367</v>
      </c>
      <c r="C1123" s="26">
        <v>9.04</v>
      </c>
      <c r="D1123" s="26" t="s">
        <v>109</v>
      </c>
    </row>
    <row r="1124">
      <c r="A1124" s="188">
        <v>44859.02510291667</v>
      </c>
      <c r="B1124" s="26" t="s">
        <v>204</v>
      </c>
      <c r="C1124" s="26">
        <v>5.8950000000000005</v>
      </c>
      <c r="D1124" s="26" t="s">
        <v>131</v>
      </c>
    </row>
    <row r="1125">
      <c r="A1125" s="188">
        <v>44859.02510291667</v>
      </c>
      <c r="B1125" s="26" t="s">
        <v>298</v>
      </c>
      <c r="C1125" s="26">
        <v>4.598999999999999</v>
      </c>
      <c r="D1125" s="26" t="s">
        <v>138</v>
      </c>
    </row>
    <row r="1126">
      <c r="A1126" s="188">
        <v>44859.02510291667</v>
      </c>
      <c r="B1126" s="26" t="s">
        <v>368</v>
      </c>
      <c r="C1126" s="26">
        <v>1.5</v>
      </c>
      <c r="D1126" s="26" t="s">
        <v>154</v>
      </c>
    </row>
    <row r="1127">
      <c r="A1127" s="188">
        <v>44859.02510291667</v>
      </c>
      <c r="B1127" s="26" t="s">
        <v>400</v>
      </c>
      <c r="C1127" s="26">
        <v>6.7</v>
      </c>
      <c r="D1127" s="26" t="s">
        <v>109</v>
      </c>
    </row>
    <row r="1128">
      <c r="A1128" s="188">
        <v>44859.02510291667</v>
      </c>
      <c r="B1128" s="26" t="s">
        <v>176</v>
      </c>
      <c r="C1128" s="26">
        <v>7.061999999999999</v>
      </c>
      <c r="D1128" s="26" t="s">
        <v>53</v>
      </c>
    </row>
    <row r="1129">
      <c r="A1129" s="188">
        <v>44859.02510291667</v>
      </c>
      <c r="B1129" s="26" t="s">
        <v>168</v>
      </c>
      <c r="C1129" s="26">
        <v>11.367</v>
      </c>
      <c r="D1129" s="26" t="s">
        <v>53</v>
      </c>
    </row>
    <row r="1130">
      <c r="A1130" s="188">
        <v>44859.02510291667</v>
      </c>
      <c r="B1130" s="26" t="s">
        <v>184</v>
      </c>
      <c r="C1130" s="26">
        <v>6.199</v>
      </c>
      <c r="D1130" s="26" t="s">
        <v>53</v>
      </c>
    </row>
    <row r="1131">
      <c r="A1131" s="188">
        <v>44859.02510291667</v>
      </c>
      <c r="B1131" s="26" t="s">
        <v>354</v>
      </c>
      <c r="C1131" s="26">
        <v>9.328</v>
      </c>
      <c r="D1131" s="26" t="s">
        <v>116</v>
      </c>
    </row>
    <row r="1132">
      <c r="A1132" s="188">
        <v>44859.02510291667</v>
      </c>
      <c r="B1132" s="26" t="s">
        <v>170</v>
      </c>
      <c r="C1132" s="26">
        <v>4.6770000000000005</v>
      </c>
      <c r="D1132" s="26" t="s">
        <v>53</v>
      </c>
    </row>
    <row r="1133">
      <c r="A1133" s="188">
        <v>44859.02510291667</v>
      </c>
      <c r="B1133" s="26" t="s">
        <v>373</v>
      </c>
      <c r="C1133" s="26">
        <v>9.18</v>
      </c>
      <c r="D1133" s="26" t="s">
        <v>103</v>
      </c>
    </row>
    <row r="1134">
      <c r="A1134" s="188">
        <v>44859.02510291667</v>
      </c>
      <c r="B1134" s="26" t="s">
        <v>54</v>
      </c>
      <c r="C1134" s="26">
        <v>9.695</v>
      </c>
      <c r="D1134" s="26" t="s">
        <v>53</v>
      </c>
    </row>
    <row r="1135">
      <c r="A1135" s="188">
        <v>44859.02510291667</v>
      </c>
      <c r="B1135" s="26" t="s">
        <v>274</v>
      </c>
      <c r="C1135" s="26">
        <v>8.197999999999999</v>
      </c>
      <c r="D1135" s="26" t="s">
        <v>59</v>
      </c>
    </row>
    <row r="1136">
      <c r="A1136" s="188">
        <v>44859.02510291667</v>
      </c>
      <c r="B1136" s="26" t="s">
        <v>375</v>
      </c>
      <c r="C1136" s="26">
        <v>9.479</v>
      </c>
      <c r="D1136" s="26" t="s">
        <v>109</v>
      </c>
    </row>
    <row r="1137">
      <c r="A1137" s="188">
        <v>44859.02510291667</v>
      </c>
      <c r="B1137" s="26" t="s">
        <v>370</v>
      </c>
      <c r="C1137" s="26">
        <v>6.489</v>
      </c>
      <c r="D1137" s="26" t="s">
        <v>166</v>
      </c>
    </row>
    <row r="1138">
      <c r="A1138" s="188">
        <v>44859.02510291667</v>
      </c>
      <c r="B1138" s="26" t="s">
        <v>381</v>
      </c>
      <c r="C1138" s="26">
        <v>7.758</v>
      </c>
      <c r="D1138" s="26" t="s">
        <v>148</v>
      </c>
    </row>
    <row r="1139">
      <c r="A1139" s="188">
        <v>44859.02510291667</v>
      </c>
      <c r="B1139" s="26" t="s">
        <v>355</v>
      </c>
      <c r="C1139" s="26">
        <v>6.485</v>
      </c>
      <c r="D1139" s="26" t="s">
        <v>116</v>
      </c>
    </row>
    <row r="1140">
      <c r="A1140" s="188">
        <v>44859.02510291667</v>
      </c>
      <c r="B1140" s="26" t="s">
        <v>386</v>
      </c>
      <c r="C1140" s="26">
        <v>4.6</v>
      </c>
      <c r="D1140" s="26" t="s">
        <v>141</v>
      </c>
    </row>
    <row r="1141">
      <c r="A1141" s="188">
        <v>44859.02510291667</v>
      </c>
      <c r="B1141" s="26" t="s">
        <v>219</v>
      </c>
      <c r="C1141" s="26">
        <v>6.285</v>
      </c>
      <c r="D1141" s="26" t="s">
        <v>131</v>
      </c>
    </row>
    <row r="1142">
      <c r="A1142" s="188">
        <v>44859.02510291667</v>
      </c>
      <c r="B1142" s="26" t="s">
        <v>349</v>
      </c>
      <c r="C1142" s="26">
        <v>8.068</v>
      </c>
      <c r="D1142" s="26" t="s">
        <v>141</v>
      </c>
    </row>
    <row r="1143">
      <c r="A1143" s="188">
        <v>44859.02510291667</v>
      </c>
      <c r="B1143" s="26" t="s">
        <v>314</v>
      </c>
      <c r="C1143" s="26">
        <v>5.993</v>
      </c>
      <c r="D1143" s="26" t="s">
        <v>141</v>
      </c>
    </row>
    <row r="1144">
      <c r="A1144" s="188">
        <v>44859.02510291667</v>
      </c>
      <c r="B1144" s="26" t="s">
        <v>302</v>
      </c>
      <c r="C1144" s="26">
        <v>8.132</v>
      </c>
      <c r="D1144" s="26" t="s">
        <v>138</v>
      </c>
    </row>
    <row r="1145">
      <c r="A1145" s="188">
        <v>44859.02510291667</v>
      </c>
      <c r="B1145" s="26" t="s">
        <v>379</v>
      </c>
      <c r="C1145" s="26">
        <v>7.1</v>
      </c>
      <c r="D1145" s="26" t="s">
        <v>154</v>
      </c>
    </row>
    <row r="1146">
      <c r="A1146" s="188">
        <v>44859.02510291667</v>
      </c>
      <c r="B1146" s="26" t="s">
        <v>210</v>
      </c>
      <c r="C1146" s="26">
        <v>2.3</v>
      </c>
      <c r="D1146" s="26" t="s">
        <v>131</v>
      </c>
    </row>
    <row r="1147">
      <c r="A1147" s="188">
        <v>44859.02510291667</v>
      </c>
      <c r="B1147" s="26" t="s">
        <v>338</v>
      </c>
      <c r="C1147" s="26">
        <v>6.675</v>
      </c>
      <c r="D1147" s="26" t="s">
        <v>144</v>
      </c>
    </row>
    <row r="1148">
      <c r="A1148" s="188">
        <v>44859.02510291667</v>
      </c>
      <c r="B1148" s="26" t="s">
        <v>311</v>
      </c>
      <c r="C1148" s="26">
        <v>4.9</v>
      </c>
      <c r="D1148" s="26" t="s">
        <v>138</v>
      </c>
    </row>
    <row r="1149">
      <c r="A1149" s="188">
        <v>44859.02510291667</v>
      </c>
      <c r="B1149" s="26" t="s">
        <v>308</v>
      </c>
      <c r="C1149" s="26">
        <v>9.099</v>
      </c>
      <c r="D1149" s="26" t="s">
        <v>138</v>
      </c>
    </row>
    <row r="1150">
      <c r="A1150" s="188">
        <v>44859.02510291667</v>
      </c>
      <c r="B1150" s="26" t="s">
        <v>358</v>
      </c>
      <c r="C1150" s="26">
        <v>9.844</v>
      </c>
      <c r="D1150" s="26" t="s">
        <v>103</v>
      </c>
    </row>
    <row r="1151">
      <c r="A1151" s="188">
        <v>44859.02510291667</v>
      </c>
      <c r="B1151" s="26" t="s">
        <v>362</v>
      </c>
      <c r="C1151" s="26">
        <v>2.8</v>
      </c>
      <c r="D1151" s="26" t="s">
        <v>103</v>
      </c>
    </row>
    <row r="1152">
      <c r="A1152" s="188">
        <v>44859.02510291667</v>
      </c>
      <c r="B1152" s="26" t="s">
        <v>214</v>
      </c>
      <c r="C1152" s="26">
        <v>10.712000000000002</v>
      </c>
      <c r="D1152" s="26" t="s">
        <v>131</v>
      </c>
    </row>
    <row r="1153">
      <c r="A1153" s="188">
        <v>44859.02510291667</v>
      </c>
      <c r="B1153" s="26" t="s">
        <v>387</v>
      </c>
      <c r="C1153" s="26">
        <v>6.0</v>
      </c>
      <c r="D1153" s="26" t="s">
        <v>148</v>
      </c>
    </row>
    <row r="1154">
      <c r="A1154" s="188">
        <v>44859.02510291667</v>
      </c>
      <c r="B1154" s="26" t="s">
        <v>364</v>
      </c>
      <c r="C1154" s="26">
        <v>8.037</v>
      </c>
      <c r="D1154" s="26" t="s">
        <v>166</v>
      </c>
    </row>
    <row r="1155">
      <c r="A1155" s="188">
        <v>44859.02510291667</v>
      </c>
      <c r="B1155" s="26" t="s">
        <v>380</v>
      </c>
      <c r="C1155" s="26">
        <v>4.5</v>
      </c>
      <c r="D1155" s="26" t="s">
        <v>148</v>
      </c>
    </row>
    <row r="1156">
      <c r="A1156" s="188">
        <v>44859.02510291667</v>
      </c>
      <c r="B1156" s="26" t="s">
        <v>272</v>
      </c>
      <c r="C1156" s="26">
        <v>6.483</v>
      </c>
      <c r="D1156" s="26" t="s">
        <v>178</v>
      </c>
    </row>
    <row r="1157">
      <c r="A1157" s="188">
        <v>44859.02510291667</v>
      </c>
      <c r="B1157" s="26" t="s">
        <v>265</v>
      </c>
      <c r="C1157" s="26">
        <v>8.325000000000001</v>
      </c>
      <c r="D1157" s="26" t="s">
        <v>178</v>
      </c>
    </row>
    <row r="1158">
      <c r="A1158" s="188">
        <v>44859.02510291667</v>
      </c>
      <c r="B1158" s="26" t="s">
        <v>318</v>
      </c>
      <c r="C1158" s="26">
        <v>8.698</v>
      </c>
      <c r="D1158" s="26" t="s">
        <v>141</v>
      </c>
    </row>
    <row r="1159">
      <c r="A1159" s="188">
        <v>44859.02510291667</v>
      </c>
      <c r="B1159" s="26" t="s">
        <v>267</v>
      </c>
      <c r="C1159" s="26">
        <v>9.227</v>
      </c>
      <c r="D1159" s="26" t="s">
        <v>178</v>
      </c>
    </row>
    <row r="1160">
      <c r="A1160" s="188">
        <v>44859.02510291667</v>
      </c>
      <c r="B1160" s="26" t="s">
        <v>195</v>
      </c>
      <c r="C1160" s="26">
        <v>4.9</v>
      </c>
      <c r="D1160" s="26" t="s">
        <v>53</v>
      </c>
    </row>
    <row r="1161">
      <c r="A1161" s="188">
        <v>44859.02510291667</v>
      </c>
      <c r="B1161" s="26" t="s">
        <v>378</v>
      </c>
      <c r="C1161" s="26">
        <v>6.952</v>
      </c>
      <c r="D1161" s="26" t="s">
        <v>103</v>
      </c>
    </row>
    <row r="1162">
      <c r="A1162" s="188">
        <v>44859.02510291667</v>
      </c>
      <c r="B1162" s="26" t="s">
        <v>374</v>
      </c>
      <c r="C1162" s="26">
        <v>8.488999999999999</v>
      </c>
      <c r="D1162" s="26" t="s">
        <v>148</v>
      </c>
    </row>
    <row r="1163">
      <c r="A1163" s="188">
        <v>44859.02510291667</v>
      </c>
      <c r="B1163" s="26" t="s">
        <v>261</v>
      </c>
      <c r="C1163" s="26">
        <v>9.414</v>
      </c>
      <c r="D1163" s="26" t="s">
        <v>178</v>
      </c>
    </row>
    <row r="1164">
      <c r="A1164" s="188">
        <v>44859.02510291667</v>
      </c>
      <c r="B1164" s="26" t="s">
        <v>281</v>
      </c>
      <c r="C1164" s="26">
        <v>4.4</v>
      </c>
      <c r="D1164" s="26" t="s">
        <v>59</v>
      </c>
    </row>
    <row r="1165">
      <c r="A1165" s="188">
        <v>44859.02510291667</v>
      </c>
      <c r="B1165" s="26" t="s">
        <v>199</v>
      </c>
      <c r="C1165" s="26">
        <v>3.2</v>
      </c>
      <c r="D1165" s="26" t="s">
        <v>131</v>
      </c>
    </row>
    <row r="1166">
      <c r="A1166" s="188">
        <v>44859.02510291667</v>
      </c>
      <c r="B1166" s="26" t="s">
        <v>401</v>
      </c>
      <c r="C1166" s="26">
        <v>2.0</v>
      </c>
      <c r="D1166" s="26" t="s">
        <v>148</v>
      </c>
    </row>
    <row r="1167">
      <c r="A1167" s="188">
        <v>44859.02510291667</v>
      </c>
      <c r="B1167" s="26" t="s">
        <v>279</v>
      </c>
      <c r="C1167" s="26">
        <v>6.196000000000001</v>
      </c>
      <c r="D1167" s="26" t="s">
        <v>59</v>
      </c>
    </row>
    <row r="1168">
      <c r="A1168" s="188">
        <v>44859.02510291667</v>
      </c>
      <c r="B1168" s="26" t="s">
        <v>369</v>
      </c>
      <c r="C1168" s="26">
        <v>10.173</v>
      </c>
      <c r="D1168" s="26" t="s">
        <v>116</v>
      </c>
    </row>
    <row r="1169">
      <c r="A1169" s="188">
        <v>44859.02510291667</v>
      </c>
      <c r="B1169" s="26" t="s">
        <v>304</v>
      </c>
      <c r="C1169" s="26">
        <v>4.699</v>
      </c>
      <c r="D1169" s="26" t="s">
        <v>138</v>
      </c>
    </row>
    <row r="1170">
      <c r="A1170" s="188">
        <v>44859.02510291667</v>
      </c>
      <c r="B1170" s="26" t="s">
        <v>372</v>
      </c>
      <c r="C1170" s="26">
        <v>9.129</v>
      </c>
      <c r="D1170" s="26" t="s">
        <v>154</v>
      </c>
    </row>
    <row r="1171">
      <c r="A1171" s="188">
        <v>44859.02510291667</v>
      </c>
      <c r="B1171" s="26" t="s">
        <v>366</v>
      </c>
      <c r="C1171" s="26">
        <v>5.6</v>
      </c>
      <c r="D1171" s="26" t="s">
        <v>154</v>
      </c>
    </row>
    <row r="1172">
      <c r="A1172" s="188">
        <v>44859.02510291667</v>
      </c>
      <c r="B1172" s="26" t="s">
        <v>296</v>
      </c>
      <c r="C1172" s="26">
        <v>8.718</v>
      </c>
      <c r="D1172" s="26" t="s">
        <v>138</v>
      </c>
    </row>
    <row r="1173">
      <c r="A1173" s="188">
        <v>44859.02510291667</v>
      </c>
      <c r="B1173" s="26" t="s">
        <v>309</v>
      </c>
      <c r="C1173" s="26">
        <v>3.6</v>
      </c>
      <c r="D1173" s="26" t="s">
        <v>138</v>
      </c>
    </row>
    <row r="1174">
      <c r="A1174" s="188">
        <v>44859.02510291667</v>
      </c>
      <c r="B1174" s="26" t="s">
        <v>155</v>
      </c>
      <c r="C1174" s="26">
        <v>5.398000000000001</v>
      </c>
      <c r="D1174" s="26" t="s">
        <v>53</v>
      </c>
    </row>
    <row r="1175">
      <c r="A1175" s="188">
        <v>44859.02510291667</v>
      </c>
      <c r="B1175" s="26" t="s">
        <v>384</v>
      </c>
      <c r="C1175" s="26">
        <v>3.5</v>
      </c>
      <c r="D1175" s="26" t="s">
        <v>148</v>
      </c>
    </row>
    <row r="1176">
      <c r="A1176" s="188">
        <v>44859.02510291667</v>
      </c>
      <c r="B1176" s="26" t="s">
        <v>259</v>
      </c>
      <c r="C1176" s="26">
        <v>8.799000000000001</v>
      </c>
      <c r="D1176" s="26" t="s">
        <v>178</v>
      </c>
    </row>
    <row r="1177">
      <c r="A1177" s="188">
        <v>44859.02510291667</v>
      </c>
      <c r="B1177" s="26" t="s">
        <v>377</v>
      </c>
      <c r="C1177" s="26">
        <v>8.392000000000001</v>
      </c>
      <c r="D1177" s="26" t="s">
        <v>148</v>
      </c>
    </row>
    <row r="1178">
      <c r="A1178" s="188">
        <v>44859.02510291667</v>
      </c>
      <c r="B1178" s="26" t="s">
        <v>222</v>
      </c>
      <c r="C1178" s="26">
        <v>6.4</v>
      </c>
      <c r="D1178" s="26" t="s">
        <v>131</v>
      </c>
    </row>
    <row r="1179">
      <c r="A1179" s="188">
        <v>44859.02510291667</v>
      </c>
      <c r="B1179" s="26" t="s">
        <v>371</v>
      </c>
      <c r="C1179" s="26">
        <v>4.7</v>
      </c>
      <c r="D1179" s="26" t="s">
        <v>144</v>
      </c>
    </row>
    <row r="1180">
      <c r="A1180" s="188">
        <v>44859.02510291667</v>
      </c>
      <c r="B1180" s="26" t="s">
        <v>271</v>
      </c>
      <c r="C1180" s="26">
        <v>8.778</v>
      </c>
      <c r="D1180" s="26" t="s">
        <v>178</v>
      </c>
    </row>
    <row r="1181">
      <c r="A1181" s="188">
        <v>44859.02510291667</v>
      </c>
      <c r="B1181" s="26" t="s">
        <v>382</v>
      </c>
      <c r="C1181" s="26">
        <v>4.5889999999999995</v>
      </c>
      <c r="D1181" s="26" t="s">
        <v>154</v>
      </c>
    </row>
    <row r="1182">
      <c r="A1182" s="188">
        <v>44859.02510291667</v>
      </c>
      <c r="B1182" s="26" t="s">
        <v>197</v>
      </c>
      <c r="C1182" s="26">
        <v>6.496</v>
      </c>
      <c r="D1182" s="26" t="s">
        <v>131</v>
      </c>
    </row>
    <row r="1183">
      <c r="A1183" s="26" t="s">
        <v>654</v>
      </c>
      <c r="B1183" s="26" t="s">
        <v>0</v>
      </c>
      <c r="C1183" s="26" t="s">
        <v>655</v>
      </c>
      <c r="D1183" s="26" t="s">
        <v>656</v>
      </c>
    </row>
    <row r="1184">
      <c r="A1184" s="188">
        <v>44866.02510496527</v>
      </c>
      <c r="B1184" s="26" t="s">
        <v>324</v>
      </c>
      <c r="C1184" s="26">
        <v>8.2</v>
      </c>
      <c r="D1184" s="26" t="s">
        <v>103</v>
      </c>
    </row>
    <row r="1185">
      <c r="A1185" s="188">
        <v>44866.02510496527</v>
      </c>
      <c r="B1185" s="26" t="s">
        <v>323</v>
      </c>
      <c r="C1185" s="26">
        <v>1.6</v>
      </c>
      <c r="D1185" s="26" t="s">
        <v>141</v>
      </c>
    </row>
    <row r="1186">
      <c r="A1186" s="188">
        <v>44866.02510496527</v>
      </c>
      <c r="B1186" s="26" t="s">
        <v>287</v>
      </c>
      <c r="C1186" s="26">
        <v>10.530000000000001</v>
      </c>
      <c r="D1186" s="26" t="s">
        <v>141</v>
      </c>
    </row>
    <row r="1187">
      <c r="A1187" s="188">
        <v>44866.02510496527</v>
      </c>
      <c r="B1187" s="26" t="s">
        <v>277</v>
      </c>
      <c r="C1187" s="26">
        <v>7.612</v>
      </c>
      <c r="D1187" s="26" t="s">
        <v>59</v>
      </c>
    </row>
    <row r="1188">
      <c r="A1188" s="188">
        <v>44866.02510496527</v>
      </c>
      <c r="B1188" s="26" t="s">
        <v>328</v>
      </c>
      <c r="C1188" s="26">
        <v>4.5</v>
      </c>
      <c r="D1188" s="26" t="s">
        <v>109</v>
      </c>
    </row>
    <row r="1189">
      <c r="A1189" s="188">
        <v>44866.02510496527</v>
      </c>
      <c r="B1189" s="26" t="s">
        <v>322</v>
      </c>
      <c r="C1189" s="26">
        <v>4.1</v>
      </c>
      <c r="D1189" s="26" t="s">
        <v>103</v>
      </c>
    </row>
    <row r="1190">
      <c r="A1190" s="188">
        <v>44866.02510496527</v>
      </c>
      <c r="B1190" s="26" t="s">
        <v>303</v>
      </c>
      <c r="C1190" s="26">
        <v>7.0</v>
      </c>
      <c r="D1190" s="26" t="s">
        <v>138</v>
      </c>
    </row>
    <row r="1191">
      <c r="A1191" s="188">
        <v>44866.02510496527</v>
      </c>
      <c r="B1191" s="26" t="s">
        <v>352</v>
      </c>
      <c r="C1191" s="26">
        <v>3.7</v>
      </c>
      <c r="D1191" s="26" t="s">
        <v>154</v>
      </c>
    </row>
    <row r="1192">
      <c r="A1192" s="188">
        <v>44866.02510496527</v>
      </c>
      <c r="B1192" s="26" t="s">
        <v>398</v>
      </c>
      <c r="C1192" s="26">
        <v>5.9</v>
      </c>
      <c r="D1192" s="26" t="s">
        <v>166</v>
      </c>
    </row>
    <row r="1193">
      <c r="A1193" s="188">
        <v>44866.02510496527</v>
      </c>
      <c r="B1193" s="26" t="s">
        <v>337</v>
      </c>
      <c r="C1193" s="26">
        <v>4.3</v>
      </c>
      <c r="D1193" s="26" t="s">
        <v>166</v>
      </c>
    </row>
    <row r="1194">
      <c r="A1194" s="188">
        <v>44866.02510496527</v>
      </c>
      <c r="B1194" s="26" t="s">
        <v>329</v>
      </c>
      <c r="C1194" s="26">
        <v>5.197</v>
      </c>
      <c r="D1194" s="26" t="s">
        <v>116</v>
      </c>
    </row>
    <row r="1195">
      <c r="A1195" s="188">
        <v>44866.02510496527</v>
      </c>
      <c r="B1195" s="26" t="s">
        <v>320</v>
      </c>
      <c r="C1195" s="26">
        <v>6.939</v>
      </c>
      <c r="D1195" s="26" t="s">
        <v>154</v>
      </c>
    </row>
    <row r="1196">
      <c r="A1196" s="188">
        <v>44866.02510496527</v>
      </c>
      <c r="B1196" s="26" t="s">
        <v>316</v>
      </c>
      <c r="C1196" s="26">
        <v>9.219000000000001</v>
      </c>
      <c r="D1196" s="26" t="s">
        <v>148</v>
      </c>
    </row>
    <row r="1197">
      <c r="A1197" s="188">
        <v>44866.02510496527</v>
      </c>
      <c r="B1197" s="26" t="s">
        <v>289</v>
      </c>
      <c r="C1197" s="26">
        <v>2.5</v>
      </c>
      <c r="D1197" s="26" t="s">
        <v>59</v>
      </c>
    </row>
    <row r="1198">
      <c r="A1198" s="188">
        <v>44866.02510496527</v>
      </c>
      <c r="B1198" s="26" t="s">
        <v>335</v>
      </c>
      <c r="C1198" s="26">
        <v>5.2989999999999995</v>
      </c>
      <c r="D1198" s="26" t="s">
        <v>148</v>
      </c>
    </row>
    <row r="1199">
      <c r="A1199" s="188">
        <v>44866.02510496527</v>
      </c>
      <c r="B1199" s="26" t="s">
        <v>344</v>
      </c>
      <c r="C1199" s="26">
        <v>7.882999999999999</v>
      </c>
      <c r="D1199" s="26" t="s">
        <v>109</v>
      </c>
    </row>
    <row r="1200">
      <c r="A1200" s="188">
        <v>44866.02510496527</v>
      </c>
      <c r="B1200" s="26" t="s">
        <v>393</v>
      </c>
      <c r="C1200" s="26">
        <v>5.8</v>
      </c>
      <c r="D1200" s="26" t="s">
        <v>141</v>
      </c>
    </row>
    <row r="1201">
      <c r="A1201" s="188">
        <v>44866.02510496527</v>
      </c>
      <c r="B1201" s="26" t="s">
        <v>333</v>
      </c>
      <c r="C1201" s="26">
        <v>4.0</v>
      </c>
      <c r="D1201" s="26" t="s">
        <v>166</v>
      </c>
    </row>
    <row r="1202">
      <c r="A1202" s="188">
        <v>44866.02510496527</v>
      </c>
      <c r="B1202" s="26" t="s">
        <v>285</v>
      </c>
      <c r="C1202" s="26">
        <v>3.9</v>
      </c>
      <c r="D1202" s="26" t="s">
        <v>59</v>
      </c>
    </row>
    <row r="1203">
      <c r="A1203" s="188">
        <v>44866.02510496527</v>
      </c>
      <c r="B1203" s="26" t="s">
        <v>317</v>
      </c>
      <c r="C1203" s="26">
        <v>2.7</v>
      </c>
      <c r="D1203" s="26" t="s">
        <v>141</v>
      </c>
    </row>
    <row r="1204">
      <c r="A1204" s="188">
        <v>44866.02510496527</v>
      </c>
      <c r="B1204" s="26" t="s">
        <v>282</v>
      </c>
      <c r="C1204" s="26">
        <v>9.186</v>
      </c>
      <c r="D1204" s="26" t="s">
        <v>138</v>
      </c>
    </row>
    <row r="1205">
      <c r="A1205" s="188">
        <v>44866.02510496527</v>
      </c>
      <c r="B1205" s="26" t="s">
        <v>206</v>
      </c>
      <c r="C1205" s="26">
        <v>11.23</v>
      </c>
      <c r="D1205" s="26" t="s">
        <v>131</v>
      </c>
    </row>
    <row r="1206">
      <c r="A1206" s="188">
        <v>44866.02510496527</v>
      </c>
      <c r="B1206" s="26" t="s">
        <v>300</v>
      </c>
      <c r="C1206" s="26">
        <v>8.788</v>
      </c>
      <c r="D1206" s="26" t="s">
        <v>144</v>
      </c>
    </row>
    <row r="1207">
      <c r="A1207" s="188">
        <v>44866.02510496527</v>
      </c>
      <c r="B1207" s="26" t="s">
        <v>342</v>
      </c>
      <c r="C1207" s="26">
        <v>1.1</v>
      </c>
      <c r="D1207" s="26" t="s">
        <v>144</v>
      </c>
    </row>
    <row r="1208">
      <c r="A1208" s="188">
        <v>44866.02510496527</v>
      </c>
      <c r="B1208" s="26" t="s">
        <v>336</v>
      </c>
      <c r="C1208" s="26">
        <v>2.8</v>
      </c>
      <c r="D1208" s="26" t="s">
        <v>116</v>
      </c>
    </row>
    <row r="1209">
      <c r="A1209" s="188">
        <v>44866.02510496527</v>
      </c>
      <c r="B1209" s="26" t="s">
        <v>331</v>
      </c>
      <c r="C1209" s="26">
        <v>7.399</v>
      </c>
      <c r="D1209" s="26" t="s">
        <v>442</v>
      </c>
    </row>
    <row r="1210">
      <c r="A1210" s="188">
        <v>44866.02510496527</v>
      </c>
      <c r="B1210" s="26" t="s">
        <v>325</v>
      </c>
      <c r="C1210" s="26">
        <v>7.846</v>
      </c>
      <c r="D1210" s="26" t="s">
        <v>144</v>
      </c>
    </row>
    <row r="1211">
      <c r="A1211" s="188">
        <v>44866.02510496527</v>
      </c>
      <c r="B1211" s="26" t="s">
        <v>356</v>
      </c>
      <c r="C1211" s="26">
        <v>6.5</v>
      </c>
      <c r="D1211" s="26" t="s">
        <v>103</v>
      </c>
    </row>
    <row r="1212">
      <c r="A1212" s="188">
        <v>44866.02510496527</v>
      </c>
      <c r="B1212" s="26" t="s">
        <v>181</v>
      </c>
      <c r="C1212" s="26">
        <v>5.7940000000000005</v>
      </c>
      <c r="D1212" s="26" t="s">
        <v>53</v>
      </c>
    </row>
    <row r="1213">
      <c r="A1213" s="188">
        <v>44866.02510496527</v>
      </c>
      <c r="B1213" s="26" t="s">
        <v>346</v>
      </c>
      <c r="C1213" s="26">
        <v>6.1</v>
      </c>
      <c r="D1213" s="26" t="s">
        <v>144</v>
      </c>
    </row>
    <row r="1214">
      <c r="A1214" s="188">
        <v>44866.02510496527</v>
      </c>
      <c r="B1214" s="26" t="s">
        <v>275</v>
      </c>
      <c r="C1214" s="26">
        <v>4.5</v>
      </c>
      <c r="D1214" s="26" t="s">
        <v>59</v>
      </c>
    </row>
    <row r="1215">
      <c r="A1215" s="188">
        <v>44866.02510496527</v>
      </c>
      <c r="B1215" s="26" t="s">
        <v>340</v>
      </c>
      <c r="C1215" s="26">
        <v>7.6</v>
      </c>
      <c r="D1215" s="26" t="s">
        <v>103</v>
      </c>
    </row>
    <row r="1216">
      <c r="A1216" s="188">
        <v>44866.02510496527</v>
      </c>
      <c r="B1216" s="26" t="s">
        <v>345</v>
      </c>
      <c r="C1216" s="26">
        <v>7.024</v>
      </c>
      <c r="D1216" s="26" t="s">
        <v>144</v>
      </c>
    </row>
    <row r="1217">
      <c r="A1217" s="188">
        <v>44866.02510496527</v>
      </c>
      <c r="B1217" s="26" t="s">
        <v>313</v>
      </c>
      <c r="C1217" s="26">
        <v>11.449</v>
      </c>
      <c r="D1217" s="26" t="s">
        <v>116</v>
      </c>
    </row>
    <row r="1218">
      <c r="A1218" s="188">
        <v>44866.02510496527</v>
      </c>
      <c r="B1218" s="26" t="s">
        <v>257</v>
      </c>
      <c r="C1218" s="26">
        <v>6.878</v>
      </c>
      <c r="D1218" s="26" t="s">
        <v>178</v>
      </c>
    </row>
    <row r="1219">
      <c r="A1219" s="188">
        <v>44866.02510496527</v>
      </c>
      <c r="B1219" s="26" t="s">
        <v>361</v>
      </c>
      <c r="C1219" s="26">
        <v>4.795</v>
      </c>
      <c r="D1219" s="26" t="s">
        <v>103</v>
      </c>
    </row>
    <row r="1220">
      <c r="A1220" s="188">
        <v>44866.02510496527</v>
      </c>
      <c r="B1220" s="26" t="s">
        <v>348</v>
      </c>
      <c r="C1220" s="26">
        <v>3.8</v>
      </c>
      <c r="D1220" s="26" t="s">
        <v>116</v>
      </c>
    </row>
    <row r="1221">
      <c r="A1221" s="188">
        <v>44866.02510496527</v>
      </c>
      <c r="B1221" s="26" t="s">
        <v>351</v>
      </c>
      <c r="C1221" s="26">
        <v>2.9</v>
      </c>
      <c r="D1221" s="26" t="s">
        <v>166</v>
      </c>
    </row>
    <row r="1222">
      <c r="A1222" s="188">
        <v>44866.02510496527</v>
      </c>
      <c r="B1222" s="26" t="s">
        <v>330</v>
      </c>
      <c r="C1222" s="26">
        <v>7.466</v>
      </c>
      <c r="D1222" s="26" t="s">
        <v>154</v>
      </c>
    </row>
    <row r="1223">
      <c r="A1223" s="188">
        <v>44866.02510496527</v>
      </c>
      <c r="B1223" s="26" t="s">
        <v>321</v>
      </c>
      <c r="C1223" s="26">
        <v>9.327</v>
      </c>
      <c r="D1223" s="26" t="s">
        <v>144</v>
      </c>
    </row>
    <row r="1224">
      <c r="A1224" s="188">
        <v>44866.02510496527</v>
      </c>
      <c r="B1224" s="26" t="s">
        <v>327</v>
      </c>
      <c r="C1224" s="26">
        <v>3.6</v>
      </c>
      <c r="D1224" s="26" t="s">
        <v>166</v>
      </c>
    </row>
    <row r="1225">
      <c r="A1225" s="188">
        <v>44866.02510496527</v>
      </c>
      <c r="B1225" s="26" t="s">
        <v>332</v>
      </c>
      <c r="C1225" s="26">
        <v>5.8</v>
      </c>
      <c r="D1225" s="26" t="s">
        <v>116</v>
      </c>
    </row>
    <row r="1226">
      <c r="A1226" s="188">
        <v>44866.02510496527</v>
      </c>
      <c r="B1226" s="26" t="s">
        <v>326</v>
      </c>
      <c r="C1226" s="26">
        <v>5.0</v>
      </c>
      <c r="D1226" s="26" t="s">
        <v>148</v>
      </c>
    </row>
    <row r="1227">
      <c r="A1227" s="188">
        <v>44866.02510496527</v>
      </c>
      <c r="B1227" s="26" t="s">
        <v>388</v>
      </c>
      <c r="C1227" s="26">
        <v>7.2</v>
      </c>
      <c r="D1227" s="26" t="s">
        <v>442</v>
      </c>
    </row>
    <row r="1228">
      <c r="A1228" s="188">
        <v>44866.02510496527</v>
      </c>
      <c r="B1228" s="26" t="s">
        <v>217</v>
      </c>
      <c r="C1228" s="26">
        <v>6.199</v>
      </c>
      <c r="D1228" s="26" t="s">
        <v>131</v>
      </c>
    </row>
    <row r="1229">
      <c r="A1229" s="188">
        <v>44866.02510496527</v>
      </c>
      <c r="B1229" s="26" t="s">
        <v>291</v>
      </c>
      <c r="C1229" s="26">
        <v>8.199</v>
      </c>
      <c r="D1229" s="26" t="s">
        <v>59</v>
      </c>
    </row>
    <row r="1230">
      <c r="A1230" s="188">
        <v>44866.02510496527</v>
      </c>
      <c r="B1230" s="26" t="s">
        <v>359</v>
      </c>
      <c r="C1230" s="26">
        <v>5.378</v>
      </c>
      <c r="D1230" s="26" t="s">
        <v>144</v>
      </c>
    </row>
    <row r="1231">
      <c r="A1231" s="188">
        <v>44866.02510496527</v>
      </c>
      <c r="B1231" s="26" t="s">
        <v>283</v>
      </c>
      <c r="C1231" s="26">
        <v>7.0</v>
      </c>
      <c r="D1231" s="26" t="s">
        <v>59</v>
      </c>
    </row>
    <row r="1232">
      <c r="A1232" s="188">
        <v>44866.02510496527</v>
      </c>
      <c r="B1232" s="26" t="s">
        <v>399</v>
      </c>
      <c r="C1232" s="26">
        <v>9.8</v>
      </c>
      <c r="D1232" s="26" t="s">
        <v>166</v>
      </c>
    </row>
    <row r="1233">
      <c r="A1233" s="188">
        <v>44866.02510496527</v>
      </c>
      <c r="B1233" s="26" t="s">
        <v>292</v>
      </c>
      <c r="C1233" s="26">
        <v>5.7</v>
      </c>
      <c r="D1233" s="26" t="s">
        <v>109</v>
      </c>
    </row>
    <row r="1234">
      <c r="A1234" s="188">
        <v>44866.02510496527</v>
      </c>
      <c r="B1234" s="26" t="s">
        <v>334</v>
      </c>
      <c r="C1234" s="26">
        <v>3.4</v>
      </c>
      <c r="D1234" s="26" t="s">
        <v>166</v>
      </c>
    </row>
    <row r="1235">
      <c r="A1235" s="188">
        <v>44866.02510496527</v>
      </c>
      <c r="B1235" s="26" t="s">
        <v>353</v>
      </c>
      <c r="C1235" s="26">
        <v>7.1</v>
      </c>
      <c r="D1235" s="26" t="s">
        <v>141</v>
      </c>
    </row>
    <row r="1236">
      <c r="A1236" s="188">
        <v>44866.02510496527</v>
      </c>
      <c r="B1236" s="26" t="s">
        <v>360</v>
      </c>
      <c r="C1236" s="26">
        <v>8.46</v>
      </c>
      <c r="D1236" s="26" t="s">
        <v>109</v>
      </c>
    </row>
    <row r="1237">
      <c r="A1237" s="188">
        <v>44866.02510496527</v>
      </c>
      <c r="B1237" s="26" t="s">
        <v>306</v>
      </c>
      <c r="C1237" s="26">
        <v>6.090999999999999</v>
      </c>
      <c r="D1237" s="26" t="s">
        <v>166</v>
      </c>
    </row>
    <row r="1238">
      <c r="A1238" s="188">
        <v>44866.02510496527</v>
      </c>
      <c r="B1238" s="26" t="s">
        <v>341</v>
      </c>
      <c r="C1238" s="26">
        <v>7.7</v>
      </c>
      <c r="D1238" s="26" t="s">
        <v>103</v>
      </c>
    </row>
    <row r="1239">
      <c r="A1239" s="188">
        <v>44866.02510496527</v>
      </c>
      <c r="B1239" s="26" t="s">
        <v>339</v>
      </c>
      <c r="C1239" s="26">
        <v>6.5</v>
      </c>
      <c r="D1239" s="26" t="s">
        <v>109</v>
      </c>
    </row>
    <row r="1240">
      <c r="A1240" s="188">
        <v>44866.02510496527</v>
      </c>
      <c r="B1240" s="26" t="s">
        <v>208</v>
      </c>
      <c r="C1240" s="26">
        <v>5.7</v>
      </c>
      <c r="D1240" s="26" t="s">
        <v>131</v>
      </c>
    </row>
    <row r="1241">
      <c r="A1241" s="188">
        <v>44866.02510496527</v>
      </c>
      <c r="B1241" s="26" t="s">
        <v>357</v>
      </c>
      <c r="C1241" s="26">
        <v>5.8</v>
      </c>
      <c r="D1241" s="26" t="s">
        <v>144</v>
      </c>
    </row>
    <row r="1242">
      <c r="A1242" s="188">
        <v>44866.02510496527</v>
      </c>
      <c r="B1242" s="26" t="s">
        <v>294</v>
      </c>
      <c r="C1242" s="26">
        <v>5.2</v>
      </c>
      <c r="D1242" s="26" t="s">
        <v>138</v>
      </c>
    </row>
    <row r="1243">
      <c r="A1243" s="188">
        <v>44866.02510496527</v>
      </c>
      <c r="B1243" s="26" t="s">
        <v>284</v>
      </c>
      <c r="C1243" s="26">
        <v>10.988999999999999</v>
      </c>
      <c r="D1243" s="26" t="s">
        <v>59</v>
      </c>
    </row>
    <row r="1244">
      <c r="A1244" s="188">
        <v>44866.02510496527</v>
      </c>
      <c r="B1244" s="26" t="s">
        <v>343</v>
      </c>
      <c r="C1244" s="26">
        <v>6.694</v>
      </c>
      <c r="D1244" s="26" t="s">
        <v>109</v>
      </c>
    </row>
    <row r="1245">
      <c r="A1245" s="188">
        <v>44866.02510496527</v>
      </c>
      <c r="B1245" s="26" t="s">
        <v>240</v>
      </c>
      <c r="C1245" s="26">
        <v>7.899</v>
      </c>
      <c r="D1245" s="26" t="s">
        <v>178</v>
      </c>
    </row>
    <row r="1246">
      <c r="A1246" s="188">
        <v>44866.02510496527</v>
      </c>
      <c r="B1246" s="26" t="s">
        <v>269</v>
      </c>
      <c r="C1246" s="26">
        <v>7.3</v>
      </c>
      <c r="D1246" s="26" t="s">
        <v>178</v>
      </c>
    </row>
    <row r="1247">
      <c r="A1247" s="188">
        <v>44866.02510496527</v>
      </c>
      <c r="B1247" s="26" t="s">
        <v>173</v>
      </c>
      <c r="C1247" s="26">
        <v>6.0</v>
      </c>
      <c r="D1247" s="26" t="s">
        <v>53</v>
      </c>
    </row>
    <row r="1248">
      <c r="A1248" s="188">
        <v>44866.02510496527</v>
      </c>
      <c r="B1248" s="26" t="s">
        <v>347</v>
      </c>
      <c r="C1248" s="26">
        <v>3.7</v>
      </c>
      <c r="D1248" s="26" t="s">
        <v>116</v>
      </c>
    </row>
    <row r="1249">
      <c r="A1249" s="188">
        <v>44866.02510496527</v>
      </c>
      <c r="B1249" s="26" t="s">
        <v>363</v>
      </c>
      <c r="C1249" s="26">
        <v>8.2</v>
      </c>
      <c r="D1249" s="26" t="s">
        <v>154</v>
      </c>
    </row>
    <row r="1250">
      <c r="A1250" s="188">
        <v>44866.02510496527</v>
      </c>
      <c r="B1250" s="26" t="s">
        <v>365</v>
      </c>
      <c r="C1250" s="26">
        <v>3.7</v>
      </c>
      <c r="D1250" s="26" t="s">
        <v>141</v>
      </c>
    </row>
    <row r="1251">
      <c r="A1251" s="188">
        <v>44866.02510496527</v>
      </c>
      <c r="B1251" s="26" t="s">
        <v>120</v>
      </c>
      <c r="C1251" s="26">
        <v>2.6</v>
      </c>
      <c r="D1251" s="26" t="s">
        <v>53</v>
      </c>
    </row>
    <row r="1252">
      <c r="A1252" s="188">
        <v>44866.02510496527</v>
      </c>
      <c r="B1252" s="26" t="s">
        <v>263</v>
      </c>
      <c r="C1252" s="26">
        <v>3.1</v>
      </c>
      <c r="D1252" s="26" t="s">
        <v>178</v>
      </c>
    </row>
    <row r="1253">
      <c r="A1253" s="188">
        <v>44866.02510496527</v>
      </c>
      <c r="B1253" s="26" t="s">
        <v>394</v>
      </c>
      <c r="C1253" s="26">
        <v>4.0</v>
      </c>
      <c r="D1253" s="26" t="s">
        <v>109</v>
      </c>
    </row>
    <row r="1254">
      <c r="A1254" s="188">
        <v>44866.02510496527</v>
      </c>
      <c r="B1254" s="26" t="s">
        <v>367</v>
      </c>
      <c r="C1254" s="26">
        <v>9.672</v>
      </c>
      <c r="D1254" s="26" t="s">
        <v>109</v>
      </c>
    </row>
    <row r="1255">
      <c r="A1255" s="188">
        <v>44866.02510496527</v>
      </c>
      <c r="B1255" s="26" t="s">
        <v>204</v>
      </c>
      <c r="C1255" s="26">
        <v>7.052</v>
      </c>
      <c r="D1255" s="26" t="s">
        <v>131</v>
      </c>
    </row>
    <row r="1256">
      <c r="A1256" s="188">
        <v>44866.02510496527</v>
      </c>
      <c r="B1256" s="26" t="s">
        <v>298</v>
      </c>
      <c r="C1256" s="26">
        <v>4.6</v>
      </c>
      <c r="D1256" s="26" t="s">
        <v>138</v>
      </c>
    </row>
    <row r="1257">
      <c r="A1257" s="188">
        <v>44866.02510496527</v>
      </c>
      <c r="B1257" s="26" t="s">
        <v>368</v>
      </c>
      <c r="C1257" s="26">
        <v>1.3</v>
      </c>
      <c r="D1257" s="26" t="s">
        <v>154</v>
      </c>
    </row>
    <row r="1258">
      <c r="A1258" s="188">
        <v>44866.02510496527</v>
      </c>
      <c r="B1258" s="26" t="s">
        <v>400</v>
      </c>
      <c r="C1258" s="26">
        <v>7.5</v>
      </c>
      <c r="D1258" s="26" t="s">
        <v>109</v>
      </c>
    </row>
    <row r="1259">
      <c r="A1259" s="188">
        <v>44866.02510496527</v>
      </c>
      <c r="B1259" s="26" t="s">
        <v>176</v>
      </c>
      <c r="C1259" s="26">
        <v>7.066999999999999</v>
      </c>
      <c r="D1259" s="26" t="s">
        <v>53</v>
      </c>
    </row>
    <row r="1260">
      <c r="A1260" s="188">
        <v>44866.02510496527</v>
      </c>
      <c r="B1260" s="26" t="s">
        <v>168</v>
      </c>
      <c r="C1260" s="26">
        <v>11.615</v>
      </c>
      <c r="D1260" s="26" t="s">
        <v>53</v>
      </c>
    </row>
    <row r="1261">
      <c r="A1261" s="188">
        <v>44866.02510496527</v>
      </c>
      <c r="B1261" s="26" t="s">
        <v>184</v>
      </c>
      <c r="C1261" s="26">
        <v>7.198</v>
      </c>
      <c r="D1261" s="26" t="s">
        <v>53</v>
      </c>
    </row>
    <row r="1262">
      <c r="A1262" s="188">
        <v>44866.02510496527</v>
      </c>
      <c r="B1262" s="26" t="s">
        <v>354</v>
      </c>
      <c r="C1262" s="26">
        <v>8.355</v>
      </c>
      <c r="D1262" s="26" t="s">
        <v>116</v>
      </c>
    </row>
    <row r="1263">
      <c r="A1263" s="188">
        <v>44866.02510496527</v>
      </c>
      <c r="B1263" s="26" t="s">
        <v>170</v>
      </c>
      <c r="C1263" s="26">
        <v>4.1930000000000005</v>
      </c>
      <c r="D1263" s="26" t="s">
        <v>53</v>
      </c>
    </row>
    <row r="1264">
      <c r="A1264" s="188">
        <v>44866.02510496527</v>
      </c>
      <c r="B1264" s="26" t="s">
        <v>373</v>
      </c>
      <c r="C1264" s="26">
        <v>9.476</v>
      </c>
      <c r="D1264" s="26" t="s">
        <v>103</v>
      </c>
    </row>
    <row r="1265">
      <c r="A1265" s="188">
        <v>44866.02510496527</v>
      </c>
      <c r="B1265" s="26" t="s">
        <v>54</v>
      </c>
      <c r="C1265" s="26">
        <v>9.869</v>
      </c>
      <c r="D1265" s="26" t="s">
        <v>53</v>
      </c>
    </row>
    <row r="1266">
      <c r="A1266" s="188">
        <v>44866.02510496527</v>
      </c>
      <c r="B1266" s="26" t="s">
        <v>274</v>
      </c>
      <c r="C1266" s="26">
        <v>8.199</v>
      </c>
      <c r="D1266" s="26" t="s">
        <v>59</v>
      </c>
    </row>
    <row r="1267">
      <c r="A1267" s="188">
        <v>44866.02510496527</v>
      </c>
      <c r="B1267" s="26" t="s">
        <v>375</v>
      </c>
      <c r="C1267" s="26">
        <v>9.2</v>
      </c>
      <c r="D1267" s="26" t="s">
        <v>109</v>
      </c>
    </row>
    <row r="1268">
      <c r="A1268" s="188">
        <v>44866.02510496527</v>
      </c>
      <c r="B1268" s="26" t="s">
        <v>370</v>
      </c>
      <c r="C1268" s="26">
        <v>6.1</v>
      </c>
      <c r="D1268" s="26" t="s">
        <v>166</v>
      </c>
    </row>
    <row r="1269">
      <c r="A1269" s="188">
        <v>44866.02510496527</v>
      </c>
      <c r="B1269" s="26" t="s">
        <v>381</v>
      </c>
      <c r="C1269" s="26">
        <v>7.671</v>
      </c>
      <c r="D1269" s="26" t="s">
        <v>148</v>
      </c>
    </row>
    <row r="1270">
      <c r="A1270" s="188">
        <v>44866.02510496527</v>
      </c>
      <c r="B1270" s="26" t="s">
        <v>355</v>
      </c>
      <c r="C1270" s="26">
        <v>5.199</v>
      </c>
      <c r="D1270" s="26" t="s">
        <v>116</v>
      </c>
    </row>
    <row r="1271">
      <c r="A1271" s="188">
        <v>44866.02510496527</v>
      </c>
      <c r="B1271" s="26" t="s">
        <v>386</v>
      </c>
      <c r="C1271" s="26">
        <v>4.4</v>
      </c>
      <c r="D1271" s="26" t="s">
        <v>141</v>
      </c>
    </row>
    <row r="1272">
      <c r="A1272" s="188">
        <v>44866.02510496527</v>
      </c>
      <c r="B1272" s="26" t="s">
        <v>219</v>
      </c>
      <c r="C1272" s="26">
        <v>6.096</v>
      </c>
      <c r="D1272" s="26" t="s">
        <v>131</v>
      </c>
    </row>
    <row r="1273">
      <c r="A1273" s="188">
        <v>44866.02510496527</v>
      </c>
      <c r="B1273" s="26" t="s">
        <v>349</v>
      </c>
      <c r="C1273" s="26">
        <v>8.096</v>
      </c>
      <c r="D1273" s="26" t="s">
        <v>141</v>
      </c>
    </row>
    <row r="1274">
      <c r="A1274" s="188">
        <v>44866.02510496527</v>
      </c>
      <c r="B1274" s="26" t="s">
        <v>314</v>
      </c>
      <c r="C1274" s="26">
        <v>6.3870000000000005</v>
      </c>
      <c r="D1274" s="26" t="s">
        <v>141</v>
      </c>
    </row>
    <row r="1275">
      <c r="A1275" s="188">
        <v>44866.02510496527</v>
      </c>
      <c r="B1275" s="26" t="s">
        <v>302</v>
      </c>
      <c r="C1275" s="26">
        <v>8.603</v>
      </c>
      <c r="D1275" s="26" t="s">
        <v>138</v>
      </c>
    </row>
    <row r="1276">
      <c r="A1276" s="188">
        <v>44866.02510496527</v>
      </c>
      <c r="B1276" s="26" t="s">
        <v>379</v>
      </c>
      <c r="C1276" s="26">
        <v>6.2</v>
      </c>
      <c r="D1276" s="26" t="s">
        <v>154</v>
      </c>
    </row>
    <row r="1277">
      <c r="A1277" s="188">
        <v>44866.02510496527</v>
      </c>
      <c r="B1277" s="26" t="s">
        <v>210</v>
      </c>
      <c r="C1277" s="26">
        <v>2.2</v>
      </c>
      <c r="D1277" s="26" t="s">
        <v>131</v>
      </c>
    </row>
    <row r="1278">
      <c r="A1278" s="188">
        <v>44866.02510496527</v>
      </c>
      <c r="B1278" s="26" t="s">
        <v>338</v>
      </c>
      <c r="C1278" s="26">
        <v>7.156000000000001</v>
      </c>
      <c r="D1278" s="26" t="s">
        <v>144</v>
      </c>
    </row>
    <row r="1279">
      <c r="A1279" s="188">
        <v>44866.02510496527</v>
      </c>
      <c r="B1279" s="26" t="s">
        <v>311</v>
      </c>
      <c r="C1279" s="26">
        <v>4.6</v>
      </c>
      <c r="D1279" s="26" t="s">
        <v>138</v>
      </c>
    </row>
    <row r="1280">
      <c r="A1280" s="188">
        <v>44866.02510496527</v>
      </c>
      <c r="B1280" s="26" t="s">
        <v>308</v>
      </c>
      <c r="C1280" s="26">
        <v>8.399000000000001</v>
      </c>
      <c r="D1280" s="26" t="s">
        <v>138</v>
      </c>
    </row>
    <row r="1281">
      <c r="A1281" s="188">
        <v>44866.02510496527</v>
      </c>
      <c r="B1281" s="26" t="s">
        <v>358</v>
      </c>
      <c r="C1281" s="26">
        <v>10.270999999999999</v>
      </c>
      <c r="D1281" s="26" t="s">
        <v>103</v>
      </c>
    </row>
    <row r="1282">
      <c r="A1282" s="188">
        <v>44866.02510496527</v>
      </c>
      <c r="B1282" s="26" t="s">
        <v>362</v>
      </c>
      <c r="C1282" s="26">
        <v>2.6</v>
      </c>
      <c r="D1282" s="26" t="s">
        <v>103</v>
      </c>
    </row>
    <row r="1283">
      <c r="A1283" s="188">
        <v>44866.02510496527</v>
      </c>
      <c r="B1283" s="26" t="s">
        <v>214</v>
      </c>
      <c r="C1283" s="26">
        <v>10.985</v>
      </c>
      <c r="D1283" s="26" t="s">
        <v>131</v>
      </c>
    </row>
    <row r="1284">
      <c r="A1284" s="188">
        <v>44866.02510496527</v>
      </c>
      <c r="B1284" s="26" t="s">
        <v>387</v>
      </c>
      <c r="C1284" s="26">
        <v>5.6</v>
      </c>
      <c r="D1284" s="26" t="s">
        <v>148</v>
      </c>
    </row>
    <row r="1285">
      <c r="A1285" s="188">
        <v>44866.02510496527</v>
      </c>
      <c r="B1285" s="26" t="s">
        <v>364</v>
      </c>
      <c r="C1285" s="26">
        <v>7.840999999999999</v>
      </c>
      <c r="D1285" s="26" t="s">
        <v>166</v>
      </c>
    </row>
    <row r="1286">
      <c r="A1286" s="188">
        <v>44866.02510496527</v>
      </c>
      <c r="B1286" s="26" t="s">
        <v>380</v>
      </c>
      <c r="C1286" s="26">
        <v>4.6</v>
      </c>
      <c r="D1286" s="26" t="s">
        <v>148</v>
      </c>
    </row>
    <row r="1287">
      <c r="A1287" s="188">
        <v>44866.02510496527</v>
      </c>
      <c r="B1287" s="26" t="s">
        <v>272</v>
      </c>
      <c r="C1287" s="26">
        <v>5.698</v>
      </c>
      <c r="D1287" s="26" t="s">
        <v>178</v>
      </c>
    </row>
    <row r="1288">
      <c r="A1288" s="188">
        <v>44866.02510496527</v>
      </c>
      <c r="B1288" s="26" t="s">
        <v>265</v>
      </c>
      <c r="C1288" s="26">
        <v>8.584999999999999</v>
      </c>
      <c r="D1288" s="26" t="s">
        <v>178</v>
      </c>
    </row>
    <row r="1289">
      <c r="A1289" s="188">
        <v>44866.02510496527</v>
      </c>
      <c r="B1289" s="26" t="s">
        <v>318</v>
      </c>
      <c r="C1289" s="26">
        <v>8.783999999999999</v>
      </c>
      <c r="D1289" s="26" t="s">
        <v>141</v>
      </c>
    </row>
    <row r="1290">
      <c r="A1290" s="188">
        <v>44866.02510496527</v>
      </c>
      <c r="B1290" s="26" t="s">
        <v>267</v>
      </c>
      <c r="C1290" s="26">
        <v>9.237</v>
      </c>
      <c r="D1290" s="26" t="s">
        <v>178</v>
      </c>
    </row>
    <row r="1291">
      <c r="A1291" s="188">
        <v>44866.02510496527</v>
      </c>
      <c r="B1291" s="26" t="s">
        <v>195</v>
      </c>
      <c r="C1291" s="26">
        <v>4.5</v>
      </c>
      <c r="D1291" s="26" t="s">
        <v>53</v>
      </c>
    </row>
    <row r="1292">
      <c r="A1292" s="188">
        <v>44866.02510496527</v>
      </c>
      <c r="B1292" s="26" t="s">
        <v>378</v>
      </c>
      <c r="C1292" s="26">
        <v>6.198</v>
      </c>
      <c r="D1292" s="26" t="s">
        <v>103</v>
      </c>
    </row>
    <row r="1293">
      <c r="A1293" s="188">
        <v>44866.02510496527</v>
      </c>
      <c r="B1293" s="26" t="s">
        <v>374</v>
      </c>
      <c r="C1293" s="26">
        <v>8.879</v>
      </c>
      <c r="D1293" s="26" t="s">
        <v>148</v>
      </c>
    </row>
    <row r="1294">
      <c r="A1294" s="188">
        <v>44866.02510496527</v>
      </c>
      <c r="B1294" s="26" t="s">
        <v>261</v>
      </c>
      <c r="C1294" s="26">
        <v>9.783000000000001</v>
      </c>
      <c r="D1294" s="26" t="s">
        <v>178</v>
      </c>
    </row>
    <row r="1295">
      <c r="A1295" s="188">
        <v>44866.02510496527</v>
      </c>
      <c r="B1295" s="26" t="s">
        <v>281</v>
      </c>
      <c r="C1295" s="26">
        <v>5.1</v>
      </c>
      <c r="D1295" s="26" t="s">
        <v>59</v>
      </c>
    </row>
    <row r="1296">
      <c r="A1296" s="188">
        <v>44866.02510496527</v>
      </c>
      <c r="B1296" s="26" t="s">
        <v>199</v>
      </c>
      <c r="C1296" s="26">
        <v>3.1</v>
      </c>
      <c r="D1296" s="26" t="s">
        <v>131</v>
      </c>
    </row>
    <row r="1297">
      <c r="A1297" s="188">
        <v>44866.02510496527</v>
      </c>
      <c r="B1297" s="26" t="s">
        <v>401</v>
      </c>
      <c r="C1297" s="26">
        <v>1.4</v>
      </c>
      <c r="D1297" s="26" t="s">
        <v>148</v>
      </c>
    </row>
    <row r="1298">
      <c r="A1298" s="188">
        <v>44866.02510496527</v>
      </c>
      <c r="B1298" s="26" t="s">
        <v>279</v>
      </c>
      <c r="C1298" s="26">
        <v>6.196000000000001</v>
      </c>
      <c r="D1298" s="26" t="s">
        <v>59</v>
      </c>
    </row>
    <row r="1299">
      <c r="A1299" s="188">
        <v>44866.02510496527</v>
      </c>
      <c r="B1299" s="26" t="s">
        <v>369</v>
      </c>
      <c r="C1299" s="26">
        <v>10.226</v>
      </c>
      <c r="D1299" s="26" t="s">
        <v>116</v>
      </c>
    </row>
    <row r="1300">
      <c r="A1300" s="188">
        <v>44866.02510496527</v>
      </c>
      <c r="B1300" s="26" t="s">
        <v>304</v>
      </c>
      <c r="C1300" s="26">
        <v>4.7</v>
      </c>
      <c r="D1300" s="26" t="s">
        <v>138</v>
      </c>
    </row>
    <row r="1301">
      <c r="A1301" s="188">
        <v>44866.02510496527</v>
      </c>
      <c r="B1301" s="26" t="s">
        <v>372</v>
      </c>
      <c r="C1301" s="26">
        <v>9.326</v>
      </c>
      <c r="D1301" s="26" t="s">
        <v>154</v>
      </c>
    </row>
    <row r="1302">
      <c r="A1302" s="188">
        <v>44866.02510496527</v>
      </c>
      <c r="B1302" s="26" t="s">
        <v>366</v>
      </c>
      <c r="C1302" s="26">
        <v>5.3</v>
      </c>
      <c r="D1302" s="26" t="s">
        <v>154</v>
      </c>
    </row>
    <row r="1303">
      <c r="A1303" s="188">
        <v>44866.02510496527</v>
      </c>
      <c r="B1303" s="26" t="s">
        <v>296</v>
      </c>
      <c r="C1303" s="26">
        <v>8.89</v>
      </c>
      <c r="D1303" s="26" t="s">
        <v>138</v>
      </c>
    </row>
    <row r="1304">
      <c r="A1304" s="188">
        <v>44866.02510496527</v>
      </c>
      <c r="B1304" s="26" t="s">
        <v>309</v>
      </c>
      <c r="C1304" s="26">
        <v>3.7</v>
      </c>
      <c r="D1304" s="26" t="s">
        <v>138</v>
      </c>
    </row>
    <row r="1305">
      <c r="A1305" s="188">
        <v>44866.02510496527</v>
      </c>
      <c r="B1305" s="26" t="s">
        <v>155</v>
      </c>
      <c r="C1305" s="26">
        <v>4.8</v>
      </c>
      <c r="D1305" s="26" t="s">
        <v>53</v>
      </c>
    </row>
    <row r="1306">
      <c r="A1306" s="188">
        <v>44866.02510496527</v>
      </c>
      <c r="B1306" s="26" t="s">
        <v>384</v>
      </c>
      <c r="C1306" s="26">
        <v>3.6</v>
      </c>
      <c r="D1306" s="26" t="s">
        <v>148</v>
      </c>
    </row>
    <row r="1307">
      <c r="A1307" s="188">
        <v>44866.02510496527</v>
      </c>
      <c r="B1307" s="26" t="s">
        <v>259</v>
      </c>
      <c r="C1307" s="26">
        <v>8.1</v>
      </c>
      <c r="D1307" s="26" t="s">
        <v>178</v>
      </c>
    </row>
    <row r="1308">
      <c r="A1308" s="188">
        <v>44866.02510496527</v>
      </c>
      <c r="B1308" s="26" t="s">
        <v>377</v>
      </c>
      <c r="C1308" s="26">
        <v>8.396</v>
      </c>
      <c r="D1308" s="26" t="s">
        <v>148</v>
      </c>
    </row>
    <row r="1309">
      <c r="A1309" s="188">
        <v>44866.02510496527</v>
      </c>
      <c r="B1309" s="26" t="s">
        <v>222</v>
      </c>
      <c r="C1309" s="26">
        <v>6.2</v>
      </c>
      <c r="D1309" s="26" t="s">
        <v>131</v>
      </c>
    </row>
    <row r="1310">
      <c r="A1310" s="188">
        <v>44866.02510496527</v>
      </c>
      <c r="B1310" s="26" t="s">
        <v>371</v>
      </c>
      <c r="C1310" s="26">
        <v>4.3</v>
      </c>
      <c r="D1310" s="26" t="s">
        <v>144</v>
      </c>
    </row>
    <row r="1311">
      <c r="A1311" s="188">
        <v>44866.02510496527</v>
      </c>
      <c r="B1311" s="26" t="s">
        <v>271</v>
      </c>
      <c r="C1311" s="26">
        <v>7.673</v>
      </c>
      <c r="D1311" s="26" t="s">
        <v>178</v>
      </c>
    </row>
    <row r="1312">
      <c r="A1312" s="188">
        <v>44866.02510496527</v>
      </c>
      <c r="B1312" s="26" t="s">
        <v>382</v>
      </c>
      <c r="C1312" s="26">
        <v>4.590999999999999</v>
      </c>
      <c r="D1312" s="26" t="s">
        <v>154</v>
      </c>
    </row>
    <row r="1313">
      <c r="A1313" s="188">
        <v>44866.02510496527</v>
      </c>
      <c r="B1313" s="26" t="s">
        <v>197</v>
      </c>
      <c r="C1313" s="26">
        <v>6.498</v>
      </c>
      <c r="D1313" s="26" t="s">
        <v>131</v>
      </c>
    </row>
    <row r="1314">
      <c r="A1314" s="26" t="s">
        <v>654</v>
      </c>
      <c r="B1314" s="26" t="s">
        <v>0</v>
      </c>
      <c r="C1314" s="26" t="s">
        <v>655</v>
      </c>
      <c r="D1314" s="26" t="s">
        <v>656</v>
      </c>
    </row>
    <row r="1315">
      <c r="A1315" s="188">
        <v>44873.02510226852</v>
      </c>
      <c r="B1315" s="26" t="s">
        <v>324</v>
      </c>
      <c r="C1315" s="26">
        <v>8.6</v>
      </c>
      <c r="D1315" s="26" t="s">
        <v>103</v>
      </c>
    </row>
    <row r="1316">
      <c r="A1316" s="188">
        <v>44873.02510226852</v>
      </c>
      <c r="B1316" s="26" t="s">
        <v>323</v>
      </c>
      <c r="C1316" s="26">
        <v>1.6</v>
      </c>
      <c r="D1316" s="26" t="s">
        <v>141</v>
      </c>
    </row>
    <row r="1317">
      <c r="A1317" s="188">
        <v>44873.02510226852</v>
      </c>
      <c r="B1317" s="26" t="s">
        <v>287</v>
      </c>
      <c r="C1317" s="26">
        <v>9.671999999999999</v>
      </c>
      <c r="D1317" s="26" t="s">
        <v>141</v>
      </c>
    </row>
    <row r="1318">
      <c r="A1318" s="188">
        <v>44873.02510226852</v>
      </c>
      <c r="B1318" s="26" t="s">
        <v>277</v>
      </c>
      <c r="C1318" s="26">
        <v>7.0</v>
      </c>
      <c r="D1318" s="26" t="s">
        <v>59</v>
      </c>
    </row>
    <row r="1319">
      <c r="A1319" s="188">
        <v>44873.02510226852</v>
      </c>
      <c r="B1319" s="26" t="s">
        <v>328</v>
      </c>
      <c r="C1319" s="26">
        <v>4.0</v>
      </c>
      <c r="D1319" s="26" t="s">
        <v>109</v>
      </c>
    </row>
    <row r="1320">
      <c r="A1320" s="188">
        <v>44873.02510226852</v>
      </c>
      <c r="B1320" s="26" t="s">
        <v>322</v>
      </c>
      <c r="C1320" s="26">
        <v>3.9</v>
      </c>
      <c r="D1320" s="26" t="s">
        <v>103</v>
      </c>
    </row>
    <row r="1321">
      <c r="A1321" s="188">
        <v>44873.02510226852</v>
      </c>
      <c r="B1321" s="26" t="s">
        <v>303</v>
      </c>
      <c r="C1321" s="26">
        <v>6.1</v>
      </c>
      <c r="D1321" s="26" t="s">
        <v>138</v>
      </c>
    </row>
    <row r="1322">
      <c r="A1322" s="188">
        <v>44873.02510226852</v>
      </c>
      <c r="B1322" s="26" t="s">
        <v>352</v>
      </c>
      <c r="C1322" s="26">
        <v>3.7</v>
      </c>
      <c r="D1322" s="26" t="s">
        <v>154</v>
      </c>
    </row>
    <row r="1323">
      <c r="A1323" s="188">
        <v>44873.02510226852</v>
      </c>
      <c r="B1323" s="26" t="s">
        <v>398</v>
      </c>
      <c r="C1323" s="26">
        <v>5.6</v>
      </c>
      <c r="D1323" s="26" t="s">
        <v>166</v>
      </c>
    </row>
    <row r="1324">
      <c r="A1324" s="188">
        <v>44873.02510226852</v>
      </c>
      <c r="B1324" s="26" t="s">
        <v>337</v>
      </c>
      <c r="C1324" s="26">
        <v>4.2</v>
      </c>
      <c r="D1324" s="26" t="s">
        <v>166</v>
      </c>
    </row>
    <row r="1325">
      <c r="A1325" s="188">
        <v>44873.02510226852</v>
      </c>
      <c r="B1325" s="26" t="s">
        <v>329</v>
      </c>
      <c r="C1325" s="26">
        <v>5.986</v>
      </c>
      <c r="D1325" s="26" t="s">
        <v>116</v>
      </c>
    </row>
    <row r="1326">
      <c r="A1326" s="188">
        <v>44873.02510226852</v>
      </c>
      <c r="B1326" s="26" t="s">
        <v>320</v>
      </c>
      <c r="C1326" s="26">
        <v>7.486999999999999</v>
      </c>
      <c r="D1326" s="26" t="s">
        <v>154</v>
      </c>
    </row>
    <row r="1327">
      <c r="A1327" s="188">
        <v>44873.02510226852</v>
      </c>
      <c r="B1327" s="26" t="s">
        <v>316</v>
      </c>
      <c r="C1327" s="26">
        <v>8.459999999999999</v>
      </c>
      <c r="D1327" s="26" t="s">
        <v>148</v>
      </c>
    </row>
    <row r="1328">
      <c r="A1328" s="188">
        <v>44873.02510226852</v>
      </c>
      <c r="B1328" s="26" t="s">
        <v>289</v>
      </c>
      <c r="C1328" s="26">
        <v>2.3</v>
      </c>
      <c r="D1328" s="26" t="s">
        <v>59</v>
      </c>
    </row>
    <row r="1329">
      <c r="A1329" s="188">
        <v>44873.02510226852</v>
      </c>
      <c r="B1329" s="26" t="s">
        <v>335</v>
      </c>
      <c r="C1329" s="26">
        <v>5.794</v>
      </c>
      <c r="D1329" s="26" t="s">
        <v>148</v>
      </c>
    </row>
    <row r="1330">
      <c r="A1330" s="188">
        <v>44873.02510226852</v>
      </c>
      <c r="B1330" s="26" t="s">
        <v>344</v>
      </c>
      <c r="C1330" s="26">
        <v>7.137</v>
      </c>
      <c r="D1330" s="26" t="s">
        <v>109</v>
      </c>
    </row>
    <row r="1331">
      <c r="A1331" s="188">
        <v>44873.02510226852</v>
      </c>
      <c r="B1331" s="26" t="s">
        <v>393</v>
      </c>
      <c r="C1331" s="26">
        <v>6.5</v>
      </c>
      <c r="D1331" s="26" t="s">
        <v>141</v>
      </c>
    </row>
    <row r="1332">
      <c r="A1332" s="188">
        <v>44873.02510226852</v>
      </c>
      <c r="B1332" s="26" t="s">
        <v>333</v>
      </c>
      <c r="C1332" s="26">
        <v>4.1</v>
      </c>
      <c r="D1332" s="26" t="s">
        <v>166</v>
      </c>
    </row>
    <row r="1333">
      <c r="A1333" s="188">
        <v>44873.02510226852</v>
      </c>
      <c r="B1333" s="26" t="s">
        <v>285</v>
      </c>
      <c r="C1333" s="26">
        <v>4.7</v>
      </c>
      <c r="D1333" s="26" t="s">
        <v>59</v>
      </c>
    </row>
    <row r="1334">
      <c r="A1334" s="188">
        <v>44873.02510226852</v>
      </c>
      <c r="B1334" s="26" t="s">
        <v>317</v>
      </c>
      <c r="C1334" s="26">
        <v>2.5</v>
      </c>
      <c r="D1334" s="26" t="s">
        <v>141</v>
      </c>
    </row>
    <row r="1335">
      <c r="A1335" s="188">
        <v>44873.02510226852</v>
      </c>
      <c r="B1335" s="26" t="s">
        <v>282</v>
      </c>
      <c r="C1335" s="26">
        <v>9.251</v>
      </c>
      <c r="D1335" s="26" t="s">
        <v>138</v>
      </c>
    </row>
    <row r="1336">
      <c r="A1336" s="188">
        <v>44873.02510226852</v>
      </c>
      <c r="B1336" s="26" t="s">
        <v>206</v>
      </c>
      <c r="C1336" s="26">
        <v>10.558</v>
      </c>
      <c r="D1336" s="26" t="s">
        <v>131</v>
      </c>
    </row>
    <row r="1337">
      <c r="A1337" s="188">
        <v>44873.02510226852</v>
      </c>
      <c r="B1337" s="26" t="s">
        <v>300</v>
      </c>
      <c r="C1337" s="26">
        <v>9.525</v>
      </c>
      <c r="D1337" s="26" t="s">
        <v>144</v>
      </c>
    </row>
    <row r="1338">
      <c r="A1338" s="188">
        <v>44873.02510226852</v>
      </c>
      <c r="B1338" s="26" t="s">
        <v>342</v>
      </c>
      <c r="C1338" s="26">
        <v>1.1</v>
      </c>
      <c r="D1338" s="26" t="s">
        <v>144</v>
      </c>
    </row>
    <row r="1339">
      <c r="A1339" s="188">
        <v>44873.02510226852</v>
      </c>
      <c r="B1339" s="26" t="s">
        <v>336</v>
      </c>
      <c r="C1339" s="26">
        <v>2.8</v>
      </c>
      <c r="D1339" s="26" t="s">
        <v>116</v>
      </c>
    </row>
    <row r="1340">
      <c r="A1340" s="188">
        <v>44873.02510226852</v>
      </c>
      <c r="B1340" s="26" t="s">
        <v>331</v>
      </c>
      <c r="C1340" s="26">
        <v>7.598999999999999</v>
      </c>
      <c r="D1340" s="26" t="s">
        <v>442</v>
      </c>
    </row>
    <row r="1341">
      <c r="A1341" s="188">
        <v>44873.02510226852</v>
      </c>
      <c r="B1341" s="26" t="s">
        <v>325</v>
      </c>
      <c r="C1341" s="26">
        <v>7.849</v>
      </c>
      <c r="D1341" s="26" t="s">
        <v>144</v>
      </c>
    </row>
    <row r="1342">
      <c r="A1342" s="188">
        <v>44873.02510226852</v>
      </c>
      <c r="B1342" s="26" t="s">
        <v>356</v>
      </c>
      <c r="C1342" s="26">
        <v>6.5</v>
      </c>
      <c r="D1342" s="26" t="s">
        <v>103</v>
      </c>
    </row>
    <row r="1343">
      <c r="A1343" s="188">
        <v>44873.02510226852</v>
      </c>
      <c r="B1343" s="26" t="s">
        <v>181</v>
      </c>
      <c r="C1343" s="26">
        <v>5.795</v>
      </c>
      <c r="D1343" s="26" t="s">
        <v>53</v>
      </c>
    </row>
    <row r="1344">
      <c r="A1344" s="188">
        <v>44873.02510226852</v>
      </c>
      <c r="B1344" s="26" t="s">
        <v>346</v>
      </c>
      <c r="C1344" s="26">
        <v>6.8</v>
      </c>
      <c r="D1344" s="26" t="s">
        <v>144</v>
      </c>
    </row>
    <row r="1345">
      <c r="A1345" s="188">
        <v>44873.02510226852</v>
      </c>
      <c r="B1345" s="26" t="s">
        <v>275</v>
      </c>
      <c r="C1345" s="26">
        <v>4.4</v>
      </c>
      <c r="D1345" s="26" t="s">
        <v>59</v>
      </c>
    </row>
    <row r="1346">
      <c r="A1346" s="188">
        <v>44873.02510226852</v>
      </c>
      <c r="B1346" s="26" t="s">
        <v>340</v>
      </c>
      <c r="C1346" s="26">
        <v>8.2</v>
      </c>
      <c r="D1346" s="26" t="s">
        <v>103</v>
      </c>
    </row>
    <row r="1347">
      <c r="A1347" s="188">
        <v>44873.02510226852</v>
      </c>
      <c r="B1347" s="26" t="s">
        <v>345</v>
      </c>
      <c r="C1347" s="26">
        <v>7.258</v>
      </c>
      <c r="D1347" s="26" t="s">
        <v>144</v>
      </c>
    </row>
    <row r="1348">
      <c r="A1348" s="188">
        <v>44873.02510226852</v>
      </c>
      <c r="B1348" s="26" t="s">
        <v>313</v>
      </c>
      <c r="C1348" s="26">
        <v>11.715</v>
      </c>
      <c r="D1348" s="26" t="s">
        <v>116</v>
      </c>
    </row>
    <row r="1349">
      <c r="A1349" s="188">
        <v>44873.02510226852</v>
      </c>
      <c r="B1349" s="26" t="s">
        <v>257</v>
      </c>
      <c r="C1349" s="26">
        <v>6.4</v>
      </c>
      <c r="D1349" s="26" t="s">
        <v>178</v>
      </c>
    </row>
    <row r="1350">
      <c r="A1350" s="188">
        <v>44873.02510226852</v>
      </c>
      <c r="B1350" s="26" t="s">
        <v>361</v>
      </c>
      <c r="C1350" s="26">
        <v>5.593999999999999</v>
      </c>
      <c r="D1350" s="26" t="s">
        <v>103</v>
      </c>
    </row>
    <row r="1351">
      <c r="A1351" s="188">
        <v>44873.02510226852</v>
      </c>
      <c r="B1351" s="26" t="s">
        <v>348</v>
      </c>
      <c r="C1351" s="26">
        <v>4.598999999999999</v>
      </c>
      <c r="D1351" s="26" t="s">
        <v>116</v>
      </c>
    </row>
    <row r="1352">
      <c r="A1352" s="188">
        <v>44873.02510226852</v>
      </c>
      <c r="B1352" s="26" t="s">
        <v>351</v>
      </c>
      <c r="C1352" s="26">
        <v>2.7</v>
      </c>
      <c r="D1352" s="26" t="s">
        <v>166</v>
      </c>
    </row>
    <row r="1353">
      <c r="A1353" s="188">
        <v>44873.02510226852</v>
      </c>
      <c r="B1353" s="26" t="s">
        <v>330</v>
      </c>
      <c r="C1353" s="26">
        <v>7.098999999999999</v>
      </c>
      <c r="D1353" s="26" t="s">
        <v>154</v>
      </c>
    </row>
    <row r="1354">
      <c r="A1354" s="188">
        <v>44873.02510226852</v>
      </c>
      <c r="B1354" s="26" t="s">
        <v>321</v>
      </c>
      <c r="C1354" s="26">
        <v>8.53</v>
      </c>
      <c r="D1354" s="26" t="s">
        <v>144</v>
      </c>
    </row>
    <row r="1355">
      <c r="A1355" s="188">
        <v>44873.02510226852</v>
      </c>
      <c r="B1355" s="26" t="s">
        <v>327</v>
      </c>
      <c r="C1355" s="26">
        <v>3.5</v>
      </c>
      <c r="D1355" s="26" t="s">
        <v>166</v>
      </c>
    </row>
    <row r="1356">
      <c r="A1356" s="188">
        <v>44873.02510226852</v>
      </c>
      <c r="B1356" s="26" t="s">
        <v>332</v>
      </c>
      <c r="C1356" s="26">
        <v>6.593999999999999</v>
      </c>
      <c r="D1356" s="26" t="s">
        <v>116</v>
      </c>
    </row>
    <row r="1357">
      <c r="A1357" s="188">
        <v>44873.02510226852</v>
      </c>
      <c r="B1357" s="26" t="s">
        <v>326</v>
      </c>
      <c r="C1357" s="26">
        <v>5.4</v>
      </c>
      <c r="D1357" s="26" t="s">
        <v>148</v>
      </c>
    </row>
    <row r="1358">
      <c r="A1358" s="188">
        <v>44873.02510226852</v>
      </c>
      <c r="B1358" s="26" t="s">
        <v>388</v>
      </c>
      <c r="C1358" s="26">
        <v>6.9</v>
      </c>
      <c r="D1358" s="26" t="s">
        <v>442</v>
      </c>
    </row>
    <row r="1359">
      <c r="A1359" s="188">
        <v>44873.02510226852</v>
      </c>
      <c r="B1359" s="26" t="s">
        <v>217</v>
      </c>
      <c r="C1359" s="26">
        <v>6.8950000000000005</v>
      </c>
      <c r="D1359" s="26" t="s">
        <v>131</v>
      </c>
    </row>
    <row r="1360">
      <c r="A1360" s="188">
        <v>44873.02510226852</v>
      </c>
      <c r="B1360" s="26" t="s">
        <v>291</v>
      </c>
      <c r="C1360" s="26">
        <v>7.8260000000000005</v>
      </c>
      <c r="D1360" s="26" t="s">
        <v>59</v>
      </c>
    </row>
    <row r="1361">
      <c r="A1361" s="188">
        <v>44873.02510226852</v>
      </c>
      <c r="B1361" s="26" t="s">
        <v>359</v>
      </c>
      <c r="C1361" s="26">
        <v>4.593999999999999</v>
      </c>
      <c r="D1361" s="26" t="s">
        <v>144</v>
      </c>
    </row>
    <row r="1362">
      <c r="A1362" s="188">
        <v>44873.02510226852</v>
      </c>
      <c r="B1362" s="26" t="s">
        <v>283</v>
      </c>
      <c r="C1362" s="26">
        <v>7.5</v>
      </c>
      <c r="D1362" s="26" t="s">
        <v>59</v>
      </c>
    </row>
    <row r="1363">
      <c r="A1363" s="188">
        <v>44873.02510226852</v>
      </c>
      <c r="B1363" s="26" t="s">
        <v>399</v>
      </c>
      <c r="C1363" s="26">
        <v>10.6</v>
      </c>
      <c r="D1363" s="26" t="s">
        <v>166</v>
      </c>
    </row>
    <row r="1364">
      <c r="A1364" s="188">
        <v>44873.02510226852</v>
      </c>
      <c r="B1364" s="26" t="s">
        <v>292</v>
      </c>
      <c r="C1364" s="26">
        <v>5.3</v>
      </c>
      <c r="D1364" s="26" t="s">
        <v>109</v>
      </c>
    </row>
    <row r="1365">
      <c r="A1365" s="188">
        <v>44873.02510226852</v>
      </c>
      <c r="B1365" s="26" t="s">
        <v>334</v>
      </c>
      <c r="C1365" s="26">
        <v>4.1</v>
      </c>
      <c r="D1365" s="26" t="s">
        <v>166</v>
      </c>
    </row>
    <row r="1366">
      <c r="A1366" s="188">
        <v>44873.02510226852</v>
      </c>
      <c r="B1366" s="26" t="s">
        <v>353</v>
      </c>
      <c r="C1366" s="26">
        <v>7.4</v>
      </c>
      <c r="D1366" s="26" t="s">
        <v>141</v>
      </c>
    </row>
    <row r="1367">
      <c r="A1367" s="188">
        <v>44873.02510226852</v>
      </c>
      <c r="B1367" s="26" t="s">
        <v>360</v>
      </c>
      <c r="C1367" s="26">
        <v>9.329</v>
      </c>
      <c r="D1367" s="26" t="s">
        <v>109</v>
      </c>
    </row>
    <row r="1368">
      <c r="A1368" s="188">
        <v>44873.02510226852</v>
      </c>
      <c r="B1368" s="26" t="s">
        <v>306</v>
      </c>
      <c r="C1368" s="26">
        <v>6.5</v>
      </c>
      <c r="D1368" s="26" t="s">
        <v>166</v>
      </c>
    </row>
    <row r="1369">
      <c r="A1369" s="188">
        <v>44873.02510226852</v>
      </c>
      <c r="B1369" s="26" t="s">
        <v>341</v>
      </c>
      <c r="C1369" s="26">
        <v>7.2</v>
      </c>
      <c r="D1369" s="26" t="s">
        <v>103</v>
      </c>
    </row>
    <row r="1370">
      <c r="A1370" s="188">
        <v>44873.02510226852</v>
      </c>
      <c r="B1370" s="26" t="s">
        <v>339</v>
      </c>
      <c r="C1370" s="26">
        <v>6.1</v>
      </c>
      <c r="D1370" s="26" t="s">
        <v>109</v>
      </c>
    </row>
    <row r="1371">
      <c r="A1371" s="188">
        <v>44873.02510226852</v>
      </c>
      <c r="B1371" s="26" t="s">
        <v>208</v>
      </c>
      <c r="C1371" s="26">
        <v>5.598999999999999</v>
      </c>
      <c r="D1371" s="26" t="s">
        <v>131</v>
      </c>
    </row>
    <row r="1372">
      <c r="A1372" s="188">
        <v>44873.02510226852</v>
      </c>
      <c r="B1372" s="26" t="s">
        <v>357</v>
      </c>
      <c r="C1372" s="26">
        <v>5.1</v>
      </c>
      <c r="D1372" s="26" t="s">
        <v>144</v>
      </c>
    </row>
    <row r="1373">
      <c r="A1373" s="188">
        <v>44873.02510226852</v>
      </c>
      <c r="B1373" s="26" t="s">
        <v>294</v>
      </c>
      <c r="C1373" s="26">
        <v>5.9</v>
      </c>
      <c r="D1373" s="26" t="s">
        <v>138</v>
      </c>
    </row>
    <row r="1374">
      <c r="A1374" s="188">
        <v>44873.02510226852</v>
      </c>
      <c r="B1374" s="26" t="s">
        <v>284</v>
      </c>
      <c r="C1374" s="26">
        <v>11.23</v>
      </c>
      <c r="D1374" s="26" t="s">
        <v>59</v>
      </c>
    </row>
    <row r="1375">
      <c r="A1375" s="188">
        <v>44873.02510226852</v>
      </c>
      <c r="B1375" s="26" t="s">
        <v>343</v>
      </c>
      <c r="C1375" s="26">
        <v>6.1</v>
      </c>
      <c r="D1375" s="26" t="s">
        <v>109</v>
      </c>
    </row>
    <row r="1376">
      <c r="A1376" s="188">
        <v>44873.02510226852</v>
      </c>
      <c r="B1376" s="26" t="s">
        <v>240</v>
      </c>
      <c r="C1376" s="26">
        <v>7.991</v>
      </c>
      <c r="D1376" s="26" t="s">
        <v>178</v>
      </c>
    </row>
    <row r="1377">
      <c r="A1377" s="188">
        <v>44873.02510226852</v>
      </c>
      <c r="B1377" s="26" t="s">
        <v>269</v>
      </c>
      <c r="C1377" s="26">
        <v>7.5</v>
      </c>
      <c r="D1377" s="26" t="s">
        <v>178</v>
      </c>
    </row>
    <row r="1378">
      <c r="A1378" s="188">
        <v>44873.02510226852</v>
      </c>
      <c r="B1378" s="26" t="s">
        <v>173</v>
      </c>
      <c r="C1378" s="26">
        <v>5.5</v>
      </c>
      <c r="D1378" s="26" t="s">
        <v>53</v>
      </c>
    </row>
    <row r="1379">
      <c r="A1379" s="188">
        <v>44873.02510226852</v>
      </c>
      <c r="B1379" s="26" t="s">
        <v>347</v>
      </c>
      <c r="C1379" s="26">
        <v>3.6</v>
      </c>
      <c r="D1379" s="26" t="s">
        <v>116</v>
      </c>
    </row>
    <row r="1380">
      <c r="A1380" s="188">
        <v>44873.02510226852</v>
      </c>
      <c r="B1380" s="26" t="s">
        <v>363</v>
      </c>
      <c r="C1380" s="26">
        <v>8.7</v>
      </c>
      <c r="D1380" s="26" t="s">
        <v>154</v>
      </c>
    </row>
    <row r="1381">
      <c r="A1381" s="188">
        <v>44873.02510226852</v>
      </c>
      <c r="B1381" s="26" t="s">
        <v>365</v>
      </c>
      <c r="C1381" s="26">
        <v>3.5</v>
      </c>
      <c r="D1381" s="26" t="s">
        <v>141</v>
      </c>
    </row>
    <row r="1382">
      <c r="A1382" s="188">
        <v>44873.02510226852</v>
      </c>
      <c r="B1382" s="26" t="s">
        <v>120</v>
      </c>
      <c r="C1382" s="26">
        <v>2.6</v>
      </c>
      <c r="D1382" s="26" t="s">
        <v>53</v>
      </c>
    </row>
    <row r="1383">
      <c r="A1383" s="188">
        <v>44873.02510226852</v>
      </c>
      <c r="B1383" s="26" t="s">
        <v>263</v>
      </c>
      <c r="C1383" s="26">
        <v>2.8</v>
      </c>
      <c r="D1383" s="26" t="s">
        <v>178</v>
      </c>
    </row>
    <row r="1384">
      <c r="A1384" s="188">
        <v>44873.02510226852</v>
      </c>
      <c r="B1384" s="26" t="s">
        <v>394</v>
      </c>
      <c r="C1384" s="26">
        <v>4.0</v>
      </c>
      <c r="D1384" s="26" t="s">
        <v>109</v>
      </c>
    </row>
    <row r="1385">
      <c r="A1385" s="188">
        <v>44873.02510226852</v>
      </c>
      <c r="B1385" s="26" t="s">
        <v>367</v>
      </c>
      <c r="C1385" s="26">
        <v>9.943999999999999</v>
      </c>
      <c r="D1385" s="26" t="s">
        <v>109</v>
      </c>
    </row>
    <row r="1386">
      <c r="A1386" s="188">
        <v>44873.02510226852</v>
      </c>
      <c r="B1386" s="26" t="s">
        <v>204</v>
      </c>
      <c r="C1386" s="26">
        <v>7.154</v>
      </c>
      <c r="D1386" s="26" t="s">
        <v>131</v>
      </c>
    </row>
    <row r="1387">
      <c r="A1387" s="188">
        <v>44873.02510226852</v>
      </c>
      <c r="B1387" s="26" t="s">
        <v>298</v>
      </c>
      <c r="C1387" s="26">
        <v>3.9</v>
      </c>
      <c r="D1387" s="26" t="s">
        <v>138</v>
      </c>
    </row>
    <row r="1388">
      <c r="A1388" s="188">
        <v>44873.02510226852</v>
      </c>
      <c r="B1388" s="26" t="s">
        <v>368</v>
      </c>
      <c r="C1388" s="26">
        <v>1.4</v>
      </c>
      <c r="D1388" s="26" t="s">
        <v>154</v>
      </c>
    </row>
    <row r="1389">
      <c r="A1389" s="188">
        <v>44873.02510226852</v>
      </c>
      <c r="B1389" s="26" t="s">
        <v>400</v>
      </c>
      <c r="C1389" s="26">
        <v>8.2</v>
      </c>
      <c r="D1389" s="26" t="s">
        <v>109</v>
      </c>
    </row>
    <row r="1390">
      <c r="A1390" s="188">
        <v>44873.02510226852</v>
      </c>
      <c r="B1390" s="26" t="s">
        <v>176</v>
      </c>
      <c r="C1390" s="26">
        <v>7.759</v>
      </c>
      <c r="D1390" s="26" t="s">
        <v>53</v>
      </c>
    </row>
    <row r="1391">
      <c r="A1391" s="188">
        <v>44873.02510226852</v>
      </c>
      <c r="B1391" s="26" t="s">
        <v>168</v>
      </c>
      <c r="C1391" s="26">
        <v>11.578</v>
      </c>
      <c r="D1391" s="26" t="s">
        <v>53</v>
      </c>
    </row>
    <row r="1392">
      <c r="A1392" s="188">
        <v>44873.02510226852</v>
      </c>
      <c r="B1392" s="26" t="s">
        <v>184</v>
      </c>
      <c r="C1392" s="26">
        <v>6.7</v>
      </c>
      <c r="D1392" s="26" t="s">
        <v>53</v>
      </c>
    </row>
    <row r="1393">
      <c r="A1393" s="188">
        <v>44873.02510226852</v>
      </c>
      <c r="B1393" s="26" t="s">
        <v>354</v>
      </c>
      <c r="C1393" s="26">
        <v>7.587</v>
      </c>
      <c r="D1393" s="26" t="s">
        <v>116</v>
      </c>
    </row>
    <row r="1394">
      <c r="A1394" s="188">
        <v>44873.02510226852</v>
      </c>
      <c r="B1394" s="26" t="s">
        <v>170</v>
      </c>
      <c r="C1394" s="26">
        <v>3.7</v>
      </c>
      <c r="D1394" s="26" t="s">
        <v>53</v>
      </c>
    </row>
    <row r="1395">
      <c r="A1395" s="188">
        <v>44873.02510226852</v>
      </c>
      <c r="B1395" s="26" t="s">
        <v>373</v>
      </c>
      <c r="C1395" s="26">
        <v>9.591</v>
      </c>
      <c r="D1395" s="26" t="s">
        <v>103</v>
      </c>
    </row>
    <row r="1396">
      <c r="A1396" s="188">
        <v>44873.02510226852</v>
      </c>
      <c r="B1396" s="26" t="s">
        <v>54</v>
      </c>
      <c r="C1396" s="26">
        <v>9.979000000000001</v>
      </c>
      <c r="D1396" s="26" t="s">
        <v>53</v>
      </c>
    </row>
    <row r="1397">
      <c r="A1397" s="188">
        <v>44873.02510226852</v>
      </c>
      <c r="B1397" s="26" t="s">
        <v>274</v>
      </c>
      <c r="C1397" s="26">
        <v>7.8</v>
      </c>
      <c r="D1397" s="26" t="s">
        <v>59</v>
      </c>
    </row>
    <row r="1398">
      <c r="A1398" s="188">
        <v>44873.02510226852</v>
      </c>
      <c r="B1398" s="26" t="s">
        <v>375</v>
      </c>
      <c r="C1398" s="26">
        <v>9.5</v>
      </c>
      <c r="D1398" s="26" t="s">
        <v>109</v>
      </c>
    </row>
    <row r="1399">
      <c r="A1399" s="188">
        <v>44873.02510226852</v>
      </c>
      <c r="B1399" s="26" t="s">
        <v>370</v>
      </c>
      <c r="C1399" s="26">
        <v>6.8</v>
      </c>
      <c r="D1399" s="26" t="s">
        <v>166</v>
      </c>
    </row>
    <row r="1400">
      <c r="A1400" s="188">
        <v>44873.02510226852</v>
      </c>
      <c r="B1400" s="26" t="s">
        <v>381</v>
      </c>
      <c r="C1400" s="26">
        <v>6.888000000000001</v>
      </c>
      <c r="D1400" s="26" t="s">
        <v>148</v>
      </c>
    </row>
    <row r="1401">
      <c r="A1401" s="188">
        <v>44873.02510226852</v>
      </c>
      <c r="B1401" s="26" t="s">
        <v>355</v>
      </c>
      <c r="C1401" s="26">
        <v>5.499</v>
      </c>
      <c r="D1401" s="26" t="s">
        <v>116</v>
      </c>
    </row>
    <row r="1402">
      <c r="A1402" s="188">
        <v>44873.02510226852</v>
      </c>
      <c r="B1402" s="26" t="s">
        <v>386</v>
      </c>
      <c r="C1402" s="26">
        <v>4.3</v>
      </c>
      <c r="D1402" s="26" t="s">
        <v>141</v>
      </c>
    </row>
    <row r="1403">
      <c r="A1403" s="188">
        <v>44873.02510226852</v>
      </c>
      <c r="B1403" s="26" t="s">
        <v>219</v>
      </c>
      <c r="C1403" s="26">
        <v>6.495</v>
      </c>
      <c r="D1403" s="26" t="s">
        <v>131</v>
      </c>
    </row>
    <row r="1404">
      <c r="A1404" s="188">
        <v>44873.02510226852</v>
      </c>
      <c r="B1404" s="26" t="s">
        <v>349</v>
      </c>
      <c r="C1404" s="26">
        <v>8.113999999999999</v>
      </c>
      <c r="D1404" s="26" t="s">
        <v>141</v>
      </c>
    </row>
    <row r="1405">
      <c r="A1405" s="188">
        <v>44873.02510226852</v>
      </c>
      <c r="B1405" s="26" t="s">
        <v>314</v>
      </c>
      <c r="C1405" s="26">
        <v>6.79</v>
      </c>
      <c r="D1405" s="26" t="s">
        <v>141</v>
      </c>
    </row>
    <row r="1406">
      <c r="A1406" s="188">
        <v>44873.02510226852</v>
      </c>
      <c r="B1406" s="26" t="s">
        <v>302</v>
      </c>
      <c r="C1406" s="26">
        <v>9.278</v>
      </c>
      <c r="D1406" s="26" t="s">
        <v>138</v>
      </c>
    </row>
    <row r="1407">
      <c r="A1407" s="188">
        <v>44873.02510226852</v>
      </c>
      <c r="B1407" s="26" t="s">
        <v>379</v>
      </c>
      <c r="C1407" s="26">
        <v>6.5</v>
      </c>
      <c r="D1407" s="26" t="s">
        <v>154</v>
      </c>
    </row>
    <row r="1408">
      <c r="A1408" s="188">
        <v>44873.02510226852</v>
      </c>
      <c r="B1408" s="26" t="s">
        <v>210</v>
      </c>
      <c r="C1408" s="26">
        <v>1.6</v>
      </c>
      <c r="D1408" s="26" t="s">
        <v>131</v>
      </c>
    </row>
    <row r="1409">
      <c r="A1409" s="188">
        <v>44873.02510226852</v>
      </c>
      <c r="B1409" s="26" t="s">
        <v>338</v>
      </c>
      <c r="C1409" s="26">
        <v>6.2989999999999995</v>
      </c>
      <c r="D1409" s="26" t="s">
        <v>144</v>
      </c>
    </row>
    <row r="1410">
      <c r="A1410" s="188">
        <v>44873.02510226852</v>
      </c>
      <c r="B1410" s="26" t="s">
        <v>311</v>
      </c>
      <c r="C1410" s="26">
        <v>3.9</v>
      </c>
      <c r="D1410" s="26" t="s">
        <v>138</v>
      </c>
    </row>
    <row r="1411">
      <c r="A1411" s="188">
        <v>44873.02510226852</v>
      </c>
      <c r="B1411" s="26" t="s">
        <v>308</v>
      </c>
      <c r="C1411" s="26">
        <v>7.7</v>
      </c>
      <c r="D1411" s="26" t="s">
        <v>138</v>
      </c>
    </row>
    <row r="1412">
      <c r="A1412" s="188">
        <v>44873.02510226852</v>
      </c>
      <c r="B1412" s="26" t="s">
        <v>358</v>
      </c>
      <c r="C1412" s="26">
        <v>10.423</v>
      </c>
      <c r="D1412" s="26" t="s">
        <v>103</v>
      </c>
    </row>
    <row r="1413">
      <c r="A1413" s="188">
        <v>44873.02510226852</v>
      </c>
      <c r="B1413" s="26" t="s">
        <v>362</v>
      </c>
      <c r="C1413" s="26">
        <v>3.3</v>
      </c>
      <c r="D1413" s="26" t="s">
        <v>103</v>
      </c>
    </row>
    <row r="1414">
      <c r="A1414" s="188">
        <v>44873.02510226852</v>
      </c>
      <c r="B1414" s="26" t="s">
        <v>214</v>
      </c>
      <c r="C1414" s="26">
        <v>10.792000000000002</v>
      </c>
      <c r="D1414" s="26" t="s">
        <v>131</v>
      </c>
    </row>
    <row r="1415">
      <c r="A1415" s="188">
        <v>44873.02510226852</v>
      </c>
      <c r="B1415" s="26" t="s">
        <v>387</v>
      </c>
      <c r="C1415" s="26">
        <v>4.8</v>
      </c>
      <c r="D1415" s="26" t="s">
        <v>148</v>
      </c>
    </row>
    <row r="1416">
      <c r="A1416" s="188">
        <v>44873.02510226852</v>
      </c>
      <c r="B1416" s="26" t="s">
        <v>364</v>
      </c>
      <c r="C1416" s="26">
        <v>8.181</v>
      </c>
      <c r="D1416" s="26" t="s">
        <v>166</v>
      </c>
    </row>
    <row r="1417">
      <c r="A1417" s="188">
        <v>44873.02510226852</v>
      </c>
      <c r="B1417" s="26" t="s">
        <v>380</v>
      </c>
      <c r="C1417" s="26">
        <v>4.1</v>
      </c>
      <c r="D1417" s="26" t="s">
        <v>148</v>
      </c>
    </row>
    <row r="1418">
      <c r="A1418" s="188">
        <v>44873.02510226852</v>
      </c>
      <c r="B1418" s="26" t="s">
        <v>272</v>
      </c>
      <c r="C1418" s="26">
        <v>5.4</v>
      </c>
      <c r="D1418" s="26" t="s">
        <v>178</v>
      </c>
    </row>
    <row r="1419">
      <c r="A1419" s="188">
        <v>44873.02510226852</v>
      </c>
      <c r="B1419" s="26" t="s">
        <v>265</v>
      </c>
      <c r="C1419" s="26">
        <v>8.533999999999999</v>
      </c>
      <c r="D1419" s="26" t="s">
        <v>178</v>
      </c>
    </row>
    <row r="1420">
      <c r="A1420" s="188">
        <v>44873.02510226852</v>
      </c>
      <c r="B1420" s="26" t="s">
        <v>318</v>
      </c>
      <c r="C1420" s="26">
        <v>9.304</v>
      </c>
      <c r="D1420" s="26" t="s">
        <v>141</v>
      </c>
    </row>
    <row r="1421">
      <c r="A1421" s="188">
        <v>44873.02510226852</v>
      </c>
      <c r="B1421" s="26" t="s">
        <v>267</v>
      </c>
      <c r="C1421" s="26">
        <v>9.540000000000001</v>
      </c>
      <c r="D1421" s="26" t="s">
        <v>178</v>
      </c>
    </row>
    <row r="1422">
      <c r="A1422" s="188">
        <v>44873.02510226852</v>
      </c>
      <c r="B1422" s="26" t="s">
        <v>195</v>
      </c>
      <c r="C1422" s="26">
        <v>4.2</v>
      </c>
      <c r="D1422" s="26" t="s">
        <v>53</v>
      </c>
    </row>
    <row r="1423">
      <c r="A1423" s="188">
        <v>44873.02510226852</v>
      </c>
      <c r="B1423" s="26" t="s">
        <v>378</v>
      </c>
      <c r="C1423" s="26">
        <v>5.5</v>
      </c>
      <c r="D1423" s="26" t="s">
        <v>103</v>
      </c>
    </row>
    <row r="1424">
      <c r="A1424" s="188">
        <v>44873.02510226852</v>
      </c>
      <c r="B1424" s="26" t="s">
        <v>374</v>
      </c>
      <c r="C1424" s="26">
        <v>9.372</v>
      </c>
      <c r="D1424" s="26" t="s">
        <v>148</v>
      </c>
    </row>
    <row r="1425">
      <c r="A1425" s="188">
        <v>44873.02510226852</v>
      </c>
      <c r="B1425" s="26" t="s">
        <v>261</v>
      </c>
      <c r="C1425" s="26">
        <v>10.065</v>
      </c>
      <c r="D1425" s="26" t="s">
        <v>178</v>
      </c>
    </row>
    <row r="1426">
      <c r="A1426" s="188">
        <v>44873.02510226852</v>
      </c>
      <c r="B1426" s="26" t="s">
        <v>281</v>
      </c>
      <c r="C1426" s="26">
        <v>5.3</v>
      </c>
      <c r="D1426" s="26" t="s">
        <v>59</v>
      </c>
    </row>
    <row r="1427">
      <c r="A1427" s="188">
        <v>44873.02510226852</v>
      </c>
      <c r="B1427" s="26" t="s">
        <v>199</v>
      </c>
      <c r="C1427" s="26">
        <v>3.6</v>
      </c>
      <c r="D1427" s="26" t="s">
        <v>131</v>
      </c>
    </row>
    <row r="1428">
      <c r="A1428" s="188">
        <v>44873.02510226852</v>
      </c>
      <c r="B1428" s="26" t="s">
        <v>401</v>
      </c>
      <c r="C1428" s="26">
        <v>1.2</v>
      </c>
      <c r="D1428" s="26" t="s">
        <v>148</v>
      </c>
    </row>
    <row r="1429">
      <c r="A1429" s="188">
        <v>44873.02510226852</v>
      </c>
      <c r="B1429" s="26" t="s">
        <v>279</v>
      </c>
      <c r="C1429" s="26">
        <v>5.8</v>
      </c>
      <c r="D1429" s="26" t="s">
        <v>59</v>
      </c>
    </row>
    <row r="1430">
      <c r="A1430" s="188">
        <v>44873.02510226852</v>
      </c>
      <c r="B1430" s="26" t="s">
        <v>369</v>
      </c>
      <c r="C1430" s="26">
        <v>10.116000000000001</v>
      </c>
      <c r="D1430" s="26" t="s">
        <v>116</v>
      </c>
    </row>
    <row r="1431">
      <c r="A1431" s="188">
        <v>44873.02510226852</v>
      </c>
      <c r="B1431" s="26" t="s">
        <v>304</v>
      </c>
      <c r="C1431" s="26">
        <v>5.098999999999999</v>
      </c>
      <c r="D1431" s="26" t="s">
        <v>138</v>
      </c>
    </row>
    <row r="1432">
      <c r="A1432" s="188">
        <v>44873.02510226852</v>
      </c>
      <c r="B1432" s="26" t="s">
        <v>372</v>
      </c>
      <c r="C1432" s="26">
        <v>9.343</v>
      </c>
      <c r="D1432" s="26" t="s">
        <v>154</v>
      </c>
    </row>
    <row r="1433">
      <c r="A1433" s="188">
        <v>44873.02510226852</v>
      </c>
      <c r="B1433" s="26" t="s">
        <v>366</v>
      </c>
      <c r="C1433" s="26">
        <v>5.0</v>
      </c>
      <c r="D1433" s="26" t="s">
        <v>154</v>
      </c>
    </row>
    <row r="1434">
      <c r="A1434" s="188">
        <v>44873.02510226852</v>
      </c>
      <c r="B1434" s="26" t="s">
        <v>296</v>
      </c>
      <c r="C1434" s="26">
        <v>9.485999999999999</v>
      </c>
      <c r="D1434" s="26" t="s">
        <v>138</v>
      </c>
    </row>
    <row r="1435">
      <c r="A1435" s="188">
        <v>44873.02510226852</v>
      </c>
      <c r="B1435" s="26" t="s">
        <v>309</v>
      </c>
      <c r="C1435" s="26">
        <v>3.3</v>
      </c>
      <c r="D1435" s="26" t="s">
        <v>138</v>
      </c>
    </row>
    <row r="1436">
      <c r="A1436" s="188">
        <v>44873.02510226852</v>
      </c>
      <c r="B1436" s="26" t="s">
        <v>155</v>
      </c>
      <c r="C1436" s="26">
        <v>4.5</v>
      </c>
      <c r="D1436" s="26" t="s">
        <v>53</v>
      </c>
    </row>
    <row r="1437">
      <c r="A1437" s="188">
        <v>44873.02510226852</v>
      </c>
      <c r="B1437" s="26" t="s">
        <v>384</v>
      </c>
      <c r="C1437" s="26">
        <v>2.9</v>
      </c>
      <c r="D1437" s="26" t="s">
        <v>148</v>
      </c>
    </row>
    <row r="1438">
      <c r="A1438" s="188">
        <v>44873.02510226852</v>
      </c>
      <c r="B1438" s="26" t="s">
        <v>259</v>
      </c>
      <c r="C1438" s="26">
        <v>7.7</v>
      </c>
      <c r="D1438" s="26" t="s">
        <v>178</v>
      </c>
    </row>
    <row r="1439">
      <c r="A1439" s="188">
        <v>44873.02510226852</v>
      </c>
      <c r="B1439" s="26" t="s">
        <v>377</v>
      </c>
      <c r="C1439" s="26">
        <v>8.696</v>
      </c>
      <c r="D1439" s="26" t="s">
        <v>148</v>
      </c>
    </row>
    <row r="1440">
      <c r="A1440" s="188">
        <v>44873.02510226852</v>
      </c>
      <c r="B1440" s="26" t="s">
        <v>222</v>
      </c>
      <c r="C1440" s="26">
        <v>7.0</v>
      </c>
      <c r="D1440" s="26" t="s">
        <v>131</v>
      </c>
    </row>
    <row r="1441">
      <c r="A1441" s="188">
        <v>44873.02510226852</v>
      </c>
      <c r="B1441" s="26" t="s">
        <v>371</v>
      </c>
      <c r="C1441" s="26">
        <v>4.0</v>
      </c>
      <c r="D1441" s="26" t="s">
        <v>144</v>
      </c>
    </row>
    <row r="1442">
      <c r="A1442" s="188">
        <v>44873.02510226852</v>
      </c>
      <c r="B1442" s="26" t="s">
        <v>271</v>
      </c>
      <c r="C1442" s="26">
        <v>7.966</v>
      </c>
      <c r="D1442" s="26" t="s">
        <v>178</v>
      </c>
    </row>
    <row r="1443">
      <c r="A1443" s="188">
        <v>44873.02510226852</v>
      </c>
      <c r="B1443" s="26" t="s">
        <v>382</v>
      </c>
      <c r="C1443" s="26">
        <v>4.0969999999999995</v>
      </c>
      <c r="D1443" s="26" t="s">
        <v>154</v>
      </c>
    </row>
    <row r="1444">
      <c r="A1444" s="188">
        <v>44873.02510226852</v>
      </c>
      <c r="B1444" s="26" t="s">
        <v>197</v>
      </c>
      <c r="C1444" s="26">
        <v>6.8870000000000005</v>
      </c>
      <c r="D1444" s="26" t="s">
        <v>131</v>
      </c>
    </row>
    <row r="1445">
      <c r="A1445" s="26" t="s">
        <v>654</v>
      </c>
      <c r="B1445" s="26" t="s">
        <v>0</v>
      </c>
      <c r="C1445" s="26" t="s">
        <v>655</v>
      </c>
      <c r="D1445" s="26" t="s">
        <v>656</v>
      </c>
    </row>
    <row r="1446">
      <c r="A1446" s="188">
        <v>44880.02511055555</v>
      </c>
      <c r="B1446" s="26" t="s">
        <v>324</v>
      </c>
      <c r="C1446" s="26">
        <v>8.6</v>
      </c>
      <c r="D1446" s="26" t="s">
        <v>103</v>
      </c>
    </row>
    <row r="1447">
      <c r="A1447" s="188">
        <v>44880.02511055555</v>
      </c>
      <c r="B1447" s="26" t="s">
        <v>323</v>
      </c>
      <c r="C1447" s="26">
        <v>1.3</v>
      </c>
      <c r="D1447" s="26" t="s">
        <v>141</v>
      </c>
    </row>
    <row r="1448">
      <c r="A1448" s="188">
        <v>44880.02511055555</v>
      </c>
      <c r="B1448" s="26" t="s">
        <v>287</v>
      </c>
      <c r="C1448" s="26">
        <v>10.0</v>
      </c>
      <c r="D1448" s="26" t="s">
        <v>141</v>
      </c>
    </row>
    <row r="1449">
      <c r="A1449" s="188">
        <v>44880.02511055555</v>
      </c>
      <c r="B1449" s="26" t="s">
        <v>277</v>
      </c>
      <c r="C1449" s="26">
        <v>6.5</v>
      </c>
      <c r="D1449" s="26" t="s">
        <v>59</v>
      </c>
    </row>
    <row r="1450">
      <c r="A1450" s="188">
        <v>44880.02511055555</v>
      </c>
      <c r="B1450" s="26" t="s">
        <v>328</v>
      </c>
      <c r="C1450" s="26">
        <v>3.7</v>
      </c>
      <c r="D1450" s="26" t="s">
        <v>109</v>
      </c>
    </row>
    <row r="1451">
      <c r="A1451" s="188">
        <v>44880.02511055555</v>
      </c>
      <c r="B1451" s="26" t="s">
        <v>322</v>
      </c>
      <c r="C1451" s="26">
        <v>4.9</v>
      </c>
      <c r="D1451" s="26" t="s">
        <v>103</v>
      </c>
    </row>
    <row r="1452">
      <c r="A1452" s="188">
        <v>44880.02511055555</v>
      </c>
      <c r="B1452" s="26" t="s">
        <v>303</v>
      </c>
      <c r="C1452" s="26">
        <v>5.8</v>
      </c>
      <c r="D1452" s="26" t="s">
        <v>138</v>
      </c>
    </row>
    <row r="1453">
      <c r="A1453" s="188">
        <v>44880.02511055555</v>
      </c>
      <c r="B1453" s="26" t="s">
        <v>352</v>
      </c>
      <c r="C1453" s="26">
        <v>3.7</v>
      </c>
      <c r="D1453" s="26" t="s">
        <v>154</v>
      </c>
    </row>
    <row r="1454">
      <c r="A1454" s="188">
        <v>44880.02511055555</v>
      </c>
      <c r="B1454" s="26" t="s">
        <v>398</v>
      </c>
      <c r="C1454" s="26">
        <v>5.2</v>
      </c>
      <c r="D1454" s="26" t="s">
        <v>166</v>
      </c>
    </row>
    <row r="1455">
      <c r="A1455" s="188">
        <v>44880.02511055555</v>
      </c>
      <c r="B1455" s="26" t="s">
        <v>337</v>
      </c>
      <c r="C1455" s="26">
        <v>4.6</v>
      </c>
      <c r="D1455" s="26" t="s">
        <v>166</v>
      </c>
    </row>
    <row r="1456">
      <c r="A1456" s="188">
        <v>44880.02511055555</v>
      </c>
      <c r="B1456" s="26" t="s">
        <v>329</v>
      </c>
      <c r="C1456" s="26">
        <v>5.9</v>
      </c>
      <c r="D1456" s="26" t="s">
        <v>116</v>
      </c>
    </row>
    <row r="1457">
      <c r="A1457" s="188">
        <v>44880.02511055555</v>
      </c>
      <c r="B1457" s="26" t="s">
        <v>320</v>
      </c>
      <c r="C1457" s="26">
        <v>6.698</v>
      </c>
      <c r="D1457" s="26" t="s">
        <v>154</v>
      </c>
    </row>
    <row r="1458">
      <c r="A1458" s="188">
        <v>44880.02511055555</v>
      </c>
      <c r="B1458" s="26" t="s">
        <v>316</v>
      </c>
      <c r="C1458" s="26">
        <v>8.716000000000001</v>
      </c>
      <c r="D1458" s="26" t="s">
        <v>148</v>
      </c>
    </row>
    <row r="1459">
      <c r="A1459" s="188">
        <v>44880.02511055555</v>
      </c>
      <c r="B1459" s="26" t="s">
        <v>289</v>
      </c>
      <c r="C1459" s="26">
        <v>3.3</v>
      </c>
      <c r="D1459" s="26" t="s">
        <v>59</v>
      </c>
    </row>
    <row r="1460">
      <c r="A1460" s="188">
        <v>44880.02511055555</v>
      </c>
      <c r="B1460" s="26" t="s">
        <v>335</v>
      </c>
      <c r="C1460" s="26">
        <v>5.2989999999999995</v>
      </c>
      <c r="D1460" s="26" t="s">
        <v>148</v>
      </c>
    </row>
    <row r="1461">
      <c r="A1461" s="188">
        <v>44880.02511055555</v>
      </c>
      <c r="B1461" s="26" t="s">
        <v>344</v>
      </c>
      <c r="C1461" s="26">
        <v>6.482</v>
      </c>
      <c r="D1461" s="26" t="s">
        <v>109</v>
      </c>
    </row>
    <row r="1462">
      <c r="A1462" s="188">
        <v>44880.02511055555</v>
      </c>
      <c r="B1462" s="26" t="s">
        <v>393</v>
      </c>
      <c r="C1462" s="26">
        <v>6.5</v>
      </c>
      <c r="D1462" s="26" t="s">
        <v>141</v>
      </c>
    </row>
    <row r="1463">
      <c r="A1463" s="188">
        <v>44880.02511055555</v>
      </c>
      <c r="B1463" s="26" t="s">
        <v>333</v>
      </c>
      <c r="C1463" s="26">
        <v>3.9</v>
      </c>
      <c r="D1463" s="26" t="s">
        <v>166</v>
      </c>
    </row>
    <row r="1464">
      <c r="A1464" s="188">
        <v>44880.02511055555</v>
      </c>
      <c r="B1464" s="26" t="s">
        <v>285</v>
      </c>
      <c r="C1464" s="26">
        <v>5.2</v>
      </c>
      <c r="D1464" s="26" t="s">
        <v>59</v>
      </c>
    </row>
    <row r="1465">
      <c r="A1465" s="188">
        <v>44880.02511055555</v>
      </c>
      <c r="B1465" s="26" t="s">
        <v>317</v>
      </c>
      <c r="C1465" s="26">
        <v>2.4</v>
      </c>
      <c r="D1465" s="26" t="s">
        <v>141</v>
      </c>
    </row>
    <row r="1466">
      <c r="A1466" s="188">
        <v>44880.02511055555</v>
      </c>
      <c r="B1466" s="26" t="s">
        <v>282</v>
      </c>
      <c r="C1466" s="26">
        <v>9.472</v>
      </c>
      <c r="D1466" s="26" t="s">
        <v>138</v>
      </c>
    </row>
    <row r="1467">
      <c r="A1467" s="188">
        <v>44880.02511055555</v>
      </c>
      <c r="B1467" s="26" t="s">
        <v>206</v>
      </c>
      <c r="C1467" s="26">
        <v>11.567</v>
      </c>
      <c r="D1467" s="26" t="s">
        <v>131</v>
      </c>
    </row>
    <row r="1468">
      <c r="A1468" s="188">
        <v>44880.02511055555</v>
      </c>
      <c r="B1468" s="26" t="s">
        <v>300</v>
      </c>
      <c r="C1468" s="26">
        <v>9.827</v>
      </c>
      <c r="D1468" s="26" t="s">
        <v>144</v>
      </c>
    </row>
    <row r="1469">
      <c r="A1469" s="188">
        <v>44880.02511055555</v>
      </c>
      <c r="B1469" s="26" t="s">
        <v>342</v>
      </c>
      <c r="C1469" s="26">
        <v>1.1</v>
      </c>
      <c r="D1469" s="26" t="s">
        <v>144</v>
      </c>
    </row>
    <row r="1470">
      <c r="A1470" s="188">
        <v>44880.02511055555</v>
      </c>
      <c r="B1470" s="26" t="s">
        <v>336</v>
      </c>
      <c r="C1470" s="26">
        <v>2.6</v>
      </c>
      <c r="D1470" s="26" t="s">
        <v>116</v>
      </c>
    </row>
    <row r="1471">
      <c r="A1471" s="188">
        <v>44880.02511055555</v>
      </c>
      <c r="B1471" s="26" t="s">
        <v>331</v>
      </c>
      <c r="C1471" s="26">
        <v>7.8</v>
      </c>
      <c r="D1471" s="26" t="s">
        <v>442</v>
      </c>
    </row>
    <row r="1472">
      <c r="A1472" s="188">
        <v>44880.02511055555</v>
      </c>
      <c r="B1472" s="26" t="s">
        <v>325</v>
      </c>
      <c r="C1472" s="26">
        <v>7.5</v>
      </c>
      <c r="D1472" s="26" t="s">
        <v>144</v>
      </c>
    </row>
    <row r="1473">
      <c r="A1473" s="188">
        <v>44880.02511055555</v>
      </c>
      <c r="B1473" s="26" t="s">
        <v>356</v>
      </c>
      <c r="C1473" s="26">
        <v>6.7</v>
      </c>
      <c r="D1473" s="26" t="s">
        <v>103</v>
      </c>
    </row>
    <row r="1474">
      <c r="A1474" s="188">
        <v>44880.02511055555</v>
      </c>
      <c r="B1474" s="26" t="s">
        <v>181</v>
      </c>
      <c r="C1474" s="26">
        <v>5.991</v>
      </c>
      <c r="D1474" s="26" t="s">
        <v>53</v>
      </c>
    </row>
    <row r="1475">
      <c r="A1475" s="188">
        <v>44880.02511055555</v>
      </c>
      <c r="B1475" s="26" t="s">
        <v>346</v>
      </c>
      <c r="C1475" s="26">
        <v>7.1</v>
      </c>
      <c r="D1475" s="26" t="s">
        <v>144</v>
      </c>
    </row>
    <row r="1476">
      <c r="A1476" s="188">
        <v>44880.02511055555</v>
      </c>
      <c r="B1476" s="26" t="s">
        <v>275</v>
      </c>
      <c r="C1476" s="26">
        <v>4.3</v>
      </c>
      <c r="D1476" s="26" t="s">
        <v>59</v>
      </c>
    </row>
    <row r="1477">
      <c r="A1477" s="188">
        <v>44880.02511055555</v>
      </c>
      <c r="B1477" s="26" t="s">
        <v>340</v>
      </c>
      <c r="C1477" s="26">
        <v>8.7</v>
      </c>
      <c r="D1477" s="26" t="s">
        <v>103</v>
      </c>
    </row>
    <row r="1478">
      <c r="A1478" s="188">
        <v>44880.02511055555</v>
      </c>
      <c r="B1478" s="26" t="s">
        <v>345</v>
      </c>
      <c r="C1478" s="26">
        <v>7.607</v>
      </c>
      <c r="D1478" s="26" t="s">
        <v>144</v>
      </c>
    </row>
    <row r="1479">
      <c r="A1479" s="188">
        <v>44880.02511055555</v>
      </c>
      <c r="B1479" s="26" t="s">
        <v>313</v>
      </c>
      <c r="C1479" s="26">
        <v>11.956000000000001</v>
      </c>
      <c r="D1479" s="26" t="s">
        <v>116</v>
      </c>
    </row>
    <row r="1480">
      <c r="A1480" s="188">
        <v>44880.02511055555</v>
      </c>
      <c r="B1480" s="26" t="s">
        <v>257</v>
      </c>
      <c r="C1480" s="26">
        <v>5.9</v>
      </c>
      <c r="D1480" s="26" t="s">
        <v>178</v>
      </c>
    </row>
    <row r="1481">
      <c r="A1481" s="188">
        <v>44880.02511055555</v>
      </c>
      <c r="B1481" s="26" t="s">
        <v>361</v>
      </c>
      <c r="C1481" s="26">
        <v>4.6</v>
      </c>
      <c r="D1481" s="26" t="s">
        <v>103</v>
      </c>
    </row>
    <row r="1482">
      <c r="A1482" s="188">
        <v>44880.02511055555</v>
      </c>
      <c r="B1482" s="26" t="s">
        <v>348</v>
      </c>
      <c r="C1482" s="26">
        <v>4.1</v>
      </c>
      <c r="D1482" s="26" t="s">
        <v>116</v>
      </c>
    </row>
    <row r="1483">
      <c r="A1483" s="188">
        <v>44880.02511055555</v>
      </c>
      <c r="B1483" s="26" t="s">
        <v>351</v>
      </c>
      <c r="C1483" s="26">
        <v>2.4</v>
      </c>
      <c r="D1483" s="26" t="s">
        <v>166</v>
      </c>
    </row>
    <row r="1484">
      <c r="A1484" s="188">
        <v>44880.02511055555</v>
      </c>
      <c r="B1484" s="26" t="s">
        <v>330</v>
      </c>
      <c r="C1484" s="26">
        <v>7.1</v>
      </c>
      <c r="D1484" s="26" t="s">
        <v>154</v>
      </c>
    </row>
    <row r="1485">
      <c r="A1485" s="188">
        <v>44880.02511055555</v>
      </c>
      <c r="B1485" s="26" t="s">
        <v>321</v>
      </c>
      <c r="C1485" s="26">
        <v>7.888000000000001</v>
      </c>
      <c r="D1485" s="26" t="s">
        <v>144</v>
      </c>
    </row>
    <row r="1486">
      <c r="A1486" s="188">
        <v>44880.02511055555</v>
      </c>
      <c r="B1486" s="26" t="s">
        <v>327</v>
      </c>
      <c r="C1486" s="26">
        <v>3.4</v>
      </c>
      <c r="D1486" s="26" t="s">
        <v>166</v>
      </c>
    </row>
    <row r="1487">
      <c r="A1487" s="188">
        <v>44880.02511055555</v>
      </c>
      <c r="B1487" s="26" t="s">
        <v>332</v>
      </c>
      <c r="C1487" s="26">
        <v>7.1770000000000005</v>
      </c>
      <c r="D1487" s="26" t="s">
        <v>116</v>
      </c>
    </row>
    <row r="1488">
      <c r="A1488" s="188">
        <v>44880.02511055555</v>
      </c>
      <c r="B1488" s="26" t="s">
        <v>326</v>
      </c>
      <c r="C1488" s="26">
        <v>4.9</v>
      </c>
      <c r="D1488" s="26" t="s">
        <v>148</v>
      </c>
    </row>
    <row r="1489">
      <c r="A1489" s="188">
        <v>44880.02511055555</v>
      </c>
      <c r="B1489" s="26" t="s">
        <v>388</v>
      </c>
      <c r="C1489" s="26">
        <v>7.4</v>
      </c>
      <c r="D1489" s="26" t="s">
        <v>442</v>
      </c>
    </row>
    <row r="1490">
      <c r="A1490" s="188">
        <v>44880.02511055555</v>
      </c>
      <c r="B1490" s="26" t="s">
        <v>217</v>
      </c>
      <c r="C1490" s="26">
        <v>6.398000000000001</v>
      </c>
      <c r="D1490" s="26" t="s">
        <v>131</v>
      </c>
    </row>
    <row r="1491">
      <c r="A1491" s="188">
        <v>44880.02511055555</v>
      </c>
      <c r="B1491" s="26" t="s">
        <v>291</v>
      </c>
      <c r="C1491" s="26">
        <v>8.491</v>
      </c>
      <c r="D1491" s="26" t="s">
        <v>59</v>
      </c>
    </row>
    <row r="1492">
      <c r="A1492" s="188">
        <v>44880.02511055555</v>
      </c>
      <c r="B1492" s="26" t="s">
        <v>359</v>
      </c>
      <c r="C1492" s="26">
        <v>5.192</v>
      </c>
      <c r="D1492" s="26" t="s">
        <v>144</v>
      </c>
    </row>
    <row r="1493">
      <c r="A1493" s="188">
        <v>44880.02511055555</v>
      </c>
      <c r="B1493" s="26" t="s">
        <v>283</v>
      </c>
      <c r="C1493" s="26">
        <v>6.5</v>
      </c>
      <c r="D1493" s="26" t="s">
        <v>59</v>
      </c>
    </row>
    <row r="1494">
      <c r="A1494" s="188">
        <v>44880.02511055555</v>
      </c>
      <c r="B1494" s="26" t="s">
        <v>399</v>
      </c>
      <c r="C1494" s="26">
        <v>9.7</v>
      </c>
      <c r="D1494" s="26" t="s">
        <v>166</v>
      </c>
    </row>
    <row r="1495">
      <c r="A1495" s="188">
        <v>44880.02511055555</v>
      </c>
      <c r="B1495" s="26" t="s">
        <v>292</v>
      </c>
      <c r="C1495" s="26">
        <v>5.7</v>
      </c>
      <c r="D1495" s="26" t="s">
        <v>109</v>
      </c>
    </row>
    <row r="1496">
      <c r="A1496" s="188">
        <v>44880.02511055555</v>
      </c>
      <c r="B1496" s="26" t="s">
        <v>334</v>
      </c>
      <c r="C1496" s="26">
        <v>3.8</v>
      </c>
      <c r="D1496" s="26" t="s">
        <v>166</v>
      </c>
    </row>
    <row r="1497">
      <c r="A1497" s="188">
        <v>44880.02511055555</v>
      </c>
      <c r="B1497" s="26" t="s">
        <v>353</v>
      </c>
      <c r="C1497" s="26">
        <v>7.3</v>
      </c>
      <c r="D1497" s="26" t="s">
        <v>141</v>
      </c>
    </row>
    <row r="1498">
      <c r="A1498" s="188">
        <v>44880.02511055555</v>
      </c>
      <c r="B1498" s="26" t="s">
        <v>360</v>
      </c>
      <c r="C1498" s="26">
        <v>9.543999999999999</v>
      </c>
      <c r="D1498" s="26" t="s">
        <v>109</v>
      </c>
    </row>
    <row r="1499">
      <c r="A1499" s="188">
        <v>44880.02511055555</v>
      </c>
      <c r="B1499" s="26" t="s">
        <v>306</v>
      </c>
      <c r="C1499" s="26">
        <v>7.2</v>
      </c>
      <c r="D1499" s="26" t="s">
        <v>166</v>
      </c>
    </row>
    <row r="1500">
      <c r="A1500" s="188">
        <v>44880.02511055555</v>
      </c>
      <c r="B1500" s="26" t="s">
        <v>341</v>
      </c>
      <c r="C1500" s="26">
        <v>7.0</v>
      </c>
      <c r="D1500" s="26" t="s">
        <v>103</v>
      </c>
    </row>
    <row r="1501">
      <c r="A1501" s="188">
        <v>44880.02511055555</v>
      </c>
      <c r="B1501" s="26" t="s">
        <v>339</v>
      </c>
      <c r="C1501" s="26">
        <v>6.3</v>
      </c>
      <c r="D1501" s="26" t="s">
        <v>109</v>
      </c>
    </row>
    <row r="1502">
      <c r="A1502" s="188">
        <v>44880.02511055555</v>
      </c>
      <c r="B1502" s="26" t="s">
        <v>208</v>
      </c>
      <c r="C1502" s="26">
        <v>4.9</v>
      </c>
      <c r="D1502" s="26" t="s">
        <v>131</v>
      </c>
    </row>
    <row r="1503">
      <c r="A1503" s="188">
        <v>44880.02511055555</v>
      </c>
      <c r="B1503" s="26" t="s">
        <v>357</v>
      </c>
      <c r="C1503" s="26">
        <v>5.5</v>
      </c>
      <c r="D1503" s="26" t="s">
        <v>144</v>
      </c>
    </row>
    <row r="1504">
      <c r="A1504" s="188">
        <v>44880.02511055555</v>
      </c>
      <c r="B1504" s="26" t="s">
        <v>294</v>
      </c>
      <c r="C1504" s="26">
        <v>6.0</v>
      </c>
      <c r="D1504" s="26" t="s">
        <v>138</v>
      </c>
    </row>
    <row r="1505">
      <c r="A1505" s="188">
        <v>44880.02511055555</v>
      </c>
      <c r="B1505" s="26" t="s">
        <v>284</v>
      </c>
      <c r="C1505" s="26">
        <v>11.235</v>
      </c>
      <c r="D1505" s="26" t="s">
        <v>59</v>
      </c>
    </row>
    <row r="1506">
      <c r="A1506" s="188">
        <v>44880.02511055555</v>
      </c>
      <c r="B1506" s="26" t="s">
        <v>343</v>
      </c>
      <c r="C1506" s="26">
        <v>6.3</v>
      </c>
      <c r="D1506" s="26" t="s">
        <v>109</v>
      </c>
    </row>
    <row r="1507">
      <c r="A1507" s="188">
        <v>44880.02511055555</v>
      </c>
      <c r="B1507" s="26" t="s">
        <v>240</v>
      </c>
      <c r="C1507" s="26">
        <v>8.187</v>
      </c>
      <c r="D1507" s="26" t="s">
        <v>178</v>
      </c>
    </row>
    <row r="1508">
      <c r="A1508" s="188">
        <v>44880.02511055555</v>
      </c>
      <c r="B1508" s="26" t="s">
        <v>269</v>
      </c>
      <c r="C1508" s="26">
        <v>7.3</v>
      </c>
      <c r="D1508" s="26" t="s">
        <v>178</v>
      </c>
    </row>
    <row r="1509">
      <c r="A1509" s="188">
        <v>44880.02511055555</v>
      </c>
      <c r="B1509" s="26" t="s">
        <v>173</v>
      </c>
      <c r="C1509" s="26">
        <v>5.4</v>
      </c>
      <c r="D1509" s="26" t="s">
        <v>53</v>
      </c>
    </row>
    <row r="1510">
      <c r="A1510" s="188">
        <v>44880.02511055555</v>
      </c>
      <c r="B1510" s="26" t="s">
        <v>347</v>
      </c>
      <c r="C1510" s="26">
        <v>3.6</v>
      </c>
      <c r="D1510" s="26" t="s">
        <v>116</v>
      </c>
    </row>
    <row r="1511">
      <c r="A1511" s="188">
        <v>44880.02511055555</v>
      </c>
      <c r="B1511" s="26" t="s">
        <v>363</v>
      </c>
      <c r="C1511" s="26">
        <v>7.7</v>
      </c>
      <c r="D1511" s="26" t="s">
        <v>154</v>
      </c>
    </row>
    <row r="1512">
      <c r="A1512" s="188">
        <v>44880.02511055555</v>
      </c>
      <c r="B1512" s="26" t="s">
        <v>365</v>
      </c>
      <c r="C1512" s="26">
        <v>3.4</v>
      </c>
      <c r="D1512" s="26" t="s">
        <v>141</v>
      </c>
    </row>
    <row r="1513">
      <c r="A1513" s="188">
        <v>44880.02511055555</v>
      </c>
      <c r="B1513" s="26" t="s">
        <v>120</v>
      </c>
      <c r="C1513" s="26">
        <v>2.4</v>
      </c>
      <c r="D1513" s="26" t="s">
        <v>53</v>
      </c>
    </row>
    <row r="1514">
      <c r="A1514" s="188">
        <v>44880.02511055555</v>
      </c>
      <c r="B1514" s="26" t="s">
        <v>263</v>
      </c>
      <c r="C1514" s="26">
        <v>2.7</v>
      </c>
      <c r="D1514" s="26" t="s">
        <v>178</v>
      </c>
    </row>
    <row r="1515">
      <c r="A1515" s="188">
        <v>44880.02511055555</v>
      </c>
      <c r="B1515" s="26" t="s">
        <v>394</v>
      </c>
      <c r="C1515" s="26">
        <v>4.1</v>
      </c>
      <c r="D1515" s="26" t="s">
        <v>109</v>
      </c>
    </row>
    <row r="1516">
      <c r="A1516" s="188">
        <v>44880.02511055555</v>
      </c>
      <c r="B1516" s="26" t="s">
        <v>367</v>
      </c>
      <c r="C1516" s="26">
        <v>10.833</v>
      </c>
      <c r="D1516" s="26" t="s">
        <v>109</v>
      </c>
    </row>
    <row r="1517">
      <c r="A1517" s="188">
        <v>44880.02511055555</v>
      </c>
      <c r="B1517" s="26" t="s">
        <v>204</v>
      </c>
      <c r="C1517" s="26">
        <v>6.832999999999999</v>
      </c>
      <c r="D1517" s="26" t="s">
        <v>131</v>
      </c>
    </row>
    <row r="1518">
      <c r="A1518" s="188">
        <v>44880.02511055555</v>
      </c>
      <c r="B1518" s="26" t="s">
        <v>298</v>
      </c>
      <c r="C1518" s="26">
        <v>4.5</v>
      </c>
      <c r="D1518" s="26" t="s">
        <v>138</v>
      </c>
    </row>
    <row r="1519">
      <c r="A1519" s="188">
        <v>44880.02511055555</v>
      </c>
      <c r="B1519" s="26" t="s">
        <v>368</v>
      </c>
      <c r="C1519" s="26">
        <v>1.3</v>
      </c>
      <c r="D1519" s="26" t="s">
        <v>154</v>
      </c>
    </row>
    <row r="1520">
      <c r="A1520" s="188">
        <v>44880.02511055555</v>
      </c>
      <c r="B1520" s="26" t="s">
        <v>400</v>
      </c>
      <c r="C1520" s="26">
        <v>8.2</v>
      </c>
      <c r="D1520" s="26" t="s">
        <v>109</v>
      </c>
    </row>
    <row r="1521">
      <c r="A1521" s="188">
        <v>44880.02511055555</v>
      </c>
      <c r="B1521" s="26" t="s">
        <v>176</v>
      </c>
      <c r="C1521" s="26">
        <v>8.402</v>
      </c>
      <c r="D1521" s="26" t="s">
        <v>53</v>
      </c>
    </row>
    <row r="1522">
      <c r="A1522" s="188">
        <v>44880.02511055555</v>
      </c>
      <c r="B1522" s="26" t="s">
        <v>168</v>
      </c>
      <c r="C1522" s="26">
        <v>11.556</v>
      </c>
      <c r="D1522" s="26" t="s">
        <v>53</v>
      </c>
    </row>
    <row r="1523">
      <c r="A1523" s="188">
        <v>44880.02511055555</v>
      </c>
      <c r="B1523" s="26" t="s">
        <v>184</v>
      </c>
      <c r="C1523" s="26">
        <v>6.1</v>
      </c>
      <c r="D1523" s="26" t="s">
        <v>53</v>
      </c>
    </row>
    <row r="1524">
      <c r="A1524" s="188">
        <v>44880.02511055555</v>
      </c>
      <c r="B1524" s="26" t="s">
        <v>354</v>
      </c>
      <c r="C1524" s="26">
        <v>8.094999999999999</v>
      </c>
      <c r="D1524" s="26" t="s">
        <v>116</v>
      </c>
    </row>
    <row r="1525">
      <c r="A1525" s="188">
        <v>44880.02511055555</v>
      </c>
      <c r="B1525" s="26" t="s">
        <v>170</v>
      </c>
      <c r="C1525" s="26">
        <v>3.3</v>
      </c>
      <c r="D1525" s="26" t="s">
        <v>53</v>
      </c>
    </row>
    <row r="1526">
      <c r="A1526" s="188">
        <v>44880.02511055555</v>
      </c>
      <c r="B1526" s="26" t="s">
        <v>373</v>
      </c>
      <c r="C1526" s="26">
        <v>9.4</v>
      </c>
      <c r="D1526" s="26" t="s">
        <v>103</v>
      </c>
    </row>
    <row r="1527">
      <c r="A1527" s="188">
        <v>44880.02511055555</v>
      </c>
      <c r="B1527" s="26" t="s">
        <v>54</v>
      </c>
      <c r="C1527" s="26">
        <v>9.040000000000001</v>
      </c>
      <c r="D1527" s="26" t="s">
        <v>53</v>
      </c>
    </row>
    <row r="1528">
      <c r="A1528" s="188">
        <v>44880.02511055555</v>
      </c>
      <c r="B1528" s="26" t="s">
        <v>274</v>
      </c>
      <c r="C1528" s="26">
        <v>8.1</v>
      </c>
      <c r="D1528" s="26" t="s">
        <v>59</v>
      </c>
    </row>
    <row r="1529">
      <c r="A1529" s="188">
        <v>44880.02511055555</v>
      </c>
      <c r="B1529" s="26" t="s">
        <v>375</v>
      </c>
      <c r="C1529" s="26">
        <v>9.8</v>
      </c>
      <c r="D1529" s="26" t="s">
        <v>109</v>
      </c>
    </row>
    <row r="1530">
      <c r="A1530" s="188">
        <v>44880.02511055555</v>
      </c>
      <c r="B1530" s="26" t="s">
        <v>370</v>
      </c>
      <c r="C1530" s="26">
        <v>7.2</v>
      </c>
      <c r="D1530" s="26" t="s">
        <v>166</v>
      </c>
    </row>
    <row r="1531">
      <c r="A1531" s="188">
        <v>44880.02511055555</v>
      </c>
      <c r="B1531" s="26" t="s">
        <v>381</v>
      </c>
      <c r="C1531" s="26">
        <v>7.657</v>
      </c>
      <c r="D1531" s="26" t="s">
        <v>148</v>
      </c>
    </row>
    <row r="1532">
      <c r="A1532" s="188">
        <v>44880.02511055555</v>
      </c>
      <c r="B1532" s="26" t="s">
        <v>355</v>
      </c>
      <c r="C1532" s="26">
        <v>5.3</v>
      </c>
      <c r="D1532" s="26" t="s">
        <v>116</v>
      </c>
    </row>
    <row r="1533">
      <c r="A1533" s="188">
        <v>44880.02511055555</v>
      </c>
      <c r="B1533" s="26" t="s">
        <v>386</v>
      </c>
      <c r="C1533" s="26">
        <v>4.2</v>
      </c>
      <c r="D1533" s="26" t="s">
        <v>141</v>
      </c>
    </row>
    <row r="1534">
      <c r="A1534" s="188">
        <v>44880.02511055555</v>
      </c>
      <c r="B1534" s="26" t="s">
        <v>219</v>
      </c>
      <c r="C1534" s="26">
        <v>7.098</v>
      </c>
      <c r="D1534" s="26" t="s">
        <v>131</v>
      </c>
    </row>
    <row r="1535">
      <c r="A1535" s="188">
        <v>44880.02511055555</v>
      </c>
      <c r="B1535" s="26" t="s">
        <v>349</v>
      </c>
      <c r="C1535" s="26">
        <v>7.496</v>
      </c>
      <c r="D1535" s="26" t="s">
        <v>141</v>
      </c>
    </row>
    <row r="1536">
      <c r="A1536" s="188">
        <v>44880.02511055555</v>
      </c>
      <c r="B1536" s="26" t="s">
        <v>314</v>
      </c>
      <c r="C1536" s="26">
        <v>6.989</v>
      </c>
      <c r="D1536" s="26" t="s">
        <v>141</v>
      </c>
    </row>
    <row r="1537">
      <c r="A1537" s="188">
        <v>44880.02511055555</v>
      </c>
      <c r="B1537" s="26" t="s">
        <v>302</v>
      </c>
      <c r="C1537" s="26">
        <v>9.452</v>
      </c>
      <c r="D1537" s="26" t="s">
        <v>138</v>
      </c>
    </row>
    <row r="1538">
      <c r="A1538" s="188">
        <v>44880.02511055555</v>
      </c>
      <c r="B1538" s="26" t="s">
        <v>379</v>
      </c>
      <c r="C1538" s="26">
        <v>6.2</v>
      </c>
      <c r="D1538" s="26" t="s">
        <v>154</v>
      </c>
    </row>
    <row r="1539">
      <c r="A1539" s="188">
        <v>44880.02511055555</v>
      </c>
      <c r="B1539" s="26" t="s">
        <v>210</v>
      </c>
      <c r="C1539" s="26">
        <v>1.3</v>
      </c>
      <c r="D1539" s="26" t="s">
        <v>131</v>
      </c>
    </row>
    <row r="1540">
      <c r="A1540" s="188">
        <v>44880.02511055555</v>
      </c>
      <c r="B1540" s="26" t="s">
        <v>338</v>
      </c>
      <c r="C1540" s="26">
        <v>6.0</v>
      </c>
      <c r="D1540" s="26" t="s">
        <v>144</v>
      </c>
    </row>
    <row r="1541">
      <c r="A1541" s="188">
        <v>44880.02511055555</v>
      </c>
      <c r="B1541" s="26" t="s">
        <v>311</v>
      </c>
      <c r="C1541" s="26">
        <v>3.8</v>
      </c>
      <c r="D1541" s="26" t="s">
        <v>138</v>
      </c>
    </row>
    <row r="1542">
      <c r="A1542" s="188">
        <v>44880.02511055555</v>
      </c>
      <c r="B1542" s="26" t="s">
        <v>308</v>
      </c>
      <c r="C1542" s="26">
        <v>7.1</v>
      </c>
      <c r="D1542" s="26" t="s">
        <v>138</v>
      </c>
    </row>
    <row r="1543">
      <c r="A1543" s="188">
        <v>44880.02511055555</v>
      </c>
      <c r="B1543" s="26" t="s">
        <v>358</v>
      </c>
      <c r="C1543" s="26">
        <v>11.231</v>
      </c>
      <c r="D1543" s="26" t="s">
        <v>103</v>
      </c>
    </row>
    <row r="1544">
      <c r="A1544" s="188">
        <v>44880.02511055555</v>
      </c>
      <c r="B1544" s="26" t="s">
        <v>362</v>
      </c>
      <c r="C1544" s="26">
        <v>3.3</v>
      </c>
      <c r="D1544" s="26" t="s">
        <v>103</v>
      </c>
    </row>
    <row r="1545">
      <c r="A1545" s="188">
        <v>44880.02511055555</v>
      </c>
      <c r="B1545" s="26" t="s">
        <v>214</v>
      </c>
      <c r="C1545" s="26">
        <v>10.9</v>
      </c>
      <c r="D1545" s="26" t="s">
        <v>131</v>
      </c>
    </row>
    <row r="1546">
      <c r="A1546" s="188">
        <v>44880.02511055555</v>
      </c>
      <c r="B1546" s="26" t="s">
        <v>387</v>
      </c>
      <c r="C1546" s="26">
        <v>4.3</v>
      </c>
      <c r="D1546" s="26" t="s">
        <v>148</v>
      </c>
    </row>
    <row r="1547">
      <c r="A1547" s="188">
        <v>44880.02511055555</v>
      </c>
      <c r="B1547" s="26" t="s">
        <v>364</v>
      </c>
      <c r="C1547" s="26">
        <v>7.486999999999999</v>
      </c>
      <c r="D1547" s="26" t="s">
        <v>166</v>
      </c>
    </row>
    <row r="1548">
      <c r="A1548" s="188">
        <v>44880.02511055555</v>
      </c>
      <c r="B1548" s="26" t="s">
        <v>380</v>
      </c>
      <c r="C1548" s="26">
        <v>3.9</v>
      </c>
      <c r="D1548" s="26" t="s">
        <v>148</v>
      </c>
    </row>
    <row r="1549">
      <c r="A1549" s="188">
        <v>44880.02511055555</v>
      </c>
      <c r="B1549" s="26" t="s">
        <v>272</v>
      </c>
      <c r="C1549" s="26">
        <v>5.8</v>
      </c>
      <c r="D1549" s="26" t="s">
        <v>178</v>
      </c>
    </row>
    <row r="1550">
      <c r="A1550" s="188">
        <v>44880.02511055555</v>
      </c>
      <c r="B1550" s="26" t="s">
        <v>265</v>
      </c>
      <c r="C1550" s="26">
        <v>8.725</v>
      </c>
      <c r="D1550" s="26" t="s">
        <v>178</v>
      </c>
    </row>
    <row r="1551">
      <c r="A1551" s="188">
        <v>44880.02511055555</v>
      </c>
      <c r="B1551" s="26" t="s">
        <v>318</v>
      </c>
      <c r="C1551" s="26">
        <v>9.622</v>
      </c>
      <c r="D1551" s="26" t="s">
        <v>141</v>
      </c>
    </row>
    <row r="1552">
      <c r="A1552" s="188">
        <v>44880.02511055555</v>
      </c>
      <c r="B1552" s="26" t="s">
        <v>267</v>
      </c>
      <c r="C1552" s="26">
        <v>8.991</v>
      </c>
      <c r="D1552" s="26" t="s">
        <v>178</v>
      </c>
    </row>
    <row r="1553">
      <c r="A1553" s="188">
        <v>44880.02511055555</v>
      </c>
      <c r="B1553" s="26" t="s">
        <v>195</v>
      </c>
      <c r="C1553" s="26">
        <v>4.0</v>
      </c>
      <c r="D1553" s="26" t="s">
        <v>53</v>
      </c>
    </row>
    <row r="1554">
      <c r="A1554" s="188">
        <v>44880.02511055555</v>
      </c>
      <c r="B1554" s="26" t="s">
        <v>378</v>
      </c>
      <c r="C1554" s="26">
        <v>5.9</v>
      </c>
      <c r="D1554" s="26" t="s">
        <v>103</v>
      </c>
    </row>
    <row r="1555">
      <c r="A1555" s="188">
        <v>44880.02511055555</v>
      </c>
      <c r="B1555" s="26" t="s">
        <v>374</v>
      </c>
      <c r="C1555" s="26">
        <v>9.848</v>
      </c>
      <c r="D1555" s="26" t="s">
        <v>148</v>
      </c>
    </row>
    <row r="1556">
      <c r="A1556" s="188">
        <v>44880.02511055555</v>
      </c>
      <c r="B1556" s="26" t="s">
        <v>261</v>
      </c>
      <c r="C1556" s="26">
        <v>9.133999999999999</v>
      </c>
      <c r="D1556" s="26" t="s">
        <v>178</v>
      </c>
    </row>
    <row r="1557">
      <c r="A1557" s="188">
        <v>44880.02511055555</v>
      </c>
      <c r="B1557" s="26" t="s">
        <v>281</v>
      </c>
      <c r="C1557" s="26">
        <v>6.2</v>
      </c>
      <c r="D1557" s="26" t="s">
        <v>59</v>
      </c>
    </row>
    <row r="1558">
      <c r="A1558" s="188">
        <v>44880.02511055555</v>
      </c>
      <c r="B1558" s="26" t="s">
        <v>199</v>
      </c>
      <c r="C1558" s="26">
        <v>4.5</v>
      </c>
      <c r="D1558" s="26" t="s">
        <v>131</v>
      </c>
    </row>
    <row r="1559">
      <c r="A1559" s="188">
        <v>44880.02511055555</v>
      </c>
      <c r="B1559" s="26" t="s">
        <v>401</v>
      </c>
      <c r="C1559" s="26">
        <v>1.1</v>
      </c>
      <c r="D1559" s="26" t="s">
        <v>148</v>
      </c>
    </row>
    <row r="1560">
      <c r="A1560" s="188">
        <v>44880.02511055555</v>
      </c>
      <c r="B1560" s="26" t="s">
        <v>279</v>
      </c>
      <c r="C1560" s="26">
        <v>5.4</v>
      </c>
      <c r="D1560" s="26" t="s">
        <v>59</v>
      </c>
    </row>
    <row r="1561">
      <c r="A1561" s="188">
        <v>44880.02511055555</v>
      </c>
      <c r="B1561" s="26" t="s">
        <v>369</v>
      </c>
      <c r="C1561" s="26">
        <v>10.323</v>
      </c>
      <c r="D1561" s="26" t="s">
        <v>116</v>
      </c>
    </row>
    <row r="1562">
      <c r="A1562" s="188">
        <v>44880.02511055555</v>
      </c>
      <c r="B1562" s="26" t="s">
        <v>304</v>
      </c>
      <c r="C1562" s="26">
        <v>5.5</v>
      </c>
      <c r="D1562" s="26" t="s">
        <v>138</v>
      </c>
    </row>
    <row r="1563">
      <c r="A1563" s="188">
        <v>44880.02511055555</v>
      </c>
      <c r="B1563" s="26" t="s">
        <v>372</v>
      </c>
      <c r="C1563" s="26">
        <v>9.533</v>
      </c>
      <c r="D1563" s="26" t="s">
        <v>154</v>
      </c>
    </row>
    <row r="1564">
      <c r="A1564" s="188">
        <v>44880.02511055555</v>
      </c>
      <c r="B1564" s="26" t="s">
        <v>366</v>
      </c>
      <c r="C1564" s="26">
        <v>5.0</v>
      </c>
      <c r="D1564" s="26" t="s">
        <v>154</v>
      </c>
    </row>
    <row r="1565">
      <c r="A1565" s="188">
        <v>44880.02511055555</v>
      </c>
      <c r="B1565" s="26" t="s">
        <v>296</v>
      </c>
      <c r="C1565" s="26">
        <v>9.722000000000001</v>
      </c>
      <c r="D1565" s="26" t="s">
        <v>138</v>
      </c>
    </row>
    <row r="1566">
      <c r="A1566" s="188">
        <v>44880.02511055555</v>
      </c>
      <c r="B1566" s="26" t="s">
        <v>309</v>
      </c>
      <c r="C1566" s="26">
        <v>4.2</v>
      </c>
      <c r="D1566" s="26" t="s">
        <v>138</v>
      </c>
    </row>
    <row r="1567">
      <c r="A1567" s="188">
        <v>44880.02511055555</v>
      </c>
      <c r="B1567" s="26" t="s">
        <v>155</v>
      </c>
      <c r="C1567" s="26">
        <v>4.0</v>
      </c>
      <c r="D1567" s="26" t="s">
        <v>53</v>
      </c>
    </row>
    <row r="1568">
      <c r="A1568" s="188">
        <v>44880.02511055555</v>
      </c>
      <c r="B1568" s="26" t="s">
        <v>384</v>
      </c>
      <c r="C1568" s="26">
        <v>2.8</v>
      </c>
      <c r="D1568" s="26" t="s">
        <v>148</v>
      </c>
    </row>
    <row r="1569">
      <c r="A1569" s="188">
        <v>44880.02511055555</v>
      </c>
      <c r="B1569" s="26" t="s">
        <v>259</v>
      </c>
      <c r="C1569" s="26">
        <v>7.2</v>
      </c>
      <c r="D1569" s="26" t="s">
        <v>178</v>
      </c>
    </row>
    <row r="1570">
      <c r="A1570" s="188">
        <v>44880.02511055555</v>
      </c>
      <c r="B1570" s="26" t="s">
        <v>377</v>
      </c>
      <c r="C1570" s="26">
        <v>9.47</v>
      </c>
      <c r="D1570" s="26" t="s">
        <v>148</v>
      </c>
    </row>
    <row r="1571">
      <c r="A1571" s="188">
        <v>44880.02511055555</v>
      </c>
      <c r="B1571" s="26" t="s">
        <v>222</v>
      </c>
      <c r="C1571" s="26">
        <v>7.1</v>
      </c>
      <c r="D1571" s="26" t="s">
        <v>131</v>
      </c>
    </row>
    <row r="1572">
      <c r="A1572" s="188">
        <v>44880.02511055555</v>
      </c>
      <c r="B1572" s="26" t="s">
        <v>371</v>
      </c>
      <c r="C1572" s="26">
        <v>4.6</v>
      </c>
      <c r="D1572" s="26" t="s">
        <v>144</v>
      </c>
    </row>
    <row r="1573">
      <c r="A1573" s="188">
        <v>44880.02511055555</v>
      </c>
      <c r="B1573" s="26" t="s">
        <v>271</v>
      </c>
      <c r="C1573" s="26">
        <v>8.055</v>
      </c>
      <c r="D1573" s="26" t="s">
        <v>178</v>
      </c>
    </row>
    <row r="1574">
      <c r="A1574" s="188">
        <v>44880.02511055555</v>
      </c>
      <c r="B1574" s="26" t="s">
        <v>382</v>
      </c>
      <c r="C1574" s="26">
        <v>3.5</v>
      </c>
      <c r="D1574" s="26" t="s">
        <v>154</v>
      </c>
    </row>
    <row r="1575">
      <c r="A1575" s="188">
        <v>44880.02511055555</v>
      </c>
      <c r="B1575" s="26" t="s">
        <v>197</v>
      </c>
      <c r="C1575" s="26">
        <v>6.3</v>
      </c>
      <c r="D1575" s="26" t="s">
        <v>131</v>
      </c>
    </row>
    <row r="1576">
      <c r="A1576" s="26" t="s">
        <v>654</v>
      </c>
      <c r="B1576" s="26" t="s">
        <v>0</v>
      </c>
      <c r="C1576" s="26" t="s">
        <v>655</v>
      </c>
      <c r="D1576" s="26" t="s">
        <v>656</v>
      </c>
    </row>
    <row r="1577">
      <c r="A1577" s="188">
        <v>44887.02510271991</v>
      </c>
      <c r="B1577" s="26" t="s">
        <v>324</v>
      </c>
      <c r="C1577" s="26">
        <v>8.6</v>
      </c>
      <c r="D1577" s="26" t="s">
        <v>103</v>
      </c>
    </row>
    <row r="1578">
      <c r="A1578" s="188">
        <v>44887.02510271991</v>
      </c>
      <c r="B1578" s="26" t="s">
        <v>323</v>
      </c>
      <c r="C1578" s="26">
        <v>1.2</v>
      </c>
      <c r="D1578" s="26" t="s">
        <v>141</v>
      </c>
    </row>
    <row r="1579">
      <c r="A1579" s="188">
        <v>44887.02510271991</v>
      </c>
      <c r="B1579" s="26" t="s">
        <v>287</v>
      </c>
      <c r="C1579" s="26">
        <v>9.9</v>
      </c>
      <c r="D1579" s="26" t="s">
        <v>141</v>
      </c>
    </row>
    <row r="1580">
      <c r="A1580" s="188">
        <v>44887.02510271991</v>
      </c>
      <c r="B1580" s="26" t="s">
        <v>277</v>
      </c>
      <c r="C1580" s="26">
        <v>6.6</v>
      </c>
      <c r="D1580" s="26" t="s">
        <v>59</v>
      </c>
    </row>
    <row r="1581">
      <c r="A1581" s="188">
        <v>44887.02510271991</v>
      </c>
      <c r="B1581" s="26" t="s">
        <v>328</v>
      </c>
      <c r="C1581" s="26">
        <v>3.4</v>
      </c>
      <c r="D1581" s="26" t="s">
        <v>109</v>
      </c>
    </row>
    <row r="1582">
      <c r="A1582" s="188">
        <v>44887.02510271991</v>
      </c>
      <c r="B1582" s="26" t="s">
        <v>322</v>
      </c>
      <c r="C1582" s="26">
        <v>4.6</v>
      </c>
      <c r="D1582" s="26" t="s">
        <v>103</v>
      </c>
    </row>
    <row r="1583">
      <c r="A1583" s="188">
        <v>44887.02510271991</v>
      </c>
      <c r="B1583" s="26" t="s">
        <v>303</v>
      </c>
      <c r="C1583" s="26">
        <v>6.6</v>
      </c>
      <c r="D1583" s="26" t="s">
        <v>138</v>
      </c>
    </row>
    <row r="1584">
      <c r="A1584" s="188">
        <v>44887.02510271991</v>
      </c>
      <c r="B1584" s="26" t="s">
        <v>352</v>
      </c>
      <c r="C1584" s="26">
        <v>3.3</v>
      </c>
      <c r="D1584" s="26" t="s">
        <v>154</v>
      </c>
    </row>
    <row r="1585">
      <c r="A1585" s="188">
        <v>44887.02510271991</v>
      </c>
      <c r="B1585" s="26" t="s">
        <v>398</v>
      </c>
      <c r="C1585" s="26">
        <v>5.4</v>
      </c>
      <c r="D1585" s="26" t="s">
        <v>166</v>
      </c>
    </row>
    <row r="1586">
      <c r="A1586" s="188">
        <v>44887.02510271991</v>
      </c>
      <c r="B1586" s="26" t="s">
        <v>337</v>
      </c>
      <c r="C1586" s="26">
        <v>5.1</v>
      </c>
      <c r="D1586" s="26" t="s">
        <v>166</v>
      </c>
    </row>
    <row r="1587">
      <c r="A1587" s="188">
        <v>44887.02510271991</v>
      </c>
      <c r="B1587" s="26" t="s">
        <v>329</v>
      </c>
      <c r="C1587" s="26">
        <v>5.4</v>
      </c>
      <c r="D1587" s="26" t="s">
        <v>116</v>
      </c>
    </row>
    <row r="1588">
      <c r="A1588" s="188">
        <v>44887.02510271991</v>
      </c>
      <c r="B1588" s="26" t="s">
        <v>320</v>
      </c>
      <c r="C1588" s="26">
        <v>6.2</v>
      </c>
      <c r="D1588" s="26" t="s">
        <v>154</v>
      </c>
    </row>
    <row r="1589">
      <c r="A1589" s="188">
        <v>44887.02510271991</v>
      </c>
      <c r="B1589" s="26" t="s">
        <v>316</v>
      </c>
      <c r="C1589" s="26">
        <v>8.889</v>
      </c>
      <c r="D1589" s="26" t="s">
        <v>148</v>
      </c>
    </row>
    <row r="1590">
      <c r="A1590" s="188">
        <v>44887.02510271991</v>
      </c>
      <c r="B1590" s="26" t="s">
        <v>289</v>
      </c>
      <c r="C1590" s="26">
        <v>3.2</v>
      </c>
      <c r="D1590" s="26" t="s">
        <v>59</v>
      </c>
    </row>
    <row r="1591">
      <c r="A1591" s="188">
        <v>44887.02510271991</v>
      </c>
      <c r="B1591" s="26" t="s">
        <v>335</v>
      </c>
      <c r="C1591" s="26">
        <v>6.19</v>
      </c>
      <c r="D1591" s="26" t="s">
        <v>148</v>
      </c>
    </row>
    <row r="1592">
      <c r="A1592" s="188">
        <v>44887.02510271991</v>
      </c>
      <c r="B1592" s="26" t="s">
        <v>344</v>
      </c>
      <c r="C1592" s="26">
        <v>5.65</v>
      </c>
      <c r="D1592" s="26" t="s">
        <v>109</v>
      </c>
    </row>
    <row r="1593">
      <c r="A1593" s="188">
        <v>44887.02510271991</v>
      </c>
      <c r="B1593" s="26" t="s">
        <v>393</v>
      </c>
      <c r="C1593" s="26">
        <v>6.5</v>
      </c>
      <c r="D1593" s="26" t="s">
        <v>141</v>
      </c>
    </row>
    <row r="1594">
      <c r="A1594" s="188">
        <v>44887.02510271991</v>
      </c>
      <c r="B1594" s="26" t="s">
        <v>333</v>
      </c>
      <c r="C1594" s="26">
        <v>4.3</v>
      </c>
      <c r="D1594" s="26" t="s">
        <v>166</v>
      </c>
    </row>
    <row r="1595">
      <c r="A1595" s="188">
        <v>44887.02510271991</v>
      </c>
      <c r="B1595" s="26" t="s">
        <v>285</v>
      </c>
      <c r="C1595" s="26">
        <v>4.5</v>
      </c>
      <c r="D1595" s="26" t="s">
        <v>59</v>
      </c>
    </row>
    <row r="1596">
      <c r="A1596" s="188">
        <v>44887.02510271991</v>
      </c>
      <c r="B1596" s="26" t="s">
        <v>317</v>
      </c>
      <c r="C1596" s="26">
        <v>3.0</v>
      </c>
      <c r="D1596" s="26" t="s">
        <v>141</v>
      </c>
    </row>
    <row r="1597">
      <c r="A1597" s="188">
        <v>44887.02510271991</v>
      </c>
      <c r="B1597" s="26" t="s">
        <v>282</v>
      </c>
      <c r="C1597" s="26">
        <v>9.581</v>
      </c>
      <c r="D1597" s="26" t="s">
        <v>138</v>
      </c>
    </row>
    <row r="1598">
      <c r="A1598" s="188">
        <v>44887.02510271991</v>
      </c>
      <c r="B1598" s="26" t="s">
        <v>206</v>
      </c>
      <c r="C1598" s="26">
        <v>10.915</v>
      </c>
      <c r="D1598" s="26" t="s">
        <v>131</v>
      </c>
    </row>
    <row r="1599">
      <c r="A1599" s="188">
        <v>44887.02510271991</v>
      </c>
      <c r="B1599" s="26" t="s">
        <v>300</v>
      </c>
      <c r="C1599" s="26">
        <v>9.325</v>
      </c>
      <c r="D1599" s="26" t="s">
        <v>144</v>
      </c>
    </row>
    <row r="1600">
      <c r="A1600" s="188">
        <v>44887.02510271991</v>
      </c>
      <c r="B1600" s="26" t="s">
        <v>342</v>
      </c>
      <c r="C1600" s="26">
        <v>1.0</v>
      </c>
      <c r="D1600" s="26" t="s">
        <v>144</v>
      </c>
    </row>
    <row r="1601">
      <c r="A1601" s="188">
        <v>44887.02510271991</v>
      </c>
      <c r="B1601" s="26" t="s">
        <v>336</v>
      </c>
      <c r="C1601" s="26">
        <v>2.6</v>
      </c>
      <c r="D1601" s="26" t="s">
        <v>116</v>
      </c>
    </row>
    <row r="1602">
      <c r="A1602" s="188">
        <v>44887.02510271991</v>
      </c>
      <c r="B1602" s="26" t="s">
        <v>331</v>
      </c>
      <c r="C1602" s="26">
        <v>7.5</v>
      </c>
      <c r="D1602" s="26" t="s">
        <v>442</v>
      </c>
    </row>
    <row r="1603">
      <c r="A1603" s="188">
        <v>44887.02510271991</v>
      </c>
      <c r="B1603" s="26" t="s">
        <v>325</v>
      </c>
      <c r="C1603" s="26">
        <v>6.8</v>
      </c>
      <c r="D1603" s="26" t="s">
        <v>144</v>
      </c>
    </row>
    <row r="1604">
      <c r="A1604" s="188">
        <v>44887.02510271991</v>
      </c>
      <c r="B1604" s="26" t="s">
        <v>356</v>
      </c>
      <c r="C1604" s="26">
        <v>7.5</v>
      </c>
      <c r="D1604" s="26" t="s">
        <v>103</v>
      </c>
    </row>
    <row r="1605">
      <c r="A1605" s="188">
        <v>44887.02510271991</v>
      </c>
      <c r="B1605" s="26" t="s">
        <v>181</v>
      </c>
      <c r="C1605" s="26">
        <v>5.3</v>
      </c>
      <c r="D1605" s="26" t="s">
        <v>53</v>
      </c>
    </row>
    <row r="1606">
      <c r="A1606" s="188">
        <v>44887.02510271991</v>
      </c>
      <c r="B1606" s="26" t="s">
        <v>346</v>
      </c>
      <c r="C1606" s="26">
        <v>6.2</v>
      </c>
      <c r="D1606" s="26" t="s">
        <v>144</v>
      </c>
    </row>
    <row r="1607">
      <c r="A1607" s="188">
        <v>44887.02510271991</v>
      </c>
      <c r="B1607" s="26" t="s">
        <v>275</v>
      </c>
      <c r="C1607" s="26">
        <v>4.1</v>
      </c>
      <c r="D1607" s="26" t="s">
        <v>59</v>
      </c>
    </row>
    <row r="1608">
      <c r="A1608" s="188">
        <v>44887.02510271991</v>
      </c>
      <c r="B1608" s="26" t="s">
        <v>340</v>
      </c>
      <c r="C1608" s="26">
        <v>8.8</v>
      </c>
      <c r="D1608" s="26" t="s">
        <v>103</v>
      </c>
    </row>
    <row r="1609">
      <c r="A1609" s="188">
        <v>44887.02510271991</v>
      </c>
      <c r="B1609" s="26" t="s">
        <v>345</v>
      </c>
      <c r="C1609" s="26">
        <v>7.811</v>
      </c>
      <c r="D1609" s="26" t="s">
        <v>144</v>
      </c>
    </row>
    <row r="1610">
      <c r="A1610" s="188">
        <v>44887.02510271991</v>
      </c>
      <c r="B1610" s="26" t="s">
        <v>313</v>
      </c>
      <c r="C1610" s="26">
        <v>11.98</v>
      </c>
      <c r="D1610" s="26" t="s">
        <v>116</v>
      </c>
    </row>
    <row r="1611">
      <c r="A1611" s="188">
        <v>44887.02510271991</v>
      </c>
      <c r="B1611" s="26" t="s">
        <v>257</v>
      </c>
      <c r="C1611" s="26">
        <v>5.4</v>
      </c>
      <c r="D1611" s="26" t="s">
        <v>178</v>
      </c>
    </row>
    <row r="1612">
      <c r="A1612" s="188">
        <v>44887.02510271991</v>
      </c>
      <c r="B1612" s="26" t="s">
        <v>361</v>
      </c>
      <c r="C1612" s="26">
        <v>4.3</v>
      </c>
      <c r="D1612" s="26" t="s">
        <v>103</v>
      </c>
    </row>
    <row r="1613">
      <c r="A1613" s="188">
        <v>44887.02510271991</v>
      </c>
      <c r="B1613" s="26" t="s">
        <v>348</v>
      </c>
      <c r="C1613" s="26">
        <v>5.0</v>
      </c>
      <c r="D1613" s="26" t="s">
        <v>116</v>
      </c>
    </row>
    <row r="1614">
      <c r="A1614" s="188">
        <v>44887.02510271991</v>
      </c>
      <c r="B1614" s="26" t="s">
        <v>351</v>
      </c>
      <c r="C1614" s="26">
        <v>3.1</v>
      </c>
      <c r="D1614" s="26" t="s">
        <v>166</v>
      </c>
    </row>
    <row r="1615">
      <c r="A1615" s="188">
        <v>44887.02510271991</v>
      </c>
      <c r="B1615" s="26" t="s">
        <v>330</v>
      </c>
      <c r="C1615" s="26">
        <v>7.8</v>
      </c>
      <c r="D1615" s="26" t="s">
        <v>154</v>
      </c>
    </row>
    <row r="1616">
      <c r="A1616" s="188">
        <v>44887.02510271991</v>
      </c>
      <c r="B1616" s="26" t="s">
        <v>321</v>
      </c>
      <c r="C1616" s="26">
        <v>7.796</v>
      </c>
      <c r="D1616" s="26" t="s">
        <v>144</v>
      </c>
    </row>
    <row r="1617">
      <c r="A1617" s="188">
        <v>44887.02510271991</v>
      </c>
      <c r="B1617" s="26" t="s">
        <v>327</v>
      </c>
      <c r="C1617" s="26">
        <v>4.3</v>
      </c>
      <c r="D1617" s="26" t="s">
        <v>166</v>
      </c>
    </row>
    <row r="1618">
      <c r="A1618" s="188">
        <v>44887.02510271991</v>
      </c>
      <c r="B1618" s="26" t="s">
        <v>332</v>
      </c>
      <c r="C1618" s="26">
        <v>7.814</v>
      </c>
      <c r="D1618" s="26" t="s">
        <v>116</v>
      </c>
    </row>
    <row r="1619">
      <c r="A1619" s="188">
        <v>44887.02510271991</v>
      </c>
      <c r="B1619" s="26" t="s">
        <v>326</v>
      </c>
      <c r="C1619" s="26">
        <v>4.3</v>
      </c>
      <c r="D1619" s="26" t="s">
        <v>148</v>
      </c>
    </row>
    <row r="1620">
      <c r="A1620" s="188">
        <v>44887.02510271991</v>
      </c>
      <c r="B1620" s="26" t="s">
        <v>388</v>
      </c>
      <c r="C1620" s="26">
        <v>7.6</v>
      </c>
      <c r="D1620" s="26" t="s">
        <v>442</v>
      </c>
    </row>
    <row r="1621">
      <c r="A1621" s="188">
        <v>44887.02510271991</v>
      </c>
      <c r="B1621" s="26" t="s">
        <v>217</v>
      </c>
      <c r="C1621" s="26">
        <v>6.1</v>
      </c>
      <c r="D1621" s="26" t="s">
        <v>131</v>
      </c>
    </row>
    <row r="1622">
      <c r="A1622" s="188">
        <v>44887.02510271991</v>
      </c>
      <c r="B1622" s="26" t="s">
        <v>291</v>
      </c>
      <c r="C1622" s="26">
        <v>8.827</v>
      </c>
      <c r="D1622" s="26" t="s">
        <v>59</v>
      </c>
    </row>
    <row r="1623">
      <c r="A1623" s="188">
        <v>44887.02510271991</v>
      </c>
      <c r="B1623" s="26" t="s">
        <v>359</v>
      </c>
      <c r="C1623" s="26">
        <v>4.3</v>
      </c>
      <c r="D1623" s="26" t="s">
        <v>144</v>
      </c>
    </row>
    <row r="1624">
      <c r="A1624" s="188">
        <v>44887.02510271991</v>
      </c>
      <c r="B1624" s="26" t="s">
        <v>283</v>
      </c>
      <c r="C1624" s="26">
        <v>6.4</v>
      </c>
      <c r="D1624" s="26" t="s">
        <v>59</v>
      </c>
    </row>
    <row r="1625">
      <c r="A1625" s="188">
        <v>44887.02510271991</v>
      </c>
      <c r="B1625" s="26" t="s">
        <v>399</v>
      </c>
      <c r="C1625" s="26">
        <v>9.0</v>
      </c>
      <c r="D1625" s="26" t="s">
        <v>166</v>
      </c>
    </row>
    <row r="1626">
      <c r="A1626" s="188">
        <v>44887.02510271991</v>
      </c>
      <c r="B1626" s="26" t="s">
        <v>292</v>
      </c>
      <c r="C1626" s="26">
        <v>5.6</v>
      </c>
      <c r="D1626" s="26" t="s">
        <v>109</v>
      </c>
    </row>
    <row r="1627">
      <c r="A1627" s="188">
        <v>44887.02510271991</v>
      </c>
      <c r="B1627" s="26" t="s">
        <v>334</v>
      </c>
      <c r="C1627" s="26">
        <v>3.2</v>
      </c>
      <c r="D1627" s="26" t="s">
        <v>166</v>
      </c>
    </row>
    <row r="1628">
      <c r="A1628" s="188">
        <v>44887.02510271991</v>
      </c>
      <c r="B1628" s="26" t="s">
        <v>353</v>
      </c>
      <c r="C1628" s="26">
        <v>7.6</v>
      </c>
      <c r="D1628" s="26" t="s">
        <v>141</v>
      </c>
    </row>
    <row r="1629">
      <c r="A1629" s="188">
        <v>44887.02510271991</v>
      </c>
      <c r="B1629" s="26" t="s">
        <v>360</v>
      </c>
      <c r="C1629" s="26">
        <v>9.72</v>
      </c>
      <c r="D1629" s="26" t="s">
        <v>109</v>
      </c>
    </row>
    <row r="1630">
      <c r="A1630" s="188">
        <v>44887.02510271991</v>
      </c>
      <c r="B1630" s="26" t="s">
        <v>306</v>
      </c>
      <c r="C1630" s="26">
        <v>7.7</v>
      </c>
      <c r="D1630" s="26" t="s">
        <v>166</v>
      </c>
    </row>
    <row r="1631">
      <c r="A1631" s="188">
        <v>44887.02510271991</v>
      </c>
      <c r="B1631" s="26" t="s">
        <v>341</v>
      </c>
      <c r="C1631" s="26">
        <v>6.9</v>
      </c>
      <c r="D1631" s="26" t="s">
        <v>103</v>
      </c>
    </row>
    <row r="1632">
      <c r="A1632" s="188">
        <v>44887.02510271991</v>
      </c>
      <c r="B1632" s="26" t="s">
        <v>339</v>
      </c>
      <c r="C1632" s="26">
        <v>6.4</v>
      </c>
      <c r="D1632" s="26" t="s">
        <v>109</v>
      </c>
    </row>
    <row r="1633">
      <c r="A1633" s="188">
        <v>44887.02510271991</v>
      </c>
      <c r="B1633" s="26" t="s">
        <v>208</v>
      </c>
      <c r="C1633" s="26">
        <v>5.6</v>
      </c>
      <c r="D1633" s="26" t="s">
        <v>131</v>
      </c>
    </row>
    <row r="1634">
      <c r="A1634" s="188">
        <v>44887.02510271991</v>
      </c>
      <c r="B1634" s="26" t="s">
        <v>357</v>
      </c>
      <c r="C1634" s="26">
        <v>5.5</v>
      </c>
      <c r="D1634" s="26" t="s">
        <v>144</v>
      </c>
    </row>
    <row r="1635">
      <c r="A1635" s="188">
        <v>44887.02510271991</v>
      </c>
      <c r="B1635" s="26" t="s">
        <v>294</v>
      </c>
      <c r="C1635" s="26">
        <v>5.1</v>
      </c>
      <c r="D1635" s="26" t="s">
        <v>138</v>
      </c>
    </row>
    <row r="1636">
      <c r="A1636" s="188">
        <v>44887.02510271991</v>
      </c>
      <c r="B1636" s="26" t="s">
        <v>284</v>
      </c>
      <c r="C1636" s="26">
        <v>11.261</v>
      </c>
      <c r="D1636" s="26" t="s">
        <v>59</v>
      </c>
    </row>
    <row r="1637">
      <c r="A1637" s="188">
        <v>44887.02510271991</v>
      </c>
      <c r="B1637" s="26" t="s">
        <v>343</v>
      </c>
      <c r="C1637" s="26">
        <v>6.9</v>
      </c>
      <c r="D1637" s="26" t="s">
        <v>109</v>
      </c>
    </row>
    <row r="1638">
      <c r="A1638" s="188">
        <v>44887.02510271991</v>
      </c>
      <c r="B1638" s="26" t="s">
        <v>240</v>
      </c>
      <c r="C1638" s="26">
        <v>7.5</v>
      </c>
      <c r="D1638" s="26" t="s">
        <v>178</v>
      </c>
    </row>
    <row r="1639">
      <c r="A1639" s="188">
        <v>44887.02510271991</v>
      </c>
      <c r="B1639" s="26" t="s">
        <v>269</v>
      </c>
      <c r="C1639" s="26">
        <v>7.4</v>
      </c>
      <c r="D1639" s="26" t="s">
        <v>178</v>
      </c>
    </row>
    <row r="1640">
      <c r="A1640" s="188">
        <v>44887.02510271991</v>
      </c>
      <c r="B1640" s="26" t="s">
        <v>173</v>
      </c>
      <c r="C1640" s="26">
        <v>5.4</v>
      </c>
      <c r="D1640" s="26" t="s">
        <v>53</v>
      </c>
    </row>
    <row r="1641">
      <c r="A1641" s="188">
        <v>44887.02510271991</v>
      </c>
      <c r="B1641" s="26" t="s">
        <v>347</v>
      </c>
      <c r="C1641" s="26">
        <v>4.5</v>
      </c>
      <c r="D1641" s="26" t="s">
        <v>116</v>
      </c>
    </row>
    <row r="1642">
      <c r="A1642" s="188">
        <v>44887.02510271991</v>
      </c>
      <c r="B1642" s="26" t="s">
        <v>363</v>
      </c>
      <c r="C1642" s="26">
        <v>7.4</v>
      </c>
      <c r="D1642" s="26" t="s">
        <v>154</v>
      </c>
    </row>
    <row r="1643">
      <c r="A1643" s="188">
        <v>44887.02510271991</v>
      </c>
      <c r="B1643" s="26" t="s">
        <v>365</v>
      </c>
      <c r="C1643" s="26">
        <v>3.2</v>
      </c>
      <c r="D1643" s="26" t="s">
        <v>141</v>
      </c>
    </row>
    <row r="1644">
      <c r="A1644" s="188">
        <v>44887.02510271991</v>
      </c>
      <c r="B1644" s="26" t="s">
        <v>120</v>
      </c>
      <c r="C1644" s="26">
        <v>2.2</v>
      </c>
      <c r="D1644" s="26" t="s">
        <v>53</v>
      </c>
    </row>
    <row r="1645">
      <c r="A1645" s="188">
        <v>44887.02510271991</v>
      </c>
      <c r="B1645" s="26" t="s">
        <v>263</v>
      </c>
      <c r="C1645" s="26">
        <v>2.4</v>
      </c>
      <c r="D1645" s="26" t="s">
        <v>178</v>
      </c>
    </row>
    <row r="1646">
      <c r="A1646" s="188">
        <v>44887.02510271991</v>
      </c>
      <c r="B1646" s="26" t="s">
        <v>394</v>
      </c>
      <c r="C1646" s="26">
        <v>4.0</v>
      </c>
      <c r="D1646" s="26" t="s">
        <v>109</v>
      </c>
    </row>
    <row r="1647">
      <c r="A1647" s="188">
        <v>44887.02510271991</v>
      </c>
      <c r="B1647" s="26" t="s">
        <v>367</v>
      </c>
      <c r="C1647" s="26">
        <v>9.585</v>
      </c>
      <c r="D1647" s="26" t="s">
        <v>109</v>
      </c>
    </row>
    <row r="1648">
      <c r="A1648" s="188">
        <v>44887.02510271991</v>
      </c>
      <c r="B1648" s="26" t="s">
        <v>204</v>
      </c>
      <c r="C1648" s="26">
        <v>6.867999999999999</v>
      </c>
      <c r="D1648" s="26" t="s">
        <v>131</v>
      </c>
    </row>
    <row r="1649">
      <c r="A1649" s="188">
        <v>44887.02510271991</v>
      </c>
      <c r="B1649" s="26" t="s">
        <v>298</v>
      </c>
      <c r="C1649" s="26">
        <v>3.8</v>
      </c>
      <c r="D1649" s="26" t="s">
        <v>138</v>
      </c>
    </row>
    <row r="1650">
      <c r="A1650" s="188">
        <v>44887.02510271991</v>
      </c>
      <c r="B1650" s="26" t="s">
        <v>368</v>
      </c>
      <c r="C1650" s="26">
        <v>1.2</v>
      </c>
      <c r="D1650" s="26" t="s">
        <v>154</v>
      </c>
    </row>
    <row r="1651">
      <c r="A1651" s="188">
        <v>44887.02510271991</v>
      </c>
      <c r="B1651" s="26" t="s">
        <v>400</v>
      </c>
      <c r="C1651" s="26">
        <v>8.3</v>
      </c>
      <c r="D1651" s="26" t="s">
        <v>109</v>
      </c>
    </row>
    <row r="1652">
      <c r="A1652" s="188">
        <v>44887.02510271991</v>
      </c>
      <c r="B1652" s="26" t="s">
        <v>176</v>
      </c>
      <c r="C1652" s="26">
        <v>8.792</v>
      </c>
      <c r="D1652" s="26" t="s">
        <v>53</v>
      </c>
    </row>
    <row r="1653">
      <c r="A1653" s="188">
        <v>44887.02510271991</v>
      </c>
      <c r="B1653" s="26" t="s">
        <v>168</v>
      </c>
      <c r="C1653" s="26">
        <v>11.739</v>
      </c>
      <c r="D1653" s="26" t="s">
        <v>53</v>
      </c>
    </row>
    <row r="1654">
      <c r="A1654" s="188">
        <v>44887.02510271991</v>
      </c>
      <c r="B1654" s="26" t="s">
        <v>184</v>
      </c>
      <c r="C1654" s="26">
        <v>6.5</v>
      </c>
      <c r="D1654" s="26" t="s">
        <v>53</v>
      </c>
    </row>
    <row r="1655">
      <c r="A1655" s="188">
        <v>44887.02510271991</v>
      </c>
      <c r="B1655" s="26" t="s">
        <v>354</v>
      </c>
      <c r="C1655" s="26">
        <v>7.7</v>
      </c>
      <c r="D1655" s="26" t="s">
        <v>116</v>
      </c>
    </row>
    <row r="1656">
      <c r="A1656" s="188">
        <v>44887.02510271991</v>
      </c>
      <c r="B1656" s="26" t="s">
        <v>170</v>
      </c>
      <c r="C1656" s="26">
        <v>3.1</v>
      </c>
      <c r="D1656" s="26" t="s">
        <v>53</v>
      </c>
    </row>
    <row r="1657">
      <c r="A1657" s="188">
        <v>44887.02510271991</v>
      </c>
      <c r="B1657" s="26" t="s">
        <v>373</v>
      </c>
      <c r="C1657" s="26">
        <v>8.6</v>
      </c>
      <c r="D1657" s="26" t="s">
        <v>103</v>
      </c>
    </row>
    <row r="1658">
      <c r="A1658" s="188">
        <v>44887.02510271991</v>
      </c>
      <c r="B1658" s="26" t="s">
        <v>54</v>
      </c>
      <c r="C1658" s="26">
        <v>9.605</v>
      </c>
      <c r="D1658" s="26" t="s">
        <v>53</v>
      </c>
    </row>
    <row r="1659">
      <c r="A1659" s="188">
        <v>44887.02510271991</v>
      </c>
      <c r="B1659" s="26" t="s">
        <v>274</v>
      </c>
      <c r="C1659" s="26">
        <v>8.4</v>
      </c>
      <c r="D1659" s="26" t="s">
        <v>59</v>
      </c>
    </row>
    <row r="1660">
      <c r="A1660" s="188">
        <v>44887.02510271991</v>
      </c>
      <c r="B1660" s="26" t="s">
        <v>375</v>
      </c>
      <c r="C1660" s="26">
        <v>9.9</v>
      </c>
      <c r="D1660" s="26" t="s">
        <v>109</v>
      </c>
    </row>
    <row r="1661">
      <c r="A1661" s="188">
        <v>44887.02510271991</v>
      </c>
      <c r="B1661" s="26" t="s">
        <v>370</v>
      </c>
      <c r="C1661" s="26">
        <v>7.6</v>
      </c>
      <c r="D1661" s="26" t="s">
        <v>166</v>
      </c>
    </row>
    <row r="1662">
      <c r="A1662" s="188">
        <v>44887.02510271991</v>
      </c>
      <c r="B1662" s="26" t="s">
        <v>381</v>
      </c>
      <c r="C1662" s="26">
        <v>7.691</v>
      </c>
      <c r="D1662" s="26" t="s">
        <v>148</v>
      </c>
    </row>
    <row r="1663">
      <c r="A1663" s="188">
        <v>44887.02510271991</v>
      </c>
      <c r="B1663" s="26" t="s">
        <v>355</v>
      </c>
      <c r="C1663" s="26">
        <v>5.1</v>
      </c>
      <c r="D1663" s="26" t="s">
        <v>116</v>
      </c>
    </row>
    <row r="1664">
      <c r="A1664" s="188">
        <v>44887.02510271991</v>
      </c>
      <c r="B1664" s="26" t="s">
        <v>386</v>
      </c>
      <c r="C1664" s="26">
        <v>4.1</v>
      </c>
      <c r="D1664" s="26" t="s">
        <v>141</v>
      </c>
    </row>
    <row r="1665">
      <c r="A1665" s="188">
        <v>44887.02510271991</v>
      </c>
      <c r="B1665" s="26" t="s">
        <v>219</v>
      </c>
      <c r="C1665" s="26">
        <v>7.4</v>
      </c>
      <c r="D1665" s="26" t="s">
        <v>131</v>
      </c>
    </row>
    <row r="1666">
      <c r="A1666" s="188">
        <v>44887.02510271991</v>
      </c>
      <c r="B1666" s="26" t="s">
        <v>349</v>
      </c>
      <c r="C1666" s="26">
        <v>6.9</v>
      </c>
      <c r="D1666" s="26" t="s">
        <v>141</v>
      </c>
    </row>
    <row r="1667">
      <c r="A1667" s="188">
        <v>44887.02510271991</v>
      </c>
      <c r="B1667" s="26" t="s">
        <v>314</v>
      </c>
      <c r="C1667" s="26">
        <v>6.6</v>
      </c>
      <c r="D1667" s="26" t="s">
        <v>141</v>
      </c>
    </row>
    <row r="1668">
      <c r="A1668" s="188">
        <v>44887.02510271991</v>
      </c>
      <c r="B1668" s="26" t="s">
        <v>302</v>
      </c>
      <c r="C1668" s="26">
        <v>9.837</v>
      </c>
      <c r="D1668" s="26" t="s">
        <v>138</v>
      </c>
    </row>
    <row r="1669">
      <c r="A1669" s="188">
        <v>44887.02510271991</v>
      </c>
      <c r="B1669" s="26" t="s">
        <v>379</v>
      </c>
      <c r="C1669" s="26">
        <v>7.1</v>
      </c>
      <c r="D1669" s="26" t="s">
        <v>154</v>
      </c>
    </row>
    <row r="1670">
      <c r="A1670" s="188">
        <v>44887.02510271991</v>
      </c>
      <c r="B1670" s="26" t="s">
        <v>210</v>
      </c>
      <c r="C1670" s="26">
        <v>1.1</v>
      </c>
      <c r="D1670" s="26" t="s">
        <v>131</v>
      </c>
    </row>
    <row r="1671">
      <c r="A1671" s="188">
        <v>44887.02510271991</v>
      </c>
      <c r="B1671" s="26" t="s">
        <v>338</v>
      </c>
      <c r="C1671" s="26">
        <v>5.6</v>
      </c>
      <c r="D1671" s="26" t="s">
        <v>144</v>
      </c>
    </row>
    <row r="1672">
      <c r="A1672" s="188">
        <v>44887.02510271991</v>
      </c>
      <c r="B1672" s="26" t="s">
        <v>311</v>
      </c>
      <c r="C1672" s="26">
        <v>3.5</v>
      </c>
      <c r="D1672" s="26" t="s">
        <v>138</v>
      </c>
    </row>
    <row r="1673">
      <c r="A1673" s="188">
        <v>44887.02510271991</v>
      </c>
      <c r="B1673" s="26" t="s">
        <v>308</v>
      </c>
      <c r="C1673" s="26">
        <v>6.8</v>
      </c>
      <c r="D1673" s="26" t="s">
        <v>138</v>
      </c>
    </row>
    <row r="1674">
      <c r="A1674" s="188">
        <v>44887.02510271991</v>
      </c>
      <c r="B1674" s="26" t="s">
        <v>358</v>
      </c>
      <c r="C1674" s="26">
        <v>11.751999999999999</v>
      </c>
      <c r="D1674" s="26" t="s">
        <v>103</v>
      </c>
    </row>
    <row r="1675">
      <c r="A1675" s="188">
        <v>44887.02510271991</v>
      </c>
      <c r="B1675" s="26" t="s">
        <v>362</v>
      </c>
      <c r="C1675" s="26">
        <v>3.2</v>
      </c>
      <c r="D1675" s="26" t="s">
        <v>103</v>
      </c>
    </row>
    <row r="1676">
      <c r="A1676" s="188">
        <v>44887.02510271991</v>
      </c>
      <c r="B1676" s="26" t="s">
        <v>214</v>
      </c>
      <c r="C1676" s="26">
        <v>9.9</v>
      </c>
      <c r="D1676" s="26" t="s">
        <v>131</v>
      </c>
    </row>
    <row r="1677">
      <c r="A1677" s="188">
        <v>44887.02510271991</v>
      </c>
      <c r="B1677" s="26" t="s">
        <v>387</v>
      </c>
      <c r="C1677" s="26">
        <v>4.3</v>
      </c>
      <c r="D1677" s="26" t="s">
        <v>148</v>
      </c>
    </row>
    <row r="1678">
      <c r="A1678" s="188">
        <v>44887.02510271991</v>
      </c>
      <c r="B1678" s="26" t="s">
        <v>364</v>
      </c>
      <c r="C1678" s="26">
        <v>7.82</v>
      </c>
      <c r="D1678" s="26" t="s">
        <v>166</v>
      </c>
    </row>
    <row r="1679">
      <c r="A1679" s="188">
        <v>44887.02510271991</v>
      </c>
      <c r="B1679" s="26" t="s">
        <v>380</v>
      </c>
      <c r="C1679" s="26">
        <v>4.4</v>
      </c>
      <c r="D1679" s="26" t="s">
        <v>148</v>
      </c>
    </row>
    <row r="1680">
      <c r="A1680" s="188">
        <v>44887.02510271991</v>
      </c>
      <c r="B1680" s="26" t="s">
        <v>272</v>
      </c>
      <c r="C1680" s="26">
        <v>6.5</v>
      </c>
      <c r="D1680" s="26" t="s">
        <v>178</v>
      </c>
    </row>
    <row r="1681">
      <c r="A1681" s="188">
        <v>44887.02510271991</v>
      </c>
      <c r="B1681" s="26" t="s">
        <v>265</v>
      </c>
      <c r="C1681" s="26">
        <v>7.767</v>
      </c>
      <c r="D1681" s="26" t="s">
        <v>178</v>
      </c>
    </row>
    <row r="1682">
      <c r="A1682" s="188">
        <v>44887.02510271991</v>
      </c>
      <c r="B1682" s="26" t="s">
        <v>318</v>
      </c>
      <c r="C1682" s="26">
        <v>9.738</v>
      </c>
      <c r="D1682" s="26" t="s">
        <v>141</v>
      </c>
    </row>
    <row r="1683">
      <c r="A1683" s="188">
        <v>44887.02510271991</v>
      </c>
      <c r="B1683" s="26" t="s">
        <v>267</v>
      </c>
      <c r="C1683" s="26">
        <v>9.471</v>
      </c>
      <c r="D1683" s="26" t="s">
        <v>178</v>
      </c>
    </row>
    <row r="1684">
      <c r="A1684" s="188">
        <v>44887.02510271991</v>
      </c>
      <c r="B1684" s="26" t="s">
        <v>195</v>
      </c>
      <c r="C1684" s="26">
        <v>4.2</v>
      </c>
      <c r="D1684" s="26" t="s">
        <v>53</v>
      </c>
    </row>
    <row r="1685">
      <c r="A1685" s="188">
        <v>44887.02510271991</v>
      </c>
      <c r="B1685" s="26" t="s">
        <v>378</v>
      </c>
      <c r="C1685" s="26">
        <v>5.8</v>
      </c>
      <c r="D1685" s="26" t="s">
        <v>103</v>
      </c>
    </row>
    <row r="1686">
      <c r="A1686" s="188">
        <v>44887.02510271991</v>
      </c>
      <c r="B1686" s="26" t="s">
        <v>374</v>
      </c>
      <c r="C1686" s="26">
        <v>8.847999999999999</v>
      </c>
      <c r="D1686" s="26" t="s">
        <v>148</v>
      </c>
    </row>
    <row r="1687">
      <c r="A1687" s="188">
        <v>44887.02510271991</v>
      </c>
      <c r="B1687" s="26" t="s">
        <v>261</v>
      </c>
      <c r="C1687" s="26">
        <v>8.7</v>
      </c>
      <c r="D1687" s="26" t="s">
        <v>178</v>
      </c>
    </row>
    <row r="1688">
      <c r="A1688" s="188">
        <v>44887.02510271991</v>
      </c>
      <c r="B1688" s="26" t="s">
        <v>281</v>
      </c>
      <c r="C1688" s="26">
        <v>6.0</v>
      </c>
      <c r="D1688" s="26" t="s">
        <v>59</v>
      </c>
    </row>
    <row r="1689">
      <c r="A1689" s="188">
        <v>44887.02510271991</v>
      </c>
      <c r="B1689" s="26" t="s">
        <v>199</v>
      </c>
      <c r="C1689" s="26">
        <v>4.4</v>
      </c>
      <c r="D1689" s="26" t="s">
        <v>131</v>
      </c>
    </row>
    <row r="1690">
      <c r="A1690" s="188">
        <v>44887.02510271991</v>
      </c>
      <c r="B1690" s="26" t="s">
        <v>401</v>
      </c>
      <c r="C1690" s="26">
        <v>1.1</v>
      </c>
      <c r="D1690" s="26" t="s">
        <v>148</v>
      </c>
    </row>
    <row r="1691">
      <c r="A1691" s="188">
        <v>44887.02510271991</v>
      </c>
      <c r="B1691" s="26" t="s">
        <v>279</v>
      </c>
      <c r="C1691" s="26">
        <v>4.8</v>
      </c>
      <c r="D1691" s="26" t="s">
        <v>59</v>
      </c>
    </row>
    <row r="1692">
      <c r="A1692" s="188">
        <v>44887.02510271991</v>
      </c>
      <c r="B1692" s="26" t="s">
        <v>369</v>
      </c>
      <c r="C1692" s="26">
        <v>10.616</v>
      </c>
      <c r="D1692" s="26" t="s">
        <v>116</v>
      </c>
    </row>
    <row r="1693">
      <c r="A1693" s="188">
        <v>44887.02510271991</v>
      </c>
      <c r="B1693" s="26" t="s">
        <v>304</v>
      </c>
      <c r="C1693" s="26">
        <v>6.1</v>
      </c>
      <c r="D1693" s="26" t="s">
        <v>138</v>
      </c>
    </row>
    <row r="1694">
      <c r="A1694" s="188">
        <v>44887.02510271991</v>
      </c>
      <c r="B1694" s="26" t="s">
        <v>372</v>
      </c>
      <c r="C1694" s="26">
        <v>9.007</v>
      </c>
      <c r="D1694" s="26" t="s">
        <v>154</v>
      </c>
    </row>
    <row r="1695">
      <c r="A1695" s="188">
        <v>44887.02510271991</v>
      </c>
      <c r="B1695" s="26" t="s">
        <v>366</v>
      </c>
      <c r="C1695" s="26">
        <v>5.1</v>
      </c>
      <c r="D1695" s="26" t="s">
        <v>154</v>
      </c>
    </row>
    <row r="1696">
      <c r="A1696" s="188">
        <v>44887.02510271991</v>
      </c>
      <c r="B1696" s="26" t="s">
        <v>296</v>
      </c>
      <c r="C1696" s="26">
        <v>9.872</v>
      </c>
      <c r="D1696" s="26" t="s">
        <v>138</v>
      </c>
    </row>
    <row r="1697">
      <c r="A1697" s="188">
        <v>44887.02510271991</v>
      </c>
      <c r="B1697" s="26" t="s">
        <v>309</v>
      </c>
      <c r="C1697" s="26">
        <v>5.1</v>
      </c>
      <c r="D1697" s="26" t="s">
        <v>138</v>
      </c>
    </row>
    <row r="1698">
      <c r="A1698" s="188">
        <v>44887.02510271991</v>
      </c>
      <c r="B1698" s="26" t="s">
        <v>155</v>
      </c>
      <c r="C1698" s="26">
        <v>3.5</v>
      </c>
      <c r="D1698" s="26" t="s">
        <v>53</v>
      </c>
    </row>
    <row r="1699">
      <c r="A1699" s="188">
        <v>44887.02510271991</v>
      </c>
      <c r="B1699" s="26" t="s">
        <v>384</v>
      </c>
      <c r="C1699" s="26">
        <v>3.5</v>
      </c>
      <c r="D1699" s="26" t="s">
        <v>148</v>
      </c>
    </row>
    <row r="1700">
      <c r="A1700" s="188">
        <v>44887.02510271991</v>
      </c>
      <c r="B1700" s="26" t="s">
        <v>259</v>
      </c>
      <c r="C1700" s="26">
        <v>7.5</v>
      </c>
      <c r="D1700" s="26" t="s">
        <v>178</v>
      </c>
    </row>
    <row r="1701">
      <c r="A1701" s="188">
        <v>44887.02510271991</v>
      </c>
      <c r="B1701" s="26" t="s">
        <v>377</v>
      </c>
      <c r="C1701" s="26">
        <v>9.572</v>
      </c>
      <c r="D1701" s="26" t="s">
        <v>148</v>
      </c>
    </row>
    <row r="1702">
      <c r="A1702" s="188">
        <v>44887.02510271991</v>
      </c>
      <c r="B1702" s="26" t="s">
        <v>222</v>
      </c>
      <c r="C1702" s="26">
        <v>7.5</v>
      </c>
      <c r="D1702" s="26" t="s">
        <v>131</v>
      </c>
    </row>
    <row r="1703">
      <c r="A1703" s="188">
        <v>44887.02510271991</v>
      </c>
      <c r="B1703" s="26" t="s">
        <v>371</v>
      </c>
      <c r="C1703" s="26">
        <v>4.3</v>
      </c>
      <c r="D1703" s="26" t="s">
        <v>144</v>
      </c>
    </row>
    <row r="1704">
      <c r="A1704" s="188">
        <v>44887.02510271991</v>
      </c>
      <c r="B1704" s="26" t="s">
        <v>271</v>
      </c>
      <c r="C1704" s="26">
        <v>7.66</v>
      </c>
      <c r="D1704" s="26" t="s">
        <v>178</v>
      </c>
    </row>
    <row r="1705">
      <c r="A1705" s="188">
        <v>44887.02510271991</v>
      </c>
      <c r="B1705" s="26" t="s">
        <v>382</v>
      </c>
      <c r="C1705" s="26">
        <v>4.3</v>
      </c>
      <c r="D1705" s="26" t="s">
        <v>154</v>
      </c>
    </row>
    <row r="1706">
      <c r="A1706" s="188">
        <v>44887.02510271991</v>
      </c>
      <c r="B1706" s="26" t="s">
        <v>197</v>
      </c>
      <c r="C1706" s="26">
        <v>6.5</v>
      </c>
      <c r="D1706" s="26" t="s">
        <v>131</v>
      </c>
    </row>
    <row r="1707">
      <c r="A1707" s="26" t="s">
        <v>654</v>
      </c>
      <c r="B1707" s="26" t="s">
        <v>0</v>
      </c>
      <c r="C1707" s="26" t="s">
        <v>655</v>
      </c>
      <c r="D1707" s="26" t="s">
        <v>656</v>
      </c>
    </row>
    <row r="1708">
      <c r="A1708" s="188">
        <v>44894.02510262732</v>
      </c>
      <c r="B1708" s="26" t="s">
        <v>324</v>
      </c>
      <c r="C1708" s="26">
        <v>9.0</v>
      </c>
      <c r="D1708" s="26" t="s">
        <v>103</v>
      </c>
    </row>
    <row r="1709">
      <c r="A1709" s="188">
        <v>44894.02510262732</v>
      </c>
      <c r="B1709" s="26" t="s">
        <v>323</v>
      </c>
      <c r="C1709" s="26">
        <v>2.2</v>
      </c>
      <c r="D1709" s="26" t="s">
        <v>141</v>
      </c>
    </row>
    <row r="1710">
      <c r="A1710" s="188">
        <v>44894.02510262732</v>
      </c>
      <c r="B1710" s="26" t="s">
        <v>287</v>
      </c>
      <c r="C1710" s="26">
        <v>10.0</v>
      </c>
      <c r="D1710" s="26" t="s">
        <v>141</v>
      </c>
    </row>
    <row r="1711">
      <c r="A1711" s="188">
        <v>44894.02510262732</v>
      </c>
      <c r="B1711" s="26" t="s">
        <v>277</v>
      </c>
      <c r="C1711" s="26">
        <v>6.0</v>
      </c>
      <c r="D1711" s="26" t="s">
        <v>59</v>
      </c>
    </row>
    <row r="1712">
      <c r="A1712" s="188">
        <v>44894.02510262732</v>
      </c>
      <c r="B1712" s="26" t="s">
        <v>328</v>
      </c>
      <c r="C1712" s="26">
        <v>3.0</v>
      </c>
      <c r="D1712" s="26" t="s">
        <v>109</v>
      </c>
    </row>
    <row r="1713">
      <c r="A1713" s="188">
        <v>44894.02510262732</v>
      </c>
      <c r="B1713" s="26" t="s">
        <v>322</v>
      </c>
      <c r="C1713" s="26">
        <v>5.0</v>
      </c>
      <c r="D1713" s="26" t="s">
        <v>103</v>
      </c>
    </row>
    <row r="1714">
      <c r="A1714" s="188">
        <v>44894.02510262732</v>
      </c>
      <c r="B1714" s="26" t="s">
        <v>303</v>
      </c>
      <c r="C1714" s="26">
        <v>6.0</v>
      </c>
      <c r="D1714" s="26" t="s">
        <v>138</v>
      </c>
    </row>
    <row r="1715">
      <c r="A1715" s="188">
        <v>44894.02510262732</v>
      </c>
      <c r="B1715" s="26" t="s">
        <v>352</v>
      </c>
      <c r="C1715" s="26">
        <v>3.0</v>
      </c>
      <c r="D1715" s="26" t="s">
        <v>154</v>
      </c>
    </row>
    <row r="1716">
      <c r="A1716" s="188">
        <v>44894.02510262732</v>
      </c>
      <c r="B1716" s="26" t="s">
        <v>398</v>
      </c>
      <c r="C1716" s="26">
        <v>5.5</v>
      </c>
      <c r="D1716" s="26" t="s">
        <v>166</v>
      </c>
    </row>
    <row r="1717">
      <c r="A1717" s="188">
        <v>44894.02510262732</v>
      </c>
      <c r="B1717" s="26" t="s">
        <v>337</v>
      </c>
      <c r="C1717" s="26">
        <v>5.0</v>
      </c>
      <c r="D1717" s="26" t="s">
        <v>166</v>
      </c>
    </row>
    <row r="1718">
      <c r="A1718" s="188">
        <v>44894.02510262732</v>
      </c>
      <c r="B1718" s="26" t="s">
        <v>329</v>
      </c>
      <c r="C1718" s="26">
        <v>5.0</v>
      </c>
      <c r="D1718" s="26" t="s">
        <v>116</v>
      </c>
    </row>
    <row r="1719">
      <c r="A1719" s="188">
        <v>44894.02510262732</v>
      </c>
      <c r="B1719" s="26" t="s">
        <v>320</v>
      </c>
      <c r="C1719" s="26">
        <v>6.0</v>
      </c>
      <c r="D1719" s="26" t="s">
        <v>154</v>
      </c>
    </row>
    <row r="1720">
      <c r="A1720" s="188">
        <v>44894.02510262732</v>
      </c>
      <c r="B1720" s="26" t="s">
        <v>316</v>
      </c>
      <c r="C1720" s="26">
        <v>9.014999999999999</v>
      </c>
      <c r="D1720" s="26" t="s">
        <v>148</v>
      </c>
    </row>
    <row r="1721">
      <c r="A1721" s="188">
        <v>44894.02510262732</v>
      </c>
      <c r="B1721" s="26" t="s">
        <v>289</v>
      </c>
      <c r="C1721" s="26">
        <v>3.0</v>
      </c>
      <c r="D1721" s="26" t="s">
        <v>59</v>
      </c>
    </row>
    <row r="1722">
      <c r="A1722" s="188">
        <v>44894.02510262732</v>
      </c>
      <c r="B1722" s="26" t="s">
        <v>335</v>
      </c>
      <c r="C1722" s="26">
        <v>6.0</v>
      </c>
      <c r="D1722" s="26" t="s">
        <v>148</v>
      </c>
    </row>
    <row r="1723">
      <c r="A1723" s="188">
        <v>44894.02510262732</v>
      </c>
      <c r="B1723" s="26" t="s">
        <v>344</v>
      </c>
      <c r="C1723" s="26">
        <v>5.8</v>
      </c>
      <c r="D1723" s="26" t="s">
        <v>109</v>
      </c>
    </row>
    <row r="1724">
      <c r="A1724" s="188">
        <v>44894.02510262732</v>
      </c>
      <c r="B1724" s="26" t="s">
        <v>393</v>
      </c>
      <c r="C1724" s="26">
        <v>7.0</v>
      </c>
      <c r="D1724" s="26" t="s">
        <v>141</v>
      </c>
    </row>
    <row r="1725">
      <c r="A1725" s="188">
        <v>44894.02510262732</v>
      </c>
      <c r="B1725" s="26" t="s">
        <v>333</v>
      </c>
      <c r="C1725" s="26">
        <v>4.0</v>
      </c>
      <c r="D1725" s="26" t="s">
        <v>166</v>
      </c>
    </row>
    <row r="1726">
      <c r="A1726" s="188">
        <v>44894.02510262732</v>
      </c>
      <c r="B1726" s="26" t="s">
        <v>285</v>
      </c>
      <c r="C1726" s="26">
        <v>4.0</v>
      </c>
      <c r="D1726" s="26" t="s">
        <v>59</v>
      </c>
    </row>
    <row r="1727">
      <c r="A1727" s="188">
        <v>44894.02510262732</v>
      </c>
      <c r="B1727" s="26" t="s">
        <v>317</v>
      </c>
      <c r="C1727" s="26">
        <v>3.0</v>
      </c>
      <c r="D1727" s="26" t="s">
        <v>141</v>
      </c>
    </row>
    <row r="1728">
      <c r="A1728" s="188">
        <v>44894.02510262732</v>
      </c>
      <c r="B1728" s="26" t="s">
        <v>282</v>
      </c>
      <c r="C1728" s="26">
        <v>9.0</v>
      </c>
      <c r="D1728" s="26" t="s">
        <v>138</v>
      </c>
    </row>
    <row r="1729">
      <c r="A1729" s="188">
        <v>44894.02510262732</v>
      </c>
      <c r="B1729" s="26" t="s">
        <v>206</v>
      </c>
      <c r="C1729" s="26">
        <v>10.022</v>
      </c>
      <c r="D1729" s="26" t="s">
        <v>131</v>
      </c>
    </row>
    <row r="1730">
      <c r="A1730" s="188">
        <v>44894.02510262732</v>
      </c>
      <c r="B1730" s="26" t="s">
        <v>300</v>
      </c>
      <c r="C1730" s="26">
        <v>9.043000000000001</v>
      </c>
      <c r="D1730" s="26" t="s">
        <v>144</v>
      </c>
    </row>
    <row r="1731">
      <c r="A1731" s="188">
        <v>44894.02510262732</v>
      </c>
      <c r="B1731" s="26" t="s">
        <v>342</v>
      </c>
      <c r="C1731" s="26">
        <v>1.0</v>
      </c>
      <c r="D1731" s="26" t="s">
        <v>144</v>
      </c>
    </row>
    <row r="1732">
      <c r="A1732" s="188">
        <v>44894.02510262732</v>
      </c>
      <c r="B1732" s="26" t="s">
        <v>336</v>
      </c>
      <c r="C1732" s="26">
        <v>3.0</v>
      </c>
      <c r="D1732" s="26" t="s">
        <v>116</v>
      </c>
    </row>
    <row r="1733">
      <c r="A1733" s="188">
        <v>44894.02510262732</v>
      </c>
      <c r="B1733" s="26" t="s">
        <v>331</v>
      </c>
      <c r="C1733" s="26">
        <v>8.0</v>
      </c>
      <c r="D1733" s="26" t="s">
        <v>442</v>
      </c>
    </row>
    <row r="1734">
      <c r="A1734" s="188">
        <v>44894.02510262732</v>
      </c>
      <c r="B1734" s="26" t="s">
        <v>325</v>
      </c>
      <c r="C1734" s="26">
        <v>7.0</v>
      </c>
      <c r="D1734" s="26" t="s">
        <v>144</v>
      </c>
    </row>
    <row r="1735">
      <c r="A1735" s="188">
        <v>44894.02510262732</v>
      </c>
      <c r="B1735" s="26" t="s">
        <v>356</v>
      </c>
      <c r="C1735" s="26">
        <v>8.0</v>
      </c>
      <c r="D1735" s="26" t="s">
        <v>103</v>
      </c>
    </row>
    <row r="1736">
      <c r="A1736" s="188">
        <v>44894.02510262732</v>
      </c>
      <c r="B1736" s="26" t="s">
        <v>181</v>
      </c>
      <c r="C1736" s="26">
        <v>5.0</v>
      </c>
      <c r="D1736" s="26" t="s">
        <v>53</v>
      </c>
    </row>
    <row r="1737">
      <c r="A1737" s="188">
        <v>44894.02510262732</v>
      </c>
      <c r="B1737" s="26" t="s">
        <v>346</v>
      </c>
      <c r="C1737" s="26">
        <v>6.0</v>
      </c>
      <c r="D1737" s="26" t="s">
        <v>144</v>
      </c>
    </row>
    <row r="1738">
      <c r="A1738" s="188">
        <v>44894.02510262732</v>
      </c>
      <c r="B1738" s="26" t="s">
        <v>275</v>
      </c>
      <c r="C1738" s="26">
        <v>4.0</v>
      </c>
      <c r="D1738" s="26" t="s">
        <v>59</v>
      </c>
    </row>
    <row r="1739">
      <c r="A1739" s="188">
        <v>44894.02510262732</v>
      </c>
      <c r="B1739" s="26" t="s">
        <v>340</v>
      </c>
      <c r="C1739" s="26">
        <v>9.0</v>
      </c>
      <c r="D1739" s="26" t="s">
        <v>103</v>
      </c>
    </row>
    <row r="1740">
      <c r="A1740" s="188">
        <v>44894.02510262732</v>
      </c>
      <c r="B1740" s="26" t="s">
        <v>345</v>
      </c>
      <c r="C1740" s="26">
        <v>7.985</v>
      </c>
      <c r="D1740" s="26" t="s">
        <v>144</v>
      </c>
    </row>
    <row r="1741">
      <c r="A1741" s="188">
        <v>44894.02510262732</v>
      </c>
      <c r="B1741" s="26" t="s">
        <v>313</v>
      </c>
      <c r="C1741" s="26">
        <v>11.972000000000001</v>
      </c>
      <c r="D1741" s="26" t="s">
        <v>116</v>
      </c>
    </row>
    <row r="1742">
      <c r="A1742" s="188">
        <v>44894.02510262732</v>
      </c>
      <c r="B1742" s="26" t="s">
        <v>257</v>
      </c>
      <c r="C1742" s="26">
        <v>6.0</v>
      </c>
      <c r="D1742" s="26" t="s">
        <v>178</v>
      </c>
    </row>
    <row r="1743">
      <c r="A1743" s="188">
        <v>44894.02510262732</v>
      </c>
      <c r="B1743" s="26" t="s">
        <v>361</v>
      </c>
      <c r="C1743" s="26">
        <v>4.0</v>
      </c>
      <c r="D1743" s="26" t="s">
        <v>103</v>
      </c>
    </row>
    <row r="1744">
      <c r="A1744" s="188">
        <v>44894.02510262732</v>
      </c>
      <c r="B1744" s="26" t="s">
        <v>348</v>
      </c>
      <c r="C1744" s="26">
        <v>5.0</v>
      </c>
      <c r="D1744" s="26" t="s">
        <v>116</v>
      </c>
    </row>
    <row r="1745">
      <c r="A1745" s="188">
        <v>44894.02510262732</v>
      </c>
      <c r="B1745" s="26" t="s">
        <v>351</v>
      </c>
      <c r="C1745" s="26">
        <v>3.0</v>
      </c>
      <c r="D1745" s="26" t="s">
        <v>166</v>
      </c>
    </row>
    <row r="1746">
      <c r="A1746" s="188">
        <v>44894.02510262732</v>
      </c>
      <c r="B1746" s="26" t="s">
        <v>330</v>
      </c>
      <c r="C1746" s="26">
        <v>7.0</v>
      </c>
      <c r="D1746" s="26" t="s">
        <v>154</v>
      </c>
    </row>
    <row r="1747">
      <c r="A1747" s="188">
        <v>44894.02510262732</v>
      </c>
      <c r="B1747" s="26" t="s">
        <v>321</v>
      </c>
      <c r="C1747" s="26">
        <v>8.0</v>
      </c>
      <c r="D1747" s="26" t="s">
        <v>144</v>
      </c>
    </row>
    <row r="1748">
      <c r="A1748" s="188">
        <v>44894.02510262732</v>
      </c>
      <c r="B1748" s="26" t="s">
        <v>327</v>
      </c>
      <c r="C1748" s="26">
        <v>4.0</v>
      </c>
      <c r="D1748" s="26" t="s">
        <v>166</v>
      </c>
    </row>
    <row r="1749">
      <c r="A1749" s="188">
        <v>44894.02510262732</v>
      </c>
      <c r="B1749" s="26" t="s">
        <v>332</v>
      </c>
      <c r="C1749" s="26">
        <v>7.0</v>
      </c>
      <c r="D1749" s="26" t="s">
        <v>116</v>
      </c>
    </row>
    <row r="1750">
      <c r="A1750" s="188">
        <v>44894.02510262732</v>
      </c>
      <c r="B1750" s="26" t="s">
        <v>326</v>
      </c>
      <c r="C1750" s="26">
        <v>4.0</v>
      </c>
      <c r="D1750" s="26" t="s">
        <v>148</v>
      </c>
    </row>
    <row r="1751">
      <c r="A1751" s="188">
        <v>44894.02510262732</v>
      </c>
      <c r="B1751" s="26" t="s">
        <v>388</v>
      </c>
      <c r="C1751" s="26">
        <v>8.0</v>
      </c>
      <c r="D1751" s="26" t="s">
        <v>442</v>
      </c>
    </row>
    <row r="1752">
      <c r="A1752" s="188">
        <v>44894.02510262732</v>
      </c>
      <c r="B1752" s="26" t="s">
        <v>217</v>
      </c>
      <c r="C1752" s="26">
        <v>6.0</v>
      </c>
      <c r="D1752" s="26" t="s">
        <v>131</v>
      </c>
    </row>
    <row r="1753">
      <c r="A1753" s="188">
        <v>44894.02510262732</v>
      </c>
      <c r="B1753" s="26" t="s">
        <v>291</v>
      </c>
      <c r="C1753" s="26">
        <v>9.04</v>
      </c>
      <c r="D1753" s="26" t="s">
        <v>59</v>
      </c>
    </row>
    <row r="1754">
      <c r="A1754" s="188">
        <v>44894.02510262732</v>
      </c>
      <c r="B1754" s="26" t="s">
        <v>359</v>
      </c>
      <c r="C1754" s="26">
        <v>5.0</v>
      </c>
      <c r="D1754" s="26" t="s">
        <v>144</v>
      </c>
    </row>
    <row r="1755">
      <c r="A1755" s="188">
        <v>44894.02510262732</v>
      </c>
      <c r="B1755" s="26" t="s">
        <v>283</v>
      </c>
      <c r="C1755" s="26">
        <v>7.0</v>
      </c>
      <c r="D1755" s="26" t="s">
        <v>59</v>
      </c>
    </row>
    <row r="1756">
      <c r="A1756" s="188">
        <v>44894.02510262732</v>
      </c>
      <c r="B1756" s="26" t="s">
        <v>399</v>
      </c>
      <c r="C1756" s="26">
        <v>8.0</v>
      </c>
      <c r="D1756" s="26" t="s">
        <v>166</v>
      </c>
    </row>
    <row r="1757">
      <c r="A1757" s="188">
        <v>44894.02510262732</v>
      </c>
      <c r="B1757" s="26" t="s">
        <v>292</v>
      </c>
      <c r="C1757" s="26">
        <v>6.0</v>
      </c>
      <c r="D1757" s="26" t="s">
        <v>109</v>
      </c>
    </row>
    <row r="1758">
      <c r="A1758" s="188">
        <v>44894.02510262732</v>
      </c>
      <c r="B1758" s="26" t="s">
        <v>334</v>
      </c>
      <c r="C1758" s="26">
        <v>3.0</v>
      </c>
      <c r="D1758" s="26" t="s">
        <v>166</v>
      </c>
    </row>
    <row r="1759">
      <c r="A1759" s="188">
        <v>44894.02510262732</v>
      </c>
      <c r="B1759" s="26" t="s">
        <v>353</v>
      </c>
      <c r="C1759" s="26">
        <v>7.0</v>
      </c>
      <c r="D1759" s="26" t="s">
        <v>141</v>
      </c>
    </row>
    <row r="1760">
      <c r="A1760" s="188">
        <v>44894.02510262732</v>
      </c>
      <c r="B1760" s="26" t="s">
        <v>360</v>
      </c>
      <c r="C1760" s="26">
        <v>9.027999999999999</v>
      </c>
      <c r="D1760" s="26" t="s">
        <v>109</v>
      </c>
    </row>
    <row r="1761">
      <c r="A1761" s="188">
        <v>44894.02510262732</v>
      </c>
      <c r="B1761" s="26" t="s">
        <v>306</v>
      </c>
      <c r="C1761" s="26">
        <v>8.0</v>
      </c>
      <c r="D1761" s="26" t="s">
        <v>166</v>
      </c>
    </row>
    <row r="1762">
      <c r="A1762" s="188">
        <v>44894.02510262732</v>
      </c>
      <c r="B1762" s="26" t="s">
        <v>341</v>
      </c>
      <c r="C1762" s="26">
        <v>7.0</v>
      </c>
      <c r="D1762" s="26" t="s">
        <v>103</v>
      </c>
    </row>
    <row r="1763">
      <c r="A1763" s="188">
        <v>44894.02510262732</v>
      </c>
      <c r="B1763" s="26" t="s">
        <v>339</v>
      </c>
      <c r="C1763" s="26">
        <v>6.0</v>
      </c>
      <c r="D1763" s="26" t="s">
        <v>109</v>
      </c>
    </row>
    <row r="1764">
      <c r="A1764" s="188">
        <v>44894.02510262732</v>
      </c>
      <c r="B1764" s="26" t="s">
        <v>208</v>
      </c>
      <c r="C1764" s="26">
        <v>6.2</v>
      </c>
      <c r="D1764" s="26" t="s">
        <v>131</v>
      </c>
    </row>
    <row r="1765">
      <c r="A1765" s="188">
        <v>44894.02510262732</v>
      </c>
      <c r="B1765" s="26" t="s">
        <v>357</v>
      </c>
      <c r="C1765" s="26">
        <v>5.0</v>
      </c>
      <c r="D1765" s="26" t="s">
        <v>144</v>
      </c>
    </row>
    <row r="1766">
      <c r="A1766" s="188">
        <v>44894.02510262732</v>
      </c>
      <c r="B1766" s="26" t="s">
        <v>294</v>
      </c>
      <c r="C1766" s="26">
        <v>5.0</v>
      </c>
      <c r="D1766" s="26" t="s">
        <v>138</v>
      </c>
    </row>
    <row r="1767">
      <c r="A1767" s="188">
        <v>44894.02510262732</v>
      </c>
      <c r="B1767" s="26" t="s">
        <v>284</v>
      </c>
      <c r="C1767" s="26">
        <v>12.011000000000001</v>
      </c>
      <c r="D1767" s="26" t="s">
        <v>59</v>
      </c>
    </row>
    <row r="1768">
      <c r="A1768" s="188">
        <v>44894.02510262732</v>
      </c>
      <c r="B1768" s="26" t="s">
        <v>343</v>
      </c>
      <c r="C1768" s="26">
        <v>7.0</v>
      </c>
      <c r="D1768" s="26" t="s">
        <v>109</v>
      </c>
    </row>
    <row r="1769">
      <c r="A1769" s="188">
        <v>44894.02510262732</v>
      </c>
      <c r="B1769" s="26" t="s">
        <v>240</v>
      </c>
      <c r="C1769" s="26">
        <v>8.0</v>
      </c>
      <c r="D1769" s="26" t="s">
        <v>178</v>
      </c>
    </row>
    <row r="1770">
      <c r="A1770" s="188">
        <v>44894.02510262732</v>
      </c>
      <c r="B1770" s="26" t="s">
        <v>269</v>
      </c>
      <c r="C1770" s="26">
        <v>8.0</v>
      </c>
      <c r="D1770" s="26" t="s">
        <v>178</v>
      </c>
    </row>
    <row r="1771">
      <c r="A1771" s="188">
        <v>44894.02510262732</v>
      </c>
      <c r="B1771" s="26" t="s">
        <v>173</v>
      </c>
      <c r="C1771" s="26">
        <v>6.0</v>
      </c>
      <c r="D1771" s="26" t="s">
        <v>53</v>
      </c>
    </row>
    <row r="1772">
      <c r="A1772" s="188">
        <v>44894.02510262732</v>
      </c>
      <c r="B1772" s="26" t="s">
        <v>347</v>
      </c>
      <c r="C1772" s="26">
        <v>4.5</v>
      </c>
      <c r="D1772" s="26" t="s">
        <v>116</v>
      </c>
    </row>
    <row r="1773">
      <c r="A1773" s="188">
        <v>44894.02510262732</v>
      </c>
      <c r="B1773" s="26" t="s">
        <v>363</v>
      </c>
      <c r="C1773" s="26">
        <v>8.0</v>
      </c>
      <c r="D1773" s="26" t="s">
        <v>154</v>
      </c>
    </row>
    <row r="1774">
      <c r="A1774" s="188">
        <v>44894.02510262732</v>
      </c>
      <c r="B1774" s="26" t="s">
        <v>365</v>
      </c>
      <c r="C1774" s="26">
        <v>4.0</v>
      </c>
      <c r="D1774" s="26" t="s">
        <v>141</v>
      </c>
    </row>
    <row r="1775">
      <c r="A1775" s="188">
        <v>44894.02510262732</v>
      </c>
      <c r="B1775" s="26" t="s">
        <v>120</v>
      </c>
      <c r="C1775" s="26">
        <v>2.0</v>
      </c>
      <c r="D1775" s="26" t="s">
        <v>53</v>
      </c>
    </row>
    <row r="1776">
      <c r="A1776" s="188">
        <v>44894.02510262732</v>
      </c>
      <c r="B1776" s="26" t="s">
        <v>263</v>
      </c>
      <c r="C1776" s="26">
        <v>2.0</v>
      </c>
      <c r="D1776" s="26" t="s">
        <v>178</v>
      </c>
    </row>
    <row r="1777">
      <c r="A1777" s="188">
        <v>44894.02510262732</v>
      </c>
      <c r="B1777" s="26" t="s">
        <v>394</v>
      </c>
      <c r="C1777" s="26">
        <v>5.0</v>
      </c>
      <c r="D1777" s="26" t="s">
        <v>109</v>
      </c>
    </row>
    <row r="1778">
      <c r="A1778" s="188">
        <v>44894.02510262732</v>
      </c>
      <c r="B1778" s="26" t="s">
        <v>367</v>
      </c>
      <c r="C1778" s="26">
        <v>8.978</v>
      </c>
      <c r="D1778" s="26" t="s">
        <v>109</v>
      </c>
    </row>
    <row r="1779">
      <c r="A1779" s="188">
        <v>44894.02510262732</v>
      </c>
      <c r="B1779" s="26" t="s">
        <v>204</v>
      </c>
      <c r="C1779" s="26">
        <v>7.048</v>
      </c>
      <c r="D1779" s="26" t="s">
        <v>131</v>
      </c>
    </row>
    <row r="1780">
      <c r="A1780" s="188">
        <v>44894.02510262732</v>
      </c>
      <c r="B1780" s="26" t="s">
        <v>298</v>
      </c>
      <c r="C1780" s="26">
        <v>3.0</v>
      </c>
      <c r="D1780" s="26" t="s">
        <v>138</v>
      </c>
    </row>
    <row r="1781">
      <c r="A1781" s="188">
        <v>44894.02510262732</v>
      </c>
      <c r="B1781" s="26" t="s">
        <v>368</v>
      </c>
      <c r="C1781" s="26">
        <v>1.0</v>
      </c>
      <c r="D1781" s="26" t="s">
        <v>154</v>
      </c>
    </row>
    <row r="1782">
      <c r="A1782" s="188">
        <v>44894.02510262732</v>
      </c>
      <c r="B1782" s="26" t="s">
        <v>400</v>
      </c>
      <c r="C1782" s="26">
        <v>8.0</v>
      </c>
      <c r="D1782" s="26" t="s">
        <v>109</v>
      </c>
    </row>
    <row r="1783">
      <c r="A1783" s="188">
        <v>44894.02510262732</v>
      </c>
      <c r="B1783" s="26" t="s">
        <v>176</v>
      </c>
      <c r="C1783" s="26">
        <v>9.045</v>
      </c>
      <c r="D1783" s="26" t="s">
        <v>53</v>
      </c>
    </row>
    <row r="1784">
      <c r="A1784" s="188">
        <v>44894.02510262732</v>
      </c>
      <c r="B1784" s="26" t="s">
        <v>168</v>
      </c>
      <c r="C1784" s="26">
        <v>11.0</v>
      </c>
      <c r="D1784" s="26" t="s">
        <v>53</v>
      </c>
    </row>
    <row r="1785">
      <c r="A1785" s="188">
        <v>44894.02510262732</v>
      </c>
      <c r="B1785" s="26" t="s">
        <v>184</v>
      </c>
      <c r="C1785" s="26">
        <v>6.0</v>
      </c>
      <c r="D1785" s="26" t="s">
        <v>53</v>
      </c>
    </row>
    <row r="1786">
      <c r="A1786" s="188">
        <v>44894.02510262732</v>
      </c>
      <c r="B1786" s="26" t="s">
        <v>354</v>
      </c>
      <c r="C1786" s="26">
        <v>7.0</v>
      </c>
      <c r="D1786" s="26" t="s">
        <v>116</v>
      </c>
    </row>
    <row r="1787">
      <c r="A1787" s="188">
        <v>44894.02510262732</v>
      </c>
      <c r="B1787" s="26" t="s">
        <v>170</v>
      </c>
      <c r="C1787" s="26">
        <v>3.0</v>
      </c>
      <c r="D1787" s="26" t="s">
        <v>53</v>
      </c>
    </row>
    <row r="1788">
      <c r="A1788" s="188">
        <v>44894.02510262732</v>
      </c>
      <c r="B1788" s="26" t="s">
        <v>373</v>
      </c>
      <c r="C1788" s="26">
        <v>8.0</v>
      </c>
      <c r="D1788" s="26" t="s">
        <v>103</v>
      </c>
    </row>
    <row r="1789">
      <c r="A1789" s="188">
        <v>44894.02510262732</v>
      </c>
      <c r="B1789" s="26" t="s">
        <v>54</v>
      </c>
      <c r="C1789" s="26">
        <v>9.0</v>
      </c>
      <c r="D1789" s="26" t="s">
        <v>53</v>
      </c>
    </row>
    <row r="1790">
      <c r="A1790" s="188">
        <v>44894.02510262732</v>
      </c>
      <c r="B1790" s="26" t="s">
        <v>274</v>
      </c>
      <c r="C1790" s="26">
        <v>9.0</v>
      </c>
      <c r="D1790" s="26" t="s">
        <v>59</v>
      </c>
    </row>
    <row r="1791">
      <c r="A1791" s="188">
        <v>44894.02510262732</v>
      </c>
      <c r="B1791" s="26" t="s">
        <v>375</v>
      </c>
      <c r="C1791" s="26">
        <v>10.0</v>
      </c>
      <c r="D1791" s="26" t="s">
        <v>109</v>
      </c>
    </row>
    <row r="1792">
      <c r="A1792" s="188">
        <v>44894.02510262732</v>
      </c>
      <c r="B1792" s="26" t="s">
        <v>370</v>
      </c>
      <c r="C1792" s="26">
        <v>8.0</v>
      </c>
      <c r="D1792" s="26" t="s">
        <v>166</v>
      </c>
    </row>
    <row r="1793">
      <c r="A1793" s="188">
        <v>44894.02510262732</v>
      </c>
      <c r="B1793" s="26" t="s">
        <v>381</v>
      </c>
      <c r="C1793" s="26">
        <v>7.989</v>
      </c>
      <c r="D1793" s="26" t="s">
        <v>148</v>
      </c>
    </row>
    <row r="1794">
      <c r="A1794" s="188">
        <v>44894.02510262732</v>
      </c>
      <c r="B1794" s="26" t="s">
        <v>355</v>
      </c>
      <c r="C1794" s="26">
        <v>5.0</v>
      </c>
      <c r="D1794" s="26" t="s">
        <v>116</v>
      </c>
    </row>
    <row r="1795">
      <c r="A1795" s="188">
        <v>44894.02510262732</v>
      </c>
      <c r="B1795" s="26" t="s">
        <v>386</v>
      </c>
      <c r="C1795" s="26">
        <v>4.0</v>
      </c>
      <c r="D1795" s="26" t="s">
        <v>141</v>
      </c>
    </row>
    <row r="1796">
      <c r="A1796" s="188">
        <v>44894.02510262732</v>
      </c>
      <c r="B1796" s="26" t="s">
        <v>219</v>
      </c>
      <c r="C1796" s="26">
        <v>7.0</v>
      </c>
      <c r="D1796" s="26" t="s">
        <v>131</v>
      </c>
    </row>
    <row r="1797">
      <c r="A1797" s="188">
        <v>44894.02510262732</v>
      </c>
      <c r="B1797" s="26" t="s">
        <v>349</v>
      </c>
      <c r="C1797" s="26">
        <v>7.0</v>
      </c>
      <c r="D1797" s="26" t="s">
        <v>141</v>
      </c>
    </row>
    <row r="1798">
      <c r="A1798" s="188">
        <v>44894.02510262732</v>
      </c>
      <c r="B1798" s="26" t="s">
        <v>314</v>
      </c>
      <c r="C1798" s="26">
        <v>7.0</v>
      </c>
      <c r="D1798" s="26" t="s">
        <v>141</v>
      </c>
    </row>
    <row r="1799">
      <c r="A1799" s="188">
        <v>44894.02510262732</v>
      </c>
      <c r="B1799" s="26" t="s">
        <v>302</v>
      </c>
      <c r="C1799" s="26">
        <v>10.0</v>
      </c>
      <c r="D1799" s="26" t="s">
        <v>138</v>
      </c>
    </row>
    <row r="1800">
      <c r="A1800" s="188">
        <v>44894.02510262732</v>
      </c>
      <c r="B1800" s="26" t="s">
        <v>379</v>
      </c>
      <c r="C1800" s="26">
        <v>8.0</v>
      </c>
      <c r="D1800" s="26" t="s">
        <v>154</v>
      </c>
    </row>
    <row r="1801">
      <c r="A1801" s="188">
        <v>44894.02510262732</v>
      </c>
      <c r="B1801" s="26" t="s">
        <v>210</v>
      </c>
      <c r="C1801" s="26">
        <v>1.0</v>
      </c>
      <c r="D1801" s="26" t="s">
        <v>131</v>
      </c>
    </row>
    <row r="1802">
      <c r="A1802" s="188">
        <v>44894.02510262732</v>
      </c>
      <c r="B1802" s="26" t="s">
        <v>338</v>
      </c>
      <c r="C1802" s="26">
        <v>6.0</v>
      </c>
      <c r="D1802" s="26" t="s">
        <v>144</v>
      </c>
    </row>
    <row r="1803">
      <c r="A1803" s="188">
        <v>44894.02510262732</v>
      </c>
      <c r="B1803" s="26" t="s">
        <v>311</v>
      </c>
      <c r="C1803" s="26">
        <v>3.0</v>
      </c>
      <c r="D1803" s="26" t="s">
        <v>138</v>
      </c>
    </row>
    <row r="1804">
      <c r="A1804" s="188">
        <v>44894.02510262732</v>
      </c>
      <c r="B1804" s="26" t="s">
        <v>308</v>
      </c>
      <c r="C1804" s="26">
        <v>7.0</v>
      </c>
      <c r="D1804" s="26" t="s">
        <v>138</v>
      </c>
    </row>
    <row r="1805">
      <c r="A1805" s="188">
        <v>44894.02510262732</v>
      </c>
      <c r="B1805" s="26" t="s">
        <v>358</v>
      </c>
      <c r="C1805" s="26">
        <v>11.96</v>
      </c>
      <c r="D1805" s="26" t="s">
        <v>103</v>
      </c>
    </row>
    <row r="1806">
      <c r="A1806" s="188">
        <v>44894.02510262732</v>
      </c>
      <c r="B1806" s="26" t="s">
        <v>362</v>
      </c>
      <c r="C1806" s="26">
        <v>3.0</v>
      </c>
      <c r="D1806" s="26" t="s">
        <v>103</v>
      </c>
    </row>
    <row r="1807">
      <c r="A1807" s="188">
        <v>44894.02510262732</v>
      </c>
      <c r="B1807" s="26" t="s">
        <v>214</v>
      </c>
      <c r="C1807" s="26">
        <v>10.0</v>
      </c>
      <c r="D1807" s="26" t="s">
        <v>131</v>
      </c>
    </row>
    <row r="1808">
      <c r="A1808" s="188">
        <v>44894.02510262732</v>
      </c>
      <c r="B1808" s="26" t="s">
        <v>387</v>
      </c>
      <c r="C1808" s="26">
        <v>5.0</v>
      </c>
      <c r="D1808" s="26" t="s">
        <v>148</v>
      </c>
    </row>
    <row r="1809">
      <c r="A1809" s="188">
        <v>44894.02510262732</v>
      </c>
      <c r="B1809" s="26" t="s">
        <v>364</v>
      </c>
      <c r="C1809" s="26">
        <v>8.0</v>
      </c>
      <c r="D1809" s="26" t="s">
        <v>166</v>
      </c>
    </row>
    <row r="1810">
      <c r="A1810" s="188">
        <v>44894.02510262732</v>
      </c>
      <c r="B1810" s="26" t="s">
        <v>380</v>
      </c>
      <c r="C1810" s="26">
        <v>4.0</v>
      </c>
      <c r="D1810" s="26" t="s">
        <v>148</v>
      </c>
    </row>
    <row r="1811">
      <c r="A1811" s="188">
        <v>44894.02510262732</v>
      </c>
      <c r="B1811" s="26" t="s">
        <v>272</v>
      </c>
      <c r="C1811" s="26">
        <v>7.0</v>
      </c>
      <c r="D1811" s="26" t="s">
        <v>178</v>
      </c>
    </row>
    <row r="1812">
      <c r="A1812" s="188">
        <v>44894.02510262732</v>
      </c>
      <c r="B1812" s="26" t="s">
        <v>265</v>
      </c>
      <c r="C1812" s="26">
        <v>6.955</v>
      </c>
      <c r="D1812" s="26" t="s">
        <v>178</v>
      </c>
    </row>
    <row r="1813">
      <c r="A1813" s="188">
        <v>44894.02510262732</v>
      </c>
      <c r="B1813" s="26" t="s">
        <v>318</v>
      </c>
      <c r="C1813" s="26">
        <v>9.956999999999999</v>
      </c>
      <c r="D1813" s="26" t="s">
        <v>141</v>
      </c>
    </row>
    <row r="1814">
      <c r="A1814" s="188">
        <v>44894.02510262732</v>
      </c>
      <c r="B1814" s="26" t="s">
        <v>267</v>
      </c>
      <c r="C1814" s="26">
        <v>9.997</v>
      </c>
      <c r="D1814" s="26" t="s">
        <v>178</v>
      </c>
    </row>
    <row r="1815">
      <c r="A1815" s="188">
        <v>44894.02510262732</v>
      </c>
      <c r="B1815" s="26" t="s">
        <v>195</v>
      </c>
      <c r="C1815" s="26">
        <v>5.0</v>
      </c>
      <c r="D1815" s="26" t="s">
        <v>53</v>
      </c>
    </row>
    <row r="1816">
      <c r="A1816" s="188">
        <v>44894.02510262732</v>
      </c>
      <c r="B1816" s="26" t="s">
        <v>378</v>
      </c>
      <c r="C1816" s="26">
        <v>6.8</v>
      </c>
      <c r="D1816" s="26" t="s">
        <v>103</v>
      </c>
    </row>
    <row r="1817">
      <c r="A1817" s="188">
        <v>44894.02510262732</v>
      </c>
      <c r="B1817" s="26" t="s">
        <v>374</v>
      </c>
      <c r="C1817" s="26">
        <v>9.003</v>
      </c>
      <c r="D1817" s="26" t="s">
        <v>148</v>
      </c>
    </row>
    <row r="1818">
      <c r="A1818" s="188">
        <v>44894.02510262732</v>
      </c>
      <c r="B1818" s="26" t="s">
        <v>261</v>
      </c>
      <c r="C1818" s="26">
        <v>9.0</v>
      </c>
      <c r="D1818" s="26" t="s">
        <v>178</v>
      </c>
    </row>
    <row r="1819">
      <c r="A1819" s="188">
        <v>44894.02510262732</v>
      </c>
      <c r="B1819" s="26" t="s">
        <v>281</v>
      </c>
      <c r="C1819" s="26">
        <v>6.0</v>
      </c>
      <c r="D1819" s="26" t="s">
        <v>59</v>
      </c>
    </row>
    <row r="1820">
      <c r="A1820" s="188">
        <v>44894.02510262732</v>
      </c>
      <c r="B1820" s="26" t="s">
        <v>199</v>
      </c>
      <c r="C1820" s="26">
        <v>4.0</v>
      </c>
      <c r="D1820" s="26" t="s">
        <v>131</v>
      </c>
    </row>
    <row r="1821">
      <c r="A1821" s="188">
        <v>44894.02510262732</v>
      </c>
      <c r="B1821" s="26" t="s">
        <v>401</v>
      </c>
      <c r="C1821" s="26">
        <v>1.0</v>
      </c>
      <c r="D1821" s="26" t="s">
        <v>148</v>
      </c>
    </row>
    <row r="1822">
      <c r="A1822" s="188">
        <v>44894.02510262732</v>
      </c>
      <c r="B1822" s="26" t="s">
        <v>279</v>
      </c>
      <c r="C1822" s="26">
        <v>5.0</v>
      </c>
      <c r="D1822" s="26" t="s">
        <v>59</v>
      </c>
    </row>
    <row r="1823">
      <c r="A1823" s="188">
        <v>44894.02510262732</v>
      </c>
      <c r="B1823" s="26" t="s">
        <v>369</v>
      </c>
      <c r="C1823" s="26">
        <v>11.011000000000001</v>
      </c>
      <c r="D1823" s="26" t="s">
        <v>116</v>
      </c>
    </row>
    <row r="1824">
      <c r="A1824" s="188">
        <v>44894.02510262732</v>
      </c>
      <c r="B1824" s="26" t="s">
        <v>304</v>
      </c>
      <c r="C1824" s="26">
        <v>6.0</v>
      </c>
      <c r="D1824" s="26" t="s">
        <v>138</v>
      </c>
    </row>
    <row r="1825">
      <c r="A1825" s="188">
        <v>44894.02510262732</v>
      </c>
      <c r="B1825" s="26" t="s">
        <v>372</v>
      </c>
      <c r="C1825" s="26">
        <v>8.988999999999999</v>
      </c>
      <c r="D1825" s="26" t="s">
        <v>154</v>
      </c>
    </row>
    <row r="1826">
      <c r="A1826" s="188">
        <v>44894.02510262732</v>
      </c>
      <c r="B1826" s="26" t="s">
        <v>366</v>
      </c>
      <c r="C1826" s="26">
        <v>5.0</v>
      </c>
      <c r="D1826" s="26" t="s">
        <v>154</v>
      </c>
    </row>
    <row r="1827">
      <c r="A1827" s="188">
        <v>44894.02510262732</v>
      </c>
      <c r="B1827" s="26" t="s">
        <v>296</v>
      </c>
      <c r="C1827" s="26">
        <v>9.952</v>
      </c>
      <c r="D1827" s="26" t="s">
        <v>138</v>
      </c>
    </row>
    <row r="1828">
      <c r="A1828" s="188">
        <v>44894.02510262732</v>
      </c>
      <c r="B1828" s="26" t="s">
        <v>309</v>
      </c>
      <c r="C1828" s="26">
        <v>5.0</v>
      </c>
      <c r="D1828" s="26" t="s">
        <v>138</v>
      </c>
    </row>
    <row r="1829">
      <c r="A1829" s="188">
        <v>44894.02510262732</v>
      </c>
      <c r="B1829" s="26" t="s">
        <v>155</v>
      </c>
      <c r="C1829" s="26">
        <v>3.0</v>
      </c>
      <c r="D1829" s="26" t="s">
        <v>53</v>
      </c>
    </row>
    <row r="1830">
      <c r="A1830" s="188">
        <v>44894.02510262732</v>
      </c>
      <c r="B1830" s="26" t="s">
        <v>384</v>
      </c>
      <c r="C1830" s="26">
        <v>3.0</v>
      </c>
      <c r="D1830" s="26" t="s">
        <v>148</v>
      </c>
    </row>
    <row r="1831">
      <c r="A1831" s="188">
        <v>44894.02510262732</v>
      </c>
      <c r="B1831" s="26" t="s">
        <v>259</v>
      </c>
      <c r="C1831" s="26">
        <v>7.0</v>
      </c>
      <c r="D1831" s="26" t="s">
        <v>178</v>
      </c>
    </row>
    <row r="1832">
      <c r="A1832" s="188">
        <v>44894.02510262732</v>
      </c>
      <c r="B1832" s="26" t="s">
        <v>377</v>
      </c>
      <c r="C1832" s="26">
        <v>10.0</v>
      </c>
      <c r="D1832" s="26" t="s">
        <v>148</v>
      </c>
    </row>
    <row r="1833">
      <c r="A1833" s="188">
        <v>44894.02510262732</v>
      </c>
      <c r="B1833" s="26" t="s">
        <v>222</v>
      </c>
      <c r="C1833" s="26">
        <v>7.0</v>
      </c>
      <c r="D1833" s="26" t="s">
        <v>131</v>
      </c>
    </row>
    <row r="1834">
      <c r="A1834" s="188">
        <v>44894.02510262732</v>
      </c>
      <c r="B1834" s="26" t="s">
        <v>371</v>
      </c>
      <c r="C1834" s="26">
        <v>5.0</v>
      </c>
      <c r="D1834" s="26" t="s">
        <v>144</v>
      </c>
    </row>
    <row r="1835">
      <c r="A1835" s="188">
        <v>44894.02510262732</v>
      </c>
      <c r="B1835" s="26" t="s">
        <v>271</v>
      </c>
      <c r="C1835" s="26">
        <v>8.0</v>
      </c>
      <c r="D1835" s="26" t="s">
        <v>178</v>
      </c>
    </row>
    <row r="1836">
      <c r="A1836" s="188">
        <v>44894.02510262732</v>
      </c>
      <c r="B1836" s="26" t="s">
        <v>382</v>
      </c>
      <c r="C1836" s="26">
        <v>5.0</v>
      </c>
      <c r="D1836" s="26" t="s">
        <v>154</v>
      </c>
    </row>
    <row r="1837">
      <c r="A1837" s="188">
        <v>44894.02510262732</v>
      </c>
      <c r="B1837" s="26" t="s">
        <v>197</v>
      </c>
      <c r="C1837" s="26">
        <v>6.0</v>
      </c>
      <c r="D1837" s="26" t="s">
        <v>131</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t="str">
        <f t="array" ref="A1:C132">'ESPN rankings import'!N4:P135</f>
        <v>Team</v>
      </c>
      <c r="B1" t="s">
        <v>657</v>
      </c>
      <c r="C1" t="s">
        <v>653</v>
      </c>
      <c r="D1" s="26" t="s">
        <v>0</v>
      </c>
      <c r="E1" s="26" t="s">
        <v>657</v>
      </c>
      <c r="I1" s="26" t="s">
        <v>0</v>
      </c>
      <c r="J1" s="26" t="s">
        <v>655</v>
      </c>
      <c r="K1" s="26" t="s">
        <v>656</v>
      </c>
    </row>
    <row r="2">
      <c r="A2" t="s">
        <v>658</v>
      </c>
      <c r="B2" s="187" t="s">
        <v>188</v>
      </c>
      <c r="C2" s="187">
        <v>9.812</v>
      </c>
      <c r="D2" s="26" t="s">
        <v>659</v>
      </c>
      <c r="E2" s="26" t="s">
        <v>192</v>
      </c>
      <c r="H2" t="s">
        <v>660</v>
      </c>
      <c r="I2" t="str">
        <f>offset(Translation!$A$5,0,match($H2,Translation!$A$6:$FF$6,0)-1)</f>
        <v>Air Force</v>
      </c>
      <c r="J2">
        <f t="shared" ref="J2:J132" si="1">iferror(vlookup(H2,A:C,3,0),vlookup(H2,D:E,2,0))</f>
        <v>7.1</v>
      </c>
      <c r="K2" t="str">
        <f>iferror(offset(DraftTracker!D$1,match(offset(Translation!$A$5,0,match($H2,Translation!$A$6:$EA$6,0)-1),DraftTracker!F:F,0)-1,0),"undrafted")</f>
        <v>Janice/Mike</v>
      </c>
    </row>
    <row r="3">
      <c r="A3" t="s">
        <v>661</v>
      </c>
      <c r="B3" s="187" t="s">
        <v>192</v>
      </c>
      <c r="C3" s="187">
        <v>9.503</v>
      </c>
      <c r="D3" s="26" t="s">
        <v>662</v>
      </c>
      <c r="E3" s="26" t="s">
        <v>192</v>
      </c>
      <c r="H3" t="s">
        <v>663</v>
      </c>
      <c r="I3" t="str">
        <f>offset(Translation!$A$5,0,match($H3,Translation!$A$6:$FF$6,0)-1)</f>
        <v>Akron</v>
      </c>
      <c r="J3" t="str">
        <f t="shared" si="1"/>
        <v>MAC</v>
      </c>
      <c r="K3" t="str">
        <f>iferror(offset(DraftTracker!D$1,match(offset(Translation!$A$5,0,match($H3,Translation!$A$6:$EA$6,0)-1),DraftTracker!F:F,0)-1,0),"undrafted")</f>
        <v>Josh</v>
      </c>
    </row>
    <row r="4">
      <c r="A4" t="s">
        <v>664</v>
      </c>
      <c r="B4" s="187" t="s">
        <v>665</v>
      </c>
      <c r="C4" s="187">
        <v>10.7</v>
      </c>
      <c r="D4" s="26" t="s">
        <v>658</v>
      </c>
      <c r="E4" s="26" t="s">
        <v>188</v>
      </c>
      <c r="H4" t="s">
        <v>662</v>
      </c>
      <c r="I4" t="str">
        <f>offset(Translation!$A$5,0,match($H4,Translation!$A$6:$FF$6,0)-1)</f>
        <v>Alabama</v>
      </c>
      <c r="J4">
        <f t="shared" si="1"/>
        <v>8.497</v>
      </c>
      <c r="K4" t="str">
        <f>iferror(offset(DraftTracker!D$1,match(offset(Translation!$A$5,0,match($H4,Translation!$A$6:$EA$6,0)-1),DraftTracker!F:F,0)-1,0),"undrafted")</f>
        <v>Josh</v>
      </c>
    </row>
    <row r="5">
      <c r="A5" t="s">
        <v>666</v>
      </c>
      <c r="B5" s="187" t="s">
        <v>188</v>
      </c>
      <c r="C5" s="187">
        <v>9.957999999999998</v>
      </c>
      <c r="D5" s="26" t="s">
        <v>667</v>
      </c>
      <c r="E5" s="26" t="s">
        <v>188</v>
      </c>
      <c r="H5" t="s">
        <v>668</v>
      </c>
      <c r="I5" t="str">
        <f>offset(Translation!$A$5,0,match($H5,Translation!$A$6:$FF$6,0)-1)</f>
        <v>Appalachian State</v>
      </c>
      <c r="J5" t="str">
        <f t="shared" si="1"/>
        <v>Sun Belt</v>
      </c>
      <c r="K5" t="str">
        <f>iferror(offset(DraftTracker!D$1,match(offset(Translation!$A$5,0,match($H5,Translation!$A$6:$EA$6,0)-1),DraftTracker!F:F,0)-1,0),"undrafted")</f>
        <v>Nick G.</v>
      </c>
    </row>
    <row r="6">
      <c r="A6" t="s">
        <v>659</v>
      </c>
      <c r="B6" s="187" t="s">
        <v>192</v>
      </c>
      <c r="C6" s="187">
        <v>9.667</v>
      </c>
      <c r="D6" s="26" t="s">
        <v>669</v>
      </c>
      <c r="E6" s="26" t="s">
        <v>192</v>
      </c>
      <c r="H6" t="s">
        <v>670</v>
      </c>
      <c r="I6" t="str">
        <f>offset(Translation!$A$5,0,match($H6,Translation!$A$6:$FF$6,0)-1)</f>
        <v>Arizona State</v>
      </c>
      <c r="J6">
        <f t="shared" si="1"/>
        <v>5.977</v>
      </c>
      <c r="K6" t="str">
        <f>iferror(offset(DraftTracker!D$1,match(offset(Translation!$A$5,0,match($H6,Translation!$A$6:$EA$6,0)-1),DraftTracker!F:F,0)-1,0),"undrafted")</f>
        <v>Brad</v>
      </c>
    </row>
    <row r="7">
      <c r="A7" t="s">
        <v>671</v>
      </c>
      <c r="B7" s="187" t="s">
        <v>188</v>
      </c>
      <c r="C7" s="187">
        <v>9.913</v>
      </c>
      <c r="D7" s="26" t="s">
        <v>661</v>
      </c>
      <c r="E7" s="26" t="s">
        <v>187</v>
      </c>
      <c r="H7" t="s">
        <v>672</v>
      </c>
      <c r="I7" t="str">
        <f>offset(Translation!$A$5,0,match($H7,Translation!$A$6:$FF$6,0)-1)</f>
        <v>Arizona</v>
      </c>
      <c r="J7">
        <f t="shared" si="1"/>
        <v>7.258</v>
      </c>
      <c r="K7" t="str">
        <f>iferror(offset(DraftTracker!D$1,match(offset(Translation!$A$5,0,match($H7,Translation!$A$6:$EA$6,0)-1),DraftTracker!F:F,0)-1,0),"undrafted")</f>
        <v>Janice/Mike</v>
      </c>
    </row>
    <row r="8">
      <c r="A8" t="s">
        <v>673</v>
      </c>
      <c r="B8" s="187" t="s">
        <v>186</v>
      </c>
      <c r="C8" s="187">
        <v>9.897</v>
      </c>
      <c r="D8" s="26" t="s">
        <v>674</v>
      </c>
      <c r="E8" s="26" t="s">
        <v>188</v>
      </c>
      <c r="H8" t="s">
        <v>675</v>
      </c>
      <c r="I8" t="str">
        <f>offset(Translation!$A$5,0,match($H8,Translation!$A$6:$FF$6,0)-1)</f>
        <v>Arkansas</v>
      </c>
      <c r="J8">
        <f t="shared" si="1"/>
        <v>4.299</v>
      </c>
      <c r="K8" t="str">
        <f>iferror(offset(DraftTracker!D$1,match(offset(Translation!$A$5,0,match($H8,Translation!$A$6:$EA$6,0)-1),DraftTracker!F:F,0)-1,0),"undrafted")</f>
        <v>Masa</v>
      </c>
    </row>
    <row r="9">
      <c r="A9" t="s">
        <v>662</v>
      </c>
      <c r="B9" s="187" t="s">
        <v>192</v>
      </c>
      <c r="C9" s="187">
        <v>8.497</v>
      </c>
      <c r="D9" s="26" t="s">
        <v>676</v>
      </c>
      <c r="E9" s="26" t="s">
        <v>93</v>
      </c>
      <c r="H9" t="s">
        <v>677</v>
      </c>
      <c r="I9" t="str">
        <f>offset(Translation!$A$5,0,match($H9,Translation!$A$6:$FF$6,0)-1)</f>
        <v>Arkansas State</v>
      </c>
      <c r="J9">
        <f t="shared" si="1"/>
        <v>6.139</v>
      </c>
      <c r="K9" t="str">
        <f>iferror(offset(DraftTracker!D$1,match(offset(Translation!$A$5,0,match($H9,Translation!$A$6:$EA$6,0)-1),DraftTracker!F:F,0)-1,0),"undrafted")</f>
        <v>Nico</v>
      </c>
    </row>
    <row r="10">
      <c r="A10" t="s">
        <v>678</v>
      </c>
      <c r="B10" s="187" t="s">
        <v>192</v>
      </c>
      <c r="C10" s="187">
        <v>8.312000000000001</v>
      </c>
      <c r="D10" s="26" t="s">
        <v>679</v>
      </c>
      <c r="E10" s="26" t="s">
        <v>186</v>
      </c>
      <c r="H10" t="s">
        <v>680</v>
      </c>
      <c r="I10" t="str">
        <f>offset(Translation!$A$5,0,match($H10,Translation!$A$6:$FF$6,0)-1)</f>
        <v>Army</v>
      </c>
      <c r="J10">
        <f t="shared" si="1"/>
        <v>6.35</v>
      </c>
      <c r="K10" t="str">
        <f>iferror(offset(DraftTracker!D$1,match(offset(Translation!$A$5,0,match($H10,Translation!$A$6:$EA$6,0)-1),DraftTracker!F:F,0)-1,0),"undrafted")</f>
        <v>Nick A.</v>
      </c>
    </row>
    <row r="11">
      <c r="A11" t="s">
        <v>681</v>
      </c>
      <c r="B11" s="187" t="s">
        <v>187</v>
      </c>
      <c r="C11" s="187">
        <v>10.341000000000001</v>
      </c>
      <c r="D11" s="26" t="s">
        <v>682</v>
      </c>
      <c r="E11" s="26" t="s">
        <v>187</v>
      </c>
      <c r="H11" t="s">
        <v>683</v>
      </c>
      <c r="I11" t="str">
        <f>offset(Translation!$A$5,0,match($H11,Translation!$A$6:$FF$6,0)-1)</f>
        <v>Auburn</v>
      </c>
      <c r="J11">
        <f t="shared" si="1"/>
        <v>6.586</v>
      </c>
      <c r="K11" t="str">
        <f>iferror(offset(DraftTracker!D$1,match(offset(Translation!$A$5,0,match($H11,Translation!$A$6:$EA$6,0)-1),DraftTracker!F:F,0)-1,0),"undrafted")</f>
        <v>Nick A.</v>
      </c>
    </row>
    <row r="12">
      <c r="A12" t="s">
        <v>684</v>
      </c>
      <c r="B12" s="187" t="s">
        <v>192</v>
      </c>
      <c r="C12" s="187">
        <v>8.316</v>
      </c>
      <c r="D12" s="26" t="s">
        <v>685</v>
      </c>
      <c r="E12" s="26" t="s">
        <v>187</v>
      </c>
      <c r="H12" t="s">
        <v>686</v>
      </c>
      <c r="I12" t="str">
        <f>offset(Translation!$A$5,0,match($H12,Translation!$A$6:$FF$6,0)-1)</f>
        <v>Ball State</v>
      </c>
      <c r="J12" t="str">
        <f t="shared" si="1"/>
        <v>MAC</v>
      </c>
      <c r="K12" t="str">
        <f>iferror(offset(DraftTracker!D$1,match(offset(Translation!$A$5,0,match($H12,Translation!$A$6:$EA$6,0)-1),DraftTracker!F:F,0)-1,0),"undrafted")</f>
        <v>Justin</v>
      </c>
    </row>
    <row r="13">
      <c r="A13" t="s">
        <v>687</v>
      </c>
      <c r="B13" s="187" t="s">
        <v>192</v>
      </c>
      <c r="C13" s="187">
        <v>7.446</v>
      </c>
      <c r="D13" s="26" t="s">
        <v>678</v>
      </c>
      <c r="E13" s="26" t="s">
        <v>192</v>
      </c>
      <c r="H13" t="s">
        <v>688</v>
      </c>
      <c r="I13" t="str">
        <f>offset(Translation!$A$5,0,match($H13,Translation!$A$6:$FF$6,0)-1)</f>
        <v>Baylor</v>
      </c>
      <c r="J13">
        <f t="shared" si="1"/>
        <v>6.568</v>
      </c>
      <c r="K13" t="str">
        <f>iferror(offset(DraftTracker!D$1,match(offset(Translation!$A$5,0,match($H13,Translation!$A$6:$EA$6,0)-1),DraftTracker!F:F,0)-1,0),"undrafted")</f>
        <v>Nico</v>
      </c>
    </row>
    <row r="14">
      <c r="A14" t="s">
        <v>689</v>
      </c>
      <c r="B14" s="187" t="s">
        <v>188</v>
      </c>
      <c r="C14" s="187">
        <v>8.149</v>
      </c>
      <c r="D14" s="26" t="s">
        <v>690</v>
      </c>
      <c r="E14" s="26" t="s">
        <v>186</v>
      </c>
      <c r="H14" t="s">
        <v>691</v>
      </c>
      <c r="I14" t="str">
        <f>offset(Translation!$A$5,0,match($H14,Translation!$A$6:$FF$6,0)-1)</f>
        <v>Boise State</v>
      </c>
      <c r="J14">
        <f t="shared" si="1"/>
        <v>7.436</v>
      </c>
      <c r="K14" t="str">
        <f>iferror(offset(DraftTracker!D$1,match(offset(Translation!$A$5,0,match($H14,Translation!$A$6:$EA$6,0)-1),DraftTracker!F:F,0)-1,0),"undrafted")</f>
        <v>Vu</v>
      </c>
    </row>
    <row r="15">
      <c r="A15" t="s">
        <v>692</v>
      </c>
      <c r="B15" s="187" t="s">
        <v>192</v>
      </c>
      <c r="C15" s="187">
        <v>7.263</v>
      </c>
      <c r="D15" s="26" t="s">
        <v>689</v>
      </c>
      <c r="E15" s="26" t="s">
        <v>93</v>
      </c>
      <c r="H15" t="s">
        <v>693</v>
      </c>
      <c r="I15" t="str">
        <f>offset(Translation!$A$5,0,match($H15,Translation!$A$6:$FF$6,0)-1)</f>
        <v>Boston College</v>
      </c>
      <c r="J15">
        <f t="shared" si="1"/>
        <v>3.999</v>
      </c>
      <c r="K15" t="str">
        <f>iferror(offset(DraftTracker!D$1,match(offset(Translation!$A$5,0,match($H15,Translation!$A$6:$EA$6,0)-1),DraftTracker!F:F,0)-1,0),"undrafted")</f>
        <v>Nick G.</v>
      </c>
    </row>
    <row r="16">
      <c r="A16" t="s">
        <v>667</v>
      </c>
      <c r="B16" s="187" t="s">
        <v>188</v>
      </c>
      <c r="C16" s="187">
        <v>7.762</v>
      </c>
      <c r="D16" s="26" t="s">
        <v>666</v>
      </c>
      <c r="E16" s="26" t="s">
        <v>93</v>
      </c>
      <c r="H16" t="s">
        <v>694</v>
      </c>
      <c r="I16" t="str">
        <f>offset(Translation!$A$5,0,match($H16,Translation!$A$6:$FF$6,0)-1)</f>
        <v>Bowling Green</v>
      </c>
      <c r="J16">
        <f t="shared" si="1"/>
        <v>4.67</v>
      </c>
      <c r="K16" t="str">
        <f>iferror(offset(DraftTracker!D$1,match(offset(Translation!$A$5,0,match($H16,Translation!$A$6:$EA$6,0)-1),DraftTracker!F:F,0)-1,0),"undrafted")</f>
        <v>Vu</v>
      </c>
    </row>
    <row r="17">
      <c r="A17" t="s">
        <v>669</v>
      </c>
      <c r="B17" s="187" t="s">
        <v>192</v>
      </c>
      <c r="C17" s="187">
        <v>7.269</v>
      </c>
      <c r="D17" s="26" t="s">
        <v>692</v>
      </c>
      <c r="E17" s="26" t="s">
        <v>192</v>
      </c>
      <c r="H17" t="s">
        <v>695</v>
      </c>
      <c r="I17" t="str">
        <f>offset(Translation!$A$5,0,match($H17,Translation!$A$6:$FF$6,0)-1)</f>
        <v>Buffalo</v>
      </c>
      <c r="J17">
        <f t="shared" si="1"/>
        <v>6.541</v>
      </c>
      <c r="K17" t="str">
        <f>iferror(offset(DraftTracker!D$1,match(offset(Translation!$A$5,0,match($H17,Translation!$A$6:$EA$6,0)-1),DraftTracker!F:F,0)-1,0),"undrafted")</f>
        <v>Brad</v>
      </c>
    </row>
    <row r="18">
      <c r="A18" t="s">
        <v>674</v>
      </c>
      <c r="B18" s="187" t="s">
        <v>188</v>
      </c>
      <c r="C18" s="187">
        <v>8.955</v>
      </c>
      <c r="D18" s="26" t="s">
        <v>664</v>
      </c>
      <c r="E18" s="26" t="s">
        <v>665</v>
      </c>
      <c r="H18" t="s">
        <v>696</v>
      </c>
      <c r="I18" t="str">
        <f>offset(Translation!$A$5,0,match($H18,Translation!$A$6:$FF$6,0)-1)</f>
        <v>BYU</v>
      </c>
      <c r="J18">
        <f t="shared" si="1"/>
        <v>8.535</v>
      </c>
      <c r="K18" t="str">
        <f>iferror(offset(DraftTracker!D$1,match(offset(Translation!$A$5,0,match($H18,Translation!$A$6:$EA$6,0)-1),DraftTracker!F:F,0)-1,0),"undrafted")</f>
        <v>Josh</v>
      </c>
    </row>
    <row r="19">
      <c r="A19" t="s">
        <v>697</v>
      </c>
      <c r="B19" s="187" t="s">
        <v>192</v>
      </c>
      <c r="C19" s="187">
        <v>6.680000000000001</v>
      </c>
      <c r="D19" s="26" t="s">
        <v>698</v>
      </c>
      <c r="E19" s="26" t="s">
        <v>192</v>
      </c>
      <c r="H19" t="s">
        <v>699</v>
      </c>
      <c r="I19" t="str">
        <f>offset(Translation!$A$5,0,match($H19,Translation!$A$6:$FF$6,0)-1)</f>
        <v>California</v>
      </c>
      <c r="J19">
        <f t="shared" si="1"/>
        <v>5.595</v>
      </c>
      <c r="K19" t="str">
        <f>iferror(offset(DraftTracker!D$1,match(offset(Translation!$A$5,0,match($H19,Translation!$A$6:$EA$6,0)-1),DraftTracker!F:F,0)-1,0),"undrafted")</f>
        <v>Nick A.</v>
      </c>
    </row>
    <row r="20">
      <c r="A20" t="s">
        <v>679</v>
      </c>
      <c r="B20" s="187" t="s">
        <v>186</v>
      </c>
      <c r="C20" s="187">
        <v>7.981</v>
      </c>
      <c r="D20" s="26" t="s">
        <v>700</v>
      </c>
      <c r="E20" s="26" t="s">
        <v>188</v>
      </c>
      <c r="H20" t="s">
        <v>701</v>
      </c>
      <c r="I20" t="str">
        <f>offset(Translation!$A$5,0,match($H20,Translation!$A$6:$FF$6,0)-1)</f>
        <v>Central Michigan</v>
      </c>
      <c r="J20">
        <f t="shared" si="1"/>
        <v>5.555</v>
      </c>
      <c r="K20" t="str">
        <f>iferror(offset(DraftTracker!D$1,match(offset(Translation!$A$5,0,match($H20,Translation!$A$6:$EA$6,0)-1),DraftTracker!F:F,0)-1,0),"undrafted")</f>
        <v>Nick G.</v>
      </c>
    </row>
    <row r="21">
      <c r="A21" t="s">
        <v>696</v>
      </c>
      <c r="B21" s="187" t="s">
        <v>187</v>
      </c>
      <c r="C21" s="187">
        <v>8.535</v>
      </c>
      <c r="D21" s="26" t="s">
        <v>702</v>
      </c>
      <c r="E21" s="26" t="s">
        <v>188</v>
      </c>
      <c r="H21" t="s">
        <v>703</v>
      </c>
      <c r="I21" t="str">
        <f>offset(Translation!$A$5,0,match($H21,Translation!$A$6:$FF$6,0)-1)</f>
        <v>Charlotte</v>
      </c>
      <c r="J21">
        <f t="shared" si="1"/>
        <v>3.896</v>
      </c>
      <c r="K21" t="str">
        <f>iferror(offset(DraftTracker!D$1,match(offset(Translation!$A$5,0,match($H21,Translation!$A$6:$EA$6,0)-1),DraftTracker!F:F,0)-1,0),"undrafted")</f>
        <v>Josh</v>
      </c>
    </row>
    <row r="22">
      <c r="A22" t="s">
        <v>704</v>
      </c>
      <c r="B22" s="187" t="s">
        <v>192</v>
      </c>
      <c r="C22" s="187">
        <v>6.6850000000000005</v>
      </c>
      <c r="D22" s="26" t="s">
        <v>688</v>
      </c>
      <c r="E22" s="26" t="s">
        <v>187</v>
      </c>
      <c r="H22" t="s">
        <v>705</v>
      </c>
      <c r="I22" t="str">
        <f>offset(Translation!$A$5,0,match($H22,Translation!$A$6:$FF$6,0)-1)</f>
        <v>Cincinnati</v>
      </c>
      <c r="J22">
        <f t="shared" si="1"/>
        <v>6.379</v>
      </c>
      <c r="K22" t="str">
        <f>iferror(offset(DraftTracker!D$1,match(offset(Translation!$A$5,0,match($H22,Translation!$A$6:$EA$6,0)-1),DraftTracker!F:F,0)-1,0),"undrafted")</f>
        <v>Masa</v>
      </c>
    </row>
    <row r="23">
      <c r="A23" t="s">
        <v>683</v>
      </c>
      <c r="B23" s="187" t="s">
        <v>192</v>
      </c>
      <c r="C23" s="187">
        <v>6.585999999999999</v>
      </c>
      <c r="D23" s="26" t="s">
        <v>706</v>
      </c>
      <c r="E23" s="26" t="s">
        <v>93</v>
      </c>
      <c r="H23" t="s">
        <v>679</v>
      </c>
      <c r="I23" t="str">
        <f>offset(Translation!$A$5,0,match($H23,Translation!$A$6:$FF$6,0)-1)</f>
        <v>Clemson</v>
      </c>
      <c r="J23">
        <f t="shared" si="1"/>
        <v>7.981</v>
      </c>
      <c r="K23" t="str">
        <f>iferror(offset(DraftTracker!D$1,match(offset(Translation!$A$5,0,match($H23,Translation!$A$6:$EA$6,0)-1),DraftTracker!F:F,0)-1,0),"undrafted")</f>
        <v>Dan</v>
      </c>
    </row>
    <row r="24">
      <c r="A24" t="s">
        <v>707</v>
      </c>
      <c r="B24" s="187" t="s">
        <v>192</v>
      </c>
      <c r="C24" s="187">
        <v>6.3870000000000005</v>
      </c>
      <c r="D24" s="26" t="s">
        <v>708</v>
      </c>
      <c r="E24" s="26" t="s">
        <v>93</v>
      </c>
      <c r="H24" t="s">
        <v>709</v>
      </c>
      <c r="I24" t="str">
        <f>offset(Translation!$A$5,0,match($H24,Translation!$A$6:$FF$6,0)-1)</f>
        <v>Coastal Carolina</v>
      </c>
      <c r="J24">
        <f t="shared" si="1"/>
        <v>5.176</v>
      </c>
      <c r="K24" t="str">
        <f>iferror(offset(DraftTracker!D$1,match(offset(Translation!$A$5,0,match($H24,Translation!$A$6:$EA$6,0)-1),DraftTracker!F:F,0)-1,0),"undrafted")</f>
        <v>Gary</v>
      </c>
    </row>
    <row r="25">
      <c r="A25" t="s">
        <v>710</v>
      </c>
      <c r="B25" s="187" t="s">
        <v>186</v>
      </c>
      <c r="C25" s="187">
        <v>8.197000000000001</v>
      </c>
      <c r="D25" s="26" t="s">
        <v>687</v>
      </c>
      <c r="E25" s="26" t="s">
        <v>187</v>
      </c>
      <c r="H25" t="s">
        <v>711</v>
      </c>
      <c r="I25" t="str">
        <f>offset(Translation!$A$5,0,match($H25,Translation!$A$6:$FF$6,0)-1)</f>
        <v>Colorado</v>
      </c>
      <c r="J25">
        <f t="shared" si="1"/>
        <v>5.975</v>
      </c>
      <c r="K25" t="str">
        <f>iferror(offset(DraftTracker!D$1,match(offset(Translation!$A$5,0,match($H25,Translation!$A$6:$EA$6,0)-1),DraftTracker!F:F,0)-1,0),"undrafted")</f>
        <v>Gary</v>
      </c>
    </row>
    <row r="26">
      <c r="A26" t="s">
        <v>712</v>
      </c>
      <c r="B26" s="187" t="s">
        <v>188</v>
      </c>
      <c r="C26" s="187">
        <v>7.582999999999999</v>
      </c>
      <c r="D26" s="26" t="s">
        <v>713</v>
      </c>
      <c r="E26" s="26" t="s">
        <v>186</v>
      </c>
      <c r="H26" t="s">
        <v>714</v>
      </c>
      <c r="I26" t="str">
        <f>offset(Translation!$A$5,0,match($H26,Translation!$A$6:$FF$6,0)-1)</f>
        <v>Colorado State</v>
      </c>
      <c r="J26">
        <f t="shared" si="1"/>
        <v>3.587</v>
      </c>
      <c r="K26" t="str">
        <f>iferror(offset(DraftTracker!D$1,match(offset(Translation!$A$5,0,match($H26,Translation!$A$6:$EA$6,0)-1),DraftTracker!F:F,0)-1,0),"undrafted")</f>
        <v>Justin</v>
      </c>
    </row>
    <row r="27">
      <c r="A27" t="s">
        <v>706</v>
      </c>
      <c r="B27" s="187" t="s">
        <v>188</v>
      </c>
      <c r="C27" s="187">
        <v>6.99</v>
      </c>
      <c r="D27" s="26" t="s">
        <v>697</v>
      </c>
      <c r="E27" s="26" t="s">
        <v>192</v>
      </c>
      <c r="H27" t="s">
        <v>715</v>
      </c>
      <c r="I27" t="str">
        <f>offset(Translation!$A$5,0,match($H27,Translation!$A$6:$FF$6,0)-1)</f>
        <v>Duke</v>
      </c>
      <c r="J27">
        <f t="shared" si="1"/>
        <v>5.988</v>
      </c>
      <c r="K27" t="str">
        <f>iferror(offset(DraftTracker!D$1,match(offset(Translation!$A$5,0,match($H27,Translation!$A$6:$EA$6,0)-1),DraftTracker!F:F,0)-1,0),"undrafted")</f>
        <v>Undrafted</v>
      </c>
    </row>
    <row r="28">
      <c r="A28" t="s">
        <v>713</v>
      </c>
      <c r="B28" s="187" t="s">
        <v>186</v>
      </c>
      <c r="C28" s="187">
        <v>7.529999999999999</v>
      </c>
      <c r="D28" s="26" t="s">
        <v>717</v>
      </c>
      <c r="E28" s="26" t="s">
        <v>188</v>
      </c>
      <c r="H28" t="s">
        <v>718</v>
      </c>
      <c r="I28" t="str">
        <f>offset(Translation!$A$5,0,match($H28,Translation!$A$6:$FF$6,0)-1)</f>
        <v>East Carolina</v>
      </c>
      <c r="J28">
        <f t="shared" si="1"/>
        <v>7.841</v>
      </c>
      <c r="K28" t="str">
        <f>iferror(offset(DraftTracker!D$1,match(offset(Translation!$A$5,0,match($H28,Translation!$A$6:$EA$6,0)-1),DraftTracker!F:F,0)-1,0),"undrafted")</f>
        <v>Gary</v>
      </c>
    </row>
    <row r="29">
      <c r="A29" t="s">
        <v>690</v>
      </c>
      <c r="B29" s="187" t="s">
        <v>186</v>
      </c>
      <c r="C29" s="187">
        <v>6.658</v>
      </c>
      <c r="D29" s="26" t="s">
        <v>723</v>
      </c>
      <c r="E29" s="26" t="s">
        <v>724</v>
      </c>
      <c r="H29" t="s">
        <v>726</v>
      </c>
      <c r="I29" t="str">
        <f>offset(Translation!$A$5,0,match($H29,Translation!$A$6:$FF$6,0)-1)</f>
        <v>EMU</v>
      </c>
      <c r="J29">
        <f t="shared" si="1"/>
        <v>4.784</v>
      </c>
      <c r="K29" t="str">
        <f>iferror(offset(DraftTracker!D$1,match(offset(Translation!$A$5,0,match($H29,Translation!$A$6:$EA$6,0)-1),DraftTracker!F:F,0)-1,0),"undrafted")</f>
        <v>Janice/Mike</v>
      </c>
    </row>
    <row r="30">
      <c r="A30" t="s">
        <v>730</v>
      </c>
      <c r="B30" s="187" t="s">
        <v>192</v>
      </c>
      <c r="C30" s="187">
        <v>6.1930000000000005</v>
      </c>
      <c r="D30" s="26" t="s">
        <v>732</v>
      </c>
      <c r="E30" s="26" t="s">
        <v>93</v>
      </c>
      <c r="H30" t="s">
        <v>734</v>
      </c>
      <c r="I30" t="str">
        <f>offset(Translation!$A$5,0,match($H30,Translation!$A$6:$FF$6,0)-1)</f>
        <v>Florida Atlantic</v>
      </c>
      <c r="J30">
        <f t="shared" si="1"/>
        <v>5.089</v>
      </c>
      <c r="K30" t="str">
        <f>iferror(offset(DraftTracker!D$1,match(offset(Translation!$A$5,0,match($H30,Translation!$A$6:$EA$6,0)-1),DraftTracker!F:F,0)-1,0),"undrafted")</f>
        <v>Jeannine</v>
      </c>
    </row>
    <row r="31">
      <c r="A31" t="s">
        <v>767</v>
      </c>
      <c r="B31" s="187" t="s">
        <v>188</v>
      </c>
      <c r="C31" s="187">
        <v>6.6930000000000005</v>
      </c>
      <c r="D31" s="26" t="s">
        <v>790</v>
      </c>
      <c r="E31" s="26" t="s">
        <v>724</v>
      </c>
      <c r="H31" t="s">
        <v>697</v>
      </c>
      <c r="I31" t="str">
        <f>offset(Translation!$A$5,0,match($H31,Translation!$A$6:$FF$6,0)-1)</f>
        <v>Florida</v>
      </c>
      <c r="J31">
        <f t="shared" si="1"/>
        <v>6.68</v>
      </c>
      <c r="K31" t="str">
        <f>iferror(offset(DraftTracker!D$1,match(offset(Translation!$A$5,0,match($H31,Translation!$A$6:$EA$6,0)-1),DraftTracker!F:F,0)-1,0),"undrafted")</f>
        <v>Gary</v>
      </c>
    </row>
    <row r="32">
      <c r="A32" t="s">
        <v>676</v>
      </c>
      <c r="B32" s="187" t="s">
        <v>187</v>
      </c>
      <c r="C32" s="187">
        <v>7.641</v>
      </c>
      <c r="D32" s="26" t="s">
        <v>866</v>
      </c>
      <c r="E32" s="26" t="s">
        <v>188</v>
      </c>
      <c r="H32" t="s">
        <v>868</v>
      </c>
      <c r="I32" t="str">
        <f>offset(Translation!$A$5,0,match($H32,Translation!$A$6:$FF$6,0)-1)</f>
        <v>Florida Intl</v>
      </c>
      <c r="J32">
        <f t="shared" si="1"/>
        <v>5.948</v>
      </c>
      <c r="K32" t="str">
        <f>iferror(offset(DraftTracker!D$1,match(offset(Translation!$A$5,0,match($H32,Translation!$A$6:$EA$6,0)-1),DraftTracker!F:F,0)-1,0),"undrafted")</f>
        <v>Nick G.</v>
      </c>
    </row>
    <row r="33">
      <c r="A33" t="s">
        <v>888</v>
      </c>
      <c r="B33" s="187" t="s">
        <v>186</v>
      </c>
      <c r="C33" s="187">
        <v>7.662</v>
      </c>
      <c r="D33" s="26" t="s">
        <v>893</v>
      </c>
      <c r="E33" s="26" t="s">
        <v>186</v>
      </c>
      <c r="H33" t="s">
        <v>690</v>
      </c>
      <c r="I33" t="str">
        <f>offset(Translation!$A$5,0,match($H33,Translation!$A$6:$FF$6,0)-1)</f>
        <v>Florida State</v>
      </c>
      <c r="J33">
        <f t="shared" si="1"/>
        <v>6.658</v>
      </c>
      <c r="K33" t="str">
        <f>iferror(offset(DraftTracker!D$1,match(offset(Translation!$A$5,0,match($H33,Translation!$A$6:$EA$6,0)-1),DraftTracker!F:F,0)-1,0),"undrafted")</f>
        <v>Janice/Mike</v>
      </c>
    </row>
    <row r="34">
      <c r="A34" t="s">
        <v>921</v>
      </c>
      <c r="B34" s="187" t="s">
        <v>186</v>
      </c>
      <c r="C34" s="187">
        <v>6.972</v>
      </c>
      <c r="D34" s="26" t="s">
        <v>681</v>
      </c>
      <c r="E34" s="26" t="s">
        <v>187</v>
      </c>
      <c r="H34" t="s">
        <v>926</v>
      </c>
      <c r="I34" t="str">
        <f>offset(Translation!$A$5,0,match($H34,Translation!$A$6:$FF$6,0)-1)</f>
        <v>Fresno State</v>
      </c>
      <c r="J34">
        <f t="shared" si="1"/>
        <v>6.086</v>
      </c>
      <c r="K34" t="str">
        <f>iferror(offset(DraftTracker!D$1,match(offset(Translation!$A$5,0,match($H34,Translation!$A$6:$EA$6,0)-1),DraftTracker!F:F,0)-1,0),"undrafted")</f>
        <v>Gary</v>
      </c>
    </row>
    <row r="35">
      <c r="A35" t="s">
        <v>672</v>
      </c>
      <c r="B35" s="187" t="s">
        <v>187</v>
      </c>
      <c r="C35" s="187">
        <v>7.258</v>
      </c>
      <c r="D35" s="26" t="s">
        <v>705</v>
      </c>
      <c r="E35" s="26" t="s">
        <v>724</v>
      </c>
      <c r="H35" t="s">
        <v>659</v>
      </c>
      <c r="I35" t="str">
        <f>offset(Translation!$A$5,0,match($H35,Translation!$A$6:$FF$6,0)-1)</f>
        <v>Georgia</v>
      </c>
      <c r="J35">
        <f t="shared" si="1"/>
        <v>9.667</v>
      </c>
      <c r="K35" t="str">
        <f>iferror(offset(DraftTracker!D$1,match(offset(Translation!$A$5,0,match($H35,Translation!$A$6:$EA$6,0)-1),DraftTracker!F:F,0)-1,0),"undrafted")</f>
        <v>Justin</v>
      </c>
    </row>
    <row r="36">
      <c r="A36" t="s">
        <v>932</v>
      </c>
      <c r="B36" s="187" t="s">
        <v>187</v>
      </c>
      <c r="C36" s="187">
        <v>7.359</v>
      </c>
      <c r="D36" s="26" t="s">
        <v>933</v>
      </c>
      <c r="E36" s="26" t="s">
        <v>188</v>
      </c>
      <c r="H36" t="s">
        <v>934</v>
      </c>
      <c r="I36" t="str">
        <f>offset(Translation!$A$5,0,match($H36,Translation!$A$6:$FF$6,0)-1)</f>
        <v>Georgia Southern</v>
      </c>
      <c r="J36">
        <f t="shared" si="1"/>
        <v>5.64</v>
      </c>
      <c r="K36" t="str">
        <f>iferror(offset(DraftTracker!D$1,match(offset(Translation!$A$5,0,match($H36,Translation!$A$6:$EA$6,0)-1),DraftTracker!F:F,0)-1,0),"undrafted")</f>
        <v>DavEmily</v>
      </c>
    </row>
    <row r="37">
      <c r="A37" t="s">
        <v>893</v>
      </c>
      <c r="B37" s="187" t="s">
        <v>186</v>
      </c>
      <c r="C37" s="187">
        <v>7.077</v>
      </c>
      <c r="D37" s="26" t="s">
        <v>712</v>
      </c>
      <c r="E37" s="26" t="s">
        <v>188</v>
      </c>
      <c r="H37" t="s">
        <v>964</v>
      </c>
      <c r="I37" t="str">
        <f>offset(Translation!$A$5,0,match($H37,Translation!$A$6:$FF$6,0)-1)</f>
        <v>Georgia State</v>
      </c>
      <c r="J37">
        <f t="shared" si="1"/>
        <v>4.589</v>
      </c>
      <c r="K37" t="str">
        <f>iferror(offset(DraftTracker!D$1,match(offset(Translation!$A$5,0,match($H37,Translation!$A$6:$EA$6,0)-1),DraftTracker!F:F,0)-1,0),"undrafted")</f>
        <v>Janice/Mike</v>
      </c>
    </row>
    <row r="38">
      <c r="A38" t="s">
        <v>688</v>
      </c>
      <c r="B38" s="187" t="s">
        <v>187</v>
      </c>
      <c r="C38" s="187">
        <v>6.568</v>
      </c>
      <c r="D38" s="26" t="s">
        <v>684</v>
      </c>
      <c r="E38" s="26" t="s">
        <v>192</v>
      </c>
      <c r="H38" t="s">
        <v>942</v>
      </c>
      <c r="I38" t="str">
        <f>offset(Translation!$A$5,0,match($H38,Translation!$A$6:$FF$6,0)-1)</f>
        <v>Georgia Tech</v>
      </c>
      <c r="J38">
        <f t="shared" si="1"/>
        <v>5.786</v>
      </c>
      <c r="K38" t="str">
        <f>iferror(offset(DraftTracker!D$1,match(offset(Translation!$A$5,0,match($H38,Translation!$A$6:$EA$6,0)-1),DraftTracker!F:F,0)-1,0),"undrafted")</f>
        <v>Justin</v>
      </c>
    </row>
    <row r="39">
      <c r="A39" t="s">
        <v>682</v>
      </c>
      <c r="B39" s="187" t="s">
        <v>187</v>
      </c>
      <c r="C39" s="187">
        <v>6.76</v>
      </c>
      <c r="D39" s="26" t="s">
        <v>946</v>
      </c>
      <c r="E39" s="26" t="s">
        <v>186</v>
      </c>
      <c r="H39" t="s">
        <v>972</v>
      </c>
      <c r="I39" t="str">
        <f>offset(Translation!$A$5,0,match($H39,Translation!$A$6:$FF$6,0)-1)</f>
        <v>Hawaii</v>
      </c>
      <c r="J39">
        <f t="shared" si="1"/>
        <v>7.68</v>
      </c>
      <c r="K39" t="str">
        <f>iferror(offset(DraftTracker!D$1,match(offset(Translation!$A$5,0,match($H39,Translation!$A$6:$EA$6,0)-1),DraftTracker!F:F,0)-1,0),"undrafted")</f>
        <v>Nick A.</v>
      </c>
    </row>
    <row r="40">
      <c r="A40" t="s">
        <v>702</v>
      </c>
      <c r="B40" s="187" t="s">
        <v>188</v>
      </c>
      <c r="C40" s="187">
        <v>6.695</v>
      </c>
      <c r="D40" s="26" t="s">
        <v>675</v>
      </c>
      <c r="E40" s="26" t="s">
        <v>192</v>
      </c>
      <c r="H40" t="s">
        <v>932</v>
      </c>
      <c r="I40" t="str">
        <f>offset(Translation!$A$5,0,match($H40,Translation!$A$6:$FF$6,0)-1)</f>
        <v>Houston</v>
      </c>
      <c r="J40">
        <f t="shared" si="1"/>
        <v>7.359</v>
      </c>
      <c r="K40" t="str">
        <f>iferror(offset(DraftTracker!D$1,match(offset(Translation!$A$5,0,match($H40,Translation!$A$6:$EA$6,0)-1),DraftTracker!F:F,0)-1,0),"undrafted")</f>
        <v>Nico</v>
      </c>
    </row>
    <row r="41">
      <c r="A41" t="s">
        <v>982</v>
      </c>
      <c r="B41" s="187" t="s">
        <v>192</v>
      </c>
      <c r="C41" s="187">
        <v>4.598</v>
      </c>
      <c r="D41" s="26" t="s">
        <v>982</v>
      </c>
      <c r="E41" s="26" t="s">
        <v>192</v>
      </c>
      <c r="H41" t="s">
        <v>702</v>
      </c>
      <c r="I41" t="str">
        <f>offset(Translation!$A$5,0,match($H41,Translation!$A$6:$FF$6,0)-1)</f>
        <v>Illinois</v>
      </c>
      <c r="J41">
        <f t="shared" si="1"/>
        <v>6.695</v>
      </c>
      <c r="K41" t="str">
        <f>iferror(offset(DraftTracker!D$1,match(offset(Translation!$A$5,0,match($H41,Translation!$A$6:$EA$6,0)-1),DraftTracker!F:F,0)-1,0),"undrafted")</f>
        <v>Gary</v>
      </c>
    </row>
    <row r="42">
      <c r="A42" t="s">
        <v>685</v>
      </c>
      <c r="B42" s="187" t="s">
        <v>187</v>
      </c>
      <c r="C42" s="187">
        <v>6.969</v>
      </c>
      <c r="D42" s="26" t="s">
        <v>944</v>
      </c>
      <c r="E42" s="26" t="s">
        <v>186</v>
      </c>
      <c r="H42" t="s">
        <v>671</v>
      </c>
      <c r="I42" t="str">
        <f>offset(Translation!$A$5,0,match($H42,Translation!$A$6:$FF$6,0)-1)</f>
        <v>Indiana</v>
      </c>
      <c r="J42">
        <f t="shared" si="1"/>
        <v>9.913</v>
      </c>
      <c r="K42" t="str">
        <f>iferror(offset(DraftTracker!D$1,match(offset(Translation!$A$5,0,match($H42,Translation!$A$6:$EA$6,0)-1),DraftTracker!F:F,0)-1,0),"undrafted")</f>
        <v>Nick A.</v>
      </c>
    </row>
    <row r="43">
      <c r="A43" t="s">
        <v>944</v>
      </c>
      <c r="B43" s="187" t="s">
        <v>186</v>
      </c>
      <c r="C43" s="187">
        <v>5.785</v>
      </c>
      <c r="D43" s="26" t="s">
        <v>947</v>
      </c>
      <c r="E43" s="26" t="s">
        <v>187</v>
      </c>
      <c r="H43" t="s">
        <v>712</v>
      </c>
      <c r="I43" t="str">
        <f>offset(Translation!$A$5,0,match($H43,Translation!$A$6:$FF$6,0)-1)</f>
        <v>Iowa</v>
      </c>
      <c r="J43">
        <f t="shared" si="1"/>
        <v>7.583</v>
      </c>
      <c r="K43" t="str">
        <f>iferror(offset(DraftTracker!D$1,match(offset(Translation!$A$5,0,match($H43,Translation!$A$6:$EA$6,0)-1),DraftTracker!F:F,0)-1,0),"undrafted")</f>
        <v>Justin</v>
      </c>
    </row>
    <row r="44">
      <c r="A44" t="s">
        <v>717</v>
      </c>
      <c r="B44" s="187" t="s">
        <v>188</v>
      </c>
      <c r="C44" s="187">
        <v>6.494</v>
      </c>
      <c r="D44" s="26" t="s">
        <v>949</v>
      </c>
      <c r="E44" s="26" t="s">
        <v>187</v>
      </c>
      <c r="H44" t="s">
        <v>947</v>
      </c>
      <c r="I44" t="str">
        <f>offset(Translation!$A$5,0,match($H44,Translation!$A$6:$FF$6,0)-1)</f>
        <v>Iowa State</v>
      </c>
      <c r="J44">
        <f t="shared" si="1"/>
        <v>5.095</v>
      </c>
      <c r="K44" t="str">
        <f>iferror(offset(DraftTracker!D$1,match(offset(Translation!$A$5,0,match($H44,Translation!$A$6:$EA$6,0)-1),DraftTracker!F:F,0)-1,0),"undrafted")</f>
        <v>Vu</v>
      </c>
    </row>
    <row r="45">
      <c r="A45" t="s">
        <v>670</v>
      </c>
      <c r="B45" s="187" t="s">
        <v>187</v>
      </c>
      <c r="C45" s="187">
        <v>5.977</v>
      </c>
      <c r="D45" s="26" t="s">
        <v>943</v>
      </c>
      <c r="E45" s="26" t="s">
        <v>186</v>
      </c>
      <c r="H45" t="s">
        <v>991</v>
      </c>
      <c r="I45" t="str">
        <f>offset(Translation!$A$5,0,match($H45,Translation!$A$6:$FF$6,0)-1)</f>
        <v>James Madison</v>
      </c>
      <c r="J45">
        <f t="shared" si="1"/>
        <v>8.001</v>
      </c>
      <c r="K45" t="str">
        <f>iferror(offset(DraftTracker!D$1,match(offset(Translation!$A$5,0,match($H45,Translation!$A$6:$EA$6,0)-1),DraftTracker!F:F,0)-1,0),"undrafted")</f>
        <v>undrafted</v>
      </c>
    </row>
    <row r="46">
      <c r="A46" t="s">
        <v>711</v>
      </c>
      <c r="B46" s="187" t="s">
        <v>187</v>
      </c>
      <c r="C46" s="187">
        <v>5.975</v>
      </c>
      <c r="D46" s="26" t="s">
        <v>683</v>
      </c>
      <c r="E46" s="26" t="s">
        <v>192</v>
      </c>
      <c r="H46" t="s">
        <v>948</v>
      </c>
      <c r="I46" t="str">
        <f>offset(Translation!$A$5,0,match($H46,Translation!$A$6:$FF$6,0)-1)</f>
        <v>Kansas</v>
      </c>
      <c r="J46">
        <f t="shared" si="1"/>
        <v>5.985</v>
      </c>
      <c r="K46" t="str">
        <f>iferror(offset(DraftTracker!D$1,match(offset(Translation!$A$5,0,match($H46,Translation!$A$6:$EA$6,0)-1),DraftTracker!F:F,0)-1,0),"undrafted")</f>
        <v>Dan</v>
      </c>
    </row>
    <row r="47">
      <c r="A47" t="s">
        <v>705</v>
      </c>
      <c r="B47" s="187" t="s">
        <v>187</v>
      </c>
      <c r="C47" s="187">
        <v>6.3790000000000004</v>
      </c>
      <c r="D47" s="26" t="s">
        <v>981</v>
      </c>
      <c r="E47" s="26" t="s">
        <v>93</v>
      </c>
      <c r="H47" t="s">
        <v>685</v>
      </c>
      <c r="I47" t="str">
        <f>offset(Translation!$A$5,0,match($H47,Translation!$A$6:$FF$6,0)-1)</f>
        <v>Kansas State</v>
      </c>
      <c r="J47">
        <f t="shared" si="1"/>
        <v>6.969</v>
      </c>
      <c r="K47" t="str">
        <f>iferror(offset(DraftTracker!D$1,match(offset(Translation!$A$5,0,match($H47,Translation!$A$6:$EA$6,0)-1),DraftTracker!F:F,0)-1,0),"undrafted")</f>
        <v>Nick G.</v>
      </c>
    </row>
    <row r="48">
      <c r="A48" t="s">
        <v>675</v>
      </c>
      <c r="B48" s="187" t="s">
        <v>192</v>
      </c>
      <c r="C48" s="187">
        <v>4.2989999999999995</v>
      </c>
      <c r="D48" s="26" t="s">
        <v>951</v>
      </c>
      <c r="E48" s="26" t="s">
        <v>188</v>
      </c>
      <c r="H48" t="s">
        <v>966</v>
      </c>
      <c r="I48" t="str">
        <f>offset(Translation!$A$5,0,match($H48,Translation!$A$6:$FF$6,0)-1)</f>
        <v>Kent State</v>
      </c>
      <c r="J48" t="str">
        <f t="shared" si="1"/>
        <v>MAC</v>
      </c>
      <c r="K48" t="str">
        <f>iferror(offset(DraftTracker!D$1,match(offset(Translation!$A$5,0,match($H48,Translation!$A$6:$EA$6,0)-1),DraftTracker!F:F,0)-1,0),"undrafted")</f>
        <v>Gary</v>
      </c>
    </row>
    <row r="49">
      <c r="A49" t="s">
        <v>942</v>
      </c>
      <c r="B49" s="187" t="s">
        <v>186</v>
      </c>
      <c r="C49" s="187">
        <v>5.786</v>
      </c>
      <c r="D49" s="26" t="s">
        <v>945</v>
      </c>
      <c r="E49" s="26" t="s">
        <v>186</v>
      </c>
      <c r="H49" t="s">
        <v>982</v>
      </c>
      <c r="I49" t="str">
        <f>offset(Translation!$A$5,0,match($H49,Translation!$A$6:$FF$6,0)-1)</f>
        <v>Kentucky</v>
      </c>
      <c r="J49">
        <f t="shared" si="1"/>
        <v>4.598</v>
      </c>
      <c r="K49" t="str">
        <f>iferror(offset(DraftTracker!D$1,match(offset(Translation!$A$5,0,match($H49,Translation!$A$6:$EA$6,0)-1),DraftTracker!F:F,0)-1,0),"undrafted")</f>
        <v>Nick G.</v>
      </c>
    </row>
    <row r="50">
      <c r="A50" t="s">
        <v>698</v>
      </c>
      <c r="B50" s="187" t="s">
        <v>192</v>
      </c>
      <c r="C50" s="187">
        <v>4.598999999999999</v>
      </c>
      <c r="D50" s="26" t="s">
        <v>691</v>
      </c>
      <c r="E50" s="26" t="s">
        <v>1019</v>
      </c>
      <c r="H50" t="s">
        <v>988</v>
      </c>
      <c r="I50" t="str">
        <f>offset(Translation!$A$5,0,match($H50,Translation!$A$6:$FF$6,0)-1)</f>
        <v>Liberty</v>
      </c>
      <c r="J50">
        <f t="shared" si="1"/>
        <v>7.252</v>
      </c>
      <c r="K50" t="str">
        <f>iferror(offset(DraftTracker!D$1,match(offset(Translation!$A$5,0,match($H50,Translation!$A$6:$EA$6,0)-1),DraftTracker!F:F,0)-1,0),"undrafted")</f>
        <v>Nick A.</v>
      </c>
    </row>
    <row r="51">
      <c r="A51" t="s">
        <v>691</v>
      </c>
      <c r="B51" s="187" t="s">
        <v>93</v>
      </c>
      <c r="C51" s="187">
        <v>7.436</v>
      </c>
      <c r="D51" s="26" t="s">
        <v>950</v>
      </c>
      <c r="E51" s="26" t="s">
        <v>187</v>
      </c>
      <c r="H51" t="s">
        <v>983</v>
      </c>
      <c r="I51" t="str">
        <f>offset(Translation!$A$5,0,match($H51,Translation!$A$6:$FF$6,0)-1)</f>
        <v>UL Lafayette</v>
      </c>
      <c r="J51">
        <f t="shared" si="1"/>
        <v>6.817</v>
      </c>
      <c r="K51" t="str">
        <f>iferror(offset(DraftTracker!D$1,match(offset(Translation!$A$5,0,match($H51,Translation!$A$6:$EA$6,0)-1),DraftTracker!F:F,0)-1,0),"undrafted")</f>
        <v>Brad</v>
      </c>
    </row>
    <row r="52">
      <c r="A52" t="s">
        <v>943</v>
      </c>
      <c r="B52" s="187" t="s">
        <v>186</v>
      </c>
      <c r="C52" s="187">
        <v>6.6850000000000005</v>
      </c>
      <c r="D52" s="26" t="s">
        <v>707</v>
      </c>
      <c r="E52" s="26" t="s">
        <v>192</v>
      </c>
      <c r="H52" t="s">
        <v>954</v>
      </c>
      <c r="I52" t="str">
        <f>offset(Translation!$A$5,0,match($H52,Translation!$A$6:$FF$6,0)-1)</f>
        <v>Louisiana Tech</v>
      </c>
      <c r="J52">
        <f t="shared" si="1"/>
        <v>5.547</v>
      </c>
      <c r="K52" t="str">
        <f>iferror(offset(DraftTracker!D$1,match(offset(Translation!$A$5,0,match($H52,Translation!$A$6:$EA$6,0)-1),DraftTracker!F:F,0)-1,0),"undrafted")</f>
        <v>Nick A.</v>
      </c>
    </row>
    <row r="53">
      <c r="A53" t="s">
        <v>715</v>
      </c>
      <c r="B53" s="187" t="s">
        <v>186</v>
      </c>
      <c r="C53" s="187">
        <v>5.988</v>
      </c>
      <c r="D53" s="26" t="s">
        <v>715</v>
      </c>
      <c r="E53" s="26" t="s">
        <v>186</v>
      </c>
      <c r="H53" t="s">
        <v>713</v>
      </c>
      <c r="I53" t="str">
        <f>offset(Translation!$A$5,0,match($H53,Translation!$A$6:$FF$6,0)-1)</f>
        <v>Louisville</v>
      </c>
      <c r="J53">
        <f t="shared" si="1"/>
        <v>7.53</v>
      </c>
      <c r="K53" t="str">
        <f>iferror(offset(DraftTracker!D$1,match(offset(Translation!$A$5,0,match($H53,Translation!$A$6:$EA$6,0)-1),DraftTracker!F:F,0)-1,0),"undrafted")</f>
        <v>Josh</v>
      </c>
    </row>
    <row r="54">
      <c r="A54" t="s">
        <v>946</v>
      </c>
      <c r="B54" s="187" t="s">
        <v>186</v>
      </c>
      <c r="C54" s="187">
        <v>6.29</v>
      </c>
      <c r="D54" s="26" t="s">
        <v>932</v>
      </c>
      <c r="E54" s="26" t="s">
        <v>724</v>
      </c>
      <c r="H54" t="s">
        <v>678</v>
      </c>
      <c r="I54" t="str">
        <f>offset(Translation!$A$5,0,match($H54,Translation!$A$6:$FF$6,0)-1)</f>
        <v>LSU</v>
      </c>
      <c r="J54">
        <f t="shared" si="1"/>
        <v>8.312</v>
      </c>
      <c r="K54" t="str">
        <f>iferror(offset(DraftTracker!D$1,match(offset(Translation!$A$5,0,match($H54,Translation!$A$6:$EA$6,0)-1),DraftTracker!F:F,0)-1,0),"undrafted")</f>
        <v>Brad</v>
      </c>
    </row>
    <row r="55">
      <c r="A55" t="s">
        <v>949</v>
      </c>
      <c r="B55" s="187" t="s">
        <v>187</v>
      </c>
      <c r="C55" s="187">
        <v>5.981</v>
      </c>
      <c r="D55" s="26" t="s">
        <v>963</v>
      </c>
      <c r="E55" s="26" t="s">
        <v>1028</v>
      </c>
      <c r="H55" t="s">
        <v>955</v>
      </c>
      <c r="I55" t="str">
        <f>offset(Translation!$A$5,0,match($H55,Translation!$A$6:$FF$6,0)-1)</f>
        <v>Marshall</v>
      </c>
      <c r="J55">
        <f t="shared" si="1"/>
        <v>6.439</v>
      </c>
      <c r="K55" t="str">
        <f>iferror(offset(DraftTracker!D$1,match(offset(Translation!$A$5,0,match($H55,Translation!$A$6:$EA$6,0)-1),DraftTracker!F:F,0)-1,0),"undrafted")</f>
        <v>Nick A.</v>
      </c>
    </row>
    <row r="56">
      <c r="A56" t="s">
        <v>948</v>
      </c>
      <c r="B56" s="187" t="s">
        <v>187</v>
      </c>
      <c r="C56" s="187">
        <v>5.985</v>
      </c>
      <c r="D56" s="26" t="s">
        <v>937</v>
      </c>
      <c r="E56" s="26" t="s">
        <v>724</v>
      </c>
      <c r="H56" t="s">
        <v>866</v>
      </c>
      <c r="I56" t="str">
        <f>offset(Translation!$A$5,0,match($H56,Translation!$A$6:$FF$6,0)-1)</f>
        <v>Maryland</v>
      </c>
      <c r="J56">
        <f t="shared" si="1"/>
        <v>5.399</v>
      </c>
      <c r="K56" t="str">
        <f>iferror(offset(DraftTracker!D$1,match(offset(Translation!$A$5,0,match($H56,Translation!$A$6:$EA$6,0)-1),DraftTracker!F:F,0)-1,0),"undrafted")</f>
        <v>Janice/Mike</v>
      </c>
    </row>
    <row r="57">
      <c r="A57" t="s">
        <v>790</v>
      </c>
      <c r="B57" s="187" t="s">
        <v>724</v>
      </c>
      <c r="C57" s="187">
        <v>7.981999999999999</v>
      </c>
      <c r="D57" s="26" t="s">
        <v>948</v>
      </c>
      <c r="E57" s="26" t="s">
        <v>187</v>
      </c>
      <c r="H57" t="s">
        <v>937</v>
      </c>
      <c r="I57" t="str">
        <f>offset(Translation!$A$5,0,match($H57,Translation!$A$6:$FF$6,0)-1)</f>
        <v>Memphis</v>
      </c>
      <c r="J57">
        <f t="shared" si="1"/>
        <v>6.907</v>
      </c>
      <c r="K57" t="str">
        <f>iferror(offset(DraftTracker!D$1,match(offset(Translation!$A$5,0,match($H57,Translation!$A$6:$EA$6,0)-1),DraftTracker!F:F,0)-1,0),"undrafted")</f>
        <v>Brad</v>
      </c>
    </row>
    <row r="58">
      <c r="A58" t="s">
        <v>723</v>
      </c>
      <c r="B58" s="187" t="s">
        <v>187</v>
      </c>
      <c r="C58" s="187">
        <v>6.082999999999999</v>
      </c>
      <c r="D58" s="26" t="s">
        <v>962</v>
      </c>
      <c r="E58" s="26" t="s">
        <v>1028</v>
      </c>
      <c r="H58" t="s">
        <v>967</v>
      </c>
      <c r="I58" t="str">
        <f>offset(Translation!$A$5,0,match($H58,Translation!$A$6:$FF$6,0)-1)</f>
        <v>Miami-OH</v>
      </c>
      <c r="J58">
        <f t="shared" si="1"/>
        <v>7.062</v>
      </c>
      <c r="K58" t="str">
        <f>iferror(offset(DraftTracker!D$1,match(offset(Translation!$A$5,0,match($H58,Translation!$A$6:$EA$6,0)-1),DraftTracker!F:F,0)-1,0),"undrafted")</f>
        <v>Dan</v>
      </c>
    </row>
    <row r="59">
      <c r="A59" t="s">
        <v>977</v>
      </c>
      <c r="B59" s="187" t="s">
        <v>1019</v>
      </c>
      <c r="C59" s="187">
        <v>8.646</v>
      </c>
      <c r="D59" s="26" t="s">
        <v>704</v>
      </c>
      <c r="E59" s="26" t="s">
        <v>192</v>
      </c>
      <c r="H59" t="s">
        <v>673</v>
      </c>
      <c r="I59" t="str">
        <f>offset(Translation!$A$5,0,match($H59,Translation!$A$6:$FF$6,0)-1)</f>
        <v>Miami</v>
      </c>
      <c r="J59">
        <f t="shared" si="1"/>
        <v>9.897</v>
      </c>
      <c r="K59" t="str">
        <f>iferror(offset(DraftTracker!D$1,match(offset(Translation!$A$5,0,match($H59,Translation!$A$6:$EA$6,0)-1),DraftTracker!F:F,0)-1,0),"undrafted")</f>
        <v>Gary</v>
      </c>
    </row>
    <row r="60">
      <c r="A60" t="s">
        <v>975</v>
      </c>
      <c r="B60" s="187" t="s">
        <v>93</v>
      </c>
      <c r="C60" s="187">
        <v>7.249</v>
      </c>
      <c r="D60" s="26" t="s">
        <v>660</v>
      </c>
      <c r="E60" s="26" t="s">
        <v>1019</v>
      </c>
      <c r="H60" t="s">
        <v>951</v>
      </c>
      <c r="I60" t="str">
        <f>offset(Translation!$A$5,0,match($H60,Translation!$A$6:$FF$6,0)-1)</f>
        <v>Michigan State</v>
      </c>
      <c r="J60">
        <f t="shared" si="1"/>
        <v>4.599</v>
      </c>
      <c r="K60" t="str">
        <f>iferror(offset(DraftTracker!D$1,match(offset(Translation!$A$5,0,match($H60,Translation!$A$6:$EA$6,0)-1),DraftTracker!F:F,0)-1,0),"undrafted")</f>
        <v>Masa</v>
      </c>
    </row>
    <row r="61">
      <c r="A61" t="s">
        <v>952</v>
      </c>
      <c r="B61" s="187" t="s">
        <v>188</v>
      </c>
      <c r="C61" s="187">
        <v>4.899</v>
      </c>
      <c r="D61" s="26" t="s">
        <v>991</v>
      </c>
      <c r="E61" s="26" t="s">
        <v>193</v>
      </c>
      <c r="H61" t="s">
        <v>667</v>
      </c>
      <c r="I61" t="str">
        <f>offset(Translation!$A$5,0,match($H61,Translation!$A$6:$FF$6,0)-1)</f>
        <v>Michigan</v>
      </c>
      <c r="J61">
        <f t="shared" si="1"/>
        <v>7.762</v>
      </c>
      <c r="K61" t="str">
        <f>iferror(offset(DraftTracker!D$1,match(offset(Translation!$A$5,0,match($H61,Translation!$A$6:$EA$6,0)-1),DraftTracker!F:F,0)-1,0),"undrafted")</f>
        <v>Nick G.</v>
      </c>
    </row>
    <row r="62">
      <c r="A62" t="s">
        <v>866</v>
      </c>
      <c r="B62" s="187" t="s">
        <v>188</v>
      </c>
      <c r="C62" s="187">
        <v>5.399</v>
      </c>
      <c r="D62" s="26" t="s">
        <v>710</v>
      </c>
      <c r="E62" s="26" t="s">
        <v>724</v>
      </c>
      <c r="H62" t="s">
        <v>956</v>
      </c>
      <c r="I62" t="str">
        <f>offset(Translation!$A$5,0,match($H62,Translation!$A$6:$FF$6,0)-1)</f>
        <v>Middle Tennessee</v>
      </c>
      <c r="J62">
        <f t="shared" si="1"/>
        <v>4.677</v>
      </c>
      <c r="K62" t="str">
        <f>iferror(offset(DraftTracker!D$1,match(offset(Translation!$A$5,0,match($H62,Translation!$A$6:$EA$6,0)-1),DraftTracker!F:F,0)-1,0),"undrafted")</f>
        <v>Brad</v>
      </c>
    </row>
    <row r="63">
      <c r="A63" t="s">
        <v>699</v>
      </c>
      <c r="B63" s="187" t="s">
        <v>186</v>
      </c>
      <c r="C63" s="187">
        <v>5.595</v>
      </c>
      <c r="D63" s="26" t="s">
        <v>696</v>
      </c>
      <c r="E63" s="26" t="s">
        <v>665</v>
      </c>
      <c r="H63" t="s">
        <v>700</v>
      </c>
      <c r="I63" t="str">
        <f>offset(Translation!$A$5,0,match($H63,Translation!$A$6:$FF$6,0)-1)</f>
        <v>Minnesota</v>
      </c>
      <c r="J63">
        <f t="shared" si="1"/>
        <v>5.299</v>
      </c>
      <c r="K63" t="str">
        <f>iferror(offset(DraftTracker!D$1,match(offset(Translation!$A$5,0,match($H63,Translation!$A$6:$EA$6,0)-1),DraftTracker!F:F,0)-1,0),"undrafted")</f>
        <v>DavEmily</v>
      </c>
    </row>
    <row r="64">
      <c r="A64" t="s">
        <v>700</v>
      </c>
      <c r="B64" s="187" t="s">
        <v>188</v>
      </c>
      <c r="C64" s="187">
        <v>5.2989999999999995</v>
      </c>
      <c r="D64" s="26" t="s">
        <v>926</v>
      </c>
      <c r="E64" s="26" t="s">
        <v>1019</v>
      </c>
      <c r="H64" t="s">
        <v>698</v>
      </c>
      <c r="I64" t="str">
        <f>offset(Translation!$A$5,0,match($H64,Translation!$A$6:$FF$6,0)-1)</f>
        <v>Mississippi State</v>
      </c>
      <c r="J64">
        <f t="shared" si="1"/>
        <v>4.599</v>
      </c>
      <c r="K64" t="str">
        <f>iferror(offset(DraftTracker!D$1,match(offset(Translation!$A$5,0,match($H64,Translation!$A$6:$EA$6,0)-1),DraftTracker!F:F,0)-1,0),"undrafted")</f>
        <v>DavEmily</v>
      </c>
    </row>
    <row r="65">
      <c r="A65" t="s">
        <v>732</v>
      </c>
      <c r="B65" s="187" t="s">
        <v>188</v>
      </c>
      <c r="C65" s="187">
        <v>5.098999999999999</v>
      </c>
      <c r="D65" s="26" t="s">
        <v>718</v>
      </c>
      <c r="E65" s="26" t="s">
        <v>724</v>
      </c>
      <c r="H65" t="s">
        <v>704</v>
      </c>
      <c r="I65" t="str">
        <f>offset(Translation!$A$5,0,match($H65,Translation!$A$6:$FF$6,0)-1)</f>
        <v>Missouri</v>
      </c>
      <c r="J65">
        <f t="shared" si="1"/>
        <v>6.685</v>
      </c>
      <c r="K65" t="str">
        <f>iferror(offset(DraftTracker!D$1,match(offset(Translation!$A$5,0,match($H65,Translation!$A$6:$EA$6,0)-1),DraftTracker!F:F,0)-1,0),"undrafted")</f>
        <v>Jeannine</v>
      </c>
    </row>
    <row r="66">
      <c r="A66" t="s">
        <v>951</v>
      </c>
      <c r="B66" s="187" t="s">
        <v>188</v>
      </c>
      <c r="C66" s="187">
        <v>4.598999999999999</v>
      </c>
      <c r="D66" s="26" t="s">
        <v>987</v>
      </c>
      <c r="E66" s="26" t="s">
        <v>193</v>
      </c>
      <c r="H66" t="s">
        <v>938</v>
      </c>
      <c r="I66" t="str">
        <f>offset(Translation!$A$5,0,match($H66,Translation!$A$6:$FF$6,0)-1)</f>
        <v>Navy</v>
      </c>
      <c r="J66">
        <f t="shared" si="1"/>
        <v>7.711</v>
      </c>
      <c r="K66" t="str">
        <f>iferror(offset(DraftTracker!D$1,match(offset(Translation!$A$5,0,match($H66,Translation!$A$6:$EA$6,0)-1),DraftTracker!F:F,0)-1,0),"undrafted")</f>
        <v>Justin</v>
      </c>
    </row>
    <row r="67">
      <c r="A67" t="s">
        <v>950</v>
      </c>
      <c r="B67" s="187" t="s">
        <v>187</v>
      </c>
      <c r="C67" s="187">
        <v>5.393000000000001</v>
      </c>
      <c r="D67" s="26" t="s">
        <v>965</v>
      </c>
      <c r="E67" s="26" t="s">
        <v>1028</v>
      </c>
      <c r="H67" t="s">
        <v>943</v>
      </c>
      <c r="I67" t="str">
        <f>offset(Translation!$A$5,0,match($H67,Translation!$A$6:$FF$6,0)-1)</f>
        <v>NC State</v>
      </c>
      <c r="J67">
        <f t="shared" si="1"/>
        <v>6.685</v>
      </c>
      <c r="K67" t="str">
        <f>iferror(offset(DraftTracker!D$1,match(offset(Translation!$A$5,0,match($H67,Translation!$A$6:$EA$6,0)-1),DraftTracker!F:F,0)-1,0),"undrafted")</f>
        <v>Nico</v>
      </c>
    </row>
    <row r="68">
      <c r="A68" t="s">
        <v>953</v>
      </c>
      <c r="B68" s="187" t="s">
        <v>188</v>
      </c>
      <c r="C68" s="187">
        <v>5.098999999999999</v>
      </c>
      <c r="D68" s="26" t="s">
        <v>668</v>
      </c>
      <c r="E68" s="26" t="s">
        <v>193</v>
      </c>
      <c r="H68" t="s">
        <v>767</v>
      </c>
      <c r="I68" t="str">
        <f>offset(Translation!$A$5,0,match($H68,Translation!$A$6:$FF$6,0)-1)</f>
        <v>Nebraska</v>
      </c>
      <c r="J68">
        <f t="shared" si="1"/>
        <v>6.693</v>
      </c>
      <c r="K68" t="str">
        <f>iferror(offset(DraftTracker!D$1,match(offset(Translation!$A$5,0,match($H68,Translation!$A$6:$EA$6,0)-1),DraftTracker!F:F,0)-1,0),"undrafted")</f>
        <v>Josh</v>
      </c>
    </row>
    <row r="69">
      <c r="A69" t="s">
        <v>718</v>
      </c>
      <c r="B69" s="187" t="s">
        <v>724</v>
      </c>
      <c r="C69" s="187">
        <v>7.841</v>
      </c>
      <c r="D69" s="26" t="s">
        <v>955</v>
      </c>
      <c r="E69" s="26" t="s">
        <v>193</v>
      </c>
      <c r="H69" t="s">
        <v>973</v>
      </c>
      <c r="I69" t="str">
        <f>offset(Translation!$A$5,0,match($H69,Translation!$A$6:$FF$6,0)-1)</f>
        <v>Nevada</v>
      </c>
      <c r="J69">
        <f t="shared" si="1"/>
        <v>4.772</v>
      </c>
      <c r="K69" t="str">
        <f>iferror(offset(DraftTracker!D$1,match(offset(Translation!$A$5,0,match($H69,Translation!$A$6:$EA$6,0)-1),DraftTracker!F:F,0)-1,0),"undrafted")</f>
        <v>Jeannine</v>
      </c>
    </row>
    <row r="70">
      <c r="A70" t="s">
        <v>938</v>
      </c>
      <c r="B70" s="187" t="s">
        <v>724</v>
      </c>
      <c r="C70" s="187">
        <v>7.711</v>
      </c>
      <c r="D70" s="26" t="s">
        <v>767</v>
      </c>
      <c r="E70" s="26" t="s">
        <v>188</v>
      </c>
      <c r="H70" t="s">
        <v>974</v>
      </c>
      <c r="I70" t="str">
        <f>offset(Translation!$A$5,0,match($H70,Translation!$A$6:$FF$6,0)-1)</f>
        <v>New Mexico</v>
      </c>
      <c r="J70">
        <f t="shared" si="1"/>
        <v>7.535</v>
      </c>
      <c r="K70" t="str">
        <f>iferror(offset(DraftTracker!D$1,match(offset(Translation!$A$5,0,match($H70,Translation!$A$6:$EA$6,0)-1),DraftTracker!F:F,0)-1,0),"undrafted")</f>
        <v>DavEmily</v>
      </c>
    </row>
    <row r="71">
      <c r="A71" t="s">
        <v>945</v>
      </c>
      <c r="B71" s="187" t="s">
        <v>186</v>
      </c>
      <c r="C71" s="187">
        <v>4.796</v>
      </c>
      <c r="D71" s="26" t="s">
        <v>985</v>
      </c>
      <c r="E71" s="26" t="s">
        <v>193</v>
      </c>
      <c r="H71" t="s">
        <v>989</v>
      </c>
      <c r="I71" t="str">
        <f>offset(Translation!$A$5,0,match($H71,Translation!$A$6:$FF$6,0)-1)</f>
        <v>New Mexico State</v>
      </c>
      <c r="J71">
        <f t="shared" si="1"/>
        <v>4.372</v>
      </c>
      <c r="K71" t="str">
        <f>iferror(offset(DraftTracker!D$1,match(offset(Translation!$A$5,0,match($H71,Translation!$A$6:$EA$6,0)-1),DraftTracker!F:F,0)-1,0),"undrafted")</f>
        <v>Brad</v>
      </c>
    </row>
    <row r="72">
      <c r="A72" t="s">
        <v>933</v>
      </c>
      <c r="B72" s="187" t="s">
        <v>188</v>
      </c>
      <c r="C72" s="187">
        <v>4.2989999999999995</v>
      </c>
      <c r="D72" s="26" t="s">
        <v>673</v>
      </c>
      <c r="E72" s="26" t="s">
        <v>186</v>
      </c>
      <c r="H72" t="s">
        <v>944</v>
      </c>
      <c r="I72" t="str">
        <f>offset(Translation!$A$5,0,match($H72,Translation!$A$6:$FF$6,0)-1)</f>
        <v>North Carolina</v>
      </c>
      <c r="J72">
        <f t="shared" si="1"/>
        <v>5.785</v>
      </c>
      <c r="K72" t="str">
        <f>iferror(offset(DraftTracker!D$1,match(offset(Translation!$A$5,0,match($H72,Translation!$A$6:$EA$6,0)-1),DraftTracker!F:F,0)-1,0),"undrafted")</f>
        <v>Brad</v>
      </c>
    </row>
    <row r="73">
      <c r="A73" t="s">
        <v>947</v>
      </c>
      <c r="B73" s="187" t="s">
        <v>187</v>
      </c>
      <c r="C73" s="187">
        <v>5.095</v>
      </c>
      <c r="D73" s="26" t="s">
        <v>699</v>
      </c>
      <c r="E73" s="26" t="s">
        <v>93</v>
      </c>
      <c r="H73" t="s">
        <v>957</v>
      </c>
      <c r="I73" t="str">
        <f>offset(Translation!$A$5,0,match($H73,Translation!$A$6:$FF$6,0)-1)</f>
        <v>North Texas</v>
      </c>
      <c r="J73">
        <f t="shared" si="1"/>
        <v>6.155</v>
      </c>
      <c r="K73" t="str">
        <f>iferror(offset(DraftTracker!D$1,match(offset(Translation!$A$5,0,match($H73,Translation!$A$6:$EA$6,0)-1),DraftTracker!F:F,0)-1,0),"undrafted")</f>
        <v>Dan</v>
      </c>
    </row>
    <row r="74">
      <c r="A74" t="s">
        <v>939</v>
      </c>
      <c r="B74" s="187" t="s">
        <v>724</v>
      </c>
      <c r="C74" s="187">
        <v>8.280000000000001</v>
      </c>
      <c r="D74" s="26" t="s">
        <v>672</v>
      </c>
      <c r="E74" s="26" t="s">
        <v>93</v>
      </c>
      <c r="H74" t="s">
        <v>968</v>
      </c>
      <c r="I74" t="str">
        <f>offset(Translation!$A$5,0,match($H74,Translation!$A$6:$FF$6,0)-1)</f>
        <v>Northern Illinois</v>
      </c>
      <c r="J74">
        <f t="shared" si="1"/>
        <v>4.284</v>
      </c>
      <c r="K74" t="str">
        <f>iferror(offset(DraftTracker!D$1,match(offset(Translation!$A$5,0,match($H74,Translation!$A$6:$EA$6,0)-1),DraftTracker!F:F,0)-1,0),"undrafted")</f>
        <v>Masa</v>
      </c>
    </row>
    <row r="75">
      <c r="A75" t="s">
        <v>937</v>
      </c>
      <c r="B75" s="187" t="s">
        <v>724</v>
      </c>
      <c r="C75" s="187">
        <v>6.907</v>
      </c>
      <c r="D75" s="26" t="s">
        <v>670</v>
      </c>
      <c r="E75" s="26" t="s">
        <v>93</v>
      </c>
      <c r="H75" t="s">
        <v>952</v>
      </c>
      <c r="I75" t="str">
        <f>offset(Translation!$A$5,0,match($H75,Translation!$A$6:$FF$6,0)-1)</f>
        <v>Northwestern</v>
      </c>
      <c r="J75">
        <f t="shared" si="1"/>
        <v>4.899</v>
      </c>
      <c r="K75" t="str">
        <f>iferror(offset(DraftTracker!D$1,match(offset(Translation!$A$5,0,match($H75,Translation!$A$6:$EA$6,0)-1),DraftTracker!F:F,0)-1,0),"undrafted")</f>
        <v>Nico</v>
      </c>
    </row>
    <row r="76">
      <c r="A76" t="s">
        <v>991</v>
      </c>
      <c r="B76" s="187" t="s">
        <v>193</v>
      </c>
      <c r="C76" s="187">
        <v>8.001</v>
      </c>
      <c r="D76" s="26" t="s">
        <v>983</v>
      </c>
      <c r="E76" s="26" t="s">
        <v>193</v>
      </c>
      <c r="H76" t="s">
        <v>664</v>
      </c>
      <c r="I76" t="str">
        <f>offset(Translation!$A$5,0,match($H76,Translation!$A$6:$FF$6,0)-1)</f>
        <v>Notre Dame</v>
      </c>
      <c r="J76">
        <f t="shared" si="1"/>
        <v>10.7</v>
      </c>
      <c r="K76" t="str">
        <f>iferror(offset(DraftTracker!D$1,match(offset(Translation!$A$5,0,match($H76,Translation!$A$6:$EA$6,0)-1),DraftTracker!F:F,0)-1,0),"undrafted")</f>
        <v>Brad</v>
      </c>
    </row>
    <row r="77">
      <c r="A77" t="s">
        <v>972</v>
      </c>
      <c r="B77" s="187" t="s">
        <v>1019</v>
      </c>
      <c r="C77" s="187">
        <v>7.680000000000001</v>
      </c>
      <c r="D77" s="26" t="s">
        <v>680</v>
      </c>
      <c r="E77" s="26" t="s">
        <v>665</v>
      </c>
      <c r="H77" t="s">
        <v>969</v>
      </c>
      <c r="I77" t="str">
        <f>offset(Translation!$A$5,0,match($H77,Translation!$A$6:$FF$6,0)-1)</f>
        <v>Ohio</v>
      </c>
      <c r="J77">
        <f t="shared" si="1"/>
        <v>6.986</v>
      </c>
      <c r="K77" t="str">
        <f>iferror(offset(DraftTracker!D$1,match(offset(Translation!$A$5,0,match($H77,Translation!$A$6:$EA$6,0)-1),DraftTracker!F:F,0)-1,0),"undrafted")</f>
        <v>Jeannine</v>
      </c>
    </row>
    <row r="78">
      <c r="A78" t="s">
        <v>926</v>
      </c>
      <c r="B78" s="187" t="s">
        <v>93</v>
      </c>
      <c r="C78" s="187">
        <v>6.086</v>
      </c>
      <c r="D78" s="26" t="s">
        <v>957</v>
      </c>
      <c r="E78" s="26" t="s">
        <v>1028</v>
      </c>
      <c r="H78" t="s">
        <v>658</v>
      </c>
      <c r="I78" t="str">
        <f>offset(Translation!$A$5,0,match($H78,Translation!$A$6:$FF$6,0)-1)</f>
        <v>Ohio State</v>
      </c>
      <c r="J78">
        <f t="shared" si="1"/>
        <v>9.812</v>
      </c>
      <c r="K78" t="str">
        <f>iferror(offset(DraftTracker!D$1,match(offset(Translation!$A$5,0,match($H78,Translation!$A$6:$EA$6,0)-1),DraftTracker!F:F,0)-1,0),"undrafted")</f>
        <v>Jeannine</v>
      </c>
    </row>
    <row r="79">
      <c r="A79" t="s">
        <v>693</v>
      </c>
      <c r="B79" s="187" t="s">
        <v>186</v>
      </c>
      <c r="C79" s="187">
        <v>3.999</v>
      </c>
      <c r="D79" s="26" t="s">
        <v>938</v>
      </c>
      <c r="E79" s="26" t="s">
        <v>724</v>
      </c>
      <c r="H79" t="s">
        <v>687</v>
      </c>
      <c r="I79" t="str">
        <f>offset(Translation!$A$5,0,match($H79,Translation!$A$6:$FF$6,0)-1)</f>
        <v>Oklahoma</v>
      </c>
      <c r="J79">
        <f t="shared" si="1"/>
        <v>7.446</v>
      </c>
      <c r="K79" t="str">
        <f>iferror(offset(DraftTracker!D$1,match(offset(Translation!$A$5,0,match($H79,Translation!$A$6:$EA$6,0)-1),DraftTracker!F:F,0)-1,0),"undrafted")</f>
        <v>Jeannine</v>
      </c>
    </row>
    <row r="80">
      <c r="A80" t="s">
        <v>970</v>
      </c>
      <c r="B80" s="187" t="s">
        <v>190</v>
      </c>
      <c r="C80" s="187">
        <v>8.237</v>
      </c>
      <c r="D80" s="26" t="s">
        <v>942</v>
      </c>
      <c r="E80" s="26" t="s">
        <v>186</v>
      </c>
      <c r="H80" t="s">
        <v>949</v>
      </c>
      <c r="I80" t="str">
        <f>offset(Translation!$A$5,0,match($H80,Translation!$A$6:$FF$6,0)-1)</f>
        <v>Oklahoma State</v>
      </c>
      <c r="J80">
        <f t="shared" si="1"/>
        <v>5.981</v>
      </c>
      <c r="K80" t="str">
        <f>iferror(offset(DraftTracker!D$1,match(offset(Translation!$A$5,0,match($H80,Translation!$A$6:$EA$6,0)-1),DraftTracker!F:F,0)-1,0),"undrafted")</f>
        <v>Justin</v>
      </c>
    </row>
    <row r="81">
      <c r="A81" t="s">
        <v>980</v>
      </c>
      <c r="B81" s="187" t="s">
        <v>186</v>
      </c>
      <c r="C81" s="187">
        <v>3.899</v>
      </c>
      <c r="D81" s="26" t="s">
        <v>980</v>
      </c>
      <c r="E81" s="26" t="s">
        <v>93</v>
      </c>
      <c r="H81" t="s">
        <v>958</v>
      </c>
      <c r="I81" t="str">
        <f>offset(Translation!$A$5,0,match($H81,Translation!$A$6:$FF$6,0)-1)</f>
        <v>Old Dominion</v>
      </c>
      <c r="J81">
        <f t="shared" si="1"/>
        <v>7.16</v>
      </c>
      <c r="K81" t="str">
        <f>iferror(offset(DraftTracker!D$1,match(offset(Translation!$A$5,0,match($H81,Translation!$A$6:$EA$6,0)-1),DraftTracker!F:F,0)-1,0),"undrafted")</f>
        <v>Jeannine</v>
      </c>
    </row>
    <row r="82">
      <c r="A82" t="s">
        <v>974</v>
      </c>
      <c r="B82" s="187" t="s">
        <v>1019</v>
      </c>
      <c r="C82" s="187">
        <v>7.535</v>
      </c>
      <c r="D82" s="26" t="s">
        <v>970</v>
      </c>
      <c r="E82" s="26" t="s">
        <v>190</v>
      </c>
      <c r="H82" t="s">
        <v>692</v>
      </c>
      <c r="I82" t="str">
        <f>offset(Translation!$A$5,0,match($H82,Translation!$A$6:$FF$6,0)-1)</f>
        <v>Ole Miss</v>
      </c>
      <c r="J82">
        <f t="shared" si="1"/>
        <v>7.263</v>
      </c>
      <c r="K82" t="str">
        <f>iferror(offset(DraftTracker!D$1,match(offset(Translation!$A$5,0,match($H82,Translation!$A$6:$EA$6,0)-1),DraftTracker!F:F,0)-1,0),"undrafted")</f>
        <v>Janice/Mike</v>
      </c>
    </row>
    <row r="83">
      <c r="A83" t="s">
        <v>971</v>
      </c>
      <c r="B83" s="187" t="s">
        <v>190</v>
      </c>
      <c r="C83" s="187">
        <v>7.484</v>
      </c>
      <c r="D83" s="26" t="s">
        <v>671</v>
      </c>
      <c r="E83" s="26" t="s">
        <v>188</v>
      </c>
      <c r="H83" t="s">
        <v>666</v>
      </c>
      <c r="I83" t="str">
        <f>offset(Translation!$A$5,0,match($H83,Translation!$A$6:$FF$6,0)-1)</f>
        <v>Oregon</v>
      </c>
      <c r="J83">
        <f t="shared" si="1"/>
        <v>9.958</v>
      </c>
      <c r="K83" t="str">
        <f>iferror(offset(DraftTracker!D$1,match(offset(Translation!$A$5,0,match($H83,Translation!$A$6:$EA$6,0)-1),DraftTracker!F:F,0)-1,0),"undrafted")</f>
        <v>Jeannine</v>
      </c>
    </row>
    <row r="84">
      <c r="A84" t="s">
        <v>981</v>
      </c>
      <c r="B84" s="187" t="s">
        <v>93</v>
      </c>
      <c r="C84" s="187">
        <v>5.0169999999999995</v>
      </c>
      <c r="D84" s="26" t="s">
        <v>988</v>
      </c>
      <c r="E84" s="26" t="s">
        <v>665</v>
      </c>
      <c r="H84" t="s">
        <v>708</v>
      </c>
      <c r="I84" t="str">
        <f>offset(Translation!$A$5,0,match($H84,Translation!$A$6:$FF$6,0)-1)</f>
        <v>Oregon State</v>
      </c>
      <c r="J84">
        <f t="shared" si="1"/>
        <v>4.358</v>
      </c>
      <c r="K84" t="str">
        <f>iferror(offset(DraftTracker!D$1,match(offset(Translation!$A$5,0,match($H84,Translation!$A$6:$EA$6,0)-1),DraftTracker!F:F,0)-1,0),"undrafted")</f>
        <v>Nick G.</v>
      </c>
    </row>
    <row r="85">
      <c r="A85" t="s">
        <v>986</v>
      </c>
      <c r="B85" s="187" t="s">
        <v>93</v>
      </c>
      <c r="C85" s="187">
        <v>5.513999999999999</v>
      </c>
      <c r="D85" s="26" t="s">
        <v>888</v>
      </c>
      <c r="E85" s="26" t="s">
        <v>186</v>
      </c>
      <c r="H85" t="s">
        <v>674</v>
      </c>
      <c r="I85" t="str">
        <f>offset(Translation!$A$5,0,match($H85,Translation!$A$6:$FF$6,0)-1)</f>
        <v>Penn State</v>
      </c>
      <c r="J85">
        <f t="shared" si="1"/>
        <v>8.955</v>
      </c>
      <c r="K85" t="str">
        <f>iferror(offset(DraftTracker!D$1,match(offset(Translation!$A$5,0,match($H85,Translation!$A$6:$EA$6,0)-1),DraftTracker!F:F,0)-1,0),"undrafted")</f>
        <v>Brad</v>
      </c>
    </row>
    <row r="86">
      <c r="A86" t="s">
        <v>958</v>
      </c>
      <c r="B86" s="187" t="s">
        <v>193</v>
      </c>
      <c r="C86" s="187">
        <v>7.16</v>
      </c>
      <c r="D86" s="26" t="s">
        <v>734</v>
      </c>
      <c r="E86" s="26" t="s">
        <v>1028</v>
      </c>
      <c r="H86" t="s">
        <v>893</v>
      </c>
      <c r="I86" t="str">
        <f>offset(Translation!$A$5,0,match($H86,Translation!$A$6:$FF$6,0)-1)</f>
        <v>Pittsburgh</v>
      </c>
      <c r="J86">
        <f t="shared" si="1"/>
        <v>7.077</v>
      </c>
      <c r="K86" t="str">
        <f>iferror(offset(DraftTracker!D$1,match(offset(Translation!$A$5,0,match($H86,Translation!$A$6:$EA$6,0)-1),DraftTracker!F:F,0)-1,0),"undrafted")</f>
        <v>Nick A.</v>
      </c>
    </row>
    <row r="87">
      <c r="A87" t="s">
        <v>963</v>
      </c>
      <c r="B87" s="187" t="s">
        <v>189</v>
      </c>
      <c r="C87" s="187">
        <v>6.851999999999999</v>
      </c>
      <c r="D87" s="26" t="s">
        <v>941</v>
      </c>
      <c r="E87" s="26" t="s">
        <v>724</v>
      </c>
      <c r="H87" t="s">
        <v>933</v>
      </c>
      <c r="I87" t="str">
        <f>offset(Translation!$A$5,0,match($H87,Translation!$A$6:$FF$6,0)-1)</f>
        <v>Purdue</v>
      </c>
      <c r="J87">
        <f t="shared" si="1"/>
        <v>4.299</v>
      </c>
      <c r="K87" t="str">
        <f>iferror(offset(DraftTracker!D$1,match(offset(Translation!$A$5,0,match($H87,Translation!$A$6:$EA$6,0)-1),DraftTracker!F:F,0)-1,0),"undrafted")</f>
        <v>Vu</v>
      </c>
    </row>
    <row r="88">
      <c r="A88" t="s">
        <v>960</v>
      </c>
      <c r="B88" s="187" t="s">
        <v>193</v>
      </c>
      <c r="C88" s="187">
        <v>6.774</v>
      </c>
      <c r="D88" s="26" t="s">
        <v>964</v>
      </c>
      <c r="E88" s="26" t="s">
        <v>193</v>
      </c>
      <c r="H88" t="s">
        <v>959</v>
      </c>
      <c r="I88" t="str">
        <f>offset(Translation!$A$5,0,match($H88,Translation!$A$6:$FF$6,0)-1)</f>
        <v>Rice</v>
      </c>
      <c r="J88">
        <f t="shared" si="1"/>
        <v>3.995</v>
      </c>
      <c r="K88" t="str">
        <f>iferror(offset(DraftTracker!D$1,match(offset(Translation!$A$5,0,match($H88,Translation!$A$6:$EA$6,0)-1),DraftTracker!F:F,0)-1,0),"undrafted")</f>
        <v>Justin</v>
      </c>
    </row>
    <row r="89">
      <c r="A89" t="s">
        <v>962</v>
      </c>
      <c r="B89" s="187" t="s">
        <v>724</v>
      </c>
      <c r="C89" s="187">
        <v>6.341</v>
      </c>
      <c r="D89" s="26" t="s">
        <v>709</v>
      </c>
      <c r="E89" s="26" t="s">
        <v>193</v>
      </c>
      <c r="H89" t="s">
        <v>953</v>
      </c>
      <c r="I89" t="str">
        <f>offset(Translation!$A$5,0,match($H89,Translation!$A$6:$FF$6,0)-1)</f>
        <v>Rutgers</v>
      </c>
      <c r="J89">
        <f t="shared" si="1"/>
        <v>5.099</v>
      </c>
      <c r="K89" t="str">
        <f>iferror(offset(DraftTracker!D$1,match(offset(Translation!$A$5,0,match($H89,Translation!$A$6:$EA$6,0)-1),DraftTracker!F:F,0)-1,0),"undrafted")</f>
        <v>Josh</v>
      </c>
    </row>
    <row r="90">
      <c r="A90" t="s">
        <v>680</v>
      </c>
      <c r="B90" s="187" t="s">
        <v>724</v>
      </c>
      <c r="C90" s="187">
        <v>6.3500000000000005</v>
      </c>
      <c r="D90" s="26" t="s">
        <v>976</v>
      </c>
      <c r="E90" s="26" t="s">
        <v>1019</v>
      </c>
      <c r="H90" t="s">
        <v>975</v>
      </c>
      <c r="I90" t="str">
        <f>offset(Translation!$A$5,0,match($H90,Translation!$A$6:$FF$6,0)-1)</f>
        <v>San Diego State</v>
      </c>
      <c r="J90">
        <f t="shared" si="1"/>
        <v>7.249</v>
      </c>
      <c r="K90" t="str">
        <f>iferror(offset(DraftTracker!D$1,match(offset(Translation!$A$5,0,match($H90,Translation!$A$6:$EA$6,0)-1),DraftTracker!F:F,0)-1,0),"undrafted")</f>
        <v>Dan</v>
      </c>
    </row>
    <row r="91">
      <c r="A91" t="s">
        <v>957</v>
      </c>
      <c r="B91" s="187" t="s">
        <v>724</v>
      </c>
      <c r="C91" s="187">
        <v>6.155</v>
      </c>
      <c r="D91" s="26" t="s">
        <v>975</v>
      </c>
      <c r="E91" s="26" t="s">
        <v>1019</v>
      </c>
      <c r="H91" t="s">
        <v>976</v>
      </c>
      <c r="I91" t="str">
        <f>offset(Translation!$A$5,0,match($H91,Translation!$A$6:$FF$6,0)-1)</f>
        <v>San José State</v>
      </c>
      <c r="J91">
        <f t="shared" si="1"/>
        <v>4.979</v>
      </c>
      <c r="K91" t="str">
        <f>iferror(offset(DraftTracker!D$1,match(offset(Translation!$A$5,0,match($H91,Translation!$A$6:$EA$6,0)-1),DraftTracker!F:F,0)-1,0),"undrafted")</f>
        <v>Josh</v>
      </c>
    </row>
    <row r="92">
      <c r="A92" t="s">
        <v>1058</v>
      </c>
      <c r="B92" s="187" t="s">
        <v>189</v>
      </c>
      <c r="C92" s="187">
        <v>6.732</v>
      </c>
      <c r="D92" s="26" t="s">
        <v>934</v>
      </c>
      <c r="E92" s="26" t="s">
        <v>193</v>
      </c>
      <c r="H92" t="s">
        <v>710</v>
      </c>
      <c r="I92" t="str">
        <f>offset(Translation!$A$5,0,match($H92,Translation!$A$6:$FF$6,0)-1)</f>
        <v>SMU</v>
      </c>
      <c r="J92">
        <f t="shared" si="1"/>
        <v>8.197</v>
      </c>
      <c r="K92" t="str">
        <f>iferror(offset(DraftTracker!D$1,match(offset(Translation!$A$5,0,match($H92,Translation!$A$6:$EA$6,0)-1),DraftTracker!F:F,0)-1,0),"undrafted")</f>
        <v>Josh</v>
      </c>
    </row>
    <row r="93">
      <c r="A93" t="s">
        <v>978</v>
      </c>
      <c r="B93" s="187" t="s">
        <v>93</v>
      </c>
      <c r="C93" s="187">
        <v>4.6530000000000005</v>
      </c>
      <c r="D93" s="26" t="s">
        <v>969</v>
      </c>
      <c r="E93" s="26" t="s">
        <v>190</v>
      </c>
      <c r="H93" t="s">
        <v>985</v>
      </c>
      <c r="I93" t="str">
        <f>offset(Translation!$A$5,0,match($H93,Translation!$A$6:$FF$6,0)-1)</f>
        <v>South Alabama</v>
      </c>
      <c r="J93">
        <f t="shared" si="1"/>
        <v>5.355</v>
      </c>
      <c r="K93" t="str">
        <f>iferror(offset(DraftTracker!D$1,match(offset(Translation!$A$5,0,match($H93,Translation!$A$6:$EA$6,0)-1),DraftTracker!F:F,0)-1,0),"undrafted")</f>
        <v>Masa</v>
      </c>
    </row>
    <row r="94">
      <c r="A94" t="s">
        <v>660</v>
      </c>
      <c r="B94" s="187" t="s">
        <v>1019</v>
      </c>
      <c r="C94" s="187">
        <v>7.1000000000000005</v>
      </c>
      <c r="D94" s="26" t="s">
        <v>921</v>
      </c>
      <c r="E94" s="26" t="s">
        <v>186</v>
      </c>
      <c r="H94" t="s">
        <v>707</v>
      </c>
      <c r="I94" t="str">
        <f>offset(Translation!$A$5,0,match($H94,Translation!$A$6:$FF$6,0)-1)</f>
        <v>South Carolina</v>
      </c>
      <c r="J94">
        <f t="shared" si="1"/>
        <v>6.387</v>
      </c>
      <c r="K94" t="str">
        <f>iferror(offset(DraftTracker!D$1,match(offset(Translation!$A$5,0,match($H94,Translation!$A$6:$EA$6,0)-1),DraftTracker!F:F,0)-1,0),"undrafted")</f>
        <v>Nico</v>
      </c>
    </row>
    <row r="95">
      <c r="A95" t="s">
        <v>967</v>
      </c>
      <c r="B95" s="187" t="s">
        <v>190</v>
      </c>
      <c r="C95" s="187">
        <v>7.062</v>
      </c>
      <c r="D95" s="26" t="s">
        <v>960</v>
      </c>
      <c r="E95" s="26" t="s">
        <v>193</v>
      </c>
      <c r="H95" t="s">
        <v>939</v>
      </c>
      <c r="I95" t="str">
        <f>offset(Translation!$A$5,0,match($H95,Translation!$A$6:$FF$6,0)-1)</f>
        <v>South Florida</v>
      </c>
      <c r="J95">
        <f t="shared" si="1"/>
        <v>8.28</v>
      </c>
      <c r="K95" t="str">
        <f>iferror(offset(DraftTracker!D$1,match(offset(Translation!$A$5,0,match($H95,Translation!$A$6:$EA$6,0)-1),DraftTracker!F:F,0)-1,0),"undrafted")</f>
        <v>Dan</v>
      </c>
    </row>
    <row r="96">
      <c r="A96" t="s">
        <v>987</v>
      </c>
      <c r="B96" s="187" t="s">
        <v>193</v>
      </c>
      <c r="C96" s="187">
        <v>6.518</v>
      </c>
      <c r="D96" s="26" t="s">
        <v>956</v>
      </c>
      <c r="E96" s="26" t="s">
        <v>1028</v>
      </c>
      <c r="H96" t="s">
        <v>960</v>
      </c>
      <c r="I96" t="str">
        <f>offset(Translation!$A$5,0,match($H96,Translation!$A$6:$FF$6,0)-1)</f>
        <v>Southern Mississippi</v>
      </c>
      <c r="J96">
        <f t="shared" si="1"/>
        <v>6.774</v>
      </c>
      <c r="K96" t="str">
        <f>iferror(offset(DraftTracker!D$1,match(offset(Translation!$A$5,0,match($H96,Translation!$A$6:$EA$6,0)-1),DraftTracker!F:F,0)-1,0),"undrafted")</f>
        <v>Gary</v>
      </c>
    </row>
    <row r="97">
      <c r="A97" t="s">
        <v>988</v>
      </c>
      <c r="B97" s="187" t="s">
        <v>189</v>
      </c>
      <c r="C97" s="187">
        <v>7.252000000000001</v>
      </c>
      <c r="D97" s="26" t="s">
        <v>730</v>
      </c>
      <c r="E97" s="26" t="s">
        <v>192</v>
      </c>
      <c r="H97" t="s">
        <v>980</v>
      </c>
      <c r="I97" t="str">
        <f>offset(Translation!$A$5,0,match($H97,Translation!$A$6:$FF$6,0)-1)</f>
        <v>Stanford</v>
      </c>
      <c r="J97">
        <f t="shared" si="1"/>
        <v>3.899</v>
      </c>
      <c r="K97" t="str">
        <f>iferror(offset(DraftTracker!D$1,match(offset(Translation!$A$5,0,match($H97,Translation!$A$6:$EA$6,0)-1),DraftTracker!F:F,0)-1,0),"undrafted")</f>
        <v>Masa</v>
      </c>
    </row>
    <row r="98">
      <c r="A98" t="s">
        <v>969</v>
      </c>
      <c r="B98" s="187" t="s">
        <v>190</v>
      </c>
      <c r="C98" s="187">
        <v>6.986</v>
      </c>
      <c r="D98" s="26" t="s">
        <v>695</v>
      </c>
      <c r="E98" s="26" t="s">
        <v>190</v>
      </c>
      <c r="H98" t="s">
        <v>945</v>
      </c>
      <c r="I98" t="str">
        <f>offset(Translation!$A$5,0,match($H98,Translation!$A$6:$FF$6,0)-1)</f>
        <v>Syracuse</v>
      </c>
      <c r="J98">
        <f t="shared" si="1"/>
        <v>4.796</v>
      </c>
      <c r="K98" t="str">
        <f>iferror(offset(DraftTracker!D$1,match(offset(Translation!$A$5,0,match($H98,Translation!$A$6:$EA$6,0)-1),DraftTracker!F:F,0)-1,0),"undrafted")</f>
        <v>Masa</v>
      </c>
    </row>
    <row r="99">
      <c r="A99" t="s">
        <v>708</v>
      </c>
      <c r="B99" s="187" t="s">
        <v>93</v>
      </c>
      <c r="C99" s="187">
        <v>4.3580000000000005</v>
      </c>
      <c r="D99" s="26" t="s">
        <v>966</v>
      </c>
      <c r="E99" s="26" t="s">
        <v>190</v>
      </c>
      <c r="H99" t="s">
        <v>682</v>
      </c>
      <c r="I99" t="str">
        <f>offset(Translation!$A$5,0,match($H99,Translation!$A$6:$FF$6,0)-1)</f>
        <v>TCU</v>
      </c>
      <c r="J99">
        <f t="shared" si="1"/>
        <v>6.76</v>
      </c>
      <c r="K99" t="str">
        <f>iferror(offset(DraftTracker!D$1,match(offset(Translation!$A$5,0,match($H99,Translation!$A$6:$EA$6,0)-1),DraftTracker!F:F,0)-1,0),"undrafted")</f>
        <v>Janice/Mike</v>
      </c>
    </row>
    <row r="100">
      <c r="A100" t="s">
        <v>983</v>
      </c>
      <c r="B100" s="187" t="s">
        <v>193</v>
      </c>
      <c r="C100" s="187">
        <v>6.817</v>
      </c>
      <c r="D100" s="26" t="s">
        <v>952</v>
      </c>
      <c r="E100" s="26" t="s">
        <v>188</v>
      </c>
      <c r="H100" t="s">
        <v>940</v>
      </c>
      <c r="I100" t="str">
        <f>offset(Translation!$A$5,0,match($H100,Translation!$A$6:$FF$6,0)-1)</f>
        <v>Temple</v>
      </c>
      <c r="J100">
        <f t="shared" si="1"/>
        <v>5.479</v>
      </c>
      <c r="K100" t="str">
        <f>iferror(offset(DraftTracker!D$1,match(offset(Translation!$A$5,0,match($H100,Translation!$A$6:$EA$6,0)-1),DraftTracker!F:F,0)-1,0),"undrafted")</f>
        <v>Janice/Mike</v>
      </c>
    </row>
    <row r="101">
      <c r="A101" t="s">
        <v>1060</v>
      </c>
      <c r="B101" s="187" t="s">
        <v>1019</v>
      </c>
      <c r="C101" s="187">
        <v>6.536</v>
      </c>
      <c r="D101" s="26" t="s">
        <v>693</v>
      </c>
      <c r="E101" s="26" t="s">
        <v>186</v>
      </c>
      <c r="H101" t="s">
        <v>669</v>
      </c>
      <c r="I101" t="str">
        <f>offset(Translation!$A$5,0,match($H101,Translation!$A$6:$FF$6,0)-1)</f>
        <v>Tennessee</v>
      </c>
      <c r="J101">
        <f t="shared" si="1"/>
        <v>7.269</v>
      </c>
      <c r="K101" t="str">
        <f>iferror(offset(DraftTracker!D$1,match(offset(Translation!$A$5,0,match($H101,Translation!$A$6:$EA$6,0)-1),DraftTracker!F:F,0)-1,0),"undrafted")</f>
        <v>Dan</v>
      </c>
    </row>
    <row r="102">
      <c r="A102" t="s">
        <v>1061</v>
      </c>
      <c r="B102" s="187" t="s">
        <v>189</v>
      </c>
      <c r="C102" s="187">
        <v>6.875</v>
      </c>
      <c r="D102" s="26" t="s">
        <v>953</v>
      </c>
      <c r="E102" s="26" t="s">
        <v>188</v>
      </c>
      <c r="H102" t="s">
        <v>684</v>
      </c>
      <c r="I102" t="str">
        <f>offset(Translation!$A$5,0,match($H102,Translation!$A$6:$FF$6,0)-1)</f>
        <v>Texas A&amp;M</v>
      </c>
      <c r="J102">
        <f t="shared" si="1"/>
        <v>8.316</v>
      </c>
      <c r="K102" t="str">
        <f>iferror(offset(DraftTracker!D$1,match(offset(Translation!$A$5,0,match($H102,Translation!$A$6:$EA$6,0)-1),DraftTracker!F:F,0)-1,0),"undrafted")</f>
        <v>Vu</v>
      </c>
    </row>
    <row r="103">
      <c r="A103" t="s">
        <v>940</v>
      </c>
      <c r="B103" s="187" t="s">
        <v>724</v>
      </c>
      <c r="C103" s="187">
        <v>5.479</v>
      </c>
      <c r="D103" s="26" t="s">
        <v>979</v>
      </c>
      <c r="E103" s="26" t="s">
        <v>1019</v>
      </c>
      <c r="H103" t="s">
        <v>661</v>
      </c>
      <c r="I103" t="str">
        <f>offset(Translation!$A$5,0,match($H103,Translation!$A$6:$FF$6,0)-1)</f>
        <v>Texas</v>
      </c>
      <c r="J103">
        <f t="shared" si="1"/>
        <v>9.503</v>
      </c>
      <c r="K103" t="str">
        <f>iferror(offset(DraftTracker!D$1,match(offset(Translation!$A$5,0,match($H103,Translation!$A$6:$EA$6,0)-1),DraftTracker!F:F,0)-1,0),"undrafted")</f>
        <v>Nick A.</v>
      </c>
    </row>
    <row r="104">
      <c r="A104" t="s">
        <v>934</v>
      </c>
      <c r="B104" s="187" t="s">
        <v>193</v>
      </c>
      <c r="C104" s="187">
        <v>5.640000000000001</v>
      </c>
      <c r="D104" s="26" t="s">
        <v>939</v>
      </c>
      <c r="E104" s="26" t="s">
        <v>724</v>
      </c>
      <c r="H104" t="s">
        <v>986</v>
      </c>
      <c r="I104" t="str">
        <f>offset(Translation!$A$5,0,match($H104,Translation!$A$6:$FF$6,0)-1)</f>
        <v>Texas State</v>
      </c>
      <c r="J104">
        <f t="shared" si="1"/>
        <v>5.514</v>
      </c>
      <c r="K104" t="str">
        <f>iferror(offset(DraftTracker!D$1,match(offset(Translation!$A$5,0,match($H104,Translation!$A$6:$EA$6,0)-1),DraftTracker!F:F,0)-1,0),"undrafted")</f>
        <v>Vu</v>
      </c>
    </row>
    <row r="105">
      <c r="A105" t="s">
        <v>955</v>
      </c>
      <c r="B105" s="187" t="s">
        <v>193</v>
      </c>
      <c r="C105" s="187">
        <v>6.439</v>
      </c>
      <c r="D105" s="26" t="s">
        <v>958</v>
      </c>
      <c r="E105" s="26" t="s">
        <v>193</v>
      </c>
      <c r="H105" t="s">
        <v>681</v>
      </c>
      <c r="I105" t="str">
        <f>offset(Translation!$A$5,0,match($H105,Translation!$A$6:$FF$6,0)-1)</f>
        <v>Texas Tech</v>
      </c>
      <c r="J105">
        <f t="shared" si="1"/>
        <v>10.341</v>
      </c>
      <c r="K105" t="str">
        <f>iferror(offset(DraftTracker!D$1,match(offset(Translation!$A$5,0,match($H105,Translation!$A$6:$EA$6,0)-1),DraftTracker!F:F,0)-1,0),"undrafted")</f>
        <v>DavEmily</v>
      </c>
    </row>
    <row r="106">
      <c r="A106" t="s">
        <v>941</v>
      </c>
      <c r="B106" s="187" t="s">
        <v>724</v>
      </c>
      <c r="C106" s="187">
        <v>5.678</v>
      </c>
      <c r="D106" s="26" t="s">
        <v>726</v>
      </c>
      <c r="E106" s="26" t="s">
        <v>190</v>
      </c>
      <c r="H106" t="s">
        <v>970</v>
      </c>
      <c r="I106" t="str">
        <f>offset(Translation!$A$5,0,match($H106,Translation!$A$6:$FF$6,0)-1)</f>
        <v>Toledo</v>
      </c>
      <c r="J106">
        <f t="shared" si="1"/>
        <v>8.237</v>
      </c>
      <c r="K106" t="str">
        <f>iferror(offset(DraftTracker!D$1,match(offset(Translation!$A$5,0,match($H106,Translation!$A$6:$EA$6,0)-1),DraftTracker!F:F,0)-1,0),"undrafted")</f>
        <v>DavEmily</v>
      </c>
    </row>
    <row r="107">
      <c r="A107" t="s">
        <v>1080</v>
      </c>
      <c r="B107" s="187" t="s">
        <v>189</v>
      </c>
      <c r="C107" s="187">
        <v>6.387</v>
      </c>
      <c r="D107" s="26" t="s">
        <v>977</v>
      </c>
      <c r="E107" s="26" t="s">
        <v>1019</v>
      </c>
      <c r="H107" t="s">
        <v>987</v>
      </c>
      <c r="I107" t="str">
        <f>offset(Translation!$A$5,0,match($H107,Translation!$A$6:$FF$6,0)-1)</f>
        <v>Troy</v>
      </c>
      <c r="J107">
        <f t="shared" si="1"/>
        <v>6.518</v>
      </c>
      <c r="K107" t="str">
        <f>iferror(offset(DraftTracker!D$1,match(offset(Translation!$A$5,0,match($H107,Translation!$A$6:$EA$6,0)-1),DraftTracker!F:F,0)-1,0),"undrafted")</f>
        <v>Josh</v>
      </c>
    </row>
    <row r="108">
      <c r="A108" t="s">
        <v>677</v>
      </c>
      <c r="B108" s="187" t="s">
        <v>193</v>
      </c>
      <c r="C108" s="187">
        <v>6.139</v>
      </c>
      <c r="D108" s="26" t="s">
        <v>978</v>
      </c>
      <c r="E108" s="26" t="s">
        <v>1019</v>
      </c>
      <c r="H108" t="s">
        <v>790</v>
      </c>
      <c r="I108" t="str">
        <f>offset(Translation!$A$5,0,match($H108,Translation!$A$6:$FF$6,0)-1)</f>
        <v>Tulane</v>
      </c>
      <c r="J108">
        <f t="shared" si="1"/>
        <v>7.982</v>
      </c>
      <c r="K108" t="str">
        <f>iferror(offset(DraftTracker!D$1,match(offset(Translation!$A$5,0,match($H108,Translation!$A$6:$EA$6,0)-1),DraftTracker!F:F,0)-1,0),"undrafted")</f>
        <v>DavEmily</v>
      </c>
    </row>
    <row r="109">
      <c r="A109" t="s">
        <v>954</v>
      </c>
      <c r="B109" s="187" t="s">
        <v>193</v>
      </c>
      <c r="C109" s="187">
        <v>5.547</v>
      </c>
      <c r="D109" s="26" t="s">
        <v>701</v>
      </c>
      <c r="E109" s="26" t="s">
        <v>190</v>
      </c>
      <c r="H109" t="s">
        <v>941</v>
      </c>
      <c r="I109" t="str">
        <f>offset(Translation!$A$5,0,match($H109,Translation!$A$6:$FF$6,0)-1)</f>
        <v>Tulsa</v>
      </c>
      <c r="J109">
        <f t="shared" si="1"/>
        <v>5.678</v>
      </c>
      <c r="K109" t="str">
        <f>iferror(offset(DraftTracker!D$1,match(offset(Translation!$A$5,0,match($H109,Translation!$A$6:$EA$6,0)-1),DraftTracker!F:F,0)-1,0),"undrafted")</f>
        <v>Jeannine</v>
      </c>
    </row>
    <row r="110">
      <c r="A110" t="s">
        <v>1092</v>
      </c>
      <c r="B110" s="187" t="s">
        <v>193</v>
      </c>
      <c r="C110" s="187">
        <v>6.0489999999999995</v>
      </c>
      <c r="D110" s="26" t="s">
        <v>961</v>
      </c>
      <c r="E110" s="26" t="s">
        <v>1028</v>
      </c>
      <c r="H110" t="s">
        <v>965</v>
      </c>
      <c r="I110" t="str">
        <f>offset(Translation!$A$5,0,match($H110,Translation!$A$6:$FF$6,0)-1)</f>
        <v>UAB</v>
      </c>
      <c r="J110">
        <f t="shared" si="1"/>
        <v>3.997</v>
      </c>
      <c r="K110" t="str">
        <f>iferror(offset(DraftTracker!D$1,match(offset(Translation!$A$5,0,match($H110,Translation!$A$6:$EA$6,0)-1),DraftTracker!F:F,0)-1,0),"undrafted")</f>
        <v>Janice/Mike</v>
      </c>
    </row>
    <row r="111">
      <c r="A111" t="s">
        <v>1096</v>
      </c>
      <c r="B111" s="187" t="s">
        <v>189</v>
      </c>
      <c r="C111" s="187">
        <v>5.617</v>
      </c>
      <c r="D111" s="26" t="s">
        <v>940</v>
      </c>
      <c r="E111" s="26" t="s">
        <v>724</v>
      </c>
      <c r="H111" t="s">
        <v>723</v>
      </c>
      <c r="I111" t="str">
        <f>offset(Translation!$A$5,0,match($H111,Translation!$A$6:$FF$6,0)-1)</f>
        <v>UCF</v>
      </c>
      <c r="J111">
        <f t="shared" si="1"/>
        <v>6.083</v>
      </c>
      <c r="K111" t="str">
        <f>iferror(offset(DraftTracker!D$1,match(offset(Translation!$A$5,0,match($H111,Translation!$A$6:$EA$6,0)-1),DraftTracker!F:F,0)-1,0),"undrafted")</f>
        <v>Vu</v>
      </c>
    </row>
    <row r="112">
      <c r="A112" t="s">
        <v>1100</v>
      </c>
      <c r="B112" s="187" t="s">
        <v>190</v>
      </c>
      <c r="C112" s="187">
        <v>6.625</v>
      </c>
      <c r="D112" s="26" t="s">
        <v>967</v>
      </c>
      <c r="E112" s="26" t="s">
        <v>190</v>
      </c>
      <c r="H112" t="s">
        <v>732</v>
      </c>
      <c r="I112" t="str">
        <f>offset(Translation!$A$5,0,match($H112,Translation!$A$6:$FF$6,0)-1)</f>
        <v>UCLA</v>
      </c>
      <c r="J112">
        <f t="shared" si="1"/>
        <v>5.099</v>
      </c>
      <c r="K112" t="str">
        <f>iferror(offset(DraftTracker!D$1,match(offset(Translation!$A$5,0,match($H112,Translation!$A$6:$EA$6,0)-1),DraftTracker!F:F,0)-1,0),"undrafted")</f>
        <v>DavEmily</v>
      </c>
    </row>
    <row r="113">
      <c r="A113" t="s">
        <v>985</v>
      </c>
      <c r="B113" s="187" t="s">
        <v>193</v>
      </c>
      <c r="C113" s="187">
        <v>5.355</v>
      </c>
      <c r="D113" s="26" t="s">
        <v>677</v>
      </c>
      <c r="E113" s="26" t="s">
        <v>193</v>
      </c>
      <c r="H113" t="s">
        <v>936</v>
      </c>
      <c r="I113" t="str">
        <f>offset(Translation!$A$5,0,match($H113,Translation!$A$6:$FF$6,0)-1)</f>
        <v>UConn</v>
      </c>
      <c r="J113">
        <f t="shared" si="1"/>
        <v>4.8</v>
      </c>
      <c r="K113" t="str">
        <f>iferror(offset(DraftTracker!D$1,match(offset(Translation!$A$5,0,match($H113,Translation!$A$6:$EA$6,0)-1),DraftTracker!F:F,0)-1,0),"undrafted")</f>
        <v>Nick G.</v>
      </c>
    </row>
    <row r="114">
      <c r="A114" t="s">
        <v>695</v>
      </c>
      <c r="B114" s="187" t="s">
        <v>190</v>
      </c>
      <c r="C114" s="187">
        <v>6.5409999999999995</v>
      </c>
      <c r="D114" s="26" t="s">
        <v>971</v>
      </c>
      <c r="E114" s="26" t="s">
        <v>190</v>
      </c>
      <c r="H114" t="s">
        <v>984</v>
      </c>
      <c r="I114" t="str">
        <f>offset(Translation!$A$5,0,match($H114,Translation!$A$6:$FF$6,0)-1)</f>
        <v>UL Monroe</v>
      </c>
      <c r="J114" t="str">
        <f t="shared" si="1"/>
        <v>Sun Belt</v>
      </c>
      <c r="K114" t="str">
        <f>iferror(offset(DraftTracker!D$1,match(offset(Translation!$A$5,0,match($H114,Translation!$A$6:$EA$6,0)-1),DraftTracker!F:F,0)-1,0),"undrafted")</f>
        <v>Dan</v>
      </c>
    </row>
    <row r="115">
      <c r="A115" t="s">
        <v>936</v>
      </c>
      <c r="B115" s="187" t="s">
        <v>665</v>
      </c>
      <c r="C115" s="187">
        <v>4.8</v>
      </c>
      <c r="D115" s="26" t="s">
        <v>986</v>
      </c>
      <c r="E115" s="26" t="s">
        <v>193</v>
      </c>
      <c r="H115" t="s">
        <v>990</v>
      </c>
      <c r="I115" t="str">
        <f>offset(Translation!$A$5,0,match($H115,Translation!$A$6:$FF$6,0)-1)</f>
        <v>UMASS</v>
      </c>
      <c r="J115" t="str">
        <f t="shared" si="1"/>
        <v>FBS Indep.</v>
      </c>
      <c r="K115" t="str">
        <f>iferror(offset(DraftTracker!D$1,match(offset(Translation!$A$5,0,match($H115,Translation!$A$6:$EA$6,0)-1),DraftTracker!F:F,0)-1,0),"undrafted")</f>
        <v>Vu</v>
      </c>
    </row>
    <row r="116">
      <c r="A116" t="s">
        <v>734</v>
      </c>
      <c r="B116" s="187" t="s">
        <v>724</v>
      </c>
      <c r="C116" s="187">
        <v>5.0889999999999995</v>
      </c>
      <c r="D116" s="26" t="s">
        <v>954</v>
      </c>
      <c r="E116" s="26" t="s">
        <v>1028</v>
      </c>
      <c r="H116" t="s">
        <v>977</v>
      </c>
      <c r="I116" t="str">
        <f>offset(Translation!$A$5,0,match($H116,Translation!$A$6:$FF$6,0)-1)</f>
        <v>UNLV</v>
      </c>
      <c r="J116">
        <f t="shared" si="1"/>
        <v>8.646</v>
      </c>
      <c r="K116" t="str">
        <f>iferror(offset(DraftTracker!D$1,match(offset(Translation!$A$5,0,match($H116,Translation!$A$6:$EA$6,0)-1),DraftTracker!F:F,0)-1,0),"undrafted")</f>
        <v>Nick G.</v>
      </c>
    </row>
    <row r="117">
      <c r="A117" t="s">
        <v>973</v>
      </c>
      <c r="B117" s="187" t="s">
        <v>1019</v>
      </c>
      <c r="C117" s="187">
        <v>4.772</v>
      </c>
      <c r="D117" s="26" t="s">
        <v>686</v>
      </c>
      <c r="E117" s="26" t="s">
        <v>190</v>
      </c>
      <c r="H117" t="s">
        <v>689</v>
      </c>
      <c r="I117" t="str">
        <f>offset(Translation!$A$5,0,match($H117,Translation!$A$6:$FF$6,0)-1)</f>
        <v>USC</v>
      </c>
      <c r="J117">
        <f t="shared" si="1"/>
        <v>8.149</v>
      </c>
      <c r="K117" t="str">
        <f>iferror(offset(DraftTracker!D$1,match(offset(Translation!$A$5,0,match($H117,Translation!$A$6:$EA$6,0)-1),DraftTracker!F:F,0)-1,0),"undrafted")</f>
        <v>Justin</v>
      </c>
    </row>
    <row r="118">
      <c r="A118" t="s">
        <v>709</v>
      </c>
      <c r="B118" s="187" t="s">
        <v>193</v>
      </c>
      <c r="C118" s="187">
        <v>5.176</v>
      </c>
      <c r="D118" s="26" t="s">
        <v>959</v>
      </c>
      <c r="E118" s="26" t="s">
        <v>1028</v>
      </c>
      <c r="H118" t="s">
        <v>978</v>
      </c>
      <c r="I118" t="str">
        <f>offset(Translation!$A$5,0,match($H118,Translation!$A$6:$FF$6,0)-1)</f>
        <v>Utah State</v>
      </c>
      <c r="J118">
        <f t="shared" si="1"/>
        <v>4.653</v>
      </c>
      <c r="K118" t="str">
        <f>iferror(offset(DraftTracker!D$1,match(offset(Translation!$A$5,0,match($H118,Translation!$A$6:$EA$6,0)-1),DraftTracker!F:F,0)-1,0),"undrafted")</f>
        <v>Masa</v>
      </c>
    </row>
    <row r="119">
      <c r="A119" t="s">
        <v>714</v>
      </c>
      <c r="B119" s="187" t="s">
        <v>93</v>
      </c>
      <c r="C119" s="187">
        <v>3.587</v>
      </c>
      <c r="D119" s="26" t="s">
        <v>984</v>
      </c>
      <c r="E119" s="26" t="s">
        <v>193</v>
      </c>
      <c r="H119" t="s">
        <v>676</v>
      </c>
      <c r="I119" t="str">
        <f>offset(Translation!$A$5,0,match($H119,Translation!$A$6:$FF$6,0)-1)</f>
        <v>Utah</v>
      </c>
      <c r="J119">
        <f t="shared" si="1"/>
        <v>7.641</v>
      </c>
      <c r="K119" t="str">
        <f>iferror(offset(DraftTracker!D$1,match(offset(Translation!$A$5,0,match($H119,Translation!$A$6:$EA$6,0)-1),DraftTracker!F:F,0)-1,0),"undrafted")</f>
        <v>Nico</v>
      </c>
    </row>
    <row r="120">
      <c r="A120" t="s">
        <v>868</v>
      </c>
      <c r="B120" s="187" t="s">
        <v>189</v>
      </c>
      <c r="C120" s="187">
        <v>5.948</v>
      </c>
      <c r="D120" s="26" t="s">
        <v>968</v>
      </c>
      <c r="E120" s="26" t="s">
        <v>190</v>
      </c>
      <c r="H120" t="s">
        <v>961</v>
      </c>
      <c r="I120" t="str">
        <f>offset(Translation!$A$5,0,match($H120,Translation!$A$6:$FF$6,0)-1)</f>
        <v>UTEP</v>
      </c>
      <c r="J120" t="str">
        <f t="shared" si="1"/>
        <v>C-USA</v>
      </c>
      <c r="K120" t="str">
        <f>iferror(offset(DraftTracker!D$1,match(offset(Translation!$A$5,0,match($H120,Translation!$A$6:$EA$6,0)-1),DraftTracker!F:F,0)-1,0),"undrafted")</f>
        <v>Nico</v>
      </c>
    </row>
    <row r="121">
      <c r="A121" t="s">
        <v>701</v>
      </c>
      <c r="B121" s="187" t="s">
        <v>190</v>
      </c>
      <c r="C121" s="187">
        <v>5.555</v>
      </c>
      <c r="D121" s="26" t="s">
        <v>936</v>
      </c>
      <c r="E121" s="26" t="s">
        <v>665</v>
      </c>
      <c r="H121" t="s">
        <v>962</v>
      </c>
      <c r="I121" t="str">
        <f>offset(Translation!$A$5,0,match($H121,Translation!$A$6:$FF$6,0)-1)</f>
        <v>UTSA</v>
      </c>
      <c r="J121">
        <f t="shared" si="1"/>
        <v>6.341</v>
      </c>
      <c r="K121" t="str">
        <f>iferror(offset(DraftTracker!D$1,match(offset(Translation!$A$5,0,match($H121,Translation!$A$6:$EA$6,0)-1),DraftTracker!F:F,0)-1,0),"undrafted")</f>
        <v>Masa</v>
      </c>
    </row>
    <row r="122">
      <c r="A122" t="s">
        <v>979</v>
      </c>
      <c r="B122" s="187" t="s">
        <v>1019</v>
      </c>
      <c r="C122" s="187">
        <v>5.377000000000001</v>
      </c>
      <c r="D122" s="26" t="s">
        <v>694</v>
      </c>
      <c r="E122" s="26" t="s">
        <v>190</v>
      </c>
      <c r="H122" t="s">
        <v>730</v>
      </c>
      <c r="I122" t="str">
        <f>offset(Translation!$A$5,0,match($H122,Translation!$A$6:$FF$6,0)-1)</f>
        <v>Vanderbilt</v>
      </c>
      <c r="J122">
        <f t="shared" si="1"/>
        <v>6.193</v>
      </c>
      <c r="K122" t="str">
        <f>iferror(offset(DraftTracker!D$1,match(offset(Translation!$A$5,0,match($H122,Translation!$A$6:$EA$6,0)-1),DraftTracker!F:F,0)-1,0),"undrafted")</f>
        <v>Masa</v>
      </c>
    </row>
    <row r="123">
      <c r="A123" t="s">
        <v>959</v>
      </c>
      <c r="B123" s="187" t="s">
        <v>724</v>
      </c>
      <c r="C123" s="187">
        <v>3.995</v>
      </c>
      <c r="D123" s="26" t="s">
        <v>973</v>
      </c>
      <c r="E123" s="26" t="s">
        <v>1019</v>
      </c>
      <c r="H123" t="s">
        <v>888</v>
      </c>
      <c r="I123" t="str">
        <f>offset(Translation!$A$5,0,match($H123,Translation!$A$6:$FF$6,0)-1)</f>
        <v>Virginia</v>
      </c>
      <c r="J123">
        <f t="shared" si="1"/>
        <v>7.662</v>
      </c>
      <c r="K123" t="str">
        <f>iferror(offset(DraftTracker!D$1,match(offset(Translation!$A$5,0,match($H123,Translation!$A$6:$EA$6,0)-1),DraftTracker!F:F,0)-1,0),"undrafted")</f>
        <v>Jeannine</v>
      </c>
    </row>
    <row r="124">
      <c r="A124" t="s">
        <v>694</v>
      </c>
      <c r="B124" s="187" t="s">
        <v>190</v>
      </c>
      <c r="C124" s="187">
        <v>4.67</v>
      </c>
      <c r="D124" s="26" t="s">
        <v>714</v>
      </c>
      <c r="E124" s="26" t="s">
        <v>1019</v>
      </c>
      <c r="H124" t="s">
        <v>921</v>
      </c>
      <c r="I124" t="str">
        <f>offset(Translation!$A$5,0,match($H124,Translation!$A$6:$FF$6,0)-1)</f>
        <v>Virginia Tech</v>
      </c>
      <c r="J124">
        <f t="shared" si="1"/>
        <v>6.972</v>
      </c>
      <c r="K124" t="str">
        <f>iferror(offset(DraftTracker!D$1,match(offset(Translation!$A$5,0,match($H124,Translation!$A$6:$EA$6,0)-1),DraftTracker!F:F,0)-1,0),"undrafted")</f>
        <v>Vu</v>
      </c>
    </row>
    <row r="125">
      <c r="A125" t="s">
        <v>976</v>
      </c>
      <c r="B125" s="187" t="s">
        <v>1019</v>
      </c>
      <c r="C125" s="187">
        <v>4.979</v>
      </c>
      <c r="D125" s="26" t="s">
        <v>711</v>
      </c>
      <c r="E125" s="26" t="s">
        <v>93</v>
      </c>
      <c r="H125" t="s">
        <v>946</v>
      </c>
      <c r="I125" t="str">
        <f>offset(Translation!$A$5,0,match($H125,Translation!$A$6:$FF$6,0)-1)</f>
        <v>Wake Forest</v>
      </c>
      <c r="J125">
        <f t="shared" si="1"/>
        <v>6.29</v>
      </c>
      <c r="K125" t="str">
        <f>iferror(offset(DraftTracker!D$1,match(offset(Translation!$A$5,0,match($H125,Translation!$A$6:$EA$6,0)-1),DraftTracker!F:F,0)-1,0),"undrafted")</f>
        <v>DavEmily</v>
      </c>
    </row>
    <row r="126">
      <c r="A126" t="s">
        <v>968</v>
      </c>
      <c r="B126" s="187" t="s">
        <v>1019</v>
      </c>
      <c r="C126" s="187">
        <v>4.284</v>
      </c>
      <c r="D126" s="26" t="s">
        <v>989</v>
      </c>
      <c r="E126" s="26" t="s">
        <v>665</v>
      </c>
      <c r="H126" t="s">
        <v>706</v>
      </c>
      <c r="I126" t="str">
        <f>offset(Translation!$A$5,0,match($H126,Translation!$A$6:$FF$6,0)-1)</f>
        <v>Washington</v>
      </c>
      <c r="J126">
        <f t="shared" si="1"/>
        <v>6.99</v>
      </c>
      <c r="K126" t="str">
        <f>iferror(offset(DraftTracker!D$1,match(offset(Translation!$A$5,0,match($H126,Translation!$A$6:$EA$6,0)-1),DraftTracker!F:F,0)-1,0),"undrafted")</f>
        <v>Vu</v>
      </c>
    </row>
    <row r="127">
      <c r="A127" t="s">
        <v>703</v>
      </c>
      <c r="B127" s="187" t="s">
        <v>724</v>
      </c>
      <c r="C127" s="187">
        <v>3.896</v>
      </c>
      <c r="D127" s="26" t="s">
        <v>703</v>
      </c>
      <c r="E127" s="26" t="s">
        <v>1028</v>
      </c>
      <c r="H127" t="s">
        <v>981</v>
      </c>
      <c r="I127" t="str">
        <f>offset(Translation!$A$5,0,match($H127,Translation!$A$6:$FF$6,0)-1)</f>
        <v>Washington State</v>
      </c>
      <c r="J127">
        <f t="shared" si="1"/>
        <v>5.017</v>
      </c>
      <c r="K127" t="str">
        <f>iferror(offset(DraftTracker!D$1,match(offset(Translation!$A$5,0,match($H127,Translation!$A$6:$EA$6,0)-1),DraftTracker!F:F,0)-1,0),"undrafted")</f>
        <v>Dan</v>
      </c>
    </row>
    <row r="128">
      <c r="A128" t="s">
        <v>964</v>
      </c>
      <c r="B128" s="187" t="s">
        <v>193</v>
      </c>
      <c r="C128" s="187">
        <v>4.5889999999999995</v>
      </c>
      <c r="D128" s="26" t="s">
        <v>663</v>
      </c>
      <c r="E128" s="26" t="s">
        <v>190</v>
      </c>
      <c r="H128" t="s">
        <v>950</v>
      </c>
      <c r="I128" t="str">
        <f>offset(Translation!$A$5,0,match($H128,Translation!$A$6:$FF$6,0)-1)</f>
        <v>West Virginia</v>
      </c>
      <c r="J128">
        <f t="shared" si="1"/>
        <v>5.393</v>
      </c>
      <c r="K128" t="str">
        <f>iferror(offset(DraftTracker!D$1,match(offset(Translation!$A$5,0,match($H128,Translation!$A$6:$EA$6,0)-1),DraftTracker!F:F,0)-1,0),"undrafted")</f>
        <v>Gary</v>
      </c>
    </row>
    <row r="129">
      <c r="A129" t="s">
        <v>965</v>
      </c>
      <c r="B129" s="187" t="s">
        <v>724</v>
      </c>
      <c r="C129" s="187">
        <v>3.997</v>
      </c>
      <c r="D129" s="26" t="s">
        <v>974</v>
      </c>
      <c r="E129" s="26" t="s">
        <v>1019</v>
      </c>
      <c r="H129" t="s">
        <v>963</v>
      </c>
      <c r="I129" t="str">
        <f>offset(Translation!$A$5,0,match($H129,Translation!$A$6:$FF$6,0)-1)</f>
        <v>Western Kentucky</v>
      </c>
      <c r="J129">
        <f t="shared" si="1"/>
        <v>6.852</v>
      </c>
      <c r="K129" t="str">
        <f>iferror(offset(DraftTracker!D$1,match(offset(Translation!$A$5,0,match($H129,Translation!$A$6:$EA$6,0)-1),DraftTracker!F:F,0)-1,0),"undrafted")</f>
        <v>DavEmily</v>
      </c>
    </row>
    <row r="130">
      <c r="A130" t="s">
        <v>989</v>
      </c>
      <c r="B130" s="187" t="s">
        <v>189</v>
      </c>
      <c r="C130" s="187">
        <v>4.372000000000001</v>
      </c>
      <c r="D130" s="26" t="s">
        <v>972</v>
      </c>
      <c r="E130" s="26" t="s">
        <v>1019</v>
      </c>
      <c r="H130" t="s">
        <v>971</v>
      </c>
      <c r="I130" t="str">
        <f>offset(Translation!$A$5,0,match($H130,Translation!$A$6:$FF$6,0)-1)</f>
        <v>Western Michigan</v>
      </c>
      <c r="J130">
        <f t="shared" si="1"/>
        <v>7.484</v>
      </c>
      <c r="K130" t="str">
        <f>iferror(offset(DraftTracker!D$1,match(offset(Translation!$A$5,0,match($H130,Translation!$A$6:$EA$6,0)-1),DraftTracker!F:F,0)-1,0),"undrafted")</f>
        <v>Nico</v>
      </c>
    </row>
    <row r="131">
      <c r="A131" t="s">
        <v>956</v>
      </c>
      <c r="B131" s="187" t="s">
        <v>189</v>
      </c>
      <c r="C131" s="187">
        <v>4.6770000000000005</v>
      </c>
      <c r="D131" s="26" t="s">
        <v>990</v>
      </c>
      <c r="E131" s="26" t="s">
        <v>665</v>
      </c>
      <c r="H131" t="s">
        <v>717</v>
      </c>
      <c r="I131" t="str">
        <f>offset(Translation!$A$5,0,match($H131,Translation!$A$6:$FF$6,0)-1)</f>
        <v>Wisconsin</v>
      </c>
      <c r="J131">
        <f t="shared" si="1"/>
        <v>6.494</v>
      </c>
      <c r="K131" t="str">
        <f>iferror(offset(DraftTracker!D$1,match(offset(Translation!$A$5,0,match($H131,Translation!$A$6:$EA$6,0)-1),DraftTracker!F:F,0)-1,0),"undrafted")</f>
        <v>Dan</v>
      </c>
    </row>
    <row r="132">
      <c r="A132" t="s">
        <v>726</v>
      </c>
      <c r="B132" t="s">
        <v>190</v>
      </c>
      <c r="C132" s="187">
        <v>4.784</v>
      </c>
      <c r="D132" s="26" t="s">
        <v>868</v>
      </c>
      <c r="E132" s="26" t="s">
        <v>1028</v>
      </c>
      <c r="H132" t="s">
        <v>979</v>
      </c>
      <c r="I132" t="str">
        <f>offset(Translation!$A$5,0,match($H132,Translation!$A$6:$FF$6,0)-1)</f>
        <v>Wyoming</v>
      </c>
      <c r="J132">
        <f t="shared" si="1"/>
        <v>5.377</v>
      </c>
      <c r="K132" t="str">
        <f>iferror(offset(DraftTracker!D$1,match(offset(Translation!$A$5,0,match($H132,Translation!$A$6:$EA$6,0)-1),DraftTracker!F:F,0)-1,0),"undrafted")</f>
        <v>Nico</v>
      </c>
    </row>
    <row r="133">
      <c r="D133" s="26"/>
      <c r="E133" s="26"/>
    </row>
    <row r="134">
      <c r="D134" s="26"/>
      <c r="E134" s="26"/>
    </row>
    <row r="135">
      <c r="D135" s="26"/>
      <c r="E135" s="26"/>
    </row>
    <row r="136">
      <c r="D136" s="26"/>
      <c r="E136" s="26"/>
    </row>
    <row r="137">
      <c r="D137" s="26"/>
      <c r="E137" s="26"/>
    </row>
    <row r="138">
      <c r="D138" s="26"/>
      <c r="E138" s="26"/>
    </row>
    <row r="139">
      <c r="D139" s="26"/>
      <c r="E139" s="26"/>
    </row>
    <row r="140">
      <c r="D140" s="26"/>
      <c r="E140" s="26"/>
    </row>
    <row r="141">
      <c r="D141" s="26"/>
      <c r="E141" s="26"/>
    </row>
    <row r="142">
      <c r="D142" s="26"/>
      <c r="E142" s="26"/>
    </row>
    <row r="143">
      <c r="D143" s="26"/>
      <c r="E143" s="26"/>
    </row>
    <row r="144">
      <c r="D144" s="26"/>
      <c r="E144" s="26"/>
    </row>
    <row r="145">
      <c r="D145" s="26"/>
      <c r="E145" s="26"/>
    </row>
    <row r="146">
      <c r="D146" s="26"/>
      <c r="E146" s="26"/>
    </row>
    <row r="147">
      <c r="D147" s="26"/>
      <c r="E147" s="26"/>
    </row>
    <row r="148">
      <c r="D148" s="26"/>
      <c r="E148" s="26"/>
    </row>
    <row r="149">
      <c r="D149" s="26"/>
      <c r="E149" s="26"/>
    </row>
    <row r="150">
      <c r="D150" s="26"/>
      <c r="E150" s="26"/>
    </row>
    <row r="151">
      <c r="D151" s="26"/>
      <c r="E151" s="26"/>
    </row>
    <row r="152">
      <c r="D152" s="26"/>
      <c r="E152" s="26"/>
    </row>
    <row r="153">
      <c r="D153" s="26"/>
      <c r="E153" s="26"/>
    </row>
    <row r="154">
      <c r="D154" s="26"/>
      <c r="E154" s="26"/>
    </row>
    <row r="155">
      <c r="D155" s="26"/>
      <c r="E155" s="26"/>
    </row>
    <row r="156">
      <c r="D156" s="26"/>
      <c r="E156" s="26"/>
    </row>
    <row r="157">
      <c r="D157" s="26"/>
      <c r="E157" s="26"/>
    </row>
    <row r="158">
      <c r="D158" s="26"/>
      <c r="E158" s="26"/>
    </row>
    <row r="159">
      <c r="D159" s="26"/>
      <c r="E159" s="26"/>
    </row>
    <row r="160">
      <c r="D160" s="26"/>
      <c r="E160" s="26"/>
    </row>
    <row r="161">
      <c r="D161" s="26"/>
      <c r="E161" s="26"/>
    </row>
    <row r="162">
      <c r="D162" s="26"/>
      <c r="E162" s="26"/>
    </row>
    <row r="163">
      <c r="D163" s="26"/>
      <c r="E163" s="26"/>
    </row>
    <row r="164">
      <c r="D164" s="26"/>
      <c r="E164" s="26"/>
    </row>
    <row r="165">
      <c r="D165" s="26"/>
      <c r="E165" s="26"/>
    </row>
    <row r="166">
      <c r="D166" s="26"/>
      <c r="E166" s="26"/>
    </row>
    <row r="167">
      <c r="D167" s="26"/>
      <c r="E167" s="26"/>
    </row>
    <row r="168">
      <c r="D168" s="26"/>
      <c r="E168" s="26"/>
    </row>
    <row r="169">
      <c r="D169" s="26"/>
      <c r="E169" s="26"/>
    </row>
    <row r="170">
      <c r="D170" s="26"/>
      <c r="E170" s="26"/>
    </row>
    <row r="171">
      <c r="D171" s="26"/>
      <c r="E171" s="26"/>
    </row>
    <row r="172">
      <c r="D172" s="26"/>
      <c r="E172" s="26"/>
    </row>
    <row r="173">
      <c r="D173" s="26"/>
      <c r="E173" s="26"/>
    </row>
    <row r="174">
      <c r="D174" s="26"/>
      <c r="E174" s="26"/>
    </row>
    <row r="175">
      <c r="D175" s="26"/>
      <c r="E175" s="26"/>
    </row>
    <row r="176">
      <c r="D176" s="26"/>
      <c r="E176" s="26"/>
    </row>
    <row r="177">
      <c r="D177" s="26"/>
      <c r="E177" s="26"/>
    </row>
    <row r="178">
      <c r="D178" s="26"/>
      <c r="E178" s="26"/>
    </row>
    <row r="179">
      <c r="D179" s="26"/>
      <c r="E179" s="26"/>
    </row>
    <row r="180">
      <c r="D180" s="26"/>
      <c r="E180" s="26"/>
    </row>
    <row r="181">
      <c r="D181" s="26"/>
      <c r="E181" s="26"/>
    </row>
    <row r="182">
      <c r="D182" s="26"/>
      <c r="E182" s="26"/>
    </row>
    <row r="183">
      <c r="D183" s="26"/>
      <c r="E183" s="26"/>
    </row>
    <row r="184">
      <c r="D184" s="26"/>
      <c r="E184" s="26"/>
    </row>
    <row r="185">
      <c r="D185" s="26"/>
      <c r="E185" s="26"/>
    </row>
    <row r="186">
      <c r="D186" s="26"/>
      <c r="E186" s="26"/>
    </row>
    <row r="187">
      <c r="D187" s="26"/>
      <c r="E187" s="26"/>
    </row>
    <row r="188">
      <c r="D188" s="26"/>
      <c r="E188" s="26"/>
    </row>
    <row r="189">
      <c r="D189" s="26"/>
      <c r="E189" s="26"/>
    </row>
    <row r="190">
      <c r="D190" s="26"/>
      <c r="E190" s="26"/>
    </row>
    <row r="191">
      <c r="D191" s="26"/>
      <c r="E191" s="26"/>
    </row>
    <row r="192">
      <c r="D192" s="26"/>
      <c r="E192" s="26"/>
    </row>
    <row r="193">
      <c r="D193" s="26"/>
      <c r="E193" s="26"/>
    </row>
    <row r="194">
      <c r="D194" s="26"/>
      <c r="E194" s="26"/>
    </row>
    <row r="195">
      <c r="D195" s="26"/>
      <c r="E195" s="26"/>
    </row>
    <row r="196">
      <c r="D196" s="26"/>
      <c r="E196" s="26"/>
    </row>
    <row r="197">
      <c r="D197" s="26"/>
      <c r="E197" s="26"/>
    </row>
    <row r="198">
      <c r="D198" s="26"/>
      <c r="E198" s="26"/>
    </row>
    <row r="199">
      <c r="D199" s="26"/>
      <c r="E199" s="26"/>
    </row>
    <row r="200">
      <c r="D200" s="26"/>
      <c r="E200" s="26"/>
    </row>
    <row r="201">
      <c r="D201" s="26"/>
      <c r="E201" s="26"/>
    </row>
    <row r="202">
      <c r="D202" s="26"/>
      <c r="E202" s="26"/>
    </row>
    <row r="203">
      <c r="D203" s="26"/>
      <c r="E203" s="26"/>
    </row>
    <row r="204">
      <c r="D204" s="26"/>
      <c r="E204" s="26"/>
    </row>
    <row r="205">
      <c r="D205" s="26"/>
      <c r="E205" s="26"/>
    </row>
    <row r="206">
      <c r="D206" s="26"/>
      <c r="E206" s="26"/>
    </row>
    <row r="207">
      <c r="D207" s="26"/>
      <c r="E207" s="26"/>
    </row>
    <row r="208">
      <c r="D208" s="26"/>
      <c r="E208" s="26"/>
    </row>
    <row r="209">
      <c r="D209" s="26"/>
      <c r="E209" s="26"/>
    </row>
    <row r="210">
      <c r="D210" s="26"/>
      <c r="E210" s="26"/>
    </row>
    <row r="211">
      <c r="D211" s="26"/>
      <c r="E211" s="26"/>
    </row>
    <row r="212">
      <c r="D212" s="26"/>
      <c r="E212" s="26"/>
    </row>
    <row r="213">
      <c r="D213" s="26"/>
      <c r="E213" s="26"/>
    </row>
    <row r="214">
      <c r="D214" s="26"/>
      <c r="E214" s="26"/>
    </row>
    <row r="215">
      <c r="D215" s="26"/>
      <c r="E215" s="26"/>
    </row>
    <row r="216">
      <c r="D216" s="26"/>
      <c r="E216" s="26"/>
    </row>
    <row r="217">
      <c r="D217" s="26"/>
      <c r="E217" s="26"/>
    </row>
    <row r="218">
      <c r="D218" s="26"/>
      <c r="E218" s="26"/>
    </row>
    <row r="219">
      <c r="D219" s="26"/>
      <c r="E219" s="26"/>
    </row>
    <row r="220">
      <c r="D220" s="26"/>
      <c r="E220" s="26"/>
    </row>
    <row r="221">
      <c r="D221" s="26"/>
      <c r="E221" s="26"/>
    </row>
    <row r="222">
      <c r="D222" s="26"/>
      <c r="E222" s="26"/>
    </row>
    <row r="223">
      <c r="D223" s="26"/>
      <c r="E223" s="26"/>
    </row>
    <row r="224">
      <c r="D224" s="26"/>
      <c r="E224" s="26"/>
    </row>
    <row r="225">
      <c r="D225" s="26"/>
      <c r="E225" s="26"/>
    </row>
    <row r="226">
      <c r="D226" s="26"/>
      <c r="E226" s="26"/>
    </row>
    <row r="227">
      <c r="D227" s="26"/>
      <c r="E227" s="26"/>
    </row>
    <row r="228">
      <c r="D228" s="26"/>
      <c r="E228" s="26"/>
    </row>
    <row r="229">
      <c r="D229" s="26"/>
      <c r="E229" s="26"/>
    </row>
    <row r="230">
      <c r="D230" s="26"/>
      <c r="E230" s="26"/>
    </row>
    <row r="231">
      <c r="D231" s="26"/>
      <c r="E231" s="26"/>
    </row>
    <row r="232">
      <c r="D232" s="26"/>
      <c r="E232" s="26"/>
    </row>
    <row r="233">
      <c r="D233" s="26"/>
      <c r="E233" s="26"/>
    </row>
    <row r="234">
      <c r="D234" s="26"/>
      <c r="E234" s="26"/>
    </row>
    <row r="235">
      <c r="D235" s="26"/>
      <c r="E235" s="26"/>
    </row>
    <row r="236">
      <c r="D236" s="26"/>
      <c r="E236" s="26"/>
    </row>
    <row r="237">
      <c r="D237" s="26"/>
      <c r="E237" s="26"/>
    </row>
    <row r="238">
      <c r="D238" s="26"/>
      <c r="E238" s="26"/>
    </row>
    <row r="239">
      <c r="D239" s="26"/>
      <c r="E239" s="26"/>
    </row>
    <row r="240">
      <c r="D240" s="26"/>
      <c r="E240" s="26"/>
    </row>
    <row r="241">
      <c r="D241" s="26"/>
      <c r="E241" s="26"/>
    </row>
    <row r="242">
      <c r="D242" s="26"/>
      <c r="E242" s="26"/>
    </row>
    <row r="243">
      <c r="D243" s="26"/>
      <c r="E243" s="26"/>
    </row>
    <row r="244">
      <c r="D244" s="26"/>
      <c r="E244" s="26"/>
    </row>
    <row r="245">
      <c r="D245" s="26"/>
      <c r="E245" s="26"/>
    </row>
    <row r="246">
      <c r="D246" s="26"/>
      <c r="E246" s="26"/>
    </row>
    <row r="247">
      <c r="D247" s="26"/>
      <c r="E247" s="26"/>
    </row>
    <row r="248">
      <c r="D248" s="26"/>
      <c r="E248" s="26"/>
    </row>
    <row r="249">
      <c r="D249" s="26"/>
      <c r="E249" s="26"/>
    </row>
    <row r="250">
      <c r="D250" s="26"/>
      <c r="E250" s="26"/>
    </row>
    <row r="251">
      <c r="D251" s="26"/>
      <c r="E251" s="26"/>
    </row>
    <row r="252">
      <c r="D252" s="26"/>
      <c r="E252" s="26"/>
    </row>
    <row r="253">
      <c r="D253" s="26"/>
      <c r="E253" s="26"/>
    </row>
    <row r="254">
      <c r="D254" s="26"/>
      <c r="E254" s="26"/>
    </row>
    <row r="255">
      <c r="D255" s="26"/>
      <c r="E255" s="26"/>
    </row>
    <row r="256">
      <c r="D256" s="26"/>
      <c r="E256" s="26"/>
    </row>
    <row r="257">
      <c r="D257" s="26"/>
      <c r="E257" s="26"/>
    </row>
    <row r="258">
      <c r="D258" s="26"/>
      <c r="E258" s="26"/>
    </row>
    <row r="259">
      <c r="D259" s="26"/>
      <c r="E259" s="26"/>
    </row>
    <row r="260">
      <c r="D260" s="26"/>
      <c r="E260" s="26"/>
    </row>
    <row r="261">
      <c r="D261" s="26"/>
      <c r="E261" s="26"/>
    </row>
    <row r="262">
      <c r="D262" s="26"/>
      <c r="E262" s="26"/>
    </row>
    <row r="263">
      <c r="D263" s="26"/>
      <c r="E263" s="26"/>
    </row>
    <row r="264">
      <c r="D264" s="26"/>
      <c r="E264" s="26"/>
    </row>
    <row r="265">
      <c r="D265" s="26"/>
      <c r="E265" s="26"/>
    </row>
    <row r="266">
      <c r="D266" s="26"/>
      <c r="E266" s="26"/>
    </row>
    <row r="267">
      <c r="D267" s="26"/>
      <c r="E267" s="26"/>
    </row>
    <row r="268">
      <c r="D268" s="26"/>
      <c r="E268" s="26"/>
    </row>
    <row r="269">
      <c r="D269" s="26"/>
      <c r="E269" s="26"/>
    </row>
    <row r="270">
      <c r="D270" s="26"/>
      <c r="E270" s="26"/>
    </row>
    <row r="271">
      <c r="D271" s="26"/>
      <c r="E271" s="26"/>
    </row>
    <row r="272">
      <c r="D272" s="26"/>
      <c r="E272" s="26"/>
    </row>
    <row r="273">
      <c r="D273" s="26"/>
      <c r="E273" s="26"/>
    </row>
    <row r="274">
      <c r="D274" s="26"/>
      <c r="E274" s="26"/>
    </row>
    <row r="275">
      <c r="D275" s="26"/>
      <c r="E275" s="26"/>
    </row>
    <row r="276">
      <c r="D276" s="26"/>
      <c r="E276" s="26"/>
    </row>
    <row r="277">
      <c r="D277" s="26"/>
      <c r="E277" s="26"/>
    </row>
    <row r="278">
      <c r="D278" s="26"/>
      <c r="E278" s="26"/>
    </row>
    <row r="279">
      <c r="D279" s="26"/>
      <c r="E279" s="26"/>
    </row>
    <row r="280">
      <c r="D280" s="26"/>
      <c r="E280" s="26"/>
    </row>
    <row r="281">
      <c r="D281" s="26"/>
      <c r="E281" s="26"/>
    </row>
    <row r="282">
      <c r="D282" s="26"/>
      <c r="E282" s="26"/>
    </row>
    <row r="283">
      <c r="D283" s="26"/>
      <c r="E283" s="26"/>
    </row>
    <row r="284">
      <c r="D284" s="26"/>
      <c r="E284" s="26"/>
    </row>
    <row r="285">
      <c r="D285" s="26"/>
      <c r="E285" s="26"/>
    </row>
    <row r="286">
      <c r="D286" s="26"/>
      <c r="E286" s="26"/>
    </row>
    <row r="287">
      <c r="D287" s="26"/>
      <c r="E287" s="26"/>
    </row>
    <row r="288">
      <c r="D288" s="26"/>
      <c r="E288" s="26"/>
    </row>
    <row r="289">
      <c r="D289" s="26"/>
      <c r="E289" s="26"/>
    </row>
    <row r="290">
      <c r="D290" s="26"/>
      <c r="E290" s="26"/>
    </row>
    <row r="291">
      <c r="D291" s="26"/>
      <c r="E291" s="26"/>
    </row>
    <row r="292">
      <c r="D292" s="26"/>
      <c r="E292" s="26"/>
    </row>
    <row r="293">
      <c r="D293" s="26"/>
      <c r="E293" s="26"/>
    </row>
    <row r="294">
      <c r="D294" s="26"/>
      <c r="E294" s="26"/>
    </row>
    <row r="295">
      <c r="D295" s="26"/>
      <c r="E295" s="26"/>
    </row>
    <row r="296">
      <c r="D296" s="26"/>
      <c r="E296" s="26"/>
    </row>
    <row r="297">
      <c r="D297" s="26"/>
      <c r="E297" s="26"/>
    </row>
    <row r="298">
      <c r="D298" s="26"/>
      <c r="E298" s="26"/>
    </row>
    <row r="299">
      <c r="D299" s="26"/>
      <c r="E299" s="26"/>
    </row>
    <row r="300">
      <c r="D300" s="26"/>
      <c r="E300" s="26"/>
    </row>
    <row r="301">
      <c r="D301" s="26"/>
      <c r="E301" s="26"/>
    </row>
    <row r="302">
      <c r="D302" s="26"/>
      <c r="E302" s="26"/>
    </row>
    <row r="303">
      <c r="D303" s="26"/>
      <c r="E303" s="26"/>
    </row>
    <row r="304">
      <c r="D304" s="26"/>
      <c r="E304" s="26"/>
    </row>
    <row r="305">
      <c r="D305" s="26"/>
      <c r="E305" s="26"/>
    </row>
    <row r="306">
      <c r="D306" s="26"/>
      <c r="E306" s="26"/>
    </row>
    <row r="307">
      <c r="D307" s="26"/>
      <c r="E307" s="26"/>
    </row>
    <row r="308">
      <c r="D308" s="26"/>
      <c r="E308" s="26"/>
    </row>
    <row r="309">
      <c r="D309" s="26"/>
      <c r="E309" s="26"/>
    </row>
    <row r="310">
      <c r="D310" s="26"/>
      <c r="E310" s="26"/>
    </row>
    <row r="311">
      <c r="D311" s="26"/>
      <c r="E311" s="26"/>
    </row>
    <row r="312">
      <c r="D312" s="26"/>
      <c r="E312" s="26"/>
    </row>
    <row r="313">
      <c r="D313" s="26"/>
      <c r="E313" s="26"/>
    </row>
    <row r="314">
      <c r="D314" s="26"/>
      <c r="E314" s="26"/>
    </row>
    <row r="315">
      <c r="D315" s="26"/>
      <c r="E315" s="26"/>
    </row>
    <row r="316">
      <c r="D316" s="26"/>
      <c r="E316" s="26"/>
    </row>
    <row r="317">
      <c r="D317" s="26"/>
      <c r="E317" s="26"/>
    </row>
    <row r="318">
      <c r="D318" s="26"/>
      <c r="E318" s="26"/>
    </row>
    <row r="319">
      <c r="D319" s="26"/>
      <c r="E319" s="26"/>
    </row>
    <row r="320">
      <c r="D320" s="26"/>
      <c r="E320" s="26"/>
    </row>
    <row r="321">
      <c r="D321" s="26"/>
      <c r="E321" s="26"/>
    </row>
    <row r="322">
      <c r="D322" s="26"/>
      <c r="E322" s="26"/>
    </row>
    <row r="323">
      <c r="D323" s="26"/>
      <c r="E323" s="26"/>
    </row>
    <row r="324">
      <c r="D324" s="26"/>
      <c r="E324" s="26"/>
    </row>
    <row r="325">
      <c r="D325" s="26"/>
      <c r="E325" s="26"/>
    </row>
    <row r="326">
      <c r="D326" s="26"/>
      <c r="E326" s="26"/>
    </row>
    <row r="327">
      <c r="D327" s="26"/>
      <c r="E327" s="26"/>
    </row>
    <row r="328">
      <c r="D328" s="26"/>
      <c r="E328" s="26"/>
    </row>
    <row r="329">
      <c r="D329" s="26"/>
      <c r="E329" s="26"/>
    </row>
    <row r="330">
      <c r="D330" s="26"/>
      <c r="E330" s="26"/>
    </row>
    <row r="331">
      <c r="D331" s="26"/>
      <c r="E331" s="26"/>
    </row>
    <row r="332">
      <c r="D332" s="26"/>
      <c r="E332" s="26"/>
    </row>
    <row r="333">
      <c r="D333" s="26"/>
      <c r="E333" s="26"/>
    </row>
    <row r="334">
      <c r="D334" s="26"/>
      <c r="E334" s="26"/>
    </row>
    <row r="335">
      <c r="D335" s="26"/>
      <c r="E335" s="26"/>
    </row>
    <row r="336">
      <c r="D336" s="26"/>
      <c r="E336" s="26"/>
    </row>
    <row r="337">
      <c r="D337" s="26"/>
      <c r="E337" s="26"/>
    </row>
    <row r="338">
      <c r="D338" s="26"/>
      <c r="E338" s="26"/>
    </row>
    <row r="339">
      <c r="D339" s="26"/>
      <c r="E339" s="26"/>
    </row>
    <row r="340">
      <c r="D340" s="26"/>
      <c r="E340" s="26"/>
    </row>
    <row r="341">
      <c r="D341" s="26"/>
      <c r="E341" s="26"/>
    </row>
    <row r="342">
      <c r="D342" s="26"/>
      <c r="E342" s="26"/>
    </row>
    <row r="343">
      <c r="D343" s="26"/>
      <c r="E343" s="26"/>
    </row>
    <row r="344">
      <c r="D344" s="26"/>
      <c r="E344" s="26"/>
    </row>
    <row r="345">
      <c r="D345" s="26"/>
      <c r="E345" s="26"/>
    </row>
    <row r="346">
      <c r="D346" s="26"/>
      <c r="E346" s="26"/>
    </row>
    <row r="347">
      <c r="D347" s="26"/>
      <c r="E347" s="26"/>
    </row>
    <row r="348">
      <c r="D348" s="26"/>
      <c r="E348" s="26"/>
    </row>
    <row r="349">
      <c r="D349" s="26"/>
      <c r="E349" s="26"/>
    </row>
    <row r="350">
      <c r="D350" s="26"/>
      <c r="E350" s="26"/>
    </row>
    <row r="351">
      <c r="D351" s="26"/>
      <c r="E351" s="26"/>
    </row>
    <row r="352">
      <c r="D352" s="26"/>
      <c r="E352" s="26"/>
    </row>
    <row r="353">
      <c r="D353" s="26"/>
      <c r="E353" s="26"/>
    </row>
    <row r="354">
      <c r="D354" s="26"/>
      <c r="E354" s="26"/>
    </row>
    <row r="355">
      <c r="D355" s="26"/>
      <c r="E355" s="26"/>
    </row>
    <row r="356">
      <c r="D356" s="26"/>
      <c r="E356" s="26"/>
    </row>
    <row r="357">
      <c r="D357" s="26"/>
      <c r="E357" s="26"/>
    </row>
    <row r="358">
      <c r="D358" s="26"/>
      <c r="E358" s="26"/>
    </row>
    <row r="359">
      <c r="D359" s="26"/>
      <c r="E359" s="26"/>
    </row>
    <row r="360">
      <c r="D360" s="26"/>
      <c r="E360" s="26"/>
    </row>
    <row r="361">
      <c r="D361" s="26"/>
      <c r="E361" s="26"/>
    </row>
    <row r="362">
      <c r="D362" s="26"/>
      <c r="E362" s="26"/>
    </row>
    <row r="363">
      <c r="D363" s="26"/>
      <c r="E363" s="26"/>
    </row>
    <row r="364">
      <c r="D364" s="26"/>
      <c r="E364" s="26"/>
    </row>
    <row r="365">
      <c r="D365" s="26"/>
      <c r="E365" s="26"/>
    </row>
    <row r="366">
      <c r="D366" s="26"/>
      <c r="E366" s="26"/>
    </row>
    <row r="367">
      <c r="D367" s="26"/>
      <c r="E367" s="26"/>
    </row>
    <row r="368">
      <c r="D368" s="26"/>
      <c r="E368" s="26"/>
    </row>
    <row r="369">
      <c r="D369" s="26"/>
      <c r="E369" s="26"/>
    </row>
    <row r="370">
      <c r="D370" s="26"/>
      <c r="E370" s="26"/>
    </row>
    <row r="371">
      <c r="D371" s="26"/>
      <c r="E371" s="26"/>
    </row>
    <row r="372">
      <c r="D372" s="26"/>
      <c r="E372" s="26"/>
    </row>
    <row r="373">
      <c r="D373" s="26"/>
      <c r="E373" s="26"/>
    </row>
    <row r="374">
      <c r="D374" s="26"/>
      <c r="E374" s="26"/>
    </row>
    <row r="375">
      <c r="D375" s="26"/>
      <c r="E375" s="26"/>
    </row>
    <row r="376">
      <c r="D376" s="26"/>
      <c r="E376" s="26"/>
    </row>
    <row r="377">
      <c r="D377" s="26"/>
      <c r="E377" s="26"/>
    </row>
    <row r="378">
      <c r="D378" s="26"/>
      <c r="E378" s="26"/>
    </row>
    <row r="379">
      <c r="D379" s="26"/>
      <c r="E379" s="26"/>
    </row>
    <row r="380">
      <c r="D380" s="26"/>
      <c r="E380" s="26"/>
    </row>
    <row r="381">
      <c r="D381" s="26"/>
      <c r="E381" s="26"/>
    </row>
    <row r="382">
      <c r="D382" s="26"/>
      <c r="E382" s="26"/>
    </row>
    <row r="383">
      <c r="D383" s="26"/>
      <c r="E383" s="26"/>
    </row>
    <row r="384">
      <c r="D384" s="26"/>
      <c r="E384" s="26"/>
    </row>
    <row r="385">
      <c r="D385" s="26"/>
      <c r="E385" s="26"/>
    </row>
    <row r="386">
      <c r="D386" s="26"/>
      <c r="E386" s="26"/>
    </row>
    <row r="387">
      <c r="D387" s="26"/>
      <c r="E387" s="26"/>
    </row>
    <row r="388">
      <c r="D388" s="26"/>
      <c r="E388" s="26"/>
    </row>
    <row r="389">
      <c r="D389" s="26"/>
      <c r="E389" s="26"/>
    </row>
    <row r="390">
      <c r="D390" s="26"/>
      <c r="E390" s="26"/>
    </row>
    <row r="391">
      <c r="D391" s="26"/>
      <c r="E391" s="26"/>
    </row>
    <row r="392">
      <c r="D392" s="26"/>
      <c r="E392" s="26"/>
    </row>
    <row r="393">
      <c r="D393" s="26"/>
      <c r="E393" s="26"/>
    </row>
    <row r="394">
      <c r="D394" s="26"/>
      <c r="E394" s="26"/>
    </row>
    <row r="395">
      <c r="D395" s="26"/>
      <c r="E395" s="26"/>
    </row>
    <row r="396">
      <c r="D396" s="26"/>
      <c r="E396" s="26"/>
    </row>
    <row r="397">
      <c r="D397" s="26"/>
      <c r="E397" s="26"/>
    </row>
    <row r="398">
      <c r="D398" s="26"/>
      <c r="E398" s="26"/>
    </row>
    <row r="399">
      <c r="D399" s="26"/>
      <c r="E399" s="26"/>
    </row>
    <row r="400">
      <c r="D400" s="26"/>
      <c r="E400" s="26"/>
    </row>
    <row r="401">
      <c r="D401" s="26"/>
      <c r="E401" s="26"/>
    </row>
    <row r="402">
      <c r="D402" s="26"/>
      <c r="E402" s="26"/>
    </row>
    <row r="403">
      <c r="D403" s="26"/>
      <c r="E403" s="26"/>
    </row>
    <row r="404">
      <c r="D404" s="26"/>
      <c r="E404" s="26"/>
    </row>
    <row r="405">
      <c r="D405" s="26"/>
      <c r="E405" s="26"/>
    </row>
    <row r="406">
      <c r="D406" s="26"/>
      <c r="E406" s="26"/>
    </row>
    <row r="407">
      <c r="D407" s="26"/>
      <c r="E407" s="26"/>
    </row>
    <row r="408">
      <c r="D408" s="26"/>
      <c r="E408" s="26"/>
    </row>
    <row r="409">
      <c r="D409" s="26"/>
      <c r="E409" s="26"/>
    </row>
    <row r="410">
      <c r="D410" s="26"/>
      <c r="E410" s="26"/>
    </row>
    <row r="411">
      <c r="D411" s="26"/>
      <c r="E411" s="26"/>
    </row>
    <row r="412">
      <c r="D412" s="26"/>
      <c r="E412" s="26"/>
    </row>
    <row r="413">
      <c r="D413" s="26"/>
      <c r="E413" s="26"/>
    </row>
    <row r="414">
      <c r="D414" s="26"/>
      <c r="E414" s="26"/>
    </row>
    <row r="415">
      <c r="D415" s="26"/>
      <c r="E415" s="26"/>
    </row>
    <row r="416">
      <c r="D416" s="26"/>
      <c r="E416" s="26"/>
    </row>
    <row r="417">
      <c r="D417" s="26"/>
      <c r="E417" s="26"/>
    </row>
    <row r="418">
      <c r="D418" s="26"/>
      <c r="E418" s="26"/>
    </row>
    <row r="419">
      <c r="D419" s="26"/>
      <c r="E419" s="26"/>
    </row>
    <row r="420">
      <c r="D420" s="26"/>
      <c r="E420" s="26"/>
    </row>
    <row r="421">
      <c r="D421" s="26"/>
      <c r="E421" s="26"/>
    </row>
    <row r="422">
      <c r="D422" s="26"/>
      <c r="E422" s="26"/>
    </row>
    <row r="423">
      <c r="D423" s="26"/>
      <c r="E423" s="26"/>
    </row>
    <row r="424">
      <c r="D424" s="26"/>
      <c r="E424" s="26"/>
    </row>
    <row r="425">
      <c r="D425" s="26"/>
      <c r="E425" s="26"/>
    </row>
    <row r="426">
      <c r="D426" s="26"/>
      <c r="E426" s="26"/>
    </row>
    <row r="427">
      <c r="D427" s="26"/>
      <c r="E427" s="26"/>
    </row>
    <row r="428">
      <c r="D428" s="26"/>
      <c r="E428" s="26"/>
    </row>
    <row r="429">
      <c r="D429" s="26"/>
      <c r="E429" s="26"/>
    </row>
    <row r="430">
      <c r="D430" s="26"/>
      <c r="E430" s="26"/>
    </row>
    <row r="431">
      <c r="D431" s="26"/>
      <c r="E431" s="26"/>
    </row>
    <row r="432">
      <c r="D432" s="26"/>
      <c r="E432" s="26"/>
    </row>
    <row r="433">
      <c r="D433" s="26"/>
      <c r="E433" s="26"/>
    </row>
    <row r="434">
      <c r="D434" s="26"/>
      <c r="E434" s="26"/>
    </row>
    <row r="435">
      <c r="D435" s="26"/>
      <c r="E435" s="26"/>
    </row>
    <row r="436">
      <c r="D436" s="26"/>
      <c r="E436" s="26"/>
    </row>
    <row r="437">
      <c r="D437" s="26"/>
      <c r="E437" s="26"/>
    </row>
    <row r="438">
      <c r="D438" s="26"/>
      <c r="E438" s="26"/>
    </row>
    <row r="439">
      <c r="D439" s="26"/>
      <c r="E439" s="26"/>
    </row>
    <row r="440">
      <c r="D440" s="26"/>
      <c r="E440" s="26"/>
    </row>
    <row r="441">
      <c r="D441" s="26"/>
      <c r="E441" s="26"/>
    </row>
    <row r="442">
      <c r="D442" s="26"/>
      <c r="E442" s="26"/>
    </row>
    <row r="443">
      <c r="D443" s="26"/>
      <c r="E443" s="26"/>
    </row>
    <row r="444">
      <c r="D444" s="26"/>
      <c r="E444" s="26"/>
    </row>
    <row r="445">
      <c r="D445" s="26"/>
      <c r="E445" s="26"/>
    </row>
    <row r="446">
      <c r="D446" s="26"/>
      <c r="E446" s="26"/>
    </row>
    <row r="447">
      <c r="D447" s="26"/>
      <c r="E447" s="26"/>
    </row>
    <row r="448">
      <c r="D448" s="26"/>
      <c r="E448" s="26"/>
    </row>
    <row r="449">
      <c r="D449" s="26"/>
      <c r="E449" s="26"/>
    </row>
    <row r="450">
      <c r="D450" s="26"/>
      <c r="E450" s="26"/>
    </row>
    <row r="451">
      <c r="D451" s="26"/>
      <c r="E451" s="26"/>
    </row>
    <row r="452">
      <c r="D452" s="26"/>
      <c r="E452" s="26"/>
    </row>
    <row r="453">
      <c r="D453" s="26"/>
      <c r="E453" s="26"/>
    </row>
    <row r="454">
      <c r="D454" s="26"/>
      <c r="E454" s="26"/>
    </row>
    <row r="455">
      <c r="D455" s="26"/>
      <c r="E455" s="26"/>
    </row>
    <row r="456">
      <c r="D456" s="26"/>
      <c r="E456" s="26"/>
    </row>
    <row r="457">
      <c r="D457" s="26"/>
      <c r="E457" s="26"/>
    </row>
    <row r="458">
      <c r="D458" s="26"/>
      <c r="E458" s="26"/>
    </row>
    <row r="459">
      <c r="D459" s="26"/>
      <c r="E459" s="26"/>
    </row>
    <row r="460">
      <c r="D460" s="26"/>
      <c r="E460" s="26"/>
    </row>
    <row r="461">
      <c r="D461" s="26"/>
      <c r="E461" s="26"/>
    </row>
    <row r="462">
      <c r="D462" s="26"/>
      <c r="E462" s="26"/>
    </row>
    <row r="463">
      <c r="D463" s="26"/>
      <c r="E463" s="26"/>
    </row>
    <row r="464">
      <c r="D464" s="26"/>
      <c r="E464" s="26"/>
    </row>
    <row r="465">
      <c r="D465" s="26"/>
      <c r="E465" s="26"/>
    </row>
    <row r="466">
      <c r="D466" s="26"/>
      <c r="E466" s="26"/>
    </row>
    <row r="467">
      <c r="D467" s="26"/>
      <c r="E467" s="26"/>
    </row>
    <row r="468">
      <c r="D468" s="26"/>
      <c r="E468" s="26"/>
    </row>
    <row r="469">
      <c r="D469" s="26"/>
      <c r="E469" s="26"/>
    </row>
    <row r="470">
      <c r="D470" s="26"/>
      <c r="E470" s="26"/>
    </row>
    <row r="471">
      <c r="D471" s="26"/>
      <c r="E471" s="26"/>
    </row>
    <row r="472">
      <c r="D472" s="26"/>
      <c r="E472" s="26"/>
    </row>
    <row r="473">
      <c r="D473" s="26"/>
      <c r="E473" s="26"/>
    </row>
    <row r="474">
      <c r="D474" s="26"/>
      <c r="E474" s="26"/>
    </row>
    <row r="475">
      <c r="D475" s="26"/>
      <c r="E475" s="26"/>
    </row>
    <row r="476">
      <c r="D476" s="26"/>
      <c r="E476" s="26"/>
    </row>
    <row r="477">
      <c r="D477" s="26"/>
      <c r="E477" s="26"/>
    </row>
    <row r="478">
      <c r="D478" s="26"/>
      <c r="E478" s="26"/>
    </row>
    <row r="479">
      <c r="D479" s="26"/>
      <c r="E479" s="26"/>
    </row>
    <row r="480">
      <c r="D480" s="26"/>
      <c r="E480" s="26"/>
    </row>
    <row r="481">
      <c r="D481" s="26"/>
      <c r="E481" s="26"/>
    </row>
    <row r="482">
      <c r="D482" s="26"/>
      <c r="E482" s="26"/>
    </row>
    <row r="483">
      <c r="D483" s="26"/>
      <c r="E483" s="26"/>
    </row>
    <row r="484">
      <c r="D484" s="26"/>
      <c r="E484" s="26"/>
    </row>
    <row r="485">
      <c r="D485" s="26"/>
      <c r="E485" s="26"/>
    </row>
    <row r="486">
      <c r="D486" s="26"/>
      <c r="E486" s="26"/>
    </row>
    <row r="487">
      <c r="D487" s="26"/>
      <c r="E487" s="26"/>
    </row>
    <row r="488">
      <c r="D488" s="26"/>
      <c r="E488" s="26"/>
    </row>
    <row r="489">
      <c r="D489" s="26"/>
      <c r="E489" s="26"/>
    </row>
    <row r="490">
      <c r="D490" s="26"/>
      <c r="E490" s="26"/>
    </row>
    <row r="491">
      <c r="D491" s="26"/>
      <c r="E491" s="26"/>
    </row>
    <row r="492">
      <c r="D492" s="26"/>
      <c r="E492" s="26"/>
    </row>
    <row r="493">
      <c r="D493" s="26"/>
      <c r="E493" s="26"/>
    </row>
    <row r="494">
      <c r="D494" s="26"/>
      <c r="E494" s="26"/>
    </row>
    <row r="495">
      <c r="D495" s="26"/>
      <c r="E495" s="26"/>
    </row>
    <row r="496">
      <c r="D496" s="26"/>
      <c r="E496" s="26"/>
    </row>
    <row r="497">
      <c r="D497" s="26"/>
      <c r="E497" s="26"/>
    </row>
    <row r="498">
      <c r="D498" s="26"/>
      <c r="E498" s="26"/>
    </row>
    <row r="499">
      <c r="D499" s="26"/>
      <c r="E499" s="26"/>
    </row>
    <row r="500">
      <c r="D500" s="26"/>
      <c r="E500" s="26"/>
    </row>
    <row r="501">
      <c r="D501" s="26"/>
      <c r="E501" s="26"/>
    </row>
    <row r="502">
      <c r="D502" s="26"/>
      <c r="E502" s="26"/>
    </row>
    <row r="503">
      <c r="D503" s="26"/>
      <c r="E503" s="26"/>
    </row>
    <row r="504">
      <c r="D504" s="26"/>
      <c r="E504" s="26"/>
    </row>
    <row r="505">
      <c r="D505" s="26"/>
      <c r="E505" s="26"/>
    </row>
    <row r="506">
      <c r="D506" s="26"/>
      <c r="E506" s="26"/>
    </row>
    <row r="507">
      <c r="D507" s="26"/>
      <c r="E507" s="26"/>
    </row>
    <row r="508">
      <c r="D508" s="26"/>
      <c r="E508" s="26"/>
    </row>
    <row r="509">
      <c r="D509" s="26"/>
      <c r="E509" s="26"/>
    </row>
    <row r="510">
      <c r="D510" s="26"/>
      <c r="E510" s="26"/>
    </row>
    <row r="511">
      <c r="D511" s="26"/>
      <c r="E511" s="26"/>
    </row>
    <row r="512">
      <c r="D512" s="26"/>
      <c r="E512" s="26"/>
    </row>
    <row r="513">
      <c r="D513" s="26"/>
      <c r="E513" s="26"/>
    </row>
    <row r="514">
      <c r="D514" s="26"/>
      <c r="E514" s="26"/>
    </row>
    <row r="515">
      <c r="D515" s="26"/>
      <c r="E515" s="26"/>
    </row>
    <row r="516">
      <c r="D516" s="26"/>
      <c r="E516" s="26"/>
    </row>
    <row r="517">
      <c r="D517" s="26"/>
      <c r="E517" s="26"/>
    </row>
    <row r="518">
      <c r="D518" s="26"/>
      <c r="E518" s="26"/>
    </row>
    <row r="519">
      <c r="D519" s="26"/>
      <c r="E519" s="26"/>
    </row>
    <row r="520">
      <c r="D520" s="26"/>
      <c r="E520" s="26"/>
    </row>
    <row r="521">
      <c r="D521" s="26"/>
      <c r="E521" s="26"/>
    </row>
    <row r="522">
      <c r="D522" s="26"/>
      <c r="E522" s="26"/>
    </row>
    <row r="523">
      <c r="D523" s="26"/>
      <c r="E523" s="26"/>
    </row>
    <row r="524">
      <c r="D524" s="26"/>
      <c r="E524" s="26"/>
    </row>
    <row r="525">
      <c r="D525" s="26"/>
      <c r="E525" s="26"/>
    </row>
    <row r="526">
      <c r="D526" s="26"/>
      <c r="E526" s="26"/>
    </row>
    <row r="527">
      <c r="D527" s="26"/>
      <c r="E527" s="26"/>
    </row>
    <row r="528">
      <c r="D528" s="26"/>
      <c r="E528" s="26"/>
    </row>
    <row r="529">
      <c r="D529" s="26"/>
      <c r="E529" s="26"/>
    </row>
    <row r="530">
      <c r="D530" s="26"/>
      <c r="E530" s="26"/>
    </row>
    <row r="531">
      <c r="D531" s="26"/>
      <c r="E531" s="26"/>
    </row>
    <row r="532">
      <c r="D532" s="26"/>
      <c r="E532" s="26"/>
    </row>
    <row r="533">
      <c r="D533" s="26"/>
      <c r="E533" s="26"/>
    </row>
    <row r="534">
      <c r="D534" s="26"/>
      <c r="E534" s="26"/>
    </row>
    <row r="535">
      <c r="D535" s="26"/>
      <c r="E535" s="26"/>
    </row>
    <row r="536">
      <c r="D536" s="26"/>
      <c r="E536" s="26"/>
    </row>
    <row r="537">
      <c r="D537" s="26"/>
      <c r="E537" s="26"/>
    </row>
    <row r="538">
      <c r="D538" s="26"/>
      <c r="E538" s="26"/>
    </row>
    <row r="539">
      <c r="D539" s="26"/>
      <c r="E539" s="26"/>
    </row>
    <row r="540">
      <c r="D540" s="26"/>
      <c r="E540" s="26"/>
    </row>
    <row r="541">
      <c r="D541" s="26"/>
      <c r="E541" s="26"/>
    </row>
    <row r="542">
      <c r="D542" s="26"/>
      <c r="E542" s="26"/>
    </row>
    <row r="543">
      <c r="D543" s="26"/>
      <c r="E543" s="26"/>
    </row>
    <row r="544">
      <c r="D544" s="26"/>
      <c r="E544" s="26"/>
    </row>
    <row r="545">
      <c r="D545" s="26"/>
      <c r="E545" s="26"/>
    </row>
    <row r="546">
      <c r="D546" s="26"/>
      <c r="E546" s="26"/>
    </row>
    <row r="547">
      <c r="D547" s="26"/>
      <c r="E547" s="26"/>
    </row>
    <row r="548">
      <c r="D548" s="26"/>
      <c r="E548" s="26"/>
    </row>
    <row r="549">
      <c r="D549" s="26"/>
      <c r="E549" s="26"/>
    </row>
    <row r="550">
      <c r="D550" s="26"/>
      <c r="E550" s="26"/>
    </row>
    <row r="551">
      <c r="D551" s="26"/>
      <c r="E551" s="26"/>
    </row>
    <row r="552">
      <c r="D552" s="26"/>
      <c r="E552" s="26"/>
    </row>
    <row r="553">
      <c r="D553" s="26"/>
      <c r="E553" s="26"/>
    </row>
    <row r="554">
      <c r="D554" s="26"/>
      <c r="E554" s="26"/>
    </row>
    <row r="555">
      <c r="D555" s="26"/>
      <c r="E555" s="26"/>
    </row>
    <row r="556">
      <c r="D556" s="26"/>
      <c r="E556" s="26"/>
    </row>
    <row r="557">
      <c r="D557" s="26"/>
      <c r="E557" s="26"/>
    </row>
    <row r="558">
      <c r="D558" s="26"/>
      <c r="E558" s="26"/>
    </row>
    <row r="559">
      <c r="D559" s="26"/>
      <c r="E559" s="26"/>
    </row>
    <row r="560">
      <c r="D560" s="26"/>
      <c r="E560" s="26"/>
    </row>
    <row r="561">
      <c r="D561" s="26"/>
      <c r="E561" s="26"/>
    </row>
    <row r="562">
      <c r="D562" s="26"/>
      <c r="E562" s="26"/>
    </row>
    <row r="563">
      <c r="D563" s="26"/>
      <c r="E563" s="26"/>
    </row>
    <row r="564">
      <c r="D564" s="26"/>
      <c r="E564" s="26"/>
    </row>
    <row r="565">
      <c r="D565" s="26"/>
      <c r="E565" s="26"/>
    </row>
    <row r="566">
      <c r="D566" s="26"/>
      <c r="E566" s="26"/>
    </row>
    <row r="567">
      <c r="D567" s="26"/>
      <c r="E567" s="26"/>
    </row>
    <row r="568">
      <c r="D568" s="26"/>
      <c r="E568" s="26"/>
    </row>
    <row r="569">
      <c r="D569" s="26"/>
      <c r="E569" s="26"/>
    </row>
    <row r="570">
      <c r="D570" s="26"/>
      <c r="E570" s="26"/>
    </row>
    <row r="571">
      <c r="D571" s="26"/>
      <c r="E571" s="26"/>
    </row>
    <row r="572">
      <c r="D572" s="26"/>
      <c r="E572" s="26"/>
    </row>
    <row r="573">
      <c r="D573" s="26"/>
      <c r="E573" s="26"/>
    </row>
    <row r="574">
      <c r="D574" s="26"/>
      <c r="E574" s="26"/>
    </row>
    <row r="575">
      <c r="D575" s="26"/>
      <c r="E575" s="26"/>
    </row>
    <row r="576">
      <c r="D576" s="26"/>
      <c r="E576" s="26"/>
    </row>
    <row r="577">
      <c r="D577" s="26"/>
      <c r="E577" s="26"/>
    </row>
    <row r="578">
      <c r="D578" s="26"/>
      <c r="E578" s="26"/>
    </row>
    <row r="579">
      <c r="D579" s="26"/>
      <c r="E579" s="26"/>
    </row>
    <row r="580">
      <c r="D580" s="26"/>
      <c r="E580" s="26"/>
    </row>
    <row r="581">
      <c r="D581" s="26"/>
      <c r="E581" s="26"/>
    </row>
    <row r="582">
      <c r="D582" s="26"/>
      <c r="E582" s="26"/>
    </row>
    <row r="583">
      <c r="D583" s="26"/>
      <c r="E583" s="26"/>
    </row>
    <row r="584">
      <c r="D584" s="26"/>
      <c r="E584" s="26"/>
    </row>
    <row r="585">
      <c r="D585" s="26"/>
      <c r="E585" s="26"/>
    </row>
    <row r="586">
      <c r="D586" s="26"/>
      <c r="E586" s="26"/>
    </row>
    <row r="587">
      <c r="D587" s="26"/>
      <c r="E587" s="26"/>
    </row>
    <row r="588">
      <c r="D588" s="26"/>
      <c r="E588" s="26"/>
    </row>
    <row r="589">
      <c r="D589" s="26"/>
      <c r="E589" s="26"/>
    </row>
    <row r="590">
      <c r="D590" s="26"/>
      <c r="E590" s="26"/>
    </row>
    <row r="591">
      <c r="D591" s="26"/>
      <c r="E591" s="26"/>
    </row>
    <row r="592">
      <c r="D592" s="26"/>
      <c r="E592" s="26"/>
    </row>
    <row r="593">
      <c r="D593" s="26"/>
      <c r="E593" s="26"/>
    </row>
    <row r="594">
      <c r="D594" s="26"/>
      <c r="E594" s="26"/>
    </row>
    <row r="595">
      <c r="D595" s="26"/>
      <c r="E595" s="26"/>
    </row>
    <row r="596">
      <c r="D596" s="26"/>
      <c r="E596" s="26"/>
    </row>
    <row r="597">
      <c r="D597" s="26"/>
      <c r="E597" s="26"/>
    </row>
    <row r="598">
      <c r="D598" s="26"/>
      <c r="E598" s="26"/>
    </row>
    <row r="599">
      <c r="D599" s="26"/>
      <c r="E599" s="26"/>
    </row>
    <row r="600">
      <c r="D600" s="26"/>
      <c r="E600" s="26"/>
    </row>
    <row r="601">
      <c r="D601" s="26"/>
      <c r="E601" s="26"/>
    </row>
    <row r="602">
      <c r="D602" s="26"/>
      <c r="E602" s="26"/>
    </row>
    <row r="603">
      <c r="D603" s="26"/>
      <c r="E603" s="26"/>
    </row>
    <row r="604">
      <c r="D604" s="26"/>
      <c r="E604" s="26"/>
    </row>
    <row r="605">
      <c r="D605" s="26"/>
      <c r="E605" s="26"/>
    </row>
    <row r="606">
      <c r="D606" s="26"/>
      <c r="E606" s="26"/>
    </row>
    <row r="607">
      <c r="D607" s="26"/>
      <c r="E607" s="26"/>
    </row>
    <row r="608">
      <c r="D608" s="26"/>
      <c r="E608" s="26"/>
    </row>
    <row r="609">
      <c r="D609" s="26"/>
      <c r="E609" s="26"/>
    </row>
    <row r="610">
      <c r="D610" s="26"/>
      <c r="E610" s="26"/>
    </row>
    <row r="611">
      <c r="D611" s="26"/>
      <c r="E611" s="26"/>
    </row>
    <row r="612">
      <c r="D612" s="26"/>
      <c r="E612" s="26"/>
    </row>
    <row r="613">
      <c r="D613" s="26"/>
      <c r="E613" s="26"/>
    </row>
    <row r="614">
      <c r="D614" s="26"/>
      <c r="E614" s="26"/>
    </row>
    <row r="615">
      <c r="D615" s="26"/>
      <c r="E615" s="26"/>
    </row>
    <row r="616">
      <c r="D616" s="26"/>
      <c r="E616" s="26"/>
    </row>
    <row r="617">
      <c r="D617" s="26"/>
      <c r="E617" s="26"/>
    </row>
    <row r="618">
      <c r="D618" s="26"/>
      <c r="E618" s="26"/>
    </row>
    <row r="619">
      <c r="D619" s="26"/>
      <c r="E619" s="26"/>
    </row>
    <row r="620">
      <c r="D620" s="26"/>
      <c r="E620" s="26"/>
    </row>
    <row r="621">
      <c r="D621" s="26"/>
      <c r="E621" s="26"/>
    </row>
    <row r="622">
      <c r="D622" s="26"/>
      <c r="E622" s="26"/>
    </row>
    <row r="623">
      <c r="D623" s="26"/>
      <c r="E623" s="26"/>
    </row>
    <row r="624">
      <c r="D624" s="26"/>
      <c r="E624" s="26"/>
    </row>
    <row r="625">
      <c r="D625" s="26"/>
      <c r="E625" s="26"/>
    </row>
    <row r="626">
      <c r="D626" s="26"/>
      <c r="E626" s="26"/>
    </row>
    <row r="627">
      <c r="D627" s="26"/>
      <c r="E627" s="26"/>
    </row>
    <row r="628">
      <c r="D628" s="26"/>
      <c r="E628" s="26"/>
    </row>
    <row r="629">
      <c r="D629" s="26"/>
      <c r="E629" s="26"/>
    </row>
    <row r="630">
      <c r="D630" s="26"/>
      <c r="E630" s="26"/>
    </row>
    <row r="631">
      <c r="D631" s="26"/>
      <c r="E631" s="26"/>
    </row>
    <row r="632">
      <c r="D632" s="26"/>
      <c r="E632" s="26"/>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71" max="71" width="13.5"/>
  </cols>
  <sheetData>
    <row r="1">
      <c r="A1" s="190" t="s">
        <v>716</v>
      </c>
      <c r="B1" t="s">
        <v>282</v>
      </c>
      <c r="C1" t="s">
        <v>281</v>
      </c>
      <c r="D1" t="s">
        <v>325</v>
      </c>
      <c r="E1" t="s">
        <v>330</v>
      </c>
      <c r="F1" t="s">
        <v>339</v>
      </c>
      <c r="G1" t="s">
        <v>347</v>
      </c>
      <c r="H1" t="s">
        <v>314</v>
      </c>
      <c r="I1" t="s">
        <v>210</v>
      </c>
      <c r="J1" t="s">
        <v>362</v>
      </c>
      <c r="K1" t="s">
        <v>267</v>
      </c>
      <c r="L1" t="s">
        <v>195</v>
      </c>
      <c r="M1" t="s">
        <v>374</v>
      </c>
      <c r="N1" t="s">
        <v>289</v>
      </c>
      <c r="O1" t="s">
        <v>206</v>
      </c>
      <c r="P1" t="s">
        <v>331</v>
      </c>
      <c r="Q1" t="s">
        <v>340</v>
      </c>
      <c r="R1" t="s">
        <v>348</v>
      </c>
      <c r="S1" t="s">
        <v>353</v>
      </c>
      <c r="T1" t="s">
        <v>357</v>
      </c>
      <c r="U1" t="s">
        <v>363</v>
      </c>
      <c r="V1" t="s">
        <v>367</v>
      </c>
      <c r="W1" t="s">
        <v>370</v>
      </c>
      <c r="X1" t="s">
        <v>308</v>
      </c>
      <c r="Y1" t="s">
        <v>155</v>
      </c>
      <c r="Z1" t="s">
        <v>384</v>
      </c>
      <c r="AA1" t="s">
        <v>259</v>
      </c>
      <c r="AB1" t="s">
        <v>320</v>
      </c>
      <c r="AC1" t="s">
        <v>326</v>
      </c>
      <c r="AD1" t="s">
        <v>217</v>
      </c>
      <c r="AE1" t="s">
        <v>291</v>
      </c>
      <c r="AF1" t="s">
        <v>184</v>
      </c>
      <c r="AG1" t="s">
        <v>354</v>
      </c>
      <c r="AH1" t="s">
        <v>358</v>
      </c>
      <c r="AI1" t="s">
        <v>364</v>
      </c>
      <c r="AJ1" t="s">
        <v>272</v>
      </c>
      <c r="AK1" t="s">
        <v>371</v>
      </c>
      <c r="AL1" t="s">
        <v>321</v>
      </c>
      <c r="AM1" t="s">
        <v>327</v>
      </c>
      <c r="AN1" t="s">
        <v>332</v>
      </c>
      <c r="AO1" t="s">
        <v>341</v>
      </c>
      <c r="AP1" t="s">
        <v>284</v>
      </c>
      <c r="AQ1" t="s">
        <v>294</v>
      </c>
      <c r="AR1" t="s">
        <v>240</v>
      </c>
      <c r="AS1" t="s">
        <v>365</v>
      </c>
      <c r="AT1" t="s">
        <v>368</v>
      </c>
      <c r="AU1" t="s">
        <v>168</v>
      </c>
      <c r="AV1" t="s">
        <v>375</v>
      </c>
      <c r="AW1" t="s">
        <v>381</v>
      </c>
      <c r="AX1" t="s">
        <v>386</v>
      </c>
      <c r="AY1" t="s">
        <v>197</v>
      </c>
      <c r="AZ1" t="s">
        <v>719</v>
      </c>
      <c r="BA1" t="s">
        <v>181</v>
      </c>
      <c r="BB1" t="s">
        <v>334</v>
      </c>
      <c r="BC1" t="s">
        <v>306</v>
      </c>
      <c r="BD1" t="s">
        <v>343</v>
      </c>
      <c r="BE1" t="s">
        <v>204</v>
      </c>
      <c r="BF1" t="s">
        <v>170</v>
      </c>
      <c r="BG1" t="s">
        <v>355</v>
      </c>
      <c r="BH1" s="26" t="s">
        <v>720</v>
      </c>
      <c r="BI1" t="s">
        <v>317</v>
      </c>
      <c r="BJ1" t="s">
        <v>366</v>
      </c>
      <c r="BK1" t="s">
        <v>296</v>
      </c>
      <c r="BL1" t="s">
        <v>271</v>
      </c>
      <c r="BM1" t="s">
        <v>378</v>
      </c>
      <c r="BN1" t="s">
        <v>323</v>
      </c>
      <c r="BO1" t="s">
        <v>329</v>
      </c>
      <c r="BP1" t="s">
        <v>335</v>
      </c>
      <c r="BQ1" t="s">
        <v>344</v>
      </c>
      <c r="BR1" t="s">
        <v>285</v>
      </c>
      <c r="BS1" t="s">
        <v>721</v>
      </c>
      <c r="BT1" t="s">
        <v>359</v>
      </c>
      <c r="BU1" s="26" t="s">
        <v>722</v>
      </c>
      <c r="BV1" t="s">
        <v>298</v>
      </c>
      <c r="BW1" t="s">
        <v>176</v>
      </c>
      <c r="BX1" t="s">
        <v>265</v>
      </c>
      <c r="BY1" t="s">
        <v>382</v>
      </c>
      <c r="BZ1" t="s">
        <v>324</v>
      </c>
      <c r="CA1" t="s">
        <v>316</v>
      </c>
      <c r="CB1" t="s">
        <v>336</v>
      </c>
      <c r="CC1" t="s">
        <v>345</v>
      </c>
      <c r="CD1" t="s">
        <v>725</v>
      </c>
      <c r="CE1" t="s">
        <v>120</v>
      </c>
      <c r="CF1" t="s">
        <v>263</v>
      </c>
      <c r="CG1" t="s">
        <v>219</v>
      </c>
      <c r="CH1" t="s">
        <v>727</v>
      </c>
      <c r="CI1" t="s">
        <v>279</v>
      </c>
      <c r="CJ1" t="s">
        <v>304</v>
      </c>
      <c r="CK1" t="s">
        <v>383</v>
      </c>
      <c r="CL1" t="s">
        <v>322</v>
      </c>
      <c r="CM1" t="s">
        <v>328</v>
      </c>
      <c r="CN1" t="s">
        <v>333</v>
      </c>
      <c r="CO1" t="s">
        <v>342</v>
      </c>
      <c r="CP1" t="s">
        <v>54</v>
      </c>
      <c r="CQ1" t="s">
        <v>274</v>
      </c>
      <c r="CR1" t="s">
        <v>311</v>
      </c>
      <c r="CS1" t="s">
        <v>261</v>
      </c>
      <c r="CT1" t="s">
        <v>369</v>
      </c>
      <c r="CU1" t="s">
        <v>372</v>
      </c>
      <c r="CV1" t="s">
        <v>377</v>
      </c>
      <c r="CW1" t="s">
        <v>222</v>
      </c>
      <c r="CX1" t="s">
        <v>287</v>
      </c>
      <c r="CY1" t="s">
        <v>303</v>
      </c>
      <c r="CZ1" t="s">
        <v>337</v>
      </c>
      <c r="DA1" t="s">
        <v>346</v>
      </c>
      <c r="DB1" t="s">
        <v>313</v>
      </c>
      <c r="DC1" t="s">
        <v>283</v>
      </c>
      <c r="DD1" t="s">
        <v>360</v>
      </c>
      <c r="DE1" t="s">
        <v>269</v>
      </c>
      <c r="DF1" t="s">
        <v>173</v>
      </c>
      <c r="DG1" t="s">
        <v>373</v>
      </c>
      <c r="DH1" t="s">
        <v>379</v>
      </c>
      <c r="DI1" t="s">
        <v>214</v>
      </c>
      <c r="DJ1" s="26" t="s">
        <v>728</v>
      </c>
      <c r="DK1" t="s">
        <v>309</v>
      </c>
      <c r="DL1" t="s">
        <v>277</v>
      </c>
      <c r="DM1" t="s">
        <v>352</v>
      </c>
      <c r="DN1" t="s">
        <v>257</v>
      </c>
      <c r="DO1" t="s">
        <v>361</v>
      </c>
      <c r="DP1" t="s">
        <v>729</v>
      </c>
      <c r="DQ1" t="s">
        <v>199</v>
      </c>
      <c r="DR1" t="s">
        <v>302</v>
      </c>
      <c r="DS1" t="s">
        <v>380</v>
      </c>
      <c r="DT1" t="s">
        <v>318</v>
      </c>
      <c r="DU1" t="s">
        <v>300</v>
      </c>
      <c r="DV1" t="s">
        <v>398</v>
      </c>
      <c r="DW1" t="s">
        <v>393</v>
      </c>
      <c r="DX1" t="s">
        <v>399</v>
      </c>
      <c r="DY1" t="s">
        <v>394</v>
      </c>
      <c r="DZ1" t="s">
        <v>400</v>
      </c>
      <c r="EA1" s="26" t="s">
        <v>731</v>
      </c>
      <c r="EB1" s="26" t="s">
        <v>388</v>
      </c>
    </row>
    <row r="2">
      <c r="A2" s="191" t="s">
        <v>733</v>
      </c>
      <c r="B2" t="s">
        <v>735</v>
      </c>
      <c r="C2" t="s">
        <v>736</v>
      </c>
      <c r="D2" t="s">
        <v>737</v>
      </c>
      <c r="E2" t="s">
        <v>738</v>
      </c>
      <c r="F2" t="s">
        <v>739</v>
      </c>
      <c r="G2" t="s">
        <v>740</v>
      </c>
      <c r="H2" t="s">
        <v>314</v>
      </c>
      <c r="I2" t="s">
        <v>741</v>
      </c>
      <c r="J2" t="s">
        <v>742</v>
      </c>
      <c r="K2" t="s">
        <v>743</v>
      </c>
      <c r="L2" t="s">
        <v>744</v>
      </c>
      <c r="M2" t="s">
        <v>374</v>
      </c>
      <c r="N2" t="s">
        <v>745</v>
      </c>
      <c r="O2" t="s">
        <v>746</v>
      </c>
      <c r="P2" t="s">
        <v>747</v>
      </c>
      <c r="Q2" t="s">
        <v>748</v>
      </c>
      <c r="R2" t="s">
        <v>749</v>
      </c>
      <c r="S2" t="s">
        <v>750</v>
      </c>
      <c r="T2" s="26" t="s">
        <v>751</v>
      </c>
      <c r="U2" t="s">
        <v>752</v>
      </c>
      <c r="V2" t="s">
        <v>753</v>
      </c>
      <c r="W2" t="s">
        <v>754</v>
      </c>
      <c r="X2" t="s">
        <v>755</v>
      </c>
      <c r="Y2" t="s">
        <v>756</v>
      </c>
      <c r="Z2" t="s">
        <v>757</v>
      </c>
      <c r="AA2" t="s">
        <v>758</v>
      </c>
      <c r="AB2" t="s">
        <v>759</v>
      </c>
      <c r="AC2" t="s">
        <v>760</v>
      </c>
      <c r="AD2" t="s">
        <v>761</v>
      </c>
      <c r="AE2" t="s">
        <v>762</v>
      </c>
      <c r="AF2" s="26" t="s">
        <v>763</v>
      </c>
      <c r="AG2" t="s">
        <v>764</v>
      </c>
      <c r="AH2" t="s">
        <v>358</v>
      </c>
      <c r="AI2" t="s">
        <v>765</v>
      </c>
      <c r="AJ2" t="s">
        <v>766</v>
      </c>
      <c r="AK2" t="s">
        <v>768</v>
      </c>
      <c r="AL2" t="s">
        <v>769</v>
      </c>
      <c r="AM2" s="26" t="s">
        <v>770</v>
      </c>
      <c r="AN2" t="s">
        <v>771</v>
      </c>
      <c r="AO2" t="s">
        <v>772</v>
      </c>
      <c r="AP2" t="s">
        <v>773</v>
      </c>
      <c r="AQ2" t="s">
        <v>774</v>
      </c>
      <c r="AR2" t="s">
        <v>775</v>
      </c>
      <c r="AS2" t="s">
        <v>776</v>
      </c>
      <c r="AT2" s="26" t="s">
        <v>777</v>
      </c>
      <c r="AU2" t="s">
        <v>778</v>
      </c>
      <c r="AV2" t="s">
        <v>779</v>
      </c>
      <c r="AW2" t="s">
        <v>780</v>
      </c>
      <c r="AX2" t="s">
        <v>781</v>
      </c>
      <c r="AY2" s="26" t="s">
        <v>782</v>
      </c>
      <c r="AZ2" t="s">
        <v>783</v>
      </c>
      <c r="BA2" t="s">
        <v>784</v>
      </c>
      <c r="BB2" s="26" t="s">
        <v>785</v>
      </c>
      <c r="BC2" t="s">
        <v>786</v>
      </c>
      <c r="BD2" t="s">
        <v>787</v>
      </c>
      <c r="BE2" t="s">
        <v>788</v>
      </c>
      <c r="BF2" t="s">
        <v>789</v>
      </c>
      <c r="BG2" t="s">
        <v>791</v>
      </c>
      <c r="BH2" t="s">
        <v>792</v>
      </c>
      <c r="BI2" s="26" t="s">
        <v>793</v>
      </c>
      <c r="BJ2" t="s">
        <v>366</v>
      </c>
      <c r="BK2" t="s">
        <v>296</v>
      </c>
      <c r="BL2" t="s">
        <v>794</v>
      </c>
      <c r="BM2" t="s">
        <v>378</v>
      </c>
      <c r="BN2" s="26" t="s">
        <v>795</v>
      </c>
      <c r="BO2" t="s">
        <v>796</v>
      </c>
      <c r="BP2" t="s">
        <v>797</v>
      </c>
      <c r="BQ2" t="s">
        <v>798</v>
      </c>
      <c r="BR2" t="s">
        <v>799</v>
      </c>
      <c r="BS2" t="s">
        <v>356</v>
      </c>
      <c r="BT2" t="s">
        <v>800</v>
      </c>
      <c r="BU2" s="26" t="s">
        <v>801</v>
      </c>
      <c r="BV2" t="s">
        <v>802</v>
      </c>
      <c r="BW2" t="s">
        <v>803</v>
      </c>
      <c r="BX2" t="s">
        <v>804</v>
      </c>
      <c r="BY2" t="s">
        <v>805</v>
      </c>
      <c r="BZ2" t="s">
        <v>806</v>
      </c>
      <c r="CA2" s="26" t="s">
        <v>807</v>
      </c>
      <c r="CB2" t="s">
        <v>808</v>
      </c>
      <c r="CC2" t="s">
        <v>809</v>
      </c>
      <c r="CD2" t="s">
        <v>810</v>
      </c>
      <c r="CE2" t="s">
        <v>811</v>
      </c>
      <c r="CF2" t="s">
        <v>812</v>
      </c>
      <c r="CG2" t="s">
        <v>813</v>
      </c>
      <c r="CH2" t="s">
        <v>814</v>
      </c>
      <c r="CI2" t="s">
        <v>279</v>
      </c>
      <c r="CJ2" t="s">
        <v>815</v>
      </c>
      <c r="CK2" t="s">
        <v>816</v>
      </c>
      <c r="CL2" s="26" t="s">
        <v>817</v>
      </c>
      <c r="CM2" t="s">
        <v>818</v>
      </c>
      <c r="CN2" t="s">
        <v>819</v>
      </c>
      <c r="CO2" t="s">
        <v>820</v>
      </c>
      <c r="CP2" t="s">
        <v>821</v>
      </c>
      <c r="CQ2" t="s">
        <v>822</v>
      </c>
      <c r="CR2" t="s">
        <v>823</v>
      </c>
      <c r="CS2" t="s">
        <v>261</v>
      </c>
      <c r="CT2" t="s">
        <v>369</v>
      </c>
      <c r="CU2" t="s">
        <v>824</v>
      </c>
      <c r="CV2" t="s">
        <v>825</v>
      </c>
      <c r="CW2" t="s">
        <v>826</v>
      </c>
      <c r="CX2" t="s">
        <v>827</v>
      </c>
      <c r="CY2" t="s">
        <v>828</v>
      </c>
      <c r="CZ2" t="s">
        <v>829</v>
      </c>
      <c r="DA2" t="s">
        <v>830</v>
      </c>
      <c r="DB2" t="s">
        <v>831</v>
      </c>
      <c r="DC2" t="s">
        <v>832</v>
      </c>
      <c r="DD2" t="s">
        <v>360</v>
      </c>
      <c r="DE2" t="s">
        <v>833</v>
      </c>
      <c r="DF2" t="s">
        <v>834</v>
      </c>
      <c r="DG2" t="s">
        <v>835</v>
      </c>
      <c r="DH2" t="s">
        <v>836</v>
      </c>
      <c r="DI2" t="s">
        <v>837</v>
      </c>
      <c r="DJ2" s="26" t="s">
        <v>838</v>
      </c>
      <c r="DK2" t="s">
        <v>839</v>
      </c>
      <c r="DL2" t="s">
        <v>840</v>
      </c>
      <c r="DM2" s="26" t="s">
        <v>841</v>
      </c>
      <c r="DN2" t="s">
        <v>842</v>
      </c>
      <c r="DO2" t="s">
        <v>843</v>
      </c>
      <c r="DP2" s="26" t="s">
        <v>844</v>
      </c>
      <c r="DQ2" t="s">
        <v>845</v>
      </c>
      <c r="DR2" t="s">
        <v>846</v>
      </c>
      <c r="DS2" t="s">
        <v>847</v>
      </c>
      <c r="DT2" t="s">
        <v>848</v>
      </c>
      <c r="DU2" t="s">
        <v>849</v>
      </c>
      <c r="DV2" t="s">
        <v>850</v>
      </c>
      <c r="DW2" t="s">
        <v>393</v>
      </c>
      <c r="DX2" t="s">
        <v>851</v>
      </c>
      <c r="DY2" t="s">
        <v>852</v>
      </c>
      <c r="DZ2" t="s">
        <v>853</v>
      </c>
      <c r="EA2" t="s">
        <v>854</v>
      </c>
      <c r="EB2" s="26" t="s">
        <v>855</v>
      </c>
    </row>
    <row r="3">
      <c r="A3" s="191" t="s">
        <v>856</v>
      </c>
      <c r="B3" s="26" t="s">
        <v>735</v>
      </c>
      <c r="C3" s="26" t="s">
        <v>857</v>
      </c>
      <c r="D3" s="26" t="s">
        <v>737</v>
      </c>
      <c r="E3" s="26" t="s">
        <v>858</v>
      </c>
      <c r="F3" s="26" t="s">
        <v>739</v>
      </c>
      <c r="G3" s="26" t="s">
        <v>740</v>
      </c>
      <c r="H3" s="26" t="s">
        <v>314</v>
      </c>
      <c r="I3" t="s">
        <v>741</v>
      </c>
      <c r="J3" s="26" t="s">
        <v>859</v>
      </c>
      <c r="K3" s="26" t="s">
        <v>860</v>
      </c>
      <c r="L3" s="26" t="s">
        <v>861</v>
      </c>
      <c r="M3" s="26" t="s">
        <v>374</v>
      </c>
      <c r="N3" s="26" t="s">
        <v>745</v>
      </c>
      <c r="O3" s="26" t="s">
        <v>746</v>
      </c>
      <c r="P3" s="26" t="s">
        <v>747</v>
      </c>
      <c r="Q3" t="s">
        <v>748</v>
      </c>
      <c r="R3" s="26" t="s">
        <v>862</v>
      </c>
      <c r="S3" s="26" t="s">
        <v>750</v>
      </c>
      <c r="T3" s="26" t="s">
        <v>751</v>
      </c>
      <c r="U3" s="26" t="s">
        <v>863</v>
      </c>
      <c r="V3" s="26" t="s">
        <v>753</v>
      </c>
      <c r="W3" s="26" t="s">
        <v>754</v>
      </c>
      <c r="X3" s="26" t="s">
        <v>864</v>
      </c>
      <c r="Y3" s="26" t="s">
        <v>865</v>
      </c>
      <c r="Z3" s="26" t="s">
        <v>867</v>
      </c>
      <c r="AA3" s="26" t="s">
        <v>758</v>
      </c>
      <c r="AB3" s="26" t="s">
        <v>869</v>
      </c>
      <c r="AC3" s="26" t="s">
        <v>870</v>
      </c>
      <c r="AD3" s="26" t="s">
        <v>871</v>
      </c>
      <c r="AE3" s="26" t="s">
        <v>762</v>
      </c>
      <c r="AF3" s="26" t="s">
        <v>763</v>
      </c>
      <c r="AG3" s="26" t="s">
        <v>764</v>
      </c>
      <c r="AH3" s="26" t="s">
        <v>358</v>
      </c>
      <c r="AI3" s="26" t="s">
        <v>872</v>
      </c>
      <c r="AJ3" s="26" t="s">
        <v>766</v>
      </c>
      <c r="AK3" s="26" t="s">
        <v>768</v>
      </c>
      <c r="AL3" t="s">
        <v>769</v>
      </c>
      <c r="AM3" s="26" t="s">
        <v>770</v>
      </c>
      <c r="AN3" s="26" t="s">
        <v>771</v>
      </c>
      <c r="AO3" s="26" t="s">
        <v>873</v>
      </c>
      <c r="AP3" s="26" t="s">
        <v>773</v>
      </c>
      <c r="AQ3" s="26" t="s">
        <v>774</v>
      </c>
      <c r="AR3" s="26" t="s">
        <v>775</v>
      </c>
      <c r="AS3" s="26" t="s">
        <v>776</v>
      </c>
      <c r="AT3" s="26" t="s">
        <v>874</v>
      </c>
      <c r="AU3" s="26" t="s">
        <v>778</v>
      </c>
      <c r="AV3" s="26" t="s">
        <v>779</v>
      </c>
      <c r="AW3" s="26" t="s">
        <v>780</v>
      </c>
      <c r="AX3" s="26" t="s">
        <v>875</v>
      </c>
      <c r="AY3" s="26" t="s">
        <v>782</v>
      </c>
      <c r="AZ3" s="26" t="s">
        <v>783</v>
      </c>
      <c r="BA3" s="26" t="s">
        <v>784</v>
      </c>
      <c r="BB3" s="26" t="s">
        <v>876</v>
      </c>
      <c r="BC3" s="26" t="s">
        <v>877</v>
      </c>
      <c r="BD3" s="26" t="s">
        <v>878</v>
      </c>
      <c r="BE3" s="26" t="s">
        <v>879</v>
      </c>
      <c r="BF3" s="26" t="s">
        <v>880</v>
      </c>
      <c r="BG3" s="26" t="s">
        <v>791</v>
      </c>
      <c r="BH3" s="26" t="s">
        <v>881</v>
      </c>
      <c r="BI3" s="26" t="s">
        <v>882</v>
      </c>
      <c r="BJ3" t="s">
        <v>366</v>
      </c>
      <c r="BK3" s="26" t="s">
        <v>296</v>
      </c>
      <c r="BL3" s="26" t="s">
        <v>883</v>
      </c>
      <c r="BM3" t="s">
        <v>378</v>
      </c>
      <c r="BN3" s="26" t="s">
        <v>884</v>
      </c>
      <c r="BO3" s="26" t="s">
        <v>885</v>
      </c>
      <c r="BP3" s="26" t="s">
        <v>886</v>
      </c>
      <c r="BQ3" s="26" t="s">
        <v>887</v>
      </c>
      <c r="BR3" s="26" t="s">
        <v>889</v>
      </c>
      <c r="BS3" s="26" t="s">
        <v>890</v>
      </c>
      <c r="BT3" s="26" t="s">
        <v>891</v>
      </c>
      <c r="BU3" s="26" t="s">
        <v>892</v>
      </c>
      <c r="BV3" s="26" t="s">
        <v>802</v>
      </c>
      <c r="BW3" s="26" t="s">
        <v>803</v>
      </c>
      <c r="BX3" s="26" t="s">
        <v>894</v>
      </c>
      <c r="BY3" s="26" t="s">
        <v>895</v>
      </c>
      <c r="BZ3" s="26" t="s">
        <v>896</v>
      </c>
      <c r="CA3" s="26" t="s">
        <v>897</v>
      </c>
      <c r="CB3" s="26" t="s">
        <v>898</v>
      </c>
      <c r="CC3" s="26" t="s">
        <v>899</v>
      </c>
      <c r="CD3" s="26" t="s">
        <v>900</v>
      </c>
      <c r="CE3" s="26" t="s">
        <v>901</v>
      </c>
      <c r="CF3" s="26" t="s">
        <v>812</v>
      </c>
      <c r="CG3" s="26" t="s">
        <v>813</v>
      </c>
      <c r="CH3" s="26" t="s">
        <v>814</v>
      </c>
      <c r="CI3" t="s">
        <v>279</v>
      </c>
      <c r="CJ3" t="s">
        <v>815</v>
      </c>
      <c r="CK3" s="26" t="s">
        <v>902</v>
      </c>
      <c r="CL3" s="26" t="s">
        <v>903</v>
      </c>
      <c r="CM3" s="26" t="s">
        <v>818</v>
      </c>
      <c r="CN3" s="26" t="s">
        <v>819</v>
      </c>
      <c r="CO3" s="26" t="s">
        <v>904</v>
      </c>
      <c r="CP3" s="26" t="s">
        <v>905</v>
      </c>
      <c r="CQ3" s="26" t="s">
        <v>906</v>
      </c>
      <c r="CR3" s="26" t="s">
        <v>823</v>
      </c>
      <c r="CS3" t="s">
        <v>261</v>
      </c>
      <c r="CT3" s="26" t="s">
        <v>369</v>
      </c>
      <c r="CU3" s="26" t="s">
        <v>824</v>
      </c>
      <c r="CV3" s="26" t="s">
        <v>825</v>
      </c>
      <c r="CW3" s="26" t="s">
        <v>826</v>
      </c>
      <c r="CX3" s="26" t="s">
        <v>827</v>
      </c>
      <c r="CY3" s="26" t="s">
        <v>828</v>
      </c>
      <c r="CZ3" s="26" t="s">
        <v>907</v>
      </c>
      <c r="DA3" s="26" t="s">
        <v>908</v>
      </c>
      <c r="DB3" s="26" t="s">
        <v>831</v>
      </c>
      <c r="DC3" s="26" t="s">
        <v>832</v>
      </c>
      <c r="DD3" t="s">
        <v>360</v>
      </c>
      <c r="DE3" s="26" t="s">
        <v>909</v>
      </c>
      <c r="DF3" s="26" t="s">
        <v>910</v>
      </c>
      <c r="DG3" s="26" t="s">
        <v>911</v>
      </c>
      <c r="DH3" s="26" t="s">
        <v>836</v>
      </c>
      <c r="DI3" s="26" t="s">
        <v>837</v>
      </c>
      <c r="DJ3" s="26" t="s">
        <v>912</v>
      </c>
      <c r="DK3" s="26" t="s">
        <v>913</v>
      </c>
      <c r="DL3" s="26" t="s">
        <v>914</v>
      </c>
      <c r="DM3" s="26" t="s">
        <v>915</v>
      </c>
      <c r="DN3" s="26" t="s">
        <v>916</v>
      </c>
      <c r="DO3" t="s">
        <v>843</v>
      </c>
      <c r="DP3" s="26" t="s">
        <v>917</v>
      </c>
      <c r="DQ3" s="26" t="s">
        <v>918</v>
      </c>
      <c r="DR3" s="26" t="s">
        <v>919</v>
      </c>
      <c r="DS3" s="26" t="s">
        <v>847</v>
      </c>
      <c r="DT3" s="26" t="s">
        <v>848</v>
      </c>
      <c r="DU3" s="26" t="s">
        <v>920</v>
      </c>
      <c r="DV3" s="26" t="s">
        <v>850</v>
      </c>
      <c r="DW3" t="s">
        <v>393</v>
      </c>
      <c r="DX3" s="26" t="s">
        <v>922</v>
      </c>
      <c r="DY3" s="26" t="s">
        <v>923</v>
      </c>
      <c r="DZ3" s="26" t="s">
        <v>853</v>
      </c>
      <c r="EA3" s="26" t="s">
        <v>924</v>
      </c>
      <c r="EB3" s="26" t="s">
        <v>925</v>
      </c>
    </row>
    <row r="4">
      <c r="A4" s="190" t="s">
        <v>927</v>
      </c>
      <c r="B4" t="s">
        <v>282</v>
      </c>
      <c r="C4" t="s">
        <v>281</v>
      </c>
      <c r="D4" t="s">
        <v>325</v>
      </c>
      <c r="E4" t="s">
        <v>330</v>
      </c>
      <c r="F4" t="s">
        <v>339</v>
      </c>
      <c r="G4" t="s">
        <v>347</v>
      </c>
      <c r="H4" t="s">
        <v>314</v>
      </c>
      <c r="I4" t="s">
        <v>210</v>
      </c>
      <c r="J4" t="s">
        <v>362</v>
      </c>
      <c r="K4" t="s">
        <v>267</v>
      </c>
      <c r="L4" t="s">
        <v>195</v>
      </c>
      <c r="M4" t="s">
        <v>374</v>
      </c>
      <c r="N4" t="s">
        <v>289</v>
      </c>
      <c r="O4" t="s">
        <v>206</v>
      </c>
      <c r="P4" t="s">
        <v>331</v>
      </c>
      <c r="Q4" t="s">
        <v>340</v>
      </c>
      <c r="R4" t="s">
        <v>348</v>
      </c>
      <c r="S4" t="s">
        <v>353</v>
      </c>
      <c r="T4" t="s">
        <v>357</v>
      </c>
      <c r="U4" t="s">
        <v>363</v>
      </c>
      <c r="V4" t="s">
        <v>367</v>
      </c>
      <c r="W4" t="s">
        <v>370</v>
      </c>
      <c r="X4" t="s">
        <v>308</v>
      </c>
      <c r="Y4" t="s">
        <v>155</v>
      </c>
      <c r="Z4" t="s">
        <v>384</v>
      </c>
      <c r="AA4" t="s">
        <v>259</v>
      </c>
      <c r="AB4" t="s">
        <v>320</v>
      </c>
      <c r="AC4" t="s">
        <v>326</v>
      </c>
      <c r="AD4" t="s">
        <v>217</v>
      </c>
      <c r="AE4" t="s">
        <v>291</v>
      </c>
      <c r="AF4" t="s">
        <v>184</v>
      </c>
      <c r="AG4" t="s">
        <v>354</v>
      </c>
      <c r="AH4" t="s">
        <v>358</v>
      </c>
      <c r="AI4" t="s">
        <v>364</v>
      </c>
      <c r="AJ4" t="s">
        <v>272</v>
      </c>
      <c r="AK4" t="s">
        <v>371</v>
      </c>
      <c r="AL4" t="s">
        <v>321</v>
      </c>
      <c r="AM4" t="s">
        <v>327</v>
      </c>
      <c r="AN4" t="s">
        <v>332</v>
      </c>
      <c r="AO4" t="s">
        <v>341</v>
      </c>
      <c r="AP4" t="s">
        <v>284</v>
      </c>
      <c r="AQ4" t="s">
        <v>294</v>
      </c>
      <c r="AR4" t="s">
        <v>240</v>
      </c>
      <c r="AS4" t="s">
        <v>365</v>
      </c>
      <c r="AT4" t="s">
        <v>368</v>
      </c>
      <c r="AU4" t="s">
        <v>168</v>
      </c>
      <c r="AV4" t="s">
        <v>375</v>
      </c>
      <c r="AW4" t="s">
        <v>381</v>
      </c>
      <c r="AX4" t="s">
        <v>386</v>
      </c>
      <c r="AY4" t="s">
        <v>197</v>
      </c>
      <c r="AZ4" t="s">
        <v>719</v>
      </c>
      <c r="BA4" t="s">
        <v>181</v>
      </c>
      <c r="BB4" t="s">
        <v>334</v>
      </c>
      <c r="BC4" t="s">
        <v>306</v>
      </c>
      <c r="BD4" s="26" t="s">
        <v>787</v>
      </c>
      <c r="BE4" t="s">
        <v>204</v>
      </c>
      <c r="BF4" t="s">
        <v>170</v>
      </c>
      <c r="BG4" t="s">
        <v>355</v>
      </c>
      <c r="BH4" t="s">
        <v>720</v>
      </c>
      <c r="BI4" t="s">
        <v>317</v>
      </c>
      <c r="BJ4" t="s">
        <v>366</v>
      </c>
      <c r="BK4" t="s">
        <v>296</v>
      </c>
      <c r="BL4" t="s">
        <v>271</v>
      </c>
      <c r="BM4" t="s">
        <v>378</v>
      </c>
      <c r="BN4" t="s">
        <v>323</v>
      </c>
      <c r="BO4" t="s">
        <v>329</v>
      </c>
      <c r="BP4" t="s">
        <v>335</v>
      </c>
      <c r="BQ4" t="s">
        <v>344</v>
      </c>
      <c r="BR4" t="s">
        <v>285</v>
      </c>
      <c r="BS4" t="s">
        <v>721</v>
      </c>
      <c r="BT4" t="s">
        <v>359</v>
      </c>
      <c r="BU4" t="s">
        <v>928</v>
      </c>
      <c r="BV4" t="s">
        <v>298</v>
      </c>
      <c r="BW4" t="s">
        <v>176</v>
      </c>
      <c r="BX4" t="s">
        <v>265</v>
      </c>
      <c r="BY4" t="s">
        <v>382</v>
      </c>
      <c r="BZ4" t="s">
        <v>324</v>
      </c>
      <c r="CA4" t="s">
        <v>316</v>
      </c>
      <c r="CB4" t="s">
        <v>336</v>
      </c>
      <c r="CC4" t="s">
        <v>345</v>
      </c>
      <c r="CD4" t="s">
        <v>351</v>
      </c>
      <c r="CE4" t="s">
        <v>120</v>
      </c>
      <c r="CF4" t="s">
        <v>263</v>
      </c>
      <c r="CG4" t="s">
        <v>219</v>
      </c>
      <c r="CH4" t="s">
        <v>727</v>
      </c>
      <c r="CI4" t="s">
        <v>279</v>
      </c>
      <c r="CJ4" t="s">
        <v>304</v>
      </c>
      <c r="CK4" t="s">
        <v>383</v>
      </c>
      <c r="CL4" t="s">
        <v>322</v>
      </c>
      <c r="CM4" t="s">
        <v>328</v>
      </c>
      <c r="CN4" t="s">
        <v>333</v>
      </c>
      <c r="CO4" t="s">
        <v>342</v>
      </c>
      <c r="CP4" t="s">
        <v>54</v>
      </c>
      <c r="CQ4" t="s">
        <v>274</v>
      </c>
      <c r="CR4" t="s">
        <v>311</v>
      </c>
      <c r="CS4" t="s">
        <v>261</v>
      </c>
      <c r="CT4" t="s">
        <v>369</v>
      </c>
      <c r="CU4" t="s">
        <v>372</v>
      </c>
      <c r="CV4" t="s">
        <v>377</v>
      </c>
      <c r="CW4" t="s">
        <v>222</v>
      </c>
      <c r="CX4" t="s">
        <v>287</v>
      </c>
      <c r="CY4" t="s">
        <v>303</v>
      </c>
      <c r="CZ4" t="s">
        <v>337</v>
      </c>
      <c r="DA4" t="s">
        <v>346</v>
      </c>
      <c r="DB4" t="s">
        <v>313</v>
      </c>
      <c r="DC4" t="s">
        <v>283</v>
      </c>
      <c r="DD4" t="s">
        <v>360</v>
      </c>
      <c r="DE4" t="s">
        <v>269</v>
      </c>
      <c r="DF4" t="s">
        <v>173</v>
      </c>
      <c r="DG4" t="s">
        <v>373</v>
      </c>
      <c r="DH4" t="s">
        <v>379</v>
      </c>
      <c r="DI4" t="s">
        <v>214</v>
      </c>
      <c r="DJ4" t="s">
        <v>387</v>
      </c>
      <c r="DK4" t="s">
        <v>309</v>
      </c>
      <c r="DL4" t="s">
        <v>277</v>
      </c>
      <c r="DM4" t="s">
        <v>352</v>
      </c>
      <c r="DN4" t="s">
        <v>257</v>
      </c>
      <c r="DO4" t="s">
        <v>361</v>
      </c>
      <c r="DP4" s="26" t="s">
        <v>929</v>
      </c>
      <c r="DQ4" t="s">
        <v>930</v>
      </c>
      <c r="DR4" t="s">
        <v>302</v>
      </c>
      <c r="DS4" t="s">
        <v>380</v>
      </c>
      <c r="DT4" t="s">
        <v>318</v>
      </c>
      <c r="DU4" t="s">
        <v>300</v>
      </c>
      <c r="DV4" t="s">
        <v>398</v>
      </c>
      <c r="DW4" t="s">
        <v>393</v>
      </c>
      <c r="DX4" t="s">
        <v>399</v>
      </c>
      <c r="DY4" t="s">
        <v>394</v>
      </c>
      <c r="DZ4" t="s">
        <v>400</v>
      </c>
      <c r="EA4" s="26" t="s">
        <v>731</v>
      </c>
      <c r="EB4" s="26" t="s">
        <v>388</v>
      </c>
    </row>
    <row r="5">
      <c r="A5" s="190" t="s">
        <v>931</v>
      </c>
      <c r="B5" t="s">
        <v>282</v>
      </c>
      <c r="C5" t="s">
        <v>281</v>
      </c>
      <c r="D5" t="s">
        <v>325</v>
      </c>
      <c r="E5" t="s">
        <v>330</v>
      </c>
      <c r="F5" t="s">
        <v>339</v>
      </c>
      <c r="G5" t="s">
        <v>347</v>
      </c>
      <c r="H5" t="s">
        <v>314</v>
      </c>
      <c r="I5" t="s">
        <v>210</v>
      </c>
      <c r="J5" t="s">
        <v>362</v>
      </c>
      <c r="K5" t="s">
        <v>267</v>
      </c>
      <c r="L5" t="s">
        <v>195</v>
      </c>
      <c r="M5" t="s">
        <v>374</v>
      </c>
      <c r="N5" t="s">
        <v>289</v>
      </c>
      <c r="O5" t="s">
        <v>206</v>
      </c>
      <c r="P5" t="s">
        <v>331</v>
      </c>
      <c r="Q5" t="s">
        <v>340</v>
      </c>
      <c r="R5" t="s">
        <v>348</v>
      </c>
      <c r="S5" t="s">
        <v>353</v>
      </c>
      <c r="T5" t="s">
        <v>357</v>
      </c>
      <c r="U5" t="s">
        <v>363</v>
      </c>
      <c r="V5" t="s">
        <v>367</v>
      </c>
      <c r="W5" t="s">
        <v>370</v>
      </c>
      <c r="X5" t="s">
        <v>308</v>
      </c>
      <c r="Y5" t="s">
        <v>155</v>
      </c>
      <c r="Z5" t="s">
        <v>384</v>
      </c>
      <c r="AA5" t="s">
        <v>259</v>
      </c>
      <c r="AB5" t="s">
        <v>320</v>
      </c>
      <c r="AC5" t="s">
        <v>326</v>
      </c>
      <c r="AD5" t="s">
        <v>217</v>
      </c>
      <c r="AE5" t="s">
        <v>291</v>
      </c>
      <c r="AF5" t="s">
        <v>184</v>
      </c>
      <c r="AG5" t="s">
        <v>354</v>
      </c>
      <c r="AH5" t="s">
        <v>358</v>
      </c>
      <c r="AI5" t="s">
        <v>364</v>
      </c>
      <c r="AJ5" t="s">
        <v>272</v>
      </c>
      <c r="AK5" t="s">
        <v>371</v>
      </c>
      <c r="AL5" t="s">
        <v>321</v>
      </c>
      <c r="AM5" t="s">
        <v>327</v>
      </c>
      <c r="AN5" t="s">
        <v>332</v>
      </c>
      <c r="AO5" t="s">
        <v>341</v>
      </c>
      <c r="AP5" t="s">
        <v>284</v>
      </c>
      <c r="AQ5" t="s">
        <v>294</v>
      </c>
      <c r="AR5" t="s">
        <v>240</v>
      </c>
      <c r="AS5" t="s">
        <v>365</v>
      </c>
      <c r="AT5" t="s">
        <v>368</v>
      </c>
      <c r="AU5" t="s">
        <v>168</v>
      </c>
      <c r="AV5" t="s">
        <v>375</v>
      </c>
      <c r="AW5" t="s">
        <v>381</v>
      </c>
      <c r="AX5" t="s">
        <v>386</v>
      </c>
      <c r="AY5" t="s">
        <v>197</v>
      </c>
      <c r="AZ5" t="s">
        <v>275</v>
      </c>
      <c r="BA5" t="s">
        <v>181</v>
      </c>
      <c r="BB5" t="s">
        <v>334</v>
      </c>
      <c r="BC5" t="s">
        <v>306</v>
      </c>
      <c r="BD5" t="s">
        <v>343</v>
      </c>
      <c r="BE5" t="s">
        <v>204</v>
      </c>
      <c r="BF5" t="s">
        <v>170</v>
      </c>
      <c r="BG5" t="s">
        <v>355</v>
      </c>
      <c r="BH5" t="s">
        <v>338</v>
      </c>
      <c r="BI5" t="s">
        <v>317</v>
      </c>
      <c r="BJ5" t="s">
        <v>366</v>
      </c>
      <c r="BK5" t="s">
        <v>296</v>
      </c>
      <c r="BL5" t="s">
        <v>271</v>
      </c>
      <c r="BM5" t="s">
        <v>378</v>
      </c>
      <c r="BN5" t="s">
        <v>323</v>
      </c>
      <c r="BO5" t="s">
        <v>329</v>
      </c>
      <c r="BP5" t="s">
        <v>335</v>
      </c>
      <c r="BQ5" t="s">
        <v>344</v>
      </c>
      <c r="BR5" t="s">
        <v>285</v>
      </c>
      <c r="BS5" t="s">
        <v>356</v>
      </c>
      <c r="BT5" t="s">
        <v>359</v>
      </c>
      <c r="BU5" s="21" t="s">
        <v>208</v>
      </c>
      <c r="BV5" t="s">
        <v>298</v>
      </c>
      <c r="BW5" t="s">
        <v>176</v>
      </c>
      <c r="BX5" t="s">
        <v>265</v>
      </c>
      <c r="BY5" t="s">
        <v>382</v>
      </c>
      <c r="BZ5" t="s">
        <v>324</v>
      </c>
      <c r="CA5" t="s">
        <v>316</v>
      </c>
      <c r="CB5" t="s">
        <v>336</v>
      </c>
      <c r="CC5" t="s">
        <v>345</v>
      </c>
      <c r="CD5" t="s">
        <v>351</v>
      </c>
      <c r="CE5" t="s">
        <v>120</v>
      </c>
      <c r="CF5" t="s">
        <v>263</v>
      </c>
      <c r="CG5" t="s">
        <v>219</v>
      </c>
      <c r="CH5" t="s">
        <v>349</v>
      </c>
      <c r="CI5" t="s">
        <v>279</v>
      </c>
      <c r="CJ5" t="s">
        <v>304</v>
      </c>
      <c r="CK5" t="s">
        <v>383</v>
      </c>
      <c r="CL5" t="s">
        <v>322</v>
      </c>
      <c r="CM5" t="s">
        <v>328</v>
      </c>
      <c r="CN5" t="s">
        <v>333</v>
      </c>
      <c r="CO5" t="s">
        <v>342</v>
      </c>
      <c r="CP5" t="s">
        <v>54</v>
      </c>
      <c r="CQ5" t="s">
        <v>274</v>
      </c>
      <c r="CR5" t="s">
        <v>311</v>
      </c>
      <c r="CS5" t="s">
        <v>261</v>
      </c>
      <c r="CT5" t="s">
        <v>369</v>
      </c>
      <c r="CU5" t="s">
        <v>372</v>
      </c>
      <c r="CV5" t="s">
        <v>377</v>
      </c>
      <c r="CW5" t="s">
        <v>222</v>
      </c>
      <c r="CX5" t="s">
        <v>287</v>
      </c>
      <c r="CY5" t="s">
        <v>303</v>
      </c>
      <c r="CZ5" t="s">
        <v>337</v>
      </c>
      <c r="DA5" t="s">
        <v>346</v>
      </c>
      <c r="DB5" t="s">
        <v>313</v>
      </c>
      <c r="DC5" t="s">
        <v>283</v>
      </c>
      <c r="DD5" t="s">
        <v>360</v>
      </c>
      <c r="DE5" t="s">
        <v>269</v>
      </c>
      <c r="DF5" t="s">
        <v>173</v>
      </c>
      <c r="DG5" t="s">
        <v>373</v>
      </c>
      <c r="DH5" t="s">
        <v>379</v>
      </c>
      <c r="DI5" t="s">
        <v>214</v>
      </c>
      <c r="DJ5" t="s">
        <v>387</v>
      </c>
      <c r="DK5" t="s">
        <v>309</v>
      </c>
      <c r="DL5" t="s">
        <v>277</v>
      </c>
      <c r="DM5" t="s">
        <v>352</v>
      </c>
      <c r="DN5" t="s">
        <v>257</v>
      </c>
      <c r="DO5" t="s">
        <v>361</v>
      </c>
      <c r="DP5" t="s">
        <v>292</v>
      </c>
      <c r="DQ5" t="s">
        <v>199</v>
      </c>
      <c r="DR5" t="s">
        <v>302</v>
      </c>
      <c r="DS5" t="s">
        <v>380</v>
      </c>
      <c r="DT5" t="s">
        <v>318</v>
      </c>
      <c r="DU5" t="s">
        <v>300</v>
      </c>
      <c r="DV5" t="s">
        <v>398</v>
      </c>
      <c r="DW5" t="s">
        <v>393</v>
      </c>
      <c r="DX5" t="s">
        <v>399</v>
      </c>
      <c r="DY5" t="s">
        <v>394</v>
      </c>
      <c r="DZ5" t="s">
        <v>400</v>
      </c>
      <c r="EA5" t="s">
        <v>401</v>
      </c>
      <c r="EB5" s="143" t="s">
        <v>388</v>
      </c>
    </row>
    <row r="6">
      <c r="A6" s="190" t="s">
        <v>935</v>
      </c>
      <c r="B6" t="s">
        <v>705</v>
      </c>
      <c r="C6" t="s">
        <v>936</v>
      </c>
      <c r="D6" t="s">
        <v>718</v>
      </c>
      <c r="E6" t="s">
        <v>932</v>
      </c>
      <c r="F6" t="s">
        <v>937</v>
      </c>
      <c r="G6" t="s">
        <v>938</v>
      </c>
      <c r="H6" t="s">
        <v>710</v>
      </c>
      <c r="I6" t="s">
        <v>939</v>
      </c>
      <c r="J6" t="s">
        <v>940</v>
      </c>
      <c r="K6" t="s">
        <v>790</v>
      </c>
      <c r="L6" t="s">
        <v>941</v>
      </c>
      <c r="M6" t="s">
        <v>723</v>
      </c>
      <c r="N6" t="s">
        <v>693</v>
      </c>
      <c r="O6" t="s">
        <v>679</v>
      </c>
      <c r="P6" t="s">
        <v>715</v>
      </c>
      <c r="Q6" t="s">
        <v>690</v>
      </c>
      <c r="R6" t="s">
        <v>942</v>
      </c>
      <c r="S6" t="s">
        <v>713</v>
      </c>
      <c r="T6" t="s">
        <v>673</v>
      </c>
      <c r="U6" t="s">
        <v>943</v>
      </c>
      <c r="V6" t="s">
        <v>944</v>
      </c>
      <c r="W6" t="s">
        <v>893</v>
      </c>
      <c r="X6" t="s">
        <v>945</v>
      </c>
      <c r="Y6" t="s">
        <v>888</v>
      </c>
      <c r="Z6" t="s">
        <v>921</v>
      </c>
      <c r="AA6" t="s">
        <v>946</v>
      </c>
      <c r="AB6" t="s">
        <v>688</v>
      </c>
      <c r="AC6" t="s">
        <v>947</v>
      </c>
      <c r="AD6" t="s">
        <v>948</v>
      </c>
      <c r="AE6" t="s">
        <v>685</v>
      </c>
      <c r="AF6" t="s">
        <v>687</v>
      </c>
      <c r="AG6" t="s">
        <v>949</v>
      </c>
      <c r="AH6" t="s">
        <v>682</v>
      </c>
      <c r="AI6" t="s">
        <v>661</v>
      </c>
      <c r="AJ6" t="s">
        <v>681</v>
      </c>
      <c r="AK6" t="s">
        <v>950</v>
      </c>
      <c r="AL6" t="s">
        <v>702</v>
      </c>
      <c r="AM6" t="s">
        <v>671</v>
      </c>
      <c r="AN6" t="s">
        <v>712</v>
      </c>
      <c r="AO6" t="s">
        <v>866</v>
      </c>
      <c r="AP6" t="s">
        <v>667</v>
      </c>
      <c r="AQ6" t="s">
        <v>951</v>
      </c>
      <c r="AR6" t="s">
        <v>700</v>
      </c>
      <c r="AS6" t="s">
        <v>767</v>
      </c>
      <c r="AT6" t="s">
        <v>952</v>
      </c>
      <c r="AU6" t="s">
        <v>658</v>
      </c>
      <c r="AV6" t="s">
        <v>674</v>
      </c>
      <c r="AW6" t="s">
        <v>933</v>
      </c>
      <c r="AX6" t="s">
        <v>953</v>
      </c>
      <c r="AY6" t="s">
        <v>717</v>
      </c>
      <c r="AZ6" t="s">
        <v>868</v>
      </c>
      <c r="BA6" t="s">
        <v>734</v>
      </c>
      <c r="BB6" t="s">
        <v>954</v>
      </c>
      <c r="BC6" t="s">
        <v>955</v>
      </c>
      <c r="BD6" t="s">
        <v>956</v>
      </c>
      <c r="BE6" t="s">
        <v>957</v>
      </c>
      <c r="BF6" t="s">
        <v>958</v>
      </c>
      <c r="BG6" t="s">
        <v>959</v>
      </c>
      <c r="BH6" t="s">
        <v>960</v>
      </c>
      <c r="BI6" t="s">
        <v>703</v>
      </c>
      <c r="BJ6" t="s">
        <v>961</v>
      </c>
      <c r="BK6" t="s">
        <v>962</v>
      </c>
      <c r="BL6" t="s">
        <v>963</v>
      </c>
      <c r="BM6" t="s">
        <v>965</v>
      </c>
      <c r="BN6" t="s">
        <v>663</v>
      </c>
      <c r="BO6" t="s">
        <v>686</v>
      </c>
      <c r="BP6" t="s">
        <v>694</v>
      </c>
      <c r="BQ6" t="s">
        <v>695</v>
      </c>
      <c r="BR6" t="s">
        <v>701</v>
      </c>
      <c r="BS6" t="s">
        <v>726</v>
      </c>
      <c r="BT6" t="s">
        <v>966</v>
      </c>
      <c r="BU6" t="s">
        <v>967</v>
      </c>
      <c r="BV6" t="s">
        <v>968</v>
      </c>
      <c r="BW6" t="s">
        <v>969</v>
      </c>
      <c r="BX6" t="s">
        <v>970</v>
      </c>
      <c r="BY6" t="s">
        <v>971</v>
      </c>
      <c r="BZ6" t="s">
        <v>660</v>
      </c>
      <c r="CA6" t="s">
        <v>691</v>
      </c>
      <c r="CB6" t="s">
        <v>714</v>
      </c>
      <c r="CC6" t="s">
        <v>926</v>
      </c>
      <c r="CD6" t="s">
        <v>972</v>
      </c>
      <c r="CE6" t="s">
        <v>973</v>
      </c>
      <c r="CF6" t="s">
        <v>974</v>
      </c>
      <c r="CG6" t="s">
        <v>975</v>
      </c>
      <c r="CH6" t="s">
        <v>976</v>
      </c>
      <c r="CI6" t="s">
        <v>977</v>
      </c>
      <c r="CJ6" t="s">
        <v>978</v>
      </c>
      <c r="CK6" t="s">
        <v>979</v>
      </c>
      <c r="CL6" t="s">
        <v>672</v>
      </c>
      <c r="CM6" t="s">
        <v>670</v>
      </c>
      <c r="CN6" t="s">
        <v>699</v>
      </c>
      <c r="CO6" t="s">
        <v>711</v>
      </c>
      <c r="CP6" t="s">
        <v>666</v>
      </c>
      <c r="CQ6" t="s">
        <v>708</v>
      </c>
      <c r="CR6" t="s">
        <v>980</v>
      </c>
      <c r="CS6" t="s">
        <v>732</v>
      </c>
      <c r="CT6" t="s">
        <v>689</v>
      </c>
      <c r="CU6" t="s">
        <v>676</v>
      </c>
      <c r="CV6" t="s">
        <v>706</v>
      </c>
      <c r="CW6" t="s">
        <v>981</v>
      </c>
      <c r="CX6" t="s">
        <v>662</v>
      </c>
      <c r="CY6" t="s">
        <v>675</v>
      </c>
      <c r="CZ6" t="s">
        <v>683</v>
      </c>
      <c r="DA6" t="s">
        <v>697</v>
      </c>
      <c r="DB6" t="s">
        <v>659</v>
      </c>
      <c r="DC6" t="s">
        <v>982</v>
      </c>
      <c r="DD6" t="s">
        <v>678</v>
      </c>
      <c r="DE6" t="s">
        <v>698</v>
      </c>
      <c r="DF6" t="s">
        <v>704</v>
      </c>
      <c r="DG6" t="s">
        <v>692</v>
      </c>
      <c r="DH6" t="s">
        <v>707</v>
      </c>
      <c r="DI6" t="s">
        <v>669</v>
      </c>
      <c r="DJ6" t="s">
        <v>684</v>
      </c>
      <c r="DK6" t="s">
        <v>730</v>
      </c>
      <c r="DL6" t="s">
        <v>668</v>
      </c>
      <c r="DM6" t="s">
        <v>677</v>
      </c>
      <c r="DN6" t="s">
        <v>934</v>
      </c>
      <c r="DO6" t="s">
        <v>964</v>
      </c>
      <c r="DP6" t="s">
        <v>983</v>
      </c>
      <c r="DQ6" t="s">
        <v>984</v>
      </c>
      <c r="DR6" t="s">
        <v>985</v>
      </c>
      <c r="DS6" t="s">
        <v>986</v>
      </c>
      <c r="DT6" t="s">
        <v>987</v>
      </c>
      <c r="DU6" t="s">
        <v>709</v>
      </c>
      <c r="DV6" t="s">
        <v>680</v>
      </c>
      <c r="DW6" t="s">
        <v>696</v>
      </c>
      <c r="DX6" t="s">
        <v>988</v>
      </c>
      <c r="DY6" t="s">
        <v>989</v>
      </c>
      <c r="DZ6" t="s">
        <v>664</v>
      </c>
      <c r="EA6" t="s">
        <v>990</v>
      </c>
      <c r="EB6" s="143" t="s">
        <v>991</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4.13"/>
    <col customWidth="1" min="3" max="3" width="55.5"/>
  </cols>
  <sheetData>
    <row r="1">
      <c r="A1" s="192"/>
      <c r="B1" s="48"/>
      <c r="C1" s="26" t="s">
        <v>992</v>
      </c>
    </row>
    <row r="2">
      <c r="A2" s="192"/>
      <c r="B2" s="192"/>
      <c r="C2" s="26"/>
    </row>
    <row r="3">
      <c r="A3" s="192"/>
      <c r="B3" s="41"/>
      <c r="C3" s="26" t="s">
        <v>993</v>
      </c>
    </row>
    <row r="4">
      <c r="A4" s="192"/>
      <c r="B4" s="192"/>
      <c r="C4" s="26"/>
    </row>
    <row r="5">
      <c r="A5" s="192"/>
      <c r="B5" s="29"/>
      <c r="C5" s="26" t="s">
        <v>994</v>
      </c>
    </row>
    <row r="6">
      <c r="A6" s="192"/>
      <c r="B6" s="192"/>
      <c r="C6" s="26"/>
    </row>
    <row r="7">
      <c r="A7" s="192"/>
      <c r="B7" s="51"/>
      <c r="C7" s="26" t="s">
        <v>995</v>
      </c>
    </row>
    <row r="8">
      <c r="A8" s="192"/>
      <c r="B8" s="192"/>
      <c r="C8" s="26"/>
    </row>
    <row r="9">
      <c r="A9" s="192"/>
      <c r="B9" s="193"/>
      <c r="C9" s="26" t="s">
        <v>996</v>
      </c>
    </row>
    <row r="10">
      <c r="A10" s="194"/>
      <c r="B10" s="195"/>
      <c r="C10" s="26" t="s">
        <v>997</v>
      </c>
    </row>
    <row r="11">
      <c r="A11" s="192"/>
      <c r="B11" s="196"/>
      <c r="C11" s="26" t="s">
        <v>998</v>
      </c>
    </row>
    <row r="12">
      <c r="A12" s="192"/>
      <c r="B12" s="197" t="s">
        <v>999</v>
      </c>
      <c r="C12" s="151" t="s">
        <v>1000</v>
      </c>
    </row>
    <row r="13">
      <c r="A13" s="192"/>
      <c r="B13" s="192"/>
      <c r="C13" s="151"/>
    </row>
    <row r="14">
      <c r="A14" s="192"/>
      <c r="B14" s="198"/>
      <c r="C14" s="151" t="s">
        <v>1001</v>
      </c>
    </row>
    <row r="15">
      <c r="B15" s="192"/>
      <c r="C15" s="192"/>
    </row>
    <row r="16">
      <c r="B16" s="192"/>
      <c r="C16" s="19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0.63"/>
    <col customWidth="1" min="2" max="2" width="10.13"/>
    <col customWidth="1" min="3" max="3" width="15.88"/>
    <col customWidth="1" min="4" max="4" width="4.5"/>
    <col customWidth="1" min="5" max="5" width="9.63"/>
    <col customWidth="1" min="6" max="6" width="9.5"/>
    <col customWidth="1" min="7" max="7" width="29.88"/>
    <col customWidth="1" min="8" max="8" width="20.25"/>
    <col customWidth="1" min="9" max="9" width="6.63"/>
    <col customWidth="1" min="10" max="10" width="9.38"/>
    <col customWidth="1" min="11" max="41" width="9.63"/>
  </cols>
  <sheetData>
    <row r="1">
      <c r="A1" s="1" t="s">
        <v>654</v>
      </c>
      <c r="B1" s="89" t="s">
        <v>431</v>
      </c>
      <c r="C1" s="4" t="s">
        <v>0</v>
      </c>
      <c r="D1" s="2" t="s">
        <v>2</v>
      </c>
      <c r="E1" s="2" t="s">
        <v>3</v>
      </c>
      <c r="F1" s="4" t="s">
        <v>4</v>
      </c>
      <c r="G1" s="2" t="s">
        <v>7</v>
      </c>
      <c r="H1" s="2" t="s">
        <v>8</v>
      </c>
      <c r="I1" s="2" t="s">
        <v>9</v>
      </c>
      <c r="J1" s="199" t="s">
        <v>10</v>
      </c>
      <c r="K1" s="10" t="s">
        <v>13</v>
      </c>
      <c r="L1" s="10" t="s">
        <v>15</v>
      </c>
      <c r="M1" s="12" t="s">
        <v>18</v>
      </c>
      <c r="N1" s="2" t="s">
        <v>23</v>
      </c>
      <c r="O1" s="2" t="s">
        <v>24</v>
      </c>
      <c r="P1" s="2" t="s">
        <v>26</v>
      </c>
      <c r="Q1" s="2" t="s">
        <v>27</v>
      </c>
      <c r="R1" s="2" t="s">
        <v>29</v>
      </c>
      <c r="S1" s="2" t="s">
        <v>30</v>
      </c>
      <c r="T1" s="2" t="s">
        <v>31</v>
      </c>
      <c r="U1" s="2" t="s">
        <v>32</v>
      </c>
      <c r="V1" s="2" t="s">
        <v>34</v>
      </c>
      <c r="W1" s="2" t="s">
        <v>35</v>
      </c>
      <c r="X1" s="2" t="s">
        <v>36</v>
      </c>
      <c r="Y1" s="2" t="s">
        <v>37</v>
      </c>
      <c r="Z1" s="2" t="s">
        <v>38</v>
      </c>
      <c r="AA1" s="2" t="s">
        <v>39</v>
      </c>
      <c r="AB1" s="2" t="s">
        <v>40</v>
      </c>
      <c r="AC1" s="2" t="s">
        <v>41</v>
      </c>
      <c r="AD1" s="2" t="s">
        <v>42</v>
      </c>
      <c r="AE1" s="2" t="s">
        <v>43</v>
      </c>
      <c r="AF1" s="2" t="s">
        <v>44</v>
      </c>
      <c r="AG1" s="1" t="s">
        <v>45</v>
      </c>
      <c r="AH1" s="1" t="s">
        <v>46</v>
      </c>
      <c r="AI1" s="1" t="s">
        <v>47</v>
      </c>
      <c r="AJ1" s="1" t="s">
        <v>19</v>
      </c>
      <c r="AK1" s="1" t="s">
        <v>48</v>
      </c>
      <c r="AL1" s="1" t="s">
        <v>49</v>
      </c>
      <c r="AM1" s="1" t="s">
        <v>50</v>
      </c>
      <c r="AN1" s="1" t="s">
        <v>51</v>
      </c>
      <c r="AO1" s="1" t="s">
        <v>52</v>
      </c>
    </row>
    <row r="2">
      <c r="A2" s="200">
        <v>44803.02513327546</v>
      </c>
      <c r="B2" s="19" t="s">
        <v>53</v>
      </c>
      <c r="C2" s="21" t="s">
        <v>168</v>
      </c>
      <c r="D2" s="62">
        <v>0.0</v>
      </c>
      <c r="E2" s="27">
        <v>0.0</v>
      </c>
      <c r="F2" s="27"/>
      <c r="G2" s="201"/>
      <c r="H2" s="27"/>
      <c r="I2" s="27"/>
      <c r="J2" s="33"/>
      <c r="K2" s="33"/>
      <c r="L2" s="66"/>
      <c r="M2" s="27"/>
      <c r="N2" s="27"/>
      <c r="O2" s="27"/>
      <c r="P2" s="27"/>
      <c r="Q2" s="27"/>
      <c r="R2" s="27"/>
      <c r="S2" s="27"/>
      <c r="T2" s="27"/>
      <c r="U2" s="27"/>
      <c r="V2" s="27"/>
      <c r="W2" s="27"/>
      <c r="X2" s="27"/>
      <c r="Y2" s="27"/>
      <c r="Z2" s="27"/>
      <c r="AA2" s="27"/>
      <c r="AB2" s="27"/>
      <c r="AC2" s="27"/>
      <c r="AD2" s="27"/>
      <c r="AE2" s="27"/>
      <c r="AF2" s="27"/>
      <c r="AG2" s="27"/>
      <c r="AH2" s="27">
        <v>0.0</v>
      </c>
      <c r="AI2" s="27">
        <v>0.0</v>
      </c>
      <c r="AJ2" s="27">
        <v>0.0</v>
      </c>
      <c r="AK2" s="27" t="b">
        <v>1</v>
      </c>
      <c r="AL2" s="27">
        <v>59.0</v>
      </c>
      <c r="AM2" s="27" t="s">
        <v>188</v>
      </c>
      <c r="AN2" s="27" t="s">
        <v>404</v>
      </c>
      <c r="AO2" s="27"/>
    </row>
    <row r="3">
      <c r="A3" s="200">
        <v>44803.02513327546</v>
      </c>
      <c r="B3" s="19" t="s">
        <v>53</v>
      </c>
      <c r="C3" s="21" t="s">
        <v>54</v>
      </c>
      <c r="D3" s="62">
        <v>0.0</v>
      </c>
      <c r="E3" s="27">
        <v>0.0</v>
      </c>
      <c r="F3" s="27"/>
      <c r="G3" s="201"/>
      <c r="H3" s="27"/>
      <c r="I3" s="27"/>
      <c r="J3" s="33"/>
      <c r="K3" s="33"/>
      <c r="L3" s="66"/>
      <c r="M3" s="27"/>
      <c r="N3" s="27"/>
      <c r="O3" s="27"/>
      <c r="P3" s="27"/>
      <c r="Q3" s="27"/>
      <c r="R3" s="27"/>
      <c r="S3" s="27"/>
      <c r="T3" s="27"/>
      <c r="U3" s="27"/>
      <c r="V3" s="27"/>
      <c r="W3" s="27"/>
      <c r="X3" s="27"/>
      <c r="Y3" s="27"/>
      <c r="Z3" s="27"/>
      <c r="AA3" s="27"/>
      <c r="AB3" s="27"/>
      <c r="AC3" s="27"/>
      <c r="AD3" s="27"/>
      <c r="AE3" s="27"/>
      <c r="AF3" s="27"/>
      <c r="AG3" s="27"/>
      <c r="AH3" s="27">
        <v>0.0</v>
      </c>
      <c r="AI3" s="27">
        <v>0.0</v>
      </c>
      <c r="AJ3" s="27">
        <v>0.0</v>
      </c>
      <c r="AK3" s="27" t="b">
        <v>1</v>
      </c>
      <c r="AL3" s="27">
        <v>59.0</v>
      </c>
      <c r="AM3" s="27" t="s">
        <v>191</v>
      </c>
      <c r="AN3" s="27" t="s">
        <v>404</v>
      </c>
      <c r="AO3" s="27"/>
    </row>
    <row r="4">
      <c r="A4" s="200">
        <v>44803.02513327546</v>
      </c>
      <c r="B4" s="19" t="s">
        <v>53</v>
      </c>
      <c r="C4" s="21" t="s">
        <v>184</v>
      </c>
      <c r="D4" s="62">
        <v>0.0</v>
      </c>
      <c r="E4" s="27">
        <v>0.0</v>
      </c>
      <c r="F4" s="27"/>
      <c r="G4" s="201"/>
      <c r="H4" s="27"/>
      <c r="I4" s="27"/>
      <c r="J4" s="33"/>
      <c r="K4" s="33"/>
      <c r="L4" s="66"/>
      <c r="M4" s="27"/>
      <c r="N4" s="27"/>
      <c r="O4" s="27"/>
      <c r="P4" s="27"/>
      <c r="Q4" s="27"/>
      <c r="R4" s="27"/>
      <c r="S4" s="27"/>
      <c r="T4" s="27"/>
      <c r="U4" s="27"/>
      <c r="V4" s="27"/>
      <c r="W4" s="27"/>
      <c r="X4" s="27"/>
      <c r="Y4" s="27"/>
      <c r="Z4" s="27"/>
      <c r="AA4" s="27"/>
      <c r="AB4" s="27"/>
      <c r="AC4" s="27"/>
      <c r="AD4" s="27"/>
      <c r="AE4" s="27"/>
      <c r="AF4" s="27"/>
      <c r="AG4" s="27"/>
      <c r="AH4" s="27">
        <v>0.0</v>
      </c>
      <c r="AI4" s="27">
        <v>0.0</v>
      </c>
      <c r="AJ4" s="27">
        <v>0.0</v>
      </c>
      <c r="AK4" s="27" t="b">
        <v>1</v>
      </c>
      <c r="AL4" s="27">
        <v>59.0</v>
      </c>
      <c r="AM4" s="27" t="s">
        <v>187</v>
      </c>
      <c r="AN4" s="27" t="s">
        <v>404</v>
      </c>
      <c r="AO4" s="27"/>
    </row>
    <row r="5">
      <c r="A5" s="200">
        <v>44803.02513327546</v>
      </c>
      <c r="B5" s="19" t="s">
        <v>53</v>
      </c>
      <c r="C5" s="21" t="s">
        <v>155</v>
      </c>
      <c r="D5" s="62">
        <v>0.0</v>
      </c>
      <c r="E5" s="27">
        <v>0.0</v>
      </c>
      <c r="F5" s="27"/>
      <c r="G5" s="201"/>
      <c r="H5" s="27"/>
      <c r="I5" s="27"/>
      <c r="J5" s="33"/>
      <c r="K5" s="33"/>
      <c r="L5" s="66"/>
      <c r="M5" s="27"/>
      <c r="N5" s="27"/>
      <c r="O5" s="27"/>
      <c r="P5" s="27"/>
      <c r="Q5" s="27"/>
      <c r="R5" s="27"/>
      <c r="S5" s="27"/>
      <c r="T5" s="27"/>
      <c r="U5" s="27"/>
      <c r="V5" s="27"/>
      <c r="W5" s="27"/>
      <c r="X5" s="27"/>
      <c r="Y5" s="27"/>
      <c r="Z5" s="27"/>
      <c r="AA5" s="27"/>
      <c r="AB5" s="27"/>
      <c r="AC5" s="27"/>
      <c r="AD5" s="27"/>
      <c r="AE5" s="27"/>
      <c r="AF5" s="27"/>
      <c r="AG5" s="27"/>
      <c r="AH5" s="27">
        <v>0.0</v>
      </c>
      <c r="AI5" s="27">
        <v>0.0</v>
      </c>
      <c r="AJ5" s="27">
        <v>0.0</v>
      </c>
      <c r="AK5" s="27" t="b">
        <v>1</v>
      </c>
      <c r="AL5" s="27">
        <v>59.0</v>
      </c>
      <c r="AM5" s="27" t="s">
        <v>186</v>
      </c>
      <c r="AN5" s="27" t="s">
        <v>404</v>
      </c>
      <c r="AO5" s="27"/>
    </row>
    <row r="6">
      <c r="A6" s="200">
        <v>44803.02513327546</v>
      </c>
      <c r="B6" s="19" t="s">
        <v>53</v>
      </c>
      <c r="C6" s="21" t="s">
        <v>195</v>
      </c>
      <c r="D6" s="62">
        <v>0.0</v>
      </c>
      <c r="E6" s="27">
        <v>0.0</v>
      </c>
      <c r="F6" s="27"/>
      <c r="G6" s="201"/>
      <c r="H6" s="27"/>
      <c r="I6" s="27"/>
      <c r="J6" s="33"/>
      <c r="K6" s="33"/>
      <c r="L6" s="66"/>
      <c r="M6" s="27"/>
      <c r="N6" s="27"/>
      <c r="O6" s="27"/>
      <c r="P6" s="27"/>
      <c r="Q6" s="27"/>
      <c r="R6" s="27"/>
      <c r="S6" s="27"/>
      <c r="T6" s="27"/>
      <c r="U6" s="27"/>
      <c r="V6" s="27"/>
      <c r="W6" s="27"/>
      <c r="X6" s="27"/>
      <c r="Y6" s="27"/>
      <c r="Z6" s="27"/>
      <c r="AA6" s="27"/>
      <c r="AB6" s="27"/>
      <c r="AC6" s="27"/>
      <c r="AD6" s="27"/>
      <c r="AE6" s="27"/>
      <c r="AF6" s="27"/>
      <c r="AG6" s="27"/>
      <c r="AH6" s="27">
        <v>0.0</v>
      </c>
      <c r="AI6" s="27">
        <v>0.0</v>
      </c>
      <c r="AJ6" s="27">
        <v>0.0</v>
      </c>
      <c r="AK6" s="27" t="b">
        <v>1</v>
      </c>
      <c r="AL6" s="27">
        <v>59.0</v>
      </c>
      <c r="AM6" s="27" t="s">
        <v>389</v>
      </c>
      <c r="AN6" s="27" t="s">
        <v>405</v>
      </c>
      <c r="AO6" s="27"/>
    </row>
    <row r="7">
      <c r="A7" s="200">
        <v>44803.02513327546</v>
      </c>
      <c r="B7" s="19" t="s">
        <v>53</v>
      </c>
      <c r="C7" s="21" t="s">
        <v>176</v>
      </c>
      <c r="D7" s="62">
        <v>0.0</v>
      </c>
      <c r="E7" s="27">
        <v>0.0</v>
      </c>
      <c r="F7" s="27"/>
      <c r="G7" s="201"/>
      <c r="H7" s="27"/>
      <c r="I7" s="27"/>
      <c r="J7" s="33"/>
      <c r="K7" s="33"/>
      <c r="L7" s="66"/>
      <c r="M7" s="27"/>
      <c r="N7" s="27"/>
      <c r="O7" s="27"/>
      <c r="P7" s="27"/>
      <c r="Q7" s="27"/>
      <c r="R7" s="27"/>
      <c r="S7" s="27"/>
      <c r="T7" s="27"/>
      <c r="U7" s="27"/>
      <c r="V7" s="27"/>
      <c r="W7" s="27"/>
      <c r="X7" s="27"/>
      <c r="Y7" s="27"/>
      <c r="Z7" s="27"/>
      <c r="AA7" s="27"/>
      <c r="AB7" s="27"/>
      <c r="AC7" s="27"/>
      <c r="AD7" s="27"/>
      <c r="AE7" s="27"/>
      <c r="AF7" s="27"/>
      <c r="AG7" s="27"/>
      <c r="AH7" s="27">
        <v>0.0</v>
      </c>
      <c r="AI7" s="27">
        <v>0.0</v>
      </c>
      <c r="AJ7" s="27">
        <v>0.0</v>
      </c>
      <c r="AK7" s="27" t="b">
        <v>1</v>
      </c>
      <c r="AL7" s="27">
        <v>59.0</v>
      </c>
      <c r="AM7" s="27" t="s">
        <v>190</v>
      </c>
      <c r="AN7" s="27" t="s">
        <v>405</v>
      </c>
      <c r="AO7" s="27"/>
    </row>
    <row r="8">
      <c r="A8" s="200">
        <v>44803.02513327546</v>
      </c>
      <c r="B8" s="19" t="s">
        <v>53</v>
      </c>
      <c r="C8" s="21" t="s">
        <v>170</v>
      </c>
      <c r="D8" s="62">
        <v>0.0</v>
      </c>
      <c r="E8" s="27">
        <v>0.0</v>
      </c>
      <c r="F8" s="27"/>
      <c r="G8" s="201"/>
      <c r="H8" s="27"/>
      <c r="I8" s="27"/>
      <c r="J8" s="33"/>
      <c r="K8" s="33"/>
      <c r="L8" s="66"/>
      <c r="M8" s="27"/>
      <c r="N8" s="27"/>
      <c r="O8" s="27"/>
      <c r="P8" s="27"/>
      <c r="Q8" s="27"/>
      <c r="R8" s="27"/>
      <c r="S8" s="27"/>
      <c r="T8" s="27"/>
      <c r="U8" s="27"/>
      <c r="V8" s="27"/>
      <c r="W8" s="27"/>
      <c r="X8" s="27"/>
      <c r="Y8" s="27"/>
      <c r="Z8" s="27"/>
      <c r="AA8" s="27"/>
      <c r="AB8" s="27"/>
      <c r="AC8" s="27"/>
      <c r="AD8" s="27"/>
      <c r="AE8" s="27"/>
      <c r="AF8" s="27"/>
      <c r="AG8" s="27"/>
      <c r="AH8" s="27">
        <v>0.0</v>
      </c>
      <c r="AI8" s="27">
        <v>0.0</v>
      </c>
      <c r="AJ8" s="27">
        <v>0.0</v>
      </c>
      <c r="AK8" s="27" t="b">
        <v>1</v>
      </c>
      <c r="AL8" s="27">
        <v>59.0</v>
      </c>
      <c r="AM8" s="27" t="s">
        <v>193</v>
      </c>
      <c r="AN8" s="27" t="s">
        <v>405</v>
      </c>
      <c r="AO8" s="27"/>
    </row>
    <row r="9">
      <c r="A9" s="200">
        <v>44803.02513327546</v>
      </c>
      <c r="B9" s="19" t="s">
        <v>53</v>
      </c>
      <c r="C9" s="21" t="s">
        <v>120</v>
      </c>
      <c r="D9" s="62">
        <v>1.0</v>
      </c>
      <c r="E9" s="27">
        <v>0.0</v>
      </c>
      <c r="F9" s="27" t="s">
        <v>1002</v>
      </c>
      <c r="G9" s="201" t="s">
        <v>57</v>
      </c>
      <c r="H9" s="27" t="s">
        <v>109</v>
      </c>
      <c r="I9" s="27"/>
      <c r="J9" s="33">
        <v>-17.5</v>
      </c>
      <c r="K9" s="33">
        <v>-7.0</v>
      </c>
      <c r="L9" s="66"/>
      <c r="M9" s="27"/>
      <c r="N9" s="27"/>
      <c r="O9" s="27"/>
      <c r="P9" s="27"/>
      <c r="Q9" s="27"/>
      <c r="R9" s="27"/>
      <c r="S9" s="27"/>
      <c r="T9" s="27"/>
      <c r="U9" s="27"/>
      <c r="V9" s="27"/>
      <c r="W9" s="27"/>
      <c r="X9" s="27"/>
      <c r="Y9" s="27"/>
      <c r="Z9" s="27"/>
      <c r="AA9" s="27"/>
      <c r="AB9" s="27"/>
      <c r="AC9" s="27"/>
      <c r="AD9" s="27"/>
      <c r="AE9" s="27"/>
      <c r="AF9" s="27"/>
      <c r="AG9" s="27"/>
      <c r="AH9" s="27">
        <v>23.0</v>
      </c>
      <c r="AI9" s="27">
        <v>12.0</v>
      </c>
      <c r="AJ9" s="27">
        <v>2.0</v>
      </c>
      <c r="AK9" s="27" t="b">
        <v>1</v>
      </c>
      <c r="AL9" s="27">
        <v>100.0</v>
      </c>
      <c r="AM9" s="27" t="s">
        <v>129</v>
      </c>
      <c r="AN9" s="27" t="s">
        <v>405</v>
      </c>
      <c r="AO9" s="27"/>
    </row>
    <row r="10">
      <c r="A10" s="200">
        <v>44803.02513327546</v>
      </c>
      <c r="B10" s="19" t="s">
        <v>53</v>
      </c>
      <c r="C10" s="21" t="s">
        <v>181</v>
      </c>
      <c r="D10" s="62">
        <v>1.0</v>
      </c>
      <c r="E10" s="27">
        <v>0.0</v>
      </c>
      <c r="F10" s="27" t="s">
        <v>1003</v>
      </c>
      <c r="G10" s="201" t="s">
        <v>57</v>
      </c>
      <c r="H10" s="27" t="s">
        <v>141</v>
      </c>
      <c r="I10" s="27"/>
      <c r="J10" s="33">
        <v>-5.5</v>
      </c>
      <c r="K10" s="33">
        <v>-7.0</v>
      </c>
      <c r="L10" s="66"/>
      <c r="M10" s="27"/>
      <c r="N10" s="27"/>
      <c r="O10" s="27"/>
      <c r="P10" s="27"/>
      <c r="Q10" s="27"/>
      <c r="R10" s="27"/>
      <c r="S10" s="27"/>
      <c r="T10" s="27"/>
      <c r="U10" s="27"/>
      <c r="V10" s="27"/>
      <c r="W10" s="27"/>
      <c r="X10" s="27"/>
      <c r="Y10" s="27"/>
      <c r="Z10" s="27"/>
      <c r="AA10" s="27"/>
      <c r="AB10" s="27"/>
      <c r="AC10" s="27"/>
      <c r="AD10" s="27"/>
      <c r="AE10" s="27"/>
      <c r="AF10" s="27"/>
      <c r="AG10" s="27"/>
      <c r="AH10" s="27">
        <v>43.0</v>
      </c>
      <c r="AI10" s="27">
        <v>13.0</v>
      </c>
      <c r="AJ10" s="27">
        <v>2.0</v>
      </c>
      <c r="AK10" s="27" t="b">
        <v>1</v>
      </c>
      <c r="AL10" s="27">
        <v>100.0</v>
      </c>
      <c r="AM10" s="27" t="s">
        <v>189</v>
      </c>
      <c r="AN10" s="27" t="s">
        <v>405</v>
      </c>
      <c r="AO10" s="27"/>
    </row>
    <row r="11">
      <c r="A11" s="200">
        <v>44803.02513327546</v>
      </c>
      <c r="B11" s="19" t="s">
        <v>53</v>
      </c>
      <c r="C11" s="21" t="s">
        <v>173</v>
      </c>
      <c r="D11" s="62">
        <v>0.0</v>
      </c>
      <c r="E11" s="27">
        <v>0.0</v>
      </c>
      <c r="F11" s="27"/>
      <c r="G11" s="201"/>
      <c r="H11" s="27"/>
      <c r="I11" s="27"/>
      <c r="J11" s="33"/>
      <c r="K11" s="33"/>
      <c r="L11" s="66"/>
      <c r="M11" s="27"/>
      <c r="N11" s="27"/>
      <c r="O11" s="27"/>
      <c r="P11" s="27"/>
      <c r="Q11" s="27"/>
      <c r="R11" s="27"/>
      <c r="S11" s="27"/>
      <c r="T11" s="27"/>
      <c r="U11" s="27"/>
      <c r="V11" s="27"/>
      <c r="W11" s="27"/>
      <c r="X11" s="27"/>
      <c r="Y11" s="27"/>
      <c r="Z11" s="27"/>
      <c r="AA11" s="27"/>
      <c r="AB11" s="27"/>
      <c r="AC11" s="27"/>
      <c r="AD11" s="27"/>
      <c r="AE11" s="27"/>
      <c r="AF11" s="27"/>
      <c r="AG11" s="27"/>
      <c r="AH11" s="27">
        <v>0.0</v>
      </c>
      <c r="AI11" s="27">
        <v>0.0</v>
      </c>
      <c r="AJ11" s="27">
        <v>3.0</v>
      </c>
      <c r="AK11" s="27" t="b">
        <v>0</v>
      </c>
      <c r="AL11" s="27">
        <v>100.0</v>
      </c>
      <c r="AM11" s="27" t="s">
        <v>192</v>
      </c>
      <c r="AN11" s="27" t="s">
        <v>404</v>
      </c>
      <c r="AO11" s="27"/>
    </row>
    <row r="12">
      <c r="A12" s="200">
        <v>44803.02513327546</v>
      </c>
      <c r="B12" s="19"/>
      <c r="C12" s="21"/>
      <c r="D12" s="62"/>
      <c r="E12" s="27"/>
      <c r="F12" s="27"/>
      <c r="G12" s="201"/>
      <c r="H12" s="27"/>
      <c r="I12" s="27"/>
      <c r="J12" s="33"/>
      <c r="K12" s="33"/>
      <c r="L12" s="66"/>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t="e">
        <v>#N/A</v>
      </c>
      <c r="AN12" s="27" t="e">
        <v>#N/A</v>
      </c>
      <c r="AO12" s="27"/>
    </row>
    <row r="13">
      <c r="A13" s="200">
        <v>44803.02513327546</v>
      </c>
      <c r="B13" s="19" t="s">
        <v>131</v>
      </c>
      <c r="C13" s="21" t="s">
        <v>206</v>
      </c>
      <c r="D13" s="62">
        <v>0.0</v>
      </c>
      <c r="E13" s="27">
        <v>0.0</v>
      </c>
      <c r="F13" s="27"/>
      <c r="G13" s="201"/>
      <c r="H13" s="27"/>
      <c r="I13" s="27"/>
      <c r="J13" s="33"/>
      <c r="K13" s="33"/>
      <c r="L13" s="66"/>
      <c r="M13" s="27"/>
      <c r="N13" s="27"/>
      <c r="O13" s="27"/>
      <c r="P13" s="27"/>
      <c r="Q13" s="27"/>
      <c r="R13" s="27"/>
      <c r="S13" s="27"/>
      <c r="T13" s="27"/>
      <c r="U13" s="27"/>
      <c r="V13" s="27"/>
      <c r="W13" s="27"/>
      <c r="X13" s="27"/>
      <c r="Y13" s="27"/>
      <c r="Z13" s="27"/>
      <c r="AA13" s="27"/>
      <c r="AB13" s="27"/>
      <c r="AC13" s="27"/>
      <c r="AD13" s="27"/>
      <c r="AE13" s="27"/>
      <c r="AF13" s="27"/>
      <c r="AG13" s="27"/>
      <c r="AH13" s="27">
        <v>0.0</v>
      </c>
      <c r="AI13" s="27">
        <v>0.0</v>
      </c>
      <c r="AJ13" s="27">
        <v>0.0</v>
      </c>
      <c r="AK13" s="27" t="b">
        <v>1</v>
      </c>
      <c r="AL13" s="27">
        <v>59.0</v>
      </c>
      <c r="AM13" s="27" t="s">
        <v>186</v>
      </c>
      <c r="AN13" s="27" t="s">
        <v>404</v>
      </c>
      <c r="AO13" s="27"/>
    </row>
    <row r="14">
      <c r="A14" s="200">
        <v>44803.02513327546</v>
      </c>
      <c r="B14" s="19" t="s">
        <v>131</v>
      </c>
      <c r="C14" s="21" t="s">
        <v>208</v>
      </c>
      <c r="D14" s="62">
        <v>0.0</v>
      </c>
      <c r="E14" s="27">
        <v>0.0</v>
      </c>
      <c r="F14" s="27"/>
      <c r="G14" s="201"/>
      <c r="H14" s="27"/>
      <c r="I14" s="27"/>
      <c r="J14" s="33"/>
      <c r="K14" s="33"/>
      <c r="L14" s="66"/>
      <c r="M14" s="27"/>
      <c r="N14" s="27"/>
      <c r="O14" s="27"/>
      <c r="P14" s="27"/>
      <c r="Q14" s="27"/>
      <c r="R14" s="27"/>
      <c r="S14" s="27"/>
      <c r="T14" s="27"/>
      <c r="U14" s="27"/>
      <c r="V14" s="27"/>
      <c r="W14" s="27"/>
      <c r="X14" s="27"/>
      <c r="Y14" s="27"/>
      <c r="Z14" s="27"/>
      <c r="AA14" s="27"/>
      <c r="AB14" s="27"/>
      <c r="AC14" s="27"/>
      <c r="AD14" s="27"/>
      <c r="AE14" s="27"/>
      <c r="AF14" s="27"/>
      <c r="AG14" s="27"/>
      <c r="AH14" s="27">
        <v>0.0</v>
      </c>
      <c r="AI14" s="27">
        <v>0.0</v>
      </c>
      <c r="AJ14" s="27">
        <v>0.0</v>
      </c>
      <c r="AK14" s="27" t="b">
        <v>1</v>
      </c>
      <c r="AL14" s="27">
        <v>59.0</v>
      </c>
      <c r="AM14" s="27" t="s">
        <v>190</v>
      </c>
      <c r="AN14" s="27" t="s">
        <v>405</v>
      </c>
      <c r="AO14" s="27"/>
    </row>
    <row r="15">
      <c r="A15" s="200">
        <v>44803.02513327546</v>
      </c>
      <c r="B15" s="19" t="s">
        <v>131</v>
      </c>
      <c r="C15" s="21" t="s">
        <v>219</v>
      </c>
      <c r="D15" s="62">
        <v>0.0</v>
      </c>
      <c r="E15" s="27">
        <v>0.0</v>
      </c>
      <c r="F15" s="27"/>
      <c r="G15" s="201"/>
      <c r="H15" s="27"/>
      <c r="I15" s="27"/>
      <c r="J15" s="33"/>
      <c r="K15" s="33"/>
      <c r="L15" s="66"/>
      <c r="M15" s="27"/>
      <c r="N15" s="27"/>
      <c r="O15" s="27"/>
      <c r="P15" s="27"/>
      <c r="Q15" s="27"/>
      <c r="R15" s="27"/>
      <c r="S15" s="27"/>
      <c r="T15" s="27"/>
      <c r="U15" s="27"/>
      <c r="V15" s="27"/>
      <c r="W15" s="27"/>
      <c r="X15" s="27"/>
      <c r="Y15" s="27"/>
      <c r="Z15" s="27"/>
      <c r="AA15" s="27"/>
      <c r="AB15" s="27"/>
      <c r="AC15" s="27"/>
      <c r="AD15" s="27"/>
      <c r="AE15" s="27"/>
      <c r="AF15" s="27"/>
      <c r="AG15" s="27"/>
      <c r="AH15" s="27">
        <v>0.0</v>
      </c>
      <c r="AI15" s="27">
        <v>0.0</v>
      </c>
      <c r="AJ15" s="27">
        <v>0.0</v>
      </c>
      <c r="AK15" s="27" t="b">
        <v>1</v>
      </c>
      <c r="AL15" s="27">
        <v>59.0</v>
      </c>
      <c r="AM15" s="27" t="s">
        <v>129</v>
      </c>
      <c r="AN15" s="27" t="s">
        <v>405</v>
      </c>
      <c r="AO15" s="27"/>
    </row>
    <row r="16">
      <c r="A16" s="200">
        <v>44803.02513327546</v>
      </c>
      <c r="B16" s="19" t="s">
        <v>131</v>
      </c>
      <c r="C16" s="21" t="s">
        <v>197</v>
      </c>
      <c r="D16" s="62">
        <v>0.0</v>
      </c>
      <c r="E16" s="27">
        <v>0.0</v>
      </c>
      <c r="F16" s="27"/>
      <c r="G16" s="201"/>
      <c r="H16" s="27"/>
      <c r="I16" s="27"/>
      <c r="J16" s="33"/>
      <c r="K16" s="33"/>
      <c r="L16" s="66"/>
      <c r="M16" s="27"/>
      <c r="N16" s="27"/>
      <c r="O16" s="27"/>
      <c r="P16" s="27"/>
      <c r="Q16" s="27"/>
      <c r="R16" s="27"/>
      <c r="S16" s="27"/>
      <c r="T16" s="27"/>
      <c r="U16" s="27"/>
      <c r="V16" s="27"/>
      <c r="W16" s="27"/>
      <c r="X16" s="27"/>
      <c r="Y16" s="27"/>
      <c r="Z16" s="27"/>
      <c r="AA16" s="27"/>
      <c r="AB16" s="27"/>
      <c r="AC16" s="27"/>
      <c r="AD16" s="27"/>
      <c r="AE16" s="27"/>
      <c r="AF16" s="27"/>
      <c r="AG16" s="27"/>
      <c r="AH16" s="27">
        <v>0.0</v>
      </c>
      <c r="AI16" s="27">
        <v>0.0</v>
      </c>
      <c r="AJ16" s="27">
        <v>0.0</v>
      </c>
      <c r="AK16" s="27" t="b">
        <v>1</v>
      </c>
      <c r="AL16" s="27">
        <v>59.0</v>
      </c>
      <c r="AM16" s="27" t="s">
        <v>188</v>
      </c>
      <c r="AN16" s="27" t="s">
        <v>404</v>
      </c>
      <c r="AO16" s="27"/>
    </row>
    <row r="17">
      <c r="A17" s="200">
        <v>44803.02513327546</v>
      </c>
      <c r="B17" s="19" t="s">
        <v>131</v>
      </c>
      <c r="C17" s="21" t="s">
        <v>222</v>
      </c>
      <c r="D17" s="62">
        <v>0.0</v>
      </c>
      <c r="E17" s="27">
        <v>0.0</v>
      </c>
      <c r="F17" s="27"/>
      <c r="G17" s="201"/>
      <c r="H17" s="27"/>
      <c r="I17" s="27"/>
      <c r="J17" s="33"/>
      <c r="K17" s="33"/>
      <c r="L17" s="66"/>
      <c r="M17" s="27"/>
      <c r="N17" s="27"/>
      <c r="O17" s="27"/>
      <c r="P17" s="27"/>
      <c r="Q17" s="27"/>
      <c r="R17" s="27"/>
      <c r="S17" s="27"/>
      <c r="T17" s="27"/>
      <c r="U17" s="27"/>
      <c r="V17" s="27"/>
      <c r="W17" s="27"/>
      <c r="X17" s="27"/>
      <c r="Y17" s="27"/>
      <c r="Z17" s="27"/>
      <c r="AA17" s="27"/>
      <c r="AB17" s="27"/>
      <c r="AC17" s="27"/>
      <c r="AD17" s="27"/>
      <c r="AE17" s="27"/>
      <c r="AF17" s="27"/>
      <c r="AG17" s="27"/>
      <c r="AH17" s="27">
        <v>0.0</v>
      </c>
      <c r="AI17" s="27">
        <v>0.0</v>
      </c>
      <c r="AJ17" s="27">
        <v>0.0</v>
      </c>
      <c r="AK17" s="27" t="b">
        <v>1</v>
      </c>
      <c r="AL17" s="27">
        <v>59.0</v>
      </c>
      <c r="AM17" s="27" t="s">
        <v>191</v>
      </c>
      <c r="AN17" s="27" t="s">
        <v>404</v>
      </c>
      <c r="AO17" s="27"/>
    </row>
    <row r="18">
      <c r="A18" s="200">
        <v>44803.02513327546</v>
      </c>
      <c r="B18" s="19" t="s">
        <v>131</v>
      </c>
      <c r="C18" s="21" t="s">
        <v>210</v>
      </c>
      <c r="D18" s="62">
        <v>0.0</v>
      </c>
      <c r="E18" s="27">
        <v>0.0</v>
      </c>
      <c r="F18" s="27"/>
      <c r="G18" s="201"/>
      <c r="H18" s="27"/>
      <c r="I18" s="27"/>
      <c r="J18" s="33"/>
      <c r="K18" s="33"/>
      <c r="L18" s="66"/>
      <c r="M18" s="27"/>
      <c r="N18" s="27"/>
      <c r="O18" s="27"/>
      <c r="P18" s="27"/>
      <c r="Q18" s="27"/>
      <c r="R18" s="27"/>
      <c r="S18" s="27"/>
      <c r="T18" s="27"/>
      <c r="U18" s="27"/>
      <c r="V18" s="27"/>
      <c r="W18" s="27"/>
      <c r="X18" s="27"/>
      <c r="Y18" s="27"/>
      <c r="Z18" s="27"/>
      <c r="AA18" s="27"/>
      <c r="AB18" s="27"/>
      <c r="AC18" s="27"/>
      <c r="AD18" s="27"/>
      <c r="AE18" s="27"/>
      <c r="AF18" s="27"/>
      <c r="AG18" s="27"/>
      <c r="AH18" s="27">
        <v>0.0</v>
      </c>
      <c r="AI18" s="27">
        <v>0.0</v>
      </c>
      <c r="AJ18" s="27">
        <v>0.0</v>
      </c>
      <c r="AK18" s="27" t="b">
        <v>1</v>
      </c>
      <c r="AL18" s="27">
        <v>59.0</v>
      </c>
      <c r="AM18" s="27" t="s">
        <v>389</v>
      </c>
      <c r="AN18" s="27" t="s">
        <v>405</v>
      </c>
      <c r="AO18" s="27"/>
    </row>
    <row r="19">
      <c r="A19" s="200">
        <v>44803.02513327546</v>
      </c>
      <c r="B19" s="19" t="s">
        <v>131</v>
      </c>
      <c r="C19" s="21" t="s">
        <v>217</v>
      </c>
      <c r="D19" s="62">
        <v>0.0</v>
      </c>
      <c r="E19" s="27">
        <v>0.0</v>
      </c>
      <c r="F19" s="27"/>
      <c r="G19" s="201"/>
      <c r="H19" s="27"/>
      <c r="I19" s="27"/>
      <c r="J19" s="33"/>
      <c r="K19" s="33"/>
      <c r="L19" s="66"/>
      <c r="M19" s="27"/>
      <c r="N19" s="27"/>
      <c r="O19" s="27"/>
      <c r="P19" s="27"/>
      <c r="Q19" s="27"/>
      <c r="R19" s="27"/>
      <c r="S19" s="27"/>
      <c r="T19" s="27"/>
      <c r="U19" s="27"/>
      <c r="V19" s="27"/>
      <c r="W19" s="27"/>
      <c r="X19" s="27"/>
      <c r="Y19" s="27"/>
      <c r="Z19" s="27"/>
      <c r="AA19" s="27"/>
      <c r="AB19" s="27"/>
      <c r="AC19" s="27"/>
      <c r="AD19" s="27"/>
      <c r="AE19" s="27"/>
      <c r="AF19" s="27"/>
      <c r="AG19" s="27"/>
      <c r="AH19" s="27">
        <v>0.0</v>
      </c>
      <c r="AI19" s="27">
        <v>0.0</v>
      </c>
      <c r="AJ19" s="27">
        <v>0.0</v>
      </c>
      <c r="AK19" s="27" t="b">
        <v>1</v>
      </c>
      <c r="AL19" s="27">
        <v>59.0</v>
      </c>
      <c r="AM19" s="27" t="s">
        <v>187</v>
      </c>
      <c r="AN19" s="27" t="s">
        <v>404</v>
      </c>
      <c r="AO19" s="27"/>
    </row>
    <row r="20">
      <c r="A20" s="200">
        <v>44803.02513327546</v>
      </c>
      <c r="B20" s="19" t="s">
        <v>131</v>
      </c>
      <c r="C20" s="21" t="s">
        <v>199</v>
      </c>
      <c r="D20" s="62">
        <v>0.0</v>
      </c>
      <c r="E20" s="27">
        <v>0.0</v>
      </c>
      <c r="F20" s="27"/>
      <c r="G20" s="201"/>
      <c r="H20" s="27"/>
      <c r="I20" s="27"/>
      <c r="J20" s="33"/>
      <c r="K20" s="33"/>
      <c r="L20" s="66"/>
      <c r="M20" s="27"/>
      <c r="N20" s="27"/>
      <c r="O20" s="27"/>
      <c r="P20" s="27"/>
      <c r="Q20" s="27"/>
      <c r="R20" s="27"/>
      <c r="S20" s="27"/>
      <c r="T20" s="27"/>
      <c r="U20" s="27"/>
      <c r="V20" s="27"/>
      <c r="W20" s="27"/>
      <c r="X20" s="27"/>
      <c r="Y20" s="27"/>
      <c r="Z20" s="27"/>
      <c r="AA20" s="27"/>
      <c r="AB20" s="27"/>
      <c r="AC20" s="27"/>
      <c r="AD20" s="27"/>
      <c r="AE20" s="27"/>
      <c r="AF20" s="27"/>
      <c r="AG20" s="27"/>
      <c r="AH20" s="27">
        <v>0.0</v>
      </c>
      <c r="AI20" s="27">
        <v>0.0</v>
      </c>
      <c r="AJ20" s="27">
        <v>0.0</v>
      </c>
      <c r="AK20" s="27" t="b">
        <v>1</v>
      </c>
      <c r="AL20" s="27">
        <v>59.0</v>
      </c>
      <c r="AM20" s="27" t="s">
        <v>193</v>
      </c>
      <c r="AN20" s="27" t="s">
        <v>405</v>
      </c>
      <c r="AO20" s="27"/>
    </row>
    <row r="21">
      <c r="A21" s="200">
        <v>44803.02513327546</v>
      </c>
      <c r="B21" s="19" t="s">
        <v>131</v>
      </c>
      <c r="C21" s="21" t="s">
        <v>204</v>
      </c>
      <c r="D21" s="62">
        <v>1.0</v>
      </c>
      <c r="E21" s="27">
        <v>0.0</v>
      </c>
      <c r="F21" s="27" t="s">
        <v>1005</v>
      </c>
      <c r="G21" s="201" t="s">
        <v>57</v>
      </c>
      <c r="H21" s="27" t="s">
        <v>154</v>
      </c>
      <c r="I21" s="27"/>
      <c r="J21" s="33">
        <v>-5.0</v>
      </c>
      <c r="K21" s="33">
        <v>-1.0</v>
      </c>
      <c r="L21" s="66"/>
      <c r="M21" s="27"/>
      <c r="N21" s="27"/>
      <c r="O21" s="27"/>
      <c r="P21" s="27"/>
      <c r="Q21" s="27"/>
      <c r="R21" s="27"/>
      <c r="S21" s="27"/>
      <c r="T21" s="27"/>
      <c r="U21" s="27"/>
      <c r="V21" s="27"/>
      <c r="W21" s="27"/>
      <c r="X21" s="27"/>
      <c r="Y21" s="27"/>
      <c r="Z21" s="27"/>
      <c r="AA21" s="27"/>
      <c r="AB21" s="27"/>
      <c r="AC21" s="27"/>
      <c r="AD21" s="27"/>
      <c r="AE21" s="27"/>
      <c r="AF21" s="27"/>
      <c r="AG21" s="27"/>
      <c r="AH21" s="27">
        <v>31.0</v>
      </c>
      <c r="AI21" s="27">
        <v>13.0</v>
      </c>
      <c r="AJ21" s="27">
        <v>2.0</v>
      </c>
      <c r="AK21" s="27" t="b">
        <v>1</v>
      </c>
      <c r="AL21" s="27">
        <v>100.0</v>
      </c>
      <c r="AM21" s="27" t="s">
        <v>189</v>
      </c>
      <c r="AN21" s="27" t="s">
        <v>405</v>
      </c>
      <c r="AO21" s="27"/>
    </row>
    <row r="22">
      <c r="A22" s="200">
        <v>44803.02513327546</v>
      </c>
      <c r="B22" s="19" t="s">
        <v>131</v>
      </c>
      <c r="C22" s="21" t="s">
        <v>214</v>
      </c>
      <c r="D22" s="62">
        <v>0.0</v>
      </c>
      <c r="E22" s="27">
        <v>0.0</v>
      </c>
      <c r="F22" s="27"/>
      <c r="G22" s="201"/>
      <c r="H22" s="27"/>
      <c r="I22" s="27"/>
      <c r="J22" s="33"/>
      <c r="K22" s="33"/>
      <c r="L22" s="66"/>
      <c r="M22" s="27"/>
      <c r="N22" s="27"/>
      <c r="O22" s="27"/>
      <c r="P22" s="27"/>
      <c r="Q22" s="27"/>
      <c r="R22" s="27"/>
      <c r="S22" s="27"/>
      <c r="T22" s="27"/>
      <c r="U22" s="27"/>
      <c r="V22" s="27"/>
      <c r="W22" s="27"/>
      <c r="X22" s="27"/>
      <c r="Y22" s="27"/>
      <c r="Z22" s="27"/>
      <c r="AA22" s="27"/>
      <c r="AB22" s="27"/>
      <c r="AC22" s="27"/>
      <c r="AD22" s="27"/>
      <c r="AE22" s="27"/>
      <c r="AF22" s="27"/>
      <c r="AG22" s="27"/>
      <c r="AH22" s="27">
        <v>0.0</v>
      </c>
      <c r="AI22" s="27">
        <v>0.0</v>
      </c>
      <c r="AJ22" s="27">
        <v>3.0</v>
      </c>
      <c r="AK22" s="27" t="b">
        <v>0</v>
      </c>
      <c r="AL22" s="27">
        <v>100.0</v>
      </c>
      <c r="AM22" s="27" t="s">
        <v>192</v>
      </c>
      <c r="AN22" s="27" t="s">
        <v>404</v>
      </c>
      <c r="AO22" s="27"/>
    </row>
    <row r="23">
      <c r="A23" s="200">
        <v>44803.02513327546</v>
      </c>
      <c r="B23" s="19"/>
      <c r="C23" s="21"/>
      <c r="D23" s="62"/>
      <c r="E23" s="27"/>
      <c r="F23" s="27"/>
      <c r="G23" s="201"/>
      <c r="H23" s="27"/>
      <c r="I23" s="27"/>
      <c r="J23" s="33"/>
      <c r="K23" s="33"/>
      <c r="L23" s="66"/>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t="e">
        <v>#N/A</v>
      </c>
      <c r="AN23" s="27" t="e">
        <v>#N/A</v>
      </c>
      <c r="AO23" s="27"/>
    </row>
    <row r="24">
      <c r="A24" s="200">
        <v>44803.02513327546</v>
      </c>
      <c r="B24" s="19" t="s">
        <v>178</v>
      </c>
      <c r="C24" s="21" t="s">
        <v>261</v>
      </c>
      <c r="D24" s="62">
        <v>0.0</v>
      </c>
      <c r="E24" s="27">
        <v>0.0</v>
      </c>
      <c r="F24" s="27"/>
      <c r="G24" s="201"/>
      <c r="H24" s="27"/>
      <c r="I24" s="27"/>
      <c r="J24" s="33"/>
      <c r="K24" s="33"/>
      <c r="L24" s="66"/>
      <c r="M24" s="27"/>
      <c r="N24" s="27"/>
      <c r="O24" s="27"/>
      <c r="P24" s="27"/>
      <c r="Q24" s="27"/>
      <c r="R24" s="27"/>
      <c r="S24" s="27"/>
      <c r="T24" s="27"/>
      <c r="U24" s="27"/>
      <c r="V24" s="27"/>
      <c r="W24" s="27"/>
      <c r="X24" s="27"/>
      <c r="Y24" s="27"/>
      <c r="Z24" s="27"/>
      <c r="AA24" s="27"/>
      <c r="AB24" s="27"/>
      <c r="AC24" s="27"/>
      <c r="AD24" s="27"/>
      <c r="AE24" s="27"/>
      <c r="AF24" s="27"/>
      <c r="AG24" s="27"/>
      <c r="AH24" s="27">
        <v>0.0</v>
      </c>
      <c r="AI24" s="27">
        <v>0.0</v>
      </c>
      <c r="AJ24" s="27">
        <v>0.0</v>
      </c>
      <c r="AK24" s="27" t="b">
        <v>1</v>
      </c>
      <c r="AL24" s="27">
        <v>59.0</v>
      </c>
      <c r="AM24" s="27" t="s">
        <v>191</v>
      </c>
      <c r="AN24" s="27" t="s">
        <v>404</v>
      </c>
      <c r="AO24" s="27"/>
    </row>
    <row r="25">
      <c r="A25" s="200">
        <v>44803.02513327546</v>
      </c>
      <c r="B25" s="19" t="s">
        <v>178</v>
      </c>
      <c r="C25" s="21" t="s">
        <v>267</v>
      </c>
      <c r="D25" s="62">
        <v>0.0</v>
      </c>
      <c r="E25" s="27">
        <v>0.0</v>
      </c>
      <c r="F25" s="27"/>
      <c r="G25" s="201"/>
      <c r="H25" s="27"/>
      <c r="I25" s="27"/>
      <c r="J25" s="33"/>
      <c r="K25" s="33"/>
      <c r="L25" s="66"/>
      <c r="M25" s="27"/>
      <c r="N25" s="27"/>
      <c r="O25" s="27"/>
      <c r="P25" s="27"/>
      <c r="Q25" s="27"/>
      <c r="R25" s="27"/>
      <c r="S25" s="27"/>
      <c r="T25" s="27"/>
      <c r="U25" s="27"/>
      <c r="V25" s="27"/>
      <c r="W25" s="27"/>
      <c r="X25" s="27"/>
      <c r="Y25" s="27"/>
      <c r="Z25" s="27"/>
      <c r="AA25" s="27"/>
      <c r="AB25" s="27"/>
      <c r="AC25" s="27"/>
      <c r="AD25" s="27"/>
      <c r="AE25" s="27"/>
      <c r="AF25" s="27"/>
      <c r="AG25" s="27"/>
      <c r="AH25" s="27">
        <v>0.0</v>
      </c>
      <c r="AI25" s="27">
        <v>0.0</v>
      </c>
      <c r="AJ25" s="27">
        <v>0.0</v>
      </c>
      <c r="AK25" s="27" t="b">
        <v>1</v>
      </c>
      <c r="AL25" s="27">
        <v>59.0</v>
      </c>
      <c r="AM25" s="27" t="s">
        <v>389</v>
      </c>
      <c r="AN25" s="27" t="s">
        <v>405</v>
      </c>
      <c r="AO25" s="27"/>
    </row>
    <row r="26">
      <c r="A26" s="200">
        <v>44803.02513327546</v>
      </c>
      <c r="B26" s="19" t="s">
        <v>178</v>
      </c>
      <c r="C26" s="21" t="s">
        <v>272</v>
      </c>
      <c r="D26" s="62">
        <v>0.0</v>
      </c>
      <c r="E26" s="27">
        <v>0.0</v>
      </c>
      <c r="F26" s="27"/>
      <c r="G26" s="201"/>
      <c r="H26" s="27"/>
      <c r="I26" s="27"/>
      <c r="J26" s="33"/>
      <c r="K26" s="33"/>
      <c r="L26" s="66"/>
      <c r="M26" s="27"/>
      <c r="N26" s="27"/>
      <c r="O26" s="27"/>
      <c r="P26" s="27"/>
      <c r="Q26" s="27"/>
      <c r="R26" s="27"/>
      <c r="S26" s="27"/>
      <c r="T26" s="27"/>
      <c r="U26" s="27"/>
      <c r="V26" s="27"/>
      <c r="W26" s="27"/>
      <c r="X26" s="27"/>
      <c r="Y26" s="27"/>
      <c r="Z26" s="27"/>
      <c r="AA26" s="27"/>
      <c r="AB26" s="27"/>
      <c r="AC26" s="27"/>
      <c r="AD26" s="27"/>
      <c r="AE26" s="27"/>
      <c r="AF26" s="27"/>
      <c r="AG26" s="27"/>
      <c r="AH26" s="27">
        <v>0.0</v>
      </c>
      <c r="AI26" s="27">
        <v>0.0</v>
      </c>
      <c r="AJ26" s="27">
        <v>0.0</v>
      </c>
      <c r="AK26" s="27" t="b">
        <v>1</v>
      </c>
      <c r="AL26" s="27">
        <v>59.0</v>
      </c>
      <c r="AM26" s="27" t="s">
        <v>187</v>
      </c>
      <c r="AN26" s="27" t="s">
        <v>404</v>
      </c>
      <c r="AO26" s="27"/>
    </row>
    <row r="27">
      <c r="A27" s="200">
        <v>44803.02513327546</v>
      </c>
      <c r="B27" s="19" t="s">
        <v>178</v>
      </c>
      <c r="C27" s="21" t="s">
        <v>257</v>
      </c>
      <c r="D27" s="62">
        <v>0.0</v>
      </c>
      <c r="E27" s="27">
        <v>0.0</v>
      </c>
      <c r="F27" s="27"/>
      <c r="G27" s="201"/>
      <c r="H27" s="27"/>
      <c r="I27" s="27"/>
      <c r="J27" s="33"/>
      <c r="K27" s="33"/>
      <c r="L27" s="66"/>
      <c r="M27" s="27"/>
      <c r="N27" s="27"/>
      <c r="O27" s="27"/>
      <c r="P27" s="27"/>
      <c r="Q27" s="27"/>
      <c r="R27" s="27"/>
      <c r="S27" s="27"/>
      <c r="T27" s="27"/>
      <c r="U27" s="27"/>
      <c r="V27" s="27"/>
      <c r="W27" s="27"/>
      <c r="X27" s="27"/>
      <c r="Y27" s="27"/>
      <c r="Z27" s="27"/>
      <c r="AA27" s="27"/>
      <c r="AB27" s="27"/>
      <c r="AC27" s="27"/>
      <c r="AD27" s="27"/>
      <c r="AE27" s="27"/>
      <c r="AF27" s="27"/>
      <c r="AG27" s="27"/>
      <c r="AH27" s="27">
        <v>0.0</v>
      </c>
      <c r="AI27" s="27">
        <v>0.0</v>
      </c>
      <c r="AJ27" s="27">
        <v>0.0</v>
      </c>
      <c r="AK27" s="27" t="b">
        <v>1</v>
      </c>
      <c r="AL27" s="27">
        <v>59.0</v>
      </c>
      <c r="AM27" s="27" t="s">
        <v>193</v>
      </c>
      <c r="AN27" s="27" t="s">
        <v>405</v>
      </c>
      <c r="AO27" s="27"/>
    </row>
    <row r="28">
      <c r="A28" s="200">
        <v>44803.02513327546</v>
      </c>
      <c r="B28" s="19" t="s">
        <v>178</v>
      </c>
      <c r="C28" s="21" t="s">
        <v>269</v>
      </c>
      <c r="D28" s="62">
        <v>0.0</v>
      </c>
      <c r="E28" s="27">
        <v>0.0</v>
      </c>
      <c r="F28" s="27"/>
      <c r="G28" s="201"/>
      <c r="H28" s="27"/>
      <c r="I28" s="27"/>
      <c r="J28" s="33"/>
      <c r="K28" s="33"/>
      <c r="L28" s="66"/>
      <c r="M28" s="27"/>
      <c r="N28" s="27"/>
      <c r="O28" s="27"/>
      <c r="P28" s="27"/>
      <c r="Q28" s="27"/>
      <c r="R28" s="27"/>
      <c r="S28" s="27"/>
      <c r="T28" s="27"/>
      <c r="U28" s="27"/>
      <c r="V28" s="27"/>
      <c r="W28" s="27"/>
      <c r="X28" s="27"/>
      <c r="Y28" s="27"/>
      <c r="Z28" s="27"/>
      <c r="AA28" s="27"/>
      <c r="AB28" s="27"/>
      <c r="AC28" s="27"/>
      <c r="AD28" s="27"/>
      <c r="AE28" s="27"/>
      <c r="AF28" s="27"/>
      <c r="AG28" s="27"/>
      <c r="AH28" s="27">
        <v>0.0</v>
      </c>
      <c r="AI28" s="27">
        <v>0.0</v>
      </c>
      <c r="AJ28" s="27">
        <v>0.0</v>
      </c>
      <c r="AK28" s="27" t="b">
        <v>1</v>
      </c>
      <c r="AL28" s="27">
        <v>59.0</v>
      </c>
      <c r="AM28" s="27" t="s">
        <v>192</v>
      </c>
      <c r="AN28" s="27" t="s">
        <v>404</v>
      </c>
      <c r="AO28" s="27"/>
    </row>
    <row r="29">
      <c r="A29" s="200">
        <v>44803.02513327546</v>
      </c>
      <c r="B29" s="19" t="s">
        <v>178</v>
      </c>
      <c r="C29" s="21" t="s">
        <v>263</v>
      </c>
      <c r="D29" s="62">
        <v>0.0</v>
      </c>
      <c r="E29" s="27">
        <v>0.0</v>
      </c>
      <c r="F29" s="27"/>
      <c r="G29" s="201"/>
      <c r="H29" s="27"/>
      <c r="I29" s="27"/>
      <c r="J29" s="33"/>
      <c r="K29" s="33"/>
      <c r="L29" s="66"/>
      <c r="M29" s="27"/>
      <c r="N29" s="27"/>
      <c r="O29" s="27"/>
      <c r="P29" s="27"/>
      <c r="Q29" s="27"/>
      <c r="R29" s="27"/>
      <c r="S29" s="27"/>
      <c r="T29" s="27"/>
      <c r="U29" s="27"/>
      <c r="V29" s="27"/>
      <c r="W29" s="27"/>
      <c r="X29" s="27"/>
      <c r="Y29" s="27"/>
      <c r="Z29" s="27"/>
      <c r="AA29" s="27"/>
      <c r="AB29" s="27"/>
      <c r="AC29" s="27"/>
      <c r="AD29" s="27"/>
      <c r="AE29" s="27"/>
      <c r="AF29" s="27"/>
      <c r="AG29" s="27"/>
      <c r="AH29" s="27">
        <v>0.0</v>
      </c>
      <c r="AI29" s="27">
        <v>0.0</v>
      </c>
      <c r="AJ29" s="27">
        <v>0.0</v>
      </c>
      <c r="AK29" s="27" t="b">
        <v>1</v>
      </c>
      <c r="AL29" s="27">
        <v>59.0</v>
      </c>
      <c r="AM29" s="27" t="s">
        <v>129</v>
      </c>
      <c r="AN29" s="27" t="s">
        <v>405</v>
      </c>
      <c r="AO29" s="27"/>
    </row>
    <row r="30">
      <c r="A30" s="200">
        <v>44803.02513327546</v>
      </c>
      <c r="B30" s="19" t="s">
        <v>178</v>
      </c>
      <c r="C30" s="21" t="s">
        <v>271</v>
      </c>
      <c r="D30" s="62">
        <v>1.0</v>
      </c>
      <c r="E30" s="27">
        <v>0.0</v>
      </c>
      <c r="F30" s="27" t="s">
        <v>1023</v>
      </c>
      <c r="G30" s="201" t="s">
        <v>57</v>
      </c>
      <c r="H30" s="27"/>
      <c r="I30" s="27"/>
      <c r="J30" s="33">
        <v>-20.5</v>
      </c>
      <c r="K30" s="33">
        <v>-27.5</v>
      </c>
      <c r="L30" s="66">
        <v>67.5</v>
      </c>
      <c r="M30" s="27">
        <v>-0.27</v>
      </c>
      <c r="N30" s="27">
        <v>-28.5</v>
      </c>
      <c r="O30" s="27"/>
      <c r="P30" s="27">
        <v>-27.5</v>
      </c>
      <c r="Q30" s="27"/>
      <c r="R30" s="27">
        <v>-28.0</v>
      </c>
      <c r="S30" s="27"/>
      <c r="T30" s="27">
        <v>-28.0</v>
      </c>
      <c r="U30" s="27"/>
      <c r="V30" s="27">
        <v>-27.5</v>
      </c>
      <c r="W30" s="27"/>
      <c r="X30" s="27">
        <v>-27.5</v>
      </c>
      <c r="Y30" s="27"/>
      <c r="Z30" s="27"/>
      <c r="AA30" s="27"/>
      <c r="AB30" s="27"/>
      <c r="AC30" s="27"/>
      <c r="AD30" s="27"/>
      <c r="AE30" s="27"/>
      <c r="AF30" s="27"/>
      <c r="AG30" s="27"/>
      <c r="AH30" s="27">
        <v>38.0</v>
      </c>
      <c r="AI30" s="27">
        <v>27.0</v>
      </c>
      <c r="AJ30" s="27">
        <v>2.0</v>
      </c>
      <c r="AK30" s="27" t="b">
        <v>0</v>
      </c>
      <c r="AL30" s="27">
        <v>100.0</v>
      </c>
      <c r="AM30" s="27" t="s">
        <v>189</v>
      </c>
      <c r="AN30" s="27" t="s">
        <v>405</v>
      </c>
      <c r="AO30" s="27"/>
    </row>
    <row r="31">
      <c r="A31" s="200">
        <v>44803.02513327546</v>
      </c>
      <c r="B31" s="19" t="s">
        <v>178</v>
      </c>
      <c r="C31" s="21" t="s">
        <v>265</v>
      </c>
      <c r="D31" s="62">
        <v>0.0</v>
      </c>
      <c r="E31" s="27">
        <v>0.0</v>
      </c>
      <c r="F31" s="27"/>
      <c r="G31" s="201"/>
      <c r="H31" s="27"/>
      <c r="I31" s="27"/>
      <c r="J31" s="33"/>
      <c r="K31" s="33"/>
      <c r="L31" s="66"/>
      <c r="M31" s="27"/>
      <c r="N31" s="27"/>
      <c r="O31" s="27"/>
      <c r="P31" s="27"/>
      <c r="Q31" s="27"/>
      <c r="R31" s="27"/>
      <c r="S31" s="27"/>
      <c r="T31" s="27"/>
      <c r="U31" s="27"/>
      <c r="V31" s="27"/>
      <c r="W31" s="27"/>
      <c r="X31" s="27"/>
      <c r="Y31" s="27"/>
      <c r="Z31" s="27"/>
      <c r="AA31" s="27"/>
      <c r="AB31" s="27"/>
      <c r="AC31" s="27"/>
      <c r="AD31" s="27"/>
      <c r="AE31" s="27"/>
      <c r="AF31" s="27"/>
      <c r="AG31" s="27"/>
      <c r="AH31" s="27">
        <v>0.0</v>
      </c>
      <c r="AI31" s="27">
        <v>0.0</v>
      </c>
      <c r="AJ31" s="27">
        <v>3.0</v>
      </c>
      <c r="AK31" s="27" t="b">
        <v>0</v>
      </c>
      <c r="AL31" s="27">
        <v>100.0</v>
      </c>
      <c r="AM31" s="27" t="s">
        <v>190</v>
      </c>
      <c r="AN31" s="27" t="s">
        <v>405</v>
      </c>
      <c r="AO31" s="27"/>
    </row>
    <row r="32">
      <c r="A32" s="200">
        <v>44803.02513327546</v>
      </c>
      <c r="B32" s="19" t="s">
        <v>178</v>
      </c>
      <c r="C32" s="21" t="s">
        <v>259</v>
      </c>
      <c r="D32" s="62">
        <v>0.0</v>
      </c>
      <c r="E32" s="27">
        <v>0.0</v>
      </c>
      <c r="F32" s="27"/>
      <c r="G32" s="201"/>
      <c r="H32" s="27"/>
      <c r="I32" s="27"/>
      <c r="J32" s="33"/>
      <c r="K32" s="33"/>
      <c r="L32" s="66"/>
      <c r="M32" s="27"/>
      <c r="N32" s="27"/>
      <c r="O32" s="27"/>
      <c r="P32" s="27"/>
      <c r="Q32" s="27"/>
      <c r="R32" s="27"/>
      <c r="S32" s="27"/>
      <c r="T32" s="27"/>
      <c r="U32" s="27"/>
      <c r="V32" s="27"/>
      <c r="W32" s="27"/>
      <c r="X32" s="27"/>
      <c r="Y32" s="27"/>
      <c r="Z32" s="27"/>
      <c r="AA32" s="27"/>
      <c r="AB32" s="27"/>
      <c r="AC32" s="27"/>
      <c r="AD32" s="27"/>
      <c r="AE32" s="27"/>
      <c r="AF32" s="27"/>
      <c r="AG32" s="27"/>
      <c r="AH32" s="27">
        <v>0.0</v>
      </c>
      <c r="AI32" s="27">
        <v>0.0</v>
      </c>
      <c r="AJ32" s="27">
        <v>3.0</v>
      </c>
      <c r="AK32" s="27" t="b">
        <v>0</v>
      </c>
      <c r="AL32" s="27">
        <v>100.0</v>
      </c>
      <c r="AM32" s="27" t="s">
        <v>186</v>
      </c>
      <c r="AN32" s="27" t="s">
        <v>404</v>
      </c>
      <c r="AO32" s="27"/>
    </row>
    <row r="33">
      <c r="A33" s="200">
        <v>44803.02513327546</v>
      </c>
      <c r="B33" s="19" t="s">
        <v>178</v>
      </c>
      <c r="C33" s="21" t="s">
        <v>240</v>
      </c>
      <c r="D33" s="62">
        <v>0.0</v>
      </c>
      <c r="E33" s="27">
        <v>0.0</v>
      </c>
      <c r="F33" s="27"/>
      <c r="G33" s="201"/>
      <c r="H33" s="27"/>
      <c r="I33" s="27"/>
      <c r="J33" s="33"/>
      <c r="K33" s="33"/>
      <c r="L33" s="66"/>
      <c r="M33" s="27"/>
      <c r="N33" s="27"/>
      <c r="O33" s="27"/>
      <c r="P33" s="27"/>
      <c r="Q33" s="27"/>
      <c r="R33" s="27"/>
      <c r="S33" s="27"/>
      <c r="T33" s="27"/>
      <c r="U33" s="27"/>
      <c r="V33" s="27"/>
      <c r="W33" s="27"/>
      <c r="X33" s="27"/>
      <c r="Y33" s="27"/>
      <c r="Z33" s="27"/>
      <c r="AA33" s="27"/>
      <c r="AB33" s="27"/>
      <c r="AC33" s="27"/>
      <c r="AD33" s="27"/>
      <c r="AE33" s="27"/>
      <c r="AF33" s="27"/>
      <c r="AG33" s="27"/>
      <c r="AH33" s="27">
        <v>0.0</v>
      </c>
      <c r="AI33" s="27">
        <v>0.0</v>
      </c>
      <c r="AJ33" s="27">
        <v>3.0</v>
      </c>
      <c r="AK33" s="27" t="b">
        <v>0</v>
      </c>
      <c r="AL33" s="27">
        <v>100.0</v>
      </c>
      <c r="AM33" s="27" t="s">
        <v>188</v>
      </c>
      <c r="AN33" s="27" t="s">
        <v>404</v>
      </c>
      <c r="AO33" s="27"/>
    </row>
    <row r="34">
      <c r="A34" s="200">
        <v>44803.02513327546</v>
      </c>
      <c r="B34" s="19"/>
      <c r="C34" s="21"/>
      <c r="D34" s="62"/>
      <c r="E34" s="27"/>
      <c r="F34" s="27"/>
      <c r="G34" s="201"/>
      <c r="H34" s="27"/>
      <c r="I34" s="27"/>
      <c r="J34" s="33"/>
      <c r="K34" s="33"/>
      <c r="L34" s="66"/>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t="e">
        <v>#N/A</v>
      </c>
      <c r="AN34" s="27" t="e">
        <v>#N/A</v>
      </c>
      <c r="AO34" s="27"/>
    </row>
    <row r="35">
      <c r="A35" s="200">
        <v>44803.02513327546</v>
      </c>
      <c r="B35" s="19" t="s">
        <v>59</v>
      </c>
      <c r="C35" s="21" t="s">
        <v>277</v>
      </c>
      <c r="D35" s="62">
        <v>0.0</v>
      </c>
      <c r="E35" s="27">
        <v>0.0</v>
      </c>
      <c r="F35" s="27"/>
      <c r="G35" s="201"/>
      <c r="H35" s="27"/>
      <c r="I35" s="27"/>
      <c r="J35" s="33"/>
      <c r="K35" s="33"/>
      <c r="L35" s="66"/>
      <c r="M35" s="27"/>
      <c r="N35" s="27"/>
      <c r="O35" s="27"/>
      <c r="P35" s="27"/>
      <c r="Q35" s="27"/>
      <c r="R35" s="27"/>
      <c r="S35" s="27"/>
      <c r="T35" s="27"/>
      <c r="U35" s="27"/>
      <c r="V35" s="27"/>
      <c r="W35" s="27"/>
      <c r="X35" s="27"/>
      <c r="Y35" s="27"/>
      <c r="Z35" s="27"/>
      <c r="AA35" s="27"/>
      <c r="AB35" s="27"/>
      <c r="AC35" s="27"/>
      <c r="AD35" s="27"/>
      <c r="AE35" s="27"/>
      <c r="AF35" s="27"/>
      <c r="AG35" s="27"/>
      <c r="AH35" s="27">
        <v>0.0</v>
      </c>
      <c r="AI35" s="27">
        <v>0.0</v>
      </c>
      <c r="AJ35" s="27">
        <v>0.0</v>
      </c>
      <c r="AK35" s="27" t="b">
        <v>1</v>
      </c>
      <c r="AL35" s="27">
        <v>59.0</v>
      </c>
      <c r="AM35" s="27" t="s">
        <v>193</v>
      </c>
      <c r="AN35" s="27" t="s">
        <v>405</v>
      </c>
      <c r="AO35" s="27"/>
    </row>
    <row r="36">
      <c r="A36" s="200">
        <v>44803.02513327546</v>
      </c>
      <c r="B36" s="19" t="s">
        <v>59</v>
      </c>
      <c r="C36" s="21" t="s">
        <v>284</v>
      </c>
      <c r="D36" s="62">
        <v>0.0</v>
      </c>
      <c r="E36" s="27">
        <v>0.0</v>
      </c>
      <c r="F36" s="27"/>
      <c r="G36" s="201"/>
      <c r="H36" s="27"/>
      <c r="I36" s="27"/>
      <c r="J36" s="33"/>
      <c r="K36" s="33"/>
      <c r="L36" s="66"/>
      <c r="M36" s="27"/>
      <c r="N36" s="27"/>
      <c r="O36" s="27"/>
      <c r="P36" s="27"/>
      <c r="Q36" s="27"/>
      <c r="R36" s="27"/>
      <c r="S36" s="27"/>
      <c r="T36" s="27"/>
      <c r="U36" s="27"/>
      <c r="V36" s="27"/>
      <c r="W36" s="27"/>
      <c r="X36" s="27"/>
      <c r="Y36" s="27"/>
      <c r="Z36" s="27"/>
      <c r="AA36" s="27"/>
      <c r="AB36" s="27"/>
      <c r="AC36" s="27"/>
      <c r="AD36" s="27"/>
      <c r="AE36" s="27"/>
      <c r="AF36" s="27"/>
      <c r="AG36" s="27"/>
      <c r="AH36" s="27">
        <v>0.0</v>
      </c>
      <c r="AI36" s="27">
        <v>0.0</v>
      </c>
      <c r="AJ36" s="27">
        <v>0.0</v>
      </c>
      <c r="AK36" s="27" t="b">
        <v>1</v>
      </c>
      <c r="AL36" s="27">
        <v>59.0</v>
      </c>
      <c r="AM36" s="27" t="s">
        <v>188</v>
      </c>
      <c r="AN36" s="27" t="s">
        <v>404</v>
      </c>
      <c r="AO36" s="27"/>
    </row>
    <row r="37">
      <c r="A37" s="200">
        <v>44803.02513327546</v>
      </c>
      <c r="B37" s="19" t="s">
        <v>59</v>
      </c>
      <c r="C37" s="21" t="s">
        <v>283</v>
      </c>
      <c r="D37" s="62">
        <v>0.0</v>
      </c>
      <c r="E37" s="27">
        <v>0.0</v>
      </c>
      <c r="F37" s="27"/>
      <c r="G37" s="201"/>
      <c r="H37" s="27"/>
      <c r="I37" s="27"/>
      <c r="J37" s="33"/>
      <c r="K37" s="33"/>
      <c r="L37" s="66"/>
      <c r="M37" s="27"/>
      <c r="N37" s="27"/>
      <c r="O37" s="27"/>
      <c r="P37" s="27"/>
      <c r="Q37" s="27"/>
      <c r="R37" s="27"/>
      <c r="S37" s="27"/>
      <c r="T37" s="27"/>
      <c r="U37" s="27"/>
      <c r="V37" s="27"/>
      <c r="W37" s="27"/>
      <c r="X37" s="27"/>
      <c r="Y37" s="27"/>
      <c r="Z37" s="27"/>
      <c r="AA37" s="27"/>
      <c r="AB37" s="27"/>
      <c r="AC37" s="27"/>
      <c r="AD37" s="27"/>
      <c r="AE37" s="27"/>
      <c r="AF37" s="27"/>
      <c r="AG37" s="27"/>
      <c r="AH37" s="27">
        <v>0.0</v>
      </c>
      <c r="AI37" s="27">
        <v>0.0</v>
      </c>
      <c r="AJ37" s="27">
        <v>0.0</v>
      </c>
      <c r="AK37" s="27" t="b">
        <v>1</v>
      </c>
      <c r="AL37" s="27">
        <v>59.0</v>
      </c>
      <c r="AM37" s="27" t="s">
        <v>192</v>
      </c>
      <c r="AN37" s="27" t="s">
        <v>404</v>
      </c>
      <c r="AO37" s="27"/>
    </row>
    <row r="38">
      <c r="A38" s="200">
        <v>44803.02513327546</v>
      </c>
      <c r="B38" s="19" t="s">
        <v>59</v>
      </c>
      <c r="C38" s="21" t="s">
        <v>274</v>
      </c>
      <c r="D38" s="62">
        <v>0.0</v>
      </c>
      <c r="E38" s="27">
        <v>0.0</v>
      </c>
      <c r="F38" s="27"/>
      <c r="G38" s="201"/>
      <c r="H38" s="27"/>
      <c r="I38" s="27"/>
      <c r="J38" s="33"/>
      <c r="K38" s="33"/>
      <c r="L38" s="66"/>
      <c r="M38" s="27"/>
      <c r="N38" s="27"/>
      <c r="O38" s="27"/>
      <c r="P38" s="27"/>
      <c r="Q38" s="27"/>
      <c r="R38" s="27"/>
      <c r="S38" s="27"/>
      <c r="T38" s="27"/>
      <c r="U38" s="27"/>
      <c r="V38" s="27"/>
      <c r="W38" s="27"/>
      <c r="X38" s="27"/>
      <c r="Y38" s="27"/>
      <c r="Z38" s="27"/>
      <c r="AA38" s="27"/>
      <c r="AB38" s="27"/>
      <c r="AC38" s="27"/>
      <c r="AD38" s="27"/>
      <c r="AE38" s="27"/>
      <c r="AF38" s="27"/>
      <c r="AG38" s="27"/>
      <c r="AH38" s="27">
        <v>0.0</v>
      </c>
      <c r="AI38" s="27">
        <v>0.0</v>
      </c>
      <c r="AJ38" s="27">
        <v>0.0</v>
      </c>
      <c r="AK38" s="27" t="b">
        <v>1</v>
      </c>
      <c r="AL38" s="27">
        <v>59.0</v>
      </c>
      <c r="AM38" s="27" t="s">
        <v>191</v>
      </c>
      <c r="AN38" s="27" t="s">
        <v>404</v>
      </c>
      <c r="AO38" s="27"/>
    </row>
    <row r="39">
      <c r="A39" s="200">
        <v>44803.02513327546</v>
      </c>
      <c r="B39" s="19" t="s">
        <v>59</v>
      </c>
      <c r="C39" s="21" t="s">
        <v>291</v>
      </c>
      <c r="D39" s="62">
        <v>0.0</v>
      </c>
      <c r="E39" s="27">
        <v>0.0</v>
      </c>
      <c r="F39" s="27"/>
      <c r="G39" s="201"/>
      <c r="H39" s="27"/>
      <c r="I39" s="27"/>
      <c r="J39" s="33"/>
      <c r="K39" s="33"/>
      <c r="L39" s="66"/>
      <c r="M39" s="27"/>
      <c r="N39" s="27"/>
      <c r="O39" s="27"/>
      <c r="P39" s="27"/>
      <c r="Q39" s="27"/>
      <c r="R39" s="27"/>
      <c r="S39" s="27"/>
      <c r="T39" s="27"/>
      <c r="U39" s="27"/>
      <c r="V39" s="27"/>
      <c r="W39" s="27"/>
      <c r="X39" s="27"/>
      <c r="Y39" s="27"/>
      <c r="Z39" s="27"/>
      <c r="AA39" s="27"/>
      <c r="AB39" s="27"/>
      <c r="AC39" s="27"/>
      <c r="AD39" s="27"/>
      <c r="AE39" s="27"/>
      <c r="AF39" s="27"/>
      <c r="AG39" s="27"/>
      <c r="AH39" s="27">
        <v>0.0</v>
      </c>
      <c r="AI39" s="27">
        <v>0.0</v>
      </c>
      <c r="AJ39" s="27">
        <v>0.0</v>
      </c>
      <c r="AK39" s="27" t="b">
        <v>1</v>
      </c>
      <c r="AL39" s="27">
        <v>59.0</v>
      </c>
      <c r="AM39" s="27" t="s">
        <v>187</v>
      </c>
      <c r="AN39" s="27" t="s">
        <v>404</v>
      </c>
      <c r="AO39" s="27"/>
    </row>
    <row r="40">
      <c r="A40" s="200">
        <v>44803.02513327546</v>
      </c>
      <c r="B40" s="19" t="s">
        <v>59</v>
      </c>
      <c r="C40" s="21" t="s">
        <v>289</v>
      </c>
      <c r="D40" s="62">
        <v>0.0</v>
      </c>
      <c r="E40" s="27">
        <v>0.0</v>
      </c>
      <c r="F40" s="27"/>
      <c r="G40" s="201"/>
      <c r="H40" s="27"/>
      <c r="I40" s="27"/>
      <c r="J40" s="33"/>
      <c r="K40" s="33"/>
      <c r="L40" s="66"/>
      <c r="M40" s="27"/>
      <c r="N40" s="27"/>
      <c r="O40" s="27"/>
      <c r="P40" s="27"/>
      <c r="Q40" s="27"/>
      <c r="R40" s="27"/>
      <c r="S40" s="27"/>
      <c r="T40" s="27"/>
      <c r="U40" s="27"/>
      <c r="V40" s="27"/>
      <c r="W40" s="27"/>
      <c r="X40" s="27"/>
      <c r="Y40" s="27"/>
      <c r="Z40" s="27"/>
      <c r="AA40" s="27"/>
      <c r="AB40" s="27"/>
      <c r="AC40" s="27"/>
      <c r="AD40" s="27"/>
      <c r="AE40" s="27"/>
      <c r="AF40" s="27"/>
      <c r="AG40" s="27"/>
      <c r="AH40" s="27">
        <v>0.0</v>
      </c>
      <c r="AI40" s="27">
        <v>0.0</v>
      </c>
      <c r="AJ40" s="27">
        <v>0.0</v>
      </c>
      <c r="AK40" s="27" t="b">
        <v>1</v>
      </c>
      <c r="AL40" s="27">
        <v>59.0</v>
      </c>
      <c r="AM40" s="27" t="s">
        <v>186</v>
      </c>
      <c r="AN40" s="27" t="s">
        <v>404</v>
      </c>
      <c r="AO40" s="27"/>
    </row>
    <row r="41">
      <c r="A41" s="200">
        <v>44803.02513327546</v>
      </c>
      <c r="B41" s="19" t="s">
        <v>59</v>
      </c>
      <c r="C41" s="21" t="s">
        <v>281</v>
      </c>
      <c r="D41" s="62">
        <v>0.0</v>
      </c>
      <c r="E41" s="27">
        <v>1.0</v>
      </c>
      <c r="F41" s="27" t="s">
        <v>1029</v>
      </c>
      <c r="G41" s="201" t="s">
        <v>57</v>
      </c>
      <c r="H41" s="27" t="s">
        <v>138</v>
      </c>
      <c r="I41" s="27"/>
      <c r="J41" s="33">
        <v>33.0</v>
      </c>
      <c r="K41" s="33">
        <v>26.0</v>
      </c>
      <c r="L41" s="66">
        <v>59.5</v>
      </c>
      <c r="M41" s="27">
        <v>-0.775</v>
      </c>
      <c r="N41" s="27">
        <v>26.5</v>
      </c>
      <c r="O41" s="27"/>
      <c r="P41" s="27">
        <v>26.5</v>
      </c>
      <c r="Q41" s="27"/>
      <c r="R41" s="27">
        <v>26.0</v>
      </c>
      <c r="S41" s="27"/>
      <c r="T41" s="27">
        <v>26.0</v>
      </c>
      <c r="U41" s="27"/>
      <c r="V41" s="27">
        <v>26.5</v>
      </c>
      <c r="W41" s="27"/>
      <c r="X41" s="27">
        <v>26.5</v>
      </c>
      <c r="Y41" s="27"/>
      <c r="Z41" s="27">
        <v>26.5</v>
      </c>
      <c r="AA41" s="27"/>
      <c r="AB41" s="27">
        <v>27.0</v>
      </c>
      <c r="AC41" s="27"/>
      <c r="AD41" s="27">
        <v>26.0</v>
      </c>
      <c r="AE41" s="27"/>
      <c r="AF41" s="27">
        <v>26.0</v>
      </c>
      <c r="AG41" s="27"/>
      <c r="AH41" s="27">
        <v>20.0</v>
      </c>
      <c r="AI41" s="27">
        <v>31.0</v>
      </c>
      <c r="AJ41" s="27">
        <v>2.0</v>
      </c>
      <c r="AK41" s="27" t="b">
        <v>0</v>
      </c>
      <c r="AL41" s="27">
        <v>100.0</v>
      </c>
      <c r="AM41" s="27" t="s">
        <v>389</v>
      </c>
      <c r="AN41" s="27" t="s">
        <v>405</v>
      </c>
      <c r="AO41" s="27"/>
    </row>
    <row r="42">
      <c r="A42" s="200">
        <v>44803.02513327546</v>
      </c>
      <c r="B42" s="19" t="s">
        <v>59</v>
      </c>
      <c r="C42" s="21" t="s">
        <v>279</v>
      </c>
      <c r="D42" s="62">
        <v>1.0</v>
      </c>
      <c r="E42" s="27">
        <v>0.0</v>
      </c>
      <c r="F42" s="27" t="s">
        <v>1030</v>
      </c>
      <c r="G42" s="201" t="s">
        <v>57</v>
      </c>
      <c r="H42" s="27"/>
      <c r="I42" s="27"/>
      <c r="J42" s="33">
        <v>-21.5</v>
      </c>
      <c r="K42" s="33">
        <v>-24.5</v>
      </c>
      <c r="L42" s="66">
        <v>50.5</v>
      </c>
      <c r="M42" s="27">
        <v>-0.8</v>
      </c>
      <c r="N42" s="27">
        <v>-23.5</v>
      </c>
      <c r="O42" s="27"/>
      <c r="P42" s="27">
        <v>-24.5</v>
      </c>
      <c r="Q42" s="27"/>
      <c r="R42" s="27">
        <v>-24.0</v>
      </c>
      <c r="S42" s="27"/>
      <c r="T42" s="27">
        <v>-24.5</v>
      </c>
      <c r="U42" s="27"/>
      <c r="V42" s="27">
        <v>-24.5</v>
      </c>
      <c r="W42" s="27"/>
      <c r="X42" s="27">
        <v>-24.5</v>
      </c>
      <c r="Y42" s="27"/>
      <c r="Z42" s="27"/>
      <c r="AA42" s="27"/>
      <c r="AB42" s="27"/>
      <c r="AC42" s="27"/>
      <c r="AD42" s="27"/>
      <c r="AE42" s="27"/>
      <c r="AF42" s="27"/>
      <c r="AG42" s="27"/>
      <c r="AH42" s="27">
        <v>52.0</v>
      </c>
      <c r="AI42" s="27">
        <v>21.0</v>
      </c>
      <c r="AJ42" s="27">
        <v>2.0</v>
      </c>
      <c r="AK42" s="27" t="b">
        <v>0</v>
      </c>
      <c r="AL42" s="27">
        <v>100.0</v>
      </c>
      <c r="AM42" s="27" t="s">
        <v>129</v>
      </c>
      <c r="AN42" s="27" t="s">
        <v>405</v>
      </c>
      <c r="AO42" s="27"/>
    </row>
    <row r="43">
      <c r="A43" s="200">
        <v>44803.02513327546</v>
      </c>
      <c r="B43" s="19" t="s">
        <v>59</v>
      </c>
      <c r="C43" s="21" t="s">
        <v>285</v>
      </c>
      <c r="D43" s="62">
        <v>0.0</v>
      </c>
      <c r="E43" s="27">
        <v>0.0</v>
      </c>
      <c r="F43" s="27"/>
      <c r="G43" s="201"/>
      <c r="H43" s="27"/>
      <c r="I43" s="27"/>
      <c r="J43" s="33"/>
      <c r="K43" s="33"/>
      <c r="L43" s="66"/>
      <c r="M43" s="27"/>
      <c r="N43" s="27"/>
      <c r="O43" s="27"/>
      <c r="P43" s="27"/>
      <c r="Q43" s="27"/>
      <c r="R43" s="27"/>
      <c r="S43" s="27"/>
      <c r="T43" s="27"/>
      <c r="U43" s="27"/>
      <c r="V43" s="27"/>
      <c r="W43" s="27"/>
      <c r="X43" s="27"/>
      <c r="Y43" s="27"/>
      <c r="Z43" s="27"/>
      <c r="AA43" s="27"/>
      <c r="AB43" s="27"/>
      <c r="AC43" s="27"/>
      <c r="AD43" s="27"/>
      <c r="AE43" s="27"/>
      <c r="AF43" s="27"/>
      <c r="AG43" s="27"/>
      <c r="AH43" s="27">
        <v>0.0</v>
      </c>
      <c r="AI43" s="27">
        <v>0.0</v>
      </c>
      <c r="AJ43" s="27">
        <v>3.0</v>
      </c>
      <c r="AK43" s="27" t="b">
        <v>1</v>
      </c>
      <c r="AL43" s="27">
        <v>100.0</v>
      </c>
      <c r="AM43" s="27" t="s">
        <v>190</v>
      </c>
      <c r="AN43" s="27" t="s">
        <v>405</v>
      </c>
      <c r="AO43" s="27"/>
    </row>
    <row r="44">
      <c r="A44" s="200">
        <v>44803.02513327546</v>
      </c>
      <c r="B44" s="19" t="s">
        <v>59</v>
      </c>
      <c r="C44" s="21" t="s">
        <v>275</v>
      </c>
      <c r="D44" s="62">
        <v>0.0</v>
      </c>
      <c r="E44" s="27">
        <v>0.0</v>
      </c>
      <c r="F44" s="27"/>
      <c r="G44" s="201"/>
      <c r="H44" s="27"/>
      <c r="I44" s="27"/>
      <c r="J44" s="33"/>
      <c r="K44" s="33"/>
      <c r="L44" s="66"/>
      <c r="M44" s="27"/>
      <c r="N44" s="27"/>
      <c r="O44" s="27"/>
      <c r="P44" s="27"/>
      <c r="Q44" s="27"/>
      <c r="R44" s="27"/>
      <c r="S44" s="27"/>
      <c r="T44" s="27"/>
      <c r="U44" s="27"/>
      <c r="V44" s="27"/>
      <c r="W44" s="27"/>
      <c r="X44" s="27"/>
      <c r="Y44" s="27"/>
      <c r="Z44" s="27"/>
      <c r="AA44" s="27"/>
      <c r="AB44" s="27"/>
      <c r="AC44" s="27"/>
      <c r="AD44" s="27"/>
      <c r="AE44" s="27"/>
      <c r="AF44" s="27"/>
      <c r="AG44" s="27"/>
      <c r="AH44" s="27">
        <v>0.0</v>
      </c>
      <c r="AI44" s="27">
        <v>0.0</v>
      </c>
      <c r="AJ44" s="27">
        <v>3.0</v>
      </c>
      <c r="AK44" s="27" t="b">
        <v>0</v>
      </c>
      <c r="AL44" s="27">
        <v>100.0</v>
      </c>
      <c r="AM44" s="27" t="s">
        <v>189</v>
      </c>
      <c r="AN44" s="27" t="s">
        <v>405</v>
      </c>
      <c r="AO44" s="27"/>
    </row>
    <row r="45">
      <c r="A45" s="200">
        <v>44803.02513327546</v>
      </c>
      <c r="B45" s="19"/>
      <c r="C45" s="21"/>
      <c r="D45" s="62"/>
      <c r="E45" s="27"/>
      <c r="F45" s="27"/>
      <c r="G45" s="201"/>
      <c r="H45" s="27"/>
      <c r="I45" s="27"/>
      <c r="J45" s="33"/>
      <c r="K45" s="33"/>
      <c r="L45" s="66"/>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t="e">
        <v>#N/A</v>
      </c>
      <c r="AN45" s="27" t="e">
        <v>#N/A</v>
      </c>
      <c r="AO45" s="27"/>
    </row>
    <row r="46">
      <c r="A46" s="200">
        <v>44803.02513327546</v>
      </c>
      <c r="B46" s="19" t="s">
        <v>138</v>
      </c>
      <c r="C46" s="21" t="s">
        <v>282</v>
      </c>
      <c r="D46" s="62">
        <v>0.0</v>
      </c>
      <c r="E46" s="27">
        <v>0.0</v>
      </c>
      <c r="F46" s="27"/>
      <c r="G46" s="201"/>
      <c r="H46" s="27"/>
      <c r="I46" s="27"/>
      <c r="J46" s="33"/>
      <c r="K46" s="33"/>
      <c r="L46" s="66"/>
      <c r="M46" s="27"/>
      <c r="N46" s="27"/>
      <c r="O46" s="27"/>
      <c r="P46" s="27"/>
      <c r="Q46" s="27"/>
      <c r="R46" s="27"/>
      <c r="S46" s="27"/>
      <c r="T46" s="27"/>
      <c r="U46" s="27"/>
      <c r="V46" s="27"/>
      <c r="W46" s="27"/>
      <c r="X46" s="27"/>
      <c r="Y46" s="27"/>
      <c r="Z46" s="27"/>
      <c r="AA46" s="27"/>
      <c r="AB46" s="27"/>
      <c r="AC46" s="27"/>
      <c r="AD46" s="27"/>
      <c r="AE46" s="27"/>
      <c r="AF46" s="27"/>
      <c r="AG46" s="27"/>
      <c r="AH46" s="27">
        <v>0.0</v>
      </c>
      <c r="AI46" s="27">
        <v>0.0</v>
      </c>
      <c r="AJ46" s="27">
        <v>0.0</v>
      </c>
      <c r="AK46" s="27" t="b">
        <v>1</v>
      </c>
      <c r="AL46" s="27">
        <v>59.0</v>
      </c>
      <c r="AM46" s="27" t="s">
        <v>389</v>
      </c>
      <c r="AN46" s="27" t="s">
        <v>405</v>
      </c>
      <c r="AO46" s="27"/>
    </row>
    <row r="47">
      <c r="A47" s="200">
        <v>44803.02513327546</v>
      </c>
      <c r="B47" s="19" t="s">
        <v>138</v>
      </c>
      <c r="C47" s="21" t="s">
        <v>296</v>
      </c>
      <c r="D47" s="62">
        <v>0.0</v>
      </c>
      <c r="E47" s="27">
        <v>0.0</v>
      </c>
      <c r="F47" s="27"/>
      <c r="G47" s="201"/>
      <c r="H47" s="27"/>
      <c r="I47" s="27"/>
      <c r="J47" s="33"/>
      <c r="K47" s="33"/>
      <c r="L47" s="66"/>
      <c r="M47" s="27"/>
      <c r="N47" s="27"/>
      <c r="O47" s="27"/>
      <c r="P47" s="27"/>
      <c r="Q47" s="27"/>
      <c r="R47" s="27"/>
      <c r="S47" s="27"/>
      <c r="T47" s="27"/>
      <c r="U47" s="27"/>
      <c r="V47" s="27"/>
      <c r="W47" s="27"/>
      <c r="X47" s="27"/>
      <c r="Y47" s="27"/>
      <c r="Z47" s="27"/>
      <c r="AA47" s="27"/>
      <c r="AB47" s="27"/>
      <c r="AC47" s="27"/>
      <c r="AD47" s="27"/>
      <c r="AE47" s="27"/>
      <c r="AF47" s="27"/>
      <c r="AG47" s="27"/>
      <c r="AH47" s="27">
        <v>0.0</v>
      </c>
      <c r="AI47" s="27">
        <v>0.0</v>
      </c>
      <c r="AJ47" s="27">
        <v>0.0</v>
      </c>
      <c r="AK47" s="27" t="b">
        <v>1</v>
      </c>
      <c r="AL47" s="27">
        <v>59.0</v>
      </c>
      <c r="AM47" s="27" t="s">
        <v>189</v>
      </c>
      <c r="AN47" s="27" t="s">
        <v>405</v>
      </c>
      <c r="AO47" s="27"/>
    </row>
    <row r="48">
      <c r="A48" s="200">
        <v>44803.02513327546</v>
      </c>
      <c r="B48" s="19" t="s">
        <v>138</v>
      </c>
      <c r="C48" s="21" t="s">
        <v>294</v>
      </c>
      <c r="D48" s="62">
        <v>0.0</v>
      </c>
      <c r="E48" s="27">
        <v>0.0</v>
      </c>
      <c r="F48" s="27"/>
      <c r="G48" s="201"/>
      <c r="H48" s="27"/>
      <c r="I48" s="27"/>
      <c r="J48" s="33"/>
      <c r="K48" s="33"/>
      <c r="L48" s="66"/>
      <c r="M48" s="27"/>
      <c r="N48" s="27"/>
      <c r="O48" s="27"/>
      <c r="P48" s="27"/>
      <c r="Q48" s="27"/>
      <c r="R48" s="27"/>
      <c r="S48" s="27"/>
      <c r="T48" s="27"/>
      <c r="U48" s="27"/>
      <c r="V48" s="27"/>
      <c r="W48" s="27"/>
      <c r="X48" s="27"/>
      <c r="Y48" s="27"/>
      <c r="Z48" s="27"/>
      <c r="AA48" s="27"/>
      <c r="AB48" s="27"/>
      <c r="AC48" s="27"/>
      <c r="AD48" s="27"/>
      <c r="AE48" s="27"/>
      <c r="AF48" s="27"/>
      <c r="AG48" s="27"/>
      <c r="AH48" s="27">
        <v>0.0</v>
      </c>
      <c r="AI48" s="27">
        <v>0.0</v>
      </c>
      <c r="AJ48" s="27">
        <v>0.0</v>
      </c>
      <c r="AK48" s="27" t="b">
        <v>1</v>
      </c>
      <c r="AL48" s="27">
        <v>59.0</v>
      </c>
      <c r="AM48" s="27" t="s">
        <v>188</v>
      </c>
      <c r="AN48" s="27" t="s">
        <v>404</v>
      </c>
      <c r="AO48" s="27"/>
    </row>
    <row r="49">
      <c r="A49" s="200">
        <v>44803.02513327546</v>
      </c>
      <c r="B49" s="19" t="s">
        <v>138</v>
      </c>
      <c r="C49" s="21" t="s">
        <v>303</v>
      </c>
      <c r="D49" s="62">
        <v>0.0</v>
      </c>
      <c r="E49" s="27">
        <v>0.0</v>
      </c>
      <c r="F49" s="27"/>
      <c r="G49" s="201"/>
      <c r="H49" s="27"/>
      <c r="I49" s="27"/>
      <c r="J49" s="33"/>
      <c r="K49" s="33"/>
      <c r="L49" s="66"/>
      <c r="M49" s="27"/>
      <c r="N49" s="27"/>
      <c r="O49" s="27"/>
      <c r="P49" s="27"/>
      <c r="Q49" s="27"/>
      <c r="R49" s="27"/>
      <c r="S49" s="27"/>
      <c r="T49" s="27"/>
      <c r="U49" s="27"/>
      <c r="V49" s="27"/>
      <c r="W49" s="27"/>
      <c r="X49" s="27"/>
      <c r="Y49" s="27"/>
      <c r="Z49" s="27"/>
      <c r="AA49" s="27"/>
      <c r="AB49" s="27"/>
      <c r="AC49" s="27"/>
      <c r="AD49" s="27"/>
      <c r="AE49" s="27"/>
      <c r="AF49" s="27"/>
      <c r="AG49" s="27"/>
      <c r="AH49" s="27">
        <v>0.0</v>
      </c>
      <c r="AI49" s="27">
        <v>0.0</v>
      </c>
      <c r="AJ49" s="27">
        <v>0.0</v>
      </c>
      <c r="AK49" s="27" t="b">
        <v>1</v>
      </c>
      <c r="AL49" s="27">
        <v>59.0</v>
      </c>
      <c r="AM49" s="27" t="s">
        <v>192</v>
      </c>
      <c r="AN49" s="27" t="s">
        <v>404</v>
      </c>
      <c r="AO49" s="27"/>
    </row>
    <row r="50">
      <c r="A50" s="200">
        <v>44803.02513327546</v>
      </c>
      <c r="B50" s="19" t="s">
        <v>138</v>
      </c>
      <c r="C50" s="21" t="s">
        <v>302</v>
      </c>
      <c r="D50" s="62">
        <v>0.0</v>
      </c>
      <c r="E50" s="27">
        <v>0.0</v>
      </c>
      <c r="F50" s="27"/>
      <c r="G50" s="201"/>
      <c r="H50" s="27"/>
      <c r="I50" s="27"/>
      <c r="J50" s="33"/>
      <c r="K50" s="33"/>
      <c r="L50" s="66"/>
      <c r="M50" s="27"/>
      <c r="N50" s="27"/>
      <c r="O50" s="27"/>
      <c r="P50" s="27"/>
      <c r="Q50" s="27"/>
      <c r="R50" s="27"/>
      <c r="S50" s="27"/>
      <c r="T50" s="27"/>
      <c r="U50" s="27"/>
      <c r="V50" s="27"/>
      <c r="W50" s="27"/>
      <c r="X50" s="27"/>
      <c r="Y50" s="27"/>
      <c r="Z50" s="27"/>
      <c r="AA50" s="27"/>
      <c r="AB50" s="27"/>
      <c r="AC50" s="27"/>
      <c r="AD50" s="27"/>
      <c r="AE50" s="27"/>
      <c r="AF50" s="27"/>
      <c r="AG50" s="27"/>
      <c r="AH50" s="27">
        <v>0.0</v>
      </c>
      <c r="AI50" s="27">
        <v>0.0</v>
      </c>
      <c r="AJ50" s="27">
        <v>0.0</v>
      </c>
      <c r="AK50" s="27" t="b">
        <v>1</v>
      </c>
      <c r="AL50" s="27">
        <v>59.0</v>
      </c>
      <c r="AM50" s="27" t="s">
        <v>193</v>
      </c>
      <c r="AN50" s="27" t="s">
        <v>405</v>
      </c>
      <c r="AO50" s="27"/>
    </row>
    <row r="51">
      <c r="A51" s="200">
        <v>44803.02513327546</v>
      </c>
      <c r="B51" s="19" t="s">
        <v>138</v>
      </c>
      <c r="C51" s="21" t="s">
        <v>308</v>
      </c>
      <c r="D51" s="62">
        <v>0.0</v>
      </c>
      <c r="E51" s="27">
        <v>0.0</v>
      </c>
      <c r="F51" s="27"/>
      <c r="G51" s="201"/>
      <c r="H51" s="27"/>
      <c r="I51" s="27"/>
      <c r="J51" s="33"/>
      <c r="K51" s="33"/>
      <c r="L51" s="66"/>
      <c r="M51" s="27"/>
      <c r="N51" s="27"/>
      <c r="O51" s="27"/>
      <c r="P51" s="27"/>
      <c r="Q51" s="27"/>
      <c r="R51" s="27"/>
      <c r="S51" s="27"/>
      <c r="T51" s="27"/>
      <c r="U51" s="27"/>
      <c r="V51" s="27"/>
      <c r="W51" s="27"/>
      <c r="X51" s="27"/>
      <c r="Y51" s="27"/>
      <c r="Z51" s="27"/>
      <c r="AA51" s="27"/>
      <c r="AB51" s="27"/>
      <c r="AC51" s="27"/>
      <c r="AD51" s="27"/>
      <c r="AE51" s="27"/>
      <c r="AF51" s="27"/>
      <c r="AG51" s="27"/>
      <c r="AH51" s="27">
        <v>0.0</v>
      </c>
      <c r="AI51" s="27">
        <v>0.0</v>
      </c>
      <c r="AJ51" s="27">
        <v>0.0</v>
      </c>
      <c r="AK51" s="27" t="b">
        <v>1</v>
      </c>
      <c r="AL51" s="27">
        <v>59.0</v>
      </c>
      <c r="AM51" s="27" t="s">
        <v>186</v>
      </c>
      <c r="AN51" s="27" t="s">
        <v>404</v>
      </c>
      <c r="AO51" s="27"/>
    </row>
    <row r="52">
      <c r="A52" s="200">
        <v>44803.02513327546</v>
      </c>
      <c r="B52" s="19" t="s">
        <v>138</v>
      </c>
      <c r="C52" s="21" t="s">
        <v>311</v>
      </c>
      <c r="D52" s="62">
        <v>0.0</v>
      </c>
      <c r="E52" s="27">
        <v>0.0</v>
      </c>
      <c r="F52" s="27"/>
      <c r="G52" s="201"/>
      <c r="H52" s="27"/>
      <c r="I52" s="27"/>
      <c r="J52" s="33"/>
      <c r="K52" s="33"/>
      <c r="L52" s="66"/>
      <c r="M52" s="27"/>
      <c r="N52" s="27"/>
      <c r="O52" s="27"/>
      <c r="P52" s="27"/>
      <c r="Q52" s="27"/>
      <c r="R52" s="27"/>
      <c r="S52" s="27"/>
      <c r="T52" s="27"/>
      <c r="U52" s="27"/>
      <c r="V52" s="27"/>
      <c r="W52" s="27"/>
      <c r="X52" s="27"/>
      <c r="Y52" s="27"/>
      <c r="Z52" s="27"/>
      <c r="AA52" s="27"/>
      <c r="AB52" s="27"/>
      <c r="AC52" s="27"/>
      <c r="AD52" s="27"/>
      <c r="AE52" s="27"/>
      <c r="AF52" s="27"/>
      <c r="AG52" s="27"/>
      <c r="AH52" s="27">
        <v>0.0</v>
      </c>
      <c r="AI52" s="27">
        <v>0.0</v>
      </c>
      <c r="AJ52" s="27">
        <v>0.0</v>
      </c>
      <c r="AK52" s="27" t="b">
        <v>1</v>
      </c>
      <c r="AL52" s="27">
        <v>59.0</v>
      </c>
      <c r="AM52" s="27" t="s">
        <v>191</v>
      </c>
      <c r="AN52" s="27" t="s">
        <v>404</v>
      </c>
      <c r="AO52" s="27"/>
    </row>
    <row r="53">
      <c r="A53" s="200">
        <v>44803.02513327546</v>
      </c>
      <c r="B53" s="19" t="s">
        <v>138</v>
      </c>
      <c r="C53" s="21" t="s">
        <v>309</v>
      </c>
      <c r="D53" s="62">
        <v>1.0</v>
      </c>
      <c r="E53" s="27">
        <v>0.0</v>
      </c>
      <c r="F53" s="27" t="s">
        <v>1036</v>
      </c>
      <c r="G53" s="201" t="s">
        <v>57</v>
      </c>
      <c r="H53" s="27" t="s">
        <v>166</v>
      </c>
      <c r="I53" s="27"/>
      <c r="J53" s="33">
        <v>-1.0</v>
      </c>
      <c r="K53" s="33">
        <v>-9.5</v>
      </c>
      <c r="L53" s="66"/>
      <c r="M53" s="27"/>
      <c r="N53" s="27"/>
      <c r="O53" s="27"/>
      <c r="P53" s="27"/>
      <c r="Q53" s="27"/>
      <c r="R53" s="27"/>
      <c r="S53" s="27"/>
      <c r="T53" s="27"/>
      <c r="U53" s="27"/>
      <c r="V53" s="27"/>
      <c r="W53" s="27"/>
      <c r="X53" s="27"/>
      <c r="Y53" s="27"/>
      <c r="Z53" s="27"/>
      <c r="AA53" s="27"/>
      <c r="AB53" s="27"/>
      <c r="AC53" s="27"/>
      <c r="AD53" s="27"/>
      <c r="AE53" s="27"/>
      <c r="AF53" s="27"/>
      <c r="AG53" s="27"/>
      <c r="AH53" s="27">
        <v>63.0</v>
      </c>
      <c r="AI53" s="27">
        <v>10.0</v>
      </c>
      <c r="AJ53" s="27">
        <v>2.0</v>
      </c>
      <c r="AK53" s="27" t="b">
        <v>1</v>
      </c>
      <c r="AL53" s="27">
        <v>100.0</v>
      </c>
      <c r="AM53" s="27" t="s">
        <v>187</v>
      </c>
      <c r="AN53" s="27" t="s">
        <v>404</v>
      </c>
      <c r="AO53" s="27"/>
    </row>
    <row r="54">
      <c r="A54" s="200">
        <v>44803.02513327546</v>
      </c>
      <c r="B54" s="19" t="s">
        <v>138</v>
      </c>
      <c r="C54" s="21" t="s">
        <v>304</v>
      </c>
      <c r="D54" s="62">
        <v>1.0</v>
      </c>
      <c r="E54" s="27">
        <v>0.0</v>
      </c>
      <c r="F54" s="27" t="s">
        <v>1029</v>
      </c>
      <c r="G54" s="201" t="s">
        <v>57</v>
      </c>
      <c r="H54" s="27" t="s">
        <v>59</v>
      </c>
      <c r="I54" s="27"/>
      <c r="J54" s="33">
        <v>-33.0</v>
      </c>
      <c r="K54" s="33">
        <v>-26.0</v>
      </c>
      <c r="L54" s="66">
        <v>59.5</v>
      </c>
      <c r="M54" s="27">
        <v>-0.775</v>
      </c>
      <c r="N54" s="27">
        <v>-26.5</v>
      </c>
      <c r="O54" s="27"/>
      <c r="P54" s="27">
        <v>-26.5</v>
      </c>
      <c r="Q54" s="27"/>
      <c r="R54" s="27">
        <v>-26.0</v>
      </c>
      <c r="S54" s="27"/>
      <c r="T54" s="27">
        <v>-26.0</v>
      </c>
      <c r="U54" s="27"/>
      <c r="V54" s="27">
        <v>-26.5</v>
      </c>
      <c r="W54" s="27"/>
      <c r="X54" s="27">
        <v>-26.5</v>
      </c>
      <c r="Y54" s="27"/>
      <c r="Z54" s="27">
        <v>-26.5</v>
      </c>
      <c r="AA54" s="27"/>
      <c r="AB54" s="27">
        <v>-27.0</v>
      </c>
      <c r="AC54" s="27"/>
      <c r="AD54" s="27">
        <v>-26.0</v>
      </c>
      <c r="AE54" s="27"/>
      <c r="AF54" s="27">
        <v>-26.0</v>
      </c>
      <c r="AG54" s="27"/>
      <c r="AH54" s="27">
        <v>31.0</v>
      </c>
      <c r="AI54" s="27">
        <v>20.0</v>
      </c>
      <c r="AJ54" s="27">
        <v>2.0</v>
      </c>
      <c r="AK54" s="27" t="b">
        <v>1</v>
      </c>
      <c r="AL54" s="27">
        <v>100.0</v>
      </c>
      <c r="AM54" s="27" t="s">
        <v>129</v>
      </c>
      <c r="AN54" s="27" t="s">
        <v>405</v>
      </c>
      <c r="AO54" s="27"/>
    </row>
    <row r="55">
      <c r="A55" s="200">
        <v>44803.02513327546</v>
      </c>
      <c r="B55" s="19" t="s">
        <v>138</v>
      </c>
      <c r="C55" s="21" t="s">
        <v>298</v>
      </c>
      <c r="D55" s="62">
        <v>0.0</v>
      </c>
      <c r="E55" s="27">
        <v>0.0</v>
      </c>
      <c r="F55" s="27"/>
      <c r="G55" s="201"/>
      <c r="H55" s="27"/>
      <c r="I55" s="27"/>
      <c r="J55" s="33"/>
      <c r="K55" s="33"/>
      <c r="L55" s="66"/>
      <c r="M55" s="27"/>
      <c r="N55" s="27"/>
      <c r="O55" s="27"/>
      <c r="P55" s="27"/>
      <c r="Q55" s="27"/>
      <c r="R55" s="27"/>
      <c r="S55" s="27"/>
      <c r="T55" s="27"/>
      <c r="U55" s="27"/>
      <c r="V55" s="27"/>
      <c r="W55" s="27"/>
      <c r="X55" s="27"/>
      <c r="Y55" s="27"/>
      <c r="Z55" s="27"/>
      <c r="AA55" s="27"/>
      <c r="AB55" s="27"/>
      <c r="AC55" s="27"/>
      <c r="AD55" s="27"/>
      <c r="AE55" s="27"/>
      <c r="AF55" s="27"/>
      <c r="AG55" s="27"/>
      <c r="AH55" s="27">
        <v>0.0</v>
      </c>
      <c r="AI55" s="27">
        <v>0.0</v>
      </c>
      <c r="AJ55" s="27">
        <v>3.0</v>
      </c>
      <c r="AK55" s="27" t="b">
        <v>0</v>
      </c>
      <c r="AL55" s="27">
        <v>100.0</v>
      </c>
      <c r="AM55" s="27" t="s">
        <v>190</v>
      </c>
      <c r="AN55" s="27" t="s">
        <v>405</v>
      </c>
      <c r="AO55" s="27"/>
    </row>
    <row r="56">
      <c r="A56" s="200">
        <v>44803.02513327546</v>
      </c>
      <c r="B56" s="19"/>
      <c r="C56" s="21"/>
      <c r="D56" s="62"/>
      <c r="E56" s="27"/>
      <c r="F56" s="27"/>
      <c r="G56" s="201"/>
      <c r="H56" s="27"/>
      <c r="I56" s="27"/>
      <c r="J56" s="33"/>
      <c r="K56" s="33"/>
      <c r="L56" s="66"/>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t="e">
        <v>#N/A</v>
      </c>
      <c r="AN56" s="27" t="e">
        <v>#N/A</v>
      </c>
      <c r="AO56" s="27"/>
    </row>
    <row r="57">
      <c r="A57" s="200">
        <v>44803.02513327546</v>
      </c>
      <c r="B57" s="19" t="s">
        <v>141</v>
      </c>
      <c r="C57" s="21" t="s">
        <v>287</v>
      </c>
      <c r="D57" s="62">
        <v>0.0</v>
      </c>
      <c r="E57" s="27">
        <v>0.0</v>
      </c>
      <c r="F57" s="27"/>
      <c r="G57" s="201"/>
      <c r="H57" s="27"/>
      <c r="I57" s="27"/>
      <c r="J57" s="33"/>
      <c r="K57" s="33"/>
      <c r="L57" s="66"/>
      <c r="M57" s="27"/>
      <c r="N57" s="27"/>
      <c r="O57" s="27"/>
      <c r="P57" s="27"/>
      <c r="Q57" s="27"/>
      <c r="R57" s="27"/>
      <c r="S57" s="27"/>
      <c r="T57" s="27"/>
      <c r="U57" s="27"/>
      <c r="V57" s="27"/>
      <c r="W57" s="27"/>
      <c r="X57" s="27"/>
      <c r="Y57" s="27"/>
      <c r="Z57" s="27"/>
      <c r="AA57" s="27"/>
      <c r="AB57" s="27"/>
      <c r="AC57" s="27"/>
      <c r="AD57" s="27"/>
      <c r="AE57" s="27"/>
      <c r="AF57" s="27"/>
      <c r="AG57" s="27"/>
      <c r="AH57" s="27">
        <v>0.0</v>
      </c>
      <c r="AI57" s="27">
        <v>0.0</v>
      </c>
      <c r="AJ57" s="27">
        <v>0.0</v>
      </c>
      <c r="AK57" s="27" t="b">
        <v>1</v>
      </c>
      <c r="AL57" s="27">
        <v>59.0</v>
      </c>
      <c r="AM57" s="27" t="s">
        <v>192</v>
      </c>
      <c r="AN57" s="27" t="s">
        <v>404</v>
      </c>
      <c r="AO57" s="27"/>
    </row>
    <row r="58">
      <c r="A58" s="200">
        <v>44803.02513327546</v>
      </c>
      <c r="B58" s="19" t="s">
        <v>141</v>
      </c>
      <c r="C58" s="21" t="s">
        <v>393</v>
      </c>
      <c r="D58" s="62">
        <v>0.0</v>
      </c>
      <c r="E58" s="27">
        <v>0.0</v>
      </c>
      <c r="F58" s="27"/>
      <c r="G58" s="201"/>
      <c r="H58" s="27"/>
      <c r="I58" s="27"/>
      <c r="J58" s="33"/>
      <c r="K58" s="33"/>
      <c r="L58" s="66"/>
      <c r="M58" s="27"/>
      <c r="N58" s="27"/>
      <c r="O58" s="27"/>
      <c r="P58" s="27"/>
      <c r="Q58" s="27"/>
      <c r="R58" s="27"/>
      <c r="S58" s="27"/>
      <c r="T58" s="27"/>
      <c r="U58" s="27"/>
      <c r="V58" s="27"/>
      <c r="W58" s="27"/>
      <c r="X58" s="27"/>
      <c r="Y58" s="27"/>
      <c r="Z58" s="27"/>
      <c r="AA58" s="27"/>
      <c r="AB58" s="27"/>
      <c r="AC58" s="27"/>
      <c r="AD58" s="27"/>
      <c r="AE58" s="27"/>
      <c r="AF58" s="27"/>
      <c r="AG58" s="27"/>
      <c r="AH58" s="27">
        <v>0.0</v>
      </c>
      <c r="AI58" s="27">
        <v>0.0</v>
      </c>
      <c r="AJ58" s="27">
        <v>0.0</v>
      </c>
      <c r="AK58" s="27" t="b">
        <v>1</v>
      </c>
      <c r="AL58" s="27">
        <v>59.0</v>
      </c>
      <c r="AM58" s="27" t="s">
        <v>187</v>
      </c>
      <c r="AN58" s="27" t="s">
        <v>404</v>
      </c>
      <c r="AO58" s="27"/>
    </row>
    <row r="59">
      <c r="A59" s="200">
        <v>44803.02513327546</v>
      </c>
      <c r="B59" s="19" t="s">
        <v>141</v>
      </c>
      <c r="C59" s="21" t="s">
        <v>314</v>
      </c>
      <c r="D59" s="62">
        <v>0.0</v>
      </c>
      <c r="E59" s="27">
        <v>0.0</v>
      </c>
      <c r="F59" s="27"/>
      <c r="G59" s="201"/>
      <c r="H59" s="27"/>
      <c r="I59" s="27"/>
      <c r="J59" s="33"/>
      <c r="K59" s="33"/>
      <c r="L59" s="66"/>
      <c r="M59" s="27"/>
      <c r="N59" s="27"/>
      <c r="O59" s="27"/>
      <c r="P59" s="27"/>
      <c r="Q59" s="27"/>
      <c r="R59" s="27"/>
      <c r="S59" s="27"/>
      <c r="T59" s="27"/>
      <c r="U59" s="27"/>
      <c r="V59" s="27"/>
      <c r="W59" s="27"/>
      <c r="X59" s="27"/>
      <c r="Y59" s="27"/>
      <c r="Z59" s="27"/>
      <c r="AA59" s="27"/>
      <c r="AB59" s="27"/>
      <c r="AC59" s="27"/>
      <c r="AD59" s="27"/>
      <c r="AE59" s="27"/>
      <c r="AF59" s="27"/>
      <c r="AG59" s="27"/>
      <c r="AH59" s="27">
        <v>0.0</v>
      </c>
      <c r="AI59" s="27">
        <v>0.0</v>
      </c>
      <c r="AJ59" s="27">
        <v>0.0</v>
      </c>
      <c r="AK59" s="27" t="b">
        <v>1</v>
      </c>
      <c r="AL59" s="27">
        <v>59.0</v>
      </c>
      <c r="AM59" s="27" t="s">
        <v>389</v>
      </c>
      <c r="AN59" s="27" t="s">
        <v>405</v>
      </c>
      <c r="AO59" s="27"/>
    </row>
    <row r="60">
      <c r="A60" s="200">
        <v>44803.02513327546</v>
      </c>
      <c r="B60" s="19" t="s">
        <v>141</v>
      </c>
      <c r="C60" s="21" t="s">
        <v>318</v>
      </c>
      <c r="D60" s="62">
        <v>0.0</v>
      </c>
      <c r="E60" s="27">
        <v>0.0</v>
      </c>
      <c r="F60" s="27"/>
      <c r="G60" s="201"/>
      <c r="H60" s="27"/>
      <c r="I60" s="27"/>
      <c r="J60" s="33"/>
      <c r="K60" s="33"/>
      <c r="L60" s="66"/>
      <c r="M60" s="27"/>
      <c r="N60" s="27"/>
      <c r="O60" s="27"/>
      <c r="P60" s="27"/>
      <c r="Q60" s="27"/>
      <c r="R60" s="27"/>
      <c r="S60" s="27"/>
      <c r="T60" s="27"/>
      <c r="U60" s="27"/>
      <c r="V60" s="27"/>
      <c r="W60" s="27"/>
      <c r="X60" s="27"/>
      <c r="Y60" s="27"/>
      <c r="Z60" s="27"/>
      <c r="AA60" s="27"/>
      <c r="AB60" s="27"/>
      <c r="AC60" s="27"/>
      <c r="AD60" s="27"/>
      <c r="AE60" s="27"/>
      <c r="AF60" s="27"/>
      <c r="AG60" s="27"/>
      <c r="AH60" s="27">
        <v>0.0</v>
      </c>
      <c r="AI60" s="27">
        <v>0.0</v>
      </c>
      <c r="AJ60" s="27">
        <v>0.0</v>
      </c>
      <c r="AK60" s="27" t="b">
        <v>1</v>
      </c>
      <c r="AL60" s="27">
        <v>59.0</v>
      </c>
      <c r="AM60" s="27" t="s">
        <v>193</v>
      </c>
      <c r="AN60" s="27" t="s">
        <v>405</v>
      </c>
      <c r="AO60" s="27"/>
    </row>
    <row r="61">
      <c r="A61" s="200">
        <v>44803.02513327546</v>
      </c>
      <c r="B61" s="19" t="s">
        <v>141</v>
      </c>
      <c r="C61" s="21" t="s">
        <v>353</v>
      </c>
      <c r="D61" s="62">
        <v>0.0</v>
      </c>
      <c r="E61" s="27">
        <v>0.0</v>
      </c>
      <c r="F61" s="27"/>
      <c r="G61" s="201"/>
      <c r="H61" s="27"/>
      <c r="I61" s="27"/>
      <c r="J61" s="33"/>
      <c r="K61" s="33"/>
      <c r="L61" s="66"/>
      <c r="M61" s="27"/>
      <c r="N61" s="27"/>
      <c r="O61" s="27"/>
      <c r="P61" s="27"/>
      <c r="Q61" s="27"/>
      <c r="R61" s="27"/>
      <c r="S61" s="27"/>
      <c r="T61" s="27"/>
      <c r="U61" s="27"/>
      <c r="V61" s="27"/>
      <c r="W61" s="27"/>
      <c r="X61" s="27"/>
      <c r="Y61" s="27"/>
      <c r="Z61" s="27"/>
      <c r="AA61" s="27"/>
      <c r="AB61" s="27"/>
      <c r="AC61" s="27"/>
      <c r="AD61" s="27"/>
      <c r="AE61" s="27"/>
      <c r="AF61" s="27"/>
      <c r="AG61" s="27"/>
      <c r="AH61" s="27">
        <v>0.0</v>
      </c>
      <c r="AI61" s="27">
        <v>0.0</v>
      </c>
      <c r="AJ61" s="27">
        <v>0.0</v>
      </c>
      <c r="AK61" s="27" t="b">
        <v>1</v>
      </c>
      <c r="AL61" s="27">
        <v>59.0</v>
      </c>
      <c r="AM61" s="27" t="s">
        <v>186</v>
      </c>
      <c r="AN61" s="27" t="s">
        <v>404</v>
      </c>
      <c r="AO61" s="27"/>
    </row>
    <row r="62">
      <c r="A62" s="200">
        <v>44803.02513327546</v>
      </c>
      <c r="B62" s="19" t="s">
        <v>141</v>
      </c>
      <c r="C62" s="21" t="s">
        <v>386</v>
      </c>
      <c r="D62" s="62">
        <v>0.0</v>
      </c>
      <c r="E62" s="27">
        <v>0.0</v>
      </c>
      <c r="F62" s="27"/>
      <c r="G62" s="201"/>
      <c r="H62" s="27"/>
      <c r="I62" s="27"/>
      <c r="J62" s="33"/>
      <c r="K62" s="33"/>
      <c r="L62" s="66"/>
      <c r="M62" s="27"/>
      <c r="N62" s="27"/>
      <c r="O62" s="27"/>
      <c r="P62" s="27"/>
      <c r="Q62" s="27"/>
      <c r="R62" s="27"/>
      <c r="S62" s="27"/>
      <c r="T62" s="27"/>
      <c r="U62" s="27"/>
      <c r="V62" s="27"/>
      <c r="W62" s="27"/>
      <c r="X62" s="27"/>
      <c r="Y62" s="27"/>
      <c r="Z62" s="27"/>
      <c r="AA62" s="27"/>
      <c r="AB62" s="27"/>
      <c r="AC62" s="27"/>
      <c r="AD62" s="27"/>
      <c r="AE62" s="27"/>
      <c r="AF62" s="27"/>
      <c r="AG62" s="27"/>
      <c r="AH62" s="27">
        <v>0.0</v>
      </c>
      <c r="AI62" s="27">
        <v>0.0</v>
      </c>
      <c r="AJ62" s="27">
        <v>0.0</v>
      </c>
      <c r="AK62" s="27" t="b">
        <v>1</v>
      </c>
      <c r="AL62" s="27">
        <v>59.0</v>
      </c>
      <c r="AM62" s="27" t="s">
        <v>191</v>
      </c>
      <c r="AN62" s="27" t="s">
        <v>404</v>
      </c>
      <c r="AO62" s="27"/>
    </row>
    <row r="63">
      <c r="A63" s="200">
        <v>44803.02513327546</v>
      </c>
      <c r="B63" s="19" t="s">
        <v>141</v>
      </c>
      <c r="C63" s="21" t="s">
        <v>317</v>
      </c>
      <c r="D63" s="62">
        <v>0.0</v>
      </c>
      <c r="E63" s="27">
        <v>1.0</v>
      </c>
      <c r="F63" s="27" t="s">
        <v>1003</v>
      </c>
      <c r="G63" s="201" t="s">
        <v>57</v>
      </c>
      <c r="H63" s="27" t="s">
        <v>53</v>
      </c>
      <c r="I63" s="27"/>
      <c r="J63" s="33">
        <v>5.5</v>
      </c>
      <c r="K63" s="33">
        <v>7.0</v>
      </c>
      <c r="L63" s="66"/>
      <c r="M63" s="27"/>
      <c r="N63" s="27"/>
      <c r="O63" s="27"/>
      <c r="P63" s="27"/>
      <c r="Q63" s="27"/>
      <c r="R63" s="27"/>
      <c r="S63" s="27"/>
      <c r="T63" s="27"/>
      <c r="U63" s="27"/>
      <c r="V63" s="27"/>
      <c r="W63" s="27"/>
      <c r="X63" s="27"/>
      <c r="Y63" s="27"/>
      <c r="Z63" s="27"/>
      <c r="AA63" s="27"/>
      <c r="AB63" s="27"/>
      <c r="AC63" s="27"/>
      <c r="AD63" s="27"/>
      <c r="AE63" s="27"/>
      <c r="AF63" s="27"/>
      <c r="AG63" s="27"/>
      <c r="AH63" s="27">
        <v>13.0</v>
      </c>
      <c r="AI63" s="27">
        <v>43.0</v>
      </c>
      <c r="AJ63" s="27">
        <v>2.0</v>
      </c>
      <c r="AK63" s="27" t="b">
        <v>0</v>
      </c>
      <c r="AL63" s="27">
        <v>100.0</v>
      </c>
      <c r="AM63" s="27" t="s">
        <v>189</v>
      </c>
      <c r="AN63" s="27" t="s">
        <v>405</v>
      </c>
      <c r="AO63" s="27"/>
    </row>
    <row r="64">
      <c r="A64" s="200">
        <v>44803.02513327546</v>
      </c>
      <c r="B64" s="19" t="s">
        <v>141</v>
      </c>
      <c r="C64" s="21" t="s">
        <v>365</v>
      </c>
      <c r="D64" s="62">
        <v>0.0</v>
      </c>
      <c r="E64" s="27">
        <v>1.0</v>
      </c>
      <c r="F64" s="27" t="s">
        <v>1054</v>
      </c>
      <c r="G64" s="201" t="s">
        <v>57</v>
      </c>
      <c r="H64" s="27" t="s">
        <v>154</v>
      </c>
      <c r="I64" s="27"/>
      <c r="J64" s="33">
        <v>-9.5</v>
      </c>
      <c r="K64" s="33">
        <v>-12.0</v>
      </c>
      <c r="L64" s="66">
        <v>52.0</v>
      </c>
      <c r="M64" s="27">
        <v>-0.9112709832</v>
      </c>
      <c r="N64" s="27">
        <v>-11.5</v>
      </c>
      <c r="O64" s="27"/>
      <c r="P64" s="27">
        <v>-11.0</v>
      </c>
      <c r="Q64" s="27"/>
      <c r="R64" s="27">
        <v>-12.0</v>
      </c>
      <c r="S64" s="27"/>
      <c r="T64" s="27">
        <v>-12.0</v>
      </c>
      <c r="U64" s="27"/>
      <c r="V64" s="27">
        <v>-11.0</v>
      </c>
      <c r="W64" s="27"/>
      <c r="X64" s="27">
        <v>-11.0</v>
      </c>
      <c r="Y64" s="27"/>
      <c r="Z64" s="27">
        <v>-11.0</v>
      </c>
      <c r="AA64" s="27"/>
      <c r="AB64" s="27">
        <v>-12.0</v>
      </c>
      <c r="AC64" s="27"/>
      <c r="AD64" s="27">
        <v>-12.0</v>
      </c>
      <c r="AE64" s="27"/>
      <c r="AF64" s="27">
        <v>-12.0</v>
      </c>
      <c r="AG64" s="27"/>
      <c r="AH64" s="27">
        <v>28.0</v>
      </c>
      <c r="AI64" s="27">
        <v>31.0</v>
      </c>
      <c r="AJ64" s="27">
        <v>2.0</v>
      </c>
      <c r="AK64" s="27" t="b">
        <v>1</v>
      </c>
      <c r="AL64" s="27">
        <v>100.0</v>
      </c>
      <c r="AM64" s="27" t="s">
        <v>188</v>
      </c>
      <c r="AN64" s="27" t="s">
        <v>404</v>
      </c>
      <c r="AO64" s="27"/>
    </row>
    <row r="65">
      <c r="A65" s="200">
        <v>44803.02513327546</v>
      </c>
      <c r="B65" s="19" t="s">
        <v>141</v>
      </c>
      <c r="C65" s="21" t="s">
        <v>323</v>
      </c>
      <c r="D65" s="62">
        <v>0.0</v>
      </c>
      <c r="E65" s="27">
        <v>0.0</v>
      </c>
      <c r="F65" s="27"/>
      <c r="G65" s="201"/>
      <c r="H65" s="27"/>
      <c r="I65" s="27"/>
      <c r="J65" s="33"/>
      <c r="K65" s="33"/>
      <c r="L65" s="66"/>
      <c r="M65" s="27"/>
      <c r="N65" s="27"/>
      <c r="O65" s="27"/>
      <c r="P65" s="27"/>
      <c r="Q65" s="27"/>
      <c r="R65" s="27"/>
      <c r="S65" s="27"/>
      <c r="T65" s="27"/>
      <c r="U65" s="27"/>
      <c r="V65" s="27"/>
      <c r="W65" s="27"/>
      <c r="X65" s="27"/>
      <c r="Y65" s="27"/>
      <c r="Z65" s="27"/>
      <c r="AA65" s="27"/>
      <c r="AB65" s="27"/>
      <c r="AC65" s="27"/>
      <c r="AD65" s="27"/>
      <c r="AE65" s="27"/>
      <c r="AF65" s="27"/>
      <c r="AG65" s="27"/>
      <c r="AH65" s="27">
        <v>0.0</v>
      </c>
      <c r="AI65" s="27">
        <v>0.0</v>
      </c>
      <c r="AJ65" s="27">
        <v>3.0</v>
      </c>
      <c r="AK65" s="27" t="b">
        <v>0</v>
      </c>
      <c r="AL65" s="27">
        <v>100.0</v>
      </c>
      <c r="AM65" s="27" t="s">
        <v>190</v>
      </c>
      <c r="AN65" s="27" t="s">
        <v>405</v>
      </c>
      <c r="AO65" s="27"/>
    </row>
    <row r="66">
      <c r="A66" s="200">
        <v>44803.02513327546</v>
      </c>
      <c r="B66" s="19" t="s">
        <v>141</v>
      </c>
      <c r="C66" s="21" t="s">
        <v>349</v>
      </c>
      <c r="D66" s="62">
        <v>0.0</v>
      </c>
      <c r="E66" s="27">
        <v>0.0</v>
      </c>
      <c r="F66" s="27"/>
      <c r="G66" s="201"/>
      <c r="H66" s="27"/>
      <c r="I66" s="27"/>
      <c r="J66" s="33"/>
      <c r="K66" s="33"/>
      <c r="L66" s="66"/>
      <c r="M66" s="27"/>
      <c r="N66" s="27"/>
      <c r="O66" s="27"/>
      <c r="P66" s="27"/>
      <c r="Q66" s="27"/>
      <c r="R66" s="27"/>
      <c r="S66" s="27"/>
      <c r="T66" s="27"/>
      <c r="U66" s="27"/>
      <c r="V66" s="27"/>
      <c r="W66" s="27"/>
      <c r="X66" s="27"/>
      <c r="Y66" s="27"/>
      <c r="Z66" s="27"/>
      <c r="AA66" s="27"/>
      <c r="AB66" s="27"/>
      <c r="AC66" s="27"/>
      <c r="AD66" s="27"/>
      <c r="AE66" s="27"/>
      <c r="AF66" s="27"/>
      <c r="AG66" s="27"/>
      <c r="AH66" s="27">
        <v>0.0</v>
      </c>
      <c r="AI66" s="27">
        <v>0.0</v>
      </c>
      <c r="AJ66" s="27">
        <v>3.0</v>
      </c>
      <c r="AK66" s="27" t="b">
        <v>0</v>
      </c>
      <c r="AL66" s="27">
        <v>100.0</v>
      </c>
      <c r="AM66" s="27" t="s">
        <v>129</v>
      </c>
      <c r="AN66" s="27" t="s">
        <v>405</v>
      </c>
      <c r="AO66" s="27"/>
    </row>
    <row r="67">
      <c r="A67" s="200">
        <v>44803.02513327546</v>
      </c>
      <c r="B67" s="19"/>
      <c r="C67" s="21"/>
      <c r="D67" s="62"/>
      <c r="E67" s="27"/>
      <c r="F67" s="27"/>
      <c r="G67" s="201"/>
      <c r="H67" s="27"/>
      <c r="I67" s="27"/>
      <c r="J67" s="33"/>
      <c r="K67" s="33"/>
      <c r="L67" s="66"/>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t="e">
        <v>#N/A</v>
      </c>
      <c r="AN67" s="27" t="e">
        <v>#N/A</v>
      </c>
      <c r="AO67" s="27"/>
    </row>
    <row r="68">
      <c r="A68" s="200">
        <v>44803.02513327546</v>
      </c>
      <c r="B68" s="19" t="s">
        <v>109</v>
      </c>
      <c r="C68" s="21" t="s">
        <v>292</v>
      </c>
      <c r="D68" s="62">
        <v>0.0</v>
      </c>
      <c r="E68" s="27">
        <v>0.0</v>
      </c>
      <c r="F68" s="27"/>
      <c r="G68" s="201"/>
      <c r="H68" s="27"/>
      <c r="I68" s="27"/>
      <c r="J68" s="33"/>
      <c r="K68" s="33"/>
      <c r="L68" s="66"/>
      <c r="M68" s="27"/>
      <c r="N68" s="27"/>
      <c r="O68" s="27"/>
      <c r="P68" s="27"/>
      <c r="Q68" s="27"/>
      <c r="R68" s="27"/>
      <c r="S68" s="27"/>
      <c r="T68" s="27"/>
      <c r="U68" s="27"/>
      <c r="V68" s="27"/>
      <c r="W68" s="27"/>
      <c r="X68" s="27"/>
      <c r="Y68" s="27"/>
      <c r="Z68" s="27"/>
      <c r="AA68" s="27"/>
      <c r="AB68" s="27"/>
      <c r="AC68" s="27"/>
      <c r="AD68" s="27"/>
      <c r="AE68" s="27"/>
      <c r="AF68" s="27"/>
      <c r="AG68" s="27"/>
      <c r="AH68" s="27">
        <v>0.0</v>
      </c>
      <c r="AI68" s="27">
        <v>0.0</v>
      </c>
      <c r="AJ68" s="27">
        <v>0.0</v>
      </c>
      <c r="AK68" s="27" t="b">
        <v>1</v>
      </c>
      <c r="AL68" s="27">
        <v>59.0</v>
      </c>
      <c r="AM68" s="27" t="s">
        <v>193</v>
      </c>
      <c r="AN68" s="27" t="s">
        <v>405</v>
      </c>
      <c r="AO68" s="27"/>
    </row>
    <row r="69">
      <c r="A69" s="200">
        <v>44803.02513327546</v>
      </c>
      <c r="B69" s="19" t="s">
        <v>109</v>
      </c>
      <c r="C69" s="21" t="s">
        <v>339</v>
      </c>
      <c r="D69" s="62">
        <v>0.0</v>
      </c>
      <c r="E69" s="27">
        <v>0.0</v>
      </c>
      <c r="F69" s="27"/>
      <c r="G69" s="201"/>
      <c r="H69" s="27"/>
      <c r="I69" s="27"/>
      <c r="J69" s="33"/>
      <c r="K69" s="33"/>
      <c r="L69" s="66"/>
      <c r="M69" s="27"/>
      <c r="N69" s="27"/>
      <c r="O69" s="27"/>
      <c r="P69" s="27"/>
      <c r="Q69" s="27"/>
      <c r="R69" s="27"/>
      <c r="S69" s="27"/>
      <c r="T69" s="27"/>
      <c r="U69" s="27"/>
      <c r="V69" s="27"/>
      <c r="W69" s="27"/>
      <c r="X69" s="27"/>
      <c r="Y69" s="27"/>
      <c r="Z69" s="27"/>
      <c r="AA69" s="27"/>
      <c r="AB69" s="27"/>
      <c r="AC69" s="27"/>
      <c r="AD69" s="27"/>
      <c r="AE69" s="27"/>
      <c r="AF69" s="27"/>
      <c r="AG69" s="27"/>
      <c r="AH69" s="27">
        <v>0.0</v>
      </c>
      <c r="AI69" s="27">
        <v>0.0</v>
      </c>
      <c r="AJ69" s="27">
        <v>0.0</v>
      </c>
      <c r="AK69" s="27" t="b">
        <v>1</v>
      </c>
      <c r="AL69" s="27">
        <v>59.0</v>
      </c>
      <c r="AM69" s="27" t="s">
        <v>389</v>
      </c>
      <c r="AN69" s="27" t="s">
        <v>405</v>
      </c>
      <c r="AO69" s="27"/>
    </row>
    <row r="70">
      <c r="A70" s="200">
        <v>44803.02513327546</v>
      </c>
      <c r="B70" s="19" t="s">
        <v>109</v>
      </c>
      <c r="C70" s="21" t="s">
        <v>400</v>
      </c>
      <c r="D70" s="62">
        <v>0.0</v>
      </c>
      <c r="E70" s="27">
        <v>0.0</v>
      </c>
      <c r="F70" s="27"/>
      <c r="G70" s="201"/>
      <c r="H70" s="27"/>
      <c r="I70" s="27"/>
      <c r="J70" s="33"/>
      <c r="K70" s="33"/>
      <c r="L70" s="66"/>
      <c r="M70" s="27"/>
      <c r="N70" s="27"/>
      <c r="O70" s="27"/>
      <c r="P70" s="27"/>
      <c r="Q70" s="27"/>
      <c r="R70" s="27"/>
      <c r="S70" s="27"/>
      <c r="T70" s="27"/>
      <c r="U70" s="27"/>
      <c r="V70" s="27"/>
      <c r="W70" s="27"/>
      <c r="X70" s="27"/>
      <c r="Y70" s="27"/>
      <c r="Z70" s="27"/>
      <c r="AA70" s="27"/>
      <c r="AB70" s="27"/>
      <c r="AC70" s="27"/>
      <c r="AD70" s="27"/>
      <c r="AE70" s="27"/>
      <c r="AF70" s="27"/>
      <c r="AG70" s="27"/>
      <c r="AH70" s="27">
        <v>0.0</v>
      </c>
      <c r="AI70" s="27">
        <v>0.0</v>
      </c>
      <c r="AJ70" s="27">
        <v>0.0</v>
      </c>
      <c r="AK70" s="27" t="b">
        <v>1</v>
      </c>
      <c r="AL70" s="27">
        <v>59.0</v>
      </c>
      <c r="AM70" s="27" t="s">
        <v>187</v>
      </c>
      <c r="AN70" s="27" t="s">
        <v>404</v>
      </c>
      <c r="AO70" s="27"/>
    </row>
    <row r="71">
      <c r="A71" s="200">
        <v>44803.02513327546</v>
      </c>
      <c r="B71" s="19" t="s">
        <v>109</v>
      </c>
      <c r="C71" s="21" t="s">
        <v>343</v>
      </c>
      <c r="D71" s="62">
        <v>0.0</v>
      </c>
      <c r="E71" s="27">
        <v>0.0</v>
      </c>
      <c r="F71" s="27"/>
      <c r="G71" s="201"/>
      <c r="H71" s="27"/>
      <c r="I71" s="27"/>
      <c r="J71" s="33"/>
      <c r="K71" s="33"/>
      <c r="L71" s="66"/>
      <c r="M71" s="27"/>
      <c r="N71" s="27"/>
      <c r="O71" s="27"/>
      <c r="P71" s="27"/>
      <c r="Q71" s="27"/>
      <c r="R71" s="27"/>
      <c r="S71" s="27"/>
      <c r="T71" s="27"/>
      <c r="U71" s="27"/>
      <c r="V71" s="27"/>
      <c r="W71" s="27"/>
      <c r="X71" s="27"/>
      <c r="Y71" s="27"/>
      <c r="Z71" s="27"/>
      <c r="AA71" s="27"/>
      <c r="AB71" s="27"/>
      <c r="AC71" s="27"/>
      <c r="AD71" s="27"/>
      <c r="AE71" s="27"/>
      <c r="AF71" s="27"/>
      <c r="AG71" s="27"/>
      <c r="AH71" s="27">
        <v>0.0</v>
      </c>
      <c r="AI71" s="27">
        <v>0.0</v>
      </c>
      <c r="AJ71" s="27">
        <v>0.0</v>
      </c>
      <c r="AK71" s="27" t="b">
        <v>1</v>
      </c>
      <c r="AL71" s="27">
        <v>59.0</v>
      </c>
      <c r="AM71" s="27" t="s">
        <v>189</v>
      </c>
      <c r="AN71" s="27" t="s">
        <v>405</v>
      </c>
      <c r="AO71" s="27"/>
    </row>
    <row r="72">
      <c r="A72" s="200">
        <v>44803.02513327546</v>
      </c>
      <c r="B72" s="19" t="s">
        <v>109</v>
      </c>
      <c r="C72" s="21" t="s">
        <v>344</v>
      </c>
      <c r="D72" s="62">
        <v>0.0</v>
      </c>
      <c r="E72" s="27">
        <v>0.0</v>
      </c>
      <c r="F72" s="27"/>
      <c r="G72" s="201"/>
      <c r="H72" s="27"/>
      <c r="I72" s="27"/>
      <c r="J72" s="33"/>
      <c r="K72" s="33"/>
      <c r="L72" s="66"/>
      <c r="M72" s="27"/>
      <c r="N72" s="27"/>
      <c r="O72" s="27"/>
      <c r="P72" s="27"/>
      <c r="Q72" s="27"/>
      <c r="R72" s="27"/>
      <c r="S72" s="27"/>
      <c r="T72" s="27"/>
      <c r="U72" s="27"/>
      <c r="V72" s="27"/>
      <c r="W72" s="27"/>
      <c r="X72" s="27"/>
      <c r="Y72" s="27"/>
      <c r="Z72" s="27"/>
      <c r="AA72" s="27"/>
      <c r="AB72" s="27"/>
      <c r="AC72" s="27"/>
      <c r="AD72" s="27"/>
      <c r="AE72" s="27"/>
      <c r="AF72" s="27"/>
      <c r="AG72" s="27"/>
      <c r="AH72" s="27">
        <v>0.0</v>
      </c>
      <c r="AI72" s="27">
        <v>0.0</v>
      </c>
      <c r="AJ72" s="27">
        <v>0.0</v>
      </c>
      <c r="AK72" s="27" t="b">
        <v>1</v>
      </c>
      <c r="AL72" s="27">
        <v>59.0</v>
      </c>
      <c r="AM72" s="27" t="s">
        <v>190</v>
      </c>
      <c r="AN72" s="27" t="s">
        <v>405</v>
      </c>
      <c r="AO72" s="27"/>
    </row>
    <row r="73">
      <c r="A73" s="200">
        <v>44803.02513327546</v>
      </c>
      <c r="B73" s="19" t="s">
        <v>109</v>
      </c>
      <c r="C73" s="21" t="s">
        <v>360</v>
      </c>
      <c r="D73" s="62">
        <v>0.0</v>
      </c>
      <c r="E73" s="27">
        <v>0.0</v>
      </c>
      <c r="F73" s="27"/>
      <c r="G73" s="201"/>
      <c r="H73" s="27"/>
      <c r="I73" s="27"/>
      <c r="J73" s="33"/>
      <c r="K73" s="33"/>
      <c r="L73" s="66"/>
      <c r="M73" s="27"/>
      <c r="N73" s="27"/>
      <c r="O73" s="27"/>
      <c r="P73" s="27"/>
      <c r="Q73" s="27"/>
      <c r="R73" s="27"/>
      <c r="S73" s="27"/>
      <c r="T73" s="27"/>
      <c r="U73" s="27"/>
      <c r="V73" s="27"/>
      <c r="W73" s="27"/>
      <c r="X73" s="27"/>
      <c r="Y73" s="27"/>
      <c r="Z73" s="27"/>
      <c r="AA73" s="27"/>
      <c r="AB73" s="27"/>
      <c r="AC73" s="27"/>
      <c r="AD73" s="27"/>
      <c r="AE73" s="27"/>
      <c r="AF73" s="27"/>
      <c r="AG73" s="27"/>
      <c r="AH73" s="27">
        <v>0.0</v>
      </c>
      <c r="AI73" s="27">
        <v>0.0</v>
      </c>
      <c r="AJ73" s="27">
        <v>0.0</v>
      </c>
      <c r="AK73" s="27" t="b">
        <v>0</v>
      </c>
      <c r="AL73" s="27">
        <v>59.0</v>
      </c>
      <c r="AM73" s="27" t="s">
        <v>192</v>
      </c>
      <c r="AN73" s="27" t="s">
        <v>404</v>
      </c>
      <c r="AO73" s="27"/>
    </row>
    <row r="74">
      <c r="A74" s="200">
        <v>44803.02513327546</v>
      </c>
      <c r="B74" s="19" t="s">
        <v>109</v>
      </c>
      <c r="C74" s="21" t="s">
        <v>394</v>
      </c>
      <c r="D74" s="62">
        <v>0.0</v>
      </c>
      <c r="E74" s="27">
        <v>1.0</v>
      </c>
      <c r="F74" s="27" t="s">
        <v>1002</v>
      </c>
      <c r="G74" s="201" t="s">
        <v>57</v>
      </c>
      <c r="H74" s="27" t="s">
        <v>53</v>
      </c>
      <c r="I74" s="27"/>
      <c r="J74" s="33">
        <v>10.5</v>
      </c>
      <c r="K74" s="33">
        <v>4.5</v>
      </c>
      <c r="L74" s="66"/>
      <c r="M74" s="27"/>
      <c r="N74" s="27"/>
      <c r="O74" s="27"/>
      <c r="P74" s="27"/>
      <c r="Q74" s="27"/>
      <c r="R74" s="27"/>
      <c r="S74" s="27"/>
      <c r="T74" s="27"/>
      <c r="U74" s="27"/>
      <c r="V74" s="27"/>
      <c r="W74" s="27"/>
      <c r="X74" s="27"/>
      <c r="Y74" s="27"/>
      <c r="Z74" s="27"/>
      <c r="AA74" s="27"/>
      <c r="AB74" s="27"/>
      <c r="AC74" s="27"/>
      <c r="AD74" s="27"/>
      <c r="AE74" s="27"/>
      <c r="AF74" s="27"/>
      <c r="AG74" s="27"/>
      <c r="AH74" s="27">
        <v>12.0</v>
      </c>
      <c r="AI74" s="27">
        <v>23.0</v>
      </c>
      <c r="AJ74" s="27">
        <v>2.0</v>
      </c>
      <c r="AK74" s="27" t="b">
        <v>0</v>
      </c>
      <c r="AL74" s="27">
        <v>100.0</v>
      </c>
      <c r="AM74" s="27" t="s">
        <v>129</v>
      </c>
      <c r="AN74" s="27" t="s">
        <v>405</v>
      </c>
      <c r="AO74" s="27"/>
    </row>
    <row r="75">
      <c r="A75" s="200">
        <v>44803.02513327546</v>
      </c>
      <c r="B75" s="19" t="s">
        <v>109</v>
      </c>
      <c r="C75" s="21" t="s">
        <v>367</v>
      </c>
      <c r="D75" s="62">
        <v>1.0</v>
      </c>
      <c r="E75" s="27">
        <v>0.0</v>
      </c>
      <c r="F75" s="27" t="s">
        <v>1055</v>
      </c>
      <c r="G75" s="201" t="s">
        <v>57</v>
      </c>
      <c r="H75" s="27"/>
      <c r="I75" s="27"/>
      <c r="J75" s="33">
        <v>-34.5</v>
      </c>
      <c r="K75" s="33">
        <v>-44.5</v>
      </c>
      <c r="L75" s="66">
        <v>55.5</v>
      </c>
      <c r="M75" s="27">
        <v>-0.33</v>
      </c>
      <c r="N75" s="27">
        <v>-43.5</v>
      </c>
      <c r="O75" s="27"/>
      <c r="P75" s="27">
        <v>-42.5</v>
      </c>
      <c r="Q75" s="27"/>
      <c r="R75" s="27">
        <v>-43.5</v>
      </c>
      <c r="S75" s="27"/>
      <c r="T75" s="27">
        <v>-43.0</v>
      </c>
      <c r="U75" s="27"/>
      <c r="V75" s="27">
        <v>-42.5</v>
      </c>
      <c r="W75" s="27"/>
      <c r="X75" s="27">
        <v>-42.5</v>
      </c>
      <c r="Y75" s="27"/>
      <c r="Z75" s="27"/>
      <c r="AA75" s="27"/>
      <c r="AB75" s="27"/>
      <c r="AC75" s="27"/>
      <c r="AD75" s="27"/>
      <c r="AE75" s="27"/>
      <c r="AF75" s="27"/>
      <c r="AG75" s="27"/>
      <c r="AH75" s="27">
        <v>56.0</v>
      </c>
      <c r="AI75" s="27">
        <v>24.0</v>
      </c>
      <c r="AJ75" s="27">
        <v>2.0</v>
      </c>
      <c r="AK75" s="27" t="b">
        <v>0</v>
      </c>
      <c r="AL75" s="27">
        <v>100.0</v>
      </c>
      <c r="AM75" s="27" t="s">
        <v>186</v>
      </c>
      <c r="AN75" s="27" t="s">
        <v>404</v>
      </c>
      <c r="AO75" s="27"/>
    </row>
    <row r="76">
      <c r="A76" s="200">
        <v>44803.02513327546</v>
      </c>
      <c r="B76" s="19" t="s">
        <v>109</v>
      </c>
      <c r="C76" s="21" t="s">
        <v>328</v>
      </c>
      <c r="D76" s="62">
        <v>0.0</v>
      </c>
      <c r="E76" s="27">
        <v>0.0</v>
      </c>
      <c r="F76" s="27"/>
      <c r="G76" s="201"/>
      <c r="H76" s="27"/>
      <c r="I76" s="27"/>
      <c r="J76" s="33"/>
      <c r="K76" s="33"/>
      <c r="L76" s="66"/>
      <c r="M76" s="27"/>
      <c r="N76" s="27"/>
      <c r="O76" s="27"/>
      <c r="P76" s="27"/>
      <c r="Q76" s="27"/>
      <c r="R76" s="27"/>
      <c r="S76" s="27"/>
      <c r="T76" s="27"/>
      <c r="U76" s="27"/>
      <c r="V76" s="27"/>
      <c r="W76" s="27"/>
      <c r="X76" s="27"/>
      <c r="Y76" s="27"/>
      <c r="Z76" s="27"/>
      <c r="AA76" s="27"/>
      <c r="AB76" s="27"/>
      <c r="AC76" s="27"/>
      <c r="AD76" s="27"/>
      <c r="AE76" s="27"/>
      <c r="AF76" s="27"/>
      <c r="AG76" s="27"/>
      <c r="AH76" s="27">
        <v>0.0</v>
      </c>
      <c r="AI76" s="27">
        <v>0.0</v>
      </c>
      <c r="AJ76" s="27">
        <v>3.0</v>
      </c>
      <c r="AK76" s="27" t="b">
        <v>0</v>
      </c>
      <c r="AL76" s="27">
        <v>100.0</v>
      </c>
      <c r="AM76" s="27" t="s">
        <v>191</v>
      </c>
      <c r="AN76" s="27" t="s">
        <v>404</v>
      </c>
      <c r="AO76" s="27"/>
    </row>
    <row r="77">
      <c r="A77" s="200">
        <v>44803.02513327546</v>
      </c>
      <c r="B77" s="19" t="s">
        <v>109</v>
      </c>
      <c r="C77" s="21" t="s">
        <v>1056</v>
      </c>
      <c r="D77" s="62"/>
      <c r="E77" s="27"/>
      <c r="F77" s="27"/>
      <c r="G77" s="201"/>
      <c r="H77" s="27"/>
      <c r="I77" s="27"/>
      <c r="J77" s="33"/>
      <c r="K77" s="33"/>
      <c r="L77" s="66"/>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t="s">
        <v>188</v>
      </c>
      <c r="AN77" s="27" t="s">
        <v>404</v>
      </c>
      <c r="AO77" s="27"/>
    </row>
    <row r="78">
      <c r="A78" s="200">
        <v>44803.02513327546</v>
      </c>
      <c r="B78" s="19"/>
      <c r="C78" s="21"/>
      <c r="D78" s="62"/>
      <c r="E78" s="27"/>
      <c r="F78" s="27"/>
      <c r="G78" s="201"/>
      <c r="H78" s="27"/>
      <c r="I78" s="27"/>
      <c r="J78" s="33"/>
      <c r="K78" s="33"/>
      <c r="L78" s="66"/>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t="e">
        <v>#N/A</v>
      </c>
      <c r="AN78" s="27" t="e">
        <v>#N/A</v>
      </c>
      <c r="AO78" s="27"/>
    </row>
    <row r="79">
      <c r="A79" s="200">
        <v>44803.02513327546</v>
      </c>
      <c r="B79" s="19" t="s">
        <v>144</v>
      </c>
      <c r="C79" s="21" t="s">
        <v>300</v>
      </c>
      <c r="D79" s="62">
        <v>0.0</v>
      </c>
      <c r="E79" s="27">
        <v>0.0</v>
      </c>
      <c r="F79" s="27"/>
      <c r="G79" s="201"/>
      <c r="H79" s="27"/>
      <c r="I79" s="27"/>
      <c r="J79" s="33"/>
      <c r="K79" s="33"/>
      <c r="L79" s="66"/>
      <c r="M79" s="27"/>
      <c r="N79" s="27"/>
      <c r="O79" s="27"/>
      <c r="P79" s="27"/>
      <c r="Q79" s="27"/>
      <c r="R79" s="27"/>
      <c r="S79" s="27"/>
      <c r="T79" s="27"/>
      <c r="U79" s="27"/>
      <c r="V79" s="27"/>
      <c r="W79" s="27"/>
      <c r="X79" s="27"/>
      <c r="Y79" s="27"/>
      <c r="Z79" s="27"/>
      <c r="AA79" s="27"/>
      <c r="AB79" s="27"/>
      <c r="AC79" s="27"/>
      <c r="AD79" s="27"/>
      <c r="AE79" s="27"/>
      <c r="AF79" s="27"/>
      <c r="AG79" s="27"/>
      <c r="AH79" s="27">
        <v>0.0</v>
      </c>
      <c r="AI79" s="27">
        <v>0.0</v>
      </c>
      <c r="AJ79" s="27">
        <v>0.0</v>
      </c>
      <c r="AK79" s="27" t="b">
        <v>1</v>
      </c>
      <c r="AL79" s="27">
        <v>59.0</v>
      </c>
      <c r="AM79" s="27" t="s">
        <v>193</v>
      </c>
      <c r="AN79" s="27" t="s">
        <v>405</v>
      </c>
      <c r="AO79" s="27"/>
    </row>
    <row r="80">
      <c r="A80" s="200">
        <v>44803.02513327546</v>
      </c>
      <c r="B80" s="19" t="s">
        <v>144</v>
      </c>
      <c r="C80" s="21" t="s">
        <v>357</v>
      </c>
      <c r="D80" s="62">
        <v>0.0</v>
      </c>
      <c r="E80" s="27">
        <v>0.0</v>
      </c>
      <c r="F80" s="27"/>
      <c r="G80" s="201"/>
      <c r="H80" s="27"/>
      <c r="I80" s="27"/>
      <c r="J80" s="33"/>
      <c r="K80" s="33"/>
      <c r="L80" s="66"/>
      <c r="M80" s="27"/>
      <c r="N80" s="27"/>
      <c r="O80" s="27"/>
      <c r="P80" s="27"/>
      <c r="Q80" s="27"/>
      <c r="R80" s="27"/>
      <c r="S80" s="27"/>
      <c r="T80" s="27"/>
      <c r="U80" s="27"/>
      <c r="V80" s="27"/>
      <c r="W80" s="27"/>
      <c r="X80" s="27"/>
      <c r="Y80" s="27"/>
      <c r="Z80" s="27"/>
      <c r="AA80" s="27"/>
      <c r="AB80" s="27"/>
      <c r="AC80" s="27"/>
      <c r="AD80" s="27"/>
      <c r="AE80" s="27"/>
      <c r="AF80" s="27"/>
      <c r="AG80" s="27"/>
      <c r="AH80" s="27">
        <v>0.0</v>
      </c>
      <c r="AI80" s="27">
        <v>0.0</v>
      </c>
      <c r="AJ80" s="27">
        <v>0.0</v>
      </c>
      <c r="AK80" s="27" t="b">
        <v>1</v>
      </c>
      <c r="AL80" s="27">
        <v>59.0</v>
      </c>
      <c r="AM80" s="27" t="s">
        <v>186</v>
      </c>
      <c r="AN80" s="27" t="s">
        <v>404</v>
      </c>
      <c r="AO80" s="27"/>
    </row>
    <row r="81">
      <c r="A81" s="200">
        <v>44803.02513327546</v>
      </c>
      <c r="B81" s="19" t="s">
        <v>144</v>
      </c>
      <c r="C81" s="21" t="s">
        <v>325</v>
      </c>
      <c r="D81" s="62">
        <v>0.0</v>
      </c>
      <c r="E81" s="27">
        <v>0.0</v>
      </c>
      <c r="F81" s="27"/>
      <c r="G81" s="201"/>
      <c r="H81" s="27"/>
      <c r="I81" s="27"/>
      <c r="J81" s="33"/>
      <c r="K81" s="33"/>
      <c r="L81" s="66"/>
      <c r="M81" s="27"/>
      <c r="N81" s="27"/>
      <c r="O81" s="27"/>
      <c r="P81" s="27"/>
      <c r="Q81" s="27"/>
      <c r="R81" s="27"/>
      <c r="S81" s="27"/>
      <c r="T81" s="27"/>
      <c r="U81" s="27"/>
      <c r="V81" s="27"/>
      <c r="W81" s="27"/>
      <c r="X81" s="27"/>
      <c r="Y81" s="27"/>
      <c r="Z81" s="27"/>
      <c r="AA81" s="27"/>
      <c r="AB81" s="27"/>
      <c r="AC81" s="27"/>
      <c r="AD81" s="27"/>
      <c r="AE81" s="27"/>
      <c r="AF81" s="27"/>
      <c r="AG81" s="27"/>
      <c r="AH81" s="27">
        <v>0.0</v>
      </c>
      <c r="AI81" s="27">
        <v>0.0</v>
      </c>
      <c r="AJ81" s="27">
        <v>0.0</v>
      </c>
      <c r="AK81" s="27" t="b">
        <v>1</v>
      </c>
      <c r="AL81" s="27">
        <v>59.0</v>
      </c>
      <c r="AM81" s="27" t="s">
        <v>389</v>
      </c>
      <c r="AN81" s="27" t="s">
        <v>405</v>
      </c>
      <c r="AO81" s="27"/>
    </row>
    <row r="82">
      <c r="A82" s="200">
        <v>44803.02513327546</v>
      </c>
      <c r="B82" s="19" t="s">
        <v>144</v>
      </c>
      <c r="C82" s="21" t="s">
        <v>338</v>
      </c>
      <c r="D82" s="62">
        <v>0.0</v>
      </c>
      <c r="E82" s="27">
        <v>0.0</v>
      </c>
      <c r="F82" s="27"/>
      <c r="G82" s="201"/>
      <c r="H82" s="27"/>
      <c r="I82" s="27"/>
      <c r="J82" s="33"/>
      <c r="K82" s="33"/>
      <c r="L82" s="66"/>
      <c r="M82" s="27"/>
      <c r="N82" s="27"/>
      <c r="O82" s="27"/>
      <c r="P82" s="27"/>
      <c r="Q82" s="27"/>
      <c r="R82" s="27"/>
      <c r="S82" s="27"/>
      <c r="T82" s="27"/>
      <c r="U82" s="27"/>
      <c r="V82" s="27"/>
      <c r="W82" s="27"/>
      <c r="X82" s="27"/>
      <c r="Y82" s="27"/>
      <c r="Z82" s="27"/>
      <c r="AA82" s="27"/>
      <c r="AB82" s="27"/>
      <c r="AC82" s="27"/>
      <c r="AD82" s="27"/>
      <c r="AE82" s="27"/>
      <c r="AF82" s="27"/>
      <c r="AG82" s="27"/>
      <c r="AH82" s="27">
        <v>0.0</v>
      </c>
      <c r="AI82" s="27">
        <v>0.0</v>
      </c>
      <c r="AJ82" s="27">
        <v>0.0</v>
      </c>
      <c r="AK82" s="27" t="b">
        <v>1</v>
      </c>
      <c r="AL82" s="27">
        <v>59.0</v>
      </c>
      <c r="AM82" s="27" t="s">
        <v>189</v>
      </c>
      <c r="AN82" s="27" t="s">
        <v>405</v>
      </c>
      <c r="AO82" s="27"/>
    </row>
    <row r="83">
      <c r="A83" s="200">
        <v>44803.02513327546</v>
      </c>
      <c r="B83" s="19" t="s">
        <v>144</v>
      </c>
      <c r="C83" s="21" t="s">
        <v>359</v>
      </c>
      <c r="D83" s="62">
        <v>0.0</v>
      </c>
      <c r="E83" s="27">
        <v>0.0</v>
      </c>
      <c r="F83" s="27"/>
      <c r="G83" s="201"/>
      <c r="H83" s="27"/>
      <c r="I83" s="27"/>
      <c r="J83" s="33"/>
      <c r="K83" s="33"/>
      <c r="L83" s="66"/>
      <c r="M83" s="27"/>
      <c r="N83" s="27"/>
      <c r="O83" s="27"/>
      <c r="P83" s="27"/>
      <c r="Q83" s="27"/>
      <c r="R83" s="27"/>
      <c r="S83" s="27"/>
      <c r="T83" s="27"/>
      <c r="U83" s="27"/>
      <c r="V83" s="27"/>
      <c r="W83" s="27"/>
      <c r="X83" s="27"/>
      <c r="Y83" s="27"/>
      <c r="Z83" s="27"/>
      <c r="AA83" s="27"/>
      <c r="AB83" s="27"/>
      <c r="AC83" s="27"/>
      <c r="AD83" s="27"/>
      <c r="AE83" s="27"/>
      <c r="AF83" s="27"/>
      <c r="AG83" s="27"/>
      <c r="AH83" s="27">
        <v>0.0</v>
      </c>
      <c r="AI83" s="27">
        <v>0.0</v>
      </c>
      <c r="AJ83" s="27">
        <v>0.0</v>
      </c>
      <c r="AK83" s="27" t="b">
        <v>1</v>
      </c>
      <c r="AL83" s="27">
        <v>59.0</v>
      </c>
      <c r="AM83" s="27" t="s">
        <v>190</v>
      </c>
      <c r="AN83" s="27" t="s">
        <v>405</v>
      </c>
      <c r="AO83" s="27"/>
    </row>
    <row r="84">
      <c r="A84" s="200">
        <v>44803.02513327546</v>
      </c>
      <c r="B84" s="19" t="s">
        <v>144</v>
      </c>
      <c r="C84" s="21" t="s">
        <v>346</v>
      </c>
      <c r="D84" s="62">
        <v>0.0</v>
      </c>
      <c r="E84" s="27">
        <v>0.0</v>
      </c>
      <c r="F84" s="27"/>
      <c r="G84" s="201"/>
      <c r="H84" s="27"/>
      <c r="I84" s="27"/>
      <c r="J84" s="33"/>
      <c r="K84" s="33"/>
      <c r="L84" s="66"/>
      <c r="M84" s="27"/>
      <c r="N84" s="27"/>
      <c r="O84" s="27"/>
      <c r="P84" s="27"/>
      <c r="Q84" s="27"/>
      <c r="R84" s="27"/>
      <c r="S84" s="27"/>
      <c r="T84" s="27"/>
      <c r="U84" s="27"/>
      <c r="V84" s="27"/>
      <c r="W84" s="27"/>
      <c r="X84" s="27"/>
      <c r="Y84" s="27"/>
      <c r="Z84" s="27"/>
      <c r="AA84" s="27"/>
      <c r="AB84" s="27"/>
      <c r="AC84" s="27"/>
      <c r="AD84" s="27"/>
      <c r="AE84" s="27"/>
      <c r="AF84" s="27"/>
      <c r="AG84" s="27"/>
      <c r="AH84" s="27">
        <v>0.0</v>
      </c>
      <c r="AI84" s="27">
        <v>0.0</v>
      </c>
      <c r="AJ84" s="27">
        <v>0.0</v>
      </c>
      <c r="AK84" s="27" t="b">
        <v>1</v>
      </c>
      <c r="AL84" s="27">
        <v>59.0</v>
      </c>
      <c r="AM84" s="27" t="s">
        <v>192</v>
      </c>
      <c r="AN84" s="27" t="s">
        <v>404</v>
      </c>
      <c r="AO84" s="27"/>
    </row>
    <row r="85">
      <c r="A85" s="200">
        <v>44803.02513327546</v>
      </c>
      <c r="B85" s="19" t="s">
        <v>144</v>
      </c>
      <c r="C85" s="21" t="s">
        <v>342</v>
      </c>
      <c r="D85" s="62">
        <v>0.0</v>
      </c>
      <c r="E85" s="27">
        <v>0.0</v>
      </c>
      <c r="F85" s="27"/>
      <c r="G85" s="201"/>
      <c r="H85" s="27"/>
      <c r="I85" s="27"/>
      <c r="J85" s="33"/>
      <c r="K85" s="33"/>
      <c r="L85" s="66"/>
      <c r="M85" s="27"/>
      <c r="N85" s="27"/>
      <c r="O85" s="27"/>
      <c r="P85" s="27"/>
      <c r="Q85" s="27"/>
      <c r="R85" s="27"/>
      <c r="S85" s="27"/>
      <c r="T85" s="27"/>
      <c r="U85" s="27"/>
      <c r="V85" s="27"/>
      <c r="W85" s="27"/>
      <c r="X85" s="27"/>
      <c r="Y85" s="27"/>
      <c r="Z85" s="27"/>
      <c r="AA85" s="27"/>
      <c r="AB85" s="27"/>
      <c r="AC85" s="27"/>
      <c r="AD85" s="27"/>
      <c r="AE85" s="27"/>
      <c r="AF85" s="27"/>
      <c r="AG85" s="27"/>
      <c r="AH85" s="27">
        <v>0.0</v>
      </c>
      <c r="AI85" s="27">
        <v>0.0</v>
      </c>
      <c r="AJ85" s="27">
        <v>0.0</v>
      </c>
      <c r="AK85" s="27" t="b">
        <v>1</v>
      </c>
      <c r="AL85" s="27">
        <v>59.0</v>
      </c>
      <c r="AM85" s="27" t="s">
        <v>191</v>
      </c>
      <c r="AN85" s="27" t="s">
        <v>404</v>
      </c>
      <c r="AO85" s="27"/>
    </row>
    <row r="86">
      <c r="A86" s="200">
        <v>44803.02513327546</v>
      </c>
      <c r="B86" s="19" t="s">
        <v>144</v>
      </c>
      <c r="C86" s="21" t="s">
        <v>321</v>
      </c>
      <c r="D86" s="62">
        <v>1.0</v>
      </c>
      <c r="E86" s="27">
        <v>0.0</v>
      </c>
      <c r="F86" s="27" t="s">
        <v>1057</v>
      </c>
      <c r="G86" s="201" t="s">
        <v>57</v>
      </c>
      <c r="H86" s="27" t="s">
        <v>154</v>
      </c>
      <c r="I86" s="27"/>
      <c r="J86" s="33">
        <v>-9.0</v>
      </c>
      <c r="K86" s="33">
        <v>-14.0</v>
      </c>
      <c r="L86" s="66">
        <v>43.5</v>
      </c>
      <c r="M86" s="27">
        <v>-0.8543165468</v>
      </c>
      <c r="N86" s="27">
        <v>-14.0</v>
      </c>
      <c r="O86" s="27"/>
      <c r="P86" s="27">
        <v>-14.0</v>
      </c>
      <c r="Q86" s="27"/>
      <c r="R86" s="27">
        <v>-14.0</v>
      </c>
      <c r="S86" s="27"/>
      <c r="T86" s="27">
        <v>-14.0</v>
      </c>
      <c r="U86" s="27"/>
      <c r="V86" s="27">
        <v>-14.0</v>
      </c>
      <c r="W86" s="27"/>
      <c r="X86" s="27">
        <v>-14.0</v>
      </c>
      <c r="Y86" s="27"/>
      <c r="Z86" s="27">
        <v>-14.0</v>
      </c>
      <c r="AA86" s="27"/>
      <c r="AB86" s="27">
        <v>-13.5</v>
      </c>
      <c r="AC86" s="27"/>
      <c r="AD86" s="27">
        <v>-14.0</v>
      </c>
      <c r="AE86" s="27"/>
      <c r="AF86" s="27">
        <v>-14.0</v>
      </c>
      <c r="AG86" s="27"/>
      <c r="AH86" s="27">
        <v>38.0</v>
      </c>
      <c r="AI86" s="27">
        <v>6.0</v>
      </c>
      <c r="AJ86" s="27">
        <v>2.0</v>
      </c>
      <c r="AK86" s="27" t="b">
        <v>0</v>
      </c>
      <c r="AL86" s="27">
        <v>100.0</v>
      </c>
      <c r="AM86" s="27" t="s">
        <v>188</v>
      </c>
      <c r="AN86" s="27" t="s">
        <v>404</v>
      </c>
      <c r="AO86" s="27"/>
    </row>
    <row r="87">
      <c r="A87" s="200">
        <v>44803.02513327546</v>
      </c>
      <c r="B87" s="19" t="s">
        <v>144</v>
      </c>
      <c r="C87" s="21" t="s">
        <v>371</v>
      </c>
      <c r="D87" s="62">
        <v>0.0</v>
      </c>
      <c r="E87" s="27">
        <v>0.0</v>
      </c>
      <c r="F87" s="27"/>
      <c r="G87" s="201"/>
      <c r="H87" s="27"/>
      <c r="I87" s="27"/>
      <c r="J87" s="33"/>
      <c r="K87" s="33"/>
      <c r="L87" s="66"/>
      <c r="M87" s="27"/>
      <c r="N87" s="27"/>
      <c r="O87" s="27"/>
      <c r="P87" s="27"/>
      <c r="Q87" s="27"/>
      <c r="R87" s="27"/>
      <c r="S87" s="27"/>
      <c r="T87" s="27"/>
      <c r="U87" s="27"/>
      <c r="V87" s="27"/>
      <c r="W87" s="27"/>
      <c r="X87" s="27"/>
      <c r="Y87" s="27"/>
      <c r="Z87" s="27"/>
      <c r="AA87" s="27"/>
      <c r="AB87" s="27"/>
      <c r="AC87" s="27"/>
      <c r="AD87" s="27"/>
      <c r="AE87" s="27"/>
      <c r="AF87" s="27"/>
      <c r="AG87" s="27"/>
      <c r="AH87" s="27">
        <v>0.0</v>
      </c>
      <c r="AI87" s="27">
        <v>0.0</v>
      </c>
      <c r="AJ87" s="27">
        <v>3.0</v>
      </c>
      <c r="AK87" s="27" t="b">
        <v>0</v>
      </c>
      <c r="AL87" s="27">
        <v>100.0</v>
      </c>
      <c r="AM87" s="27" t="s">
        <v>187</v>
      </c>
      <c r="AN87" s="27" t="s">
        <v>404</v>
      </c>
      <c r="AO87" s="27"/>
    </row>
    <row r="88">
      <c r="A88" s="200">
        <v>44803.02513327546</v>
      </c>
      <c r="B88" s="19" t="s">
        <v>144</v>
      </c>
      <c r="C88" s="21" t="s">
        <v>345</v>
      </c>
      <c r="D88" s="62">
        <v>0.0</v>
      </c>
      <c r="E88" s="27">
        <v>0.0</v>
      </c>
      <c r="F88" s="27"/>
      <c r="G88" s="201"/>
      <c r="H88" s="27"/>
      <c r="I88" s="27"/>
      <c r="J88" s="33"/>
      <c r="K88" s="33"/>
      <c r="L88" s="66"/>
      <c r="M88" s="27"/>
      <c r="N88" s="27"/>
      <c r="O88" s="27"/>
      <c r="P88" s="27"/>
      <c r="Q88" s="27"/>
      <c r="R88" s="27"/>
      <c r="S88" s="27"/>
      <c r="T88" s="27"/>
      <c r="U88" s="27"/>
      <c r="V88" s="27"/>
      <c r="W88" s="27"/>
      <c r="X88" s="27"/>
      <c r="Y88" s="27"/>
      <c r="Z88" s="27"/>
      <c r="AA88" s="27"/>
      <c r="AB88" s="27"/>
      <c r="AC88" s="27"/>
      <c r="AD88" s="27"/>
      <c r="AE88" s="27"/>
      <c r="AF88" s="27"/>
      <c r="AG88" s="27"/>
      <c r="AH88" s="27">
        <v>0.0</v>
      </c>
      <c r="AI88" s="27">
        <v>0.0</v>
      </c>
      <c r="AJ88" s="27">
        <v>3.0</v>
      </c>
      <c r="AK88" s="27" t="b">
        <v>0</v>
      </c>
      <c r="AL88" s="27">
        <v>100.0</v>
      </c>
      <c r="AM88" s="27" t="s">
        <v>129</v>
      </c>
      <c r="AN88" s="27" t="s">
        <v>405</v>
      </c>
      <c r="AO88" s="27"/>
    </row>
    <row r="89">
      <c r="A89" s="200">
        <v>44803.02513327546</v>
      </c>
      <c r="B89" s="19"/>
      <c r="C89" s="21"/>
      <c r="D89" s="62"/>
      <c r="E89" s="27"/>
      <c r="F89" s="27"/>
      <c r="G89" s="201"/>
      <c r="H89" s="27"/>
      <c r="I89" s="27"/>
      <c r="J89" s="33"/>
      <c r="K89" s="33"/>
      <c r="L89" s="66"/>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t="e">
        <v>#N/A</v>
      </c>
      <c r="AN89" s="27" t="e">
        <v>#N/A</v>
      </c>
      <c r="AO89" s="27"/>
    </row>
    <row r="90">
      <c r="A90" s="200">
        <v>44803.02513327546</v>
      </c>
      <c r="B90" s="19" t="s">
        <v>166</v>
      </c>
      <c r="C90" s="21" t="s">
        <v>306</v>
      </c>
      <c r="D90" s="62">
        <v>0.0</v>
      </c>
      <c r="E90" s="27">
        <v>0.0</v>
      </c>
      <c r="F90" s="27"/>
      <c r="G90" s="201"/>
      <c r="H90" s="27"/>
      <c r="I90" s="27"/>
      <c r="J90" s="33"/>
      <c r="K90" s="33"/>
      <c r="L90" s="66"/>
      <c r="M90" s="27"/>
      <c r="N90" s="27"/>
      <c r="O90" s="27"/>
      <c r="P90" s="27"/>
      <c r="Q90" s="27"/>
      <c r="R90" s="27"/>
      <c r="S90" s="27"/>
      <c r="T90" s="27"/>
      <c r="U90" s="27"/>
      <c r="V90" s="27"/>
      <c r="W90" s="27"/>
      <c r="X90" s="27"/>
      <c r="Y90" s="27"/>
      <c r="Z90" s="27"/>
      <c r="AA90" s="27"/>
      <c r="AB90" s="27"/>
      <c r="AC90" s="27"/>
      <c r="AD90" s="27"/>
      <c r="AE90" s="27"/>
      <c r="AF90" s="27"/>
      <c r="AG90" s="27"/>
      <c r="AH90" s="27">
        <v>0.0</v>
      </c>
      <c r="AI90" s="27">
        <v>0.0</v>
      </c>
      <c r="AJ90" s="27">
        <v>0.0</v>
      </c>
      <c r="AK90" s="27" t="b">
        <v>1</v>
      </c>
      <c r="AL90" s="27">
        <v>59.0</v>
      </c>
      <c r="AM90" s="27" t="s">
        <v>193</v>
      </c>
      <c r="AN90" s="27" t="s">
        <v>405</v>
      </c>
      <c r="AO90" s="27"/>
    </row>
    <row r="91">
      <c r="A91" s="200">
        <v>44803.02513327546</v>
      </c>
      <c r="B91" s="19" t="s">
        <v>166</v>
      </c>
      <c r="C91" s="21" t="s">
        <v>398</v>
      </c>
      <c r="D91" s="62">
        <v>0.0</v>
      </c>
      <c r="E91" s="27">
        <v>0.0</v>
      </c>
      <c r="F91" s="27"/>
      <c r="G91" s="201"/>
      <c r="H91" s="27"/>
      <c r="I91" s="27"/>
      <c r="J91" s="33"/>
      <c r="K91" s="33"/>
      <c r="L91" s="66"/>
      <c r="M91" s="27"/>
      <c r="N91" s="27"/>
      <c r="O91" s="27"/>
      <c r="P91" s="27"/>
      <c r="Q91" s="27"/>
      <c r="R91" s="27"/>
      <c r="S91" s="27"/>
      <c r="T91" s="27"/>
      <c r="U91" s="27"/>
      <c r="V91" s="27"/>
      <c r="W91" s="27"/>
      <c r="X91" s="27"/>
      <c r="Y91" s="27"/>
      <c r="Z91" s="27"/>
      <c r="AA91" s="27"/>
      <c r="AB91" s="27"/>
      <c r="AC91" s="27"/>
      <c r="AD91" s="27"/>
      <c r="AE91" s="27"/>
      <c r="AF91" s="27"/>
      <c r="AG91" s="27"/>
      <c r="AH91" s="27">
        <v>0.0</v>
      </c>
      <c r="AI91" s="27">
        <v>0.0</v>
      </c>
      <c r="AJ91" s="27">
        <v>0.0</v>
      </c>
      <c r="AK91" s="27" t="b">
        <v>1</v>
      </c>
      <c r="AL91" s="27">
        <v>59.0</v>
      </c>
      <c r="AM91" s="27" t="s">
        <v>389</v>
      </c>
      <c r="AN91" s="27" t="s">
        <v>405</v>
      </c>
      <c r="AO91" s="27"/>
    </row>
    <row r="92">
      <c r="A92" s="200">
        <v>44803.02513327546</v>
      </c>
      <c r="B92" s="19" t="s">
        <v>166</v>
      </c>
      <c r="C92" s="21" t="s">
        <v>364</v>
      </c>
      <c r="D92" s="62">
        <v>0.0</v>
      </c>
      <c r="E92" s="27">
        <v>0.0</v>
      </c>
      <c r="F92" s="27"/>
      <c r="G92" s="201"/>
      <c r="H92" s="27"/>
      <c r="I92" s="27"/>
      <c r="J92" s="33"/>
      <c r="K92" s="33"/>
      <c r="L92" s="66"/>
      <c r="M92" s="27"/>
      <c r="N92" s="27"/>
      <c r="O92" s="27"/>
      <c r="P92" s="27"/>
      <c r="Q92" s="27"/>
      <c r="R92" s="27"/>
      <c r="S92" s="27"/>
      <c r="T92" s="27"/>
      <c r="U92" s="27"/>
      <c r="V92" s="27"/>
      <c r="W92" s="27"/>
      <c r="X92" s="27"/>
      <c r="Y92" s="27"/>
      <c r="Z92" s="27"/>
      <c r="AA92" s="27"/>
      <c r="AB92" s="27"/>
      <c r="AC92" s="27"/>
      <c r="AD92" s="27"/>
      <c r="AE92" s="27"/>
      <c r="AF92" s="27"/>
      <c r="AG92" s="27"/>
      <c r="AH92" s="27">
        <v>0.0</v>
      </c>
      <c r="AI92" s="27">
        <v>0.0</v>
      </c>
      <c r="AJ92" s="27">
        <v>0.0</v>
      </c>
      <c r="AK92" s="27" t="b">
        <v>1</v>
      </c>
      <c r="AL92" s="27">
        <v>59.0</v>
      </c>
      <c r="AM92" s="27" t="s">
        <v>187</v>
      </c>
      <c r="AN92" s="27" t="s">
        <v>404</v>
      </c>
      <c r="AO92" s="27"/>
    </row>
    <row r="93">
      <c r="A93" s="200">
        <v>44803.02513327546</v>
      </c>
      <c r="B93" s="19" t="s">
        <v>166</v>
      </c>
      <c r="C93" s="21" t="s">
        <v>399</v>
      </c>
      <c r="D93" s="62">
        <v>0.0</v>
      </c>
      <c r="E93" s="27">
        <v>0.0</v>
      </c>
      <c r="F93" s="27"/>
      <c r="G93" s="201"/>
      <c r="H93" s="27"/>
      <c r="I93" s="27"/>
      <c r="J93" s="33"/>
      <c r="K93" s="33"/>
      <c r="L93" s="66"/>
      <c r="M93" s="27"/>
      <c r="N93" s="27"/>
      <c r="O93" s="27"/>
      <c r="P93" s="27"/>
      <c r="Q93" s="27"/>
      <c r="R93" s="27"/>
      <c r="S93" s="27"/>
      <c r="T93" s="27"/>
      <c r="U93" s="27"/>
      <c r="V93" s="27"/>
      <c r="W93" s="27"/>
      <c r="X93" s="27"/>
      <c r="Y93" s="27"/>
      <c r="Z93" s="27"/>
      <c r="AA93" s="27"/>
      <c r="AB93" s="27"/>
      <c r="AC93" s="27"/>
      <c r="AD93" s="27"/>
      <c r="AE93" s="27"/>
      <c r="AF93" s="27"/>
      <c r="AG93" s="27"/>
      <c r="AH93" s="27">
        <v>0.0</v>
      </c>
      <c r="AI93" s="27">
        <v>0.0</v>
      </c>
      <c r="AJ93" s="27">
        <v>0.0</v>
      </c>
      <c r="AK93" s="27" t="b">
        <v>1</v>
      </c>
      <c r="AL93" s="27">
        <v>59.0</v>
      </c>
      <c r="AM93" s="27" t="s">
        <v>190</v>
      </c>
      <c r="AN93" s="27" t="s">
        <v>405</v>
      </c>
      <c r="AO93" s="27"/>
    </row>
    <row r="94">
      <c r="A94" s="200">
        <v>44803.02513327546</v>
      </c>
      <c r="B94" s="19" t="s">
        <v>166</v>
      </c>
      <c r="C94" s="21" t="s">
        <v>333</v>
      </c>
      <c r="D94" s="62">
        <v>0.0</v>
      </c>
      <c r="E94" s="27">
        <v>0.0</v>
      </c>
      <c r="F94" s="27"/>
      <c r="G94" s="201"/>
      <c r="H94" s="27"/>
      <c r="I94" s="27"/>
      <c r="J94" s="33"/>
      <c r="K94" s="33"/>
      <c r="L94" s="66"/>
      <c r="M94" s="27"/>
      <c r="N94" s="27"/>
      <c r="O94" s="27"/>
      <c r="P94" s="27"/>
      <c r="Q94" s="27"/>
      <c r="R94" s="27"/>
      <c r="S94" s="27"/>
      <c r="T94" s="27"/>
      <c r="U94" s="27"/>
      <c r="V94" s="27"/>
      <c r="W94" s="27"/>
      <c r="X94" s="27"/>
      <c r="Y94" s="27"/>
      <c r="Z94" s="27"/>
      <c r="AA94" s="27"/>
      <c r="AB94" s="27"/>
      <c r="AC94" s="27"/>
      <c r="AD94" s="27"/>
      <c r="AE94" s="27"/>
      <c r="AF94" s="27"/>
      <c r="AG94" s="27"/>
      <c r="AH94" s="27">
        <v>0.0</v>
      </c>
      <c r="AI94" s="27">
        <v>0.0</v>
      </c>
      <c r="AJ94" s="27">
        <v>0.0</v>
      </c>
      <c r="AK94" s="27" t="b">
        <v>1</v>
      </c>
      <c r="AL94" s="27">
        <v>59.0</v>
      </c>
      <c r="AM94" s="27" t="s">
        <v>191</v>
      </c>
      <c r="AN94" s="27" t="s">
        <v>404</v>
      </c>
      <c r="AO94" s="27"/>
    </row>
    <row r="95">
      <c r="A95" s="200">
        <v>44803.02513327546</v>
      </c>
      <c r="B95" s="19" t="s">
        <v>166</v>
      </c>
      <c r="C95" s="21" t="s">
        <v>337</v>
      </c>
      <c r="D95" s="62">
        <v>0.0</v>
      </c>
      <c r="E95" s="27">
        <v>0.0</v>
      </c>
      <c r="F95" s="27"/>
      <c r="G95" s="201"/>
      <c r="H95" s="27"/>
      <c r="I95" s="27"/>
      <c r="J95" s="33"/>
      <c r="K95" s="33"/>
      <c r="L95" s="66"/>
      <c r="M95" s="27"/>
      <c r="N95" s="27"/>
      <c r="O95" s="27"/>
      <c r="P95" s="27"/>
      <c r="Q95" s="27"/>
      <c r="R95" s="27"/>
      <c r="S95" s="27"/>
      <c r="T95" s="27"/>
      <c r="U95" s="27"/>
      <c r="V95" s="27"/>
      <c r="W95" s="27"/>
      <c r="X95" s="27"/>
      <c r="Y95" s="27"/>
      <c r="Z95" s="27"/>
      <c r="AA95" s="27"/>
      <c r="AB95" s="27"/>
      <c r="AC95" s="27"/>
      <c r="AD95" s="27"/>
      <c r="AE95" s="27"/>
      <c r="AF95" s="27"/>
      <c r="AG95" s="27"/>
      <c r="AH95" s="27">
        <v>0.0</v>
      </c>
      <c r="AI95" s="27">
        <v>0.0</v>
      </c>
      <c r="AJ95" s="27">
        <v>0.0</v>
      </c>
      <c r="AK95" s="27" t="b">
        <v>1</v>
      </c>
      <c r="AL95" s="27">
        <v>59.0</v>
      </c>
      <c r="AM95" s="27" t="s">
        <v>192</v>
      </c>
      <c r="AN95" s="27" t="s">
        <v>404</v>
      </c>
      <c r="AO95" s="27"/>
    </row>
    <row r="96">
      <c r="A96" s="200">
        <v>44803.02513327546</v>
      </c>
      <c r="B96" s="19" t="s">
        <v>166</v>
      </c>
      <c r="C96" s="21" t="s">
        <v>327</v>
      </c>
      <c r="D96" s="62">
        <v>0.0</v>
      </c>
      <c r="E96" s="27">
        <v>0.0</v>
      </c>
      <c r="F96" s="27"/>
      <c r="G96" s="201"/>
      <c r="H96" s="27"/>
      <c r="I96" s="27"/>
      <c r="J96" s="33"/>
      <c r="K96" s="33"/>
      <c r="L96" s="66"/>
      <c r="M96" s="27"/>
      <c r="N96" s="27"/>
      <c r="O96" s="27"/>
      <c r="P96" s="27"/>
      <c r="Q96" s="27"/>
      <c r="R96" s="27"/>
      <c r="S96" s="27"/>
      <c r="T96" s="27"/>
      <c r="U96" s="27"/>
      <c r="V96" s="27"/>
      <c r="W96" s="27"/>
      <c r="X96" s="27"/>
      <c r="Y96" s="27"/>
      <c r="Z96" s="27"/>
      <c r="AA96" s="27"/>
      <c r="AB96" s="27"/>
      <c r="AC96" s="27"/>
      <c r="AD96" s="27"/>
      <c r="AE96" s="27"/>
      <c r="AF96" s="27"/>
      <c r="AG96" s="27"/>
      <c r="AH96" s="27">
        <v>0.0</v>
      </c>
      <c r="AI96" s="27">
        <v>0.0</v>
      </c>
      <c r="AJ96" s="27">
        <v>0.0</v>
      </c>
      <c r="AK96" s="27" t="b">
        <v>1</v>
      </c>
      <c r="AL96" s="27">
        <v>59.0</v>
      </c>
      <c r="AM96" s="27" t="s">
        <v>188</v>
      </c>
      <c r="AN96" s="27" t="s">
        <v>404</v>
      </c>
      <c r="AO96" s="27"/>
    </row>
    <row r="97">
      <c r="A97" s="200">
        <v>44803.02513327546</v>
      </c>
      <c r="B97" s="19" t="s">
        <v>166</v>
      </c>
      <c r="C97" s="21" t="s">
        <v>351</v>
      </c>
      <c r="D97" s="62">
        <v>0.0</v>
      </c>
      <c r="E97" s="27">
        <v>1.0</v>
      </c>
      <c r="F97" s="27" t="s">
        <v>1036</v>
      </c>
      <c r="G97" s="201" t="s">
        <v>57</v>
      </c>
      <c r="H97" s="27" t="s">
        <v>138</v>
      </c>
      <c r="I97" s="27"/>
      <c r="J97" s="33">
        <v>1.0</v>
      </c>
      <c r="K97" s="33">
        <v>9.0</v>
      </c>
      <c r="L97" s="66"/>
      <c r="M97" s="27"/>
      <c r="N97" s="27"/>
      <c r="O97" s="27"/>
      <c r="P97" s="27"/>
      <c r="Q97" s="27"/>
      <c r="R97" s="27"/>
      <c r="S97" s="27"/>
      <c r="T97" s="27"/>
      <c r="U97" s="27"/>
      <c r="V97" s="27"/>
      <c r="W97" s="27"/>
      <c r="X97" s="27"/>
      <c r="Y97" s="27"/>
      <c r="Z97" s="27"/>
      <c r="AA97" s="27"/>
      <c r="AB97" s="27"/>
      <c r="AC97" s="27"/>
      <c r="AD97" s="27"/>
      <c r="AE97" s="27"/>
      <c r="AF97" s="27"/>
      <c r="AG97" s="27"/>
      <c r="AH97" s="27">
        <v>10.0</v>
      </c>
      <c r="AI97" s="27">
        <v>63.0</v>
      </c>
      <c r="AJ97" s="27">
        <v>2.0</v>
      </c>
      <c r="AK97" s="27" t="b">
        <v>0</v>
      </c>
      <c r="AL97" s="27">
        <v>100.0</v>
      </c>
      <c r="AM97" s="27" t="s">
        <v>129</v>
      </c>
      <c r="AN97" s="27" t="s">
        <v>405</v>
      </c>
      <c r="AO97" s="27"/>
    </row>
    <row r="98">
      <c r="A98" s="200">
        <v>44803.02513327546</v>
      </c>
      <c r="B98" s="19" t="s">
        <v>166</v>
      </c>
      <c r="C98" s="21" t="s">
        <v>370</v>
      </c>
      <c r="D98" s="62">
        <v>0.0</v>
      </c>
      <c r="E98" s="27">
        <v>0.0</v>
      </c>
      <c r="F98" s="27"/>
      <c r="G98" s="201"/>
      <c r="H98" s="27"/>
      <c r="I98" s="27"/>
      <c r="J98" s="33"/>
      <c r="K98" s="33"/>
      <c r="L98" s="66"/>
      <c r="M98" s="27"/>
      <c r="N98" s="27"/>
      <c r="O98" s="27"/>
      <c r="P98" s="27"/>
      <c r="Q98" s="27"/>
      <c r="R98" s="27"/>
      <c r="S98" s="27"/>
      <c r="T98" s="27"/>
      <c r="U98" s="27"/>
      <c r="V98" s="27"/>
      <c r="W98" s="27"/>
      <c r="X98" s="27"/>
      <c r="Y98" s="27"/>
      <c r="Z98" s="27"/>
      <c r="AA98" s="27"/>
      <c r="AB98" s="27"/>
      <c r="AC98" s="27"/>
      <c r="AD98" s="27"/>
      <c r="AE98" s="27"/>
      <c r="AF98" s="27"/>
      <c r="AG98" s="27"/>
      <c r="AH98" s="27">
        <v>0.0</v>
      </c>
      <c r="AI98" s="27">
        <v>0.0</v>
      </c>
      <c r="AJ98" s="27">
        <v>3.0</v>
      </c>
      <c r="AK98" s="27" t="b">
        <v>1</v>
      </c>
      <c r="AL98" s="27">
        <v>100.0</v>
      </c>
      <c r="AM98" s="27" t="s">
        <v>186</v>
      </c>
      <c r="AN98" s="27" t="s">
        <v>404</v>
      </c>
      <c r="AO98" s="27"/>
    </row>
    <row r="99">
      <c r="A99" s="200">
        <v>44803.02513327546</v>
      </c>
      <c r="B99" s="19" t="s">
        <v>166</v>
      </c>
      <c r="C99" s="21" t="s">
        <v>334</v>
      </c>
      <c r="D99" s="62">
        <v>0.0</v>
      </c>
      <c r="E99" s="27">
        <v>0.0</v>
      </c>
      <c r="F99" s="27"/>
      <c r="G99" s="201"/>
      <c r="H99" s="27"/>
      <c r="I99" s="27"/>
      <c r="J99" s="33"/>
      <c r="K99" s="33"/>
      <c r="L99" s="66"/>
      <c r="M99" s="27"/>
      <c r="N99" s="27"/>
      <c r="O99" s="27"/>
      <c r="P99" s="27"/>
      <c r="Q99" s="27"/>
      <c r="R99" s="27"/>
      <c r="S99" s="27"/>
      <c r="T99" s="27"/>
      <c r="U99" s="27"/>
      <c r="V99" s="27"/>
      <c r="W99" s="27"/>
      <c r="X99" s="27"/>
      <c r="Y99" s="27"/>
      <c r="Z99" s="27"/>
      <c r="AA99" s="27"/>
      <c r="AB99" s="27"/>
      <c r="AC99" s="27"/>
      <c r="AD99" s="27"/>
      <c r="AE99" s="27"/>
      <c r="AF99" s="27"/>
      <c r="AG99" s="27"/>
      <c r="AH99" s="27">
        <v>0.0</v>
      </c>
      <c r="AI99" s="27">
        <v>0.0</v>
      </c>
      <c r="AJ99" s="27">
        <v>3.0</v>
      </c>
      <c r="AK99" s="27" t="b">
        <v>1</v>
      </c>
      <c r="AL99" s="27">
        <v>100.0</v>
      </c>
      <c r="AM99" s="27" t="s">
        <v>189</v>
      </c>
      <c r="AN99" s="27" t="s">
        <v>405</v>
      </c>
      <c r="AO99" s="27"/>
    </row>
    <row r="100">
      <c r="A100" s="200">
        <v>44803.02513327546</v>
      </c>
      <c r="B100" s="19"/>
      <c r="C100" s="21"/>
      <c r="D100" s="62"/>
      <c r="E100" s="27"/>
      <c r="F100" s="27"/>
      <c r="G100" s="201"/>
      <c r="H100" s="27"/>
      <c r="I100" s="27"/>
      <c r="J100" s="33"/>
      <c r="K100" s="33"/>
      <c r="L100" s="66"/>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t="e">
        <v>#N/A</v>
      </c>
      <c r="AN100" s="27" t="e">
        <v>#N/A</v>
      </c>
      <c r="AO100" s="27"/>
    </row>
    <row r="101">
      <c r="A101" s="200">
        <v>44803.02513327546</v>
      </c>
      <c r="B101" s="19" t="s">
        <v>116</v>
      </c>
      <c r="C101" s="21" t="s">
        <v>313</v>
      </c>
      <c r="D101" s="62">
        <v>0.0</v>
      </c>
      <c r="E101" s="27">
        <v>0.0</v>
      </c>
      <c r="F101" s="27"/>
      <c r="G101" s="201"/>
      <c r="H101" s="27"/>
      <c r="I101" s="27"/>
      <c r="J101" s="33"/>
      <c r="K101" s="33"/>
      <c r="L101" s="66"/>
      <c r="M101" s="27"/>
      <c r="N101" s="27"/>
      <c r="O101" s="27"/>
      <c r="P101" s="27"/>
      <c r="Q101" s="27"/>
      <c r="R101" s="27"/>
      <c r="S101" s="27"/>
      <c r="T101" s="27"/>
      <c r="U101" s="27"/>
      <c r="V101" s="27"/>
      <c r="W101" s="27"/>
      <c r="X101" s="27"/>
      <c r="Y101" s="27"/>
      <c r="Z101" s="27"/>
      <c r="AA101" s="27"/>
      <c r="AB101" s="27"/>
      <c r="AC101" s="27"/>
      <c r="AD101" s="27"/>
      <c r="AE101" s="27"/>
      <c r="AF101" s="27"/>
      <c r="AG101" s="27"/>
      <c r="AH101" s="27">
        <v>0.0</v>
      </c>
      <c r="AI101" s="27">
        <v>0.0</v>
      </c>
      <c r="AJ101" s="27">
        <v>0.0</v>
      </c>
      <c r="AK101" s="27" t="b">
        <v>1</v>
      </c>
      <c r="AL101" s="27">
        <v>59.0</v>
      </c>
      <c r="AM101" s="27" t="s">
        <v>192</v>
      </c>
      <c r="AN101" s="27" t="s">
        <v>404</v>
      </c>
      <c r="AO101" s="27"/>
    </row>
    <row r="102">
      <c r="A102" s="200">
        <v>44803.02513327546</v>
      </c>
      <c r="B102" s="19" t="s">
        <v>116</v>
      </c>
      <c r="C102" s="21" t="s">
        <v>369</v>
      </c>
      <c r="D102" s="62">
        <v>0.0</v>
      </c>
      <c r="E102" s="27">
        <v>0.0</v>
      </c>
      <c r="F102" s="27"/>
      <c r="G102" s="201"/>
      <c r="H102" s="27"/>
      <c r="I102" s="27"/>
      <c r="J102" s="33"/>
      <c r="K102" s="33"/>
      <c r="L102" s="66"/>
      <c r="M102" s="27"/>
      <c r="N102" s="27"/>
      <c r="O102" s="27"/>
      <c r="P102" s="27"/>
      <c r="Q102" s="27"/>
      <c r="R102" s="27"/>
      <c r="S102" s="27"/>
      <c r="T102" s="27"/>
      <c r="U102" s="27"/>
      <c r="V102" s="27"/>
      <c r="W102" s="27"/>
      <c r="X102" s="27"/>
      <c r="Y102" s="27"/>
      <c r="Z102" s="27"/>
      <c r="AA102" s="27"/>
      <c r="AB102" s="27"/>
      <c r="AC102" s="27"/>
      <c r="AD102" s="27"/>
      <c r="AE102" s="27"/>
      <c r="AF102" s="27"/>
      <c r="AG102" s="27"/>
      <c r="AH102" s="27">
        <v>0.0</v>
      </c>
      <c r="AI102" s="27">
        <v>0.0</v>
      </c>
      <c r="AJ102" s="27">
        <v>0.0</v>
      </c>
      <c r="AK102" s="27" t="b">
        <v>1</v>
      </c>
      <c r="AL102" s="27">
        <v>59.0</v>
      </c>
      <c r="AM102" s="27" t="s">
        <v>191</v>
      </c>
      <c r="AN102" s="27" t="s">
        <v>404</v>
      </c>
      <c r="AO102" s="27"/>
    </row>
    <row r="103">
      <c r="A103" s="200">
        <v>44803.02513327546</v>
      </c>
      <c r="B103" s="19" t="s">
        <v>116</v>
      </c>
      <c r="C103" s="21" t="s">
        <v>336</v>
      </c>
      <c r="D103" s="62">
        <v>0.0</v>
      </c>
      <c r="E103" s="27">
        <v>0.0</v>
      </c>
      <c r="F103" s="27"/>
      <c r="G103" s="201"/>
      <c r="H103" s="27"/>
      <c r="I103" s="27"/>
      <c r="J103" s="33"/>
      <c r="K103" s="33"/>
      <c r="L103" s="66"/>
      <c r="M103" s="27"/>
      <c r="N103" s="27"/>
      <c r="O103" s="27"/>
      <c r="P103" s="27"/>
      <c r="Q103" s="27"/>
      <c r="R103" s="27"/>
      <c r="S103" s="27"/>
      <c r="T103" s="27"/>
      <c r="U103" s="27"/>
      <c r="V103" s="27"/>
      <c r="W103" s="27"/>
      <c r="X103" s="27"/>
      <c r="Y103" s="27"/>
      <c r="Z103" s="27"/>
      <c r="AA103" s="27"/>
      <c r="AB103" s="27"/>
      <c r="AC103" s="27"/>
      <c r="AD103" s="27"/>
      <c r="AE103" s="27"/>
      <c r="AF103" s="27"/>
      <c r="AG103" s="27"/>
      <c r="AH103" s="27">
        <v>0.0</v>
      </c>
      <c r="AI103" s="27">
        <v>0.0</v>
      </c>
      <c r="AJ103" s="27">
        <v>0.0</v>
      </c>
      <c r="AK103" s="27" t="b">
        <v>1</v>
      </c>
      <c r="AL103" s="27">
        <v>59.0</v>
      </c>
      <c r="AM103" s="27" t="s">
        <v>129</v>
      </c>
      <c r="AN103" s="27" t="s">
        <v>405</v>
      </c>
      <c r="AO103" s="27"/>
    </row>
    <row r="104">
      <c r="A104" s="200">
        <v>44803.02513327546</v>
      </c>
      <c r="B104" s="19" t="s">
        <v>116</v>
      </c>
      <c r="C104" s="21" t="s">
        <v>347</v>
      </c>
      <c r="D104" s="62">
        <v>0.0</v>
      </c>
      <c r="E104" s="27">
        <v>0.0</v>
      </c>
      <c r="F104" s="27"/>
      <c r="G104" s="201"/>
      <c r="H104" s="27"/>
      <c r="I104" s="27"/>
      <c r="J104" s="33"/>
      <c r="K104" s="33"/>
      <c r="L104" s="66"/>
      <c r="M104" s="27"/>
      <c r="N104" s="27"/>
      <c r="O104" s="27"/>
      <c r="P104" s="27"/>
      <c r="Q104" s="27"/>
      <c r="R104" s="27"/>
      <c r="S104" s="27"/>
      <c r="T104" s="27"/>
      <c r="U104" s="27"/>
      <c r="V104" s="27"/>
      <c r="W104" s="27"/>
      <c r="X104" s="27"/>
      <c r="Y104" s="27"/>
      <c r="Z104" s="27"/>
      <c r="AA104" s="27"/>
      <c r="AB104" s="27"/>
      <c r="AC104" s="27"/>
      <c r="AD104" s="27"/>
      <c r="AE104" s="27"/>
      <c r="AF104" s="27"/>
      <c r="AG104" s="27"/>
      <c r="AH104" s="27">
        <v>0.0</v>
      </c>
      <c r="AI104" s="27">
        <v>0.0</v>
      </c>
      <c r="AJ104" s="27">
        <v>0.0</v>
      </c>
      <c r="AK104" s="27" t="b">
        <v>1</v>
      </c>
      <c r="AL104" s="27">
        <v>59.0</v>
      </c>
      <c r="AM104" s="27" t="s">
        <v>389</v>
      </c>
      <c r="AN104" s="27" t="s">
        <v>405</v>
      </c>
      <c r="AO104" s="27"/>
    </row>
    <row r="105">
      <c r="A105" s="200">
        <v>44803.02513327546</v>
      </c>
      <c r="B105" s="19" t="s">
        <v>116</v>
      </c>
      <c r="C105" s="21" t="s">
        <v>332</v>
      </c>
      <c r="D105" s="62">
        <v>0.0</v>
      </c>
      <c r="E105" s="27">
        <v>0.0</v>
      </c>
      <c r="F105" s="27"/>
      <c r="G105" s="201"/>
      <c r="H105" s="27"/>
      <c r="I105" s="27"/>
      <c r="J105" s="33"/>
      <c r="K105" s="33"/>
      <c r="L105" s="66"/>
      <c r="M105" s="27"/>
      <c r="N105" s="27"/>
      <c r="O105" s="27"/>
      <c r="P105" s="27"/>
      <c r="Q105" s="27"/>
      <c r="R105" s="27"/>
      <c r="S105" s="27"/>
      <c r="T105" s="27"/>
      <c r="U105" s="27"/>
      <c r="V105" s="27"/>
      <c r="W105" s="27"/>
      <c r="X105" s="27"/>
      <c r="Y105" s="27"/>
      <c r="Z105" s="27"/>
      <c r="AA105" s="27"/>
      <c r="AB105" s="27"/>
      <c r="AC105" s="27"/>
      <c r="AD105" s="27"/>
      <c r="AE105" s="27"/>
      <c r="AF105" s="27"/>
      <c r="AG105" s="27"/>
      <c r="AH105" s="27">
        <v>0.0</v>
      </c>
      <c r="AI105" s="27">
        <v>0.0</v>
      </c>
      <c r="AJ105" s="27">
        <v>0.0</v>
      </c>
      <c r="AK105" s="27" t="b">
        <v>1</v>
      </c>
      <c r="AL105" s="27">
        <v>59.0</v>
      </c>
      <c r="AM105" s="27" t="s">
        <v>188</v>
      </c>
      <c r="AN105" s="27" t="s">
        <v>404</v>
      </c>
      <c r="AO105" s="27"/>
    </row>
    <row r="106">
      <c r="A106" s="200">
        <v>44803.02513327546</v>
      </c>
      <c r="B106" s="19" t="s">
        <v>116</v>
      </c>
      <c r="C106" s="21" t="s">
        <v>355</v>
      </c>
      <c r="D106" s="62">
        <v>0.0</v>
      </c>
      <c r="E106" s="27">
        <v>0.0</v>
      </c>
      <c r="F106" s="27"/>
      <c r="G106" s="201"/>
      <c r="H106" s="27"/>
      <c r="I106" s="27"/>
      <c r="J106" s="33"/>
      <c r="K106" s="33"/>
      <c r="L106" s="66"/>
      <c r="M106" s="27"/>
      <c r="N106" s="27"/>
      <c r="O106" s="27"/>
      <c r="P106" s="27"/>
      <c r="Q106" s="27"/>
      <c r="R106" s="27"/>
      <c r="S106" s="27"/>
      <c r="T106" s="27"/>
      <c r="U106" s="27"/>
      <c r="V106" s="27"/>
      <c r="W106" s="27"/>
      <c r="X106" s="27"/>
      <c r="Y106" s="27"/>
      <c r="Z106" s="27"/>
      <c r="AA106" s="27"/>
      <c r="AB106" s="27"/>
      <c r="AC106" s="27"/>
      <c r="AD106" s="27"/>
      <c r="AE106" s="27"/>
      <c r="AF106" s="27"/>
      <c r="AG106" s="27"/>
      <c r="AH106" s="27">
        <v>0.0</v>
      </c>
      <c r="AI106" s="27">
        <v>0.0</v>
      </c>
      <c r="AJ106" s="27">
        <v>0.0</v>
      </c>
      <c r="AK106" s="27" t="b">
        <v>1</v>
      </c>
      <c r="AL106" s="27">
        <v>59.0</v>
      </c>
      <c r="AM106" s="27" t="s">
        <v>189</v>
      </c>
      <c r="AN106" s="27" t="s">
        <v>405</v>
      </c>
      <c r="AO106" s="27"/>
    </row>
    <row r="107">
      <c r="A107" s="200">
        <v>44803.02513327546</v>
      </c>
      <c r="B107" s="19" t="s">
        <v>116</v>
      </c>
      <c r="C107" s="21" t="s">
        <v>348</v>
      </c>
      <c r="D107" s="62">
        <v>0.0</v>
      </c>
      <c r="E107" s="27">
        <v>0.0</v>
      </c>
      <c r="F107" s="27"/>
      <c r="G107" s="201"/>
      <c r="H107" s="27"/>
      <c r="I107" s="27"/>
      <c r="J107" s="33"/>
      <c r="K107" s="33"/>
      <c r="L107" s="66"/>
      <c r="M107" s="27"/>
      <c r="N107" s="27"/>
      <c r="O107" s="27"/>
      <c r="P107" s="27"/>
      <c r="Q107" s="27"/>
      <c r="R107" s="27"/>
      <c r="S107" s="27"/>
      <c r="T107" s="27"/>
      <c r="U107" s="27"/>
      <c r="V107" s="27"/>
      <c r="W107" s="27"/>
      <c r="X107" s="27"/>
      <c r="Y107" s="27"/>
      <c r="Z107" s="27"/>
      <c r="AA107" s="27"/>
      <c r="AB107" s="27"/>
      <c r="AC107" s="27"/>
      <c r="AD107" s="27"/>
      <c r="AE107" s="27"/>
      <c r="AF107" s="27"/>
      <c r="AG107" s="27"/>
      <c r="AH107" s="27">
        <v>0.0</v>
      </c>
      <c r="AI107" s="27">
        <v>0.0</v>
      </c>
      <c r="AJ107" s="27">
        <v>0.0</v>
      </c>
      <c r="AK107" s="27" t="b">
        <v>1</v>
      </c>
      <c r="AL107" s="27">
        <v>59.0</v>
      </c>
      <c r="AM107" s="27" t="s">
        <v>186</v>
      </c>
      <c r="AN107" s="27" t="s">
        <v>404</v>
      </c>
      <c r="AO107" s="27"/>
    </row>
    <row r="108">
      <c r="A108" s="200">
        <v>44803.02513327546</v>
      </c>
      <c r="B108" s="19" t="s">
        <v>116</v>
      </c>
      <c r="C108" s="21" t="s">
        <v>354</v>
      </c>
      <c r="D108" s="62">
        <v>0.0</v>
      </c>
      <c r="E108" s="27">
        <v>0.0</v>
      </c>
      <c r="F108" s="27"/>
      <c r="G108" s="201"/>
      <c r="H108" s="27"/>
      <c r="I108" s="27"/>
      <c r="J108" s="33"/>
      <c r="K108" s="33"/>
      <c r="L108" s="66"/>
      <c r="M108" s="27"/>
      <c r="N108" s="27"/>
      <c r="O108" s="27"/>
      <c r="P108" s="27"/>
      <c r="Q108" s="27"/>
      <c r="R108" s="27"/>
      <c r="S108" s="27"/>
      <c r="T108" s="27"/>
      <c r="U108" s="27"/>
      <c r="V108" s="27"/>
      <c r="W108" s="27"/>
      <c r="X108" s="27"/>
      <c r="Y108" s="27"/>
      <c r="Z108" s="27"/>
      <c r="AA108" s="27"/>
      <c r="AB108" s="27"/>
      <c r="AC108" s="27"/>
      <c r="AD108" s="27"/>
      <c r="AE108" s="27"/>
      <c r="AF108" s="27"/>
      <c r="AG108" s="27"/>
      <c r="AH108" s="27">
        <v>0.0</v>
      </c>
      <c r="AI108" s="27">
        <v>0.0</v>
      </c>
      <c r="AJ108" s="27">
        <v>3.0</v>
      </c>
      <c r="AK108" s="27" t="b">
        <v>0</v>
      </c>
      <c r="AL108" s="27">
        <v>100.0</v>
      </c>
      <c r="AM108" s="27" t="s">
        <v>187</v>
      </c>
      <c r="AN108" s="27" t="s">
        <v>404</v>
      </c>
      <c r="AO108" s="27"/>
    </row>
    <row r="109">
      <c r="A109" s="200">
        <v>44803.02513327546</v>
      </c>
      <c r="B109" s="19" t="s">
        <v>116</v>
      </c>
      <c r="C109" s="21" t="s">
        <v>329</v>
      </c>
      <c r="D109" s="62">
        <v>0.0</v>
      </c>
      <c r="E109" s="27">
        <v>0.0</v>
      </c>
      <c r="F109" s="27"/>
      <c r="G109" s="201"/>
      <c r="H109" s="27"/>
      <c r="I109" s="27"/>
      <c r="J109" s="33"/>
      <c r="K109" s="33"/>
      <c r="L109" s="66"/>
      <c r="M109" s="27"/>
      <c r="N109" s="27"/>
      <c r="O109" s="27"/>
      <c r="P109" s="27"/>
      <c r="Q109" s="27"/>
      <c r="R109" s="27"/>
      <c r="S109" s="27"/>
      <c r="T109" s="27"/>
      <c r="U109" s="27"/>
      <c r="V109" s="27"/>
      <c r="W109" s="27"/>
      <c r="X109" s="27"/>
      <c r="Y109" s="27"/>
      <c r="Z109" s="27"/>
      <c r="AA109" s="27"/>
      <c r="AB109" s="27"/>
      <c r="AC109" s="27"/>
      <c r="AD109" s="27"/>
      <c r="AE109" s="27"/>
      <c r="AF109" s="27"/>
      <c r="AG109" s="27"/>
      <c r="AH109" s="27">
        <v>0.0</v>
      </c>
      <c r="AI109" s="27">
        <v>0.0</v>
      </c>
      <c r="AJ109" s="27">
        <v>3.0</v>
      </c>
      <c r="AK109" s="27" t="b">
        <v>1</v>
      </c>
      <c r="AL109" s="27">
        <v>100.0</v>
      </c>
      <c r="AM109" s="27" t="s">
        <v>190</v>
      </c>
      <c r="AN109" s="27" t="s">
        <v>405</v>
      </c>
      <c r="AO109" s="27"/>
    </row>
    <row r="110">
      <c r="A110" s="200">
        <v>44803.02513327546</v>
      </c>
      <c r="B110" s="19" t="s">
        <v>116</v>
      </c>
      <c r="C110" s="21" t="s">
        <v>388</v>
      </c>
      <c r="D110" s="62"/>
      <c r="E110" s="27"/>
      <c r="F110" s="27"/>
      <c r="G110" s="201"/>
      <c r="H110" s="27"/>
      <c r="I110" s="27"/>
      <c r="J110" s="33"/>
      <c r="K110" s="33"/>
      <c r="L110" s="66"/>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t="s">
        <v>193</v>
      </c>
      <c r="AN110" s="27" t="s">
        <v>405</v>
      </c>
      <c r="AO110" s="27"/>
    </row>
    <row r="111">
      <c r="A111" s="200">
        <v>44803.02513327546</v>
      </c>
      <c r="B111" s="19"/>
      <c r="C111" s="21"/>
      <c r="D111" s="62"/>
      <c r="E111" s="27"/>
      <c r="F111" s="27"/>
      <c r="G111" s="201"/>
      <c r="H111" s="27"/>
      <c r="I111" s="27"/>
      <c r="J111" s="33"/>
      <c r="K111" s="33"/>
      <c r="L111" s="66"/>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t="e">
        <v>#N/A</v>
      </c>
      <c r="AN111" s="27" t="e">
        <v>#N/A</v>
      </c>
      <c r="AO111" s="27"/>
    </row>
    <row r="112">
      <c r="A112" s="200">
        <v>44803.02513327546</v>
      </c>
      <c r="B112" s="19" t="s">
        <v>148</v>
      </c>
      <c r="C112" s="21" t="s">
        <v>387</v>
      </c>
      <c r="D112" s="62">
        <v>0.0</v>
      </c>
      <c r="E112" s="27">
        <v>0.0</v>
      </c>
      <c r="F112" s="27"/>
      <c r="G112" s="201"/>
      <c r="H112" s="27"/>
      <c r="I112" s="27"/>
      <c r="J112" s="33"/>
      <c r="K112" s="33"/>
      <c r="L112" s="66"/>
      <c r="M112" s="27"/>
      <c r="N112" s="27"/>
      <c r="O112" s="27"/>
      <c r="P112" s="27"/>
      <c r="Q112" s="27"/>
      <c r="R112" s="27"/>
      <c r="S112" s="27"/>
      <c r="T112" s="27"/>
      <c r="U112" s="27"/>
      <c r="V112" s="27"/>
      <c r="W112" s="27"/>
      <c r="X112" s="27"/>
      <c r="Y112" s="27"/>
      <c r="Z112" s="27"/>
      <c r="AA112" s="27"/>
      <c r="AB112" s="27"/>
      <c r="AC112" s="27"/>
      <c r="AD112" s="27"/>
      <c r="AE112" s="27"/>
      <c r="AF112" s="27"/>
      <c r="AG112" s="27"/>
      <c r="AH112" s="27">
        <v>0.0</v>
      </c>
      <c r="AI112" s="27">
        <v>0.0</v>
      </c>
      <c r="AJ112" s="27">
        <v>0.0</v>
      </c>
      <c r="AK112" s="27" t="b">
        <v>1</v>
      </c>
      <c r="AL112" s="27">
        <v>59.0</v>
      </c>
      <c r="AM112" s="27" t="s">
        <v>192</v>
      </c>
      <c r="AN112" s="27" t="s">
        <v>404</v>
      </c>
      <c r="AO112" s="27"/>
    </row>
    <row r="113">
      <c r="A113" s="200">
        <v>44803.02513327546</v>
      </c>
      <c r="B113" s="19" t="s">
        <v>148</v>
      </c>
      <c r="C113" s="21" t="s">
        <v>377</v>
      </c>
      <c r="D113" s="62">
        <v>0.0</v>
      </c>
      <c r="E113" s="27">
        <v>0.0</v>
      </c>
      <c r="F113" s="27"/>
      <c r="G113" s="201"/>
      <c r="H113" s="27"/>
      <c r="I113" s="27"/>
      <c r="J113" s="33"/>
      <c r="K113" s="33"/>
      <c r="L113" s="66"/>
      <c r="M113" s="27"/>
      <c r="N113" s="27"/>
      <c r="O113" s="27"/>
      <c r="P113" s="27"/>
      <c r="Q113" s="27"/>
      <c r="R113" s="27"/>
      <c r="S113" s="27"/>
      <c r="T113" s="27"/>
      <c r="U113" s="27"/>
      <c r="V113" s="27"/>
      <c r="W113" s="27"/>
      <c r="X113" s="27"/>
      <c r="Y113" s="27"/>
      <c r="Z113" s="27"/>
      <c r="AA113" s="27"/>
      <c r="AB113" s="27"/>
      <c r="AC113" s="27"/>
      <c r="AD113" s="27"/>
      <c r="AE113" s="27"/>
      <c r="AF113" s="27"/>
      <c r="AG113" s="27"/>
      <c r="AH113" s="27">
        <v>0.0</v>
      </c>
      <c r="AI113" s="27">
        <v>0.0</v>
      </c>
      <c r="AJ113" s="27">
        <v>0.0</v>
      </c>
      <c r="AK113" s="27" t="b">
        <v>1</v>
      </c>
      <c r="AL113" s="27">
        <v>59.0</v>
      </c>
      <c r="AM113" s="27" t="s">
        <v>191</v>
      </c>
      <c r="AN113" s="27" t="s">
        <v>404</v>
      </c>
      <c r="AO113" s="27"/>
    </row>
    <row r="114">
      <c r="A114" s="200">
        <v>44803.02513327546</v>
      </c>
      <c r="B114" s="19" t="s">
        <v>148</v>
      </c>
      <c r="C114" s="21" t="s">
        <v>326</v>
      </c>
      <c r="D114" s="62">
        <v>0.0</v>
      </c>
      <c r="E114" s="27">
        <v>0.0</v>
      </c>
      <c r="F114" s="27"/>
      <c r="G114" s="201"/>
      <c r="H114" s="27"/>
      <c r="I114" s="27"/>
      <c r="J114" s="33"/>
      <c r="K114" s="33"/>
      <c r="L114" s="66"/>
      <c r="M114" s="27"/>
      <c r="N114" s="27"/>
      <c r="O114" s="27"/>
      <c r="P114" s="27"/>
      <c r="Q114" s="27"/>
      <c r="R114" s="27"/>
      <c r="S114" s="27"/>
      <c r="T114" s="27"/>
      <c r="U114" s="27"/>
      <c r="V114" s="27"/>
      <c r="W114" s="27"/>
      <c r="X114" s="27"/>
      <c r="Y114" s="27"/>
      <c r="Z114" s="27"/>
      <c r="AA114" s="27"/>
      <c r="AB114" s="27"/>
      <c r="AC114" s="27"/>
      <c r="AD114" s="27"/>
      <c r="AE114" s="27"/>
      <c r="AF114" s="27"/>
      <c r="AG114" s="27"/>
      <c r="AH114" s="27">
        <v>0.0</v>
      </c>
      <c r="AI114" s="27">
        <v>0.0</v>
      </c>
      <c r="AJ114" s="27">
        <v>0.0</v>
      </c>
      <c r="AK114" s="27" t="b">
        <v>1</v>
      </c>
      <c r="AL114" s="27">
        <v>59.0</v>
      </c>
      <c r="AM114" s="27" t="s">
        <v>187</v>
      </c>
      <c r="AN114" s="27" t="s">
        <v>404</v>
      </c>
      <c r="AO114" s="27"/>
    </row>
    <row r="115">
      <c r="A115" s="200">
        <v>44803.02513327546</v>
      </c>
      <c r="B115" s="19" t="s">
        <v>148</v>
      </c>
      <c r="C115" s="21" t="s">
        <v>384</v>
      </c>
      <c r="D115" s="62">
        <v>0.0</v>
      </c>
      <c r="E115" s="27">
        <v>0.0</v>
      </c>
      <c r="F115" s="27"/>
      <c r="G115" s="201"/>
      <c r="H115" s="27"/>
      <c r="I115" s="27"/>
      <c r="J115" s="33"/>
      <c r="K115" s="33"/>
      <c r="L115" s="66"/>
      <c r="M115" s="27"/>
      <c r="N115" s="27"/>
      <c r="O115" s="27"/>
      <c r="P115" s="27"/>
      <c r="Q115" s="27"/>
      <c r="R115" s="27"/>
      <c r="S115" s="27"/>
      <c r="T115" s="27"/>
      <c r="U115" s="27"/>
      <c r="V115" s="27"/>
      <c r="W115" s="27"/>
      <c r="X115" s="27"/>
      <c r="Y115" s="27"/>
      <c r="Z115" s="27"/>
      <c r="AA115" s="27"/>
      <c r="AB115" s="27"/>
      <c r="AC115" s="27"/>
      <c r="AD115" s="27"/>
      <c r="AE115" s="27"/>
      <c r="AF115" s="27"/>
      <c r="AG115" s="27"/>
      <c r="AH115" s="27">
        <v>0.0</v>
      </c>
      <c r="AI115" s="27">
        <v>0.0</v>
      </c>
      <c r="AJ115" s="27">
        <v>0.0</v>
      </c>
      <c r="AK115" s="27" t="b">
        <v>1</v>
      </c>
      <c r="AL115" s="27">
        <v>59.0</v>
      </c>
      <c r="AM115" s="27" t="s">
        <v>186</v>
      </c>
      <c r="AN115" s="27" t="s">
        <v>404</v>
      </c>
      <c r="AO115" s="27"/>
    </row>
    <row r="116">
      <c r="A116" s="200">
        <v>44803.02513327546</v>
      </c>
      <c r="B116" s="19" t="s">
        <v>148</v>
      </c>
      <c r="C116" s="21" t="s">
        <v>380</v>
      </c>
      <c r="D116" s="62">
        <v>0.0</v>
      </c>
      <c r="E116" s="27">
        <v>0.0</v>
      </c>
      <c r="F116" s="27"/>
      <c r="G116" s="201"/>
      <c r="H116" s="27"/>
      <c r="I116" s="27"/>
      <c r="J116" s="33"/>
      <c r="K116" s="33"/>
      <c r="L116" s="66"/>
      <c r="M116" s="27"/>
      <c r="N116" s="27"/>
      <c r="O116" s="27"/>
      <c r="P116" s="27"/>
      <c r="Q116" s="27"/>
      <c r="R116" s="27"/>
      <c r="S116" s="27"/>
      <c r="T116" s="27"/>
      <c r="U116" s="27"/>
      <c r="V116" s="27"/>
      <c r="W116" s="27"/>
      <c r="X116" s="27"/>
      <c r="Y116" s="27"/>
      <c r="Z116" s="27"/>
      <c r="AA116" s="27"/>
      <c r="AB116" s="27"/>
      <c r="AC116" s="27"/>
      <c r="AD116" s="27"/>
      <c r="AE116" s="27"/>
      <c r="AF116" s="27"/>
      <c r="AG116" s="27"/>
      <c r="AH116" s="27">
        <v>0.0</v>
      </c>
      <c r="AI116" s="27">
        <v>0.0</v>
      </c>
      <c r="AJ116" s="27">
        <v>0.0</v>
      </c>
      <c r="AK116" s="27" t="b">
        <v>1</v>
      </c>
      <c r="AL116" s="27">
        <v>59.0</v>
      </c>
      <c r="AM116" s="27" t="s">
        <v>193</v>
      </c>
      <c r="AN116" s="27" t="s">
        <v>405</v>
      </c>
      <c r="AO116" s="27"/>
    </row>
    <row r="117">
      <c r="A117" s="200">
        <v>44803.02513327546</v>
      </c>
      <c r="B117" s="19" t="s">
        <v>148</v>
      </c>
      <c r="C117" s="21" t="s">
        <v>335</v>
      </c>
      <c r="D117" s="62">
        <v>0.0</v>
      </c>
      <c r="E117" s="27">
        <v>0.0</v>
      </c>
      <c r="F117" s="27"/>
      <c r="G117" s="201"/>
      <c r="H117" s="27"/>
      <c r="I117" s="27"/>
      <c r="J117" s="33"/>
      <c r="K117" s="33"/>
      <c r="L117" s="66"/>
      <c r="M117" s="27"/>
      <c r="N117" s="27"/>
      <c r="O117" s="27"/>
      <c r="P117" s="27"/>
      <c r="Q117" s="27"/>
      <c r="R117" s="27"/>
      <c r="S117" s="27"/>
      <c r="T117" s="27"/>
      <c r="U117" s="27"/>
      <c r="V117" s="27"/>
      <c r="W117" s="27"/>
      <c r="X117" s="27"/>
      <c r="Y117" s="27"/>
      <c r="Z117" s="27"/>
      <c r="AA117" s="27"/>
      <c r="AB117" s="27"/>
      <c r="AC117" s="27"/>
      <c r="AD117" s="27"/>
      <c r="AE117" s="27"/>
      <c r="AF117" s="27"/>
      <c r="AG117" s="27"/>
      <c r="AH117" s="27">
        <v>0.0</v>
      </c>
      <c r="AI117" s="27">
        <v>0.0</v>
      </c>
      <c r="AJ117" s="27">
        <v>0.0</v>
      </c>
      <c r="AK117" s="27" t="b">
        <v>1</v>
      </c>
      <c r="AL117" s="27">
        <v>59.0</v>
      </c>
      <c r="AM117" s="27" t="s">
        <v>190</v>
      </c>
      <c r="AN117" s="27" t="s">
        <v>405</v>
      </c>
      <c r="AO117" s="27"/>
    </row>
    <row r="118">
      <c r="A118" s="200">
        <v>44803.02513327546</v>
      </c>
      <c r="B118" s="19" t="s">
        <v>148</v>
      </c>
      <c r="C118" s="21" t="s">
        <v>401</v>
      </c>
      <c r="D118" s="62">
        <v>0.0</v>
      </c>
      <c r="E118" s="27">
        <v>0.0</v>
      </c>
      <c r="F118" s="27"/>
      <c r="G118" s="201"/>
      <c r="H118" s="27"/>
      <c r="I118" s="27"/>
      <c r="J118" s="33"/>
      <c r="K118" s="33"/>
      <c r="L118" s="66"/>
      <c r="M118" s="27"/>
      <c r="N118" s="27"/>
      <c r="O118" s="27"/>
      <c r="P118" s="27"/>
      <c r="Q118" s="27"/>
      <c r="R118" s="27"/>
      <c r="S118" s="27"/>
      <c r="T118" s="27"/>
      <c r="U118" s="27"/>
      <c r="V118" s="27"/>
      <c r="W118" s="27"/>
      <c r="X118" s="27"/>
      <c r="Y118" s="27"/>
      <c r="Z118" s="27"/>
      <c r="AA118" s="27"/>
      <c r="AB118" s="27"/>
      <c r="AC118" s="27"/>
      <c r="AD118" s="27"/>
      <c r="AE118" s="27"/>
      <c r="AF118" s="27"/>
      <c r="AG118" s="27"/>
      <c r="AH118" s="27">
        <v>0.0</v>
      </c>
      <c r="AI118" s="27">
        <v>0.0</v>
      </c>
      <c r="AJ118" s="27">
        <v>0.0</v>
      </c>
      <c r="AK118" s="27" t="b">
        <v>1</v>
      </c>
      <c r="AL118" s="27">
        <v>59.0</v>
      </c>
      <c r="AM118" s="27" t="s">
        <v>189</v>
      </c>
      <c r="AN118" s="27" t="s">
        <v>405</v>
      </c>
      <c r="AO118" s="27"/>
    </row>
    <row r="119">
      <c r="A119" s="200">
        <v>44803.02513327546</v>
      </c>
      <c r="B119" s="19" t="s">
        <v>148</v>
      </c>
      <c r="C119" s="21" t="s">
        <v>374</v>
      </c>
      <c r="D119" s="62">
        <v>0.0</v>
      </c>
      <c r="E119" s="27">
        <v>0.0</v>
      </c>
      <c r="F119" s="27"/>
      <c r="G119" s="201"/>
      <c r="H119" s="27"/>
      <c r="I119" s="27"/>
      <c r="J119" s="33"/>
      <c r="K119" s="33"/>
      <c r="L119" s="66"/>
      <c r="M119" s="27"/>
      <c r="N119" s="27"/>
      <c r="O119" s="27"/>
      <c r="P119" s="27"/>
      <c r="Q119" s="27"/>
      <c r="R119" s="27"/>
      <c r="S119" s="27"/>
      <c r="T119" s="27"/>
      <c r="U119" s="27"/>
      <c r="V119" s="27"/>
      <c r="W119" s="27"/>
      <c r="X119" s="27"/>
      <c r="Y119" s="27"/>
      <c r="Z119" s="27"/>
      <c r="AA119" s="27"/>
      <c r="AB119" s="27"/>
      <c r="AC119" s="27"/>
      <c r="AD119" s="27"/>
      <c r="AE119" s="27"/>
      <c r="AF119" s="27"/>
      <c r="AG119" s="27"/>
      <c r="AH119" s="27">
        <v>0.0</v>
      </c>
      <c r="AI119" s="27">
        <v>0.0</v>
      </c>
      <c r="AJ119" s="27">
        <v>3.0</v>
      </c>
      <c r="AK119" s="27" t="b">
        <v>0</v>
      </c>
      <c r="AL119" s="27">
        <v>100.0</v>
      </c>
      <c r="AM119" s="27" t="s">
        <v>389</v>
      </c>
      <c r="AN119" s="27" t="s">
        <v>405</v>
      </c>
      <c r="AO119" s="27"/>
    </row>
    <row r="120">
      <c r="A120" s="200">
        <v>44803.02513327546</v>
      </c>
      <c r="B120" s="19" t="s">
        <v>148</v>
      </c>
      <c r="C120" s="21" t="s">
        <v>381</v>
      </c>
      <c r="D120" s="62">
        <v>0.0</v>
      </c>
      <c r="E120" s="27">
        <v>0.0</v>
      </c>
      <c r="F120" s="27"/>
      <c r="G120" s="201"/>
      <c r="H120" s="27"/>
      <c r="I120" s="27"/>
      <c r="J120" s="33"/>
      <c r="K120" s="33"/>
      <c r="L120" s="66"/>
      <c r="M120" s="27"/>
      <c r="N120" s="27"/>
      <c r="O120" s="27"/>
      <c r="P120" s="27"/>
      <c r="Q120" s="27"/>
      <c r="R120" s="27"/>
      <c r="S120" s="27"/>
      <c r="T120" s="27"/>
      <c r="U120" s="27"/>
      <c r="V120" s="27"/>
      <c r="W120" s="27"/>
      <c r="X120" s="27"/>
      <c r="Y120" s="27"/>
      <c r="Z120" s="27"/>
      <c r="AA120" s="27"/>
      <c r="AB120" s="27"/>
      <c r="AC120" s="27"/>
      <c r="AD120" s="27"/>
      <c r="AE120" s="27"/>
      <c r="AF120" s="27"/>
      <c r="AG120" s="27"/>
      <c r="AH120" s="27">
        <v>0.0</v>
      </c>
      <c r="AI120" s="27">
        <v>0.0</v>
      </c>
      <c r="AJ120" s="27">
        <v>3.0</v>
      </c>
      <c r="AK120" s="27" t="b">
        <v>0</v>
      </c>
      <c r="AL120" s="27">
        <v>100.0</v>
      </c>
      <c r="AM120" s="27" t="s">
        <v>188</v>
      </c>
      <c r="AN120" s="27" t="s">
        <v>404</v>
      </c>
      <c r="AO120" s="27"/>
    </row>
    <row r="121">
      <c r="A121" s="200">
        <v>44803.02513327546</v>
      </c>
      <c r="B121" s="19" t="s">
        <v>148</v>
      </c>
      <c r="C121" s="21" t="s">
        <v>316</v>
      </c>
      <c r="D121" s="62"/>
      <c r="E121" s="27"/>
      <c r="F121" s="27"/>
      <c r="G121" s="201"/>
      <c r="H121" s="27"/>
      <c r="I121" s="27"/>
      <c r="J121" s="33"/>
      <c r="K121" s="33"/>
      <c r="L121" s="66"/>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t="s">
        <v>129</v>
      </c>
      <c r="AN121" s="27" t="s">
        <v>405</v>
      </c>
      <c r="AO121" s="27"/>
    </row>
    <row r="122">
      <c r="A122" s="200">
        <v>44803.02513327546</v>
      </c>
      <c r="B122" s="19"/>
      <c r="C122" s="21"/>
      <c r="D122" s="62"/>
      <c r="E122" s="27"/>
      <c r="F122" s="27"/>
      <c r="G122" s="201"/>
      <c r="H122" s="27"/>
      <c r="I122" s="27"/>
      <c r="J122" s="33"/>
      <c r="K122" s="33"/>
      <c r="L122" s="66"/>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t="e">
        <v>#N/A</v>
      </c>
      <c r="AN122" s="27" t="e">
        <v>#N/A</v>
      </c>
      <c r="AO122" s="27"/>
    </row>
    <row r="123">
      <c r="A123" s="200">
        <v>44803.02513327546</v>
      </c>
      <c r="B123" s="19" t="s">
        <v>103</v>
      </c>
      <c r="C123" s="21" t="s">
        <v>324</v>
      </c>
      <c r="D123" s="62">
        <v>0.0</v>
      </c>
      <c r="E123" s="27">
        <v>0.0</v>
      </c>
      <c r="F123" s="27"/>
      <c r="G123" s="201"/>
      <c r="H123" s="27"/>
      <c r="I123" s="27"/>
      <c r="J123" s="33"/>
      <c r="K123" s="33"/>
      <c r="L123" s="66"/>
      <c r="M123" s="27"/>
      <c r="N123" s="27"/>
      <c r="O123" s="27"/>
      <c r="P123" s="27"/>
      <c r="Q123" s="27"/>
      <c r="R123" s="27"/>
      <c r="S123" s="27"/>
      <c r="T123" s="27"/>
      <c r="U123" s="27"/>
      <c r="V123" s="27"/>
      <c r="W123" s="27"/>
      <c r="X123" s="27"/>
      <c r="Y123" s="27"/>
      <c r="Z123" s="27"/>
      <c r="AA123" s="27"/>
      <c r="AB123" s="27"/>
      <c r="AC123" s="27"/>
      <c r="AD123" s="27"/>
      <c r="AE123" s="27"/>
      <c r="AF123" s="27"/>
      <c r="AG123" s="27"/>
      <c r="AH123" s="27">
        <v>0.0</v>
      </c>
      <c r="AI123" s="27">
        <v>0.0</v>
      </c>
      <c r="AJ123" s="27">
        <v>0.0</v>
      </c>
      <c r="AK123" s="27" t="b">
        <v>1</v>
      </c>
      <c r="AL123" s="27">
        <v>59.0</v>
      </c>
      <c r="AM123" s="27" t="s">
        <v>129</v>
      </c>
      <c r="AN123" s="27" t="s">
        <v>405</v>
      </c>
      <c r="AO123" s="27"/>
    </row>
    <row r="124">
      <c r="A124" s="200">
        <v>44803.02513327546</v>
      </c>
      <c r="B124" s="19" t="s">
        <v>103</v>
      </c>
      <c r="C124" s="21" t="s">
        <v>361</v>
      </c>
      <c r="D124" s="62">
        <v>0.0</v>
      </c>
      <c r="E124" s="27">
        <v>0.0</v>
      </c>
      <c r="F124" s="27"/>
      <c r="G124" s="201"/>
      <c r="H124" s="27"/>
      <c r="I124" s="27"/>
      <c r="J124" s="33"/>
      <c r="K124" s="33"/>
      <c r="L124" s="66"/>
      <c r="M124" s="27"/>
      <c r="N124" s="27"/>
      <c r="O124" s="27"/>
      <c r="P124" s="27"/>
      <c r="Q124" s="27"/>
      <c r="R124" s="27"/>
      <c r="S124" s="27"/>
      <c r="T124" s="27"/>
      <c r="U124" s="27"/>
      <c r="V124" s="27"/>
      <c r="W124" s="27"/>
      <c r="X124" s="27"/>
      <c r="Y124" s="27"/>
      <c r="Z124" s="27"/>
      <c r="AA124" s="27"/>
      <c r="AB124" s="27"/>
      <c r="AC124" s="27"/>
      <c r="AD124" s="27"/>
      <c r="AE124" s="27"/>
      <c r="AF124" s="27"/>
      <c r="AG124" s="27"/>
      <c r="AH124" s="27">
        <v>0.0</v>
      </c>
      <c r="AI124" s="27">
        <v>0.0</v>
      </c>
      <c r="AJ124" s="27">
        <v>0.0</v>
      </c>
      <c r="AK124" s="27" t="b">
        <v>1</v>
      </c>
      <c r="AL124" s="27">
        <v>59.0</v>
      </c>
      <c r="AM124" s="27" t="s">
        <v>193</v>
      </c>
      <c r="AN124" s="27" t="s">
        <v>405</v>
      </c>
      <c r="AO124" s="27"/>
    </row>
    <row r="125">
      <c r="A125" s="200">
        <v>44803.02513327546</v>
      </c>
      <c r="B125" s="19" t="s">
        <v>103</v>
      </c>
      <c r="C125" s="21" t="s">
        <v>358</v>
      </c>
      <c r="D125" s="62">
        <v>0.0</v>
      </c>
      <c r="E125" s="27">
        <v>0.0</v>
      </c>
      <c r="F125" s="27"/>
      <c r="G125" s="201"/>
      <c r="H125" s="27"/>
      <c r="I125" s="27"/>
      <c r="J125" s="33"/>
      <c r="K125" s="33"/>
      <c r="L125" s="66"/>
      <c r="M125" s="27"/>
      <c r="N125" s="27"/>
      <c r="O125" s="27"/>
      <c r="P125" s="27"/>
      <c r="Q125" s="27"/>
      <c r="R125" s="27"/>
      <c r="S125" s="27"/>
      <c r="T125" s="27"/>
      <c r="U125" s="27"/>
      <c r="V125" s="27"/>
      <c r="W125" s="27"/>
      <c r="X125" s="27"/>
      <c r="Y125" s="27"/>
      <c r="Z125" s="27"/>
      <c r="AA125" s="27"/>
      <c r="AB125" s="27"/>
      <c r="AC125" s="27"/>
      <c r="AD125" s="27"/>
      <c r="AE125" s="27"/>
      <c r="AF125" s="27"/>
      <c r="AG125" s="27"/>
      <c r="AH125" s="27">
        <v>0.0</v>
      </c>
      <c r="AI125" s="27">
        <v>0.0</v>
      </c>
      <c r="AJ125" s="27">
        <v>0.0</v>
      </c>
      <c r="AK125" s="27" t="b">
        <v>1</v>
      </c>
      <c r="AL125" s="27">
        <v>59.0</v>
      </c>
      <c r="AM125" s="27" t="s">
        <v>187</v>
      </c>
      <c r="AN125" s="27" t="s">
        <v>404</v>
      </c>
      <c r="AO125" s="27"/>
    </row>
    <row r="126">
      <c r="A126" s="200">
        <v>44803.02513327546</v>
      </c>
      <c r="B126" s="19" t="s">
        <v>103</v>
      </c>
      <c r="C126" s="21" t="s">
        <v>356</v>
      </c>
      <c r="D126" s="62">
        <v>0.0</v>
      </c>
      <c r="E126" s="27">
        <v>0.0</v>
      </c>
      <c r="F126" s="27"/>
      <c r="G126" s="201"/>
      <c r="H126" s="27"/>
      <c r="I126" s="27"/>
      <c r="J126" s="33"/>
      <c r="K126" s="33"/>
      <c r="L126" s="66"/>
      <c r="M126" s="27"/>
      <c r="N126" s="27"/>
      <c r="O126" s="27"/>
      <c r="P126" s="27"/>
      <c r="Q126" s="27"/>
      <c r="R126" s="27"/>
      <c r="S126" s="27"/>
      <c r="T126" s="27"/>
      <c r="U126" s="27"/>
      <c r="V126" s="27"/>
      <c r="W126" s="27"/>
      <c r="X126" s="27"/>
      <c r="Y126" s="27"/>
      <c r="Z126" s="27"/>
      <c r="AA126" s="27"/>
      <c r="AB126" s="27"/>
      <c r="AC126" s="27"/>
      <c r="AD126" s="27"/>
      <c r="AE126" s="27"/>
      <c r="AF126" s="27"/>
      <c r="AG126" s="27"/>
      <c r="AH126" s="27">
        <v>0.0</v>
      </c>
      <c r="AI126" s="27">
        <v>0.0</v>
      </c>
      <c r="AJ126" s="27">
        <v>0.0</v>
      </c>
      <c r="AK126" s="27" t="b">
        <v>1</v>
      </c>
      <c r="AL126" s="27">
        <v>59.0</v>
      </c>
      <c r="AM126" s="27" t="s">
        <v>190</v>
      </c>
      <c r="AN126" s="27" t="s">
        <v>405</v>
      </c>
      <c r="AO126" s="27"/>
    </row>
    <row r="127">
      <c r="A127" s="200">
        <v>44803.02513327546</v>
      </c>
      <c r="B127" s="19" t="s">
        <v>103</v>
      </c>
      <c r="C127" s="21" t="s">
        <v>373</v>
      </c>
      <c r="D127" s="62">
        <v>0.0</v>
      </c>
      <c r="E127" s="27">
        <v>0.0</v>
      </c>
      <c r="F127" s="27"/>
      <c r="G127" s="201"/>
      <c r="H127" s="27"/>
      <c r="I127" s="27"/>
      <c r="J127" s="33"/>
      <c r="K127" s="33"/>
      <c r="L127" s="66"/>
      <c r="M127" s="27"/>
      <c r="N127" s="27"/>
      <c r="O127" s="27"/>
      <c r="P127" s="27"/>
      <c r="Q127" s="27"/>
      <c r="R127" s="27"/>
      <c r="S127" s="27"/>
      <c r="T127" s="27"/>
      <c r="U127" s="27"/>
      <c r="V127" s="27"/>
      <c r="W127" s="27"/>
      <c r="X127" s="27"/>
      <c r="Y127" s="27"/>
      <c r="Z127" s="27"/>
      <c r="AA127" s="27"/>
      <c r="AB127" s="27"/>
      <c r="AC127" s="27"/>
      <c r="AD127" s="27"/>
      <c r="AE127" s="27"/>
      <c r="AF127" s="27"/>
      <c r="AG127" s="27"/>
      <c r="AH127" s="27">
        <v>0.0</v>
      </c>
      <c r="AI127" s="27">
        <v>0.0</v>
      </c>
      <c r="AJ127" s="27">
        <v>0.0</v>
      </c>
      <c r="AK127" s="27" t="b">
        <v>1</v>
      </c>
      <c r="AL127" s="27">
        <v>59.0</v>
      </c>
      <c r="AM127" s="27" t="s">
        <v>192</v>
      </c>
      <c r="AN127" s="27" t="s">
        <v>404</v>
      </c>
      <c r="AO127" s="27"/>
    </row>
    <row r="128">
      <c r="A128" s="200">
        <v>44803.02513327546</v>
      </c>
      <c r="B128" s="19" t="s">
        <v>103</v>
      </c>
      <c r="C128" s="21" t="s">
        <v>341</v>
      </c>
      <c r="D128" s="62">
        <v>0.0</v>
      </c>
      <c r="E128" s="27">
        <v>0.0</v>
      </c>
      <c r="F128" s="27"/>
      <c r="G128" s="201"/>
      <c r="H128" s="27"/>
      <c r="I128" s="27"/>
      <c r="J128" s="33"/>
      <c r="K128" s="33"/>
      <c r="L128" s="66"/>
      <c r="M128" s="27"/>
      <c r="N128" s="27"/>
      <c r="O128" s="27"/>
      <c r="P128" s="27"/>
      <c r="Q128" s="27"/>
      <c r="R128" s="27"/>
      <c r="S128" s="27"/>
      <c r="T128" s="27"/>
      <c r="U128" s="27"/>
      <c r="V128" s="27"/>
      <c r="W128" s="27"/>
      <c r="X128" s="27"/>
      <c r="Y128" s="27"/>
      <c r="Z128" s="27"/>
      <c r="AA128" s="27"/>
      <c r="AB128" s="27"/>
      <c r="AC128" s="27"/>
      <c r="AD128" s="27"/>
      <c r="AE128" s="27"/>
      <c r="AF128" s="27"/>
      <c r="AG128" s="27"/>
      <c r="AH128" s="27">
        <v>0.0</v>
      </c>
      <c r="AI128" s="27">
        <v>0.0</v>
      </c>
      <c r="AJ128" s="27">
        <v>0.0</v>
      </c>
      <c r="AK128" s="27" t="b">
        <v>1</v>
      </c>
      <c r="AL128" s="27">
        <v>59.0</v>
      </c>
      <c r="AM128" s="27" t="s">
        <v>188</v>
      </c>
      <c r="AN128" s="27" t="s">
        <v>404</v>
      </c>
      <c r="AO128" s="27"/>
    </row>
    <row r="129">
      <c r="A129" s="200">
        <v>44803.02513327546</v>
      </c>
      <c r="B129" s="19" t="s">
        <v>103</v>
      </c>
      <c r="C129" s="21" t="s">
        <v>322</v>
      </c>
      <c r="D129" s="62">
        <v>0.0</v>
      </c>
      <c r="E129" s="27">
        <v>0.0</v>
      </c>
      <c r="F129" s="27"/>
      <c r="G129" s="201"/>
      <c r="H129" s="27"/>
      <c r="I129" s="27"/>
      <c r="J129" s="33"/>
      <c r="K129" s="33"/>
      <c r="L129" s="66"/>
      <c r="M129" s="27"/>
      <c r="N129" s="27"/>
      <c r="O129" s="27"/>
      <c r="P129" s="27"/>
      <c r="Q129" s="27"/>
      <c r="R129" s="27"/>
      <c r="S129" s="27"/>
      <c r="T129" s="27"/>
      <c r="U129" s="27"/>
      <c r="V129" s="27"/>
      <c r="W129" s="27"/>
      <c r="X129" s="27"/>
      <c r="Y129" s="27"/>
      <c r="Z129" s="27"/>
      <c r="AA129" s="27"/>
      <c r="AB129" s="27"/>
      <c r="AC129" s="27"/>
      <c r="AD129" s="27"/>
      <c r="AE129" s="27"/>
      <c r="AF129" s="27"/>
      <c r="AG129" s="27"/>
      <c r="AH129" s="27">
        <v>0.0</v>
      </c>
      <c r="AI129" s="27">
        <v>0.0</v>
      </c>
      <c r="AJ129" s="27">
        <v>0.0</v>
      </c>
      <c r="AK129" s="27" t="b">
        <v>1</v>
      </c>
      <c r="AL129" s="27">
        <v>59.0</v>
      </c>
      <c r="AM129" s="27" t="s">
        <v>191</v>
      </c>
      <c r="AN129" s="27" t="s">
        <v>404</v>
      </c>
      <c r="AO129" s="27"/>
    </row>
    <row r="130">
      <c r="A130" s="200">
        <v>44803.02513327546</v>
      </c>
      <c r="B130" s="19" t="s">
        <v>103</v>
      </c>
      <c r="C130" s="21" t="s">
        <v>362</v>
      </c>
      <c r="D130" s="62">
        <v>0.0</v>
      </c>
      <c r="E130" s="27">
        <v>0.0</v>
      </c>
      <c r="F130" s="27"/>
      <c r="G130" s="201"/>
      <c r="H130" s="27"/>
      <c r="I130" s="27"/>
      <c r="J130" s="33"/>
      <c r="K130" s="33"/>
      <c r="L130" s="66"/>
      <c r="M130" s="27"/>
      <c r="N130" s="27"/>
      <c r="O130" s="27"/>
      <c r="P130" s="27"/>
      <c r="Q130" s="27"/>
      <c r="R130" s="27"/>
      <c r="S130" s="27"/>
      <c r="T130" s="27"/>
      <c r="U130" s="27"/>
      <c r="V130" s="27"/>
      <c r="W130" s="27"/>
      <c r="X130" s="27"/>
      <c r="Y130" s="27"/>
      <c r="Z130" s="27"/>
      <c r="AA130" s="27"/>
      <c r="AB130" s="27"/>
      <c r="AC130" s="27"/>
      <c r="AD130" s="27"/>
      <c r="AE130" s="27"/>
      <c r="AF130" s="27"/>
      <c r="AG130" s="27"/>
      <c r="AH130" s="27">
        <v>0.0</v>
      </c>
      <c r="AI130" s="27">
        <v>0.0</v>
      </c>
      <c r="AJ130" s="27">
        <v>0.0</v>
      </c>
      <c r="AK130" s="27" t="b">
        <v>1</v>
      </c>
      <c r="AL130" s="27">
        <v>59.0</v>
      </c>
      <c r="AM130" s="27" t="s">
        <v>389</v>
      </c>
      <c r="AN130" s="27" t="s">
        <v>405</v>
      </c>
      <c r="AO130" s="27"/>
    </row>
    <row r="131">
      <c r="A131" s="200">
        <v>44803.02513327546</v>
      </c>
      <c r="B131" s="19" t="s">
        <v>103</v>
      </c>
      <c r="C131" s="21" t="s">
        <v>340</v>
      </c>
      <c r="D131" s="62">
        <v>1.0</v>
      </c>
      <c r="E131" s="27">
        <v>0.0</v>
      </c>
      <c r="F131" s="27" t="s">
        <v>1059</v>
      </c>
      <c r="G131" s="201" t="s">
        <v>57</v>
      </c>
      <c r="H131" s="27"/>
      <c r="I131" s="27"/>
      <c r="J131" s="33">
        <v>-34.5</v>
      </c>
      <c r="K131" s="33">
        <v>-43.0</v>
      </c>
      <c r="L131" s="66">
        <v>55.5</v>
      </c>
      <c r="M131" s="27">
        <v>-0.33</v>
      </c>
      <c r="N131" s="27">
        <v>-42.5</v>
      </c>
      <c r="O131" s="27"/>
      <c r="P131" s="27">
        <v>-43.0</v>
      </c>
      <c r="Q131" s="27"/>
      <c r="R131" s="27">
        <v>-43.5</v>
      </c>
      <c r="S131" s="27"/>
      <c r="T131" s="27">
        <v>-43.0</v>
      </c>
      <c r="U131" s="27"/>
      <c r="V131" s="27">
        <v>-43.0</v>
      </c>
      <c r="W131" s="27"/>
      <c r="X131" s="27">
        <v>-43.0</v>
      </c>
      <c r="Y131" s="27"/>
      <c r="Z131" s="27">
        <v>3.0</v>
      </c>
      <c r="AA131" s="27"/>
      <c r="AB131" s="27">
        <v>2.5</v>
      </c>
      <c r="AC131" s="27"/>
      <c r="AD131" s="27">
        <v>3.5</v>
      </c>
      <c r="AE131" s="27"/>
      <c r="AF131" s="27">
        <v>3.5</v>
      </c>
      <c r="AG131" s="27"/>
      <c r="AH131" s="27">
        <v>47.0</v>
      </c>
      <c r="AI131" s="27">
        <v>7.0</v>
      </c>
      <c r="AJ131" s="27">
        <v>2.0</v>
      </c>
      <c r="AK131" s="27" t="b">
        <v>0</v>
      </c>
      <c r="AL131" s="27">
        <v>100.0</v>
      </c>
      <c r="AM131" s="27" t="s">
        <v>186</v>
      </c>
      <c r="AN131" s="27" t="s">
        <v>404</v>
      </c>
      <c r="AO131" s="27"/>
    </row>
    <row r="132">
      <c r="A132" s="200">
        <v>44803.02513327546</v>
      </c>
      <c r="B132" s="19" t="s">
        <v>103</v>
      </c>
      <c r="C132" s="21" t="s">
        <v>378</v>
      </c>
      <c r="D132" s="62">
        <v>0.0</v>
      </c>
      <c r="E132" s="27">
        <v>0.0</v>
      </c>
      <c r="F132" s="27"/>
      <c r="G132" s="201"/>
      <c r="H132" s="27"/>
      <c r="I132" s="27"/>
      <c r="J132" s="33"/>
      <c r="K132" s="33"/>
      <c r="L132" s="66"/>
      <c r="M132" s="27"/>
      <c r="N132" s="27"/>
      <c r="O132" s="27"/>
      <c r="P132" s="27"/>
      <c r="Q132" s="27"/>
      <c r="R132" s="27"/>
      <c r="S132" s="27"/>
      <c r="T132" s="27"/>
      <c r="U132" s="27"/>
      <c r="V132" s="27"/>
      <c r="W132" s="27"/>
      <c r="X132" s="27"/>
      <c r="Y132" s="27"/>
      <c r="Z132" s="27"/>
      <c r="AA132" s="27"/>
      <c r="AB132" s="27"/>
      <c r="AC132" s="27"/>
      <c r="AD132" s="27"/>
      <c r="AE132" s="27"/>
      <c r="AF132" s="27"/>
      <c r="AG132" s="27"/>
      <c r="AH132" s="27">
        <v>0.0</v>
      </c>
      <c r="AI132" s="27">
        <v>0.0</v>
      </c>
      <c r="AJ132" s="27">
        <v>3.0</v>
      </c>
      <c r="AK132" s="27" t="b">
        <v>0</v>
      </c>
      <c r="AL132" s="27">
        <v>100.0</v>
      </c>
      <c r="AM132" s="27" t="s">
        <v>189</v>
      </c>
      <c r="AN132" s="27" t="s">
        <v>405</v>
      </c>
      <c r="AO132" s="27"/>
    </row>
    <row r="133">
      <c r="A133" s="200">
        <v>44803.02513327546</v>
      </c>
      <c r="B133" s="19"/>
      <c r="C133" s="21"/>
      <c r="D133" s="62"/>
      <c r="E133" s="27"/>
      <c r="F133" s="27"/>
      <c r="G133" s="201"/>
      <c r="H133" s="27"/>
      <c r="I133" s="27"/>
      <c r="J133" s="33"/>
      <c r="K133" s="33"/>
      <c r="L133" s="66"/>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t="e">
        <v>#N/A</v>
      </c>
      <c r="AN133" s="27" t="e">
        <v>#N/A</v>
      </c>
      <c r="AO133" s="27"/>
    </row>
    <row r="134">
      <c r="A134" s="200">
        <v>44803.02513327546</v>
      </c>
      <c r="B134" s="19" t="s">
        <v>154</v>
      </c>
      <c r="C134" s="21" t="s">
        <v>372</v>
      </c>
      <c r="D134" s="62">
        <v>0.0</v>
      </c>
      <c r="E134" s="27">
        <v>0.0</v>
      </c>
      <c r="F134" s="27"/>
      <c r="G134" s="201"/>
      <c r="H134" s="27"/>
      <c r="I134" s="27"/>
      <c r="J134" s="33"/>
      <c r="K134" s="33"/>
      <c r="L134" s="66"/>
      <c r="M134" s="27"/>
      <c r="N134" s="27"/>
      <c r="O134" s="27"/>
      <c r="P134" s="27"/>
      <c r="Q134" s="27"/>
      <c r="R134" s="27"/>
      <c r="S134" s="27"/>
      <c r="T134" s="27"/>
      <c r="U134" s="27"/>
      <c r="V134" s="27"/>
      <c r="W134" s="27"/>
      <c r="X134" s="27"/>
      <c r="Y134" s="27"/>
      <c r="Z134" s="27"/>
      <c r="AA134" s="27"/>
      <c r="AB134" s="27"/>
      <c r="AC134" s="27"/>
      <c r="AD134" s="27"/>
      <c r="AE134" s="27"/>
      <c r="AF134" s="27"/>
      <c r="AG134" s="27"/>
      <c r="AH134" s="27">
        <v>0.0</v>
      </c>
      <c r="AI134" s="27">
        <v>0.0</v>
      </c>
      <c r="AJ134" s="27">
        <v>0.0</v>
      </c>
      <c r="AK134" s="27" t="b">
        <v>1</v>
      </c>
      <c r="AL134" s="27">
        <v>59.0</v>
      </c>
      <c r="AM134" s="27" t="s">
        <v>191</v>
      </c>
      <c r="AN134" s="27" t="s">
        <v>404</v>
      </c>
      <c r="AO134" s="27"/>
    </row>
    <row r="135">
      <c r="A135" s="200">
        <v>44803.02513327546</v>
      </c>
      <c r="B135" s="19" t="s">
        <v>154</v>
      </c>
      <c r="C135" s="21" t="s">
        <v>330</v>
      </c>
      <c r="D135" s="62">
        <v>0.0</v>
      </c>
      <c r="E135" s="27">
        <v>0.0</v>
      </c>
      <c r="F135" s="27"/>
      <c r="G135" s="201"/>
      <c r="H135" s="27"/>
      <c r="I135" s="27"/>
      <c r="J135" s="33"/>
      <c r="K135" s="33"/>
      <c r="L135" s="66"/>
      <c r="M135" s="27"/>
      <c r="N135" s="27"/>
      <c r="O135" s="27"/>
      <c r="P135" s="27"/>
      <c r="Q135" s="27"/>
      <c r="R135" s="27"/>
      <c r="S135" s="27"/>
      <c r="T135" s="27"/>
      <c r="U135" s="27"/>
      <c r="V135" s="27"/>
      <c r="W135" s="27"/>
      <c r="X135" s="27"/>
      <c r="Y135" s="27"/>
      <c r="Z135" s="27"/>
      <c r="AA135" s="27"/>
      <c r="AB135" s="27"/>
      <c r="AC135" s="27"/>
      <c r="AD135" s="27"/>
      <c r="AE135" s="27"/>
      <c r="AF135" s="27"/>
      <c r="AG135" s="27"/>
      <c r="AH135" s="27">
        <v>0.0</v>
      </c>
      <c r="AI135" s="27">
        <v>0.0</v>
      </c>
      <c r="AJ135" s="27">
        <v>0.0</v>
      </c>
      <c r="AK135" s="27" t="b">
        <v>1</v>
      </c>
      <c r="AL135" s="27">
        <v>59.0</v>
      </c>
      <c r="AM135" s="27" t="s">
        <v>389</v>
      </c>
      <c r="AN135" s="27" t="s">
        <v>405</v>
      </c>
      <c r="AO135" s="27"/>
    </row>
    <row r="136">
      <c r="A136" s="200">
        <v>44803.02513327546</v>
      </c>
      <c r="B136" s="19" t="s">
        <v>154</v>
      </c>
      <c r="C136" s="21" t="s">
        <v>363</v>
      </c>
      <c r="D136" s="62">
        <v>0.0</v>
      </c>
      <c r="E136" s="27">
        <v>0.0</v>
      </c>
      <c r="F136" s="27"/>
      <c r="G136" s="201"/>
      <c r="H136" s="27"/>
      <c r="I136" s="27"/>
      <c r="J136" s="33"/>
      <c r="K136" s="33"/>
      <c r="L136" s="66"/>
      <c r="M136" s="27"/>
      <c r="N136" s="27"/>
      <c r="O136" s="27"/>
      <c r="P136" s="27"/>
      <c r="Q136" s="27"/>
      <c r="R136" s="27"/>
      <c r="S136" s="27"/>
      <c r="T136" s="27"/>
      <c r="U136" s="27"/>
      <c r="V136" s="27"/>
      <c r="W136" s="27"/>
      <c r="X136" s="27"/>
      <c r="Y136" s="27"/>
      <c r="Z136" s="27"/>
      <c r="AA136" s="27"/>
      <c r="AB136" s="27"/>
      <c r="AC136" s="27"/>
      <c r="AD136" s="27"/>
      <c r="AE136" s="27"/>
      <c r="AF136" s="27"/>
      <c r="AG136" s="27"/>
      <c r="AH136" s="27">
        <v>0.0</v>
      </c>
      <c r="AI136" s="27">
        <v>0.0</v>
      </c>
      <c r="AJ136" s="27">
        <v>0.0</v>
      </c>
      <c r="AK136" s="27" t="b">
        <v>1</v>
      </c>
      <c r="AL136" s="27">
        <v>59.0</v>
      </c>
      <c r="AM136" s="27" t="s">
        <v>186</v>
      </c>
      <c r="AN136" s="27" t="s">
        <v>404</v>
      </c>
      <c r="AO136" s="27"/>
    </row>
    <row r="137">
      <c r="A137" s="200">
        <v>44803.02513327546</v>
      </c>
      <c r="B137" s="19" t="s">
        <v>154</v>
      </c>
      <c r="C137" s="21" t="s">
        <v>320</v>
      </c>
      <c r="D137" s="62">
        <v>0.0</v>
      </c>
      <c r="E137" s="27">
        <v>0.0</v>
      </c>
      <c r="F137" s="27"/>
      <c r="G137" s="201"/>
      <c r="H137" s="27"/>
      <c r="I137" s="27"/>
      <c r="J137" s="33"/>
      <c r="K137" s="33"/>
      <c r="L137" s="66"/>
      <c r="M137" s="27"/>
      <c r="N137" s="27"/>
      <c r="O137" s="27"/>
      <c r="P137" s="27"/>
      <c r="Q137" s="27"/>
      <c r="R137" s="27"/>
      <c r="S137" s="27"/>
      <c r="T137" s="27"/>
      <c r="U137" s="27"/>
      <c r="V137" s="27"/>
      <c r="W137" s="27"/>
      <c r="X137" s="27"/>
      <c r="Y137" s="27"/>
      <c r="Z137" s="27"/>
      <c r="AA137" s="27"/>
      <c r="AB137" s="27"/>
      <c r="AC137" s="27"/>
      <c r="AD137" s="27"/>
      <c r="AE137" s="27"/>
      <c r="AF137" s="27"/>
      <c r="AG137" s="27"/>
      <c r="AH137" s="27">
        <v>0.0</v>
      </c>
      <c r="AI137" s="27">
        <v>0.0</v>
      </c>
      <c r="AJ137" s="27">
        <v>0.0</v>
      </c>
      <c r="AK137" s="27" t="b">
        <v>1</v>
      </c>
      <c r="AL137" s="27">
        <v>59.0</v>
      </c>
      <c r="AM137" s="27" t="s">
        <v>187</v>
      </c>
      <c r="AN137" s="27" t="s">
        <v>404</v>
      </c>
      <c r="AO137" s="27"/>
    </row>
    <row r="138">
      <c r="A138" s="200">
        <v>44803.02513327546</v>
      </c>
      <c r="B138" s="19" t="s">
        <v>154</v>
      </c>
      <c r="C138" s="21" t="s">
        <v>382</v>
      </c>
      <c r="D138" s="62">
        <v>0.0</v>
      </c>
      <c r="E138" s="27">
        <v>0.0</v>
      </c>
      <c r="F138" s="27"/>
      <c r="G138" s="201"/>
      <c r="H138" s="27"/>
      <c r="I138" s="27"/>
      <c r="J138" s="33"/>
      <c r="K138" s="33"/>
      <c r="L138" s="66"/>
      <c r="M138" s="27"/>
      <c r="N138" s="27"/>
      <c r="O138" s="27"/>
      <c r="P138" s="27"/>
      <c r="Q138" s="27"/>
      <c r="R138" s="27"/>
      <c r="S138" s="27"/>
      <c r="T138" s="27"/>
      <c r="U138" s="27"/>
      <c r="V138" s="27"/>
      <c r="W138" s="27"/>
      <c r="X138" s="27"/>
      <c r="Y138" s="27"/>
      <c r="Z138" s="27"/>
      <c r="AA138" s="27"/>
      <c r="AB138" s="27"/>
      <c r="AC138" s="27"/>
      <c r="AD138" s="27"/>
      <c r="AE138" s="27"/>
      <c r="AF138" s="27"/>
      <c r="AG138" s="27"/>
      <c r="AH138" s="27">
        <v>0.0</v>
      </c>
      <c r="AI138" s="27">
        <v>0.0</v>
      </c>
      <c r="AJ138" s="27">
        <v>0.0</v>
      </c>
      <c r="AK138" s="27" t="b">
        <v>1</v>
      </c>
      <c r="AL138" s="27">
        <v>59.0</v>
      </c>
      <c r="AM138" s="27" t="s">
        <v>190</v>
      </c>
      <c r="AN138" s="27" t="s">
        <v>405</v>
      </c>
      <c r="AO138" s="27"/>
    </row>
    <row r="139">
      <c r="A139" s="200">
        <v>44803.02513327546</v>
      </c>
      <c r="B139" s="19" t="s">
        <v>154</v>
      </c>
      <c r="C139" s="21" t="s">
        <v>352</v>
      </c>
      <c r="D139" s="62">
        <v>0.0</v>
      </c>
      <c r="E139" s="27">
        <v>0.0</v>
      </c>
      <c r="F139" s="27"/>
      <c r="G139" s="201"/>
      <c r="H139" s="27"/>
      <c r="I139" s="27"/>
      <c r="J139" s="33"/>
      <c r="K139" s="33"/>
      <c r="L139" s="66"/>
      <c r="M139" s="27"/>
      <c r="N139" s="27"/>
      <c r="O139" s="27"/>
      <c r="P139" s="27"/>
      <c r="Q139" s="27"/>
      <c r="R139" s="27"/>
      <c r="S139" s="27"/>
      <c r="T139" s="27"/>
      <c r="U139" s="27"/>
      <c r="V139" s="27"/>
      <c r="W139" s="27"/>
      <c r="X139" s="27"/>
      <c r="Y139" s="27"/>
      <c r="Z139" s="27"/>
      <c r="AA139" s="27"/>
      <c r="AB139" s="27"/>
      <c r="AC139" s="27"/>
      <c r="AD139" s="27"/>
      <c r="AE139" s="27"/>
      <c r="AF139" s="27"/>
      <c r="AG139" s="27"/>
      <c r="AH139" s="27">
        <v>0.0</v>
      </c>
      <c r="AI139" s="27">
        <v>0.0</v>
      </c>
      <c r="AJ139" s="27">
        <v>0.0</v>
      </c>
      <c r="AK139" s="27" t="b">
        <v>1</v>
      </c>
      <c r="AL139" s="27">
        <v>59.0</v>
      </c>
      <c r="AM139" s="27" t="s">
        <v>193</v>
      </c>
      <c r="AN139" s="27" t="s">
        <v>405</v>
      </c>
      <c r="AO139" s="27"/>
    </row>
    <row r="140">
      <c r="A140" s="200">
        <v>44803.02513327546</v>
      </c>
      <c r="B140" s="19" t="s">
        <v>154</v>
      </c>
      <c r="C140" s="21" t="s">
        <v>379</v>
      </c>
      <c r="D140" s="62">
        <v>0.0</v>
      </c>
      <c r="E140" s="27">
        <v>0.0</v>
      </c>
      <c r="F140" s="27"/>
      <c r="G140" s="201"/>
      <c r="H140" s="27"/>
      <c r="I140" s="27"/>
      <c r="J140" s="33"/>
      <c r="K140" s="33"/>
      <c r="L140" s="66"/>
      <c r="M140" s="27"/>
      <c r="N140" s="27"/>
      <c r="O140" s="27"/>
      <c r="P140" s="27"/>
      <c r="Q140" s="27"/>
      <c r="R140" s="27"/>
      <c r="S140" s="27"/>
      <c r="T140" s="27"/>
      <c r="U140" s="27"/>
      <c r="V140" s="27"/>
      <c r="W140" s="27"/>
      <c r="X140" s="27"/>
      <c r="Y140" s="27"/>
      <c r="Z140" s="27"/>
      <c r="AA140" s="27"/>
      <c r="AB140" s="27"/>
      <c r="AC140" s="27"/>
      <c r="AD140" s="27"/>
      <c r="AE140" s="27"/>
      <c r="AF140" s="27"/>
      <c r="AG140" s="27"/>
      <c r="AH140" s="27">
        <v>0.0</v>
      </c>
      <c r="AI140" s="27">
        <v>0.0</v>
      </c>
      <c r="AJ140" s="27">
        <v>0.0</v>
      </c>
      <c r="AK140" s="27" t="b">
        <v>1</v>
      </c>
      <c r="AL140" s="27">
        <v>59.0</v>
      </c>
      <c r="AM140" s="27" t="s">
        <v>192</v>
      </c>
      <c r="AN140" s="27" t="s">
        <v>404</v>
      </c>
      <c r="AO140" s="27"/>
    </row>
    <row r="141">
      <c r="A141" s="200">
        <v>44803.02513327546</v>
      </c>
      <c r="B141" s="19" t="s">
        <v>154</v>
      </c>
      <c r="C141" s="21" t="s">
        <v>366</v>
      </c>
      <c r="D141" s="62">
        <v>0.0</v>
      </c>
      <c r="E141" s="27">
        <v>1.0</v>
      </c>
      <c r="F141" s="27" t="s">
        <v>1005</v>
      </c>
      <c r="G141" s="201" t="s">
        <v>57</v>
      </c>
      <c r="H141" s="27" t="s">
        <v>131</v>
      </c>
      <c r="I141" s="27"/>
      <c r="J141" s="33">
        <v>5.0</v>
      </c>
      <c r="K141" s="33">
        <v>1.0</v>
      </c>
      <c r="L141" s="66"/>
      <c r="M141" s="27"/>
      <c r="N141" s="27"/>
      <c r="O141" s="27"/>
      <c r="P141" s="27"/>
      <c r="Q141" s="27"/>
      <c r="R141" s="27"/>
      <c r="S141" s="27"/>
      <c r="T141" s="27"/>
      <c r="U141" s="27"/>
      <c r="V141" s="27"/>
      <c r="W141" s="27"/>
      <c r="X141" s="27"/>
      <c r="Y141" s="27"/>
      <c r="Z141" s="27"/>
      <c r="AA141" s="27"/>
      <c r="AB141" s="27"/>
      <c r="AC141" s="27"/>
      <c r="AD141" s="27"/>
      <c r="AE141" s="27"/>
      <c r="AF141" s="27"/>
      <c r="AG141" s="27"/>
      <c r="AH141" s="27">
        <v>13.0</v>
      </c>
      <c r="AI141" s="27">
        <v>31.0</v>
      </c>
      <c r="AJ141" s="27">
        <v>2.0</v>
      </c>
      <c r="AK141" s="27" t="b">
        <v>0</v>
      </c>
      <c r="AL141" s="27">
        <v>100.0</v>
      </c>
      <c r="AM141" s="27" t="s">
        <v>189</v>
      </c>
      <c r="AN141" s="27" t="s">
        <v>405</v>
      </c>
      <c r="AO141" s="27"/>
    </row>
    <row r="142">
      <c r="A142" s="200">
        <v>44803.02513327546</v>
      </c>
      <c r="B142" s="19" t="s">
        <v>154</v>
      </c>
      <c r="C142" s="21" t="s">
        <v>383</v>
      </c>
      <c r="D142" s="62">
        <v>0.0</v>
      </c>
      <c r="E142" s="27">
        <v>1.0</v>
      </c>
      <c r="F142" s="27" t="s">
        <v>1057</v>
      </c>
      <c r="G142" s="201" t="s">
        <v>57</v>
      </c>
      <c r="H142" s="27" t="s">
        <v>144</v>
      </c>
      <c r="I142" s="27"/>
      <c r="J142" s="33">
        <v>9.0</v>
      </c>
      <c r="K142" s="33">
        <v>14.0</v>
      </c>
      <c r="L142" s="66">
        <v>43.5</v>
      </c>
      <c r="M142" s="27">
        <v>-0.8543165468</v>
      </c>
      <c r="N142" s="27">
        <v>14.0</v>
      </c>
      <c r="O142" s="27"/>
      <c r="P142" s="27">
        <v>14.0</v>
      </c>
      <c r="Q142" s="27"/>
      <c r="R142" s="27">
        <v>14.0</v>
      </c>
      <c r="S142" s="27"/>
      <c r="T142" s="27">
        <v>14.0</v>
      </c>
      <c r="U142" s="27"/>
      <c r="V142" s="27">
        <v>14.0</v>
      </c>
      <c r="W142" s="27"/>
      <c r="X142" s="27">
        <v>14.0</v>
      </c>
      <c r="Y142" s="27"/>
      <c r="Z142" s="27">
        <v>14.0</v>
      </c>
      <c r="AA142" s="27"/>
      <c r="AB142" s="27">
        <v>13.5</v>
      </c>
      <c r="AC142" s="27"/>
      <c r="AD142" s="27">
        <v>14.0</v>
      </c>
      <c r="AE142" s="27"/>
      <c r="AF142" s="27">
        <v>14.0</v>
      </c>
      <c r="AG142" s="27"/>
      <c r="AH142" s="27">
        <v>6.0</v>
      </c>
      <c r="AI142" s="27">
        <v>38.0</v>
      </c>
      <c r="AJ142" s="27">
        <v>2.0</v>
      </c>
      <c r="AK142" s="27" t="b">
        <v>1</v>
      </c>
      <c r="AL142" s="27">
        <v>100.0</v>
      </c>
      <c r="AM142" s="27" t="s">
        <v>129</v>
      </c>
      <c r="AN142" s="27" t="s">
        <v>405</v>
      </c>
      <c r="AO142" s="27"/>
    </row>
    <row r="143">
      <c r="A143" s="200">
        <v>44810.02510108796</v>
      </c>
      <c r="B143" s="19" t="s">
        <v>53</v>
      </c>
      <c r="C143" s="21" t="s">
        <v>168</v>
      </c>
      <c r="D143" s="62">
        <v>1.0</v>
      </c>
      <c r="E143" s="27">
        <v>0.0</v>
      </c>
      <c r="F143" s="27" t="s">
        <v>1062</v>
      </c>
      <c r="G143" s="201" t="s">
        <v>57</v>
      </c>
      <c r="H143" s="27" t="s">
        <v>109</v>
      </c>
      <c r="I143" s="27"/>
      <c r="J143" s="33">
        <v>-13.5</v>
      </c>
      <c r="K143" s="33">
        <v>-17.5</v>
      </c>
      <c r="L143" s="66">
        <v>59.0</v>
      </c>
      <c r="M143" s="27" t="s">
        <v>1063</v>
      </c>
      <c r="N143" s="27">
        <v>-17.0</v>
      </c>
      <c r="O143" s="27"/>
      <c r="P143" s="27">
        <v>-17.0</v>
      </c>
      <c r="Q143" s="27"/>
      <c r="R143" s="27">
        <v>-17.0</v>
      </c>
      <c r="S143" s="27"/>
      <c r="T143" s="27">
        <v>-17.5</v>
      </c>
      <c r="U143" s="27"/>
      <c r="V143" s="27">
        <v>-17.0</v>
      </c>
      <c r="W143" s="27"/>
      <c r="X143" s="27">
        <v>-17.0</v>
      </c>
      <c r="Y143" s="27"/>
      <c r="Z143" s="27">
        <v>-17.0</v>
      </c>
      <c r="AA143" s="27"/>
      <c r="AB143" s="27">
        <v>-16.0</v>
      </c>
      <c r="AC143" s="27"/>
      <c r="AD143" s="27">
        <v>-17.5</v>
      </c>
      <c r="AE143" s="27"/>
      <c r="AF143" s="27">
        <v>-17.5</v>
      </c>
      <c r="AG143" s="27"/>
      <c r="AH143" s="27">
        <v>21.0</v>
      </c>
      <c r="AI143" s="27">
        <v>10.0</v>
      </c>
      <c r="AJ143" s="27">
        <v>2.0</v>
      </c>
      <c r="AK143" s="27" t="b">
        <v>1</v>
      </c>
      <c r="AL143" s="27">
        <v>100.0</v>
      </c>
      <c r="AM143" s="27" t="s">
        <v>188</v>
      </c>
      <c r="AN143" s="27" t="s">
        <v>404</v>
      </c>
      <c r="AO143" s="27"/>
    </row>
    <row r="144">
      <c r="A144" s="200">
        <v>44810.02510108796</v>
      </c>
      <c r="B144" s="19" t="s">
        <v>53</v>
      </c>
      <c r="C144" s="21" t="s">
        <v>181</v>
      </c>
      <c r="D144" s="62">
        <v>1.0</v>
      </c>
      <c r="E144" s="27">
        <v>1.0</v>
      </c>
      <c r="F144" s="27" t="s">
        <v>1064</v>
      </c>
      <c r="G144" s="201" t="s">
        <v>57</v>
      </c>
      <c r="H144" s="27" t="s">
        <v>53</v>
      </c>
      <c r="I144" s="27"/>
      <c r="J144" s="33">
        <v>-1.0</v>
      </c>
      <c r="K144" s="33">
        <v>-5.5</v>
      </c>
      <c r="L144" s="66">
        <v>50.5</v>
      </c>
      <c r="M144" s="27" t="s">
        <v>1065</v>
      </c>
      <c r="N144" s="27">
        <v>-5.5</v>
      </c>
      <c r="O144" s="27"/>
      <c r="P144" s="27">
        <v>-6.0</v>
      </c>
      <c r="Q144" s="27"/>
      <c r="R144" s="27">
        <v>-5.5</v>
      </c>
      <c r="S144" s="27"/>
      <c r="T144" s="27">
        <v>-5.5</v>
      </c>
      <c r="U144" s="27"/>
      <c r="V144" s="27">
        <v>-6.0</v>
      </c>
      <c r="W144" s="27"/>
      <c r="X144" s="27">
        <v>-5.5</v>
      </c>
      <c r="Y144" s="27"/>
      <c r="Z144" s="27">
        <v>-3.0</v>
      </c>
      <c r="AA144" s="27"/>
      <c r="AB144" s="27">
        <v>-6.0</v>
      </c>
      <c r="AC144" s="27"/>
      <c r="AD144" s="27">
        <v>-5.5</v>
      </c>
      <c r="AE144" s="27"/>
      <c r="AF144" s="27">
        <v>-5.5</v>
      </c>
      <c r="AG144" s="27"/>
      <c r="AH144" s="27">
        <v>81.0</v>
      </c>
      <c r="AI144" s="27">
        <v>54.0</v>
      </c>
      <c r="AJ144" s="27">
        <v>2.0</v>
      </c>
      <c r="AK144" s="27" t="b">
        <v>1</v>
      </c>
      <c r="AL144" s="27">
        <v>100.0</v>
      </c>
      <c r="AM144" s="27" t="s">
        <v>189</v>
      </c>
      <c r="AN144" s="27" t="s">
        <v>405</v>
      </c>
      <c r="AO144" s="27"/>
    </row>
    <row r="145">
      <c r="A145" s="200">
        <v>44810.02510108796</v>
      </c>
      <c r="B145" s="19" t="s">
        <v>53</v>
      </c>
      <c r="C145" s="21" t="s">
        <v>176</v>
      </c>
      <c r="D145" s="62">
        <v>1.0</v>
      </c>
      <c r="E145" s="27">
        <v>0.0</v>
      </c>
      <c r="F145" s="27" t="s">
        <v>1064</v>
      </c>
      <c r="G145" s="201" t="s">
        <v>57</v>
      </c>
      <c r="H145" s="27" t="s">
        <v>53</v>
      </c>
      <c r="I145" s="27"/>
      <c r="J145" s="33">
        <v>1.0</v>
      </c>
      <c r="K145" s="33">
        <v>5.5</v>
      </c>
      <c r="L145" s="66">
        <v>50.5</v>
      </c>
      <c r="M145" s="27" t="s">
        <v>1065</v>
      </c>
      <c r="N145" s="27">
        <v>5.5</v>
      </c>
      <c r="O145" s="27"/>
      <c r="P145" s="27">
        <v>6.0</v>
      </c>
      <c r="Q145" s="27"/>
      <c r="R145" s="27">
        <v>5.5</v>
      </c>
      <c r="S145" s="27"/>
      <c r="T145" s="27">
        <v>5.5</v>
      </c>
      <c r="U145" s="27"/>
      <c r="V145" s="27">
        <v>6.0</v>
      </c>
      <c r="W145" s="27"/>
      <c r="X145" s="27">
        <v>5.5</v>
      </c>
      <c r="Y145" s="27"/>
      <c r="Z145" s="27">
        <v>3.0</v>
      </c>
      <c r="AA145" s="27"/>
      <c r="AB145" s="27">
        <v>6.0</v>
      </c>
      <c r="AC145" s="27"/>
      <c r="AD145" s="27">
        <v>5.5</v>
      </c>
      <c r="AE145" s="27"/>
      <c r="AF145" s="27">
        <v>5.5</v>
      </c>
      <c r="AG145" s="27"/>
      <c r="AH145" s="27">
        <v>41.0</v>
      </c>
      <c r="AI145" s="27">
        <v>38.0</v>
      </c>
      <c r="AJ145" s="27">
        <v>2.0</v>
      </c>
      <c r="AK145" s="27" t="b">
        <v>0</v>
      </c>
      <c r="AL145" s="27">
        <v>100.0</v>
      </c>
      <c r="AM145" s="27" t="s">
        <v>190</v>
      </c>
      <c r="AN145" s="27" t="s">
        <v>405</v>
      </c>
      <c r="AO145" s="27"/>
    </row>
    <row r="146">
      <c r="A146" s="200">
        <v>44810.02510108796</v>
      </c>
      <c r="B146" s="19" t="s">
        <v>53</v>
      </c>
      <c r="C146" s="21" t="s">
        <v>120</v>
      </c>
      <c r="D146" s="62">
        <v>2.0</v>
      </c>
      <c r="E146" s="27">
        <v>0.0</v>
      </c>
      <c r="F146" s="27" t="s">
        <v>1066</v>
      </c>
      <c r="G146" s="201" t="s">
        <v>57</v>
      </c>
      <c r="H146" s="27" t="s">
        <v>148</v>
      </c>
      <c r="I146" s="27"/>
      <c r="J146" s="33">
        <v>-10.5</v>
      </c>
      <c r="K146" s="33">
        <v>2.5</v>
      </c>
      <c r="L146" s="66">
        <v>51.5</v>
      </c>
      <c r="M146" s="27" t="s">
        <v>1067</v>
      </c>
      <c r="N146" s="27">
        <v>2.0</v>
      </c>
      <c r="O146" s="27"/>
      <c r="P146" s="27">
        <v>2.0</v>
      </c>
      <c r="Q146" s="27"/>
      <c r="R146" s="27">
        <v>2.0</v>
      </c>
      <c r="S146" s="27"/>
      <c r="T146" s="27">
        <v>2.5</v>
      </c>
      <c r="U146" s="27"/>
      <c r="V146" s="27">
        <v>2.0</v>
      </c>
      <c r="W146" s="27"/>
      <c r="X146" s="27">
        <v>2.0</v>
      </c>
      <c r="Y146" s="27"/>
      <c r="Z146" s="27">
        <v>2.0</v>
      </c>
      <c r="AA146" s="27"/>
      <c r="AB146" s="27">
        <v>1.5</v>
      </c>
      <c r="AC146" s="27"/>
      <c r="AD146" s="27">
        <v>2.5</v>
      </c>
      <c r="AE146" s="27"/>
      <c r="AF146" s="27">
        <v>2.5</v>
      </c>
      <c r="AG146" s="27"/>
      <c r="AH146" s="27">
        <v>61.0</v>
      </c>
      <c r="AI146" s="27">
        <v>26.0</v>
      </c>
      <c r="AJ146" s="27">
        <v>2.0</v>
      </c>
      <c r="AK146" s="27" t="b">
        <v>0</v>
      </c>
      <c r="AL146" s="27">
        <v>100.0</v>
      </c>
      <c r="AM146" s="27" t="s">
        <v>129</v>
      </c>
      <c r="AN146" s="27" t="s">
        <v>405</v>
      </c>
      <c r="AO146" s="27"/>
    </row>
    <row r="147">
      <c r="A147" s="200">
        <v>44810.02510108796</v>
      </c>
      <c r="B147" s="19" t="s">
        <v>53</v>
      </c>
      <c r="C147" s="21" t="s">
        <v>184</v>
      </c>
      <c r="D147" s="62">
        <v>1.0</v>
      </c>
      <c r="E147" s="27">
        <v>0.0</v>
      </c>
      <c r="F147" s="27" t="s">
        <v>1068</v>
      </c>
      <c r="G147" s="201" t="s">
        <v>57</v>
      </c>
      <c r="H147" s="27" t="s">
        <v>154</v>
      </c>
      <c r="I147" s="27"/>
      <c r="J147" s="33">
        <v>-40.0</v>
      </c>
      <c r="K147" s="33">
        <v>-31.0</v>
      </c>
      <c r="L147" s="66">
        <v>58.0</v>
      </c>
      <c r="M147" s="27" t="s">
        <v>1069</v>
      </c>
      <c r="N147" s="27">
        <v>-31.0</v>
      </c>
      <c r="O147" s="27"/>
      <c r="P147" s="27">
        <v>-31.0</v>
      </c>
      <c r="Q147" s="27"/>
      <c r="R147" s="27">
        <v>-31.0</v>
      </c>
      <c r="S147" s="27"/>
      <c r="T147" s="27">
        <v>-31.0</v>
      </c>
      <c r="U147" s="27"/>
      <c r="V147" s="27">
        <v>-31.0</v>
      </c>
      <c r="W147" s="27"/>
      <c r="X147" s="27">
        <v>-31.0</v>
      </c>
      <c r="Y147" s="27"/>
      <c r="Z147" s="27">
        <v>-31.0</v>
      </c>
      <c r="AA147" s="27"/>
      <c r="AB147" s="27">
        <v>-32.0</v>
      </c>
      <c r="AC147" s="27"/>
      <c r="AD147" s="27">
        <v>-31.0</v>
      </c>
      <c r="AE147" s="27"/>
      <c r="AF147" s="27">
        <v>-31.0</v>
      </c>
      <c r="AG147" s="27"/>
      <c r="AH147" s="27">
        <v>45.0</v>
      </c>
      <c r="AI147" s="27">
        <v>13.0</v>
      </c>
      <c r="AJ147" s="27">
        <v>2.0</v>
      </c>
      <c r="AK147" s="27" t="b">
        <v>0</v>
      </c>
      <c r="AL147" s="27">
        <v>100.0</v>
      </c>
      <c r="AM147" s="27" t="s">
        <v>187</v>
      </c>
      <c r="AN147" s="27" t="s">
        <v>404</v>
      </c>
      <c r="AO147" s="27"/>
    </row>
    <row r="148">
      <c r="A148" s="200">
        <v>44810.02510108796</v>
      </c>
      <c r="B148" s="19" t="s">
        <v>53</v>
      </c>
      <c r="C148" s="21" t="s">
        <v>54</v>
      </c>
      <c r="D148" s="62">
        <v>0.0</v>
      </c>
      <c r="E148" s="27">
        <v>1.0</v>
      </c>
      <c r="F148" s="27" t="s">
        <v>1070</v>
      </c>
      <c r="G148" s="201" t="s">
        <v>57</v>
      </c>
      <c r="H148" s="27" t="s">
        <v>116</v>
      </c>
      <c r="I148" s="27"/>
      <c r="J148" s="33">
        <v>14.5</v>
      </c>
      <c r="K148" s="33">
        <v>16.0</v>
      </c>
      <c r="L148" s="66">
        <v>54.5</v>
      </c>
      <c r="M148" s="27" t="s">
        <v>1071</v>
      </c>
      <c r="N148" s="27">
        <v>16.5</v>
      </c>
      <c r="O148" s="27"/>
      <c r="P148" s="27">
        <v>16.0</v>
      </c>
      <c r="Q148" s="27"/>
      <c r="R148" s="27">
        <v>16.0</v>
      </c>
      <c r="S148" s="27"/>
      <c r="T148" s="27">
        <v>16.0</v>
      </c>
      <c r="U148" s="27"/>
      <c r="V148" s="27">
        <v>16.0</v>
      </c>
      <c r="W148" s="27"/>
      <c r="X148" s="27">
        <v>16.5</v>
      </c>
      <c r="Y148" s="27"/>
      <c r="Z148" s="27">
        <v>16.0</v>
      </c>
      <c r="AA148" s="27"/>
      <c r="AB148" s="27">
        <v>16.5</v>
      </c>
      <c r="AC148" s="27"/>
      <c r="AD148" s="27">
        <v>16.0</v>
      </c>
      <c r="AE148" s="27"/>
      <c r="AF148" s="27">
        <v>16.0</v>
      </c>
      <c r="AG148" s="27"/>
      <c r="AH148" s="27">
        <v>3.0</v>
      </c>
      <c r="AI148" s="27">
        <v>49.0</v>
      </c>
      <c r="AJ148" s="27">
        <v>2.0</v>
      </c>
      <c r="AK148" s="27" t="b">
        <v>1</v>
      </c>
      <c r="AL148" s="27">
        <v>100.0</v>
      </c>
      <c r="AM148" s="27" t="s">
        <v>191</v>
      </c>
      <c r="AN148" s="27" t="s">
        <v>404</v>
      </c>
      <c r="AO148" s="27"/>
    </row>
    <row r="149">
      <c r="A149" s="200">
        <v>44810.02510108796</v>
      </c>
      <c r="B149" s="19" t="s">
        <v>53</v>
      </c>
      <c r="C149" s="21" t="s">
        <v>155</v>
      </c>
      <c r="D149" s="62">
        <v>1.0</v>
      </c>
      <c r="E149" s="27">
        <v>0.0</v>
      </c>
      <c r="F149" s="27" t="s">
        <v>1072</v>
      </c>
      <c r="G149" s="201" t="s">
        <v>57</v>
      </c>
      <c r="H149" s="27"/>
      <c r="I149" s="27"/>
      <c r="J149" s="33">
        <v>-25.0</v>
      </c>
      <c r="K149" s="33">
        <v>-21.5</v>
      </c>
      <c r="L149" s="66">
        <v>60.5</v>
      </c>
      <c r="M149" s="27" t="s">
        <v>1073</v>
      </c>
      <c r="N149" s="27">
        <v>-21.5</v>
      </c>
      <c r="O149" s="27"/>
      <c r="P149" s="27">
        <v>-21.0</v>
      </c>
      <c r="Q149" s="27"/>
      <c r="R149" s="27">
        <v>-20.5</v>
      </c>
      <c r="S149" s="27"/>
      <c r="T149" s="27">
        <v>-21.5</v>
      </c>
      <c r="U149" s="27"/>
      <c r="V149" s="27">
        <v>-21.5</v>
      </c>
      <c r="W149" s="27"/>
      <c r="X149" s="27">
        <v>-21.5</v>
      </c>
      <c r="Y149" s="27"/>
      <c r="Z149" s="27">
        <v>-21.5</v>
      </c>
      <c r="AA149" s="27"/>
      <c r="AB149" s="27">
        <v>-21.5</v>
      </c>
      <c r="AC149" s="27"/>
      <c r="AD149" s="27"/>
      <c r="AE149" s="27"/>
      <c r="AF149" s="27"/>
      <c r="AG149" s="27"/>
      <c r="AH149" s="27">
        <v>34.0</v>
      </c>
      <c r="AI149" s="27">
        <v>17.0</v>
      </c>
      <c r="AJ149" s="27">
        <v>2.0</v>
      </c>
      <c r="AK149" s="27" t="b">
        <v>0</v>
      </c>
      <c r="AL149" s="27">
        <v>100.0</v>
      </c>
      <c r="AM149" s="27" t="s">
        <v>186</v>
      </c>
      <c r="AN149" s="27" t="s">
        <v>404</v>
      </c>
      <c r="AO149" s="27"/>
    </row>
    <row r="150">
      <c r="A150" s="200">
        <v>44810.02510108796</v>
      </c>
      <c r="B150" s="19" t="s">
        <v>53</v>
      </c>
      <c r="C150" s="21" t="s">
        <v>170</v>
      </c>
      <c r="D150" s="62">
        <v>1.0</v>
      </c>
      <c r="E150" s="27">
        <v>0.0</v>
      </c>
      <c r="F150" s="27" t="s">
        <v>1074</v>
      </c>
      <c r="G150" s="201" t="s">
        <v>57</v>
      </c>
      <c r="H150" s="27" t="s">
        <v>148</v>
      </c>
      <c r="I150" s="27"/>
      <c r="J150" s="33">
        <v>10.0</v>
      </c>
      <c r="K150" s="33">
        <v>6.0</v>
      </c>
      <c r="L150" s="66">
        <v>48.0</v>
      </c>
      <c r="M150" s="27" t="s">
        <v>1075</v>
      </c>
      <c r="N150" s="27">
        <v>6.5</v>
      </c>
      <c r="O150" s="27"/>
      <c r="P150" s="27">
        <v>6.0</v>
      </c>
      <c r="Q150" s="27"/>
      <c r="R150" s="27">
        <v>6.0</v>
      </c>
      <c r="S150" s="27"/>
      <c r="T150" s="27">
        <v>6.0</v>
      </c>
      <c r="U150" s="27"/>
      <c r="V150" s="27">
        <v>6.0</v>
      </c>
      <c r="W150" s="27"/>
      <c r="X150" s="27">
        <v>6.5</v>
      </c>
      <c r="Y150" s="27"/>
      <c r="Z150" s="27">
        <v>6.0</v>
      </c>
      <c r="AA150" s="27"/>
      <c r="AB150" s="27">
        <v>6.0</v>
      </c>
      <c r="AC150" s="27"/>
      <c r="AD150" s="27">
        <v>6.0</v>
      </c>
      <c r="AE150" s="27"/>
      <c r="AF150" s="27">
        <v>6.0</v>
      </c>
      <c r="AG150" s="27"/>
      <c r="AH150" s="27">
        <v>20.0</v>
      </c>
      <c r="AI150" s="27">
        <v>17.0</v>
      </c>
      <c r="AJ150" s="27">
        <v>2.0</v>
      </c>
      <c r="AK150" s="27" t="b">
        <v>0</v>
      </c>
      <c r="AL150" s="27">
        <v>100.0</v>
      </c>
      <c r="AM150" s="27" t="s">
        <v>193</v>
      </c>
      <c r="AN150" s="27" t="s">
        <v>405</v>
      </c>
      <c r="AO150" s="27"/>
    </row>
    <row r="151">
      <c r="A151" s="200">
        <v>44810.02510108796</v>
      </c>
      <c r="B151" s="19" t="s">
        <v>53</v>
      </c>
      <c r="C151" s="21" t="s">
        <v>173</v>
      </c>
      <c r="D151" s="62">
        <v>1.0</v>
      </c>
      <c r="E151" s="27">
        <v>0.0</v>
      </c>
      <c r="F151" s="27" t="s">
        <v>1076</v>
      </c>
      <c r="G151" s="201" t="s">
        <v>57</v>
      </c>
      <c r="H151" s="27" t="s">
        <v>166</v>
      </c>
      <c r="I151" s="27"/>
      <c r="J151" s="33">
        <v>-18.5</v>
      </c>
      <c r="K151" s="33">
        <v>-19.5</v>
      </c>
      <c r="L151" s="66">
        <v>60.5</v>
      </c>
      <c r="M151" s="27" t="s">
        <v>1077</v>
      </c>
      <c r="N151" s="27">
        <v>-19.5</v>
      </c>
      <c r="O151" s="27"/>
      <c r="P151" s="27">
        <v>-19.5</v>
      </c>
      <c r="Q151" s="27"/>
      <c r="R151" s="27">
        <v>-19.5</v>
      </c>
      <c r="S151" s="27"/>
      <c r="T151" s="27">
        <v>-19.5</v>
      </c>
      <c r="U151" s="27"/>
      <c r="V151" s="27">
        <v>-19.5</v>
      </c>
      <c r="W151" s="27"/>
      <c r="X151" s="27">
        <v>-20.0</v>
      </c>
      <c r="Y151" s="27"/>
      <c r="Z151" s="27">
        <v>-19.5</v>
      </c>
      <c r="AA151" s="27"/>
      <c r="AB151" s="27">
        <v>-20.5</v>
      </c>
      <c r="AC151" s="27"/>
      <c r="AD151" s="27">
        <v>-19.5</v>
      </c>
      <c r="AE151" s="27"/>
      <c r="AF151" s="27">
        <v>-19.5</v>
      </c>
      <c r="AG151" s="27"/>
      <c r="AH151" s="27">
        <v>52.0</v>
      </c>
      <c r="AI151" s="27">
        <v>24.0</v>
      </c>
      <c r="AJ151" s="27">
        <v>2.0</v>
      </c>
      <c r="AK151" s="27" t="b">
        <v>0</v>
      </c>
      <c r="AL151" s="27">
        <v>100.0</v>
      </c>
      <c r="AM151" s="27" t="s">
        <v>192</v>
      </c>
      <c r="AN151" s="27" t="s">
        <v>404</v>
      </c>
      <c r="AO151" s="27"/>
    </row>
    <row r="152">
      <c r="A152" s="200">
        <v>44810.02510108796</v>
      </c>
      <c r="B152" s="19" t="s">
        <v>53</v>
      </c>
      <c r="C152" s="21" t="s">
        <v>195</v>
      </c>
      <c r="D152" s="62">
        <v>0.0</v>
      </c>
      <c r="E152" s="27">
        <v>1.0</v>
      </c>
      <c r="F152" s="27" t="s">
        <v>1078</v>
      </c>
      <c r="G152" s="201" t="s">
        <v>183</v>
      </c>
      <c r="H152" s="27" t="s">
        <v>154</v>
      </c>
      <c r="I152" s="27"/>
      <c r="J152" s="33">
        <v>-1.0</v>
      </c>
      <c r="K152" s="33">
        <v>-6.5</v>
      </c>
      <c r="L152" s="66">
        <v>46.5</v>
      </c>
      <c r="M152" s="27" t="s">
        <v>1079</v>
      </c>
      <c r="N152" s="27">
        <v>-6.5</v>
      </c>
      <c r="O152" s="27"/>
      <c r="P152" s="27">
        <v>-6.5</v>
      </c>
      <c r="Q152" s="27"/>
      <c r="R152" s="27">
        <v>-6.5</v>
      </c>
      <c r="S152" s="27"/>
      <c r="T152" s="27">
        <v>-6.0</v>
      </c>
      <c r="U152" s="27"/>
      <c r="V152" s="27">
        <v>-6.5</v>
      </c>
      <c r="W152" s="27"/>
      <c r="X152" s="27">
        <v>-6.5</v>
      </c>
      <c r="Y152" s="27"/>
      <c r="Z152" s="27">
        <v>-6.5</v>
      </c>
      <c r="AA152" s="27"/>
      <c r="AB152" s="27">
        <v>-6.5</v>
      </c>
      <c r="AC152" s="27"/>
      <c r="AD152" s="27">
        <v>-6.0</v>
      </c>
      <c r="AE152" s="27"/>
      <c r="AF152" s="27">
        <v>-6.0</v>
      </c>
      <c r="AG152" s="27"/>
      <c r="AH152" s="27">
        <v>37.0</v>
      </c>
      <c r="AI152" s="27">
        <v>40.0</v>
      </c>
      <c r="AJ152" s="27">
        <v>2.0</v>
      </c>
      <c r="AK152" s="27" t="b">
        <v>1</v>
      </c>
      <c r="AL152" s="27">
        <v>100.0</v>
      </c>
      <c r="AM152" s="27" t="s">
        <v>389</v>
      </c>
      <c r="AN152" s="27" t="s">
        <v>405</v>
      </c>
      <c r="AO152" s="27"/>
    </row>
    <row r="153">
      <c r="A153" s="200">
        <v>44810.02510108796</v>
      </c>
      <c r="B153" s="19"/>
      <c r="C153" s="21"/>
      <c r="D153" s="62"/>
      <c r="E153" s="27"/>
      <c r="F153" s="27"/>
      <c r="G153" s="201"/>
      <c r="H153" s="27"/>
      <c r="I153" s="27"/>
      <c r="J153" s="33"/>
      <c r="K153" s="33"/>
      <c r="L153" s="66"/>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t="e">
        <v>#N/A</v>
      </c>
      <c r="AN153" s="27" t="e">
        <v>#N/A</v>
      </c>
      <c r="AO153" s="27"/>
    </row>
    <row r="154">
      <c r="A154" s="200">
        <v>44810.02510108796</v>
      </c>
      <c r="B154" s="19" t="s">
        <v>131</v>
      </c>
      <c r="C154" s="21" t="s">
        <v>206</v>
      </c>
      <c r="D154" s="62">
        <v>1.0</v>
      </c>
      <c r="E154" s="27">
        <v>0.0</v>
      </c>
      <c r="F154" s="27" t="s">
        <v>1081</v>
      </c>
      <c r="G154" s="201" t="s">
        <v>57</v>
      </c>
      <c r="H154" s="27" t="s">
        <v>116</v>
      </c>
      <c r="I154" s="27"/>
      <c r="J154" s="33">
        <v>-21.5</v>
      </c>
      <c r="K154" s="33">
        <v>-24.0</v>
      </c>
      <c r="L154" s="66">
        <v>52.0</v>
      </c>
      <c r="M154" s="27" t="s">
        <v>1082</v>
      </c>
      <c r="N154" s="27">
        <v>-24.5</v>
      </c>
      <c r="O154" s="27"/>
      <c r="P154" s="27">
        <v>-24.0</v>
      </c>
      <c r="Q154" s="27"/>
      <c r="R154" s="27">
        <v>-24.0</v>
      </c>
      <c r="S154" s="27"/>
      <c r="T154" s="27">
        <v>-24.0</v>
      </c>
      <c r="U154" s="27"/>
      <c r="V154" s="27">
        <v>-24.5</v>
      </c>
      <c r="W154" s="27"/>
      <c r="X154" s="27">
        <v>-24.5</v>
      </c>
      <c r="Y154" s="27"/>
      <c r="Z154" s="27">
        <v>-24.0</v>
      </c>
      <c r="AA154" s="27"/>
      <c r="AB154" s="27">
        <v>-24.0</v>
      </c>
      <c r="AC154" s="27"/>
      <c r="AD154" s="27">
        <v>-24.0</v>
      </c>
      <c r="AE154" s="27"/>
      <c r="AF154" s="27">
        <v>-24.0</v>
      </c>
      <c r="AG154" s="27"/>
      <c r="AH154" s="27">
        <v>41.0</v>
      </c>
      <c r="AI154" s="27">
        <v>10.0</v>
      </c>
      <c r="AJ154" s="27">
        <v>2.0</v>
      </c>
      <c r="AK154" s="27" t="b">
        <v>0</v>
      </c>
      <c r="AL154" s="27">
        <v>100.0</v>
      </c>
      <c r="AM154" s="27" t="s">
        <v>186</v>
      </c>
      <c r="AN154" s="27" t="s">
        <v>404</v>
      </c>
      <c r="AO154" s="27"/>
    </row>
    <row r="155">
      <c r="A155" s="200">
        <v>44810.02510108796</v>
      </c>
      <c r="B155" s="19" t="s">
        <v>131</v>
      </c>
      <c r="C155" s="21" t="s">
        <v>222</v>
      </c>
      <c r="D155" s="62">
        <v>1.0</v>
      </c>
      <c r="E155" s="27">
        <v>0.0</v>
      </c>
      <c r="F155" s="27" t="s">
        <v>1083</v>
      </c>
      <c r="G155" s="201" t="s">
        <v>57</v>
      </c>
      <c r="H155" s="27"/>
      <c r="I155" s="27"/>
      <c r="J155" s="33">
        <v>-28.0</v>
      </c>
      <c r="K155" s="33">
        <v>-28.0</v>
      </c>
      <c r="L155" s="66">
        <v>63.0</v>
      </c>
      <c r="M155" s="27" t="s">
        <v>1084</v>
      </c>
      <c r="N155" s="27">
        <v>-28.5</v>
      </c>
      <c r="O155" s="27"/>
      <c r="P155" s="27">
        <v>-28.5</v>
      </c>
      <c r="Q155" s="27"/>
      <c r="R155" s="27">
        <v>-28.5</v>
      </c>
      <c r="S155" s="27"/>
      <c r="T155" s="27">
        <v>-28.0</v>
      </c>
      <c r="U155" s="27"/>
      <c r="V155" s="27">
        <v>-28.5</v>
      </c>
      <c r="W155" s="27"/>
      <c r="X155" s="27">
        <v>-28.0</v>
      </c>
      <c r="Y155" s="27"/>
      <c r="Z155" s="27">
        <v>-28.0</v>
      </c>
      <c r="AA155" s="27"/>
      <c r="AB155" s="27">
        <v>-28.0</v>
      </c>
      <c r="AC155" s="27"/>
      <c r="AD155" s="27"/>
      <c r="AE155" s="27"/>
      <c r="AF155" s="27"/>
      <c r="AG155" s="27"/>
      <c r="AH155" s="27">
        <v>24.0</v>
      </c>
      <c r="AI155" s="27">
        <v>17.0</v>
      </c>
      <c r="AJ155" s="27">
        <v>2.0</v>
      </c>
      <c r="AK155" s="27" t="b">
        <v>0</v>
      </c>
      <c r="AL155" s="27">
        <v>100.0</v>
      </c>
      <c r="AM155" s="27" t="s">
        <v>191</v>
      </c>
      <c r="AN155" s="27" t="s">
        <v>404</v>
      </c>
      <c r="AO155" s="27"/>
    </row>
    <row r="156">
      <c r="A156" s="200">
        <v>44810.02510108796</v>
      </c>
      <c r="B156" s="19" t="s">
        <v>131</v>
      </c>
      <c r="C156" s="21" t="s">
        <v>199</v>
      </c>
      <c r="D156" s="62">
        <v>0.0</v>
      </c>
      <c r="E156" s="27">
        <v>1.0</v>
      </c>
      <c r="F156" s="27" t="s">
        <v>1085</v>
      </c>
      <c r="G156" s="201" t="s">
        <v>57</v>
      </c>
      <c r="H156" s="27" t="s">
        <v>166</v>
      </c>
      <c r="I156" s="27"/>
      <c r="J156" s="33">
        <v>41.0</v>
      </c>
      <c r="K156" s="33">
        <v>37.5</v>
      </c>
      <c r="L156" s="66">
        <v>64.5</v>
      </c>
      <c r="M156" s="27" t="s">
        <v>1069</v>
      </c>
      <c r="N156" s="27">
        <v>37.5</v>
      </c>
      <c r="O156" s="27"/>
      <c r="P156" s="27">
        <v>37.5</v>
      </c>
      <c r="Q156" s="27"/>
      <c r="R156" s="27">
        <v>37.5</v>
      </c>
      <c r="S156" s="27"/>
      <c r="T156" s="27">
        <v>37.5</v>
      </c>
      <c r="U156" s="27"/>
      <c r="V156" s="27">
        <v>37.5</v>
      </c>
      <c r="W156" s="27"/>
      <c r="X156" s="27">
        <v>37.5</v>
      </c>
      <c r="Y156" s="27"/>
      <c r="Z156" s="27">
        <v>38.0</v>
      </c>
      <c r="AA156" s="27"/>
      <c r="AB156" s="27">
        <v>37.5</v>
      </c>
      <c r="AC156" s="27"/>
      <c r="AD156" s="27">
        <v>37.5</v>
      </c>
      <c r="AE156" s="27"/>
      <c r="AF156" s="27">
        <v>37.5</v>
      </c>
      <c r="AG156" s="27"/>
      <c r="AH156" s="27">
        <v>10.0</v>
      </c>
      <c r="AI156" s="27">
        <v>52.0</v>
      </c>
      <c r="AJ156" s="27">
        <v>2.0</v>
      </c>
      <c r="AK156" s="27" t="b">
        <v>1</v>
      </c>
      <c r="AL156" s="27">
        <v>100.0</v>
      </c>
      <c r="AM156" s="27" t="s">
        <v>193</v>
      </c>
      <c r="AN156" s="27" t="s">
        <v>405</v>
      </c>
      <c r="AO156" s="27"/>
    </row>
    <row r="157">
      <c r="A157" s="200">
        <v>44810.02510108796</v>
      </c>
      <c r="B157" s="19" t="s">
        <v>131</v>
      </c>
      <c r="C157" s="21" t="s">
        <v>204</v>
      </c>
      <c r="D157" s="62">
        <v>1.0</v>
      </c>
      <c r="E157" s="27">
        <v>1.0</v>
      </c>
      <c r="F157" s="27" t="s">
        <v>1086</v>
      </c>
      <c r="G157" s="201" t="s">
        <v>57</v>
      </c>
      <c r="H157" s="27" t="s">
        <v>141</v>
      </c>
      <c r="I157" s="27"/>
      <c r="J157" s="33">
        <v>7.0</v>
      </c>
      <c r="K157" s="33">
        <v>9.5</v>
      </c>
      <c r="L157" s="66">
        <v>67.5</v>
      </c>
      <c r="M157" s="27" t="s">
        <v>1087</v>
      </c>
      <c r="N157" s="27">
        <v>9.5</v>
      </c>
      <c r="O157" s="27"/>
      <c r="P157" s="27">
        <v>9.5</v>
      </c>
      <c r="Q157" s="27"/>
      <c r="R157" s="27">
        <v>9.5</v>
      </c>
      <c r="S157" s="27"/>
      <c r="T157" s="27">
        <v>9.5</v>
      </c>
      <c r="U157" s="27"/>
      <c r="V157" s="27">
        <v>9.5</v>
      </c>
      <c r="W157" s="27"/>
      <c r="X157" s="27">
        <v>9.5</v>
      </c>
      <c r="Y157" s="27"/>
      <c r="Z157" s="27">
        <v>9.5</v>
      </c>
      <c r="AA157" s="27"/>
      <c r="AB157" s="27">
        <v>9.5</v>
      </c>
      <c r="AC157" s="27"/>
      <c r="AD157" s="27">
        <v>9.5</v>
      </c>
      <c r="AE157" s="27"/>
      <c r="AF157" s="27">
        <v>9.5</v>
      </c>
      <c r="AG157" s="27"/>
      <c r="AH157" s="27">
        <v>41.0</v>
      </c>
      <c r="AI157" s="27">
        <v>61.0</v>
      </c>
      <c r="AJ157" s="27">
        <v>2.0</v>
      </c>
      <c r="AK157" s="27" t="b">
        <v>1</v>
      </c>
      <c r="AL157" s="27">
        <v>100.0</v>
      </c>
      <c r="AM157" s="27" t="s">
        <v>189</v>
      </c>
      <c r="AN157" s="27" t="s">
        <v>405</v>
      </c>
      <c r="AO157" s="27"/>
    </row>
    <row r="158">
      <c r="A158" s="200">
        <v>44810.02510108796</v>
      </c>
      <c r="B158" s="19" t="s">
        <v>131</v>
      </c>
      <c r="C158" s="21" t="s">
        <v>208</v>
      </c>
      <c r="D158" s="62">
        <v>0.0</v>
      </c>
      <c r="E158" s="27">
        <v>1.0</v>
      </c>
      <c r="F158" s="27" t="s">
        <v>1088</v>
      </c>
      <c r="G158" s="201" t="s">
        <v>57</v>
      </c>
      <c r="H158" s="27" t="s">
        <v>59</v>
      </c>
      <c r="I158" s="27"/>
      <c r="J158" s="33">
        <v>19.5</v>
      </c>
      <c r="K158" s="33">
        <v>15.5</v>
      </c>
      <c r="L158" s="66">
        <v>54.5</v>
      </c>
      <c r="M158" s="27" t="s">
        <v>1089</v>
      </c>
      <c r="N158" s="27">
        <v>15.5</v>
      </c>
      <c r="O158" s="27"/>
      <c r="P158" s="27">
        <v>15.0</v>
      </c>
      <c r="Q158" s="27"/>
      <c r="R158" s="27">
        <v>15.5</v>
      </c>
      <c r="S158" s="27"/>
      <c r="T158" s="27">
        <v>15.0</v>
      </c>
      <c r="U158" s="27"/>
      <c r="V158" s="27">
        <v>15.0</v>
      </c>
      <c r="W158" s="27"/>
      <c r="X158" s="27">
        <v>19.5</v>
      </c>
      <c r="Y158" s="27"/>
      <c r="Z158" s="27">
        <v>15.0</v>
      </c>
      <c r="AA158" s="27"/>
      <c r="AB158" s="27">
        <v>15.5</v>
      </c>
      <c r="AC158" s="27"/>
      <c r="AD158" s="27">
        <v>15.5</v>
      </c>
      <c r="AE158" s="27"/>
      <c r="AF158" s="27"/>
      <c r="AG158" s="27"/>
      <c r="AH158" s="27">
        <v>13.0</v>
      </c>
      <c r="AI158" s="27">
        <v>37.0</v>
      </c>
      <c r="AJ158" s="27">
        <v>2.0</v>
      </c>
      <c r="AK158" s="27" t="b">
        <v>0</v>
      </c>
      <c r="AL158" s="27">
        <v>100.0</v>
      </c>
      <c r="AM158" s="27" t="s">
        <v>190</v>
      </c>
      <c r="AN158" s="27" t="s">
        <v>405</v>
      </c>
      <c r="AO158" s="27"/>
    </row>
    <row r="159">
      <c r="A159" s="200">
        <v>44810.02510108796</v>
      </c>
      <c r="B159" s="19" t="s">
        <v>131</v>
      </c>
      <c r="C159" s="21" t="s">
        <v>197</v>
      </c>
      <c r="D159" s="62">
        <v>1.0</v>
      </c>
      <c r="E159" s="27">
        <v>0.0</v>
      </c>
      <c r="F159" s="27" t="s">
        <v>1090</v>
      </c>
      <c r="G159" s="201" t="s">
        <v>57</v>
      </c>
      <c r="H159" s="27"/>
      <c r="I159" s="27"/>
      <c r="J159" s="33">
        <v>-33.0</v>
      </c>
      <c r="K159" s="33">
        <v>-36.5</v>
      </c>
      <c r="L159" s="66">
        <v>42.5</v>
      </c>
      <c r="M159" s="27" t="s">
        <v>1091</v>
      </c>
      <c r="N159" s="27">
        <v>-36.5</v>
      </c>
      <c r="O159" s="27"/>
      <c r="P159" s="27">
        <v>-36.5</v>
      </c>
      <c r="Q159" s="27"/>
      <c r="R159" s="27">
        <v>-37.0</v>
      </c>
      <c r="S159" s="27"/>
      <c r="T159" s="27">
        <v>-36.5</v>
      </c>
      <c r="U159" s="27"/>
      <c r="V159" s="27">
        <v>-36.5</v>
      </c>
      <c r="W159" s="27"/>
      <c r="X159" s="27">
        <v>-36.5</v>
      </c>
      <c r="Y159" s="27"/>
      <c r="Z159" s="27">
        <v>-36.5</v>
      </c>
      <c r="AA159" s="27"/>
      <c r="AB159" s="27">
        <v>-36.5</v>
      </c>
      <c r="AC159" s="27"/>
      <c r="AD159" s="27"/>
      <c r="AE159" s="27"/>
      <c r="AF159" s="27"/>
      <c r="AG159" s="27"/>
      <c r="AH159" s="27">
        <v>38.0</v>
      </c>
      <c r="AI159" s="27">
        <v>0.0</v>
      </c>
      <c r="AJ159" s="27">
        <v>2.0</v>
      </c>
      <c r="AK159" s="27" t="b">
        <v>0</v>
      </c>
      <c r="AL159" s="27">
        <v>100.0</v>
      </c>
      <c r="AM159" s="27" t="s">
        <v>188</v>
      </c>
      <c r="AN159" s="27" t="s">
        <v>404</v>
      </c>
      <c r="AO159" s="27"/>
    </row>
    <row r="160">
      <c r="A160" s="200">
        <v>44810.02510108796</v>
      </c>
      <c r="B160" s="19" t="s">
        <v>131</v>
      </c>
      <c r="C160" s="21" t="s">
        <v>210</v>
      </c>
      <c r="D160" s="62">
        <v>0.0</v>
      </c>
      <c r="E160" s="27">
        <v>1.0</v>
      </c>
      <c r="F160" s="27" t="s">
        <v>1093</v>
      </c>
      <c r="G160" s="201" t="s">
        <v>57</v>
      </c>
      <c r="H160" s="27" t="s">
        <v>141</v>
      </c>
      <c r="I160" s="27"/>
      <c r="J160" s="33"/>
      <c r="K160" s="33"/>
      <c r="L160" s="66"/>
      <c r="M160" s="27"/>
      <c r="N160" s="27"/>
      <c r="O160" s="27"/>
      <c r="P160" s="27"/>
      <c r="Q160" s="27"/>
      <c r="R160" s="27"/>
      <c r="S160" s="27"/>
      <c r="T160" s="27"/>
      <c r="U160" s="27"/>
      <c r="V160" s="27"/>
      <c r="W160" s="27"/>
      <c r="X160" s="27"/>
      <c r="Y160" s="27"/>
      <c r="Z160" s="27"/>
      <c r="AA160" s="27"/>
      <c r="AB160" s="27"/>
      <c r="AC160" s="27"/>
      <c r="AD160" s="27"/>
      <c r="AE160" s="27"/>
      <c r="AF160" s="27"/>
      <c r="AG160" s="27"/>
      <c r="AH160" s="27">
        <v>21.0</v>
      </c>
      <c r="AI160" s="27">
        <v>50.0</v>
      </c>
      <c r="AJ160" s="27">
        <v>2.0</v>
      </c>
      <c r="AK160" s="27" t="b">
        <v>0</v>
      </c>
      <c r="AL160" s="27">
        <v>100.0</v>
      </c>
      <c r="AM160" s="27" t="s">
        <v>389</v>
      </c>
      <c r="AN160" s="27" t="s">
        <v>405</v>
      </c>
      <c r="AO160" s="27"/>
    </row>
    <row r="161">
      <c r="A161" s="200">
        <v>44810.02510108796</v>
      </c>
      <c r="B161" s="19" t="s">
        <v>131</v>
      </c>
      <c r="C161" s="21" t="s">
        <v>219</v>
      </c>
      <c r="D161" s="62">
        <v>0.0</v>
      </c>
      <c r="E161" s="27">
        <v>1.0</v>
      </c>
      <c r="F161" s="27" t="s">
        <v>1094</v>
      </c>
      <c r="G161" s="201" t="s">
        <v>57</v>
      </c>
      <c r="H161" s="27" t="s">
        <v>103</v>
      </c>
      <c r="I161" s="27"/>
      <c r="J161" s="33">
        <v>-11.5</v>
      </c>
      <c r="K161" s="33">
        <v>-6.0</v>
      </c>
      <c r="L161" s="66">
        <v>45.5</v>
      </c>
      <c r="M161" s="27" t="s">
        <v>1095</v>
      </c>
      <c r="N161" s="27">
        <v>-6.5</v>
      </c>
      <c r="O161" s="27"/>
      <c r="P161" s="27">
        <v>-6.0</v>
      </c>
      <c r="Q161" s="27"/>
      <c r="R161" s="27">
        <v>-6.0</v>
      </c>
      <c r="S161" s="27"/>
      <c r="T161" s="27">
        <v>-6.0</v>
      </c>
      <c r="U161" s="27"/>
      <c r="V161" s="27">
        <v>-6.0</v>
      </c>
      <c r="W161" s="27"/>
      <c r="X161" s="27">
        <v>-6.5</v>
      </c>
      <c r="Y161" s="27"/>
      <c r="Z161" s="27">
        <v>-6.0</v>
      </c>
      <c r="AA161" s="27"/>
      <c r="AB161" s="27">
        <v>-5.0</v>
      </c>
      <c r="AC161" s="27"/>
      <c r="AD161" s="27">
        <v>-6.0</v>
      </c>
      <c r="AE161" s="27"/>
      <c r="AF161" s="27">
        <v>-6.0</v>
      </c>
      <c r="AG161" s="27"/>
      <c r="AH161" s="27">
        <v>20.0</v>
      </c>
      <c r="AI161" s="27">
        <v>38.0</v>
      </c>
      <c r="AJ161" s="27">
        <v>2.0</v>
      </c>
      <c r="AK161" s="27" t="b">
        <v>1</v>
      </c>
      <c r="AL161" s="27">
        <v>100.0</v>
      </c>
      <c r="AM161" s="27" t="s">
        <v>129</v>
      </c>
      <c r="AN161" s="27" t="s">
        <v>405</v>
      </c>
      <c r="AO161" s="27"/>
    </row>
    <row r="162">
      <c r="A162" s="200">
        <v>44810.02510108796</v>
      </c>
      <c r="B162" s="19" t="s">
        <v>131</v>
      </c>
      <c r="C162" s="21" t="s">
        <v>217</v>
      </c>
      <c r="D162" s="62">
        <v>1.0</v>
      </c>
      <c r="E162" s="27">
        <v>0.0</v>
      </c>
      <c r="F162" s="27" t="s">
        <v>1097</v>
      </c>
      <c r="G162" s="201" t="s">
        <v>57</v>
      </c>
      <c r="H162" s="27"/>
      <c r="I162" s="27"/>
      <c r="J162" s="33">
        <v>-28.0</v>
      </c>
      <c r="K162" s="33">
        <v>-31.5</v>
      </c>
      <c r="L162" s="66">
        <v>62.0</v>
      </c>
      <c r="M162" s="27" t="s">
        <v>1098</v>
      </c>
      <c r="N162" s="27">
        <v>-30.5</v>
      </c>
      <c r="O162" s="27"/>
      <c r="P162" s="27">
        <v>-30.5</v>
      </c>
      <c r="Q162" s="27"/>
      <c r="R162" s="27">
        <v>-30.5</v>
      </c>
      <c r="S162" s="27"/>
      <c r="T162" s="27">
        <v>-31.5</v>
      </c>
      <c r="U162" s="27"/>
      <c r="V162" s="27">
        <v>-30.5</v>
      </c>
      <c r="W162" s="27"/>
      <c r="X162" s="27">
        <v>-30.5</v>
      </c>
      <c r="Y162" s="27"/>
      <c r="Z162" s="27">
        <v>-31.5</v>
      </c>
      <c r="AA162" s="27"/>
      <c r="AB162" s="27">
        <v>-31.5</v>
      </c>
      <c r="AC162" s="27"/>
      <c r="AD162" s="27"/>
      <c r="AE162" s="27"/>
      <c r="AF162" s="27"/>
      <c r="AG162" s="27"/>
      <c r="AH162" s="27">
        <v>56.0</v>
      </c>
      <c r="AI162" s="27">
        <v>10.0</v>
      </c>
      <c r="AJ162" s="27">
        <v>2.0</v>
      </c>
      <c r="AK162" s="27" t="b">
        <v>0</v>
      </c>
      <c r="AL162" s="27">
        <v>100.0</v>
      </c>
      <c r="AM162" s="27" t="s">
        <v>187</v>
      </c>
      <c r="AN162" s="27" t="s">
        <v>404</v>
      </c>
      <c r="AO162" s="27"/>
    </row>
    <row r="163">
      <c r="A163" s="200">
        <v>44810.02510108796</v>
      </c>
      <c r="B163" s="19" t="s">
        <v>131</v>
      </c>
      <c r="C163" s="21" t="s">
        <v>214</v>
      </c>
      <c r="D163" s="62">
        <v>1.0</v>
      </c>
      <c r="E163" s="27">
        <v>0.0</v>
      </c>
      <c r="F163" s="27" t="s">
        <v>1099</v>
      </c>
      <c r="G163" s="201" t="s">
        <v>57</v>
      </c>
      <c r="H163" s="27" t="s">
        <v>116</v>
      </c>
      <c r="I163" s="27"/>
      <c r="J163" s="33">
        <v>-30.5</v>
      </c>
      <c r="K163" s="33">
        <v>-35.0</v>
      </c>
      <c r="L163" s="66">
        <v>68.0</v>
      </c>
      <c r="M163" s="27" t="s">
        <v>1069</v>
      </c>
      <c r="N163" s="27">
        <v>-35.5</v>
      </c>
      <c r="O163" s="27"/>
      <c r="P163" s="27">
        <v>-35.0</v>
      </c>
      <c r="Q163" s="27"/>
      <c r="R163" s="27">
        <v>-35.0</v>
      </c>
      <c r="S163" s="27"/>
      <c r="T163" s="27">
        <v>-35.0</v>
      </c>
      <c r="U163" s="27"/>
      <c r="V163" s="27">
        <v>-35.0</v>
      </c>
      <c r="W163" s="27"/>
      <c r="X163" s="27">
        <v>-35.0</v>
      </c>
      <c r="Y163" s="27"/>
      <c r="Z163" s="27">
        <v>-32.5</v>
      </c>
      <c r="AA163" s="27"/>
      <c r="AB163" s="27">
        <v>-35.0</v>
      </c>
      <c r="AC163" s="27"/>
      <c r="AD163" s="27">
        <v>-35.0</v>
      </c>
      <c r="AE163" s="27"/>
      <c r="AF163" s="27">
        <v>-35.0</v>
      </c>
      <c r="AG163" s="27"/>
      <c r="AH163" s="27">
        <v>59.0</v>
      </c>
      <c r="AI163" s="27">
        <v>10.0</v>
      </c>
      <c r="AJ163" s="27">
        <v>2.0</v>
      </c>
      <c r="AK163" s="27" t="b">
        <v>1</v>
      </c>
      <c r="AL163" s="27">
        <v>100.0</v>
      </c>
      <c r="AM163" s="27" t="s">
        <v>192</v>
      </c>
      <c r="AN163" s="27" t="s">
        <v>404</v>
      </c>
      <c r="AO163" s="27"/>
    </row>
    <row r="164">
      <c r="A164" s="200">
        <v>44810.02510108796</v>
      </c>
      <c r="B164" s="19"/>
      <c r="C164" s="21"/>
      <c r="D164" s="62"/>
      <c r="E164" s="27"/>
      <c r="F164" s="27"/>
      <c r="G164" s="201"/>
      <c r="H164" s="27"/>
      <c r="I164" s="27"/>
      <c r="J164" s="33"/>
      <c r="K164" s="33"/>
      <c r="L164" s="66"/>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t="e">
        <v>#N/A</v>
      </c>
      <c r="AN164" s="27" t="e">
        <v>#N/A</v>
      </c>
      <c r="AO164" s="27"/>
    </row>
    <row r="165">
      <c r="A165" s="200">
        <v>44810.02510108796</v>
      </c>
      <c r="B165" s="19" t="s">
        <v>178</v>
      </c>
      <c r="C165" s="21" t="s">
        <v>271</v>
      </c>
      <c r="D165" s="62">
        <v>2.0</v>
      </c>
      <c r="E165" s="27">
        <v>0.0</v>
      </c>
      <c r="F165" s="27" t="s">
        <v>1101</v>
      </c>
      <c r="G165" s="201" t="s">
        <v>57</v>
      </c>
      <c r="H165" s="27" t="s">
        <v>166</v>
      </c>
      <c r="I165" s="27"/>
      <c r="J165" s="33">
        <v>7.0</v>
      </c>
      <c r="K165" s="33">
        <v>-16.0</v>
      </c>
      <c r="L165" s="66">
        <v>68.0</v>
      </c>
      <c r="M165" s="27" t="s">
        <v>1102</v>
      </c>
      <c r="N165" s="27">
        <v>-16.5</v>
      </c>
      <c r="O165" s="27"/>
      <c r="P165" s="27">
        <v>-16.5</v>
      </c>
      <c r="Q165" s="27"/>
      <c r="R165" s="27">
        <v>-16.5</v>
      </c>
      <c r="S165" s="27"/>
      <c r="T165" s="27">
        <v>-16.0</v>
      </c>
      <c r="U165" s="27"/>
      <c r="V165" s="27">
        <v>-16.5</v>
      </c>
      <c r="W165" s="27"/>
      <c r="X165" s="27">
        <v>-16.5</v>
      </c>
      <c r="Y165" s="27"/>
      <c r="Z165" s="27">
        <v>-16.5</v>
      </c>
      <c r="AA165" s="27"/>
      <c r="AB165" s="27">
        <v>-16.0</v>
      </c>
      <c r="AC165" s="27"/>
      <c r="AD165" s="27">
        <v>-16.0</v>
      </c>
      <c r="AE165" s="27"/>
      <c r="AF165" s="27">
        <v>-16.0</v>
      </c>
      <c r="AG165" s="27"/>
      <c r="AH165" s="27">
        <v>87.0</v>
      </c>
      <c r="AI165" s="27">
        <v>44.0</v>
      </c>
      <c r="AJ165" s="27">
        <v>2.0</v>
      </c>
      <c r="AK165" s="27" t="b">
        <v>0</v>
      </c>
      <c r="AL165" s="27">
        <v>100.0</v>
      </c>
      <c r="AM165" s="27" t="s">
        <v>189</v>
      </c>
      <c r="AN165" s="27" t="s">
        <v>405</v>
      </c>
      <c r="AO165" s="27"/>
    </row>
    <row r="166">
      <c r="A166" s="200">
        <v>44810.02510108796</v>
      </c>
      <c r="B166" s="19" t="s">
        <v>178</v>
      </c>
      <c r="C166" s="21" t="s">
        <v>269</v>
      </c>
      <c r="D166" s="62">
        <v>1.0</v>
      </c>
      <c r="E166" s="27">
        <v>0.0</v>
      </c>
      <c r="F166" s="27" t="s">
        <v>1103</v>
      </c>
      <c r="G166" s="201" t="s">
        <v>57</v>
      </c>
      <c r="H166" s="27" t="s">
        <v>109</v>
      </c>
      <c r="I166" s="27"/>
      <c r="J166" s="33"/>
      <c r="K166" s="33"/>
      <c r="L166" s="66"/>
      <c r="M166" s="27"/>
      <c r="N166" s="27"/>
      <c r="O166" s="27"/>
      <c r="P166" s="27"/>
      <c r="Q166" s="27"/>
      <c r="R166" s="27"/>
      <c r="S166" s="27"/>
      <c r="T166" s="27"/>
      <c r="U166" s="27"/>
      <c r="V166" s="27"/>
      <c r="W166" s="27"/>
      <c r="X166" s="27"/>
      <c r="Y166" s="27"/>
      <c r="Z166" s="27"/>
      <c r="AA166" s="27"/>
      <c r="AB166" s="27"/>
      <c r="AC166" s="27"/>
      <c r="AD166" s="27"/>
      <c r="AE166" s="27"/>
      <c r="AF166" s="27"/>
      <c r="AG166" s="27"/>
      <c r="AH166" s="27">
        <v>49.0</v>
      </c>
      <c r="AI166" s="27">
        <v>23.0</v>
      </c>
      <c r="AJ166" s="27">
        <v>2.0</v>
      </c>
      <c r="AK166" s="27" t="b">
        <v>0</v>
      </c>
      <c r="AL166" s="27">
        <v>100.0</v>
      </c>
      <c r="AM166" s="27" t="s">
        <v>192</v>
      </c>
      <c r="AN166" s="27" t="s">
        <v>404</v>
      </c>
      <c r="AO166" s="27"/>
    </row>
    <row r="167">
      <c r="A167" s="200">
        <v>44810.02510108796</v>
      </c>
      <c r="B167" s="19" t="s">
        <v>178</v>
      </c>
      <c r="C167" s="21" t="s">
        <v>272</v>
      </c>
      <c r="D167" s="62">
        <v>1.0</v>
      </c>
      <c r="E167" s="27">
        <v>0.0</v>
      </c>
      <c r="F167" s="27" t="s">
        <v>1104</v>
      </c>
      <c r="G167" s="201" t="s">
        <v>57</v>
      </c>
      <c r="H167" s="27"/>
      <c r="I167" s="27"/>
      <c r="J167" s="33">
        <v>-34.5</v>
      </c>
      <c r="K167" s="33">
        <v>-38.0</v>
      </c>
      <c r="L167" s="66">
        <v>61.0</v>
      </c>
      <c r="M167" s="27" t="s">
        <v>1105</v>
      </c>
      <c r="N167" s="27">
        <v>-38.5</v>
      </c>
      <c r="O167" s="27"/>
      <c r="P167" s="27">
        <v>-38.0</v>
      </c>
      <c r="Q167" s="27"/>
      <c r="R167" s="27">
        <v>-38.0</v>
      </c>
      <c r="S167" s="27"/>
      <c r="T167" s="27">
        <v>-38.0</v>
      </c>
      <c r="U167" s="27"/>
      <c r="V167" s="27">
        <v>-38.5</v>
      </c>
      <c r="W167" s="27"/>
      <c r="X167" s="27">
        <v>-38.0</v>
      </c>
      <c r="Y167" s="27"/>
      <c r="Z167" s="27">
        <v>-38.0</v>
      </c>
      <c r="AA167" s="27"/>
      <c r="AB167" s="27">
        <v>-38.0</v>
      </c>
      <c r="AC167" s="27"/>
      <c r="AD167" s="27"/>
      <c r="AE167" s="27"/>
      <c r="AF167" s="27"/>
      <c r="AG167" s="27"/>
      <c r="AH167" s="27">
        <v>63.0</v>
      </c>
      <c r="AI167" s="27">
        <v>10.0</v>
      </c>
      <c r="AJ167" s="27">
        <v>2.0</v>
      </c>
      <c r="AK167" s="27" t="b">
        <v>0</v>
      </c>
      <c r="AL167" s="27">
        <v>100.0</v>
      </c>
      <c r="AM167" s="27" t="s">
        <v>187</v>
      </c>
      <c r="AN167" s="27" t="s">
        <v>404</v>
      </c>
      <c r="AO167" s="27"/>
    </row>
    <row r="168">
      <c r="A168" s="200">
        <v>44810.02510108796</v>
      </c>
      <c r="B168" s="19" t="s">
        <v>178</v>
      </c>
      <c r="C168" s="21" t="s">
        <v>263</v>
      </c>
      <c r="D168" s="62">
        <v>1.0</v>
      </c>
      <c r="E168" s="27">
        <v>0.0</v>
      </c>
      <c r="F168" s="27" t="s">
        <v>1106</v>
      </c>
      <c r="G168" s="201" t="s">
        <v>57</v>
      </c>
      <c r="H168" s="27"/>
      <c r="I168" s="27"/>
      <c r="J168" s="33">
        <v>-10.0</v>
      </c>
      <c r="K168" s="33">
        <v>-6.0</v>
      </c>
      <c r="L168" s="66">
        <v>41.5</v>
      </c>
      <c r="M168" s="27" t="s">
        <v>1107</v>
      </c>
      <c r="N168" s="27">
        <v>-5.5</v>
      </c>
      <c r="O168" s="27"/>
      <c r="P168" s="27">
        <v>-6.0</v>
      </c>
      <c r="Q168" s="27"/>
      <c r="R168" s="27">
        <v>-6.0</v>
      </c>
      <c r="S168" s="27"/>
      <c r="T168" s="27">
        <v>-6.0</v>
      </c>
      <c r="U168" s="27"/>
      <c r="V168" s="27">
        <v>-6.0</v>
      </c>
      <c r="W168" s="27"/>
      <c r="X168" s="27">
        <v>-6.0</v>
      </c>
      <c r="Y168" s="27"/>
      <c r="Z168" s="27">
        <v>-6.0</v>
      </c>
      <c r="AA168" s="27"/>
      <c r="AB168" s="27">
        <v>-6.0</v>
      </c>
      <c r="AC168" s="27"/>
      <c r="AD168" s="27"/>
      <c r="AE168" s="27"/>
      <c r="AF168" s="27"/>
      <c r="AG168" s="27"/>
      <c r="AH168" s="27">
        <v>41.0</v>
      </c>
      <c r="AI168" s="27">
        <v>0.0</v>
      </c>
      <c r="AJ168" s="27">
        <v>2.0</v>
      </c>
      <c r="AK168" s="27" t="b">
        <v>0</v>
      </c>
      <c r="AL168" s="27">
        <v>100.0</v>
      </c>
      <c r="AM168" s="27" t="s">
        <v>129</v>
      </c>
      <c r="AN168" s="27" t="s">
        <v>405</v>
      </c>
      <c r="AO168" s="27"/>
    </row>
    <row r="169">
      <c r="A169" s="200">
        <v>44810.02510108796</v>
      </c>
      <c r="B169" s="19" t="s">
        <v>178</v>
      </c>
      <c r="C169" s="21" t="s">
        <v>267</v>
      </c>
      <c r="D169" s="62">
        <v>1.0</v>
      </c>
      <c r="E169" s="27">
        <v>0.0</v>
      </c>
      <c r="F169" s="27" t="s">
        <v>1108</v>
      </c>
      <c r="G169" s="201" t="s">
        <v>57</v>
      </c>
      <c r="H169" s="27" t="s">
        <v>148</v>
      </c>
      <c r="I169" s="27"/>
      <c r="J169" s="33">
        <v>-31.0</v>
      </c>
      <c r="K169" s="33">
        <v>-28.5</v>
      </c>
      <c r="L169" s="66">
        <v>58.5</v>
      </c>
      <c r="M169" s="27" t="s">
        <v>1109</v>
      </c>
      <c r="N169" s="27">
        <v>-28.5</v>
      </c>
      <c r="O169" s="27"/>
      <c r="P169" s="27">
        <v>-28.5</v>
      </c>
      <c r="Q169" s="27"/>
      <c r="R169" s="27">
        <v>-28.5</v>
      </c>
      <c r="S169" s="27"/>
      <c r="T169" s="27">
        <v>-28.5</v>
      </c>
      <c r="U169" s="27"/>
      <c r="V169" s="27">
        <v>-28.5</v>
      </c>
      <c r="W169" s="27"/>
      <c r="X169" s="27">
        <v>-28.5</v>
      </c>
      <c r="Y169" s="27"/>
      <c r="Z169" s="27">
        <v>-28.5</v>
      </c>
      <c r="AA169" s="27"/>
      <c r="AB169" s="27">
        <v>-28.0</v>
      </c>
      <c r="AC169" s="27"/>
      <c r="AD169" s="27">
        <v>-28.5</v>
      </c>
      <c r="AE169" s="27"/>
      <c r="AF169" s="27">
        <v>-28.5</v>
      </c>
      <c r="AG169" s="27"/>
      <c r="AH169" s="27">
        <v>42.0</v>
      </c>
      <c r="AI169" s="27">
        <v>10.0</v>
      </c>
      <c r="AJ169" s="27">
        <v>2.0</v>
      </c>
      <c r="AK169" s="27" t="b">
        <v>0</v>
      </c>
      <c r="AL169" s="27">
        <v>100.0</v>
      </c>
      <c r="AM169" s="27" t="s">
        <v>389</v>
      </c>
      <c r="AN169" s="27" t="s">
        <v>405</v>
      </c>
      <c r="AO169" s="27"/>
    </row>
    <row r="170">
      <c r="A170" s="200">
        <v>44810.02510108796</v>
      </c>
      <c r="B170" s="19" t="s">
        <v>178</v>
      </c>
      <c r="C170" s="21" t="s">
        <v>257</v>
      </c>
      <c r="D170" s="62">
        <v>1.0</v>
      </c>
      <c r="E170" s="27">
        <v>0.0</v>
      </c>
      <c r="F170" s="27" t="s">
        <v>1110</v>
      </c>
      <c r="G170" s="201" t="s">
        <v>57</v>
      </c>
      <c r="H170" s="27"/>
      <c r="I170" s="27"/>
      <c r="J170" s="33">
        <v>-39.0</v>
      </c>
      <c r="K170" s="33">
        <v>-38.5</v>
      </c>
      <c r="L170" s="66">
        <v>53.5</v>
      </c>
      <c r="M170" s="27" t="s">
        <v>1111</v>
      </c>
      <c r="N170" s="27">
        <v>-39.5</v>
      </c>
      <c r="O170" s="27"/>
      <c r="P170" s="27">
        <v>-39.5</v>
      </c>
      <c r="Q170" s="27"/>
      <c r="R170" s="27">
        <v>-39.0</v>
      </c>
      <c r="S170" s="27"/>
      <c r="T170" s="27">
        <v>-38.5</v>
      </c>
      <c r="U170" s="27"/>
      <c r="V170" s="27">
        <v>-39.5</v>
      </c>
      <c r="W170" s="27"/>
      <c r="X170" s="27">
        <v>-39.5</v>
      </c>
      <c r="Y170" s="27"/>
      <c r="Z170" s="27">
        <v>-38.5</v>
      </c>
      <c r="AA170" s="27"/>
      <c r="AB170" s="27">
        <v>-38.5</v>
      </c>
      <c r="AC170" s="27"/>
      <c r="AD170" s="27"/>
      <c r="AE170" s="27"/>
      <c r="AF170" s="27"/>
      <c r="AG170" s="27"/>
      <c r="AH170" s="27">
        <v>59.0</v>
      </c>
      <c r="AI170" s="27">
        <v>7.0</v>
      </c>
      <c r="AJ170" s="27">
        <v>2.0</v>
      </c>
      <c r="AK170" s="27" t="b">
        <v>0</v>
      </c>
      <c r="AL170" s="27">
        <v>100.0</v>
      </c>
      <c r="AM170" s="27" t="s">
        <v>193</v>
      </c>
      <c r="AN170" s="27" t="s">
        <v>405</v>
      </c>
      <c r="AO170" s="27"/>
    </row>
    <row r="171">
      <c r="A171" s="200">
        <v>44810.02510108796</v>
      </c>
      <c r="B171" s="19" t="s">
        <v>178</v>
      </c>
      <c r="C171" s="21" t="s">
        <v>261</v>
      </c>
      <c r="D171" s="62">
        <v>1.0</v>
      </c>
      <c r="E171" s="27">
        <v>0.0</v>
      </c>
      <c r="F171" s="27" t="s">
        <v>1112</v>
      </c>
      <c r="G171" s="201" t="s">
        <v>57</v>
      </c>
      <c r="H171" s="27" t="s">
        <v>148</v>
      </c>
      <c r="I171" s="27"/>
      <c r="J171" s="33">
        <v>-35.0</v>
      </c>
      <c r="K171" s="33">
        <v>-24.0</v>
      </c>
      <c r="L171" s="66">
        <v>56.5</v>
      </c>
      <c r="M171" s="27" t="s">
        <v>1113</v>
      </c>
      <c r="N171" s="27">
        <v>-23.5</v>
      </c>
      <c r="O171" s="27"/>
      <c r="P171" s="27">
        <v>-24.0</v>
      </c>
      <c r="Q171" s="27"/>
      <c r="R171" s="27">
        <v>-24.0</v>
      </c>
      <c r="S171" s="27"/>
      <c r="T171" s="27">
        <v>-24.0</v>
      </c>
      <c r="U171" s="27"/>
      <c r="V171" s="27">
        <v>-24.0</v>
      </c>
      <c r="W171" s="27"/>
      <c r="X171" s="27">
        <v>-24.0</v>
      </c>
      <c r="Y171" s="27"/>
      <c r="Z171" s="27">
        <v>-25.5</v>
      </c>
      <c r="AA171" s="27"/>
      <c r="AB171" s="27">
        <v>-24.5</v>
      </c>
      <c r="AC171" s="27"/>
      <c r="AD171" s="27">
        <v>-24.0</v>
      </c>
      <c r="AE171" s="27"/>
      <c r="AF171" s="27">
        <v>-24.0</v>
      </c>
      <c r="AG171" s="27"/>
      <c r="AH171" s="27">
        <v>45.0</v>
      </c>
      <c r="AI171" s="27">
        <v>17.0</v>
      </c>
      <c r="AJ171" s="27">
        <v>2.0</v>
      </c>
      <c r="AK171" s="27" t="b">
        <v>0</v>
      </c>
      <c r="AL171" s="27">
        <v>100.0</v>
      </c>
      <c r="AM171" s="27" t="s">
        <v>191</v>
      </c>
      <c r="AN171" s="27" t="s">
        <v>404</v>
      </c>
      <c r="AO171" s="27"/>
    </row>
    <row r="172">
      <c r="A172" s="200">
        <v>44810.02510108796</v>
      </c>
      <c r="B172" s="19" t="s">
        <v>178</v>
      </c>
      <c r="C172" s="21" t="s">
        <v>240</v>
      </c>
      <c r="D172" s="62">
        <v>1.0</v>
      </c>
      <c r="E172" s="27">
        <v>0.0</v>
      </c>
      <c r="F172" s="27" t="s">
        <v>1114</v>
      </c>
      <c r="G172" s="201" t="s">
        <v>57</v>
      </c>
      <c r="H172" s="27" t="s">
        <v>109</v>
      </c>
      <c r="I172" s="27"/>
      <c r="J172" s="33">
        <v>-38.5</v>
      </c>
      <c r="K172" s="33">
        <v>-36.5</v>
      </c>
      <c r="L172" s="66">
        <v>52.5</v>
      </c>
      <c r="M172" s="27" t="s">
        <v>1115</v>
      </c>
      <c r="N172" s="27">
        <v>-36.5</v>
      </c>
      <c r="O172" s="27"/>
      <c r="P172" s="27">
        <v>-36.5</v>
      </c>
      <c r="Q172" s="27"/>
      <c r="R172" s="27">
        <v>-36.5</v>
      </c>
      <c r="S172" s="27"/>
      <c r="T172" s="27">
        <v>-36.5</v>
      </c>
      <c r="U172" s="27"/>
      <c r="V172" s="27">
        <v>-36.5</v>
      </c>
      <c r="W172" s="27"/>
      <c r="X172" s="27">
        <v>-36.5</v>
      </c>
      <c r="Y172" s="27"/>
      <c r="Z172" s="27">
        <v>-36.5</v>
      </c>
      <c r="AA172" s="27"/>
      <c r="AB172" s="27">
        <v>-37.0</v>
      </c>
      <c r="AC172" s="27"/>
      <c r="AD172" s="27">
        <v>-36.5</v>
      </c>
      <c r="AE172" s="27"/>
      <c r="AF172" s="27">
        <v>-36.5</v>
      </c>
      <c r="AG172" s="27"/>
      <c r="AH172" s="27">
        <v>38.0</v>
      </c>
      <c r="AI172" s="27">
        <v>0.0</v>
      </c>
      <c r="AJ172" s="27">
        <v>2.0</v>
      </c>
      <c r="AK172" s="27" t="b">
        <v>1</v>
      </c>
      <c r="AL172" s="27">
        <v>100.0</v>
      </c>
      <c r="AM172" s="27" t="s">
        <v>188</v>
      </c>
      <c r="AN172" s="27" t="s">
        <v>404</v>
      </c>
      <c r="AO172" s="27"/>
    </row>
    <row r="173">
      <c r="A173" s="200">
        <v>44810.02510108796</v>
      </c>
      <c r="B173" s="19" t="s">
        <v>178</v>
      </c>
      <c r="C173" s="21" t="s">
        <v>259</v>
      </c>
      <c r="D173" s="62">
        <v>1.0</v>
      </c>
      <c r="E173" s="27">
        <v>0.0</v>
      </c>
      <c r="F173" s="27" t="s">
        <v>1116</v>
      </c>
      <c r="G173" s="201" t="s">
        <v>57</v>
      </c>
      <c r="H173" s="27"/>
      <c r="I173" s="27"/>
      <c r="J173" s="33">
        <v>-34.5</v>
      </c>
      <c r="K173" s="33">
        <v>-32.0</v>
      </c>
      <c r="L173" s="66">
        <v>67.5</v>
      </c>
      <c r="M173" s="27" t="s">
        <v>1091</v>
      </c>
      <c r="N173" s="27">
        <v>-32.0</v>
      </c>
      <c r="O173" s="27"/>
      <c r="P173" s="27">
        <v>-32.0</v>
      </c>
      <c r="Q173" s="27"/>
      <c r="R173" s="27">
        <v>-32.0</v>
      </c>
      <c r="S173" s="27"/>
      <c r="T173" s="27"/>
      <c r="U173" s="27"/>
      <c r="V173" s="27"/>
      <c r="W173" s="27"/>
      <c r="X173" s="27"/>
      <c r="Y173" s="27"/>
      <c r="Z173" s="27"/>
      <c r="AA173" s="27"/>
      <c r="AB173" s="27"/>
      <c r="AC173" s="27"/>
      <c r="AD173" s="27"/>
      <c r="AE173" s="27"/>
      <c r="AF173" s="27"/>
      <c r="AG173" s="27"/>
      <c r="AH173" s="27">
        <v>44.0</v>
      </c>
      <c r="AI173" s="27">
        <v>10.0</v>
      </c>
      <c r="AJ173" s="27">
        <v>2.0</v>
      </c>
      <c r="AK173" s="27" t="b">
        <v>0</v>
      </c>
      <c r="AL173" s="27">
        <v>100.0</v>
      </c>
      <c r="AM173" s="27" t="s">
        <v>186</v>
      </c>
      <c r="AN173" s="27" t="s">
        <v>404</v>
      </c>
      <c r="AO173" s="27"/>
    </row>
    <row r="174">
      <c r="A174" s="200">
        <v>44810.02510108796</v>
      </c>
      <c r="B174" s="19" t="s">
        <v>178</v>
      </c>
      <c r="C174" s="21" t="s">
        <v>265</v>
      </c>
      <c r="D174" s="62">
        <v>1.0</v>
      </c>
      <c r="E174" s="27">
        <v>0.0</v>
      </c>
      <c r="F174" s="27" t="s">
        <v>1117</v>
      </c>
      <c r="G174" s="201" t="s">
        <v>57</v>
      </c>
      <c r="H174" s="27"/>
      <c r="I174" s="27"/>
      <c r="J174" s="33">
        <v>-45.5</v>
      </c>
      <c r="K174" s="33">
        <v>-45.5</v>
      </c>
      <c r="L174" s="66"/>
      <c r="M174" s="27" t="s">
        <v>1091</v>
      </c>
      <c r="N174" s="27"/>
      <c r="O174" s="27"/>
      <c r="P174" s="27"/>
      <c r="Q174" s="27"/>
      <c r="R174" s="27"/>
      <c r="S174" s="27"/>
      <c r="T174" s="27"/>
      <c r="U174" s="27"/>
      <c r="V174" s="27"/>
      <c r="W174" s="27"/>
      <c r="X174" s="27"/>
      <c r="Y174" s="27"/>
      <c r="Z174" s="27"/>
      <c r="AA174" s="27"/>
      <c r="AB174" s="27"/>
      <c r="AC174" s="27"/>
      <c r="AD174" s="27"/>
      <c r="AE174" s="27"/>
      <c r="AF174" s="27"/>
      <c r="AG174" s="27"/>
      <c r="AH174" s="27">
        <v>37.0</v>
      </c>
      <c r="AI174" s="27">
        <v>0.0</v>
      </c>
      <c r="AJ174" s="27">
        <v>2.0</v>
      </c>
      <c r="AK174" s="27" t="b">
        <v>0</v>
      </c>
      <c r="AL174" s="27">
        <v>100.0</v>
      </c>
      <c r="AM174" s="27" t="s">
        <v>190</v>
      </c>
      <c r="AN174" s="27" t="s">
        <v>405</v>
      </c>
      <c r="AO174" s="27"/>
    </row>
    <row r="175">
      <c r="A175" s="200">
        <v>44810.02510108796</v>
      </c>
      <c r="B175" s="19"/>
      <c r="C175" s="21"/>
      <c r="D175" s="62"/>
      <c r="E175" s="27"/>
      <c r="F175" s="27"/>
      <c r="G175" s="201"/>
      <c r="H175" s="27"/>
      <c r="I175" s="27"/>
      <c r="J175" s="33"/>
      <c r="K175" s="33"/>
      <c r="L175" s="66"/>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t="e">
        <v>#N/A</v>
      </c>
      <c r="AN175" s="27" t="e">
        <v>#N/A</v>
      </c>
      <c r="AO175" s="27"/>
    </row>
    <row r="176">
      <c r="A176" s="200">
        <v>44810.02510108796</v>
      </c>
      <c r="B176" s="19" t="s">
        <v>59</v>
      </c>
      <c r="C176" s="21" t="s">
        <v>279</v>
      </c>
      <c r="D176" s="62">
        <v>1.0</v>
      </c>
      <c r="E176" s="27">
        <v>0.0</v>
      </c>
      <c r="F176" s="27"/>
      <c r="G176" s="201"/>
      <c r="H176" s="27"/>
      <c r="I176" s="27" t="s">
        <v>93</v>
      </c>
      <c r="J176" s="33">
        <v>-21.5</v>
      </c>
      <c r="K176" s="33">
        <v>-24.5</v>
      </c>
      <c r="L176" s="66">
        <v>50.5</v>
      </c>
      <c r="M176" s="27">
        <v>-0.8</v>
      </c>
      <c r="N176" s="27">
        <v>-23.5</v>
      </c>
      <c r="O176" s="27"/>
      <c r="P176" s="27">
        <v>-24.5</v>
      </c>
      <c r="Q176" s="27"/>
      <c r="R176" s="27">
        <v>-24.0</v>
      </c>
      <c r="S176" s="27"/>
      <c r="T176" s="27">
        <v>-24.5</v>
      </c>
      <c r="U176" s="27"/>
      <c r="V176" s="27">
        <v>-24.5</v>
      </c>
      <c r="W176" s="27"/>
      <c r="X176" s="27">
        <v>-24.5</v>
      </c>
      <c r="Y176" s="27"/>
      <c r="Z176" s="27"/>
      <c r="AA176" s="27"/>
      <c r="AB176" s="27"/>
      <c r="AC176" s="27"/>
      <c r="AD176" s="27"/>
      <c r="AE176" s="27"/>
      <c r="AF176" s="27"/>
      <c r="AG176" s="27"/>
      <c r="AH176" s="27">
        <v>52.0</v>
      </c>
      <c r="AI176" s="27">
        <v>21.0</v>
      </c>
      <c r="AJ176" s="27">
        <v>0.0</v>
      </c>
      <c r="AK176" s="27" t="b">
        <v>0</v>
      </c>
      <c r="AL176" s="27">
        <v>59.0</v>
      </c>
      <c r="AM176" s="27" t="s">
        <v>129</v>
      </c>
      <c r="AN176" s="27" t="s">
        <v>405</v>
      </c>
      <c r="AO176" s="27"/>
    </row>
    <row r="177">
      <c r="A177" s="200">
        <v>44810.02510108796</v>
      </c>
      <c r="B177" s="19" t="s">
        <v>59</v>
      </c>
      <c r="C177" s="21" t="s">
        <v>274</v>
      </c>
      <c r="D177" s="62">
        <v>1.0</v>
      </c>
      <c r="E177" s="27">
        <v>0.0</v>
      </c>
      <c r="F177" s="27" t="s">
        <v>1118</v>
      </c>
      <c r="G177" s="201" t="s">
        <v>57</v>
      </c>
      <c r="H177" s="27" t="s">
        <v>148</v>
      </c>
      <c r="I177" s="27"/>
      <c r="J177" s="33">
        <v>-3.0</v>
      </c>
      <c r="K177" s="33">
        <v>-2.0</v>
      </c>
      <c r="L177" s="66">
        <v>55.5</v>
      </c>
      <c r="M177" s="27" t="s">
        <v>1119</v>
      </c>
      <c r="N177" s="27">
        <v>-2.5</v>
      </c>
      <c r="O177" s="27"/>
      <c r="P177" s="27">
        <v>-1.5</v>
      </c>
      <c r="Q177" s="27"/>
      <c r="R177" s="27">
        <v>-1.5</v>
      </c>
      <c r="S177" s="27"/>
      <c r="T177" s="27">
        <v>-2.0</v>
      </c>
      <c r="U177" s="27"/>
      <c r="V177" s="27">
        <v>-1.5</v>
      </c>
      <c r="W177" s="27"/>
      <c r="X177" s="27">
        <v>-1.5</v>
      </c>
      <c r="Y177" s="27"/>
      <c r="Z177" s="27">
        <v>-1.5</v>
      </c>
      <c r="AA177" s="27"/>
      <c r="AB177" s="27">
        <v>-2.0</v>
      </c>
      <c r="AC177" s="27"/>
      <c r="AD177" s="27">
        <v>-2.0</v>
      </c>
      <c r="AE177" s="27"/>
      <c r="AF177" s="27">
        <v>-2.0</v>
      </c>
      <c r="AG177" s="27"/>
      <c r="AH177" s="27">
        <v>34.0</v>
      </c>
      <c r="AI177" s="27">
        <v>17.0</v>
      </c>
      <c r="AJ177" s="27">
        <v>2.0</v>
      </c>
      <c r="AK177" s="27" t="b">
        <v>1</v>
      </c>
      <c r="AL177" s="27">
        <v>100.0</v>
      </c>
      <c r="AM177" s="27" t="s">
        <v>191</v>
      </c>
      <c r="AN177" s="27" t="s">
        <v>404</v>
      </c>
      <c r="AO177" s="27"/>
    </row>
    <row r="178">
      <c r="A178" s="200">
        <v>44810.02510108796</v>
      </c>
      <c r="B178" s="19" t="s">
        <v>59</v>
      </c>
      <c r="C178" s="21" t="s">
        <v>283</v>
      </c>
      <c r="D178" s="62">
        <v>1.0</v>
      </c>
      <c r="E178" s="27">
        <v>0.0</v>
      </c>
      <c r="F178" s="27" t="s">
        <v>1088</v>
      </c>
      <c r="G178" s="201" t="s">
        <v>57</v>
      </c>
      <c r="H178" s="27" t="s">
        <v>131</v>
      </c>
      <c r="I178" s="27"/>
      <c r="J178" s="33">
        <v>-19.5</v>
      </c>
      <c r="K178" s="33">
        <v>-15.5</v>
      </c>
      <c r="L178" s="66">
        <v>54.5</v>
      </c>
      <c r="M178" s="27" t="s">
        <v>1089</v>
      </c>
      <c r="N178" s="27">
        <v>-15.5</v>
      </c>
      <c r="O178" s="27"/>
      <c r="P178" s="27">
        <v>-15.0</v>
      </c>
      <c r="Q178" s="27"/>
      <c r="R178" s="27">
        <v>-15.5</v>
      </c>
      <c r="S178" s="27"/>
      <c r="T178" s="27">
        <v>-15.0</v>
      </c>
      <c r="U178" s="27"/>
      <c r="V178" s="27">
        <v>-15.0</v>
      </c>
      <c r="W178" s="27"/>
      <c r="X178" s="27">
        <v>-19.5</v>
      </c>
      <c r="Y178" s="27"/>
      <c r="Z178" s="27">
        <v>-15.0</v>
      </c>
      <c r="AA178" s="27"/>
      <c r="AB178" s="27">
        <v>-15.5</v>
      </c>
      <c r="AC178" s="27"/>
      <c r="AD178" s="27">
        <v>-15.5</v>
      </c>
      <c r="AE178" s="27"/>
      <c r="AF178" s="27"/>
      <c r="AG178" s="27"/>
      <c r="AH178" s="27">
        <v>37.0</v>
      </c>
      <c r="AI178" s="27">
        <v>13.0</v>
      </c>
      <c r="AJ178" s="27">
        <v>2.0</v>
      </c>
      <c r="AK178" s="27" t="b">
        <v>1</v>
      </c>
      <c r="AL178" s="27">
        <v>100.0</v>
      </c>
      <c r="AM178" s="27" t="s">
        <v>192</v>
      </c>
      <c r="AN178" s="27" t="s">
        <v>404</v>
      </c>
      <c r="AO178" s="27"/>
    </row>
    <row r="179">
      <c r="A179" s="200">
        <v>44810.02510108796</v>
      </c>
      <c r="B179" s="19" t="s">
        <v>59</v>
      </c>
      <c r="C179" s="21" t="s">
        <v>291</v>
      </c>
      <c r="D179" s="62">
        <v>1.0</v>
      </c>
      <c r="E179" s="27">
        <v>0.0</v>
      </c>
      <c r="F179" s="27" t="s">
        <v>1120</v>
      </c>
      <c r="G179" s="201" t="s">
        <v>57</v>
      </c>
      <c r="H179" s="27"/>
      <c r="I179" s="27"/>
      <c r="J179" s="33">
        <v>-25.0</v>
      </c>
      <c r="K179" s="33">
        <v>-27.5</v>
      </c>
      <c r="L179" s="66">
        <v>50.5</v>
      </c>
      <c r="M179" s="27" t="s">
        <v>1121</v>
      </c>
      <c r="N179" s="27">
        <v>-26.5</v>
      </c>
      <c r="O179" s="27"/>
      <c r="P179" s="27">
        <v>-27.0</v>
      </c>
      <c r="Q179" s="27"/>
      <c r="R179" s="27">
        <v>-27.5</v>
      </c>
      <c r="S179" s="27"/>
      <c r="T179" s="27">
        <v>-27.5</v>
      </c>
      <c r="U179" s="27"/>
      <c r="V179" s="27">
        <v>-27.0</v>
      </c>
      <c r="W179" s="27"/>
      <c r="X179" s="27">
        <v>-27.0</v>
      </c>
      <c r="Y179" s="27"/>
      <c r="Z179" s="27">
        <v>-27.5</v>
      </c>
      <c r="AA179" s="27"/>
      <c r="AB179" s="27">
        <v>-27.5</v>
      </c>
      <c r="AC179" s="27"/>
      <c r="AD179" s="27"/>
      <c r="AE179" s="27"/>
      <c r="AF179" s="27"/>
      <c r="AG179" s="27"/>
      <c r="AH179" s="27">
        <v>34.0</v>
      </c>
      <c r="AI179" s="27">
        <v>0.0</v>
      </c>
      <c r="AJ179" s="27">
        <v>2.0</v>
      </c>
      <c r="AK179" s="27" t="b">
        <v>0</v>
      </c>
      <c r="AL179" s="27">
        <v>100.0</v>
      </c>
      <c r="AM179" s="27" t="s">
        <v>187</v>
      </c>
      <c r="AN179" s="27" t="s">
        <v>404</v>
      </c>
      <c r="AO179" s="27"/>
    </row>
    <row r="180">
      <c r="A180" s="200">
        <v>44810.02510108796</v>
      </c>
      <c r="B180" s="19" t="s">
        <v>59</v>
      </c>
      <c r="C180" s="21" t="s">
        <v>284</v>
      </c>
      <c r="D180" s="62">
        <v>1.0</v>
      </c>
      <c r="E180" s="27">
        <v>0.0</v>
      </c>
      <c r="F180" s="27" t="s">
        <v>1122</v>
      </c>
      <c r="G180" s="201" t="s">
        <v>57</v>
      </c>
      <c r="H180" s="27" t="s">
        <v>116</v>
      </c>
      <c r="I180" s="27"/>
      <c r="J180" s="33"/>
      <c r="K180" s="33"/>
      <c r="L180" s="66"/>
      <c r="M180" s="27"/>
      <c r="N180" s="27"/>
      <c r="O180" s="27"/>
      <c r="P180" s="27"/>
      <c r="Q180" s="27"/>
      <c r="R180" s="27"/>
      <c r="S180" s="27"/>
      <c r="T180" s="27"/>
      <c r="U180" s="27"/>
      <c r="V180" s="27"/>
      <c r="W180" s="27"/>
      <c r="X180" s="27"/>
      <c r="Y180" s="27"/>
      <c r="Z180" s="27"/>
      <c r="AA180" s="27"/>
      <c r="AB180" s="27"/>
      <c r="AC180" s="27"/>
      <c r="AD180" s="27"/>
      <c r="AE180" s="27"/>
      <c r="AF180" s="27"/>
      <c r="AG180" s="27"/>
      <c r="AH180" s="27">
        <v>51.0</v>
      </c>
      <c r="AI180" s="27">
        <v>7.0</v>
      </c>
      <c r="AJ180" s="27">
        <v>2.0</v>
      </c>
      <c r="AK180" s="27" t="b">
        <v>1</v>
      </c>
      <c r="AL180" s="27">
        <v>100.0</v>
      </c>
      <c r="AM180" s="27" t="s">
        <v>188</v>
      </c>
      <c r="AN180" s="27" t="s">
        <v>404</v>
      </c>
      <c r="AO180" s="27"/>
    </row>
    <row r="181">
      <c r="A181" s="200">
        <v>44810.02510108796</v>
      </c>
      <c r="B181" s="19" t="s">
        <v>59</v>
      </c>
      <c r="C181" s="21" t="s">
        <v>277</v>
      </c>
      <c r="D181" s="62">
        <v>0.0</v>
      </c>
      <c r="E181" s="27">
        <v>1.0</v>
      </c>
      <c r="F181" s="27" t="s">
        <v>1123</v>
      </c>
      <c r="G181" s="201" t="s">
        <v>57</v>
      </c>
      <c r="H181" s="27" t="s">
        <v>109</v>
      </c>
      <c r="I181" s="27"/>
      <c r="J181" s="33">
        <v>3.5</v>
      </c>
      <c r="K181" s="33">
        <v>-2.0</v>
      </c>
      <c r="L181" s="66">
        <v>57.0</v>
      </c>
      <c r="M181" s="27" t="s">
        <v>1124</v>
      </c>
      <c r="N181" s="27">
        <v>-1.5</v>
      </c>
      <c r="O181" s="27"/>
      <c r="P181" s="27">
        <v>-1.5</v>
      </c>
      <c r="Q181" s="27"/>
      <c r="R181" s="27">
        <v>-2.0</v>
      </c>
      <c r="S181" s="27"/>
      <c r="T181" s="27">
        <v>-2.0</v>
      </c>
      <c r="U181" s="27"/>
      <c r="V181" s="27">
        <v>-1.5</v>
      </c>
      <c r="W181" s="27"/>
      <c r="X181" s="27">
        <v>-1.5</v>
      </c>
      <c r="Y181" s="27"/>
      <c r="Z181" s="27">
        <v>-1.5</v>
      </c>
      <c r="AA181" s="27"/>
      <c r="AB181" s="27">
        <v>-1.0</v>
      </c>
      <c r="AC181" s="27"/>
      <c r="AD181" s="27">
        <v>-2.0</v>
      </c>
      <c r="AE181" s="27"/>
      <c r="AF181" s="27">
        <v>-2.0</v>
      </c>
      <c r="AG181" s="27"/>
      <c r="AH181" s="27">
        <v>61.0</v>
      </c>
      <c r="AI181" s="27">
        <v>63.0</v>
      </c>
      <c r="AJ181" s="27">
        <v>2.0</v>
      </c>
      <c r="AK181" s="27" t="b">
        <v>0</v>
      </c>
      <c r="AL181" s="27">
        <v>100.0</v>
      </c>
      <c r="AM181" s="27" t="s">
        <v>193</v>
      </c>
      <c r="AN181" s="27" t="s">
        <v>405</v>
      </c>
      <c r="AO181" s="27"/>
    </row>
    <row r="182">
      <c r="A182" s="200">
        <v>44810.02510108796</v>
      </c>
      <c r="B182" s="19" t="s">
        <v>59</v>
      </c>
      <c r="C182" s="21" t="s">
        <v>289</v>
      </c>
      <c r="D182" s="62">
        <v>0.0</v>
      </c>
      <c r="E182" s="27">
        <v>1.0</v>
      </c>
      <c r="F182" s="27" t="s">
        <v>1125</v>
      </c>
      <c r="G182" s="201" t="s">
        <v>57</v>
      </c>
      <c r="H182" s="27" t="s">
        <v>141</v>
      </c>
      <c r="I182" s="27"/>
      <c r="J182" s="33">
        <v>-7.5</v>
      </c>
      <c r="K182" s="33">
        <v>-7.5</v>
      </c>
      <c r="L182" s="66">
        <v>48.0</v>
      </c>
      <c r="M182" s="27" t="s">
        <v>1126</v>
      </c>
      <c r="N182" s="27">
        <v>-7.5</v>
      </c>
      <c r="O182" s="27"/>
      <c r="P182" s="27">
        <v>-7.5</v>
      </c>
      <c r="Q182" s="27"/>
      <c r="R182" s="27">
        <v>-7.5</v>
      </c>
      <c r="S182" s="27"/>
      <c r="T182" s="27">
        <v>-7.0</v>
      </c>
      <c r="U182" s="27"/>
      <c r="V182" s="27"/>
      <c r="W182" s="27"/>
      <c r="X182" s="27"/>
      <c r="Y182" s="27"/>
      <c r="Z182" s="27"/>
      <c r="AA182" s="27"/>
      <c r="AB182" s="27"/>
      <c r="AC182" s="27"/>
      <c r="AD182" s="27"/>
      <c r="AE182" s="27"/>
      <c r="AF182" s="27"/>
      <c r="AG182" s="27"/>
      <c r="AH182" s="27">
        <v>21.0</v>
      </c>
      <c r="AI182" s="27">
        <v>22.0</v>
      </c>
      <c r="AJ182" s="27">
        <v>2.0</v>
      </c>
      <c r="AK182" s="27" t="b">
        <v>0</v>
      </c>
      <c r="AL182" s="27">
        <v>100.0</v>
      </c>
      <c r="AM182" s="27" t="s">
        <v>186</v>
      </c>
      <c r="AN182" s="27" t="s">
        <v>404</v>
      </c>
      <c r="AO182" s="27"/>
    </row>
    <row r="183">
      <c r="A183" s="200">
        <v>44810.02510108796</v>
      </c>
      <c r="B183" s="19" t="s">
        <v>59</v>
      </c>
      <c r="C183" s="21" t="s">
        <v>281</v>
      </c>
      <c r="D183" s="62">
        <v>1.0</v>
      </c>
      <c r="E183" s="27">
        <v>1.0</v>
      </c>
      <c r="F183" s="27" t="s">
        <v>1127</v>
      </c>
      <c r="G183" s="201" t="s">
        <v>57</v>
      </c>
      <c r="H183" s="27"/>
      <c r="I183" s="27"/>
      <c r="J183" s="33">
        <v>-19.5</v>
      </c>
      <c r="K183" s="33">
        <v>-16.0</v>
      </c>
      <c r="L183" s="66">
        <v>52.5</v>
      </c>
      <c r="M183" s="27" t="s">
        <v>1128</v>
      </c>
      <c r="N183" s="27">
        <v>-16.0</v>
      </c>
      <c r="O183" s="27"/>
      <c r="P183" s="27">
        <v>-16.5</v>
      </c>
      <c r="Q183" s="27"/>
      <c r="R183" s="27">
        <v>-16.0</v>
      </c>
      <c r="S183" s="27"/>
      <c r="T183" s="27">
        <v>-16.0</v>
      </c>
      <c r="U183" s="27"/>
      <c r="V183" s="27"/>
      <c r="W183" s="27"/>
      <c r="X183" s="27"/>
      <c r="Y183" s="27"/>
      <c r="Z183" s="27"/>
      <c r="AA183" s="27"/>
      <c r="AB183" s="27"/>
      <c r="AC183" s="27"/>
      <c r="AD183" s="27"/>
      <c r="AE183" s="27"/>
      <c r="AF183" s="27"/>
      <c r="AG183" s="27"/>
      <c r="AH183" s="27">
        <v>48.0</v>
      </c>
      <c r="AI183" s="27">
        <v>34.0</v>
      </c>
      <c r="AJ183" s="27">
        <v>2.0</v>
      </c>
      <c r="AK183" s="27" t="b">
        <v>0</v>
      </c>
      <c r="AL183" s="27">
        <v>100.0</v>
      </c>
      <c r="AM183" s="27" t="s">
        <v>389</v>
      </c>
      <c r="AN183" s="27" t="s">
        <v>405</v>
      </c>
      <c r="AO183" s="27"/>
    </row>
    <row r="184">
      <c r="A184" s="200">
        <v>44810.02510108796</v>
      </c>
      <c r="B184" s="19" t="s">
        <v>59</v>
      </c>
      <c r="C184" s="21" t="s">
        <v>285</v>
      </c>
      <c r="D184" s="62">
        <v>0.0</v>
      </c>
      <c r="E184" s="27">
        <v>1.0</v>
      </c>
      <c r="F184" s="27" t="s">
        <v>1129</v>
      </c>
      <c r="G184" s="201" t="s">
        <v>57</v>
      </c>
      <c r="H184" s="27" t="s">
        <v>116</v>
      </c>
      <c r="I184" s="27"/>
      <c r="J184" s="33">
        <v>18.0</v>
      </c>
      <c r="K184" s="33">
        <v>21.5</v>
      </c>
      <c r="L184" s="66">
        <v>60.0</v>
      </c>
      <c r="M184" s="27" t="s">
        <v>1130</v>
      </c>
      <c r="N184" s="27">
        <v>21.5</v>
      </c>
      <c r="O184" s="27"/>
      <c r="P184" s="27">
        <v>21.5</v>
      </c>
      <c r="Q184" s="27"/>
      <c r="R184" s="27">
        <v>21.0</v>
      </c>
      <c r="S184" s="27"/>
      <c r="T184" s="27">
        <v>21.5</v>
      </c>
      <c r="U184" s="27"/>
      <c r="V184" s="27">
        <v>21.5</v>
      </c>
      <c r="W184" s="27"/>
      <c r="X184" s="27">
        <v>22.0</v>
      </c>
      <c r="Y184" s="27"/>
      <c r="Z184" s="27">
        <v>21.0</v>
      </c>
      <c r="AA184" s="27"/>
      <c r="AB184" s="27">
        <v>21.0</v>
      </c>
      <c r="AC184" s="27"/>
      <c r="AD184" s="27">
        <v>21.5</v>
      </c>
      <c r="AE184" s="27"/>
      <c r="AF184" s="27">
        <v>21.5</v>
      </c>
      <c r="AG184" s="27"/>
      <c r="AH184" s="27">
        <v>44.0</v>
      </c>
      <c r="AI184" s="27">
        <v>58.0</v>
      </c>
      <c r="AJ184" s="27">
        <v>2.0</v>
      </c>
      <c r="AK184" s="27" t="b">
        <v>0</v>
      </c>
      <c r="AL184" s="27">
        <v>100.0</v>
      </c>
      <c r="AM184" s="27" t="s">
        <v>190</v>
      </c>
      <c r="AN184" s="27" t="s">
        <v>405</v>
      </c>
      <c r="AO184" s="27"/>
    </row>
    <row r="185">
      <c r="A185" s="200">
        <v>44810.02510108796</v>
      </c>
      <c r="B185" s="19" t="s">
        <v>59</v>
      </c>
      <c r="C185" s="21" t="s">
        <v>275</v>
      </c>
      <c r="D185" s="62">
        <v>1.0</v>
      </c>
      <c r="E185" s="27">
        <v>0.0</v>
      </c>
      <c r="F185" s="27" t="s">
        <v>1131</v>
      </c>
      <c r="G185" s="201" t="s">
        <v>183</v>
      </c>
      <c r="H185" s="27"/>
      <c r="I185" s="27"/>
      <c r="J185" s="33">
        <v>-14.0</v>
      </c>
      <c r="K185" s="33">
        <v>-16.5</v>
      </c>
      <c r="L185" s="66">
        <v>53.5</v>
      </c>
      <c r="M185" s="27" t="s">
        <v>1132</v>
      </c>
      <c r="N185" s="27">
        <v>-16.5</v>
      </c>
      <c r="O185" s="27"/>
      <c r="P185" s="27">
        <v>-16.5</v>
      </c>
      <c r="Q185" s="27"/>
      <c r="R185" s="27">
        <v>-16.5</v>
      </c>
      <c r="S185" s="27"/>
      <c r="T185" s="27"/>
      <c r="U185" s="27"/>
      <c r="V185" s="27"/>
      <c r="W185" s="27"/>
      <c r="X185" s="27"/>
      <c r="Y185" s="27"/>
      <c r="Z185" s="27"/>
      <c r="AA185" s="27"/>
      <c r="AB185" s="27"/>
      <c r="AC185" s="27"/>
      <c r="AD185" s="27"/>
      <c r="AE185" s="27"/>
      <c r="AF185" s="27"/>
      <c r="AG185" s="27"/>
      <c r="AH185" s="27">
        <v>38.0</v>
      </c>
      <c r="AI185" s="27">
        <v>37.0</v>
      </c>
      <c r="AJ185" s="27">
        <v>2.0</v>
      </c>
      <c r="AK185" s="27" t="b">
        <v>0</v>
      </c>
      <c r="AL185" s="27">
        <v>100.0</v>
      </c>
      <c r="AM185" s="27" t="s">
        <v>189</v>
      </c>
      <c r="AN185" s="27" t="s">
        <v>405</v>
      </c>
      <c r="AO185" s="27"/>
    </row>
    <row r="186">
      <c r="A186" s="200">
        <v>44810.02510108796</v>
      </c>
      <c r="B186" s="19"/>
      <c r="C186" s="21"/>
      <c r="D186" s="62"/>
      <c r="E186" s="27"/>
      <c r="F186" s="27"/>
      <c r="G186" s="201"/>
      <c r="H186" s="27"/>
      <c r="I186" s="27"/>
      <c r="J186" s="33"/>
      <c r="K186" s="33"/>
      <c r="L186" s="66"/>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t="e">
        <v>#N/A</v>
      </c>
      <c r="AN186" s="27" t="e">
        <v>#N/A</v>
      </c>
      <c r="AO186" s="27"/>
    </row>
    <row r="187">
      <c r="A187" s="200">
        <v>44810.02510108796</v>
      </c>
      <c r="B187" s="19" t="s">
        <v>138</v>
      </c>
      <c r="C187" s="21" t="s">
        <v>308</v>
      </c>
      <c r="D187" s="62">
        <v>1.0</v>
      </c>
      <c r="E187" s="27">
        <v>0.0</v>
      </c>
      <c r="F187" s="27" t="s">
        <v>1133</v>
      </c>
      <c r="G187" s="201" t="s">
        <v>57</v>
      </c>
      <c r="H187" s="27" t="s">
        <v>141</v>
      </c>
      <c r="I187" s="27"/>
      <c r="J187" s="33">
        <v>3.0</v>
      </c>
      <c r="K187" s="33">
        <v>5.5</v>
      </c>
      <c r="L187" s="66">
        <v>55.5</v>
      </c>
      <c r="M187" s="27" t="s">
        <v>1134</v>
      </c>
      <c r="N187" s="27">
        <v>5.5</v>
      </c>
      <c r="O187" s="27"/>
      <c r="P187" s="27">
        <v>6.0</v>
      </c>
      <c r="Q187" s="27"/>
      <c r="R187" s="27">
        <v>5.5</v>
      </c>
      <c r="S187" s="27"/>
      <c r="T187" s="27">
        <v>6.0</v>
      </c>
      <c r="U187" s="27"/>
      <c r="V187" s="27">
        <v>5.5</v>
      </c>
      <c r="W187" s="27"/>
      <c r="X187" s="27">
        <v>5.5</v>
      </c>
      <c r="Y187" s="27"/>
      <c r="Z187" s="27">
        <v>5.5</v>
      </c>
      <c r="AA187" s="27"/>
      <c r="AB187" s="27">
        <v>5.5</v>
      </c>
      <c r="AC187" s="27"/>
      <c r="AD187" s="27">
        <v>6.0</v>
      </c>
      <c r="AE187" s="27"/>
      <c r="AF187" s="27">
        <v>6.0</v>
      </c>
      <c r="AG187" s="27"/>
      <c r="AH187" s="27">
        <v>31.0</v>
      </c>
      <c r="AI187" s="27">
        <v>7.0</v>
      </c>
      <c r="AJ187" s="27">
        <v>2.0</v>
      </c>
      <c r="AK187" s="27" t="b">
        <v>1</v>
      </c>
      <c r="AL187" s="27">
        <v>100.0</v>
      </c>
      <c r="AM187" s="27" t="s">
        <v>186</v>
      </c>
      <c r="AN187" s="27" t="s">
        <v>404</v>
      </c>
      <c r="AO187" s="27"/>
    </row>
    <row r="188">
      <c r="A188" s="200">
        <v>44810.02510108796</v>
      </c>
      <c r="B188" s="19" t="s">
        <v>138</v>
      </c>
      <c r="C188" s="21" t="s">
        <v>311</v>
      </c>
      <c r="D188" s="62">
        <v>1.0</v>
      </c>
      <c r="E188" s="27">
        <v>0.0</v>
      </c>
      <c r="F188" s="27" t="s">
        <v>1135</v>
      </c>
      <c r="G188" s="201" t="s">
        <v>57</v>
      </c>
      <c r="H188" s="27"/>
      <c r="I188" s="27"/>
      <c r="J188" s="33">
        <v>-41.0</v>
      </c>
      <c r="K188" s="33">
        <v>-40.0</v>
      </c>
      <c r="L188" s="66">
        <v>52.0</v>
      </c>
      <c r="M188" s="27" t="s">
        <v>1091</v>
      </c>
      <c r="N188" s="27">
        <v>-39.5</v>
      </c>
      <c r="O188" s="27"/>
      <c r="P188" s="27">
        <v>-40.0</v>
      </c>
      <c r="Q188" s="27"/>
      <c r="R188" s="27">
        <v>-40.5</v>
      </c>
      <c r="S188" s="27"/>
      <c r="T188" s="27">
        <v>-40.0</v>
      </c>
      <c r="U188" s="27"/>
      <c r="V188" s="27">
        <v>-40.0</v>
      </c>
      <c r="W188" s="27"/>
      <c r="X188" s="27">
        <v>-39.5</v>
      </c>
      <c r="Y188" s="27"/>
      <c r="Z188" s="27">
        <v>-40.0</v>
      </c>
      <c r="AA188" s="27"/>
      <c r="AB188" s="27">
        <v>-40.0</v>
      </c>
      <c r="AC188" s="27"/>
      <c r="AD188" s="27"/>
      <c r="AE188" s="27"/>
      <c r="AF188" s="27"/>
      <c r="AG188" s="27"/>
      <c r="AH188" s="27">
        <v>41.0</v>
      </c>
      <c r="AI188" s="27">
        <v>10.0</v>
      </c>
      <c r="AJ188" s="27">
        <v>2.0</v>
      </c>
      <c r="AK188" s="27" t="b">
        <v>0</v>
      </c>
      <c r="AL188" s="27">
        <v>100.0</v>
      </c>
      <c r="AM188" s="27" t="s">
        <v>191</v>
      </c>
      <c r="AN188" s="27" t="s">
        <v>404</v>
      </c>
      <c r="AO188" s="27"/>
    </row>
    <row r="189">
      <c r="A189" s="200">
        <v>44810.02510108796</v>
      </c>
      <c r="B189" s="19" t="s">
        <v>138</v>
      </c>
      <c r="C189" s="21" t="s">
        <v>309</v>
      </c>
      <c r="D189" s="62">
        <v>2.0</v>
      </c>
      <c r="E189" s="27">
        <v>0.0</v>
      </c>
      <c r="F189" s="27" t="s">
        <v>1136</v>
      </c>
      <c r="G189" s="201" t="s">
        <v>57</v>
      </c>
      <c r="H189" s="27"/>
      <c r="I189" s="27"/>
      <c r="J189" s="33">
        <v>-19.0</v>
      </c>
      <c r="K189" s="33">
        <v>-18.5</v>
      </c>
      <c r="L189" s="66">
        <v>51.0</v>
      </c>
      <c r="M189" s="27" t="s">
        <v>1137</v>
      </c>
      <c r="N189" s="27">
        <v>-18.5</v>
      </c>
      <c r="O189" s="27"/>
      <c r="P189" s="27">
        <v>-18.5</v>
      </c>
      <c r="Q189" s="27"/>
      <c r="R189" s="27">
        <v>-18.0</v>
      </c>
      <c r="S189" s="27"/>
      <c r="T189" s="27">
        <v>-18.5</v>
      </c>
      <c r="U189" s="27"/>
      <c r="V189" s="27">
        <v>-18.5</v>
      </c>
      <c r="W189" s="27"/>
      <c r="X189" s="27">
        <v>-18.5</v>
      </c>
      <c r="Y189" s="27"/>
      <c r="Z189" s="27">
        <v>-18.5</v>
      </c>
      <c r="AA189" s="27"/>
      <c r="AB189" s="27">
        <v>-18.5</v>
      </c>
      <c r="AC189" s="27"/>
      <c r="AD189" s="27"/>
      <c r="AE189" s="27"/>
      <c r="AF189" s="27"/>
      <c r="AG189" s="27"/>
      <c r="AH189" s="27">
        <v>105.0</v>
      </c>
      <c r="AI189" s="27">
        <v>41.0</v>
      </c>
      <c r="AJ189" s="27">
        <v>2.0</v>
      </c>
      <c r="AK189" s="27" t="b">
        <v>0</v>
      </c>
      <c r="AL189" s="27">
        <v>100.0</v>
      </c>
      <c r="AM189" s="27" t="s">
        <v>187</v>
      </c>
      <c r="AN189" s="27" t="s">
        <v>404</v>
      </c>
      <c r="AO189" s="27"/>
    </row>
    <row r="190">
      <c r="A190" s="200">
        <v>44810.02510108796</v>
      </c>
      <c r="B190" s="19" t="s">
        <v>138</v>
      </c>
      <c r="C190" s="21" t="s">
        <v>304</v>
      </c>
      <c r="D190" s="62">
        <v>1.0</v>
      </c>
      <c r="E190" s="27">
        <v>1.0</v>
      </c>
      <c r="F190" s="27" t="s">
        <v>1138</v>
      </c>
      <c r="G190" s="201" t="s">
        <v>57</v>
      </c>
      <c r="H190" s="27" t="s">
        <v>141</v>
      </c>
      <c r="I190" s="27"/>
      <c r="J190" s="33">
        <v>31.0</v>
      </c>
      <c r="K190" s="33">
        <v>42.0</v>
      </c>
      <c r="L190" s="66">
        <v>63.0</v>
      </c>
      <c r="M190" s="27" t="s">
        <v>1139</v>
      </c>
      <c r="N190" s="27">
        <v>41.5</v>
      </c>
      <c r="O190" s="27"/>
      <c r="P190" s="27">
        <v>42.0</v>
      </c>
      <c r="Q190" s="27"/>
      <c r="R190" s="27">
        <v>42.0</v>
      </c>
      <c r="S190" s="27"/>
      <c r="T190" s="27">
        <v>42.0</v>
      </c>
      <c r="U190" s="27"/>
      <c r="V190" s="27">
        <v>42.0</v>
      </c>
      <c r="W190" s="27"/>
      <c r="X190" s="27">
        <v>42.0</v>
      </c>
      <c r="Y190" s="27"/>
      <c r="Z190" s="27">
        <v>42.0</v>
      </c>
      <c r="AA190" s="27"/>
      <c r="AB190" s="27">
        <v>42.0</v>
      </c>
      <c r="AC190" s="27"/>
      <c r="AD190" s="27">
        <v>42.0</v>
      </c>
      <c r="AE190" s="27"/>
      <c r="AF190" s="27">
        <v>41.5</v>
      </c>
      <c r="AG190" s="27"/>
      <c r="AH190" s="27">
        <v>31.0</v>
      </c>
      <c r="AI190" s="27">
        <v>75.0</v>
      </c>
      <c r="AJ190" s="27">
        <v>2.0</v>
      </c>
      <c r="AK190" s="27" t="b">
        <v>0</v>
      </c>
      <c r="AL190" s="27">
        <v>100.0</v>
      </c>
      <c r="AM190" s="27" t="s">
        <v>129</v>
      </c>
      <c r="AN190" s="27" t="s">
        <v>405</v>
      </c>
      <c r="AO190" s="27"/>
    </row>
    <row r="191">
      <c r="A191" s="200">
        <v>44810.02510108796</v>
      </c>
      <c r="B191" s="19" t="s">
        <v>138</v>
      </c>
      <c r="C191" s="21" t="s">
        <v>302</v>
      </c>
      <c r="D191" s="62">
        <v>1.0</v>
      </c>
      <c r="E191" s="27">
        <v>0.0</v>
      </c>
      <c r="F191" s="27" t="s">
        <v>1140</v>
      </c>
      <c r="G191" s="201" t="s">
        <v>57</v>
      </c>
      <c r="H191" s="27"/>
      <c r="I191" s="27"/>
      <c r="J191" s="33">
        <v>-10.0</v>
      </c>
      <c r="K191" s="33">
        <v>-13.0</v>
      </c>
      <c r="L191" s="66">
        <v>52.5</v>
      </c>
      <c r="M191" s="27" t="s">
        <v>1141</v>
      </c>
      <c r="N191" s="27">
        <v>-13.5</v>
      </c>
      <c r="O191" s="27"/>
      <c r="P191" s="27">
        <v>-13.5</v>
      </c>
      <c r="Q191" s="27"/>
      <c r="R191" s="27">
        <v>-13.0</v>
      </c>
      <c r="S191" s="27"/>
      <c r="T191" s="27">
        <v>-13.0</v>
      </c>
      <c r="U191" s="27"/>
      <c r="V191" s="27">
        <v>-13.5</v>
      </c>
      <c r="W191" s="27"/>
      <c r="X191" s="27">
        <v>-13.0</v>
      </c>
      <c r="Y191" s="27"/>
      <c r="Z191" s="27">
        <v>-13.0</v>
      </c>
      <c r="AA191" s="27"/>
      <c r="AB191" s="27">
        <v>-13.0</v>
      </c>
      <c r="AC191" s="27"/>
      <c r="AD191" s="27"/>
      <c r="AE191" s="27"/>
      <c r="AF191" s="27"/>
      <c r="AG191" s="27"/>
      <c r="AH191" s="27">
        <v>48.0</v>
      </c>
      <c r="AI191" s="27">
        <v>7.0</v>
      </c>
      <c r="AJ191" s="27">
        <v>2.0</v>
      </c>
      <c r="AK191" s="27" t="b">
        <v>0</v>
      </c>
      <c r="AL191" s="27">
        <v>100.0</v>
      </c>
      <c r="AM191" s="27" t="s">
        <v>193</v>
      </c>
      <c r="AN191" s="27" t="s">
        <v>405</v>
      </c>
      <c r="AO191" s="27"/>
    </row>
    <row r="192">
      <c r="A192" s="200">
        <v>44810.02510108796</v>
      </c>
      <c r="B192" s="19" t="s">
        <v>138</v>
      </c>
      <c r="C192" s="21" t="s">
        <v>282</v>
      </c>
      <c r="D192" s="62">
        <v>0.0</v>
      </c>
      <c r="E192" s="27">
        <v>1.0</v>
      </c>
      <c r="F192" s="27" t="s">
        <v>1142</v>
      </c>
      <c r="G192" s="201" t="s">
        <v>57</v>
      </c>
      <c r="H192" s="27" t="s">
        <v>138</v>
      </c>
      <c r="I192" s="27"/>
      <c r="J192" s="33">
        <v>8.0</v>
      </c>
      <c r="K192" s="33">
        <v>6.5</v>
      </c>
      <c r="L192" s="66">
        <v>54.5</v>
      </c>
      <c r="M192" s="27" t="s">
        <v>1143</v>
      </c>
      <c r="N192" s="27">
        <v>6.5</v>
      </c>
      <c r="O192" s="27"/>
      <c r="P192" s="27">
        <v>6.5</v>
      </c>
      <c r="Q192" s="27"/>
      <c r="R192" s="27">
        <v>6.5</v>
      </c>
      <c r="S192" s="27"/>
      <c r="T192" s="27">
        <v>6.5</v>
      </c>
      <c r="U192" s="27"/>
      <c r="V192" s="27">
        <v>6.5</v>
      </c>
      <c r="W192" s="27"/>
      <c r="X192" s="27">
        <v>6.5</v>
      </c>
      <c r="Y192" s="27"/>
      <c r="Z192" s="27">
        <v>6.5</v>
      </c>
      <c r="AA192" s="27"/>
      <c r="AB192" s="27">
        <v>6.5</v>
      </c>
      <c r="AC192" s="27"/>
      <c r="AD192" s="27">
        <v>6.5</v>
      </c>
      <c r="AE192" s="27"/>
      <c r="AF192" s="27">
        <v>6.5</v>
      </c>
      <c r="AG192" s="27"/>
      <c r="AH192" s="27">
        <v>24.0</v>
      </c>
      <c r="AI192" s="27">
        <v>31.0</v>
      </c>
      <c r="AJ192" s="27">
        <v>2.0</v>
      </c>
      <c r="AK192" s="27" t="b">
        <v>1</v>
      </c>
      <c r="AL192" s="27">
        <v>100.0</v>
      </c>
      <c r="AM192" s="27" t="s">
        <v>389</v>
      </c>
      <c r="AN192" s="27" t="s">
        <v>405</v>
      </c>
      <c r="AO192" s="27"/>
    </row>
    <row r="193">
      <c r="A193" s="200">
        <v>44810.02510108796</v>
      </c>
      <c r="B193" s="19" t="s">
        <v>138</v>
      </c>
      <c r="C193" s="21" t="s">
        <v>303</v>
      </c>
      <c r="D193" s="62">
        <v>1.0</v>
      </c>
      <c r="E193" s="27">
        <v>0.0</v>
      </c>
      <c r="F193" s="27" t="s">
        <v>1142</v>
      </c>
      <c r="G193" s="201" t="s">
        <v>57</v>
      </c>
      <c r="H193" s="27" t="s">
        <v>138</v>
      </c>
      <c r="I193" s="27"/>
      <c r="J193" s="33">
        <v>-8.0</v>
      </c>
      <c r="K193" s="33">
        <v>-6.5</v>
      </c>
      <c r="L193" s="66">
        <v>54.5</v>
      </c>
      <c r="M193" s="27" t="s">
        <v>1143</v>
      </c>
      <c r="N193" s="27">
        <v>-6.5</v>
      </c>
      <c r="O193" s="27"/>
      <c r="P193" s="27">
        <v>-6.5</v>
      </c>
      <c r="Q193" s="27"/>
      <c r="R193" s="27">
        <v>-6.5</v>
      </c>
      <c r="S193" s="27"/>
      <c r="T193" s="27">
        <v>-6.5</v>
      </c>
      <c r="U193" s="27"/>
      <c r="V193" s="27">
        <v>-6.5</v>
      </c>
      <c r="W193" s="27"/>
      <c r="X193" s="27">
        <v>-6.5</v>
      </c>
      <c r="Y193" s="27"/>
      <c r="Z193" s="27">
        <v>-6.5</v>
      </c>
      <c r="AA193" s="27"/>
      <c r="AB193" s="27">
        <v>-6.5</v>
      </c>
      <c r="AC193" s="27"/>
      <c r="AD193" s="27">
        <v>-6.5</v>
      </c>
      <c r="AE193" s="27"/>
      <c r="AF193" s="27">
        <v>-6.5</v>
      </c>
      <c r="AG193" s="27"/>
      <c r="AH193" s="27">
        <v>31.0</v>
      </c>
      <c r="AI193" s="27">
        <v>24.0</v>
      </c>
      <c r="AJ193" s="27">
        <v>2.0</v>
      </c>
      <c r="AK193" s="27" t="b">
        <v>0</v>
      </c>
      <c r="AL193" s="27">
        <v>100.0</v>
      </c>
      <c r="AM193" s="27" t="s">
        <v>192</v>
      </c>
      <c r="AN193" s="27" t="s">
        <v>404</v>
      </c>
      <c r="AO193" s="27"/>
    </row>
    <row r="194">
      <c r="A194" s="200">
        <v>44810.02510108796</v>
      </c>
      <c r="B194" s="19" t="s">
        <v>138</v>
      </c>
      <c r="C194" s="21" t="s">
        <v>294</v>
      </c>
      <c r="D194" s="62">
        <v>1.0</v>
      </c>
      <c r="E194" s="27">
        <v>0.0</v>
      </c>
      <c r="F194" s="27" t="s">
        <v>1144</v>
      </c>
      <c r="G194" s="201" t="s">
        <v>57</v>
      </c>
      <c r="H194" s="27" t="s">
        <v>154</v>
      </c>
      <c r="I194" s="27"/>
      <c r="J194" s="33">
        <v>-16.5</v>
      </c>
      <c r="K194" s="33">
        <v>-21.0</v>
      </c>
      <c r="L194" s="66">
        <v>54.5</v>
      </c>
      <c r="M194" s="27" t="s">
        <v>1145</v>
      </c>
      <c r="N194" s="27">
        <v>-21.0</v>
      </c>
      <c r="O194" s="27"/>
      <c r="P194" s="27">
        <v>-21.5</v>
      </c>
      <c r="Q194" s="27"/>
      <c r="R194" s="27">
        <v>-21.0</v>
      </c>
      <c r="S194" s="27"/>
      <c r="T194" s="27">
        <v>-21.0</v>
      </c>
      <c r="U194" s="27"/>
      <c r="V194" s="27">
        <v>-21.0</v>
      </c>
      <c r="W194" s="27"/>
      <c r="X194" s="27">
        <v>-21.0</v>
      </c>
      <c r="Y194" s="27"/>
      <c r="Z194" s="27">
        <v>-20.0</v>
      </c>
      <c r="AA194" s="27"/>
      <c r="AB194" s="27">
        <v>-21.0</v>
      </c>
      <c r="AC194" s="27"/>
      <c r="AD194" s="27">
        <v>-21.0</v>
      </c>
      <c r="AE194" s="27"/>
      <c r="AF194" s="27">
        <v>-21.0</v>
      </c>
      <c r="AG194" s="27"/>
      <c r="AH194" s="27">
        <v>35.0</v>
      </c>
      <c r="AI194" s="27">
        <v>13.0</v>
      </c>
      <c r="AJ194" s="27">
        <v>2.0</v>
      </c>
      <c r="AK194" s="27" t="b">
        <v>1</v>
      </c>
      <c r="AL194" s="27">
        <v>100.0</v>
      </c>
      <c r="AM194" s="27" t="s">
        <v>188</v>
      </c>
      <c r="AN194" s="27" t="s">
        <v>404</v>
      </c>
      <c r="AO194" s="27"/>
    </row>
    <row r="195">
      <c r="A195" s="200">
        <v>44810.02510108796</v>
      </c>
      <c r="B195" s="19" t="s">
        <v>138</v>
      </c>
      <c r="C195" s="21" t="s">
        <v>298</v>
      </c>
      <c r="D195" s="62">
        <v>1.0</v>
      </c>
      <c r="E195" s="27">
        <v>0.0</v>
      </c>
      <c r="F195" s="27" t="s">
        <v>1146</v>
      </c>
      <c r="G195" s="201" t="s">
        <v>57</v>
      </c>
      <c r="H195" s="27"/>
      <c r="I195" s="27"/>
      <c r="J195" s="33">
        <v>-33.5</v>
      </c>
      <c r="K195" s="33">
        <v>-30.5</v>
      </c>
      <c r="L195" s="66">
        <v>50.0</v>
      </c>
      <c r="M195" s="27" t="s">
        <v>1091</v>
      </c>
      <c r="N195" s="27">
        <v>-30.5</v>
      </c>
      <c r="O195" s="27"/>
      <c r="P195" s="27">
        <v>-30.5</v>
      </c>
      <c r="Q195" s="27"/>
      <c r="R195" s="27"/>
      <c r="S195" s="27"/>
      <c r="T195" s="27"/>
      <c r="U195" s="27"/>
      <c r="V195" s="27"/>
      <c r="W195" s="27"/>
      <c r="X195" s="27"/>
      <c r="Y195" s="27"/>
      <c r="Z195" s="27"/>
      <c r="AA195" s="27"/>
      <c r="AB195" s="27"/>
      <c r="AC195" s="27"/>
      <c r="AD195" s="27"/>
      <c r="AE195" s="27"/>
      <c r="AF195" s="27"/>
      <c r="AG195" s="27"/>
      <c r="AH195" s="27">
        <v>34.0</v>
      </c>
      <c r="AI195" s="27">
        <v>27.0</v>
      </c>
      <c r="AJ195" s="27">
        <v>2.0</v>
      </c>
      <c r="AK195" s="27" t="b">
        <v>0</v>
      </c>
      <c r="AL195" s="27">
        <v>100.0</v>
      </c>
      <c r="AM195" s="27" t="s">
        <v>190</v>
      </c>
      <c r="AN195" s="27" t="s">
        <v>405</v>
      </c>
      <c r="AO195" s="27"/>
    </row>
    <row r="196">
      <c r="A196" s="200">
        <v>44810.02510108796</v>
      </c>
      <c r="B196" s="19" t="s">
        <v>138</v>
      </c>
      <c r="C196" s="21" t="s">
        <v>296</v>
      </c>
      <c r="D196" s="62">
        <v>0.0</v>
      </c>
      <c r="E196" s="27">
        <v>1.0</v>
      </c>
      <c r="F196" s="27" t="s">
        <v>1147</v>
      </c>
      <c r="G196" s="201" t="s">
        <v>183</v>
      </c>
      <c r="H196" s="27" t="s">
        <v>154</v>
      </c>
      <c r="I196" s="27"/>
      <c r="J196" s="33">
        <v>7.0</v>
      </c>
      <c r="K196" s="33">
        <v>3.5</v>
      </c>
      <c r="L196" s="66">
        <v>62.0</v>
      </c>
      <c r="M196" s="27" t="s">
        <v>1148</v>
      </c>
      <c r="N196" s="27">
        <v>4.0</v>
      </c>
      <c r="O196" s="27"/>
      <c r="P196" s="27">
        <v>3.5</v>
      </c>
      <c r="Q196" s="27"/>
      <c r="R196" s="27">
        <v>3.5</v>
      </c>
      <c r="S196" s="27"/>
      <c r="T196" s="27">
        <v>3.5</v>
      </c>
      <c r="U196" s="27"/>
      <c r="V196" s="27">
        <v>3.5</v>
      </c>
      <c r="W196" s="27"/>
      <c r="X196" s="27">
        <v>3.5</v>
      </c>
      <c r="Y196" s="27"/>
      <c r="Z196" s="27">
        <v>3.5</v>
      </c>
      <c r="AA196" s="27"/>
      <c r="AB196" s="27">
        <v>4.5</v>
      </c>
      <c r="AC196" s="27"/>
      <c r="AD196" s="27">
        <v>3.5</v>
      </c>
      <c r="AE196" s="27"/>
      <c r="AF196" s="27">
        <v>3.5</v>
      </c>
      <c r="AG196" s="27"/>
      <c r="AH196" s="27">
        <v>35.0</v>
      </c>
      <c r="AI196" s="27">
        <v>37.0</v>
      </c>
      <c r="AJ196" s="27">
        <v>2.0</v>
      </c>
      <c r="AK196" s="27" t="b">
        <v>1</v>
      </c>
      <c r="AL196" s="27">
        <v>100.0</v>
      </c>
      <c r="AM196" s="27" t="s">
        <v>189</v>
      </c>
      <c r="AN196" s="27" t="s">
        <v>405</v>
      </c>
      <c r="AO196" s="27"/>
    </row>
    <row r="197">
      <c r="A197" s="200">
        <v>44810.02510108796</v>
      </c>
      <c r="B197" s="19"/>
      <c r="C197" s="21"/>
      <c r="D197" s="62"/>
      <c r="E197" s="27"/>
      <c r="F197" s="27"/>
      <c r="G197" s="201"/>
      <c r="H197" s="27"/>
      <c r="I197" s="27"/>
      <c r="J197" s="33"/>
      <c r="K197" s="33"/>
      <c r="L197" s="66"/>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t="e">
        <v>#N/A</v>
      </c>
      <c r="AN197" s="27" t="e">
        <v>#N/A</v>
      </c>
      <c r="AO197" s="27"/>
    </row>
    <row r="198">
      <c r="A198" s="200">
        <v>44810.02510108796</v>
      </c>
      <c r="B198" s="19" t="s">
        <v>141</v>
      </c>
      <c r="C198" s="21" t="s">
        <v>353</v>
      </c>
      <c r="D198" s="62">
        <v>0.0</v>
      </c>
      <c r="E198" s="27">
        <v>1.0</v>
      </c>
      <c r="F198" s="27" t="s">
        <v>1133</v>
      </c>
      <c r="G198" s="201" t="s">
        <v>57</v>
      </c>
      <c r="H198" s="27" t="s">
        <v>138</v>
      </c>
      <c r="I198" s="27"/>
      <c r="J198" s="33">
        <v>-3.0</v>
      </c>
      <c r="K198" s="33">
        <v>-5.5</v>
      </c>
      <c r="L198" s="66">
        <v>55.5</v>
      </c>
      <c r="M198" s="27" t="s">
        <v>1134</v>
      </c>
      <c r="N198" s="27">
        <v>-5.5</v>
      </c>
      <c r="O198" s="27"/>
      <c r="P198" s="27">
        <v>-6.0</v>
      </c>
      <c r="Q198" s="27"/>
      <c r="R198" s="27">
        <v>-5.5</v>
      </c>
      <c r="S198" s="27"/>
      <c r="T198" s="27">
        <v>-6.0</v>
      </c>
      <c r="U198" s="27"/>
      <c r="V198" s="27">
        <v>-5.5</v>
      </c>
      <c r="W198" s="27"/>
      <c r="X198" s="27">
        <v>-5.5</v>
      </c>
      <c r="Y198" s="27"/>
      <c r="Z198" s="27">
        <v>-5.5</v>
      </c>
      <c r="AA198" s="27"/>
      <c r="AB198" s="27">
        <v>-5.5</v>
      </c>
      <c r="AC198" s="27"/>
      <c r="AD198" s="27">
        <v>-6.0</v>
      </c>
      <c r="AE198" s="27"/>
      <c r="AF198" s="27">
        <v>-6.0</v>
      </c>
      <c r="AG198" s="27"/>
      <c r="AH198" s="27">
        <v>7.0</v>
      </c>
      <c r="AI198" s="27">
        <v>31.0</v>
      </c>
      <c r="AJ198" s="27">
        <v>2.0</v>
      </c>
      <c r="AK198" s="27" t="b">
        <v>0</v>
      </c>
      <c r="AL198" s="27">
        <v>100.0</v>
      </c>
      <c r="AM198" s="27" t="s">
        <v>186</v>
      </c>
      <c r="AN198" s="27" t="s">
        <v>404</v>
      </c>
      <c r="AO198" s="27"/>
    </row>
    <row r="199">
      <c r="A199" s="200">
        <v>44810.02510108796</v>
      </c>
      <c r="B199" s="19" t="s">
        <v>141</v>
      </c>
      <c r="C199" s="21" t="s">
        <v>287</v>
      </c>
      <c r="D199" s="62">
        <v>1.0</v>
      </c>
      <c r="E199" s="27">
        <v>0.0</v>
      </c>
      <c r="F199" s="27" t="s">
        <v>1138</v>
      </c>
      <c r="G199" s="201" t="s">
        <v>57</v>
      </c>
      <c r="H199" s="27" t="s">
        <v>138</v>
      </c>
      <c r="I199" s="27"/>
      <c r="J199" s="33">
        <v>-31.0</v>
      </c>
      <c r="K199" s="33">
        <v>-42.0</v>
      </c>
      <c r="L199" s="66">
        <v>63.0</v>
      </c>
      <c r="M199" s="27" t="s">
        <v>1139</v>
      </c>
      <c r="N199" s="27">
        <v>-41.5</v>
      </c>
      <c r="O199" s="27"/>
      <c r="P199" s="27">
        <v>-42.0</v>
      </c>
      <c r="Q199" s="27"/>
      <c r="R199" s="27">
        <v>-42.0</v>
      </c>
      <c r="S199" s="27"/>
      <c r="T199" s="27">
        <v>-42.0</v>
      </c>
      <c r="U199" s="27"/>
      <c r="V199" s="27">
        <v>-42.0</v>
      </c>
      <c r="W199" s="27"/>
      <c r="X199" s="27">
        <v>-42.0</v>
      </c>
      <c r="Y199" s="27"/>
      <c r="Z199" s="27">
        <v>-42.0</v>
      </c>
      <c r="AA199" s="27"/>
      <c r="AB199" s="27">
        <v>-42.0</v>
      </c>
      <c r="AC199" s="27"/>
      <c r="AD199" s="27">
        <v>-42.0</v>
      </c>
      <c r="AE199" s="27"/>
      <c r="AF199" s="27">
        <v>-41.5</v>
      </c>
      <c r="AG199" s="27"/>
      <c r="AH199" s="27">
        <v>55.0</v>
      </c>
      <c r="AI199" s="27">
        <v>0.0</v>
      </c>
      <c r="AJ199" s="27">
        <v>2.0</v>
      </c>
      <c r="AK199" s="27" t="b">
        <v>1</v>
      </c>
      <c r="AL199" s="27">
        <v>100.0</v>
      </c>
      <c r="AM199" s="27" t="s">
        <v>192</v>
      </c>
      <c r="AN199" s="27" t="s">
        <v>404</v>
      </c>
      <c r="AO199" s="27"/>
    </row>
    <row r="200">
      <c r="A200" s="200">
        <v>44810.02510108796</v>
      </c>
      <c r="B200" s="19" t="s">
        <v>141</v>
      </c>
      <c r="C200" s="21" t="s">
        <v>314</v>
      </c>
      <c r="D200" s="62">
        <v>1.0</v>
      </c>
      <c r="E200" s="27">
        <v>0.0</v>
      </c>
      <c r="F200" s="27" t="s">
        <v>1086</v>
      </c>
      <c r="G200" s="201" t="s">
        <v>57</v>
      </c>
      <c r="H200" s="27" t="s">
        <v>131</v>
      </c>
      <c r="I200" s="27"/>
      <c r="J200" s="33">
        <v>-7.0</v>
      </c>
      <c r="K200" s="33">
        <v>-9.5</v>
      </c>
      <c r="L200" s="66">
        <v>67.5</v>
      </c>
      <c r="M200" s="27" t="s">
        <v>1087</v>
      </c>
      <c r="N200" s="27">
        <v>-9.5</v>
      </c>
      <c r="O200" s="27"/>
      <c r="P200" s="27">
        <v>-9.5</v>
      </c>
      <c r="Q200" s="27"/>
      <c r="R200" s="27">
        <v>-9.5</v>
      </c>
      <c r="S200" s="27"/>
      <c r="T200" s="27">
        <v>-9.5</v>
      </c>
      <c r="U200" s="27"/>
      <c r="V200" s="27">
        <v>-9.5</v>
      </c>
      <c r="W200" s="27"/>
      <c r="X200" s="27">
        <v>-9.5</v>
      </c>
      <c r="Y200" s="27"/>
      <c r="Z200" s="27">
        <v>-9.5</v>
      </c>
      <c r="AA200" s="27"/>
      <c r="AB200" s="27">
        <v>-9.5</v>
      </c>
      <c r="AC200" s="27"/>
      <c r="AD200" s="27">
        <v>-9.5</v>
      </c>
      <c r="AE200" s="27"/>
      <c r="AF200" s="27">
        <v>-9.5</v>
      </c>
      <c r="AG200" s="27"/>
      <c r="AH200" s="27">
        <v>48.0</v>
      </c>
      <c r="AI200" s="27">
        <v>10.0</v>
      </c>
      <c r="AJ200" s="27">
        <v>2.0</v>
      </c>
      <c r="AK200" s="27" t="b">
        <v>0</v>
      </c>
      <c r="AL200" s="27">
        <v>100.0</v>
      </c>
      <c r="AM200" s="27" t="s">
        <v>389</v>
      </c>
      <c r="AN200" s="27" t="s">
        <v>405</v>
      </c>
      <c r="AO200" s="27"/>
    </row>
    <row r="201">
      <c r="A201" s="200">
        <v>44810.02510108796</v>
      </c>
      <c r="B201" s="19" t="s">
        <v>141</v>
      </c>
      <c r="C201" s="21" t="s">
        <v>393</v>
      </c>
      <c r="D201" s="62">
        <v>1.0</v>
      </c>
      <c r="E201" s="27">
        <v>0.0</v>
      </c>
      <c r="F201" s="27" t="s">
        <v>1093</v>
      </c>
      <c r="G201" s="201" t="s">
        <v>57</v>
      </c>
      <c r="H201" s="27" t="s">
        <v>131</v>
      </c>
      <c r="I201" s="27"/>
      <c r="J201" s="33"/>
      <c r="K201" s="33"/>
      <c r="L201" s="66"/>
      <c r="M201" s="27"/>
      <c r="N201" s="27"/>
      <c r="O201" s="27"/>
      <c r="P201" s="27"/>
      <c r="Q201" s="27"/>
      <c r="R201" s="27"/>
      <c r="S201" s="27"/>
      <c r="T201" s="27"/>
      <c r="U201" s="27"/>
      <c r="V201" s="27"/>
      <c r="W201" s="27"/>
      <c r="X201" s="27"/>
      <c r="Y201" s="27"/>
      <c r="Z201" s="27"/>
      <c r="AA201" s="27"/>
      <c r="AB201" s="27"/>
      <c r="AC201" s="27"/>
      <c r="AD201" s="27"/>
      <c r="AE201" s="27"/>
      <c r="AF201" s="27"/>
      <c r="AG201" s="27"/>
      <c r="AH201" s="27">
        <v>50.0</v>
      </c>
      <c r="AI201" s="27">
        <v>21.0</v>
      </c>
      <c r="AJ201" s="27">
        <v>2.0</v>
      </c>
      <c r="AK201" s="27" t="b">
        <v>1</v>
      </c>
      <c r="AL201" s="27">
        <v>100.0</v>
      </c>
      <c r="AM201" s="27" t="s">
        <v>187</v>
      </c>
      <c r="AN201" s="27" t="s">
        <v>404</v>
      </c>
      <c r="AO201" s="27"/>
    </row>
    <row r="202">
      <c r="A202" s="200">
        <v>44810.02510108796</v>
      </c>
      <c r="B202" s="19" t="s">
        <v>141</v>
      </c>
      <c r="C202" s="21" t="s">
        <v>318</v>
      </c>
      <c r="D202" s="62">
        <v>0.0</v>
      </c>
      <c r="E202" s="27">
        <v>1.0</v>
      </c>
      <c r="F202" s="27" t="s">
        <v>1149</v>
      </c>
      <c r="G202" s="201" t="s">
        <v>57</v>
      </c>
      <c r="H202" s="27" t="s">
        <v>103</v>
      </c>
      <c r="I202" s="27"/>
      <c r="J202" s="33">
        <v>21.0</v>
      </c>
      <c r="K202" s="33">
        <v>21.5</v>
      </c>
      <c r="L202" s="66">
        <v>57.0</v>
      </c>
      <c r="M202" s="27" t="s">
        <v>1150</v>
      </c>
      <c r="N202" s="27">
        <v>21.5</v>
      </c>
      <c r="O202" s="27"/>
      <c r="P202" s="27">
        <v>21.5</v>
      </c>
      <c r="Q202" s="27"/>
      <c r="R202" s="27">
        <v>21.5</v>
      </c>
      <c r="S202" s="27"/>
      <c r="T202" s="27">
        <v>21.5</v>
      </c>
      <c r="U202" s="27"/>
      <c r="V202" s="27">
        <v>21.5</v>
      </c>
      <c r="W202" s="27"/>
      <c r="X202" s="27">
        <v>21.5</v>
      </c>
      <c r="Y202" s="27"/>
      <c r="Z202" s="27">
        <v>21.5</v>
      </c>
      <c r="AA202" s="27"/>
      <c r="AB202" s="27">
        <v>21.5</v>
      </c>
      <c r="AC202" s="27"/>
      <c r="AD202" s="27">
        <v>21.5</v>
      </c>
      <c r="AE202" s="27"/>
      <c r="AF202" s="27">
        <v>21.5</v>
      </c>
      <c r="AG202" s="27"/>
      <c r="AH202" s="27">
        <v>10.0</v>
      </c>
      <c r="AI202" s="27">
        <v>28.0</v>
      </c>
      <c r="AJ202" s="27">
        <v>2.0</v>
      </c>
      <c r="AK202" s="27" t="b">
        <v>1</v>
      </c>
      <c r="AL202" s="27">
        <v>100.0</v>
      </c>
      <c r="AM202" s="27" t="s">
        <v>193</v>
      </c>
      <c r="AN202" s="27" t="s">
        <v>405</v>
      </c>
      <c r="AO202" s="27"/>
    </row>
    <row r="203">
      <c r="A203" s="200">
        <v>44810.02510108796</v>
      </c>
      <c r="B203" s="19" t="s">
        <v>141</v>
      </c>
      <c r="C203" s="21" t="s">
        <v>365</v>
      </c>
      <c r="D203" s="62">
        <v>1.0</v>
      </c>
      <c r="E203" s="27">
        <v>1.0</v>
      </c>
      <c r="F203" s="27" t="s">
        <v>1151</v>
      </c>
      <c r="G203" s="201" t="s">
        <v>57</v>
      </c>
      <c r="H203" s="27"/>
      <c r="I203" s="27"/>
      <c r="J203" s="33">
        <v>-22.5</v>
      </c>
      <c r="K203" s="33">
        <v>-28.0</v>
      </c>
      <c r="L203" s="66">
        <v>63.5</v>
      </c>
      <c r="M203" s="27" t="s">
        <v>1109</v>
      </c>
      <c r="N203" s="27">
        <v>-28.5</v>
      </c>
      <c r="O203" s="27"/>
      <c r="P203" s="27">
        <v>-28.5</v>
      </c>
      <c r="Q203" s="27"/>
      <c r="R203" s="27">
        <v>-28.0</v>
      </c>
      <c r="S203" s="27"/>
      <c r="T203" s="27">
        <v>-28.0</v>
      </c>
      <c r="U203" s="27"/>
      <c r="V203" s="27">
        <v>-28.5</v>
      </c>
      <c r="W203" s="27"/>
      <c r="X203" s="27">
        <v>-28.5</v>
      </c>
      <c r="Y203" s="27"/>
      <c r="Z203" s="27">
        <v>-28.0</v>
      </c>
      <c r="AA203" s="27"/>
      <c r="AB203" s="27">
        <v>-28.0</v>
      </c>
      <c r="AC203" s="27"/>
      <c r="AD203" s="27"/>
      <c r="AE203" s="27"/>
      <c r="AF203" s="27"/>
      <c r="AG203" s="27"/>
      <c r="AH203" s="27">
        <v>66.0</v>
      </c>
      <c r="AI203" s="27">
        <v>48.0</v>
      </c>
      <c r="AJ203" s="27">
        <v>2.0</v>
      </c>
      <c r="AK203" s="27" t="b">
        <v>0</v>
      </c>
      <c r="AL203" s="27">
        <v>100.0</v>
      </c>
      <c r="AM203" s="27" t="s">
        <v>188</v>
      </c>
      <c r="AN203" s="27" t="s">
        <v>404</v>
      </c>
      <c r="AO203" s="27"/>
    </row>
    <row r="204">
      <c r="A204" s="200">
        <v>44810.02510108796</v>
      </c>
      <c r="B204" s="19" t="s">
        <v>141</v>
      </c>
      <c r="C204" s="21" t="s">
        <v>386</v>
      </c>
      <c r="D204" s="62">
        <v>1.0</v>
      </c>
      <c r="E204" s="27">
        <v>0.0</v>
      </c>
      <c r="F204" s="27" t="s">
        <v>1125</v>
      </c>
      <c r="G204" s="201" t="s">
        <v>57</v>
      </c>
      <c r="H204" s="27" t="s">
        <v>59</v>
      </c>
      <c r="I204" s="27"/>
      <c r="J204" s="33">
        <v>7.5</v>
      </c>
      <c r="K204" s="33">
        <v>7.5</v>
      </c>
      <c r="L204" s="66">
        <v>48.0</v>
      </c>
      <c r="M204" s="27" t="s">
        <v>1126</v>
      </c>
      <c r="N204" s="27">
        <v>7.5</v>
      </c>
      <c r="O204" s="27"/>
      <c r="P204" s="27">
        <v>7.5</v>
      </c>
      <c r="Q204" s="27"/>
      <c r="R204" s="27">
        <v>7.5</v>
      </c>
      <c r="S204" s="27"/>
      <c r="T204" s="27">
        <v>7.0</v>
      </c>
      <c r="U204" s="27"/>
      <c r="V204" s="27"/>
      <c r="W204" s="27"/>
      <c r="X204" s="27"/>
      <c r="Y204" s="27"/>
      <c r="Z204" s="27"/>
      <c r="AA204" s="27"/>
      <c r="AB204" s="27"/>
      <c r="AC204" s="27"/>
      <c r="AD204" s="27"/>
      <c r="AE204" s="27"/>
      <c r="AF204" s="27"/>
      <c r="AG204" s="27"/>
      <c r="AH204" s="27">
        <v>22.0</v>
      </c>
      <c r="AI204" s="27">
        <v>21.0</v>
      </c>
      <c r="AJ204" s="27">
        <v>2.0</v>
      </c>
      <c r="AK204" s="27" t="b">
        <v>1</v>
      </c>
      <c r="AL204" s="27">
        <v>100.0</v>
      </c>
      <c r="AM204" s="27" t="s">
        <v>191</v>
      </c>
      <c r="AN204" s="27" t="s">
        <v>404</v>
      </c>
      <c r="AO204" s="27"/>
    </row>
    <row r="205">
      <c r="A205" s="200">
        <v>44810.02510108796</v>
      </c>
      <c r="B205" s="19" t="s">
        <v>141</v>
      </c>
      <c r="C205" s="21" t="s">
        <v>317</v>
      </c>
      <c r="D205" s="62">
        <v>0.0</v>
      </c>
      <c r="E205" s="27">
        <v>2.0</v>
      </c>
      <c r="F205" s="27" t="s">
        <v>1152</v>
      </c>
      <c r="G205" s="201" t="s">
        <v>57</v>
      </c>
      <c r="H205" s="27"/>
      <c r="I205" s="27"/>
      <c r="J205" s="33">
        <v>-7.0</v>
      </c>
      <c r="K205" s="33">
        <v>-4.0</v>
      </c>
      <c r="L205" s="66">
        <v>53.0</v>
      </c>
      <c r="M205" s="27" t="s">
        <v>1153</v>
      </c>
      <c r="N205" s="27">
        <v>-4.0</v>
      </c>
      <c r="O205" s="27"/>
      <c r="P205" s="27">
        <v>-4.0</v>
      </c>
      <c r="Q205" s="27"/>
      <c r="R205" s="27">
        <v>-4.0</v>
      </c>
      <c r="S205" s="27"/>
      <c r="T205" s="27">
        <v>-4.0</v>
      </c>
      <c r="U205" s="27"/>
      <c r="V205" s="27">
        <v>-4.0</v>
      </c>
      <c r="W205" s="27"/>
      <c r="X205" s="27">
        <v>-4.0</v>
      </c>
      <c r="Y205" s="27"/>
      <c r="Z205" s="27">
        <v>-4.0</v>
      </c>
      <c r="AA205" s="27"/>
      <c r="AB205" s="27">
        <v>-4.0</v>
      </c>
      <c r="AC205" s="27"/>
      <c r="AD205" s="27"/>
      <c r="AE205" s="27"/>
      <c r="AF205" s="27"/>
      <c r="AG205" s="27"/>
      <c r="AH205" s="27">
        <v>37.0</v>
      </c>
      <c r="AI205" s="27">
        <v>84.0</v>
      </c>
      <c r="AJ205" s="27">
        <v>2.0</v>
      </c>
      <c r="AK205" s="27" t="b">
        <v>0</v>
      </c>
      <c r="AL205" s="27">
        <v>100.0</v>
      </c>
      <c r="AM205" s="27" t="s">
        <v>189</v>
      </c>
      <c r="AN205" s="27" t="s">
        <v>405</v>
      </c>
      <c r="AO205" s="27"/>
    </row>
    <row r="206">
      <c r="A206" s="200">
        <v>44810.02510108796</v>
      </c>
      <c r="B206" s="19" t="s">
        <v>141</v>
      </c>
      <c r="C206" s="21" t="s">
        <v>349</v>
      </c>
      <c r="D206" s="62">
        <v>1.0</v>
      </c>
      <c r="E206" s="27">
        <v>0.0</v>
      </c>
      <c r="F206" s="27" t="s">
        <v>1154</v>
      </c>
      <c r="G206" s="201" t="s">
        <v>57</v>
      </c>
      <c r="H206" s="27"/>
      <c r="I206" s="27"/>
      <c r="J206" s="33">
        <v>-14.5</v>
      </c>
      <c r="K206" s="33">
        <v>-14.5</v>
      </c>
      <c r="L206" s="66">
        <v>45.5</v>
      </c>
      <c r="M206" s="27" t="s">
        <v>1155</v>
      </c>
      <c r="N206" s="27">
        <v>-14.5</v>
      </c>
      <c r="O206" s="27"/>
      <c r="P206" s="27">
        <v>-14.5</v>
      </c>
      <c r="Q206" s="27"/>
      <c r="R206" s="27">
        <v>-14.5</v>
      </c>
      <c r="S206" s="27"/>
      <c r="T206" s="27"/>
      <c r="U206" s="27"/>
      <c r="V206" s="27"/>
      <c r="W206" s="27"/>
      <c r="X206" s="27"/>
      <c r="Y206" s="27"/>
      <c r="Z206" s="27"/>
      <c r="AA206" s="27"/>
      <c r="AB206" s="27"/>
      <c r="AC206" s="27"/>
      <c r="AD206" s="27"/>
      <c r="AE206" s="27"/>
      <c r="AF206" s="27"/>
      <c r="AG206" s="27"/>
      <c r="AH206" s="27">
        <v>21.0</v>
      </c>
      <c r="AI206" s="27">
        <v>17.0</v>
      </c>
      <c r="AJ206" s="27">
        <v>2.0</v>
      </c>
      <c r="AK206" s="27" t="b">
        <v>0</v>
      </c>
      <c r="AL206" s="27">
        <v>100.0</v>
      </c>
      <c r="AM206" s="27" t="s">
        <v>129</v>
      </c>
      <c r="AN206" s="27" t="s">
        <v>405</v>
      </c>
      <c r="AO206" s="27"/>
    </row>
    <row r="207">
      <c r="A207" s="200">
        <v>44810.02510108796</v>
      </c>
      <c r="B207" s="19" t="s">
        <v>141</v>
      </c>
      <c r="C207" s="21" t="s">
        <v>323</v>
      </c>
      <c r="D207" s="62">
        <v>1.0</v>
      </c>
      <c r="E207" s="27">
        <v>0.0</v>
      </c>
      <c r="F207" s="27" t="s">
        <v>1156</v>
      </c>
      <c r="G207" s="201" t="s">
        <v>183</v>
      </c>
      <c r="H207" s="27"/>
      <c r="I207" s="27"/>
      <c r="J207" s="33">
        <v>-18.0</v>
      </c>
      <c r="K207" s="33">
        <v>-21.0</v>
      </c>
      <c r="L207" s="66">
        <v>51.0</v>
      </c>
      <c r="M207" s="27" t="s">
        <v>1157</v>
      </c>
      <c r="N207" s="27">
        <v>-22.5</v>
      </c>
      <c r="O207" s="27"/>
      <c r="P207" s="27">
        <v>-22.0</v>
      </c>
      <c r="Q207" s="27"/>
      <c r="R207" s="27">
        <v>-21.0</v>
      </c>
      <c r="S207" s="27"/>
      <c r="T207" s="27">
        <v>-22.0</v>
      </c>
      <c r="U207" s="27"/>
      <c r="V207" s="27">
        <v>-21.5</v>
      </c>
      <c r="W207" s="27"/>
      <c r="X207" s="27">
        <v>-21.0</v>
      </c>
      <c r="Y207" s="27"/>
      <c r="Z207" s="27">
        <v>-21.0</v>
      </c>
      <c r="AA207" s="27"/>
      <c r="AB207" s="27"/>
      <c r="AC207" s="27"/>
      <c r="AD207" s="27"/>
      <c r="AE207" s="27"/>
      <c r="AF207" s="27"/>
      <c r="AG207" s="27"/>
      <c r="AH207" s="27">
        <v>30.0</v>
      </c>
      <c r="AI207" s="27">
        <v>23.0</v>
      </c>
      <c r="AJ207" s="27">
        <v>2.0</v>
      </c>
      <c r="AK207" s="27" t="b">
        <v>0</v>
      </c>
      <c r="AL207" s="27">
        <v>100.0</v>
      </c>
      <c r="AM207" s="27" t="s">
        <v>190</v>
      </c>
      <c r="AN207" s="27" t="s">
        <v>405</v>
      </c>
      <c r="AO207" s="27"/>
    </row>
    <row r="208">
      <c r="A208" s="200">
        <v>44810.02510108796</v>
      </c>
      <c r="B208" s="19"/>
      <c r="C208" s="21"/>
      <c r="D208" s="62"/>
      <c r="E208" s="27"/>
      <c r="F208" s="27"/>
      <c r="G208" s="201"/>
      <c r="H208" s="27"/>
      <c r="I208" s="27"/>
      <c r="J208" s="33"/>
      <c r="K208" s="33"/>
      <c r="L208" s="66"/>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t="e">
        <v>#N/A</v>
      </c>
      <c r="AN208" s="27" t="e">
        <v>#N/A</v>
      </c>
      <c r="AO208" s="27"/>
    </row>
    <row r="209">
      <c r="A209" s="200">
        <v>44810.02510108796</v>
      </c>
      <c r="B209" s="19" t="s">
        <v>109</v>
      </c>
      <c r="C209" s="21" t="s">
        <v>360</v>
      </c>
      <c r="D209" s="62">
        <v>0.0</v>
      </c>
      <c r="E209" s="27">
        <v>1.0</v>
      </c>
      <c r="F209" s="27" t="s">
        <v>1158</v>
      </c>
      <c r="G209" s="201" t="s">
        <v>57</v>
      </c>
      <c r="H209" s="27" t="s">
        <v>103</v>
      </c>
      <c r="I209" s="27"/>
      <c r="J209" s="33">
        <v>-4.0</v>
      </c>
      <c r="K209" s="33">
        <v>-4.0</v>
      </c>
      <c r="L209" s="66">
        <v>50.5</v>
      </c>
      <c r="M209" s="27" t="s">
        <v>1159</v>
      </c>
      <c r="N209" s="27">
        <v>-4.0</v>
      </c>
      <c r="O209" s="27"/>
      <c r="P209" s="27">
        <v>-4.0</v>
      </c>
      <c r="Q209" s="27"/>
      <c r="R209" s="27">
        <v>-4.0</v>
      </c>
      <c r="S209" s="27"/>
      <c r="T209" s="27">
        <v>-4.0</v>
      </c>
      <c r="U209" s="27"/>
      <c r="V209" s="27">
        <v>-4.0</v>
      </c>
      <c r="W209" s="27"/>
      <c r="X209" s="27">
        <v>-4.0</v>
      </c>
      <c r="Y209" s="27"/>
      <c r="Z209" s="27">
        <v>-4.0</v>
      </c>
      <c r="AA209" s="27"/>
      <c r="AB209" s="27">
        <v>-4.0</v>
      </c>
      <c r="AC209" s="27"/>
      <c r="AD209" s="27">
        <v>-4.0</v>
      </c>
      <c r="AE209" s="27"/>
      <c r="AF209" s="27">
        <v>-4.0</v>
      </c>
      <c r="AG209" s="27"/>
      <c r="AH209" s="27">
        <v>23.0</v>
      </c>
      <c r="AI209" s="27">
        <v>24.0</v>
      </c>
      <c r="AJ209" s="27">
        <v>2.0</v>
      </c>
      <c r="AK209" s="27" t="b">
        <v>1</v>
      </c>
      <c r="AL209" s="27">
        <v>100.0</v>
      </c>
      <c r="AM209" s="27" t="s">
        <v>192</v>
      </c>
      <c r="AN209" s="27" t="s">
        <v>404</v>
      </c>
      <c r="AO209" s="27"/>
    </row>
    <row r="210">
      <c r="A210" s="200">
        <v>44810.02510108796</v>
      </c>
      <c r="B210" s="19" t="s">
        <v>109</v>
      </c>
      <c r="C210" s="21" t="s">
        <v>339</v>
      </c>
      <c r="D210" s="62">
        <v>0.0</v>
      </c>
      <c r="E210" s="27">
        <v>1.0</v>
      </c>
      <c r="F210" s="27" t="s">
        <v>1103</v>
      </c>
      <c r="G210" s="201" t="s">
        <v>57</v>
      </c>
      <c r="H210" s="27" t="s">
        <v>178</v>
      </c>
      <c r="I210" s="27"/>
      <c r="J210" s="33"/>
      <c r="K210" s="33"/>
      <c r="L210" s="66"/>
      <c r="M210" s="27"/>
      <c r="N210" s="27"/>
      <c r="O210" s="27"/>
      <c r="P210" s="27"/>
      <c r="Q210" s="27"/>
      <c r="R210" s="27"/>
      <c r="S210" s="27"/>
      <c r="T210" s="27"/>
      <c r="U210" s="27"/>
      <c r="V210" s="27"/>
      <c r="W210" s="27"/>
      <c r="X210" s="27"/>
      <c r="Y210" s="27"/>
      <c r="Z210" s="27"/>
      <c r="AA210" s="27"/>
      <c r="AB210" s="27"/>
      <c r="AC210" s="27"/>
      <c r="AD210" s="27"/>
      <c r="AE210" s="27"/>
      <c r="AF210" s="27"/>
      <c r="AG210" s="27"/>
      <c r="AH210" s="27">
        <v>23.0</v>
      </c>
      <c r="AI210" s="27">
        <v>49.0</v>
      </c>
      <c r="AJ210" s="27">
        <v>2.0</v>
      </c>
      <c r="AK210" s="27" t="b">
        <v>1</v>
      </c>
      <c r="AL210" s="27">
        <v>100.0</v>
      </c>
      <c r="AM210" s="27" t="s">
        <v>389</v>
      </c>
      <c r="AN210" s="27" t="s">
        <v>405</v>
      </c>
      <c r="AO210" s="27"/>
    </row>
    <row r="211">
      <c r="A211" s="200">
        <v>44810.02510108796</v>
      </c>
      <c r="B211" s="19" t="s">
        <v>109</v>
      </c>
      <c r="C211" s="21" t="s">
        <v>400</v>
      </c>
      <c r="D211" s="62">
        <v>0.0</v>
      </c>
      <c r="E211" s="27">
        <v>1.0</v>
      </c>
      <c r="F211" s="27" t="s">
        <v>1062</v>
      </c>
      <c r="G211" s="201" t="s">
        <v>57</v>
      </c>
      <c r="H211" s="27" t="s">
        <v>53</v>
      </c>
      <c r="I211" s="27"/>
      <c r="J211" s="33">
        <v>13.5</v>
      </c>
      <c r="K211" s="33">
        <v>17.5</v>
      </c>
      <c r="L211" s="66">
        <v>59.0</v>
      </c>
      <c r="M211" s="27" t="s">
        <v>1063</v>
      </c>
      <c r="N211" s="27">
        <v>17.0</v>
      </c>
      <c r="O211" s="27"/>
      <c r="P211" s="27">
        <v>17.0</v>
      </c>
      <c r="Q211" s="27"/>
      <c r="R211" s="27">
        <v>17.0</v>
      </c>
      <c r="S211" s="27"/>
      <c r="T211" s="27">
        <v>17.5</v>
      </c>
      <c r="U211" s="27"/>
      <c r="V211" s="27">
        <v>17.0</v>
      </c>
      <c r="W211" s="27"/>
      <c r="X211" s="27">
        <v>17.0</v>
      </c>
      <c r="Y211" s="27"/>
      <c r="Z211" s="27">
        <v>17.0</v>
      </c>
      <c r="AA211" s="27"/>
      <c r="AB211" s="27">
        <v>16.0</v>
      </c>
      <c r="AC211" s="27"/>
      <c r="AD211" s="27">
        <v>17.5</v>
      </c>
      <c r="AE211" s="27"/>
      <c r="AF211" s="27">
        <v>17.5</v>
      </c>
      <c r="AG211" s="27"/>
      <c r="AH211" s="27">
        <v>10.0</v>
      </c>
      <c r="AI211" s="27">
        <v>21.0</v>
      </c>
      <c r="AJ211" s="27">
        <v>2.0</v>
      </c>
      <c r="AK211" s="27" t="b">
        <v>0</v>
      </c>
      <c r="AL211" s="27">
        <v>100.0</v>
      </c>
      <c r="AM211" s="27" t="s">
        <v>187</v>
      </c>
      <c r="AN211" s="27" t="s">
        <v>404</v>
      </c>
      <c r="AO211" s="27"/>
    </row>
    <row r="212">
      <c r="A212" s="200">
        <v>44810.02510108796</v>
      </c>
      <c r="B212" s="19" t="s">
        <v>109</v>
      </c>
      <c r="C212" s="21" t="s">
        <v>292</v>
      </c>
      <c r="D212" s="62">
        <v>1.0</v>
      </c>
      <c r="E212" s="27">
        <v>0.0</v>
      </c>
      <c r="F212" s="27" t="s">
        <v>1160</v>
      </c>
      <c r="G212" s="201" t="s">
        <v>57</v>
      </c>
      <c r="H212" s="27"/>
      <c r="I212" s="27"/>
      <c r="J212" s="33">
        <v>-14.0</v>
      </c>
      <c r="K212" s="33">
        <v>-14.0</v>
      </c>
      <c r="L212" s="66">
        <v>61.0</v>
      </c>
      <c r="M212" s="27" t="s">
        <v>1161</v>
      </c>
      <c r="N212" s="27">
        <v>-13.5</v>
      </c>
      <c r="O212" s="27"/>
      <c r="P212" s="27">
        <v>-13.0</v>
      </c>
      <c r="Q212" s="27"/>
      <c r="R212" s="27">
        <v>-13.5</v>
      </c>
      <c r="S212" s="27"/>
      <c r="T212" s="27">
        <v>-14.0</v>
      </c>
      <c r="U212" s="27"/>
      <c r="V212" s="27">
        <v>-13.0</v>
      </c>
      <c r="W212" s="27"/>
      <c r="X212" s="27">
        <v>-13.5</v>
      </c>
      <c r="Y212" s="27"/>
      <c r="Z212" s="27">
        <v>-14.0</v>
      </c>
      <c r="AA212" s="27"/>
      <c r="AB212" s="27">
        <v>-14.0</v>
      </c>
      <c r="AC212" s="27"/>
      <c r="AD212" s="27"/>
      <c r="AE212" s="27"/>
      <c r="AF212" s="27"/>
      <c r="AG212" s="27"/>
      <c r="AH212" s="27">
        <v>24.0</v>
      </c>
      <c r="AI212" s="27">
        <v>7.0</v>
      </c>
      <c r="AJ212" s="27">
        <v>2.0</v>
      </c>
      <c r="AK212" s="27" t="b">
        <v>0</v>
      </c>
      <c r="AL212" s="27">
        <v>100.0</v>
      </c>
      <c r="AM212" s="27" t="s">
        <v>193</v>
      </c>
      <c r="AN212" s="27" t="s">
        <v>405</v>
      </c>
      <c r="AO212" s="27"/>
    </row>
    <row r="213">
      <c r="A213" s="200">
        <v>44810.02510108796</v>
      </c>
      <c r="B213" s="19" t="s">
        <v>109</v>
      </c>
      <c r="C213" s="21" t="s">
        <v>343</v>
      </c>
      <c r="D213" s="62">
        <v>0.0</v>
      </c>
      <c r="E213" s="27">
        <v>1.0</v>
      </c>
      <c r="F213" s="27" t="s">
        <v>1162</v>
      </c>
      <c r="G213" s="201" t="s">
        <v>57</v>
      </c>
      <c r="H213" s="27" t="s">
        <v>116</v>
      </c>
      <c r="I213" s="27"/>
      <c r="J213" s="33">
        <v>5.5</v>
      </c>
      <c r="K213" s="33">
        <v>4.5</v>
      </c>
      <c r="L213" s="66">
        <v>59.0</v>
      </c>
      <c r="M213" s="27" t="s">
        <v>1163</v>
      </c>
      <c r="N213" s="27">
        <v>4.5</v>
      </c>
      <c r="O213" s="27"/>
      <c r="P213" s="27">
        <v>4.5</v>
      </c>
      <c r="Q213" s="27"/>
      <c r="R213" s="27">
        <v>4.5</v>
      </c>
      <c r="S213" s="27"/>
      <c r="T213" s="27">
        <v>4.5</v>
      </c>
      <c r="U213" s="27"/>
      <c r="V213" s="27">
        <v>4.5</v>
      </c>
      <c r="W213" s="27"/>
      <c r="X213" s="27">
        <v>4.5</v>
      </c>
      <c r="Y213" s="27"/>
      <c r="Z213" s="27">
        <v>4.5</v>
      </c>
      <c r="AA213" s="27"/>
      <c r="AB213" s="27">
        <v>4.5</v>
      </c>
      <c r="AC213" s="27"/>
      <c r="AD213" s="27">
        <v>4.5</v>
      </c>
      <c r="AE213" s="27"/>
      <c r="AF213" s="27">
        <v>4.5</v>
      </c>
      <c r="AG213" s="27"/>
      <c r="AH213" s="27">
        <v>7.0</v>
      </c>
      <c r="AI213" s="27">
        <v>44.0</v>
      </c>
      <c r="AJ213" s="27">
        <v>2.0</v>
      </c>
      <c r="AK213" s="27" t="b">
        <v>1</v>
      </c>
      <c r="AL213" s="27">
        <v>100.0</v>
      </c>
      <c r="AM213" s="27" t="s">
        <v>189</v>
      </c>
      <c r="AN213" s="27" t="s">
        <v>405</v>
      </c>
      <c r="AO213" s="27"/>
    </row>
    <row r="214">
      <c r="A214" s="200">
        <v>44810.02510108796</v>
      </c>
      <c r="B214" s="19" t="s">
        <v>109</v>
      </c>
      <c r="C214" s="21" t="s">
        <v>367</v>
      </c>
      <c r="D214" s="62">
        <v>2.0</v>
      </c>
      <c r="E214" s="27">
        <v>0.0</v>
      </c>
      <c r="F214" s="27" t="s">
        <v>1123</v>
      </c>
      <c r="G214" s="201" t="s">
        <v>57</v>
      </c>
      <c r="H214" s="27" t="s">
        <v>59</v>
      </c>
      <c r="I214" s="27"/>
      <c r="J214" s="33">
        <v>-3.5</v>
      </c>
      <c r="K214" s="33">
        <v>2.0</v>
      </c>
      <c r="L214" s="66">
        <v>57.0</v>
      </c>
      <c r="M214" s="27" t="s">
        <v>1124</v>
      </c>
      <c r="N214" s="27">
        <v>1.5</v>
      </c>
      <c r="O214" s="27"/>
      <c r="P214" s="27">
        <v>1.5</v>
      </c>
      <c r="Q214" s="27"/>
      <c r="R214" s="27">
        <v>2.0</v>
      </c>
      <c r="S214" s="27"/>
      <c r="T214" s="27">
        <v>2.0</v>
      </c>
      <c r="U214" s="27"/>
      <c r="V214" s="27">
        <v>1.5</v>
      </c>
      <c r="W214" s="27"/>
      <c r="X214" s="27">
        <v>1.5</v>
      </c>
      <c r="Y214" s="27"/>
      <c r="Z214" s="27">
        <v>1.5</v>
      </c>
      <c r="AA214" s="27"/>
      <c r="AB214" s="27">
        <v>1.0</v>
      </c>
      <c r="AC214" s="27"/>
      <c r="AD214" s="27">
        <v>2.0</v>
      </c>
      <c r="AE214" s="27"/>
      <c r="AF214" s="27">
        <v>2.0</v>
      </c>
      <c r="AG214" s="27"/>
      <c r="AH214" s="27">
        <v>119.0</v>
      </c>
      <c r="AI214" s="27">
        <v>85.0</v>
      </c>
      <c r="AJ214" s="27">
        <v>2.0</v>
      </c>
      <c r="AK214" s="27" t="b">
        <v>1</v>
      </c>
      <c r="AL214" s="27">
        <v>100.0</v>
      </c>
      <c r="AM214" s="27" t="s">
        <v>186</v>
      </c>
      <c r="AN214" s="27" t="s">
        <v>404</v>
      </c>
      <c r="AO214" s="27"/>
    </row>
    <row r="215">
      <c r="A215" s="200">
        <v>44810.02510108796</v>
      </c>
      <c r="B215" s="19" t="s">
        <v>109</v>
      </c>
      <c r="C215" s="21" t="s">
        <v>344</v>
      </c>
      <c r="D215" s="62">
        <v>0.0</v>
      </c>
      <c r="E215" s="27">
        <v>1.0</v>
      </c>
      <c r="F215" s="27" t="s">
        <v>1164</v>
      </c>
      <c r="G215" s="201" t="s">
        <v>57</v>
      </c>
      <c r="H215" s="27" t="s">
        <v>103</v>
      </c>
      <c r="I215" s="27"/>
      <c r="J215" s="33">
        <v>20.0</v>
      </c>
      <c r="K215" s="33">
        <v>24.0</v>
      </c>
      <c r="L215" s="66">
        <v>65.0</v>
      </c>
      <c r="M215" s="27" t="s">
        <v>1165</v>
      </c>
      <c r="N215" s="27">
        <v>24.5</v>
      </c>
      <c r="O215" s="27"/>
      <c r="P215" s="27">
        <v>24.0</v>
      </c>
      <c r="Q215" s="27"/>
      <c r="R215" s="27">
        <v>24.0</v>
      </c>
      <c r="S215" s="27"/>
      <c r="T215" s="27">
        <v>24.0</v>
      </c>
      <c r="U215" s="27"/>
      <c r="V215" s="27">
        <v>24.0</v>
      </c>
      <c r="W215" s="27"/>
      <c r="X215" s="27">
        <v>24.0</v>
      </c>
      <c r="Y215" s="27"/>
      <c r="Z215" s="27">
        <v>20.5</v>
      </c>
      <c r="AA215" s="27"/>
      <c r="AB215" s="27">
        <v>24.5</v>
      </c>
      <c r="AC215" s="27"/>
      <c r="AD215" s="27">
        <v>24.0</v>
      </c>
      <c r="AE215" s="27"/>
      <c r="AF215" s="27">
        <v>24.0</v>
      </c>
      <c r="AG215" s="27"/>
      <c r="AH215" s="27">
        <v>10.0</v>
      </c>
      <c r="AI215" s="27">
        <v>31.0</v>
      </c>
      <c r="AJ215" s="27">
        <v>2.0</v>
      </c>
      <c r="AK215" s="27" t="b">
        <v>0</v>
      </c>
      <c r="AL215" s="27">
        <v>100.0</v>
      </c>
      <c r="AM215" s="27" t="s">
        <v>190</v>
      </c>
      <c r="AN215" s="27" t="s">
        <v>405</v>
      </c>
      <c r="AO215" s="27"/>
    </row>
    <row r="216">
      <c r="A216" s="200">
        <v>44810.02510108796</v>
      </c>
      <c r="B216" s="19" t="s">
        <v>109</v>
      </c>
      <c r="C216" s="21" t="s">
        <v>328</v>
      </c>
      <c r="D216" s="62">
        <v>1.0</v>
      </c>
      <c r="E216" s="27">
        <v>0.0</v>
      </c>
      <c r="F216" s="27" t="s">
        <v>1166</v>
      </c>
      <c r="G216" s="201" t="s">
        <v>57</v>
      </c>
      <c r="H216" s="27"/>
      <c r="I216" s="27"/>
      <c r="J216" s="33">
        <v>-27.0</v>
      </c>
      <c r="K216" s="33">
        <v>-25.5</v>
      </c>
      <c r="L216" s="66">
        <v>50.5</v>
      </c>
      <c r="M216" s="27" t="s">
        <v>1091</v>
      </c>
      <c r="N216" s="27">
        <v>-25.5</v>
      </c>
      <c r="O216" s="27"/>
      <c r="P216" s="27">
        <v>-25.5</v>
      </c>
      <c r="Q216" s="27"/>
      <c r="R216" s="27">
        <v>-25.5</v>
      </c>
      <c r="S216" s="27"/>
      <c r="T216" s="27"/>
      <c r="U216" s="27"/>
      <c r="V216" s="27"/>
      <c r="W216" s="27"/>
      <c r="X216" s="27"/>
      <c r="Y216" s="27"/>
      <c r="Z216" s="27"/>
      <c r="AA216" s="27"/>
      <c r="AB216" s="27"/>
      <c r="AC216" s="27"/>
      <c r="AD216" s="27"/>
      <c r="AE216" s="27"/>
      <c r="AF216" s="27"/>
      <c r="AG216" s="27"/>
      <c r="AH216" s="27">
        <v>40.0</v>
      </c>
      <c r="AI216" s="27">
        <v>3.0</v>
      </c>
      <c r="AJ216" s="27">
        <v>2.0</v>
      </c>
      <c r="AK216" s="27" t="b">
        <v>0</v>
      </c>
      <c r="AL216" s="27">
        <v>100.0</v>
      </c>
      <c r="AM216" s="27" t="s">
        <v>191</v>
      </c>
      <c r="AN216" s="27" t="s">
        <v>404</v>
      </c>
      <c r="AO216" s="27"/>
    </row>
    <row r="217">
      <c r="A217" s="200">
        <v>44810.02510108796</v>
      </c>
      <c r="B217" s="19" t="s">
        <v>109</v>
      </c>
      <c r="C217" s="21" t="s">
        <v>394</v>
      </c>
      <c r="D217" s="62">
        <v>0.0</v>
      </c>
      <c r="E217" s="27">
        <v>2.0</v>
      </c>
      <c r="F217" s="27" t="s">
        <v>1114</v>
      </c>
      <c r="G217" s="201" t="s">
        <v>57</v>
      </c>
      <c r="H217" s="27" t="s">
        <v>178</v>
      </c>
      <c r="I217" s="27"/>
      <c r="J217" s="33">
        <v>38.5</v>
      </c>
      <c r="K217" s="33">
        <v>36.5</v>
      </c>
      <c r="L217" s="66">
        <v>52.5</v>
      </c>
      <c r="M217" s="27" t="s">
        <v>1115</v>
      </c>
      <c r="N217" s="27">
        <v>36.5</v>
      </c>
      <c r="O217" s="27"/>
      <c r="P217" s="27">
        <v>36.5</v>
      </c>
      <c r="Q217" s="27"/>
      <c r="R217" s="27">
        <v>36.5</v>
      </c>
      <c r="S217" s="27"/>
      <c r="T217" s="27">
        <v>36.5</v>
      </c>
      <c r="U217" s="27"/>
      <c r="V217" s="27">
        <v>36.5</v>
      </c>
      <c r="W217" s="27"/>
      <c r="X217" s="27">
        <v>36.5</v>
      </c>
      <c r="Y217" s="27"/>
      <c r="Z217" s="27">
        <v>36.5</v>
      </c>
      <c r="AA217" s="27"/>
      <c r="AB217" s="27">
        <v>37.0</v>
      </c>
      <c r="AC217" s="27"/>
      <c r="AD217" s="27">
        <v>36.5</v>
      </c>
      <c r="AE217" s="27"/>
      <c r="AF217" s="27">
        <v>36.5</v>
      </c>
      <c r="AG217" s="27"/>
      <c r="AH217" s="27">
        <v>12.0</v>
      </c>
      <c r="AI217" s="27">
        <v>61.0</v>
      </c>
      <c r="AJ217" s="27">
        <v>2.0</v>
      </c>
      <c r="AK217" s="27" t="b">
        <v>0</v>
      </c>
      <c r="AL217" s="27">
        <v>100.0</v>
      </c>
      <c r="AM217" s="27" t="s">
        <v>129</v>
      </c>
      <c r="AN217" s="27" t="s">
        <v>405</v>
      </c>
      <c r="AO217" s="27"/>
    </row>
    <row r="218">
      <c r="A218" s="200">
        <v>44810.02510108796</v>
      </c>
      <c r="B218" s="19" t="s">
        <v>109</v>
      </c>
      <c r="C218" s="21" t="s">
        <v>375</v>
      </c>
      <c r="D218" s="62">
        <v>1.0</v>
      </c>
      <c r="E218" s="27">
        <v>0.0</v>
      </c>
      <c r="F218" s="27" t="s">
        <v>1167</v>
      </c>
      <c r="G218" s="201" t="s">
        <v>57</v>
      </c>
      <c r="H218" s="27" t="s">
        <v>148</v>
      </c>
      <c r="I218" s="27"/>
      <c r="J218" s="33">
        <v>-4.0</v>
      </c>
      <c r="K218" s="33">
        <v>-3.5</v>
      </c>
      <c r="L218" s="66">
        <v>53.5</v>
      </c>
      <c r="M218" s="27"/>
      <c r="N218" s="27"/>
      <c r="O218" s="27"/>
      <c r="P218" s="27"/>
      <c r="Q218" s="27"/>
      <c r="R218" s="27"/>
      <c r="S218" s="27"/>
      <c r="T218" s="27"/>
      <c r="U218" s="27"/>
      <c r="V218" s="27"/>
      <c r="W218" s="27"/>
      <c r="X218" s="27"/>
      <c r="Y218" s="27"/>
      <c r="Z218" s="27"/>
      <c r="AA218" s="27"/>
      <c r="AB218" s="27"/>
      <c r="AC218" s="27"/>
      <c r="AD218" s="27"/>
      <c r="AE218" s="27"/>
      <c r="AF218" s="27"/>
      <c r="AG218" s="27"/>
      <c r="AH218" s="27">
        <v>35.0</v>
      </c>
      <c r="AI218" s="27">
        <v>31.0</v>
      </c>
      <c r="AJ218" s="27">
        <v>2.0</v>
      </c>
      <c r="AK218" s="27" t="b">
        <v>1</v>
      </c>
      <c r="AL218" s="27">
        <v>100.0</v>
      </c>
      <c r="AM218" s="27" t="s">
        <v>188</v>
      </c>
      <c r="AN218" s="27" t="s">
        <v>404</v>
      </c>
      <c r="AO218" s="27"/>
    </row>
    <row r="219">
      <c r="A219" s="200">
        <v>44810.02510108796</v>
      </c>
      <c r="B219" s="19"/>
      <c r="C219" s="21"/>
      <c r="D219" s="62"/>
      <c r="E219" s="27"/>
      <c r="F219" s="27"/>
      <c r="G219" s="201"/>
      <c r="H219" s="27"/>
      <c r="I219" s="27"/>
      <c r="J219" s="33"/>
      <c r="K219" s="33"/>
      <c r="L219" s="66"/>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t="e">
        <v>#N/A</v>
      </c>
      <c r="AN219" s="27" t="e">
        <v>#N/A</v>
      </c>
      <c r="AO219" s="27"/>
    </row>
    <row r="220">
      <c r="A220" s="200">
        <v>44810.02510108796</v>
      </c>
      <c r="B220" s="19" t="s">
        <v>144</v>
      </c>
      <c r="C220" s="21" t="s">
        <v>359</v>
      </c>
      <c r="D220" s="62">
        <v>0.0</v>
      </c>
      <c r="E220" s="27">
        <v>1.0</v>
      </c>
      <c r="F220" s="27" t="s">
        <v>1168</v>
      </c>
      <c r="G220" s="201" t="s">
        <v>57</v>
      </c>
      <c r="H220" s="27" t="s">
        <v>148</v>
      </c>
      <c r="I220" s="27"/>
      <c r="J220" s="33">
        <v>23.5</v>
      </c>
      <c r="K220" s="33">
        <v>23.5</v>
      </c>
      <c r="L220" s="66">
        <v>61.5</v>
      </c>
      <c r="M220" s="27" t="s">
        <v>1169</v>
      </c>
      <c r="N220" s="27">
        <v>23.5</v>
      </c>
      <c r="O220" s="27"/>
      <c r="P220" s="27">
        <v>23.5</v>
      </c>
      <c r="Q220" s="27"/>
      <c r="R220" s="27">
        <v>24.0</v>
      </c>
      <c r="S220" s="27"/>
      <c r="T220" s="27">
        <v>23.5</v>
      </c>
      <c r="U220" s="27"/>
      <c r="V220" s="27">
        <v>23.5</v>
      </c>
      <c r="W220" s="27"/>
      <c r="X220" s="27">
        <v>23.5</v>
      </c>
      <c r="Y220" s="27"/>
      <c r="Z220" s="27">
        <v>21.5</v>
      </c>
      <c r="AA220" s="27"/>
      <c r="AB220" s="27">
        <v>23.5</v>
      </c>
      <c r="AC220" s="27"/>
      <c r="AD220" s="27">
        <v>23.5</v>
      </c>
      <c r="AE220" s="27"/>
      <c r="AF220" s="27">
        <v>23.5</v>
      </c>
      <c r="AG220" s="27"/>
      <c r="AH220" s="27">
        <v>20.0</v>
      </c>
      <c r="AI220" s="27">
        <v>45.0</v>
      </c>
      <c r="AJ220" s="27">
        <v>2.0</v>
      </c>
      <c r="AK220" s="27" t="b">
        <v>0</v>
      </c>
      <c r="AL220" s="27">
        <v>100.0</v>
      </c>
      <c r="AM220" s="27" t="s">
        <v>190</v>
      </c>
      <c r="AN220" s="27" t="s">
        <v>405</v>
      </c>
      <c r="AO220" s="27"/>
    </row>
    <row r="221">
      <c r="A221" s="200">
        <v>44810.02510108796</v>
      </c>
      <c r="B221" s="19" t="s">
        <v>144</v>
      </c>
      <c r="C221" s="21" t="s">
        <v>346</v>
      </c>
      <c r="D221" s="62">
        <v>1.0</v>
      </c>
      <c r="E221" s="27">
        <v>0.0</v>
      </c>
      <c r="F221" s="27" t="s">
        <v>1170</v>
      </c>
      <c r="G221" s="201" t="s">
        <v>57</v>
      </c>
      <c r="H221" s="27" t="s">
        <v>154</v>
      </c>
      <c r="I221" s="27"/>
      <c r="J221" s="33">
        <v>-1.0</v>
      </c>
      <c r="K221" s="33">
        <v>2.5</v>
      </c>
      <c r="L221" s="66">
        <v>51.5</v>
      </c>
      <c r="M221" s="27" t="s">
        <v>1171</v>
      </c>
      <c r="N221" s="27">
        <v>2.5</v>
      </c>
      <c r="O221" s="27"/>
      <c r="P221" s="27">
        <v>2.5</v>
      </c>
      <c r="Q221" s="27"/>
      <c r="R221" s="27">
        <v>2.0</v>
      </c>
      <c r="S221" s="27"/>
      <c r="T221" s="27">
        <v>2.5</v>
      </c>
      <c r="U221" s="27"/>
      <c r="V221" s="27">
        <v>2.5</v>
      </c>
      <c r="W221" s="27"/>
      <c r="X221" s="27">
        <v>2.5</v>
      </c>
      <c r="Y221" s="27"/>
      <c r="Z221" s="27">
        <v>2.5</v>
      </c>
      <c r="AA221" s="27"/>
      <c r="AB221" s="27">
        <v>2.5</v>
      </c>
      <c r="AC221" s="27"/>
      <c r="AD221" s="27">
        <v>2.5</v>
      </c>
      <c r="AE221" s="27"/>
      <c r="AF221" s="27">
        <v>2.5</v>
      </c>
      <c r="AG221" s="27"/>
      <c r="AH221" s="27">
        <v>29.0</v>
      </c>
      <c r="AI221" s="27">
        <v>26.0</v>
      </c>
      <c r="AJ221" s="27">
        <v>2.0</v>
      </c>
      <c r="AK221" s="27" t="b">
        <v>0</v>
      </c>
      <c r="AL221" s="27">
        <v>100.0</v>
      </c>
      <c r="AM221" s="27" t="s">
        <v>192</v>
      </c>
      <c r="AN221" s="27" t="s">
        <v>404</v>
      </c>
      <c r="AO221" s="27"/>
    </row>
    <row r="222">
      <c r="A222" s="200">
        <v>44810.02510108796</v>
      </c>
      <c r="B222" s="19" t="s">
        <v>144</v>
      </c>
      <c r="C222" s="21" t="s">
        <v>300</v>
      </c>
      <c r="D222" s="62">
        <v>1.0</v>
      </c>
      <c r="E222" s="27">
        <v>0.0</v>
      </c>
      <c r="F222" s="27" t="s">
        <v>1172</v>
      </c>
      <c r="G222" s="201" t="s">
        <v>57</v>
      </c>
      <c r="H222" s="27" t="s">
        <v>166</v>
      </c>
      <c r="I222" s="27"/>
      <c r="J222" s="33">
        <v>-3.0</v>
      </c>
      <c r="K222" s="33">
        <v>-1.5</v>
      </c>
      <c r="L222" s="66">
        <v>54.0</v>
      </c>
      <c r="M222" s="27" t="s">
        <v>1173</v>
      </c>
      <c r="N222" s="27">
        <v>-1.5</v>
      </c>
      <c r="O222" s="27"/>
      <c r="P222" s="27">
        <v>-1.5</v>
      </c>
      <c r="Q222" s="27"/>
      <c r="R222" s="27">
        <v>-1.5</v>
      </c>
      <c r="S222" s="27"/>
      <c r="T222" s="27">
        <v>1.5</v>
      </c>
      <c r="U222" s="27"/>
      <c r="V222" s="27">
        <v>-1.5</v>
      </c>
      <c r="W222" s="27"/>
      <c r="X222" s="27">
        <v>-1.5</v>
      </c>
      <c r="Y222" s="27"/>
      <c r="Z222" s="27">
        <v>-1.5</v>
      </c>
      <c r="AA222" s="27"/>
      <c r="AB222" s="27">
        <v>-2.0</v>
      </c>
      <c r="AC222" s="27"/>
      <c r="AD222" s="27">
        <v>1.5</v>
      </c>
      <c r="AE222" s="27"/>
      <c r="AF222" s="27">
        <v>1.5</v>
      </c>
      <c r="AG222" s="27"/>
      <c r="AH222" s="27">
        <v>38.0</v>
      </c>
      <c r="AI222" s="27">
        <v>28.0</v>
      </c>
      <c r="AJ222" s="27">
        <v>2.0</v>
      </c>
      <c r="AK222" s="27" t="b">
        <v>0</v>
      </c>
      <c r="AL222" s="27">
        <v>100.0</v>
      </c>
      <c r="AM222" s="27" t="s">
        <v>193</v>
      </c>
      <c r="AN222" s="27" t="s">
        <v>405</v>
      </c>
      <c r="AO222" s="27"/>
    </row>
    <row r="223">
      <c r="A223" s="200">
        <v>44810.02510108796</v>
      </c>
      <c r="B223" s="19" t="s">
        <v>144</v>
      </c>
      <c r="C223" s="21" t="s">
        <v>357</v>
      </c>
      <c r="D223" s="62">
        <v>1.0</v>
      </c>
      <c r="E223" s="27">
        <v>0.0</v>
      </c>
      <c r="F223" s="27" t="s">
        <v>1174</v>
      </c>
      <c r="G223" s="201" t="s">
        <v>57</v>
      </c>
      <c r="H223" s="27"/>
      <c r="I223" s="27"/>
      <c r="J223" s="33">
        <v>-45.0</v>
      </c>
      <c r="K223" s="33">
        <v>-49.5</v>
      </c>
      <c r="L223" s="66">
        <v>62.0</v>
      </c>
      <c r="M223" s="27" t="s">
        <v>1091</v>
      </c>
      <c r="N223" s="27">
        <v>-49.5</v>
      </c>
      <c r="O223" s="27"/>
      <c r="P223" s="27">
        <v>-49.5</v>
      </c>
      <c r="Q223" s="27"/>
      <c r="R223" s="27">
        <v>-48.5</v>
      </c>
      <c r="S223" s="27"/>
      <c r="T223" s="27">
        <v>-49.0</v>
      </c>
      <c r="U223" s="27"/>
      <c r="V223" s="27">
        <v>-49.5</v>
      </c>
      <c r="W223" s="27"/>
      <c r="X223" s="27">
        <v>-49.5</v>
      </c>
      <c r="Y223" s="27"/>
      <c r="Z223" s="27"/>
      <c r="AA223" s="27"/>
      <c r="AB223" s="27"/>
      <c r="AC223" s="27"/>
      <c r="AD223" s="27"/>
      <c r="AE223" s="27"/>
      <c r="AF223" s="27"/>
      <c r="AG223" s="27"/>
      <c r="AH223" s="27">
        <v>70.0</v>
      </c>
      <c r="AI223" s="27">
        <v>13.0</v>
      </c>
      <c r="AJ223" s="27">
        <v>2.0</v>
      </c>
      <c r="AK223" s="27" t="b">
        <v>0</v>
      </c>
      <c r="AL223" s="27">
        <v>100.0</v>
      </c>
      <c r="AM223" s="27" t="s">
        <v>186</v>
      </c>
      <c r="AN223" s="27" t="s">
        <v>404</v>
      </c>
      <c r="AO223" s="27"/>
    </row>
    <row r="224">
      <c r="A224" s="200">
        <v>44810.02510108796</v>
      </c>
      <c r="B224" s="19" t="s">
        <v>144</v>
      </c>
      <c r="C224" s="21" t="s">
        <v>325</v>
      </c>
      <c r="D224" s="62">
        <v>0.0</v>
      </c>
      <c r="E224" s="27">
        <v>1.0</v>
      </c>
      <c r="F224" s="27" t="s">
        <v>1175</v>
      </c>
      <c r="G224" s="201" t="s">
        <v>57</v>
      </c>
      <c r="H224" s="27" t="s">
        <v>154</v>
      </c>
      <c r="I224" s="27"/>
      <c r="J224" s="33">
        <v>11.0</v>
      </c>
      <c r="K224" s="33">
        <v>12.0</v>
      </c>
      <c r="L224" s="66">
        <v>51.0</v>
      </c>
      <c r="M224" s="27" t="s">
        <v>1176</v>
      </c>
      <c r="N224" s="27">
        <v>12.5</v>
      </c>
      <c r="O224" s="27"/>
      <c r="P224" s="27">
        <v>12.0</v>
      </c>
      <c r="Q224" s="27"/>
      <c r="R224" s="27">
        <v>12.0</v>
      </c>
      <c r="S224" s="27"/>
      <c r="T224" s="27">
        <v>12.0</v>
      </c>
      <c r="U224" s="27"/>
      <c r="V224" s="27">
        <v>12.0</v>
      </c>
      <c r="W224" s="27"/>
      <c r="X224" s="27">
        <v>12.0</v>
      </c>
      <c r="Y224" s="27"/>
      <c r="Z224" s="27">
        <v>12.0</v>
      </c>
      <c r="AA224" s="27"/>
      <c r="AB224" s="27">
        <v>12.5</v>
      </c>
      <c r="AC224" s="27"/>
      <c r="AD224" s="27">
        <v>12.0</v>
      </c>
      <c r="AE224" s="27"/>
      <c r="AF224" s="27">
        <v>12.0</v>
      </c>
      <c r="AG224" s="27"/>
      <c r="AH224" s="27">
        <v>20.0</v>
      </c>
      <c r="AI224" s="27">
        <v>21.0</v>
      </c>
      <c r="AJ224" s="27">
        <v>2.0</v>
      </c>
      <c r="AK224" s="27" t="b">
        <v>1</v>
      </c>
      <c r="AL224" s="27">
        <v>100.0</v>
      </c>
      <c r="AM224" s="27" t="s">
        <v>389</v>
      </c>
      <c r="AN224" s="27" t="s">
        <v>405</v>
      </c>
      <c r="AO224" s="27"/>
    </row>
    <row r="225">
      <c r="A225" s="200">
        <v>44810.02510108796</v>
      </c>
      <c r="B225" s="19" t="s">
        <v>144</v>
      </c>
      <c r="C225" s="21" t="s">
        <v>342</v>
      </c>
      <c r="D225" s="62">
        <v>0.0</v>
      </c>
      <c r="E225" s="27">
        <v>1.0</v>
      </c>
      <c r="F225" s="27" t="s">
        <v>1177</v>
      </c>
      <c r="G225" s="201" t="s">
        <v>57</v>
      </c>
      <c r="H225" s="27" t="s">
        <v>103</v>
      </c>
      <c r="I225" s="27"/>
      <c r="J225" s="33">
        <v>-6.5</v>
      </c>
      <c r="K225" s="33">
        <v>-13.5</v>
      </c>
      <c r="L225" s="66">
        <v>59.5</v>
      </c>
      <c r="M225" s="27"/>
      <c r="N225" s="27"/>
      <c r="O225" s="27"/>
      <c r="P225" s="27"/>
      <c r="Q225" s="27"/>
      <c r="R225" s="27"/>
      <c r="S225" s="27"/>
      <c r="T225" s="27"/>
      <c r="U225" s="27"/>
      <c r="V225" s="27"/>
      <c r="W225" s="27"/>
      <c r="X225" s="27"/>
      <c r="Y225" s="27"/>
      <c r="Z225" s="27"/>
      <c r="AA225" s="27"/>
      <c r="AB225" s="27"/>
      <c r="AC225" s="27"/>
      <c r="AD225" s="27"/>
      <c r="AE225" s="27"/>
      <c r="AF225" s="27"/>
      <c r="AG225" s="27"/>
      <c r="AH225" s="27">
        <v>13.0</v>
      </c>
      <c r="AI225" s="27">
        <v>38.0</v>
      </c>
      <c r="AJ225" s="27">
        <v>2.0</v>
      </c>
      <c r="AK225" s="27" t="b">
        <v>0</v>
      </c>
      <c r="AL225" s="27">
        <v>100.0</v>
      </c>
      <c r="AM225" s="27" t="s">
        <v>191</v>
      </c>
      <c r="AN225" s="27" t="s">
        <v>404</v>
      </c>
      <c r="AO225" s="27"/>
    </row>
    <row r="226">
      <c r="A226" s="200">
        <v>44810.02510108796</v>
      </c>
      <c r="B226" s="19" t="s">
        <v>144</v>
      </c>
      <c r="C226" s="21" t="s">
        <v>321</v>
      </c>
      <c r="D226" s="62">
        <v>1.0</v>
      </c>
      <c r="E226" s="27">
        <v>1.0</v>
      </c>
      <c r="F226" s="27" t="s">
        <v>1178</v>
      </c>
      <c r="G226" s="201" t="s">
        <v>57</v>
      </c>
      <c r="H226" s="27" t="s">
        <v>166</v>
      </c>
      <c r="I226" s="27"/>
      <c r="J226" s="33">
        <v>3.5</v>
      </c>
      <c r="K226" s="33">
        <v>0.0</v>
      </c>
      <c r="L226" s="66">
        <v>46.5</v>
      </c>
      <c r="M226" s="27" t="s">
        <v>1179</v>
      </c>
      <c r="N226" s="27">
        <v>1.0</v>
      </c>
      <c r="O226" s="27"/>
      <c r="P226" s="27">
        <v>0.0</v>
      </c>
      <c r="Q226" s="27"/>
      <c r="R226" s="27">
        <v>0.0</v>
      </c>
      <c r="S226" s="27"/>
      <c r="T226" s="27">
        <v>0.0</v>
      </c>
      <c r="U226" s="27"/>
      <c r="V226" s="27">
        <v>1.0</v>
      </c>
      <c r="W226" s="27"/>
      <c r="X226" s="27">
        <v>1.0</v>
      </c>
      <c r="Y226" s="27"/>
      <c r="Z226" s="27">
        <v>0.0</v>
      </c>
      <c r="AA226" s="27"/>
      <c r="AB226" s="27">
        <v>0.0</v>
      </c>
      <c r="AC226" s="27"/>
      <c r="AD226" s="27">
        <v>0.0</v>
      </c>
      <c r="AE226" s="27"/>
      <c r="AF226" s="27">
        <v>1.0</v>
      </c>
      <c r="AG226" s="27"/>
      <c r="AH226" s="27">
        <v>58.0</v>
      </c>
      <c r="AI226" s="27">
        <v>29.0</v>
      </c>
      <c r="AJ226" s="27">
        <v>2.0</v>
      </c>
      <c r="AK226" s="27" t="b">
        <v>1</v>
      </c>
      <c r="AL226" s="27">
        <v>100.0</v>
      </c>
      <c r="AM226" s="27" t="s">
        <v>188</v>
      </c>
      <c r="AN226" s="27" t="s">
        <v>404</v>
      </c>
      <c r="AO226" s="27"/>
    </row>
    <row r="227">
      <c r="A227" s="200">
        <v>44810.02510108796</v>
      </c>
      <c r="B227" s="19" t="s">
        <v>144</v>
      </c>
      <c r="C227" s="21" t="s">
        <v>345</v>
      </c>
      <c r="D227" s="62">
        <v>1.0</v>
      </c>
      <c r="E227" s="27">
        <v>0.0</v>
      </c>
      <c r="F227" s="27" t="s">
        <v>1180</v>
      </c>
      <c r="G227" s="201" t="s">
        <v>57</v>
      </c>
      <c r="H227" s="27"/>
      <c r="I227" s="27"/>
      <c r="J227" s="33">
        <v>-34.5</v>
      </c>
      <c r="K227" s="33">
        <v>-42.0</v>
      </c>
      <c r="L227" s="66">
        <v>63.0</v>
      </c>
      <c r="M227" s="27" t="s">
        <v>1181</v>
      </c>
      <c r="N227" s="27">
        <v>-41.5</v>
      </c>
      <c r="O227" s="27"/>
      <c r="P227" s="27">
        <v>-42.0</v>
      </c>
      <c r="Q227" s="27"/>
      <c r="R227" s="27">
        <v>-42.0</v>
      </c>
      <c r="S227" s="27"/>
      <c r="T227" s="27">
        <v>-42.5</v>
      </c>
      <c r="U227" s="27"/>
      <c r="V227" s="27">
        <v>-42.5</v>
      </c>
      <c r="W227" s="27"/>
      <c r="X227" s="27">
        <v>-42.0</v>
      </c>
      <c r="Y227" s="27"/>
      <c r="Z227" s="27">
        <v>-42.0</v>
      </c>
      <c r="AA227" s="27"/>
      <c r="AB227" s="27"/>
      <c r="AC227" s="27"/>
      <c r="AD227" s="27"/>
      <c r="AE227" s="27"/>
      <c r="AF227" s="27"/>
      <c r="AG227" s="27"/>
      <c r="AH227" s="27">
        <v>35.0</v>
      </c>
      <c r="AI227" s="27">
        <v>7.0</v>
      </c>
      <c r="AJ227" s="27">
        <v>2.0</v>
      </c>
      <c r="AK227" s="27" t="b">
        <v>0</v>
      </c>
      <c r="AL227" s="27">
        <v>100.0</v>
      </c>
      <c r="AM227" s="27" t="s">
        <v>129</v>
      </c>
      <c r="AN227" s="27" t="s">
        <v>405</v>
      </c>
      <c r="AO227" s="27"/>
    </row>
    <row r="228">
      <c r="A228" s="200">
        <v>44810.02510108796</v>
      </c>
      <c r="B228" s="19" t="s">
        <v>144</v>
      </c>
      <c r="C228" s="21" t="s">
        <v>371</v>
      </c>
      <c r="D228" s="62">
        <v>0.0</v>
      </c>
      <c r="E228" s="27">
        <v>1.0</v>
      </c>
      <c r="F228" s="27" t="s">
        <v>1182</v>
      </c>
      <c r="G228" s="201" t="s">
        <v>57</v>
      </c>
      <c r="H228" s="27" t="s">
        <v>166</v>
      </c>
      <c r="I228" s="27"/>
      <c r="J228" s="33">
        <v>7.0</v>
      </c>
      <c r="K228" s="33">
        <v>7.5</v>
      </c>
      <c r="L228" s="66">
        <v>51.0</v>
      </c>
      <c r="M228" s="27" t="s">
        <v>1183</v>
      </c>
      <c r="N228" s="27">
        <v>7.5</v>
      </c>
      <c r="O228" s="27"/>
      <c r="P228" s="27">
        <v>7.5</v>
      </c>
      <c r="Q228" s="27"/>
      <c r="R228" s="27">
        <v>7.5</v>
      </c>
      <c r="S228" s="27"/>
      <c r="T228" s="27">
        <v>8.0</v>
      </c>
      <c r="U228" s="27"/>
      <c r="V228" s="27">
        <v>7.5</v>
      </c>
      <c r="W228" s="27"/>
      <c r="X228" s="27">
        <v>7.5</v>
      </c>
      <c r="Y228" s="27"/>
      <c r="Z228" s="27">
        <v>7.5</v>
      </c>
      <c r="AA228" s="27"/>
      <c r="AB228" s="27">
        <v>7.0</v>
      </c>
      <c r="AC228" s="27"/>
      <c r="AD228" s="27">
        <v>8.0</v>
      </c>
      <c r="AE228" s="27"/>
      <c r="AF228" s="27">
        <v>8.0</v>
      </c>
      <c r="AG228" s="27"/>
      <c r="AH228" s="27">
        <v>31.0</v>
      </c>
      <c r="AI228" s="27">
        <v>38.0</v>
      </c>
      <c r="AJ228" s="27">
        <v>2.0</v>
      </c>
      <c r="AK228" s="27" t="b">
        <v>1</v>
      </c>
      <c r="AL228" s="27">
        <v>100.0</v>
      </c>
      <c r="AM228" s="27" t="s">
        <v>187</v>
      </c>
      <c r="AN228" s="27" t="s">
        <v>404</v>
      </c>
      <c r="AO228" s="27"/>
    </row>
    <row r="229">
      <c r="A229" s="200">
        <v>44810.02510108796</v>
      </c>
      <c r="B229" s="19" t="s">
        <v>144</v>
      </c>
      <c r="C229" s="21" t="s">
        <v>338</v>
      </c>
      <c r="D229" s="62">
        <v>0.0</v>
      </c>
      <c r="E229" s="27">
        <v>1.0</v>
      </c>
      <c r="F229" s="27" t="s">
        <v>1184</v>
      </c>
      <c r="G229" s="201" t="s">
        <v>183</v>
      </c>
      <c r="H229" s="27" t="s">
        <v>166</v>
      </c>
      <c r="I229" s="27"/>
      <c r="J229" s="33">
        <v>4.5</v>
      </c>
      <c r="K229" s="33">
        <v>3.5</v>
      </c>
      <c r="L229" s="66">
        <v>50.5</v>
      </c>
      <c r="M229" s="27" t="s">
        <v>1185</v>
      </c>
      <c r="N229" s="27">
        <v>3.5</v>
      </c>
      <c r="O229" s="27"/>
      <c r="P229" s="27">
        <v>3.5</v>
      </c>
      <c r="Q229" s="27"/>
      <c r="R229" s="27">
        <v>3.5</v>
      </c>
      <c r="S229" s="27"/>
      <c r="T229" s="27">
        <v>3.5</v>
      </c>
      <c r="U229" s="27"/>
      <c r="V229" s="27">
        <v>3.5</v>
      </c>
      <c r="W229" s="27"/>
      <c r="X229" s="27">
        <v>3.5</v>
      </c>
      <c r="Y229" s="27"/>
      <c r="Z229" s="27">
        <v>3.5</v>
      </c>
      <c r="AA229" s="27"/>
      <c r="AB229" s="27">
        <v>3.5</v>
      </c>
      <c r="AC229" s="27"/>
      <c r="AD229" s="27">
        <v>3.5</v>
      </c>
      <c r="AE229" s="27"/>
      <c r="AF229" s="27">
        <v>3.5</v>
      </c>
      <c r="AG229" s="27"/>
      <c r="AH229" s="27">
        <v>27.0</v>
      </c>
      <c r="AI229" s="27">
        <v>29.0</v>
      </c>
      <c r="AJ229" s="27">
        <v>2.0</v>
      </c>
      <c r="AK229" s="27" t="b">
        <v>0</v>
      </c>
      <c r="AL229" s="27">
        <v>100.0</v>
      </c>
      <c r="AM229" s="27" t="s">
        <v>189</v>
      </c>
      <c r="AN229" s="27" t="s">
        <v>405</v>
      </c>
      <c r="AO229" s="27"/>
    </row>
    <row r="230">
      <c r="A230" s="200">
        <v>44810.02510108796</v>
      </c>
      <c r="B230" s="19"/>
      <c r="C230" s="21"/>
      <c r="D230" s="62"/>
      <c r="E230" s="27"/>
      <c r="F230" s="27"/>
      <c r="G230" s="201"/>
      <c r="H230" s="27"/>
      <c r="I230" s="27"/>
      <c r="J230" s="33"/>
      <c r="K230" s="33"/>
      <c r="L230" s="66"/>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t="e">
        <v>#N/A</v>
      </c>
      <c r="AN230" s="27" t="e">
        <v>#N/A</v>
      </c>
      <c r="AO230" s="27"/>
    </row>
    <row r="231">
      <c r="A231" s="200">
        <v>44810.02510108796</v>
      </c>
      <c r="B231" s="19" t="s">
        <v>166</v>
      </c>
      <c r="C231" s="21" t="s">
        <v>351</v>
      </c>
      <c r="D231" s="62">
        <v>0.0</v>
      </c>
      <c r="E231" s="27">
        <v>2.0</v>
      </c>
      <c r="F231" s="27" t="s">
        <v>1101</v>
      </c>
      <c r="G231" s="201" t="s">
        <v>57</v>
      </c>
      <c r="H231" s="27" t="s">
        <v>178</v>
      </c>
      <c r="I231" s="27"/>
      <c r="J231" s="33">
        <v>-7.0</v>
      </c>
      <c r="K231" s="33">
        <v>16.0</v>
      </c>
      <c r="L231" s="66">
        <v>68.0</v>
      </c>
      <c r="M231" s="27" t="s">
        <v>1102</v>
      </c>
      <c r="N231" s="27">
        <v>16.5</v>
      </c>
      <c r="O231" s="27"/>
      <c r="P231" s="27">
        <v>16.5</v>
      </c>
      <c r="Q231" s="27"/>
      <c r="R231" s="27">
        <v>16.5</v>
      </c>
      <c r="S231" s="27"/>
      <c r="T231" s="27">
        <v>16.0</v>
      </c>
      <c r="U231" s="27"/>
      <c r="V231" s="27">
        <v>16.5</v>
      </c>
      <c r="W231" s="27"/>
      <c r="X231" s="27">
        <v>16.5</v>
      </c>
      <c r="Y231" s="27"/>
      <c r="Z231" s="27">
        <v>16.5</v>
      </c>
      <c r="AA231" s="27"/>
      <c r="AB231" s="27">
        <v>16.0</v>
      </c>
      <c r="AC231" s="27"/>
      <c r="AD231" s="27">
        <v>16.0</v>
      </c>
      <c r="AE231" s="27"/>
      <c r="AF231" s="27">
        <v>16.0</v>
      </c>
      <c r="AG231" s="27"/>
      <c r="AH231" s="27">
        <v>27.0</v>
      </c>
      <c r="AI231" s="27">
        <v>112.0</v>
      </c>
      <c r="AJ231" s="27">
        <v>2.0</v>
      </c>
      <c r="AK231" s="27" t="b">
        <v>1</v>
      </c>
      <c r="AL231" s="27">
        <v>100.0</v>
      </c>
      <c r="AM231" s="27" t="s">
        <v>129</v>
      </c>
      <c r="AN231" s="27" t="s">
        <v>405</v>
      </c>
      <c r="AO231" s="27"/>
    </row>
    <row r="232">
      <c r="A232" s="200">
        <v>44810.02510108796</v>
      </c>
      <c r="B232" s="19" t="s">
        <v>166</v>
      </c>
      <c r="C232" s="21" t="s">
        <v>337</v>
      </c>
      <c r="D232" s="62">
        <v>1.0</v>
      </c>
      <c r="E232" s="27">
        <v>0.0</v>
      </c>
      <c r="F232" s="27" t="s">
        <v>1186</v>
      </c>
      <c r="G232" s="201" t="s">
        <v>57</v>
      </c>
      <c r="H232" s="27"/>
      <c r="I232" s="27"/>
      <c r="J232" s="33">
        <v>-31.5</v>
      </c>
      <c r="K232" s="33">
        <v>-31.0</v>
      </c>
      <c r="L232" s="66">
        <v>50.5</v>
      </c>
      <c r="M232" s="27" t="s">
        <v>1115</v>
      </c>
      <c r="N232" s="27">
        <v>-29.5</v>
      </c>
      <c r="O232" s="27"/>
      <c r="P232" s="27">
        <v>-30.0</v>
      </c>
      <c r="Q232" s="27"/>
      <c r="R232" s="27">
        <v>-29.0</v>
      </c>
      <c r="S232" s="27"/>
      <c r="T232" s="27">
        <v>-31.0</v>
      </c>
      <c r="U232" s="27"/>
      <c r="V232" s="27">
        <v>-30.0</v>
      </c>
      <c r="W232" s="27"/>
      <c r="X232" s="27">
        <v>-30.0</v>
      </c>
      <c r="Y232" s="27"/>
      <c r="Z232" s="27">
        <v>-31.0</v>
      </c>
      <c r="AA232" s="27"/>
      <c r="AB232" s="27">
        <v>-31.0</v>
      </c>
      <c r="AC232" s="27"/>
      <c r="AD232" s="27"/>
      <c r="AE232" s="27"/>
      <c r="AF232" s="27"/>
      <c r="AG232" s="27"/>
      <c r="AH232" s="27">
        <v>42.0</v>
      </c>
      <c r="AI232" s="27">
        <v>16.0</v>
      </c>
      <c r="AJ232" s="27">
        <v>2.0</v>
      </c>
      <c r="AK232" s="27" t="b">
        <v>0</v>
      </c>
      <c r="AL232" s="27">
        <v>100.0</v>
      </c>
      <c r="AM232" s="27" t="s">
        <v>192</v>
      </c>
      <c r="AN232" s="27" t="s">
        <v>404</v>
      </c>
      <c r="AO232" s="27"/>
    </row>
    <row r="233">
      <c r="A233" s="200">
        <v>44810.02510108796</v>
      </c>
      <c r="B233" s="19" t="s">
        <v>166</v>
      </c>
      <c r="C233" s="21" t="s">
        <v>364</v>
      </c>
      <c r="D233" s="62">
        <v>1.0</v>
      </c>
      <c r="E233" s="27">
        <v>0.0</v>
      </c>
      <c r="F233" s="27" t="s">
        <v>1085</v>
      </c>
      <c r="G233" s="201" t="s">
        <v>57</v>
      </c>
      <c r="H233" s="27" t="s">
        <v>131</v>
      </c>
      <c r="I233" s="27"/>
      <c r="J233" s="33">
        <v>-41.0</v>
      </c>
      <c r="K233" s="33">
        <v>-37.5</v>
      </c>
      <c r="L233" s="66">
        <v>64.5</v>
      </c>
      <c r="M233" s="27" t="s">
        <v>1069</v>
      </c>
      <c r="N233" s="27">
        <v>-37.5</v>
      </c>
      <c r="O233" s="27"/>
      <c r="P233" s="27">
        <v>-37.5</v>
      </c>
      <c r="Q233" s="27"/>
      <c r="R233" s="27">
        <v>-37.5</v>
      </c>
      <c r="S233" s="27"/>
      <c r="T233" s="27">
        <v>-37.5</v>
      </c>
      <c r="U233" s="27"/>
      <c r="V233" s="27">
        <v>-37.5</v>
      </c>
      <c r="W233" s="27"/>
      <c r="X233" s="27">
        <v>-37.5</v>
      </c>
      <c r="Y233" s="27"/>
      <c r="Z233" s="27">
        <v>-38.0</v>
      </c>
      <c r="AA233" s="27"/>
      <c r="AB233" s="27">
        <v>-37.5</v>
      </c>
      <c r="AC233" s="27"/>
      <c r="AD233" s="27">
        <v>-37.5</v>
      </c>
      <c r="AE233" s="27"/>
      <c r="AF233" s="27">
        <v>-37.5</v>
      </c>
      <c r="AG233" s="27"/>
      <c r="AH233" s="27">
        <v>52.0</v>
      </c>
      <c r="AI233" s="27">
        <v>10.0</v>
      </c>
      <c r="AJ233" s="27">
        <v>2.0</v>
      </c>
      <c r="AK233" s="27" t="b">
        <v>0</v>
      </c>
      <c r="AL233" s="27">
        <v>100.0</v>
      </c>
      <c r="AM233" s="27" t="s">
        <v>187</v>
      </c>
      <c r="AN233" s="27" t="s">
        <v>404</v>
      </c>
      <c r="AO233" s="27"/>
    </row>
    <row r="234">
      <c r="A234" s="200">
        <v>44810.02510108796</v>
      </c>
      <c r="B234" s="19" t="s">
        <v>166</v>
      </c>
      <c r="C234" s="21" t="s">
        <v>398</v>
      </c>
      <c r="D234" s="62">
        <v>0.0</v>
      </c>
      <c r="E234" s="27">
        <v>1.0</v>
      </c>
      <c r="F234" s="27" t="s">
        <v>1172</v>
      </c>
      <c r="G234" s="201" t="s">
        <v>57</v>
      </c>
      <c r="H234" s="27" t="s">
        <v>144</v>
      </c>
      <c r="I234" s="27"/>
      <c r="J234" s="33">
        <v>3.0</v>
      </c>
      <c r="K234" s="33">
        <v>1.5</v>
      </c>
      <c r="L234" s="66">
        <v>54.0</v>
      </c>
      <c r="M234" s="27" t="s">
        <v>1173</v>
      </c>
      <c r="N234" s="27">
        <v>1.5</v>
      </c>
      <c r="O234" s="27"/>
      <c r="P234" s="27">
        <v>1.5</v>
      </c>
      <c r="Q234" s="27"/>
      <c r="R234" s="27">
        <v>1.5</v>
      </c>
      <c r="S234" s="27"/>
      <c r="T234" s="27">
        <v>-1.5</v>
      </c>
      <c r="U234" s="27"/>
      <c r="V234" s="27">
        <v>1.5</v>
      </c>
      <c r="W234" s="27"/>
      <c r="X234" s="27">
        <v>1.5</v>
      </c>
      <c r="Y234" s="27"/>
      <c r="Z234" s="27">
        <v>1.5</v>
      </c>
      <c r="AA234" s="27"/>
      <c r="AB234" s="27">
        <v>2.0</v>
      </c>
      <c r="AC234" s="27"/>
      <c r="AD234" s="27">
        <v>-1.5</v>
      </c>
      <c r="AE234" s="27"/>
      <c r="AF234" s="27">
        <v>-1.5</v>
      </c>
      <c r="AG234" s="27"/>
      <c r="AH234" s="27">
        <v>28.0</v>
      </c>
      <c r="AI234" s="27">
        <v>38.0</v>
      </c>
      <c r="AJ234" s="27">
        <v>2.0</v>
      </c>
      <c r="AK234" s="27" t="b">
        <v>1</v>
      </c>
      <c r="AL234" s="27">
        <v>100.0</v>
      </c>
      <c r="AM234" s="27" t="s">
        <v>389</v>
      </c>
      <c r="AN234" s="27" t="s">
        <v>405</v>
      </c>
      <c r="AO234" s="27"/>
    </row>
    <row r="235">
      <c r="A235" s="200">
        <v>44810.02510108796</v>
      </c>
      <c r="B235" s="19" t="s">
        <v>166</v>
      </c>
      <c r="C235" s="21" t="s">
        <v>333</v>
      </c>
      <c r="D235" s="62">
        <v>1.0</v>
      </c>
      <c r="E235" s="27">
        <v>0.0</v>
      </c>
      <c r="F235" s="27" t="s">
        <v>1187</v>
      </c>
      <c r="G235" s="201" t="s">
        <v>57</v>
      </c>
      <c r="H235" s="27"/>
      <c r="I235" s="27"/>
      <c r="J235" s="33">
        <v>-21.5</v>
      </c>
      <c r="K235" s="33">
        <v>-14.0</v>
      </c>
      <c r="L235" s="66">
        <v>44.0</v>
      </c>
      <c r="M235" s="27" t="s">
        <v>1188</v>
      </c>
      <c r="N235" s="27">
        <v>-14.5</v>
      </c>
      <c r="O235" s="27"/>
      <c r="P235" s="27">
        <v>-14.0</v>
      </c>
      <c r="Q235" s="27"/>
      <c r="R235" s="27">
        <v>-13.5</v>
      </c>
      <c r="S235" s="27"/>
      <c r="T235" s="27">
        <v>-14.0</v>
      </c>
      <c r="U235" s="27"/>
      <c r="V235" s="27">
        <v>-14.0</v>
      </c>
      <c r="W235" s="27"/>
      <c r="X235" s="27">
        <v>-14.0</v>
      </c>
      <c r="Y235" s="27"/>
      <c r="Z235" s="27">
        <v>-14.0</v>
      </c>
      <c r="AA235" s="27"/>
      <c r="AB235" s="27">
        <v>-14.0</v>
      </c>
      <c r="AC235" s="27"/>
      <c r="AD235" s="27"/>
      <c r="AE235" s="27"/>
      <c r="AF235" s="27"/>
      <c r="AG235" s="27"/>
      <c r="AH235" s="27">
        <v>34.0</v>
      </c>
      <c r="AI235" s="27">
        <v>13.0</v>
      </c>
      <c r="AJ235" s="27">
        <v>2.0</v>
      </c>
      <c r="AK235" s="27" t="b">
        <v>0</v>
      </c>
      <c r="AL235" s="27">
        <v>100.0</v>
      </c>
      <c r="AM235" s="27" t="s">
        <v>191</v>
      </c>
      <c r="AN235" s="27" t="s">
        <v>404</v>
      </c>
      <c r="AO235" s="27"/>
    </row>
    <row r="236">
      <c r="A236" s="200">
        <v>44810.02510108796</v>
      </c>
      <c r="B236" s="19" t="s">
        <v>166</v>
      </c>
      <c r="C236" s="21" t="s">
        <v>306</v>
      </c>
      <c r="D236" s="62">
        <v>1.0</v>
      </c>
      <c r="E236" s="27">
        <v>0.0</v>
      </c>
      <c r="F236" s="27" t="s">
        <v>1189</v>
      </c>
      <c r="G236" s="201" t="s">
        <v>57</v>
      </c>
      <c r="H236" s="27"/>
      <c r="I236" s="27"/>
      <c r="J236" s="33">
        <v>-35.5</v>
      </c>
      <c r="K236" s="33">
        <v>-39.5</v>
      </c>
      <c r="L236" s="66">
        <v>60.5</v>
      </c>
      <c r="M236" s="27" t="s">
        <v>1190</v>
      </c>
      <c r="N236" s="27">
        <v>-40.5</v>
      </c>
      <c r="O236" s="27"/>
      <c r="P236" s="27">
        <v>-42.0</v>
      </c>
      <c r="Q236" s="27"/>
      <c r="R236" s="27">
        <v>-39.5</v>
      </c>
      <c r="S236" s="27"/>
      <c r="T236" s="27">
        <v>-40.5</v>
      </c>
      <c r="U236" s="27"/>
      <c r="V236" s="27">
        <v>-41.0</v>
      </c>
      <c r="W236" s="27"/>
      <c r="X236" s="27">
        <v>-39.5</v>
      </c>
      <c r="Y236" s="27"/>
      <c r="Z236" s="27">
        <v>-39.5</v>
      </c>
      <c r="AA236" s="27"/>
      <c r="AB236" s="27"/>
      <c r="AC236" s="27"/>
      <c r="AD236" s="27"/>
      <c r="AE236" s="27"/>
      <c r="AF236" s="27"/>
      <c r="AG236" s="27"/>
      <c r="AH236" s="27">
        <v>55.0</v>
      </c>
      <c r="AI236" s="27">
        <v>3.0</v>
      </c>
      <c r="AJ236" s="27">
        <v>2.0</v>
      </c>
      <c r="AK236" s="27" t="b">
        <v>0</v>
      </c>
      <c r="AL236" s="27">
        <v>100.0</v>
      </c>
      <c r="AM236" s="27" t="s">
        <v>193</v>
      </c>
      <c r="AN236" s="27" t="s">
        <v>405</v>
      </c>
      <c r="AO236" s="27"/>
    </row>
    <row r="237">
      <c r="A237" s="200">
        <v>44810.02510108796</v>
      </c>
      <c r="B237" s="19" t="s">
        <v>166</v>
      </c>
      <c r="C237" s="21" t="s">
        <v>327</v>
      </c>
      <c r="D237" s="62">
        <v>1.0</v>
      </c>
      <c r="E237" s="27">
        <v>0.0</v>
      </c>
      <c r="F237" s="27" t="s">
        <v>1178</v>
      </c>
      <c r="G237" s="201" t="s">
        <v>57</v>
      </c>
      <c r="H237" s="27" t="s">
        <v>144</v>
      </c>
      <c r="I237" s="27"/>
      <c r="J237" s="33">
        <v>-3.5</v>
      </c>
      <c r="K237" s="33">
        <v>0.0</v>
      </c>
      <c r="L237" s="66">
        <v>46.5</v>
      </c>
      <c r="M237" s="27" t="s">
        <v>1179</v>
      </c>
      <c r="N237" s="27">
        <v>-1.0</v>
      </c>
      <c r="O237" s="27"/>
      <c r="P237" s="27">
        <v>0.0</v>
      </c>
      <c r="Q237" s="27"/>
      <c r="R237" s="27">
        <v>0.0</v>
      </c>
      <c r="S237" s="27"/>
      <c r="T237" s="27">
        <v>0.0</v>
      </c>
      <c r="U237" s="27"/>
      <c r="V237" s="27">
        <v>-1.0</v>
      </c>
      <c r="W237" s="27"/>
      <c r="X237" s="27">
        <v>-1.0</v>
      </c>
      <c r="Y237" s="27"/>
      <c r="Z237" s="27">
        <v>0.0</v>
      </c>
      <c r="AA237" s="27"/>
      <c r="AB237" s="27">
        <v>0.0</v>
      </c>
      <c r="AC237" s="27"/>
      <c r="AD237" s="27">
        <v>0.0</v>
      </c>
      <c r="AE237" s="27"/>
      <c r="AF237" s="27">
        <v>-1.0</v>
      </c>
      <c r="AG237" s="27"/>
      <c r="AH237" s="27">
        <v>23.0</v>
      </c>
      <c r="AI237" s="27">
        <v>20.0</v>
      </c>
      <c r="AJ237" s="27">
        <v>2.0</v>
      </c>
      <c r="AK237" s="27" t="b">
        <v>0</v>
      </c>
      <c r="AL237" s="27">
        <v>100.0</v>
      </c>
      <c r="AM237" s="27" t="s">
        <v>188</v>
      </c>
      <c r="AN237" s="27" t="s">
        <v>404</v>
      </c>
      <c r="AO237" s="27"/>
    </row>
    <row r="238">
      <c r="A238" s="200">
        <v>44810.02510108796</v>
      </c>
      <c r="B238" s="19" t="s">
        <v>166</v>
      </c>
      <c r="C238" s="21" t="s">
        <v>334</v>
      </c>
      <c r="D238" s="62">
        <v>0.0</v>
      </c>
      <c r="E238" s="27">
        <v>1.0</v>
      </c>
      <c r="F238" s="27" t="s">
        <v>1076</v>
      </c>
      <c r="G238" s="201" t="s">
        <v>57</v>
      </c>
      <c r="H238" s="27" t="s">
        <v>53</v>
      </c>
      <c r="I238" s="27"/>
      <c r="J238" s="33">
        <v>18.5</v>
      </c>
      <c r="K238" s="33">
        <v>19.5</v>
      </c>
      <c r="L238" s="66">
        <v>60.5</v>
      </c>
      <c r="M238" s="27" t="s">
        <v>1077</v>
      </c>
      <c r="N238" s="27">
        <v>19.5</v>
      </c>
      <c r="O238" s="27"/>
      <c r="P238" s="27">
        <v>19.5</v>
      </c>
      <c r="Q238" s="27"/>
      <c r="R238" s="27">
        <v>19.5</v>
      </c>
      <c r="S238" s="27"/>
      <c r="T238" s="27">
        <v>19.5</v>
      </c>
      <c r="U238" s="27"/>
      <c r="V238" s="27">
        <v>19.5</v>
      </c>
      <c r="W238" s="27"/>
      <c r="X238" s="27">
        <v>20.0</v>
      </c>
      <c r="Y238" s="27"/>
      <c r="Z238" s="27">
        <v>19.5</v>
      </c>
      <c r="AA238" s="27"/>
      <c r="AB238" s="27">
        <v>20.5</v>
      </c>
      <c r="AC238" s="27"/>
      <c r="AD238" s="27">
        <v>19.5</v>
      </c>
      <c r="AE238" s="27"/>
      <c r="AF238" s="27">
        <v>19.5</v>
      </c>
      <c r="AG238" s="27"/>
      <c r="AH238" s="27">
        <v>24.0</v>
      </c>
      <c r="AI238" s="27">
        <v>52.0</v>
      </c>
      <c r="AJ238" s="27">
        <v>2.0</v>
      </c>
      <c r="AK238" s="27" t="b">
        <v>1</v>
      </c>
      <c r="AL238" s="27">
        <v>100.0</v>
      </c>
      <c r="AM238" s="27" t="s">
        <v>189</v>
      </c>
      <c r="AN238" s="27" t="s">
        <v>405</v>
      </c>
      <c r="AO238" s="27"/>
    </row>
    <row r="239">
      <c r="A239" s="200">
        <v>44810.02510108796</v>
      </c>
      <c r="B239" s="19" t="s">
        <v>166</v>
      </c>
      <c r="C239" s="21" t="s">
        <v>370</v>
      </c>
      <c r="D239" s="62">
        <v>1.0</v>
      </c>
      <c r="E239" s="27">
        <v>0.0</v>
      </c>
      <c r="F239" s="27" t="s">
        <v>1182</v>
      </c>
      <c r="G239" s="201" t="s">
        <v>57</v>
      </c>
      <c r="H239" s="27" t="s">
        <v>144</v>
      </c>
      <c r="I239" s="27"/>
      <c r="J239" s="33">
        <v>-7.0</v>
      </c>
      <c r="K239" s="33">
        <v>-7.5</v>
      </c>
      <c r="L239" s="66">
        <v>51.0</v>
      </c>
      <c r="M239" s="27" t="s">
        <v>1183</v>
      </c>
      <c r="N239" s="27">
        <v>-7.5</v>
      </c>
      <c r="O239" s="27"/>
      <c r="P239" s="27">
        <v>-7.5</v>
      </c>
      <c r="Q239" s="27"/>
      <c r="R239" s="27">
        <v>-7.5</v>
      </c>
      <c r="S239" s="27"/>
      <c r="T239" s="27">
        <v>-8.0</v>
      </c>
      <c r="U239" s="27"/>
      <c r="V239" s="27">
        <v>-7.5</v>
      </c>
      <c r="W239" s="27"/>
      <c r="X239" s="27">
        <v>-7.5</v>
      </c>
      <c r="Y239" s="27"/>
      <c r="Z239" s="27">
        <v>-7.5</v>
      </c>
      <c r="AA239" s="27"/>
      <c r="AB239" s="27">
        <v>-7.0</v>
      </c>
      <c r="AC239" s="27"/>
      <c r="AD239" s="27">
        <v>-8.0</v>
      </c>
      <c r="AE239" s="27"/>
      <c r="AF239" s="27">
        <v>-8.0</v>
      </c>
      <c r="AG239" s="27"/>
      <c r="AH239" s="27">
        <v>38.0</v>
      </c>
      <c r="AI239" s="27">
        <v>31.0</v>
      </c>
      <c r="AJ239" s="27">
        <v>2.0</v>
      </c>
      <c r="AK239" s="27" t="b">
        <v>0</v>
      </c>
      <c r="AL239" s="27">
        <v>100.0</v>
      </c>
      <c r="AM239" s="27" t="s">
        <v>186</v>
      </c>
      <c r="AN239" s="27" t="s">
        <v>404</v>
      </c>
      <c r="AO239" s="27"/>
    </row>
    <row r="240">
      <c r="A240" s="200">
        <v>44810.02510108796</v>
      </c>
      <c r="B240" s="19" t="s">
        <v>166</v>
      </c>
      <c r="C240" s="21" t="s">
        <v>399</v>
      </c>
      <c r="D240" s="62">
        <v>1.0</v>
      </c>
      <c r="E240" s="27">
        <v>0.0</v>
      </c>
      <c r="F240" s="27" t="s">
        <v>1184</v>
      </c>
      <c r="G240" s="201" t="s">
        <v>183</v>
      </c>
      <c r="H240" s="27" t="s">
        <v>144</v>
      </c>
      <c r="I240" s="27"/>
      <c r="J240" s="33">
        <v>-4.5</v>
      </c>
      <c r="K240" s="33">
        <v>-3.5</v>
      </c>
      <c r="L240" s="66">
        <v>50.5</v>
      </c>
      <c r="M240" s="27" t="s">
        <v>1185</v>
      </c>
      <c r="N240" s="27">
        <v>-3.5</v>
      </c>
      <c r="O240" s="27"/>
      <c r="P240" s="27">
        <v>-3.5</v>
      </c>
      <c r="Q240" s="27"/>
      <c r="R240" s="27">
        <v>-3.5</v>
      </c>
      <c r="S240" s="27"/>
      <c r="T240" s="27">
        <v>-3.5</v>
      </c>
      <c r="U240" s="27"/>
      <c r="V240" s="27">
        <v>-3.5</v>
      </c>
      <c r="W240" s="27"/>
      <c r="X240" s="27">
        <v>-3.5</v>
      </c>
      <c r="Y240" s="27"/>
      <c r="Z240" s="27">
        <v>-3.5</v>
      </c>
      <c r="AA240" s="27"/>
      <c r="AB240" s="27">
        <v>-3.5</v>
      </c>
      <c r="AC240" s="27"/>
      <c r="AD240" s="27">
        <v>-3.5</v>
      </c>
      <c r="AE240" s="27"/>
      <c r="AF240" s="27">
        <v>-3.5</v>
      </c>
      <c r="AG240" s="27"/>
      <c r="AH240" s="27">
        <v>29.0</v>
      </c>
      <c r="AI240" s="27">
        <v>27.0</v>
      </c>
      <c r="AJ240" s="27">
        <v>2.0</v>
      </c>
      <c r="AK240" s="27" t="b">
        <v>1</v>
      </c>
      <c r="AL240" s="27">
        <v>100.0</v>
      </c>
      <c r="AM240" s="27" t="s">
        <v>190</v>
      </c>
      <c r="AN240" s="27" t="s">
        <v>405</v>
      </c>
      <c r="AO240" s="27"/>
    </row>
    <row r="241">
      <c r="A241" s="200">
        <v>44810.02510108796</v>
      </c>
      <c r="B241" s="19"/>
      <c r="C241" s="21"/>
      <c r="D241" s="62"/>
      <c r="E241" s="27"/>
      <c r="F241" s="27"/>
      <c r="G241" s="201"/>
      <c r="H241" s="27"/>
      <c r="I241" s="27"/>
      <c r="J241" s="33"/>
      <c r="K241" s="33"/>
      <c r="L241" s="66"/>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t="e">
        <v>#N/A</v>
      </c>
      <c r="AN241" s="27" t="e">
        <v>#N/A</v>
      </c>
      <c r="AO241" s="27"/>
    </row>
    <row r="242">
      <c r="A242" s="200">
        <v>44810.02510108796</v>
      </c>
      <c r="B242" s="19" t="s">
        <v>116</v>
      </c>
      <c r="C242" s="21" t="s">
        <v>348</v>
      </c>
      <c r="D242" s="62">
        <v>0.0</v>
      </c>
      <c r="E242" s="27">
        <v>1.0</v>
      </c>
      <c r="F242" s="27" t="s">
        <v>1081</v>
      </c>
      <c r="G242" s="201" t="s">
        <v>57</v>
      </c>
      <c r="H242" s="27" t="s">
        <v>131</v>
      </c>
      <c r="I242" s="27"/>
      <c r="J242" s="33">
        <v>21.5</v>
      </c>
      <c r="K242" s="33">
        <v>24.0</v>
      </c>
      <c r="L242" s="66">
        <v>52.0</v>
      </c>
      <c r="M242" s="27" t="s">
        <v>1082</v>
      </c>
      <c r="N242" s="27">
        <v>24.5</v>
      </c>
      <c r="O242" s="27"/>
      <c r="P242" s="27">
        <v>24.0</v>
      </c>
      <c r="Q242" s="27"/>
      <c r="R242" s="27">
        <v>24.0</v>
      </c>
      <c r="S242" s="27"/>
      <c r="T242" s="27">
        <v>24.0</v>
      </c>
      <c r="U242" s="27"/>
      <c r="V242" s="27">
        <v>24.5</v>
      </c>
      <c r="W242" s="27"/>
      <c r="X242" s="27">
        <v>24.5</v>
      </c>
      <c r="Y242" s="27"/>
      <c r="Z242" s="27">
        <v>24.0</v>
      </c>
      <c r="AA242" s="27"/>
      <c r="AB242" s="27">
        <v>24.0</v>
      </c>
      <c r="AC242" s="27"/>
      <c r="AD242" s="27">
        <v>24.0</v>
      </c>
      <c r="AE242" s="27"/>
      <c r="AF242" s="27">
        <v>24.0</v>
      </c>
      <c r="AG242" s="27"/>
      <c r="AH242" s="27">
        <v>10.0</v>
      </c>
      <c r="AI242" s="27">
        <v>41.0</v>
      </c>
      <c r="AJ242" s="27">
        <v>2.0</v>
      </c>
      <c r="AK242" s="27" t="b">
        <v>1</v>
      </c>
      <c r="AL242" s="27">
        <v>100.0</v>
      </c>
      <c r="AM242" s="27" t="s">
        <v>186</v>
      </c>
      <c r="AN242" s="27" t="s">
        <v>404</v>
      </c>
      <c r="AO242" s="27"/>
    </row>
    <row r="243">
      <c r="A243" s="200">
        <v>44810.02510108796</v>
      </c>
      <c r="B243" s="19" t="s">
        <v>116</v>
      </c>
      <c r="C243" s="21" t="s">
        <v>369</v>
      </c>
      <c r="D243" s="62">
        <v>1.0</v>
      </c>
      <c r="E243" s="27">
        <v>0.0</v>
      </c>
      <c r="F243" s="27" t="s">
        <v>1191</v>
      </c>
      <c r="G243" s="201" t="s">
        <v>57</v>
      </c>
      <c r="H243" s="27" t="s">
        <v>116</v>
      </c>
      <c r="I243" s="27"/>
      <c r="J243" s="33">
        <v>-35.0</v>
      </c>
      <c r="K243" s="33">
        <v>-32.5</v>
      </c>
      <c r="L243" s="66">
        <v>61.5</v>
      </c>
      <c r="M243" s="27" t="s">
        <v>1192</v>
      </c>
      <c r="N243" s="27">
        <v>-32.5</v>
      </c>
      <c r="O243" s="27"/>
      <c r="P243" s="27">
        <v>-32.5</v>
      </c>
      <c r="Q243" s="27"/>
      <c r="R243" s="27">
        <v>-32.5</v>
      </c>
      <c r="S243" s="27"/>
      <c r="T243" s="27">
        <v>-32.5</v>
      </c>
      <c r="U243" s="27"/>
      <c r="V243" s="27">
        <v>-32.5</v>
      </c>
      <c r="W243" s="27"/>
      <c r="X243" s="27">
        <v>-32.5</v>
      </c>
      <c r="Y243" s="27"/>
      <c r="Z243" s="27">
        <v>-32.5</v>
      </c>
      <c r="AA243" s="27"/>
      <c r="AB243" s="27">
        <v>-33.5</v>
      </c>
      <c r="AC243" s="27"/>
      <c r="AD243" s="27">
        <v>-32.5</v>
      </c>
      <c r="AE243" s="27"/>
      <c r="AF243" s="27">
        <v>-32.5</v>
      </c>
      <c r="AG243" s="27"/>
      <c r="AH243" s="27">
        <v>66.0</v>
      </c>
      <c r="AI243" s="27">
        <v>14.0</v>
      </c>
      <c r="AJ243" s="27">
        <v>2.0</v>
      </c>
      <c r="AK243" s="27" t="b">
        <v>0</v>
      </c>
      <c r="AL243" s="27">
        <v>100.0</v>
      </c>
      <c r="AM243" s="27" t="s">
        <v>191</v>
      </c>
      <c r="AN243" s="27" t="s">
        <v>404</v>
      </c>
      <c r="AO243" s="27"/>
    </row>
    <row r="244">
      <c r="A244" s="200">
        <v>44810.02510108796</v>
      </c>
      <c r="B244" s="19" t="s">
        <v>116</v>
      </c>
      <c r="C244" s="21" t="s">
        <v>355</v>
      </c>
      <c r="D244" s="62">
        <v>0.0</v>
      </c>
      <c r="E244" s="27">
        <v>1.0</v>
      </c>
      <c r="F244" s="27" t="s">
        <v>1191</v>
      </c>
      <c r="G244" s="201" t="s">
        <v>57</v>
      </c>
      <c r="H244" s="27" t="s">
        <v>116</v>
      </c>
      <c r="I244" s="27"/>
      <c r="J244" s="33">
        <v>35.0</v>
      </c>
      <c r="K244" s="33">
        <v>32.5</v>
      </c>
      <c r="L244" s="66">
        <v>61.5</v>
      </c>
      <c r="M244" s="27" t="s">
        <v>1192</v>
      </c>
      <c r="N244" s="27">
        <v>32.5</v>
      </c>
      <c r="O244" s="27"/>
      <c r="P244" s="27">
        <v>32.5</v>
      </c>
      <c r="Q244" s="27"/>
      <c r="R244" s="27">
        <v>32.5</v>
      </c>
      <c r="S244" s="27"/>
      <c r="T244" s="27">
        <v>32.5</v>
      </c>
      <c r="U244" s="27"/>
      <c r="V244" s="27">
        <v>32.5</v>
      </c>
      <c r="W244" s="27"/>
      <c r="X244" s="27">
        <v>32.5</v>
      </c>
      <c r="Y244" s="27"/>
      <c r="Z244" s="27">
        <v>32.5</v>
      </c>
      <c r="AA244" s="27"/>
      <c r="AB244" s="27">
        <v>33.5</v>
      </c>
      <c r="AC244" s="27"/>
      <c r="AD244" s="27">
        <v>32.5</v>
      </c>
      <c r="AE244" s="27"/>
      <c r="AF244" s="27">
        <v>32.5</v>
      </c>
      <c r="AG244" s="27"/>
      <c r="AH244" s="27">
        <v>14.0</v>
      </c>
      <c r="AI244" s="27">
        <v>66.0</v>
      </c>
      <c r="AJ244" s="27">
        <v>2.0</v>
      </c>
      <c r="AK244" s="27" t="b">
        <v>1</v>
      </c>
      <c r="AL244" s="27">
        <v>100.0</v>
      </c>
      <c r="AM244" s="27" t="s">
        <v>189</v>
      </c>
      <c r="AN244" s="27" t="s">
        <v>405</v>
      </c>
      <c r="AO244" s="27"/>
    </row>
    <row r="245">
      <c r="A245" s="200">
        <v>44810.02510108796</v>
      </c>
      <c r="B245" s="19" t="s">
        <v>116</v>
      </c>
      <c r="C245" s="21" t="s">
        <v>388</v>
      </c>
      <c r="D245" s="62">
        <v>1.0</v>
      </c>
      <c r="E245" s="27">
        <v>0.0</v>
      </c>
      <c r="F245" s="27" t="s">
        <v>1162</v>
      </c>
      <c r="G245" s="201" t="s">
        <v>57</v>
      </c>
      <c r="H245" s="27" t="s">
        <v>109</v>
      </c>
      <c r="I245" s="27"/>
      <c r="J245" s="33">
        <v>-5.5</v>
      </c>
      <c r="K245" s="33">
        <v>-4.5</v>
      </c>
      <c r="L245" s="66">
        <v>59.0</v>
      </c>
      <c r="M245" s="27" t="s">
        <v>1163</v>
      </c>
      <c r="N245" s="27">
        <v>-4.5</v>
      </c>
      <c r="O245" s="27"/>
      <c r="P245" s="27">
        <v>-4.5</v>
      </c>
      <c r="Q245" s="27"/>
      <c r="R245" s="27">
        <v>-4.5</v>
      </c>
      <c r="S245" s="27"/>
      <c r="T245" s="27">
        <v>-4.5</v>
      </c>
      <c r="U245" s="27"/>
      <c r="V245" s="27">
        <v>-4.5</v>
      </c>
      <c r="W245" s="27"/>
      <c r="X245" s="27">
        <v>-4.5</v>
      </c>
      <c r="Y245" s="27"/>
      <c r="Z245" s="27">
        <v>-4.5</v>
      </c>
      <c r="AA245" s="27"/>
      <c r="AB245" s="27">
        <v>-4.5</v>
      </c>
      <c r="AC245" s="27"/>
      <c r="AD245" s="27">
        <v>-4.5</v>
      </c>
      <c r="AE245" s="27"/>
      <c r="AF245" s="27">
        <v>-4.5</v>
      </c>
      <c r="AG245" s="27"/>
      <c r="AH245" s="27">
        <v>44.0</v>
      </c>
      <c r="AI245" s="27">
        <v>7.0</v>
      </c>
      <c r="AJ245" s="27">
        <v>2.0</v>
      </c>
      <c r="AK245" s="27" t="b">
        <v>0</v>
      </c>
      <c r="AL245" s="27">
        <v>100.0</v>
      </c>
      <c r="AM245" s="27" t="s">
        <v>193</v>
      </c>
      <c r="AN245" s="27" t="s">
        <v>405</v>
      </c>
      <c r="AO245" s="27"/>
    </row>
    <row r="246">
      <c r="A246" s="200">
        <v>44810.02510108796</v>
      </c>
      <c r="B246" s="19" t="s">
        <v>116</v>
      </c>
      <c r="C246" s="21" t="s">
        <v>313</v>
      </c>
      <c r="D246" s="62">
        <v>1.0</v>
      </c>
      <c r="E246" s="27">
        <v>0.0</v>
      </c>
      <c r="F246" s="27" t="s">
        <v>1070</v>
      </c>
      <c r="G246" s="201" t="s">
        <v>57</v>
      </c>
      <c r="H246" s="27" t="s">
        <v>53</v>
      </c>
      <c r="I246" s="27"/>
      <c r="J246" s="33">
        <v>-14.5</v>
      </c>
      <c r="K246" s="33">
        <v>-16.0</v>
      </c>
      <c r="L246" s="66">
        <v>54.5</v>
      </c>
      <c r="M246" s="27" t="s">
        <v>1071</v>
      </c>
      <c r="N246" s="27">
        <v>-16.5</v>
      </c>
      <c r="O246" s="27"/>
      <c r="P246" s="27">
        <v>-16.0</v>
      </c>
      <c r="Q246" s="27"/>
      <c r="R246" s="27">
        <v>-16.0</v>
      </c>
      <c r="S246" s="27"/>
      <c r="T246" s="27">
        <v>-16.0</v>
      </c>
      <c r="U246" s="27"/>
      <c r="V246" s="27">
        <v>-16.0</v>
      </c>
      <c r="W246" s="27"/>
      <c r="X246" s="27">
        <v>-16.5</v>
      </c>
      <c r="Y246" s="27"/>
      <c r="Z246" s="27">
        <v>-16.0</v>
      </c>
      <c r="AA246" s="27"/>
      <c r="AB246" s="27">
        <v>-16.5</v>
      </c>
      <c r="AC246" s="27"/>
      <c r="AD246" s="27">
        <v>-16.0</v>
      </c>
      <c r="AE246" s="27"/>
      <c r="AF246" s="27">
        <v>-16.0</v>
      </c>
      <c r="AG246" s="27"/>
      <c r="AH246" s="27">
        <v>49.0</v>
      </c>
      <c r="AI246" s="27">
        <v>3.0</v>
      </c>
      <c r="AJ246" s="27">
        <v>2.0</v>
      </c>
      <c r="AK246" s="27" t="b">
        <v>0</v>
      </c>
      <c r="AL246" s="27">
        <v>100.0</v>
      </c>
      <c r="AM246" s="27" t="s">
        <v>192</v>
      </c>
      <c r="AN246" s="27" t="s">
        <v>404</v>
      </c>
      <c r="AO246" s="27"/>
    </row>
    <row r="247">
      <c r="A247" s="200">
        <v>44810.02510108796</v>
      </c>
      <c r="B247" s="19" t="s">
        <v>116</v>
      </c>
      <c r="C247" s="21" t="s">
        <v>336</v>
      </c>
      <c r="D247" s="62">
        <v>0.0</v>
      </c>
      <c r="E247" s="27">
        <v>1.0</v>
      </c>
      <c r="F247" s="27" t="s">
        <v>1122</v>
      </c>
      <c r="G247" s="201" t="s">
        <v>57</v>
      </c>
      <c r="H247" s="27" t="s">
        <v>59</v>
      </c>
      <c r="I247" s="27"/>
      <c r="J247" s="33"/>
      <c r="K247" s="33"/>
      <c r="L247" s="66"/>
      <c r="M247" s="27"/>
      <c r="N247" s="27"/>
      <c r="O247" s="27"/>
      <c r="P247" s="27"/>
      <c r="Q247" s="27"/>
      <c r="R247" s="27"/>
      <c r="S247" s="27"/>
      <c r="T247" s="27"/>
      <c r="U247" s="27"/>
      <c r="V247" s="27"/>
      <c r="W247" s="27"/>
      <c r="X247" s="27"/>
      <c r="Y247" s="27"/>
      <c r="Z247" s="27"/>
      <c r="AA247" s="27"/>
      <c r="AB247" s="27"/>
      <c r="AC247" s="27"/>
      <c r="AD247" s="27"/>
      <c r="AE247" s="27"/>
      <c r="AF247" s="27"/>
      <c r="AG247" s="27"/>
      <c r="AH247" s="27">
        <v>7.0</v>
      </c>
      <c r="AI247" s="27">
        <v>51.0</v>
      </c>
      <c r="AJ247" s="27">
        <v>2.0</v>
      </c>
      <c r="AK247" s="27" t="b">
        <v>0</v>
      </c>
      <c r="AL247" s="27">
        <v>100.0</v>
      </c>
      <c r="AM247" s="27" t="s">
        <v>129</v>
      </c>
      <c r="AN247" s="27" t="s">
        <v>405</v>
      </c>
      <c r="AO247" s="27"/>
    </row>
    <row r="248">
      <c r="A248" s="200">
        <v>44810.02510108796</v>
      </c>
      <c r="B248" s="19" t="s">
        <v>116</v>
      </c>
      <c r="C248" s="21" t="s">
        <v>332</v>
      </c>
      <c r="D248" s="62">
        <v>1.0</v>
      </c>
      <c r="E248" s="27">
        <v>0.0</v>
      </c>
      <c r="F248" s="27" t="s">
        <v>1193</v>
      </c>
      <c r="G248" s="201" t="s">
        <v>57</v>
      </c>
      <c r="H248" s="27"/>
      <c r="I248" s="27"/>
      <c r="J248" s="33">
        <v>-15.5</v>
      </c>
      <c r="K248" s="33">
        <v>-14.0</v>
      </c>
      <c r="L248" s="66">
        <v>44.5</v>
      </c>
      <c r="M248" s="27" t="s">
        <v>1194</v>
      </c>
      <c r="N248" s="27">
        <v>-14.0</v>
      </c>
      <c r="O248" s="27"/>
      <c r="P248" s="27">
        <v>-14.0</v>
      </c>
      <c r="Q248" s="27"/>
      <c r="R248" s="27">
        <v>-14.0</v>
      </c>
      <c r="S248" s="27"/>
      <c r="T248" s="27">
        <v>-14.0</v>
      </c>
      <c r="U248" s="27"/>
      <c r="V248" s="27">
        <v>-14.0</v>
      </c>
      <c r="W248" s="27"/>
      <c r="X248" s="27"/>
      <c r="Y248" s="27"/>
      <c r="Z248" s="27"/>
      <c r="AA248" s="27"/>
      <c r="AB248" s="27"/>
      <c r="AC248" s="27"/>
      <c r="AD248" s="27"/>
      <c r="AE248" s="27"/>
      <c r="AF248" s="27"/>
      <c r="AG248" s="27"/>
      <c r="AH248" s="27">
        <v>7.0</v>
      </c>
      <c r="AI248" s="27">
        <v>3.0</v>
      </c>
      <c r="AJ248" s="27">
        <v>2.0</v>
      </c>
      <c r="AK248" s="27" t="b">
        <v>0</v>
      </c>
      <c r="AL248" s="27">
        <v>100.0</v>
      </c>
      <c r="AM248" s="27" t="s">
        <v>188</v>
      </c>
      <c r="AN248" s="27" t="s">
        <v>404</v>
      </c>
      <c r="AO248" s="27"/>
    </row>
    <row r="249">
      <c r="A249" s="200">
        <v>44810.02510108796</v>
      </c>
      <c r="B249" s="19" t="s">
        <v>116</v>
      </c>
      <c r="C249" s="21" t="s">
        <v>347</v>
      </c>
      <c r="D249" s="62">
        <v>0.0</v>
      </c>
      <c r="E249" s="27">
        <v>1.0</v>
      </c>
      <c r="F249" s="27" t="s">
        <v>1195</v>
      </c>
      <c r="G249" s="201" t="s">
        <v>57</v>
      </c>
      <c r="H249" s="27"/>
      <c r="I249" s="27"/>
      <c r="J249" s="33">
        <v>-15.0</v>
      </c>
      <c r="K249" s="33">
        <v>-11.0</v>
      </c>
      <c r="L249" s="66">
        <v>43.0</v>
      </c>
      <c r="M249" s="27" t="s">
        <v>1196</v>
      </c>
      <c r="N249" s="27">
        <v>-11.0</v>
      </c>
      <c r="O249" s="27"/>
      <c r="P249" s="27">
        <v>-12.5</v>
      </c>
      <c r="Q249" s="27"/>
      <c r="R249" s="27">
        <v>-11.0</v>
      </c>
      <c r="S249" s="27"/>
      <c r="T249" s="27">
        <v>-11.0</v>
      </c>
      <c r="U249" s="27"/>
      <c r="V249" s="27"/>
      <c r="W249" s="27"/>
      <c r="X249" s="27"/>
      <c r="Y249" s="27"/>
      <c r="Z249" s="27"/>
      <c r="AA249" s="27"/>
      <c r="AB249" s="27"/>
      <c r="AC249" s="27"/>
      <c r="AD249" s="27"/>
      <c r="AE249" s="27"/>
      <c r="AF249" s="27"/>
      <c r="AG249" s="27"/>
      <c r="AH249" s="27">
        <v>7.0</v>
      </c>
      <c r="AI249" s="27">
        <v>14.0</v>
      </c>
      <c r="AJ249" s="27">
        <v>2.0</v>
      </c>
      <c r="AK249" s="27" t="b">
        <v>0</v>
      </c>
      <c r="AL249" s="27">
        <v>100.0</v>
      </c>
      <c r="AM249" s="27" t="s">
        <v>389</v>
      </c>
      <c r="AN249" s="27" t="s">
        <v>405</v>
      </c>
      <c r="AO249" s="27"/>
    </row>
    <row r="250">
      <c r="A250" s="200">
        <v>44810.02510108796</v>
      </c>
      <c r="B250" s="19" t="s">
        <v>116</v>
      </c>
      <c r="C250" s="21" t="s">
        <v>354</v>
      </c>
      <c r="D250" s="62">
        <v>1.0</v>
      </c>
      <c r="E250" s="27">
        <v>0.0</v>
      </c>
      <c r="F250" s="27" t="s">
        <v>1129</v>
      </c>
      <c r="G250" s="201" t="s">
        <v>57</v>
      </c>
      <c r="H250" s="27" t="s">
        <v>59</v>
      </c>
      <c r="I250" s="27"/>
      <c r="J250" s="33">
        <v>-18.0</v>
      </c>
      <c r="K250" s="33">
        <v>-21.5</v>
      </c>
      <c r="L250" s="66">
        <v>60.0</v>
      </c>
      <c r="M250" s="27" t="s">
        <v>1130</v>
      </c>
      <c r="N250" s="27">
        <v>-21.5</v>
      </c>
      <c r="O250" s="27"/>
      <c r="P250" s="27">
        <v>-21.5</v>
      </c>
      <c r="Q250" s="27"/>
      <c r="R250" s="27">
        <v>-21.0</v>
      </c>
      <c r="S250" s="27"/>
      <c r="T250" s="27">
        <v>-21.5</v>
      </c>
      <c r="U250" s="27"/>
      <c r="V250" s="27">
        <v>-21.5</v>
      </c>
      <c r="W250" s="27"/>
      <c r="X250" s="27">
        <v>-22.0</v>
      </c>
      <c r="Y250" s="27"/>
      <c r="Z250" s="27">
        <v>-21.0</v>
      </c>
      <c r="AA250" s="27"/>
      <c r="AB250" s="27">
        <v>-21.0</v>
      </c>
      <c r="AC250" s="27"/>
      <c r="AD250" s="27">
        <v>-21.5</v>
      </c>
      <c r="AE250" s="27"/>
      <c r="AF250" s="27">
        <v>-21.5</v>
      </c>
      <c r="AG250" s="27"/>
      <c r="AH250" s="27">
        <v>58.0</v>
      </c>
      <c r="AI250" s="27">
        <v>44.0</v>
      </c>
      <c r="AJ250" s="27">
        <v>2.0</v>
      </c>
      <c r="AK250" s="27" t="b">
        <v>1</v>
      </c>
      <c r="AL250" s="27">
        <v>100.0</v>
      </c>
      <c r="AM250" s="27" t="s">
        <v>187</v>
      </c>
      <c r="AN250" s="27" t="s">
        <v>404</v>
      </c>
      <c r="AO250" s="27"/>
    </row>
    <row r="251">
      <c r="A251" s="200">
        <v>44810.02510108796</v>
      </c>
      <c r="B251" s="19" t="s">
        <v>116</v>
      </c>
      <c r="C251" s="21" t="s">
        <v>329</v>
      </c>
      <c r="D251" s="62">
        <v>0.0</v>
      </c>
      <c r="E251" s="27">
        <v>1.0</v>
      </c>
      <c r="F251" s="27" t="s">
        <v>1099</v>
      </c>
      <c r="G251" s="201" t="s">
        <v>57</v>
      </c>
      <c r="H251" s="27" t="s">
        <v>131</v>
      </c>
      <c r="I251" s="27"/>
      <c r="J251" s="33">
        <v>30.5</v>
      </c>
      <c r="K251" s="33">
        <v>35.0</v>
      </c>
      <c r="L251" s="66">
        <v>68.0</v>
      </c>
      <c r="M251" s="27" t="s">
        <v>1069</v>
      </c>
      <c r="N251" s="27">
        <v>35.5</v>
      </c>
      <c r="O251" s="27"/>
      <c r="P251" s="27">
        <v>35.0</v>
      </c>
      <c r="Q251" s="27"/>
      <c r="R251" s="27">
        <v>35.0</v>
      </c>
      <c r="S251" s="27"/>
      <c r="T251" s="27">
        <v>35.0</v>
      </c>
      <c r="U251" s="27"/>
      <c r="V251" s="27">
        <v>35.0</v>
      </c>
      <c r="W251" s="27"/>
      <c r="X251" s="27">
        <v>35.0</v>
      </c>
      <c r="Y251" s="27"/>
      <c r="Z251" s="27">
        <v>32.5</v>
      </c>
      <c r="AA251" s="27"/>
      <c r="AB251" s="27">
        <v>35.0</v>
      </c>
      <c r="AC251" s="27"/>
      <c r="AD251" s="27">
        <v>35.0</v>
      </c>
      <c r="AE251" s="27"/>
      <c r="AF251" s="27">
        <v>35.0</v>
      </c>
      <c r="AG251" s="27"/>
      <c r="AH251" s="27">
        <v>10.0</v>
      </c>
      <c r="AI251" s="27">
        <v>59.0</v>
      </c>
      <c r="AJ251" s="27">
        <v>2.0</v>
      </c>
      <c r="AK251" s="27" t="b">
        <v>0</v>
      </c>
      <c r="AL251" s="27">
        <v>100.0</v>
      </c>
      <c r="AM251" s="27" t="s">
        <v>190</v>
      </c>
      <c r="AN251" s="27" t="s">
        <v>405</v>
      </c>
      <c r="AO251" s="27"/>
    </row>
    <row r="252">
      <c r="A252" s="200">
        <v>44810.02510108796</v>
      </c>
      <c r="B252" s="19"/>
      <c r="C252" s="21"/>
      <c r="D252" s="62"/>
      <c r="E252" s="27"/>
      <c r="F252" s="27"/>
      <c r="G252" s="201"/>
      <c r="H252" s="27"/>
      <c r="I252" s="27"/>
      <c r="J252" s="33"/>
      <c r="K252" s="33"/>
      <c r="L252" s="66"/>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t="e">
        <v>#N/A</v>
      </c>
      <c r="AN252" s="27" t="e">
        <v>#N/A</v>
      </c>
      <c r="AO252" s="27"/>
    </row>
    <row r="253">
      <c r="A253" s="200">
        <v>44810.02510108796</v>
      </c>
      <c r="B253" s="19" t="s">
        <v>148</v>
      </c>
      <c r="C253" s="21" t="s">
        <v>316</v>
      </c>
      <c r="D253" s="62">
        <v>0.0</v>
      </c>
      <c r="E253" s="27">
        <v>1.0</v>
      </c>
      <c r="F253" s="27" t="s">
        <v>1118</v>
      </c>
      <c r="G253" s="201" t="s">
        <v>57</v>
      </c>
      <c r="H253" s="27" t="s">
        <v>59</v>
      </c>
      <c r="I253" s="27"/>
      <c r="J253" s="33">
        <v>3.0</v>
      </c>
      <c r="K253" s="33">
        <v>2.0</v>
      </c>
      <c r="L253" s="66">
        <v>55.5</v>
      </c>
      <c r="M253" s="27" t="s">
        <v>1119</v>
      </c>
      <c r="N253" s="27">
        <v>2.5</v>
      </c>
      <c r="O253" s="27"/>
      <c r="P253" s="27">
        <v>1.5</v>
      </c>
      <c r="Q253" s="27"/>
      <c r="R253" s="27">
        <v>1.5</v>
      </c>
      <c r="S253" s="27"/>
      <c r="T253" s="27">
        <v>2.0</v>
      </c>
      <c r="U253" s="27"/>
      <c r="V253" s="27">
        <v>1.5</v>
      </c>
      <c r="W253" s="27"/>
      <c r="X253" s="27">
        <v>1.5</v>
      </c>
      <c r="Y253" s="27"/>
      <c r="Z253" s="27">
        <v>1.5</v>
      </c>
      <c r="AA253" s="27"/>
      <c r="AB253" s="27">
        <v>2.0</v>
      </c>
      <c r="AC253" s="27"/>
      <c r="AD253" s="27">
        <v>2.0</v>
      </c>
      <c r="AE253" s="27"/>
      <c r="AF253" s="27">
        <v>2.0</v>
      </c>
      <c r="AG253" s="27"/>
      <c r="AH253" s="27">
        <v>17.0</v>
      </c>
      <c r="AI253" s="27">
        <v>34.0</v>
      </c>
      <c r="AJ253" s="27">
        <v>2.0</v>
      </c>
      <c r="AK253" s="27" t="b">
        <v>0</v>
      </c>
      <c r="AL253" s="27">
        <v>100.0</v>
      </c>
      <c r="AM253" s="27" t="s">
        <v>129</v>
      </c>
      <c r="AN253" s="27" t="s">
        <v>405</v>
      </c>
      <c r="AO253" s="27"/>
    </row>
    <row r="254">
      <c r="A254" s="200">
        <v>44810.02510108796</v>
      </c>
      <c r="B254" s="19" t="s">
        <v>148</v>
      </c>
      <c r="C254" s="21" t="s">
        <v>377</v>
      </c>
      <c r="D254" s="62">
        <v>1.0</v>
      </c>
      <c r="E254" s="27">
        <v>0.0</v>
      </c>
      <c r="F254" s="27" t="s">
        <v>1168</v>
      </c>
      <c r="G254" s="201" t="s">
        <v>57</v>
      </c>
      <c r="H254" s="27" t="s">
        <v>144</v>
      </c>
      <c r="I254" s="27"/>
      <c r="J254" s="33">
        <v>-23.5</v>
      </c>
      <c r="K254" s="33">
        <v>-23.5</v>
      </c>
      <c r="L254" s="66">
        <v>61.5</v>
      </c>
      <c r="M254" s="27" t="s">
        <v>1169</v>
      </c>
      <c r="N254" s="27">
        <v>-23.5</v>
      </c>
      <c r="O254" s="27"/>
      <c r="P254" s="27">
        <v>-23.5</v>
      </c>
      <c r="Q254" s="27"/>
      <c r="R254" s="27">
        <v>-24.0</v>
      </c>
      <c r="S254" s="27"/>
      <c r="T254" s="27">
        <v>-23.5</v>
      </c>
      <c r="U254" s="27"/>
      <c r="V254" s="27">
        <v>-23.5</v>
      </c>
      <c r="W254" s="27"/>
      <c r="X254" s="27">
        <v>-23.5</v>
      </c>
      <c r="Y254" s="27"/>
      <c r="Z254" s="27">
        <v>-21.5</v>
      </c>
      <c r="AA254" s="27"/>
      <c r="AB254" s="27">
        <v>-23.5</v>
      </c>
      <c r="AC254" s="27"/>
      <c r="AD254" s="27">
        <v>-23.5</v>
      </c>
      <c r="AE254" s="27"/>
      <c r="AF254" s="27">
        <v>-23.5</v>
      </c>
      <c r="AG254" s="27"/>
      <c r="AH254" s="27">
        <v>45.0</v>
      </c>
      <c r="AI254" s="27">
        <v>20.0</v>
      </c>
      <c r="AJ254" s="27">
        <v>2.0</v>
      </c>
      <c r="AK254" s="27" t="b">
        <v>1</v>
      </c>
      <c r="AL254" s="27">
        <v>100.0</v>
      </c>
      <c r="AM254" s="27" t="s">
        <v>191</v>
      </c>
      <c r="AN254" s="27" t="s">
        <v>404</v>
      </c>
      <c r="AO254" s="27"/>
    </row>
    <row r="255">
      <c r="A255" s="200">
        <v>44810.02510108796</v>
      </c>
      <c r="B255" s="19" t="s">
        <v>148</v>
      </c>
      <c r="C255" s="21" t="s">
        <v>401</v>
      </c>
      <c r="D255" s="62">
        <v>0.0</v>
      </c>
      <c r="E255" s="27">
        <v>1.0</v>
      </c>
      <c r="F255" s="27" t="s">
        <v>1108</v>
      </c>
      <c r="G255" s="201" t="s">
        <v>57</v>
      </c>
      <c r="H255" s="27" t="s">
        <v>178</v>
      </c>
      <c r="I255" s="27"/>
      <c r="J255" s="33">
        <v>31.0</v>
      </c>
      <c r="K255" s="33">
        <v>28.5</v>
      </c>
      <c r="L255" s="66">
        <v>58.5</v>
      </c>
      <c r="M255" s="27" t="s">
        <v>1109</v>
      </c>
      <c r="N255" s="27">
        <v>28.5</v>
      </c>
      <c r="O255" s="27"/>
      <c r="P255" s="27">
        <v>28.5</v>
      </c>
      <c r="Q255" s="27"/>
      <c r="R255" s="27">
        <v>28.5</v>
      </c>
      <c r="S255" s="27"/>
      <c r="T255" s="27">
        <v>28.5</v>
      </c>
      <c r="U255" s="27"/>
      <c r="V255" s="27">
        <v>28.5</v>
      </c>
      <c r="W255" s="27"/>
      <c r="X255" s="27">
        <v>28.5</v>
      </c>
      <c r="Y255" s="27"/>
      <c r="Z255" s="27">
        <v>28.5</v>
      </c>
      <c r="AA255" s="27"/>
      <c r="AB255" s="27">
        <v>28.0</v>
      </c>
      <c r="AC255" s="27"/>
      <c r="AD255" s="27">
        <v>28.5</v>
      </c>
      <c r="AE255" s="27"/>
      <c r="AF255" s="27">
        <v>28.5</v>
      </c>
      <c r="AG255" s="27"/>
      <c r="AH255" s="27">
        <v>10.0</v>
      </c>
      <c r="AI255" s="27">
        <v>42.0</v>
      </c>
      <c r="AJ255" s="27">
        <v>2.0</v>
      </c>
      <c r="AK255" s="27" t="b">
        <v>1</v>
      </c>
      <c r="AL255" s="27">
        <v>100.0</v>
      </c>
      <c r="AM255" s="27" t="s">
        <v>189</v>
      </c>
      <c r="AN255" s="27" t="s">
        <v>405</v>
      </c>
      <c r="AO255" s="27"/>
    </row>
    <row r="256">
      <c r="A256" s="200">
        <v>44810.02510108796</v>
      </c>
      <c r="B256" s="19" t="s">
        <v>148</v>
      </c>
      <c r="C256" s="21" t="s">
        <v>380</v>
      </c>
      <c r="D256" s="62">
        <v>0.0</v>
      </c>
      <c r="E256" s="27">
        <v>1.0</v>
      </c>
      <c r="F256" s="27" t="s">
        <v>1066</v>
      </c>
      <c r="G256" s="201" t="s">
        <v>57</v>
      </c>
      <c r="H256" s="27" t="s">
        <v>53</v>
      </c>
      <c r="I256" s="27"/>
      <c r="J256" s="33">
        <v>10.5</v>
      </c>
      <c r="K256" s="33">
        <v>-2.5</v>
      </c>
      <c r="L256" s="66">
        <v>51.5</v>
      </c>
      <c r="M256" s="27" t="s">
        <v>1067</v>
      </c>
      <c r="N256" s="27">
        <v>-2.0</v>
      </c>
      <c r="O256" s="27"/>
      <c r="P256" s="27">
        <v>-2.0</v>
      </c>
      <c r="Q256" s="27"/>
      <c r="R256" s="27">
        <v>-2.0</v>
      </c>
      <c r="S256" s="27"/>
      <c r="T256" s="27">
        <v>-2.5</v>
      </c>
      <c r="U256" s="27"/>
      <c r="V256" s="27">
        <v>-2.0</v>
      </c>
      <c r="W256" s="27"/>
      <c r="X256" s="27">
        <v>-2.0</v>
      </c>
      <c r="Y256" s="27"/>
      <c r="Z256" s="27">
        <v>-2.0</v>
      </c>
      <c r="AA256" s="27"/>
      <c r="AB256" s="27">
        <v>-1.5</v>
      </c>
      <c r="AC256" s="27"/>
      <c r="AD256" s="27">
        <v>-2.5</v>
      </c>
      <c r="AE256" s="27"/>
      <c r="AF256" s="27">
        <v>-2.5</v>
      </c>
      <c r="AG256" s="27"/>
      <c r="AH256" s="27">
        <v>14.0</v>
      </c>
      <c r="AI256" s="27">
        <v>38.0</v>
      </c>
      <c r="AJ256" s="27">
        <v>2.0</v>
      </c>
      <c r="AK256" s="27" t="b">
        <v>1</v>
      </c>
      <c r="AL256" s="27">
        <v>100.0</v>
      </c>
      <c r="AM256" s="27" t="s">
        <v>193</v>
      </c>
      <c r="AN256" s="27" t="s">
        <v>405</v>
      </c>
      <c r="AO256" s="27"/>
    </row>
    <row r="257">
      <c r="A257" s="200">
        <v>44810.02510108796</v>
      </c>
      <c r="B257" s="19" t="s">
        <v>148</v>
      </c>
      <c r="C257" s="21" t="s">
        <v>335</v>
      </c>
      <c r="D257" s="62">
        <v>0.0</v>
      </c>
      <c r="E257" s="27">
        <v>1.0</v>
      </c>
      <c r="F257" s="27" t="s">
        <v>1112</v>
      </c>
      <c r="G257" s="201" t="s">
        <v>57</v>
      </c>
      <c r="H257" s="27" t="s">
        <v>178</v>
      </c>
      <c r="I257" s="27"/>
      <c r="J257" s="33">
        <v>35.0</v>
      </c>
      <c r="K257" s="33">
        <v>24.0</v>
      </c>
      <c r="L257" s="66">
        <v>56.5</v>
      </c>
      <c r="M257" s="27" t="s">
        <v>1113</v>
      </c>
      <c r="N257" s="27">
        <v>23.5</v>
      </c>
      <c r="O257" s="27"/>
      <c r="P257" s="27">
        <v>24.0</v>
      </c>
      <c r="Q257" s="27"/>
      <c r="R257" s="27">
        <v>24.0</v>
      </c>
      <c r="S257" s="27"/>
      <c r="T257" s="27">
        <v>24.0</v>
      </c>
      <c r="U257" s="27"/>
      <c r="V257" s="27">
        <v>24.0</v>
      </c>
      <c r="W257" s="27"/>
      <c r="X257" s="27">
        <v>24.0</v>
      </c>
      <c r="Y257" s="27"/>
      <c r="Z257" s="27">
        <v>25.5</v>
      </c>
      <c r="AA257" s="27"/>
      <c r="AB257" s="27">
        <v>24.5</v>
      </c>
      <c r="AC257" s="27"/>
      <c r="AD257" s="27">
        <v>24.0</v>
      </c>
      <c r="AE257" s="27"/>
      <c r="AF257" s="27">
        <v>24.0</v>
      </c>
      <c r="AG257" s="27"/>
      <c r="AH257" s="27">
        <v>17.0</v>
      </c>
      <c r="AI257" s="27">
        <v>45.0</v>
      </c>
      <c r="AJ257" s="27">
        <v>2.0</v>
      </c>
      <c r="AK257" s="27" t="b">
        <v>1</v>
      </c>
      <c r="AL257" s="27">
        <v>100.0</v>
      </c>
      <c r="AM257" s="27" t="s">
        <v>190</v>
      </c>
      <c r="AN257" s="27" t="s">
        <v>405</v>
      </c>
      <c r="AO257" s="27"/>
    </row>
    <row r="258">
      <c r="A258" s="200">
        <v>44810.02510108796</v>
      </c>
      <c r="B258" s="19" t="s">
        <v>148</v>
      </c>
      <c r="C258" s="21" t="s">
        <v>387</v>
      </c>
      <c r="D258" s="62">
        <v>1.0</v>
      </c>
      <c r="E258" s="27">
        <v>0.0</v>
      </c>
      <c r="F258" s="27" t="s">
        <v>1197</v>
      </c>
      <c r="G258" s="201" t="s">
        <v>57</v>
      </c>
      <c r="H258" s="27"/>
      <c r="I258" s="27"/>
      <c r="J258" s="33">
        <v>-29.5</v>
      </c>
      <c r="K258" s="33">
        <v>-31.5</v>
      </c>
      <c r="L258" s="66">
        <v>53.0</v>
      </c>
      <c r="M258" s="27" t="s">
        <v>1091</v>
      </c>
      <c r="N258" s="27">
        <v>-31.5</v>
      </c>
      <c r="O258" s="27"/>
      <c r="P258" s="27">
        <v>-30.0</v>
      </c>
      <c r="Q258" s="27"/>
      <c r="R258" s="27">
        <v>-31.5</v>
      </c>
      <c r="S258" s="27"/>
      <c r="T258" s="27">
        <v>-31.5</v>
      </c>
      <c r="U258" s="27"/>
      <c r="V258" s="27"/>
      <c r="W258" s="27"/>
      <c r="X258" s="27"/>
      <c r="Y258" s="27"/>
      <c r="Z258" s="27"/>
      <c r="AA258" s="27"/>
      <c r="AB258" s="27"/>
      <c r="AC258" s="27"/>
      <c r="AD258" s="27"/>
      <c r="AE258" s="27"/>
      <c r="AF258" s="27"/>
      <c r="AG258" s="27"/>
      <c r="AH258" s="27">
        <v>31.0</v>
      </c>
      <c r="AI258" s="27">
        <v>0.0</v>
      </c>
      <c r="AJ258" s="27">
        <v>2.0</v>
      </c>
      <c r="AK258" s="27" t="b">
        <v>0</v>
      </c>
      <c r="AL258" s="27">
        <v>100.0</v>
      </c>
      <c r="AM258" s="27" t="s">
        <v>192</v>
      </c>
      <c r="AN258" s="27" t="s">
        <v>404</v>
      </c>
      <c r="AO258" s="27"/>
    </row>
    <row r="259">
      <c r="A259" s="200">
        <v>44810.02510108796</v>
      </c>
      <c r="B259" s="19" t="s">
        <v>148</v>
      </c>
      <c r="C259" s="21" t="s">
        <v>326</v>
      </c>
      <c r="D259" s="62">
        <v>1.0</v>
      </c>
      <c r="E259" s="27">
        <v>0.0</v>
      </c>
      <c r="F259" s="27" t="s">
        <v>1198</v>
      </c>
      <c r="G259" s="201" t="s">
        <v>57</v>
      </c>
      <c r="H259" s="27"/>
      <c r="I259" s="27"/>
      <c r="J259" s="33">
        <v>-37.0</v>
      </c>
      <c r="K259" s="33">
        <v>-33.0</v>
      </c>
      <c r="L259" s="66">
        <v>54.5</v>
      </c>
      <c r="M259" s="27" t="s">
        <v>1199</v>
      </c>
      <c r="N259" s="27">
        <v>-34.5</v>
      </c>
      <c r="O259" s="27"/>
      <c r="P259" s="27">
        <v>-33.5</v>
      </c>
      <c r="Q259" s="27"/>
      <c r="R259" s="27">
        <v>-33.5</v>
      </c>
      <c r="S259" s="27"/>
      <c r="T259" s="27">
        <v>-33.0</v>
      </c>
      <c r="U259" s="27"/>
      <c r="V259" s="27">
        <v>-33.5</v>
      </c>
      <c r="W259" s="27"/>
      <c r="X259" s="27">
        <v>-33.5</v>
      </c>
      <c r="Y259" s="27"/>
      <c r="Z259" s="27">
        <v>-33.0</v>
      </c>
      <c r="AA259" s="27"/>
      <c r="AB259" s="27">
        <v>-33.0</v>
      </c>
      <c r="AC259" s="27"/>
      <c r="AD259" s="27"/>
      <c r="AE259" s="27"/>
      <c r="AF259" s="27"/>
      <c r="AG259" s="27"/>
      <c r="AH259" s="27">
        <v>42.0</v>
      </c>
      <c r="AI259" s="27">
        <v>10.0</v>
      </c>
      <c r="AJ259" s="27">
        <v>2.0</v>
      </c>
      <c r="AK259" s="27" t="b">
        <v>0</v>
      </c>
      <c r="AL259" s="27">
        <v>100.0</v>
      </c>
      <c r="AM259" s="27" t="s">
        <v>187</v>
      </c>
      <c r="AN259" s="27" t="s">
        <v>404</v>
      </c>
      <c r="AO259" s="27"/>
    </row>
    <row r="260">
      <c r="A260" s="200">
        <v>44810.02510108796</v>
      </c>
      <c r="B260" s="19" t="s">
        <v>148</v>
      </c>
      <c r="C260" s="21" t="s">
        <v>384</v>
      </c>
      <c r="D260" s="62">
        <v>0.0</v>
      </c>
      <c r="E260" s="27">
        <v>1.0</v>
      </c>
      <c r="F260" s="27" t="s">
        <v>1074</v>
      </c>
      <c r="G260" s="201" t="s">
        <v>57</v>
      </c>
      <c r="H260" s="27" t="s">
        <v>53</v>
      </c>
      <c r="I260" s="27"/>
      <c r="J260" s="33">
        <v>-10.0</v>
      </c>
      <c r="K260" s="33">
        <v>-6.0</v>
      </c>
      <c r="L260" s="66">
        <v>48.0</v>
      </c>
      <c r="M260" s="27" t="s">
        <v>1075</v>
      </c>
      <c r="N260" s="27">
        <v>-6.5</v>
      </c>
      <c r="O260" s="27"/>
      <c r="P260" s="27">
        <v>-6.0</v>
      </c>
      <c r="Q260" s="27"/>
      <c r="R260" s="27">
        <v>-6.0</v>
      </c>
      <c r="S260" s="27"/>
      <c r="T260" s="27">
        <v>-6.0</v>
      </c>
      <c r="U260" s="27"/>
      <c r="V260" s="27">
        <v>-6.0</v>
      </c>
      <c r="W260" s="27"/>
      <c r="X260" s="27">
        <v>-6.5</v>
      </c>
      <c r="Y260" s="27"/>
      <c r="Z260" s="27">
        <v>-6.0</v>
      </c>
      <c r="AA260" s="27"/>
      <c r="AB260" s="27">
        <v>-6.0</v>
      </c>
      <c r="AC260" s="27"/>
      <c r="AD260" s="27">
        <v>-6.0</v>
      </c>
      <c r="AE260" s="27"/>
      <c r="AF260" s="27">
        <v>-6.0</v>
      </c>
      <c r="AG260" s="27"/>
      <c r="AH260" s="27">
        <v>17.0</v>
      </c>
      <c r="AI260" s="27">
        <v>20.0</v>
      </c>
      <c r="AJ260" s="27">
        <v>2.0</v>
      </c>
      <c r="AK260" s="27" t="b">
        <v>1</v>
      </c>
      <c r="AL260" s="27">
        <v>100.0</v>
      </c>
      <c r="AM260" s="27" t="s">
        <v>186</v>
      </c>
      <c r="AN260" s="27" t="s">
        <v>404</v>
      </c>
      <c r="AO260" s="27"/>
    </row>
    <row r="261">
      <c r="A261" s="200">
        <v>44810.02510108796</v>
      </c>
      <c r="B261" s="19" t="s">
        <v>148</v>
      </c>
      <c r="C261" s="21" t="s">
        <v>381</v>
      </c>
      <c r="D261" s="62">
        <v>0.0</v>
      </c>
      <c r="E261" s="27">
        <v>1.0</v>
      </c>
      <c r="F261" s="27" t="s">
        <v>1167</v>
      </c>
      <c r="G261" s="201" t="s">
        <v>57</v>
      </c>
      <c r="H261" s="27" t="s">
        <v>109</v>
      </c>
      <c r="I261" s="27"/>
      <c r="J261" s="33">
        <v>4.0</v>
      </c>
      <c r="K261" s="33">
        <v>3.5</v>
      </c>
      <c r="L261" s="66">
        <v>53.5</v>
      </c>
      <c r="M261" s="27"/>
      <c r="N261" s="27"/>
      <c r="O261" s="27"/>
      <c r="P261" s="27"/>
      <c r="Q261" s="27"/>
      <c r="R261" s="27"/>
      <c r="S261" s="27"/>
      <c r="T261" s="27"/>
      <c r="U261" s="27"/>
      <c r="V261" s="27"/>
      <c r="W261" s="27"/>
      <c r="X261" s="27"/>
      <c r="Y261" s="27"/>
      <c r="Z261" s="27"/>
      <c r="AA261" s="27"/>
      <c r="AB261" s="27"/>
      <c r="AC261" s="27"/>
      <c r="AD261" s="27"/>
      <c r="AE261" s="27"/>
      <c r="AF261" s="27"/>
      <c r="AG261" s="27"/>
      <c r="AH261" s="27">
        <v>31.0</v>
      </c>
      <c r="AI261" s="27">
        <v>35.0</v>
      </c>
      <c r="AJ261" s="27">
        <v>2.0</v>
      </c>
      <c r="AK261" s="27" t="b">
        <v>0</v>
      </c>
      <c r="AL261" s="27">
        <v>100.0</v>
      </c>
      <c r="AM261" s="27" t="s">
        <v>188</v>
      </c>
      <c r="AN261" s="27" t="s">
        <v>404</v>
      </c>
      <c r="AO261" s="27"/>
    </row>
    <row r="262">
      <c r="A262" s="200">
        <v>44810.02510108796</v>
      </c>
      <c r="B262" s="19" t="s">
        <v>148</v>
      </c>
      <c r="C262" s="21" t="s">
        <v>374</v>
      </c>
      <c r="D262" s="62">
        <v>1.0</v>
      </c>
      <c r="E262" s="27">
        <v>0.0</v>
      </c>
      <c r="F262" s="27" t="s">
        <v>1200</v>
      </c>
      <c r="G262" s="201" t="s">
        <v>57</v>
      </c>
      <c r="H262" s="27"/>
      <c r="I262" s="27"/>
      <c r="J262" s="33">
        <v>4.0</v>
      </c>
      <c r="K262" s="33">
        <v>3.5</v>
      </c>
      <c r="L262" s="66">
        <v>53.5</v>
      </c>
      <c r="M262" s="27" t="s">
        <v>1201</v>
      </c>
      <c r="N262" s="27">
        <v>3.5</v>
      </c>
      <c r="O262" s="27"/>
      <c r="P262" s="27">
        <v>3.5</v>
      </c>
      <c r="Q262" s="27"/>
      <c r="R262" s="27">
        <v>3.5</v>
      </c>
      <c r="S262" s="27"/>
      <c r="T262" s="27">
        <v>3.5</v>
      </c>
      <c r="U262" s="27"/>
      <c r="V262" s="27">
        <v>3.5</v>
      </c>
      <c r="W262" s="27"/>
      <c r="X262" s="27">
        <v>3.0</v>
      </c>
      <c r="Y262" s="27"/>
      <c r="Z262" s="27">
        <v>3.5</v>
      </c>
      <c r="AA262" s="27"/>
      <c r="AB262" s="27">
        <v>4.0</v>
      </c>
      <c r="AC262" s="27"/>
      <c r="AD262" s="27">
        <v>3.5</v>
      </c>
      <c r="AE262" s="27"/>
      <c r="AF262" s="27">
        <v>3.5</v>
      </c>
      <c r="AG262" s="27"/>
      <c r="AH262" s="27">
        <v>56.0</v>
      </c>
      <c r="AI262" s="27">
        <v>10.0</v>
      </c>
      <c r="AJ262" s="27">
        <v>2.0</v>
      </c>
      <c r="AK262" s="27" t="b">
        <v>0</v>
      </c>
      <c r="AL262" s="27">
        <v>100.0</v>
      </c>
      <c r="AM262" s="27" t="s">
        <v>389</v>
      </c>
      <c r="AN262" s="27" t="s">
        <v>405</v>
      </c>
      <c r="AO262" s="27"/>
    </row>
    <row r="263">
      <c r="A263" s="200">
        <v>44810.02510108796</v>
      </c>
      <c r="B263" s="19"/>
      <c r="C263" s="21"/>
      <c r="D263" s="62"/>
      <c r="E263" s="27"/>
      <c r="F263" s="27"/>
      <c r="G263" s="201"/>
      <c r="H263" s="27"/>
      <c r="I263" s="27"/>
      <c r="J263" s="33"/>
      <c r="K263" s="33"/>
      <c r="L263" s="66"/>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t="e">
        <v>#N/A</v>
      </c>
      <c r="AN263" s="27" t="e">
        <v>#N/A</v>
      </c>
      <c r="AO263" s="27"/>
    </row>
    <row r="264">
      <c r="A264" s="200">
        <v>44810.02510108796</v>
      </c>
      <c r="B264" s="19" t="s">
        <v>103</v>
      </c>
      <c r="C264" s="21" t="s">
        <v>340</v>
      </c>
      <c r="D264" s="62">
        <v>2.0</v>
      </c>
      <c r="E264" s="27">
        <v>0.0</v>
      </c>
      <c r="F264" s="27" t="s">
        <v>1158</v>
      </c>
      <c r="G264" s="201" t="s">
        <v>57</v>
      </c>
      <c r="H264" s="27" t="s">
        <v>109</v>
      </c>
      <c r="I264" s="27"/>
      <c r="J264" s="33">
        <v>4.0</v>
      </c>
      <c r="K264" s="33">
        <v>4.0</v>
      </c>
      <c r="L264" s="66">
        <v>50.5</v>
      </c>
      <c r="M264" s="27" t="s">
        <v>1159</v>
      </c>
      <c r="N264" s="27">
        <v>4.0</v>
      </c>
      <c r="O264" s="27"/>
      <c r="P264" s="27">
        <v>4.0</v>
      </c>
      <c r="Q264" s="27"/>
      <c r="R264" s="27">
        <v>4.0</v>
      </c>
      <c r="S264" s="27"/>
      <c r="T264" s="27">
        <v>4.0</v>
      </c>
      <c r="U264" s="27"/>
      <c r="V264" s="27">
        <v>4.0</v>
      </c>
      <c r="W264" s="27"/>
      <c r="X264" s="27">
        <v>4.0</v>
      </c>
      <c r="Y264" s="27"/>
      <c r="Z264" s="27">
        <v>4.0</v>
      </c>
      <c r="AA264" s="27"/>
      <c r="AB264" s="27">
        <v>4.0</v>
      </c>
      <c r="AC264" s="27"/>
      <c r="AD264" s="27">
        <v>4.0</v>
      </c>
      <c r="AE264" s="27"/>
      <c r="AF264" s="27">
        <v>4.0</v>
      </c>
      <c r="AG264" s="27"/>
      <c r="AH264" s="27">
        <v>71.0</v>
      </c>
      <c r="AI264" s="27">
        <v>30.0</v>
      </c>
      <c r="AJ264" s="27">
        <v>2.0</v>
      </c>
      <c r="AK264" s="27" t="b">
        <v>0</v>
      </c>
      <c r="AL264" s="27">
        <v>100.0</v>
      </c>
      <c r="AM264" s="27" t="s">
        <v>186</v>
      </c>
      <c r="AN264" s="27" t="s">
        <v>404</v>
      </c>
      <c r="AO264" s="27"/>
    </row>
    <row r="265">
      <c r="A265" s="200">
        <v>44810.02510108796</v>
      </c>
      <c r="B265" s="19" t="s">
        <v>103</v>
      </c>
      <c r="C265" s="21" t="s">
        <v>361</v>
      </c>
      <c r="D265" s="62">
        <v>0.0</v>
      </c>
      <c r="E265" s="27">
        <v>1.0</v>
      </c>
      <c r="F265" s="27" t="s">
        <v>1202</v>
      </c>
      <c r="G265" s="201" t="s">
        <v>57</v>
      </c>
      <c r="H265" s="27" t="s">
        <v>154</v>
      </c>
      <c r="I265" s="27"/>
      <c r="J265" s="33"/>
      <c r="K265" s="33"/>
      <c r="L265" s="66"/>
      <c r="M265" s="27"/>
      <c r="N265" s="27"/>
      <c r="O265" s="27"/>
      <c r="P265" s="27"/>
      <c r="Q265" s="27"/>
      <c r="R265" s="27"/>
      <c r="S265" s="27"/>
      <c r="T265" s="27"/>
      <c r="U265" s="27"/>
      <c r="V265" s="27"/>
      <c r="W265" s="27"/>
      <c r="X265" s="27"/>
      <c r="Y265" s="27"/>
      <c r="Z265" s="27"/>
      <c r="AA265" s="27"/>
      <c r="AB265" s="27"/>
      <c r="AC265" s="27"/>
      <c r="AD265" s="27"/>
      <c r="AE265" s="27"/>
      <c r="AF265" s="27"/>
      <c r="AG265" s="27"/>
      <c r="AH265" s="27">
        <v>14.0</v>
      </c>
      <c r="AI265" s="27">
        <v>35.0</v>
      </c>
      <c r="AJ265" s="27">
        <v>2.0</v>
      </c>
      <c r="AK265" s="27" t="b">
        <v>0</v>
      </c>
      <c r="AL265" s="27">
        <v>100.0</v>
      </c>
      <c r="AM265" s="27" t="s">
        <v>193</v>
      </c>
      <c r="AN265" s="27" t="s">
        <v>405</v>
      </c>
      <c r="AO265" s="27"/>
    </row>
    <row r="266">
      <c r="A266" s="200">
        <v>44810.02510108796</v>
      </c>
      <c r="B266" s="19" t="s">
        <v>103</v>
      </c>
      <c r="C266" s="21" t="s">
        <v>373</v>
      </c>
      <c r="D266" s="62">
        <v>1.0</v>
      </c>
      <c r="E266" s="27">
        <v>0.0</v>
      </c>
      <c r="F266" s="27" t="s">
        <v>1149</v>
      </c>
      <c r="G266" s="201" t="s">
        <v>57</v>
      </c>
      <c r="H266" s="27" t="s">
        <v>141</v>
      </c>
      <c r="I266" s="27"/>
      <c r="J266" s="33">
        <v>-21.0</v>
      </c>
      <c r="K266" s="33">
        <v>-21.5</v>
      </c>
      <c r="L266" s="66">
        <v>57.0</v>
      </c>
      <c r="M266" s="27" t="s">
        <v>1150</v>
      </c>
      <c r="N266" s="27">
        <v>-21.5</v>
      </c>
      <c r="O266" s="27"/>
      <c r="P266" s="27">
        <v>-21.5</v>
      </c>
      <c r="Q266" s="27"/>
      <c r="R266" s="27">
        <v>-21.5</v>
      </c>
      <c r="S266" s="27"/>
      <c r="T266" s="27">
        <v>-21.5</v>
      </c>
      <c r="U266" s="27"/>
      <c r="V266" s="27">
        <v>-21.5</v>
      </c>
      <c r="W266" s="27"/>
      <c r="X266" s="27">
        <v>-21.5</v>
      </c>
      <c r="Y266" s="27"/>
      <c r="Z266" s="27">
        <v>-21.5</v>
      </c>
      <c r="AA266" s="27"/>
      <c r="AB266" s="27">
        <v>-21.5</v>
      </c>
      <c r="AC266" s="27"/>
      <c r="AD266" s="27">
        <v>-21.5</v>
      </c>
      <c r="AE266" s="27"/>
      <c r="AF266" s="27">
        <v>-21.5</v>
      </c>
      <c r="AG266" s="27"/>
      <c r="AH266" s="27">
        <v>28.0</v>
      </c>
      <c r="AI266" s="27">
        <v>10.0</v>
      </c>
      <c r="AJ266" s="27">
        <v>2.0</v>
      </c>
      <c r="AK266" s="27" t="b">
        <v>0</v>
      </c>
      <c r="AL266" s="27">
        <v>100.0</v>
      </c>
      <c r="AM266" s="27" t="s">
        <v>192</v>
      </c>
      <c r="AN266" s="27" t="s">
        <v>404</v>
      </c>
      <c r="AO266" s="27"/>
    </row>
    <row r="267">
      <c r="A267" s="200">
        <v>44810.02510108796</v>
      </c>
      <c r="B267" s="19" t="s">
        <v>103</v>
      </c>
      <c r="C267" s="21" t="s">
        <v>322</v>
      </c>
      <c r="D267" s="62">
        <v>1.0</v>
      </c>
      <c r="E267" s="27">
        <v>0.0</v>
      </c>
      <c r="F267" s="27" t="s">
        <v>1094</v>
      </c>
      <c r="G267" s="201" t="s">
        <v>57</v>
      </c>
      <c r="H267" s="27" t="s">
        <v>131</v>
      </c>
      <c r="I267" s="27"/>
      <c r="J267" s="33">
        <v>11.5</v>
      </c>
      <c r="K267" s="33">
        <v>6.0</v>
      </c>
      <c r="L267" s="66">
        <v>45.5</v>
      </c>
      <c r="M267" s="27" t="s">
        <v>1095</v>
      </c>
      <c r="N267" s="27">
        <v>6.5</v>
      </c>
      <c r="O267" s="27"/>
      <c r="P267" s="27">
        <v>6.0</v>
      </c>
      <c r="Q267" s="27"/>
      <c r="R267" s="27">
        <v>6.0</v>
      </c>
      <c r="S267" s="27"/>
      <c r="T267" s="27">
        <v>6.0</v>
      </c>
      <c r="U267" s="27"/>
      <c r="V267" s="27">
        <v>6.0</v>
      </c>
      <c r="W267" s="27"/>
      <c r="X267" s="27">
        <v>6.5</v>
      </c>
      <c r="Y267" s="27"/>
      <c r="Z267" s="27">
        <v>6.0</v>
      </c>
      <c r="AA267" s="27"/>
      <c r="AB267" s="27">
        <v>5.0</v>
      </c>
      <c r="AC267" s="27"/>
      <c r="AD267" s="27">
        <v>6.0</v>
      </c>
      <c r="AE267" s="27"/>
      <c r="AF267" s="27">
        <v>6.0</v>
      </c>
      <c r="AG267" s="27"/>
      <c r="AH267" s="27">
        <v>38.0</v>
      </c>
      <c r="AI267" s="27">
        <v>20.0</v>
      </c>
      <c r="AJ267" s="27">
        <v>2.0</v>
      </c>
      <c r="AK267" s="27" t="b">
        <v>0</v>
      </c>
      <c r="AL267" s="27">
        <v>100.0</v>
      </c>
      <c r="AM267" s="27" t="s">
        <v>191</v>
      </c>
      <c r="AN267" s="27" t="s">
        <v>404</v>
      </c>
      <c r="AO267" s="27"/>
    </row>
    <row r="268">
      <c r="A268" s="200">
        <v>44810.02510108796</v>
      </c>
      <c r="B268" s="19" t="s">
        <v>103</v>
      </c>
      <c r="C268" s="21" t="s">
        <v>324</v>
      </c>
      <c r="D268" s="62">
        <v>1.0</v>
      </c>
      <c r="E268" s="27">
        <v>0.0</v>
      </c>
      <c r="F268" s="27" t="s">
        <v>1203</v>
      </c>
      <c r="G268" s="201" t="s">
        <v>57</v>
      </c>
      <c r="H268" s="27"/>
      <c r="I268" s="27"/>
      <c r="J268" s="33">
        <v>-15.0</v>
      </c>
      <c r="K268" s="33">
        <v>-14.5</v>
      </c>
      <c r="L268" s="66">
        <v>46.0</v>
      </c>
      <c r="M268" s="27" t="s">
        <v>1204</v>
      </c>
      <c r="N268" s="27">
        <v>-14.5</v>
      </c>
      <c r="O268" s="27"/>
      <c r="P268" s="27">
        <v>-14.5</v>
      </c>
      <c r="Q268" s="27"/>
      <c r="R268" s="27">
        <v>-14.5</v>
      </c>
      <c r="S268" s="27"/>
      <c r="T268" s="27">
        <v>-14.5</v>
      </c>
      <c r="U268" s="27"/>
      <c r="V268" s="27">
        <v>-14.5</v>
      </c>
      <c r="W268" s="27"/>
      <c r="X268" s="27">
        <v>-14.5</v>
      </c>
      <c r="Y268" s="27"/>
      <c r="Z268" s="27">
        <v>-14.5</v>
      </c>
      <c r="AA268" s="27"/>
      <c r="AB268" s="27">
        <v>-14.5</v>
      </c>
      <c r="AC268" s="27"/>
      <c r="AD268" s="27"/>
      <c r="AE268" s="27"/>
      <c r="AF268" s="27"/>
      <c r="AG268" s="27"/>
      <c r="AH268" s="27">
        <v>48.0</v>
      </c>
      <c r="AI268" s="27">
        <v>17.0</v>
      </c>
      <c r="AJ268" s="27">
        <v>2.0</v>
      </c>
      <c r="AK268" s="27" t="b">
        <v>0</v>
      </c>
      <c r="AL268" s="27">
        <v>100.0</v>
      </c>
      <c r="AM268" s="27" t="s">
        <v>129</v>
      </c>
      <c r="AN268" s="27" t="s">
        <v>405</v>
      </c>
      <c r="AO268" s="27"/>
    </row>
    <row r="269">
      <c r="A269" s="200">
        <v>44810.02510108796</v>
      </c>
      <c r="B269" s="19" t="s">
        <v>103</v>
      </c>
      <c r="C269" s="21" t="s">
        <v>341</v>
      </c>
      <c r="D269" s="62">
        <v>1.0</v>
      </c>
      <c r="E269" s="27">
        <v>0.0</v>
      </c>
      <c r="F269" s="27" t="s">
        <v>1164</v>
      </c>
      <c r="G269" s="201" t="s">
        <v>57</v>
      </c>
      <c r="H269" s="27" t="s">
        <v>109</v>
      </c>
      <c r="I269" s="27"/>
      <c r="J269" s="33">
        <v>-20.0</v>
      </c>
      <c r="K269" s="33">
        <v>-24.0</v>
      </c>
      <c r="L269" s="66">
        <v>65.0</v>
      </c>
      <c r="M269" s="27" t="s">
        <v>1165</v>
      </c>
      <c r="N269" s="27">
        <v>-24.5</v>
      </c>
      <c r="O269" s="27"/>
      <c r="P269" s="27">
        <v>-24.0</v>
      </c>
      <c r="Q269" s="27"/>
      <c r="R269" s="27">
        <v>-24.0</v>
      </c>
      <c r="S269" s="27"/>
      <c r="T269" s="27">
        <v>-24.0</v>
      </c>
      <c r="U269" s="27"/>
      <c r="V269" s="27">
        <v>-24.0</v>
      </c>
      <c r="W269" s="27"/>
      <c r="X269" s="27">
        <v>-24.0</v>
      </c>
      <c r="Y269" s="27"/>
      <c r="Z269" s="27">
        <v>-20.5</v>
      </c>
      <c r="AA269" s="27"/>
      <c r="AB269" s="27">
        <v>-24.5</v>
      </c>
      <c r="AC269" s="27"/>
      <c r="AD269" s="27">
        <v>-24.0</v>
      </c>
      <c r="AE269" s="27"/>
      <c r="AF269" s="27">
        <v>-24.0</v>
      </c>
      <c r="AG269" s="27"/>
      <c r="AH269" s="27">
        <v>31.0</v>
      </c>
      <c r="AI269" s="27">
        <v>10.0</v>
      </c>
      <c r="AJ269" s="27">
        <v>2.0</v>
      </c>
      <c r="AK269" s="27" t="b">
        <v>1</v>
      </c>
      <c r="AL269" s="27">
        <v>100.0</v>
      </c>
      <c r="AM269" s="27" t="s">
        <v>188</v>
      </c>
      <c r="AN269" s="27" t="s">
        <v>404</v>
      </c>
      <c r="AO269" s="27"/>
    </row>
    <row r="270">
      <c r="A270" s="200">
        <v>44810.02510108796</v>
      </c>
      <c r="B270" s="19" t="s">
        <v>103</v>
      </c>
      <c r="C270" s="21" t="s">
        <v>358</v>
      </c>
      <c r="D270" s="62">
        <v>1.0</v>
      </c>
      <c r="E270" s="27">
        <v>0.0</v>
      </c>
      <c r="F270" s="27" t="s">
        <v>1177</v>
      </c>
      <c r="G270" s="201" t="s">
        <v>57</v>
      </c>
      <c r="H270" s="27" t="s">
        <v>144</v>
      </c>
      <c r="I270" s="27"/>
      <c r="J270" s="33">
        <v>-6.5</v>
      </c>
      <c r="K270" s="33">
        <v>-13.5</v>
      </c>
      <c r="L270" s="66">
        <v>59.5</v>
      </c>
      <c r="M270" s="27"/>
      <c r="N270" s="27"/>
      <c r="O270" s="27"/>
      <c r="P270" s="27"/>
      <c r="Q270" s="27"/>
      <c r="R270" s="27"/>
      <c r="S270" s="27"/>
      <c r="T270" s="27"/>
      <c r="U270" s="27"/>
      <c r="V270" s="27"/>
      <c r="W270" s="27"/>
      <c r="X270" s="27"/>
      <c r="Y270" s="27"/>
      <c r="Z270" s="27"/>
      <c r="AA270" s="27"/>
      <c r="AB270" s="27"/>
      <c r="AC270" s="27"/>
      <c r="AD270" s="27"/>
      <c r="AE270" s="27"/>
      <c r="AF270" s="27"/>
      <c r="AG270" s="27"/>
      <c r="AH270" s="27">
        <v>38.0</v>
      </c>
      <c r="AI270" s="27">
        <v>13.0</v>
      </c>
      <c r="AJ270" s="27">
        <v>2.0</v>
      </c>
      <c r="AK270" s="27" t="b">
        <v>1</v>
      </c>
      <c r="AL270" s="27">
        <v>100.0</v>
      </c>
      <c r="AM270" s="27" t="s">
        <v>187</v>
      </c>
      <c r="AN270" s="27" t="s">
        <v>404</v>
      </c>
      <c r="AO270" s="27"/>
    </row>
    <row r="271">
      <c r="A271" s="200">
        <v>44810.02510108796</v>
      </c>
      <c r="B271" s="19" t="s">
        <v>103</v>
      </c>
      <c r="C271" s="21" t="s">
        <v>356</v>
      </c>
      <c r="D271" s="62">
        <v>1.0</v>
      </c>
      <c r="E271" s="27">
        <v>0.0</v>
      </c>
      <c r="F271" s="27" t="s">
        <v>1205</v>
      </c>
      <c r="G271" s="201" t="s">
        <v>57</v>
      </c>
      <c r="H271" s="27"/>
      <c r="I271" s="27"/>
      <c r="J271" s="33">
        <v>-14.0</v>
      </c>
      <c r="K271" s="33">
        <v>-10.5</v>
      </c>
      <c r="L271" s="66">
        <v>57.5</v>
      </c>
      <c r="M271" s="27" t="s">
        <v>1206</v>
      </c>
      <c r="N271" s="27">
        <v>-10.5</v>
      </c>
      <c r="O271" s="27"/>
      <c r="P271" s="27">
        <v>-10.5</v>
      </c>
      <c r="Q271" s="27"/>
      <c r="R271" s="27">
        <v>-10.5</v>
      </c>
      <c r="S271" s="27"/>
      <c r="T271" s="27">
        <v>-10.5</v>
      </c>
      <c r="U271" s="27"/>
      <c r="V271" s="27">
        <v>-10.5</v>
      </c>
      <c r="W271" s="27"/>
      <c r="X271" s="27">
        <v>-10.0</v>
      </c>
      <c r="Y271" s="27"/>
      <c r="Z271" s="27">
        <v>-10.5</v>
      </c>
      <c r="AA271" s="27"/>
      <c r="AB271" s="27">
        <v>-10.5</v>
      </c>
      <c r="AC271" s="27"/>
      <c r="AD271" s="27"/>
      <c r="AE271" s="27"/>
      <c r="AF271" s="27"/>
      <c r="AG271" s="27"/>
      <c r="AH271" s="27">
        <v>42.0</v>
      </c>
      <c r="AI271" s="27">
        <v>34.0</v>
      </c>
      <c r="AJ271" s="27">
        <v>2.0</v>
      </c>
      <c r="AK271" s="27" t="b">
        <v>0</v>
      </c>
      <c r="AL271" s="27">
        <v>100.0</v>
      </c>
      <c r="AM271" s="27" t="s">
        <v>190</v>
      </c>
      <c r="AN271" s="27" t="s">
        <v>405</v>
      </c>
      <c r="AO271" s="27"/>
    </row>
    <row r="272">
      <c r="A272" s="200">
        <v>44810.02510108796</v>
      </c>
      <c r="B272" s="19" t="s">
        <v>103</v>
      </c>
      <c r="C272" s="21" t="s">
        <v>362</v>
      </c>
      <c r="D272" s="62">
        <v>0.0</v>
      </c>
      <c r="E272" s="27">
        <v>1.0</v>
      </c>
      <c r="F272" s="27" t="s">
        <v>1207</v>
      </c>
      <c r="G272" s="201" t="s">
        <v>57</v>
      </c>
      <c r="H272" s="27"/>
      <c r="I272" s="27"/>
      <c r="J272" s="33">
        <v>6.0</v>
      </c>
      <c r="K272" s="33">
        <v>9.5</v>
      </c>
      <c r="L272" s="66">
        <v>51.5</v>
      </c>
      <c r="M272" s="27" t="s">
        <v>1208</v>
      </c>
      <c r="N272" s="27">
        <v>9.5</v>
      </c>
      <c r="O272" s="27"/>
      <c r="P272" s="27">
        <v>9.5</v>
      </c>
      <c r="Q272" s="27"/>
      <c r="R272" s="27">
        <v>9.5</v>
      </c>
      <c r="S272" s="27"/>
      <c r="T272" s="27">
        <v>9.0</v>
      </c>
      <c r="U272" s="27"/>
      <c r="V272" s="27">
        <v>9.5</v>
      </c>
      <c r="W272" s="27"/>
      <c r="X272" s="27">
        <v>9.5</v>
      </c>
      <c r="Y272" s="27"/>
      <c r="Z272" s="27">
        <v>9.5</v>
      </c>
      <c r="AA272" s="27"/>
      <c r="AB272" s="27">
        <v>9.0</v>
      </c>
      <c r="AC272" s="27"/>
      <c r="AD272" s="27">
        <v>9.0</v>
      </c>
      <c r="AE272" s="27"/>
      <c r="AF272" s="27">
        <v>9.0</v>
      </c>
      <c r="AG272" s="27"/>
      <c r="AH272" s="27">
        <v>0.0</v>
      </c>
      <c r="AI272" s="27">
        <v>30.0</v>
      </c>
      <c r="AJ272" s="27">
        <v>2.0</v>
      </c>
      <c r="AK272" s="27" t="b">
        <v>1</v>
      </c>
      <c r="AL272" s="27">
        <v>100.0</v>
      </c>
      <c r="AM272" s="27" t="s">
        <v>389</v>
      </c>
      <c r="AN272" s="27" t="s">
        <v>405</v>
      </c>
      <c r="AO272" s="27"/>
    </row>
    <row r="273">
      <c r="A273" s="200">
        <v>44810.02510108796</v>
      </c>
      <c r="B273" s="19" t="s">
        <v>103</v>
      </c>
      <c r="C273" s="21" t="s">
        <v>378</v>
      </c>
      <c r="D273" s="62">
        <v>1.0</v>
      </c>
      <c r="E273" s="27">
        <v>0.0</v>
      </c>
      <c r="F273" s="27" t="s">
        <v>1209</v>
      </c>
      <c r="G273" s="201" t="s">
        <v>57</v>
      </c>
      <c r="H273" s="27"/>
      <c r="I273" s="27"/>
      <c r="J273" s="33">
        <v>-35.0</v>
      </c>
      <c r="K273" s="33">
        <v>-34.0</v>
      </c>
      <c r="L273" s="66">
        <v>62.5</v>
      </c>
      <c r="M273" s="27" t="s">
        <v>1091</v>
      </c>
      <c r="N273" s="27">
        <v>-34.0</v>
      </c>
      <c r="O273" s="27"/>
      <c r="P273" s="27">
        <v>-34.0</v>
      </c>
      <c r="Q273" s="27"/>
      <c r="R273" s="27">
        <v>-34.0</v>
      </c>
      <c r="S273" s="27"/>
      <c r="T273" s="27"/>
      <c r="U273" s="27"/>
      <c r="V273" s="27"/>
      <c r="W273" s="27"/>
      <c r="X273" s="27"/>
      <c r="Y273" s="27"/>
      <c r="Z273" s="27"/>
      <c r="AA273" s="27"/>
      <c r="AB273" s="27"/>
      <c r="AC273" s="27"/>
      <c r="AD273" s="27"/>
      <c r="AE273" s="27"/>
      <c r="AF273" s="27"/>
      <c r="AG273" s="27"/>
      <c r="AH273" s="27">
        <v>59.0</v>
      </c>
      <c r="AI273" s="27">
        <v>0.0</v>
      </c>
      <c r="AJ273" s="27">
        <v>2.0</v>
      </c>
      <c r="AK273" s="27" t="b">
        <v>0</v>
      </c>
      <c r="AL273" s="27">
        <v>100.0</v>
      </c>
      <c r="AM273" s="27" t="s">
        <v>189</v>
      </c>
      <c r="AN273" s="27" t="s">
        <v>405</v>
      </c>
      <c r="AO273" s="27"/>
    </row>
    <row r="274">
      <c r="A274" s="200">
        <v>44810.02510108796</v>
      </c>
      <c r="B274" s="19"/>
      <c r="C274" s="21"/>
      <c r="D274" s="62"/>
      <c r="E274" s="27"/>
      <c r="F274" s="27"/>
      <c r="G274" s="201"/>
      <c r="H274" s="27"/>
      <c r="I274" s="27"/>
      <c r="J274" s="33"/>
      <c r="K274" s="33"/>
      <c r="L274" s="66"/>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t="e">
        <v>#N/A</v>
      </c>
      <c r="AN274" s="27" t="e">
        <v>#N/A</v>
      </c>
      <c r="AO274" s="27"/>
    </row>
    <row r="275">
      <c r="A275" s="200">
        <v>44810.02510108796</v>
      </c>
      <c r="B275" s="19" t="s">
        <v>154</v>
      </c>
      <c r="C275" s="21" t="s">
        <v>368</v>
      </c>
      <c r="D275" s="62">
        <v>1.0</v>
      </c>
      <c r="E275" s="27">
        <v>0.0</v>
      </c>
      <c r="F275" s="27"/>
      <c r="G275" s="201"/>
      <c r="H275" s="27"/>
      <c r="I275" s="27" t="s">
        <v>88</v>
      </c>
      <c r="J275" s="33"/>
      <c r="K275" s="33"/>
      <c r="L275" s="66"/>
      <c r="M275" s="27"/>
      <c r="N275" s="27"/>
      <c r="O275" s="27"/>
      <c r="P275" s="27"/>
      <c r="Q275" s="27"/>
      <c r="R275" s="27"/>
      <c r="S275" s="27"/>
      <c r="T275" s="27"/>
      <c r="U275" s="27"/>
      <c r="V275" s="27"/>
      <c r="W275" s="27"/>
      <c r="X275" s="27"/>
      <c r="Y275" s="27"/>
      <c r="Z275" s="27"/>
      <c r="AA275" s="27"/>
      <c r="AB275" s="27"/>
      <c r="AC275" s="27"/>
      <c r="AD275" s="27"/>
      <c r="AE275" s="27"/>
      <c r="AF275" s="27"/>
      <c r="AG275" s="27"/>
      <c r="AH275" s="27">
        <v>31.0</v>
      </c>
      <c r="AI275" s="27">
        <v>28.0</v>
      </c>
      <c r="AJ275" s="27">
        <v>0.0</v>
      </c>
      <c r="AK275" s="27" t="b">
        <v>1</v>
      </c>
      <c r="AL275" s="27">
        <v>59.0</v>
      </c>
      <c r="AM275" s="27" t="s">
        <v>188</v>
      </c>
      <c r="AN275" s="27" t="s">
        <v>404</v>
      </c>
      <c r="AO275" s="27"/>
    </row>
    <row r="276">
      <c r="A276" s="200">
        <v>44810.02510108796</v>
      </c>
      <c r="B276" s="19" t="s">
        <v>154</v>
      </c>
      <c r="C276" s="21" t="s">
        <v>379</v>
      </c>
      <c r="D276" s="62">
        <v>1.0</v>
      </c>
      <c r="E276" s="27">
        <v>0.0</v>
      </c>
      <c r="F276" s="27" t="s">
        <v>1202</v>
      </c>
      <c r="G276" s="201" t="s">
        <v>57</v>
      </c>
      <c r="H276" s="27" t="s">
        <v>103</v>
      </c>
      <c r="I276" s="27"/>
      <c r="J276" s="33"/>
      <c r="K276" s="33"/>
      <c r="L276" s="66"/>
      <c r="M276" s="27"/>
      <c r="N276" s="27"/>
      <c r="O276" s="27"/>
      <c r="P276" s="27"/>
      <c r="Q276" s="27"/>
      <c r="R276" s="27"/>
      <c r="S276" s="27"/>
      <c r="T276" s="27"/>
      <c r="U276" s="27"/>
      <c r="V276" s="27"/>
      <c r="W276" s="27"/>
      <c r="X276" s="27"/>
      <c r="Y276" s="27"/>
      <c r="Z276" s="27"/>
      <c r="AA276" s="27"/>
      <c r="AB276" s="27"/>
      <c r="AC276" s="27"/>
      <c r="AD276" s="27"/>
      <c r="AE276" s="27"/>
      <c r="AF276" s="27"/>
      <c r="AG276" s="27"/>
      <c r="AH276" s="27">
        <v>35.0</v>
      </c>
      <c r="AI276" s="27">
        <v>14.0</v>
      </c>
      <c r="AJ276" s="27">
        <v>2.0</v>
      </c>
      <c r="AK276" s="27" t="b">
        <v>1</v>
      </c>
      <c r="AL276" s="27">
        <v>100.0</v>
      </c>
      <c r="AM276" s="27" t="s">
        <v>192</v>
      </c>
      <c r="AN276" s="27" t="s">
        <v>404</v>
      </c>
      <c r="AO276" s="27"/>
    </row>
    <row r="277">
      <c r="A277" s="200">
        <v>44810.02510108796</v>
      </c>
      <c r="B277" s="19" t="s">
        <v>154</v>
      </c>
      <c r="C277" s="21" t="s">
        <v>320</v>
      </c>
      <c r="D277" s="62">
        <v>1.0</v>
      </c>
      <c r="E277" s="27">
        <v>0.0</v>
      </c>
      <c r="F277" s="27" t="s">
        <v>1210</v>
      </c>
      <c r="G277" s="201" t="s">
        <v>57</v>
      </c>
      <c r="H277" s="27"/>
      <c r="I277" s="27"/>
      <c r="J277" s="33">
        <v>-42.0</v>
      </c>
      <c r="K277" s="33">
        <v>-42.0</v>
      </c>
      <c r="L277" s="66">
        <v>46.5</v>
      </c>
      <c r="M277" s="27" t="s">
        <v>1091</v>
      </c>
      <c r="N277" s="27">
        <v>-42.5</v>
      </c>
      <c r="O277" s="27"/>
      <c r="P277" s="27">
        <v>-42.5</v>
      </c>
      <c r="Q277" s="27"/>
      <c r="R277" s="27">
        <v>-42.5</v>
      </c>
      <c r="S277" s="27"/>
      <c r="T277" s="27">
        <v>-42.0</v>
      </c>
      <c r="U277" s="27"/>
      <c r="V277" s="27">
        <v>-42.5</v>
      </c>
      <c r="W277" s="27"/>
      <c r="X277" s="27">
        <v>-42.0</v>
      </c>
      <c r="Y277" s="27"/>
      <c r="Z277" s="27">
        <v>-42.0</v>
      </c>
      <c r="AA277" s="27"/>
      <c r="AB277" s="27">
        <v>-42.0</v>
      </c>
      <c r="AC277" s="27"/>
      <c r="AD277" s="27"/>
      <c r="AE277" s="27"/>
      <c r="AF277" s="27"/>
      <c r="AG277" s="27"/>
      <c r="AH277" s="27">
        <v>69.0</v>
      </c>
      <c r="AI277" s="27">
        <v>10.0</v>
      </c>
      <c r="AJ277" s="27">
        <v>2.0</v>
      </c>
      <c r="AK277" s="27" t="b">
        <v>0</v>
      </c>
      <c r="AL277" s="27">
        <v>100.0</v>
      </c>
      <c r="AM277" s="27" t="s">
        <v>187</v>
      </c>
      <c r="AN277" s="27" t="s">
        <v>404</v>
      </c>
      <c r="AO277" s="27"/>
    </row>
    <row r="278">
      <c r="A278" s="200">
        <v>44810.02510108796</v>
      </c>
      <c r="B278" s="19" t="s">
        <v>154</v>
      </c>
      <c r="C278" s="21" t="s">
        <v>372</v>
      </c>
      <c r="D278" s="62">
        <v>0.0</v>
      </c>
      <c r="E278" s="27">
        <v>1.0</v>
      </c>
      <c r="F278" s="27" t="s">
        <v>1170</v>
      </c>
      <c r="G278" s="201" t="s">
        <v>57</v>
      </c>
      <c r="H278" s="27" t="s">
        <v>144</v>
      </c>
      <c r="I278" s="27"/>
      <c r="J278" s="33">
        <v>1.0</v>
      </c>
      <c r="K278" s="33">
        <v>-2.5</v>
      </c>
      <c r="L278" s="66">
        <v>51.5</v>
      </c>
      <c r="M278" s="27" t="s">
        <v>1171</v>
      </c>
      <c r="N278" s="27">
        <v>-2.5</v>
      </c>
      <c r="O278" s="27"/>
      <c r="P278" s="27">
        <v>-2.5</v>
      </c>
      <c r="Q278" s="27"/>
      <c r="R278" s="27">
        <v>-2.0</v>
      </c>
      <c r="S278" s="27"/>
      <c r="T278" s="27">
        <v>-2.5</v>
      </c>
      <c r="U278" s="27"/>
      <c r="V278" s="27">
        <v>-2.5</v>
      </c>
      <c r="W278" s="27"/>
      <c r="X278" s="27">
        <v>-2.5</v>
      </c>
      <c r="Y278" s="27"/>
      <c r="Z278" s="27">
        <v>-2.5</v>
      </c>
      <c r="AA278" s="27"/>
      <c r="AB278" s="27">
        <v>-2.5</v>
      </c>
      <c r="AC278" s="27"/>
      <c r="AD278" s="27">
        <v>-2.5</v>
      </c>
      <c r="AE278" s="27"/>
      <c r="AF278" s="27">
        <v>-2.5</v>
      </c>
      <c r="AG278" s="27"/>
      <c r="AH278" s="27">
        <v>26.0</v>
      </c>
      <c r="AI278" s="27">
        <v>29.0</v>
      </c>
      <c r="AJ278" s="27">
        <v>2.0</v>
      </c>
      <c r="AK278" s="27" t="b">
        <v>1</v>
      </c>
      <c r="AL278" s="27">
        <v>100.0</v>
      </c>
      <c r="AM278" s="27" t="s">
        <v>191</v>
      </c>
      <c r="AN278" s="27" t="s">
        <v>404</v>
      </c>
      <c r="AO278" s="27"/>
    </row>
    <row r="279">
      <c r="A279" s="200">
        <v>44810.02510108796</v>
      </c>
      <c r="B279" s="19" t="s">
        <v>154</v>
      </c>
      <c r="C279" s="21" t="s">
        <v>352</v>
      </c>
      <c r="D279" s="62">
        <v>1.0</v>
      </c>
      <c r="E279" s="27">
        <v>0.0</v>
      </c>
      <c r="F279" s="27" t="s">
        <v>1211</v>
      </c>
      <c r="G279" s="201" t="s">
        <v>57</v>
      </c>
      <c r="H279" s="27"/>
      <c r="I279" s="27"/>
      <c r="J279" s="33">
        <v>-27.0</v>
      </c>
      <c r="K279" s="33">
        <v>-25.5</v>
      </c>
      <c r="L279" s="66">
        <v>57.5</v>
      </c>
      <c r="M279" s="27" t="s">
        <v>1212</v>
      </c>
      <c r="N279" s="27">
        <v>-24.5</v>
      </c>
      <c r="O279" s="27"/>
      <c r="P279" s="27">
        <v>-25.0</v>
      </c>
      <c r="Q279" s="27"/>
      <c r="R279" s="27">
        <v>-25.0</v>
      </c>
      <c r="S279" s="27"/>
      <c r="T279" s="27">
        <v>-25.5</v>
      </c>
      <c r="U279" s="27"/>
      <c r="V279" s="27">
        <v>-25.0</v>
      </c>
      <c r="W279" s="27"/>
      <c r="X279" s="27">
        <v>-25.0</v>
      </c>
      <c r="Y279" s="27"/>
      <c r="Z279" s="27">
        <v>-25.5</v>
      </c>
      <c r="AA279" s="27"/>
      <c r="AB279" s="27">
        <v>-25.5</v>
      </c>
      <c r="AC279" s="27"/>
      <c r="AD279" s="27"/>
      <c r="AE279" s="27"/>
      <c r="AF279" s="27"/>
      <c r="AG279" s="27"/>
      <c r="AH279" s="27">
        <v>58.0</v>
      </c>
      <c r="AI279" s="27">
        <v>3.0</v>
      </c>
      <c r="AJ279" s="27">
        <v>2.0</v>
      </c>
      <c r="AK279" s="27" t="b">
        <v>0</v>
      </c>
      <c r="AL279" s="27">
        <v>100.0</v>
      </c>
      <c r="AM279" s="27" t="s">
        <v>193</v>
      </c>
      <c r="AN279" s="27" t="s">
        <v>405</v>
      </c>
      <c r="AO279" s="27"/>
    </row>
    <row r="280">
      <c r="A280" s="200">
        <v>44810.02510108796</v>
      </c>
      <c r="B280" s="19" t="s">
        <v>154</v>
      </c>
      <c r="C280" s="21" t="s">
        <v>366</v>
      </c>
      <c r="D280" s="62">
        <v>0.0</v>
      </c>
      <c r="E280" s="27">
        <v>2.0</v>
      </c>
      <c r="F280" s="27" t="s">
        <v>1068</v>
      </c>
      <c r="G280" s="201" t="s">
        <v>57</v>
      </c>
      <c r="H280" s="27" t="s">
        <v>53</v>
      </c>
      <c r="I280" s="27"/>
      <c r="J280" s="33">
        <v>40.0</v>
      </c>
      <c r="K280" s="33">
        <v>31.0</v>
      </c>
      <c r="L280" s="66">
        <v>58.0</v>
      </c>
      <c r="M280" s="27" t="s">
        <v>1069</v>
      </c>
      <c r="N280" s="27">
        <v>31.0</v>
      </c>
      <c r="O280" s="27"/>
      <c r="P280" s="27">
        <v>31.0</v>
      </c>
      <c r="Q280" s="27"/>
      <c r="R280" s="27">
        <v>31.0</v>
      </c>
      <c r="S280" s="27"/>
      <c r="T280" s="27">
        <v>31.0</v>
      </c>
      <c r="U280" s="27"/>
      <c r="V280" s="27">
        <v>31.0</v>
      </c>
      <c r="W280" s="27"/>
      <c r="X280" s="27">
        <v>31.0</v>
      </c>
      <c r="Y280" s="27"/>
      <c r="Z280" s="27">
        <v>31.0</v>
      </c>
      <c r="AA280" s="27"/>
      <c r="AB280" s="27">
        <v>32.0</v>
      </c>
      <c r="AC280" s="27"/>
      <c r="AD280" s="27">
        <v>31.0</v>
      </c>
      <c r="AE280" s="27"/>
      <c r="AF280" s="27">
        <v>31.0</v>
      </c>
      <c r="AG280" s="27"/>
      <c r="AH280" s="27">
        <v>26.0</v>
      </c>
      <c r="AI280" s="27">
        <v>76.0</v>
      </c>
      <c r="AJ280" s="27">
        <v>2.0</v>
      </c>
      <c r="AK280" s="27" t="b">
        <v>1</v>
      </c>
      <c r="AL280" s="27">
        <v>100.0</v>
      </c>
      <c r="AM280" s="27" t="s">
        <v>189</v>
      </c>
      <c r="AN280" s="27" t="s">
        <v>405</v>
      </c>
      <c r="AO280" s="27"/>
    </row>
    <row r="281">
      <c r="A281" s="200">
        <v>44810.02510108796</v>
      </c>
      <c r="B281" s="19" t="s">
        <v>154</v>
      </c>
      <c r="C281" s="21" t="s">
        <v>363</v>
      </c>
      <c r="D281" s="62">
        <v>1.0</v>
      </c>
      <c r="E281" s="27">
        <v>0.0</v>
      </c>
      <c r="F281" s="27" t="s">
        <v>1175</v>
      </c>
      <c r="G281" s="201" t="s">
        <v>57</v>
      </c>
      <c r="H281" s="27" t="s">
        <v>144</v>
      </c>
      <c r="I281" s="27"/>
      <c r="J281" s="33">
        <v>-11.0</v>
      </c>
      <c r="K281" s="33">
        <v>-12.0</v>
      </c>
      <c r="L281" s="66">
        <v>51.0</v>
      </c>
      <c r="M281" s="27" t="s">
        <v>1176</v>
      </c>
      <c r="N281" s="27">
        <v>-12.5</v>
      </c>
      <c r="O281" s="27"/>
      <c r="P281" s="27">
        <v>-12.0</v>
      </c>
      <c r="Q281" s="27"/>
      <c r="R281" s="27">
        <v>-12.0</v>
      </c>
      <c r="S281" s="27"/>
      <c r="T281" s="27">
        <v>-12.0</v>
      </c>
      <c r="U281" s="27"/>
      <c r="V281" s="27">
        <v>-12.0</v>
      </c>
      <c r="W281" s="27"/>
      <c r="X281" s="27">
        <v>-12.0</v>
      </c>
      <c r="Y281" s="27"/>
      <c r="Z281" s="27">
        <v>-12.0</v>
      </c>
      <c r="AA281" s="27"/>
      <c r="AB281" s="27">
        <v>-12.5</v>
      </c>
      <c r="AC281" s="27"/>
      <c r="AD281" s="27">
        <v>-12.0</v>
      </c>
      <c r="AE281" s="27"/>
      <c r="AF281" s="27">
        <v>-12.0</v>
      </c>
      <c r="AG281" s="27"/>
      <c r="AH281" s="27">
        <v>21.0</v>
      </c>
      <c r="AI281" s="27">
        <v>20.0</v>
      </c>
      <c r="AJ281" s="27">
        <v>2.0</v>
      </c>
      <c r="AK281" s="27" t="b">
        <v>0</v>
      </c>
      <c r="AL281" s="27">
        <v>100.0</v>
      </c>
      <c r="AM281" s="27" t="s">
        <v>186</v>
      </c>
      <c r="AN281" s="27" t="s">
        <v>404</v>
      </c>
      <c r="AO281" s="27"/>
    </row>
    <row r="282">
      <c r="A282" s="200">
        <v>44810.02510108796</v>
      </c>
      <c r="B282" s="19" t="s">
        <v>154</v>
      </c>
      <c r="C282" s="21" t="s">
        <v>382</v>
      </c>
      <c r="D282" s="62">
        <v>0.0</v>
      </c>
      <c r="E282" s="27">
        <v>1.0</v>
      </c>
      <c r="F282" s="27" t="s">
        <v>1144</v>
      </c>
      <c r="G282" s="201" t="s">
        <v>57</v>
      </c>
      <c r="H282" s="27" t="s">
        <v>138</v>
      </c>
      <c r="I282" s="27"/>
      <c r="J282" s="33">
        <v>16.5</v>
      </c>
      <c r="K282" s="33">
        <v>21.0</v>
      </c>
      <c r="L282" s="66">
        <v>54.5</v>
      </c>
      <c r="M282" s="27" t="s">
        <v>1145</v>
      </c>
      <c r="N282" s="27">
        <v>21.0</v>
      </c>
      <c r="O282" s="27"/>
      <c r="P282" s="27">
        <v>21.5</v>
      </c>
      <c r="Q282" s="27"/>
      <c r="R282" s="27">
        <v>21.0</v>
      </c>
      <c r="S282" s="27"/>
      <c r="T282" s="27">
        <v>21.0</v>
      </c>
      <c r="U282" s="27"/>
      <c r="V282" s="27">
        <v>21.0</v>
      </c>
      <c r="W282" s="27"/>
      <c r="X282" s="27">
        <v>21.0</v>
      </c>
      <c r="Y282" s="27"/>
      <c r="Z282" s="27">
        <v>20.0</v>
      </c>
      <c r="AA282" s="27"/>
      <c r="AB282" s="27">
        <v>21.0</v>
      </c>
      <c r="AC282" s="27"/>
      <c r="AD282" s="27">
        <v>21.0</v>
      </c>
      <c r="AE282" s="27"/>
      <c r="AF282" s="27">
        <v>21.0</v>
      </c>
      <c r="AG282" s="27"/>
      <c r="AH282" s="27">
        <v>13.0</v>
      </c>
      <c r="AI282" s="27">
        <v>35.0</v>
      </c>
      <c r="AJ282" s="27">
        <v>2.0</v>
      </c>
      <c r="AK282" s="27" t="b">
        <v>0</v>
      </c>
      <c r="AL282" s="27">
        <v>100.0</v>
      </c>
      <c r="AM282" s="27" t="s">
        <v>190</v>
      </c>
      <c r="AN282" s="27" t="s">
        <v>405</v>
      </c>
      <c r="AO282" s="27"/>
    </row>
    <row r="283">
      <c r="A283" s="200">
        <v>44810.02510108796</v>
      </c>
      <c r="B283" s="19" t="s">
        <v>154</v>
      </c>
      <c r="C283" s="21" t="s">
        <v>330</v>
      </c>
      <c r="D283" s="62">
        <v>1.0</v>
      </c>
      <c r="E283" s="27">
        <v>0.0</v>
      </c>
      <c r="F283" s="27" t="s">
        <v>1147</v>
      </c>
      <c r="G283" s="201" t="s">
        <v>183</v>
      </c>
      <c r="H283" s="27" t="s">
        <v>138</v>
      </c>
      <c r="I283" s="27"/>
      <c r="J283" s="33">
        <v>-7.0</v>
      </c>
      <c r="K283" s="33">
        <v>-3.5</v>
      </c>
      <c r="L283" s="66">
        <v>62.0</v>
      </c>
      <c r="M283" s="27" t="s">
        <v>1148</v>
      </c>
      <c r="N283" s="27">
        <v>-4.0</v>
      </c>
      <c r="O283" s="27"/>
      <c r="P283" s="27">
        <v>-3.5</v>
      </c>
      <c r="Q283" s="27"/>
      <c r="R283" s="27">
        <v>-3.5</v>
      </c>
      <c r="S283" s="27"/>
      <c r="T283" s="27">
        <v>-3.5</v>
      </c>
      <c r="U283" s="27"/>
      <c r="V283" s="27">
        <v>-3.5</v>
      </c>
      <c r="W283" s="27"/>
      <c r="X283" s="27">
        <v>-3.5</v>
      </c>
      <c r="Y283" s="27"/>
      <c r="Z283" s="27">
        <v>-3.5</v>
      </c>
      <c r="AA283" s="27"/>
      <c r="AB283" s="27">
        <v>-4.5</v>
      </c>
      <c r="AC283" s="27"/>
      <c r="AD283" s="27">
        <v>-3.5</v>
      </c>
      <c r="AE283" s="27"/>
      <c r="AF283" s="27">
        <v>-3.5</v>
      </c>
      <c r="AG283" s="27"/>
      <c r="AH283" s="27">
        <v>37.0</v>
      </c>
      <c r="AI283" s="27">
        <v>35.0</v>
      </c>
      <c r="AJ283" s="27">
        <v>2.0</v>
      </c>
      <c r="AK283" s="27" t="b">
        <v>0</v>
      </c>
      <c r="AL283" s="27">
        <v>100.0</v>
      </c>
      <c r="AM283" s="27" t="s">
        <v>389</v>
      </c>
      <c r="AN283" s="27" t="s">
        <v>405</v>
      </c>
      <c r="AO283" s="27"/>
    </row>
    <row r="284">
      <c r="A284" s="200">
        <v>44817.0251005787</v>
      </c>
      <c r="B284" s="19" t="s">
        <v>53</v>
      </c>
      <c r="C284" s="21" t="s">
        <v>54</v>
      </c>
      <c r="D284" s="62">
        <v>1.0</v>
      </c>
      <c r="E284" s="27">
        <v>1.0</v>
      </c>
      <c r="F284" s="27" t="s">
        <v>1213</v>
      </c>
      <c r="G284" s="201" t="s">
        <v>57</v>
      </c>
      <c r="H284" s="27"/>
      <c r="I284" s="27"/>
      <c r="J284" s="33">
        <v>-20.0</v>
      </c>
      <c r="K284" s="33">
        <v>-28.0</v>
      </c>
      <c r="L284" s="66">
        <v>70.5</v>
      </c>
      <c r="M284" s="27" t="s">
        <v>1214</v>
      </c>
      <c r="N284" s="27">
        <v>-27.5</v>
      </c>
      <c r="O284" s="27"/>
      <c r="P284" s="27">
        <v>-26.5</v>
      </c>
      <c r="Q284" s="27"/>
      <c r="R284" s="27">
        <v>-26.5</v>
      </c>
      <c r="S284" s="27"/>
      <c r="T284" s="27">
        <v>-27.0</v>
      </c>
      <c r="U284" s="27"/>
      <c r="V284" s="27">
        <v>-27.5</v>
      </c>
      <c r="W284" s="27"/>
      <c r="X284" s="27">
        <v>-26.0</v>
      </c>
      <c r="Y284" s="27"/>
      <c r="Z284" s="27">
        <v>-26.0</v>
      </c>
      <c r="AA284" s="27"/>
      <c r="AB284" s="27"/>
      <c r="AC284" s="27"/>
      <c r="AD284" s="27"/>
      <c r="AE284" s="27"/>
      <c r="AF284" s="27"/>
      <c r="AG284" s="27"/>
      <c r="AH284" s="27">
        <v>73.0</v>
      </c>
      <c r="AI284" s="27">
        <v>63.0</v>
      </c>
      <c r="AJ284" s="27">
        <v>2.0</v>
      </c>
      <c r="AK284" s="27" t="b">
        <v>0</v>
      </c>
      <c r="AL284" s="27">
        <v>100.0</v>
      </c>
      <c r="AM284" s="27" t="s">
        <v>191</v>
      </c>
      <c r="AN284" s="27" t="s">
        <v>404</v>
      </c>
      <c r="AO284" s="27"/>
    </row>
    <row r="285">
      <c r="A285" s="200">
        <v>44817.0251005787</v>
      </c>
      <c r="B285" s="19" t="s">
        <v>53</v>
      </c>
      <c r="C285" s="21" t="s">
        <v>181</v>
      </c>
      <c r="D285" s="62">
        <v>2.0</v>
      </c>
      <c r="E285" s="27">
        <v>1.0</v>
      </c>
      <c r="F285" s="27" t="s">
        <v>1215</v>
      </c>
      <c r="G285" s="201" t="s">
        <v>57</v>
      </c>
      <c r="H285" s="27"/>
      <c r="I285" s="27"/>
      <c r="J285" s="33">
        <v>-13.0</v>
      </c>
      <c r="K285" s="33">
        <v>-11.0</v>
      </c>
      <c r="L285" s="66">
        <v>62.5</v>
      </c>
      <c r="M285" s="27" t="s">
        <v>1216</v>
      </c>
      <c r="N285" s="27">
        <v>-11.5</v>
      </c>
      <c r="O285" s="27"/>
      <c r="P285" s="27">
        <v>-11.0</v>
      </c>
      <c r="Q285" s="27"/>
      <c r="R285" s="27">
        <v>-12.5</v>
      </c>
      <c r="S285" s="27"/>
      <c r="T285" s="27">
        <v>-11.0</v>
      </c>
      <c r="U285" s="27"/>
      <c r="V285" s="27">
        <v>-12.0</v>
      </c>
      <c r="W285" s="27"/>
      <c r="X285" s="27">
        <v>-12.0</v>
      </c>
      <c r="Y285" s="27"/>
      <c r="Z285" s="27">
        <v>-11.0</v>
      </c>
      <c r="AA285" s="27"/>
      <c r="AB285" s="27">
        <v>-11.0</v>
      </c>
      <c r="AC285" s="27"/>
      <c r="AD285" s="27"/>
      <c r="AE285" s="27"/>
      <c r="AF285" s="27"/>
      <c r="AG285" s="27"/>
      <c r="AH285" s="27">
        <v>123.0</v>
      </c>
      <c r="AI285" s="27">
        <v>63.0</v>
      </c>
      <c r="AJ285" s="27">
        <v>2.0</v>
      </c>
      <c r="AK285" s="27" t="b">
        <v>0</v>
      </c>
      <c r="AL285" s="27">
        <v>100.0</v>
      </c>
      <c r="AM285" s="27" t="s">
        <v>189</v>
      </c>
      <c r="AN285" s="27" t="s">
        <v>405</v>
      </c>
      <c r="AO285" s="27"/>
    </row>
    <row r="286">
      <c r="A286" s="200">
        <v>44817.0251005787</v>
      </c>
      <c r="B286" s="19" t="s">
        <v>53</v>
      </c>
      <c r="C286" s="21" t="s">
        <v>195</v>
      </c>
      <c r="D286" s="62">
        <v>1.0</v>
      </c>
      <c r="E286" s="27">
        <v>1.0</v>
      </c>
      <c r="F286" s="27" t="s">
        <v>1217</v>
      </c>
      <c r="G286" s="201" t="s">
        <v>57</v>
      </c>
      <c r="H286" s="27" t="s">
        <v>138</v>
      </c>
      <c r="I286" s="27"/>
      <c r="J286" s="33">
        <v>-6.0</v>
      </c>
      <c r="K286" s="33">
        <v>-6.5</v>
      </c>
      <c r="L286" s="66">
        <v>63.0</v>
      </c>
      <c r="M286" s="27" t="s">
        <v>1218</v>
      </c>
      <c r="N286" s="27">
        <v>-6.5</v>
      </c>
      <c r="O286" s="27"/>
      <c r="P286" s="27">
        <v>-6.5</v>
      </c>
      <c r="Q286" s="27"/>
      <c r="R286" s="27">
        <v>-6.0</v>
      </c>
      <c r="S286" s="27"/>
      <c r="T286" s="27">
        <v>-6.5</v>
      </c>
      <c r="U286" s="27"/>
      <c r="V286" s="27">
        <v>-6.5</v>
      </c>
      <c r="W286" s="27"/>
      <c r="X286" s="27">
        <v>-6.5</v>
      </c>
      <c r="Y286" s="27"/>
      <c r="Z286" s="27">
        <v>-6.0</v>
      </c>
      <c r="AA286" s="27"/>
      <c r="AB286" s="27">
        <v>-6.5</v>
      </c>
      <c r="AC286" s="27"/>
      <c r="AD286" s="27">
        <v>-6.5</v>
      </c>
      <c r="AE286" s="27"/>
      <c r="AF286" s="27"/>
      <c r="AG286" s="27"/>
      <c r="AH286" s="27">
        <v>75.0</v>
      </c>
      <c r="AI286" s="27">
        <v>75.0</v>
      </c>
      <c r="AJ286" s="27">
        <v>2.0</v>
      </c>
      <c r="AK286" s="27" t="b">
        <v>1</v>
      </c>
      <c r="AL286" s="27">
        <v>100.0</v>
      </c>
      <c r="AM286" s="27" t="s">
        <v>389</v>
      </c>
      <c r="AN286" s="27" t="s">
        <v>405</v>
      </c>
      <c r="AO286" s="27"/>
    </row>
    <row r="287">
      <c r="A287" s="200">
        <v>44817.0251005787</v>
      </c>
      <c r="B287" s="19" t="s">
        <v>53</v>
      </c>
      <c r="C287" s="21" t="s">
        <v>184</v>
      </c>
      <c r="D287" s="62">
        <v>2.0</v>
      </c>
      <c r="E287" s="27">
        <v>0.0</v>
      </c>
      <c r="F287" s="27" t="s">
        <v>1219</v>
      </c>
      <c r="G287" s="201" t="s">
        <v>57</v>
      </c>
      <c r="H287" s="27" t="s">
        <v>144</v>
      </c>
      <c r="I287" s="27"/>
      <c r="J287" s="33">
        <v>-32.0</v>
      </c>
      <c r="K287" s="33">
        <v>-33.5</v>
      </c>
      <c r="L287" s="66">
        <v>72.5</v>
      </c>
      <c r="M287" s="27" t="s">
        <v>1115</v>
      </c>
      <c r="N287" s="27">
        <v>-33.5</v>
      </c>
      <c r="O287" s="27"/>
      <c r="P287" s="27">
        <v>-33.0</v>
      </c>
      <c r="Q287" s="27"/>
      <c r="R287" s="27">
        <v>-32.5</v>
      </c>
      <c r="S287" s="27"/>
      <c r="T287" s="27">
        <v>-33.5</v>
      </c>
      <c r="U287" s="27"/>
      <c r="V287" s="27">
        <v>-33.0</v>
      </c>
      <c r="W287" s="27"/>
      <c r="X287" s="27">
        <v>-33.0</v>
      </c>
      <c r="Y287" s="27"/>
      <c r="Z287" s="27">
        <v>-33.0</v>
      </c>
      <c r="AA287" s="27"/>
      <c r="AB287" s="27">
        <v>-33.5</v>
      </c>
      <c r="AC287" s="27"/>
      <c r="AD287" s="27">
        <v>-33.5</v>
      </c>
      <c r="AE287" s="27"/>
      <c r="AF287" s="27"/>
      <c r="AG287" s="27"/>
      <c r="AH287" s="27">
        <v>78.0</v>
      </c>
      <c r="AI287" s="27">
        <v>16.0</v>
      </c>
      <c r="AJ287" s="27">
        <v>2.0</v>
      </c>
      <c r="AK287" s="27" t="b">
        <v>1</v>
      </c>
      <c r="AL287" s="27">
        <v>100.0</v>
      </c>
      <c r="AM287" s="27" t="s">
        <v>187</v>
      </c>
      <c r="AN287" s="27" t="s">
        <v>404</v>
      </c>
      <c r="AO287" s="27"/>
    </row>
    <row r="288">
      <c r="A288" s="200">
        <v>44817.0251005787</v>
      </c>
      <c r="B288" s="19" t="s">
        <v>53</v>
      </c>
      <c r="C288" s="21" t="s">
        <v>170</v>
      </c>
      <c r="D288" s="62">
        <v>1.0</v>
      </c>
      <c r="E288" s="27">
        <v>1.0</v>
      </c>
      <c r="F288" s="27" t="s">
        <v>1220</v>
      </c>
      <c r="G288" s="201" t="s">
        <v>57</v>
      </c>
      <c r="H288" s="27" t="s">
        <v>144</v>
      </c>
      <c r="I288" s="27"/>
      <c r="J288" s="33">
        <v>11.0</v>
      </c>
      <c r="K288" s="33">
        <v>13.0</v>
      </c>
      <c r="L288" s="66">
        <v>51.0</v>
      </c>
      <c r="M288" s="27" t="s">
        <v>1221</v>
      </c>
      <c r="N288" s="27">
        <v>13.5</v>
      </c>
      <c r="O288" s="27"/>
      <c r="P288" s="27">
        <v>13.0</v>
      </c>
      <c r="Q288" s="27"/>
      <c r="R288" s="27">
        <v>13.0</v>
      </c>
      <c r="S288" s="27"/>
      <c r="T288" s="27">
        <v>13.0</v>
      </c>
      <c r="U288" s="27"/>
      <c r="V288" s="27">
        <v>13.0</v>
      </c>
      <c r="W288" s="27"/>
      <c r="X288" s="27">
        <v>13.0</v>
      </c>
      <c r="Y288" s="27"/>
      <c r="Z288" s="27">
        <v>13.0</v>
      </c>
      <c r="AA288" s="27"/>
      <c r="AB288" s="27">
        <v>13.0</v>
      </c>
      <c r="AC288" s="27"/>
      <c r="AD288" s="27">
        <v>13.0</v>
      </c>
      <c r="AE288" s="27"/>
      <c r="AF288" s="27">
        <v>13.0</v>
      </c>
      <c r="AG288" s="27"/>
      <c r="AH288" s="27">
        <v>41.0</v>
      </c>
      <c r="AI288" s="27">
        <v>56.0</v>
      </c>
      <c r="AJ288" s="27">
        <v>2.0</v>
      </c>
      <c r="AK288" s="27" t="b">
        <v>0</v>
      </c>
      <c r="AL288" s="27">
        <v>100.0</v>
      </c>
      <c r="AM288" s="27" t="s">
        <v>193</v>
      </c>
      <c r="AN288" s="27" t="s">
        <v>405</v>
      </c>
      <c r="AO288" s="27"/>
    </row>
    <row r="289">
      <c r="A289" s="200">
        <v>44817.0251005787</v>
      </c>
      <c r="B289" s="19" t="s">
        <v>53</v>
      </c>
      <c r="C289" s="21" t="s">
        <v>120</v>
      </c>
      <c r="D289" s="62">
        <v>2.0</v>
      </c>
      <c r="E289" s="27">
        <v>1.0</v>
      </c>
      <c r="F289" s="27" t="s">
        <v>1222</v>
      </c>
      <c r="G289" s="201" t="s">
        <v>57</v>
      </c>
      <c r="H289" s="27"/>
      <c r="I289" s="27"/>
      <c r="J289" s="33">
        <v>-1.5</v>
      </c>
      <c r="K289" s="33">
        <v>-4.0</v>
      </c>
      <c r="L289" s="66">
        <v>61.5</v>
      </c>
      <c r="M289" s="27" t="s">
        <v>1223</v>
      </c>
      <c r="N289" s="27">
        <v>-3.0</v>
      </c>
      <c r="O289" s="27"/>
      <c r="P289" s="27">
        <v>-4.0</v>
      </c>
      <c r="Q289" s="27"/>
      <c r="R289" s="27">
        <v>-3.5</v>
      </c>
      <c r="S289" s="27"/>
      <c r="T289" s="27">
        <v>-4.0</v>
      </c>
      <c r="U289" s="27"/>
      <c r="V289" s="27">
        <v>-4.0</v>
      </c>
      <c r="W289" s="27"/>
      <c r="X289" s="27">
        <v>-4.0</v>
      </c>
      <c r="Y289" s="27"/>
      <c r="Z289" s="27">
        <v>-4.0</v>
      </c>
      <c r="AA289" s="27"/>
      <c r="AB289" s="27">
        <v>-4.0</v>
      </c>
      <c r="AC289" s="27"/>
      <c r="AD289" s="27"/>
      <c r="AE289" s="27"/>
      <c r="AF289" s="27"/>
      <c r="AG289" s="27"/>
      <c r="AH289" s="27">
        <v>102.0</v>
      </c>
      <c r="AI289" s="27">
        <v>81.0</v>
      </c>
      <c r="AJ289" s="27">
        <v>2.0</v>
      </c>
      <c r="AK289" s="27" t="b">
        <v>0</v>
      </c>
      <c r="AL289" s="27">
        <v>100.0</v>
      </c>
      <c r="AM289" s="27" t="s">
        <v>129</v>
      </c>
      <c r="AN289" s="27" t="s">
        <v>405</v>
      </c>
      <c r="AO289" s="27"/>
    </row>
    <row r="290">
      <c r="A290" s="200">
        <v>44817.0251005787</v>
      </c>
      <c r="B290" s="19" t="s">
        <v>53</v>
      </c>
      <c r="C290" s="21" t="s">
        <v>155</v>
      </c>
      <c r="D290" s="62">
        <v>1.0</v>
      </c>
      <c r="E290" s="27">
        <v>1.0</v>
      </c>
      <c r="F290" s="27" t="s">
        <v>1224</v>
      </c>
      <c r="G290" s="201" t="s">
        <v>57</v>
      </c>
      <c r="H290" s="27" t="s">
        <v>144</v>
      </c>
      <c r="I290" s="27"/>
      <c r="J290" s="33">
        <v>3.5</v>
      </c>
      <c r="K290" s="33">
        <v>4.0</v>
      </c>
      <c r="L290" s="66">
        <v>55.0</v>
      </c>
      <c r="M290" s="27" t="s">
        <v>1225</v>
      </c>
      <c r="N290" s="27">
        <v>3.5</v>
      </c>
      <c r="O290" s="27"/>
      <c r="P290" s="27">
        <v>4.0</v>
      </c>
      <c r="Q290" s="27"/>
      <c r="R290" s="27">
        <v>4.0</v>
      </c>
      <c r="S290" s="27"/>
      <c r="T290" s="27">
        <v>4.0</v>
      </c>
      <c r="U290" s="27"/>
      <c r="V290" s="27">
        <v>4.0</v>
      </c>
      <c r="W290" s="27"/>
      <c r="X290" s="27">
        <v>4.0</v>
      </c>
      <c r="Y290" s="27"/>
      <c r="Z290" s="27">
        <v>4.0</v>
      </c>
      <c r="AA290" s="27"/>
      <c r="AB290" s="27">
        <v>4.0</v>
      </c>
      <c r="AC290" s="27"/>
      <c r="AD290" s="27">
        <v>4.0</v>
      </c>
      <c r="AE290" s="27"/>
      <c r="AF290" s="27">
        <v>4.0</v>
      </c>
      <c r="AG290" s="27"/>
      <c r="AH290" s="27">
        <v>37.0</v>
      </c>
      <c r="AI290" s="27">
        <v>41.0</v>
      </c>
      <c r="AJ290" s="27">
        <v>2.0</v>
      </c>
      <c r="AK290" s="27" t="b">
        <v>1</v>
      </c>
      <c r="AL290" s="27">
        <v>100.0</v>
      </c>
      <c r="AM290" s="27" t="s">
        <v>186</v>
      </c>
      <c r="AN290" s="27" t="s">
        <v>404</v>
      </c>
      <c r="AO290" s="27"/>
    </row>
    <row r="291">
      <c r="A291" s="200">
        <v>44817.0251005787</v>
      </c>
      <c r="B291" s="19" t="s">
        <v>53</v>
      </c>
      <c r="C291" s="21" t="s">
        <v>173</v>
      </c>
      <c r="D291" s="62">
        <v>1.0</v>
      </c>
      <c r="E291" s="27">
        <v>1.0</v>
      </c>
      <c r="F291" s="27" t="s">
        <v>1226</v>
      </c>
      <c r="G291" s="201" t="s">
        <v>57</v>
      </c>
      <c r="H291" s="27" t="s">
        <v>59</v>
      </c>
      <c r="I291" s="27"/>
      <c r="J291" s="33"/>
      <c r="K291" s="33"/>
      <c r="L291" s="66"/>
      <c r="M291" s="27"/>
      <c r="N291" s="27"/>
      <c r="O291" s="27"/>
      <c r="P291" s="27"/>
      <c r="Q291" s="27"/>
      <c r="R291" s="27"/>
      <c r="S291" s="27"/>
      <c r="T291" s="27"/>
      <c r="U291" s="27"/>
      <c r="V291" s="27"/>
      <c r="W291" s="27"/>
      <c r="X291" s="27"/>
      <c r="Y291" s="27"/>
      <c r="Z291" s="27"/>
      <c r="AA291" s="27"/>
      <c r="AB291" s="27"/>
      <c r="AC291" s="27"/>
      <c r="AD291" s="27"/>
      <c r="AE291" s="27"/>
      <c r="AF291" s="27"/>
      <c r="AG291" s="27"/>
      <c r="AH291" s="27">
        <v>64.0</v>
      </c>
      <c r="AI291" s="27">
        <v>64.0</v>
      </c>
      <c r="AJ291" s="27">
        <v>2.0</v>
      </c>
      <c r="AK291" s="27" t="b">
        <v>0</v>
      </c>
      <c r="AL291" s="27">
        <v>100.0</v>
      </c>
      <c r="AM291" s="27" t="s">
        <v>192</v>
      </c>
      <c r="AN291" s="27" t="s">
        <v>404</v>
      </c>
      <c r="AO291" s="27"/>
    </row>
    <row r="292">
      <c r="A292" s="200">
        <v>44817.0251005787</v>
      </c>
      <c r="B292" s="19" t="s">
        <v>53</v>
      </c>
      <c r="C292" s="21" t="s">
        <v>176</v>
      </c>
      <c r="D292" s="62">
        <v>1.0</v>
      </c>
      <c r="E292" s="27">
        <v>1.0</v>
      </c>
      <c r="F292" s="27" t="s">
        <v>1227</v>
      </c>
      <c r="G292" s="201" t="s">
        <v>57</v>
      </c>
      <c r="H292" s="27" t="s">
        <v>109</v>
      </c>
      <c r="I292" s="27"/>
      <c r="J292" s="33">
        <v>24.5</v>
      </c>
      <c r="K292" s="33">
        <v>28.0</v>
      </c>
      <c r="L292" s="66">
        <v>55.0</v>
      </c>
      <c r="M292" s="27" t="s">
        <v>1121</v>
      </c>
      <c r="N292" s="27">
        <v>27.5</v>
      </c>
      <c r="O292" s="27"/>
      <c r="P292" s="27">
        <v>28.0</v>
      </c>
      <c r="Q292" s="27"/>
      <c r="R292" s="27">
        <v>28.0</v>
      </c>
      <c r="S292" s="27"/>
      <c r="T292" s="27">
        <v>28.0</v>
      </c>
      <c r="U292" s="27"/>
      <c r="V292" s="27">
        <v>28.0</v>
      </c>
      <c r="W292" s="27"/>
      <c r="X292" s="27">
        <v>28.0</v>
      </c>
      <c r="Y292" s="27"/>
      <c r="Z292" s="27">
        <v>28.0</v>
      </c>
      <c r="AA292" s="27"/>
      <c r="AB292" s="27">
        <v>28.0</v>
      </c>
      <c r="AC292" s="27"/>
      <c r="AD292" s="27">
        <v>28.0</v>
      </c>
      <c r="AE292" s="27"/>
      <c r="AF292" s="27"/>
      <c r="AG292" s="27"/>
      <c r="AH292" s="27">
        <v>51.0</v>
      </c>
      <c r="AI292" s="27">
        <v>84.0</v>
      </c>
      <c r="AJ292" s="27">
        <v>2.0</v>
      </c>
      <c r="AK292" s="27" t="b">
        <v>0</v>
      </c>
      <c r="AL292" s="27">
        <v>100.0</v>
      </c>
      <c r="AM292" s="27" t="s">
        <v>190</v>
      </c>
      <c r="AN292" s="27" t="s">
        <v>405</v>
      </c>
      <c r="AO292" s="27"/>
    </row>
    <row r="293">
      <c r="A293" s="200">
        <v>44817.0251005787</v>
      </c>
      <c r="B293" s="19" t="s">
        <v>53</v>
      </c>
      <c r="C293" s="21" t="s">
        <v>168</v>
      </c>
      <c r="D293" s="62">
        <v>2.0</v>
      </c>
      <c r="E293" s="27">
        <v>0.0</v>
      </c>
      <c r="F293" s="27" t="s">
        <v>1228</v>
      </c>
      <c r="G293" s="201" t="s">
        <v>57</v>
      </c>
      <c r="H293" s="27" t="s">
        <v>154</v>
      </c>
      <c r="I293" s="27"/>
      <c r="J293" s="33">
        <v>-45.5</v>
      </c>
      <c r="K293" s="33">
        <v>-45.0</v>
      </c>
      <c r="L293" s="66">
        <v>68.5</v>
      </c>
      <c r="M293" s="27" t="s">
        <v>1115</v>
      </c>
      <c r="N293" s="27">
        <v>-44.5</v>
      </c>
      <c r="O293" s="27"/>
      <c r="P293" s="27">
        <v>-44.5</v>
      </c>
      <c r="Q293" s="27"/>
      <c r="R293" s="27">
        <v>-45.0</v>
      </c>
      <c r="S293" s="27"/>
      <c r="T293" s="27">
        <v>-45.0</v>
      </c>
      <c r="U293" s="27"/>
      <c r="V293" s="27">
        <v>-44.5</v>
      </c>
      <c r="W293" s="27"/>
      <c r="X293" s="27">
        <v>-44.5</v>
      </c>
      <c r="Y293" s="27"/>
      <c r="Z293" s="27">
        <v>-44.5</v>
      </c>
      <c r="AA293" s="27"/>
      <c r="AB293" s="27">
        <v>-44.0</v>
      </c>
      <c r="AC293" s="27"/>
      <c r="AD293" s="27">
        <v>-45.0</v>
      </c>
      <c r="AE293" s="27"/>
      <c r="AF293" s="27">
        <v>-45.0</v>
      </c>
      <c r="AG293" s="27"/>
      <c r="AH293" s="27">
        <v>66.0</v>
      </c>
      <c r="AI293" s="27">
        <v>22.0</v>
      </c>
      <c r="AJ293" s="27">
        <v>2.0</v>
      </c>
      <c r="AK293" s="27" t="b">
        <v>1</v>
      </c>
      <c r="AL293" s="27">
        <v>100.0</v>
      </c>
      <c r="AM293" s="27" t="s">
        <v>188</v>
      </c>
      <c r="AN293" s="27" t="s">
        <v>404</v>
      </c>
      <c r="AO293" s="27"/>
    </row>
    <row r="294">
      <c r="A294" s="200">
        <v>44817.0251005787</v>
      </c>
      <c r="B294" s="19"/>
      <c r="C294" s="21"/>
      <c r="D294" s="62"/>
      <c r="E294" s="27"/>
      <c r="F294" s="27"/>
      <c r="G294" s="201"/>
      <c r="H294" s="27"/>
      <c r="I294" s="27"/>
      <c r="J294" s="33"/>
      <c r="K294" s="33"/>
      <c r="L294" s="66"/>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t="e">
        <v>#N/A</v>
      </c>
      <c r="AN294" s="27" t="e">
        <v>#N/A</v>
      </c>
      <c r="AO294" s="27"/>
    </row>
    <row r="295">
      <c r="A295" s="200">
        <v>44817.0251005787</v>
      </c>
      <c r="B295" s="19" t="s">
        <v>131</v>
      </c>
      <c r="C295" s="21" t="s">
        <v>204</v>
      </c>
      <c r="D295" s="62">
        <v>2.0</v>
      </c>
      <c r="E295" s="27">
        <v>1.0</v>
      </c>
      <c r="F295" s="27" t="s">
        <v>1229</v>
      </c>
      <c r="G295" s="201" t="s">
        <v>57</v>
      </c>
      <c r="H295" s="27"/>
      <c r="I295" s="27"/>
      <c r="J295" s="33">
        <v>-35.0</v>
      </c>
      <c r="K295" s="33">
        <v>-39.0</v>
      </c>
      <c r="L295" s="66">
        <v>65.5</v>
      </c>
      <c r="M295" s="27" t="s">
        <v>1230</v>
      </c>
      <c r="N295" s="27">
        <v>-38.5</v>
      </c>
      <c r="O295" s="27"/>
      <c r="P295" s="27">
        <v>-38.5</v>
      </c>
      <c r="Q295" s="27"/>
      <c r="R295" s="27">
        <v>-40.0</v>
      </c>
      <c r="S295" s="27"/>
      <c r="T295" s="27">
        <v>-39.0</v>
      </c>
      <c r="U295" s="27"/>
      <c r="V295" s="27">
        <v>-38.5</v>
      </c>
      <c r="W295" s="27"/>
      <c r="X295" s="27">
        <v>-38.5</v>
      </c>
      <c r="Y295" s="27"/>
      <c r="Z295" s="27">
        <v>-39.0</v>
      </c>
      <c r="AA295" s="27"/>
      <c r="AB295" s="27">
        <v>-39.0</v>
      </c>
      <c r="AC295" s="27"/>
      <c r="AD295" s="27"/>
      <c r="AE295" s="27"/>
      <c r="AF295" s="27"/>
      <c r="AG295" s="27"/>
      <c r="AH295" s="27">
        <v>100.0</v>
      </c>
      <c r="AI295" s="27">
        <v>88.0</v>
      </c>
      <c r="AJ295" s="27">
        <v>2.0</v>
      </c>
      <c r="AK295" s="27" t="b">
        <v>0</v>
      </c>
      <c r="AL295" s="27">
        <v>100.0</v>
      </c>
      <c r="AM295" s="27" t="s">
        <v>189</v>
      </c>
      <c r="AN295" s="27" t="s">
        <v>405</v>
      </c>
      <c r="AO295" s="27"/>
    </row>
    <row r="296">
      <c r="A296" s="200">
        <v>44817.0251005787</v>
      </c>
      <c r="B296" s="19" t="s">
        <v>131</v>
      </c>
      <c r="C296" s="21" t="s">
        <v>219</v>
      </c>
      <c r="D296" s="62">
        <v>1.0</v>
      </c>
      <c r="E296" s="27">
        <v>1.0</v>
      </c>
      <c r="F296" s="27" t="s">
        <v>1231</v>
      </c>
      <c r="G296" s="201" t="s">
        <v>57</v>
      </c>
      <c r="H296" s="27"/>
      <c r="I296" s="27"/>
      <c r="J296" s="33">
        <v>-37.0</v>
      </c>
      <c r="K296" s="33">
        <v>-33.5</v>
      </c>
      <c r="L296" s="66">
        <v>49.0</v>
      </c>
      <c r="M296" s="27" t="s">
        <v>1232</v>
      </c>
      <c r="N296" s="27">
        <v>-33.5</v>
      </c>
      <c r="O296" s="27"/>
      <c r="P296" s="27">
        <v>-34.5</v>
      </c>
      <c r="Q296" s="27"/>
      <c r="R296" s="27">
        <v>-33.0</v>
      </c>
      <c r="S296" s="27"/>
      <c r="T296" s="27">
        <v>-33.5</v>
      </c>
      <c r="U296" s="27"/>
      <c r="V296" s="27">
        <v>-32.5</v>
      </c>
      <c r="W296" s="27"/>
      <c r="X296" s="27">
        <v>-33.5</v>
      </c>
      <c r="Y296" s="27"/>
      <c r="Z296" s="27">
        <v>-33.5</v>
      </c>
      <c r="AA296" s="27"/>
      <c r="AB296" s="27">
        <v>-33.5</v>
      </c>
      <c r="AC296" s="27"/>
      <c r="AD296" s="27"/>
      <c r="AE296" s="27"/>
      <c r="AF296" s="27"/>
      <c r="AG296" s="27"/>
      <c r="AH296" s="27">
        <v>58.0</v>
      </c>
      <c r="AI296" s="27">
        <v>45.0</v>
      </c>
      <c r="AJ296" s="27">
        <v>2.0</v>
      </c>
      <c r="AK296" s="27" t="b">
        <v>0</v>
      </c>
      <c r="AL296" s="27">
        <v>100.0</v>
      </c>
      <c r="AM296" s="27" t="s">
        <v>129</v>
      </c>
      <c r="AN296" s="27" t="s">
        <v>405</v>
      </c>
      <c r="AO296" s="27"/>
    </row>
    <row r="297">
      <c r="A297" s="200">
        <v>44817.0251005787</v>
      </c>
      <c r="B297" s="19" t="s">
        <v>131</v>
      </c>
      <c r="C297" s="21" t="s">
        <v>210</v>
      </c>
      <c r="D297" s="62">
        <v>1.0</v>
      </c>
      <c r="E297" s="27">
        <v>1.0</v>
      </c>
      <c r="F297" s="27" t="s">
        <v>1233</v>
      </c>
      <c r="G297" s="201" t="s">
        <v>57</v>
      </c>
      <c r="H297" s="27"/>
      <c r="I297" s="27"/>
      <c r="J297" s="33">
        <v>-35.5</v>
      </c>
      <c r="K297" s="33">
        <v>-37.5</v>
      </c>
      <c r="L297" s="66">
        <v>59.5</v>
      </c>
      <c r="M297" s="27" t="s">
        <v>1111</v>
      </c>
      <c r="N297" s="27">
        <v>-39.5</v>
      </c>
      <c r="O297" s="27"/>
      <c r="P297" s="27">
        <v>-40.5</v>
      </c>
      <c r="Q297" s="27"/>
      <c r="R297" s="27">
        <v>-40.5</v>
      </c>
      <c r="S297" s="27"/>
      <c r="T297" s="27">
        <v>-37.5</v>
      </c>
      <c r="U297" s="27"/>
      <c r="V297" s="27">
        <v>-39.5</v>
      </c>
      <c r="W297" s="27"/>
      <c r="X297" s="27">
        <v>-39.5</v>
      </c>
      <c r="Y297" s="27"/>
      <c r="Z297" s="27">
        <v>-37.5</v>
      </c>
      <c r="AA297" s="27"/>
      <c r="AB297" s="27">
        <v>-37.5</v>
      </c>
      <c r="AC297" s="27"/>
      <c r="AD297" s="27"/>
      <c r="AE297" s="27"/>
      <c r="AF297" s="27"/>
      <c r="AG297" s="27"/>
      <c r="AH297" s="27">
        <v>63.0</v>
      </c>
      <c r="AI297" s="27">
        <v>70.0</v>
      </c>
      <c r="AJ297" s="27">
        <v>2.0</v>
      </c>
      <c r="AK297" s="27" t="b">
        <v>0</v>
      </c>
      <c r="AL297" s="27">
        <v>100.0</v>
      </c>
      <c r="AM297" s="27" t="s">
        <v>389</v>
      </c>
      <c r="AN297" s="27" t="s">
        <v>405</v>
      </c>
      <c r="AO297" s="27"/>
    </row>
    <row r="298">
      <c r="A298" s="200">
        <v>44817.0251005787</v>
      </c>
      <c r="B298" s="19" t="s">
        <v>131</v>
      </c>
      <c r="C298" s="21" t="s">
        <v>199</v>
      </c>
      <c r="D298" s="62">
        <v>1.0</v>
      </c>
      <c r="E298" s="27">
        <v>1.0</v>
      </c>
      <c r="F298" s="27" t="s">
        <v>1234</v>
      </c>
      <c r="G298" s="201" t="s">
        <v>57</v>
      </c>
      <c r="H298" s="27"/>
      <c r="I298" s="27"/>
      <c r="J298" s="33">
        <v>-2.5</v>
      </c>
      <c r="K298" s="33">
        <v>-4.5</v>
      </c>
      <c r="L298" s="66">
        <v>58.5</v>
      </c>
      <c r="M298" s="27" t="s">
        <v>1235</v>
      </c>
      <c r="N298" s="27">
        <v>-4.5</v>
      </c>
      <c r="O298" s="27"/>
      <c r="P298" s="27">
        <v>-4.5</v>
      </c>
      <c r="Q298" s="27"/>
      <c r="R298" s="27">
        <v>-4.5</v>
      </c>
      <c r="S298" s="27"/>
      <c r="T298" s="27">
        <v>-4.5</v>
      </c>
      <c r="U298" s="27"/>
      <c r="V298" s="27">
        <v>-4.5</v>
      </c>
      <c r="W298" s="27"/>
      <c r="X298" s="27">
        <v>-4.5</v>
      </c>
      <c r="Y298" s="27"/>
      <c r="Z298" s="27">
        <v>-4.5</v>
      </c>
      <c r="AA298" s="27"/>
      <c r="AB298" s="27">
        <v>-4.5</v>
      </c>
      <c r="AC298" s="27"/>
      <c r="AD298" s="27"/>
      <c r="AE298" s="27"/>
      <c r="AF298" s="27"/>
      <c r="AG298" s="27"/>
      <c r="AH298" s="27">
        <v>45.0</v>
      </c>
      <c r="AI298" s="27">
        <v>59.0</v>
      </c>
      <c r="AJ298" s="27">
        <v>2.0</v>
      </c>
      <c r="AK298" s="27" t="b">
        <v>0</v>
      </c>
      <c r="AL298" s="27">
        <v>100.0</v>
      </c>
      <c r="AM298" s="27" t="s">
        <v>193</v>
      </c>
      <c r="AN298" s="27" t="s">
        <v>405</v>
      </c>
      <c r="AO298" s="27"/>
    </row>
    <row r="299">
      <c r="A299" s="200">
        <v>44817.0251005787</v>
      </c>
      <c r="B299" s="19" t="s">
        <v>131</v>
      </c>
      <c r="C299" s="21" t="s">
        <v>208</v>
      </c>
      <c r="D299" s="62">
        <v>1.0</v>
      </c>
      <c r="E299" s="27">
        <v>1.0</v>
      </c>
      <c r="F299" s="27" t="s">
        <v>1236</v>
      </c>
      <c r="G299" s="201" t="s">
        <v>57</v>
      </c>
      <c r="H299" s="27"/>
      <c r="I299" s="27"/>
      <c r="J299" s="33">
        <v>-40.0</v>
      </c>
      <c r="K299" s="33">
        <v>-31.0</v>
      </c>
      <c r="L299" s="66">
        <v>53.0</v>
      </c>
      <c r="M299" s="27" t="s">
        <v>1069</v>
      </c>
      <c r="N299" s="27">
        <v>-30.0</v>
      </c>
      <c r="O299" s="27"/>
      <c r="P299" s="27">
        <v>-30.5</v>
      </c>
      <c r="Q299" s="27"/>
      <c r="R299" s="27">
        <v>-31.0</v>
      </c>
      <c r="S299" s="27"/>
      <c r="T299" s="27">
        <v>-30.5</v>
      </c>
      <c r="U299" s="27"/>
      <c r="V299" s="27">
        <v>-30.0</v>
      </c>
      <c r="W299" s="27"/>
      <c r="X299" s="27">
        <v>-31.0</v>
      </c>
      <c r="Y299" s="27"/>
      <c r="Z299" s="27">
        <v>-31.0</v>
      </c>
      <c r="AA299" s="27"/>
      <c r="AB299" s="27"/>
      <c r="AC299" s="27"/>
      <c r="AD299" s="27"/>
      <c r="AE299" s="27"/>
      <c r="AF299" s="27"/>
      <c r="AG299" s="27"/>
      <c r="AH299" s="27">
        <v>44.0</v>
      </c>
      <c r="AI299" s="27">
        <v>51.0</v>
      </c>
      <c r="AJ299" s="27">
        <v>2.0</v>
      </c>
      <c r="AK299" s="27" t="b">
        <v>0</v>
      </c>
      <c r="AL299" s="27">
        <v>100.0</v>
      </c>
      <c r="AM299" s="27" t="s">
        <v>190</v>
      </c>
      <c r="AN299" s="27" t="s">
        <v>405</v>
      </c>
      <c r="AO299" s="27"/>
    </row>
    <row r="300">
      <c r="A300" s="200">
        <v>44817.0251005787</v>
      </c>
      <c r="B300" s="19" t="s">
        <v>131</v>
      </c>
      <c r="C300" s="21" t="s">
        <v>222</v>
      </c>
      <c r="D300" s="62">
        <v>2.0</v>
      </c>
      <c r="E300" s="27">
        <v>0.0</v>
      </c>
      <c r="F300" s="27" t="s">
        <v>1237</v>
      </c>
      <c r="G300" s="201" t="s">
        <v>57</v>
      </c>
      <c r="H300" s="27" t="s">
        <v>131</v>
      </c>
      <c r="I300" s="27"/>
      <c r="J300" s="33">
        <v>17.0</v>
      </c>
      <c r="K300" s="33">
        <v>17.5</v>
      </c>
      <c r="L300" s="66">
        <v>48.5</v>
      </c>
      <c r="M300" s="27" t="s">
        <v>1238</v>
      </c>
      <c r="N300" s="27">
        <v>17.5</v>
      </c>
      <c r="O300" s="27"/>
      <c r="P300" s="27">
        <v>17.5</v>
      </c>
      <c r="Q300" s="27"/>
      <c r="R300" s="27">
        <v>17.5</v>
      </c>
      <c r="S300" s="27"/>
      <c r="T300" s="27">
        <v>17.5</v>
      </c>
      <c r="U300" s="27"/>
      <c r="V300" s="27">
        <v>17.5</v>
      </c>
      <c r="W300" s="27"/>
      <c r="X300" s="27">
        <v>17.5</v>
      </c>
      <c r="Y300" s="27"/>
      <c r="Z300" s="27">
        <v>18.0</v>
      </c>
      <c r="AA300" s="27"/>
      <c r="AB300" s="27">
        <v>16.5</v>
      </c>
      <c r="AC300" s="27"/>
      <c r="AD300" s="27">
        <v>17.5</v>
      </c>
      <c r="AE300" s="27"/>
      <c r="AF300" s="27">
        <v>17.5</v>
      </c>
      <c r="AG300" s="27"/>
      <c r="AH300" s="27">
        <v>41.0</v>
      </c>
      <c r="AI300" s="27">
        <v>31.0</v>
      </c>
      <c r="AJ300" s="27">
        <v>2.0</v>
      </c>
      <c r="AK300" s="27" t="b">
        <v>0</v>
      </c>
      <c r="AL300" s="27">
        <v>100.0</v>
      </c>
      <c r="AM300" s="27" t="s">
        <v>191</v>
      </c>
      <c r="AN300" s="27" t="s">
        <v>404</v>
      </c>
      <c r="AO300" s="27"/>
    </row>
    <row r="301">
      <c r="A301" s="200">
        <v>44817.0251005787</v>
      </c>
      <c r="B301" s="19" t="s">
        <v>131</v>
      </c>
      <c r="C301" s="21" t="s">
        <v>197</v>
      </c>
      <c r="D301" s="62">
        <v>1.0</v>
      </c>
      <c r="E301" s="27">
        <v>1.0</v>
      </c>
      <c r="F301" s="27" t="s">
        <v>1237</v>
      </c>
      <c r="G301" s="201" t="s">
        <v>57</v>
      </c>
      <c r="H301" s="27" t="s">
        <v>131</v>
      </c>
      <c r="I301" s="27"/>
      <c r="J301" s="33">
        <v>-17.0</v>
      </c>
      <c r="K301" s="33">
        <v>-17.5</v>
      </c>
      <c r="L301" s="66">
        <v>48.5</v>
      </c>
      <c r="M301" s="27" t="s">
        <v>1238</v>
      </c>
      <c r="N301" s="27">
        <v>-17.5</v>
      </c>
      <c r="O301" s="27"/>
      <c r="P301" s="27">
        <v>-17.5</v>
      </c>
      <c r="Q301" s="27"/>
      <c r="R301" s="27">
        <v>-17.5</v>
      </c>
      <c r="S301" s="27"/>
      <c r="T301" s="27">
        <v>-17.5</v>
      </c>
      <c r="U301" s="27"/>
      <c r="V301" s="27">
        <v>-17.5</v>
      </c>
      <c r="W301" s="27"/>
      <c r="X301" s="27">
        <v>-17.5</v>
      </c>
      <c r="Y301" s="27"/>
      <c r="Z301" s="27">
        <v>-18.0</v>
      </c>
      <c r="AA301" s="27"/>
      <c r="AB301" s="27">
        <v>-16.5</v>
      </c>
      <c r="AC301" s="27"/>
      <c r="AD301" s="27">
        <v>-17.5</v>
      </c>
      <c r="AE301" s="27"/>
      <c r="AF301" s="27">
        <v>-17.5</v>
      </c>
      <c r="AG301" s="27"/>
      <c r="AH301" s="27">
        <v>52.0</v>
      </c>
      <c r="AI301" s="27">
        <v>17.0</v>
      </c>
      <c r="AJ301" s="27">
        <v>2.0</v>
      </c>
      <c r="AK301" s="27" t="b">
        <v>1</v>
      </c>
      <c r="AL301" s="27">
        <v>100.0</v>
      </c>
      <c r="AM301" s="27" t="s">
        <v>188</v>
      </c>
      <c r="AN301" s="27" t="s">
        <v>404</v>
      </c>
      <c r="AO301" s="27"/>
    </row>
    <row r="302">
      <c r="A302" s="200">
        <v>44817.0251005787</v>
      </c>
      <c r="B302" s="19" t="s">
        <v>131</v>
      </c>
      <c r="C302" s="21" t="s">
        <v>206</v>
      </c>
      <c r="D302" s="62">
        <v>2.0</v>
      </c>
      <c r="E302" s="27">
        <v>0.0</v>
      </c>
      <c r="F302" s="27" t="s">
        <v>1239</v>
      </c>
      <c r="G302" s="201" t="s">
        <v>57</v>
      </c>
      <c r="H302" s="27"/>
      <c r="I302" s="27"/>
      <c r="J302" s="33">
        <v>-44.5</v>
      </c>
      <c r="K302" s="33">
        <v>-46.5</v>
      </c>
      <c r="L302" s="66">
        <v>60.0</v>
      </c>
      <c r="M302" s="27" t="s">
        <v>1240</v>
      </c>
      <c r="N302" s="27">
        <v>-45.5</v>
      </c>
      <c r="O302" s="27"/>
      <c r="P302" s="27">
        <v>-45.5</v>
      </c>
      <c r="Q302" s="27"/>
      <c r="R302" s="27">
        <v>-45.5</v>
      </c>
      <c r="S302" s="27"/>
      <c r="T302" s="27">
        <v>-46.5</v>
      </c>
      <c r="U302" s="27"/>
      <c r="V302" s="27">
        <v>-45.5</v>
      </c>
      <c r="W302" s="27"/>
      <c r="X302" s="27">
        <v>-45.5</v>
      </c>
      <c r="Y302" s="27"/>
      <c r="Z302" s="27">
        <v>-46.5</v>
      </c>
      <c r="AA302" s="27"/>
      <c r="AB302" s="27">
        <v>-46.5</v>
      </c>
      <c r="AC302" s="27"/>
      <c r="AD302" s="27"/>
      <c r="AE302" s="27"/>
      <c r="AF302" s="27"/>
      <c r="AG302" s="27"/>
      <c r="AH302" s="27">
        <v>76.0</v>
      </c>
      <c r="AI302" s="27">
        <v>22.0</v>
      </c>
      <c r="AJ302" s="27">
        <v>2.0</v>
      </c>
      <c r="AK302" s="27" t="b">
        <v>0</v>
      </c>
      <c r="AL302" s="27">
        <v>100.0</v>
      </c>
      <c r="AM302" s="27" t="s">
        <v>186</v>
      </c>
      <c r="AN302" s="27" t="s">
        <v>404</v>
      </c>
      <c r="AO302" s="27"/>
    </row>
    <row r="303">
      <c r="A303" s="200">
        <v>44817.0251005787</v>
      </c>
      <c r="B303" s="19" t="s">
        <v>131</v>
      </c>
      <c r="C303" s="21" t="s">
        <v>217</v>
      </c>
      <c r="D303" s="62">
        <v>2.0</v>
      </c>
      <c r="E303" s="27">
        <v>0.0</v>
      </c>
      <c r="F303" s="27" t="s">
        <v>1241</v>
      </c>
      <c r="G303" s="201" t="s">
        <v>183</v>
      </c>
      <c r="H303" s="27" t="s">
        <v>144</v>
      </c>
      <c r="I303" s="27"/>
      <c r="J303" s="33">
        <v>11.5</v>
      </c>
      <c r="K303" s="33">
        <v>13.5</v>
      </c>
      <c r="L303" s="66">
        <v>59.5</v>
      </c>
      <c r="M303" s="27" t="s">
        <v>1242</v>
      </c>
      <c r="N303" s="27">
        <v>14.0</v>
      </c>
      <c r="O303" s="27"/>
      <c r="P303" s="27">
        <v>14.0</v>
      </c>
      <c r="Q303" s="27"/>
      <c r="R303" s="27">
        <v>13.5</v>
      </c>
      <c r="S303" s="27"/>
      <c r="T303" s="27">
        <v>13.5</v>
      </c>
      <c r="U303" s="27"/>
      <c r="V303" s="27">
        <v>14.0</v>
      </c>
      <c r="W303" s="27"/>
      <c r="X303" s="27">
        <v>14.0</v>
      </c>
      <c r="Y303" s="27"/>
      <c r="Z303" s="27">
        <v>14.0</v>
      </c>
      <c r="AA303" s="27"/>
      <c r="AB303" s="27">
        <v>14.0</v>
      </c>
      <c r="AC303" s="27"/>
      <c r="AD303" s="27">
        <v>13.5</v>
      </c>
      <c r="AE303" s="27"/>
      <c r="AF303" s="27">
        <v>13.5</v>
      </c>
      <c r="AG303" s="27"/>
      <c r="AH303" s="27">
        <v>111.0</v>
      </c>
      <c r="AI303" s="27">
        <v>52.0</v>
      </c>
      <c r="AJ303" s="27">
        <v>2.0</v>
      </c>
      <c r="AK303" s="27" t="b">
        <v>0</v>
      </c>
      <c r="AL303" s="27">
        <v>100.0</v>
      </c>
      <c r="AM303" s="27" t="s">
        <v>187</v>
      </c>
      <c r="AN303" s="27" t="s">
        <v>404</v>
      </c>
      <c r="AO303" s="27"/>
    </row>
    <row r="304">
      <c r="A304" s="200">
        <v>44817.0251005787</v>
      </c>
      <c r="B304" s="19" t="s">
        <v>131</v>
      </c>
      <c r="C304" s="21" t="s">
        <v>214</v>
      </c>
      <c r="D304" s="62">
        <v>2.0</v>
      </c>
      <c r="E304" s="27">
        <v>0.0</v>
      </c>
      <c r="F304" s="27" t="s">
        <v>1243</v>
      </c>
      <c r="G304" s="201" t="s">
        <v>183</v>
      </c>
      <c r="H304" s="27" t="s">
        <v>166</v>
      </c>
      <c r="I304" s="27"/>
      <c r="J304" s="33">
        <v>-3.0</v>
      </c>
      <c r="K304" s="33">
        <v>-6.0</v>
      </c>
      <c r="L304" s="66">
        <v>63.0</v>
      </c>
      <c r="M304" s="27" t="s">
        <v>1244</v>
      </c>
      <c r="N304" s="27">
        <v>-5.5</v>
      </c>
      <c r="O304" s="27"/>
      <c r="P304" s="27">
        <v>-6.0</v>
      </c>
      <c r="Q304" s="27"/>
      <c r="R304" s="27">
        <v>-6.0</v>
      </c>
      <c r="S304" s="27"/>
      <c r="T304" s="27">
        <v>-6.0</v>
      </c>
      <c r="U304" s="27"/>
      <c r="V304" s="27">
        <v>-6.0</v>
      </c>
      <c r="W304" s="27"/>
      <c r="X304" s="27">
        <v>-6.0</v>
      </c>
      <c r="Y304" s="27"/>
      <c r="Z304" s="27">
        <v>-5.5</v>
      </c>
      <c r="AA304" s="27"/>
      <c r="AB304" s="27">
        <v>-6.5</v>
      </c>
      <c r="AC304" s="27"/>
      <c r="AD304" s="27">
        <v>-6.0</v>
      </c>
      <c r="AE304" s="27"/>
      <c r="AF304" s="27">
        <v>-6.0</v>
      </c>
      <c r="AG304" s="27"/>
      <c r="AH304" s="27">
        <v>93.0</v>
      </c>
      <c r="AI304" s="27">
        <v>37.0</v>
      </c>
      <c r="AJ304" s="27">
        <v>2.0</v>
      </c>
      <c r="AK304" s="27" t="b">
        <v>0</v>
      </c>
      <c r="AL304" s="27">
        <v>100.0</v>
      </c>
      <c r="AM304" s="27" t="s">
        <v>192</v>
      </c>
      <c r="AN304" s="27" t="s">
        <v>404</v>
      </c>
      <c r="AO304" s="27"/>
    </row>
    <row r="305">
      <c r="A305" s="200">
        <v>44817.0251005787</v>
      </c>
      <c r="B305" s="19"/>
      <c r="C305" s="21"/>
      <c r="D305" s="62"/>
      <c r="E305" s="27"/>
      <c r="F305" s="27"/>
      <c r="G305" s="201"/>
      <c r="H305" s="27"/>
      <c r="I305" s="27"/>
      <c r="J305" s="33"/>
      <c r="K305" s="33"/>
      <c r="L305" s="66"/>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t="e">
        <v>#N/A</v>
      </c>
      <c r="AN305" s="27" t="e">
        <v>#N/A</v>
      </c>
      <c r="AO305" s="27"/>
    </row>
    <row r="306">
      <c r="A306" s="200">
        <v>44817.0251005787</v>
      </c>
      <c r="B306" s="19" t="s">
        <v>178</v>
      </c>
      <c r="C306" s="21" t="s">
        <v>271</v>
      </c>
      <c r="D306" s="62">
        <v>2.0</v>
      </c>
      <c r="E306" s="27">
        <v>0.0</v>
      </c>
      <c r="F306" s="27"/>
      <c r="G306" s="201"/>
      <c r="H306" s="27"/>
      <c r="I306" s="27" t="s">
        <v>101</v>
      </c>
      <c r="J306" s="33"/>
      <c r="K306" s="33"/>
      <c r="L306" s="66"/>
      <c r="M306" s="27"/>
      <c r="N306" s="27"/>
      <c r="O306" s="27"/>
      <c r="P306" s="27"/>
      <c r="Q306" s="27"/>
      <c r="R306" s="27"/>
      <c r="S306" s="27"/>
      <c r="T306" s="27"/>
      <c r="U306" s="27"/>
      <c r="V306" s="27"/>
      <c r="W306" s="27"/>
      <c r="X306" s="27"/>
      <c r="Y306" s="27"/>
      <c r="Z306" s="27"/>
      <c r="AA306" s="27"/>
      <c r="AB306" s="27"/>
      <c r="AC306" s="27"/>
      <c r="AD306" s="27"/>
      <c r="AE306" s="27"/>
      <c r="AF306" s="27"/>
      <c r="AG306" s="27"/>
      <c r="AH306" s="27">
        <v>87.0</v>
      </c>
      <c r="AI306" s="27">
        <v>44.0</v>
      </c>
      <c r="AJ306" s="27">
        <v>0.0</v>
      </c>
      <c r="AK306" s="27" t="b">
        <v>1</v>
      </c>
      <c r="AL306" s="27">
        <v>59.0</v>
      </c>
      <c r="AM306" s="27" t="s">
        <v>189</v>
      </c>
      <c r="AN306" s="27" t="s">
        <v>405</v>
      </c>
      <c r="AO306" s="27"/>
    </row>
    <row r="307">
      <c r="A307" s="200">
        <v>44817.0251005787</v>
      </c>
      <c r="B307" s="19" t="s">
        <v>178</v>
      </c>
      <c r="C307" s="21" t="s">
        <v>269</v>
      </c>
      <c r="D307" s="62">
        <v>2.0</v>
      </c>
      <c r="E307" s="27">
        <v>0.0</v>
      </c>
      <c r="F307" s="27" t="s">
        <v>1245</v>
      </c>
      <c r="G307" s="201" t="s">
        <v>57</v>
      </c>
      <c r="H307" s="27" t="s">
        <v>103</v>
      </c>
      <c r="I307" s="27"/>
      <c r="J307" s="33">
        <v>-14.5</v>
      </c>
      <c r="K307" s="33">
        <v>-11.5</v>
      </c>
      <c r="L307" s="66">
        <v>57.5</v>
      </c>
      <c r="M307" s="27" t="s">
        <v>1246</v>
      </c>
      <c r="N307" s="27">
        <v>-12.5</v>
      </c>
      <c r="O307" s="27"/>
      <c r="P307" s="27">
        <v>-12.5</v>
      </c>
      <c r="Q307" s="27"/>
      <c r="R307" s="27">
        <v>-12.5</v>
      </c>
      <c r="S307" s="27"/>
      <c r="T307" s="27">
        <v>-11.5</v>
      </c>
      <c r="U307" s="27"/>
      <c r="V307" s="27">
        <v>-12.5</v>
      </c>
      <c r="W307" s="27"/>
      <c r="X307" s="27">
        <v>-12.5</v>
      </c>
      <c r="Y307" s="27"/>
      <c r="Z307" s="27">
        <v>-12.0</v>
      </c>
      <c r="AA307" s="27"/>
      <c r="AB307" s="27">
        <v>-13.0</v>
      </c>
      <c r="AC307" s="27"/>
      <c r="AD307" s="27">
        <v>-11.5</v>
      </c>
      <c r="AE307" s="27"/>
      <c r="AF307" s="27">
        <v>-11.5</v>
      </c>
      <c r="AG307" s="27"/>
      <c r="AH307" s="27">
        <v>88.0</v>
      </c>
      <c r="AI307" s="27">
        <v>40.0</v>
      </c>
      <c r="AJ307" s="27">
        <v>2.0</v>
      </c>
      <c r="AK307" s="27" t="b">
        <v>1</v>
      </c>
      <c r="AL307" s="27">
        <v>100.0</v>
      </c>
      <c r="AM307" s="27" t="s">
        <v>192</v>
      </c>
      <c r="AN307" s="27" t="s">
        <v>404</v>
      </c>
      <c r="AO307" s="27"/>
    </row>
    <row r="308">
      <c r="A308" s="200">
        <v>44817.0251005787</v>
      </c>
      <c r="B308" s="19" t="s">
        <v>178</v>
      </c>
      <c r="C308" s="21" t="s">
        <v>265</v>
      </c>
      <c r="D308" s="62">
        <v>2.0</v>
      </c>
      <c r="E308" s="27">
        <v>0.0</v>
      </c>
      <c r="F308" s="27" t="s">
        <v>1247</v>
      </c>
      <c r="G308" s="201" t="s">
        <v>57</v>
      </c>
      <c r="H308" s="27" t="s">
        <v>148</v>
      </c>
      <c r="I308" s="27"/>
      <c r="J308" s="33">
        <v>-30.5</v>
      </c>
      <c r="K308" s="33">
        <v>-28.5</v>
      </c>
      <c r="L308" s="66">
        <v>49.5</v>
      </c>
      <c r="M308" s="27" t="s">
        <v>1248</v>
      </c>
      <c r="N308" s="27">
        <v>-28.5</v>
      </c>
      <c r="O308" s="27"/>
      <c r="P308" s="27">
        <v>-28.0</v>
      </c>
      <c r="Q308" s="27"/>
      <c r="R308" s="27">
        <v>-28.5</v>
      </c>
      <c r="S308" s="27"/>
      <c r="T308" s="27">
        <v>-28.5</v>
      </c>
      <c r="U308" s="27"/>
      <c r="V308" s="27">
        <v>-28.0</v>
      </c>
      <c r="W308" s="27"/>
      <c r="X308" s="27">
        <v>-28.0</v>
      </c>
      <c r="Y308" s="27"/>
      <c r="Z308" s="27">
        <v>-28.5</v>
      </c>
      <c r="AA308" s="27"/>
      <c r="AB308" s="27">
        <v>-28.5</v>
      </c>
      <c r="AC308" s="27"/>
      <c r="AD308" s="27">
        <v>-28.5</v>
      </c>
      <c r="AE308" s="27"/>
      <c r="AF308" s="27"/>
      <c r="AG308" s="27"/>
      <c r="AH308" s="27">
        <v>92.0</v>
      </c>
      <c r="AI308" s="27">
        <v>10.0</v>
      </c>
      <c r="AJ308" s="27">
        <v>2.0</v>
      </c>
      <c r="AK308" s="27" t="b">
        <v>0</v>
      </c>
      <c r="AL308" s="27">
        <v>100.0</v>
      </c>
      <c r="AM308" s="27" t="s">
        <v>190</v>
      </c>
      <c r="AN308" s="27" t="s">
        <v>405</v>
      </c>
      <c r="AO308" s="27"/>
    </row>
    <row r="309">
      <c r="A309" s="200">
        <v>44817.0251005787</v>
      </c>
      <c r="B309" s="19" t="s">
        <v>178</v>
      </c>
      <c r="C309" s="21" t="s">
        <v>257</v>
      </c>
      <c r="D309" s="62">
        <v>2.0</v>
      </c>
      <c r="E309" s="27">
        <v>0.0</v>
      </c>
      <c r="F309" s="27" t="s">
        <v>1249</v>
      </c>
      <c r="G309" s="201" t="s">
        <v>57</v>
      </c>
      <c r="H309" s="27" t="s">
        <v>141</v>
      </c>
      <c r="I309" s="27"/>
      <c r="J309" s="33">
        <v>21.0</v>
      </c>
      <c r="K309" s="33">
        <v>23.0</v>
      </c>
      <c r="L309" s="66">
        <v>62.5</v>
      </c>
      <c r="M309" s="27" t="s">
        <v>1250</v>
      </c>
      <c r="N309" s="27">
        <v>23.5</v>
      </c>
      <c r="O309" s="27"/>
      <c r="P309" s="27">
        <v>23.5</v>
      </c>
      <c r="Q309" s="27"/>
      <c r="R309" s="27">
        <v>24.0</v>
      </c>
      <c r="S309" s="27"/>
      <c r="T309" s="27">
        <v>23.0</v>
      </c>
      <c r="U309" s="27"/>
      <c r="V309" s="27">
        <v>23.5</v>
      </c>
      <c r="W309" s="27"/>
      <c r="X309" s="27">
        <v>23.5</v>
      </c>
      <c r="Y309" s="27"/>
      <c r="Z309" s="27">
        <v>23.5</v>
      </c>
      <c r="AA309" s="27"/>
      <c r="AB309" s="27">
        <v>23.0</v>
      </c>
      <c r="AC309" s="27"/>
      <c r="AD309" s="27">
        <v>23.0</v>
      </c>
      <c r="AE309" s="27"/>
      <c r="AF309" s="27">
        <v>23.0</v>
      </c>
      <c r="AG309" s="27"/>
      <c r="AH309" s="27">
        <v>104.0</v>
      </c>
      <c r="AI309" s="27">
        <v>49.0</v>
      </c>
      <c r="AJ309" s="27">
        <v>2.0</v>
      </c>
      <c r="AK309" s="27" t="b">
        <v>0</v>
      </c>
      <c r="AL309" s="27">
        <v>100.0</v>
      </c>
      <c r="AM309" s="27" t="s">
        <v>193</v>
      </c>
      <c r="AN309" s="27" t="s">
        <v>405</v>
      </c>
      <c r="AO309" s="27"/>
    </row>
    <row r="310">
      <c r="A310" s="200">
        <v>44817.0251005787</v>
      </c>
      <c r="B310" s="19" t="s">
        <v>178</v>
      </c>
      <c r="C310" s="21" t="s">
        <v>267</v>
      </c>
      <c r="D310" s="62">
        <v>2.0</v>
      </c>
      <c r="E310" s="27">
        <v>0.0</v>
      </c>
      <c r="F310" s="27" t="s">
        <v>1251</v>
      </c>
      <c r="G310" s="201" t="s">
        <v>57</v>
      </c>
      <c r="H310" s="27"/>
      <c r="I310" s="27"/>
      <c r="J310" s="33">
        <v>-33.5</v>
      </c>
      <c r="K310" s="33">
        <v>-35.0</v>
      </c>
      <c r="L310" s="66">
        <v>59.5</v>
      </c>
      <c r="M310" s="27" t="s">
        <v>1139</v>
      </c>
      <c r="N310" s="27">
        <v>-35.5</v>
      </c>
      <c r="O310" s="27"/>
      <c r="P310" s="27">
        <v>-35.5</v>
      </c>
      <c r="Q310" s="27"/>
      <c r="R310" s="27">
        <v>-35.0</v>
      </c>
      <c r="S310" s="27"/>
      <c r="T310" s="27">
        <v>-35.0</v>
      </c>
      <c r="U310" s="27"/>
      <c r="V310" s="27">
        <v>-35.5</v>
      </c>
      <c r="W310" s="27"/>
      <c r="X310" s="27">
        <v>-35.5</v>
      </c>
      <c r="Y310" s="27"/>
      <c r="Z310" s="27">
        <v>-35.0</v>
      </c>
      <c r="AA310" s="27"/>
      <c r="AB310" s="27">
        <v>-35.0</v>
      </c>
      <c r="AC310" s="27"/>
      <c r="AD310" s="27"/>
      <c r="AE310" s="27"/>
      <c r="AF310" s="27"/>
      <c r="AG310" s="27"/>
      <c r="AH310" s="27">
        <v>94.0</v>
      </c>
      <c r="AI310" s="27">
        <v>10.0</v>
      </c>
      <c r="AJ310" s="27">
        <v>2.0</v>
      </c>
      <c r="AK310" s="27" t="b">
        <v>0</v>
      </c>
      <c r="AL310" s="27">
        <v>100.0</v>
      </c>
      <c r="AM310" s="27" t="s">
        <v>389</v>
      </c>
      <c r="AN310" s="27" t="s">
        <v>405</v>
      </c>
      <c r="AO310" s="27"/>
    </row>
    <row r="311">
      <c r="A311" s="200">
        <v>44817.0251005787</v>
      </c>
      <c r="B311" s="19" t="s">
        <v>178</v>
      </c>
      <c r="C311" s="21" t="s">
        <v>261</v>
      </c>
      <c r="D311" s="62">
        <v>2.0</v>
      </c>
      <c r="E311" s="27">
        <v>0.0</v>
      </c>
      <c r="F311" s="27" t="s">
        <v>1252</v>
      </c>
      <c r="G311" s="201" t="s">
        <v>57</v>
      </c>
      <c r="H311" s="27"/>
      <c r="I311" s="27"/>
      <c r="J311" s="33">
        <v>-50.5</v>
      </c>
      <c r="K311" s="33">
        <v>-48.5</v>
      </c>
      <c r="L311" s="66">
        <v>61.5</v>
      </c>
      <c r="M311" s="27" t="s">
        <v>1240</v>
      </c>
      <c r="N311" s="27">
        <v>-48.5</v>
      </c>
      <c r="O311" s="27"/>
      <c r="P311" s="27">
        <v>-48.5</v>
      </c>
      <c r="Q311" s="27"/>
      <c r="R311" s="27">
        <v>-48.5</v>
      </c>
      <c r="S311" s="27"/>
      <c r="T311" s="27">
        <v>-48.5</v>
      </c>
      <c r="U311" s="27"/>
      <c r="V311" s="27">
        <v>-48.5</v>
      </c>
      <c r="W311" s="27"/>
      <c r="X311" s="27">
        <v>-48.5</v>
      </c>
      <c r="Y311" s="27"/>
      <c r="Z311" s="27">
        <v>-48.5</v>
      </c>
      <c r="AA311" s="27"/>
      <c r="AB311" s="27">
        <v>-48.5</v>
      </c>
      <c r="AC311" s="27"/>
      <c r="AD311" s="27"/>
      <c r="AE311" s="27"/>
      <c r="AF311" s="27"/>
      <c r="AG311" s="27"/>
      <c r="AH311" s="27">
        <v>90.0</v>
      </c>
      <c r="AI311" s="27">
        <v>24.0</v>
      </c>
      <c r="AJ311" s="27">
        <v>2.0</v>
      </c>
      <c r="AK311" s="27" t="b">
        <v>0</v>
      </c>
      <c r="AL311" s="27">
        <v>100.0</v>
      </c>
      <c r="AM311" s="27" t="s">
        <v>191</v>
      </c>
      <c r="AN311" s="27" t="s">
        <v>404</v>
      </c>
      <c r="AO311" s="27"/>
    </row>
    <row r="312">
      <c r="A312" s="200">
        <v>44817.0251005787</v>
      </c>
      <c r="B312" s="19" t="s">
        <v>178</v>
      </c>
      <c r="C312" s="21" t="s">
        <v>240</v>
      </c>
      <c r="D312" s="62">
        <v>2.0</v>
      </c>
      <c r="E312" s="27">
        <v>0.0</v>
      </c>
      <c r="F312" s="27" t="s">
        <v>1253</v>
      </c>
      <c r="G312" s="201" t="s">
        <v>57</v>
      </c>
      <c r="H312" s="27"/>
      <c r="I312" s="27"/>
      <c r="J312" s="33">
        <v>-37.5</v>
      </c>
      <c r="K312" s="33">
        <v>-41.5</v>
      </c>
      <c r="L312" s="66">
        <v>56.5</v>
      </c>
      <c r="M312" s="27" t="s">
        <v>1240</v>
      </c>
      <c r="N312" s="27">
        <v>-40.5</v>
      </c>
      <c r="O312" s="27"/>
      <c r="P312" s="27">
        <v>-41.0</v>
      </c>
      <c r="Q312" s="27"/>
      <c r="R312" s="27">
        <v>-40.0</v>
      </c>
      <c r="S312" s="27"/>
      <c r="T312" s="27">
        <v>-41.5</v>
      </c>
      <c r="U312" s="27"/>
      <c r="V312" s="27">
        <v>-41.0</v>
      </c>
      <c r="W312" s="27"/>
      <c r="X312" s="27">
        <v>-39.5</v>
      </c>
      <c r="Y312" s="27"/>
      <c r="Z312" s="27">
        <v>-41.5</v>
      </c>
      <c r="AA312" s="27"/>
      <c r="AB312" s="27">
        <v>-41.5</v>
      </c>
      <c r="AC312" s="27"/>
      <c r="AD312" s="27"/>
      <c r="AE312" s="27"/>
      <c r="AF312" s="27"/>
      <c r="AG312" s="27"/>
      <c r="AH312" s="27">
        <v>100.0</v>
      </c>
      <c r="AI312" s="27">
        <v>10.0</v>
      </c>
      <c r="AJ312" s="27">
        <v>2.0</v>
      </c>
      <c r="AK312" s="27" t="b">
        <v>0</v>
      </c>
      <c r="AL312" s="27">
        <v>100.0</v>
      </c>
      <c r="AM312" s="27" t="s">
        <v>188</v>
      </c>
      <c r="AN312" s="27" t="s">
        <v>404</v>
      </c>
      <c r="AO312" s="27"/>
    </row>
    <row r="313">
      <c r="A313" s="200">
        <v>44817.0251005787</v>
      </c>
      <c r="B313" s="19" t="s">
        <v>178</v>
      </c>
      <c r="C313" s="21" t="s">
        <v>259</v>
      </c>
      <c r="D313" s="62">
        <v>2.0</v>
      </c>
      <c r="E313" s="27">
        <v>0.0</v>
      </c>
      <c r="F313" s="27" t="s">
        <v>1254</v>
      </c>
      <c r="G313" s="201" t="s">
        <v>57</v>
      </c>
      <c r="H313" s="27" t="s">
        <v>138</v>
      </c>
      <c r="I313" s="27"/>
      <c r="J313" s="33">
        <v>-6.0</v>
      </c>
      <c r="K313" s="33">
        <v>-13.5</v>
      </c>
      <c r="L313" s="66">
        <v>65.0</v>
      </c>
      <c r="M313" s="27" t="s">
        <v>1255</v>
      </c>
      <c r="N313" s="27">
        <v>-13.5</v>
      </c>
      <c r="O313" s="27"/>
      <c r="P313" s="27">
        <v>-13.5</v>
      </c>
      <c r="Q313" s="27"/>
      <c r="R313" s="27">
        <v>-13.5</v>
      </c>
      <c r="S313" s="27"/>
      <c r="T313" s="27">
        <v>-13.5</v>
      </c>
      <c r="U313" s="27"/>
      <c r="V313" s="27">
        <v>-13.5</v>
      </c>
      <c r="W313" s="27"/>
      <c r="X313" s="27">
        <v>-13.5</v>
      </c>
      <c r="Y313" s="27"/>
      <c r="Z313" s="27">
        <v>-13.5</v>
      </c>
      <c r="AA313" s="27"/>
      <c r="AB313" s="27">
        <v>-13.0</v>
      </c>
      <c r="AC313" s="27"/>
      <c r="AD313" s="27">
        <v>-13.5</v>
      </c>
      <c r="AE313" s="27"/>
      <c r="AF313" s="27">
        <v>-13.5</v>
      </c>
      <c r="AG313" s="27"/>
      <c r="AH313" s="27">
        <v>89.0</v>
      </c>
      <c r="AI313" s="27">
        <v>35.0</v>
      </c>
      <c r="AJ313" s="27">
        <v>2.0</v>
      </c>
      <c r="AK313" s="27" t="b">
        <v>1</v>
      </c>
      <c r="AL313" s="27">
        <v>100.0</v>
      </c>
      <c r="AM313" s="27" t="s">
        <v>186</v>
      </c>
      <c r="AN313" s="27" t="s">
        <v>404</v>
      </c>
      <c r="AO313" s="27"/>
    </row>
    <row r="314">
      <c r="A314" s="200">
        <v>44817.0251005787</v>
      </c>
      <c r="B314" s="19" t="s">
        <v>178</v>
      </c>
      <c r="C314" s="21" t="s">
        <v>263</v>
      </c>
      <c r="D314" s="62">
        <v>1.0</v>
      </c>
      <c r="E314" s="27">
        <v>1.0</v>
      </c>
      <c r="F314" s="27" t="s">
        <v>1256</v>
      </c>
      <c r="G314" s="201" t="s">
        <v>57</v>
      </c>
      <c r="H314" s="27" t="s">
        <v>148</v>
      </c>
      <c r="I314" s="27"/>
      <c r="J314" s="33">
        <v>17.0</v>
      </c>
      <c r="K314" s="33">
        <v>17.0</v>
      </c>
      <c r="L314" s="66">
        <v>43.5</v>
      </c>
      <c r="M314" s="27" t="s">
        <v>1257</v>
      </c>
      <c r="N314" s="27">
        <v>17.0</v>
      </c>
      <c r="O314" s="27"/>
      <c r="P314" s="27">
        <v>17.0</v>
      </c>
      <c r="Q314" s="27"/>
      <c r="R314" s="27">
        <v>17.0</v>
      </c>
      <c r="S314" s="27"/>
      <c r="T314" s="27">
        <v>17.0</v>
      </c>
      <c r="U314" s="27"/>
      <c r="V314" s="27">
        <v>17.0</v>
      </c>
      <c r="W314" s="27"/>
      <c r="X314" s="27">
        <v>17.0</v>
      </c>
      <c r="Y314" s="27"/>
      <c r="Z314" s="27">
        <v>17.0</v>
      </c>
      <c r="AA314" s="27"/>
      <c r="AB314" s="27">
        <v>17.0</v>
      </c>
      <c r="AC314" s="27"/>
      <c r="AD314" s="27">
        <v>17.0</v>
      </c>
      <c r="AE314" s="27"/>
      <c r="AF314" s="27"/>
      <c r="AG314" s="27"/>
      <c r="AH314" s="27">
        <v>55.0</v>
      </c>
      <c r="AI314" s="27">
        <v>31.0</v>
      </c>
      <c r="AJ314" s="27">
        <v>2.0</v>
      </c>
      <c r="AK314" s="27" t="b">
        <v>0</v>
      </c>
      <c r="AL314" s="27">
        <v>100.0</v>
      </c>
      <c r="AM314" s="27" t="s">
        <v>129</v>
      </c>
      <c r="AN314" s="27" t="s">
        <v>405</v>
      </c>
      <c r="AO314" s="27"/>
    </row>
    <row r="315">
      <c r="A315" s="200">
        <v>44817.0251005787</v>
      </c>
      <c r="B315" s="19" t="s">
        <v>178</v>
      </c>
      <c r="C315" s="21" t="s">
        <v>272</v>
      </c>
      <c r="D315" s="62">
        <v>2.0</v>
      </c>
      <c r="E315" s="27">
        <v>0.0</v>
      </c>
      <c r="F315" s="27" t="s">
        <v>1258</v>
      </c>
      <c r="G315" s="201" t="s">
        <v>183</v>
      </c>
      <c r="H315" s="27" t="s">
        <v>154</v>
      </c>
      <c r="I315" s="27"/>
      <c r="J315" s="33">
        <v>-3.5</v>
      </c>
      <c r="K315" s="33">
        <v>-3.5</v>
      </c>
      <c r="L315" s="66">
        <v>63.0</v>
      </c>
      <c r="M315" s="27" t="s">
        <v>1259</v>
      </c>
      <c r="N315" s="27">
        <v>-4.0</v>
      </c>
      <c r="O315" s="27"/>
      <c r="P315" s="27">
        <v>-4.0</v>
      </c>
      <c r="Q315" s="27"/>
      <c r="R315" s="27">
        <v>-4.0</v>
      </c>
      <c r="S315" s="27"/>
      <c r="T315" s="27">
        <v>-3.5</v>
      </c>
      <c r="U315" s="27"/>
      <c r="V315" s="27">
        <v>-4.0</v>
      </c>
      <c r="W315" s="27"/>
      <c r="X315" s="27">
        <v>-4.0</v>
      </c>
      <c r="Y315" s="27"/>
      <c r="Z315" s="27">
        <v>-4.0</v>
      </c>
      <c r="AA315" s="27"/>
      <c r="AB315" s="27">
        <v>-3.0</v>
      </c>
      <c r="AC315" s="27"/>
      <c r="AD315" s="27">
        <v>-3.5</v>
      </c>
      <c r="AE315" s="27"/>
      <c r="AF315" s="27">
        <v>-3.5</v>
      </c>
      <c r="AG315" s="27"/>
      <c r="AH315" s="27">
        <v>96.0</v>
      </c>
      <c r="AI315" s="27">
        <v>40.0</v>
      </c>
      <c r="AJ315" s="27">
        <v>2.0</v>
      </c>
      <c r="AK315" s="27" t="b">
        <v>0</v>
      </c>
      <c r="AL315" s="27">
        <v>100.0</v>
      </c>
      <c r="AM315" s="27" t="s">
        <v>187</v>
      </c>
      <c r="AN315" s="27" t="s">
        <v>404</v>
      </c>
      <c r="AO315" s="27"/>
    </row>
    <row r="316">
      <c r="A316" s="200">
        <v>44817.0251005787</v>
      </c>
      <c r="B316" s="19"/>
      <c r="C316" s="21"/>
      <c r="D316" s="62"/>
      <c r="E316" s="27"/>
      <c r="F316" s="27"/>
      <c r="G316" s="201"/>
      <c r="H316" s="27"/>
      <c r="I316" s="27"/>
      <c r="J316" s="33"/>
      <c r="K316" s="33"/>
      <c r="L316" s="66"/>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t="e">
        <v>#N/A</v>
      </c>
      <c r="AN316" s="27" t="e">
        <v>#N/A</v>
      </c>
      <c r="AO316" s="27"/>
    </row>
    <row r="317">
      <c r="A317" s="200">
        <v>44817.0251005787</v>
      </c>
      <c r="B317" s="19" t="s">
        <v>59</v>
      </c>
      <c r="C317" s="21" t="s">
        <v>274</v>
      </c>
      <c r="D317" s="62">
        <v>2.0</v>
      </c>
      <c r="E317" s="27">
        <v>0.0</v>
      </c>
      <c r="F317" s="27" t="s">
        <v>1260</v>
      </c>
      <c r="G317" s="201" t="s">
        <v>57</v>
      </c>
      <c r="H317" s="27" t="s">
        <v>144</v>
      </c>
      <c r="I317" s="27"/>
      <c r="J317" s="33">
        <v>1.5</v>
      </c>
      <c r="K317" s="33">
        <v>1.0</v>
      </c>
      <c r="L317" s="66">
        <v>57.5</v>
      </c>
      <c r="M317" s="27" t="s">
        <v>1261</v>
      </c>
      <c r="N317" s="27">
        <v>-1.0</v>
      </c>
      <c r="O317" s="27"/>
      <c r="P317" s="27">
        <v>1.0</v>
      </c>
      <c r="Q317" s="27"/>
      <c r="R317" s="27">
        <v>-1.0</v>
      </c>
      <c r="S317" s="27"/>
      <c r="T317" s="27">
        <v>1.0</v>
      </c>
      <c r="U317" s="27"/>
      <c r="V317" s="27">
        <v>1.0</v>
      </c>
      <c r="W317" s="27"/>
      <c r="X317" s="27">
        <v>1.0</v>
      </c>
      <c r="Y317" s="27"/>
      <c r="Z317" s="27">
        <v>1.0</v>
      </c>
      <c r="AA317" s="27"/>
      <c r="AB317" s="27">
        <v>0.0</v>
      </c>
      <c r="AC317" s="27"/>
      <c r="AD317" s="27">
        <v>1.0</v>
      </c>
      <c r="AE317" s="27"/>
      <c r="AF317" s="27">
        <v>1.0</v>
      </c>
      <c r="AG317" s="27"/>
      <c r="AH317" s="27">
        <v>69.0</v>
      </c>
      <c r="AI317" s="27">
        <v>49.0</v>
      </c>
      <c r="AJ317" s="27">
        <v>2.0</v>
      </c>
      <c r="AK317" s="27" t="b">
        <v>0</v>
      </c>
      <c r="AL317" s="27">
        <v>100.0</v>
      </c>
      <c r="AM317" s="27" t="s">
        <v>191</v>
      </c>
      <c r="AN317" s="27" t="s">
        <v>404</v>
      </c>
      <c r="AO317" s="27"/>
    </row>
    <row r="318">
      <c r="A318" s="200">
        <v>44817.0251005787</v>
      </c>
      <c r="B318" s="19" t="s">
        <v>59</v>
      </c>
      <c r="C318" s="21" t="s">
        <v>289</v>
      </c>
      <c r="D318" s="62">
        <v>0.0</v>
      </c>
      <c r="E318" s="27">
        <v>2.0</v>
      </c>
      <c r="F318" s="27" t="s">
        <v>1262</v>
      </c>
      <c r="G318" s="201" t="s">
        <v>57</v>
      </c>
      <c r="H318" s="27" t="s">
        <v>148</v>
      </c>
      <c r="I318" s="27"/>
      <c r="J318" s="33">
        <v>3.0</v>
      </c>
      <c r="K318" s="33">
        <v>2.5</v>
      </c>
      <c r="L318" s="66">
        <v>44.5</v>
      </c>
      <c r="M318" s="27" t="s">
        <v>1263</v>
      </c>
      <c r="N318" s="27">
        <v>3.0</v>
      </c>
      <c r="O318" s="27"/>
      <c r="P318" s="27">
        <v>3.0</v>
      </c>
      <c r="Q318" s="27"/>
      <c r="R318" s="27">
        <v>2.5</v>
      </c>
      <c r="S318" s="27"/>
      <c r="T318" s="27">
        <v>2.5</v>
      </c>
      <c r="U318" s="27"/>
      <c r="V318" s="27">
        <v>2.5</v>
      </c>
      <c r="W318" s="27"/>
      <c r="X318" s="27">
        <v>3.0</v>
      </c>
      <c r="Y318" s="27"/>
      <c r="Z318" s="27">
        <v>3.0</v>
      </c>
      <c r="AA318" s="27"/>
      <c r="AB318" s="27">
        <v>3.0</v>
      </c>
      <c r="AC318" s="27"/>
      <c r="AD318" s="27">
        <v>2.5</v>
      </c>
      <c r="AE318" s="27"/>
      <c r="AF318" s="27">
        <v>2.5</v>
      </c>
      <c r="AG318" s="27"/>
      <c r="AH318" s="27">
        <v>31.0</v>
      </c>
      <c r="AI318" s="27">
        <v>49.0</v>
      </c>
      <c r="AJ318" s="27">
        <v>2.0</v>
      </c>
      <c r="AK318" s="27" t="b">
        <v>1</v>
      </c>
      <c r="AL318" s="27">
        <v>100.0</v>
      </c>
      <c r="AM318" s="27" t="s">
        <v>186</v>
      </c>
      <c r="AN318" s="27" t="s">
        <v>404</v>
      </c>
      <c r="AO318" s="27"/>
    </row>
    <row r="319">
      <c r="A319" s="200">
        <v>44817.0251005787</v>
      </c>
      <c r="B319" s="19" t="s">
        <v>59</v>
      </c>
      <c r="C319" s="21" t="s">
        <v>284</v>
      </c>
      <c r="D319" s="62">
        <v>2.0</v>
      </c>
      <c r="E319" s="27">
        <v>0.0</v>
      </c>
      <c r="F319" s="27" t="s">
        <v>1264</v>
      </c>
      <c r="G319" s="201" t="s">
        <v>57</v>
      </c>
      <c r="H319" s="27" t="s">
        <v>166</v>
      </c>
      <c r="I319" s="27"/>
      <c r="J319" s="33">
        <v>-48.5</v>
      </c>
      <c r="K319" s="33">
        <v>-53.0</v>
      </c>
      <c r="L319" s="66">
        <v>67.5</v>
      </c>
      <c r="M319" s="27" t="s">
        <v>1230</v>
      </c>
      <c r="N319" s="27">
        <v>-52.5</v>
      </c>
      <c r="O319" s="27"/>
      <c r="P319" s="27">
        <v>-53.0</v>
      </c>
      <c r="Q319" s="27"/>
      <c r="R319" s="27">
        <v>-53.0</v>
      </c>
      <c r="S319" s="27"/>
      <c r="T319" s="27">
        <v>-53.0</v>
      </c>
      <c r="U319" s="27"/>
      <c r="V319" s="27">
        <v>-53.5</v>
      </c>
      <c r="W319" s="27"/>
      <c r="X319" s="27">
        <v>-52.5</v>
      </c>
      <c r="Y319" s="27"/>
      <c r="Z319" s="27">
        <v>-52.5</v>
      </c>
      <c r="AA319" s="27"/>
      <c r="AB319" s="27">
        <v>-53.0</v>
      </c>
      <c r="AC319" s="27"/>
      <c r="AD319" s="27">
        <v>-53.0</v>
      </c>
      <c r="AE319" s="27"/>
      <c r="AF319" s="27">
        <v>-53.0</v>
      </c>
      <c r="AG319" s="27"/>
      <c r="AH319" s="27">
        <v>107.0</v>
      </c>
      <c r="AI319" s="27">
        <v>17.0</v>
      </c>
      <c r="AJ319" s="27">
        <v>2.0</v>
      </c>
      <c r="AK319" s="27" t="b">
        <v>1</v>
      </c>
      <c r="AL319" s="27">
        <v>100.0</v>
      </c>
      <c r="AM319" s="27" t="s">
        <v>188</v>
      </c>
      <c r="AN319" s="27" t="s">
        <v>404</v>
      </c>
      <c r="AO319" s="27"/>
    </row>
    <row r="320">
      <c r="A320" s="200">
        <v>44817.0251005787</v>
      </c>
      <c r="B320" s="19" t="s">
        <v>59</v>
      </c>
      <c r="C320" s="21" t="s">
        <v>275</v>
      </c>
      <c r="D320" s="62">
        <v>1.0</v>
      </c>
      <c r="E320" s="27">
        <v>1.0</v>
      </c>
      <c r="F320" s="27" t="s">
        <v>1265</v>
      </c>
      <c r="G320" s="201" t="s">
        <v>57</v>
      </c>
      <c r="H320" s="27" t="s">
        <v>148</v>
      </c>
      <c r="I320" s="27"/>
      <c r="J320" s="33">
        <v>11.0</v>
      </c>
      <c r="K320" s="33">
        <v>13.5</v>
      </c>
      <c r="L320" s="66">
        <v>62.5</v>
      </c>
      <c r="M320" s="27" t="s">
        <v>1242</v>
      </c>
      <c r="N320" s="27">
        <v>14.0</v>
      </c>
      <c r="O320" s="27"/>
      <c r="P320" s="27">
        <v>13.5</v>
      </c>
      <c r="Q320" s="27"/>
      <c r="R320" s="27">
        <v>14.0</v>
      </c>
      <c r="S320" s="27"/>
      <c r="T320" s="27">
        <v>13.5</v>
      </c>
      <c r="U320" s="27"/>
      <c r="V320" s="27">
        <v>13.5</v>
      </c>
      <c r="W320" s="27"/>
      <c r="X320" s="27">
        <v>13.5</v>
      </c>
      <c r="Y320" s="27"/>
      <c r="Z320" s="27">
        <v>14.0</v>
      </c>
      <c r="AA320" s="27"/>
      <c r="AB320" s="27">
        <v>14.0</v>
      </c>
      <c r="AC320" s="27"/>
      <c r="AD320" s="27">
        <v>13.5</v>
      </c>
      <c r="AE320" s="27"/>
      <c r="AF320" s="27">
        <v>13.5</v>
      </c>
      <c r="AG320" s="27"/>
      <c r="AH320" s="27">
        <v>50.0</v>
      </c>
      <c r="AI320" s="27">
        <v>78.0</v>
      </c>
      <c r="AJ320" s="27">
        <v>2.0</v>
      </c>
      <c r="AK320" s="27" t="b">
        <v>0</v>
      </c>
      <c r="AL320" s="27">
        <v>100.0</v>
      </c>
      <c r="AM320" s="27" t="s">
        <v>189</v>
      </c>
      <c r="AN320" s="27" t="s">
        <v>405</v>
      </c>
      <c r="AO320" s="27"/>
    </row>
    <row r="321">
      <c r="A321" s="200">
        <v>44817.0251005787</v>
      </c>
      <c r="B321" s="19" t="s">
        <v>59</v>
      </c>
      <c r="C321" s="21" t="s">
        <v>281</v>
      </c>
      <c r="D321" s="62">
        <v>1.0</v>
      </c>
      <c r="E321" s="27">
        <v>2.0</v>
      </c>
      <c r="F321" s="27" t="s">
        <v>1266</v>
      </c>
      <c r="G321" s="201" t="s">
        <v>57</v>
      </c>
      <c r="H321" s="27" t="s">
        <v>138</v>
      </c>
      <c r="I321" s="27"/>
      <c r="J321" s="33">
        <v>21.5</v>
      </c>
      <c r="K321" s="33">
        <v>24.0</v>
      </c>
      <c r="L321" s="66">
        <v>50.0</v>
      </c>
      <c r="M321" s="27" t="s">
        <v>1267</v>
      </c>
      <c r="N321" s="27">
        <v>24.0</v>
      </c>
      <c r="O321" s="27"/>
      <c r="P321" s="27">
        <v>24.0</v>
      </c>
      <c r="Q321" s="27"/>
      <c r="R321" s="27">
        <v>24.0</v>
      </c>
      <c r="S321" s="27"/>
      <c r="T321" s="27">
        <v>24.0</v>
      </c>
      <c r="U321" s="27"/>
      <c r="V321" s="27">
        <v>24.0</v>
      </c>
      <c r="W321" s="27"/>
      <c r="X321" s="27">
        <v>24.0</v>
      </c>
      <c r="Y321" s="27"/>
      <c r="Z321" s="27">
        <v>23.0</v>
      </c>
      <c r="AA321" s="27"/>
      <c r="AB321" s="27">
        <v>23.0</v>
      </c>
      <c r="AC321" s="27"/>
      <c r="AD321" s="27">
        <v>23.0</v>
      </c>
      <c r="AE321" s="27"/>
      <c r="AF321" s="27">
        <v>23.0</v>
      </c>
      <c r="AG321" s="27"/>
      <c r="AH321" s="27">
        <v>62.0</v>
      </c>
      <c r="AI321" s="27">
        <v>82.0</v>
      </c>
      <c r="AJ321" s="27">
        <v>2.0</v>
      </c>
      <c r="AK321" s="27" t="b">
        <v>1</v>
      </c>
      <c r="AL321" s="27">
        <v>100.0</v>
      </c>
      <c r="AM321" s="27" t="s">
        <v>389</v>
      </c>
      <c r="AN321" s="27" t="s">
        <v>405</v>
      </c>
      <c r="AO321" s="27"/>
    </row>
    <row r="322">
      <c r="A322" s="200">
        <v>44817.0251005787</v>
      </c>
      <c r="B322" s="19" t="s">
        <v>59</v>
      </c>
      <c r="C322" s="21" t="s">
        <v>283</v>
      </c>
      <c r="D322" s="62">
        <v>2.0</v>
      </c>
      <c r="E322" s="27">
        <v>0.0</v>
      </c>
      <c r="F322" s="27" t="s">
        <v>1268</v>
      </c>
      <c r="G322" s="201" t="s">
        <v>57</v>
      </c>
      <c r="H322" s="27" t="s">
        <v>144</v>
      </c>
      <c r="I322" s="27"/>
      <c r="J322" s="33">
        <v>4.5</v>
      </c>
      <c r="K322" s="33">
        <v>6.0</v>
      </c>
      <c r="L322" s="66">
        <v>52.5</v>
      </c>
      <c r="M322" s="27" t="s">
        <v>1218</v>
      </c>
      <c r="N322" s="27">
        <v>6.0</v>
      </c>
      <c r="O322" s="27"/>
      <c r="P322" s="27">
        <v>6.0</v>
      </c>
      <c r="Q322" s="27"/>
      <c r="R322" s="27">
        <v>6.0</v>
      </c>
      <c r="S322" s="27"/>
      <c r="T322" s="27">
        <v>6.0</v>
      </c>
      <c r="U322" s="27"/>
      <c r="V322" s="27">
        <v>6.0</v>
      </c>
      <c r="W322" s="27"/>
      <c r="X322" s="27">
        <v>6.0</v>
      </c>
      <c r="Y322" s="27"/>
      <c r="Z322" s="27">
        <v>6.0</v>
      </c>
      <c r="AA322" s="27"/>
      <c r="AB322" s="27">
        <v>6.0</v>
      </c>
      <c r="AC322" s="27"/>
      <c r="AD322" s="27">
        <v>6.0</v>
      </c>
      <c r="AE322" s="27"/>
      <c r="AF322" s="27">
        <v>6.0</v>
      </c>
      <c r="AG322" s="27"/>
      <c r="AH322" s="27">
        <v>63.0</v>
      </c>
      <c r="AI322" s="27">
        <v>29.0</v>
      </c>
      <c r="AJ322" s="27">
        <v>2.0</v>
      </c>
      <c r="AK322" s="27" t="b">
        <v>1</v>
      </c>
      <c r="AL322" s="27">
        <v>100.0</v>
      </c>
      <c r="AM322" s="27" t="s">
        <v>192</v>
      </c>
      <c r="AN322" s="27" t="s">
        <v>404</v>
      </c>
      <c r="AO322" s="27"/>
    </row>
    <row r="323">
      <c r="A323" s="200">
        <v>44817.0251005787</v>
      </c>
      <c r="B323" s="19" t="s">
        <v>59</v>
      </c>
      <c r="C323" s="21" t="s">
        <v>279</v>
      </c>
      <c r="D323" s="62">
        <v>1.0</v>
      </c>
      <c r="E323" s="27">
        <v>1.0</v>
      </c>
      <c r="F323" s="27" t="s">
        <v>1269</v>
      </c>
      <c r="G323" s="201" t="s">
        <v>57</v>
      </c>
      <c r="H323" s="27" t="s">
        <v>166</v>
      </c>
      <c r="I323" s="27"/>
      <c r="J323" s="33">
        <v>13.5</v>
      </c>
      <c r="K323" s="33">
        <v>12.5</v>
      </c>
      <c r="L323" s="66">
        <v>50.0</v>
      </c>
      <c r="M323" s="27" t="s">
        <v>1270</v>
      </c>
      <c r="N323" s="27">
        <v>12.5</v>
      </c>
      <c r="O323" s="27"/>
      <c r="P323" s="27">
        <v>12.5</v>
      </c>
      <c r="Q323" s="27"/>
      <c r="R323" s="27">
        <v>12.0</v>
      </c>
      <c r="S323" s="27"/>
      <c r="T323" s="27">
        <v>12.5</v>
      </c>
      <c r="U323" s="27"/>
      <c r="V323" s="27">
        <v>12.0</v>
      </c>
      <c r="W323" s="27"/>
      <c r="X323" s="27">
        <v>12.0</v>
      </c>
      <c r="Y323" s="27"/>
      <c r="Z323" s="27">
        <v>12.5</v>
      </c>
      <c r="AA323" s="27"/>
      <c r="AB323" s="27">
        <v>13.0</v>
      </c>
      <c r="AC323" s="27"/>
      <c r="AD323" s="27">
        <v>12.5</v>
      </c>
      <c r="AE323" s="27"/>
      <c r="AF323" s="27">
        <v>12.5</v>
      </c>
      <c r="AG323" s="27"/>
      <c r="AH323" s="27">
        <v>66.0</v>
      </c>
      <c r="AI323" s="27">
        <v>41.0</v>
      </c>
      <c r="AJ323" s="27">
        <v>2.0</v>
      </c>
      <c r="AK323" s="27" t="b">
        <v>0</v>
      </c>
      <c r="AL323" s="27">
        <v>100.0</v>
      </c>
      <c r="AM323" s="27" t="s">
        <v>129</v>
      </c>
      <c r="AN323" s="27" t="s">
        <v>405</v>
      </c>
      <c r="AO323" s="27"/>
    </row>
    <row r="324">
      <c r="A324" s="200">
        <v>44817.0251005787</v>
      </c>
      <c r="B324" s="19" t="s">
        <v>59</v>
      </c>
      <c r="C324" s="21" t="s">
        <v>277</v>
      </c>
      <c r="D324" s="62">
        <v>1.0</v>
      </c>
      <c r="E324" s="27">
        <v>1.0</v>
      </c>
      <c r="F324" s="27" t="s">
        <v>1271</v>
      </c>
      <c r="G324" s="201" t="s">
        <v>57</v>
      </c>
      <c r="H324" s="27" t="s">
        <v>148</v>
      </c>
      <c r="I324" s="27"/>
      <c r="J324" s="33">
        <v>16.5</v>
      </c>
      <c r="K324" s="33">
        <v>18.0</v>
      </c>
      <c r="L324" s="66">
        <v>54.0</v>
      </c>
      <c r="M324" s="27" t="s">
        <v>1272</v>
      </c>
      <c r="N324" s="27">
        <v>18.5</v>
      </c>
      <c r="O324" s="27"/>
      <c r="P324" s="27">
        <v>18.0</v>
      </c>
      <c r="Q324" s="27"/>
      <c r="R324" s="27">
        <v>18.5</v>
      </c>
      <c r="S324" s="27"/>
      <c r="T324" s="27">
        <v>18.0</v>
      </c>
      <c r="U324" s="27"/>
      <c r="V324" s="27">
        <v>18.0</v>
      </c>
      <c r="W324" s="27"/>
      <c r="X324" s="27">
        <v>18.0</v>
      </c>
      <c r="Y324" s="27"/>
      <c r="Z324" s="27">
        <v>18.0</v>
      </c>
      <c r="AA324" s="27"/>
      <c r="AB324" s="27">
        <v>18.0</v>
      </c>
      <c r="AC324" s="27"/>
      <c r="AD324" s="27">
        <v>18.0</v>
      </c>
      <c r="AE324" s="27"/>
      <c r="AF324" s="27">
        <v>18.0</v>
      </c>
      <c r="AG324" s="27"/>
      <c r="AH324" s="27">
        <v>78.0</v>
      </c>
      <c r="AI324" s="27">
        <v>77.0</v>
      </c>
      <c r="AJ324" s="27">
        <v>2.0</v>
      </c>
      <c r="AK324" s="27" t="b">
        <v>0</v>
      </c>
      <c r="AL324" s="27">
        <v>100.0</v>
      </c>
      <c r="AM324" s="27" t="s">
        <v>193</v>
      </c>
      <c r="AN324" s="27" t="s">
        <v>405</v>
      </c>
      <c r="AO324" s="27"/>
    </row>
    <row r="325">
      <c r="A325" s="200">
        <v>44817.0251005787</v>
      </c>
      <c r="B325" s="19" t="s">
        <v>59</v>
      </c>
      <c r="C325" s="21" t="s">
        <v>285</v>
      </c>
      <c r="D325" s="62">
        <v>0.0</v>
      </c>
      <c r="E325" s="27">
        <v>2.0</v>
      </c>
      <c r="F325" s="27" t="s">
        <v>1273</v>
      </c>
      <c r="G325" s="201" t="s">
        <v>57</v>
      </c>
      <c r="H325" s="27" t="s">
        <v>138</v>
      </c>
      <c r="I325" s="27"/>
      <c r="J325" s="33">
        <v>-6.5</v>
      </c>
      <c r="K325" s="33">
        <v>-6.0</v>
      </c>
      <c r="L325" s="66">
        <v>57.5</v>
      </c>
      <c r="M325" s="27" t="s">
        <v>1274</v>
      </c>
      <c r="N325" s="27">
        <v>-5.5</v>
      </c>
      <c r="O325" s="27"/>
      <c r="P325" s="27">
        <v>-5.5</v>
      </c>
      <c r="Q325" s="27"/>
      <c r="R325" s="27">
        <v>-6.0</v>
      </c>
      <c r="S325" s="27"/>
      <c r="T325" s="27">
        <v>-6.0</v>
      </c>
      <c r="U325" s="27"/>
      <c r="V325" s="27">
        <v>-5.5</v>
      </c>
      <c r="W325" s="27"/>
      <c r="X325" s="27">
        <v>-5.5</v>
      </c>
      <c r="Y325" s="27"/>
      <c r="Z325" s="27">
        <v>-5.5</v>
      </c>
      <c r="AA325" s="27"/>
      <c r="AB325" s="27">
        <v>-6.0</v>
      </c>
      <c r="AC325" s="27"/>
      <c r="AD325" s="27">
        <v>-6.0</v>
      </c>
      <c r="AE325" s="27"/>
      <c r="AF325" s="27"/>
      <c r="AG325" s="27"/>
      <c r="AH325" s="27">
        <v>68.0</v>
      </c>
      <c r="AI325" s="27">
        <v>96.0</v>
      </c>
      <c r="AJ325" s="27">
        <v>2.0</v>
      </c>
      <c r="AK325" s="27" t="b">
        <v>0</v>
      </c>
      <c r="AL325" s="27">
        <v>100.0</v>
      </c>
      <c r="AM325" s="27" t="s">
        <v>190</v>
      </c>
      <c r="AN325" s="27" t="s">
        <v>405</v>
      </c>
      <c r="AO325" s="27"/>
    </row>
    <row r="326">
      <c r="A326" s="200">
        <v>44817.0251005787</v>
      </c>
      <c r="B326" s="19" t="s">
        <v>59</v>
      </c>
      <c r="C326" s="21" t="s">
        <v>291</v>
      </c>
      <c r="D326" s="62">
        <v>2.0</v>
      </c>
      <c r="E326" s="27">
        <v>0.0</v>
      </c>
      <c r="F326" s="27" t="s">
        <v>1226</v>
      </c>
      <c r="G326" s="201" t="s">
        <v>57</v>
      </c>
      <c r="H326" s="27" t="s">
        <v>53</v>
      </c>
      <c r="I326" s="27"/>
      <c r="J326" s="33"/>
      <c r="K326" s="33"/>
      <c r="L326" s="66"/>
      <c r="M326" s="27"/>
      <c r="N326" s="27"/>
      <c r="O326" s="27"/>
      <c r="P326" s="27"/>
      <c r="Q326" s="27"/>
      <c r="R326" s="27"/>
      <c r="S326" s="27"/>
      <c r="T326" s="27"/>
      <c r="U326" s="27"/>
      <c r="V326" s="27"/>
      <c r="W326" s="27"/>
      <c r="X326" s="27"/>
      <c r="Y326" s="27"/>
      <c r="Z326" s="27"/>
      <c r="AA326" s="27"/>
      <c r="AB326" s="27"/>
      <c r="AC326" s="27"/>
      <c r="AD326" s="27"/>
      <c r="AE326" s="27"/>
      <c r="AF326" s="27"/>
      <c r="AG326" s="27"/>
      <c r="AH326" s="27">
        <v>74.0</v>
      </c>
      <c r="AI326" s="27">
        <v>12.0</v>
      </c>
      <c r="AJ326" s="27">
        <v>2.0</v>
      </c>
      <c r="AK326" s="27" t="b">
        <v>1</v>
      </c>
      <c r="AL326" s="27">
        <v>100.0</v>
      </c>
      <c r="AM326" s="27" t="s">
        <v>187</v>
      </c>
      <c r="AN326" s="27" t="s">
        <v>404</v>
      </c>
      <c r="AO326" s="27"/>
    </row>
    <row r="327">
      <c r="A327" s="200">
        <v>44817.0251005787</v>
      </c>
      <c r="B327" s="19"/>
      <c r="C327" s="21"/>
      <c r="D327" s="62"/>
      <c r="E327" s="27"/>
      <c r="F327" s="27"/>
      <c r="G327" s="201"/>
      <c r="H327" s="27"/>
      <c r="I327" s="27"/>
      <c r="J327" s="33"/>
      <c r="K327" s="33"/>
      <c r="L327" s="66"/>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t="e">
        <v>#N/A</v>
      </c>
      <c r="AN327" s="27" t="e">
        <v>#N/A</v>
      </c>
      <c r="AO327" s="27"/>
    </row>
    <row r="328">
      <c r="A328" s="200">
        <v>44817.0251005787</v>
      </c>
      <c r="B328" s="19" t="s">
        <v>138</v>
      </c>
      <c r="C328" s="21" t="s">
        <v>311</v>
      </c>
      <c r="D328" s="62">
        <v>1.0</v>
      </c>
      <c r="E328" s="27">
        <v>1.0</v>
      </c>
      <c r="F328" s="27" t="s">
        <v>1275</v>
      </c>
      <c r="G328" s="201" t="s">
        <v>57</v>
      </c>
      <c r="H328" s="27" t="s">
        <v>116</v>
      </c>
      <c r="I328" s="27"/>
      <c r="J328" s="33">
        <v>11.5</v>
      </c>
      <c r="K328" s="33">
        <v>8.5</v>
      </c>
      <c r="L328" s="66">
        <v>65.5</v>
      </c>
      <c r="M328" s="27" t="s">
        <v>1276</v>
      </c>
      <c r="N328" s="27">
        <v>9.5</v>
      </c>
      <c r="O328" s="27"/>
      <c r="P328" s="27">
        <v>9.5</v>
      </c>
      <c r="Q328" s="27"/>
      <c r="R328" s="27">
        <v>9.5</v>
      </c>
      <c r="S328" s="27"/>
      <c r="T328" s="27">
        <v>8.5</v>
      </c>
      <c r="U328" s="27"/>
      <c r="V328" s="27">
        <v>9.5</v>
      </c>
      <c r="W328" s="27"/>
      <c r="X328" s="27">
        <v>10.0</v>
      </c>
      <c r="Y328" s="27"/>
      <c r="Z328" s="27">
        <v>9.5</v>
      </c>
      <c r="AA328" s="27"/>
      <c r="AB328" s="27">
        <v>9.0</v>
      </c>
      <c r="AC328" s="27"/>
      <c r="AD328" s="27">
        <v>8.5</v>
      </c>
      <c r="AE328" s="27"/>
      <c r="AF328" s="27">
        <v>8.5</v>
      </c>
      <c r="AG328" s="27"/>
      <c r="AH328" s="27">
        <v>69.0</v>
      </c>
      <c r="AI328" s="27">
        <v>51.0</v>
      </c>
      <c r="AJ328" s="27">
        <v>2.0</v>
      </c>
      <c r="AK328" s="27" t="b">
        <v>0</v>
      </c>
      <c r="AL328" s="27">
        <v>100.0</v>
      </c>
      <c r="AM328" s="27" t="s">
        <v>191</v>
      </c>
      <c r="AN328" s="27" t="s">
        <v>404</v>
      </c>
      <c r="AO328" s="27"/>
    </row>
    <row r="329">
      <c r="A329" s="200">
        <v>44817.0251005787</v>
      </c>
      <c r="B329" s="19" t="s">
        <v>138</v>
      </c>
      <c r="C329" s="21" t="s">
        <v>308</v>
      </c>
      <c r="D329" s="62">
        <v>2.0</v>
      </c>
      <c r="E329" s="27">
        <v>0.0</v>
      </c>
      <c r="F329" s="27" t="s">
        <v>1266</v>
      </c>
      <c r="G329" s="201" t="s">
        <v>57</v>
      </c>
      <c r="H329" s="27" t="s">
        <v>59</v>
      </c>
      <c r="I329" s="27"/>
      <c r="J329" s="33">
        <v>-21.5</v>
      </c>
      <c r="K329" s="33">
        <v>-24.0</v>
      </c>
      <c r="L329" s="66">
        <v>50.0</v>
      </c>
      <c r="M329" s="27" t="s">
        <v>1267</v>
      </c>
      <c r="N329" s="27">
        <v>-24.0</v>
      </c>
      <c r="O329" s="27"/>
      <c r="P329" s="27">
        <v>-24.0</v>
      </c>
      <c r="Q329" s="27"/>
      <c r="R329" s="27">
        <v>-24.0</v>
      </c>
      <c r="S329" s="27"/>
      <c r="T329" s="27">
        <v>-24.0</v>
      </c>
      <c r="U329" s="27"/>
      <c r="V329" s="27">
        <v>-24.0</v>
      </c>
      <c r="W329" s="27"/>
      <c r="X329" s="27">
        <v>-24.0</v>
      </c>
      <c r="Y329" s="27"/>
      <c r="Z329" s="27">
        <v>-23.0</v>
      </c>
      <c r="AA329" s="27"/>
      <c r="AB329" s="27">
        <v>-23.0</v>
      </c>
      <c r="AC329" s="27"/>
      <c r="AD329" s="27">
        <v>-23.0</v>
      </c>
      <c r="AE329" s="27"/>
      <c r="AF329" s="27">
        <v>-23.0</v>
      </c>
      <c r="AG329" s="27"/>
      <c r="AH329" s="27">
        <v>79.0</v>
      </c>
      <c r="AI329" s="27">
        <v>21.0</v>
      </c>
      <c r="AJ329" s="27">
        <v>2.0</v>
      </c>
      <c r="AK329" s="27" t="b">
        <v>0</v>
      </c>
      <c r="AL329" s="27">
        <v>100.0</v>
      </c>
      <c r="AM329" s="27" t="s">
        <v>186</v>
      </c>
      <c r="AN329" s="27" t="s">
        <v>404</v>
      </c>
      <c r="AO329" s="27"/>
    </row>
    <row r="330">
      <c r="A330" s="200">
        <v>44817.0251005787</v>
      </c>
      <c r="B330" s="19" t="s">
        <v>138</v>
      </c>
      <c r="C330" s="21" t="s">
        <v>298</v>
      </c>
      <c r="D330" s="62">
        <v>1.0</v>
      </c>
      <c r="E330" s="27">
        <v>1.0</v>
      </c>
      <c r="F330" s="27" t="s">
        <v>1217</v>
      </c>
      <c r="G330" s="201" t="s">
        <v>57</v>
      </c>
      <c r="H330" s="27" t="s">
        <v>53</v>
      </c>
      <c r="I330" s="27"/>
      <c r="J330" s="33">
        <v>6.0</v>
      </c>
      <c r="K330" s="33">
        <v>6.5</v>
      </c>
      <c r="L330" s="66">
        <v>63.0</v>
      </c>
      <c r="M330" s="27" t="s">
        <v>1218</v>
      </c>
      <c r="N330" s="27">
        <v>6.5</v>
      </c>
      <c r="O330" s="27"/>
      <c r="P330" s="27">
        <v>6.5</v>
      </c>
      <c r="Q330" s="27"/>
      <c r="R330" s="27">
        <v>6.0</v>
      </c>
      <c r="S330" s="27"/>
      <c r="T330" s="27">
        <v>6.5</v>
      </c>
      <c r="U330" s="27"/>
      <c r="V330" s="27">
        <v>6.5</v>
      </c>
      <c r="W330" s="27"/>
      <c r="X330" s="27">
        <v>6.5</v>
      </c>
      <c r="Y330" s="27"/>
      <c r="Z330" s="27">
        <v>6.0</v>
      </c>
      <c r="AA330" s="27"/>
      <c r="AB330" s="27">
        <v>6.5</v>
      </c>
      <c r="AC330" s="27"/>
      <c r="AD330" s="27">
        <v>6.5</v>
      </c>
      <c r="AE330" s="27"/>
      <c r="AF330" s="27"/>
      <c r="AG330" s="27"/>
      <c r="AH330" s="27">
        <v>69.0</v>
      </c>
      <c r="AI330" s="27">
        <v>65.0</v>
      </c>
      <c r="AJ330" s="27">
        <v>2.0</v>
      </c>
      <c r="AK330" s="27" t="b">
        <v>0</v>
      </c>
      <c r="AL330" s="27">
        <v>100.0</v>
      </c>
      <c r="AM330" s="27" t="s">
        <v>190</v>
      </c>
      <c r="AN330" s="27" t="s">
        <v>405</v>
      </c>
      <c r="AO330" s="27"/>
    </row>
    <row r="331">
      <c r="A331" s="200">
        <v>44817.0251005787</v>
      </c>
      <c r="B331" s="19" t="s">
        <v>138</v>
      </c>
      <c r="C331" s="21" t="s">
        <v>304</v>
      </c>
      <c r="D331" s="62">
        <v>1.0</v>
      </c>
      <c r="E331" s="27">
        <v>2.0</v>
      </c>
      <c r="F331" s="27" t="s">
        <v>1277</v>
      </c>
      <c r="G331" s="201" t="s">
        <v>57</v>
      </c>
      <c r="H331" s="27"/>
      <c r="I331" s="27"/>
      <c r="J331" s="33">
        <v>-4.5</v>
      </c>
      <c r="K331" s="33">
        <v>-7.0</v>
      </c>
      <c r="L331" s="66">
        <v>58.0</v>
      </c>
      <c r="M331" s="27" t="s">
        <v>1278</v>
      </c>
      <c r="N331" s="27">
        <v>-7.0</v>
      </c>
      <c r="O331" s="27"/>
      <c r="P331" s="27">
        <v>-6.5</v>
      </c>
      <c r="Q331" s="27"/>
      <c r="R331" s="27">
        <v>-6.5</v>
      </c>
      <c r="S331" s="27"/>
      <c r="T331" s="27">
        <v>-7.0</v>
      </c>
      <c r="U331" s="27"/>
      <c r="V331" s="27">
        <v>-6.5</v>
      </c>
      <c r="W331" s="27"/>
      <c r="X331" s="27">
        <v>-6.5</v>
      </c>
      <c r="Y331" s="27"/>
      <c r="Z331" s="27">
        <v>-7.0</v>
      </c>
      <c r="AA331" s="27"/>
      <c r="AB331" s="27">
        <v>-7.0</v>
      </c>
      <c r="AC331" s="27"/>
      <c r="AD331" s="27"/>
      <c r="AE331" s="27"/>
      <c r="AF331" s="27"/>
      <c r="AG331" s="27"/>
      <c r="AH331" s="27">
        <v>38.0</v>
      </c>
      <c r="AI331" s="27">
        <v>110.0</v>
      </c>
      <c r="AJ331" s="27">
        <v>2.0</v>
      </c>
      <c r="AK331" s="27" t="b">
        <v>0</v>
      </c>
      <c r="AL331" s="27">
        <v>100.0</v>
      </c>
      <c r="AM331" s="27" t="s">
        <v>129</v>
      </c>
      <c r="AN331" s="27" t="s">
        <v>405</v>
      </c>
      <c r="AO331" s="27"/>
    </row>
    <row r="332">
      <c r="A332" s="200">
        <v>44817.0251005787</v>
      </c>
      <c r="B332" s="19" t="s">
        <v>138</v>
      </c>
      <c r="C332" s="21" t="s">
        <v>294</v>
      </c>
      <c r="D332" s="62">
        <v>2.0</v>
      </c>
      <c r="E332" s="27">
        <v>0.0</v>
      </c>
      <c r="F332" s="27" t="s">
        <v>1279</v>
      </c>
      <c r="G332" s="201" t="s">
        <v>57</v>
      </c>
      <c r="H332" s="27" t="s">
        <v>141</v>
      </c>
      <c r="I332" s="27"/>
      <c r="J332" s="33">
        <v>-34.5</v>
      </c>
      <c r="K332" s="33">
        <v>-34.5</v>
      </c>
      <c r="L332" s="66">
        <v>56.5</v>
      </c>
      <c r="M332" s="27" t="s">
        <v>1115</v>
      </c>
      <c r="N332" s="27">
        <v>-34.5</v>
      </c>
      <c r="O332" s="27"/>
      <c r="P332" s="27">
        <v>-35.0</v>
      </c>
      <c r="Q332" s="27"/>
      <c r="R332" s="27">
        <v>-34.5</v>
      </c>
      <c r="S332" s="27"/>
      <c r="T332" s="27">
        <v>-34.5</v>
      </c>
      <c r="U332" s="27"/>
      <c r="V332" s="27">
        <v>-34.5</v>
      </c>
      <c r="W332" s="27"/>
      <c r="X332" s="27">
        <v>-34.5</v>
      </c>
      <c r="Y332" s="27"/>
      <c r="Z332" s="27">
        <v>-34.5</v>
      </c>
      <c r="AA332" s="27"/>
      <c r="AB332" s="27">
        <v>-34.5</v>
      </c>
      <c r="AC332" s="27"/>
      <c r="AD332" s="27">
        <v>-34.5</v>
      </c>
      <c r="AE332" s="27"/>
      <c r="AF332" s="27"/>
      <c r="AG332" s="27"/>
      <c r="AH332" s="27">
        <v>87.0</v>
      </c>
      <c r="AI332" s="27">
        <v>13.0</v>
      </c>
      <c r="AJ332" s="27">
        <v>2.0</v>
      </c>
      <c r="AK332" s="27" t="b">
        <v>1</v>
      </c>
      <c r="AL332" s="27">
        <v>100.0</v>
      </c>
      <c r="AM332" s="27" t="s">
        <v>188</v>
      </c>
      <c r="AN332" s="27" t="s">
        <v>404</v>
      </c>
      <c r="AO332" s="27"/>
    </row>
    <row r="333">
      <c r="A333" s="200">
        <v>44817.0251005787</v>
      </c>
      <c r="B333" s="19" t="s">
        <v>138</v>
      </c>
      <c r="C333" s="21" t="s">
        <v>282</v>
      </c>
      <c r="D333" s="62">
        <v>1.0</v>
      </c>
      <c r="E333" s="27">
        <v>1.0</v>
      </c>
      <c r="F333" s="27" t="s">
        <v>1280</v>
      </c>
      <c r="G333" s="201" t="s">
        <v>57</v>
      </c>
      <c r="H333" s="27"/>
      <c r="I333" s="27"/>
      <c r="J333" s="33">
        <v>-28.0</v>
      </c>
      <c r="K333" s="33">
        <v>-29.0</v>
      </c>
      <c r="L333" s="66">
        <v>50.0</v>
      </c>
      <c r="M333" s="27" t="s">
        <v>1084</v>
      </c>
      <c r="N333" s="27">
        <v>-29.5</v>
      </c>
      <c r="O333" s="27"/>
      <c r="P333" s="27">
        <v>-30.0</v>
      </c>
      <c r="Q333" s="27"/>
      <c r="R333" s="27">
        <v>-29.0</v>
      </c>
      <c r="S333" s="27"/>
      <c r="T333" s="27">
        <v>-29.0</v>
      </c>
      <c r="U333" s="27"/>
      <c r="V333" s="27">
        <v>-28.5</v>
      </c>
      <c r="W333" s="27"/>
      <c r="X333" s="27">
        <v>-29.5</v>
      </c>
      <c r="Y333" s="27"/>
      <c r="Z333" s="27">
        <v>-29.0</v>
      </c>
      <c r="AA333" s="27"/>
      <c r="AB333" s="27">
        <v>-29.0</v>
      </c>
      <c r="AC333" s="27"/>
      <c r="AD333" s="27"/>
      <c r="AE333" s="27"/>
      <c r="AF333" s="27"/>
      <c r="AG333" s="27"/>
      <c r="AH333" s="27">
        <v>87.0</v>
      </c>
      <c r="AI333" s="27">
        <v>41.0</v>
      </c>
      <c r="AJ333" s="27">
        <v>2.0</v>
      </c>
      <c r="AK333" s="27" t="b">
        <v>0</v>
      </c>
      <c r="AL333" s="27">
        <v>100.0</v>
      </c>
      <c r="AM333" s="27" t="s">
        <v>389</v>
      </c>
      <c r="AN333" s="27" t="s">
        <v>405</v>
      </c>
      <c r="AO333" s="27"/>
    </row>
    <row r="334">
      <c r="A334" s="200">
        <v>44817.0251005787</v>
      </c>
      <c r="B334" s="19" t="s">
        <v>138</v>
      </c>
      <c r="C334" s="21" t="s">
        <v>302</v>
      </c>
      <c r="D334" s="62">
        <v>2.0</v>
      </c>
      <c r="E334" s="27">
        <v>0.0</v>
      </c>
      <c r="F334" s="27" t="s">
        <v>1273</v>
      </c>
      <c r="G334" s="201" t="s">
        <v>57</v>
      </c>
      <c r="H334" s="27" t="s">
        <v>59</v>
      </c>
      <c r="I334" s="27"/>
      <c r="J334" s="33">
        <v>6.5</v>
      </c>
      <c r="K334" s="33">
        <v>6.0</v>
      </c>
      <c r="L334" s="66">
        <v>57.5</v>
      </c>
      <c r="M334" s="27" t="s">
        <v>1274</v>
      </c>
      <c r="N334" s="27">
        <v>5.5</v>
      </c>
      <c r="O334" s="27"/>
      <c r="P334" s="27">
        <v>5.5</v>
      </c>
      <c r="Q334" s="27"/>
      <c r="R334" s="27">
        <v>6.0</v>
      </c>
      <c r="S334" s="27"/>
      <c r="T334" s="27">
        <v>6.0</v>
      </c>
      <c r="U334" s="27"/>
      <c r="V334" s="27">
        <v>5.5</v>
      </c>
      <c r="W334" s="27"/>
      <c r="X334" s="27">
        <v>5.5</v>
      </c>
      <c r="Y334" s="27"/>
      <c r="Z334" s="27">
        <v>5.5</v>
      </c>
      <c r="AA334" s="27"/>
      <c r="AB334" s="27">
        <v>6.0</v>
      </c>
      <c r="AC334" s="27"/>
      <c r="AD334" s="27">
        <v>6.0</v>
      </c>
      <c r="AE334" s="27"/>
      <c r="AF334" s="27"/>
      <c r="AG334" s="27"/>
      <c r="AH334" s="27">
        <v>86.0</v>
      </c>
      <c r="AI334" s="27">
        <v>31.0</v>
      </c>
      <c r="AJ334" s="27">
        <v>2.0</v>
      </c>
      <c r="AK334" s="27" t="b">
        <v>1</v>
      </c>
      <c r="AL334" s="27">
        <v>100.0</v>
      </c>
      <c r="AM334" s="27" t="s">
        <v>193</v>
      </c>
      <c r="AN334" s="27" t="s">
        <v>405</v>
      </c>
      <c r="AO334" s="27"/>
    </row>
    <row r="335">
      <c r="A335" s="200">
        <v>44817.0251005787</v>
      </c>
      <c r="B335" s="19" t="s">
        <v>138</v>
      </c>
      <c r="C335" s="21" t="s">
        <v>303</v>
      </c>
      <c r="D335" s="62">
        <v>2.0</v>
      </c>
      <c r="E335" s="27">
        <v>0.0</v>
      </c>
      <c r="F335" s="27" t="s">
        <v>1281</v>
      </c>
      <c r="G335" s="201" t="s">
        <v>57</v>
      </c>
      <c r="H335" s="27" t="s">
        <v>154</v>
      </c>
      <c r="I335" s="27"/>
      <c r="J335" s="33">
        <v>-9.5</v>
      </c>
      <c r="K335" s="33">
        <v>-9.5</v>
      </c>
      <c r="L335" s="66">
        <v>55.0</v>
      </c>
      <c r="M335" s="27" t="s">
        <v>1282</v>
      </c>
      <c r="N335" s="27">
        <v>-9.5</v>
      </c>
      <c r="O335" s="27"/>
      <c r="P335" s="27">
        <v>-9.0</v>
      </c>
      <c r="Q335" s="27"/>
      <c r="R335" s="27">
        <v>-9.0</v>
      </c>
      <c r="S335" s="27"/>
      <c r="T335" s="27">
        <v>-9.5</v>
      </c>
      <c r="U335" s="27"/>
      <c r="V335" s="27">
        <v>-9.0</v>
      </c>
      <c r="W335" s="27"/>
      <c r="X335" s="27">
        <v>-9.0</v>
      </c>
      <c r="Y335" s="27"/>
      <c r="Z335" s="27">
        <v>-9.5</v>
      </c>
      <c r="AA335" s="27"/>
      <c r="AB335" s="27">
        <v>-9.0</v>
      </c>
      <c r="AC335" s="27"/>
      <c r="AD335" s="27">
        <v>-9.5</v>
      </c>
      <c r="AE335" s="27"/>
      <c r="AF335" s="27">
        <v>-9.5</v>
      </c>
      <c r="AG335" s="27"/>
      <c r="AH335" s="27">
        <v>75.0</v>
      </c>
      <c r="AI335" s="27">
        <v>54.0</v>
      </c>
      <c r="AJ335" s="27">
        <v>2.0</v>
      </c>
      <c r="AK335" s="27" t="b">
        <v>0</v>
      </c>
      <c r="AL335" s="27">
        <v>100.0</v>
      </c>
      <c r="AM335" s="27" t="s">
        <v>192</v>
      </c>
      <c r="AN335" s="27" t="s">
        <v>404</v>
      </c>
      <c r="AO335" s="27"/>
    </row>
    <row r="336">
      <c r="A336" s="200">
        <v>44817.0251005787</v>
      </c>
      <c r="B336" s="19" t="s">
        <v>138</v>
      </c>
      <c r="C336" s="21" t="s">
        <v>309</v>
      </c>
      <c r="D336" s="62">
        <v>2.0</v>
      </c>
      <c r="E336" s="27">
        <v>1.0</v>
      </c>
      <c r="F336" s="27" t="s">
        <v>1254</v>
      </c>
      <c r="G336" s="201" t="s">
        <v>57</v>
      </c>
      <c r="H336" s="27" t="s">
        <v>178</v>
      </c>
      <c r="I336" s="27"/>
      <c r="J336" s="33">
        <v>6.0</v>
      </c>
      <c r="K336" s="33">
        <v>13.5</v>
      </c>
      <c r="L336" s="66">
        <v>65.0</v>
      </c>
      <c r="M336" s="27" t="s">
        <v>1255</v>
      </c>
      <c r="N336" s="27">
        <v>13.5</v>
      </c>
      <c r="O336" s="27"/>
      <c r="P336" s="27">
        <v>13.5</v>
      </c>
      <c r="Q336" s="27"/>
      <c r="R336" s="27">
        <v>13.5</v>
      </c>
      <c r="S336" s="27"/>
      <c r="T336" s="27">
        <v>13.5</v>
      </c>
      <c r="U336" s="27"/>
      <c r="V336" s="27">
        <v>13.5</v>
      </c>
      <c r="W336" s="27"/>
      <c r="X336" s="27">
        <v>13.5</v>
      </c>
      <c r="Y336" s="27"/>
      <c r="Z336" s="27">
        <v>13.5</v>
      </c>
      <c r="AA336" s="27"/>
      <c r="AB336" s="27">
        <v>13.0</v>
      </c>
      <c r="AC336" s="27"/>
      <c r="AD336" s="27">
        <v>13.5</v>
      </c>
      <c r="AE336" s="27"/>
      <c r="AF336" s="27">
        <v>13.5</v>
      </c>
      <c r="AG336" s="27"/>
      <c r="AH336" s="27">
        <v>130.0</v>
      </c>
      <c r="AI336" s="27">
        <v>86.0</v>
      </c>
      <c r="AJ336" s="27">
        <v>2.0</v>
      </c>
      <c r="AK336" s="27" t="b">
        <v>0</v>
      </c>
      <c r="AL336" s="27">
        <v>100.0</v>
      </c>
      <c r="AM336" s="27" t="s">
        <v>187</v>
      </c>
      <c r="AN336" s="27" t="s">
        <v>404</v>
      </c>
      <c r="AO336" s="27"/>
    </row>
    <row r="337">
      <c r="A337" s="200">
        <v>44817.0251005787</v>
      </c>
      <c r="B337" s="19" t="s">
        <v>138</v>
      </c>
      <c r="C337" s="21" t="s">
        <v>296</v>
      </c>
      <c r="D337" s="62">
        <v>1.0</v>
      </c>
      <c r="E337" s="27">
        <v>1.0</v>
      </c>
      <c r="F337" s="27" t="s">
        <v>1283</v>
      </c>
      <c r="G337" s="201" t="s">
        <v>183</v>
      </c>
      <c r="H337" s="27" t="s">
        <v>166</v>
      </c>
      <c r="I337" s="27"/>
      <c r="J337" s="33">
        <v>-1.0</v>
      </c>
      <c r="K337" s="33">
        <v>-2.5</v>
      </c>
      <c r="L337" s="66">
        <v>53.5</v>
      </c>
      <c r="M337" s="27" t="s">
        <v>1284</v>
      </c>
      <c r="N337" s="27">
        <v>-2.5</v>
      </c>
      <c r="O337" s="27"/>
      <c r="P337" s="27">
        <v>-2.0</v>
      </c>
      <c r="Q337" s="27"/>
      <c r="R337" s="27">
        <v>-2.0</v>
      </c>
      <c r="S337" s="27"/>
      <c r="T337" s="27">
        <v>-2.5</v>
      </c>
      <c r="U337" s="27"/>
      <c r="V337" s="27">
        <v>-2.0</v>
      </c>
      <c r="W337" s="27"/>
      <c r="X337" s="27">
        <v>-2.0</v>
      </c>
      <c r="Y337" s="27"/>
      <c r="Z337" s="27">
        <v>-2.0</v>
      </c>
      <c r="AA337" s="27"/>
      <c r="AB337" s="27">
        <v>-3.0</v>
      </c>
      <c r="AC337" s="27"/>
      <c r="AD337" s="27">
        <v>-2.5</v>
      </c>
      <c r="AE337" s="27"/>
      <c r="AF337" s="27">
        <v>-2.5</v>
      </c>
      <c r="AG337" s="27"/>
      <c r="AH337" s="27">
        <v>76.0</v>
      </c>
      <c r="AI337" s="27">
        <v>75.0</v>
      </c>
      <c r="AJ337" s="27">
        <v>2.0</v>
      </c>
      <c r="AK337" s="27" t="b">
        <v>1</v>
      </c>
      <c r="AL337" s="27">
        <v>100.0</v>
      </c>
      <c r="AM337" s="27" t="s">
        <v>189</v>
      </c>
      <c r="AN337" s="27" t="s">
        <v>405</v>
      </c>
      <c r="AO337" s="27"/>
    </row>
    <row r="338">
      <c r="A338" s="200">
        <v>44817.0251005787</v>
      </c>
      <c r="B338" s="19"/>
      <c r="C338" s="21"/>
      <c r="D338" s="62"/>
      <c r="E338" s="27"/>
      <c r="F338" s="27"/>
      <c r="G338" s="201"/>
      <c r="H338" s="27"/>
      <c r="I338" s="27"/>
      <c r="J338" s="33"/>
      <c r="K338" s="33"/>
      <c r="L338" s="66"/>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t="e">
        <v>#N/A</v>
      </c>
      <c r="AN338" s="27" t="e">
        <v>#N/A</v>
      </c>
      <c r="AO338" s="27"/>
    </row>
    <row r="339">
      <c r="A339" s="200">
        <v>44817.0251005787</v>
      </c>
      <c r="B339" s="19" t="s">
        <v>141</v>
      </c>
      <c r="C339" s="21" t="s">
        <v>318</v>
      </c>
      <c r="D339" s="62">
        <v>1.0</v>
      </c>
      <c r="E339" s="27">
        <v>1.0</v>
      </c>
      <c r="F339" s="27" t="s">
        <v>1285</v>
      </c>
      <c r="G339" s="201" t="s">
        <v>57</v>
      </c>
      <c r="H339" s="27"/>
      <c r="I339" s="27"/>
      <c r="J339" s="33">
        <v>-37.0</v>
      </c>
      <c r="K339" s="33">
        <v>-35.5</v>
      </c>
      <c r="L339" s="66">
        <v>54.0</v>
      </c>
      <c r="M339" s="27" t="s">
        <v>1286</v>
      </c>
      <c r="N339" s="27">
        <v>-37.5</v>
      </c>
      <c r="O339" s="27"/>
      <c r="P339" s="27">
        <v>-37.5</v>
      </c>
      <c r="Q339" s="27"/>
      <c r="R339" s="27">
        <v>-36.0</v>
      </c>
      <c r="S339" s="27"/>
      <c r="T339" s="27">
        <v>-35.5</v>
      </c>
      <c r="U339" s="27"/>
      <c r="V339" s="27">
        <v>-37.5</v>
      </c>
      <c r="W339" s="27"/>
      <c r="X339" s="27">
        <v>-37.5</v>
      </c>
      <c r="Y339" s="27"/>
      <c r="Z339" s="27">
        <v>-35.5</v>
      </c>
      <c r="AA339" s="27"/>
      <c r="AB339" s="27">
        <v>-35.5</v>
      </c>
      <c r="AC339" s="27"/>
      <c r="AD339" s="27"/>
      <c r="AE339" s="27"/>
      <c r="AF339" s="27"/>
      <c r="AG339" s="27"/>
      <c r="AH339" s="27">
        <v>48.0</v>
      </c>
      <c r="AI339" s="27">
        <v>45.0</v>
      </c>
      <c r="AJ339" s="27">
        <v>2.0</v>
      </c>
      <c r="AK339" s="27" t="b">
        <v>0</v>
      </c>
      <c r="AL339" s="27">
        <v>100.0</v>
      </c>
      <c r="AM339" s="27" t="s">
        <v>193</v>
      </c>
      <c r="AN339" s="27" t="s">
        <v>405</v>
      </c>
      <c r="AO339" s="27"/>
    </row>
    <row r="340">
      <c r="A340" s="200">
        <v>44817.0251005787</v>
      </c>
      <c r="B340" s="19" t="s">
        <v>141</v>
      </c>
      <c r="C340" s="21" t="s">
        <v>365</v>
      </c>
      <c r="D340" s="62">
        <v>1.0</v>
      </c>
      <c r="E340" s="27">
        <v>2.0</v>
      </c>
      <c r="F340" s="27" t="s">
        <v>1249</v>
      </c>
      <c r="G340" s="201" t="s">
        <v>57</v>
      </c>
      <c r="H340" s="27" t="s">
        <v>178</v>
      </c>
      <c r="I340" s="27"/>
      <c r="J340" s="33">
        <v>-21.0</v>
      </c>
      <c r="K340" s="33">
        <v>-23.0</v>
      </c>
      <c r="L340" s="66">
        <v>62.5</v>
      </c>
      <c r="M340" s="27" t="s">
        <v>1250</v>
      </c>
      <c r="N340" s="27">
        <v>-23.5</v>
      </c>
      <c r="O340" s="27"/>
      <c r="P340" s="27">
        <v>-23.5</v>
      </c>
      <c r="Q340" s="27"/>
      <c r="R340" s="27">
        <v>-24.0</v>
      </c>
      <c r="S340" s="27"/>
      <c r="T340" s="27">
        <v>-23.0</v>
      </c>
      <c r="U340" s="27"/>
      <c r="V340" s="27">
        <v>-23.5</v>
      </c>
      <c r="W340" s="27"/>
      <c r="X340" s="27">
        <v>-23.5</v>
      </c>
      <c r="Y340" s="27"/>
      <c r="Z340" s="27">
        <v>-23.5</v>
      </c>
      <c r="AA340" s="27"/>
      <c r="AB340" s="27">
        <v>-23.0</v>
      </c>
      <c r="AC340" s="27"/>
      <c r="AD340" s="27">
        <v>-23.0</v>
      </c>
      <c r="AE340" s="27"/>
      <c r="AF340" s="27">
        <v>-23.0</v>
      </c>
      <c r="AG340" s="27"/>
      <c r="AH340" s="27">
        <v>108.0</v>
      </c>
      <c r="AI340" s="27">
        <v>93.0</v>
      </c>
      <c r="AJ340" s="27">
        <v>2.0</v>
      </c>
      <c r="AK340" s="27" t="b">
        <v>1</v>
      </c>
      <c r="AL340" s="27">
        <v>100.0</v>
      </c>
      <c r="AM340" s="27" t="s">
        <v>188</v>
      </c>
      <c r="AN340" s="27" t="s">
        <v>404</v>
      </c>
      <c r="AO340" s="27"/>
    </row>
    <row r="341">
      <c r="A341" s="200">
        <v>44817.0251005787</v>
      </c>
      <c r="B341" s="19" t="s">
        <v>141</v>
      </c>
      <c r="C341" s="21" t="s">
        <v>349</v>
      </c>
      <c r="D341" s="62">
        <v>1.0</v>
      </c>
      <c r="E341" s="27">
        <v>1.0</v>
      </c>
      <c r="F341" s="27" t="s">
        <v>1287</v>
      </c>
      <c r="G341" s="201" t="s">
        <v>57</v>
      </c>
      <c r="H341" s="27" t="s">
        <v>166</v>
      </c>
      <c r="I341" s="27"/>
      <c r="J341" s="33">
        <v>22.0</v>
      </c>
      <c r="K341" s="33">
        <v>24.0</v>
      </c>
      <c r="L341" s="66">
        <v>49.0</v>
      </c>
      <c r="M341" s="27" t="s">
        <v>1288</v>
      </c>
      <c r="N341" s="27">
        <v>24.0</v>
      </c>
      <c r="O341" s="27"/>
      <c r="P341" s="27">
        <v>24.0</v>
      </c>
      <c r="Q341" s="27"/>
      <c r="R341" s="27">
        <v>24.0</v>
      </c>
      <c r="S341" s="27"/>
      <c r="T341" s="27">
        <v>24.0</v>
      </c>
      <c r="U341" s="27"/>
      <c r="V341" s="27">
        <v>24.0</v>
      </c>
      <c r="W341" s="27"/>
      <c r="X341" s="27">
        <v>24.0</v>
      </c>
      <c r="Y341" s="27"/>
      <c r="Z341" s="27">
        <v>24.0</v>
      </c>
      <c r="AA341" s="27"/>
      <c r="AB341" s="27">
        <v>24.0</v>
      </c>
      <c r="AC341" s="27"/>
      <c r="AD341" s="27">
        <v>24.0</v>
      </c>
      <c r="AE341" s="27"/>
      <c r="AF341" s="27">
        <v>24.0</v>
      </c>
      <c r="AG341" s="27"/>
      <c r="AH341" s="27">
        <v>37.0</v>
      </c>
      <c r="AI341" s="27">
        <v>41.0</v>
      </c>
      <c r="AJ341" s="27">
        <v>2.0</v>
      </c>
      <c r="AK341" s="27" t="b">
        <v>0</v>
      </c>
      <c r="AL341" s="27">
        <v>100.0</v>
      </c>
      <c r="AM341" s="27" t="s">
        <v>129</v>
      </c>
      <c r="AN341" s="27" t="s">
        <v>405</v>
      </c>
      <c r="AO341" s="27"/>
    </row>
    <row r="342">
      <c r="A342" s="200">
        <v>44817.0251005787</v>
      </c>
      <c r="B342" s="19" t="s">
        <v>141</v>
      </c>
      <c r="C342" s="21" t="s">
        <v>314</v>
      </c>
      <c r="D342" s="62">
        <v>2.0</v>
      </c>
      <c r="E342" s="27">
        <v>0.0</v>
      </c>
      <c r="F342" s="27" t="s">
        <v>1289</v>
      </c>
      <c r="G342" s="201" t="s">
        <v>57</v>
      </c>
      <c r="H342" s="27"/>
      <c r="I342" s="27"/>
      <c r="J342" s="33">
        <v>-44.0</v>
      </c>
      <c r="K342" s="33">
        <v>-50.0</v>
      </c>
      <c r="L342" s="66">
        <v>64.0</v>
      </c>
      <c r="M342" s="27" t="s">
        <v>1240</v>
      </c>
      <c r="N342" s="27">
        <v>-48.5</v>
      </c>
      <c r="O342" s="27"/>
      <c r="P342" s="27">
        <v>-48.5</v>
      </c>
      <c r="Q342" s="27"/>
      <c r="R342" s="27">
        <v>-48.0</v>
      </c>
      <c r="S342" s="27"/>
      <c r="T342" s="27">
        <v>-50.0</v>
      </c>
      <c r="U342" s="27"/>
      <c r="V342" s="27">
        <v>-48.5</v>
      </c>
      <c r="W342" s="27"/>
      <c r="X342" s="27">
        <v>-48.5</v>
      </c>
      <c r="Y342" s="27"/>
      <c r="Z342" s="27">
        <v>-50.0</v>
      </c>
      <c r="AA342" s="27"/>
      <c r="AB342" s="27">
        <v>-50.0</v>
      </c>
      <c r="AC342" s="27"/>
      <c r="AD342" s="27"/>
      <c r="AE342" s="27"/>
      <c r="AF342" s="27"/>
      <c r="AG342" s="27"/>
      <c r="AH342" s="27">
        <v>93.0</v>
      </c>
      <c r="AI342" s="27">
        <v>26.0</v>
      </c>
      <c r="AJ342" s="27">
        <v>2.0</v>
      </c>
      <c r="AK342" s="27" t="b">
        <v>0</v>
      </c>
      <c r="AL342" s="27">
        <v>100.0</v>
      </c>
      <c r="AM342" s="27" t="s">
        <v>389</v>
      </c>
      <c r="AN342" s="27" t="s">
        <v>405</v>
      </c>
      <c r="AO342" s="27"/>
    </row>
    <row r="343">
      <c r="A343" s="200">
        <v>44817.0251005787</v>
      </c>
      <c r="B343" s="19" t="s">
        <v>141</v>
      </c>
      <c r="C343" s="21" t="s">
        <v>323</v>
      </c>
      <c r="D343" s="62">
        <v>1.0</v>
      </c>
      <c r="E343" s="27">
        <v>1.0</v>
      </c>
      <c r="F343" s="27" t="s">
        <v>1279</v>
      </c>
      <c r="G343" s="201" t="s">
        <v>57</v>
      </c>
      <c r="H343" s="27" t="s">
        <v>138</v>
      </c>
      <c r="I343" s="27"/>
      <c r="J343" s="33">
        <v>34.5</v>
      </c>
      <c r="K343" s="33">
        <v>34.5</v>
      </c>
      <c r="L343" s="66">
        <v>56.5</v>
      </c>
      <c r="M343" s="27" t="s">
        <v>1115</v>
      </c>
      <c r="N343" s="27">
        <v>34.5</v>
      </c>
      <c r="O343" s="27"/>
      <c r="P343" s="27">
        <v>35.0</v>
      </c>
      <c r="Q343" s="27"/>
      <c r="R343" s="27">
        <v>34.5</v>
      </c>
      <c r="S343" s="27"/>
      <c r="T343" s="27">
        <v>34.5</v>
      </c>
      <c r="U343" s="27"/>
      <c r="V343" s="27">
        <v>34.5</v>
      </c>
      <c r="W343" s="27"/>
      <c r="X343" s="27">
        <v>34.5</v>
      </c>
      <c r="Y343" s="27"/>
      <c r="Z343" s="27">
        <v>34.5</v>
      </c>
      <c r="AA343" s="27"/>
      <c r="AB343" s="27">
        <v>34.5</v>
      </c>
      <c r="AC343" s="27"/>
      <c r="AD343" s="27">
        <v>34.5</v>
      </c>
      <c r="AE343" s="27"/>
      <c r="AF343" s="27"/>
      <c r="AG343" s="27"/>
      <c r="AH343" s="27">
        <v>30.0</v>
      </c>
      <c r="AI343" s="27">
        <v>75.0</v>
      </c>
      <c r="AJ343" s="27">
        <v>2.0</v>
      </c>
      <c r="AK343" s="27" t="b">
        <v>0</v>
      </c>
      <c r="AL343" s="27">
        <v>100.0</v>
      </c>
      <c r="AM343" s="27" t="s">
        <v>190</v>
      </c>
      <c r="AN343" s="27" t="s">
        <v>405</v>
      </c>
      <c r="AO343" s="27"/>
    </row>
    <row r="344">
      <c r="A344" s="200">
        <v>44817.0251005787</v>
      </c>
      <c r="B344" s="19" t="s">
        <v>141</v>
      </c>
      <c r="C344" s="21" t="s">
        <v>386</v>
      </c>
      <c r="D344" s="62">
        <v>2.0</v>
      </c>
      <c r="E344" s="27">
        <v>0.0</v>
      </c>
      <c r="F344" s="27" t="s">
        <v>1290</v>
      </c>
      <c r="G344" s="201" t="s">
        <v>57</v>
      </c>
      <c r="H344" s="27"/>
      <c r="I344" s="27"/>
      <c r="J344" s="33">
        <v>-50.5</v>
      </c>
      <c r="K344" s="33">
        <v>-48.0</v>
      </c>
      <c r="L344" s="66">
        <v>55.5</v>
      </c>
      <c r="M344" s="27" t="s">
        <v>1091</v>
      </c>
      <c r="N344" s="27">
        <v>-48.0</v>
      </c>
      <c r="O344" s="27"/>
      <c r="P344" s="27">
        <v>-48.5</v>
      </c>
      <c r="Q344" s="27"/>
      <c r="R344" s="27"/>
      <c r="S344" s="27"/>
      <c r="T344" s="27"/>
      <c r="U344" s="27"/>
      <c r="V344" s="27"/>
      <c r="W344" s="27"/>
      <c r="X344" s="27"/>
      <c r="Y344" s="27"/>
      <c r="Z344" s="27"/>
      <c r="AA344" s="27"/>
      <c r="AB344" s="27"/>
      <c r="AC344" s="27"/>
      <c r="AD344" s="27"/>
      <c r="AE344" s="27"/>
      <c r="AF344" s="27"/>
      <c r="AG344" s="27"/>
      <c r="AH344" s="27">
        <v>88.0</v>
      </c>
      <c r="AI344" s="27">
        <v>28.0</v>
      </c>
      <c r="AJ344" s="27">
        <v>2.0</v>
      </c>
      <c r="AK344" s="27" t="b">
        <v>0</v>
      </c>
      <c r="AL344" s="27">
        <v>100.0</v>
      </c>
      <c r="AM344" s="27" t="s">
        <v>191</v>
      </c>
      <c r="AN344" s="27" t="s">
        <v>404</v>
      </c>
      <c r="AO344" s="27"/>
    </row>
    <row r="345">
      <c r="A345" s="200">
        <v>44817.0251005787</v>
      </c>
      <c r="B345" s="19" t="s">
        <v>141</v>
      </c>
      <c r="C345" s="21" t="s">
        <v>317</v>
      </c>
      <c r="D345" s="62">
        <v>0.0</v>
      </c>
      <c r="E345" s="27">
        <v>3.0</v>
      </c>
      <c r="F345" s="27" t="s">
        <v>1291</v>
      </c>
      <c r="G345" s="201" t="s">
        <v>57</v>
      </c>
      <c r="H345" s="27" t="s">
        <v>103</v>
      </c>
      <c r="I345" s="27"/>
      <c r="J345" s="33">
        <v>25.5</v>
      </c>
      <c r="K345" s="33">
        <v>28.0</v>
      </c>
      <c r="L345" s="66">
        <v>65.0</v>
      </c>
      <c r="M345" s="27" t="s">
        <v>1292</v>
      </c>
      <c r="N345" s="27">
        <v>28.5</v>
      </c>
      <c r="O345" s="27"/>
      <c r="P345" s="27">
        <v>28.0</v>
      </c>
      <c r="Q345" s="27"/>
      <c r="R345" s="27">
        <v>28.0</v>
      </c>
      <c r="S345" s="27"/>
      <c r="T345" s="27">
        <v>28.0</v>
      </c>
      <c r="U345" s="27"/>
      <c r="V345" s="27">
        <v>28.0</v>
      </c>
      <c r="W345" s="27"/>
      <c r="X345" s="27">
        <v>28.0</v>
      </c>
      <c r="Y345" s="27"/>
      <c r="Z345" s="27">
        <v>28.0</v>
      </c>
      <c r="AA345" s="27"/>
      <c r="AB345" s="27">
        <v>28.0</v>
      </c>
      <c r="AC345" s="27"/>
      <c r="AD345" s="27">
        <v>28.0</v>
      </c>
      <c r="AE345" s="27"/>
      <c r="AF345" s="27">
        <v>28.0</v>
      </c>
      <c r="AG345" s="27"/>
      <c r="AH345" s="27">
        <v>58.0</v>
      </c>
      <c r="AI345" s="27">
        <v>140.0</v>
      </c>
      <c r="AJ345" s="27">
        <v>2.0</v>
      </c>
      <c r="AK345" s="27" t="b">
        <v>0</v>
      </c>
      <c r="AL345" s="27">
        <v>100.0</v>
      </c>
      <c r="AM345" s="27" t="s">
        <v>189</v>
      </c>
      <c r="AN345" s="27" t="s">
        <v>405</v>
      </c>
      <c r="AO345" s="27"/>
    </row>
    <row r="346">
      <c r="A346" s="200">
        <v>44817.0251005787</v>
      </c>
      <c r="B346" s="19" t="s">
        <v>141</v>
      </c>
      <c r="C346" s="21" t="s">
        <v>287</v>
      </c>
      <c r="D346" s="62">
        <v>2.0</v>
      </c>
      <c r="E346" s="27">
        <v>0.0</v>
      </c>
      <c r="F346" s="27" t="s">
        <v>1293</v>
      </c>
      <c r="G346" s="201" t="s">
        <v>57</v>
      </c>
      <c r="H346" s="27" t="s">
        <v>166</v>
      </c>
      <c r="I346" s="27"/>
      <c r="J346" s="33">
        <v>-14.5</v>
      </c>
      <c r="K346" s="33">
        <v>-20.5</v>
      </c>
      <c r="L346" s="66">
        <v>65.0</v>
      </c>
      <c r="M346" s="27" t="s">
        <v>1294</v>
      </c>
      <c r="N346" s="27">
        <v>-21.0</v>
      </c>
      <c r="O346" s="27"/>
      <c r="P346" s="27">
        <v>-21.5</v>
      </c>
      <c r="Q346" s="27"/>
      <c r="R346" s="27">
        <v>-21.0</v>
      </c>
      <c r="S346" s="27"/>
      <c r="T346" s="27">
        <v>-20.5</v>
      </c>
      <c r="U346" s="27"/>
      <c r="V346" s="27">
        <v>-21.0</v>
      </c>
      <c r="W346" s="27"/>
      <c r="X346" s="27">
        <v>-21.0</v>
      </c>
      <c r="Y346" s="27"/>
      <c r="Z346" s="27">
        <v>-21.0</v>
      </c>
      <c r="AA346" s="27"/>
      <c r="AB346" s="27">
        <v>-21.5</v>
      </c>
      <c r="AC346" s="27"/>
      <c r="AD346" s="27">
        <v>-20.5</v>
      </c>
      <c r="AE346" s="27"/>
      <c r="AF346" s="27">
        <v>-20.5</v>
      </c>
      <c r="AG346" s="27"/>
      <c r="AH346" s="27">
        <v>75.0</v>
      </c>
      <c r="AI346" s="27">
        <v>19.0</v>
      </c>
      <c r="AJ346" s="27">
        <v>2.0</v>
      </c>
      <c r="AK346" s="27" t="b">
        <v>0</v>
      </c>
      <c r="AL346" s="27">
        <v>100.0</v>
      </c>
      <c r="AM346" s="27" t="s">
        <v>192</v>
      </c>
      <c r="AN346" s="27" t="s">
        <v>404</v>
      </c>
      <c r="AO346" s="27"/>
    </row>
    <row r="347">
      <c r="A347" s="200">
        <v>44817.0251005787</v>
      </c>
      <c r="B347" s="19" t="s">
        <v>141</v>
      </c>
      <c r="C347" s="21" t="s">
        <v>353</v>
      </c>
      <c r="D347" s="62">
        <v>1.0</v>
      </c>
      <c r="E347" s="27">
        <v>1.0</v>
      </c>
      <c r="F347" s="27" t="s">
        <v>1295</v>
      </c>
      <c r="G347" s="201" t="s">
        <v>57</v>
      </c>
      <c r="H347" s="27" t="s">
        <v>148</v>
      </c>
      <c r="I347" s="27"/>
      <c r="J347" s="33">
        <v>3.5</v>
      </c>
      <c r="K347" s="33">
        <v>5.5</v>
      </c>
      <c r="L347" s="66">
        <v>62.5</v>
      </c>
      <c r="M347" s="27" t="s">
        <v>1095</v>
      </c>
      <c r="N347" s="27">
        <v>5.5</v>
      </c>
      <c r="O347" s="27"/>
      <c r="P347" s="27">
        <v>5.5</v>
      </c>
      <c r="Q347" s="27"/>
      <c r="R347" s="27">
        <v>6.0</v>
      </c>
      <c r="S347" s="27"/>
      <c r="T347" s="27">
        <v>5.5</v>
      </c>
      <c r="U347" s="27"/>
      <c r="V347" s="27">
        <v>5.5</v>
      </c>
      <c r="W347" s="27"/>
      <c r="X347" s="27">
        <v>6.0</v>
      </c>
      <c r="Y347" s="27"/>
      <c r="Z347" s="27">
        <v>6.0</v>
      </c>
      <c r="AA347" s="27"/>
      <c r="AB347" s="27">
        <v>6.0</v>
      </c>
      <c r="AC347" s="27"/>
      <c r="AD347" s="27">
        <v>5.5</v>
      </c>
      <c r="AE347" s="27"/>
      <c r="AF347" s="27">
        <v>5.5</v>
      </c>
      <c r="AG347" s="27"/>
      <c r="AH347" s="27">
        <v>27.0</v>
      </c>
      <c r="AI347" s="27">
        <v>45.0</v>
      </c>
      <c r="AJ347" s="27">
        <v>2.0</v>
      </c>
      <c r="AK347" s="27" t="b">
        <v>0</v>
      </c>
      <c r="AL347" s="27">
        <v>100.0</v>
      </c>
      <c r="AM347" s="27" t="s">
        <v>186</v>
      </c>
      <c r="AN347" s="27" t="s">
        <v>404</v>
      </c>
      <c r="AO347" s="27"/>
    </row>
    <row r="348">
      <c r="A348" s="200">
        <v>44817.0251005787</v>
      </c>
      <c r="B348" s="19" t="s">
        <v>141</v>
      </c>
      <c r="C348" s="21" t="s">
        <v>393</v>
      </c>
      <c r="D348" s="62">
        <v>2.0</v>
      </c>
      <c r="E348" s="27">
        <v>0.0</v>
      </c>
      <c r="F348" s="27" t="s">
        <v>1296</v>
      </c>
      <c r="G348" s="201" t="s">
        <v>183</v>
      </c>
      <c r="H348" s="27" t="s">
        <v>154</v>
      </c>
      <c r="I348" s="27"/>
      <c r="J348" s="33">
        <v>-3.0</v>
      </c>
      <c r="K348" s="33">
        <v>-2.5</v>
      </c>
      <c r="L348" s="66">
        <v>58.5</v>
      </c>
      <c r="M348" s="27" t="s">
        <v>1297</v>
      </c>
      <c r="N348" s="27">
        <v>-2.5</v>
      </c>
      <c r="O348" s="27"/>
      <c r="P348" s="27">
        <v>-2.5</v>
      </c>
      <c r="Q348" s="27"/>
      <c r="R348" s="27">
        <v>-2.5</v>
      </c>
      <c r="S348" s="27"/>
      <c r="T348" s="27">
        <v>-2.0</v>
      </c>
      <c r="U348" s="27"/>
      <c r="V348" s="27">
        <v>-2.5</v>
      </c>
      <c r="W348" s="27"/>
      <c r="X348" s="27">
        <v>-2.5</v>
      </c>
      <c r="Y348" s="27"/>
      <c r="Z348" s="27">
        <v>-2.5</v>
      </c>
      <c r="AA348" s="27"/>
      <c r="AB348" s="27">
        <v>-2.5</v>
      </c>
      <c r="AC348" s="27"/>
      <c r="AD348" s="27">
        <v>-2.0</v>
      </c>
      <c r="AE348" s="27"/>
      <c r="AF348" s="27">
        <v>-2.0</v>
      </c>
      <c r="AG348" s="27"/>
      <c r="AH348" s="27">
        <v>76.0</v>
      </c>
      <c r="AI348" s="27">
        <v>41.0</v>
      </c>
      <c r="AJ348" s="27">
        <v>2.0</v>
      </c>
      <c r="AK348" s="27" t="b">
        <v>1</v>
      </c>
      <c r="AL348" s="27">
        <v>100.0</v>
      </c>
      <c r="AM348" s="27" t="s">
        <v>187</v>
      </c>
      <c r="AN348" s="27" t="s">
        <v>404</v>
      </c>
      <c r="AO348" s="27"/>
    </row>
    <row r="349">
      <c r="A349" s="200">
        <v>44817.0251005787</v>
      </c>
      <c r="B349" s="19"/>
      <c r="C349" s="21"/>
      <c r="D349" s="62"/>
      <c r="E349" s="27"/>
      <c r="F349" s="27"/>
      <c r="G349" s="201"/>
      <c r="H349" s="27"/>
      <c r="I349" s="27"/>
      <c r="J349" s="33"/>
      <c r="K349" s="33"/>
      <c r="L349" s="66"/>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t="e">
        <v>#N/A</v>
      </c>
      <c r="AN349" s="27" t="e">
        <v>#N/A</v>
      </c>
      <c r="AO349" s="27"/>
    </row>
    <row r="350">
      <c r="A350" s="200">
        <v>44817.0251005787</v>
      </c>
      <c r="B350" s="19" t="s">
        <v>109</v>
      </c>
      <c r="C350" s="21" t="s">
        <v>292</v>
      </c>
      <c r="D350" s="62">
        <v>2.0</v>
      </c>
      <c r="E350" s="27">
        <v>0.0</v>
      </c>
      <c r="F350" s="27" t="s">
        <v>1298</v>
      </c>
      <c r="G350" s="201" t="s">
        <v>57</v>
      </c>
      <c r="H350" s="27" t="s">
        <v>103</v>
      </c>
      <c r="I350" s="27"/>
      <c r="J350" s="33">
        <v>-11.5</v>
      </c>
      <c r="K350" s="33">
        <v>-11.5</v>
      </c>
      <c r="L350" s="66">
        <v>56.5</v>
      </c>
      <c r="M350" s="27" t="s">
        <v>1299</v>
      </c>
      <c r="N350" s="27">
        <v>-11.5</v>
      </c>
      <c r="O350" s="27"/>
      <c r="P350" s="27">
        <v>-11.0</v>
      </c>
      <c r="Q350" s="27"/>
      <c r="R350" s="27">
        <v>-11.0</v>
      </c>
      <c r="S350" s="27"/>
      <c r="T350" s="27">
        <v>-11.5</v>
      </c>
      <c r="U350" s="27"/>
      <c r="V350" s="27">
        <v>-11.0</v>
      </c>
      <c r="W350" s="27"/>
      <c r="X350" s="27">
        <v>-11.0</v>
      </c>
      <c r="Y350" s="27"/>
      <c r="Z350" s="27">
        <v>-11.5</v>
      </c>
      <c r="AA350" s="27"/>
      <c r="AB350" s="27">
        <v>-11.5</v>
      </c>
      <c r="AC350" s="27"/>
      <c r="AD350" s="27">
        <v>-11.5</v>
      </c>
      <c r="AE350" s="27"/>
      <c r="AF350" s="27"/>
      <c r="AG350" s="27"/>
      <c r="AH350" s="27">
        <v>73.0</v>
      </c>
      <c r="AI350" s="27">
        <v>28.0</v>
      </c>
      <c r="AJ350" s="27">
        <v>2.0</v>
      </c>
      <c r="AK350" s="27" t="b">
        <v>1</v>
      </c>
      <c r="AL350" s="27">
        <v>100.0</v>
      </c>
      <c r="AM350" s="27" t="s">
        <v>193</v>
      </c>
      <c r="AN350" s="27" t="s">
        <v>405</v>
      </c>
      <c r="AO350" s="27"/>
    </row>
    <row r="351">
      <c r="A351" s="200">
        <v>44817.0251005787</v>
      </c>
      <c r="B351" s="19" t="s">
        <v>109</v>
      </c>
      <c r="C351" s="21" t="s">
        <v>394</v>
      </c>
      <c r="D351" s="62">
        <v>0.0</v>
      </c>
      <c r="E351" s="27">
        <v>3.0</v>
      </c>
      <c r="F351" s="27" t="s">
        <v>1300</v>
      </c>
      <c r="G351" s="201" t="s">
        <v>57</v>
      </c>
      <c r="H351" s="27" t="s">
        <v>154</v>
      </c>
      <c r="I351" s="27"/>
      <c r="J351" s="33">
        <v>13.0</v>
      </c>
      <c r="K351" s="33">
        <v>17.0</v>
      </c>
      <c r="L351" s="66">
        <v>46.5</v>
      </c>
      <c r="M351" s="27" t="s">
        <v>1301</v>
      </c>
      <c r="N351" s="27">
        <v>17.5</v>
      </c>
      <c r="O351" s="27"/>
      <c r="P351" s="27">
        <v>17.0</v>
      </c>
      <c r="Q351" s="27"/>
      <c r="R351" s="27">
        <v>17.0</v>
      </c>
      <c r="S351" s="27"/>
      <c r="T351" s="27">
        <v>17.0</v>
      </c>
      <c r="U351" s="27"/>
      <c r="V351" s="27">
        <v>17.0</v>
      </c>
      <c r="W351" s="27"/>
      <c r="X351" s="27">
        <v>17.0</v>
      </c>
      <c r="Y351" s="27"/>
      <c r="Z351" s="27">
        <v>17.0</v>
      </c>
      <c r="AA351" s="27"/>
      <c r="AB351" s="27">
        <v>17.5</v>
      </c>
      <c r="AC351" s="27"/>
      <c r="AD351" s="27">
        <v>17.0</v>
      </c>
      <c r="AE351" s="27"/>
      <c r="AF351" s="27">
        <v>17.0</v>
      </c>
      <c r="AG351" s="27"/>
      <c r="AH351" s="27">
        <v>25.0</v>
      </c>
      <c r="AI351" s="27">
        <v>81.0</v>
      </c>
      <c r="AJ351" s="27">
        <v>2.0</v>
      </c>
      <c r="AK351" s="27" t="b">
        <v>0</v>
      </c>
      <c r="AL351" s="27">
        <v>100.0</v>
      </c>
      <c r="AM351" s="27" t="s">
        <v>129</v>
      </c>
      <c r="AN351" s="27" t="s">
        <v>405</v>
      </c>
      <c r="AO351" s="27"/>
    </row>
    <row r="352">
      <c r="A352" s="200">
        <v>44817.0251005787</v>
      </c>
      <c r="B352" s="19" t="s">
        <v>109</v>
      </c>
      <c r="C352" s="21" t="s">
        <v>328</v>
      </c>
      <c r="D352" s="62">
        <v>1.0</v>
      </c>
      <c r="E352" s="27">
        <v>1.0</v>
      </c>
      <c r="F352" s="27" t="s">
        <v>1302</v>
      </c>
      <c r="G352" s="201" t="s">
        <v>57</v>
      </c>
      <c r="H352" s="27" t="s">
        <v>116</v>
      </c>
      <c r="I352" s="27"/>
      <c r="J352" s="33">
        <v>11.0</v>
      </c>
      <c r="K352" s="33">
        <v>11.5</v>
      </c>
      <c r="L352" s="66">
        <v>58.0</v>
      </c>
      <c r="M352" s="27" t="s">
        <v>1303</v>
      </c>
      <c r="N352" s="27">
        <v>11.5</v>
      </c>
      <c r="O352" s="27"/>
      <c r="P352" s="27">
        <v>11.5</v>
      </c>
      <c r="Q352" s="27"/>
      <c r="R352" s="27">
        <v>11.0</v>
      </c>
      <c r="S352" s="27"/>
      <c r="T352" s="27">
        <v>11.5</v>
      </c>
      <c r="U352" s="27"/>
      <c r="V352" s="27">
        <v>11.5</v>
      </c>
      <c r="W352" s="27"/>
      <c r="X352" s="27">
        <v>12.0</v>
      </c>
      <c r="Y352" s="27"/>
      <c r="Z352" s="27">
        <v>12.0</v>
      </c>
      <c r="AA352" s="27"/>
      <c r="AB352" s="27">
        <v>12.5</v>
      </c>
      <c r="AC352" s="27"/>
      <c r="AD352" s="27">
        <v>11.5</v>
      </c>
      <c r="AE352" s="27"/>
      <c r="AF352" s="27">
        <v>11.5</v>
      </c>
      <c r="AG352" s="27"/>
      <c r="AH352" s="27">
        <v>57.0</v>
      </c>
      <c r="AI352" s="27">
        <v>37.0</v>
      </c>
      <c r="AJ352" s="27">
        <v>2.0</v>
      </c>
      <c r="AK352" s="27" t="b">
        <v>0</v>
      </c>
      <c r="AL352" s="27">
        <v>100.0</v>
      </c>
      <c r="AM352" s="27" t="s">
        <v>191</v>
      </c>
      <c r="AN352" s="27" t="s">
        <v>404</v>
      </c>
      <c r="AO352" s="27"/>
    </row>
    <row r="353">
      <c r="A353" s="200">
        <v>44817.0251005787</v>
      </c>
      <c r="B353" s="19" t="s">
        <v>109</v>
      </c>
      <c r="C353" s="21" t="s">
        <v>360</v>
      </c>
      <c r="D353" s="62">
        <v>1.0</v>
      </c>
      <c r="E353" s="27">
        <v>1.0</v>
      </c>
      <c r="F353" s="27" t="s">
        <v>1304</v>
      </c>
      <c r="G353" s="201" t="s">
        <v>57</v>
      </c>
      <c r="H353" s="27"/>
      <c r="I353" s="27"/>
      <c r="J353" s="33">
        <v>-47.5</v>
      </c>
      <c r="K353" s="33">
        <v>-44.5</v>
      </c>
      <c r="L353" s="66">
        <v>58.0</v>
      </c>
      <c r="M353" s="27" t="s">
        <v>1305</v>
      </c>
      <c r="N353" s="27">
        <v>-44.5</v>
      </c>
      <c r="O353" s="27"/>
      <c r="P353" s="27">
        <v>-44.5</v>
      </c>
      <c r="Q353" s="27"/>
      <c r="R353" s="27">
        <v>-45.5</v>
      </c>
      <c r="S353" s="27"/>
      <c r="T353" s="27">
        <v>-44.5</v>
      </c>
      <c r="U353" s="27"/>
      <c r="V353" s="27">
        <v>-44.5</v>
      </c>
      <c r="W353" s="27"/>
      <c r="X353" s="27">
        <v>-44.5</v>
      </c>
      <c r="Y353" s="27"/>
      <c r="Z353" s="27">
        <v>-44.5</v>
      </c>
      <c r="AA353" s="27"/>
      <c r="AB353" s="27">
        <v>-44.5</v>
      </c>
      <c r="AC353" s="27"/>
      <c r="AD353" s="27"/>
      <c r="AE353" s="27"/>
      <c r="AF353" s="27"/>
      <c r="AG353" s="27"/>
      <c r="AH353" s="27">
        <v>88.0</v>
      </c>
      <c r="AI353" s="27">
        <v>41.0</v>
      </c>
      <c r="AJ353" s="27">
        <v>2.0</v>
      </c>
      <c r="AK353" s="27" t="b">
        <v>0</v>
      </c>
      <c r="AL353" s="27">
        <v>100.0</v>
      </c>
      <c r="AM353" s="27" t="s">
        <v>192</v>
      </c>
      <c r="AN353" s="27" t="s">
        <v>404</v>
      </c>
      <c r="AO353" s="27"/>
    </row>
    <row r="354">
      <c r="A354" s="200">
        <v>44817.0251005787</v>
      </c>
      <c r="B354" s="19" t="s">
        <v>109</v>
      </c>
      <c r="C354" s="21" t="s">
        <v>344</v>
      </c>
      <c r="D354" s="62">
        <v>0.0</v>
      </c>
      <c r="E354" s="27">
        <v>2.0</v>
      </c>
      <c r="F354" s="27" t="s">
        <v>1306</v>
      </c>
      <c r="G354" s="201" t="s">
        <v>57</v>
      </c>
      <c r="H354" s="27"/>
      <c r="I354" s="27"/>
      <c r="J354" s="33">
        <v>-11.0</v>
      </c>
      <c r="K354" s="33">
        <v>-5.5</v>
      </c>
      <c r="L354" s="66">
        <v>51.0</v>
      </c>
      <c r="M354" s="27" t="s">
        <v>1307</v>
      </c>
      <c r="N354" s="27">
        <v>-6.0</v>
      </c>
      <c r="O354" s="27"/>
      <c r="P354" s="27">
        <v>-6.0</v>
      </c>
      <c r="Q354" s="27"/>
      <c r="R354" s="27">
        <v>-5.5</v>
      </c>
      <c r="S354" s="27"/>
      <c r="T354" s="27">
        <v>-5.5</v>
      </c>
      <c r="U354" s="27"/>
      <c r="V354" s="27">
        <v>-6.0</v>
      </c>
      <c r="W354" s="27"/>
      <c r="X354" s="27">
        <v>-6.0</v>
      </c>
      <c r="Y354" s="27"/>
      <c r="Z354" s="27">
        <v>-5.5</v>
      </c>
      <c r="AA354" s="27"/>
      <c r="AB354" s="27">
        <v>-5.5</v>
      </c>
      <c r="AC354" s="27"/>
      <c r="AD354" s="27"/>
      <c r="AE354" s="27"/>
      <c r="AF354" s="27"/>
      <c r="AG354" s="27"/>
      <c r="AH354" s="27">
        <v>41.0</v>
      </c>
      <c r="AI354" s="27">
        <v>68.0</v>
      </c>
      <c r="AJ354" s="27">
        <v>2.0</v>
      </c>
      <c r="AK354" s="27" t="b">
        <v>0</v>
      </c>
      <c r="AL354" s="27">
        <v>100.0</v>
      </c>
      <c r="AM354" s="27" t="s">
        <v>190</v>
      </c>
      <c r="AN354" s="27" t="s">
        <v>405</v>
      </c>
      <c r="AO354" s="27"/>
    </row>
    <row r="355">
      <c r="A355" s="200">
        <v>44817.0251005787</v>
      </c>
      <c r="B355" s="19" t="s">
        <v>109</v>
      </c>
      <c r="C355" s="21" t="s">
        <v>343</v>
      </c>
      <c r="D355" s="62">
        <v>1.0</v>
      </c>
      <c r="E355" s="27">
        <v>1.0</v>
      </c>
      <c r="F355" s="27" t="s">
        <v>1308</v>
      </c>
      <c r="G355" s="201" t="s">
        <v>57</v>
      </c>
      <c r="H355" s="27" t="s">
        <v>116</v>
      </c>
      <c r="I355" s="27"/>
      <c r="J355" s="33">
        <v>9.0</v>
      </c>
      <c r="K355" s="33">
        <v>14.5</v>
      </c>
      <c r="L355" s="66">
        <v>58.5</v>
      </c>
      <c r="M355" s="27" t="s">
        <v>1309</v>
      </c>
      <c r="N355" s="27">
        <v>13.5</v>
      </c>
      <c r="O355" s="27"/>
      <c r="P355" s="27">
        <v>13.5</v>
      </c>
      <c r="Q355" s="27"/>
      <c r="R355" s="27">
        <v>13.5</v>
      </c>
      <c r="S355" s="27"/>
      <c r="T355" s="27">
        <v>14.5</v>
      </c>
      <c r="U355" s="27"/>
      <c r="V355" s="27">
        <v>13.5</v>
      </c>
      <c r="W355" s="27"/>
      <c r="X355" s="27">
        <v>13.0</v>
      </c>
      <c r="Y355" s="27"/>
      <c r="Z355" s="27">
        <v>14.0</v>
      </c>
      <c r="AA355" s="27"/>
      <c r="AB355" s="27">
        <v>14.5</v>
      </c>
      <c r="AC355" s="27"/>
      <c r="AD355" s="27">
        <v>14.5</v>
      </c>
      <c r="AE355" s="27"/>
      <c r="AF355" s="27">
        <v>14.5</v>
      </c>
      <c r="AG355" s="27"/>
      <c r="AH355" s="27">
        <v>41.0</v>
      </c>
      <c r="AI355" s="27">
        <v>63.0</v>
      </c>
      <c r="AJ355" s="27">
        <v>2.0</v>
      </c>
      <c r="AK355" s="27" t="b">
        <v>1</v>
      </c>
      <c r="AL355" s="27">
        <v>100.0</v>
      </c>
      <c r="AM355" s="27" t="s">
        <v>189</v>
      </c>
      <c r="AN355" s="27" t="s">
        <v>405</v>
      </c>
      <c r="AO355" s="27"/>
    </row>
    <row r="356">
      <c r="A356" s="200">
        <v>44817.0251005787</v>
      </c>
      <c r="B356" s="19" t="s">
        <v>109</v>
      </c>
      <c r="C356" s="21" t="s">
        <v>339</v>
      </c>
      <c r="D356" s="62">
        <v>1.0</v>
      </c>
      <c r="E356" s="27">
        <v>1.0</v>
      </c>
      <c r="F356" s="27" t="s">
        <v>1310</v>
      </c>
      <c r="G356" s="201" t="s">
        <v>57</v>
      </c>
      <c r="H356" s="27" t="s">
        <v>116</v>
      </c>
      <c r="I356" s="27"/>
      <c r="J356" s="33">
        <v>-6.5</v>
      </c>
      <c r="K356" s="33">
        <v>-4.5</v>
      </c>
      <c r="L356" s="66">
        <v>48.0</v>
      </c>
      <c r="M356" s="27" t="s">
        <v>1311</v>
      </c>
      <c r="N356" s="27">
        <v>-4.0</v>
      </c>
      <c r="O356" s="27"/>
      <c r="P356" s="27">
        <v>-4.5</v>
      </c>
      <c r="Q356" s="27"/>
      <c r="R356" s="27">
        <v>-4.5</v>
      </c>
      <c r="S356" s="27"/>
      <c r="T356" s="27">
        <v>-4.5</v>
      </c>
      <c r="U356" s="27"/>
      <c r="V356" s="27">
        <v>-4.5</v>
      </c>
      <c r="W356" s="27"/>
      <c r="X356" s="27">
        <v>-4.5</v>
      </c>
      <c r="Y356" s="27"/>
      <c r="Z356" s="27">
        <v>-4.5</v>
      </c>
      <c r="AA356" s="27"/>
      <c r="AB356" s="27">
        <v>-4.0</v>
      </c>
      <c r="AC356" s="27"/>
      <c r="AD356" s="27">
        <v>-4.5</v>
      </c>
      <c r="AE356" s="27"/>
      <c r="AF356" s="27">
        <v>-4.5</v>
      </c>
      <c r="AG356" s="27"/>
      <c r="AH356" s="27">
        <v>60.0</v>
      </c>
      <c r="AI356" s="27">
        <v>62.0</v>
      </c>
      <c r="AJ356" s="27">
        <v>2.0</v>
      </c>
      <c r="AK356" s="27" t="b">
        <v>1</v>
      </c>
      <c r="AL356" s="27">
        <v>100.0</v>
      </c>
      <c r="AM356" s="27" t="s">
        <v>389</v>
      </c>
      <c r="AN356" s="27" t="s">
        <v>405</v>
      </c>
      <c r="AO356" s="27"/>
    </row>
    <row r="357">
      <c r="A357" s="200">
        <v>44817.0251005787</v>
      </c>
      <c r="B357" s="19" t="s">
        <v>109</v>
      </c>
      <c r="C357" s="21" t="s">
        <v>400</v>
      </c>
      <c r="D357" s="62">
        <v>0.0</v>
      </c>
      <c r="E357" s="27">
        <v>2.0</v>
      </c>
      <c r="F357" s="27" t="s">
        <v>1312</v>
      </c>
      <c r="G357" s="201" t="s">
        <v>57</v>
      </c>
      <c r="H357" s="27" t="s">
        <v>166</v>
      </c>
      <c r="I357" s="27"/>
      <c r="J357" s="33">
        <v>20.0</v>
      </c>
      <c r="K357" s="33">
        <v>-20.5</v>
      </c>
      <c r="L357" s="66">
        <v>48.0</v>
      </c>
      <c r="M357" s="27" t="s">
        <v>1150</v>
      </c>
      <c r="N357" s="27">
        <v>-20.5</v>
      </c>
      <c r="O357" s="27"/>
      <c r="P357" s="27">
        <v>-20.5</v>
      </c>
      <c r="Q357" s="27"/>
      <c r="R357" s="27">
        <v>-20.0</v>
      </c>
      <c r="S357" s="27"/>
      <c r="T357" s="27">
        <v>-21.0</v>
      </c>
      <c r="U357" s="27"/>
      <c r="V357" s="27">
        <v>-20.5</v>
      </c>
      <c r="W357" s="27"/>
      <c r="X357" s="27">
        <v>-20.5</v>
      </c>
      <c r="Y357" s="27"/>
      <c r="Z357" s="27">
        <v>-20.5</v>
      </c>
      <c r="AA357" s="27"/>
      <c r="AB357" s="27">
        <v>-20.5</v>
      </c>
      <c r="AC357" s="27"/>
      <c r="AD357" s="27">
        <v>-21.0</v>
      </c>
      <c r="AE357" s="27"/>
      <c r="AF357" s="27">
        <v>-21.0</v>
      </c>
      <c r="AG357" s="27"/>
      <c r="AH357" s="27">
        <v>31.0</v>
      </c>
      <c r="AI357" s="27">
        <v>47.0</v>
      </c>
      <c r="AJ357" s="27">
        <v>2.0</v>
      </c>
      <c r="AK357" s="27" t="b">
        <v>1</v>
      </c>
      <c r="AL357" s="27">
        <v>100.0</v>
      </c>
      <c r="AM357" s="27" t="s">
        <v>187</v>
      </c>
      <c r="AN357" s="27" t="s">
        <v>404</v>
      </c>
      <c r="AO357" s="27"/>
    </row>
    <row r="358">
      <c r="A358" s="200">
        <v>44817.0251005787</v>
      </c>
      <c r="B358" s="19" t="s">
        <v>109</v>
      </c>
      <c r="C358" s="21" t="s">
        <v>375</v>
      </c>
      <c r="D358" s="62">
        <v>2.0</v>
      </c>
      <c r="E358" s="27">
        <v>0.0</v>
      </c>
      <c r="F358" s="27" t="s">
        <v>1227</v>
      </c>
      <c r="G358" s="201" t="s">
        <v>57</v>
      </c>
      <c r="H358" s="27" t="s">
        <v>53</v>
      </c>
      <c r="I358" s="27"/>
      <c r="J358" s="33">
        <v>-24.5</v>
      </c>
      <c r="K358" s="33">
        <v>-28.0</v>
      </c>
      <c r="L358" s="66">
        <v>55.0</v>
      </c>
      <c r="M358" s="27" t="s">
        <v>1121</v>
      </c>
      <c r="N358" s="27">
        <v>-27.5</v>
      </c>
      <c r="O358" s="27"/>
      <c r="P358" s="27">
        <v>-28.0</v>
      </c>
      <c r="Q358" s="27"/>
      <c r="R358" s="27">
        <v>-28.0</v>
      </c>
      <c r="S358" s="27"/>
      <c r="T358" s="27">
        <v>-28.0</v>
      </c>
      <c r="U358" s="27"/>
      <c r="V358" s="27">
        <v>-28.0</v>
      </c>
      <c r="W358" s="27"/>
      <c r="X358" s="27">
        <v>-28.0</v>
      </c>
      <c r="Y358" s="27"/>
      <c r="Z358" s="27">
        <v>-28.0</v>
      </c>
      <c r="AA358" s="27"/>
      <c r="AB358" s="27">
        <v>-28.0</v>
      </c>
      <c r="AC358" s="27"/>
      <c r="AD358" s="27">
        <v>-28.0</v>
      </c>
      <c r="AE358" s="27"/>
      <c r="AF358" s="27"/>
      <c r="AG358" s="27"/>
      <c r="AH358" s="27">
        <v>81.0</v>
      </c>
      <c r="AI358" s="27">
        <v>41.0</v>
      </c>
      <c r="AJ358" s="27">
        <v>2.0</v>
      </c>
      <c r="AK358" s="27" t="b">
        <v>1</v>
      </c>
      <c r="AL358" s="27">
        <v>100.0</v>
      </c>
      <c r="AM358" s="27" t="s">
        <v>188</v>
      </c>
      <c r="AN358" s="27" t="s">
        <v>404</v>
      </c>
      <c r="AO358" s="27"/>
    </row>
    <row r="359">
      <c r="A359" s="200">
        <v>44817.0251005787</v>
      </c>
      <c r="B359" s="19" t="s">
        <v>109</v>
      </c>
      <c r="C359" s="21" t="s">
        <v>367</v>
      </c>
      <c r="D359" s="62">
        <v>3.0</v>
      </c>
      <c r="E359" s="27">
        <v>0.0</v>
      </c>
      <c r="F359" s="27" t="s">
        <v>1313</v>
      </c>
      <c r="G359" s="201" t="s">
        <v>57</v>
      </c>
      <c r="H359" s="27" t="s">
        <v>103</v>
      </c>
      <c r="I359" s="27"/>
      <c r="J359" s="33">
        <v>-7.0</v>
      </c>
      <c r="K359" s="33">
        <v>-7.0</v>
      </c>
      <c r="L359" s="66">
        <v>64.0</v>
      </c>
      <c r="M359" s="27" t="s">
        <v>1314</v>
      </c>
      <c r="N359" s="27">
        <v>-7.0</v>
      </c>
      <c r="O359" s="27"/>
      <c r="P359" s="27">
        <v>-7.0</v>
      </c>
      <c r="Q359" s="27"/>
      <c r="R359" s="27">
        <v>-7.0</v>
      </c>
      <c r="S359" s="27"/>
      <c r="T359" s="27">
        <v>-7.0</v>
      </c>
      <c r="U359" s="27"/>
      <c r="V359" s="27">
        <v>-7.0</v>
      </c>
      <c r="W359" s="27"/>
      <c r="X359" s="27">
        <v>-7.0</v>
      </c>
      <c r="Y359" s="27"/>
      <c r="Z359" s="27">
        <v>-7.0</v>
      </c>
      <c r="AA359" s="27"/>
      <c r="AB359" s="27">
        <v>-7.0</v>
      </c>
      <c r="AC359" s="27"/>
      <c r="AD359" s="27">
        <v>-7.0</v>
      </c>
      <c r="AE359" s="27"/>
      <c r="AF359" s="27">
        <v>-7.0</v>
      </c>
      <c r="AG359" s="27"/>
      <c r="AH359" s="27">
        <v>154.0</v>
      </c>
      <c r="AI359" s="27">
        <v>113.0</v>
      </c>
      <c r="AJ359" s="27">
        <v>2.0</v>
      </c>
      <c r="AK359" s="27" t="b">
        <v>0</v>
      </c>
      <c r="AL359" s="27">
        <v>100.0</v>
      </c>
      <c r="AM359" s="27" t="s">
        <v>186</v>
      </c>
      <c r="AN359" s="27" t="s">
        <v>404</v>
      </c>
      <c r="AO359" s="27"/>
    </row>
    <row r="360">
      <c r="A360" s="200">
        <v>44817.0251005787</v>
      </c>
      <c r="B360" s="19"/>
      <c r="C360" s="21"/>
      <c r="D360" s="62"/>
      <c r="E360" s="27"/>
      <c r="F360" s="27"/>
      <c r="G360" s="201"/>
      <c r="H360" s="27"/>
      <c r="I360" s="27"/>
      <c r="J360" s="33"/>
      <c r="K360" s="33"/>
      <c r="L360" s="66"/>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t="e">
        <v>#N/A</v>
      </c>
      <c r="AN360" s="27" t="e">
        <v>#N/A</v>
      </c>
      <c r="AO360" s="27"/>
    </row>
    <row r="361">
      <c r="A361" s="200">
        <v>44817.0251005787</v>
      </c>
      <c r="B361" s="19" t="s">
        <v>144</v>
      </c>
      <c r="C361" s="21" t="s">
        <v>345</v>
      </c>
      <c r="D361" s="62">
        <v>1.0</v>
      </c>
      <c r="E361" s="27">
        <v>1.0</v>
      </c>
      <c r="F361" s="27" t="s">
        <v>1260</v>
      </c>
      <c r="G361" s="201" t="s">
        <v>57</v>
      </c>
      <c r="H361" s="27" t="s">
        <v>59</v>
      </c>
      <c r="I361" s="27"/>
      <c r="J361" s="33">
        <v>-1.5</v>
      </c>
      <c r="K361" s="33">
        <v>-1.0</v>
      </c>
      <c r="L361" s="66">
        <v>57.5</v>
      </c>
      <c r="M361" s="27" t="s">
        <v>1261</v>
      </c>
      <c r="N361" s="27">
        <v>1.0</v>
      </c>
      <c r="O361" s="27"/>
      <c r="P361" s="27">
        <v>-1.0</v>
      </c>
      <c r="Q361" s="27"/>
      <c r="R361" s="27">
        <v>1.0</v>
      </c>
      <c r="S361" s="27"/>
      <c r="T361" s="27">
        <v>-1.0</v>
      </c>
      <c r="U361" s="27"/>
      <c r="V361" s="27">
        <v>-1.0</v>
      </c>
      <c r="W361" s="27"/>
      <c r="X361" s="27">
        <v>-1.0</v>
      </c>
      <c r="Y361" s="27"/>
      <c r="Z361" s="27">
        <v>-1.0</v>
      </c>
      <c r="AA361" s="27"/>
      <c r="AB361" s="27">
        <v>0.0</v>
      </c>
      <c r="AC361" s="27"/>
      <c r="AD361" s="27">
        <v>-1.0</v>
      </c>
      <c r="AE361" s="27"/>
      <c r="AF361" s="27">
        <v>-1.0</v>
      </c>
      <c r="AG361" s="27"/>
      <c r="AH361" s="27">
        <v>67.0</v>
      </c>
      <c r="AI361" s="27">
        <v>42.0</v>
      </c>
      <c r="AJ361" s="27">
        <v>2.0</v>
      </c>
      <c r="AK361" s="27" t="b">
        <v>1</v>
      </c>
      <c r="AL361" s="27">
        <v>100.0</v>
      </c>
      <c r="AM361" s="27" t="s">
        <v>129</v>
      </c>
      <c r="AN361" s="27" t="s">
        <v>405</v>
      </c>
      <c r="AO361" s="27"/>
    </row>
    <row r="362">
      <c r="A362" s="200">
        <v>44817.0251005787</v>
      </c>
      <c r="B362" s="19" t="s">
        <v>144</v>
      </c>
      <c r="C362" s="21" t="s">
        <v>346</v>
      </c>
      <c r="D362" s="62">
        <v>1.0</v>
      </c>
      <c r="E362" s="27">
        <v>1.0</v>
      </c>
      <c r="F362" s="27" t="s">
        <v>1268</v>
      </c>
      <c r="G362" s="201" t="s">
        <v>57</v>
      </c>
      <c r="H362" s="27" t="s">
        <v>59</v>
      </c>
      <c r="I362" s="27"/>
      <c r="J362" s="33">
        <v>-4.5</v>
      </c>
      <c r="K362" s="33">
        <v>-6.0</v>
      </c>
      <c r="L362" s="66">
        <v>52.5</v>
      </c>
      <c r="M362" s="27" t="s">
        <v>1218</v>
      </c>
      <c r="N362" s="27">
        <v>-6.0</v>
      </c>
      <c r="O362" s="27"/>
      <c r="P362" s="27">
        <v>-6.0</v>
      </c>
      <c r="Q362" s="27"/>
      <c r="R362" s="27">
        <v>-6.0</v>
      </c>
      <c r="S362" s="27"/>
      <c r="T362" s="27">
        <v>-6.0</v>
      </c>
      <c r="U362" s="27"/>
      <c r="V362" s="27">
        <v>-6.0</v>
      </c>
      <c r="W362" s="27"/>
      <c r="X362" s="27">
        <v>-6.0</v>
      </c>
      <c r="Y362" s="27"/>
      <c r="Z362" s="27">
        <v>-6.0</v>
      </c>
      <c r="AA362" s="27"/>
      <c r="AB362" s="27">
        <v>-6.0</v>
      </c>
      <c r="AC362" s="27"/>
      <c r="AD362" s="27">
        <v>-6.0</v>
      </c>
      <c r="AE362" s="27"/>
      <c r="AF362" s="27">
        <v>-6.0</v>
      </c>
      <c r="AG362" s="27"/>
      <c r="AH362" s="27">
        <v>45.0</v>
      </c>
      <c r="AI362" s="27">
        <v>52.0</v>
      </c>
      <c r="AJ362" s="27">
        <v>2.0</v>
      </c>
      <c r="AK362" s="27" t="b">
        <v>0</v>
      </c>
      <c r="AL362" s="27">
        <v>100.0</v>
      </c>
      <c r="AM362" s="27" t="s">
        <v>192</v>
      </c>
      <c r="AN362" s="27" t="s">
        <v>404</v>
      </c>
      <c r="AO362" s="27"/>
    </row>
    <row r="363">
      <c r="A363" s="200">
        <v>44817.0251005787</v>
      </c>
      <c r="B363" s="19" t="s">
        <v>144</v>
      </c>
      <c r="C363" s="21" t="s">
        <v>359</v>
      </c>
      <c r="D363" s="62">
        <v>0.0</v>
      </c>
      <c r="E363" s="27">
        <v>2.0</v>
      </c>
      <c r="F363" s="27" t="s">
        <v>1219</v>
      </c>
      <c r="G363" s="201" t="s">
        <v>57</v>
      </c>
      <c r="H363" s="27" t="s">
        <v>53</v>
      </c>
      <c r="I363" s="27"/>
      <c r="J363" s="33">
        <v>32.0</v>
      </c>
      <c r="K363" s="33">
        <v>33.5</v>
      </c>
      <c r="L363" s="66">
        <v>72.5</v>
      </c>
      <c r="M363" s="27" t="s">
        <v>1115</v>
      </c>
      <c r="N363" s="27">
        <v>33.5</v>
      </c>
      <c r="O363" s="27"/>
      <c r="P363" s="27">
        <v>33.0</v>
      </c>
      <c r="Q363" s="27"/>
      <c r="R363" s="27">
        <v>32.5</v>
      </c>
      <c r="S363" s="27"/>
      <c r="T363" s="27">
        <v>33.5</v>
      </c>
      <c r="U363" s="27"/>
      <c r="V363" s="27">
        <v>33.0</v>
      </c>
      <c r="W363" s="27"/>
      <c r="X363" s="27">
        <v>33.0</v>
      </c>
      <c r="Y363" s="27"/>
      <c r="Z363" s="27">
        <v>33.0</v>
      </c>
      <c r="AA363" s="27"/>
      <c r="AB363" s="27">
        <v>33.5</v>
      </c>
      <c r="AC363" s="27"/>
      <c r="AD363" s="27">
        <v>33.5</v>
      </c>
      <c r="AE363" s="27"/>
      <c r="AF363" s="27"/>
      <c r="AG363" s="27"/>
      <c r="AH363" s="27">
        <v>23.0</v>
      </c>
      <c r="AI363" s="27">
        <v>78.0</v>
      </c>
      <c r="AJ363" s="27">
        <v>2.0</v>
      </c>
      <c r="AK363" s="27" t="b">
        <v>0</v>
      </c>
      <c r="AL363" s="27">
        <v>100.0</v>
      </c>
      <c r="AM363" s="27" t="s">
        <v>190</v>
      </c>
      <c r="AN363" s="27" t="s">
        <v>405</v>
      </c>
      <c r="AO363" s="27"/>
    </row>
    <row r="364">
      <c r="A364" s="200">
        <v>44817.0251005787</v>
      </c>
      <c r="B364" s="19" t="s">
        <v>144</v>
      </c>
      <c r="C364" s="21" t="s">
        <v>325</v>
      </c>
      <c r="D364" s="62">
        <v>1.0</v>
      </c>
      <c r="E364" s="27">
        <v>1.0</v>
      </c>
      <c r="F364" s="27" t="s">
        <v>1220</v>
      </c>
      <c r="G364" s="201" t="s">
        <v>57</v>
      </c>
      <c r="H364" s="27" t="s">
        <v>53</v>
      </c>
      <c r="I364" s="27"/>
      <c r="J364" s="33">
        <v>-11.0</v>
      </c>
      <c r="K364" s="33">
        <v>-13.0</v>
      </c>
      <c r="L364" s="66">
        <v>51.0</v>
      </c>
      <c r="M364" s="27" t="s">
        <v>1221</v>
      </c>
      <c r="N364" s="27">
        <v>-13.5</v>
      </c>
      <c r="O364" s="27"/>
      <c r="P364" s="27">
        <v>-13.0</v>
      </c>
      <c r="Q364" s="27"/>
      <c r="R364" s="27">
        <v>-13.0</v>
      </c>
      <c r="S364" s="27"/>
      <c r="T364" s="27">
        <v>-13.0</v>
      </c>
      <c r="U364" s="27"/>
      <c r="V364" s="27">
        <v>-13.0</v>
      </c>
      <c r="W364" s="27"/>
      <c r="X364" s="27">
        <v>-13.0</v>
      </c>
      <c r="Y364" s="27"/>
      <c r="Z364" s="27">
        <v>-13.0</v>
      </c>
      <c r="AA364" s="27"/>
      <c r="AB364" s="27">
        <v>-13.0</v>
      </c>
      <c r="AC364" s="27"/>
      <c r="AD364" s="27">
        <v>-13.0</v>
      </c>
      <c r="AE364" s="27"/>
      <c r="AF364" s="27">
        <v>-13.0</v>
      </c>
      <c r="AG364" s="27"/>
      <c r="AH364" s="27">
        <v>59.0</v>
      </c>
      <c r="AI364" s="27">
        <v>42.0</v>
      </c>
      <c r="AJ364" s="27">
        <v>2.0</v>
      </c>
      <c r="AK364" s="27" t="b">
        <v>1</v>
      </c>
      <c r="AL364" s="27">
        <v>100.0</v>
      </c>
      <c r="AM364" s="27" t="s">
        <v>389</v>
      </c>
      <c r="AN364" s="27" t="s">
        <v>405</v>
      </c>
      <c r="AO364" s="27"/>
    </row>
    <row r="365">
      <c r="A365" s="200">
        <v>44817.0251005787</v>
      </c>
      <c r="B365" s="19" t="s">
        <v>144</v>
      </c>
      <c r="C365" s="21" t="s">
        <v>300</v>
      </c>
      <c r="D365" s="62">
        <v>2.0</v>
      </c>
      <c r="E365" s="27">
        <v>0.0</v>
      </c>
      <c r="F365" s="27" t="s">
        <v>1315</v>
      </c>
      <c r="G365" s="201" t="s">
        <v>57</v>
      </c>
      <c r="H365" s="27"/>
      <c r="I365" s="27"/>
      <c r="J365" s="33">
        <v>-34.0</v>
      </c>
      <c r="K365" s="33">
        <v>-32.5</v>
      </c>
      <c r="L365" s="66">
        <v>65.5</v>
      </c>
      <c r="M365" s="27" t="s">
        <v>1316</v>
      </c>
      <c r="N365" s="27">
        <v>-32.5</v>
      </c>
      <c r="O365" s="27"/>
      <c r="P365" s="27">
        <v>-32.5</v>
      </c>
      <c r="Q365" s="27"/>
      <c r="R365" s="27">
        <v>-32.5</v>
      </c>
      <c r="S365" s="27"/>
      <c r="T365" s="27">
        <v>-33.0</v>
      </c>
      <c r="U365" s="27"/>
      <c r="V365" s="27">
        <v>-32.5</v>
      </c>
      <c r="W365" s="27"/>
      <c r="X365" s="27">
        <v>-32.5</v>
      </c>
      <c r="Y365" s="27"/>
      <c r="Z365" s="27"/>
      <c r="AA365" s="27"/>
      <c r="AB365" s="27"/>
      <c r="AC365" s="27"/>
      <c r="AD365" s="27"/>
      <c r="AE365" s="27"/>
      <c r="AF365" s="27"/>
      <c r="AG365" s="27"/>
      <c r="AH365" s="27">
        <v>69.0</v>
      </c>
      <c r="AI365" s="27">
        <v>55.0</v>
      </c>
      <c r="AJ365" s="27">
        <v>2.0</v>
      </c>
      <c r="AK365" s="27" t="b">
        <v>0</v>
      </c>
      <c r="AL365" s="27">
        <v>100.0</v>
      </c>
      <c r="AM365" s="27" t="s">
        <v>193</v>
      </c>
      <c r="AN365" s="27" t="s">
        <v>405</v>
      </c>
      <c r="AO365" s="27"/>
    </row>
    <row r="366">
      <c r="A366" s="200">
        <v>44817.0251005787</v>
      </c>
      <c r="B366" s="19" t="s">
        <v>144</v>
      </c>
      <c r="C366" s="21" t="s">
        <v>321</v>
      </c>
      <c r="D366" s="62">
        <v>2.0</v>
      </c>
      <c r="E366" s="27">
        <v>1.0</v>
      </c>
      <c r="F366" s="27" t="s">
        <v>1224</v>
      </c>
      <c r="G366" s="201" t="s">
        <v>57</v>
      </c>
      <c r="H366" s="27" t="s">
        <v>53</v>
      </c>
      <c r="I366" s="27"/>
      <c r="J366" s="33">
        <v>-3.5</v>
      </c>
      <c r="K366" s="33">
        <v>-4.0</v>
      </c>
      <c r="L366" s="66">
        <v>55.0</v>
      </c>
      <c r="M366" s="27" t="s">
        <v>1225</v>
      </c>
      <c r="N366" s="27">
        <v>-3.5</v>
      </c>
      <c r="O366" s="27"/>
      <c r="P366" s="27">
        <v>-4.0</v>
      </c>
      <c r="Q366" s="27"/>
      <c r="R366" s="27">
        <v>-4.0</v>
      </c>
      <c r="S366" s="27"/>
      <c r="T366" s="27">
        <v>-4.0</v>
      </c>
      <c r="U366" s="27"/>
      <c r="V366" s="27">
        <v>-4.0</v>
      </c>
      <c r="W366" s="27"/>
      <c r="X366" s="27">
        <v>-4.0</v>
      </c>
      <c r="Y366" s="27"/>
      <c r="Z366" s="27">
        <v>-4.0</v>
      </c>
      <c r="AA366" s="27"/>
      <c r="AB366" s="27">
        <v>-4.0</v>
      </c>
      <c r="AC366" s="27"/>
      <c r="AD366" s="27">
        <v>-4.0</v>
      </c>
      <c r="AE366" s="27"/>
      <c r="AF366" s="27">
        <v>-4.0</v>
      </c>
      <c r="AG366" s="27"/>
      <c r="AH366" s="27">
        <v>82.0</v>
      </c>
      <c r="AI366" s="27">
        <v>32.0</v>
      </c>
      <c r="AJ366" s="27">
        <v>2.0</v>
      </c>
      <c r="AK366" s="27" t="b">
        <v>0</v>
      </c>
      <c r="AL366" s="27">
        <v>100.0</v>
      </c>
      <c r="AM366" s="27" t="s">
        <v>188</v>
      </c>
      <c r="AN366" s="27" t="s">
        <v>404</v>
      </c>
      <c r="AO366" s="27"/>
    </row>
    <row r="367">
      <c r="A367" s="200">
        <v>44817.0251005787</v>
      </c>
      <c r="B367" s="19" t="s">
        <v>144</v>
      </c>
      <c r="C367" s="21" t="s">
        <v>342</v>
      </c>
      <c r="D367" s="62">
        <v>0.0</v>
      </c>
      <c r="E367" s="27">
        <v>2.0</v>
      </c>
      <c r="F367" s="27" t="s">
        <v>1317</v>
      </c>
      <c r="G367" s="201" t="s">
        <v>57</v>
      </c>
      <c r="H367" s="27" t="s">
        <v>103</v>
      </c>
      <c r="I367" s="27"/>
      <c r="J367" s="33">
        <v>13.5</v>
      </c>
      <c r="K367" s="33">
        <v>17.5</v>
      </c>
      <c r="L367" s="66">
        <v>50.5</v>
      </c>
      <c r="M367" s="27" t="s">
        <v>1318</v>
      </c>
      <c r="N367" s="27">
        <v>17.0</v>
      </c>
      <c r="O367" s="27"/>
      <c r="P367" s="27">
        <v>17.5</v>
      </c>
      <c r="Q367" s="27"/>
      <c r="R367" s="27">
        <v>17.5</v>
      </c>
      <c r="S367" s="27"/>
      <c r="T367" s="27">
        <v>18.0</v>
      </c>
      <c r="U367" s="27"/>
      <c r="V367" s="27">
        <v>17.5</v>
      </c>
      <c r="W367" s="27"/>
      <c r="X367" s="27">
        <v>17.5</v>
      </c>
      <c r="Y367" s="27"/>
      <c r="Z367" s="27">
        <v>17.5</v>
      </c>
      <c r="AA367" s="27"/>
      <c r="AB367" s="27">
        <v>17.5</v>
      </c>
      <c r="AC367" s="27"/>
      <c r="AD367" s="27">
        <v>18.0</v>
      </c>
      <c r="AE367" s="27"/>
      <c r="AF367" s="27">
        <v>18.0</v>
      </c>
      <c r="AG367" s="27"/>
      <c r="AH367" s="27">
        <v>23.0</v>
      </c>
      <c r="AI367" s="27">
        <v>79.0</v>
      </c>
      <c r="AJ367" s="27">
        <v>2.0</v>
      </c>
      <c r="AK367" s="27" t="b">
        <v>1</v>
      </c>
      <c r="AL367" s="27">
        <v>100.0</v>
      </c>
      <c r="AM367" s="27" t="s">
        <v>191</v>
      </c>
      <c r="AN367" s="27" t="s">
        <v>404</v>
      </c>
      <c r="AO367" s="27"/>
    </row>
    <row r="368">
      <c r="A368" s="200">
        <v>44817.0251005787</v>
      </c>
      <c r="B368" s="19" t="s">
        <v>144</v>
      </c>
      <c r="C368" s="21" t="s">
        <v>357</v>
      </c>
      <c r="D368" s="62">
        <v>2.0</v>
      </c>
      <c r="E368" s="27">
        <v>0.0</v>
      </c>
      <c r="F368" s="27" t="s">
        <v>1319</v>
      </c>
      <c r="G368" s="201" t="s">
        <v>57</v>
      </c>
      <c r="H368" s="27" t="s">
        <v>144</v>
      </c>
      <c r="I368" s="27"/>
      <c r="J368" s="33">
        <v>-27.0</v>
      </c>
      <c r="K368" s="33">
        <v>-27.5</v>
      </c>
      <c r="L368" s="66">
        <v>51.0</v>
      </c>
      <c r="M368" s="27" t="s">
        <v>1320</v>
      </c>
      <c r="N368" s="27">
        <v>-27.0</v>
      </c>
      <c r="O368" s="27"/>
      <c r="P368" s="27">
        <v>-27.5</v>
      </c>
      <c r="Q368" s="27"/>
      <c r="R368" s="27">
        <v>-27.0</v>
      </c>
      <c r="S368" s="27"/>
      <c r="T368" s="27">
        <v>-27.5</v>
      </c>
      <c r="U368" s="27"/>
      <c r="V368" s="27">
        <v>-27.5</v>
      </c>
      <c r="W368" s="27"/>
      <c r="X368" s="27">
        <v>-27.5</v>
      </c>
      <c r="Y368" s="27"/>
      <c r="Z368" s="27">
        <v>-26.5</v>
      </c>
      <c r="AA368" s="27"/>
      <c r="AB368" s="27">
        <v>-26.5</v>
      </c>
      <c r="AC368" s="27"/>
      <c r="AD368" s="27">
        <v>-26.5</v>
      </c>
      <c r="AE368" s="27"/>
      <c r="AF368" s="27">
        <v>-26.5</v>
      </c>
      <c r="AG368" s="27"/>
      <c r="AH368" s="27">
        <v>100.0</v>
      </c>
      <c r="AI368" s="27">
        <v>20.0</v>
      </c>
      <c r="AJ368" s="27">
        <v>2.0</v>
      </c>
      <c r="AK368" s="27" t="b">
        <v>0</v>
      </c>
      <c r="AL368" s="27">
        <v>100.0</v>
      </c>
      <c r="AM368" s="27" t="s">
        <v>186</v>
      </c>
      <c r="AN368" s="27" t="s">
        <v>404</v>
      </c>
      <c r="AO368" s="27"/>
    </row>
    <row r="369">
      <c r="A369" s="200">
        <v>44817.0251005787</v>
      </c>
      <c r="B369" s="19" t="s">
        <v>144</v>
      </c>
      <c r="C369" s="21" t="s">
        <v>338</v>
      </c>
      <c r="D369" s="62">
        <v>0.0</v>
      </c>
      <c r="E369" s="27">
        <v>2.0</v>
      </c>
      <c r="F369" s="27" t="s">
        <v>1319</v>
      </c>
      <c r="G369" s="201" t="s">
        <v>57</v>
      </c>
      <c r="H369" s="27" t="s">
        <v>144</v>
      </c>
      <c r="I369" s="27"/>
      <c r="J369" s="33">
        <v>27.0</v>
      </c>
      <c r="K369" s="33">
        <v>27.5</v>
      </c>
      <c r="L369" s="66">
        <v>51.0</v>
      </c>
      <c r="M369" s="27" t="s">
        <v>1320</v>
      </c>
      <c r="N369" s="27">
        <v>27.0</v>
      </c>
      <c r="O369" s="27"/>
      <c r="P369" s="27">
        <v>27.5</v>
      </c>
      <c r="Q369" s="27"/>
      <c r="R369" s="27">
        <v>27.0</v>
      </c>
      <c r="S369" s="27"/>
      <c r="T369" s="27">
        <v>27.5</v>
      </c>
      <c r="U369" s="27"/>
      <c r="V369" s="27">
        <v>27.5</v>
      </c>
      <c r="W369" s="27"/>
      <c r="X369" s="27">
        <v>27.5</v>
      </c>
      <c r="Y369" s="27"/>
      <c r="Z369" s="27">
        <v>26.5</v>
      </c>
      <c r="AA369" s="27"/>
      <c r="AB369" s="27">
        <v>26.5</v>
      </c>
      <c r="AC369" s="27"/>
      <c r="AD369" s="27">
        <v>26.5</v>
      </c>
      <c r="AE369" s="27"/>
      <c r="AF369" s="27">
        <v>26.5</v>
      </c>
      <c r="AG369" s="27"/>
      <c r="AH369" s="27">
        <v>34.0</v>
      </c>
      <c r="AI369" s="27">
        <v>59.0</v>
      </c>
      <c r="AJ369" s="27">
        <v>2.0</v>
      </c>
      <c r="AK369" s="27" t="b">
        <v>1</v>
      </c>
      <c r="AL369" s="27">
        <v>100.0</v>
      </c>
      <c r="AM369" s="27" t="s">
        <v>189</v>
      </c>
      <c r="AN369" s="27" t="s">
        <v>405</v>
      </c>
      <c r="AO369" s="27"/>
    </row>
    <row r="370">
      <c r="A370" s="200">
        <v>44817.0251005787</v>
      </c>
      <c r="B370" s="19" t="s">
        <v>144</v>
      </c>
      <c r="C370" s="21" t="s">
        <v>371</v>
      </c>
      <c r="D370" s="62">
        <v>0.0</v>
      </c>
      <c r="E370" s="27">
        <v>2.0</v>
      </c>
      <c r="F370" s="27" t="s">
        <v>1241</v>
      </c>
      <c r="G370" s="201" t="s">
        <v>183</v>
      </c>
      <c r="H370" s="27" t="s">
        <v>131</v>
      </c>
      <c r="I370" s="27"/>
      <c r="J370" s="33">
        <v>-11.5</v>
      </c>
      <c r="K370" s="33">
        <v>-13.5</v>
      </c>
      <c r="L370" s="66">
        <v>59.5</v>
      </c>
      <c r="M370" s="27" t="s">
        <v>1242</v>
      </c>
      <c r="N370" s="27">
        <v>-14.0</v>
      </c>
      <c r="O370" s="27"/>
      <c r="P370" s="27">
        <v>-14.0</v>
      </c>
      <c r="Q370" s="27"/>
      <c r="R370" s="27">
        <v>-13.5</v>
      </c>
      <c r="S370" s="27"/>
      <c r="T370" s="27">
        <v>-13.5</v>
      </c>
      <c r="U370" s="27"/>
      <c r="V370" s="27">
        <v>-14.0</v>
      </c>
      <c r="W370" s="27"/>
      <c r="X370" s="27">
        <v>-14.0</v>
      </c>
      <c r="Y370" s="27"/>
      <c r="Z370" s="27">
        <v>-14.0</v>
      </c>
      <c r="AA370" s="27"/>
      <c r="AB370" s="27">
        <v>-14.0</v>
      </c>
      <c r="AC370" s="27"/>
      <c r="AD370" s="27">
        <v>-13.5</v>
      </c>
      <c r="AE370" s="27"/>
      <c r="AF370" s="27">
        <v>-13.5</v>
      </c>
      <c r="AG370" s="27"/>
      <c r="AH370" s="27">
        <v>73.0</v>
      </c>
      <c r="AI370" s="27">
        <v>93.0</v>
      </c>
      <c r="AJ370" s="27">
        <v>2.0</v>
      </c>
      <c r="AK370" s="27" t="b">
        <v>1</v>
      </c>
      <c r="AL370" s="27">
        <v>100.0</v>
      </c>
      <c r="AM370" s="27" t="s">
        <v>187</v>
      </c>
      <c r="AN370" s="27" t="s">
        <v>404</v>
      </c>
      <c r="AO370" s="27"/>
    </row>
    <row r="371">
      <c r="A371" s="200">
        <v>44817.0251005787</v>
      </c>
      <c r="B371" s="19"/>
      <c r="C371" s="21"/>
      <c r="D371" s="62"/>
      <c r="E371" s="27"/>
      <c r="F371" s="27"/>
      <c r="G371" s="201"/>
      <c r="H371" s="27"/>
      <c r="I371" s="27"/>
      <c r="J371" s="33"/>
      <c r="K371" s="33"/>
      <c r="L371" s="66"/>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t="e">
        <v>#N/A</v>
      </c>
      <c r="AN371" s="27" t="e">
        <v>#N/A</v>
      </c>
      <c r="AO371" s="27"/>
    </row>
    <row r="372">
      <c r="A372" s="200">
        <v>44817.0251005787</v>
      </c>
      <c r="B372" s="19" t="s">
        <v>166</v>
      </c>
      <c r="C372" s="21" t="s">
        <v>351</v>
      </c>
      <c r="D372" s="62">
        <v>0.0</v>
      </c>
      <c r="E372" s="27">
        <v>3.0</v>
      </c>
      <c r="F372" s="27" t="s">
        <v>1264</v>
      </c>
      <c r="G372" s="201" t="s">
        <v>57</v>
      </c>
      <c r="H372" s="27" t="s">
        <v>59</v>
      </c>
      <c r="I372" s="27"/>
      <c r="J372" s="33">
        <v>48.5</v>
      </c>
      <c r="K372" s="33">
        <v>53.0</v>
      </c>
      <c r="L372" s="66">
        <v>67.5</v>
      </c>
      <c r="M372" s="27" t="s">
        <v>1230</v>
      </c>
      <c r="N372" s="27">
        <v>52.5</v>
      </c>
      <c r="O372" s="27"/>
      <c r="P372" s="27">
        <v>53.0</v>
      </c>
      <c r="Q372" s="27"/>
      <c r="R372" s="27">
        <v>53.0</v>
      </c>
      <c r="S372" s="27"/>
      <c r="T372" s="27">
        <v>53.0</v>
      </c>
      <c r="U372" s="27"/>
      <c r="V372" s="27">
        <v>53.5</v>
      </c>
      <c r="W372" s="27"/>
      <c r="X372" s="27">
        <v>52.5</v>
      </c>
      <c r="Y372" s="27"/>
      <c r="Z372" s="27">
        <v>52.5</v>
      </c>
      <c r="AA372" s="27"/>
      <c r="AB372" s="27">
        <v>53.0</v>
      </c>
      <c r="AC372" s="27"/>
      <c r="AD372" s="27">
        <v>53.0</v>
      </c>
      <c r="AE372" s="27"/>
      <c r="AF372" s="27">
        <v>53.0</v>
      </c>
      <c r="AG372" s="27"/>
      <c r="AH372" s="27">
        <v>37.0</v>
      </c>
      <c r="AI372" s="27">
        <v>168.0</v>
      </c>
      <c r="AJ372" s="27">
        <v>2.0</v>
      </c>
      <c r="AK372" s="27" t="b">
        <v>0</v>
      </c>
      <c r="AL372" s="27">
        <v>100.0</v>
      </c>
      <c r="AM372" s="27" t="s">
        <v>129</v>
      </c>
      <c r="AN372" s="27" t="s">
        <v>405</v>
      </c>
      <c r="AO372" s="27"/>
    </row>
    <row r="373">
      <c r="A373" s="200">
        <v>44817.0251005787</v>
      </c>
      <c r="B373" s="19" t="s">
        <v>166</v>
      </c>
      <c r="C373" s="21" t="s">
        <v>327</v>
      </c>
      <c r="D373" s="62">
        <v>2.0</v>
      </c>
      <c r="E373" s="27">
        <v>0.0</v>
      </c>
      <c r="F373" s="27" t="s">
        <v>1321</v>
      </c>
      <c r="G373" s="201" t="s">
        <v>57</v>
      </c>
      <c r="H373" s="27"/>
      <c r="I373" s="27"/>
      <c r="J373" s="33">
        <v>-21.5</v>
      </c>
      <c r="K373" s="33">
        <v>-24.5</v>
      </c>
      <c r="L373" s="66">
        <v>49.5</v>
      </c>
      <c r="M373" s="27" t="s">
        <v>1322</v>
      </c>
      <c r="N373" s="27">
        <v>-24.5</v>
      </c>
      <c r="O373" s="27"/>
      <c r="P373" s="27">
        <v>-24.5</v>
      </c>
      <c r="Q373" s="27"/>
      <c r="R373" s="27">
        <v>-24.0</v>
      </c>
      <c r="S373" s="27"/>
      <c r="T373" s="27">
        <v>-24.5</v>
      </c>
      <c r="U373" s="27"/>
      <c r="V373" s="27">
        <v>-24.5</v>
      </c>
      <c r="W373" s="27"/>
      <c r="X373" s="27">
        <v>-24.5</v>
      </c>
      <c r="Y373" s="27"/>
      <c r="Z373" s="27">
        <v>-24.5</v>
      </c>
      <c r="AA373" s="27"/>
      <c r="AB373" s="27">
        <v>-24.5</v>
      </c>
      <c r="AC373" s="27"/>
      <c r="AD373" s="27"/>
      <c r="AE373" s="27"/>
      <c r="AF373" s="27"/>
      <c r="AG373" s="27"/>
      <c r="AH373" s="27">
        <v>58.0</v>
      </c>
      <c r="AI373" s="27">
        <v>42.0</v>
      </c>
      <c r="AJ373" s="27">
        <v>2.0</v>
      </c>
      <c r="AK373" s="27" t="b">
        <v>0</v>
      </c>
      <c r="AL373" s="27">
        <v>100.0</v>
      </c>
      <c r="AM373" s="27" t="s">
        <v>188</v>
      </c>
      <c r="AN373" s="27" t="s">
        <v>404</v>
      </c>
      <c r="AO373" s="27"/>
    </row>
    <row r="374">
      <c r="A374" s="200">
        <v>44817.0251005787</v>
      </c>
      <c r="B374" s="19" t="s">
        <v>166</v>
      </c>
      <c r="C374" s="21" t="s">
        <v>337</v>
      </c>
      <c r="D374" s="62">
        <v>2.0</v>
      </c>
      <c r="E374" s="27">
        <v>0.0</v>
      </c>
      <c r="F374" s="27" t="s">
        <v>1287</v>
      </c>
      <c r="G374" s="201" t="s">
        <v>57</v>
      </c>
      <c r="H374" s="27" t="s">
        <v>141</v>
      </c>
      <c r="I374" s="27"/>
      <c r="J374" s="33">
        <v>-22.0</v>
      </c>
      <c r="K374" s="33">
        <v>-24.0</v>
      </c>
      <c r="L374" s="66">
        <v>49.0</v>
      </c>
      <c r="M374" s="27" t="s">
        <v>1288</v>
      </c>
      <c r="N374" s="27">
        <v>-24.0</v>
      </c>
      <c r="O374" s="27"/>
      <c r="P374" s="27">
        <v>-24.0</v>
      </c>
      <c r="Q374" s="27"/>
      <c r="R374" s="27">
        <v>-24.0</v>
      </c>
      <c r="S374" s="27"/>
      <c r="T374" s="27">
        <v>-24.0</v>
      </c>
      <c r="U374" s="27"/>
      <c r="V374" s="27">
        <v>-24.0</v>
      </c>
      <c r="W374" s="27"/>
      <c r="X374" s="27">
        <v>-24.0</v>
      </c>
      <c r="Y374" s="27"/>
      <c r="Z374" s="27">
        <v>-24.0</v>
      </c>
      <c r="AA374" s="27"/>
      <c r="AB374" s="27">
        <v>-24.0</v>
      </c>
      <c r="AC374" s="27"/>
      <c r="AD374" s="27">
        <v>-24.0</v>
      </c>
      <c r="AE374" s="27"/>
      <c r="AF374" s="27">
        <v>-24.0</v>
      </c>
      <c r="AG374" s="27"/>
      <c r="AH374" s="27">
        <v>66.0</v>
      </c>
      <c r="AI374" s="27">
        <v>32.0</v>
      </c>
      <c r="AJ374" s="27">
        <v>2.0</v>
      </c>
      <c r="AK374" s="27" t="b">
        <v>1</v>
      </c>
      <c r="AL374" s="27">
        <v>100.0</v>
      </c>
      <c r="AM374" s="27" t="s">
        <v>192</v>
      </c>
      <c r="AN374" s="27" t="s">
        <v>404</v>
      </c>
      <c r="AO374" s="27"/>
    </row>
    <row r="375">
      <c r="A375" s="200">
        <v>44817.0251005787</v>
      </c>
      <c r="B375" s="19" t="s">
        <v>166</v>
      </c>
      <c r="C375" s="21" t="s">
        <v>334</v>
      </c>
      <c r="D375" s="62">
        <v>1.0</v>
      </c>
      <c r="E375" s="27">
        <v>1.0</v>
      </c>
      <c r="F375" s="27" t="s">
        <v>1323</v>
      </c>
      <c r="G375" s="201" t="s">
        <v>57</v>
      </c>
      <c r="H375" s="27"/>
      <c r="I375" s="27"/>
      <c r="J375" s="33">
        <v>-4.5</v>
      </c>
      <c r="K375" s="33">
        <v>-6.0</v>
      </c>
      <c r="L375" s="66">
        <v>65.0</v>
      </c>
      <c r="M375" s="27" t="s">
        <v>1324</v>
      </c>
      <c r="N375" s="27">
        <v>-6.5</v>
      </c>
      <c r="O375" s="27"/>
      <c r="P375" s="27">
        <v>-6.5</v>
      </c>
      <c r="Q375" s="27"/>
      <c r="R375" s="27">
        <v>-6.0</v>
      </c>
      <c r="S375" s="27"/>
      <c r="T375" s="27">
        <v>-6.0</v>
      </c>
      <c r="U375" s="27"/>
      <c r="V375" s="27">
        <v>-6.5</v>
      </c>
      <c r="W375" s="27"/>
      <c r="X375" s="27">
        <v>-6.5</v>
      </c>
      <c r="Y375" s="27"/>
      <c r="Z375" s="27">
        <v>-6.0</v>
      </c>
      <c r="AA375" s="27"/>
      <c r="AB375" s="27">
        <v>-6.0</v>
      </c>
      <c r="AC375" s="27"/>
      <c r="AD375" s="27"/>
      <c r="AE375" s="27"/>
      <c r="AF375" s="27"/>
      <c r="AG375" s="27"/>
      <c r="AH375" s="27">
        <v>76.0</v>
      </c>
      <c r="AI375" s="27">
        <v>69.0</v>
      </c>
      <c r="AJ375" s="27">
        <v>2.0</v>
      </c>
      <c r="AK375" s="27" t="b">
        <v>0</v>
      </c>
      <c r="AL375" s="27">
        <v>100.0</v>
      </c>
      <c r="AM375" s="27" t="s">
        <v>189</v>
      </c>
      <c r="AN375" s="27" t="s">
        <v>405</v>
      </c>
      <c r="AO375" s="27"/>
    </row>
    <row r="376">
      <c r="A376" s="200">
        <v>44817.0251005787</v>
      </c>
      <c r="B376" s="19" t="s">
        <v>166</v>
      </c>
      <c r="C376" s="21" t="s">
        <v>399</v>
      </c>
      <c r="D376" s="62">
        <v>2.0</v>
      </c>
      <c r="E376" s="27">
        <v>0.0</v>
      </c>
      <c r="F376" s="27" t="s">
        <v>1325</v>
      </c>
      <c r="G376" s="201" t="s">
        <v>57</v>
      </c>
      <c r="H376" s="27" t="s">
        <v>103</v>
      </c>
      <c r="I376" s="27"/>
      <c r="J376" s="33">
        <v>4.0</v>
      </c>
      <c r="K376" s="33">
        <v>6.0</v>
      </c>
      <c r="L376" s="66">
        <v>50.5</v>
      </c>
      <c r="M376" s="27" t="s">
        <v>1326</v>
      </c>
      <c r="N376" s="27">
        <v>6.5</v>
      </c>
      <c r="O376" s="27"/>
      <c r="P376" s="27">
        <v>6.0</v>
      </c>
      <c r="Q376" s="27"/>
      <c r="R376" s="27">
        <v>6.0</v>
      </c>
      <c r="S376" s="27"/>
      <c r="T376" s="27">
        <v>6.0</v>
      </c>
      <c r="U376" s="27"/>
      <c r="V376" s="27">
        <v>6.0</v>
      </c>
      <c r="W376" s="27"/>
      <c r="X376" s="27">
        <v>6.0</v>
      </c>
      <c r="Y376" s="27"/>
      <c r="Z376" s="27">
        <v>6.0</v>
      </c>
      <c r="AA376" s="27"/>
      <c r="AB376" s="27">
        <v>6.0</v>
      </c>
      <c r="AC376" s="27"/>
      <c r="AD376" s="27">
        <v>6.0</v>
      </c>
      <c r="AE376" s="27"/>
      <c r="AF376" s="27">
        <v>6.0</v>
      </c>
      <c r="AG376" s="27"/>
      <c r="AH376" s="27">
        <v>50.0</v>
      </c>
      <c r="AI376" s="27">
        <v>41.0</v>
      </c>
      <c r="AJ376" s="27">
        <v>2.0</v>
      </c>
      <c r="AK376" s="27" t="b">
        <v>0</v>
      </c>
      <c r="AL376" s="27">
        <v>100.0</v>
      </c>
      <c r="AM376" s="27" t="s">
        <v>190</v>
      </c>
      <c r="AN376" s="27" t="s">
        <v>405</v>
      </c>
      <c r="AO376" s="27"/>
    </row>
    <row r="377">
      <c r="A377" s="200">
        <v>44817.0251005787</v>
      </c>
      <c r="B377" s="19" t="s">
        <v>166</v>
      </c>
      <c r="C377" s="21" t="s">
        <v>333</v>
      </c>
      <c r="D377" s="62">
        <v>2.0</v>
      </c>
      <c r="E377" s="27">
        <v>0.0</v>
      </c>
      <c r="F377" s="27" t="s">
        <v>1269</v>
      </c>
      <c r="G377" s="201" t="s">
        <v>57</v>
      </c>
      <c r="H377" s="27" t="s">
        <v>59</v>
      </c>
      <c r="I377" s="27"/>
      <c r="J377" s="33">
        <v>-13.5</v>
      </c>
      <c r="K377" s="33">
        <v>-12.5</v>
      </c>
      <c r="L377" s="66">
        <v>50.0</v>
      </c>
      <c r="M377" s="27" t="s">
        <v>1270</v>
      </c>
      <c r="N377" s="27">
        <v>-12.5</v>
      </c>
      <c r="O377" s="27"/>
      <c r="P377" s="27">
        <v>-12.5</v>
      </c>
      <c r="Q377" s="27"/>
      <c r="R377" s="27">
        <v>-12.0</v>
      </c>
      <c r="S377" s="27"/>
      <c r="T377" s="27">
        <v>-12.5</v>
      </c>
      <c r="U377" s="27"/>
      <c r="V377" s="27">
        <v>-12.0</v>
      </c>
      <c r="W377" s="27"/>
      <c r="X377" s="27">
        <v>-12.0</v>
      </c>
      <c r="Y377" s="27"/>
      <c r="Z377" s="27">
        <v>-12.5</v>
      </c>
      <c r="AA377" s="27"/>
      <c r="AB377" s="27">
        <v>-13.0</v>
      </c>
      <c r="AC377" s="27"/>
      <c r="AD377" s="27">
        <v>-12.5</v>
      </c>
      <c r="AE377" s="27"/>
      <c r="AF377" s="27">
        <v>-12.5</v>
      </c>
      <c r="AG377" s="27"/>
      <c r="AH377" s="27">
        <v>54.0</v>
      </c>
      <c r="AI377" s="27">
        <v>27.0</v>
      </c>
      <c r="AJ377" s="27">
        <v>2.0</v>
      </c>
      <c r="AK377" s="27" t="b">
        <v>1</v>
      </c>
      <c r="AL377" s="27">
        <v>100.0</v>
      </c>
      <c r="AM377" s="27" t="s">
        <v>191</v>
      </c>
      <c r="AN377" s="27" t="s">
        <v>404</v>
      </c>
      <c r="AO377" s="27"/>
    </row>
    <row r="378">
      <c r="A378" s="200">
        <v>44817.0251005787</v>
      </c>
      <c r="B378" s="19" t="s">
        <v>166</v>
      </c>
      <c r="C378" s="21" t="s">
        <v>306</v>
      </c>
      <c r="D378" s="62">
        <v>2.0</v>
      </c>
      <c r="E378" s="27">
        <v>0.0</v>
      </c>
      <c r="F378" s="27" t="s">
        <v>1312</v>
      </c>
      <c r="G378" s="201" t="s">
        <v>57</v>
      </c>
      <c r="H378" s="27" t="s">
        <v>109</v>
      </c>
      <c r="I378" s="27"/>
      <c r="J378" s="33">
        <v>-20.0</v>
      </c>
      <c r="K378" s="33">
        <v>20.5</v>
      </c>
      <c r="L378" s="66">
        <v>48.0</v>
      </c>
      <c r="M378" s="27" t="s">
        <v>1150</v>
      </c>
      <c r="N378" s="27">
        <v>20.5</v>
      </c>
      <c r="O378" s="27"/>
      <c r="P378" s="27">
        <v>20.5</v>
      </c>
      <c r="Q378" s="27"/>
      <c r="R378" s="27">
        <v>20.0</v>
      </c>
      <c r="S378" s="27"/>
      <c r="T378" s="27">
        <v>21.0</v>
      </c>
      <c r="U378" s="27"/>
      <c r="V378" s="27">
        <v>20.5</v>
      </c>
      <c r="W378" s="27"/>
      <c r="X378" s="27">
        <v>20.5</v>
      </c>
      <c r="Y378" s="27"/>
      <c r="Z378" s="27">
        <v>20.5</v>
      </c>
      <c r="AA378" s="27"/>
      <c r="AB378" s="27">
        <v>20.5</v>
      </c>
      <c r="AC378" s="27"/>
      <c r="AD378" s="27">
        <v>21.0</v>
      </c>
      <c r="AE378" s="27"/>
      <c r="AF378" s="27">
        <v>21.0</v>
      </c>
      <c r="AG378" s="27"/>
      <c r="AH378" s="27">
        <v>81.0</v>
      </c>
      <c r="AI378" s="27">
        <v>24.0</v>
      </c>
      <c r="AJ378" s="27">
        <v>2.0</v>
      </c>
      <c r="AK378" s="27" t="b">
        <v>0</v>
      </c>
      <c r="AL378" s="27">
        <v>100.0</v>
      </c>
      <c r="AM378" s="27" t="s">
        <v>193</v>
      </c>
      <c r="AN378" s="27" t="s">
        <v>405</v>
      </c>
      <c r="AO378" s="27"/>
    </row>
    <row r="379">
      <c r="A379" s="200">
        <v>44817.0251005787</v>
      </c>
      <c r="B379" s="19" t="s">
        <v>166</v>
      </c>
      <c r="C379" s="21" t="s">
        <v>364</v>
      </c>
      <c r="D379" s="62">
        <v>1.0</v>
      </c>
      <c r="E379" s="27">
        <v>1.0</v>
      </c>
      <c r="F379" s="27" t="s">
        <v>1293</v>
      </c>
      <c r="G379" s="201" t="s">
        <v>57</v>
      </c>
      <c r="H379" s="27" t="s">
        <v>141</v>
      </c>
      <c r="I379" s="27"/>
      <c r="J379" s="33">
        <v>14.5</v>
      </c>
      <c r="K379" s="33">
        <v>20.5</v>
      </c>
      <c r="L379" s="66">
        <v>65.0</v>
      </c>
      <c r="M379" s="27" t="s">
        <v>1294</v>
      </c>
      <c r="N379" s="27">
        <v>21.0</v>
      </c>
      <c r="O379" s="27"/>
      <c r="P379" s="27">
        <v>21.5</v>
      </c>
      <c r="Q379" s="27"/>
      <c r="R379" s="27">
        <v>21.0</v>
      </c>
      <c r="S379" s="27"/>
      <c r="T379" s="27">
        <v>20.5</v>
      </c>
      <c r="U379" s="27"/>
      <c r="V379" s="27">
        <v>21.0</v>
      </c>
      <c r="W379" s="27"/>
      <c r="X379" s="27">
        <v>21.0</v>
      </c>
      <c r="Y379" s="27"/>
      <c r="Z379" s="27">
        <v>21.0</v>
      </c>
      <c r="AA379" s="27"/>
      <c r="AB379" s="27">
        <v>21.5</v>
      </c>
      <c r="AC379" s="27"/>
      <c r="AD379" s="27">
        <v>20.5</v>
      </c>
      <c r="AE379" s="27"/>
      <c r="AF379" s="27">
        <v>20.5</v>
      </c>
      <c r="AG379" s="27"/>
      <c r="AH379" s="27">
        <v>71.0</v>
      </c>
      <c r="AI379" s="27">
        <v>30.0</v>
      </c>
      <c r="AJ379" s="27">
        <v>2.0</v>
      </c>
      <c r="AK379" s="27" t="b">
        <v>1</v>
      </c>
      <c r="AL379" s="27">
        <v>100.0</v>
      </c>
      <c r="AM379" s="27" t="s">
        <v>187</v>
      </c>
      <c r="AN379" s="27" t="s">
        <v>404</v>
      </c>
      <c r="AO379" s="27"/>
    </row>
    <row r="380">
      <c r="A380" s="200">
        <v>44817.0251005787</v>
      </c>
      <c r="B380" s="19" t="s">
        <v>166</v>
      </c>
      <c r="C380" s="21" t="s">
        <v>370</v>
      </c>
      <c r="D380" s="62">
        <v>1.0</v>
      </c>
      <c r="E380" s="27">
        <v>1.0</v>
      </c>
      <c r="F380" s="27" t="s">
        <v>1243</v>
      </c>
      <c r="G380" s="201" t="s">
        <v>183</v>
      </c>
      <c r="H380" s="27" t="s">
        <v>131</v>
      </c>
      <c r="I380" s="27"/>
      <c r="J380" s="33">
        <v>3.0</v>
      </c>
      <c r="K380" s="33">
        <v>6.0</v>
      </c>
      <c r="L380" s="66">
        <v>63.0</v>
      </c>
      <c r="M380" s="27" t="s">
        <v>1244</v>
      </c>
      <c r="N380" s="27">
        <v>5.5</v>
      </c>
      <c r="O380" s="27"/>
      <c r="P380" s="27">
        <v>6.0</v>
      </c>
      <c r="Q380" s="27"/>
      <c r="R380" s="27">
        <v>6.0</v>
      </c>
      <c r="S380" s="27"/>
      <c r="T380" s="27">
        <v>6.0</v>
      </c>
      <c r="U380" s="27"/>
      <c r="V380" s="27">
        <v>6.0</v>
      </c>
      <c r="W380" s="27"/>
      <c r="X380" s="27">
        <v>6.0</v>
      </c>
      <c r="Y380" s="27"/>
      <c r="Z380" s="27">
        <v>5.5</v>
      </c>
      <c r="AA380" s="27"/>
      <c r="AB380" s="27">
        <v>6.5</v>
      </c>
      <c r="AC380" s="27"/>
      <c r="AD380" s="27">
        <v>6.0</v>
      </c>
      <c r="AE380" s="27"/>
      <c r="AF380" s="27">
        <v>6.0</v>
      </c>
      <c r="AG380" s="27"/>
      <c r="AH380" s="27">
        <v>65.0</v>
      </c>
      <c r="AI380" s="27">
        <v>65.0</v>
      </c>
      <c r="AJ380" s="27">
        <v>2.0</v>
      </c>
      <c r="AK380" s="27" t="b">
        <v>1</v>
      </c>
      <c r="AL380" s="27">
        <v>100.0</v>
      </c>
      <c r="AM380" s="27" t="s">
        <v>186</v>
      </c>
      <c r="AN380" s="27" t="s">
        <v>404</v>
      </c>
      <c r="AO380" s="27"/>
    </row>
    <row r="381">
      <c r="A381" s="200">
        <v>44817.0251005787</v>
      </c>
      <c r="B381" s="19" t="s">
        <v>166</v>
      </c>
      <c r="C381" s="21" t="s">
        <v>398</v>
      </c>
      <c r="D381" s="62">
        <v>0.0</v>
      </c>
      <c r="E381" s="27">
        <v>2.0</v>
      </c>
      <c r="F381" s="27" t="s">
        <v>1283</v>
      </c>
      <c r="G381" s="201" t="s">
        <v>183</v>
      </c>
      <c r="H381" s="27" t="s">
        <v>138</v>
      </c>
      <c r="I381" s="27"/>
      <c r="J381" s="33">
        <v>1.0</v>
      </c>
      <c r="K381" s="33">
        <v>2.5</v>
      </c>
      <c r="L381" s="66">
        <v>53.5</v>
      </c>
      <c r="M381" s="27" t="s">
        <v>1284</v>
      </c>
      <c r="N381" s="27">
        <v>2.5</v>
      </c>
      <c r="O381" s="27"/>
      <c r="P381" s="27">
        <v>2.0</v>
      </c>
      <c r="Q381" s="27"/>
      <c r="R381" s="27">
        <v>2.0</v>
      </c>
      <c r="S381" s="27"/>
      <c r="T381" s="27">
        <v>2.5</v>
      </c>
      <c r="U381" s="27"/>
      <c r="V381" s="27">
        <v>2.0</v>
      </c>
      <c r="W381" s="27"/>
      <c r="X381" s="27">
        <v>2.0</v>
      </c>
      <c r="Y381" s="27"/>
      <c r="Z381" s="27">
        <v>2.0</v>
      </c>
      <c r="AA381" s="27"/>
      <c r="AB381" s="27">
        <v>3.0</v>
      </c>
      <c r="AC381" s="27"/>
      <c r="AD381" s="27">
        <v>2.5</v>
      </c>
      <c r="AE381" s="27"/>
      <c r="AF381" s="27">
        <v>2.5</v>
      </c>
      <c r="AG381" s="27"/>
      <c r="AH381" s="27">
        <v>66.0</v>
      </c>
      <c r="AI381" s="27">
        <v>79.0</v>
      </c>
      <c r="AJ381" s="27">
        <v>2.0</v>
      </c>
      <c r="AK381" s="27" t="b">
        <v>0</v>
      </c>
      <c r="AL381" s="27">
        <v>100.0</v>
      </c>
      <c r="AM381" s="27" t="s">
        <v>389</v>
      </c>
      <c r="AN381" s="27" t="s">
        <v>405</v>
      </c>
      <c r="AO381" s="27"/>
    </row>
    <row r="382">
      <c r="A382" s="200">
        <v>44817.0251005787</v>
      </c>
      <c r="B382" s="19"/>
      <c r="C382" s="21"/>
      <c r="D382" s="62"/>
      <c r="E382" s="27"/>
      <c r="F382" s="27"/>
      <c r="G382" s="201"/>
      <c r="H382" s="27"/>
      <c r="I382" s="27"/>
      <c r="J382" s="33"/>
      <c r="K382" s="33"/>
      <c r="L382" s="66"/>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t="e">
        <v>#N/A</v>
      </c>
      <c r="AN382" s="27" t="e">
        <v>#N/A</v>
      </c>
      <c r="AO382" s="27"/>
    </row>
    <row r="383">
      <c r="A383" s="200">
        <v>44817.0251005787</v>
      </c>
      <c r="B383" s="19" t="s">
        <v>116</v>
      </c>
      <c r="C383" s="21" t="s">
        <v>369</v>
      </c>
      <c r="D383" s="62">
        <v>2.0</v>
      </c>
      <c r="E383" s="27">
        <v>0.0</v>
      </c>
      <c r="F383" s="27" t="s">
        <v>1275</v>
      </c>
      <c r="G383" s="201" t="s">
        <v>57</v>
      </c>
      <c r="H383" s="27" t="s">
        <v>138</v>
      </c>
      <c r="I383" s="27"/>
      <c r="J383" s="33">
        <v>-11.5</v>
      </c>
      <c r="K383" s="33">
        <v>-8.5</v>
      </c>
      <c r="L383" s="66">
        <v>65.5</v>
      </c>
      <c r="M383" s="27" t="s">
        <v>1276</v>
      </c>
      <c r="N383" s="27">
        <v>-9.5</v>
      </c>
      <c r="O383" s="27"/>
      <c r="P383" s="27">
        <v>-9.5</v>
      </c>
      <c r="Q383" s="27"/>
      <c r="R383" s="27">
        <v>-9.5</v>
      </c>
      <c r="S383" s="27"/>
      <c r="T383" s="27">
        <v>-8.5</v>
      </c>
      <c r="U383" s="27"/>
      <c r="V383" s="27">
        <v>-9.5</v>
      </c>
      <c r="W383" s="27"/>
      <c r="X383" s="27">
        <v>-10.0</v>
      </c>
      <c r="Y383" s="27"/>
      <c r="Z383" s="27">
        <v>-9.5</v>
      </c>
      <c r="AA383" s="27"/>
      <c r="AB383" s="27">
        <v>-9.0</v>
      </c>
      <c r="AC383" s="27"/>
      <c r="AD383" s="27">
        <v>-8.5</v>
      </c>
      <c r="AE383" s="27"/>
      <c r="AF383" s="27">
        <v>-8.5</v>
      </c>
      <c r="AG383" s="27"/>
      <c r="AH383" s="27">
        <v>107.0</v>
      </c>
      <c r="AI383" s="27">
        <v>42.0</v>
      </c>
      <c r="AJ383" s="27">
        <v>2.0</v>
      </c>
      <c r="AK383" s="27" t="b">
        <v>1</v>
      </c>
      <c r="AL383" s="27">
        <v>100.0</v>
      </c>
      <c r="AM383" s="27" t="s">
        <v>191</v>
      </c>
      <c r="AN383" s="27" t="s">
        <v>404</v>
      </c>
      <c r="AO383" s="27"/>
    </row>
    <row r="384">
      <c r="A384" s="200">
        <v>44817.0251005787</v>
      </c>
      <c r="B384" s="19" t="s">
        <v>116</v>
      </c>
      <c r="C384" s="21" t="s">
        <v>354</v>
      </c>
      <c r="D384" s="62">
        <v>2.0</v>
      </c>
      <c r="E384" s="27">
        <v>0.0</v>
      </c>
      <c r="F384" s="27" t="s">
        <v>1302</v>
      </c>
      <c r="G384" s="201" t="s">
        <v>57</v>
      </c>
      <c r="H384" s="27" t="s">
        <v>109</v>
      </c>
      <c r="I384" s="27"/>
      <c r="J384" s="33">
        <v>-11.0</v>
      </c>
      <c r="K384" s="33">
        <v>-11.5</v>
      </c>
      <c r="L384" s="66">
        <v>58.0</v>
      </c>
      <c r="M384" s="27" t="s">
        <v>1303</v>
      </c>
      <c r="N384" s="27">
        <v>-11.5</v>
      </c>
      <c r="O384" s="27"/>
      <c r="P384" s="27">
        <v>-11.5</v>
      </c>
      <c r="Q384" s="27"/>
      <c r="R384" s="27">
        <v>-11.0</v>
      </c>
      <c r="S384" s="27"/>
      <c r="T384" s="27">
        <v>-11.5</v>
      </c>
      <c r="U384" s="27"/>
      <c r="V384" s="27">
        <v>-11.5</v>
      </c>
      <c r="W384" s="27"/>
      <c r="X384" s="27">
        <v>-12.0</v>
      </c>
      <c r="Y384" s="27"/>
      <c r="Z384" s="27">
        <v>-12.0</v>
      </c>
      <c r="AA384" s="27"/>
      <c r="AB384" s="27">
        <v>-12.5</v>
      </c>
      <c r="AC384" s="27"/>
      <c r="AD384" s="27">
        <v>-11.5</v>
      </c>
      <c r="AE384" s="27"/>
      <c r="AF384" s="27">
        <v>-11.5</v>
      </c>
      <c r="AG384" s="27"/>
      <c r="AH384" s="27">
        <v>92.0</v>
      </c>
      <c r="AI384" s="27">
        <v>61.0</v>
      </c>
      <c r="AJ384" s="27">
        <v>2.0</v>
      </c>
      <c r="AK384" s="27" t="b">
        <v>1</v>
      </c>
      <c r="AL384" s="27">
        <v>100.0</v>
      </c>
      <c r="AM384" s="27" t="s">
        <v>187</v>
      </c>
      <c r="AN384" s="27" t="s">
        <v>404</v>
      </c>
      <c r="AO384" s="27"/>
    </row>
    <row r="385">
      <c r="A385" s="200">
        <v>44817.0251005787</v>
      </c>
      <c r="B385" s="19" t="s">
        <v>116</v>
      </c>
      <c r="C385" s="21" t="s">
        <v>348</v>
      </c>
      <c r="D385" s="62">
        <v>1.0</v>
      </c>
      <c r="E385" s="27">
        <v>1.0</v>
      </c>
      <c r="F385" s="27" t="s">
        <v>1327</v>
      </c>
      <c r="G385" s="201" t="s">
        <v>57</v>
      </c>
      <c r="H385" s="27"/>
      <c r="I385" s="27"/>
      <c r="J385" s="33">
        <v>-21.0</v>
      </c>
      <c r="K385" s="33">
        <v>-24.5</v>
      </c>
      <c r="L385" s="66">
        <v>65.5</v>
      </c>
      <c r="M385" s="27" t="s">
        <v>1328</v>
      </c>
      <c r="N385" s="27">
        <v>-24.0</v>
      </c>
      <c r="O385" s="27"/>
      <c r="P385" s="27">
        <v>-24.0</v>
      </c>
      <c r="Q385" s="27"/>
      <c r="R385" s="27">
        <v>-24.0</v>
      </c>
      <c r="S385" s="27"/>
      <c r="T385" s="27">
        <v>-24.5</v>
      </c>
      <c r="U385" s="27"/>
      <c r="V385" s="27">
        <v>-24.5</v>
      </c>
      <c r="W385" s="27"/>
      <c r="X385" s="27">
        <v>-24.5</v>
      </c>
      <c r="Y385" s="27"/>
      <c r="Z385" s="27">
        <v>-24.5</v>
      </c>
      <c r="AA385" s="27"/>
      <c r="AB385" s="27">
        <v>-24.5</v>
      </c>
      <c r="AC385" s="27"/>
      <c r="AD385" s="27"/>
      <c r="AE385" s="27"/>
      <c r="AF385" s="27"/>
      <c r="AG385" s="27"/>
      <c r="AH385" s="27">
        <v>45.0</v>
      </c>
      <c r="AI385" s="27">
        <v>58.0</v>
      </c>
      <c r="AJ385" s="27">
        <v>2.0</v>
      </c>
      <c r="AK385" s="27" t="b">
        <v>0</v>
      </c>
      <c r="AL385" s="27">
        <v>100.0</v>
      </c>
      <c r="AM385" s="27" t="s">
        <v>186</v>
      </c>
      <c r="AN385" s="27" t="s">
        <v>404</v>
      </c>
      <c r="AO385" s="27"/>
    </row>
    <row r="386">
      <c r="A386" s="200">
        <v>44817.0251005787</v>
      </c>
      <c r="B386" s="19" t="s">
        <v>116</v>
      </c>
      <c r="C386" s="21" t="s">
        <v>355</v>
      </c>
      <c r="D386" s="62">
        <v>1.0</v>
      </c>
      <c r="E386" s="27">
        <v>1.0</v>
      </c>
      <c r="F386" s="27" t="s">
        <v>1329</v>
      </c>
      <c r="G386" s="201" t="s">
        <v>57</v>
      </c>
      <c r="H386" s="27"/>
      <c r="I386" s="27"/>
      <c r="J386" s="33">
        <v>-10.5</v>
      </c>
      <c r="K386" s="33">
        <v>-7.5</v>
      </c>
      <c r="L386" s="66">
        <v>53.5</v>
      </c>
      <c r="M386" s="27" t="s">
        <v>1330</v>
      </c>
      <c r="N386" s="27">
        <v>-7.5</v>
      </c>
      <c r="O386" s="27"/>
      <c r="P386" s="27">
        <v>-7.0</v>
      </c>
      <c r="Q386" s="27"/>
      <c r="R386" s="27">
        <v>-7.5</v>
      </c>
      <c r="S386" s="27"/>
      <c r="T386" s="27">
        <v>-7.5</v>
      </c>
      <c r="U386" s="27"/>
      <c r="V386" s="27">
        <v>-7.5</v>
      </c>
      <c r="W386" s="27"/>
      <c r="X386" s="27">
        <v>-7.0</v>
      </c>
      <c r="Y386" s="27"/>
      <c r="Z386" s="27">
        <v>-7.5</v>
      </c>
      <c r="AA386" s="27"/>
      <c r="AB386" s="27">
        <v>-7.5</v>
      </c>
      <c r="AC386" s="27"/>
      <c r="AD386" s="27"/>
      <c r="AE386" s="27"/>
      <c r="AF386" s="27"/>
      <c r="AG386" s="27"/>
      <c r="AH386" s="27">
        <v>66.0</v>
      </c>
      <c r="AI386" s="27">
        <v>76.0</v>
      </c>
      <c r="AJ386" s="27">
        <v>2.0</v>
      </c>
      <c r="AK386" s="27" t="b">
        <v>0</v>
      </c>
      <c r="AL386" s="27">
        <v>100.0</v>
      </c>
      <c r="AM386" s="27" t="s">
        <v>189</v>
      </c>
      <c r="AN386" s="27" t="s">
        <v>405</v>
      </c>
      <c r="AO386" s="27"/>
    </row>
    <row r="387">
      <c r="A387" s="200">
        <v>44817.0251005787</v>
      </c>
      <c r="B387" s="19" t="s">
        <v>116</v>
      </c>
      <c r="C387" s="21" t="s">
        <v>336</v>
      </c>
      <c r="D387" s="62">
        <v>0.0</v>
      </c>
      <c r="E387" s="27">
        <v>2.0</v>
      </c>
      <c r="F387" s="27" t="s">
        <v>1308</v>
      </c>
      <c r="G387" s="201" t="s">
        <v>57</v>
      </c>
      <c r="H387" s="27" t="s">
        <v>109</v>
      </c>
      <c r="I387" s="27"/>
      <c r="J387" s="33">
        <v>-9.0</v>
      </c>
      <c r="K387" s="33">
        <v>-14.5</v>
      </c>
      <c r="L387" s="66">
        <v>58.5</v>
      </c>
      <c r="M387" s="27" t="s">
        <v>1309</v>
      </c>
      <c r="N387" s="27">
        <v>-13.5</v>
      </c>
      <c r="O387" s="27"/>
      <c r="P387" s="27">
        <v>-13.5</v>
      </c>
      <c r="Q387" s="27"/>
      <c r="R387" s="27">
        <v>-13.5</v>
      </c>
      <c r="S387" s="27"/>
      <c r="T387" s="27">
        <v>-14.5</v>
      </c>
      <c r="U387" s="27"/>
      <c r="V387" s="27">
        <v>-13.5</v>
      </c>
      <c r="W387" s="27"/>
      <c r="X387" s="27">
        <v>-13.0</v>
      </c>
      <c r="Y387" s="27"/>
      <c r="Z387" s="27">
        <v>-14.0</v>
      </c>
      <c r="AA387" s="27"/>
      <c r="AB387" s="27">
        <v>-14.5</v>
      </c>
      <c r="AC387" s="27"/>
      <c r="AD387" s="27">
        <v>-14.5</v>
      </c>
      <c r="AE387" s="27"/>
      <c r="AF387" s="27">
        <v>-14.5</v>
      </c>
      <c r="AG387" s="27"/>
      <c r="AH387" s="27">
        <v>26.0</v>
      </c>
      <c r="AI387" s="27">
        <v>85.0</v>
      </c>
      <c r="AJ387" s="27">
        <v>2.0</v>
      </c>
      <c r="AK387" s="27" t="b">
        <v>0</v>
      </c>
      <c r="AL387" s="27">
        <v>100.0</v>
      </c>
      <c r="AM387" s="27" t="s">
        <v>129</v>
      </c>
      <c r="AN387" s="27" t="s">
        <v>405</v>
      </c>
      <c r="AO387" s="27"/>
    </row>
    <row r="388">
      <c r="A388" s="200">
        <v>44817.0251005787</v>
      </c>
      <c r="B388" s="19" t="s">
        <v>116</v>
      </c>
      <c r="C388" s="21" t="s">
        <v>332</v>
      </c>
      <c r="D388" s="62">
        <v>1.0</v>
      </c>
      <c r="E388" s="27">
        <v>1.0</v>
      </c>
      <c r="F388" s="27" t="s">
        <v>1331</v>
      </c>
      <c r="G388" s="201" t="s">
        <v>57</v>
      </c>
      <c r="H388" s="27" t="s">
        <v>148</v>
      </c>
      <c r="I388" s="27"/>
      <c r="J388" s="33">
        <v>-5.5</v>
      </c>
      <c r="K388" s="33">
        <v>-3.5</v>
      </c>
      <c r="L388" s="66">
        <v>38.5</v>
      </c>
      <c r="M388" s="27" t="s">
        <v>1332</v>
      </c>
      <c r="N388" s="27">
        <v>-3.5</v>
      </c>
      <c r="O388" s="27"/>
      <c r="P388" s="27">
        <v>-3.5</v>
      </c>
      <c r="Q388" s="27"/>
      <c r="R388" s="27">
        <v>-3.5</v>
      </c>
      <c r="S388" s="27"/>
      <c r="T388" s="27">
        <v>-3.5</v>
      </c>
      <c r="U388" s="27"/>
      <c r="V388" s="27">
        <v>-3.5</v>
      </c>
      <c r="W388" s="27"/>
      <c r="X388" s="27">
        <v>-3.5</v>
      </c>
      <c r="Y388" s="27"/>
      <c r="Z388" s="27">
        <v>-3.5</v>
      </c>
      <c r="AA388" s="27"/>
      <c r="AB388" s="27">
        <v>-3.5</v>
      </c>
      <c r="AC388" s="27"/>
      <c r="AD388" s="27">
        <v>-3.5</v>
      </c>
      <c r="AE388" s="27"/>
      <c r="AF388" s="27">
        <v>-3.5</v>
      </c>
      <c r="AG388" s="27"/>
      <c r="AH388" s="27">
        <v>14.0</v>
      </c>
      <c r="AI388" s="27">
        <v>13.0</v>
      </c>
      <c r="AJ388" s="27">
        <v>2.0</v>
      </c>
      <c r="AK388" s="27" t="b">
        <v>1</v>
      </c>
      <c r="AL388" s="27">
        <v>100.0</v>
      </c>
      <c r="AM388" s="27" t="s">
        <v>188</v>
      </c>
      <c r="AN388" s="27" t="s">
        <v>404</v>
      </c>
      <c r="AO388" s="27"/>
    </row>
    <row r="389">
      <c r="A389" s="200">
        <v>44817.0251005787</v>
      </c>
      <c r="B389" s="19" t="s">
        <v>116</v>
      </c>
      <c r="C389" s="21" t="s">
        <v>388</v>
      </c>
      <c r="D389" s="62">
        <v>2.0</v>
      </c>
      <c r="E389" s="27">
        <v>0.0</v>
      </c>
      <c r="F389" s="27" t="s">
        <v>1333</v>
      </c>
      <c r="G389" s="201" t="s">
        <v>57</v>
      </c>
      <c r="H389" s="27"/>
      <c r="I389" s="27"/>
      <c r="J389" s="33">
        <v>-38.0</v>
      </c>
      <c r="K389" s="33">
        <v>-40.0</v>
      </c>
      <c r="L389" s="66">
        <v>55.0</v>
      </c>
      <c r="M389" s="27" t="s">
        <v>1240</v>
      </c>
      <c r="N389" s="27">
        <v>-41.5</v>
      </c>
      <c r="O389" s="27"/>
      <c r="P389" s="27">
        <v>-42.5</v>
      </c>
      <c r="Q389" s="27"/>
      <c r="R389" s="27">
        <v>-42.0</v>
      </c>
      <c r="S389" s="27"/>
      <c r="T389" s="27">
        <v>-40.0</v>
      </c>
      <c r="U389" s="27"/>
      <c r="V389" s="27">
        <v>-41.5</v>
      </c>
      <c r="W389" s="27"/>
      <c r="X389" s="27">
        <v>-40.5</v>
      </c>
      <c r="Y389" s="27"/>
      <c r="Z389" s="27">
        <v>-40.0</v>
      </c>
      <c r="AA389" s="27"/>
      <c r="AB389" s="27">
        <v>-40.0</v>
      </c>
      <c r="AC389" s="27"/>
      <c r="AD389" s="27"/>
      <c r="AE389" s="27"/>
      <c r="AF389" s="27"/>
      <c r="AG389" s="27"/>
      <c r="AH389" s="27">
        <v>107.0</v>
      </c>
      <c r="AI389" s="27">
        <v>14.0</v>
      </c>
      <c r="AJ389" s="27">
        <v>2.0</v>
      </c>
      <c r="AK389" s="27" t="b">
        <v>0</v>
      </c>
      <c r="AL389" s="27">
        <v>100.0</v>
      </c>
      <c r="AM389" s="27" t="s">
        <v>193</v>
      </c>
      <c r="AN389" s="27" t="s">
        <v>405</v>
      </c>
      <c r="AO389" s="27"/>
    </row>
    <row r="390">
      <c r="A390" s="200">
        <v>44817.0251005787</v>
      </c>
      <c r="B390" s="19" t="s">
        <v>116</v>
      </c>
      <c r="C390" s="21" t="s">
        <v>313</v>
      </c>
      <c r="D390" s="62">
        <v>2.0</v>
      </c>
      <c r="E390" s="27">
        <v>0.0</v>
      </c>
      <c r="F390" s="27" t="s">
        <v>1334</v>
      </c>
      <c r="G390" s="201" t="s">
        <v>57</v>
      </c>
      <c r="H390" s="27"/>
      <c r="I390" s="27"/>
      <c r="J390" s="33">
        <v>-52.0</v>
      </c>
      <c r="K390" s="33">
        <v>-52.5</v>
      </c>
      <c r="L390" s="66">
        <v>62.5</v>
      </c>
      <c r="M390" s="27" t="s">
        <v>1240</v>
      </c>
      <c r="N390" s="27">
        <v>-52.5</v>
      </c>
      <c r="O390" s="27"/>
      <c r="P390" s="27">
        <v>-53.0</v>
      </c>
      <c r="Q390" s="27"/>
      <c r="R390" s="27">
        <v>-52.0</v>
      </c>
      <c r="S390" s="27"/>
      <c r="T390" s="27">
        <v>-52.5</v>
      </c>
      <c r="U390" s="27"/>
      <c r="V390" s="27">
        <v>-53.5</v>
      </c>
      <c r="W390" s="27"/>
      <c r="X390" s="27">
        <v>-53.0</v>
      </c>
      <c r="Y390" s="27"/>
      <c r="Z390" s="27">
        <v>-52.5</v>
      </c>
      <c r="AA390" s="27"/>
      <c r="AB390" s="27">
        <v>-52.5</v>
      </c>
      <c r="AC390" s="27"/>
      <c r="AD390" s="27"/>
      <c r="AE390" s="27"/>
      <c r="AF390" s="27"/>
      <c r="AG390" s="27"/>
      <c r="AH390" s="27">
        <v>82.0</v>
      </c>
      <c r="AI390" s="27">
        <v>3.0</v>
      </c>
      <c r="AJ390" s="27">
        <v>2.0</v>
      </c>
      <c r="AK390" s="27" t="b">
        <v>0</v>
      </c>
      <c r="AL390" s="27">
        <v>100.0</v>
      </c>
      <c r="AM390" s="27" t="s">
        <v>192</v>
      </c>
      <c r="AN390" s="27" t="s">
        <v>404</v>
      </c>
      <c r="AO390" s="27"/>
    </row>
    <row r="391">
      <c r="A391" s="200">
        <v>44817.0251005787</v>
      </c>
      <c r="B391" s="19" t="s">
        <v>116</v>
      </c>
      <c r="C391" s="21" t="s">
        <v>347</v>
      </c>
      <c r="D391" s="62">
        <v>0.0</v>
      </c>
      <c r="E391" s="27">
        <v>2.0</v>
      </c>
      <c r="F391" s="27" t="s">
        <v>1310</v>
      </c>
      <c r="G391" s="201" t="s">
        <v>57</v>
      </c>
      <c r="H391" s="27" t="s">
        <v>109</v>
      </c>
      <c r="I391" s="27"/>
      <c r="J391" s="33">
        <v>6.5</v>
      </c>
      <c r="K391" s="33">
        <v>4.5</v>
      </c>
      <c r="L391" s="66">
        <v>48.0</v>
      </c>
      <c r="M391" s="27" t="s">
        <v>1311</v>
      </c>
      <c r="N391" s="27">
        <v>4.0</v>
      </c>
      <c r="O391" s="27"/>
      <c r="P391" s="27">
        <v>4.5</v>
      </c>
      <c r="Q391" s="27"/>
      <c r="R391" s="27">
        <v>4.5</v>
      </c>
      <c r="S391" s="27"/>
      <c r="T391" s="27">
        <v>4.5</v>
      </c>
      <c r="U391" s="27"/>
      <c r="V391" s="27">
        <v>4.5</v>
      </c>
      <c r="W391" s="27"/>
      <c r="X391" s="27">
        <v>4.5</v>
      </c>
      <c r="Y391" s="27"/>
      <c r="Z391" s="27">
        <v>4.5</v>
      </c>
      <c r="AA391" s="27"/>
      <c r="AB391" s="27">
        <v>4.0</v>
      </c>
      <c r="AC391" s="27"/>
      <c r="AD391" s="27">
        <v>4.5</v>
      </c>
      <c r="AE391" s="27"/>
      <c r="AF391" s="27">
        <v>4.5</v>
      </c>
      <c r="AG391" s="27"/>
      <c r="AH391" s="27">
        <v>20.0</v>
      </c>
      <c r="AI391" s="27">
        <v>51.0</v>
      </c>
      <c r="AJ391" s="27">
        <v>2.0</v>
      </c>
      <c r="AK391" s="27" t="b">
        <v>0</v>
      </c>
      <c r="AL391" s="27">
        <v>100.0</v>
      </c>
      <c r="AM391" s="27" t="s">
        <v>389</v>
      </c>
      <c r="AN391" s="27" t="s">
        <v>405</v>
      </c>
      <c r="AO391" s="27"/>
    </row>
    <row r="392">
      <c r="A392" s="200">
        <v>44817.0251005787</v>
      </c>
      <c r="B392" s="19" t="s">
        <v>116</v>
      </c>
      <c r="C392" s="21" t="s">
        <v>329</v>
      </c>
      <c r="D392" s="62">
        <v>0.0</v>
      </c>
      <c r="E392" s="27">
        <v>2.0</v>
      </c>
      <c r="F392" s="27" t="s">
        <v>1335</v>
      </c>
      <c r="G392" s="201" t="s">
        <v>57</v>
      </c>
      <c r="H392" s="27" t="s">
        <v>154</v>
      </c>
      <c r="I392" s="27"/>
      <c r="J392" s="33">
        <v>7.0</v>
      </c>
      <c r="K392" s="33">
        <v>6.5</v>
      </c>
      <c r="L392" s="66">
        <v>51.5</v>
      </c>
      <c r="M392" s="27" t="s">
        <v>1336</v>
      </c>
      <c r="N392" s="27">
        <v>6.5</v>
      </c>
      <c r="O392" s="27"/>
      <c r="P392" s="27">
        <v>6.5</v>
      </c>
      <c r="Q392" s="27"/>
      <c r="R392" s="27">
        <v>6.5</v>
      </c>
      <c r="S392" s="27"/>
      <c r="T392" s="27">
        <v>6.5</v>
      </c>
      <c r="U392" s="27"/>
      <c r="V392" s="27">
        <v>6.5</v>
      </c>
      <c r="W392" s="27"/>
      <c r="X392" s="27">
        <v>6.5</v>
      </c>
      <c r="Y392" s="27"/>
      <c r="Z392" s="27">
        <v>6.5</v>
      </c>
      <c r="AA392" s="27"/>
      <c r="AB392" s="27">
        <v>6.5</v>
      </c>
      <c r="AC392" s="27"/>
      <c r="AD392" s="27">
        <v>6.5</v>
      </c>
      <c r="AE392" s="27"/>
      <c r="AF392" s="27"/>
      <c r="AG392" s="27"/>
      <c r="AH392" s="27">
        <v>40.0</v>
      </c>
      <c r="AI392" s="27">
        <v>96.0</v>
      </c>
      <c r="AJ392" s="27">
        <v>2.0</v>
      </c>
      <c r="AK392" s="27" t="b">
        <v>0</v>
      </c>
      <c r="AL392" s="27">
        <v>100.0</v>
      </c>
      <c r="AM392" s="27" t="s">
        <v>190</v>
      </c>
      <c r="AN392" s="27" t="s">
        <v>405</v>
      </c>
      <c r="AO392" s="27"/>
    </row>
    <row r="393">
      <c r="A393" s="200">
        <v>44817.0251005787</v>
      </c>
      <c r="B393" s="19"/>
      <c r="C393" s="21"/>
      <c r="D393" s="62"/>
      <c r="E393" s="27"/>
      <c r="F393" s="27"/>
      <c r="G393" s="201"/>
      <c r="H393" s="27"/>
      <c r="I393" s="27"/>
      <c r="J393" s="33"/>
      <c r="K393" s="33"/>
      <c r="L393" s="66"/>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t="e">
        <v>#N/A</v>
      </c>
      <c r="AN393" s="27" t="e">
        <v>#N/A</v>
      </c>
      <c r="AO393" s="27"/>
    </row>
    <row r="394">
      <c r="A394" s="200">
        <v>44817.0251005787</v>
      </c>
      <c r="B394" s="19" t="s">
        <v>148</v>
      </c>
      <c r="C394" s="21" t="s">
        <v>384</v>
      </c>
      <c r="D394" s="62">
        <v>1.0</v>
      </c>
      <c r="E394" s="27">
        <v>1.0</v>
      </c>
      <c r="F394" s="27" t="s">
        <v>1262</v>
      </c>
      <c r="G394" s="201" t="s">
        <v>57</v>
      </c>
      <c r="H394" s="27" t="s">
        <v>59</v>
      </c>
      <c r="I394" s="27"/>
      <c r="J394" s="33">
        <v>-3.0</v>
      </c>
      <c r="K394" s="33">
        <v>-2.5</v>
      </c>
      <c r="L394" s="66">
        <v>44.5</v>
      </c>
      <c r="M394" s="27" t="s">
        <v>1263</v>
      </c>
      <c r="N394" s="27">
        <v>-3.0</v>
      </c>
      <c r="O394" s="27"/>
      <c r="P394" s="27">
        <v>-3.0</v>
      </c>
      <c r="Q394" s="27"/>
      <c r="R394" s="27">
        <v>-2.5</v>
      </c>
      <c r="S394" s="27"/>
      <c r="T394" s="27">
        <v>-2.5</v>
      </c>
      <c r="U394" s="27"/>
      <c r="V394" s="27">
        <v>-2.5</v>
      </c>
      <c r="W394" s="27"/>
      <c r="X394" s="27">
        <v>-3.0</v>
      </c>
      <c r="Y394" s="27"/>
      <c r="Z394" s="27">
        <v>-3.0</v>
      </c>
      <c r="AA394" s="27"/>
      <c r="AB394" s="27">
        <v>-3.0</v>
      </c>
      <c r="AC394" s="27"/>
      <c r="AD394" s="27">
        <v>-2.5</v>
      </c>
      <c r="AE394" s="27"/>
      <c r="AF394" s="27">
        <v>-2.5</v>
      </c>
      <c r="AG394" s="27"/>
      <c r="AH394" s="27">
        <v>44.0</v>
      </c>
      <c r="AI394" s="27">
        <v>30.0</v>
      </c>
      <c r="AJ394" s="27">
        <v>2.0</v>
      </c>
      <c r="AK394" s="27" t="b">
        <v>0</v>
      </c>
      <c r="AL394" s="27">
        <v>100.0</v>
      </c>
      <c r="AM394" s="27" t="s">
        <v>186</v>
      </c>
      <c r="AN394" s="27" t="s">
        <v>404</v>
      </c>
      <c r="AO394" s="27"/>
    </row>
    <row r="395">
      <c r="A395" s="200">
        <v>44817.0251005787</v>
      </c>
      <c r="B395" s="19" t="s">
        <v>148</v>
      </c>
      <c r="C395" s="21" t="s">
        <v>401</v>
      </c>
      <c r="D395" s="62">
        <v>0.0</v>
      </c>
      <c r="E395" s="27">
        <v>2.0</v>
      </c>
      <c r="F395" s="27" t="s">
        <v>1247</v>
      </c>
      <c r="G395" s="201" t="s">
        <v>57</v>
      </c>
      <c r="H395" s="27" t="s">
        <v>178</v>
      </c>
      <c r="I395" s="27"/>
      <c r="J395" s="33">
        <v>30.5</v>
      </c>
      <c r="K395" s="33">
        <v>28.5</v>
      </c>
      <c r="L395" s="66">
        <v>49.5</v>
      </c>
      <c r="M395" s="27" t="s">
        <v>1248</v>
      </c>
      <c r="N395" s="27">
        <v>28.5</v>
      </c>
      <c r="O395" s="27"/>
      <c r="P395" s="27">
        <v>28.0</v>
      </c>
      <c r="Q395" s="27"/>
      <c r="R395" s="27">
        <v>28.5</v>
      </c>
      <c r="S395" s="27"/>
      <c r="T395" s="27">
        <v>28.5</v>
      </c>
      <c r="U395" s="27"/>
      <c r="V395" s="27">
        <v>28.0</v>
      </c>
      <c r="W395" s="27"/>
      <c r="X395" s="27">
        <v>28.0</v>
      </c>
      <c r="Y395" s="27"/>
      <c r="Z395" s="27">
        <v>28.5</v>
      </c>
      <c r="AA395" s="27"/>
      <c r="AB395" s="27">
        <v>28.5</v>
      </c>
      <c r="AC395" s="27"/>
      <c r="AD395" s="27">
        <v>28.5</v>
      </c>
      <c r="AE395" s="27"/>
      <c r="AF395" s="27">
        <v>28.5</v>
      </c>
      <c r="AG395" s="27"/>
      <c r="AH395" s="27">
        <v>20.0</v>
      </c>
      <c r="AI395" s="27">
        <v>97.0</v>
      </c>
      <c r="AJ395" s="27">
        <v>2.0</v>
      </c>
      <c r="AK395" s="27" t="b">
        <v>1</v>
      </c>
      <c r="AL395" s="27">
        <v>100.0</v>
      </c>
      <c r="AM395" s="27" t="s">
        <v>189</v>
      </c>
      <c r="AN395" s="27" t="s">
        <v>405</v>
      </c>
      <c r="AO395" s="27"/>
    </row>
    <row r="396">
      <c r="A396" s="200">
        <v>44817.0251005787</v>
      </c>
      <c r="B396" s="19" t="s">
        <v>148</v>
      </c>
      <c r="C396" s="21" t="s">
        <v>380</v>
      </c>
      <c r="D396" s="62">
        <v>1.0</v>
      </c>
      <c r="E396" s="27">
        <v>1.0</v>
      </c>
      <c r="F396" s="27" t="s">
        <v>1265</v>
      </c>
      <c r="G396" s="201" t="s">
        <v>57</v>
      </c>
      <c r="H396" s="27" t="s">
        <v>59</v>
      </c>
      <c r="I396" s="27"/>
      <c r="J396" s="33">
        <v>-11.0</v>
      </c>
      <c r="K396" s="33">
        <v>-13.5</v>
      </c>
      <c r="L396" s="66">
        <v>62.5</v>
      </c>
      <c r="M396" s="27" t="s">
        <v>1242</v>
      </c>
      <c r="N396" s="27">
        <v>-14.0</v>
      </c>
      <c r="O396" s="27"/>
      <c r="P396" s="27">
        <v>-13.5</v>
      </c>
      <c r="Q396" s="27"/>
      <c r="R396" s="27">
        <v>-14.0</v>
      </c>
      <c r="S396" s="27"/>
      <c r="T396" s="27">
        <v>-13.5</v>
      </c>
      <c r="U396" s="27"/>
      <c r="V396" s="27">
        <v>-13.5</v>
      </c>
      <c r="W396" s="27"/>
      <c r="X396" s="27">
        <v>-13.5</v>
      </c>
      <c r="Y396" s="27"/>
      <c r="Z396" s="27">
        <v>-14.0</v>
      </c>
      <c r="AA396" s="27"/>
      <c r="AB396" s="27">
        <v>-14.0</v>
      </c>
      <c r="AC396" s="27"/>
      <c r="AD396" s="27">
        <v>-13.5</v>
      </c>
      <c r="AE396" s="27"/>
      <c r="AF396" s="27">
        <v>-13.5</v>
      </c>
      <c r="AG396" s="27"/>
      <c r="AH396" s="27">
        <v>55.0</v>
      </c>
      <c r="AI396" s="27">
        <v>50.0</v>
      </c>
      <c r="AJ396" s="27">
        <v>2.0</v>
      </c>
      <c r="AK396" s="27" t="b">
        <v>1</v>
      </c>
      <c r="AL396" s="27">
        <v>100.0</v>
      </c>
      <c r="AM396" s="27" t="s">
        <v>193</v>
      </c>
      <c r="AN396" s="27" t="s">
        <v>405</v>
      </c>
      <c r="AO396" s="27"/>
    </row>
    <row r="397">
      <c r="A397" s="200">
        <v>44817.0251005787</v>
      </c>
      <c r="B397" s="19" t="s">
        <v>148</v>
      </c>
      <c r="C397" s="21" t="s">
        <v>326</v>
      </c>
      <c r="D397" s="62">
        <v>2.0</v>
      </c>
      <c r="E397" s="27">
        <v>0.0</v>
      </c>
      <c r="F397" s="27" t="s">
        <v>1331</v>
      </c>
      <c r="G397" s="201" t="s">
        <v>57</v>
      </c>
      <c r="H397" s="27" t="s">
        <v>116</v>
      </c>
      <c r="I397" s="27"/>
      <c r="J397" s="33">
        <v>5.5</v>
      </c>
      <c r="K397" s="33">
        <v>3.5</v>
      </c>
      <c r="L397" s="66">
        <v>38.5</v>
      </c>
      <c r="M397" s="27" t="s">
        <v>1332</v>
      </c>
      <c r="N397" s="27">
        <v>3.5</v>
      </c>
      <c r="O397" s="27"/>
      <c r="P397" s="27">
        <v>3.5</v>
      </c>
      <c r="Q397" s="27"/>
      <c r="R397" s="27">
        <v>3.5</v>
      </c>
      <c r="S397" s="27"/>
      <c r="T397" s="27">
        <v>3.5</v>
      </c>
      <c r="U397" s="27"/>
      <c r="V397" s="27">
        <v>3.5</v>
      </c>
      <c r="W397" s="27"/>
      <c r="X397" s="27">
        <v>3.5</v>
      </c>
      <c r="Y397" s="27"/>
      <c r="Z397" s="27">
        <v>3.5</v>
      </c>
      <c r="AA397" s="27"/>
      <c r="AB397" s="27">
        <v>3.5</v>
      </c>
      <c r="AC397" s="27"/>
      <c r="AD397" s="27">
        <v>3.5</v>
      </c>
      <c r="AE397" s="27"/>
      <c r="AF397" s="27">
        <v>3.5</v>
      </c>
      <c r="AG397" s="27"/>
      <c r="AH397" s="27">
        <v>52.0</v>
      </c>
      <c r="AI397" s="27">
        <v>17.0</v>
      </c>
      <c r="AJ397" s="27">
        <v>2.0</v>
      </c>
      <c r="AK397" s="27" t="b">
        <v>0</v>
      </c>
      <c r="AL397" s="27">
        <v>100.0</v>
      </c>
      <c r="AM397" s="27" t="s">
        <v>187</v>
      </c>
      <c r="AN397" s="27" t="s">
        <v>404</v>
      </c>
      <c r="AO397" s="27"/>
    </row>
    <row r="398">
      <c r="A398" s="200">
        <v>44817.0251005787</v>
      </c>
      <c r="B398" s="19" t="s">
        <v>148</v>
      </c>
      <c r="C398" s="21" t="s">
        <v>381</v>
      </c>
      <c r="D398" s="62">
        <v>1.0</v>
      </c>
      <c r="E398" s="27">
        <v>1.0</v>
      </c>
      <c r="F398" s="27" t="s">
        <v>1337</v>
      </c>
      <c r="G398" s="201" t="s">
        <v>57</v>
      </c>
      <c r="H398" s="27"/>
      <c r="I398" s="27"/>
      <c r="J398" s="33">
        <v>-35.0</v>
      </c>
      <c r="K398" s="33">
        <v>-37.0</v>
      </c>
      <c r="L398" s="66">
        <v>51.5</v>
      </c>
      <c r="M398" s="27" t="s">
        <v>1111</v>
      </c>
      <c r="N398" s="27">
        <v>-37.5</v>
      </c>
      <c r="O398" s="27"/>
      <c r="P398" s="27">
        <v>-37.0</v>
      </c>
      <c r="Q398" s="27"/>
      <c r="R398" s="27">
        <v>-36.0</v>
      </c>
      <c r="S398" s="27"/>
      <c r="T398" s="27">
        <v>-37.0</v>
      </c>
      <c r="U398" s="27"/>
      <c r="V398" s="27">
        <v>-37.0</v>
      </c>
      <c r="W398" s="27"/>
      <c r="X398" s="27">
        <v>-37.0</v>
      </c>
      <c r="Y398" s="27"/>
      <c r="Z398" s="27">
        <v>-37.0</v>
      </c>
      <c r="AA398" s="27"/>
      <c r="AB398" s="27">
        <v>-37.0</v>
      </c>
      <c r="AC398" s="27"/>
      <c r="AD398" s="27"/>
      <c r="AE398" s="27"/>
      <c r="AF398" s="27"/>
      <c r="AG398" s="27"/>
      <c r="AH398" s="27">
        <v>87.0</v>
      </c>
      <c r="AI398" s="27">
        <v>35.0</v>
      </c>
      <c r="AJ398" s="27">
        <v>2.0</v>
      </c>
      <c r="AK398" s="27" t="b">
        <v>0</v>
      </c>
      <c r="AL398" s="27">
        <v>100.0</v>
      </c>
      <c r="AM398" s="27" t="s">
        <v>188</v>
      </c>
      <c r="AN398" s="27" t="s">
        <v>404</v>
      </c>
      <c r="AO398" s="27"/>
    </row>
    <row r="399">
      <c r="A399" s="200">
        <v>44817.0251005787</v>
      </c>
      <c r="B399" s="19" t="s">
        <v>148</v>
      </c>
      <c r="C399" s="21" t="s">
        <v>377</v>
      </c>
      <c r="D399" s="62">
        <v>2.0</v>
      </c>
      <c r="E399" s="27">
        <v>0.0</v>
      </c>
      <c r="F399" s="27" t="s">
        <v>1338</v>
      </c>
      <c r="G399" s="201" t="s">
        <v>57</v>
      </c>
      <c r="H399" s="27"/>
      <c r="I399" s="27"/>
      <c r="J399" s="33">
        <v>-28.5</v>
      </c>
      <c r="K399" s="33">
        <v>-31.5</v>
      </c>
      <c r="L399" s="66">
        <v>53.5</v>
      </c>
      <c r="M399" s="27" t="s">
        <v>1339</v>
      </c>
      <c r="N399" s="27">
        <v>-31.5</v>
      </c>
      <c r="O399" s="27"/>
      <c r="P399" s="27">
        <v>-31.0</v>
      </c>
      <c r="Q399" s="27"/>
      <c r="R399" s="27">
        <v>-31.0</v>
      </c>
      <c r="S399" s="27"/>
      <c r="T399" s="27">
        <v>-31.5</v>
      </c>
      <c r="U399" s="27"/>
      <c r="V399" s="27">
        <v>-31.0</v>
      </c>
      <c r="W399" s="27"/>
      <c r="X399" s="27">
        <v>-30.5</v>
      </c>
      <c r="Y399" s="27"/>
      <c r="Z399" s="27">
        <v>-31.5</v>
      </c>
      <c r="AA399" s="27"/>
      <c r="AB399" s="27">
        <v>-31.5</v>
      </c>
      <c r="AC399" s="27"/>
      <c r="AD399" s="27"/>
      <c r="AE399" s="27"/>
      <c r="AF399" s="27"/>
      <c r="AG399" s="27"/>
      <c r="AH399" s="27">
        <v>97.0</v>
      </c>
      <c r="AI399" s="27">
        <v>26.0</v>
      </c>
      <c r="AJ399" s="27">
        <v>2.0</v>
      </c>
      <c r="AK399" s="27" t="b">
        <v>0</v>
      </c>
      <c r="AL399" s="27">
        <v>100.0</v>
      </c>
      <c r="AM399" s="27" t="s">
        <v>191</v>
      </c>
      <c r="AN399" s="27" t="s">
        <v>404</v>
      </c>
      <c r="AO399" s="27"/>
    </row>
    <row r="400">
      <c r="A400" s="200">
        <v>44817.0251005787</v>
      </c>
      <c r="B400" s="19" t="s">
        <v>148</v>
      </c>
      <c r="C400" s="21" t="s">
        <v>387</v>
      </c>
      <c r="D400" s="62">
        <v>1.0</v>
      </c>
      <c r="E400" s="27">
        <v>1.0</v>
      </c>
      <c r="F400" s="27" t="s">
        <v>1271</v>
      </c>
      <c r="G400" s="201" t="s">
        <v>57</v>
      </c>
      <c r="H400" s="27" t="s">
        <v>59</v>
      </c>
      <c r="I400" s="27"/>
      <c r="J400" s="33">
        <v>-16.5</v>
      </c>
      <c r="K400" s="33">
        <v>-18.0</v>
      </c>
      <c r="L400" s="66">
        <v>54.0</v>
      </c>
      <c r="M400" s="27" t="s">
        <v>1272</v>
      </c>
      <c r="N400" s="27">
        <v>-18.5</v>
      </c>
      <c r="O400" s="27"/>
      <c r="P400" s="27">
        <v>-18.0</v>
      </c>
      <c r="Q400" s="27"/>
      <c r="R400" s="27">
        <v>-18.5</v>
      </c>
      <c r="S400" s="27"/>
      <c r="T400" s="27">
        <v>-18.0</v>
      </c>
      <c r="U400" s="27"/>
      <c r="V400" s="27">
        <v>-18.0</v>
      </c>
      <c r="W400" s="27"/>
      <c r="X400" s="27">
        <v>-18.0</v>
      </c>
      <c r="Y400" s="27"/>
      <c r="Z400" s="27">
        <v>-18.0</v>
      </c>
      <c r="AA400" s="27"/>
      <c r="AB400" s="27">
        <v>-18.0</v>
      </c>
      <c r="AC400" s="27"/>
      <c r="AD400" s="27">
        <v>-18.0</v>
      </c>
      <c r="AE400" s="27"/>
      <c r="AF400" s="27">
        <v>-18.0</v>
      </c>
      <c r="AG400" s="27"/>
      <c r="AH400" s="27">
        <v>45.0</v>
      </c>
      <c r="AI400" s="27">
        <v>17.0</v>
      </c>
      <c r="AJ400" s="27">
        <v>2.0</v>
      </c>
      <c r="AK400" s="27" t="b">
        <v>1</v>
      </c>
      <c r="AL400" s="27">
        <v>100.0</v>
      </c>
      <c r="AM400" s="27" t="s">
        <v>192</v>
      </c>
      <c r="AN400" s="27" t="s">
        <v>404</v>
      </c>
      <c r="AO400" s="27"/>
    </row>
    <row r="401">
      <c r="A401" s="200">
        <v>44817.0251005787</v>
      </c>
      <c r="B401" s="19" t="s">
        <v>148</v>
      </c>
      <c r="C401" s="21" t="s">
        <v>316</v>
      </c>
      <c r="D401" s="62">
        <v>1.0</v>
      </c>
      <c r="E401" s="27">
        <v>1.0</v>
      </c>
      <c r="F401" s="27" t="s">
        <v>1256</v>
      </c>
      <c r="G401" s="201" t="s">
        <v>57</v>
      </c>
      <c r="H401" s="27" t="s">
        <v>178</v>
      </c>
      <c r="I401" s="27"/>
      <c r="J401" s="33">
        <v>-17.0</v>
      </c>
      <c r="K401" s="33">
        <v>-17.0</v>
      </c>
      <c r="L401" s="66">
        <v>43.5</v>
      </c>
      <c r="M401" s="27" t="s">
        <v>1257</v>
      </c>
      <c r="N401" s="27">
        <v>-17.0</v>
      </c>
      <c r="O401" s="27"/>
      <c r="P401" s="27">
        <v>-17.0</v>
      </c>
      <c r="Q401" s="27"/>
      <c r="R401" s="27">
        <v>-17.0</v>
      </c>
      <c r="S401" s="27"/>
      <c r="T401" s="27">
        <v>-17.0</v>
      </c>
      <c r="U401" s="27"/>
      <c r="V401" s="27">
        <v>-17.0</v>
      </c>
      <c r="W401" s="27"/>
      <c r="X401" s="27">
        <v>-17.0</v>
      </c>
      <c r="Y401" s="27"/>
      <c r="Z401" s="27">
        <v>-17.0</v>
      </c>
      <c r="AA401" s="27"/>
      <c r="AB401" s="27">
        <v>-17.0</v>
      </c>
      <c r="AC401" s="27"/>
      <c r="AD401" s="27">
        <v>-17.0</v>
      </c>
      <c r="AE401" s="27"/>
      <c r="AF401" s="27"/>
      <c r="AG401" s="27"/>
      <c r="AH401" s="27">
        <v>48.0</v>
      </c>
      <c r="AI401" s="27">
        <v>48.0</v>
      </c>
      <c r="AJ401" s="27">
        <v>2.0</v>
      </c>
      <c r="AK401" s="27" t="b">
        <v>1</v>
      </c>
      <c r="AL401" s="27">
        <v>100.0</v>
      </c>
      <c r="AM401" s="27" t="s">
        <v>129</v>
      </c>
      <c r="AN401" s="27" t="s">
        <v>405</v>
      </c>
      <c r="AO401" s="27"/>
    </row>
    <row r="402">
      <c r="A402" s="200">
        <v>44817.0251005787</v>
      </c>
      <c r="B402" s="19" t="s">
        <v>148</v>
      </c>
      <c r="C402" s="21" t="s">
        <v>374</v>
      </c>
      <c r="D402" s="62">
        <v>1.0</v>
      </c>
      <c r="E402" s="27">
        <v>1.0</v>
      </c>
      <c r="F402" s="27" t="s">
        <v>1295</v>
      </c>
      <c r="G402" s="201" t="s">
        <v>57</v>
      </c>
      <c r="H402" s="27" t="s">
        <v>141</v>
      </c>
      <c r="I402" s="27"/>
      <c r="J402" s="33">
        <v>-3.5</v>
      </c>
      <c r="K402" s="33">
        <v>-5.5</v>
      </c>
      <c r="L402" s="66">
        <v>62.5</v>
      </c>
      <c r="M402" s="27" t="s">
        <v>1095</v>
      </c>
      <c r="N402" s="27">
        <v>-5.5</v>
      </c>
      <c r="O402" s="27"/>
      <c r="P402" s="27">
        <v>-5.5</v>
      </c>
      <c r="Q402" s="27"/>
      <c r="R402" s="27">
        <v>-6.0</v>
      </c>
      <c r="S402" s="27"/>
      <c r="T402" s="27">
        <v>-5.5</v>
      </c>
      <c r="U402" s="27"/>
      <c r="V402" s="27">
        <v>-5.5</v>
      </c>
      <c r="W402" s="27"/>
      <c r="X402" s="27">
        <v>-6.0</v>
      </c>
      <c r="Y402" s="27"/>
      <c r="Z402" s="27">
        <v>-6.0</v>
      </c>
      <c r="AA402" s="27"/>
      <c r="AB402" s="27">
        <v>-6.0</v>
      </c>
      <c r="AC402" s="27"/>
      <c r="AD402" s="27">
        <v>-5.5</v>
      </c>
      <c r="AE402" s="27"/>
      <c r="AF402" s="27">
        <v>-5.5</v>
      </c>
      <c r="AG402" s="27"/>
      <c r="AH402" s="27">
        <v>70.0</v>
      </c>
      <c r="AI402" s="27">
        <v>30.0</v>
      </c>
      <c r="AJ402" s="27">
        <v>2.0</v>
      </c>
      <c r="AK402" s="27" t="b">
        <v>1</v>
      </c>
      <c r="AL402" s="27">
        <v>100.0</v>
      </c>
      <c r="AM402" s="27" t="s">
        <v>389</v>
      </c>
      <c r="AN402" s="27" t="s">
        <v>405</v>
      </c>
      <c r="AO402" s="27"/>
    </row>
    <row r="403">
      <c r="A403" s="200">
        <v>44817.0251005787</v>
      </c>
      <c r="B403" s="19" t="s">
        <v>148</v>
      </c>
      <c r="C403" s="21" t="s">
        <v>335</v>
      </c>
      <c r="D403" s="62">
        <v>0.0</v>
      </c>
      <c r="E403" s="27">
        <v>2.0</v>
      </c>
      <c r="F403" s="27" t="s">
        <v>1340</v>
      </c>
      <c r="G403" s="201" t="s">
        <v>183</v>
      </c>
      <c r="H403" s="27"/>
      <c r="I403" s="27"/>
      <c r="J403" s="33">
        <v>-4.5</v>
      </c>
      <c r="K403" s="33">
        <v>-7.5</v>
      </c>
      <c r="L403" s="66">
        <v>54.5</v>
      </c>
      <c r="M403" s="27" t="s">
        <v>1341</v>
      </c>
      <c r="N403" s="27">
        <v>-7.5</v>
      </c>
      <c r="O403" s="27"/>
      <c r="P403" s="27">
        <v>-7.5</v>
      </c>
      <c r="Q403" s="27"/>
      <c r="R403" s="27">
        <v>-7.5</v>
      </c>
      <c r="S403" s="27"/>
      <c r="T403" s="27">
        <v>-7.0</v>
      </c>
      <c r="U403" s="27"/>
      <c r="V403" s="27">
        <v>-7.5</v>
      </c>
      <c r="W403" s="27"/>
      <c r="X403" s="27">
        <v>-7.5</v>
      </c>
      <c r="Y403" s="27"/>
      <c r="Z403" s="27">
        <v>-7.0</v>
      </c>
      <c r="AA403" s="27"/>
      <c r="AB403" s="27">
        <v>-7.0</v>
      </c>
      <c r="AC403" s="27"/>
      <c r="AD403" s="27"/>
      <c r="AE403" s="27"/>
      <c r="AF403" s="27"/>
      <c r="AG403" s="27"/>
      <c r="AH403" s="27">
        <v>74.0</v>
      </c>
      <c r="AI403" s="27">
        <v>104.0</v>
      </c>
      <c r="AJ403" s="27">
        <v>2.0</v>
      </c>
      <c r="AK403" s="27" t="b">
        <v>0</v>
      </c>
      <c r="AL403" s="27">
        <v>100.0</v>
      </c>
      <c r="AM403" s="27" t="s">
        <v>190</v>
      </c>
      <c r="AN403" s="27" t="s">
        <v>405</v>
      </c>
      <c r="AO403" s="27"/>
    </row>
    <row r="404">
      <c r="A404" s="200">
        <v>44817.0251005787</v>
      </c>
      <c r="B404" s="19"/>
      <c r="C404" s="21"/>
      <c r="D404" s="62"/>
      <c r="E404" s="27"/>
      <c r="F404" s="27"/>
      <c r="G404" s="201"/>
      <c r="H404" s="27"/>
      <c r="I404" s="27"/>
      <c r="J404" s="33"/>
      <c r="K404" s="33"/>
      <c r="L404" s="66"/>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t="e">
        <v>#N/A</v>
      </c>
      <c r="AN404" s="27" t="e">
        <v>#N/A</v>
      </c>
      <c r="AO404" s="27"/>
    </row>
    <row r="405">
      <c r="A405" s="200">
        <v>44817.0251005787</v>
      </c>
      <c r="B405" s="19" t="s">
        <v>103</v>
      </c>
      <c r="C405" s="21" t="s">
        <v>340</v>
      </c>
      <c r="D405" s="62">
        <v>2.0</v>
      </c>
      <c r="E405" s="27">
        <v>0.0</v>
      </c>
      <c r="F405" s="27"/>
      <c r="G405" s="201"/>
      <c r="H405" s="27"/>
      <c r="I405" s="27" t="s">
        <v>82</v>
      </c>
      <c r="J405" s="33"/>
      <c r="K405" s="33"/>
      <c r="L405" s="66"/>
      <c r="M405" s="27"/>
      <c r="N405" s="27"/>
      <c r="O405" s="27"/>
      <c r="P405" s="27"/>
      <c r="Q405" s="27"/>
      <c r="R405" s="27"/>
      <c r="S405" s="27"/>
      <c r="T405" s="27"/>
      <c r="U405" s="27"/>
      <c r="V405" s="27"/>
      <c r="W405" s="27"/>
      <c r="X405" s="27"/>
      <c r="Y405" s="27"/>
      <c r="Z405" s="27"/>
      <c r="AA405" s="27"/>
      <c r="AB405" s="27"/>
      <c r="AC405" s="27"/>
      <c r="AD405" s="27"/>
      <c r="AE405" s="27"/>
      <c r="AF405" s="27"/>
      <c r="AG405" s="27"/>
      <c r="AH405" s="27">
        <v>71.0</v>
      </c>
      <c r="AI405" s="27">
        <v>30.0</v>
      </c>
      <c r="AJ405" s="27">
        <v>0.0</v>
      </c>
      <c r="AK405" s="27" t="b">
        <v>0</v>
      </c>
      <c r="AL405" s="27">
        <v>59.0</v>
      </c>
      <c r="AM405" s="27" t="s">
        <v>186</v>
      </c>
      <c r="AN405" s="27" t="s">
        <v>404</v>
      </c>
      <c r="AO405" s="27"/>
    </row>
    <row r="406">
      <c r="A406" s="200">
        <v>44817.0251005787</v>
      </c>
      <c r="B406" s="19" t="s">
        <v>103</v>
      </c>
      <c r="C406" s="21" t="s">
        <v>322</v>
      </c>
      <c r="D406" s="62">
        <v>1.0</v>
      </c>
      <c r="E406" s="27">
        <v>1.0</v>
      </c>
      <c r="F406" s="27" t="s">
        <v>1245</v>
      </c>
      <c r="G406" s="201" t="s">
        <v>57</v>
      </c>
      <c r="H406" s="27" t="s">
        <v>178</v>
      </c>
      <c r="I406" s="27"/>
      <c r="J406" s="33">
        <v>14.5</v>
      </c>
      <c r="K406" s="33">
        <v>11.5</v>
      </c>
      <c r="L406" s="66">
        <v>57.5</v>
      </c>
      <c r="M406" s="27" t="s">
        <v>1246</v>
      </c>
      <c r="N406" s="27">
        <v>12.5</v>
      </c>
      <c r="O406" s="27"/>
      <c r="P406" s="27">
        <v>12.5</v>
      </c>
      <c r="Q406" s="27"/>
      <c r="R406" s="27">
        <v>12.5</v>
      </c>
      <c r="S406" s="27"/>
      <c r="T406" s="27">
        <v>11.5</v>
      </c>
      <c r="U406" s="27"/>
      <c r="V406" s="27">
        <v>12.5</v>
      </c>
      <c r="W406" s="27"/>
      <c r="X406" s="27">
        <v>12.5</v>
      </c>
      <c r="Y406" s="27"/>
      <c r="Z406" s="27">
        <v>12.0</v>
      </c>
      <c r="AA406" s="27"/>
      <c r="AB406" s="27">
        <v>13.0</v>
      </c>
      <c r="AC406" s="27"/>
      <c r="AD406" s="27">
        <v>11.5</v>
      </c>
      <c r="AE406" s="27"/>
      <c r="AF406" s="27">
        <v>11.5</v>
      </c>
      <c r="AG406" s="27"/>
      <c r="AH406" s="27">
        <v>55.0</v>
      </c>
      <c r="AI406" s="27">
        <v>59.0</v>
      </c>
      <c r="AJ406" s="27">
        <v>2.0</v>
      </c>
      <c r="AK406" s="27" t="b">
        <v>0</v>
      </c>
      <c r="AL406" s="27">
        <v>100.0</v>
      </c>
      <c r="AM406" s="27" t="s">
        <v>191</v>
      </c>
      <c r="AN406" s="27" t="s">
        <v>404</v>
      </c>
      <c r="AO406" s="27"/>
    </row>
    <row r="407">
      <c r="A407" s="200">
        <v>44817.0251005787</v>
      </c>
      <c r="B407" s="19" t="s">
        <v>103</v>
      </c>
      <c r="C407" s="21" t="s">
        <v>356</v>
      </c>
      <c r="D407" s="62">
        <v>1.0</v>
      </c>
      <c r="E407" s="27">
        <v>1.0</v>
      </c>
      <c r="F407" s="27" t="s">
        <v>1298</v>
      </c>
      <c r="G407" s="201" t="s">
        <v>57</v>
      </c>
      <c r="H407" s="27" t="s">
        <v>109</v>
      </c>
      <c r="I407" s="27"/>
      <c r="J407" s="33">
        <v>11.5</v>
      </c>
      <c r="K407" s="33">
        <v>11.5</v>
      </c>
      <c r="L407" s="66">
        <v>56.5</v>
      </c>
      <c r="M407" s="27" t="s">
        <v>1299</v>
      </c>
      <c r="N407" s="27">
        <v>11.5</v>
      </c>
      <c r="O407" s="27"/>
      <c r="P407" s="27">
        <v>11.0</v>
      </c>
      <c r="Q407" s="27"/>
      <c r="R407" s="27">
        <v>11.0</v>
      </c>
      <c r="S407" s="27"/>
      <c r="T407" s="27">
        <v>11.5</v>
      </c>
      <c r="U407" s="27"/>
      <c r="V407" s="27">
        <v>11.0</v>
      </c>
      <c r="W407" s="27"/>
      <c r="X407" s="27">
        <v>11.0</v>
      </c>
      <c r="Y407" s="27"/>
      <c r="Z407" s="27">
        <v>11.5</v>
      </c>
      <c r="AA407" s="27"/>
      <c r="AB407" s="27">
        <v>11.5</v>
      </c>
      <c r="AC407" s="27"/>
      <c r="AD407" s="27">
        <v>11.5</v>
      </c>
      <c r="AE407" s="27"/>
      <c r="AF407" s="27"/>
      <c r="AG407" s="27"/>
      <c r="AH407" s="27">
        <v>63.0</v>
      </c>
      <c r="AI407" s="27">
        <v>83.0</v>
      </c>
      <c r="AJ407" s="27">
        <v>2.0</v>
      </c>
      <c r="AK407" s="27" t="b">
        <v>0</v>
      </c>
      <c r="AL407" s="27">
        <v>100.0</v>
      </c>
      <c r="AM407" s="27" t="s">
        <v>190</v>
      </c>
      <c r="AN407" s="27" t="s">
        <v>405</v>
      </c>
      <c r="AO407" s="27"/>
    </row>
    <row r="408">
      <c r="A408" s="200">
        <v>44817.0251005787</v>
      </c>
      <c r="B408" s="19" t="s">
        <v>103</v>
      </c>
      <c r="C408" s="21" t="s">
        <v>358</v>
      </c>
      <c r="D408" s="62">
        <v>2.0</v>
      </c>
      <c r="E408" s="27">
        <v>0.0</v>
      </c>
      <c r="F408" s="27" t="s">
        <v>1342</v>
      </c>
      <c r="G408" s="201" t="s">
        <v>57</v>
      </c>
      <c r="H408" s="27"/>
      <c r="I408" s="27"/>
      <c r="J408" s="33">
        <v>-37.0</v>
      </c>
      <c r="K408" s="33">
        <v>-40.0</v>
      </c>
      <c r="L408" s="66">
        <v>66.5</v>
      </c>
      <c r="M408" s="27" t="s">
        <v>1069</v>
      </c>
      <c r="N408" s="27">
        <v>-39.5</v>
      </c>
      <c r="O408" s="27"/>
      <c r="P408" s="27">
        <v>-40.0</v>
      </c>
      <c r="Q408" s="27"/>
      <c r="R408" s="27">
        <v>-38.0</v>
      </c>
      <c r="S408" s="27"/>
      <c r="T408" s="27">
        <v>-40.0</v>
      </c>
      <c r="U408" s="27"/>
      <c r="V408" s="27">
        <v>-40.0</v>
      </c>
      <c r="W408" s="27"/>
      <c r="X408" s="27"/>
      <c r="Y408" s="27"/>
      <c r="Z408" s="27"/>
      <c r="AA408" s="27"/>
      <c r="AB408" s="27"/>
      <c r="AC408" s="27"/>
      <c r="AD408" s="27"/>
      <c r="AE408" s="27"/>
      <c r="AF408" s="27"/>
      <c r="AG408" s="27"/>
      <c r="AH408" s="27">
        <v>97.0</v>
      </c>
      <c r="AI408" s="27">
        <v>30.0</v>
      </c>
      <c r="AJ408" s="27">
        <v>2.0</v>
      </c>
      <c r="AK408" s="27" t="b">
        <v>0</v>
      </c>
      <c r="AL408" s="27">
        <v>100.0</v>
      </c>
      <c r="AM408" s="27" t="s">
        <v>187</v>
      </c>
      <c r="AN408" s="27" t="s">
        <v>404</v>
      </c>
      <c r="AO408" s="27"/>
    </row>
    <row r="409">
      <c r="A409" s="200">
        <v>44817.0251005787</v>
      </c>
      <c r="B409" s="19" t="s">
        <v>103</v>
      </c>
      <c r="C409" s="21" t="s">
        <v>373</v>
      </c>
      <c r="D409" s="62">
        <v>2.0</v>
      </c>
      <c r="E409" s="27">
        <v>0.0</v>
      </c>
      <c r="F409" s="27" t="s">
        <v>1343</v>
      </c>
      <c r="G409" s="201" t="s">
        <v>57</v>
      </c>
      <c r="H409" s="27"/>
      <c r="I409" s="27"/>
      <c r="J409" s="33">
        <v>-34.0</v>
      </c>
      <c r="K409" s="33">
        <v>-36.5</v>
      </c>
      <c r="L409" s="66">
        <v>59.5</v>
      </c>
      <c r="M409" s="27" t="s">
        <v>1139</v>
      </c>
      <c r="N409" s="27">
        <v>-36.5</v>
      </c>
      <c r="O409" s="27"/>
      <c r="P409" s="27">
        <v>-36.5</v>
      </c>
      <c r="Q409" s="27"/>
      <c r="R409" s="27">
        <v>-36.0</v>
      </c>
      <c r="S409" s="27"/>
      <c r="T409" s="27">
        <v>-36.5</v>
      </c>
      <c r="U409" s="27"/>
      <c r="V409" s="27">
        <v>-36.5</v>
      </c>
      <c r="W409" s="27"/>
      <c r="X409" s="27">
        <v>-36.5</v>
      </c>
      <c r="Y409" s="27"/>
      <c r="Z409" s="27">
        <v>-36.5</v>
      </c>
      <c r="AA409" s="27"/>
      <c r="AB409" s="27">
        <v>-36.5</v>
      </c>
      <c r="AC409" s="27"/>
      <c r="AD409" s="27"/>
      <c r="AE409" s="27"/>
      <c r="AF409" s="27"/>
      <c r="AG409" s="27"/>
      <c r="AH409" s="27">
        <v>87.0</v>
      </c>
      <c r="AI409" s="27">
        <v>13.0</v>
      </c>
      <c r="AJ409" s="27">
        <v>2.0</v>
      </c>
      <c r="AK409" s="27" t="b">
        <v>0</v>
      </c>
      <c r="AL409" s="27">
        <v>100.0</v>
      </c>
      <c r="AM409" s="27" t="s">
        <v>192</v>
      </c>
      <c r="AN409" s="27" t="s">
        <v>404</v>
      </c>
      <c r="AO409" s="27"/>
    </row>
    <row r="410">
      <c r="A410" s="200">
        <v>44817.0251005787</v>
      </c>
      <c r="B410" s="19"/>
      <c r="C410" s="21"/>
      <c r="D410" s="62"/>
      <c r="E410" s="27"/>
      <c r="F410" s="27"/>
      <c r="G410" s="201"/>
      <c r="H410" s="27"/>
      <c r="I410" s="27"/>
      <c r="J410" s="33"/>
      <c r="K410" s="33"/>
      <c r="L410" s="66"/>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row>
    <row r="411">
      <c r="A411" s="200">
        <v>44817.0251005787</v>
      </c>
      <c r="B411" s="19" t="s">
        <v>103</v>
      </c>
      <c r="C411" s="21" t="s">
        <v>378</v>
      </c>
      <c r="D411" s="62">
        <v>1.0</v>
      </c>
      <c r="E411" s="27">
        <v>1.0</v>
      </c>
      <c r="F411" s="27" t="s">
        <v>1325</v>
      </c>
      <c r="G411" s="201" t="s">
        <v>57</v>
      </c>
      <c r="H411" s="27" t="s">
        <v>166</v>
      </c>
      <c r="I411" s="27"/>
      <c r="J411" s="33">
        <v>-4.0</v>
      </c>
      <c r="K411" s="33">
        <v>-6.0</v>
      </c>
      <c r="L411" s="66">
        <v>50.5</v>
      </c>
      <c r="M411" s="27" t="s">
        <v>1326</v>
      </c>
      <c r="N411" s="27">
        <v>-6.5</v>
      </c>
      <c r="O411" s="27"/>
      <c r="P411" s="27">
        <v>-6.0</v>
      </c>
      <c r="Q411" s="27"/>
      <c r="R411" s="27">
        <v>-6.0</v>
      </c>
      <c r="S411" s="27"/>
      <c r="T411" s="27">
        <v>-6.0</v>
      </c>
      <c r="U411" s="27"/>
      <c r="V411" s="27">
        <v>-6.0</v>
      </c>
      <c r="W411" s="27"/>
      <c r="X411" s="27">
        <v>-6.0</v>
      </c>
      <c r="Y411" s="27"/>
      <c r="Z411" s="27">
        <v>-6.0</v>
      </c>
      <c r="AA411" s="27"/>
      <c r="AB411" s="27">
        <v>-6.0</v>
      </c>
      <c r="AC411" s="27"/>
      <c r="AD411" s="27">
        <v>-6.0</v>
      </c>
      <c r="AE411" s="27"/>
      <c r="AF411" s="27">
        <v>-6.0</v>
      </c>
      <c r="AG411" s="27"/>
      <c r="AH411" s="27">
        <v>73.0</v>
      </c>
      <c r="AI411" s="27">
        <v>21.0</v>
      </c>
      <c r="AJ411" s="27">
        <v>2.0</v>
      </c>
      <c r="AK411" s="27" t="b">
        <v>1</v>
      </c>
      <c r="AL411" s="27">
        <v>100.0</v>
      </c>
      <c r="AM411" s="27" t="s">
        <v>189</v>
      </c>
      <c r="AN411" s="27" t="s">
        <v>405</v>
      </c>
      <c r="AO411" s="27"/>
    </row>
    <row r="412">
      <c r="A412" s="200">
        <v>44817.0251005787</v>
      </c>
      <c r="B412" s="19" t="s">
        <v>103</v>
      </c>
      <c r="C412" s="21" t="s">
        <v>324</v>
      </c>
      <c r="D412" s="62">
        <v>2.0</v>
      </c>
      <c r="E412" s="27">
        <v>0.0</v>
      </c>
      <c r="F412" s="27" t="s">
        <v>1317</v>
      </c>
      <c r="G412" s="201" t="s">
        <v>57</v>
      </c>
      <c r="H412" s="27" t="s">
        <v>144</v>
      </c>
      <c r="I412" s="27"/>
      <c r="J412" s="33">
        <v>-13.5</v>
      </c>
      <c r="K412" s="33">
        <v>-17.5</v>
      </c>
      <c r="L412" s="66">
        <v>50.5</v>
      </c>
      <c r="M412" s="27" t="s">
        <v>1318</v>
      </c>
      <c r="N412" s="27">
        <v>-17.0</v>
      </c>
      <c r="O412" s="27"/>
      <c r="P412" s="27">
        <v>-17.5</v>
      </c>
      <c r="Q412" s="27"/>
      <c r="R412" s="27">
        <v>-17.5</v>
      </c>
      <c r="S412" s="27"/>
      <c r="T412" s="27">
        <v>-18.0</v>
      </c>
      <c r="U412" s="27"/>
      <c r="V412" s="27">
        <v>-17.5</v>
      </c>
      <c r="W412" s="27"/>
      <c r="X412" s="27">
        <v>-17.5</v>
      </c>
      <c r="Y412" s="27"/>
      <c r="Z412" s="27">
        <v>-17.5</v>
      </c>
      <c r="AA412" s="27"/>
      <c r="AB412" s="27">
        <v>-17.5</v>
      </c>
      <c r="AC412" s="27"/>
      <c r="AD412" s="27">
        <v>-18.0</v>
      </c>
      <c r="AE412" s="27"/>
      <c r="AF412" s="27">
        <v>-18.0</v>
      </c>
      <c r="AG412" s="27"/>
      <c r="AH412" s="27">
        <v>89.0</v>
      </c>
      <c r="AI412" s="27">
        <v>27.0</v>
      </c>
      <c r="AJ412" s="27">
        <v>2.0</v>
      </c>
      <c r="AK412" s="27" t="b">
        <v>0</v>
      </c>
      <c r="AL412" s="27">
        <v>100.0</v>
      </c>
      <c r="AM412" s="27" t="s">
        <v>129</v>
      </c>
      <c r="AN412" s="27" t="s">
        <v>405</v>
      </c>
      <c r="AO412" s="27"/>
    </row>
    <row r="413">
      <c r="A413" s="200">
        <v>44817.0251005787</v>
      </c>
      <c r="B413" s="19" t="s">
        <v>103</v>
      </c>
      <c r="C413" s="21" t="s">
        <v>341</v>
      </c>
      <c r="D413" s="62">
        <v>2.0</v>
      </c>
      <c r="E413" s="27">
        <v>0.0</v>
      </c>
      <c r="F413" s="27" t="s">
        <v>1291</v>
      </c>
      <c r="G413" s="201" t="s">
        <v>57</v>
      </c>
      <c r="H413" s="27" t="s">
        <v>141</v>
      </c>
      <c r="I413" s="27"/>
      <c r="J413" s="33">
        <v>-25.5</v>
      </c>
      <c r="K413" s="33">
        <v>-28.0</v>
      </c>
      <c r="L413" s="66">
        <v>65.0</v>
      </c>
      <c r="M413" s="27" t="s">
        <v>1292</v>
      </c>
      <c r="N413" s="27">
        <v>-28.5</v>
      </c>
      <c r="O413" s="27"/>
      <c r="P413" s="27">
        <v>-28.0</v>
      </c>
      <c r="Q413" s="27"/>
      <c r="R413" s="27">
        <v>-28.0</v>
      </c>
      <c r="S413" s="27"/>
      <c r="T413" s="27">
        <v>-28.0</v>
      </c>
      <c r="U413" s="27"/>
      <c r="V413" s="27">
        <v>-28.0</v>
      </c>
      <c r="W413" s="27"/>
      <c r="X413" s="27">
        <v>-28.0</v>
      </c>
      <c r="Y413" s="27"/>
      <c r="Z413" s="27">
        <v>-28.0</v>
      </c>
      <c r="AA413" s="27"/>
      <c r="AB413" s="27">
        <v>-28.0</v>
      </c>
      <c r="AC413" s="27"/>
      <c r="AD413" s="27">
        <v>-28.0</v>
      </c>
      <c r="AE413" s="27"/>
      <c r="AF413" s="27">
        <v>-28.0</v>
      </c>
      <c r="AG413" s="27"/>
      <c r="AH413" s="27">
        <v>87.0</v>
      </c>
      <c r="AI413" s="27">
        <v>31.0</v>
      </c>
      <c r="AJ413" s="27">
        <v>2.0</v>
      </c>
      <c r="AK413" s="27" t="b">
        <v>1</v>
      </c>
      <c r="AL413" s="27">
        <v>100.0</v>
      </c>
      <c r="AM413" s="27" t="s">
        <v>188</v>
      </c>
      <c r="AN413" s="27" t="s">
        <v>404</v>
      </c>
      <c r="AO413" s="27"/>
    </row>
    <row r="414">
      <c r="A414" s="200">
        <v>44817.0251005787</v>
      </c>
      <c r="B414" s="19" t="s">
        <v>103</v>
      </c>
      <c r="C414" s="21" t="s">
        <v>362</v>
      </c>
      <c r="D414" s="62">
        <v>1.0</v>
      </c>
      <c r="E414" s="27">
        <v>1.0</v>
      </c>
      <c r="F414" s="27" t="s">
        <v>1344</v>
      </c>
      <c r="G414" s="201" t="s">
        <v>57</v>
      </c>
      <c r="H414" s="27"/>
      <c r="I414" s="27"/>
      <c r="J414" s="33">
        <v>-20.0</v>
      </c>
      <c r="K414" s="33">
        <v>-13.5</v>
      </c>
      <c r="L414" s="66">
        <v>40.5</v>
      </c>
      <c r="M414" s="27" t="s">
        <v>1345</v>
      </c>
      <c r="N414" s="27">
        <v>-13.5</v>
      </c>
      <c r="O414" s="27"/>
      <c r="P414" s="27">
        <v>-14.5</v>
      </c>
      <c r="Q414" s="27"/>
      <c r="R414" s="27">
        <v>-13.5</v>
      </c>
      <c r="S414" s="27"/>
      <c r="T414" s="27">
        <v>-13.5</v>
      </c>
      <c r="U414" s="27"/>
      <c r="V414" s="27">
        <v>-13.5</v>
      </c>
      <c r="W414" s="27"/>
      <c r="X414" s="27">
        <v>-13.5</v>
      </c>
      <c r="Y414" s="27"/>
      <c r="Z414" s="27">
        <v>-13.5</v>
      </c>
      <c r="AA414" s="27"/>
      <c r="AB414" s="27">
        <v>-13.5</v>
      </c>
      <c r="AC414" s="27"/>
      <c r="AD414" s="27">
        <v>9.0</v>
      </c>
      <c r="AE414" s="27"/>
      <c r="AF414" s="27">
        <v>9.0</v>
      </c>
      <c r="AG414" s="27"/>
      <c r="AH414" s="27">
        <v>30.0</v>
      </c>
      <c r="AI414" s="27">
        <v>44.0</v>
      </c>
      <c r="AJ414" s="27">
        <v>2.0</v>
      </c>
      <c r="AK414" s="27" t="b">
        <v>0</v>
      </c>
      <c r="AL414" s="27">
        <v>100.0</v>
      </c>
      <c r="AM414" s="27" t="s">
        <v>389</v>
      </c>
      <c r="AN414" s="27" t="s">
        <v>405</v>
      </c>
      <c r="AO414" s="27"/>
    </row>
    <row r="415">
      <c r="A415" s="200">
        <v>44817.0251005787</v>
      </c>
      <c r="B415" s="19" t="s">
        <v>103</v>
      </c>
      <c r="C415" s="21" t="s">
        <v>361</v>
      </c>
      <c r="D415" s="62">
        <v>0.0</v>
      </c>
      <c r="E415" s="27">
        <v>2.0</v>
      </c>
      <c r="F415" s="27" t="s">
        <v>1313</v>
      </c>
      <c r="G415" s="201" t="s">
        <v>57</v>
      </c>
      <c r="H415" s="27" t="s">
        <v>109</v>
      </c>
      <c r="I415" s="27"/>
      <c r="J415" s="33">
        <v>7.0</v>
      </c>
      <c r="K415" s="33">
        <v>7.0</v>
      </c>
      <c r="L415" s="66">
        <v>64.0</v>
      </c>
      <c r="M415" s="27" t="s">
        <v>1314</v>
      </c>
      <c r="N415" s="27">
        <v>7.0</v>
      </c>
      <c r="O415" s="27"/>
      <c r="P415" s="27">
        <v>7.0</v>
      </c>
      <c r="Q415" s="27"/>
      <c r="R415" s="27">
        <v>7.0</v>
      </c>
      <c r="S415" s="27"/>
      <c r="T415" s="27">
        <v>7.0</v>
      </c>
      <c r="U415" s="27"/>
      <c r="V415" s="27">
        <v>7.0</v>
      </c>
      <c r="W415" s="27"/>
      <c r="X415" s="27">
        <v>7.0</v>
      </c>
      <c r="Y415" s="27"/>
      <c r="Z415" s="27">
        <v>7.0</v>
      </c>
      <c r="AA415" s="27"/>
      <c r="AB415" s="27">
        <v>7.0</v>
      </c>
      <c r="AC415" s="27"/>
      <c r="AD415" s="27">
        <v>7.0</v>
      </c>
      <c r="AE415" s="27"/>
      <c r="AF415" s="27">
        <v>7.0</v>
      </c>
      <c r="AG415" s="27"/>
      <c r="AH415" s="27">
        <v>42.0</v>
      </c>
      <c r="AI415" s="27">
        <v>70.0</v>
      </c>
      <c r="AJ415" s="27">
        <v>2.0</v>
      </c>
      <c r="AK415" s="27" t="b">
        <v>1</v>
      </c>
      <c r="AL415" s="27">
        <v>100.0</v>
      </c>
      <c r="AM415" s="27" t="s">
        <v>193</v>
      </c>
      <c r="AN415" s="27" t="s">
        <v>405</v>
      </c>
      <c r="AO415" s="27"/>
    </row>
    <row r="416">
      <c r="A416" s="200">
        <v>44817.0251005787</v>
      </c>
      <c r="B416" s="19"/>
      <c r="C416" s="21"/>
      <c r="D416" s="62"/>
      <c r="E416" s="27"/>
      <c r="F416" s="27"/>
      <c r="G416" s="201"/>
      <c r="H416" s="27"/>
      <c r="I416" s="27"/>
      <c r="J416" s="33"/>
      <c r="K416" s="33"/>
      <c r="L416" s="66"/>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t="e">
        <v>#N/A</v>
      </c>
      <c r="AN416" s="27" t="e">
        <v>#N/A</v>
      </c>
      <c r="AO416" s="27"/>
    </row>
    <row r="417">
      <c r="A417" s="200">
        <v>44817.0251005787</v>
      </c>
      <c r="B417" s="19" t="s">
        <v>154</v>
      </c>
      <c r="C417" s="21" t="s">
        <v>366</v>
      </c>
      <c r="D417" s="62">
        <v>1.0</v>
      </c>
      <c r="E417" s="27">
        <v>2.0</v>
      </c>
      <c r="F417" s="27" t="s">
        <v>1300</v>
      </c>
      <c r="G417" s="201" t="s">
        <v>57</v>
      </c>
      <c r="H417" s="27" t="s">
        <v>109</v>
      </c>
      <c r="I417" s="27"/>
      <c r="J417" s="33">
        <v>-13.0</v>
      </c>
      <c r="K417" s="33">
        <v>-17.0</v>
      </c>
      <c r="L417" s="66">
        <v>46.5</v>
      </c>
      <c r="M417" s="27" t="s">
        <v>1301</v>
      </c>
      <c r="N417" s="27">
        <v>-17.5</v>
      </c>
      <c r="O417" s="27"/>
      <c r="P417" s="27">
        <v>-17.0</v>
      </c>
      <c r="Q417" s="27"/>
      <c r="R417" s="27">
        <v>-17.0</v>
      </c>
      <c r="S417" s="27"/>
      <c r="T417" s="27">
        <v>-17.0</v>
      </c>
      <c r="U417" s="27"/>
      <c r="V417" s="27">
        <v>-17.0</v>
      </c>
      <c r="W417" s="27"/>
      <c r="X417" s="27">
        <v>-17.0</v>
      </c>
      <c r="Y417" s="27"/>
      <c r="Z417" s="27">
        <v>-17.0</v>
      </c>
      <c r="AA417" s="27"/>
      <c r="AB417" s="27">
        <v>-17.5</v>
      </c>
      <c r="AC417" s="27"/>
      <c r="AD417" s="27">
        <v>-17.0</v>
      </c>
      <c r="AE417" s="27"/>
      <c r="AF417" s="27">
        <v>-17.0</v>
      </c>
      <c r="AG417" s="27"/>
      <c r="AH417" s="27">
        <v>46.0</v>
      </c>
      <c r="AI417" s="27">
        <v>89.0</v>
      </c>
      <c r="AJ417" s="27">
        <v>2.0</v>
      </c>
      <c r="AK417" s="27" t="b">
        <v>1</v>
      </c>
      <c r="AL417" s="27">
        <v>100.0</v>
      </c>
      <c r="AM417" s="27" t="s">
        <v>189</v>
      </c>
      <c r="AN417" s="27" t="s">
        <v>405</v>
      </c>
      <c r="AO417" s="27"/>
    </row>
    <row r="418">
      <c r="A418" s="200">
        <v>44817.0251005787</v>
      </c>
      <c r="B418" s="19" t="s">
        <v>154</v>
      </c>
      <c r="C418" s="21" t="s">
        <v>383</v>
      </c>
      <c r="D418" s="62">
        <v>2.0</v>
      </c>
      <c r="E418" s="27">
        <v>1.0</v>
      </c>
      <c r="F418" s="27" t="s">
        <v>1346</v>
      </c>
      <c r="G418" s="201" t="s">
        <v>57</v>
      </c>
      <c r="H418" s="27"/>
      <c r="I418" s="27"/>
      <c r="J418" s="33">
        <v>-23.0</v>
      </c>
      <c r="K418" s="33">
        <v>-24.5</v>
      </c>
      <c r="L418" s="66">
        <v>54.0</v>
      </c>
      <c r="M418" s="27" t="s">
        <v>1347</v>
      </c>
      <c r="N418" s="27">
        <v>-23.5</v>
      </c>
      <c r="O418" s="27"/>
      <c r="P418" s="27">
        <v>-23.5</v>
      </c>
      <c r="Q418" s="27"/>
      <c r="R418" s="27">
        <v>-24.0</v>
      </c>
      <c r="S418" s="27"/>
      <c r="T418" s="27">
        <v>-24.5</v>
      </c>
      <c r="U418" s="27"/>
      <c r="V418" s="27">
        <v>-23.5</v>
      </c>
      <c r="W418" s="27"/>
      <c r="X418" s="27">
        <v>-23.5</v>
      </c>
      <c r="Y418" s="27"/>
      <c r="Z418" s="27">
        <v>-24.5</v>
      </c>
      <c r="AA418" s="27"/>
      <c r="AB418" s="27">
        <v>-24.5</v>
      </c>
      <c r="AC418" s="27"/>
      <c r="AD418" s="27"/>
      <c r="AE418" s="27"/>
      <c r="AF418" s="27"/>
      <c r="AG418" s="27"/>
      <c r="AH418" s="27">
        <v>79.0</v>
      </c>
      <c r="AI418" s="27">
        <v>85.0</v>
      </c>
      <c r="AJ418" s="27">
        <v>2.0</v>
      </c>
      <c r="AK418" s="27" t="b">
        <v>0</v>
      </c>
      <c r="AL418" s="27">
        <v>100.0</v>
      </c>
      <c r="AM418" s="27" t="s">
        <v>129</v>
      </c>
      <c r="AN418" s="27" t="s">
        <v>405</v>
      </c>
      <c r="AO418" s="27"/>
    </row>
    <row r="419">
      <c r="A419" s="200">
        <v>44817.0251005787</v>
      </c>
      <c r="B419" s="19" t="s">
        <v>154</v>
      </c>
      <c r="C419" s="21" t="s">
        <v>382</v>
      </c>
      <c r="D419" s="62">
        <v>1.0</v>
      </c>
      <c r="E419" s="27">
        <v>1.0</v>
      </c>
      <c r="F419" s="27" t="s">
        <v>1335</v>
      </c>
      <c r="G419" s="201" t="s">
        <v>57</v>
      </c>
      <c r="H419" s="27" t="s">
        <v>116</v>
      </c>
      <c r="I419" s="27"/>
      <c r="J419" s="33">
        <v>-7.0</v>
      </c>
      <c r="K419" s="33">
        <v>-6.5</v>
      </c>
      <c r="L419" s="66">
        <v>51.5</v>
      </c>
      <c r="M419" s="27" t="s">
        <v>1336</v>
      </c>
      <c r="N419" s="27">
        <v>-6.5</v>
      </c>
      <c r="O419" s="27"/>
      <c r="P419" s="27">
        <v>-6.5</v>
      </c>
      <c r="Q419" s="27"/>
      <c r="R419" s="27">
        <v>-6.5</v>
      </c>
      <c r="S419" s="27"/>
      <c r="T419" s="27">
        <v>-6.5</v>
      </c>
      <c r="U419" s="27"/>
      <c r="V419" s="27">
        <v>-6.5</v>
      </c>
      <c r="W419" s="27"/>
      <c r="X419" s="27">
        <v>-6.5</v>
      </c>
      <c r="Y419" s="27"/>
      <c r="Z419" s="27">
        <v>-6.5</v>
      </c>
      <c r="AA419" s="27"/>
      <c r="AB419" s="27">
        <v>-6.5</v>
      </c>
      <c r="AC419" s="27"/>
      <c r="AD419" s="27">
        <v>-6.5</v>
      </c>
      <c r="AE419" s="27"/>
      <c r="AF419" s="27"/>
      <c r="AG419" s="27"/>
      <c r="AH419" s="27">
        <v>50.0</v>
      </c>
      <c r="AI419" s="27">
        <v>65.0</v>
      </c>
      <c r="AJ419" s="27">
        <v>2.0</v>
      </c>
      <c r="AK419" s="27" t="b">
        <v>1</v>
      </c>
      <c r="AL419" s="27">
        <v>100.0</v>
      </c>
      <c r="AM419" s="27" t="s">
        <v>190</v>
      </c>
      <c r="AN419" s="27" t="s">
        <v>405</v>
      </c>
      <c r="AO419" s="27"/>
    </row>
    <row r="420">
      <c r="A420" s="200">
        <v>44817.0251005787</v>
      </c>
      <c r="B420" s="19" t="s">
        <v>154</v>
      </c>
      <c r="C420" s="21" t="s">
        <v>372</v>
      </c>
      <c r="D420" s="62">
        <v>1.0</v>
      </c>
      <c r="E420" s="27">
        <v>1.0</v>
      </c>
      <c r="F420" s="27" t="s">
        <v>1348</v>
      </c>
      <c r="G420" s="201" t="s">
        <v>57</v>
      </c>
      <c r="H420" s="27"/>
      <c r="I420" s="27"/>
      <c r="J420" s="33">
        <v>-45.5</v>
      </c>
      <c r="K420" s="33">
        <v>-47.0</v>
      </c>
      <c r="L420" s="66">
        <v>58.5</v>
      </c>
      <c r="M420" s="27" t="s">
        <v>1240</v>
      </c>
      <c r="N420" s="27">
        <v>-44.5</v>
      </c>
      <c r="O420" s="27"/>
      <c r="P420" s="27">
        <v>-45.0</v>
      </c>
      <c r="Q420" s="27"/>
      <c r="R420" s="27">
        <v>-46.0</v>
      </c>
      <c r="S420" s="27"/>
      <c r="T420" s="27">
        <v>-47.0</v>
      </c>
      <c r="U420" s="27"/>
      <c r="V420" s="27">
        <v>-45.5</v>
      </c>
      <c r="W420" s="27"/>
      <c r="X420" s="27">
        <v>-44.5</v>
      </c>
      <c r="Y420" s="27"/>
      <c r="Z420" s="27">
        <v>-47.0</v>
      </c>
      <c r="AA420" s="27"/>
      <c r="AB420" s="27">
        <v>-47.0</v>
      </c>
      <c r="AC420" s="27"/>
      <c r="AD420" s="27"/>
      <c r="AE420" s="27"/>
      <c r="AF420" s="27"/>
      <c r="AG420" s="27"/>
      <c r="AH420" s="27">
        <v>99.0</v>
      </c>
      <c r="AI420" s="27">
        <v>36.0</v>
      </c>
      <c r="AJ420" s="27">
        <v>2.0</v>
      </c>
      <c r="AK420" s="27" t="b">
        <v>0</v>
      </c>
      <c r="AL420" s="27">
        <v>100.0</v>
      </c>
      <c r="AM420" s="27" t="s">
        <v>191</v>
      </c>
      <c r="AN420" s="27" t="s">
        <v>404</v>
      </c>
      <c r="AO420" s="27"/>
    </row>
    <row r="421">
      <c r="A421" s="200">
        <v>44817.0251005787</v>
      </c>
      <c r="B421" s="19" t="s">
        <v>154</v>
      </c>
      <c r="C421" s="21" t="s">
        <v>363</v>
      </c>
      <c r="D421" s="62">
        <v>2.0</v>
      </c>
      <c r="E421" s="27">
        <v>0.0</v>
      </c>
      <c r="F421" s="27" t="s">
        <v>1349</v>
      </c>
      <c r="G421" s="201" t="s">
        <v>57</v>
      </c>
      <c r="H421" s="27"/>
      <c r="I421" s="27"/>
      <c r="J421" s="33">
        <v>-44.5</v>
      </c>
      <c r="K421" s="33">
        <v>-45.0</v>
      </c>
      <c r="L421" s="66">
        <v>55.5</v>
      </c>
      <c r="M421" s="27" t="s">
        <v>1240</v>
      </c>
      <c r="N421" s="27">
        <v>-45.5</v>
      </c>
      <c r="O421" s="27"/>
      <c r="P421" s="27">
        <v>-45.5</v>
      </c>
      <c r="Q421" s="27"/>
      <c r="R421" s="27">
        <v>-44.5</v>
      </c>
      <c r="S421" s="27"/>
      <c r="T421" s="27">
        <v>-45.0</v>
      </c>
      <c r="U421" s="27"/>
      <c r="V421" s="27">
        <v>-45.5</v>
      </c>
      <c r="W421" s="27"/>
      <c r="X421" s="27">
        <v>-45.5</v>
      </c>
      <c r="Y421" s="27"/>
      <c r="Z421" s="27">
        <v>-45.0</v>
      </c>
      <c r="AA421" s="27"/>
      <c r="AB421" s="27">
        <v>-45.0</v>
      </c>
      <c r="AC421" s="27"/>
      <c r="AD421" s="27"/>
      <c r="AE421" s="27"/>
      <c r="AF421" s="27"/>
      <c r="AG421" s="27"/>
      <c r="AH421" s="27">
        <v>76.0</v>
      </c>
      <c r="AI421" s="27">
        <v>23.0</v>
      </c>
      <c r="AJ421" s="27">
        <v>2.0</v>
      </c>
      <c r="AK421" s="27" t="b">
        <v>0</v>
      </c>
      <c r="AL421" s="27">
        <v>100.0</v>
      </c>
      <c r="AM421" s="27" t="s">
        <v>186</v>
      </c>
      <c r="AN421" s="27" t="s">
        <v>404</v>
      </c>
      <c r="AO421" s="27"/>
    </row>
    <row r="422">
      <c r="A422" s="200">
        <v>44817.0251005787</v>
      </c>
      <c r="B422" s="19" t="s">
        <v>154</v>
      </c>
      <c r="C422" s="21" t="s">
        <v>379</v>
      </c>
      <c r="D422" s="62">
        <v>1.0</v>
      </c>
      <c r="E422" s="27">
        <v>1.0</v>
      </c>
      <c r="F422" s="27" t="s">
        <v>1281</v>
      </c>
      <c r="G422" s="201" t="s">
        <v>57</v>
      </c>
      <c r="H422" s="27" t="s">
        <v>138</v>
      </c>
      <c r="I422" s="27"/>
      <c r="J422" s="33">
        <v>9.5</v>
      </c>
      <c r="K422" s="33">
        <v>9.5</v>
      </c>
      <c r="L422" s="66">
        <v>55.0</v>
      </c>
      <c r="M422" s="27" t="s">
        <v>1282</v>
      </c>
      <c r="N422" s="27">
        <v>9.5</v>
      </c>
      <c r="O422" s="27"/>
      <c r="P422" s="27">
        <v>9.0</v>
      </c>
      <c r="Q422" s="27"/>
      <c r="R422" s="27">
        <v>9.0</v>
      </c>
      <c r="S422" s="27"/>
      <c r="T422" s="27">
        <v>9.5</v>
      </c>
      <c r="U422" s="27"/>
      <c r="V422" s="27">
        <v>9.0</v>
      </c>
      <c r="W422" s="27"/>
      <c r="X422" s="27">
        <v>9.0</v>
      </c>
      <c r="Y422" s="27"/>
      <c r="Z422" s="27">
        <v>9.5</v>
      </c>
      <c r="AA422" s="27"/>
      <c r="AB422" s="27">
        <v>9.0</v>
      </c>
      <c r="AC422" s="27"/>
      <c r="AD422" s="27">
        <v>9.5</v>
      </c>
      <c r="AE422" s="27"/>
      <c r="AF422" s="27">
        <v>9.5</v>
      </c>
      <c r="AG422" s="27"/>
      <c r="AH422" s="27">
        <v>65.0</v>
      </c>
      <c r="AI422" s="27">
        <v>58.0</v>
      </c>
      <c r="AJ422" s="27">
        <v>2.0</v>
      </c>
      <c r="AK422" s="27" t="b">
        <v>1</v>
      </c>
      <c r="AL422" s="27">
        <v>100.0</v>
      </c>
      <c r="AM422" s="27" t="s">
        <v>192</v>
      </c>
      <c r="AN422" s="27" t="s">
        <v>404</v>
      </c>
      <c r="AO422" s="27"/>
    </row>
    <row r="423">
      <c r="A423" s="200">
        <v>44817.0251005787</v>
      </c>
      <c r="B423" s="19" t="s">
        <v>154</v>
      </c>
      <c r="C423" s="21" t="s">
        <v>368</v>
      </c>
      <c r="D423" s="62">
        <v>1.0</v>
      </c>
      <c r="E423" s="27">
        <v>1.0</v>
      </c>
      <c r="F423" s="27" t="s">
        <v>1350</v>
      </c>
      <c r="G423" s="201" t="s">
        <v>57</v>
      </c>
      <c r="H423" s="27"/>
      <c r="I423" s="27"/>
      <c r="J423" s="33">
        <v>-7.5</v>
      </c>
      <c r="K423" s="33">
        <v>-10.5</v>
      </c>
      <c r="L423" s="66">
        <v>57.0</v>
      </c>
      <c r="M423" s="27" t="s">
        <v>1351</v>
      </c>
      <c r="N423" s="27">
        <v>-10.0</v>
      </c>
      <c r="O423" s="27"/>
      <c r="P423" s="27">
        <v>-10.0</v>
      </c>
      <c r="Q423" s="27"/>
      <c r="R423" s="27">
        <v>-10.0</v>
      </c>
      <c r="S423" s="27"/>
      <c r="T423" s="27">
        <v>-10.5</v>
      </c>
      <c r="U423" s="27"/>
      <c r="V423" s="27">
        <v>-10.0</v>
      </c>
      <c r="W423" s="27"/>
      <c r="X423" s="27">
        <v>-10.0</v>
      </c>
      <c r="Y423" s="27"/>
      <c r="Z423" s="27">
        <v>-10.0</v>
      </c>
      <c r="AA423" s="27"/>
      <c r="AB423" s="27">
        <v>-10.5</v>
      </c>
      <c r="AC423" s="27"/>
      <c r="AD423" s="27">
        <v>-10.5</v>
      </c>
      <c r="AE423" s="27"/>
      <c r="AF423" s="27">
        <v>-10.5</v>
      </c>
      <c r="AG423" s="27"/>
      <c r="AH423" s="27">
        <v>54.0</v>
      </c>
      <c r="AI423" s="27">
        <v>59.0</v>
      </c>
      <c r="AJ423" s="27">
        <v>2.0</v>
      </c>
      <c r="AK423" s="27" t="b">
        <v>1</v>
      </c>
      <c r="AL423" s="27">
        <v>100.0</v>
      </c>
      <c r="AM423" s="27" t="s">
        <v>188</v>
      </c>
      <c r="AN423" s="27" t="s">
        <v>404</v>
      </c>
      <c r="AO423" s="27"/>
    </row>
    <row r="424">
      <c r="A424" s="200">
        <v>44817.0251005787</v>
      </c>
      <c r="B424" s="19" t="s">
        <v>154</v>
      </c>
      <c r="C424" s="21" t="s">
        <v>352</v>
      </c>
      <c r="D424" s="62">
        <v>1.0</v>
      </c>
      <c r="E424" s="27">
        <v>1.0</v>
      </c>
      <c r="F424" s="27" t="s">
        <v>1228</v>
      </c>
      <c r="G424" s="201" t="s">
        <v>57</v>
      </c>
      <c r="H424" s="27" t="s">
        <v>53</v>
      </c>
      <c r="I424" s="27"/>
      <c r="J424" s="33">
        <v>45.5</v>
      </c>
      <c r="K424" s="33">
        <v>45.0</v>
      </c>
      <c r="L424" s="66">
        <v>68.5</v>
      </c>
      <c r="M424" s="27" t="s">
        <v>1115</v>
      </c>
      <c r="N424" s="27">
        <v>44.5</v>
      </c>
      <c r="O424" s="27"/>
      <c r="P424" s="27">
        <v>44.5</v>
      </c>
      <c r="Q424" s="27"/>
      <c r="R424" s="27">
        <v>45.0</v>
      </c>
      <c r="S424" s="27"/>
      <c r="T424" s="27">
        <v>45.0</v>
      </c>
      <c r="U424" s="27"/>
      <c r="V424" s="27">
        <v>44.5</v>
      </c>
      <c r="W424" s="27"/>
      <c r="X424" s="27">
        <v>44.5</v>
      </c>
      <c r="Y424" s="27"/>
      <c r="Z424" s="27">
        <v>44.5</v>
      </c>
      <c r="AA424" s="27"/>
      <c r="AB424" s="27">
        <v>44.0</v>
      </c>
      <c r="AC424" s="27"/>
      <c r="AD424" s="27">
        <v>45.0</v>
      </c>
      <c r="AE424" s="27"/>
      <c r="AF424" s="27">
        <v>45.0</v>
      </c>
      <c r="AG424" s="27"/>
      <c r="AH424" s="27">
        <v>70.0</v>
      </c>
      <c r="AI424" s="27">
        <v>48.0</v>
      </c>
      <c r="AJ424" s="27">
        <v>2.0</v>
      </c>
      <c r="AK424" s="27" t="b">
        <v>0</v>
      </c>
      <c r="AL424" s="27">
        <v>100.0</v>
      </c>
      <c r="AM424" s="27" t="s">
        <v>193</v>
      </c>
      <c r="AN424" s="27" t="s">
        <v>405</v>
      </c>
      <c r="AO424" s="27"/>
    </row>
    <row r="425">
      <c r="A425" s="200">
        <v>44817.0251005787</v>
      </c>
      <c r="B425" s="19" t="s">
        <v>154</v>
      </c>
      <c r="C425" s="21" t="s">
        <v>320</v>
      </c>
      <c r="D425" s="62">
        <v>1.0</v>
      </c>
      <c r="E425" s="27">
        <v>1.0</v>
      </c>
      <c r="F425" s="27" t="s">
        <v>1296</v>
      </c>
      <c r="G425" s="201" t="s">
        <v>183</v>
      </c>
      <c r="H425" s="27" t="s">
        <v>141</v>
      </c>
      <c r="I425" s="27"/>
      <c r="J425" s="33">
        <v>3.0</v>
      </c>
      <c r="K425" s="33">
        <v>2.5</v>
      </c>
      <c r="L425" s="66">
        <v>58.5</v>
      </c>
      <c r="M425" s="27" t="s">
        <v>1297</v>
      </c>
      <c r="N425" s="27">
        <v>2.5</v>
      </c>
      <c r="O425" s="27"/>
      <c r="P425" s="27">
        <v>2.5</v>
      </c>
      <c r="Q425" s="27"/>
      <c r="R425" s="27">
        <v>2.5</v>
      </c>
      <c r="S425" s="27"/>
      <c r="T425" s="27">
        <v>2.0</v>
      </c>
      <c r="U425" s="27"/>
      <c r="V425" s="27">
        <v>2.5</v>
      </c>
      <c r="W425" s="27"/>
      <c r="X425" s="27">
        <v>2.5</v>
      </c>
      <c r="Y425" s="27"/>
      <c r="Z425" s="27">
        <v>2.5</v>
      </c>
      <c r="AA425" s="27"/>
      <c r="AB425" s="27">
        <v>2.5</v>
      </c>
      <c r="AC425" s="27"/>
      <c r="AD425" s="27">
        <v>2.0</v>
      </c>
      <c r="AE425" s="27"/>
      <c r="AF425" s="27">
        <v>2.0</v>
      </c>
      <c r="AG425" s="27"/>
      <c r="AH425" s="27">
        <v>89.0</v>
      </c>
      <c r="AI425" s="27">
        <v>36.0</v>
      </c>
      <c r="AJ425" s="27">
        <v>2.0</v>
      </c>
      <c r="AK425" s="27" t="b">
        <v>0</v>
      </c>
      <c r="AL425" s="27">
        <v>100.0</v>
      </c>
      <c r="AM425" s="27" t="s">
        <v>187</v>
      </c>
      <c r="AN425" s="27" t="s">
        <v>404</v>
      </c>
      <c r="AO425" s="27"/>
    </row>
    <row r="426">
      <c r="A426" s="200">
        <v>44824.025102534724</v>
      </c>
      <c r="B426" s="19" t="s">
        <v>53</v>
      </c>
      <c r="C426" s="21" t="s">
        <v>120</v>
      </c>
      <c r="D426" s="62">
        <v>2.0</v>
      </c>
      <c r="E426" s="27">
        <v>2.0</v>
      </c>
      <c r="F426" s="27" t="s">
        <v>1352</v>
      </c>
      <c r="G426" s="201" t="s">
        <v>57</v>
      </c>
      <c r="H426" s="27" t="s">
        <v>116</v>
      </c>
      <c r="I426" s="27"/>
      <c r="J426" s="33">
        <v>20.5</v>
      </c>
      <c r="K426" s="33">
        <v>24.0</v>
      </c>
      <c r="L426" s="66">
        <v>39.5</v>
      </c>
      <c r="M426" s="27" t="s">
        <v>1353</v>
      </c>
      <c r="N426" s="27">
        <v>24.0</v>
      </c>
      <c r="O426" s="27"/>
      <c r="P426" s="27">
        <v>24.0</v>
      </c>
      <c r="Q426" s="27"/>
      <c r="R426" s="27">
        <v>23.5</v>
      </c>
      <c r="S426" s="27"/>
      <c r="T426" s="27">
        <v>24.0</v>
      </c>
      <c r="U426" s="27"/>
      <c r="V426" s="27">
        <v>24.0</v>
      </c>
      <c r="W426" s="27"/>
      <c r="X426" s="27">
        <v>24.0</v>
      </c>
      <c r="Y426" s="27"/>
      <c r="Z426" s="27">
        <v>24.0</v>
      </c>
      <c r="AA426" s="27"/>
      <c r="AB426" s="27">
        <v>24.0</v>
      </c>
      <c r="AC426" s="27"/>
      <c r="AD426" s="27">
        <v>24.0</v>
      </c>
      <c r="AE426" s="27"/>
      <c r="AF426" s="27">
        <v>24.0</v>
      </c>
      <c r="AG426" s="27"/>
      <c r="AH426" s="27">
        <v>102.0</v>
      </c>
      <c r="AI426" s="27">
        <v>108.0</v>
      </c>
      <c r="AJ426" s="27">
        <v>2.0</v>
      </c>
      <c r="AK426" s="27" t="b">
        <v>0</v>
      </c>
      <c r="AL426" s="27">
        <v>100.0</v>
      </c>
      <c r="AM426" s="27" t="s">
        <v>129</v>
      </c>
      <c r="AN426" s="27" t="s">
        <v>405</v>
      </c>
      <c r="AO426" s="27"/>
    </row>
    <row r="427">
      <c r="A427" s="200">
        <v>44824.025102534724</v>
      </c>
      <c r="B427" s="19" t="s">
        <v>53</v>
      </c>
      <c r="C427" s="21" t="s">
        <v>168</v>
      </c>
      <c r="D427" s="62">
        <v>3.0</v>
      </c>
      <c r="E427" s="27">
        <v>0.0</v>
      </c>
      <c r="F427" s="27" t="s">
        <v>1354</v>
      </c>
      <c r="G427" s="201" t="s">
        <v>57</v>
      </c>
      <c r="H427" s="27" t="s">
        <v>178</v>
      </c>
      <c r="I427" s="27"/>
      <c r="J427" s="33">
        <v>-30.0</v>
      </c>
      <c r="K427" s="33">
        <v>-31.0</v>
      </c>
      <c r="L427" s="66">
        <v>62.5</v>
      </c>
      <c r="M427" s="27" t="s">
        <v>1115</v>
      </c>
      <c r="N427" s="27">
        <v>-31.5</v>
      </c>
      <c r="O427" s="27"/>
      <c r="P427" s="27">
        <v>-31.0</v>
      </c>
      <c r="Q427" s="27"/>
      <c r="R427" s="27">
        <v>-30.0</v>
      </c>
      <c r="S427" s="27"/>
      <c r="T427" s="27">
        <v>-31.0</v>
      </c>
      <c r="U427" s="27"/>
      <c r="V427" s="27">
        <v>-31.0</v>
      </c>
      <c r="W427" s="27"/>
      <c r="X427" s="27">
        <v>-31.0</v>
      </c>
      <c r="Y427" s="27"/>
      <c r="Z427" s="27">
        <v>-31.5</v>
      </c>
      <c r="AA427" s="27"/>
      <c r="AB427" s="27">
        <v>-31.0</v>
      </c>
      <c r="AC427" s="27"/>
      <c r="AD427" s="27">
        <v>-31.0</v>
      </c>
      <c r="AE427" s="27"/>
      <c r="AF427" s="27"/>
      <c r="AG427" s="27"/>
      <c r="AH427" s="27">
        <v>143.0</v>
      </c>
      <c r="AI427" s="27">
        <v>43.0</v>
      </c>
      <c r="AJ427" s="27">
        <v>2.0</v>
      </c>
      <c r="AK427" s="27" t="b">
        <v>1</v>
      </c>
      <c r="AL427" s="27">
        <v>100.0</v>
      </c>
      <c r="AM427" s="27" t="s">
        <v>188</v>
      </c>
      <c r="AN427" s="27" t="s">
        <v>404</v>
      </c>
      <c r="AO427" s="27"/>
    </row>
    <row r="428">
      <c r="A428" s="200">
        <v>44824.025102534724</v>
      </c>
      <c r="B428" s="19" t="s">
        <v>53</v>
      </c>
      <c r="C428" s="21" t="s">
        <v>181</v>
      </c>
      <c r="D428" s="62">
        <v>2.0</v>
      </c>
      <c r="E428" s="27">
        <v>2.0</v>
      </c>
      <c r="F428" s="27" t="s">
        <v>1355</v>
      </c>
      <c r="G428" s="201" t="s">
        <v>57</v>
      </c>
      <c r="H428" s="27" t="s">
        <v>148</v>
      </c>
      <c r="I428" s="27"/>
      <c r="J428" s="33">
        <v>10.5</v>
      </c>
      <c r="K428" s="33">
        <v>7.5</v>
      </c>
      <c r="L428" s="66">
        <v>61.5</v>
      </c>
      <c r="M428" s="27" t="s">
        <v>1356</v>
      </c>
      <c r="N428" s="27">
        <v>7.5</v>
      </c>
      <c r="O428" s="27"/>
      <c r="P428" s="27">
        <v>7.5</v>
      </c>
      <c r="Q428" s="27"/>
      <c r="R428" s="27">
        <v>7.5</v>
      </c>
      <c r="S428" s="27"/>
      <c r="T428" s="27">
        <v>7.5</v>
      </c>
      <c r="U428" s="27"/>
      <c r="V428" s="27">
        <v>7.5</v>
      </c>
      <c r="W428" s="27"/>
      <c r="X428" s="27">
        <v>7.5</v>
      </c>
      <c r="Y428" s="27"/>
      <c r="Z428" s="27">
        <v>7.0</v>
      </c>
      <c r="AA428" s="27"/>
      <c r="AB428" s="27">
        <v>7.5</v>
      </c>
      <c r="AC428" s="27"/>
      <c r="AD428" s="27">
        <v>7.5</v>
      </c>
      <c r="AE428" s="27"/>
      <c r="AF428" s="27">
        <v>7.5</v>
      </c>
      <c r="AG428" s="27"/>
      <c r="AH428" s="27">
        <v>137.0</v>
      </c>
      <c r="AI428" s="27">
        <v>103.0</v>
      </c>
      <c r="AJ428" s="27">
        <v>2.0</v>
      </c>
      <c r="AK428" s="27" t="b">
        <v>1</v>
      </c>
      <c r="AL428" s="27">
        <v>100.0</v>
      </c>
      <c r="AM428" s="27" t="s">
        <v>189</v>
      </c>
      <c r="AN428" s="27" t="s">
        <v>405</v>
      </c>
      <c r="AO428" s="27"/>
    </row>
    <row r="429">
      <c r="A429" s="200">
        <v>44824.025102534724</v>
      </c>
      <c r="B429" s="19" t="s">
        <v>53</v>
      </c>
      <c r="C429" s="21" t="s">
        <v>195</v>
      </c>
      <c r="D429" s="62">
        <v>2.0</v>
      </c>
      <c r="E429" s="27">
        <v>1.0</v>
      </c>
      <c r="F429" s="27" t="s">
        <v>1357</v>
      </c>
      <c r="G429" s="201" t="s">
        <v>57</v>
      </c>
      <c r="H429" s="27"/>
      <c r="I429" s="27"/>
      <c r="J429" s="33">
        <v>-11.5</v>
      </c>
      <c r="K429" s="33">
        <v>-11.5</v>
      </c>
      <c r="L429" s="66">
        <v>64.0</v>
      </c>
      <c r="M429" s="27" t="s">
        <v>1358</v>
      </c>
      <c r="N429" s="27">
        <v>-12.5</v>
      </c>
      <c r="O429" s="27"/>
      <c r="P429" s="27">
        <v>-12.0</v>
      </c>
      <c r="Q429" s="27"/>
      <c r="R429" s="27">
        <v>-11.5</v>
      </c>
      <c r="S429" s="27"/>
      <c r="T429" s="27">
        <v>-11.5</v>
      </c>
      <c r="U429" s="27"/>
      <c r="V429" s="27">
        <v>-12.5</v>
      </c>
      <c r="W429" s="27"/>
      <c r="X429" s="27">
        <v>-12.0</v>
      </c>
      <c r="Y429" s="27"/>
      <c r="Z429" s="27">
        <v>-11.5</v>
      </c>
      <c r="AA429" s="27"/>
      <c r="AB429" s="27">
        <v>-11.5</v>
      </c>
      <c r="AC429" s="27"/>
      <c r="AD429" s="27"/>
      <c r="AE429" s="27"/>
      <c r="AF429" s="27"/>
      <c r="AG429" s="27"/>
      <c r="AH429" s="27">
        <v>129.0</v>
      </c>
      <c r="AI429" s="27">
        <v>92.0</v>
      </c>
      <c r="AJ429" s="27">
        <v>2.0</v>
      </c>
      <c r="AK429" s="27" t="b">
        <v>0</v>
      </c>
      <c r="AL429" s="27">
        <v>100.0</v>
      </c>
      <c r="AM429" s="27" t="s">
        <v>389</v>
      </c>
      <c r="AN429" s="27" t="s">
        <v>405</v>
      </c>
      <c r="AO429" s="27"/>
    </row>
    <row r="430">
      <c r="A430" s="200">
        <v>44824.025102534724</v>
      </c>
      <c r="B430" s="19" t="s">
        <v>53</v>
      </c>
      <c r="C430" s="21" t="s">
        <v>54</v>
      </c>
      <c r="D430" s="62">
        <v>2.0</v>
      </c>
      <c r="E430" s="27">
        <v>1.0</v>
      </c>
      <c r="F430" s="27" t="s">
        <v>1359</v>
      </c>
      <c r="G430" s="201" t="s">
        <v>57</v>
      </c>
      <c r="H430" s="27" t="s">
        <v>141</v>
      </c>
      <c r="I430" s="27"/>
      <c r="J430" s="33">
        <v>-6.5</v>
      </c>
      <c r="K430" s="33">
        <v>-3.5</v>
      </c>
      <c r="L430" s="66">
        <v>58.0</v>
      </c>
      <c r="M430" s="27" t="s">
        <v>1360</v>
      </c>
      <c r="N430" s="27">
        <v>-3.5</v>
      </c>
      <c r="O430" s="27"/>
      <c r="P430" s="27">
        <v>-3.5</v>
      </c>
      <c r="Q430" s="27"/>
      <c r="R430" s="27">
        <v>-3.5</v>
      </c>
      <c r="S430" s="27"/>
      <c r="T430" s="27">
        <v>-3.5</v>
      </c>
      <c r="U430" s="27"/>
      <c r="V430" s="27">
        <v>-3.5</v>
      </c>
      <c r="W430" s="27"/>
      <c r="X430" s="27">
        <v>-4.0</v>
      </c>
      <c r="Y430" s="27"/>
      <c r="Z430" s="27">
        <v>-3.5</v>
      </c>
      <c r="AA430" s="27"/>
      <c r="AB430" s="27">
        <v>-3.5</v>
      </c>
      <c r="AC430" s="27"/>
      <c r="AD430" s="27">
        <v>-3.5</v>
      </c>
      <c r="AE430" s="27"/>
      <c r="AF430" s="27">
        <v>-3.5</v>
      </c>
      <c r="AG430" s="27"/>
      <c r="AH430" s="27">
        <v>114.0</v>
      </c>
      <c r="AI430" s="27">
        <v>83.0</v>
      </c>
      <c r="AJ430" s="27">
        <v>2.0</v>
      </c>
      <c r="AK430" s="27" t="b">
        <v>0</v>
      </c>
      <c r="AL430" s="27">
        <v>100.0</v>
      </c>
      <c r="AM430" s="27" t="s">
        <v>191</v>
      </c>
      <c r="AN430" s="27" t="s">
        <v>404</v>
      </c>
      <c r="AO430" s="27"/>
    </row>
    <row r="431">
      <c r="A431" s="200">
        <v>44824.025102534724</v>
      </c>
      <c r="B431" s="19" t="s">
        <v>53</v>
      </c>
      <c r="C431" s="21" t="s">
        <v>176</v>
      </c>
      <c r="D431" s="62">
        <v>1.0</v>
      </c>
      <c r="E431" s="27">
        <v>2.0</v>
      </c>
      <c r="F431" s="27" t="s">
        <v>1361</v>
      </c>
      <c r="G431" s="201" t="s">
        <v>57</v>
      </c>
      <c r="H431" s="27" t="s">
        <v>148</v>
      </c>
      <c r="I431" s="27"/>
      <c r="J431" s="33">
        <v>20.0</v>
      </c>
      <c r="K431" s="33">
        <v>19.0</v>
      </c>
      <c r="L431" s="66">
        <v>47.5</v>
      </c>
      <c r="M431" s="27" t="s">
        <v>1362</v>
      </c>
      <c r="N431" s="27">
        <v>19.5</v>
      </c>
      <c r="O431" s="27"/>
      <c r="P431" s="27">
        <v>20.0</v>
      </c>
      <c r="Q431" s="27"/>
      <c r="R431" s="27">
        <v>20.0</v>
      </c>
      <c r="S431" s="27"/>
      <c r="T431" s="27">
        <v>19.0</v>
      </c>
      <c r="U431" s="27"/>
      <c r="V431" s="27">
        <v>20.0</v>
      </c>
      <c r="W431" s="27"/>
      <c r="X431" s="27">
        <v>20.0</v>
      </c>
      <c r="Y431" s="27"/>
      <c r="Z431" s="27">
        <v>20.0</v>
      </c>
      <c r="AA431" s="27"/>
      <c r="AB431" s="27">
        <v>19.0</v>
      </c>
      <c r="AC431" s="27"/>
      <c r="AD431" s="27">
        <v>19.0</v>
      </c>
      <c r="AE431" s="27"/>
      <c r="AF431" s="27"/>
      <c r="AG431" s="27"/>
      <c r="AH431" s="27">
        <v>61.0</v>
      </c>
      <c r="AI431" s="27">
        <v>127.0</v>
      </c>
      <c r="AJ431" s="27">
        <v>2.0</v>
      </c>
      <c r="AK431" s="27" t="b">
        <v>0</v>
      </c>
      <c r="AL431" s="27">
        <v>100.0</v>
      </c>
      <c r="AM431" s="27" t="s">
        <v>190</v>
      </c>
      <c r="AN431" s="27" t="s">
        <v>405</v>
      </c>
      <c r="AO431" s="27"/>
    </row>
    <row r="432">
      <c r="A432" s="200">
        <v>44824.025102534724</v>
      </c>
      <c r="B432" s="19" t="s">
        <v>53</v>
      </c>
      <c r="C432" s="21" t="s">
        <v>170</v>
      </c>
      <c r="D432" s="62">
        <v>1.0</v>
      </c>
      <c r="E432" s="27">
        <v>2.0</v>
      </c>
      <c r="F432" s="27" t="s">
        <v>1363</v>
      </c>
      <c r="G432" s="201" t="s">
        <v>57</v>
      </c>
      <c r="H432" s="27" t="s">
        <v>53</v>
      </c>
      <c r="I432" s="27"/>
      <c r="J432" s="33">
        <v>10.0</v>
      </c>
      <c r="K432" s="33">
        <v>8.5</v>
      </c>
      <c r="L432" s="66">
        <v>53.0</v>
      </c>
      <c r="M432" s="27" t="s">
        <v>1364</v>
      </c>
      <c r="N432" s="27">
        <v>8.5</v>
      </c>
      <c r="O432" s="27"/>
      <c r="P432" s="27">
        <v>8.5</v>
      </c>
      <c r="Q432" s="27"/>
      <c r="R432" s="27">
        <v>9.0</v>
      </c>
      <c r="S432" s="27"/>
      <c r="T432" s="27">
        <v>8.5</v>
      </c>
      <c r="U432" s="27"/>
      <c r="V432" s="27">
        <v>9.0</v>
      </c>
      <c r="W432" s="27"/>
      <c r="X432" s="27">
        <v>9.0</v>
      </c>
      <c r="Y432" s="27"/>
      <c r="Z432" s="27">
        <v>8.5</v>
      </c>
      <c r="AA432" s="27"/>
      <c r="AB432" s="27">
        <v>8.5</v>
      </c>
      <c r="AC432" s="27"/>
      <c r="AD432" s="27">
        <v>8.5</v>
      </c>
      <c r="AE432" s="27"/>
      <c r="AF432" s="27">
        <v>8.5</v>
      </c>
      <c r="AG432" s="27"/>
      <c r="AH432" s="27">
        <v>55.0</v>
      </c>
      <c r="AI432" s="27">
        <v>72.0</v>
      </c>
      <c r="AJ432" s="27">
        <v>2.0</v>
      </c>
      <c r="AK432" s="27" t="b">
        <v>1</v>
      </c>
      <c r="AL432" s="27">
        <v>100.0</v>
      </c>
      <c r="AM432" s="27" t="s">
        <v>193</v>
      </c>
      <c r="AN432" s="27" t="s">
        <v>405</v>
      </c>
      <c r="AO432" s="27"/>
    </row>
    <row r="433">
      <c r="A433" s="200">
        <v>44824.025102534724</v>
      </c>
      <c r="B433" s="19" t="s">
        <v>53</v>
      </c>
      <c r="C433" s="21" t="s">
        <v>155</v>
      </c>
      <c r="D433" s="62">
        <v>2.0</v>
      </c>
      <c r="E433" s="27">
        <v>1.0</v>
      </c>
      <c r="F433" s="27" t="s">
        <v>1363</v>
      </c>
      <c r="G433" s="201" t="s">
        <v>57</v>
      </c>
      <c r="H433" s="27" t="s">
        <v>53</v>
      </c>
      <c r="I433" s="27"/>
      <c r="J433" s="33">
        <v>-10.0</v>
      </c>
      <c r="K433" s="33">
        <v>-8.5</v>
      </c>
      <c r="L433" s="66">
        <v>53.0</v>
      </c>
      <c r="M433" s="27" t="s">
        <v>1364</v>
      </c>
      <c r="N433" s="27">
        <v>-8.5</v>
      </c>
      <c r="O433" s="27"/>
      <c r="P433" s="27">
        <v>-8.5</v>
      </c>
      <c r="Q433" s="27"/>
      <c r="R433" s="27">
        <v>-9.0</v>
      </c>
      <c r="S433" s="27"/>
      <c r="T433" s="27">
        <v>-8.5</v>
      </c>
      <c r="U433" s="27"/>
      <c r="V433" s="27">
        <v>-9.0</v>
      </c>
      <c r="W433" s="27"/>
      <c r="X433" s="27">
        <v>-9.0</v>
      </c>
      <c r="Y433" s="27"/>
      <c r="Z433" s="27">
        <v>-8.5</v>
      </c>
      <c r="AA433" s="27"/>
      <c r="AB433" s="27">
        <v>-8.5</v>
      </c>
      <c r="AC433" s="27"/>
      <c r="AD433" s="27">
        <v>-8.5</v>
      </c>
      <c r="AE433" s="27"/>
      <c r="AF433" s="27">
        <v>-8.5</v>
      </c>
      <c r="AG433" s="27"/>
      <c r="AH433" s="27">
        <v>53.0</v>
      </c>
      <c r="AI433" s="27">
        <v>55.0</v>
      </c>
      <c r="AJ433" s="27">
        <v>2.0</v>
      </c>
      <c r="AK433" s="27" t="b">
        <v>0</v>
      </c>
      <c r="AL433" s="27">
        <v>100.0</v>
      </c>
      <c r="AM433" s="27" t="s">
        <v>186</v>
      </c>
      <c r="AN433" s="27" t="s">
        <v>404</v>
      </c>
      <c r="AO433" s="27"/>
    </row>
    <row r="434">
      <c r="A434" s="200">
        <v>44824.025102534724</v>
      </c>
      <c r="B434" s="19" t="s">
        <v>53</v>
      </c>
      <c r="C434" s="21" t="s">
        <v>173</v>
      </c>
      <c r="D434" s="62">
        <v>2.0</v>
      </c>
      <c r="E434" s="27">
        <v>1.0</v>
      </c>
      <c r="F434" s="27" t="s">
        <v>1365</v>
      </c>
      <c r="G434" s="201" t="s">
        <v>57</v>
      </c>
      <c r="H434" s="27"/>
      <c r="I434" s="27"/>
      <c r="J434" s="33">
        <v>-33.0</v>
      </c>
      <c r="K434" s="33">
        <v>-32.5</v>
      </c>
      <c r="L434" s="66">
        <v>56.5</v>
      </c>
      <c r="M434" s="27" t="s">
        <v>1286</v>
      </c>
      <c r="N434" s="27">
        <v>-31.5</v>
      </c>
      <c r="O434" s="27"/>
      <c r="P434" s="27">
        <v>-31.5</v>
      </c>
      <c r="Q434" s="27"/>
      <c r="R434" s="27">
        <v>-31.5</v>
      </c>
      <c r="S434" s="27"/>
      <c r="T434" s="27">
        <v>-32.5</v>
      </c>
      <c r="U434" s="27"/>
      <c r="V434" s="27">
        <v>-31.5</v>
      </c>
      <c r="W434" s="27"/>
      <c r="X434" s="27">
        <v>-31.5</v>
      </c>
      <c r="Y434" s="27"/>
      <c r="Z434" s="27">
        <v>-32.5</v>
      </c>
      <c r="AA434" s="27"/>
      <c r="AB434" s="27">
        <v>-32.5</v>
      </c>
      <c r="AC434" s="27"/>
      <c r="AD434" s="27"/>
      <c r="AE434" s="27"/>
      <c r="AF434" s="27"/>
      <c r="AG434" s="27"/>
      <c r="AH434" s="27">
        <v>98.0</v>
      </c>
      <c r="AI434" s="27">
        <v>81.0</v>
      </c>
      <c r="AJ434" s="27">
        <v>2.0</v>
      </c>
      <c r="AK434" s="27" t="b">
        <v>0</v>
      </c>
      <c r="AL434" s="27">
        <v>100.0</v>
      </c>
      <c r="AM434" s="27" t="s">
        <v>192</v>
      </c>
      <c r="AN434" s="27" t="s">
        <v>404</v>
      </c>
      <c r="AO434" s="27"/>
    </row>
    <row r="435">
      <c r="A435" s="200">
        <v>44824.025102534724</v>
      </c>
      <c r="B435" s="19" t="s">
        <v>53</v>
      </c>
      <c r="C435" s="21" t="s">
        <v>184</v>
      </c>
      <c r="D435" s="62">
        <v>3.0</v>
      </c>
      <c r="E435" s="27">
        <v>0.0</v>
      </c>
      <c r="F435" s="27" t="s">
        <v>1366</v>
      </c>
      <c r="G435" s="201" t="s">
        <v>57</v>
      </c>
      <c r="H435" s="27" t="s">
        <v>141</v>
      </c>
      <c r="I435" s="27"/>
      <c r="J435" s="33">
        <v>-3.5</v>
      </c>
      <c r="K435" s="33">
        <v>-10.5</v>
      </c>
      <c r="L435" s="66">
        <v>65.5</v>
      </c>
      <c r="M435" s="27" t="s">
        <v>1367</v>
      </c>
      <c r="N435" s="27">
        <v>-10.5</v>
      </c>
      <c r="O435" s="27"/>
      <c r="P435" s="27">
        <v>-10.5</v>
      </c>
      <c r="Q435" s="27"/>
      <c r="R435" s="27">
        <v>-10.5</v>
      </c>
      <c r="S435" s="27"/>
      <c r="T435" s="27">
        <v>-10.5</v>
      </c>
      <c r="U435" s="27"/>
      <c r="V435" s="27">
        <v>-10.5</v>
      </c>
      <c r="W435" s="27"/>
      <c r="X435" s="27">
        <v>-11.0</v>
      </c>
      <c r="Y435" s="27"/>
      <c r="Z435" s="27">
        <v>-10.5</v>
      </c>
      <c r="AA435" s="27"/>
      <c r="AB435" s="27">
        <v>-11.5</v>
      </c>
      <c r="AC435" s="27"/>
      <c r="AD435" s="27">
        <v>-10.5</v>
      </c>
      <c r="AE435" s="27"/>
      <c r="AF435" s="27">
        <v>-10.5</v>
      </c>
      <c r="AG435" s="27"/>
      <c r="AH435" s="27">
        <v>127.0</v>
      </c>
      <c r="AI435" s="27">
        <v>30.0</v>
      </c>
      <c r="AJ435" s="27">
        <v>2.0</v>
      </c>
      <c r="AK435" s="27" t="b">
        <v>1</v>
      </c>
      <c r="AL435" s="27">
        <v>100.0</v>
      </c>
      <c r="AM435" s="27" t="s">
        <v>187</v>
      </c>
      <c r="AN435" s="27" t="s">
        <v>404</v>
      </c>
      <c r="AO435" s="27"/>
    </row>
    <row r="436">
      <c r="A436" s="200">
        <v>44824.025102534724</v>
      </c>
      <c r="B436" s="19"/>
      <c r="C436" s="21"/>
      <c r="D436" s="62"/>
      <c r="E436" s="27"/>
      <c r="F436" s="27"/>
      <c r="G436" s="201"/>
      <c r="H436" s="27"/>
      <c r="I436" s="27"/>
      <c r="J436" s="33"/>
      <c r="K436" s="33"/>
      <c r="L436" s="66"/>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t="e">
        <v>#N/A</v>
      </c>
      <c r="AN436" s="27" t="e">
        <v>#N/A</v>
      </c>
      <c r="AO436" s="27"/>
    </row>
    <row r="437">
      <c r="A437" s="200">
        <v>44824.025102534724</v>
      </c>
      <c r="B437" s="19" t="s">
        <v>131</v>
      </c>
      <c r="C437" s="21" t="s">
        <v>219</v>
      </c>
      <c r="D437" s="62">
        <v>1.0</v>
      </c>
      <c r="E437" s="27">
        <v>2.0</v>
      </c>
      <c r="F437" s="27" t="s">
        <v>1368</v>
      </c>
      <c r="G437" s="201" t="s">
        <v>57</v>
      </c>
      <c r="H437" s="27" t="s">
        <v>154</v>
      </c>
      <c r="I437" s="27"/>
      <c r="J437" s="33">
        <v>16.5</v>
      </c>
      <c r="K437" s="33">
        <v>22.0</v>
      </c>
      <c r="L437" s="66">
        <v>49.5</v>
      </c>
      <c r="M437" s="27" t="s">
        <v>1369</v>
      </c>
      <c r="N437" s="27">
        <v>21.5</v>
      </c>
      <c r="O437" s="27"/>
      <c r="P437" s="27">
        <v>22.5</v>
      </c>
      <c r="Q437" s="27"/>
      <c r="R437" s="27">
        <v>22.5</v>
      </c>
      <c r="S437" s="27"/>
      <c r="T437" s="27">
        <v>22.0</v>
      </c>
      <c r="U437" s="27"/>
      <c r="V437" s="27">
        <v>22.5</v>
      </c>
      <c r="W437" s="27"/>
      <c r="X437" s="27">
        <v>22.0</v>
      </c>
      <c r="Y437" s="27"/>
      <c r="Z437" s="27">
        <v>22.5</v>
      </c>
      <c r="AA437" s="27"/>
      <c r="AB437" s="27">
        <v>22.0</v>
      </c>
      <c r="AC437" s="27"/>
      <c r="AD437" s="27">
        <v>22.0</v>
      </c>
      <c r="AE437" s="27"/>
      <c r="AF437" s="27">
        <v>22.0</v>
      </c>
      <c r="AG437" s="27"/>
      <c r="AH437" s="27">
        <v>65.0</v>
      </c>
      <c r="AI437" s="27">
        <v>80.0</v>
      </c>
      <c r="AJ437" s="27">
        <v>2.0</v>
      </c>
      <c r="AK437" s="27" t="b">
        <v>0</v>
      </c>
      <c r="AL437" s="27">
        <v>100.0</v>
      </c>
      <c r="AM437" s="27" t="s">
        <v>129</v>
      </c>
      <c r="AN437" s="27" t="s">
        <v>405</v>
      </c>
      <c r="AO437" s="27"/>
    </row>
    <row r="438">
      <c r="A438" s="200">
        <v>44824.025102534724</v>
      </c>
      <c r="B438" s="19" t="s">
        <v>131</v>
      </c>
      <c r="C438" s="21" t="s">
        <v>214</v>
      </c>
      <c r="D438" s="62">
        <v>3.0</v>
      </c>
      <c r="E438" s="27">
        <v>0.0</v>
      </c>
      <c r="F438" s="27" t="s">
        <v>1370</v>
      </c>
      <c r="G438" s="201" t="s">
        <v>57</v>
      </c>
      <c r="H438" s="27" t="s">
        <v>141</v>
      </c>
      <c r="I438" s="27"/>
      <c r="J438" s="33">
        <v>-45.5</v>
      </c>
      <c r="K438" s="33">
        <v>-47.5</v>
      </c>
      <c r="L438" s="66">
        <v>67.5</v>
      </c>
      <c r="M438" s="27" t="s">
        <v>1139</v>
      </c>
      <c r="N438" s="27">
        <v>-47.5</v>
      </c>
      <c r="O438" s="27"/>
      <c r="P438" s="27">
        <v>-47.5</v>
      </c>
      <c r="Q438" s="27"/>
      <c r="R438" s="27">
        <v>-47.5</v>
      </c>
      <c r="S438" s="27"/>
      <c r="T438" s="27">
        <v>-47.5</v>
      </c>
      <c r="U438" s="27"/>
      <c r="V438" s="27">
        <v>-47.5</v>
      </c>
      <c r="W438" s="27"/>
      <c r="X438" s="27">
        <v>-47.5</v>
      </c>
      <c r="Y438" s="27"/>
      <c r="Z438" s="27">
        <v>-47.5</v>
      </c>
      <c r="AA438" s="27"/>
      <c r="AB438" s="27">
        <v>-47.5</v>
      </c>
      <c r="AC438" s="27"/>
      <c r="AD438" s="27">
        <v>-47.5</v>
      </c>
      <c r="AE438" s="27"/>
      <c r="AF438" s="27"/>
      <c r="AG438" s="27"/>
      <c r="AH438" s="27">
        <v>156.0</v>
      </c>
      <c r="AI438" s="27">
        <v>43.0</v>
      </c>
      <c r="AJ438" s="27">
        <v>2.0</v>
      </c>
      <c r="AK438" s="27" t="b">
        <v>0</v>
      </c>
      <c r="AL438" s="27">
        <v>100.0</v>
      </c>
      <c r="AM438" s="27" t="s">
        <v>192</v>
      </c>
      <c r="AN438" s="27" t="s">
        <v>404</v>
      </c>
      <c r="AO438" s="27"/>
    </row>
    <row r="439">
      <c r="A439" s="200">
        <v>44824.025102534724</v>
      </c>
      <c r="B439" s="19" t="s">
        <v>131</v>
      </c>
      <c r="C439" s="21" t="s">
        <v>210</v>
      </c>
      <c r="D439" s="62">
        <v>1.0</v>
      </c>
      <c r="E439" s="27">
        <v>2.0</v>
      </c>
      <c r="F439" s="27" t="s">
        <v>1371</v>
      </c>
      <c r="G439" s="201" t="s">
        <v>57</v>
      </c>
      <c r="H439" s="27" t="s">
        <v>144</v>
      </c>
      <c r="I439" s="27"/>
      <c r="J439" s="33">
        <v>24.0</v>
      </c>
      <c r="K439" s="33">
        <v>23.0</v>
      </c>
      <c r="L439" s="66">
        <v>58.5</v>
      </c>
      <c r="M439" s="27" t="s">
        <v>1372</v>
      </c>
      <c r="N439" s="27">
        <v>23.5</v>
      </c>
      <c r="O439" s="27"/>
      <c r="P439" s="27">
        <v>23.5</v>
      </c>
      <c r="Q439" s="27"/>
      <c r="R439" s="27">
        <v>23.5</v>
      </c>
      <c r="S439" s="27"/>
      <c r="T439" s="27">
        <v>23.0</v>
      </c>
      <c r="U439" s="27"/>
      <c r="V439" s="27">
        <v>23.5</v>
      </c>
      <c r="W439" s="27"/>
      <c r="X439" s="27">
        <v>23.0</v>
      </c>
      <c r="Y439" s="27"/>
      <c r="Z439" s="27">
        <v>23.5</v>
      </c>
      <c r="AA439" s="27"/>
      <c r="AB439" s="27">
        <v>24.0</v>
      </c>
      <c r="AC439" s="27"/>
      <c r="AD439" s="27">
        <v>23.0</v>
      </c>
      <c r="AE439" s="27"/>
      <c r="AF439" s="27">
        <v>23.0</v>
      </c>
      <c r="AG439" s="27"/>
      <c r="AH439" s="27">
        <v>91.0</v>
      </c>
      <c r="AI439" s="27">
        <v>101.0</v>
      </c>
      <c r="AJ439" s="27">
        <v>2.0</v>
      </c>
      <c r="AK439" s="27" t="b">
        <v>1</v>
      </c>
      <c r="AL439" s="27">
        <v>100.0</v>
      </c>
      <c r="AM439" s="27" t="s">
        <v>389</v>
      </c>
      <c r="AN439" s="27" t="s">
        <v>405</v>
      </c>
      <c r="AO439" s="27"/>
    </row>
    <row r="440">
      <c r="A440" s="200">
        <v>44824.025102534724</v>
      </c>
      <c r="B440" s="19" t="s">
        <v>131</v>
      </c>
      <c r="C440" s="21" t="s">
        <v>206</v>
      </c>
      <c r="D440" s="62">
        <v>3.0</v>
      </c>
      <c r="E440" s="27">
        <v>0.0</v>
      </c>
      <c r="F440" s="27" t="s">
        <v>1373</v>
      </c>
      <c r="G440" s="201" t="s">
        <v>57</v>
      </c>
      <c r="H440" s="27" t="s">
        <v>166</v>
      </c>
      <c r="I440" s="27"/>
      <c r="J440" s="33">
        <v>-36.0</v>
      </c>
      <c r="K440" s="33">
        <v>-34.0</v>
      </c>
      <c r="L440" s="66">
        <v>53.5</v>
      </c>
      <c r="M440" s="27" t="s">
        <v>1069</v>
      </c>
      <c r="N440" s="27">
        <v>-33.5</v>
      </c>
      <c r="O440" s="27"/>
      <c r="P440" s="27">
        <v>-33.5</v>
      </c>
      <c r="Q440" s="27"/>
      <c r="R440" s="27">
        <v>-33.0</v>
      </c>
      <c r="S440" s="27"/>
      <c r="T440" s="27">
        <v>-34.0</v>
      </c>
      <c r="U440" s="27"/>
      <c r="V440" s="27">
        <v>-33.5</v>
      </c>
      <c r="W440" s="27"/>
      <c r="X440" s="27">
        <v>-33.5</v>
      </c>
      <c r="Y440" s="27"/>
      <c r="Z440" s="27">
        <v>-34.0</v>
      </c>
      <c r="AA440" s="27"/>
      <c r="AB440" s="27">
        <v>-33.5</v>
      </c>
      <c r="AC440" s="27"/>
      <c r="AD440" s="27">
        <v>-34.0</v>
      </c>
      <c r="AE440" s="27"/>
      <c r="AF440" s="27">
        <v>-34.0</v>
      </c>
      <c r="AG440" s="27"/>
      <c r="AH440" s="27">
        <v>124.0</v>
      </c>
      <c r="AI440" s="27">
        <v>42.0</v>
      </c>
      <c r="AJ440" s="27">
        <v>2.0</v>
      </c>
      <c r="AK440" s="27" t="b">
        <v>0</v>
      </c>
      <c r="AL440" s="27">
        <v>100.0</v>
      </c>
      <c r="AM440" s="27" t="s">
        <v>186</v>
      </c>
      <c r="AN440" s="27" t="s">
        <v>404</v>
      </c>
      <c r="AO440" s="27"/>
    </row>
    <row r="441">
      <c r="A441" s="200">
        <v>44824.025102534724</v>
      </c>
      <c r="B441" s="19" t="s">
        <v>131</v>
      </c>
      <c r="C441" s="21" t="s">
        <v>217</v>
      </c>
      <c r="D441" s="62">
        <v>3.0</v>
      </c>
      <c r="E441" s="27">
        <v>0.0</v>
      </c>
      <c r="F441" s="27" t="s">
        <v>1374</v>
      </c>
      <c r="G441" s="201" t="s">
        <v>57</v>
      </c>
      <c r="H441" s="27" t="s">
        <v>154</v>
      </c>
      <c r="I441" s="27"/>
      <c r="J441" s="33">
        <v>8.0</v>
      </c>
      <c r="K441" s="33">
        <v>8.5</v>
      </c>
      <c r="L441" s="66">
        <v>58.0</v>
      </c>
      <c r="M441" s="27" t="s">
        <v>1375</v>
      </c>
      <c r="N441" s="27">
        <v>8.5</v>
      </c>
      <c r="O441" s="27"/>
      <c r="P441" s="27">
        <v>8.5</v>
      </c>
      <c r="Q441" s="27"/>
      <c r="R441" s="27">
        <v>8.5</v>
      </c>
      <c r="S441" s="27"/>
      <c r="T441" s="27">
        <v>8.5</v>
      </c>
      <c r="U441" s="27"/>
      <c r="V441" s="27">
        <v>8.5</v>
      </c>
      <c r="W441" s="27"/>
      <c r="X441" s="27">
        <v>8.5</v>
      </c>
      <c r="Y441" s="27"/>
      <c r="Z441" s="27">
        <v>8.5</v>
      </c>
      <c r="AA441" s="27"/>
      <c r="AB441" s="27">
        <v>9.0</v>
      </c>
      <c r="AC441" s="27"/>
      <c r="AD441" s="27">
        <v>8.5</v>
      </c>
      <c r="AE441" s="27"/>
      <c r="AF441" s="27">
        <v>8.5</v>
      </c>
      <c r="AG441" s="27"/>
      <c r="AH441" s="27">
        <v>159.0</v>
      </c>
      <c r="AI441" s="27">
        <v>82.0</v>
      </c>
      <c r="AJ441" s="27">
        <v>2.0</v>
      </c>
      <c r="AK441" s="27" t="b">
        <v>0</v>
      </c>
      <c r="AL441" s="27">
        <v>100.0</v>
      </c>
      <c r="AM441" s="27" t="s">
        <v>187</v>
      </c>
      <c r="AN441" s="27" t="s">
        <v>404</v>
      </c>
      <c r="AO441" s="27"/>
    </row>
    <row r="442">
      <c r="A442" s="200">
        <v>44824.025102534724</v>
      </c>
      <c r="B442" s="19" t="s">
        <v>131</v>
      </c>
      <c r="C442" s="21" t="s">
        <v>222</v>
      </c>
      <c r="D442" s="62">
        <v>3.0</v>
      </c>
      <c r="E442" s="27">
        <v>0.0</v>
      </c>
      <c r="F442" s="27" t="s">
        <v>1376</v>
      </c>
      <c r="G442" s="201" t="s">
        <v>57</v>
      </c>
      <c r="H442" s="27" t="s">
        <v>116</v>
      </c>
      <c r="I442" s="27"/>
      <c r="J442" s="33">
        <v>-17.0</v>
      </c>
      <c r="K442" s="33">
        <v>-17.0</v>
      </c>
      <c r="L442" s="66">
        <v>52.5</v>
      </c>
      <c r="M442" s="27" t="s">
        <v>1377</v>
      </c>
      <c r="N442" s="27">
        <v>-17.0</v>
      </c>
      <c r="O442" s="27"/>
      <c r="P442" s="27">
        <v>-17.0</v>
      </c>
      <c r="Q442" s="27"/>
      <c r="R442" s="27">
        <v>-17.0</v>
      </c>
      <c r="S442" s="27"/>
      <c r="T442" s="27">
        <v>-17.0</v>
      </c>
      <c r="U442" s="27"/>
      <c r="V442" s="27">
        <v>-17.0</v>
      </c>
      <c r="W442" s="27"/>
      <c r="X442" s="27">
        <v>-17.0</v>
      </c>
      <c r="Y442" s="27"/>
      <c r="Z442" s="27">
        <v>-17.0</v>
      </c>
      <c r="AA442" s="27"/>
      <c r="AB442" s="27">
        <v>-17.0</v>
      </c>
      <c r="AC442" s="27"/>
      <c r="AD442" s="27">
        <v>-17.0</v>
      </c>
      <c r="AE442" s="27"/>
      <c r="AF442" s="27">
        <v>-17.0</v>
      </c>
      <c r="AG442" s="27"/>
      <c r="AH442" s="27">
        <v>79.0</v>
      </c>
      <c r="AI442" s="27">
        <v>38.0</v>
      </c>
      <c r="AJ442" s="27">
        <v>2.0</v>
      </c>
      <c r="AK442" s="27" t="b">
        <v>1</v>
      </c>
      <c r="AL442" s="27">
        <v>100.0</v>
      </c>
      <c r="AM442" s="27" t="s">
        <v>191</v>
      </c>
      <c r="AN442" s="27" t="s">
        <v>404</v>
      </c>
      <c r="AO442" s="27"/>
    </row>
    <row r="443">
      <c r="A443" s="200">
        <v>44824.025102534724</v>
      </c>
      <c r="B443" s="19" t="s">
        <v>131</v>
      </c>
      <c r="C443" s="21" t="s">
        <v>199</v>
      </c>
      <c r="D443" s="62">
        <v>1.0</v>
      </c>
      <c r="E443" s="27">
        <v>2.0</v>
      </c>
      <c r="F443" s="27" t="s">
        <v>1378</v>
      </c>
      <c r="G443" s="201" t="s">
        <v>57</v>
      </c>
      <c r="H443" s="27" t="s">
        <v>141</v>
      </c>
      <c r="I443" s="27"/>
      <c r="J443" s="33">
        <v>49.0</v>
      </c>
      <c r="K443" s="33">
        <v>49.5</v>
      </c>
      <c r="L443" s="66">
        <v>61.5</v>
      </c>
      <c r="M443" s="27" t="s">
        <v>1139</v>
      </c>
      <c r="N443" s="27">
        <v>49.5</v>
      </c>
      <c r="O443" s="27"/>
      <c r="P443" s="27">
        <v>49.5</v>
      </c>
      <c r="Q443" s="27"/>
      <c r="R443" s="27">
        <v>49.5</v>
      </c>
      <c r="S443" s="27"/>
      <c r="T443" s="27">
        <v>49.5</v>
      </c>
      <c r="U443" s="27"/>
      <c r="V443" s="27">
        <v>49.5</v>
      </c>
      <c r="W443" s="27"/>
      <c r="X443" s="27">
        <v>49.5</v>
      </c>
      <c r="Y443" s="27"/>
      <c r="Z443" s="27">
        <v>49.5</v>
      </c>
      <c r="AA443" s="27"/>
      <c r="AB443" s="27">
        <v>50.0</v>
      </c>
      <c r="AC443" s="27"/>
      <c r="AD443" s="27">
        <v>49.5</v>
      </c>
      <c r="AE443" s="27"/>
      <c r="AF443" s="27">
        <v>49.5</v>
      </c>
      <c r="AG443" s="27"/>
      <c r="AH443" s="27">
        <v>52.0</v>
      </c>
      <c r="AI443" s="27">
        <v>122.0</v>
      </c>
      <c r="AJ443" s="27">
        <v>2.0</v>
      </c>
      <c r="AK443" s="27" t="b">
        <v>1</v>
      </c>
      <c r="AL443" s="27">
        <v>100.0</v>
      </c>
      <c r="AM443" s="27" t="s">
        <v>193</v>
      </c>
      <c r="AN443" s="27" t="s">
        <v>405</v>
      </c>
      <c r="AO443" s="27"/>
    </row>
    <row r="444">
      <c r="A444" s="200">
        <v>44824.025102534724</v>
      </c>
      <c r="B444" s="19" t="s">
        <v>131</v>
      </c>
      <c r="C444" s="21" t="s">
        <v>197</v>
      </c>
      <c r="D444" s="62">
        <v>2.0</v>
      </c>
      <c r="E444" s="27">
        <v>1.0</v>
      </c>
      <c r="F444" s="27" t="s">
        <v>1379</v>
      </c>
      <c r="G444" s="201" t="s">
        <v>57</v>
      </c>
      <c r="H444" s="27" t="s">
        <v>109</v>
      </c>
      <c r="I444" s="27"/>
      <c r="J444" s="33">
        <v>-37.5</v>
      </c>
      <c r="K444" s="33">
        <v>-37.5</v>
      </c>
      <c r="L444" s="66">
        <v>45.5</v>
      </c>
      <c r="M444" s="27" t="s">
        <v>1232</v>
      </c>
      <c r="N444" s="27">
        <v>-37.5</v>
      </c>
      <c r="O444" s="27"/>
      <c r="P444" s="27">
        <v>-37.5</v>
      </c>
      <c r="Q444" s="27"/>
      <c r="R444" s="27">
        <v>-37.5</v>
      </c>
      <c r="S444" s="27"/>
      <c r="T444" s="27">
        <v>-37.0</v>
      </c>
      <c r="U444" s="27"/>
      <c r="V444" s="27">
        <v>-37.5</v>
      </c>
      <c r="W444" s="27"/>
      <c r="X444" s="27">
        <v>-37.5</v>
      </c>
      <c r="Y444" s="27"/>
      <c r="Z444" s="27">
        <v>-37.5</v>
      </c>
      <c r="AA444" s="27"/>
      <c r="AB444" s="27">
        <v>-37.5</v>
      </c>
      <c r="AC444" s="27"/>
      <c r="AD444" s="27">
        <v>-37.0</v>
      </c>
      <c r="AE444" s="27"/>
      <c r="AF444" s="27">
        <v>-37.0</v>
      </c>
      <c r="AG444" s="27"/>
      <c r="AH444" s="27">
        <v>118.0</v>
      </c>
      <c r="AI444" s="27">
        <v>24.0</v>
      </c>
      <c r="AJ444" s="27">
        <v>2.0</v>
      </c>
      <c r="AK444" s="27" t="b">
        <v>1</v>
      </c>
      <c r="AL444" s="27">
        <v>100.0</v>
      </c>
      <c r="AM444" s="27" t="s">
        <v>188</v>
      </c>
      <c r="AN444" s="27" t="s">
        <v>404</v>
      </c>
      <c r="AO444" s="27"/>
    </row>
    <row r="445">
      <c r="A445" s="200">
        <v>44824.025102534724</v>
      </c>
      <c r="B445" s="19" t="s">
        <v>131</v>
      </c>
      <c r="C445" s="21" t="s">
        <v>204</v>
      </c>
      <c r="D445" s="62">
        <v>2.0</v>
      </c>
      <c r="E445" s="27">
        <v>2.0</v>
      </c>
      <c r="F445" s="27" t="s">
        <v>1380</v>
      </c>
      <c r="G445" s="201" t="s">
        <v>57</v>
      </c>
      <c r="H445" s="27" t="s">
        <v>59</v>
      </c>
      <c r="I445" s="27"/>
      <c r="J445" s="33">
        <v>1.0</v>
      </c>
      <c r="K445" s="33">
        <v>2.5</v>
      </c>
      <c r="L445" s="66">
        <v>62.5</v>
      </c>
      <c r="M445" s="27" t="s">
        <v>1381</v>
      </c>
      <c r="N445" s="27">
        <v>2.5</v>
      </c>
      <c r="O445" s="27"/>
      <c r="P445" s="27">
        <v>2.5</v>
      </c>
      <c r="Q445" s="27"/>
      <c r="R445" s="27">
        <v>1.5</v>
      </c>
      <c r="S445" s="27"/>
      <c r="T445" s="27">
        <v>2.5</v>
      </c>
      <c r="U445" s="27"/>
      <c r="V445" s="27">
        <v>2.5</v>
      </c>
      <c r="W445" s="27"/>
      <c r="X445" s="27">
        <v>2.5</v>
      </c>
      <c r="Y445" s="27"/>
      <c r="Z445" s="27">
        <v>2.5</v>
      </c>
      <c r="AA445" s="27"/>
      <c r="AB445" s="27">
        <v>2.5</v>
      </c>
      <c r="AC445" s="27"/>
      <c r="AD445" s="27">
        <v>2.5</v>
      </c>
      <c r="AE445" s="27"/>
      <c r="AF445" s="27">
        <v>2.5</v>
      </c>
      <c r="AG445" s="27"/>
      <c r="AH445" s="27">
        <v>127.0</v>
      </c>
      <c r="AI445" s="27">
        <v>146.0</v>
      </c>
      <c r="AJ445" s="27">
        <v>2.0</v>
      </c>
      <c r="AK445" s="27" t="b">
        <v>1</v>
      </c>
      <c r="AL445" s="27">
        <v>100.0</v>
      </c>
      <c r="AM445" s="27" t="s">
        <v>189</v>
      </c>
      <c r="AN445" s="27" t="s">
        <v>405</v>
      </c>
      <c r="AO445" s="27"/>
    </row>
    <row r="446">
      <c r="A446" s="200">
        <v>44824.025102534724</v>
      </c>
      <c r="B446" s="19" t="s">
        <v>131</v>
      </c>
      <c r="C446" s="21" t="s">
        <v>208</v>
      </c>
      <c r="D446" s="62">
        <v>1.0</v>
      </c>
      <c r="E446" s="27">
        <v>2.0</v>
      </c>
      <c r="F446" s="27" t="s">
        <v>1382</v>
      </c>
      <c r="G446" s="201" t="s">
        <v>57</v>
      </c>
      <c r="H446" s="27" t="s">
        <v>138</v>
      </c>
      <c r="I446" s="27"/>
      <c r="J446" s="33">
        <v>19.5</v>
      </c>
      <c r="K446" s="33">
        <v>24.0</v>
      </c>
      <c r="L446" s="66">
        <v>51.0</v>
      </c>
      <c r="M446" s="27" t="s">
        <v>1383</v>
      </c>
      <c r="N446" s="27">
        <v>24.0</v>
      </c>
      <c r="O446" s="27"/>
      <c r="P446" s="27">
        <v>24.0</v>
      </c>
      <c r="Q446" s="27"/>
      <c r="R446" s="27">
        <v>24.0</v>
      </c>
      <c r="S446" s="27"/>
      <c r="T446" s="27">
        <v>24.0</v>
      </c>
      <c r="U446" s="27"/>
      <c r="V446" s="27">
        <v>24.0</v>
      </c>
      <c r="W446" s="27"/>
      <c r="X446" s="27">
        <v>23.5</v>
      </c>
      <c r="Y446" s="27"/>
      <c r="Z446" s="27">
        <v>24.0</v>
      </c>
      <c r="AA446" s="27"/>
      <c r="AB446" s="27">
        <v>24.0</v>
      </c>
      <c r="AC446" s="27"/>
      <c r="AD446" s="27"/>
      <c r="AE446" s="27"/>
      <c r="AF446" s="27"/>
      <c r="AG446" s="27"/>
      <c r="AH446" s="27">
        <v>61.0</v>
      </c>
      <c r="AI446" s="27">
        <v>89.0</v>
      </c>
      <c r="AJ446" s="27">
        <v>2.0</v>
      </c>
      <c r="AK446" s="27" t="b">
        <v>1</v>
      </c>
      <c r="AL446" s="27">
        <v>100.0</v>
      </c>
      <c r="AM446" s="27" t="s">
        <v>190</v>
      </c>
      <c r="AN446" s="27" t="s">
        <v>405</v>
      </c>
      <c r="AO446" s="27"/>
    </row>
    <row r="447">
      <c r="A447" s="200">
        <v>44824.025102534724</v>
      </c>
      <c r="B447" s="19"/>
      <c r="C447" s="21"/>
      <c r="D447" s="62"/>
      <c r="E447" s="27"/>
      <c r="F447" s="27"/>
      <c r="G447" s="201"/>
      <c r="H447" s="27"/>
      <c r="I447" s="27"/>
      <c r="J447" s="33"/>
      <c r="K447" s="33"/>
      <c r="L447" s="66"/>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t="e">
        <v>#N/A</v>
      </c>
      <c r="AN447" s="27" t="e">
        <v>#N/A</v>
      </c>
      <c r="AO447" s="27"/>
    </row>
    <row r="448">
      <c r="A448" s="200">
        <v>44824.025102534724</v>
      </c>
      <c r="B448" s="19" t="s">
        <v>178</v>
      </c>
      <c r="C448" s="21" t="s">
        <v>272</v>
      </c>
      <c r="D448" s="62">
        <v>2.0</v>
      </c>
      <c r="E448" s="27">
        <v>1.0</v>
      </c>
      <c r="F448" s="27" t="s">
        <v>1384</v>
      </c>
      <c r="G448" s="201" t="s">
        <v>57</v>
      </c>
      <c r="H448" s="27" t="s">
        <v>154</v>
      </c>
      <c r="I448" s="27"/>
      <c r="J448" s="33">
        <v>8.5</v>
      </c>
      <c r="K448" s="33">
        <v>10.5</v>
      </c>
      <c r="L448" s="66">
        <v>56.0</v>
      </c>
      <c r="M448" s="27" t="s">
        <v>1385</v>
      </c>
      <c r="N448" s="27">
        <v>10.5</v>
      </c>
      <c r="O448" s="27"/>
      <c r="P448" s="27">
        <v>10.5</v>
      </c>
      <c r="Q448" s="27"/>
      <c r="R448" s="27">
        <v>10.5</v>
      </c>
      <c r="S448" s="27"/>
      <c r="T448" s="27">
        <v>10.5</v>
      </c>
      <c r="U448" s="27"/>
      <c r="V448" s="27">
        <v>10.5</v>
      </c>
      <c r="W448" s="27"/>
      <c r="X448" s="27">
        <v>10.0</v>
      </c>
      <c r="Y448" s="27"/>
      <c r="Z448" s="27">
        <v>10.5</v>
      </c>
      <c r="AA448" s="27"/>
      <c r="AB448" s="27">
        <v>10.0</v>
      </c>
      <c r="AC448" s="27"/>
      <c r="AD448" s="27">
        <v>10.5</v>
      </c>
      <c r="AE448" s="27"/>
      <c r="AF448" s="27">
        <v>10.5</v>
      </c>
      <c r="AG448" s="27"/>
      <c r="AH448" s="27">
        <v>110.0</v>
      </c>
      <c r="AI448" s="27">
        <v>67.0</v>
      </c>
      <c r="AJ448" s="27">
        <v>2.0</v>
      </c>
      <c r="AK448" s="27" t="b">
        <v>1</v>
      </c>
      <c r="AL448" s="27">
        <v>100.0</v>
      </c>
      <c r="AM448" s="27" t="s">
        <v>187</v>
      </c>
      <c r="AN448" s="27" t="s">
        <v>404</v>
      </c>
      <c r="AO448" s="27"/>
    </row>
    <row r="449">
      <c r="A449" s="200">
        <v>44824.025102534724</v>
      </c>
      <c r="B449" s="19" t="s">
        <v>178</v>
      </c>
      <c r="C449" s="21" t="s">
        <v>265</v>
      </c>
      <c r="D449" s="62">
        <v>2.0</v>
      </c>
      <c r="E449" s="27">
        <v>1.0</v>
      </c>
      <c r="F449" s="27" t="s">
        <v>1354</v>
      </c>
      <c r="G449" s="201" t="s">
        <v>57</v>
      </c>
      <c r="H449" s="27" t="s">
        <v>53</v>
      </c>
      <c r="I449" s="27"/>
      <c r="J449" s="33">
        <v>30.0</v>
      </c>
      <c r="K449" s="33">
        <v>31.0</v>
      </c>
      <c r="L449" s="66">
        <v>62.5</v>
      </c>
      <c r="M449" s="27" t="s">
        <v>1115</v>
      </c>
      <c r="N449" s="27">
        <v>31.5</v>
      </c>
      <c r="O449" s="27"/>
      <c r="P449" s="27">
        <v>31.0</v>
      </c>
      <c r="Q449" s="27"/>
      <c r="R449" s="27">
        <v>30.0</v>
      </c>
      <c r="S449" s="27"/>
      <c r="T449" s="27">
        <v>31.0</v>
      </c>
      <c r="U449" s="27"/>
      <c r="V449" s="27">
        <v>31.0</v>
      </c>
      <c r="W449" s="27"/>
      <c r="X449" s="27">
        <v>31.0</v>
      </c>
      <c r="Y449" s="27"/>
      <c r="Z449" s="27">
        <v>31.5</v>
      </c>
      <c r="AA449" s="27"/>
      <c r="AB449" s="27">
        <v>31.0</v>
      </c>
      <c r="AC449" s="27"/>
      <c r="AD449" s="27">
        <v>31.0</v>
      </c>
      <c r="AE449" s="27"/>
      <c r="AF449" s="27"/>
      <c r="AG449" s="27"/>
      <c r="AH449" s="27">
        <v>113.0</v>
      </c>
      <c r="AI449" s="27">
        <v>87.0</v>
      </c>
      <c r="AJ449" s="27">
        <v>2.0</v>
      </c>
      <c r="AK449" s="27" t="b">
        <v>0</v>
      </c>
      <c r="AL449" s="27">
        <v>100.0</v>
      </c>
      <c r="AM449" s="27" t="s">
        <v>190</v>
      </c>
      <c r="AN449" s="27" t="s">
        <v>405</v>
      </c>
      <c r="AO449" s="27"/>
    </row>
    <row r="450">
      <c r="A450" s="200">
        <v>44824.025102534724</v>
      </c>
      <c r="B450" s="19" t="s">
        <v>178</v>
      </c>
      <c r="C450" s="21" t="s">
        <v>263</v>
      </c>
      <c r="D450" s="62">
        <v>2.0</v>
      </c>
      <c r="E450" s="27">
        <v>1.0</v>
      </c>
      <c r="F450" s="27" t="s">
        <v>1386</v>
      </c>
      <c r="G450" s="201" t="s">
        <v>57</v>
      </c>
      <c r="H450" s="27" t="s">
        <v>154</v>
      </c>
      <c r="I450" s="27"/>
      <c r="J450" s="33">
        <v>4.0</v>
      </c>
      <c r="K450" s="33">
        <v>1.5</v>
      </c>
      <c r="L450" s="66">
        <v>38.5</v>
      </c>
      <c r="M450" s="27" t="s">
        <v>1387</v>
      </c>
      <c r="N450" s="27">
        <v>2.0</v>
      </c>
      <c r="O450" s="27"/>
      <c r="P450" s="27">
        <v>2.0</v>
      </c>
      <c r="Q450" s="27"/>
      <c r="R450" s="27">
        <v>2.5</v>
      </c>
      <c r="S450" s="27"/>
      <c r="T450" s="27">
        <v>1.5</v>
      </c>
      <c r="U450" s="27"/>
      <c r="V450" s="27">
        <v>2.0</v>
      </c>
      <c r="W450" s="27"/>
      <c r="X450" s="27">
        <v>2.5</v>
      </c>
      <c r="Y450" s="27"/>
      <c r="Z450" s="27">
        <v>2.0</v>
      </c>
      <c r="AA450" s="27"/>
      <c r="AB450" s="27">
        <v>2.0</v>
      </c>
      <c r="AC450" s="27"/>
      <c r="AD450" s="27">
        <v>1.5</v>
      </c>
      <c r="AE450" s="27"/>
      <c r="AF450" s="27">
        <v>1.5</v>
      </c>
      <c r="AG450" s="27"/>
      <c r="AH450" s="27">
        <v>82.0</v>
      </c>
      <c r="AI450" s="27">
        <v>41.0</v>
      </c>
      <c r="AJ450" s="27">
        <v>2.0</v>
      </c>
      <c r="AK450" s="27" t="b">
        <v>1</v>
      </c>
      <c r="AL450" s="27">
        <v>100.0</v>
      </c>
      <c r="AM450" s="27" t="s">
        <v>129</v>
      </c>
      <c r="AN450" s="27" t="s">
        <v>405</v>
      </c>
      <c r="AO450" s="27"/>
    </row>
    <row r="451">
      <c r="A451" s="200">
        <v>44824.025102534724</v>
      </c>
      <c r="B451" s="19" t="s">
        <v>178</v>
      </c>
      <c r="C451" s="21" t="s">
        <v>269</v>
      </c>
      <c r="D451" s="62">
        <v>2.0</v>
      </c>
      <c r="E451" s="27">
        <v>1.0</v>
      </c>
      <c r="F451" s="27" t="s">
        <v>1388</v>
      </c>
      <c r="G451" s="201" t="s">
        <v>57</v>
      </c>
      <c r="H451" s="27" t="s">
        <v>109</v>
      </c>
      <c r="I451" s="27"/>
      <c r="J451" s="33">
        <v>3.5</v>
      </c>
      <c r="K451" s="33">
        <v>-3.0</v>
      </c>
      <c r="L451" s="66">
        <v>53.5</v>
      </c>
      <c r="M451" s="27" t="s">
        <v>1389</v>
      </c>
      <c r="N451" s="27">
        <v>-3.0</v>
      </c>
      <c r="O451" s="27"/>
      <c r="P451" s="27">
        <v>-3.0</v>
      </c>
      <c r="Q451" s="27"/>
      <c r="R451" s="27">
        <v>-3.0</v>
      </c>
      <c r="S451" s="27"/>
      <c r="T451" s="27">
        <v>-3.0</v>
      </c>
      <c r="U451" s="27"/>
      <c r="V451" s="27">
        <v>-3.0</v>
      </c>
      <c r="W451" s="27"/>
      <c r="X451" s="27">
        <v>-3.0</v>
      </c>
      <c r="Y451" s="27"/>
      <c r="Z451" s="27">
        <v>-3.0</v>
      </c>
      <c r="AA451" s="27"/>
      <c r="AB451" s="27">
        <v>-3.0</v>
      </c>
      <c r="AC451" s="27"/>
      <c r="AD451" s="27">
        <v>-3.0</v>
      </c>
      <c r="AE451" s="27"/>
      <c r="AF451" s="27">
        <v>-3.0</v>
      </c>
      <c r="AG451" s="27"/>
      <c r="AH451" s="27">
        <v>104.0</v>
      </c>
      <c r="AI451" s="27">
        <v>71.0</v>
      </c>
      <c r="AJ451" s="27">
        <v>2.0</v>
      </c>
      <c r="AK451" s="27" t="b">
        <v>0</v>
      </c>
      <c r="AL451" s="27">
        <v>100.0</v>
      </c>
      <c r="AM451" s="27" t="s">
        <v>192</v>
      </c>
      <c r="AN451" s="27" t="s">
        <v>404</v>
      </c>
      <c r="AO451" s="27"/>
    </row>
    <row r="452">
      <c r="A452" s="200">
        <v>44824.025102534724</v>
      </c>
      <c r="B452" s="19" t="s">
        <v>178</v>
      </c>
      <c r="C452" s="21" t="s">
        <v>259</v>
      </c>
      <c r="D452" s="62">
        <v>3.0</v>
      </c>
      <c r="E452" s="27">
        <v>0.0</v>
      </c>
      <c r="F452" s="27" t="s">
        <v>1390</v>
      </c>
      <c r="G452" s="201" t="s">
        <v>57</v>
      </c>
      <c r="H452" s="27" t="s">
        <v>166</v>
      </c>
      <c r="I452" s="27"/>
      <c r="J452" s="33">
        <v>-16.0</v>
      </c>
      <c r="K452" s="33">
        <v>-17.0</v>
      </c>
      <c r="L452" s="66">
        <v>63.5</v>
      </c>
      <c r="M452" s="27" t="s">
        <v>1377</v>
      </c>
      <c r="N452" s="27">
        <v>-17.0</v>
      </c>
      <c r="O452" s="27"/>
      <c r="P452" s="27">
        <v>-17.5</v>
      </c>
      <c r="Q452" s="27"/>
      <c r="R452" s="27">
        <v>-17.0</v>
      </c>
      <c r="S452" s="27"/>
      <c r="T452" s="27">
        <v>-17.0</v>
      </c>
      <c r="U452" s="27"/>
      <c r="V452" s="27">
        <v>-17.5</v>
      </c>
      <c r="W452" s="27"/>
      <c r="X452" s="27">
        <v>-18.0</v>
      </c>
      <c r="Y452" s="27"/>
      <c r="Z452" s="27">
        <v>-17.5</v>
      </c>
      <c r="AA452" s="27"/>
      <c r="AB452" s="27">
        <v>-17.5</v>
      </c>
      <c r="AC452" s="27"/>
      <c r="AD452" s="27">
        <v>-17.0</v>
      </c>
      <c r="AE452" s="27"/>
      <c r="AF452" s="27">
        <v>-17.0</v>
      </c>
      <c r="AG452" s="27"/>
      <c r="AH452" s="27">
        <v>126.0</v>
      </c>
      <c r="AI452" s="27">
        <v>71.0</v>
      </c>
      <c r="AJ452" s="27">
        <v>2.0</v>
      </c>
      <c r="AK452" s="27" t="b">
        <v>0</v>
      </c>
      <c r="AL452" s="27">
        <v>100.0</v>
      </c>
      <c r="AM452" s="27" t="s">
        <v>186</v>
      </c>
      <c r="AN452" s="27" t="s">
        <v>404</v>
      </c>
      <c r="AO452" s="27"/>
    </row>
    <row r="453">
      <c r="A453" s="200">
        <v>44824.025102534724</v>
      </c>
      <c r="B453" s="19" t="s">
        <v>178</v>
      </c>
      <c r="C453" s="21" t="s">
        <v>257</v>
      </c>
      <c r="D453" s="62">
        <v>2.0</v>
      </c>
      <c r="E453" s="27">
        <v>1.0</v>
      </c>
      <c r="F453" s="27" t="s">
        <v>1391</v>
      </c>
      <c r="G453" s="201" t="s">
        <v>57</v>
      </c>
      <c r="H453" s="27" t="s">
        <v>103</v>
      </c>
      <c r="I453" s="27"/>
      <c r="J453" s="33">
        <v>11.0</v>
      </c>
      <c r="K453" s="33">
        <v>11.5</v>
      </c>
      <c r="L453" s="66">
        <v>59.5</v>
      </c>
      <c r="M453" s="27" t="s">
        <v>1392</v>
      </c>
      <c r="N453" s="27">
        <v>11.5</v>
      </c>
      <c r="O453" s="27"/>
      <c r="P453" s="27">
        <v>11.5</v>
      </c>
      <c r="Q453" s="27"/>
      <c r="R453" s="27">
        <v>11.0</v>
      </c>
      <c r="S453" s="27"/>
      <c r="T453" s="27">
        <v>11.5</v>
      </c>
      <c r="U453" s="27"/>
      <c r="V453" s="27">
        <v>11.5</v>
      </c>
      <c r="W453" s="27"/>
      <c r="X453" s="27">
        <v>12.0</v>
      </c>
      <c r="Y453" s="27"/>
      <c r="Z453" s="27">
        <v>11.5</v>
      </c>
      <c r="AA453" s="27"/>
      <c r="AB453" s="27">
        <v>11.5</v>
      </c>
      <c r="AC453" s="27"/>
      <c r="AD453" s="27">
        <v>11.5</v>
      </c>
      <c r="AE453" s="27"/>
      <c r="AF453" s="27">
        <v>11.5</v>
      </c>
      <c r="AG453" s="27"/>
      <c r="AH453" s="27">
        <v>125.0</v>
      </c>
      <c r="AI453" s="27">
        <v>84.0</v>
      </c>
      <c r="AJ453" s="27">
        <v>2.0</v>
      </c>
      <c r="AK453" s="27" t="b">
        <v>1</v>
      </c>
      <c r="AL453" s="27">
        <v>100.0</v>
      </c>
      <c r="AM453" s="27" t="s">
        <v>193</v>
      </c>
      <c r="AN453" s="27" t="s">
        <v>405</v>
      </c>
      <c r="AO453" s="27"/>
    </row>
    <row r="454">
      <c r="A454" s="200">
        <v>44824.025102534724</v>
      </c>
      <c r="B454" s="19" t="s">
        <v>178</v>
      </c>
      <c r="C454" s="21" t="s">
        <v>240</v>
      </c>
      <c r="D454" s="62">
        <v>3.0</v>
      </c>
      <c r="E454" s="27">
        <v>0.0</v>
      </c>
      <c r="F454" s="27" t="s">
        <v>1393</v>
      </c>
      <c r="G454" s="201" t="s">
        <v>57</v>
      </c>
      <c r="H454" s="27" t="s">
        <v>144</v>
      </c>
      <c r="I454" s="27"/>
      <c r="J454" s="33">
        <v>-27.5</v>
      </c>
      <c r="K454" s="33">
        <v>-28.0</v>
      </c>
      <c r="L454" s="66">
        <v>47.5</v>
      </c>
      <c r="M454" s="27" t="s">
        <v>1248</v>
      </c>
      <c r="N454" s="27">
        <v>-27.5</v>
      </c>
      <c r="O454" s="27"/>
      <c r="P454" s="27">
        <v>-28.0</v>
      </c>
      <c r="Q454" s="27"/>
      <c r="R454" s="27">
        <v>-27.5</v>
      </c>
      <c r="S454" s="27"/>
      <c r="T454" s="27">
        <v>-28.0</v>
      </c>
      <c r="U454" s="27"/>
      <c r="V454" s="27">
        <v>-28.0</v>
      </c>
      <c r="W454" s="27"/>
      <c r="X454" s="27">
        <v>-28.0</v>
      </c>
      <c r="Y454" s="27"/>
      <c r="Z454" s="27">
        <v>-28.0</v>
      </c>
      <c r="AA454" s="27"/>
      <c r="AB454" s="27">
        <v>-27.5</v>
      </c>
      <c r="AC454" s="27"/>
      <c r="AD454" s="27">
        <v>-28.0</v>
      </c>
      <c r="AE454" s="27"/>
      <c r="AF454" s="27">
        <v>-28.0</v>
      </c>
      <c r="AG454" s="27"/>
      <c r="AH454" s="27">
        <v>149.0</v>
      </c>
      <c r="AI454" s="27">
        <v>17.0</v>
      </c>
      <c r="AJ454" s="27">
        <v>2.0</v>
      </c>
      <c r="AK454" s="27" t="b">
        <v>1</v>
      </c>
      <c r="AL454" s="27">
        <v>100.0</v>
      </c>
      <c r="AM454" s="27" t="s">
        <v>188</v>
      </c>
      <c r="AN454" s="27" t="s">
        <v>404</v>
      </c>
      <c r="AO454" s="27"/>
    </row>
    <row r="455">
      <c r="A455" s="200">
        <v>44824.025102534724</v>
      </c>
      <c r="B455" s="19" t="s">
        <v>178</v>
      </c>
      <c r="C455" s="21" t="s">
        <v>267</v>
      </c>
      <c r="D455" s="62">
        <v>3.0</v>
      </c>
      <c r="E455" s="27">
        <v>0.0</v>
      </c>
      <c r="F455" s="27" t="s">
        <v>1394</v>
      </c>
      <c r="G455" s="201" t="s">
        <v>57</v>
      </c>
      <c r="H455" s="27" t="s">
        <v>59</v>
      </c>
      <c r="I455" s="27"/>
      <c r="J455" s="33">
        <v>19.0</v>
      </c>
      <c r="K455" s="33">
        <v>13.5</v>
      </c>
      <c r="L455" s="66">
        <v>49.0</v>
      </c>
      <c r="M455" s="27" t="s">
        <v>1395</v>
      </c>
      <c r="N455" s="27">
        <v>14.0</v>
      </c>
      <c r="O455" s="27"/>
      <c r="P455" s="27">
        <v>13.5</v>
      </c>
      <c r="Q455" s="27"/>
      <c r="R455" s="27">
        <v>14.0</v>
      </c>
      <c r="S455" s="27"/>
      <c r="T455" s="27">
        <v>13.5</v>
      </c>
      <c r="U455" s="27"/>
      <c r="V455" s="27">
        <v>13.5</v>
      </c>
      <c r="W455" s="27"/>
      <c r="X455" s="27">
        <v>14.0</v>
      </c>
      <c r="Y455" s="27"/>
      <c r="Z455" s="27">
        <v>14.0</v>
      </c>
      <c r="AA455" s="27"/>
      <c r="AB455" s="27">
        <v>14.0</v>
      </c>
      <c r="AC455" s="27"/>
      <c r="AD455" s="27">
        <v>13.5</v>
      </c>
      <c r="AE455" s="27"/>
      <c r="AF455" s="27">
        <v>13.5</v>
      </c>
      <c r="AG455" s="27"/>
      <c r="AH455" s="27">
        <v>111.0</v>
      </c>
      <c r="AI455" s="27">
        <v>20.0</v>
      </c>
      <c r="AJ455" s="27">
        <v>2.0</v>
      </c>
      <c r="AK455" s="27" t="b">
        <v>1</v>
      </c>
      <c r="AL455" s="27">
        <v>100.0</v>
      </c>
      <c r="AM455" s="27" t="s">
        <v>389</v>
      </c>
      <c r="AN455" s="27" t="s">
        <v>405</v>
      </c>
      <c r="AO455" s="27"/>
    </row>
    <row r="456">
      <c r="A456" s="200">
        <v>44824.025102534724</v>
      </c>
      <c r="B456" s="19" t="s">
        <v>178</v>
      </c>
      <c r="C456" s="21" t="s">
        <v>261</v>
      </c>
      <c r="D456" s="62">
        <v>3.0</v>
      </c>
      <c r="E456" s="27">
        <v>0.0</v>
      </c>
      <c r="F456" s="27" t="s">
        <v>1396</v>
      </c>
      <c r="G456" s="201" t="s">
        <v>57</v>
      </c>
      <c r="H456" s="27" t="s">
        <v>138</v>
      </c>
      <c r="I456" s="27"/>
      <c r="J456" s="33">
        <v>-11.0</v>
      </c>
      <c r="K456" s="33">
        <v>-15.5</v>
      </c>
      <c r="L456" s="66">
        <v>59.0</v>
      </c>
      <c r="M456" s="27" t="s">
        <v>1397</v>
      </c>
      <c r="N456" s="27">
        <v>-15.5</v>
      </c>
      <c r="O456" s="27"/>
      <c r="P456" s="27">
        <v>-15.5</v>
      </c>
      <c r="Q456" s="27"/>
      <c r="R456" s="27">
        <v>-15.5</v>
      </c>
      <c r="S456" s="27"/>
      <c r="T456" s="27">
        <v>-15.5</v>
      </c>
      <c r="U456" s="27"/>
      <c r="V456" s="27">
        <v>-15.5</v>
      </c>
      <c r="W456" s="27"/>
      <c r="X456" s="27">
        <v>-15.0</v>
      </c>
      <c r="Y456" s="27"/>
      <c r="Z456" s="27">
        <v>-15.5</v>
      </c>
      <c r="AA456" s="27"/>
      <c r="AB456" s="27">
        <v>-16.0</v>
      </c>
      <c r="AC456" s="27"/>
      <c r="AD456" s="27">
        <v>-15.5</v>
      </c>
      <c r="AE456" s="27"/>
      <c r="AF456" s="27">
        <v>-15.5</v>
      </c>
      <c r="AG456" s="27"/>
      <c r="AH456" s="27">
        <v>122.0</v>
      </c>
      <c r="AI456" s="27">
        <v>55.0</v>
      </c>
      <c r="AJ456" s="27">
        <v>2.0</v>
      </c>
      <c r="AK456" s="27" t="b">
        <v>0</v>
      </c>
      <c r="AL456" s="27">
        <v>100.0</v>
      </c>
      <c r="AM456" s="27" t="s">
        <v>191</v>
      </c>
      <c r="AN456" s="27" t="s">
        <v>404</v>
      </c>
      <c r="AO456" s="27"/>
    </row>
    <row r="457">
      <c r="A457" s="200">
        <v>44824.025102534724</v>
      </c>
      <c r="B457" s="19" t="s">
        <v>178</v>
      </c>
      <c r="C457" s="21" t="s">
        <v>271</v>
      </c>
      <c r="D457" s="62">
        <v>2.0</v>
      </c>
      <c r="E457" s="27">
        <v>1.0</v>
      </c>
      <c r="F457" s="27" t="s">
        <v>1398</v>
      </c>
      <c r="G457" s="201" t="s">
        <v>183</v>
      </c>
      <c r="H457" s="27" t="s">
        <v>166</v>
      </c>
      <c r="I457" s="27"/>
      <c r="J457" s="33">
        <v>9.5</v>
      </c>
      <c r="K457" s="33">
        <v>7.0</v>
      </c>
      <c r="L457" s="66">
        <v>61.0</v>
      </c>
      <c r="M457" s="27" t="s">
        <v>1399</v>
      </c>
      <c r="N457" s="27">
        <v>7.0</v>
      </c>
      <c r="O457" s="27"/>
      <c r="P457" s="27">
        <v>7.0</v>
      </c>
      <c r="Q457" s="27"/>
      <c r="R457" s="27">
        <v>7.0</v>
      </c>
      <c r="S457" s="27"/>
      <c r="T457" s="27">
        <v>7.0</v>
      </c>
      <c r="U457" s="27"/>
      <c r="V457" s="27">
        <v>7.0</v>
      </c>
      <c r="W457" s="27"/>
      <c r="X457" s="27">
        <v>7.0</v>
      </c>
      <c r="Y457" s="27"/>
      <c r="Z457" s="27">
        <v>7.0</v>
      </c>
      <c r="AA457" s="27"/>
      <c r="AB457" s="27">
        <v>7.0</v>
      </c>
      <c r="AC457" s="27"/>
      <c r="AD457" s="27">
        <v>7.0</v>
      </c>
      <c r="AE457" s="27"/>
      <c r="AF457" s="27">
        <v>7.0</v>
      </c>
      <c r="AG457" s="27"/>
      <c r="AH457" s="27">
        <v>117.0</v>
      </c>
      <c r="AI457" s="27">
        <v>77.0</v>
      </c>
      <c r="AJ457" s="27">
        <v>2.0</v>
      </c>
      <c r="AK457" s="27" t="b">
        <v>1</v>
      </c>
      <c r="AL457" s="27">
        <v>100.0</v>
      </c>
      <c r="AM457" s="27" t="s">
        <v>189</v>
      </c>
      <c r="AN457" s="27" t="s">
        <v>405</v>
      </c>
      <c r="AO457" s="27"/>
    </row>
    <row r="458">
      <c r="A458" s="200">
        <v>44824.025102534724</v>
      </c>
      <c r="B458" s="19"/>
      <c r="C458" s="21"/>
      <c r="D458" s="62"/>
      <c r="E458" s="27"/>
      <c r="F458" s="27"/>
      <c r="G458" s="201"/>
      <c r="H458" s="27"/>
      <c r="I458" s="27"/>
      <c r="J458" s="33"/>
      <c r="K458" s="33"/>
      <c r="L458" s="66"/>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t="e">
        <v>#N/A</v>
      </c>
      <c r="AN458" s="27" t="e">
        <v>#N/A</v>
      </c>
      <c r="AO458" s="27"/>
    </row>
    <row r="459">
      <c r="A459" s="200">
        <v>44824.025102534724</v>
      </c>
      <c r="B459" s="19" t="s">
        <v>59</v>
      </c>
      <c r="C459" s="21" t="s">
        <v>275</v>
      </c>
      <c r="D459" s="62">
        <v>1.0</v>
      </c>
      <c r="E459" s="27">
        <v>1.0</v>
      </c>
      <c r="F459" s="27"/>
      <c r="G459" s="201"/>
      <c r="H459" s="27"/>
      <c r="I459" s="27"/>
      <c r="J459" s="33"/>
      <c r="K459" s="33"/>
      <c r="L459" s="66"/>
      <c r="M459" s="27"/>
      <c r="N459" s="27"/>
      <c r="O459" s="27"/>
      <c r="P459" s="27"/>
      <c r="Q459" s="27"/>
      <c r="R459" s="27"/>
      <c r="S459" s="27"/>
      <c r="T459" s="27"/>
      <c r="U459" s="27"/>
      <c r="V459" s="27"/>
      <c r="W459" s="27"/>
      <c r="X459" s="27"/>
      <c r="Y459" s="27"/>
      <c r="Z459" s="27"/>
      <c r="AA459" s="27"/>
      <c r="AB459" s="27"/>
      <c r="AC459" s="27"/>
      <c r="AD459" s="27"/>
      <c r="AE459" s="27"/>
      <c r="AF459" s="27"/>
      <c r="AG459" s="27"/>
      <c r="AH459" s="27">
        <v>50.0</v>
      </c>
      <c r="AI459" s="27">
        <v>78.0</v>
      </c>
      <c r="AJ459" s="27">
        <v>0.0</v>
      </c>
      <c r="AK459" s="27" t="b">
        <v>0</v>
      </c>
      <c r="AL459" s="27">
        <v>59.0</v>
      </c>
      <c r="AM459" s="27" t="s">
        <v>189</v>
      </c>
      <c r="AN459" s="27" t="s">
        <v>405</v>
      </c>
      <c r="AO459" s="27"/>
    </row>
    <row r="460">
      <c r="A460" s="200">
        <v>44824.025102534724</v>
      </c>
      <c r="B460" s="19" t="s">
        <v>59</v>
      </c>
      <c r="C460" s="21" t="s">
        <v>289</v>
      </c>
      <c r="D460" s="62">
        <v>1.0</v>
      </c>
      <c r="E460" s="27">
        <v>2.0</v>
      </c>
      <c r="F460" s="27" t="s">
        <v>1400</v>
      </c>
      <c r="G460" s="201" t="s">
        <v>57</v>
      </c>
      <c r="H460" s="27"/>
      <c r="I460" s="27"/>
      <c r="J460" s="33">
        <v>-32.5</v>
      </c>
      <c r="K460" s="33">
        <v>-32.5</v>
      </c>
      <c r="L460" s="66">
        <v>49.5</v>
      </c>
      <c r="M460" s="27" t="s">
        <v>1401</v>
      </c>
      <c r="N460" s="27">
        <v>-31.5</v>
      </c>
      <c r="O460" s="27"/>
      <c r="P460" s="27">
        <v>-31.0</v>
      </c>
      <c r="Q460" s="27"/>
      <c r="R460" s="27">
        <v>-31.0</v>
      </c>
      <c r="S460" s="27"/>
      <c r="T460" s="27">
        <v>-32.5</v>
      </c>
      <c r="U460" s="27"/>
      <c r="V460" s="27">
        <v>-31.0</v>
      </c>
      <c r="W460" s="27"/>
      <c r="X460" s="27">
        <v>-31.0</v>
      </c>
      <c r="Y460" s="27"/>
      <c r="Z460" s="27">
        <v>-32.5</v>
      </c>
      <c r="AA460" s="27"/>
      <c r="AB460" s="27">
        <v>-32.5</v>
      </c>
      <c r="AC460" s="27"/>
      <c r="AD460" s="27"/>
      <c r="AE460" s="27"/>
      <c r="AF460" s="27"/>
      <c r="AG460" s="27"/>
      <c r="AH460" s="27">
        <v>69.0</v>
      </c>
      <c r="AI460" s="27">
        <v>66.0</v>
      </c>
      <c r="AJ460" s="27">
        <v>2.0</v>
      </c>
      <c r="AK460" s="27" t="b">
        <v>0</v>
      </c>
      <c r="AL460" s="27">
        <v>100.0</v>
      </c>
      <c r="AM460" s="27" t="s">
        <v>186</v>
      </c>
      <c r="AN460" s="27" t="s">
        <v>404</v>
      </c>
      <c r="AO460" s="27"/>
    </row>
    <row r="461">
      <c r="A461" s="200">
        <v>44824.025102534724</v>
      </c>
      <c r="B461" s="19" t="s">
        <v>59</v>
      </c>
      <c r="C461" s="21" t="s">
        <v>274</v>
      </c>
      <c r="D461" s="62">
        <v>3.0</v>
      </c>
      <c r="E461" s="27">
        <v>0.0</v>
      </c>
      <c r="F461" s="27" t="s">
        <v>1402</v>
      </c>
      <c r="G461" s="201" t="s">
        <v>57</v>
      </c>
      <c r="H461" s="27"/>
      <c r="I461" s="27"/>
      <c r="J461" s="33">
        <v>-13.0</v>
      </c>
      <c r="K461" s="33">
        <v>-16.5</v>
      </c>
      <c r="L461" s="66">
        <v>56.5</v>
      </c>
      <c r="M461" s="27" t="s">
        <v>1377</v>
      </c>
      <c r="N461" s="27">
        <v>-15.0</v>
      </c>
      <c r="O461" s="27"/>
      <c r="P461" s="27">
        <v>-17.0</v>
      </c>
      <c r="Q461" s="27"/>
      <c r="R461" s="27">
        <v>-16.5</v>
      </c>
      <c r="S461" s="27"/>
      <c r="T461" s="27">
        <v>-16.5</v>
      </c>
      <c r="U461" s="27"/>
      <c r="V461" s="27">
        <v>-17.5</v>
      </c>
      <c r="W461" s="27"/>
      <c r="X461" s="27">
        <v>-16.5</v>
      </c>
      <c r="Y461" s="27"/>
      <c r="Z461" s="27">
        <v>-16.5</v>
      </c>
      <c r="AA461" s="27"/>
      <c r="AB461" s="27">
        <v>-16.5</v>
      </c>
      <c r="AC461" s="27"/>
      <c r="AD461" s="27"/>
      <c r="AE461" s="27"/>
      <c r="AF461" s="27"/>
      <c r="AG461" s="27"/>
      <c r="AH461" s="27">
        <v>137.0</v>
      </c>
      <c r="AI461" s="27">
        <v>77.0</v>
      </c>
      <c r="AJ461" s="27">
        <v>2.0</v>
      </c>
      <c r="AK461" s="27" t="b">
        <v>0</v>
      </c>
      <c r="AL461" s="27">
        <v>100.0</v>
      </c>
      <c r="AM461" s="27" t="s">
        <v>191</v>
      </c>
      <c r="AN461" s="27" t="s">
        <v>404</v>
      </c>
      <c r="AO461" s="27"/>
    </row>
    <row r="462">
      <c r="A462" s="200">
        <v>44824.025102534724</v>
      </c>
      <c r="B462" s="19" t="s">
        <v>59</v>
      </c>
      <c r="C462" s="21" t="s">
        <v>277</v>
      </c>
      <c r="D462" s="62">
        <v>2.0</v>
      </c>
      <c r="E462" s="27">
        <v>1.0</v>
      </c>
      <c r="F462" s="27" t="s">
        <v>1403</v>
      </c>
      <c r="G462" s="201" t="s">
        <v>57</v>
      </c>
      <c r="H462" s="27" t="s">
        <v>141</v>
      </c>
      <c r="I462" s="27"/>
      <c r="J462" s="33">
        <v>-13.0</v>
      </c>
      <c r="K462" s="33">
        <v>-14.0</v>
      </c>
      <c r="L462" s="66">
        <v>52.5</v>
      </c>
      <c r="M462" s="27" t="s">
        <v>1404</v>
      </c>
      <c r="N462" s="27">
        <v>-14.0</v>
      </c>
      <c r="O462" s="27"/>
      <c r="P462" s="27">
        <v>-14.0</v>
      </c>
      <c r="Q462" s="27"/>
      <c r="R462" s="27">
        <v>-14.0</v>
      </c>
      <c r="S462" s="27"/>
      <c r="T462" s="27">
        <v>-14.0</v>
      </c>
      <c r="U462" s="27"/>
      <c r="V462" s="27">
        <v>-14.0</v>
      </c>
      <c r="W462" s="27"/>
      <c r="X462" s="27">
        <v>-14.0</v>
      </c>
      <c r="Y462" s="27"/>
      <c r="Z462" s="27">
        <v>-14.0</v>
      </c>
      <c r="AA462" s="27"/>
      <c r="AB462" s="27">
        <v>-14.0</v>
      </c>
      <c r="AC462" s="27"/>
      <c r="AD462" s="27">
        <v>-14.0</v>
      </c>
      <c r="AE462" s="27"/>
      <c r="AF462" s="27">
        <v>-14.0</v>
      </c>
      <c r="AG462" s="27"/>
      <c r="AH462" s="27">
        <v>110.0</v>
      </c>
      <c r="AI462" s="27">
        <v>105.0</v>
      </c>
      <c r="AJ462" s="27">
        <v>2.0</v>
      </c>
      <c r="AK462" s="27" t="b">
        <v>0</v>
      </c>
      <c r="AL462" s="27">
        <v>100.0</v>
      </c>
      <c r="AM462" s="27" t="s">
        <v>193</v>
      </c>
      <c r="AN462" s="27" t="s">
        <v>405</v>
      </c>
      <c r="AO462" s="27"/>
    </row>
    <row r="463">
      <c r="A463" s="200">
        <v>44824.025102534724</v>
      </c>
      <c r="B463" s="19" t="s">
        <v>59</v>
      </c>
      <c r="C463" s="21" t="s">
        <v>279</v>
      </c>
      <c r="D463" s="62">
        <v>2.0</v>
      </c>
      <c r="E463" s="27">
        <v>1.0</v>
      </c>
      <c r="F463" s="27" t="s">
        <v>1380</v>
      </c>
      <c r="G463" s="201" t="s">
        <v>57</v>
      </c>
      <c r="H463" s="27" t="s">
        <v>131</v>
      </c>
      <c r="I463" s="27"/>
      <c r="J463" s="33">
        <v>-1.0</v>
      </c>
      <c r="K463" s="33">
        <v>-2.5</v>
      </c>
      <c r="L463" s="66">
        <v>62.5</v>
      </c>
      <c r="M463" s="27" t="s">
        <v>1381</v>
      </c>
      <c r="N463" s="27">
        <v>-2.5</v>
      </c>
      <c r="O463" s="27"/>
      <c r="P463" s="27">
        <v>-2.5</v>
      </c>
      <c r="Q463" s="27"/>
      <c r="R463" s="27">
        <v>-1.5</v>
      </c>
      <c r="S463" s="27"/>
      <c r="T463" s="27">
        <v>-2.5</v>
      </c>
      <c r="U463" s="27"/>
      <c r="V463" s="27">
        <v>-2.5</v>
      </c>
      <c r="W463" s="27"/>
      <c r="X463" s="27">
        <v>-2.5</v>
      </c>
      <c r="Y463" s="27"/>
      <c r="Z463" s="27">
        <v>-2.5</v>
      </c>
      <c r="AA463" s="27"/>
      <c r="AB463" s="27">
        <v>-2.5</v>
      </c>
      <c r="AC463" s="27"/>
      <c r="AD463" s="27">
        <v>-2.5</v>
      </c>
      <c r="AE463" s="27"/>
      <c r="AF463" s="27">
        <v>-2.5</v>
      </c>
      <c r="AG463" s="27"/>
      <c r="AH463" s="27">
        <v>124.0</v>
      </c>
      <c r="AI463" s="27">
        <v>68.0</v>
      </c>
      <c r="AJ463" s="27">
        <v>2.0</v>
      </c>
      <c r="AK463" s="27" t="b">
        <v>0</v>
      </c>
      <c r="AL463" s="27">
        <v>100.0</v>
      </c>
      <c r="AM463" s="27" t="s">
        <v>129</v>
      </c>
      <c r="AN463" s="27" t="s">
        <v>405</v>
      </c>
      <c r="AO463" s="27"/>
    </row>
    <row r="464">
      <c r="A464" s="200">
        <v>44824.025102534724</v>
      </c>
      <c r="B464" s="19" t="s">
        <v>59</v>
      </c>
      <c r="C464" s="21" t="s">
        <v>291</v>
      </c>
      <c r="D464" s="62">
        <v>2.0</v>
      </c>
      <c r="E464" s="27">
        <v>1.0</v>
      </c>
      <c r="F464" s="27" t="s">
        <v>1394</v>
      </c>
      <c r="G464" s="201" t="s">
        <v>57</v>
      </c>
      <c r="H464" s="27" t="s">
        <v>178</v>
      </c>
      <c r="I464" s="27"/>
      <c r="J464" s="33">
        <v>-19.0</v>
      </c>
      <c r="K464" s="33">
        <v>-13.5</v>
      </c>
      <c r="L464" s="66">
        <v>49.0</v>
      </c>
      <c r="M464" s="27" t="s">
        <v>1395</v>
      </c>
      <c r="N464" s="27">
        <v>-14.0</v>
      </c>
      <c r="O464" s="27"/>
      <c r="P464" s="27">
        <v>-13.5</v>
      </c>
      <c r="Q464" s="27"/>
      <c r="R464" s="27">
        <v>-14.0</v>
      </c>
      <c r="S464" s="27"/>
      <c r="T464" s="27">
        <v>-13.5</v>
      </c>
      <c r="U464" s="27"/>
      <c r="V464" s="27">
        <v>-13.5</v>
      </c>
      <c r="W464" s="27"/>
      <c r="X464" s="27">
        <v>-14.0</v>
      </c>
      <c r="Y464" s="27"/>
      <c r="Z464" s="27">
        <v>-14.0</v>
      </c>
      <c r="AA464" s="27"/>
      <c r="AB464" s="27">
        <v>-14.0</v>
      </c>
      <c r="AC464" s="27"/>
      <c r="AD464" s="27">
        <v>-13.5</v>
      </c>
      <c r="AE464" s="27"/>
      <c r="AF464" s="27">
        <v>-13.5</v>
      </c>
      <c r="AG464" s="27"/>
      <c r="AH464" s="27">
        <v>84.0</v>
      </c>
      <c r="AI464" s="27">
        <v>29.0</v>
      </c>
      <c r="AJ464" s="27">
        <v>2.0</v>
      </c>
      <c r="AK464" s="27" t="b">
        <v>0</v>
      </c>
      <c r="AL464" s="27">
        <v>100.0</v>
      </c>
      <c r="AM464" s="27" t="s">
        <v>187</v>
      </c>
      <c r="AN464" s="27" t="s">
        <v>404</v>
      </c>
      <c r="AO464" s="27"/>
    </row>
    <row r="465">
      <c r="A465" s="200">
        <v>44824.025102534724</v>
      </c>
      <c r="B465" s="19" t="s">
        <v>59</v>
      </c>
      <c r="C465" s="21" t="s">
        <v>285</v>
      </c>
      <c r="D465" s="62">
        <v>1.0</v>
      </c>
      <c r="E465" s="27">
        <v>2.0</v>
      </c>
      <c r="F465" s="27" t="s">
        <v>1405</v>
      </c>
      <c r="G465" s="201" t="s">
        <v>57</v>
      </c>
      <c r="H465" s="27"/>
      <c r="I465" s="27"/>
      <c r="J465" s="33">
        <v>-40.0</v>
      </c>
      <c r="K465" s="33">
        <v>-41.0</v>
      </c>
      <c r="L465" s="66">
        <v>59.5</v>
      </c>
      <c r="M465" s="27" t="s">
        <v>1305</v>
      </c>
      <c r="N465" s="27">
        <v>-40.5</v>
      </c>
      <c r="O465" s="27"/>
      <c r="P465" s="27">
        <v>-40.5</v>
      </c>
      <c r="Q465" s="27"/>
      <c r="R465" s="27">
        <v>-40.0</v>
      </c>
      <c r="S465" s="27"/>
      <c r="T465" s="27">
        <v>-41.0</v>
      </c>
      <c r="U465" s="27"/>
      <c r="V465" s="27">
        <v>-41.0</v>
      </c>
      <c r="W465" s="27"/>
      <c r="X465" s="27">
        <v>-40.0</v>
      </c>
      <c r="Y465" s="27"/>
      <c r="Z465" s="27">
        <v>-41.0</v>
      </c>
      <c r="AA465" s="27"/>
      <c r="AB465" s="27">
        <v>-41.0</v>
      </c>
      <c r="AC465" s="27"/>
      <c r="AD465" s="27"/>
      <c r="AE465" s="27"/>
      <c r="AF465" s="27"/>
      <c r="AG465" s="27"/>
      <c r="AH465" s="27">
        <v>109.0</v>
      </c>
      <c r="AI465" s="27">
        <v>96.0</v>
      </c>
      <c r="AJ465" s="27">
        <v>2.0</v>
      </c>
      <c r="AK465" s="27" t="b">
        <v>0</v>
      </c>
      <c r="AL465" s="27">
        <v>100.0</v>
      </c>
      <c r="AM465" s="27" t="s">
        <v>190</v>
      </c>
      <c r="AN465" s="27" t="s">
        <v>405</v>
      </c>
      <c r="AO465" s="27"/>
    </row>
    <row r="466">
      <c r="A466" s="200">
        <v>44824.025102534724</v>
      </c>
      <c r="B466" s="19" t="s">
        <v>59</v>
      </c>
      <c r="C466" s="21" t="s">
        <v>284</v>
      </c>
      <c r="D466" s="62">
        <v>3.0</v>
      </c>
      <c r="E466" s="27">
        <v>0.0</v>
      </c>
      <c r="F466" s="27" t="s">
        <v>1406</v>
      </c>
      <c r="G466" s="201" t="s">
        <v>57</v>
      </c>
      <c r="H466" s="27" t="s">
        <v>59</v>
      </c>
      <c r="I466" s="27"/>
      <c r="J466" s="33">
        <v>-45.5</v>
      </c>
      <c r="K466" s="33">
        <v>-47.5</v>
      </c>
      <c r="L466" s="66">
        <v>59.0</v>
      </c>
      <c r="M466" s="27" t="s">
        <v>1139</v>
      </c>
      <c r="N466" s="27">
        <v>-47.5</v>
      </c>
      <c r="O466" s="27"/>
      <c r="P466" s="27">
        <v>-47.5</v>
      </c>
      <c r="Q466" s="27"/>
      <c r="R466" s="27">
        <v>-47.0</v>
      </c>
      <c r="S466" s="27"/>
      <c r="T466" s="27">
        <v>-47.5</v>
      </c>
      <c r="U466" s="27"/>
      <c r="V466" s="27">
        <v>-47.5</v>
      </c>
      <c r="W466" s="27"/>
      <c r="X466" s="27">
        <v>-47.5</v>
      </c>
      <c r="Y466" s="27"/>
      <c r="Z466" s="27">
        <v>-48.0</v>
      </c>
      <c r="AA466" s="27"/>
      <c r="AB466" s="27">
        <v>-47.5</v>
      </c>
      <c r="AC466" s="27"/>
      <c r="AD466" s="27">
        <v>-47.5</v>
      </c>
      <c r="AE466" s="27"/>
      <c r="AF466" s="27">
        <v>-47.5</v>
      </c>
      <c r="AG466" s="27"/>
      <c r="AH466" s="27">
        <v>166.0</v>
      </c>
      <c r="AI466" s="27">
        <v>17.0</v>
      </c>
      <c r="AJ466" s="27">
        <v>2.0</v>
      </c>
      <c r="AK466" s="27" t="b">
        <v>1</v>
      </c>
      <c r="AL466" s="27">
        <v>100.0</v>
      </c>
      <c r="AM466" s="27" t="s">
        <v>188</v>
      </c>
      <c r="AN466" s="27" t="s">
        <v>404</v>
      </c>
      <c r="AO466" s="27"/>
    </row>
    <row r="467">
      <c r="A467" s="200">
        <v>44824.025102534724</v>
      </c>
      <c r="B467" s="19" t="s">
        <v>59</v>
      </c>
      <c r="C467" s="21" t="s">
        <v>281</v>
      </c>
      <c r="D467" s="62">
        <v>1.0</v>
      </c>
      <c r="E467" s="27">
        <v>3.0</v>
      </c>
      <c r="F467" s="27" t="s">
        <v>1406</v>
      </c>
      <c r="G467" s="201" t="s">
        <v>57</v>
      </c>
      <c r="H467" s="27" t="s">
        <v>59</v>
      </c>
      <c r="I467" s="27"/>
      <c r="J467" s="33">
        <v>45.5</v>
      </c>
      <c r="K467" s="33">
        <v>47.5</v>
      </c>
      <c r="L467" s="66">
        <v>59.0</v>
      </c>
      <c r="M467" s="27" t="s">
        <v>1139</v>
      </c>
      <c r="N467" s="27">
        <v>47.5</v>
      </c>
      <c r="O467" s="27"/>
      <c r="P467" s="27">
        <v>47.5</v>
      </c>
      <c r="Q467" s="27"/>
      <c r="R467" s="27">
        <v>47.0</v>
      </c>
      <c r="S467" s="27"/>
      <c r="T467" s="27">
        <v>47.5</v>
      </c>
      <c r="U467" s="27"/>
      <c r="V467" s="27">
        <v>47.5</v>
      </c>
      <c r="W467" s="27"/>
      <c r="X467" s="27">
        <v>47.5</v>
      </c>
      <c r="Y467" s="27"/>
      <c r="Z467" s="27">
        <v>48.0</v>
      </c>
      <c r="AA467" s="27"/>
      <c r="AB467" s="27">
        <v>47.5</v>
      </c>
      <c r="AC467" s="27"/>
      <c r="AD467" s="27">
        <v>47.5</v>
      </c>
      <c r="AE467" s="27"/>
      <c r="AF467" s="27">
        <v>47.5</v>
      </c>
      <c r="AG467" s="27"/>
      <c r="AH467" s="27">
        <v>62.0</v>
      </c>
      <c r="AI467" s="27">
        <v>141.0</v>
      </c>
      <c r="AJ467" s="27">
        <v>2.0</v>
      </c>
      <c r="AK467" s="27" t="b">
        <v>0</v>
      </c>
      <c r="AL467" s="27">
        <v>100.0</v>
      </c>
      <c r="AM467" s="27" t="s">
        <v>389</v>
      </c>
      <c r="AN467" s="27" t="s">
        <v>405</v>
      </c>
      <c r="AO467" s="27"/>
    </row>
    <row r="468">
      <c r="A468" s="200">
        <v>44824.025102534724</v>
      </c>
      <c r="B468" s="19" t="s">
        <v>59</v>
      </c>
      <c r="C468" s="21" t="s">
        <v>283</v>
      </c>
      <c r="D468" s="62">
        <v>3.0</v>
      </c>
      <c r="E468" s="27">
        <v>0.0</v>
      </c>
      <c r="F468" s="27" t="s">
        <v>1407</v>
      </c>
      <c r="G468" s="201" t="s">
        <v>57</v>
      </c>
      <c r="H468" s="27"/>
      <c r="I468" s="27"/>
      <c r="J468" s="33">
        <v>-25.5</v>
      </c>
      <c r="K468" s="33">
        <v>-29.5</v>
      </c>
      <c r="L468" s="66">
        <v>49.5</v>
      </c>
      <c r="M468" s="27" t="s">
        <v>1069</v>
      </c>
      <c r="N468" s="27">
        <v>-29.5</v>
      </c>
      <c r="O468" s="27"/>
      <c r="P468" s="27">
        <v>-30.0</v>
      </c>
      <c r="Q468" s="27"/>
      <c r="R468" s="27">
        <v>-30.0</v>
      </c>
      <c r="S468" s="27"/>
      <c r="T468" s="27">
        <v>-29.5</v>
      </c>
      <c r="U468" s="27"/>
      <c r="V468" s="27">
        <v>-30.0</v>
      </c>
      <c r="W468" s="27"/>
      <c r="X468" s="27">
        <v>-30.0</v>
      </c>
      <c r="Y468" s="27"/>
      <c r="Z468" s="27">
        <v>-29.5</v>
      </c>
      <c r="AA468" s="27"/>
      <c r="AB468" s="27">
        <v>-29.5</v>
      </c>
      <c r="AC468" s="27"/>
      <c r="AD468" s="27"/>
      <c r="AE468" s="27"/>
      <c r="AF468" s="27"/>
      <c r="AG468" s="27"/>
      <c r="AH468" s="27">
        <v>94.0</v>
      </c>
      <c r="AI468" s="27">
        <v>29.0</v>
      </c>
      <c r="AJ468" s="27">
        <v>2.0</v>
      </c>
      <c r="AK468" s="27" t="b">
        <v>0</v>
      </c>
      <c r="AL468" s="27">
        <v>100.0</v>
      </c>
      <c r="AM468" s="27" t="s">
        <v>192</v>
      </c>
      <c r="AN468" s="27" t="s">
        <v>404</v>
      </c>
      <c r="AO468" s="27"/>
    </row>
    <row r="469">
      <c r="A469" s="200">
        <v>44824.025102534724</v>
      </c>
      <c r="B469" s="19"/>
      <c r="C469" s="21"/>
      <c r="D469" s="62"/>
      <c r="E469" s="27"/>
      <c r="F469" s="27"/>
      <c r="G469" s="201"/>
      <c r="H469" s="27"/>
      <c r="I469" s="27"/>
      <c r="J469" s="33"/>
      <c r="K469" s="33"/>
      <c r="L469" s="66"/>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t="e">
        <v>#N/A</v>
      </c>
      <c r="AN469" s="27" t="e">
        <v>#N/A</v>
      </c>
      <c r="AO469" s="27"/>
    </row>
    <row r="470">
      <c r="A470" s="200">
        <v>44824.025102534724</v>
      </c>
      <c r="B470" s="19" t="s">
        <v>138</v>
      </c>
      <c r="C470" s="21" t="s">
        <v>311</v>
      </c>
      <c r="D470" s="62">
        <v>1.0</v>
      </c>
      <c r="E470" s="27">
        <v>1.0</v>
      </c>
      <c r="F470" s="27"/>
      <c r="G470" s="201"/>
      <c r="H470" s="27"/>
      <c r="I470" s="27" t="s">
        <v>88</v>
      </c>
      <c r="J470" s="33"/>
      <c r="K470" s="33"/>
      <c r="L470" s="66"/>
      <c r="M470" s="27"/>
      <c r="N470" s="27"/>
      <c r="O470" s="27"/>
      <c r="P470" s="27"/>
      <c r="Q470" s="27"/>
      <c r="R470" s="27"/>
      <c r="S470" s="27"/>
      <c r="T470" s="27"/>
      <c r="U470" s="27"/>
      <c r="V470" s="27"/>
      <c r="W470" s="27"/>
      <c r="X470" s="27"/>
      <c r="Y470" s="27"/>
      <c r="Z470" s="27"/>
      <c r="AA470" s="27"/>
      <c r="AB470" s="27"/>
      <c r="AC470" s="27"/>
      <c r="AD470" s="27"/>
      <c r="AE470" s="27"/>
      <c r="AF470" s="27"/>
      <c r="AG470" s="27"/>
      <c r="AH470" s="27">
        <v>69.0</v>
      </c>
      <c r="AI470" s="27">
        <v>51.0</v>
      </c>
      <c r="AJ470" s="27">
        <v>0.0</v>
      </c>
      <c r="AK470" s="27" t="b">
        <v>1</v>
      </c>
      <c r="AL470" s="27">
        <v>59.0</v>
      </c>
      <c r="AM470" s="27" t="s">
        <v>191</v>
      </c>
      <c r="AN470" s="27" t="s">
        <v>404</v>
      </c>
      <c r="AO470" s="27"/>
    </row>
    <row r="471">
      <c r="A471" s="200">
        <v>44824.025102534724</v>
      </c>
      <c r="B471" s="19" t="s">
        <v>138</v>
      </c>
      <c r="C471" s="21" t="s">
        <v>304</v>
      </c>
      <c r="D471" s="62">
        <v>1.0</v>
      </c>
      <c r="E471" s="27">
        <v>2.0</v>
      </c>
      <c r="F471" s="27"/>
      <c r="G471" s="201"/>
      <c r="H471" s="27"/>
      <c r="I471" s="27" t="s">
        <v>126</v>
      </c>
      <c r="J471" s="33">
        <v>-4.5</v>
      </c>
      <c r="K471" s="33">
        <v>-7.0</v>
      </c>
      <c r="L471" s="66">
        <v>58.0</v>
      </c>
      <c r="M471" s="27">
        <v>-0.9016393443</v>
      </c>
      <c r="N471" s="27">
        <v>-7.0</v>
      </c>
      <c r="O471" s="27"/>
      <c r="P471" s="27">
        <v>-6.5</v>
      </c>
      <c r="Q471" s="27"/>
      <c r="R471" s="27">
        <v>-6.5</v>
      </c>
      <c r="S471" s="27"/>
      <c r="T471" s="27">
        <v>-7.0</v>
      </c>
      <c r="U471" s="27"/>
      <c r="V471" s="27">
        <v>-6.5</v>
      </c>
      <c r="W471" s="27"/>
      <c r="X471" s="27">
        <v>-6.5</v>
      </c>
      <c r="Y471" s="27"/>
      <c r="Z471" s="27">
        <v>-7.0</v>
      </c>
      <c r="AA471" s="27"/>
      <c r="AB471" s="27">
        <v>-7.0</v>
      </c>
      <c r="AC471" s="27"/>
      <c r="AD471" s="27"/>
      <c r="AE471" s="27"/>
      <c r="AF471" s="27"/>
      <c r="AG471" s="27"/>
      <c r="AH471" s="27">
        <v>38.0</v>
      </c>
      <c r="AI471" s="27">
        <v>110.0</v>
      </c>
      <c r="AJ471" s="27">
        <v>0.0</v>
      </c>
      <c r="AK471" s="27" t="b">
        <v>1</v>
      </c>
      <c r="AL471" s="27">
        <v>59.0</v>
      </c>
      <c r="AM471" s="27" t="s">
        <v>129</v>
      </c>
      <c r="AN471" s="27" t="s">
        <v>405</v>
      </c>
      <c r="AO471" s="27"/>
    </row>
    <row r="472">
      <c r="A472" s="200">
        <v>44824.025102534724</v>
      </c>
      <c r="B472" s="19" t="s">
        <v>138</v>
      </c>
      <c r="C472" s="21" t="s">
        <v>294</v>
      </c>
      <c r="D472" s="62">
        <v>2.0</v>
      </c>
      <c r="E472" s="27">
        <v>1.0</v>
      </c>
      <c r="F472" s="27" t="s">
        <v>1408</v>
      </c>
      <c r="G472" s="201" t="s">
        <v>57</v>
      </c>
      <c r="H472" s="27" t="s">
        <v>148</v>
      </c>
      <c r="I472" s="27"/>
      <c r="J472" s="33">
        <v>3.0</v>
      </c>
      <c r="K472" s="33">
        <v>3.5</v>
      </c>
      <c r="L472" s="66">
        <v>56.5</v>
      </c>
      <c r="M472" s="27" t="s">
        <v>1409</v>
      </c>
      <c r="N472" s="27">
        <v>3.5</v>
      </c>
      <c r="O472" s="27"/>
      <c r="P472" s="27">
        <v>3.5</v>
      </c>
      <c r="Q472" s="27"/>
      <c r="R472" s="27">
        <v>3.5</v>
      </c>
      <c r="S472" s="27"/>
      <c r="T472" s="27">
        <v>4.0</v>
      </c>
      <c r="U472" s="27"/>
      <c r="V472" s="27">
        <v>3.5</v>
      </c>
      <c r="W472" s="27"/>
      <c r="X472" s="27">
        <v>3.5</v>
      </c>
      <c r="Y472" s="27"/>
      <c r="Z472" s="27">
        <v>4.0</v>
      </c>
      <c r="AA472" s="27"/>
      <c r="AB472" s="27">
        <v>3.5</v>
      </c>
      <c r="AC472" s="27"/>
      <c r="AD472" s="27">
        <v>4.0</v>
      </c>
      <c r="AE472" s="27"/>
      <c r="AF472" s="27">
        <v>4.0</v>
      </c>
      <c r="AG472" s="27"/>
      <c r="AH472" s="27">
        <v>115.0</v>
      </c>
      <c r="AI472" s="27">
        <v>52.0</v>
      </c>
      <c r="AJ472" s="27">
        <v>2.0</v>
      </c>
      <c r="AK472" s="27" t="b">
        <v>1</v>
      </c>
      <c r="AL472" s="27">
        <v>100.0</v>
      </c>
      <c r="AM472" s="27" t="s">
        <v>188</v>
      </c>
      <c r="AN472" s="27" t="s">
        <v>404</v>
      </c>
      <c r="AO472" s="27"/>
    </row>
    <row r="473">
      <c r="A473" s="200">
        <v>44824.025102534724</v>
      </c>
      <c r="B473" s="19" t="s">
        <v>138</v>
      </c>
      <c r="C473" s="21" t="s">
        <v>296</v>
      </c>
      <c r="D473" s="62">
        <v>1.0</v>
      </c>
      <c r="E473" s="27">
        <v>2.0</v>
      </c>
      <c r="F473" s="27" t="s">
        <v>1410</v>
      </c>
      <c r="G473" s="201" t="s">
        <v>57</v>
      </c>
      <c r="H473" s="27" t="s">
        <v>166</v>
      </c>
      <c r="I473" s="27"/>
      <c r="J473" s="33">
        <v>15.0</v>
      </c>
      <c r="K473" s="33">
        <v>13.0</v>
      </c>
      <c r="L473" s="66">
        <v>57.0</v>
      </c>
      <c r="M473" s="27" t="s">
        <v>1411</v>
      </c>
      <c r="N473" s="27">
        <v>12.5</v>
      </c>
      <c r="O473" s="27"/>
      <c r="P473" s="27">
        <v>13.0</v>
      </c>
      <c r="Q473" s="27"/>
      <c r="R473" s="27">
        <v>12.5</v>
      </c>
      <c r="S473" s="27"/>
      <c r="T473" s="27">
        <v>13.0</v>
      </c>
      <c r="U473" s="27"/>
      <c r="V473" s="27">
        <v>13.0</v>
      </c>
      <c r="W473" s="27"/>
      <c r="X473" s="27">
        <v>13.0</v>
      </c>
      <c r="Y473" s="27"/>
      <c r="Z473" s="27">
        <v>12.5</v>
      </c>
      <c r="AA473" s="27"/>
      <c r="AB473" s="27">
        <v>12.5</v>
      </c>
      <c r="AC473" s="27"/>
      <c r="AD473" s="27">
        <v>13.0</v>
      </c>
      <c r="AE473" s="27"/>
      <c r="AF473" s="27">
        <v>13.0</v>
      </c>
      <c r="AG473" s="27"/>
      <c r="AH473" s="27">
        <v>96.0</v>
      </c>
      <c r="AI473" s="27">
        <v>116.0</v>
      </c>
      <c r="AJ473" s="27">
        <v>2.0</v>
      </c>
      <c r="AK473" s="27" t="b">
        <v>1</v>
      </c>
      <c r="AL473" s="27">
        <v>100.0</v>
      </c>
      <c r="AM473" s="27" t="s">
        <v>189</v>
      </c>
      <c r="AN473" s="27" t="s">
        <v>405</v>
      </c>
      <c r="AO473" s="27"/>
    </row>
    <row r="474">
      <c r="A474" s="200">
        <v>44824.025102534724</v>
      </c>
      <c r="B474" s="19" t="s">
        <v>138</v>
      </c>
      <c r="C474" s="21" t="s">
        <v>303</v>
      </c>
      <c r="D474" s="62">
        <v>3.0</v>
      </c>
      <c r="E474" s="27">
        <v>0.0</v>
      </c>
      <c r="F474" s="27" t="s">
        <v>1412</v>
      </c>
      <c r="G474" s="201" t="s">
        <v>57</v>
      </c>
      <c r="H474" s="27"/>
      <c r="I474" s="27"/>
      <c r="J474" s="33">
        <v>-23.0</v>
      </c>
      <c r="K474" s="33">
        <v>-25.5</v>
      </c>
      <c r="L474" s="66">
        <v>60.5</v>
      </c>
      <c r="M474" s="27" t="s">
        <v>1413</v>
      </c>
      <c r="N474" s="27">
        <v>-25.5</v>
      </c>
      <c r="O474" s="27"/>
      <c r="P474" s="27">
        <v>-26.0</v>
      </c>
      <c r="Q474" s="27"/>
      <c r="R474" s="27">
        <v>-25.0</v>
      </c>
      <c r="S474" s="27"/>
      <c r="T474" s="27">
        <v>-26.5</v>
      </c>
      <c r="U474" s="27"/>
      <c r="V474" s="27">
        <v>-26.0</v>
      </c>
      <c r="W474" s="27"/>
      <c r="X474" s="27">
        <v>-26.0</v>
      </c>
      <c r="Y474" s="27"/>
      <c r="Z474" s="27">
        <v>-26.5</v>
      </c>
      <c r="AA474" s="27"/>
      <c r="AB474" s="27">
        <v>-26.5</v>
      </c>
      <c r="AC474" s="27"/>
      <c r="AD474" s="27"/>
      <c r="AE474" s="27"/>
      <c r="AF474" s="27"/>
      <c r="AG474" s="27"/>
      <c r="AH474" s="27">
        <v>113.0</v>
      </c>
      <c r="AI474" s="27">
        <v>81.0</v>
      </c>
      <c r="AJ474" s="27">
        <v>2.0</v>
      </c>
      <c r="AK474" s="27" t="b">
        <v>0</v>
      </c>
      <c r="AL474" s="27">
        <v>100.0</v>
      </c>
      <c r="AM474" s="27" t="s">
        <v>192</v>
      </c>
      <c r="AN474" s="27" t="s">
        <v>404</v>
      </c>
      <c r="AO474" s="27"/>
    </row>
    <row r="475">
      <c r="A475" s="200">
        <v>44824.025102534724</v>
      </c>
      <c r="B475" s="19" t="s">
        <v>138</v>
      </c>
      <c r="C475" s="21" t="s">
        <v>298</v>
      </c>
      <c r="D475" s="62">
        <v>1.0</v>
      </c>
      <c r="E475" s="27">
        <v>2.0</v>
      </c>
      <c r="F475" s="27" t="s">
        <v>1414</v>
      </c>
      <c r="G475" s="201" t="s">
        <v>57</v>
      </c>
      <c r="H475" s="27" t="s">
        <v>138</v>
      </c>
      <c r="I475" s="27"/>
      <c r="J475" s="33">
        <v>2.5</v>
      </c>
      <c r="K475" s="33">
        <v>-2.5</v>
      </c>
      <c r="L475" s="66">
        <v>58.5</v>
      </c>
      <c r="M475" s="27" t="s">
        <v>1415</v>
      </c>
      <c r="N475" s="27">
        <v>-2.5</v>
      </c>
      <c r="O475" s="27"/>
      <c r="P475" s="27">
        <v>-2.5</v>
      </c>
      <c r="Q475" s="27"/>
      <c r="R475" s="27">
        <v>-2.5</v>
      </c>
      <c r="S475" s="27"/>
      <c r="T475" s="27">
        <v>-2.5</v>
      </c>
      <c r="U475" s="27"/>
      <c r="V475" s="27">
        <v>-2.5</v>
      </c>
      <c r="W475" s="27"/>
      <c r="X475" s="27">
        <v>-2.5</v>
      </c>
      <c r="Y475" s="27"/>
      <c r="Z475" s="27">
        <v>-2.5</v>
      </c>
      <c r="AA475" s="27"/>
      <c r="AB475" s="27">
        <v>-2.5</v>
      </c>
      <c r="AC475" s="27"/>
      <c r="AD475" s="27">
        <v>-2.5</v>
      </c>
      <c r="AE475" s="27"/>
      <c r="AF475" s="27"/>
      <c r="AG475" s="27"/>
      <c r="AH475" s="27">
        <v>97.0</v>
      </c>
      <c r="AI475" s="27">
        <v>103.0</v>
      </c>
      <c r="AJ475" s="27">
        <v>2.0</v>
      </c>
      <c r="AK475" s="27" t="b">
        <v>0</v>
      </c>
      <c r="AL475" s="27">
        <v>100.0</v>
      </c>
      <c r="AM475" s="27" t="s">
        <v>190</v>
      </c>
      <c r="AN475" s="27" t="s">
        <v>405</v>
      </c>
      <c r="AO475" s="27"/>
    </row>
    <row r="476">
      <c r="A476" s="200">
        <v>44824.025102534724</v>
      </c>
      <c r="B476" s="19" t="s">
        <v>138</v>
      </c>
      <c r="C476" s="21" t="s">
        <v>309</v>
      </c>
      <c r="D476" s="62">
        <v>3.0</v>
      </c>
      <c r="E476" s="27">
        <v>1.0</v>
      </c>
      <c r="F476" s="27" t="s">
        <v>1414</v>
      </c>
      <c r="G476" s="201" t="s">
        <v>57</v>
      </c>
      <c r="H476" s="27" t="s">
        <v>138</v>
      </c>
      <c r="I476" s="27"/>
      <c r="J476" s="33">
        <v>-2.5</v>
      </c>
      <c r="K476" s="33">
        <v>2.5</v>
      </c>
      <c r="L476" s="66">
        <v>58.5</v>
      </c>
      <c r="M476" s="27" t="s">
        <v>1415</v>
      </c>
      <c r="N476" s="27">
        <v>2.5</v>
      </c>
      <c r="O476" s="27"/>
      <c r="P476" s="27">
        <v>2.5</v>
      </c>
      <c r="Q476" s="27"/>
      <c r="R476" s="27">
        <v>2.5</v>
      </c>
      <c r="S476" s="27"/>
      <c r="T476" s="27">
        <v>2.5</v>
      </c>
      <c r="U476" s="27"/>
      <c r="V476" s="27">
        <v>2.5</v>
      </c>
      <c r="W476" s="27"/>
      <c r="X476" s="27">
        <v>2.5</v>
      </c>
      <c r="Y476" s="27"/>
      <c r="Z476" s="27">
        <v>2.5</v>
      </c>
      <c r="AA476" s="27"/>
      <c r="AB476" s="27">
        <v>2.5</v>
      </c>
      <c r="AC476" s="27"/>
      <c r="AD476" s="27">
        <v>2.5</v>
      </c>
      <c r="AE476" s="27"/>
      <c r="AF476" s="27"/>
      <c r="AG476" s="27"/>
      <c r="AH476" s="27">
        <v>168.0</v>
      </c>
      <c r="AI476" s="27">
        <v>114.0</v>
      </c>
      <c r="AJ476" s="27">
        <v>2.0</v>
      </c>
      <c r="AK476" s="27" t="b">
        <v>1</v>
      </c>
      <c r="AL476" s="27">
        <v>100.0</v>
      </c>
      <c r="AM476" s="27" t="s">
        <v>187</v>
      </c>
      <c r="AN476" s="27" t="s">
        <v>404</v>
      </c>
      <c r="AO476" s="27"/>
    </row>
    <row r="477">
      <c r="A477" s="200">
        <v>44824.025102534724</v>
      </c>
      <c r="B477" s="19" t="s">
        <v>138</v>
      </c>
      <c r="C477" s="21" t="s">
        <v>302</v>
      </c>
      <c r="D477" s="62">
        <v>2.0</v>
      </c>
      <c r="E477" s="27">
        <v>1.0</v>
      </c>
      <c r="F477" s="27" t="s">
        <v>1396</v>
      </c>
      <c r="G477" s="201" t="s">
        <v>57</v>
      </c>
      <c r="H477" s="27" t="s">
        <v>178</v>
      </c>
      <c r="I477" s="27"/>
      <c r="J477" s="33">
        <v>11.0</v>
      </c>
      <c r="K477" s="33">
        <v>15.5</v>
      </c>
      <c r="L477" s="66">
        <v>59.0</v>
      </c>
      <c r="M477" s="27" t="s">
        <v>1397</v>
      </c>
      <c r="N477" s="27">
        <v>15.5</v>
      </c>
      <c r="O477" s="27"/>
      <c r="P477" s="27">
        <v>15.5</v>
      </c>
      <c r="Q477" s="27"/>
      <c r="R477" s="27">
        <v>15.5</v>
      </c>
      <c r="S477" s="27"/>
      <c r="T477" s="27">
        <v>15.5</v>
      </c>
      <c r="U477" s="27"/>
      <c r="V477" s="27">
        <v>15.5</v>
      </c>
      <c r="W477" s="27"/>
      <c r="X477" s="27">
        <v>15.0</v>
      </c>
      <c r="Y477" s="27"/>
      <c r="Z477" s="27">
        <v>15.5</v>
      </c>
      <c r="AA477" s="27"/>
      <c r="AB477" s="27">
        <v>16.0</v>
      </c>
      <c r="AC477" s="27"/>
      <c r="AD477" s="27">
        <v>15.5</v>
      </c>
      <c r="AE477" s="27"/>
      <c r="AF477" s="27">
        <v>15.5</v>
      </c>
      <c r="AG477" s="27"/>
      <c r="AH477" s="27">
        <v>117.0</v>
      </c>
      <c r="AI477" s="27">
        <v>63.0</v>
      </c>
      <c r="AJ477" s="27">
        <v>2.0</v>
      </c>
      <c r="AK477" s="27" t="b">
        <v>1</v>
      </c>
      <c r="AL477" s="27">
        <v>100.0</v>
      </c>
      <c r="AM477" s="27" t="s">
        <v>193</v>
      </c>
      <c r="AN477" s="27" t="s">
        <v>405</v>
      </c>
      <c r="AO477" s="27"/>
    </row>
    <row r="478">
      <c r="A478" s="200">
        <v>44824.025102534724</v>
      </c>
      <c r="B478" s="19" t="s">
        <v>138</v>
      </c>
      <c r="C478" s="21" t="s">
        <v>308</v>
      </c>
      <c r="D478" s="62">
        <v>3.0</v>
      </c>
      <c r="E478" s="27">
        <v>0.0</v>
      </c>
      <c r="F478" s="27" t="s">
        <v>1416</v>
      </c>
      <c r="G478" s="201" t="s">
        <v>57</v>
      </c>
      <c r="H478" s="27" t="s">
        <v>148</v>
      </c>
      <c r="I478" s="27"/>
      <c r="J478" s="33">
        <v>1.0</v>
      </c>
      <c r="K478" s="33">
        <v>-1.5</v>
      </c>
      <c r="L478" s="66">
        <v>59.5</v>
      </c>
      <c r="M478" s="27" t="s">
        <v>1417</v>
      </c>
      <c r="N478" s="27">
        <v>-1.5</v>
      </c>
      <c r="O478" s="27"/>
      <c r="P478" s="27">
        <v>-1.5</v>
      </c>
      <c r="Q478" s="27"/>
      <c r="R478" s="27">
        <v>-1.5</v>
      </c>
      <c r="S478" s="27"/>
      <c r="T478" s="27">
        <v>-1.5</v>
      </c>
      <c r="U478" s="27"/>
      <c r="V478" s="27">
        <v>-1.5</v>
      </c>
      <c r="W478" s="27"/>
      <c r="X478" s="27">
        <v>-1.5</v>
      </c>
      <c r="Y478" s="27"/>
      <c r="Z478" s="27">
        <v>-1.5</v>
      </c>
      <c r="AA478" s="27"/>
      <c r="AB478" s="27">
        <v>-1.5</v>
      </c>
      <c r="AC478" s="27"/>
      <c r="AD478" s="27">
        <v>-1.5</v>
      </c>
      <c r="AE478" s="27"/>
      <c r="AF478" s="27">
        <v>-1.5</v>
      </c>
      <c r="AG478" s="27"/>
      <c r="AH478" s="27">
        <v>111.0</v>
      </c>
      <c r="AI478" s="27">
        <v>50.0</v>
      </c>
      <c r="AJ478" s="27">
        <v>2.0</v>
      </c>
      <c r="AK478" s="27" t="b">
        <v>0</v>
      </c>
      <c r="AL478" s="27">
        <v>100.0</v>
      </c>
      <c r="AM478" s="27" t="s">
        <v>186</v>
      </c>
      <c r="AN478" s="27" t="s">
        <v>404</v>
      </c>
      <c r="AO478" s="27"/>
    </row>
    <row r="479">
      <c r="A479" s="200">
        <v>44824.025102534724</v>
      </c>
      <c r="B479" s="19" t="s">
        <v>138</v>
      </c>
      <c r="C479" s="21" t="s">
        <v>282</v>
      </c>
      <c r="D479" s="62">
        <v>2.0</v>
      </c>
      <c r="E479" s="27">
        <v>1.0</v>
      </c>
      <c r="F479" s="27" t="s">
        <v>1382</v>
      </c>
      <c r="G479" s="201" t="s">
        <v>57</v>
      </c>
      <c r="H479" s="27" t="s">
        <v>131</v>
      </c>
      <c r="I479" s="27"/>
      <c r="J479" s="33">
        <v>-19.5</v>
      </c>
      <c r="K479" s="33">
        <v>-24.0</v>
      </c>
      <c r="L479" s="66">
        <v>51.0</v>
      </c>
      <c r="M479" s="27" t="s">
        <v>1383</v>
      </c>
      <c r="N479" s="27">
        <v>-24.0</v>
      </c>
      <c r="O479" s="27"/>
      <c r="P479" s="27">
        <v>-24.0</v>
      </c>
      <c r="Q479" s="27"/>
      <c r="R479" s="27">
        <v>-24.0</v>
      </c>
      <c r="S479" s="27"/>
      <c r="T479" s="27">
        <v>-24.0</v>
      </c>
      <c r="U479" s="27"/>
      <c r="V479" s="27">
        <v>-24.0</v>
      </c>
      <c r="W479" s="27"/>
      <c r="X479" s="27">
        <v>-23.5</v>
      </c>
      <c r="Y479" s="27"/>
      <c r="Z479" s="27">
        <v>-24.0</v>
      </c>
      <c r="AA479" s="27"/>
      <c r="AB479" s="27">
        <v>-24.0</v>
      </c>
      <c r="AC479" s="27"/>
      <c r="AD479" s="27"/>
      <c r="AE479" s="27"/>
      <c r="AF479" s="27"/>
      <c r="AG479" s="27"/>
      <c r="AH479" s="27">
        <v>125.0</v>
      </c>
      <c r="AI479" s="27">
        <v>58.0</v>
      </c>
      <c r="AJ479" s="27">
        <v>2.0</v>
      </c>
      <c r="AK479" s="27" t="b">
        <v>0</v>
      </c>
      <c r="AL479" s="27">
        <v>100.0</v>
      </c>
      <c r="AM479" s="27" t="s">
        <v>389</v>
      </c>
      <c r="AN479" s="27" t="s">
        <v>405</v>
      </c>
      <c r="AO479" s="27"/>
    </row>
    <row r="480">
      <c r="A480" s="200">
        <v>44824.025102534724</v>
      </c>
      <c r="B480" s="19"/>
      <c r="C480" s="21"/>
      <c r="D480" s="62"/>
      <c r="E480" s="27"/>
      <c r="F480" s="27"/>
      <c r="G480" s="201"/>
      <c r="H480" s="27"/>
      <c r="I480" s="27"/>
      <c r="J480" s="33"/>
      <c r="K480" s="33"/>
      <c r="L480" s="66"/>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t="e">
        <v>#N/A</v>
      </c>
      <c r="AN480" s="27" t="e">
        <v>#N/A</v>
      </c>
      <c r="AO480" s="27"/>
    </row>
    <row r="481">
      <c r="A481" s="200">
        <v>44824.025102534724</v>
      </c>
      <c r="B481" s="19" t="s">
        <v>141</v>
      </c>
      <c r="C481" s="21" t="s">
        <v>349</v>
      </c>
      <c r="D481" s="62">
        <v>1.0</v>
      </c>
      <c r="E481" s="27">
        <v>1.0</v>
      </c>
      <c r="F481" s="27"/>
      <c r="G481" s="201"/>
      <c r="H481" s="27"/>
      <c r="I481" s="27" t="s">
        <v>126</v>
      </c>
      <c r="J481" s="33"/>
      <c r="K481" s="33"/>
      <c r="L481" s="66"/>
      <c r="M481" s="27"/>
      <c r="N481" s="27"/>
      <c r="O481" s="27"/>
      <c r="P481" s="27"/>
      <c r="Q481" s="27"/>
      <c r="R481" s="27"/>
      <c r="S481" s="27"/>
      <c r="T481" s="27"/>
      <c r="U481" s="27"/>
      <c r="V481" s="27"/>
      <c r="W481" s="27"/>
      <c r="X481" s="27"/>
      <c r="Y481" s="27"/>
      <c r="Z481" s="27"/>
      <c r="AA481" s="27"/>
      <c r="AB481" s="27"/>
      <c r="AC481" s="27"/>
      <c r="AD481" s="27"/>
      <c r="AE481" s="27"/>
      <c r="AF481" s="27"/>
      <c r="AG481" s="27"/>
      <c r="AH481" s="27">
        <v>37.0</v>
      </c>
      <c r="AI481" s="27">
        <v>41.0</v>
      </c>
      <c r="AJ481" s="27">
        <v>0.0</v>
      </c>
      <c r="AK481" s="27" t="b">
        <v>1</v>
      </c>
      <c r="AL481" s="27">
        <v>59.0</v>
      </c>
      <c r="AM481" s="27" t="s">
        <v>129</v>
      </c>
      <c r="AN481" s="27" t="s">
        <v>405</v>
      </c>
      <c r="AO481" s="27"/>
    </row>
    <row r="482">
      <c r="A482" s="200">
        <v>44824.025102534724</v>
      </c>
      <c r="B482" s="19" t="s">
        <v>141</v>
      </c>
      <c r="C482" s="21" t="s">
        <v>317</v>
      </c>
      <c r="D482" s="62">
        <v>1.0</v>
      </c>
      <c r="E482" s="27">
        <v>3.0</v>
      </c>
      <c r="F482" s="27" t="s">
        <v>1418</v>
      </c>
      <c r="G482" s="201" t="s">
        <v>57</v>
      </c>
      <c r="H482" s="27" t="s">
        <v>103</v>
      </c>
      <c r="I482" s="27"/>
      <c r="J482" s="33">
        <v>19.5</v>
      </c>
      <c r="K482" s="33">
        <v>20.0</v>
      </c>
      <c r="L482" s="66">
        <v>63.0</v>
      </c>
      <c r="M482" s="27" t="s">
        <v>1419</v>
      </c>
      <c r="N482" s="27">
        <v>20.0</v>
      </c>
      <c r="O482" s="27"/>
      <c r="P482" s="27">
        <v>19.5</v>
      </c>
      <c r="Q482" s="27"/>
      <c r="R482" s="27">
        <v>19.5</v>
      </c>
      <c r="S482" s="27"/>
      <c r="T482" s="27">
        <v>20.0</v>
      </c>
      <c r="U482" s="27"/>
      <c r="V482" s="27">
        <v>19.5</v>
      </c>
      <c r="W482" s="27"/>
      <c r="X482" s="27">
        <v>19.5</v>
      </c>
      <c r="Y482" s="27"/>
      <c r="Z482" s="27">
        <v>20.0</v>
      </c>
      <c r="AA482" s="27"/>
      <c r="AB482" s="27">
        <v>20.0</v>
      </c>
      <c r="AC482" s="27"/>
      <c r="AD482" s="27">
        <v>20.0</v>
      </c>
      <c r="AE482" s="27"/>
      <c r="AF482" s="27">
        <v>20.0</v>
      </c>
      <c r="AG482" s="27"/>
      <c r="AH482" s="27">
        <v>100.0</v>
      </c>
      <c r="AI482" s="27">
        <v>181.0</v>
      </c>
      <c r="AJ482" s="27">
        <v>2.0</v>
      </c>
      <c r="AK482" s="27" t="b">
        <v>1</v>
      </c>
      <c r="AL482" s="27">
        <v>100.0</v>
      </c>
      <c r="AM482" s="27" t="s">
        <v>189</v>
      </c>
      <c r="AN482" s="27" t="s">
        <v>405</v>
      </c>
      <c r="AO482" s="27"/>
    </row>
    <row r="483">
      <c r="A483" s="200">
        <v>44824.025102534724</v>
      </c>
      <c r="B483" s="19" t="s">
        <v>141</v>
      </c>
      <c r="C483" s="21" t="s">
        <v>323</v>
      </c>
      <c r="D483" s="62">
        <v>1.0</v>
      </c>
      <c r="E483" s="27">
        <v>2.0</v>
      </c>
      <c r="F483" s="27" t="s">
        <v>1370</v>
      </c>
      <c r="G483" s="201" t="s">
        <v>57</v>
      </c>
      <c r="H483" s="27" t="s">
        <v>131</v>
      </c>
      <c r="I483" s="27"/>
      <c r="J483" s="33">
        <v>45.5</v>
      </c>
      <c r="K483" s="33">
        <v>47.5</v>
      </c>
      <c r="L483" s="66">
        <v>67.5</v>
      </c>
      <c r="M483" s="27" t="s">
        <v>1139</v>
      </c>
      <c r="N483" s="27">
        <v>47.5</v>
      </c>
      <c r="O483" s="27"/>
      <c r="P483" s="27">
        <v>47.5</v>
      </c>
      <c r="Q483" s="27"/>
      <c r="R483" s="27">
        <v>47.5</v>
      </c>
      <c r="S483" s="27"/>
      <c r="T483" s="27">
        <v>47.5</v>
      </c>
      <c r="U483" s="27"/>
      <c r="V483" s="27">
        <v>47.5</v>
      </c>
      <c r="W483" s="27"/>
      <c r="X483" s="27">
        <v>47.5</v>
      </c>
      <c r="Y483" s="27"/>
      <c r="Z483" s="27">
        <v>47.5</v>
      </c>
      <c r="AA483" s="27"/>
      <c r="AB483" s="27">
        <v>47.5</v>
      </c>
      <c r="AC483" s="27"/>
      <c r="AD483" s="27">
        <v>47.5</v>
      </c>
      <c r="AE483" s="27"/>
      <c r="AF483" s="27"/>
      <c r="AG483" s="27"/>
      <c r="AH483" s="27">
        <v>36.0</v>
      </c>
      <c r="AI483" s="27">
        <v>138.0</v>
      </c>
      <c r="AJ483" s="27">
        <v>2.0</v>
      </c>
      <c r="AK483" s="27" t="b">
        <v>1</v>
      </c>
      <c r="AL483" s="27">
        <v>100.0</v>
      </c>
      <c r="AM483" s="27" t="s">
        <v>190</v>
      </c>
      <c r="AN483" s="27" t="s">
        <v>405</v>
      </c>
      <c r="AO483" s="27"/>
    </row>
    <row r="484">
      <c r="A484" s="200">
        <v>44824.025102534724</v>
      </c>
      <c r="B484" s="19" t="s">
        <v>141</v>
      </c>
      <c r="C484" s="21" t="s">
        <v>314</v>
      </c>
      <c r="D484" s="62">
        <v>2.0</v>
      </c>
      <c r="E484" s="27">
        <v>1.0</v>
      </c>
      <c r="F484" s="27" t="s">
        <v>1420</v>
      </c>
      <c r="G484" s="201" t="s">
        <v>57</v>
      </c>
      <c r="H484" s="27" t="s">
        <v>103</v>
      </c>
      <c r="I484" s="27"/>
      <c r="J484" s="33">
        <v>3.5</v>
      </c>
      <c r="K484" s="33">
        <v>3.0</v>
      </c>
      <c r="L484" s="66">
        <v>72.5</v>
      </c>
      <c r="M484" s="27" t="s">
        <v>1421</v>
      </c>
      <c r="N484" s="27">
        <v>2.5</v>
      </c>
      <c r="O484" s="27"/>
      <c r="P484" s="27">
        <v>3.0</v>
      </c>
      <c r="Q484" s="27"/>
      <c r="R484" s="27">
        <v>3.0</v>
      </c>
      <c r="S484" s="27"/>
      <c r="T484" s="27">
        <v>3.0</v>
      </c>
      <c r="U484" s="27"/>
      <c r="V484" s="27">
        <v>3.0</v>
      </c>
      <c r="W484" s="27"/>
      <c r="X484" s="27">
        <v>2.5</v>
      </c>
      <c r="Y484" s="27"/>
      <c r="Z484" s="27">
        <v>3.0</v>
      </c>
      <c r="AA484" s="27"/>
      <c r="AB484" s="27">
        <v>2.5</v>
      </c>
      <c r="AC484" s="27"/>
      <c r="AD484" s="27">
        <v>3.0</v>
      </c>
      <c r="AE484" s="27"/>
      <c r="AF484" s="27">
        <v>3.0</v>
      </c>
      <c r="AG484" s="27"/>
      <c r="AH484" s="27">
        <v>120.0</v>
      </c>
      <c r="AI484" s="27">
        <v>60.0</v>
      </c>
      <c r="AJ484" s="27">
        <v>2.0</v>
      </c>
      <c r="AK484" s="27" t="b">
        <v>0</v>
      </c>
      <c r="AL484" s="27">
        <v>100.0</v>
      </c>
      <c r="AM484" s="27" t="s">
        <v>389</v>
      </c>
      <c r="AN484" s="27" t="s">
        <v>405</v>
      </c>
      <c r="AO484" s="27"/>
    </row>
    <row r="485">
      <c r="A485" s="200">
        <v>44824.025102534724</v>
      </c>
      <c r="B485" s="19" t="s">
        <v>141</v>
      </c>
      <c r="C485" s="21" t="s">
        <v>287</v>
      </c>
      <c r="D485" s="62">
        <v>3.0</v>
      </c>
      <c r="E485" s="27">
        <v>0.0</v>
      </c>
      <c r="F485" s="27" t="s">
        <v>1378</v>
      </c>
      <c r="G485" s="201" t="s">
        <v>57</v>
      </c>
      <c r="H485" s="27" t="s">
        <v>131</v>
      </c>
      <c r="I485" s="27"/>
      <c r="J485" s="33">
        <v>-49.0</v>
      </c>
      <c r="K485" s="33">
        <v>-49.5</v>
      </c>
      <c r="L485" s="66">
        <v>61.5</v>
      </c>
      <c r="M485" s="27" t="s">
        <v>1139</v>
      </c>
      <c r="N485" s="27">
        <v>-49.5</v>
      </c>
      <c r="O485" s="27"/>
      <c r="P485" s="27">
        <v>-49.5</v>
      </c>
      <c r="Q485" s="27"/>
      <c r="R485" s="27">
        <v>-49.5</v>
      </c>
      <c r="S485" s="27"/>
      <c r="T485" s="27">
        <v>-49.5</v>
      </c>
      <c r="U485" s="27"/>
      <c r="V485" s="27">
        <v>-49.5</v>
      </c>
      <c r="W485" s="27"/>
      <c r="X485" s="27">
        <v>-49.5</v>
      </c>
      <c r="Y485" s="27"/>
      <c r="Z485" s="27">
        <v>-49.5</v>
      </c>
      <c r="AA485" s="27"/>
      <c r="AB485" s="27">
        <v>-50.0</v>
      </c>
      <c r="AC485" s="27"/>
      <c r="AD485" s="27">
        <v>-49.5</v>
      </c>
      <c r="AE485" s="27"/>
      <c r="AF485" s="27">
        <v>-49.5</v>
      </c>
      <c r="AG485" s="27"/>
      <c r="AH485" s="27">
        <v>138.0</v>
      </c>
      <c r="AI485" s="27">
        <v>26.0</v>
      </c>
      <c r="AJ485" s="27">
        <v>2.0</v>
      </c>
      <c r="AK485" s="27" t="b">
        <v>0</v>
      </c>
      <c r="AL485" s="27">
        <v>100.0</v>
      </c>
      <c r="AM485" s="27" t="s">
        <v>192</v>
      </c>
      <c r="AN485" s="27" t="s">
        <v>404</v>
      </c>
      <c r="AO485" s="27"/>
    </row>
    <row r="486">
      <c r="A486" s="200">
        <v>44824.025102534724</v>
      </c>
      <c r="B486" s="19" t="s">
        <v>141</v>
      </c>
      <c r="C486" s="21" t="s">
        <v>393</v>
      </c>
      <c r="D486" s="62">
        <v>2.0</v>
      </c>
      <c r="E486" s="27">
        <v>1.0</v>
      </c>
      <c r="F486" s="27" t="s">
        <v>1359</v>
      </c>
      <c r="G486" s="201" t="s">
        <v>57</v>
      </c>
      <c r="H486" s="27" t="s">
        <v>53</v>
      </c>
      <c r="I486" s="27"/>
      <c r="J486" s="33">
        <v>6.5</v>
      </c>
      <c r="K486" s="33">
        <v>3.5</v>
      </c>
      <c r="L486" s="66">
        <v>58.0</v>
      </c>
      <c r="M486" s="27" t="s">
        <v>1360</v>
      </c>
      <c r="N486" s="27">
        <v>3.5</v>
      </c>
      <c r="O486" s="27"/>
      <c r="P486" s="27">
        <v>3.5</v>
      </c>
      <c r="Q486" s="27"/>
      <c r="R486" s="27">
        <v>3.5</v>
      </c>
      <c r="S486" s="27"/>
      <c r="T486" s="27">
        <v>3.5</v>
      </c>
      <c r="U486" s="27"/>
      <c r="V486" s="27">
        <v>3.5</v>
      </c>
      <c r="W486" s="27"/>
      <c r="X486" s="27">
        <v>4.0</v>
      </c>
      <c r="Y486" s="27"/>
      <c r="Z486" s="27">
        <v>3.5</v>
      </c>
      <c r="AA486" s="27"/>
      <c r="AB486" s="27">
        <v>3.5</v>
      </c>
      <c r="AC486" s="27"/>
      <c r="AD486" s="27">
        <v>3.5</v>
      </c>
      <c r="AE486" s="27"/>
      <c r="AF486" s="27">
        <v>3.5</v>
      </c>
      <c r="AG486" s="27"/>
      <c r="AH486" s="27">
        <v>96.0</v>
      </c>
      <c r="AI486" s="27">
        <v>82.0</v>
      </c>
      <c r="AJ486" s="27">
        <v>2.0</v>
      </c>
      <c r="AK486" s="27" t="b">
        <v>1</v>
      </c>
      <c r="AL486" s="27">
        <v>100.0</v>
      </c>
      <c r="AM486" s="27" t="s">
        <v>187</v>
      </c>
      <c r="AN486" s="27" t="s">
        <v>404</v>
      </c>
      <c r="AO486" s="27"/>
    </row>
    <row r="487">
      <c r="A487" s="200">
        <v>44824.025102534724</v>
      </c>
      <c r="B487" s="19" t="s">
        <v>141</v>
      </c>
      <c r="C487" s="21" t="s">
        <v>318</v>
      </c>
      <c r="D487" s="62">
        <v>1.0</v>
      </c>
      <c r="E487" s="27">
        <v>2.0</v>
      </c>
      <c r="F487" s="27" t="s">
        <v>1403</v>
      </c>
      <c r="G487" s="201" t="s">
        <v>57</v>
      </c>
      <c r="H487" s="27" t="s">
        <v>59</v>
      </c>
      <c r="I487" s="27"/>
      <c r="J487" s="33">
        <v>13.0</v>
      </c>
      <c r="K487" s="33">
        <v>14.0</v>
      </c>
      <c r="L487" s="66">
        <v>52.5</v>
      </c>
      <c r="M487" s="27" t="s">
        <v>1404</v>
      </c>
      <c r="N487" s="27">
        <v>14.0</v>
      </c>
      <c r="O487" s="27"/>
      <c r="P487" s="27">
        <v>14.0</v>
      </c>
      <c r="Q487" s="27"/>
      <c r="R487" s="27">
        <v>14.0</v>
      </c>
      <c r="S487" s="27"/>
      <c r="T487" s="27">
        <v>14.0</v>
      </c>
      <c r="U487" s="27"/>
      <c r="V487" s="27">
        <v>14.0</v>
      </c>
      <c r="W487" s="27"/>
      <c r="X487" s="27">
        <v>14.0</v>
      </c>
      <c r="Y487" s="27"/>
      <c r="Z487" s="27">
        <v>14.0</v>
      </c>
      <c r="AA487" s="27"/>
      <c r="AB487" s="27">
        <v>14.0</v>
      </c>
      <c r="AC487" s="27"/>
      <c r="AD487" s="27">
        <v>14.0</v>
      </c>
      <c r="AE487" s="27"/>
      <c r="AF487" s="27">
        <v>14.0</v>
      </c>
      <c r="AG487" s="27"/>
      <c r="AH487" s="27">
        <v>76.0</v>
      </c>
      <c r="AI487" s="27">
        <v>77.0</v>
      </c>
      <c r="AJ487" s="27">
        <v>2.0</v>
      </c>
      <c r="AK487" s="27" t="b">
        <v>1</v>
      </c>
      <c r="AL487" s="27">
        <v>100.0</v>
      </c>
      <c r="AM487" s="27" t="s">
        <v>193</v>
      </c>
      <c r="AN487" s="27" t="s">
        <v>405</v>
      </c>
      <c r="AO487" s="27"/>
    </row>
    <row r="488">
      <c r="A488" s="200">
        <v>44824.025102534724</v>
      </c>
      <c r="B488" s="19" t="s">
        <v>141</v>
      </c>
      <c r="C488" s="21" t="s">
        <v>386</v>
      </c>
      <c r="D488" s="62">
        <v>3.0</v>
      </c>
      <c r="E488" s="27">
        <v>0.0</v>
      </c>
      <c r="F488" s="27" t="s">
        <v>1422</v>
      </c>
      <c r="G488" s="201" t="s">
        <v>57</v>
      </c>
      <c r="H488" s="27" t="s">
        <v>103</v>
      </c>
      <c r="I488" s="27"/>
      <c r="J488" s="33">
        <v>-17.0</v>
      </c>
      <c r="K488" s="33">
        <v>-18.5</v>
      </c>
      <c r="L488" s="66">
        <v>43.5</v>
      </c>
      <c r="M488" s="27" t="s">
        <v>1423</v>
      </c>
      <c r="N488" s="27">
        <v>-18.5</v>
      </c>
      <c r="O488" s="27"/>
      <c r="P488" s="27">
        <v>-18.0</v>
      </c>
      <c r="Q488" s="27"/>
      <c r="R488" s="27">
        <v>-18.5</v>
      </c>
      <c r="S488" s="27"/>
      <c r="T488" s="27">
        <v>-18.5</v>
      </c>
      <c r="U488" s="27"/>
      <c r="V488" s="27"/>
      <c r="W488" s="27"/>
      <c r="X488" s="27"/>
      <c r="Y488" s="27"/>
      <c r="Z488" s="27"/>
      <c r="AA488" s="27"/>
      <c r="AB488" s="27"/>
      <c r="AC488" s="27"/>
      <c r="AD488" s="27"/>
      <c r="AE488" s="27"/>
      <c r="AF488" s="27"/>
      <c r="AG488" s="27"/>
      <c r="AH488" s="27">
        <v>104.0</v>
      </c>
      <c r="AI488" s="27">
        <v>42.0</v>
      </c>
      <c r="AJ488" s="27">
        <v>2.0</v>
      </c>
      <c r="AK488" s="27" t="b">
        <v>1</v>
      </c>
      <c r="AL488" s="27">
        <v>100.0</v>
      </c>
      <c r="AM488" s="27" t="s">
        <v>191</v>
      </c>
      <c r="AN488" s="27" t="s">
        <v>404</v>
      </c>
      <c r="AO488" s="27"/>
    </row>
    <row r="489">
      <c r="A489" s="200">
        <v>44824.025102534724</v>
      </c>
      <c r="B489" s="19" t="s">
        <v>141</v>
      </c>
      <c r="C489" s="21" t="s">
        <v>365</v>
      </c>
      <c r="D489" s="62">
        <v>1.0</v>
      </c>
      <c r="E489" s="27">
        <v>3.0</v>
      </c>
      <c r="F489" s="27" t="s">
        <v>1366</v>
      </c>
      <c r="G489" s="201" t="s">
        <v>57</v>
      </c>
      <c r="H489" s="27" t="s">
        <v>53</v>
      </c>
      <c r="I489" s="27"/>
      <c r="J489" s="33">
        <v>3.5</v>
      </c>
      <c r="K489" s="33">
        <v>10.5</v>
      </c>
      <c r="L489" s="66">
        <v>65.5</v>
      </c>
      <c r="M489" s="27" t="s">
        <v>1367</v>
      </c>
      <c r="N489" s="27">
        <v>10.5</v>
      </c>
      <c r="O489" s="27"/>
      <c r="P489" s="27">
        <v>10.5</v>
      </c>
      <c r="Q489" s="27"/>
      <c r="R489" s="27">
        <v>10.5</v>
      </c>
      <c r="S489" s="27"/>
      <c r="T489" s="27">
        <v>10.5</v>
      </c>
      <c r="U489" s="27"/>
      <c r="V489" s="27">
        <v>10.5</v>
      </c>
      <c r="W489" s="27"/>
      <c r="X489" s="27">
        <v>11.0</v>
      </c>
      <c r="Y489" s="27"/>
      <c r="Z489" s="27">
        <v>10.5</v>
      </c>
      <c r="AA489" s="27"/>
      <c r="AB489" s="27">
        <v>11.5</v>
      </c>
      <c r="AC489" s="27"/>
      <c r="AD489" s="27">
        <v>10.5</v>
      </c>
      <c r="AE489" s="27"/>
      <c r="AF489" s="27">
        <v>10.5</v>
      </c>
      <c r="AG489" s="27"/>
      <c r="AH489" s="27">
        <v>122.0</v>
      </c>
      <c r="AI489" s="27">
        <v>142.0</v>
      </c>
      <c r="AJ489" s="27">
        <v>2.0</v>
      </c>
      <c r="AK489" s="27" t="b">
        <v>0</v>
      </c>
      <c r="AL489" s="27">
        <v>100.0</v>
      </c>
      <c r="AM489" s="27" t="s">
        <v>188</v>
      </c>
      <c r="AN489" s="27" t="s">
        <v>404</v>
      </c>
      <c r="AO489" s="27"/>
    </row>
    <row r="490">
      <c r="A490" s="200">
        <v>44824.025102534724</v>
      </c>
      <c r="B490" s="19" t="s">
        <v>141</v>
      </c>
      <c r="C490" s="21" t="s">
        <v>353</v>
      </c>
      <c r="D490" s="62">
        <v>1.0</v>
      </c>
      <c r="E490" s="27">
        <v>2.0</v>
      </c>
      <c r="F490" s="27" t="s">
        <v>1424</v>
      </c>
      <c r="G490" s="201" t="s">
        <v>57</v>
      </c>
      <c r="H490" s="27" t="s">
        <v>103</v>
      </c>
      <c r="I490" s="27"/>
      <c r="J490" s="33"/>
      <c r="K490" s="33"/>
      <c r="L490" s="66"/>
      <c r="M490" s="27"/>
      <c r="N490" s="27"/>
      <c r="O490" s="27"/>
      <c r="P490" s="27"/>
      <c r="Q490" s="27"/>
      <c r="R490" s="27"/>
      <c r="S490" s="27"/>
      <c r="T490" s="27"/>
      <c r="U490" s="27"/>
      <c r="V490" s="27"/>
      <c r="W490" s="27"/>
      <c r="X490" s="27"/>
      <c r="Y490" s="27"/>
      <c r="Z490" s="27"/>
      <c r="AA490" s="27"/>
      <c r="AB490" s="27"/>
      <c r="AC490" s="27"/>
      <c r="AD490" s="27"/>
      <c r="AE490" s="27"/>
      <c r="AF490" s="27"/>
      <c r="AG490" s="27"/>
      <c r="AH490" s="27">
        <v>58.0</v>
      </c>
      <c r="AI490" s="27">
        <v>80.0</v>
      </c>
      <c r="AJ490" s="27">
        <v>2.0</v>
      </c>
      <c r="AK490" s="27" t="b">
        <v>0</v>
      </c>
      <c r="AL490" s="27">
        <v>100.0</v>
      </c>
      <c r="AM490" s="27" t="s">
        <v>186</v>
      </c>
      <c r="AN490" s="27" t="s">
        <v>404</v>
      </c>
      <c r="AO490" s="27"/>
    </row>
    <row r="491">
      <c r="A491" s="200">
        <v>44824.025102534724</v>
      </c>
      <c r="B491" s="19"/>
      <c r="C491" s="21"/>
      <c r="D491" s="62"/>
      <c r="E491" s="27"/>
      <c r="F491" s="27"/>
      <c r="G491" s="201"/>
      <c r="H491" s="27"/>
      <c r="I491" s="27"/>
      <c r="J491" s="33"/>
      <c r="K491" s="33"/>
      <c r="L491" s="66"/>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t="e">
        <v>#N/A</v>
      </c>
      <c r="AN491" s="27" t="e">
        <v>#N/A</v>
      </c>
      <c r="AO491" s="27"/>
    </row>
    <row r="492">
      <c r="A492" s="200">
        <v>44824.025102534724</v>
      </c>
      <c r="B492" s="19" t="s">
        <v>109</v>
      </c>
      <c r="C492" s="21" t="s">
        <v>367</v>
      </c>
      <c r="D492" s="62">
        <v>3.0</v>
      </c>
      <c r="E492" s="27">
        <v>0.0</v>
      </c>
      <c r="F492" s="27"/>
      <c r="G492" s="201"/>
      <c r="H492" s="27"/>
      <c r="I492" s="27" t="s">
        <v>58</v>
      </c>
      <c r="J492" s="33"/>
      <c r="K492" s="33"/>
      <c r="L492" s="66"/>
      <c r="M492" s="27"/>
      <c r="N492" s="27"/>
      <c r="O492" s="27"/>
      <c r="P492" s="27"/>
      <c r="Q492" s="27"/>
      <c r="R492" s="27"/>
      <c r="S492" s="27"/>
      <c r="T492" s="27"/>
      <c r="U492" s="27"/>
      <c r="V492" s="27"/>
      <c r="W492" s="27"/>
      <c r="X492" s="27"/>
      <c r="Y492" s="27"/>
      <c r="Z492" s="27"/>
      <c r="AA492" s="27"/>
      <c r="AB492" s="27"/>
      <c r="AC492" s="27"/>
      <c r="AD492" s="27"/>
      <c r="AE492" s="27"/>
      <c r="AF492" s="27"/>
      <c r="AG492" s="27"/>
      <c r="AH492" s="27">
        <v>154.0</v>
      </c>
      <c r="AI492" s="27">
        <v>113.0</v>
      </c>
      <c r="AJ492" s="27">
        <v>0.0</v>
      </c>
      <c r="AK492" s="27" t="b">
        <v>1</v>
      </c>
      <c r="AL492" s="27">
        <v>59.0</v>
      </c>
      <c r="AM492" s="27" t="s">
        <v>186</v>
      </c>
      <c r="AN492" s="27" t="s">
        <v>404</v>
      </c>
      <c r="AO492" s="27"/>
    </row>
    <row r="493">
      <c r="A493" s="200">
        <v>44824.025102534724</v>
      </c>
      <c r="B493" s="19" t="s">
        <v>109</v>
      </c>
      <c r="C493" s="21" t="s">
        <v>328</v>
      </c>
      <c r="D493" s="62">
        <v>1.0</v>
      </c>
      <c r="E493" s="27">
        <v>2.0</v>
      </c>
      <c r="F493" s="27" t="s">
        <v>1425</v>
      </c>
      <c r="G493" s="201" t="s">
        <v>57</v>
      </c>
      <c r="H493" s="27" t="s">
        <v>103</v>
      </c>
      <c r="I493" s="27"/>
      <c r="J493" s="33">
        <v>-20.0</v>
      </c>
      <c r="K493" s="33">
        <v>-20.5</v>
      </c>
      <c r="L493" s="66">
        <v>56.5</v>
      </c>
      <c r="M493" s="27" t="s">
        <v>1426</v>
      </c>
      <c r="N493" s="27">
        <v>-20.5</v>
      </c>
      <c r="O493" s="27"/>
      <c r="P493" s="27">
        <v>-20.5</v>
      </c>
      <c r="Q493" s="27"/>
      <c r="R493" s="27">
        <v>-20.0</v>
      </c>
      <c r="S493" s="27"/>
      <c r="T493" s="27">
        <v>-20.5</v>
      </c>
      <c r="U493" s="27"/>
      <c r="V493" s="27">
        <v>-20.5</v>
      </c>
      <c r="W493" s="27"/>
      <c r="X493" s="27">
        <v>-20.5</v>
      </c>
      <c r="Y493" s="27"/>
      <c r="Z493" s="27">
        <v>-20.5</v>
      </c>
      <c r="AA493" s="27"/>
      <c r="AB493" s="27">
        <v>-20.5</v>
      </c>
      <c r="AC493" s="27"/>
      <c r="AD493" s="27">
        <v>-20.5</v>
      </c>
      <c r="AE493" s="27"/>
      <c r="AF493" s="27"/>
      <c r="AG493" s="27"/>
      <c r="AH493" s="27">
        <v>78.0</v>
      </c>
      <c r="AI493" s="27">
        <v>67.0</v>
      </c>
      <c r="AJ493" s="27">
        <v>2.0</v>
      </c>
      <c r="AK493" s="27" t="b">
        <v>1</v>
      </c>
      <c r="AL493" s="27">
        <v>100.0</v>
      </c>
      <c r="AM493" s="27" t="s">
        <v>191</v>
      </c>
      <c r="AN493" s="27" t="s">
        <v>404</v>
      </c>
      <c r="AO493" s="27"/>
    </row>
    <row r="494">
      <c r="A494" s="200">
        <v>44824.025102534724</v>
      </c>
      <c r="B494" s="19" t="s">
        <v>109</v>
      </c>
      <c r="C494" s="21" t="s">
        <v>292</v>
      </c>
      <c r="D494" s="62">
        <v>2.0</v>
      </c>
      <c r="E494" s="27">
        <v>1.0</v>
      </c>
      <c r="F494" s="27" t="s">
        <v>1427</v>
      </c>
      <c r="G494" s="201" t="s">
        <v>57</v>
      </c>
      <c r="H494" s="27" t="s">
        <v>116</v>
      </c>
      <c r="I494" s="27"/>
      <c r="J494" s="33">
        <v>-11.0</v>
      </c>
      <c r="K494" s="33">
        <v>-11.5</v>
      </c>
      <c r="L494" s="66">
        <v>52.0</v>
      </c>
      <c r="M494" s="27" t="s">
        <v>1428</v>
      </c>
      <c r="N494" s="27">
        <v>-11.5</v>
      </c>
      <c r="O494" s="27"/>
      <c r="P494" s="27">
        <v>-12.0</v>
      </c>
      <c r="Q494" s="27"/>
      <c r="R494" s="27">
        <v>-12.5</v>
      </c>
      <c r="S494" s="27"/>
      <c r="T494" s="27">
        <v>-11.5</v>
      </c>
      <c r="U494" s="27"/>
      <c r="V494" s="27">
        <v>-11.5</v>
      </c>
      <c r="W494" s="27"/>
      <c r="X494" s="27">
        <v>-12.5</v>
      </c>
      <c r="Y494" s="27"/>
      <c r="Z494" s="27">
        <v>-11.5</v>
      </c>
      <c r="AA494" s="27"/>
      <c r="AB494" s="27">
        <v>-12.5</v>
      </c>
      <c r="AC494" s="27"/>
      <c r="AD494" s="27">
        <v>-11.5</v>
      </c>
      <c r="AE494" s="27"/>
      <c r="AF494" s="27">
        <v>-11.5</v>
      </c>
      <c r="AG494" s="27"/>
      <c r="AH494" s="27">
        <v>94.0</v>
      </c>
      <c r="AI494" s="27">
        <v>61.0</v>
      </c>
      <c r="AJ494" s="27">
        <v>2.0</v>
      </c>
      <c r="AK494" s="27" t="b">
        <v>0</v>
      </c>
      <c r="AL494" s="27">
        <v>100.0</v>
      </c>
      <c r="AM494" s="27" t="s">
        <v>193</v>
      </c>
      <c r="AN494" s="27" t="s">
        <v>405</v>
      </c>
      <c r="AO494" s="27"/>
    </row>
    <row r="495">
      <c r="A495" s="200">
        <v>44824.025102534724</v>
      </c>
      <c r="B495" s="19" t="s">
        <v>109</v>
      </c>
      <c r="C495" s="21" t="s">
        <v>339</v>
      </c>
      <c r="D495" s="62">
        <v>2.0</v>
      </c>
      <c r="E495" s="27">
        <v>1.0</v>
      </c>
      <c r="F495" s="27" t="s">
        <v>1429</v>
      </c>
      <c r="G495" s="201" t="s">
        <v>57</v>
      </c>
      <c r="H495" s="27" t="s">
        <v>154</v>
      </c>
      <c r="I495" s="27"/>
      <c r="J495" s="33">
        <v>-13.5</v>
      </c>
      <c r="K495" s="33">
        <v>-14.5</v>
      </c>
      <c r="L495" s="66">
        <v>64.0</v>
      </c>
      <c r="M495" s="27" t="s">
        <v>1430</v>
      </c>
      <c r="N495" s="27">
        <v>-14.5</v>
      </c>
      <c r="O495" s="27"/>
      <c r="P495" s="27">
        <v>-14.5</v>
      </c>
      <c r="Q495" s="27"/>
      <c r="R495" s="27">
        <v>-15.0</v>
      </c>
      <c r="S495" s="27"/>
      <c r="T495" s="27">
        <v>-14.5</v>
      </c>
      <c r="U495" s="27"/>
      <c r="V495" s="27">
        <v>-14.5</v>
      </c>
      <c r="W495" s="27"/>
      <c r="X495" s="27">
        <v>-14.5</v>
      </c>
      <c r="Y495" s="27"/>
      <c r="Z495" s="27">
        <v>-15.0</v>
      </c>
      <c r="AA495" s="27"/>
      <c r="AB495" s="27">
        <v>-14.5</v>
      </c>
      <c r="AC495" s="27"/>
      <c r="AD495" s="27">
        <v>-14.5</v>
      </c>
      <c r="AE495" s="27"/>
      <c r="AF495" s="27">
        <v>-14.5</v>
      </c>
      <c r="AG495" s="27"/>
      <c r="AH495" s="27">
        <v>104.0</v>
      </c>
      <c r="AI495" s="27">
        <v>94.0</v>
      </c>
      <c r="AJ495" s="27">
        <v>2.0</v>
      </c>
      <c r="AK495" s="27" t="b">
        <v>0</v>
      </c>
      <c r="AL495" s="27">
        <v>100.0</v>
      </c>
      <c r="AM495" s="27" t="s">
        <v>389</v>
      </c>
      <c r="AN495" s="27" t="s">
        <v>405</v>
      </c>
      <c r="AO495" s="27"/>
    </row>
    <row r="496">
      <c r="A496" s="200">
        <v>44824.025102534724</v>
      </c>
      <c r="B496" s="19" t="s">
        <v>109</v>
      </c>
      <c r="C496" s="21" t="s">
        <v>343</v>
      </c>
      <c r="D496" s="62">
        <v>2.0</v>
      </c>
      <c r="E496" s="27">
        <v>1.0</v>
      </c>
      <c r="F496" s="27" t="s">
        <v>1431</v>
      </c>
      <c r="G496" s="201" t="s">
        <v>57</v>
      </c>
      <c r="H496" s="27"/>
      <c r="I496" s="27"/>
      <c r="J496" s="33">
        <v>-21.5</v>
      </c>
      <c r="K496" s="33">
        <v>-18.5</v>
      </c>
      <c r="L496" s="66">
        <v>52.5</v>
      </c>
      <c r="M496" s="27" t="s">
        <v>1432</v>
      </c>
      <c r="N496" s="27">
        <v>-19.5</v>
      </c>
      <c r="O496" s="27"/>
      <c r="P496" s="27">
        <v>-19.5</v>
      </c>
      <c r="Q496" s="27"/>
      <c r="R496" s="27">
        <v>-20.0</v>
      </c>
      <c r="S496" s="27"/>
      <c r="T496" s="27">
        <v>-18.5</v>
      </c>
      <c r="U496" s="27"/>
      <c r="V496" s="27">
        <v>-19.5</v>
      </c>
      <c r="W496" s="27"/>
      <c r="X496" s="27">
        <v>-20.0</v>
      </c>
      <c r="Y496" s="27"/>
      <c r="Z496" s="27">
        <v>-18.5</v>
      </c>
      <c r="AA496" s="27"/>
      <c r="AB496" s="27">
        <v>-18.5</v>
      </c>
      <c r="AC496" s="27"/>
      <c r="AD496" s="27"/>
      <c r="AE496" s="27"/>
      <c r="AF496" s="27"/>
      <c r="AG496" s="27"/>
      <c r="AH496" s="27">
        <v>90.0</v>
      </c>
      <c r="AI496" s="27">
        <v>69.0</v>
      </c>
      <c r="AJ496" s="27">
        <v>2.0</v>
      </c>
      <c r="AK496" s="27" t="b">
        <v>0</v>
      </c>
      <c r="AL496" s="27">
        <v>100.0</v>
      </c>
      <c r="AM496" s="27" t="s">
        <v>189</v>
      </c>
      <c r="AN496" s="27" t="s">
        <v>405</v>
      </c>
      <c r="AO496" s="27"/>
    </row>
    <row r="497">
      <c r="A497" s="200">
        <v>44824.025102534724</v>
      </c>
      <c r="B497" s="19" t="s">
        <v>109</v>
      </c>
      <c r="C497" s="21" t="s">
        <v>360</v>
      </c>
      <c r="D497" s="62">
        <v>2.0</v>
      </c>
      <c r="E497" s="27">
        <v>1.0</v>
      </c>
      <c r="F497" s="27" t="s">
        <v>1388</v>
      </c>
      <c r="G497" s="201" t="s">
        <v>57</v>
      </c>
      <c r="H497" s="27" t="s">
        <v>178</v>
      </c>
      <c r="I497" s="27"/>
      <c r="J497" s="33">
        <v>-3.5</v>
      </c>
      <c r="K497" s="33">
        <v>3.0</v>
      </c>
      <c r="L497" s="66">
        <v>53.5</v>
      </c>
      <c r="M497" s="27" t="s">
        <v>1389</v>
      </c>
      <c r="N497" s="27">
        <v>3.0</v>
      </c>
      <c r="O497" s="27"/>
      <c r="P497" s="27">
        <v>3.0</v>
      </c>
      <c r="Q497" s="27"/>
      <c r="R497" s="27">
        <v>3.0</v>
      </c>
      <c r="S497" s="27"/>
      <c r="T497" s="27">
        <v>3.0</v>
      </c>
      <c r="U497" s="27"/>
      <c r="V497" s="27">
        <v>3.0</v>
      </c>
      <c r="W497" s="27"/>
      <c r="X497" s="27">
        <v>3.0</v>
      </c>
      <c r="Y497" s="27"/>
      <c r="Z497" s="27">
        <v>3.0</v>
      </c>
      <c r="AA497" s="27"/>
      <c r="AB497" s="27">
        <v>3.0</v>
      </c>
      <c r="AC497" s="27"/>
      <c r="AD497" s="27">
        <v>3.0</v>
      </c>
      <c r="AE497" s="27"/>
      <c r="AF497" s="27">
        <v>3.0</v>
      </c>
      <c r="AG497" s="27"/>
      <c r="AH497" s="27">
        <v>119.0</v>
      </c>
      <c r="AI497" s="27">
        <v>57.0</v>
      </c>
      <c r="AJ497" s="27">
        <v>2.0</v>
      </c>
      <c r="AK497" s="27" t="b">
        <v>1</v>
      </c>
      <c r="AL497" s="27">
        <v>100.0</v>
      </c>
      <c r="AM497" s="27" t="s">
        <v>192</v>
      </c>
      <c r="AN497" s="27" t="s">
        <v>404</v>
      </c>
      <c r="AO497" s="27"/>
    </row>
    <row r="498">
      <c r="A498" s="200">
        <v>44824.025102534724</v>
      </c>
      <c r="B498" s="19" t="s">
        <v>109</v>
      </c>
      <c r="C498" s="21" t="s">
        <v>375</v>
      </c>
      <c r="D498" s="62">
        <v>3.0</v>
      </c>
      <c r="E498" s="27">
        <v>0.0</v>
      </c>
      <c r="F498" s="27" t="s">
        <v>1433</v>
      </c>
      <c r="G498" s="201" t="s">
        <v>57</v>
      </c>
      <c r="H498" s="27" t="s">
        <v>166</v>
      </c>
      <c r="I498" s="27"/>
      <c r="J498" s="33">
        <v>-1.0</v>
      </c>
      <c r="K498" s="33">
        <v>-2.5</v>
      </c>
      <c r="L498" s="66">
        <v>47.5</v>
      </c>
      <c r="M498" s="27" t="s">
        <v>1434</v>
      </c>
      <c r="N498" s="27">
        <v>-2.5</v>
      </c>
      <c r="O498" s="27"/>
      <c r="P498" s="27">
        <v>-2.5</v>
      </c>
      <c r="Q498" s="27"/>
      <c r="R498" s="27">
        <v>-2.5</v>
      </c>
      <c r="S498" s="27"/>
      <c r="T498" s="27">
        <v>-2.5</v>
      </c>
      <c r="U498" s="27"/>
      <c r="V498" s="27">
        <v>-2.5</v>
      </c>
      <c r="W498" s="27"/>
      <c r="X498" s="27">
        <v>-2.5</v>
      </c>
      <c r="Y498" s="27"/>
      <c r="Z498" s="27">
        <v>-2.5</v>
      </c>
      <c r="AA498" s="27"/>
      <c r="AB498" s="27">
        <v>-2.5</v>
      </c>
      <c r="AC498" s="27"/>
      <c r="AD498" s="27">
        <v>-2.5</v>
      </c>
      <c r="AE498" s="27"/>
      <c r="AF498" s="27">
        <v>-2.5</v>
      </c>
      <c r="AG498" s="27"/>
      <c r="AH498" s="27">
        <v>122.0</v>
      </c>
      <c r="AI498" s="27">
        <v>53.0</v>
      </c>
      <c r="AJ498" s="27">
        <v>2.0</v>
      </c>
      <c r="AK498" s="27" t="b">
        <v>1</v>
      </c>
      <c r="AL498" s="27">
        <v>100.0</v>
      </c>
      <c r="AM498" s="27" t="s">
        <v>188</v>
      </c>
      <c r="AN498" s="27" t="s">
        <v>404</v>
      </c>
      <c r="AO498" s="27"/>
    </row>
    <row r="499">
      <c r="A499" s="200">
        <v>44824.025102534724</v>
      </c>
      <c r="B499" s="19" t="s">
        <v>109</v>
      </c>
      <c r="C499" s="21" t="s">
        <v>394</v>
      </c>
      <c r="D499" s="62">
        <v>0.0</v>
      </c>
      <c r="E499" s="27">
        <v>4.0</v>
      </c>
      <c r="F499" s="27" t="s">
        <v>1379</v>
      </c>
      <c r="G499" s="201" t="s">
        <v>57</v>
      </c>
      <c r="H499" s="27" t="s">
        <v>131</v>
      </c>
      <c r="I499" s="27"/>
      <c r="J499" s="33">
        <v>37.5</v>
      </c>
      <c r="K499" s="33">
        <v>37.5</v>
      </c>
      <c r="L499" s="66">
        <v>45.5</v>
      </c>
      <c r="M499" s="27" t="s">
        <v>1232</v>
      </c>
      <c r="N499" s="27">
        <v>37.5</v>
      </c>
      <c r="O499" s="27"/>
      <c r="P499" s="27">
        <v>37.5</v>
      </c>
      <c r="Q499" s="27"/>
      <c r="R499" s="27">
        <v>37.5</v>
      </c>
      <c r="S499" s="27"/>
      <c r="T499" s="27">
        <v>37.0</v>
      </c>
      <c r="U499" s="27"/>
      <c r="V499" s="27">
        <v>37.5</v>
      </c>
      <c r="W499" s="27"/>
      <c r="X499" s="27">
        <v>37.5</v>
      </c>
      <c r="Y499" s="27"/>
      <c r="Z499" s="27">
        <v>37.5</v>
      </c>
      <c r="AA499" s="27"/>
      <c r="AB499" s="27">
        <v>37.5</v>
      </c>
      <c r="AC499" s="27"/>
      <c r="AD499" s="27">
        <v>37.0</v>
      </c>
      <c r="AE499" s="27"/>
      <c r="AF499" s="27">
        <v>37.0</v>
      </c>
      <c r="AG499" s="27"/>
      <c r="AH499" s="27">
        <v>32.0</v>
      </c>
      <c r="AI499" s="27">
        <v>147.0</v>
      </c>
      <c r="AJ499" s="27">
        <v>2.0</v>
      </c>
      <c r="AK499" s="27" t="b">
        <v>0</v>
      </c>
      <c r="AL499" s="27">
        <v>100.0</v>
      </c>
      <c r="AM499" s="27" t="s">
        <v>129</v>
      </c>
      <c r="AN499" s="27" t="s">
        <v>405</v>
      </c>
      <c r="AO499" s="27"/>
    </row>
    <row r="500">
      <c r="A500" s="200">
        <v>44824.025102534724</v>
      </c>
      <c r="B500" s="19" t="s">
        <v>109</v>
      </c>
      <c r="C500" s="21" t="s">
        <v>400</v>
      </c>
      <c r="D500" s="62">
        <v>1.0</v>
      </c>
      <c r="E500" s="27">
        <v>2.0</v>
      </c>
      <c r="F500" s="27" t="s">
        <v>1435</v>
      </c>
      <c r="G500" s="201" t="s">
        <v>57</v>
      </c>
      <c r="H500" s="27" t="s">
        <v>166</v>
      </c>
      <c r="I500" s="27"/>
      <c r="J500" s="33">
        <v>-17.5</v>
      </c>
      <c r="K500" s="33">
        <v>-13.5</v>
      </c>
      <c r="L500" s="66">
        <v>41.0</v>
      </c>
      <c r="M500" s="27" t="s">
        <v>1242</v>
      </c>
      <c r="N500" s="27">
        <v>-13.5</v>
      </c>
      <c r="O500" s="27"/>
      <c r="P500" s="27">
        <v>-13.5</v>
      </c>
      <c r="Q500" s="27"/>
      <c r="R500" s="27">
        <v>-13.5</v>
      </c>
      <c r="S500" s="27"/>
      <c r="T500" s="27">
        <v>-13.5</v>
      </c>
      <c r="U500" s="27"/>
      <c r="V500" s="27">
        <v>-13.5</v>
      </c>
      <c r="W500" s="27"/>
      <c r="X500" s="27">
        <v>-13.5</v>
      </c>
      <c r="Y500" s="27"/>
      <c r="Z500" s="27">
        <v>-14.0</v>
      </c>
      <c r="AA500" s="27"/>
      <c r="AB500" s="27">
        <v>-13.5</v>
      </c>
      <c r="AC500" s="27"/>
      <c r="AD500" s="27">
        <v>-13.5</v>
      </c>
      <c r="AE500" s="27"/>
      <c r="AF500" s="27">
        <v>-13.5</v>
      </c>
      <c r="AG500" s="27"/>
      <c r="AH500" s="27">
        <v>55.0</v>
      </c>
      <c r="AI500" s="27">
        <v>64.0</v>
      </c>
      <c r="AJ500" s="27">
        <v>2.0</v>
      </c>
      <c r="AK500" s="27" t="b">
        <v>1</v>
      </c>
      <c r="AL500" s="27">
        <v>100.0</v>
      </c>
      <c r="AM500" s="27" t="s">
        <v>187</v>
      </c>
      <c r="AN500" s="27" t="s">
        <v>404</v>
      </c>
      <c r="AO500" s="27"/>
    </row>
    <row r="501">
      <c r="A501" s="200">
        <v>44824.025102534724</v>
      </c>
      <c r="B501" s="19" t="s">
        <v>109</v>
      </c>
      <c r="C501" s="21" t="s">
        <v>344</v>
      </c>
      <c r="D501" s="62">
        <v>0.0</v>
      </c>
      <c r="E501" s="27">
        <v>3.0</v>
      </c>
      <c r="F501" s="27" t="s">
        <v>1436</v>
      </c>
      <c r="G501" s="201" t="s">
        <v>57</v>
      </c>
      <c r="H501" s="27" t="s">
        <v>144</v>
      </c>
      <c r="I501" s="27"/>
      <c r="J501" s="33">
        <v>20.0</v>
      </c>
      <c r="K501" s="33">
        <v>13.0</v>
      </c>
      <c r="L501" s="66">
        <v>59.5</v>
      </c>
      <c r="M501" s="27" t="s">
        <v>1221</v>
      </c>
      <c r="N501" s="27">
        <v>12.5</v>
      </c>
      <c r="O501" s="27"/>
      <c r="P501" s="27">
        <v>12.0</v>
      </c>
      <c r="Q501" s="27"/>
      <c r="R501" s="27">
        <v>12.0</v>
      </c>
      <c r="S501" s="27"/>
      <c r="T501" s="27">
        <v>13.0</v>
      </c>
      <c r="U501" s="27"/>
      <c r="V501" s="27">
        <v>12.0</v>
      </c>
      <c r="W501" s="27"/>
      <c r="X501" s="27">
        <v>12.5</v>
      </c>
      <c r="Y501" s="27"/>
      <c r="Z501" s="27">
        <v>11.5</v>
      </c>
      <c r="AA501" s="27"/>
      <c r="AB501" s="27">
        <v>13.0</v>
      </c>
      <c r="AC501" s="27"/>
      <c r="AD501" s="27">
        <v>13.0</v>
      </c>
      <c r="AE501" s="27"/>
      <c r="AF501" s="27"/>
      <c r="AG501" s="27"/>
      <c r="AH501" s="27">
        <v>67.0</v>
      </c>
      <c r="AI501" s="27">
        <v>106.0</v>
      </c>
      <c r="AJ501" s="27">
        <v>2.0</v>
      </c>
      <c r="AK501" s="27" t="b">
        <v>1</v>
      </c>
      <c r="AL501" s="27">
        <v>100.0</v>
      </c>
      <c r="AM501" s="27" t="s">
        <v>190</v>
      </c>
      <c r="AN501" s="27" t="s">
        <v>405</v>
      </c>
      <c r="AO501" s="27"/>
    </row>
    <row r="502">
      <c r="A502" s="200">
        <v>44824.025102534724</v>
      </c>
      <c r="B502" s="19"/>
      <c r="C502" s="21"/>
      <c r="D502" s="62"/>
      <c r="E502" s="27"/>
      <c r="F502" s="27"/>
      <c r="G502" s="201"/>
      <c r="H502" s="27"/>
      <c r="I502" s="27"/>
      <c r="J502" s="33"/>
      <c r="K502" s="33"/>
      <c r="L502" s="66"/>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t="e">
        <v>#N/A</v>
      </c>
      <c r="AN502" s="27" t="e">
        <v>#N/A</v>
      </c>
      <c r="AO502" s="27"/>
    </row>
    <row r="503">
      <c r="A503" s="200">
        <v>44824.025102534724</v>
      </c>
      <c r="B503" s="19" t="s">
        <v>144</v>
      </c>
      <c r="C503" s="21" t="s">
        <v>321</v>
      </c>
      <c r="D503" s="62">
        <v>2.0</v>
      </c>
      <c r="E503" s="27">
        <v>1.0</v>
      </c>
      <c r="F503" s="27"/>
      <c r="G503" s="201"/>
      <c r="H503" s="27"/>
      <c r="I503" s="27" t="s">
        <v>101</v>
      </c>
      <c r="J503" s="33"/>
      <c r="K503" s="33"/>
      <c r="L503" s="66"/>
      <c r="M503" s="27"/>
      <c r="N503" s="27"/>
      <c r="O503" s="27"/>
      <c r="P503" s="27"/>
      <c r="Q503" s="27"/>
      <c r="R503" s="27"/>
      <c r="S503" s="27"/>
      <c r="T503" s="27"/>
      <c r="U503" s="27"/>
      <c r="V503" s="27"/>
      <c r="W503" s="27"/>
      <c r="X503" s="27"/>
      <c r="Y503" s="27"/>
      <c r="Z503" s="27"/>
      <c r="AA503" s="27"/>
      <c r="AB503" s="27"/>
      <c r="AC503" s="27"/>
      <c r="AD503" s="27"/>
      <c r="AE503" s="27"/>
      <c r="AF503" s="27"/>
      <c r="AG503" s="27"/>
      <c r="AH503" s="27">
        <v>82.0</v>
      </c>
      <c r="AI503" s="27">
        <v>32.0</v>
      </c>
      <c r="AJ503" s="27">
        <v>0.0</v>
      </c>
      <c r="AK503" s="27" t="b">
        <v>1</v>
      </c>
      <c r="AL503" s="27">
        <v>59.0</v>
      </c>
      <c r="AM503" s="27" t="s">
        <v>188</v>
      </c>
      <c r="AN503" s="27" t="s">
        <v>404</v>
      </c>
      <c r="AO503" s="27"/>
    </row>
    <row r="504">
      <c r="A504" s="200">
        <v>44824.025102534724</v>
      </c>
      <c r="B504" s="19" t="s">
        <v>144</v>
      </c>
      <c r="C504" s="21" t="s">
        <v>345</v>
      </c>
      <c r="D504" s="62">
        <v>1.0</v>
      </c>
      <c r="E504" s="27">
        <v>2.0</v>
      </c>
      <c r="F504" s="27" t="s">
        <v>1437</v>
      </c>
      <c r="G504" s="201" t="s">
        <v>57</v>
      </c>
      <c r="H504" s="27" t="s">
        <v>116</v>
      </c>
      <c r="I504" s="27"/>
      <c r="J504" s="33">
        <v>16.0</v>
      </c>
      <c r="K504" s="33">
        <v>11.5</v>
      </c>
      <c r="L504" s="66">
        <v>71.5</v>
      </c>
      <c r="M504" s="27" t="s">
        <v>1438</v>
      </c>
      <c r="N504" s="27">
        <v>11.5</v>
      </c>
      <c r="O504" s="27"/>
      <c r="P504" s="27">
        <v>12.0</v>
      </c>
      <c r="Q504" s="27"/>
      <c r="R504" s="27">
        <v>12.0</v>
      </c>
      <c r="S504" s="27"/>
      <c r="T504" s="27">
        <v>11.5</v>
      </c>
      <c r="U504" s="27"/>
      <c r="V504" s="27">
        <v>11.5</v>
      </c>
      <c r="W504" s="27"/>
      <c r="X504" s="27">
        <v>11.5</v>
      </c>
      <c r="Y504" s="27"/>
      <c r="Z504" s="27">
        <v>11.5</v>
      </c>
      <c r="AA504" s="27"/>
      <c r="AB504" s="27">
        <v>11.5</v>
      </c>
      <c r="AC504" s="27"/>
      <c r="AD504" s="27">
        <v>11.5</v>
      </c>
      <c r="AE504" s="27"/>
      <c r="AF504" s="27">
        <v>11.5</v>
      </c>
      <c r="AG504" s="27"/>
      <c r="AH504" s="27">
        <v>84.0</v>
      </c>
      <c r="AI504" s="27">
        <v>87.0</v>
      </c>
      <c r="AJ504" s="27">
        <v>2.0</v>
      </c>
      <c r="AK504" s="27" t="b">
        <v>0</v>
      </c>
      <c r="AL504" s="27">
        <v>100.0</v>
      </c>
      <c r="AM504" s="27" t="s">
        <v>129</v>
      </c>
      <c r="AN504" s="27" t="s">
        <v>405</v>
      </c>
      <c r="AO504" s="27"/>
    </row>
    <row r="505">
      <c r="A505" s="200">
        <v>44824.025102534724</v>
      </c>
      <c r="B505" s="19" t="s">
        <v>144</v>
      </c>
      <c r="C505" s="21" t="s">
        <v>357</v>
      </c>
      <c r="D505" s="62">
        <v>2.0</v>
      </c>
      <c r="E505" s="27">
        <v>1.0</v>
      </c>
      <c r="F505" s="27" t="s">
        <v>1439</v>
      </c>
      <c r="G505" s="201" t="s">
        <v>57</v>
      </c>
      <c r="H505" s="27" t="s">
        <v>148</v>
      </c>
      <c r="I505" s="27"/>
      <c r="J505" s="33">
        <v>9.0</v>
      </c>
      <c r="K505" s="33">
        <v>6.5</v>
      </c>
      <c r="L505" s="66">
        <v>45.0</v>
      </c>
      <c r="M505" s="27" t="s">
        <v>1107</v>
      </c>
      <c r="N505" s="27">
        <v>6.5</v>
      </c>
      <c r="O505" s="27"/>
      <c r="P505" s="27">
        <v>6.5</v>
      </c>
      <c r="Q505" s="27"/>
      <c r="R505" s="27">
        <v>6.5</v>
      </c>
      <c r="S505" s="27"/>
      <c r="T505" s="27">
        <v>6.5</v>
      </c>
      <c r="U505" s="27"/>
      <c r="V505" s="27">
        <v>6.5</v>
      </c>
      <c r="W505" s="27"/>
      <c r="X505" s="27">
        <v>6.5</v>
      </c>
      <c r="Y505" s="27"/>
      <c r="Z505" s="27">
        <v>6.5</v>
      </c>
      <c r="AA505" s="27"/>
      <c r="AB505" s="27">
        <v>6.0</v>
      </c>
      <c r="AC505" s="27"/>
      <c r="AD505" s="27">
        <v>6.5</v>
      </c>
      <c r="AE505" s="27"/>
      <c r="AF505" s="27">
        <v>6.5</v>
      </c>
      <c r="AG505" s="27"/>
      <c r="AH505" s="27">
        <v>109.0</v>
      </c>
      <c r="AI505" s="27">
        <v>37.0</v>
      </c>
      <c r="AJ505" s="27">
        <v>2.0</v>
      </c>
      <c r="AK505" s="27" t="b">
        <v>1</v>
      </c>
      <c r="AL505" s="27">
        <v>100.0</v>
      </c>
      <c r="AM505" s="27" t="s">
        <v>186</v>
      </c>
      <c r="AN505" s="27" t="s">
        <v>404</v>
      </c>
      <c r="AO505" s="27"/>
    </row>
    <row r="506">
      <c r="A506" s="200">
        <v>44824.025102534724</v>
      </c>
      <c r="B506" s="19" t="s">
        <v>144</v>
      </c>
      <c r="C506" s="21" t="s">
        <v>338</v>
      </c>
      <c r="D506" s="62">
        <v>1.0</v>
      </c>
      <c r="E506" s="27">
        <v>2.0</v>
      </c>
      <c r="F506" s="27" t="s">
        <v>1440</v>
      </c>
      <c r="G506" s="201" t="s">
        <v>57</v>
      </c>
      <c r="H506" s="27"/>
      <c r="I506" s="27"/>
      <c r="J506" s="33">
        <v>-34.0</v>
      </c>
      <c r="K506" s="33">
        <v>-32.0</v>
      </c>
      <c r="L506" s="66">
        <v>51.0</v>
      </c>
      <c r="M506" s="27" t="s">
        <v>1441</v>
      </c>
      <c r="N506" s="27">
        <v>-32.5</v>
      </c>
      <c r="O506" s="27"/>
      <c r="P506" s="27">
        <v>-33.0</v>
      </c>
      <c r="Q506" s="27"/>
      <c r="R506" s="27">
        <v>-34.0</v>
      </c>
      <c r="S506" s="27"/>
      <c r="T506" s="27">
        <v>-32.0</v>
      </c>
      <c r="U506" s="27"/>
      <c r="V506" s="27">
        <v>-33.0</v>
      </c>
      <c r="W506" s="27"/>
      <c r="X506" s="27">
        <v>-33.0</v>
      </c>
      <c r="Y506" s="27"/>
      <c r="Z506" s="27">
        <v>-32.0</v>
      </c>
      <c r="AA506" s="27"/>
      <c r="AB506" s="27">
        <v>-32.0</v>
      </c>
      <c r="AC506" s="27"/>
      <c r="AD506" s="27"/>
      <c r="AE506" s="27"/>
      <c r="AF506" s="27"/>
      <c r="AG506" s="27"/>
      <c r="AH506" s="27">
        <v>98.0</v>
      </c>
      <c r="AI506" s="27">
        <v>69.0</v>
      </c>
      <c r="AJ506" s="27">
        <v>2.0</v>
      </c>
      <c r="AK506" s="27" t="b">
        <v>0</v>
      </c>
      <c r="AL506" s="27">
        <v>100.0</v>
      </c>
      <c r="AM506" s="27" t="s">
        <v>189</v>
      </c>
      <c r="AN506" s="27" t="s">
        <v>405</v>
      </c>
      <c r="AO506" s="27"/>
    </row>
    <row r="507">
      <c r="A507" s="200">
        <v>44824.025102534724</v>
      </c>
      <c r="B507" s="19" t="s">
        <v>144</v>
      </c>
      <c r="C507" s="21" t="s">
        <v>346</v>
      </c>
      <c r="D507" s="62">
        <v>2.0</v>
      </c>
      <c r="E507" s="27">
        <v>1.0</v>
      </c>
      <c r="F507" s="27" t="s">
        <v>1371</v>
      </c>
      <c r="G507" s="201" t="s">
        <v>57</v>
      </c>
      <c r="H507" s="27" t="s">
        <v>131</v>
      </c>
      <c r="I507" s="27"/>
      <c r="J507" s="33">
        <v>-24.0</v>
      </c>
      <c r="K507" s="33">
        <v>-23.0</v>
      </c>
      <c r="L507" s="66">
        <v>58.5</v>
      </c>
      <c r="M507" s="27" t="s">
        <v>1372</v>
      </c>
      <c r="N507" s="27">
        <v>-23.5</v>
      </c>
      <c r="O507" s="27"/>
      <c r="P507" s="27">
        <v>-23.5</v>
      </c>
      <c r="Q507" s="27"/>
      <c r="R507" s="27">
        <v>-23.5</v>
      </c>
      <c r="S507" s="27"/>
      <c r="T507" s="27">
        <v>-23.0</v>
      </c>
      <c r="U507" s="27"/>
      <c r="V507" s="27">
        <v>-23.5</v>
      </c>
      <c r="W507" s="27"/>
      <c r="X507" s="27">
        <v>-23.0</v>
      </c>
      <c r="Y507" s="27"/>
      <c r="Z507" s="27">
        <v>-23.5</v>
      </c>
      <c r="AA507" s="27"/>
      <c r="AB507" s="27">
        <v>-24.0</v>
      </c>
      <c r="AC507" s="27"/>
      <c r="AD507" s="27">
        <v>-23.0</v>
      </c>
      <c r="AE507" s="27"/>
      <c r="AF507" s="27">
        <v>-23.0</v>
      </c>
      <c r="AG507" s="27"/>
      <c r="AH507" s="27">
        <v>76.0</v>
      </c>
      <c r="AI507" s="27">
        <v>80.0</v>
      </c>
      <c r="AJ507" s="27">
        <v>2.0</v>
      </c>
      <c r="AK507" s="27" t="b">
        <v>0</v>
      </c>
      <c r="AL507" s="27">
        <v>100.0</v>
      </c>
      <c r="AM507" s="27" t="s">
        <v>192</v>
      </c>
      <c r="AN507" s="27" t="s">
        <v>404</v>
      </c>
      <c r="AO507" s="27"/>
    </row>
    <row r="508">
      <c r="A508" s="200">
        <v>44824.025102534724</v>
      </c>
      <c r="B508" s="19" t="s">
        <v>144</v>
      </c>
      <c r="C508" s="21" t="s">
        <v>325</v>
      </c>
      <c r="D508" s="62">
        <v>2.0</v>
      </c>
      <c r="E508" s="27">
        <v>1.0</v>
      </c>
      <c r="F508" s="27" t="s">
        <v>1442</v>
      </c>
      <c r="G508" s="201" t="s">
        <v>57</v>
      </c>
      <c r="H508" s="27"/>
      <c r="I508" s="27"/>
      <c r="J508" s="33">
        <v>-29.0</v>
      </c>
      <c r="K508" s="33">
        <v>-33.0</v>
      </c>
      <c r="L508" s="66">
        <v>58.5</v>
      </c>
      <c r="M508" s="27" t="s">
        <v>1443</v>
      </c>
      <c r="N508" s="27">
        <v>-32.5</v>
      </c>
      <c r="O508" s="27"/>
      <c r="P508" s="27">
        <v>-32.5</v>
      </c>
      <c r="Q508" s="27"/>
      <c r="R508" s="27">
        <v>-32.5</v>
      </c>
      <c r="S508" s="27"/>
      <c r="T508" s="27">
        <v>-33.0</v>
      </c>
      <c r="U508" s="27"/>
      <c r="V508" s="27">
        <v>-32.5</v>
      </c>
      <c r="W508" s="27"/>
      <c r="X508" s="27">
        <v>-32.5</v>
      </c>
      <c r="Y508" s="27"/>
      <c r="Z508" s="27">
        <v>-33.0</v>
      </c>
      <c r="AA508" s="27"/>
      <c r="AB508" s="27">
        <v>-33.0</v>
      </c>
      <c r="AC508" s="27"/>
      <c r="AD508" s="27"/>
      <c r="AE508" s="27"/>
      <c r="AF508" s="27"/>
      <c r="AG508" s="27"/>
      <c r="AH508" s="27">
        <v>108.0</v>
      </c>
      <c r="AI508" s="27">
        <v>52.0</v>
      </c>
      <c r="AJ508" s="27">
        <v>2.0</v>
      </c>
      <c r="AK508" s="27" t="b">
        <v>0</v>
      </c>
      <c r="AL508" s="27">
        <v>100.0</v>
      </c>
      <c r="AM508" s="27" t="s">
        <v>389</v>
      </c>
      <c r="AN508" s="27" t="s">
        <v>405</v>
      </c>
      <c r="AO508" s="27"/>
    </row>
    <row r="509">
      <c r="A509" s="200">
        <v>44824.025102534724</v>
      </c>
      <c r="B509" s="19" t="s">
        <v>144</v>
      </c>
      <c r="C509" s="21" t="s">
        <v>342</v>
      </c>
      <c r="D509" s="62">
        <v>0.0</v>
      </c>
      <c r="E509" s="27">
        <v>3.0</v>
      </c>
      <c r="F509" s="27" t="s">
        <v>1393</v>
      </c>
      <c r="G509" s="201" t="s">
        <v>57</v>
      </c>
      <c r="H509" s="27" t="s">
        <v>178</v>
      </c>
      <c r="I509" s="27"/>
      <c r="J509" s="33">
        <v>27.5</v>
      </c>
      <c r="K509" s="33">
        <v>28.0</v>
      </c>
      <c r="L509" s="66">
        <v>47.5</v>
      </c>
      <c r="M509" s="27" t="s">
        <v>1248</v>
      </c>
      <c r="N509" s="27">
        <v>27.5</v>
      </c>
      <c r="O509" s="27"/>
      <c r="P509" s="27">
        <v>28.0</v>
      </c>
      <c r="Q509" s="27"/>
      <c r="R509" s="27">
        <v>27.5</v>
      </c>
      <c r="S509" s="27"/>
      <c r="T509" s="27">
        <v>28.0</v>
      </c>
      <c r="U509" s="27"/>
      <c r="V509" s="27">
        <v>28.0</v>
      </c>
      <c r="W509" s="27"/>
      <c r="X509" s="27">
        <v>28.0</v>
      </c>
      <c r="Y509" s="27"/>
      <c r="Z509" s="27">
        <v>28.0</v>
      </c>
      <c r="AA509" s="27"/>
      <c r="AB509" s="27">
        <v>27.5</v>
      </c>
      <c r="AC509" s="27"/>
      <c r="AD509" s="27">
        <v>28.0</v>
      </c>
      <c r="AE509" s="27"/>
      <c r="AF509" s="27">
        <v>28.0</v>
      </c>
      <c r="AG509" s="27"/>
      <c r="AH509" s="27">
        <v>30.0</v>
      </c>
      <c r="AI509" s="27">
        <v>128.0</v>
      </c>
      <c r="AJ509" s="27">
        <v>2.0</v>
      </c>
      <c r="AK509" s="27" t="b">
        <v>0</v>
      </c>
      <c r="AL509" s="27">
        <v>100.0</v>
      </c>
      <c r="AM509" s="27" t="s">
        <v>191</v>
      </c>
      <c r="AN509" s="27" t="s">
        <v>404</v>
      </c>
      <c r="AO509" s="27"/>
    </row>
    <row r="510">
      <c r="A510" s="200">
        <v>44824.025102534724</v>
      </c>
      <c r="B510" s="19" t="s">
        <v>144</v>
      </c>
      <c r="C510" s="21" t="s">
        <v>300</v>
      </c>
      <c r="D510" s="62">
        <v>3.0</v>
      </c>
      <c r="E510" s="27">
        <v>0.0</v>
      </c>
      <c r="F510" s="27" t="s">
        <v>1436</v>
      </c>
      <c r="G510" s="201" t="s">
        <v>57</v>
      </c>
      <c r="H510" s="27" t="s">
        <v>109</v>
      </c>
      <c r="I510" s="27"/>
      <c r="J510" s="33">
        <v>-20.0</v>
      </c>
      <c r="K510" s="33">
        <v>-13.0</v>
      </c>
      <c r="L510" s="66">
        <v>59.5</v>
      </c>
      <c r="M510" s="27" t="s">
        <v>1221</v>
      </c>
      <c r="N510" s="27">
        <v>-12.5</v>
      </c>
      <c r="O510" s="27"/>
      <c r="P510" s="27">
        <v>-12.0</v>
      </c>
      <c r="Q510" s="27"/>
      <c r="R510" s="27">
        <v>-12.0</v>
      </c>
      <c r="S510" s="27"/>
      <c r="T510" s="27">
        <v>-13.0</v>
      </c>
      <c r="U510" s="27"/>
      <c r="V510" s="27">
        <v>-12.0</v>
      </c>
      <c r="W510" s="27"/>
      <c r="X510" s="27">
        <v>-12.5</v>
      </c>
      <c r="Y510" s="27"/>
      <c r="Z510" s="27">
        <v>-11.5</v>
      </c>
      <c r="AA510" s="27"/>
      <c r="AB510" s="27">
        <v>-13.0</v>
      </c>
      <c r="AC510" s="27"/>
      <c r="AD510" s="27">
        <v>-13.0</v>
      </c>
      <c r="AE510" s="27"/>
      <c r="AF510" s="27"/>
      <c r="AG510" s="27"/>
      <c r="AH510" s="27">
        <v>107.0</v>
      </c>
      <c r="AI510" s="27">
        <v>81.0</v>
      </c>
      <c r="AJ510" s="27">
        <v>2.0</v>
      </c>
      <c r="AK510" s="27" t="b">
        <v>0</v>
      </c>
      <c r="AL510" s="27">
        <v>100.0</v>
      </c>
      <c r="AM510" s="27" t="s">
        <v>193</v>
      </c>
      <c r="AN510" s="27" t="s">
        <v>405</v>
      </c>
      <c r="AO510" s="27"/>
    </row>
    <row r="511">
      <c r="A511" s="200">
        <v>44824.025102534724</v>
      </c>
      <c r="B511" s="19" t="s">
        <v>144</v>
      </c>
      <c r="C511" s="21" t="s">
        <v>371</v>
      </c>
      <c r="D511" s="62">
        <v>1.0</v>
      </c>
      <c r="E511" s="27">
        <v>2.0</v>
      </c>
      <c r="F511" s="27" t="s">
        <v>1444</v>
      </c>
      <c r="G511" s="201" t="s">
        <v>57</v>
      </c>
      <c r="H511" s="27"/>
      <c r="I511" s="27"/>
      <c r="J511" s="33">
        <v>-39.0</v>
      </c>
      <c r="K511" s="33">
        <v>-41.0</v>
      </c>
      <c r="L511" s="66">
        <v>58.0</v>
      </c>
      <c r="M511" s="27" t="s">
        <v>1305</v>
      </c>
      <c r="N511" s="27">
        <v>-40.5</v>
      </c>
      <c r="O511" s="27"/>
      <c r="P511" s="27">
        <v>-41.0</v>
      </c>
      <c r="Q511" s="27"/>
      <c r="R511" s="27">
        <v>-41.0</v>
      </c>
      <c r="S511" s="27"/>
      <c r="T511" s="27">
        <v>-41.0</v>
      </c>
      <c r="U511" s="27"/>
      <c r="V511" s="27">
        <v>-41.0</v>
      </c>
      <c r="W511" s="27"/>
      <c r="X511" s="27">
        <v>-41.0</v>
      </c>
      <c r="Y511" s="27"/>
      <c r="Z511" s="27">
        <v>-41.0</v>
      </c>
      <c r="AA511" s="27"/>
      <c r="AB511" s="27">
        <v>-41.0</v>
      </c>
      <c r="AC511" s="27"/>
      <c r="AD511" s="27"/>
      <c r="AE511" s="27"/>
      <c r="AF511" s="27"/>
      <c r="AG511" s="27"/>
      <c r="AH511" s="27">
        <v>138.0</v>
      </c>
      <c r="AI511" s="27">
        <v>100.0</v>
      </c>
      <c r="AJ511" s="27">
        <v>2.0</v>
      </c>
      <c r="AK511" s="27" t="b">
        <v>0</v>
      </c>
      <c r="AL511" s="27">
        <v>100.0</v>
      </c>
      <c r="AM511" s="27" t="s">
        <v>187</v>
      </c>
      <c r="AN511" s="27" t="s">
        <v>404</v>
      </c>
      <c r="AO511" s="27"/>
    </row>
    <row r="512">
      <c r="A512" s="200">
        <v>44824.025102534724</v>
      </c>
      <c r="B512" s="19" t="s">
        <v>144</v>
      </c>
      <c r="C512" s="21" t="s">
        <v>359</v>
      </c>
      <c r="D512" s="62">
        <v>1.0</v>
      </c>
      <c r="E512" s="27">
        <v>2.0</v>
      </c>
      <c r="F512" s="27" t="s">
        <v>1445</v>
      </c>
      <c r="G512" s="201" t="s">
        <v>57</v>
      </c>
      <c r="H512" s="27"/>
      <c r="I512" s="27"/>
      <c r="J512" s="33">
        <v>-35.5</v>
      </c>
      <c r="K512" s="33">
        <v>-40.0</v>
      </c>
      <c r="L512" s="66">
        <v>64.5</v>
      </c>
      <c r="M512" s="27" t="s">
        <v>1305</v>
      </c>
      <c r="N512" s="27">
        <v>-40.5</v>
      </c>
      <c r="O512" s="27"/>
      <c r="P512" s="27">
        <v>-40.0</v>
      </c>
      <c r="Q512" s="27"/>
      <c r="R512" s="27">
        <v>-40.0</v>
      </c>
      <c r="S512" s="27"/>
      <c r="T512" s="27">
        <v>-40.0</v>
      </c>
      <c r="U512" s="27"/>
      <c r="V512" s="27">
        <v>-40.5</v>
      </c>
      <c r="W512" s="27"/>
      <c r="X512" s="27"/>
      <c r="Y512" s="27"/>
      <c r="Z512" s="27"/>
      <c r="AA512" s="27"/>
      <c r="AB512" s="27"/>
      <c r="AC512" s="27"/>
      <c r="AD512" s="27"/>
      <c r="AE512" s="27"/>
      <c r="AF512" s="27"/>
      <c r="AG512" s="27"/>
      <c r="AH512" s="27">
        <v>86.0</v>
      </c>
      <c r="AI512" s="27">
        <v>88.0</v>
      </c>
      <c r="AJ512" s="27">
        <v>2.0</v>
      </c>
      <c r="AK512" s="27" t="b">
        <v>0</v>
      </c>
      <c r="AL512" s="27">
        <v>100.0</v>
      </c>
      <c r="AM512" s="27" t="s">
        <v>190</v>
      </c>
      <c r="AN512" s="27" t="s">
        <v>405</v>
      </c>
      <c r="AO512" s="27"/>
    </row>
    <row r="513">
      <c r="A513" s="200">
        <v>44824.025102534724</v>
      </c>
      <c r="B513" s="19"/>
      <c r="C513" s="21"/>
      <c r="D513" s="62"/>
      <c r="E513" s="27"/>
      <c r="F513" s="27"/>
      <c r="G513" s="201"/>
      <c r="H513" s="27"/>
      <c r="I513" s="27"/>
      <c r="J513" s="33"/>
      <c r="K513" s="33"/>
      <c r="L513" s="66"/>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t="e">
        <v>#N/A</v>
      </c>
      <c r="AN513" s="27" t="e">
        <v>#N/A</v>
      </c>
      <c r="AO513" s="27"/>
    </row>
    <row r="514">
      <c r="A514" s="200">
        <v>44824.025102534724</v>
      </c>
      <c r="B514" s="19" t="s">
        <v>166</v>
      </c>
      <c r="C514" s="21" t="s">
        <v>351</v>
      </c>
      <c r="D514" s="62">
        <v>1.0</v>
      </c>
      <c r="E514" s="27">
        <v>3.0</v>
      </c>
      <c r="F514" s="27" t="s">
        <v>1446</v>
      </c>
      <c r="G514" s="201" t="s">
        <v>57</v>
      </c>
      <c r="H514" s="27"/>
      <c r="I514" s="27"/>
      <c r="J514" s="33">
        <v>-6.5</v>
      </c>
      <c r="K514" s="33">
        <v>-8.5</v>
      </c>
      <c r="L514" s="66">
        <v>65.5</v>
      </c>
      <c r="M514" s="27" t="s">
        <v>1447</v>
      </c>
      <c r="N514" s="27">
        <v>-8.0</v>
      </c>
      <c r="O514" s="27"/>
      <c r="P514" s="27">
        <v>-8.0</v>
      </c>
      <c r="Q514" s="27"/>
      <c r="R514" s="27">
        <v>-8.0</v>
      </c>
      <c r="S514" s="27"/>
      <c r="T514" s="27">
        <v>-8.5</v>
      </c>
      <c r="U514" s="27"/>
      <c r="V514" s="27">
        <v>-8.0</v>
      </c>
      <c r="W514" s="27"/>
      <c r="X514" s="27">
        <v>-8.5</v>
      </c>
      <c r="Y514" s="27"/>
      <c r="Z514" s="27">
        <v>-8.5</v>
      </c>
      <c r="AA514" s="27"/>
      <c r="AB514" s="27">
        <v>-8.5</v>
      </c>
      <c r="AC514" s="27"/>
      <c r="AD514" s="27"/>
      <c r="AE514" s="27"/>
      <c r="AF514" s="27"/>
      <c r="AG514" s="27"/>
      <c r="AH514" s="27">
        <v>61.0</v>
      </c>
      <c r="AI514" s="27">
        <v>182.0</v>
      </c>
      <c r="AJ514" s="27">
        <v>2.0</v>
      </c>
      <c r="AK514" s="27" t="b">
        <v>0</v>
      </c>
      <c r="AL514" s="27">
        <v>100.0</v>
      </c>
      <c r="AM514" s="27" t="s">
        <v>129</v>
      </c>
      <c r="AN514" s="27" t="s">
        <v>405</v>
      </c>
      <c r="AO514" s="27"/>
    </row>
    <row r="515">
      <c r="A515" s="200">
        <v>44824.025102534724</v>
      </c>
      <c r="B515" s="19" t="s">
        <v>166</v>
      </c>
      <c r="C515" s="21" t="s">
        <v>370</v>
      </c>
      <c r="D515" s="62">
        <v>2.0</v>
      </c>
      <c r="E515" s="27">
        <v>1.0</v>
      </c>
      <c r="F515" s="27" t="s">
        <v>1448</v>
      </c>
      <c r="G515" s="201" t="s">
        <v>57</v>
      </c>
      <c r="H515" s="27" t="s">
        <v>154</v>
      </c>
      <c r="I515" s="27"/>
      <c r="J515" s="33">
        <v>-10.0</v>
      </c>
      <c r="K515" s="33">
        <v>-10.5</v>
      </c>
      <c r="L515" s="66">
        <v>46.5</v>
      </c>
      <c r="M515" s="27" t="s">
        <v>1449</v>
      </c>
      <c r="N515" s="27">
        <v>-10.0</v>
      </c>
      <c r="O515" s="27"/>
      <c r="P515" s="27">
        <v>-10.0</v>
      </c>
      <c r="Q515" s="27"/>
      <c r="R515" s="27">
        <v>-10.0</v>
      </c>
      <c r="S515" s="27"/>
      <c r="T515" s="27">
        <v>-10.5</v>
      </c>
      <c r="U515" s="27"/>
      <c r="V515" s="27">
        <v>-10.0</v>
      </c>
      <c r="W515" s="27"/>
      <c r="X515" s="27">
        <v>-10.5</v>
      </c>
      <c r="Y515" s="27"/>
      <c r="Z515" s="27">
        <v>-10.0</v>
      </c>
      <c r="AA515" s="27"/>
      <c r="AB515" s="27">
        <v>-10.5</v>
      </c>
      <c r="AC515" s="27"/>
      <c r="AD515" s="27">
        <v>-10.5</v>
      </c>
      <c r="AE515" s="27"/>
      <c r="AF515" s="27"/>
      <c r="AG515" s="27"/>
      <c r="AH515" s="27">
        <v>99.0</v>
      </c>
      <c r="AI515" s="27">
        <v>78.0</v>
      </c>
      <c r="AJ515" s="27">
        <v>2.0</v>
      </c>
      <c r="AK515" s="27" t="b">
        <v>1</v>
      </c>
      <c r="AL515" s="27">
        <v>100.0</v>
      </c>
      <c r="AM515" s="27" t="s">
        <v>186</v>
      </c>
      <c r="AN515" s="27" t="s">
        <v>404</v>
      </c>
      <c r="AO515" s="27"/>
    </row>
    <row r="516">
      <c r="A516" s="200">
        <v>44824.025102534724</v>
      </c>
      <c r="B516" s="19" t="s">
        <v>166</v>
      </c>
      <c r="C516" s="21" t="s">
        <v>334</v>
      </c>
      <c r="D516" s="62">
        <v>1.0</v>
      </c>
      <c r="E516" s="27">
        <v>2.0</v>
      </c>
      <c r="F516" s="27" t="s">
        <v>1373</v>
      </c>
      <c r="G516" s="201" t="s">
        <v>57</v>
      </c>
      <c r="H516" s="27" t="s">
        <v>131</v>
      </c>
      <c r="I516" s="27"/>
      <c r="J516" s="33">
        <v>36.0</v>
      </c>
      <c r="K516" s="33">
        <v>34.0</v>
      </c>
      <c r="L516" s="66">
        <v>53.5</v>
      </c>
      <c r="M516" s="27" t="s">
        <v>1069</v>
      </c>
      <c r="N516" s="27">
        <v>33.5</v>
      </c>
      <c r="O516" s="27"/>
      <c r="P516" s="27">
        <v>33.5</v>
      </c>
      <c r="Q516" s="27"/>
      <c r="R516" s="27">
        <v>33.0</v>
      </c>
      <c r="S516" s="27"/>
      <c r="T516" s="27">
        <v>34.0</v>
      </c>
      <c r="U516" s="27"/>
      <c r="V516" s="27">
        <v>33.5</v>
      </c>
      <c r="W516" s="27"/>
      <c r="X516" s="27">
        <v>33.5</v>
      </c>
      <c r="Y516" s="27"/>
      <c r="Z516" s="27">
        <v>34.0</v>
      </c>
      <c r="AA516" s="27"/>
      <c r="AB516" s="27">
        <v>33.5</v>
      </c>
      <c r="AC516" s="27"/>
      <c r="AD516" s="27">
        <v>34.0</v>
      </c>
      <c r="AE516" s="27"/>
      <c r="AF516" s="27">
        <v>34.0</v>
      </c>
      <c r="AG516" s="27"/>
      <c r="AH516" s="27">
        <v>96.0</v>
      </c>
      <c r="AI516" s="27">
        <v>117.0</v>
      </c>
      <c r="AJ516" s="27">
        <v>2.0</v>
      </c>
      <c r="AK516" s="27" t="b">
        <v>1</v>
      </c>
      <c r="AL516" s="27">
        <v>100.0</v>
      </c>
      <c r="AM516" s="27" t="s">
        <v>189</v>
      </c>
      <c r="AN516" s="27" t="s">
        <v>405</v>
      </c>
      <c r="AO516" s="27"/>
    </row>
    <row r="517">
      <c r="A517" s="200">
        <v>44824.025102534724</v>
      </c>
      <c r="B517" s="19" t="s">
        <v>166</v>
      </c>
      <c r="C517" s="21" t="s">
        <v>364</v>
      </c>
      <c r="D517" s="62">
        <v>2.0</v>
      </c>
      <c r="E517" s="27">
        <v>1.0</v>
      </c>
      <c r="F517" s="27" t="s">
        <v>1410</v>
      </c>
      <c r="G517" s="201" t="s">
        <v>57</v>
      </c>
      <c r="H517" s="27" t="s">
        <v>138</v>
      </c>
      <c r="I517" s="27"/>
      <c r="J517" s="33">
        <v>-15.0</v>
      </c>
      <c r="K517" s="33">
        <v>-13.0</v>
      </c>
      <c r="L517" s="66">
        <v>57.0</v>
      </c>
      <c r="M517" s="27" t="s">
        <v>1411</v>
      </c>
      <c r="N517" s="27">
        <v>-12.5</v>
      </c>
      <c r="O517" s="27"/>
      <c r="P517" s="27">
        <v>-13.0</v>
      </c>
      <c r="Q517" s="27"/>
      <c r="R517" s="27">
        <v>-12.5</v>
      </c>
      <c r="S517" s="27"/>
      <c r="T517" s="27">
        <v>-13.0</v>
      </c>
      <c r="U517" s="27"/>
      <c r="V517" s="27">
        <v>-13.0</v>
      </c>
      <c r="W517" s="27"/>
      <c r="X517" s="27">
        <v>-13.0</v>
      </c>
      <c r="Y517" s="27"/>
      <c r="Z517" s="27">
        <v>-12.5</v>
      </c>
      <c r="AA517" s="27"/>
      <c r="AB517" s="27">
        <v>-12.5</v>
      </c>
      <c r="AC517" s="27"/>
      <c r="AD517" s="27">
        <v>-13.0</v>
      </c>
      <c r="AE517" s="27"/>
      <c r="AF517" s="27">
        <v>-13.0</v>
      </c>
      <c r="AG517" s="27"/>
      <c r="AH517" s="27">
        <v>112.0</v>
      </c>
      <c r="AI517" s="27">
        <v>50.0</v>
      </c>
      <c r="AJ517" s="27">
        <v>2.0</v>
      </c>
      <c r="AK517" s="27" t="b">
        <v>0</v>
      </c>
      <c r="AL517" s="27">
        <v>100.0</v>
      </c>
      <c r="AM517" s="27" t="s">
        <v>187</v>
      </c>
      <c r="AN517" s="27" t="s">
        <v>404</v>
      </c>
      <c r="AO517" s="27"/>
    </row>
    <row r="518">
      <c r="A518" s="200">
        <v>44824.025102534724</v>
      </c>
      <c r="B518" s="19" t="s">
        <v>166</v>
      </c>
      <c r="C518" s="21" t="s">
        <v>399</v>
      </c>
      <c r="D518" s="62">
        <v>2.0</v>
      </c>
      <c r="E518" s="27">
        <v>1.0</v>
      </c>
      <c r="F518" s="27" t="s">
        <v>1390</v>
      </c>
      <c r="G518" s="201" t="s">
        <v>57</v>
      </c>
      <c r="H518" s="27" t="s">
        <v>178</v>
      </c>
      <c r="I518" s="27"/>
      <c r="J518" s="33">
        <v>16.0</v>
      </c>
      <c r="K518" s="33">
        <v>17.0</v>
      </c>
      <c r="L518" s="66">
        <v>63.5</v>
      </c>
      <c r="M518" s="27" t="s">
        <v>1377</v>
      </c>
      <c r="N518" s="27">
        <v>17.0</v>
      </c>
      <c r="O518" s="27"/>
      <c r="P518" s="27">
        <v>17.5</v>
      </c>
      <c r="Q518" s="27"/>
      <c r="R518" s="27">
        <v>17.0</v>
      </c>
      <c r="S518" s="27"/>
      <c r="T518" s="27">
        <v>17.0</v>
      </c>
      <c r="U518" s="27"/>
      <c r="V518" s="27">
        <v>17.5</v>
      </c>
      <c r="W518" s="27"/>
      <c r="X518" s="27">
        <v>18.0</v>
      </c>
      <c r="Y518" s="27"/>
      <c r="Z518" s="27">
        <v>17.5</v>
      </c>
      <c r="AA518" s="27"/>
      <c r="AB518" s="27">
        <v>17.5</v>
      </c>
      <c r="AC518" s="27"/>
      <c r="AD518" s="27">
        <v>17.0</v>
      </c>
      <c r="AE518" s="27"/>
      <c r="AF518" s="27">
        <v>17.0</v>
      </c>
      <c r="AG518" s="27"/>
      <c r="AH518" s="27">
        <v>86.0</v>
      </c>
      <c r="AI518" s="27">
        <v>78.0</v>
      </c>
      <c r="AJ518" s="27">
        <v>2.0</v>
      </c>
      <c r="AK518" s="27" t="b">
        <v>1</v>
      </c>
      <c r="AL518" s="27">
        <v>100.0</v>
      </c>
      <c r="AM518" s="27" t="s">
        <v>190</v>
      </c>
      <c r="AN518" s="27" t="s">
        <v>405</v>
      </c>
      <c r="AO518" s="27"/>
    </row>
    <row r="519">
      <c r="A519" s="200">
        <v>44824.025102534724</v>
      </c>
      <c r="B519" s="19" t="s">
        <v>166</v>
      </c>
      <c r="C519" s="21" t="s">
        <v>337</v>
      </c>
      <c r="D519" s="62">
        <v>2.0</v>
      </c>
      <c r="E519" s="27">
        <v>1.0</v>
      </c>
      <c r="F519" s="27" t="s">
        <v>1433</v>
      </c>
      <c r="G519" s="201" t="s">
        <v>57</v>
      </c>
      <c r="H519" s="27" t="s">
        <v>109</v>
      </c>
      <c r="I519" s="27"/>
      <c r="J519" s="33">
        <v>1.0</v>
      </c>
      <c r="K519" s="33">
        <v>2.5</v>
      </c>
      <c r="L519" s="66">
        <v>47.5</v>
      </c>
      <c r="M519" s="27" t="s">
        <v>1434</v>
      </c>
      <c r="N519" s="27">
        <v>2.5</v>
      </c>
      <c r="O519" s="27"/>
      <c r="P519" s="27">
        <v>2.5</v>
      </c>
      <c r="Q519" s="27"/>
      <c r="R519" s="27">
        <v>2.5</v>
      </c>
      <c r="S519" s="27"/>
      <c r="T519" s="27">
        <v>2.5</v>
      </c>
      <c r="U519" s="27"/>
      <c r="V519" s="27">
        <v>2.5</v>
      </c>
      <c r="W519" s="27"/>
      <c r="X519" s="27">
        <v>2.5</v>
      </c>
      <c r="Y519" s="27"/>
      <c r="Z519" s="27">
        <v>2.5</v>
      </c>
      <c r="AA519" s="27"/>
      <c r="AB519" s="27">
        <v>2.5</v>
      </c>
      <c r="AC519" s="27"/>
      <c r="AD519" s="27">
        <v>2.5</v>
      </c>
      <c r="AE519" s="27"/>
      <c r="AF519" s="27">
        <v>2.5</v>
      </c>
      <c r="AG519" s="27"/>
      <c r="AH519" s="27">
        <v>78.0</v>
      </c>
      <c r="AI519" s="27">
        <v>73.0</v>
      </c>
      <c r="AJ519" s="27">
        <v>2.0</v>
      </c>
      <c r="AK519" s="27" t="b">
        <v>0</v>
      </c>
      <c r="AL519" s="27">
        <v>100.0</v>
      </c>
      <c r="AM519" s="27" t="s">
        <v>192</v>
      </c>
      <c r="AN519" s="27" t="s">
        <v>404</v>
      </c>
      <c r="AO519" s="27"/>
    </row>
    <row r="520">
      <c r="A520" s="200">
        <v>44824.025102534724</v>
      </c>
      <c r="B520" s="19" t="s">
        <v>166</v>
      </c>
      <c r="C520" s="21" t="s">
        <v>333</v>
      </c>
      <c r="D520" s="62">
        <v>2.0</v>
      </c>
      <c r="E520" s="27">
        <v>1.0</v>
      </c>
      <c r="F520" s="27" t="s">
        <v>1435</v>
      </c>
      <c r="G520" s="201" t="s">
        <v>57</v>
      </c>
      <c r="H520" s="27" t="s">
        <v>109</v>
      </c>
      <c r="I520" s="27"/>
      <c r="J520" s="33">
        <v>17.5</v>
      </c>
      <c r="K520" s="33">
        <v>13.5</v>
      </c>
      <c r="L520" s="66">
        <v>41.0</v>
      </c>
      <c r="M520" s="27" t="s">
        <v>1242</v>
      </c>
      <c r="N520" s="27">
        <v>13.5</v>
      </c>
      <c r="O520" s="27"/>
      <c r="P520" s="27">
        <v>13.5</v>
      </c>
      <c r="Q520" s="27"/>
      <c r="R520" s="27">
        <v>13.5</v>
      </c>
      <c r="S520" s="27"/>
      <c r="T520" s="27">
        <v>13.5</v>
      </c>
      <c r="U520" s="27"/>
      <c r="V520" s="27">
        <v>13.5</v>
      </c>
      <c r="W520" s="27"/>
      <c r="X520" s="27">
        <v>13.5</v>
      </c>
      <c r="Y520" s="27"/>
      <c r="Z520" s="27">
        <v>14.0</v>
      </c>
      <c r="AA520" s="27"/>
      <c r="AB520" s="27">
        <v>13.5</v>
      </c>
      <c r="AC520" s="27"/>
      <c r="AD520" s="27">
        <v>13.5</v>
      </c>
      <c r="AE520" s="27"/>
      <c r="AF520" s="27">
        <v>13.5</v>
      </c>
      <c r="AG520" s="27"/>
      <c r="AH520" s="27">
        <v>71.0</v>
      </c>
      <c r="AI520" s="27">
        <v>51.0</v>
      </c>
      <c r="AJ520" s="27">
        <v>2.0</v>
      </c>
      <c r="AK520" s="27" t="b">
        <v>0</v>
      </c>
      <c r="AL520" s="27">
        <v>100.0</v>
      </c>
      <c r="AM520" s="27" t="s">
        <v>191</v>
      </c>
      <c r="AN520" s="27" t="s">
        <v>404</v>
      </c>
      <c r="AO520" s="27"/>
    </row>
    <row r="521">
      <c r="A521" s="200">
        <v>44824.025102534724</v>
      </c>
      <c r="B521" s="19" t="s">
        <v>166</v>
      </c>
      <c r="C521" s="21" t="s">
        <v>398</v>
      </c>
      <c r="D521" s="62">
        <v>1.0</v>
      </c>
      <c r="E521" s="27">
        <v>2.0</v>
      </c>
      <c r="F521" s="27" t="s">
        <v>1450</v>
      </c>
      <c r="G521" s="201" t="s">
        <v>57</v>
      </c>
      <c r="H521" s="27"/>
      <c r="I521" s="27"/>
      <c r="J521" s="33">
        <v>-16.0</v>
      </c>
      <c r="K521" s="33">
        <v>-14.0</v>
      </c>
      <c r="L521" s="66">
        <v>54.5</v>
      </c>
      <c r="M521" s="27" t="s">
        <v>1451</v>
      </c>
      <c r="N521" s="27">
        <v>-14.0</v>
      </c>
      <c r="O521" s="27"/>
      <c r="P521" s="27">
        <v>-13.5</v>
      </c>
      <c r="Q521" s="27"/>
      <c r="R521" s="27">
        <v>-14.0</v>
      </c>
      <c r="S521" s="27"/>
      <c r="T521" s="27">
        <v>-14.0</v>
      </c>
      <c r="U521" s="27"/>
      <c r="V521" s="27">
        <v>-14.0</v>
      </c>
      <c r="W521" s="27"/>
      <c r="X521" s="27">
        <v>-14.0</v>
      </c>
      <c r="Y521" s="27"/>
      <c r="Z521" s="27">
        <v>-14.0</v>
      </c>
      <c r="AA521" s="27"/>
      <c r="AB521" s="27">
        <v>-14.0</v>
      </c>
      <c r="AC521" s="27"/>
      <c r="AD521" s="27"/>
      <c r="AE521" s="27"/>
      <c r="AF521" s="27"/>
      <c r="AG521" s="27"/>
      <c r="AH521" s="27">
        <v>115.0</v>
      </c>
      <c r="AI521" s="27">
        <v>89.0</v>
      </c>
      <c r="AJ521" s="27">
        <v>2.0</v>
      </c>
      <c r="AK521" s="27" t="b">
        <v>0</v>
      </c>
      <c r="AL521" s="27">
        <v>100.0</v>
      </c>
      <c r="AM521" s="27" t="s">
        <v>389</v>
      </c>
      <c r="AN521" s="27" t="s">
        <v>405</v>
      </c>
      <c r="AO521" s="27"/>
    </row>
    <row r="522">
      <c r="A522" s="200">
        <v>44824.025102534724</v>
      </c>
      <c r="B522" s="19" t="s">
        <v>166</v>
      </c>
      <c r="C522" s="21" t="s">
        <v>306</v>
      </c>
      <c r="D522" s="62">
        <v>2.0</v>
      </c>
      <c r="E522" s="27">
        <v>1.0</v>
      </c>
      <c r="F522" s="27" t="s">
        <v>1452</v>
      </c>
      <c r="G522" s="201" t="s">
        <v>183</v>
      </c>
      <c r="H522" s="27" t="s">
        <v>148</v>
      </c>
      <c r="I522" s="27"/>
      <c r="J522" s="33">
        <v>-17.0</v>
      </c>
      <c r="K522" s="33">
        <v>-17.0</v>
      </c>
      <c r="L522" s="66">
        <v>50.5</v>
      </c>
      <c r="M522" s="27" t="s">
        <v>1453</v>
      </c>
      <c r="N522" s="27">
        <v>-17.0</v>
      </c>
      <c r="O522" s="27"/>
      <c r="P522" s="27">
        <v>-17.0</v>
      </c>
      <c r="Q522" s="27"/>
      <c r="R522" s="27">
        <v>-17.0</v>
      </c>
      <c r="S522" s="27"/>
      <c r="T522" s="27">
        <v>-17.0</v>
      </c>
      <c r="U522" s="27"/>
      <c r="V522" s="27">
        <v>-17.0</v>
      </c>
      <c r="W522" s="27"/>
      <c r="X522" s="27">
        <v>-17.5</v>
      </c>
      <c r="Y522" s="27"/>
      <c r="Z522" s="27">
        <v>-17.0</v>
      </c>
      <c r="AA522" s="27"/>
      <c r="AB522" s="27">
        <v>-17.0</v>
      </c>
      <c r="AC522" s="27"/>
      <c r="AD522" s="27">
        <v>-17.0</v>
      </c>
      <c r="AE522" s="27"/>
      <c r="AF522" s="27"/>
      <c r="AG522" s="27"/>
      <c r="AH522" s="27">
        <v>112.0</v>
      </c>
      <c r="AI522" s="27">
        <v>58.0</v>
      </c>
      <c r="AJ522" s="27">
        <v>2.0</v>
      </c>
      <c r="AK522" s="27" t="b">
        <v>0</v>
      </c>
      <c r="AL522" s="27">
        <v>100.0</v>
      </c>
      <c r="AM522" s="27" t="s">
        <v>193</v>
      </c>
      <c r="AN522" s="27" t="s">
        <v>405</v>
      </c>
      <c r="AO522" s="27"/>
    </row>
    <row r="523">
      <c r="A523" s="200">
        <v>44824.025102534724</v>
      </c>
      <c r="B523" s="19" t="s">
        <v>166</v>
      </c>
      <c r="C523" s="21" t="s">
        <v>327</v>
      </c>
      <c r="D523" s="62">
        <v>3.0</v>
      </c>
      <c r="E523" s="27">
        <v>0.0</v>
      </c>
      <c r="F523" s="27" t="s">
        <v>1398</v>
      </c>
      <c r="G523" s="201" t="s">
        <v>183</v>
      </c>
      <c r="H523" s="27" t="s">
        <v>178</v>
      </c>
      <c r="I523" s="27"/>
      <c r="J523" s="33">
        <v>-9.5</v>
      </c>
      <c r="K523" s="33">
        <v>-7.0</v>
      </c>
      <c r="L523" s="66">
        <v>61.0</v>
      </c>
      <c r="M523" s="27" t="s">
        <v>1399</v>
      </c>
      <c r="N523" s="27">
        <v>-7.0</v>
      </c>
      <c r="O523" s="27"/>
      <c r="P523" s="27">
        <v>-7.0</v>
      </c>
      <c r="Q523" s="27"/>
      <c r="R523" s="27">
        <v>-7.0</v>
      </c>
      <c r="S523" s="27"/>
      <c r="T523" s="27">
        <v>-7.0</v>
      </c>
      <c r="U523" s="27"/>
      <c r="V523" s="27">
        <v>-7.0</v>
      </c>
      <c r="W523" s="27"/>
      <c r="X523" s="27">
        <v>-7.0</v>
      </c>
      <c r="Y523" s="27"/>
      <c r="Z523" s="27">
        <v>-7.0</v>
      </c>
      <c r="AA523" s="27"/>
      <c r="AB523" s="27">
        <v>-7.0</v>
      </c>
      <c r="AC523" s="27"/>
      <c r="AD523" s="27">
        <v>-7.0</v>
      </c>
      <c r="AE523" s="27"/>
      <c r="AF523" s="27">
        <v>-7.0</v>
      </c>
      <c r="AG523" s="27"/>
      <c r="AH523" s="27">
        <v>91.0</v>
      </c>
      <c r="AI523" s="27">
        <v>72.0</v>
      </c>
      <c r="AJ523" s="27">
        <v>2.0</v>
      </c>
      <c r="AK523" s="27" t="b">
        <v>0</v>
      </c>
      <c r="AL523" s="27">
        <v>100.0</v>
      </c>
      <c r="AM523" s="27" t="s">
        <v>188</v>
      </c>
      <c r="AN523" s="27" t="s">
        <v>404</v>
      </c>
      <c r="AO523" s="27"/>
    </row>
    <row r="524">
      <c r="A524" s="200">
        <v>44824.025102534724</v>
      </c>
      <c r="B524" s="19"/>
      <c r="C524" s="21"/>
      <c r="D524" s="62"/>
      <c r="E524" s="27"/>
      <c r="F524" s="27"/>
      <c r="G524" s="201"/>
      <c r="H524" s="27"/>
      <c r="I524" s="27"/>
      <c r="J524" s="33"/>
      <c r="K524" s="33"/>
      <c r="L524" s="66"/>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t="e">
        <v>#N/A</v>
      </c>
      <c r="AN524" s="27" t="e">
        <v>#N/A</v>
      </c>
      <c r="AO524" s="27"/>
    </row>
    <row r="525">
      <c r="A525" s="200">
        <v>44824.025102534724</v>
      </c>
      <c r="B525" s="19" t="s">
        <v>116</v>
      </c>
      <c r="C525" s="21" t="s">
        <v>347</v>
      </c>
      <c r="D525" s="62">
        <v>0.0</v>
      </c>
      <c r="E525" s="27">
        <v>2.0</v>
      </c>
      <c r="F525" s="27"/>
      <c r="G525" s="201"/>
      <c r="H525" s="27"/>
      <c r="I525" s="27" t="s">
        <v>133</v>
      </c>
      <c r="J525" s="33"/>
      <c r="K525" s="33"/>
      <c r="L525" s="66"/>
      <c r="M525" s="27"/>
      <c r="N525" s="27"/>
      <c r="O525" s="27"/>
      <c r="P525" s="27"/>
      <c r="Q525" s="27"/>
      <c r="R525" s="27"/>
      <c r="S525" s="27"/>
      <c r="T525" s="27"/>
      <c r="U525" s="27"/>
      <c r="V525" s="27"/>
      <c r="W525" s="27"/>
      <c r="X525" s="27"/>
      <c r="Y525" s="27"/>
      <c r="Z525" s="27"/>
      <c r="AA525" s="27"/>
      <c r="AB525" s="27"/>
      <c r="AC525" s="27"/>
      <c r="AD525" s="27"/>
      <c r="AE525" s="27"/>
      <c r="AF525" s="27"/>
      <c r="AG525" s="27"/>
      <c r="AH525" s="27">
        <v>20.0</v>
      </c>
      <c r="AI525" s="27">
        <v>51.0</v>
      </c>
      <c r="AJ525" s="27">
        <v>0.0</v>
      </c>
      <c r="AK525" s="27" t="b">
        <v>1</v>
      </c>
      <c r="AL525" s="27">
        <v>59.0</v>
      </c>
      <c r="AM525" s="27" t="s">
        <v>389</v>
      </c>
      <c r="AN525" s="27" t="s">
        <v>405</v>
      </c>
      <c r="AO525" s="27"/>
    </row>
    <row r="526">
      <c r="A526" s="200">
        <v>44824.025102534724</v>
      </c>
      <c r="B526" s="19" t="s">
        <v>116</v>
      </c>
      <c r="C526" s="21" t="s">
        <v>388</v>
      </c>
      <c r="D526" s="62">
        <v>2.0</v>
      </c>
      <c r="E526" s="27">
        <v>0.0</v>
      </c>
      <c r="F526" s="27"/>
      <c r="G526" s="201"/>
      <c r="H526" s="27"/>
      <c r="I526" s="27" t="s">
        <v>133</v>
      </c>
      <c r="J526" s="33">
        <v>-38.0</v>
      </c>
      <c r="K526" s="33">
        <v>-40.0</v>
      </c>
      <c r="L526" s="66">
        <v>55.0</v>
      </c>
      <c r="M526" s="27" t="e">
        <v>#ERROR!</v>
      </c>
      <c r="N526" s="27">
        <v>-41.5</v>
      </c>
      <c r="O526" s="27"/>
      <c r="P526" s="27">
        <v>-42.5</v>
      </c>
      <c r="Q526" s="27"/>
      <c r="R526" s="27">
        <v>-42.0</v>
      </c>
      <c r="S526" s="27"/>
      <c r="T526" s="27">
        <v>-40.0</v>
      </c>
      <c r="U526" s="27"/>
      <c r="V526" s="27">
        <v>-41.5</v>
      </c>
      <c r="W526" s="27"/>
      <c r="X526" s="27">
        <v>-40.5</v>
      </c>
      <c r="Y526" s="27"/>
      <c r="Z526" s="27">
        <v>-40.0</v>
      </c>
      <c r="AA526" s="27"/>
      <c r="AB526" s="27">
        <v>-40.0</v>
      </c>
      <c r="AC526" s="27"/>
      <c r="AD526" s="27"/>
      <c r="AE526" s="27"/>
      <c r="AF526" s="27"/>
      <c r="AG526" s="27"/>
      <c r="AH526" s="27">
        <v>107.0</v>
      </c>
      <c r="AI526" s="27">
        <v>14.0</v>
      </c>
      <c r="AJ526" s="27">
        <v>0.0</v>
      </c>
      <c r="AK526" s="27" t="b">
        <v>1</v>
      </c>
      <c r="AL526" s="27">
        <v>59.0</v>
      </c>
      <c r="AM526" s="27" t="s">
        <v>193</v>
      </c>
      <c r="AN526" s="27" t="s">
        <v>405</v>
      </c>
      <c r="AO526" s="27"/>
    </row>
    <row r="527">
      <c r="A527" s="200">
        <v>44824.025102534724</v>
      </c>
      <c r="B527" s="19" t="s">
        <v>116</v>
      </c>
      <c r="C527" s="21" t="s">
        <v>332</v>
      </c>
      <c r="D527" s="62">
        <v>2.0</v>
      </c>
      <c r="E527" s="27">
        <v>1.0</v>
      </c>
      <c r="F527" s="27" t="s">
        <v>1352</v>
      </c>
      <c r="G527" s="201" t="s">
        <v>57</v>
      </c>
      <c r="H527" s="27" t="s">
        <v>53</v>
      </c>
      <c r="I527" s="27"/>
      <c r="J527" s="33">
        <v>-20.5</v>
      </c>
      <c r="K527" s="33">
        <v>-24.0</v>
      </c>
      <c r="L527" s="66">
        <v>39.5</v>
      </c>
      <c r="M527" s="27" t="s">
        <v>1353</v>
      </c>
      <c r="N527" s="27">
        <v>-24.0</v>
      </c>
      <c r="O527" s="27"/>
      <c r="P527" s="27">
        <v>-24.0</v>
      </c>
      <c r="Q527" s="27"/>
      <c r="R527" s="27">
        <v>-23.5</v>
      </c>
      <c r="S527" s="27"/>
      <c r="T527" s="27">
        <v>-24.0</v>
      </c>
      <c r="U527" s="27"/>
      <c r="V527" s="27">
        <v>-24.0</v>
      </c>
      <c r="W527" s="27"/>
      <c r="X527" s="27">
        <v>-24.0</v>
      </c>
      <c r="Y527" s="27"/>
      <c r="Z527" s="27">
        <v>-24.0</v>
      </c>
      <c r="AA527" s="27"/>
      <c r="AB527" s="27">
        <v>-24.0</v>
      </c>
      <c r="AC527" s="27"/>
      <c r="AD527" s="27">
        <v>-24.0</v>
      </c>
      <c r="AE527" s="27"/>
      <c r="AF527" s="27">
        <v>-24.0</v>
      </c>
      <c r="AG527" s="27"/>
      <c r="AH527" s="27">
        <v>41.0</v>
      </c>
      <c r="AI527" s="27">
        <v>13.0</v>
      </c>
      <c r="AJ527" s="27">
        <v>2.0</v>
      </c>
      <c r="AK527" s="27" t="b">
        <v>1</v>
      </c>
      <c r="AL527" s="27">
        <v>100.0</v>
      </c>
      <c r="AM527" s="27" t="s">
        <v>188</v>
      </c>
      <c r="AN527" s="27" t="s">
        <v>404</v>
      </c>
      <c r="AO527" s="27"/>
    </row>
    <row r="528">
      <c r="A528" s="200">
        <v>44824.025102534724</v>
      </c>
      <c r="B528" s="19" t="s">
        <v>116</v>
      </c>
      <c r="C528" s="21" t="s">
        <v>369</v>
      </c>
      <c r="D528" s="62">
        <v>3.0</v>
      </c>
      <c r="E528" s="27">
        <v>0.0</v>
      </c>
      <c r="F528" s="27" t="s">
        <v>1437</v>
      </c>
      <c r="G528" s="201" t="s">
        <v>57</v>
      </c>
      <c r="H528" s="27" t="s">
        <v>144</v>
      </c>
      <c r="I528" s="27"/>
      <c r="J528" s="33">
        <v>-16.0</v>
      </c>
      <c r="K528" s="33">
        <v>-11.5</v>
      </c>
      <c r="L528" s="66">
        <v>71.5</v>
      </c>
      <c r="M528" s="27" t="s">
        <v>1438</v>
      </c>
      <c r="N528" s="27">
        <v>-11.5</v>
      </c>
      <c r="O528" s="27"/>
      <c r="P528" s="27">
        <v>-12.0</v>
      </c>
      <c r="Q528" s="27"/>
      <c r="R528" s="27">
        <v>-12.0</v>
      </c>
      <c r="S528" s="27"/>
      <c r="T528" s="27">
        <v>-11.5</v>
      </c>
      <c r="U528" s="27"/>
      <c r="V528" s="27">
        <v>-11.5</v>
      </c>
      <c r="W528" s="27"/>
      <c r="X528" s="27">
        <v>-11.5</v>
      </c>
      <c r="Y528" s="27"/>
      <c r="Z528" s="27">
        <v>-11.5</v>
      </c>
      <c r="AA528" s="27"/>
      <c r="AB528" s="27">
        <v>-11.5</v>
      </c>
      <c r="AC528" s="27"/>
      <c r="AD528" s="27">
        <v>-11.5</v>
      </c>
      <c r="AE528" s="27"/>
      <c r="AF528" s="27">
        <v>-11.5</v>
      </c>
      <c r="AG528" s="27"/>
      <c r="AH528" s="27">
        <v>152.0</v>
      </c>
      <c r="AI528" s="27">
        <v>59.0</v>
      </c>
      <c r="AJ528" s="27">
        <v>2.0</v>
      </c>
      <c r="AK528" s="27" t="b">
        <v>1</v>
      </c>
      <c r="AL528" s="27">
        <v>100.0</v>
      </c>
      <c r="AM528" s="27" t="s">
        <v>191</v>
      </c>
      <c r="AN528" s="27" t="s">
        <v>404</v>
      </c>
      <c r="AO528" s="27"/>
    </row>
    <row r="529">
      <c r="A529" s="200">
        <v>44824.025102534724</v>
      </c>
      <c r="B529" s="19" t="s">
        <v>116</v>
      </c>
      <c r="C529" s="21" t="s">
        <v>355</v>
      </c>
      <c r="D529" s="62">
        <v>2.0</v>
      </c>
      <c r="E529" s="27">
        <v>1.0</v>
      </c>
      <c r="F529" s="27" t="s">
        <v>1427</v>
      </c>
      <c r="G529" s="201" t="s">
        <v>57</v>
      </c>
      <c r="H529" s="27" t="s">
        <v>109</v>
      </c>
      <c r="I529" s="27"/>
      <c r="J529" s="33">
        <v>11.0</v>
      </c>
      <c r="K529" s="33">
        <v>11.5</v>
      </c>
      <c r="L529" s="66">
        <v>52.0</v>
      </c>
      <c r="M529" s="27" t="s">
        <v>1428</v>
      </c>
      <c r="N529" s="27">
        <v>11.5</v>
      </c>
      <c r="O529" s="27"/>
      <c r="P529" s="27">
        <v>12.0</v>
      </c>
      <c r="Q529" s="27"/>
      <c r="R529" s="27">
        <v>12.5</v>
      </c>
      <c r="S529" s="27"/>
      <c r="T529" s="27">
        <v>11.5</v>
      </c>
      <c r="U529" s="27"/>
      <c r="V529" s="27">
        <v>11.5</v>
      </c>
      <c r="W529" s="27"/>
      <c r="X529" s="27">
        <v>12.5</v>
      </c>
      <c r="Y529" s="27"/>
      <c r="Z529" s="27">
        <v>11.5</v>
      </c>
      <c r="AA529" s="27"/>
      <c r="AB529" s="27">
        <v>12.5</v>
      </c>
      <c r="AC529" s="27"/>
      <c r="AD529" s="27">
        <v>11.5</v>
      </c>
      <c r="AE529" s="27"/>
      <c r="AF529" s="27">
        <v>11.5</v>
      </c>
      <c r="AG529" s="27"/>
      <c r="AH529" s="27">
        <v>99.0</v>
      </c>
      <c r="AI529" s="27">
        <v>97.0</v>
      </c>
      <c r="AJ529" s="27">
        <v>2.0</v>
      </c>
      <c r="AK529" s="27" t="b">
        <v>1</v>
      </c>
      <c r="AL529" s="27">
        <v>100.0</v>
      </c>
      <c r="AM529" s="27" t="s">
        <v>189</v>
      </c>
      <c r="AN529" s="27" t="s">
        <v>405</v>
      </c>
      <c r="AO529" s="27"/>
    </row>
    <row r="530">
      <c r="A530" s="200">
        <v>44824.025102534724</v>
      </c>
      <c r="B530" s="19" t="s">
        <v>116</v>
      </c>
      <c r="C530" s="21" t="s">
        <v>354</v>
      </c>
      <c r="D530" s="62">
        <v>3.0</v>
      </c>
      <c r="E530" s="27">
        <v>0.0</v>
      </c>
      <c r="F530" s="27" t="s">
        <v>1454</v>
      </c>
      <c r="G530" s="201" t="s">
        <v>57</v>
      </c>
      <c r="H530" s="27"/>
      <c r="I530" s="27"/>
      <c r="J530" s="33">
        <v>-57.5</v>
      </c>
      <c r="K530" s="33">
        <v>-55.0</v>
      </c>
      <c r="L530" s="66">
        <v>64.5</v>
      </c>
      <c r="M530" s="27" t="s">
        <v>1139</v>
      </c>
      <c r="N530" s="27">
        <v>-54.5</v>
      </c>
      <c r="O530" s="27"/>
      <c r="P530" s="27">
        <v>-54.5</v>
      </c>
      <c r="Q530" s="27"/>
      <c r="R530" s="27">
        <v>-55.0</v>
      </c>
      <c r="S530" s="27"/>
      <c r="T530" s="27">
        <v>-55.0</v>
      </c>
      <c r="U530" s="27"/>
      <c r="V530" s="27">
        <v>-54.5</v>
      </c>
      <c r="W530" s="27"/>
      <c r="X530" s="27">
        <v>-54.5</v>
      </c>
      <c r="Y530" s="27"/>
      <c r="Z530" s="27">
        <v>-55.0</v>
      </c>
      <c r="AA530" s="27"/>
      <c r="AB530" s="27">
        <v>-55.0</v>
      </c>
      <c r="AC530" s="27"/>
      <c r="AD530" s="27"/>
      <c r="AE530" s="27"/>
      <c r="AF530" s="27"/>
      <c r="AG530" s="27"/>
      <c r="AH530" s="27">
        <v>155.0</v>
      </c>
      <c r="AI530" s="27">
        <v>68.0</v>
      </c>
      <c r="AJ530" s="27">
        <v>2.0</v>
      </c>
      <c r="AK530" s="27" t="b">
        <v>0</v>
      </c>
      <c r="AL530" s="27">
        <v>100.0</v>
      </c>
      <c r="AM530" s="27" t="s">
        <v>187</v>
      </c>
      <c r="AN530" s="27" t="s">
        <v>404</v>
      </c>
      <c r="AO530" s="27"/>
    </row>
    <row r="531">
      <c r="A531" s="200">
        <v>44824.025102534724</v>
      </c>
      <c r="B531" s="19" t="s">
        <v>116</v>
      </c>
      <c r="C531" s="21" t="s">
        <v>336</v>
      </c>
      <c r="D531" s="62">
        <v>0.0</v>
      </c>
      <c r="E531" s="27">
        <v>3.0</v>
      </c>
      <c r="F531" s="27" t="s">
        <v>1376</v>
      </c>
      <c r="G531" s="201" t="s">
        <v>57</v>
      </c>
      <c r="H531" s="27" t="s">
        <v>131</v>
      </c>
      <c r="I531" s="27"/>
      <c r="J531" s="33">
        <v>17.0</v>
      </c>
      <c r="K531" s="33">
        <v>17.0</v>
      </c>
      <c r="L531" s="66">
        <v>52.5</v>
      </c>
      <c r="M531" s="27" t="s">
        <v>1377</v>
      </c>
      <c r="N531" s="27">
        <v>17.0</v>
      </c>
      <c r="O531" s="27"/>
      <c r="P531" s="27">
        <v>17.0</v>
      </c>
      <c r="Q531" s="27"/>
      <c r="R531" s="27">
        <v>17.0</v>
      </c>
      <c r="S531" s="27"/>
      <c r="T531" s="27">
        <v>17.0</v>
      </c>
      <c r="U531" s="27"/>
      <c r="V531" s="27">
        <v>17.0</v>
      </c>
      <c r="W531" s="27"/>
      <c r="X531" s="27">
        <v>17.0</v>
      </c>
      <c r="Y531" s="27"/>
      <c r="Z531" s="27">
        <v>17.0</v>
      </c>
      <c r="AA531" s="27"/>
      <c r="AB531" s="27">
        <v>17.0</v>
      </c>
      <c r="AC531" s="27"/>
      <c r="AD531" s="27">
        <v>17.0</v>
      </c>
      <c r="AE531" s="27"/>
      <c r="AF531" s="27">
        <v>17.0</v>
      </c>
      <c r="AG531" s="27"/>
      <c r="AH531" s="27">
        <v>33.0</v>
      </c>
      <c r="AI531" s="27">
        <v>123.0</v>
      </c>
      <c r="AJ531" s="27">
        <v>2.0</v>
      </c>
      <c r="AK531" s="27" t="b">
        <v>0</v>
      </c>
      <c r="AL531" s="27">
        <v>100.0</v>
      </c>
      <c r="AM531" s="27" t="s">
        <v>129</v>
      </c>
      <c r="AN531" s="27" t="s">
        <v>405</v>
      </c>
      <c r="AO531" s="27"/>
    </row>
    <row r="532">
      <c r="A532" s="200">
        <v>44824.025102534724</v>
      </c>
      <c r="B532" s="19" t="s">
        <v>116</v>
      </c>
      <c r="C532" s="21" t="s">
        <v>348</v>
      </c>
      <c r="D532" s="62">
        <v>1.0</v>
      </c>
      <c r="E532" s="27">
        <v>2.0</v>
      </c>
      <c r="F532" s="27" t="s">
        <v>1455</v>
      </c>
      <c r="G532" s="201" t="s">
        <v>57</v>
      </c>
      <c r="H532" s="27" t="s">
        <v>103</v>
      </c>
      <c r="I532" s="27"/>
      <c r="J532" s="33">
        <v>7.5</v>
      </c>
      <c r="K532" s="33">
        <v>17.0</v>
      </c>
      <c r="L532" s="66">
        <v>62.5</v>
      </c>
      <c r="M532" s="27" t="s">
        <v>1456</v>
      </c>
      <c r="N532" s="27">
        <v>17.0</v>
      </c>
      <c r="O532" s="27"/>
      <c r="P532" s="27">
        <v>17.0</v>
      </c>
      <c r="Q532" s="27"/>
      <c r="R532" s="27">
        <v>17.0</v>
      </c>
      <c r="S532" s="27"/>
      <c r="T532" s="27">
        <v>17.0</v>
      </c>
      <c r="U532" s="27"/>
      <c r="V532" s="27">
        <v>17.0</v>
      </c>
      <c r="W532" s="27"/>
      <c r="X532" s="27">
        <v>17.0</v>
      </c>
      <c r="Y532" s="27"/>
      <c r="Z532" s="27">
        <v>17.0</v>
      </c>
      <c r="AA532" s="27"/>
      <c r="AB532" s="27">
        <v>17.0</v>
      </c>
      <c r="AC532" s="27"/>
      <c r="AD532" s="27">
        <v>17.0</v>
      </c>
      <c r="AE532" s="27"/>
      <c r="AF532" s="27">
        <v>17.0</v>
      </c>
      <c r="AG532" s="27"/>
      <c r="AH532" s="27">
        <v>45.0</v>
      </c>
      <c r="AI532" s="27">
        <v>100.0</v>
      </c>
      <c r="AJ532" s="27">
        <v>2.0</v>
      </c>
      <c r="AK532" s="27" t="b">
        <v>1</v>
      </c>
      <c r="AL532" s="27">
        <v>100.0</v>
      </c>
      <c r="AM532" s="27" t="s">
        <v>186</v>
      </c>
      <c r="AN532" s="27" t="s">
        <v>404</v>
      </c>
      <c r="AO532" s="27"/>
    </row>
    <row r="533">
      <c r="A533" s="200">
        <v>44824.025102534724</v>
      </c>
      <c r="B533" s="19" t="s">
        <v>116</v>
      </c>
      <c r="C533" s="21" t="s">
        <v>329</v>
      </c>
      <c r="D533" s="62">
        <v>1.0</v>
      </c>
      <c r="E533" s="27">
        <v>2.0</v>
      </c>
      <c r="F533" s="27" t="s">
        <v>1457</v>
      </c>
      <c r="G533" s="201" t="s">
        <v>57</v>
      </c>
      <c r="H533" s="27"/>
      <c r="I533" s="27"/>
      <c r="J533" s="33">
        <v>-20.5</v>
      </c>
      <c r="K533" s="33">
        <v>-21.5</v>
      </c>
      <c r="L533" s="66">
        <v>53.0</v>
      </c>
      <c r="M533" s="27" t="s">
        <v>1130</v>
      </c>
      <c r="N533" s="27">
        <v>-21.0</v>
      </c>
      <c r="O533" s="27"/>
      <c r="P533" s="27">
        <v>-21.0</v>
      </c>
      <c r="Q533" s="27"/>
      <c r="R533" s="27">
        <v>-21.0</v>
      </c>
      <c r="S533" s="27"/>
      <c r="T533" s="27">
        <v>-21.5</v>
      </c>
      <c r="U533" s="27"/>
      <c r="V533" s="27">
        <v>-21.0</v>
      </c>
      <c r="W533" s="27"/>
      <c r="X533" s="27">
        <v>-21.0</v>
      </c>
      <c r="Y533" s="27"/>
      <c r="Z533" s="27">
        <v>-21.5</v>
      </c>
      <c r="AA533" s="27"/>
      <c r="AB533" s="27">
        <v>-21.5</v>
      </c>
      <c r="AC533" s="27"/>
      <c r="AD533" s="27"/>
      <c r="AE533" s="27"/>
      <c r="AF533" s="27"/>
      <c r="AG533" s="27"/>
      <c r="AH533" s="27">
        <v>71.0</v>
      </c>
      <c r="AI533" s="27">
        <v>96.0</v>
      </c>
      <c r="AJ533" s="27">
        <v>2.0</v>
      </c>
      <c r="AK533" s="27" t="b">
        <v>0</v>
      </c>
      <c r="AL533" s="27">
        <v>100.0</v>
      </c>
      <c r="AM533" s="27" t="s">
        <v>190</v>
      </c>
      <c r="AN533" s="27" t="s">
        <v>405</v>
      </c>
      <c r="AO533" s="27"/>
    </row>
    <row r="534">
      <c r="A534" s="200">
        <v>44824.025102534724</v>
      </c>
      <c r="B534" s="19" t="s">
        <v>116</v>
      </c>
      <c r="C534" s="21" t="s">
        <v>313</v>
      </c>
      <c r="D534" s="62">
        <v>3.0</v>
      </c>
      <c r="E534" s="27">
        <v>0.0</v>
      </c>
      <c r="F534" s="27" t="s">
        <v>1458</v>
      </c>
      <c r="G534" s="201" t="s">
        <v>57</v>
      </c>
      <c r="H534" s="27" t="s">
        <v>154</v>
      </c>
      <c r="I534" s="27"/>
      <c r="J534" s="33">
        <v>-13.5</v>
      </c>
      <c r="K534" s="33">
        <v>-25.5</v>
      </c>
      <c r="L534" s="66">
        <v>55.5</v>
      </c>
      <c r="M534" s="27" t="s">
        <v>1459</v>
      </c>
      <c r="N534" s="27">
        <v>-25.5</v>
      </c>
      <c r="O534" s="27"/>
      <c r="P534" s="27">
        <v>-25.5</v>
      </c>
      <c r="Q534" s="27"/>
      <c r="R534" s="27">
        <v>-25.0</v>
      </c>
      <c r="S534" s="27"/>
      <c r="T534" s="27">
        <v>-25.5</v>
      </c>
      <c r="U534" s="27"/>
      <c r="V534" s="27">
        <v>-25.0</v>
      </c>
      <c r="W534" s="27"/>
      <c r="X534" s="27">
        <v>-25.5</v>
      </c>
      <c r="Y534" s="27"/>
      <c r="Z534" s="27">
        <v>-25.0</v>
      </c>
      <c r="AA534" s="27"/>
      <c r="AB534" s="27">
        <v>-25.0</v>
      </c>
      <c r="AC534" s="27"/>
      <c r="AD534" s="27">
        <v>-25.5</v>
      </c>
      <c r="AE534" s="27"/>
      <c r="AF534" s="27">
        <v>-25.5</v>
      </c>
      <c r="AG534" s="27"/>
      <c r="AH534" s="27">
        <v>130.0</v>
      </c>
      <c r="AI534" s="27">
        <v>10.0</v>
      </c>
      <c r="AJ534" s="27">
        <v>2.0</v>
      </c>
      <c r="AK534" s="27" t="b">
        <v>1</v>
      </c>
      <c r="AL534" s="27">
        <v>100.0</v>
      </c>
      <c r="AM534" s="27" t="s">
        <v>192</v>
      </c>
      <c r="AN534" s="27" t="s">
        <v>404</v>
      </c>
      <c r="AO534" s="27"/>
    </row>
    <row r="535">
      <c r="A535" s="200">
        <v>44824.025102534724</v>
      </c>
      <c r="B535" s="19"/>
      <c r="C535" s="21"/>
      <c r="D535" s="62"/>
      <c r="E535" s="27"/>
      <c r="F535" s="27"/>
      <c r="G535" s="201"/>
      <c r="H535" s="27"/>
      <c r="I535" s="27"/>
      <c r="J535" s="33"/>
      <c r="K535" s="33"/>
      <c r="L535" s="66"/>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t="e">
        <v>#N/A</v>
      </c>
      <c r="AN535" s="27" t="e">
        <v>#N/A</v>
      </c>
      <c r="AO535" s="27"/>
    </row>
    <row r="536">
      <c r="A536" s="200">
        <v>44824.025102534724</v>
      </c>
      <c r="B536" s="19" t="s">
        <v>148</v>
      </c>
      <c r="C536" s="21" t="s">
        <v>387</v>
      </c>
      <c r="D536" s="62">
        <v>2.0</v>
      </c>
      <c r="E536" s="27">
        <v>1.0</v>
      </c>
      <c r="F536" s="27" t="s">
        <v>1439</v>
      </c>
      <c r="G536" s="201" t="s">
        <v>57</v>
      </c>
      <c r="H536" s="27" t="s">
        <v>144</v>
      </c>
      <c r="I536" s="27"/>
      <c r="J536" s="33">
        <v>-9.0</v>
      </c>
      <c r="K536" s="33">
        <v>-6.5</v>
      </c>
      <c r="L536" s="66">
        <v>45.0</v>
      </c>
      <c r="M536" s="27" t="s">
        <v>1107</v>
      </c>
      <c r="N536" s="27">
        <v>-6.5</v>
      </c>
      <c r="O536" s="27"/>
      <c r="P536" s="27">
        <v>-6.5</v>
      </c>
      <c r="Q536" s="27"/>
      <c r="R536" s="27">
        <v>-6.5</v>
      </c>
      <c r="S536" s="27"/>
      <c r="T536" s="27">
        <v>-6.5</v>
      </c>
      <c r="U536" s="27"/>
      <c r="V536" s="27">
        <v>-6.5</v>
      </c>
      <c r="W536" s="27"/>
      <c r="X536" s="27">
        <v>-6.5</v>
      </c>
      <c r="Y536" s="27"/>
      <c r="Z536" s="27">
        <v>-6.5</v>
      </c>
      <c r="AA536" s="27"/>
      <c r="AB536" s="27">
        <v>-6.0</v>
      </c>
      <c r="AC536" s="27"/>
      <c r="AD536" s="27">
        <v>-6.5</v>
      </c>
      <c r="AE536" s="27"/>
      <c r="AF536" s="27">
        <v>-6.5</v>
      </c>
      <c r="AG536" s="27"/>
      <c r="AH536" s="27">
        <v>62.0</v>
      </c>
      <c r="AI536" s="27">
        <v>26.0</v>
      </c>
      <c r="AJ536" s="27">
        <v>2.0</v>
      </c>
      <c r="AK536" s="27" t="b">
        <v>0</v>
      </c>
      <c r="AL536" s="27">
        <v>100.0</v>
      </c>
      <c r="AM536" s="27" t="s">
        <v>192</v>
      </c>
      <c r="AN536" s="27" t="s">
        <v>404</v>
      </c>
      <c r="AO536" s="27"/>
    </row>
    <row r="537">
      <c r="A537" s="200">
        <v>44824.025102534724</v>
      </c>
      <c r="B537" s="19" t="s">
        <v>148</v>
      </c>
      <c r="C537" s="21" t="s">
        <v>377</v>
      </c>
      <c r="D537" s="62">
        <v>3.0</v>
      </c>
      <c r="E537" s="27">
        <v>0.0</v>
      </c>
      <c r="F537" s="27" t="s">
        <v>1408</v>
      </c>
      <c r="G537" s="201" t="s">
        <v>57</v>
      </c>
      <c r="H537" s="27" t="s">
        <v>138</v>
      </c>
      <c r="I537" s="27"/>
      <c r="J537" s="33">
        <v>-3.0</v>
      </c>
      <c r="K537" s="33">
        <v>-3.5</v>
      </c>
      <c r="L537" s="66">
        <v>56.5</v>
      </c>
      <c r="M537" s="27" t="s">
        <v>1409</v>
      </c>
      <c r="N537" s="27">
        <v>-3.5</v>
      </c>
      <c r="O537" s="27"/>
      <c r="P537" s="27">
        <v>-3.5</v>
      </c>
      <c r="Q537" s="27"/>
      <c r="R537" s="27">
        <v>-3.5</v>
      </c>
      <c r="S537" s="27"/>
      <c r="T537" s="27">
        <v>-4.0</v>
      </c>
      <c r="U537" s="27"/>
      <c r="V537" s="27">
        <v>-3.5</v>
      </c>
      <c r="W537" s="27"/>
      <c r="X537" s="27">
        <v>-3.5</v>
      </c>
      <c r="Y537" s="27"/>
      <c r="Z537" s="27">
        <v>-4.0</v>
      </c>
      <c r="AA537" s="27"/>
      <c r="AB537" s="27">
        <v>-3.5</v>
      </c>
      <c r="AC537" s="27"/>
      <c r="AD537" s="27">
        <v>-4.0</v>
      </c>
      <c r="AE537" s="27"/>
      <c r="AF537" s="27">
        <v>-4.0</v>
      </c>
      <c r="AG537" s="27"/>
      <c r="AH537" s="27">
        <v>136.0</v>
      </c>
      <c r="AI537" s="27">
        <v>54.0</v>
      </c>
      <c r="AJ537" s="27">
        <v>2.0</v>
      </c>
      <c r="AK537" s="27" t="b">
        <v>0</v>
      </c>
      <c r="AL537" s="27">
        <v>100.0</v>
      </c>
      <c r="AM537" s="27" t="s">
        <v>191</v>
      </c>
      <c r="AN537" s="27" t="s">
        <v>404</v>
      </c>
      <c r="AO537" s="27"/>
    </row>
    <row r="538">
      <c r="A538" s="200">
        <v>44824.025102534724</v>
      </c>
      <c r="B538" s="19" t="s">
        <v>148</v>
      </c>
      <c r="C538" s="21" t="s">
        <v>374</v>
      </c>
      <c r="D538" s="62">
        <v>2.0</v>
      </c>
      <c r="E538" s="27">
        <v>1.0</v>
      </c>
      <c r="F538" s="27" t="s">
        <v>1355</v>
      </c>
      <c r="G538" s="201" t="s">
        <v>57</v>
      </c>
      <c r="H538" s="27" t="s">
        <v>53</v>
      </c>
      <c r="I538" s="27"/>
      <c r="J538" s="33">
        <v>-10.5</v>
      </c>
      <c r="K538" s="33">
        <v>-7.5</v>
      </c>
      <c r="L538" s="66">
        <v>61.5</v>
      </c>
      <c r="M538" s="27" t="s">
        <v>1356</v>
      </c>
      <c r="N538" s="27">
        <v>-7.5</v>
      </c>
      <c r="O538" s="27"/>
      <c r="P538" s="27">
        <v>-7.5</v>
      </c>
      <c r="Q538" s="27"/>
      <c r="R538" s="27">
        <v>-7.5</v>
      </c>
      <c r="S538" s="27"/>
      <c r="T538" s="27">
        <v>-7.5</v>
      </c>
      <c r="U538" s="27"/>
      <c r="V538" s="27">
        <v>-7.5</v>
      </c>
      <c r="W538" s="27"/>
      <c r="X538" s="27">
        <v>-7.5</v>
      </c>
      <c r="Y538" s="27"/>
      <c r="Z538" s="27">
        <v>-7.0</v>
      </c>
      <c r="AA538" s="27"/>
      <c r="AB538" s="27">
        <v>-7.5</v>
      </c>
      <c r="AC538" s="27"/>
      <c r="AD538" s="27">
        <v>-7.5</v>
      </c>
      <c r="AE538" s="27"/>
      <c r="AF538" s="27">
        <v>-7.5</v>
      </c>
      <c r="AG538" s="27"/>
      <c r="AH538" s="27">
        <v>110.0</v>
      </c>
      <c r="AI538" s="27">
        <v>44.0</v>
      </c>
      <c r="AJ538" s="27">
        <v>2.0</v>
      </c>
      <c r="AK538" s="27" t="b">
        <v>0</v>
      </c>
      <c r="AL538" s="27">
        <v>100.0</v>
      </c>
      <c r="AM538" s="27" t="s">
        <v>389</v>
      </c>
      <c r="AN538" s="27" t="s">
        <v>405</v>
      </c>
      <c r="AO538" s="27"/>
    </row>
    <row r="539">
      <c r="A539" s="200">
        <v>44824.025102534724</v>
      </c>
      <c r="B539" s="19" t="s">
        <v>148</v>
      </c>
      <c r="C539" s="21" t="s">
        <v>316</v>
      </c>
      <c r="D539" s="62">
        <v>2.0</v>
      </c>
      <c r="E539" s="27">
        <v>1.0</v>
      </c>
      <c r="F539" s="27" t="s">
        <v>1460</v>
      </c>
      <c r="G539" s="201" t="s">
        <v>57</v>
      </c>
      <c r="H539" s="27"/>
      <c r="I539" s="27"/>
      <c r="J539" s="33">
        <v>-21.0</v>
      </c>
      <c r="K539" s="33">
        <v>-24.5</v>
      </c>
      <c r="L539" s="66">
        <v>53.5</v>
      </c>
      <c r="M539" s="27" t="s">
        <v>1413</v>
      </c>
      <c r="N539" s="27">
        <v>-24.5</v>
      </c>
      <c r="O539" s="27"/>
      <c r="P539" s="27">
        <v>-25.0</v>
      </c>
      <c r="Q539" s="27"/>
      <c r="R539" s="27">
        <v>-26.0</v>
      </c>
      <c r="S539" s="27"/>
      <c r="T539" s="27">
        <v>-24.5</v>
      </c>
      <c r="U539" s="27"/>
      <c r="V539" s="27">
        <v>-24.5</v>
      </c>
      <c r="W539" s="27"/>
      <c r="X539" s="27">
        <v>-24.0</v>
      </c>
      <c r="Y539" s="27"/>
      <c r="Z539" s="27"/>
      <c r="AA539" s="27"/>
      <c r="AB539" s="27"/>
      <c r="AC539" s="27"/>
      <c r="AD539" s="27"/>
      <c r="AE539" s="27"/>
      <c r="AF539" s="27"/>
      <c r="AG539" s="27"/>
      <c r="AH539" s="27">
        <v>78.0</v>
      </c>
      <c r="AI539" s="27">
        <v>55.0</v>
      </c>
      <c r="AJ539" s="27">
        <v>2.0</v>
      </c>
      <c r="AK539" s="27" t="b">
        <v>0</v>
      </c>
      <c r="AL539" s="27">
        <v>100.0</v>
      </c>
      <c r="AM539" s="27" t="s">
        <v>129</v>
      </c>
      <c r="AN539" s="27" t="s">
        <v>405</v>
      </c>
      <c r="AO539" s="27"/>
    </row>
    <row r="540">
      <c r="A540" s="200">
        <v>44824.025102534724</v>
      </c>
      <c r="B540" s="19" t="s">
        <v>148</v>
      </c>
      <c r="C540" s="21" t="s">
        <v>401</v>
      </c>
      <c r="D540" s="62">
        <v>1.0</v>
      </c>
      <c r="E540" s="27">
        <v>2.0</v>
      </c>
      <c r="F540" s="27" t="s">
        <v>1461</v>
      </c>
      <c r="G540" s="201" t="s">
        <v>57</v>
      </c>
      <c r="H540" s="27"/>
      <c r="I540" s="27"/>
      <c r="J540" s="33">
        <v>-1.0</v>
      </c>
      <c r="K540" s="33">
        <v>-1.5</v>
      </c>
      <c r="L540" s="66">
        <v>44.0</v>
      </c>
      <c r="M540" s="27" t="s">
        <v>1462</v>
      </c>
      <c r="N540" s="27">
        <v>-1.0</v>
      </c>
      <c r="O540" s="27"/>
      <c r="P540" s="27">
        <v>-1.0</v>
      </c>
      <c r="Q540" s="27"/>
      <c r="R540" s="27">
        <v>-1.0</v>
      </c>
      <c r="S540" s="27"/>
      <c r="T540" s="27">
        <v>-1.5</v>
      </c>
      <c r="U540" s="27"/>
      <c r="V540" s="27">
        <v>-1.5</v>
      </c>
      <c r="W540" s="27"/>
      <c r="X540" s="27">
        <v>-1.0</v>
      </c>
      <c r="Y540" s="27"/>
      <c r="Z540" s="27">
        <v>-1.5</v>
      </c>
      <c r="AA540" s="27"/>
      <c r="AB540" s="27">
        <v>-1.5</v>
      </c>
      <c r="AC540" s="27"/>
      <c r="AD540" s="27"/>
      <c r="AE540" s="27"/>
      <c r="AF540" s="27"/>
      <c r="AG540" s="27"/>
      <c r="AH540" s="27">
        <v>40.0</v>
      </c>
      <c r="AI540" s="27">
        <v>100.0</v>
      </c>
      <c r="AJ540" s="27">
        <v>2.0</v>
      </c>
      <c r="AK540" s="27" t="b">
        <v>0</v>
      </c>
      <c r="AL540" s="27">
        <v>100.0</v>
      </c>
      <c r="AM540" s="27" t="s">
        <v>189</v>
      </c>
      <c r="AN540" s="27" t="s">
        <v>405</v>
      </c>
      <c r="AO540" s="27"/>
    </row>
    <row r="541">
      <c r="A541" s="200">
        <v>44824.025102534724</v>
      </c>
      <c r="B541" s="19" t="s">
        <v>148</v>
      </c>
      <c r="C541" s="21" t="s">
        <v>326</v>
      </c>
      <c r="D541" s="62">
        <v>3.0</v>
      </c>
      <c r="E541" s="27">
        <v>0.0</v>
      </c>
      <c r="F541" s="27" t="s">
        <v>1361</v>
      </c>
      <c r="G541" s="201" t="s">
        <v>57</v>
      </c>
      <c r="H541" s="27" t="s">
        <v>53</v>
      </c>
      <c r="I541" s="27"/>
      <c r="J541" s="33">
        <v>-20.0</v>
      </c>
      <c r="K541" s="33">
        <v>-19.0</v>
      </c>
      <c r="L541" s="66">
        <v>47.5</v>
      </c>
      <c r="M541" s="27" t="s">
        <v>1362</v>
      </c>
      <c r="N541" s="27">
        <v>-19.5</v>
      </c>
      <c r="O541" s="27"/>
      <c r="P541" s="27">
        <v>-20.0</v>
      </c>
      <c r="Q541" s="27"/>
      <c r="R541" s="27">
        <v>-20.0</v>
      </c>
      <c r="S541" s="27"/>
      <c r="T541" s="27">
        <v>-19.0</v>
      </c>
      <c r="U541" s="27"/>
      <c r="V541" s="27">
        <v>-20.0</v>
      </c>
      <c r="W541" s="27"/>
      <c r="X541" s="27">
        <v>-20.0</v>
      </c>
      <c r="Y541" s="27"/>
      <c r="Z541" s="27">
        <v>-20.0</v>
      </c>
      <c r="AA541" s="27"/>
      <c r="AB541" s="27">
        <v>-19.0</v>
      </c>
      <c r="AC541" s="27"/>
      <c r="AD541" s="27">
        <v>-19.0</v>
      </c>
      <c r="AE541" s="27"/>
      <c r="AF541" s="27"/>
      <c r="AG541" s="27"/>
      <c r="AH541" s="27">
        <v>95.0</v>
      </c>
      <c r="AI541" s="27">
        <v>27.0</v>
      </c>
      <c r="AJ541" s="27">
        <v>2.0</v>
      </c>
      <c r="AK541" s="27" t="b">
        <v>1</v>
      </c>
      <c r="AL541" s="27">
        <v>100.0</v>
      </c>
      <c r="AM541" s="27" t="s">
        <v>187</v>
      </c>
      <c r="AN541" s="27" t="s">
        <v>404</v>
      </c>
      <c r="AO541" s="27"/>
    </row>
    <row r="542">
      <c r="A542" s="200">
        <v>44824.025102534724</v>
      </c>
      <c r="B542" s="19" t="s">
        <v>148</v>
      </c>
      <c r="C542" s="21" t="s">
        <v>381</v>
      </c>
      <c r="D542" s="62">
        <v>1.0</v>
      </c>
      <c r="E542" s="27">
        <v>2.0</v>
      </c>
      <c r="F542" s="27" t="s">
        <v>1416</v>
      </c>
      <c r="G542" s="201" t="s">
        <v>57</v>
      </c>
      <c r="H542" s="27" t="s">
        <v>138</v>
      </c>
      <c r="I542" s="27"/>
      <c r="J542" s="33">
        <v>-1.0</v>
      </c>
      <c r="K542" s="33">
        <v>1.5</v>
      </c>
      <c r="L542" s="66">
        <v>59.5</v>
      </c>
      <c r="M542" s="27" t="s">
        <v>1417</v>
      </c>
      <c r="N542" s="27">
        <v>1.5</v>
      </c>
      <c r="O542" s="27"/>
      <c r="P542" s="27">
        <v>1.5</v>
      </c>
      <c r="Q542" s="27"/>
      <c r="R542" s="27">
        <v>1.5</v>
      </c>
      <c r="S542" s="27"/>
      <c r="T542" s="27">
        <v>1.5</v>
      </c>
      <c r="U542" s="27"/>
      <c r="V542" s="27">
        <v>1.5</v>
      </c>
      <c r="W542" s="27"/>
      <c r="X542" s="27">
        <v>1.5</v>
      </c>
      <c r="Y542" s="27"/>
      <c r="Z542" s="27">
        <v>1.5</v>
      </c>
      <c r="AA542" s="27"/>
      <c r="AB542" s="27">
        <v>1.5</v>
      </c>
      <c r="AC542" s="27"/>
      <c r="AD542" s="27">
        <v>1.5</v>
      </c>
      <c r="AE542" s="27"/>
      <c r="AF542" s="27">
        <v>1.5</v>
      </c>
      <c r="AG542" s="27"/>
      <c r="AH542" s="27">
        <v>116.0</v>
      </c>
      <c r="AI542" s="27">
        <v>67.0</v>
      </c>
      <c r="AJ542" s="27">
        <v>2.0</v>
      </c>
      <c r="AK542" s="27" t="b">
        <v>1</v>
      </c>
      <c r="AL542" s="27">
        <v>100.0</v>
      </c>
      <c r="AM542" s="27" t="s">
        <v>188</v>
      </c>
      <c r="AN542" s="27" t="s">
        <v>404</v>
      </c>
      <c r="AO542" s="27"/>
    </row>
    <row r="543">
      <c r="A543" s="200">
        <v>44824.025102534724</v>
      </c>
      <c r="B543" s="19" t="s">
        <v>148</v>
      </c>
      <c r="C543" s="21" t="s">
        <v>380</v>
      </c>
      <c r="D543" s="62">
        <v>1.0</v>
      </c>
      <c r="E543" s="27">
        <v>2.0</v>
      </c>
      <c r="F543" s="27" t="s">
        <v>1463</v>
      </c>
      <c r="G543" s="201" t="s">
        <v>57</v>
      </c>
      <c r="H543" s="27" t="s">
        <v>154</v>
      </c>
      <c r="I543" s="27"/>
      <c r="J543" s="33">
        <v>33.5</v>
      </c>
      <c r="K543" s="33">
        <v>30.0</v>
      </c>
      <c r="L543" s="66">
        <v>53.5</v>
      </c>
      <c r="M543" s="27" t="s">
        <v>1286</v>
      </c>
      <c r="N543" s="27">
        <v>30.5</v>
      </c>
      <c r="O543" s="27"/>
      <c r="P543" s="27">
        <v>30.0</v>
      </c>
      <c r="Q543" s="27"/>
      <c r="R543" s="27">
        <v>30.0</v>
      </c>
      <c r="S543" s="27"/>
      <c r="T543" s="27">
        <v>30.0</v>
      </c>
      <c r="U543" s="27"/>
      <c r="V543" s="27">
        <v>30.0</v>
      </c>
      <c r="W543" s="27"/>
      <c r="X543" s="27">
        <v>30.0</v>
      </c>
      <c r="Y543" s="27"/>
      <c r="Z543" s="27">
        <v>29.5</v>
      </c>
      <c r="AA543" s="27"/>
      <c r="AB543" s="27">
        <v>30.5</v>
      </c>
      <c r="AC543" s="27"/>
      <c r="AD543" s="27">
        <v>30.0</v>
      </c>
      <c r="AE543" s="27"/>
      <c r="AF543" s="27">
        <v>30.0</v>
      </c>
      <c r="AG543" s="27"/>
      <c r="AH543" s="27">
        <v>62.0</v>
      </c>
      <c r="AI543" s="27">
        <v>92.0</v>
      </c>
      <c r="AJ543" s="27">
        <v>2.0</v>
      </c>
      <c r="AK543" s="27" t="b">
        <v>0</v>
      </c>
      <c r="AL543" s="27">
        <v>100.0</v>
      </c>
      <c r="AM543" s="27" t="s">
        <v>193</v>
      </c>
      <c r="AN543" s="27" t="s">
        <v>405</v>
      </c>
      <c r="AO543" s="27"/>
    </row>
    <row r="544">
      <c r="A544" s="200">
        <v>44824.025102534724</v>
      </c>
      <c r="B544" s="19" t="s">
        <v>148</v>
      </c>
      <c r="C544" s="21" t="s">
        <v>384</v>
      </c>
      <c r="D544" s="62">
        <v>2.0</v>
      </c>
      <c r="E544" s="27">
        <v>1.0</v>
      </c>
      <c r="F544" s="27" t="s">
        <v>1464</v>
      </c>
      <c r="G544" s="201" t="s">
        <v>57</v>
      </c>
      <c r="H544" s="27"/>
      <c r="I544" s="27"/>
      <c r="J544" s="33">
        <v>-39.0</v>
      </c>
      <c r="K544" s="33">
        <v>-37.0</v>
      </c>
      <c r="L544" s="66">
        <v>45.5</v>
      </c>
      <c r="M544" s="27" t="s">
        <v>1286</v>
      </c>
      <c r="N544" s="27">
        <v>-36.5</v>
      </c>
      <c r="O544" s="27"/>
      <c r="P544" s="27">
        <v>-36.0</v>
      </c>
      <c r="Q544" s="27"/>
      <c r="R544" s="27">
        <v>-37.0</v>
      </c>
      <c r="S544" s="27"/>
      <c r="T544" s="27">
        <v>-37.0</v>
      </c>
      <c r="U544" s="27"/>
      <c r="V544" s="27">
        <v>-37.0</v>
      </c>
      <c r="W544" s="27"/>
      <c r="X544" s="27">
        <v>-37.0</v>
      </c>
      <c r="Y544" s="27"/>
      <c r="Z544" s="27">
        <v>-37.0</v>
      </c>
      <c r="AA544" s="27"/>
      <c r="AB544" s="27"/>
      <c r="AC544" s="27"/>
      <c r="AD544" s="27"/>
      <c r="AE544" s="27"/>
      <c r="AF544" s="27"/>
      <c r="AG544" s="27"/>
      <c r="AH544" s="27">
        <v>71.0</v>
      </c>
      <c r="AI544" s="27">
        <v>37.0</v>
      </c>
      <c r="AJ544" s="27">
        <v>2.0</v>
      </c>
      <c r="AK544" s="27" t="b">
        <v>0</v>
      </c>
      <c r="AL544" s="27">
        <v>100.0</v>
      </c>
      <c r="AM544" s="27" t="s">
        <v>186</v>
      </c>
      <c r="AN544" s="27" t="s">
        <v>404</v>
      </c>
      <c r="AO544" s="27"/>
    </row>
    <row r="545">
      <c r="A545" s="200">
        <v>44824.025102534724</v>
      </c>
      <c r="B545" s="19" t="s">
        <v>148</v>
      </c>
      <c r="C545" s="21" t="s">
        <v>335</v>
      </c>
      <c r="D545" s="62">
        <v>1.0</v>
      </c>
      <c r="E545" s="27">
        <v>2.0</v>
      </c>
      <c r="F545" s="27" t="s">
        <v>1452</v>
      </c>
      <c r="G545" s="201" t="s">
        <v>183</v>
      </c>
      <c r="H545" s="27" t="s">
        <v>166</v>
      </c>
      <c r="I545" s="27"/>
      <c r="J545" s="33">
        <v>17.0</v>
      </c>
      <c r="K545" s="33">
        <v>17.0</v>
      </c>
      <c r="L545" s="66">
        <v>50.5</v>
      </c>
      <c r="M545" s="27" t="s">
        <v>1453</v>
      </c>
      <c r="N545" s="27">
        <v>17.0</v>
      </c>
      <c r="O545" s="27"/>
      <c r="P545" s="27">
        <v>17.0</v>
      </c>
      <c r="Q545" s="27"/>
      <c r="R545" s="27">
        <v>17.0</v>
      </c>
      <c r="S545" s="27"/>
      <c r="T545" s="27">
        <v>17.0</v>
      </c>
      <c r="U545" s="27"/>
      <c r="V545" s="27">
        <v>17.0</v>
      </c>
      <c r="W545" s="27"/>
      <c r="X545" s="27">
        <v>17.5</v>
      </c>
      <c r="Y545" s="27"/>
      <c r="Z545" s="27">
        <v>17.0</v>
      </c>
      <c r="AA545" s="27"/>
      <c r="AB545" s="27">
        <v>17.0</v>
      </c>
      <c r="AC545" s="27"/>
      <c r="AD545" s="27">
        <v>17.0</v>
      </c>
      <c r="AE545" s="27"/>
      <c r="AF545" s="27"/>
      <c r="AG545" s="27"/>
      <c r="AH545" s="27">
        <v>108.0</v>
      </c>
      <c r="AI545" s="27">
        <v>135.0</v>
      </c>
      <c r="AJ545" s="27">
        <v>2.0</v>
      </c>
      <c r="AK545" s="27" t="b">
        <v>1</v>
      </c>
      <c r="AL545" s="27">
        <v>100.0</v>
      </c>
      <c r="AM545" s="27" t="s">
        <v>190</v>
      </c>
      <c r="AN545" s="27" t="s">
        <v>405</v>
      </c>
      <c r="AO545" s="27"/>
    </row>
    <row r="546">
      <c r="A546" s="200">
        <v>44824.025102534724</v>
      </c>
      <c r="B546" s="19"/>
      <c r="C546" s="21"/>
      <c r="D546" s="62"/>
      <c r="E546" s="27"/>
      <c r="F546" s="27"/>
      <c r="G546" s="201"/>
      <c r="H546" s="27"/>
      <c r="I546" s="27"/>
      <c r="J546" s="33"/>
      <c r="K546" s="33"/>
      <c r="L546" s="66"/>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t="e">
        <v>#N/A</v>
      </c>
      <c r="AN546" s="27" t="e">
        <v>#N/A</v>
      </c>
      <c r="AO546" s="27"/>
    </row>
    <row r="547">
      <c r="A547" s="200">
        <v>44824.025102534724</v>
      </c>
      <c r="B547" s="19" t="s">
        <v>103</v>
      </c>
      <c r="C547" s="21" t="s">
        <v>358</v>
      </c>
      <c r="D547" s="62">
        <v>2.0</v>
      </c>
      <c r="E547" s="27">
        <v>0.0</v>
      </c>
      <c r="F547" s="27"/>
      <c r="G547" s="201"/>
      <c r="H547" s="27"/>
      <c r="I547" s="27" t="s">
        <v>119</v>
      </c>
      <c r="J547" s="33">
        <v>-37.0</v>
      </c>
      <c r="K547" s="33">
        <v>-40.0</v>
      </c>
      <c r="L547" s="66">
        <v>66.5</v>
      </c>
      <c r="M547" s="27">
        <v>-0.33</v>
      </c>
      <c r="N547" s="27">
        <v>-39.5</v>
      </c>
      <c r="O547" s="27"/>
      <c r="P547" s="27">
        <v>-40.0</v>
      </c>
      <c r="Q547" s="27"/>
      <c r="R547" s="27">
        <v>-38.0</v>
      </c>
      <c r="S547" s="27"/>
      <c r="T547" s="27">
        <v>-40.0</v>
      </c>
      <c r="U547" s="27"/>
      <c r="V547" s="27">
        <v>-40.0</v>
      </c>
      <c r="W547" s="27"/>
      <c r="X547" s="27"/>
      <c r="Y547" s="27"/>
      <c r="Z547" s="27"/>
      <c r="AA547" s="27"/>
      <c r="AB547" s="27"/>
      <c r="AC547" s="27"/>
      <c r="AD547" s="27"/>
      <c r="AE547" s="27"/>
      <c r="AF547" s="27"/>
      <c r="AG547" s="27"/>
      <c r="AH547" s="27">
        <v>97.0</v>
      </c>
      <c r="AI547" s="27">
        <v>30.0</v>
      </c>
      <c r="AJ547" s="27">
        <v>0.0</v>
      </c>
      <c r="AK547" s="27" t="b">
        <v>1</v>
      </c>
      <c r="AL547" s="27">
        <v>59.0</v>
      </c>
      <c r="AM547" s="27" t="s">
        <v>187</v>
      </c>
      <c r="AN547" s="27" t="s">
        <v>404</v>
      </c>
      <c r="AO547" s="27"/>
    </row>
    <row r="548">
      <c r="A548" s="200">
        <v>44824.025102534724</v>
      </c>
      <c r="B548" s="19" t="s">
        <v>103</v>
      </c>
      <c r="C548" s="21" t="s">
        <v>356</v>
      </c>
      <c r="D548" s="62">
        <v>2.0</v>
      </c>
      <c r="E548" s="27">
        <v>1.0</v>
      </c>
      <c r="F548" s="27" t="s">
        <v>1425</v>
      </c>
      <c r="G548" s="201" t="s">
        <v>57</v>
      </c>
      <c r="H548" s="27" t="s">
        <v>109</v>
      </c>
      <c r="I548" s="27"/>
      <c r="J548" s="33">
        <v>20.0</v>
      </c>
      <c r="K548" s="33">
        <v>20.5</v>
      </c>
      <c r="L548" s="66">
        <v>56.5</v>
      </c>
      <c r="M548" s="27" t="s">
        <v>1426</v>
      </c>
      <c r="N548" s="27">
        <v>20.5</v>
      </c>
      <c r="O548" s="27"/>
      <c r="P548" s="27">
        <v>20.5</v>
      </c>
      <c r="Q548" s="27"/>
      <c r="R548" s="27">
        <v>20.0</v>
      </c>
      <c r="S548" s="27"/>
      <c r="T548" s="27">
        <v>20.5</v>
      </c>
      <c r="U548" s="27"/>
      <c r="V548" s="27">
        <v>20.5</v>
      </c>
      <c r="W548" s="27"/>
      <c r="X548" s="27">
        <v>20.5</v>
      </c>
      <c r="Y548" s="27"/>
      <c r="Z548" s="27">
        <v>20.5</v>
      </c>
      <c r="AA548" s="27"/>
      <c r="AB548" s="27">
        <v>20.5</v>
      </c>
      <c r="AC548" s="27"/>
      <c r="AD548" s="27">
        <v>20.5</v>
      </c>
      <c r="AE548" s="27"/>
      <c r="AF548" s="27"/>
      <c r="AG548" s="27"/>
      <c r="AH548" s="27">
        <v>93.0</v>
      </c>
      <c r="AI548" s="27">
        <v>104.0</v>
      </c>
      <c r="AJ548" s="27">
        <v>2.0</v>
      </c>
      <c r="AK548" s="27" t="b">
        <v>0</v>
      </c>
      <c r="AL548" s="27">
        <v>100.0</v>
      </c>
      <c r="AM548" s="27" t="s">
        <v>190</v>
      </c>
      <c r="AN548" s="27" t="s">
        <v>405</v>
      </c>
      <c r="AO548" s="27"/>
    </row>
    <row r="549">
      <c r="A549" s="200">
        <v>44824.025102534724</v>
      </c>
      <c r="B549" s="19" t="s">
        <v>103</v>
      </c>
      <c r="C549" s="21" t="s">
        <v>322</v>
      </c>
      <c r="D549" s="62">
        <v>2.0</v>
      </c>
      <c r="E549" s="27">
        <v>1.0</v>
      </c>
      <c r="F549" s="27" t="s">
        <v>1465</v>
      </c>
      <c r="G549" s="201" t="s">
        <v>57</v>
      </c>
      <c r="H549" s="27"/>
      <c r="I549" s="27"/>
      <c r="J549" s="33">
        <v>1.0</v>
      </c>
      <c r="K549" s="33">
        <v>3.5</v>
      </c>
      <c r="L549" s="66">
        <v>49.0</v>
      </c>
      <c r="M549" s="27" t="s">
        <v>1466</v>
      </c>
      <c r="N549" s="27">
        <v>3.0</v>
      </c>
      <c r="O549" s="27"/>
      <c r="P549" s="27">
        <v>3.0</v>
      </c>
      <c r="Q549" s="27"/>
      <c r="R549" s="27">
        <v>3.0</v>
      </c>
      <c r="S549" s="27"/>
      <c r="T549" s="27">
        <v>3.5</v>
      </c>
      <c r="U549" s="27"/>
      <c r="V549" s="27">
        <v>3.0</v>
      </c>
      <c r="W549" s="27"/>
      <c r="X549" s="27">
        <v>2.5</v>
      </c>
      <c r="Y549" s="27"/>
      <c r="Z549" s="27">
        <v>3.5</v>
      </c>
      <c r="AA549" s="27"/>
      <c r="AB549" s="27">
        <v>3.5</v>
      </c>
      <c r="AC549" s="27"/>
      <c r="AD549" s="27"/>
      <c r="AE549" s="27"/>
      <c r="AF549" s="27"/>
      <c r="AG549" s="27"/>
      <c r="AH549" s="27">
        <v>86.0</v>
      </c>
      <c r="AI549" s="27">
        <v>87.0</v>
      </c>
      <c r="AJ549" s="27">
        <v>2.0</v>
      </c>
      <c r="AK549" s="27" t="b">
        <v>0</v>
      </c>
      <c r="AL549" s="27">
        <v>100.0</v>
      </c>
      <c r="AM549" s="27" t="s">
        <v>191</v>
      </c>
      <c r="AN549" s="27" t="s">
        <v>404</v>
      </c>
      <c r="AO549" s="27"/>
    </row>
    <row r="550">
      <c r="A550" s="200">
        <v>44824.025102534724</v>
      </c>
      <c r="B550" s="19" t="s">
        <v>103</v>
      </c>
      <c r="C550" s="21" t="s">
        <v>361</v>
      </c>
      <c r="D550" s="62">
        <v>0.0</v>
      </c>
      <c r="E550" s="27">
        <v>3.0</v>
      </c>
      <c r="F550" s="27" t="s">
        <v>1418</v>
      </c>
      <c r="G550" s="201" t="s">
        <v>57</v>
      </c>
      <c r="H550" s="27" t="s">
        <v>141</v>
      </c>
      <c r="I550" s="27"/>
      <c r="J550" s="33">
        <v>-19.5</v>
      </c>
      <c r="K550" s="33">
        <v>-20.0</v>
      </c>
      <c r="L550" s="66">
        <v>63.0</v>
      </c>
      <c r="M550" s="27" t="s">
        <v>1419</v>
      </c>
      <c r="N550" s="27">
        <v>-20.0</v>
      </c>
      <c r="O550" s="27"/>
      <c r="P550" s="27">
        <v>-19.5</v>
      </c>
      <c r="Q550" s="27"/>
      <c r="R550" s="27">
        <v>-19.5</v>
      </c>
      <c r="S550" s="27"/>
      <c r="T550" s="27">
        <v>-20.0</v>
      </c>
      <c r="U550" s="27"/>
      <c r="V550" s="27">
        <v>-19.5</v>
      </c>
      <c r="W550" s="27"/>
      <c r="X550" s="27">
        <v>-19.5</v>
      </c>
      <c r="Y550" s="27"/>
      <c r="Z550" s="27">
        <v>-20.0</v>
      </c>
      <c r="AA550" s="27"/>
      <c r="AB550" s="27">
        <v>-20.0</v>
      </c>
      <c r="AC550" s="27"/>
      <c r="AD550" s="27">
        <v>-20.0</v>
      </c>
      <c r="AE550" s="27"/>
      <c r="AF550" s="27">
        <v>-20.0</v>
      </c>
      <c r="AG550" s="27"/>
      <c r="AH550" s="27">
        <v>83.0</v>
      </c>
      <c r="AI550" s="27">
        <v>112.0</v>
      </c>
      <c r="AJ550" s="27">
        <v>2.0</v>
      </c>
      <c r="AK550" s="27" t="b">
        <v>0</v>
      </c>
      <c r="AL550" s="27">
        <v>100.0</v>
      </c>
      <c r="AM550" s="27" t="s">
        <v>193</v>
      </c>
      <c r="AN550" s="27" t="s">
        <v>405</v>
      </c>
      <c r="AO550" s="27"/>
    </row>
    <row r="551">
      <c r="A551" s="200">
        <v>44824.025102534724</v>
      </c>
      <c r="B551" s="19" t="s">
        <v>103</v>
      </c>
      <c r="C551" s="21" t="s">
        <v>341</v>
      </c>
      <c r="D551" s="62">
        <v>3.0</v>
      </c>
      <c r="E551" s="27">
        <v>0.0</v>
      </c>
      <c r="F551" s="27" t="s">
        <v>1420</v>
      </c>
      <c r="G551" s="201" t="s">
        <v>57</v>
      </c>
      <c r="H551" s="27" t="s">
        <v>141</v>
      </c>
      <c r="I551" s="27"/>
      <c r="J551" s="33">
        <v>-3.5</v>
      </c>
      <c r="K551" s="33">
        <v>-3.0</v>
      </c>
      <c r="L551" s="66">
        <v>72.5</v>
      </c>
      <c r="M551" s="27" t="s">
        <v>1421</v>
      </c>
      <c r="N551" s="27">
        <v>-2.5</v>
      </c>
      <c r="O551" s="27"/>
      <c r="P551" s="27">
        <v>-3.0</v>
      </c>
      <c r="Q551" s="27"/>
      <c r="R551" s="27">
        <v>-3.0</v>
      </c>
      <c r="S551" s="27"/>
      <c r="T551" s="27">
        <v>-3.0</v>
      </c>
      <c r="U551" s="27"/>
      <c r="V551" s="27">
        <v>-3.0</v>
      </c>
      <c r="W551" s="27"/>
      <c r="X551" s="27">
        <v>-2.5</v>
      </c>
      <c r="Y551" s="27"/>
      <c r="Z551" s="27">
        <v>-3.0</v>
      </c>
      <c r="AA551" s="27"/>
      <c r="AB551" s="27">
        <v>-2.5</v>
      </c>
      <c r="AC551" s="27"/>
      <c r="AD551" s="27">
        <v>-3.0</v>
      </c>
      <c r="AE551" s="27"/>
      <c r="AF551" s="27">
        <v>-3.0</v>
      </c>
      <c r="AG551" s="27"/>
      <c r="AH551" s="27">
        <v>121.0</v>
      </c>
      <c r="AI551" s="27">
        <v>58.0</v>
      </c>
      <c r="AJ551" s="27">
        <v>2.0</v>
      </c>
      <c r="AK551" s="27" t="b">
        <v>1</v>
      </c>
      <c r="AL551" s="27">
        <v>100.0</v>
      </c>
      <c r="AM551" s="27" t="s">
        <v>188</v>
      </c>
      <c r="AN551" s="27" t="s">
        <v>404</v>
      </c>
      <c r="AO551" s="27"/>
    </row>
    <row r="552">
      <c r="A552" s="200">
        <v>44824.025102534724</v>
      </c>
      <c r="B552" s="19" t="s">
        <v>103</v>
      </c>
      <c r="C552" s="21" t="s">
        <v>378</v>
      </c>
      <c r="D552" s="62">
        <v>2.0</v>
      </c>
      <c r="E552" s="27">
        <v>1.0</v>
      </c>
      <c r="F552" s="27" t="s">
        <v>1391</v>
      </c>
      <c r="G552" s="201" t="s">
        <v>57</v>
      </c>
      <c r="H552" s="27" t="s">
        <v>178</v>
      </c>
      <c r="I552" s="27"/>
      <c r="J552" s="33">
        <v>-11.0</v>
      </c>
      <c r="K552" s="33">
        <v>-11.5</v>
      </c>
      <c r="L552" s="66">
        <v>59.5</v>
      </c>
      <c r="M552" s="27" t="s">
        <v>1392</v>
      </c>
      <c r="N552" s="27">
        <v>-11.5</v>
      </c>
      <c r="O552" s="27"/>
      <c r="P552" s="27">
        <v>-11.5</v>
      </c>
      <c r="Q552" s="27"/>
      <c r="R552" s="27">
        <v>-11.0</v>
      </c>
      <c r="S552" s="27"/>
      <c r="T552" s="27">
        <v>-11.5</v>
      </c>
      <c r="U552" s="27"/>
      <c r="V552" s="27">
        <v>-11.5</v>
      </c>
      <c r="W552" s="27"/>
      <c r="X552" s="27">
        <v>-12.0</v>
      </c>
      <c r="Y552" s="27"/>
      <c r="Z552" s="27">
        <v>-11.5</v>
      </c>
      <c r="AA552" s="27"/>
      <c r="AB552" s="27">
        <v>-11.5</v>
      </c>
      <c r="AC552" s="27"/>
      <c r="AD552" s="27">
        <v>-11.5</v>
      </c>
      <c r="AE552" s="27"/>
      <c r="AF552" s="27">
        <v>-11.5</v>
      </c>
      <c r="AG552" s="27"/>
      <c r="AH552" s="27">
        <v>108.0</v>
      </c>
      <c r="AI552" s="27">
        <v>42.0</v>
      </c>
      <c r="AJ552" s="27">
        <v>2.0</v>
      </c>
      <c r="AK552" s="27" t="b">
        <v>0</v>
      </c>
      <c r="AL552" s="27">
        <v>100.0</v>
      </c>
      <c r="AM552" s="27" t="s">
        <v>189</v>
      </c>
      <c r="AN552" s="27" t="s">
        <v>405</v>
      </c>
      <c r="AO552" s="27"/>
    </row>
    <row r="553">
      <c r="A553" s="200">
        <v>44824.025102534724</v>
      </c>
      <c r="B553" s="19" t="s">
        <v>103</v>
      </c>
      <c r="C553" s="21" t="s">
        <v>373</v>
      </c>
      <c r="D553" s="62">
        <v>3.0</v>
      </c>
      <c r="E553" s="27">
        <v>0.0</v>
      </c>
      <c r="F553" s="27" t="s">
        <v>1455</v>
      </c>
      <c r="G553" s="201" t="s">
        <v>57</v>
      </c>
      <c r="H553" s="27" t="s">
        <v>116</v>
      </c>
      <c r="I553" s="27"/>
      <c r="J553" s="33">
        <v>-7.5</v>
      </c>
      <c r="K553" s="33">
        <v>-17.0</v>
      </c>
      <c r="L553" s="66">
        <v>62.5</v>
      </c>
      <c r="M553" s="27" t="s">
        <v>1456</v>
      </c>
      <c r="N553" s="27">
        <v>-17.0</v>
      </c>
      <c r="O553" s="27"/>
      <c r="P553" s="27">
        <v>-17.0</v>
      </c>
      <c r="Q553" s="27"/>
      <c r="R553" s="27">
        <v>-17.0</v>
      </c>
      <c r="S553" s="27"/>
      <c r="T553" s="27">
        <v>-17.0</v>
      </c>
      <c r="U553" s="27"/>
      <c r="V553" s="27">
        <v>-17.0</v>
      </c>
      <c r="W553" s="27"/>
      <c r="X553" s="27">
        <v>-17.0</v>
      </c>
      <c r="Y553" s="27"/>
      <c r="Z553" s="27">
        <v>-17.0</v>
      </c>
      <c r="AA553" s="27"/>
      <c r="AB553" s="27">
        <v>-17.0</v>
      </c>
      <c r="AC553" s="27"/>
      <c r="AD553" s="27">
        <v>-17.0</v>
      </c>
      <c r="AE553" s="27"/>
      <c r="AF553" s="27">
        <v>-17.0</v>
      </c>
      <c r="AG553" s="27"/>
      <c r="AH553" s="27">
        <v>129.0</v>
      </c>
      <c r="AI553" s="27">
        <v>13.0</v>
      </c>
      <c r="AJ553" s="27">
        <v>2.0</v>
      </c>
      <c r="AK553" s="27" t="b">
        <v>0</v>
      </c>
      <c r="AL553" s="27">
        <v>100.0</v>
      </c>
      <c r="AM553" s="27" t="s">
        <v>192</v>
      </c>
      <c r="AN553" s="27" t="s">
        <v>404</v>
      </c>
      <c r="AO553" s="27"/>
    </row>
    <row r="554">
      <c r="A554" s="200">
        <v>44824.025102534724</v>
      </c>
      <c r="B554" s="19" t="s">
        <v>103</v>
      </c>
      <c r="C554" s="21" t="s">
        <v>362</v>
      </c>
      <c r="D554" s="62">
        <v>1.0</v>
      </c>
      <c r="E554" s="27">
        <v>2.0</v>
      </c>
      <c r="F554" s="27" t="s">
        <v>1422</v>
      </c>
      <c r="G554" s="201" t="s">
        <v>57</v>
      </c>
      <c r="H554" s="27" t="s">
        <v>141</v>
      </c>
      <c r="I554" s="27"/>
      <c r="J554" s="33">
        <v>17.0</v>
      </c>
      <c r="K554" s="33">
        <v>18.5</v>
      </c>
      <c r="L554" s="66">
        <v>43.5</v>
      </c>
      <c r="M554" s="27" t="s">
        <v>1423</v>
      </c>
      <c r="N554" s="27">
        <v>18.5</v>
      </c>
      <c r="O554" s="27"/>
      <c r="P554" s="27">
        <v>18.0</v>
      </c>
      <c r="Q554" s="27"/>
      <c r="R554" s="27">
        <v>18.5</v>
      </c>
      <c r="S554" s="27"/>
      <c r="T554" s="27">
        <v>18.5</v>
      </c>
      <c r="U554" s="27"/>
      <c r="V554" s="27"/>
      <c r="W554" s="27"/>
      <c r="X554" s="27"/>
      <c r="Y554" s="27"/>
      <c r="Z554" s="27"/>
      <c r="AA554" s="27"/>
      <c r="AB554" s="27"/>
      <c r="AC554" s="27"/>
      <c r="AD554" s="27"/>
      <c r="AE554" s="27"/>
      <c r="AF554" s="27"/>
      <c r="AG554" s="27"/>
      <c r="AH554" s="27">
        <v>44.0</v>
      </c>
      <c r="AI554" s="27">
        <v>60.0</v>
      </c>
      <c r="AJ554" s="27">
        <v>2.0</v>
      </c>
      <c r="AK554" s="27" t="b">
        <v>0</v>
      </c>
      <c r="AL554" s="27">
        <v>100.0</v>
      </c>
      <c r="AM554" s="27" t="s">
        <v>389</v>
      </c>
      <c r="AN554" s="27" t="s">
        <v>405</v>
      </c>
      <c r="AO554" s="27"/>
    </row>
    <row r="555">
      <c r="A555" s="200">
        <v>44824.025102534724</v>
      </c>
      <c r="B555" s="19" t="s">
        <v>103</v>
      </c>
      <c r="C555" s="21" t="s">
        <v>340</v>
      </c>
      <c r="D555" s="62">
        <v>3.0</v>
      </c>
      <c r="E555" s="27">
        <v>0.0</v>
      </c>
      <c r="F555" s="27" t="s">
        <v>1424</v>
      </c>
      <c r="G555" s="201" t="s">
        <v>57</v>
      </c>
      <c r="H555" s="27" t="s">
        <v>141</v>
      </c>
      <c r="I555" s="27"/>
      <c r="J555" s="33"/>
      <c r="K555" s="33"/>
      <c r="L555" s="66"/>
      <c r="M555" s="27"/>
      <c r="N555" s="27"/>
      <c r="O555" s="27"/>
      <c r="P555" s="27"/>
      <c r="Q555" s="27"/>
      <c r="R555" s="27"/>
      <c r="S555" s="27"/>
      <c r="T555" s="27"/>
      <c r="U555" s="27"/>
      <c r="V555" s="27"/>
      <c r="W555" s="27"/>
      <c r="X555" s="27"/>
      <c r="Y555" s="27"/>
      <c r="Z555" s="27"/>
      <c r="AA555" s="27"/>
      <c r="AB555" s="27"/>
      <c r="AC555" s="27"/>
      <c r="AD555" s="27"/>
      <c r="AE555" s="27"/>
      <c r="AF555" s="27"/>
      <c r="AG555" s="27"/>
      <c r="AH555" s="27">
        <v>106.0</v>
      </c>
      <c r="AI555" s="27">
        <v>61.0</v>
      </c>
      <c r="AJ555" s="27">
        <v>2.0</v>
      </c>
      <c r="AK555" s="27" t="b">
        <v>1</v>
      </c>
      <c r="AL555" s="27">
        <v>100.0</v>
      </c>
      <c r="AM555" s="27" t="s">
        <v>186</v>
      </c>
      <c r="AN555" s="27" t="s">
        <v>404</v>
      </c>
      <c r="AO555" s="27"/>
    </row>
    <row r="556">
      <c r="A556" s="200">
        <v>44824.025102534724</v>
      </c>
      <c r="B556" s="19" t="s">
        <v>103</v>
      </c>
      <c r="C556" s="21" t="s">
        <v>324</v>
      </c>
      <c r="D556" s="62">
        <v>2.0</v>
      </c>
      <c r="E556" s="27">
        <v>1.0</v>
      </c>
      <c r="F556" s="27" t="s">
        <v>1467</v>
      </c>
      <c r="G556" s="201" t="s">
        <v>57</v>
      </c>
      <c r="H556" s="27" t="s">
        <v>154</v>
      </c>
      <c r="I556" s="27"/>
      <c r="J556" s="33"/>
      <c r="K556" s="33"/>
      <c r="L556" s="66"/>
      <c r="M556" s="27"/>
      <c r="N556" s="27"/>
      <c r="O556" s="27"/>
      <c r="P556" s="27"/>
      <c r="Q556" s="27"/>
      <c r="R556" s="27"/>
      <c r="S556" s="27"/>
      <c r="T556" s="27"/>
      <c r="U556" s="27"/>
      <c r="V556" s="27"/>
      <c r="W556" s="27"/>
      <c r="X556" s="27"/>
      <c r="Y556" s="27"/>
      <c r="Z556" s="27"/>
      <c r="AA556" s="27"/>
      <c r="AB556" s="27"/>
      <c r="AC556" s="27"/>
      <c r="AD556" s="27"/>
      <c r="AE556" s="27"/>
      <c r="AF556" s="27"/>
      <c r="AG556" s="27"/>
      <c r="AH556" s="27">
        <v>103.0</v>
      </c>
      <c r="AI556" s="27">
        <v>44.0</v>
      </c>
      <c r="AJ556" s="27">
        <v>2.0</v>
      </c>
      <c r="AK556" s="27" t="b">
        <v>0</v>
      </c>
      <c r="AL556" s="27">
        <v>100.0</v>
      </c>
      <c r="AM556" s="27" t="s">
        <v>129</v>
      </c>
      <c r="AN556" s="27" t="s">
        <v>405</v>
      </c>
      <c r="AO556" s="27"/>
    </row>
    <row r="557">
      <c r="A557" s="200">
        <v>44824.025102534724</v>
      </c>
      <c r="B557" s="19"/>
      <c r="C557" s="21"/>
      <c r="D557" s="62"/>
      <c r="E557" s="27"/>
      <c r="F557" s="27"/>
      <c r="G557" s="201"/>
      <c r="H557" s="27"/>
      <c r="I557" s="27"/>
      <c r="J557" s="33"/>
      <c r="K557" s="33"/>
      <c r="L557" s="66"/>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t="e">
        <v>#N/A</v>
      </c>
      <c r="AN557" s="27" t="e">
        <v>#N/A</v>
      </c>
      <c r="AO557" s="27"/>
    </row>
    <row r="558">
      <c r="A558" s="200">
        <v>44824.025102534724</v>
      </c>
      <c r="B558" s="19" t="s">
        <v>154</v>
      </c>
      <c r="C558" s="21" t="s">
        <v>372</v>
      </c>
      <c r="D558" s="62">
        <v>2.0</v>
      </c>
      <c r="E558" s="27">
        <v>1.0</v>
      </c>
      <c r="F558" s="27" t="s">
        <v>1368</v>
      </c>
      <c r="G558" s="201" t="s">
        <v>57</v>
      </c>
      <c r="H558" s="27" t="s">
        <v>131</v>
      </c>
      <c r="I558" s="27"/>
      <c r="J558" s="33">
        <v>-16.5</v>
      </c>
      <c r="K558" s="33">
        <v>-22.0</v>
      </c>
      <c r="L558" s="66">
        <v>49.5</v>
      </c>
      <c r="M558" s="27" t="s">
        <v>1369</v>
      </c>
      <c r="N558" s="27">
        <v>-21.5</v>
      </c>
      <c r="O558" s="27"/>
      <c r="P558" s="27">
        <v>-22.5</v>
      </c>
      <c r="Q558" s="27"/>
      <c r="R558" s="27">
        <v>-22.5</v>
      </c>
      <c r="S558" s="27"/>
      <c r="T558" s="27">
        <v>-22.0</v>
      </c>
      <c r="U558" s="27"/>
      <c r="V558" s="27">
        <v>-22.5</v>
      </c>
      <c r="W558" s="27"/>
      <c r="X558" s="27">
        <v>-22.0</v>
      </c>
      <c r="Y558" s="27"/>
      <c r="Z558" s="27">
        <v>-22.5</v>
      </c>
      <c r="AA558" s="27"/>
      <c r="AB558" s="27">
        <v>-22.0</v>
      </c>
      <c r="AC558" s="27"/>
      <c r="AD558" s="27">
        <v>-22.0</v>
      </c>
      <c r="AE558" s="27"/>
      <c r="AF558" s="27">
        <v>-22.0</v>
      </c>
      <c r="AG558" s="27"/>
      <c r="AH558" s="27">
        <v>134.0</v>
      </c>
      <c r="AI558" s="27">
        <v>43.0</v>
      </c>
      <c r="AJ558" s="27">
        <v>2.0</v>
      </c>
      <c r="AK558" s="27" t="b">
        <v>1</v>
      </c>
      <c r="AL558" s="27">
        <v>100.0</v>
      </c>
      <c r="AM558" s="27" t="s">
        <v>191</v>
      </c>
      <c r="AN558" s="27" t="s">
        <v>404</v>
      </c>
      <c r="AO558" s="27"/>
    </row>
    <row r="559">
      <c r="A559" s="200">
        <v>44824.025102534724</v>
      </c>
      <c r="B559" s="19" t="s">
        <v>154</v>
      </c>
      <c r="C559" s="21" t="s">
        <v>363</v>
      </c>
      <c r="D559" s="62">
        <v>3.0</v>
      </c>
      <c r="E559" s="27">
        <v>0.0</v>
      </c>
      <c r="F559" s="27" t="s">
        <v>1384</v>
      </c>
      <c r="G559" s="201" t="s">
        <v>57</v>
      </c>
      <c r="H559" s="27" t="s">
        <v>178</v>
      </c>
      <c r="I559" s="27"/>
      <c r="J559" s="33">
        <v>-8.5</v>
      </c>
      <c r="K559" s="33">
        <v>-10.5</v>
      </c>
      <c r="L559" s="66">
        <v>56.0</v>
      </c>
      <c r="M559" s="27" t="s">
        <v>1385</v>
      </c>
      <c r="N559" s="27">
        <v>-10.5</v>
      </c>
      <c r="O559" s="27"/>
      <c r="P559" s="27">
        <v>-10.5</v>
      </c>
      <c r="Q559" s="27"/>
      <c r="R559" s="27">
        <v>-10.5</v>
      </c>
      <c r="S559" s="27"/>
      <c r="T559" s="27">
        <v>-10.5</v>
      </c>
      <c r="U559" s="27"/>
      <c r="V559" s="27">
        <v>-10.5</v>
      </c>
      <c r="W559" s="27"/>
      <c r="X559" s="27">
        <v>-10.0</v>
      </c>
      <c r="Y559" s="27"/>
      <c r="Z559" s="27">
        <v>-10.5</v>
      </c>
      <c r="AA559" s="27"/>
      <c r="AB559" s="27">
        <v>-10.0</v>
      </c>
      <c r="AC559" s="27"/>
      <c r="AD559" s="27">
        <v>-10.5</v>
      </c>
      <c r="AE559" s="27"/>
      <c r="AF559" s="27">
        <v>-10.5</v>
      </c>
      <c r="AG559" s="27"/>
      <c r="AH559" s="27">
        <v>103.0</v>
      </c>
      <c r="AI559" s="27">
        <v>37.0</v>
      </c>
      <c r="AJ559" s="27">
        <v>2.0</v>
      </c>
      <c r="AK559" s="27" t="b">
        <v>0</v>
      </c>
      <c r="AL559" s="27">
        <v>100.0</v>
      </c>
      <c r="AM559" s="27" t="s">
        <v>186</v>
      </c>
      <c r="AN559" s="27" t="s">
        <v>404</v>
      </c>
      <c r="AO559" s="27"/>
    </row>
    <row r="560">
      <c r="A560" s="200">
        <v>44824.025102534724</v>
      </c>
      <c r="B560" s="19" t="s">
        <v>154</v>
      </c>
      <c r="C560" s="21" t="s">
        <v>382</v>
      </c>
      <c r="D560" s="62">
        <v>1.0</v>
      </c>
      <c r="E560" s="27">
        <v>2.0</v>
      </c>
      <c r="F560" s="27" t="s">
        <v>1448</v>
      </c>
      <c r="G560" s="201" t="s">
        <v>57</v>
      </c>
      <c r="H560" s="27" t="s">
        <v>166</v>
      </c>
      <c r="I560" s="27"/>
      <c r="J560" s="33">
        <v>10.0</v>
      </c>
      <c r="K560" s="33">
        <v>10.5</v>
      </c>
      <c r="L560" s="66">
        <v>46.5</v>
      </c>
      <c r="M560" s="27" t="s">
        <v>1449</v>
      </c>
      <c r="N560" s="27">
        <v>10.0</v>
      </c>
      <c r="O560" s="27"/>
      <c r="P560" s="27">
        <v>10.0</v>
      </c>
      <c r="Q560" s="27"/>
      <c r="R560" s="27">
        <v>10.0</v>
      </c>
      <c r="S560" s="27"/>
      <c r="T560" s="27">
        <v>10.5</v>
      </c>
      <c r="U560" s="27"/>
      <c r="V560" s="27">
        <v>10.0</v>
      </c>
      <c r="W560" s="27"/>
      <c r="X560" s="27">
        <v>10.5</v>
      </c>
      <c r="Y560" s="27"/>
      <c r="Z560" s="27">
        <v>10.0</v>
      </c>
      <c r="AA560" s="27"/>
      <c r="AB560" s="27">
        <v>10.5</v>
      </c>
      <c r="AC560" s="27"/>
      <c r="AD560" s="27">
        <v>10.5</v>
      </c>
      <c r="AE560" s="27"/>
      <c r="AF560" s="27"/>
      <c r="AG560" s="27"/>
      <c r="AH560" s="27">
        <v>63.0</v>
      </c>
      <c r="AI560" s="27">
        <v>99.0</v>
      </c>
      <c r="AJ560" s="27">
        <v>2.0</v>
      </c>
      <c r="AK560" s="27" t="b">
        <v>0</v>
      </c>
      <c r="AL560" s="27">
        <v>100.0</v>
      </c>
      <c r="AM560" s="27" t="s">
        <v>190</v>
      </c>
      <c r="AN560" s="27" t="s">
        <v>405</v>
      </c>
      <c r="AO560" s="27"/>
    </row>
    <row r="561">
      <c r="A561" s="200">
        <v>44824.025102534724</v>
      </c>
      <c r="B561" s="19" t="s">
        <v>154</v>
      </c>
      <c r="C561" s="21" t="s">
        <v>366</v>
      </c>
      <c r="D561" s="62">
        <v>1.0</v>
      </c>
      <c r="E561" s="27">
        <v>3.0</v>
      </c>
      <c r="F561" s="27" t="s">
        <v>1386</v>
      </c>
      <c r="G561" s="201" t="s">
        <v>57</v>
      </c>
      <c r="H561" s="27" t="s">
        <v>178</v>
      </c>
      <c r="I561" s="27"/>
      <c r="J561" s="33">
        <v>-4.0</v>
      </c>
      <c r="K561" s="33">
        <v>-1.5</v>
      </c>
      <c r="L561" s="66">
        <v>38.5</v>
      </c>
      <c r="M561" s="27" t="s">
        <v>1387</v>
      </c>
      <c r="N561" s="27">
        <v>-2.0</v>
      </c>
      <c r="O561" s="27"/>
      <c r="P561" s="27">
        <v>-2.0</v>
      </c>
      <c r="Q561" s="27"/>
      <c r="R561" s="27">
        <v>-2.5</v>
      </c>
      <c r="S561" s="27"/>
      <c r="T561" s="27">
        <v>-1.5</v>
      </c>
      <c r="U561" s="27"/>
      <c r="V561" s="27">
        <v>-2.0</v>
      </c>
      <c r="W561" s="27"/>
      <c r="X561" s="27">
        <v>-2.5</v>
      </c>
      <c r="Y561" s="27"/>
      <c r="Z561" s="27">
        <v>-2.0</v>
      </c>
      <c r="AA561" s="27"/>
      <c r="AB561" s="27">
        <v>-2.0</v>
      </c>
      <c r="AC561" s="27"/>
      <c r="AD561" s="27">
        <v>-1.5</v>
      </c>
      <c r="AE561" s="27"/>
      <c r="AF561" s="27">
        <v>-1.5</v>
      </c>
      <c r="AG561" s="27"/>
      <c r="AH561" s="27">
        <v>56.0</v>
      </c>
      <c r="AI561" s="27">
        <v>116.0</v>
      </c>
      <c r="AJ561" s="27">
        <v>2.0</v>
      </c>
      <c r="AK561" s="27" t="b">
        <v>0</v>
      </c>
      <c r="AL561" s="27">
        <v>100.0</v>
      </c>
      <c r="AM561" s="27" t="s">
        <v>189</v>
      </c>
      <c r="AN561" s="27" t="s">
        <v>405</v>
      </c>
      <c r="AO561" s="27"/>
    </row>
    <row r="562">
      <c r="A562" s="200">
        <v>44824.025102534724</v>
      </c>
      <c r="B562" s="19" t="s">
        <v>154</v>
      </c>
      <c r="C562" s="21" t="s">
        <v>352</v>
      </c>
      <c r="D562" s="62">
        <v>1.0</v>
      </c>
      <c r="E562" s="27">
        <v>2.0</v>
      </c>
      <c r="F562" s="27" t="s">
        <v>1429</v>
      </c>
      <c r="G562" s="201" t="s">
        <v>57</v>
      </c>
      <c r="H562" s="27" t="s">
        <v>109</v>
      </c>
      <c r="I562" s="27"/>
      <c r="J562" s="33">
        <v>13.5</v>
      </c>
      <c r="K562" s="33">
        <v>14.5</v>
      </c>
      <c r="L562" s="66">
        <v>64.0</v>
      </c>
      <c r="M562" s="27" t="s">
        <v>1430</v>
      </c>
      <c r="N562" s="27">
        <v>14.5</v>
      </c>
      <c r="O562" s="27"/>
      <c r="P562" s="27">
        <v>14.5</v>
      </c>
      <c r="Q562" s="27"/>
      <c r="R562" s="27">
        <v>15.0</v>
      </c>
      <c r="S562" s="27"/>
      <c r="T562" s="27">
        <v>14.5</v>
      </c>
      <c r="U562" s="27"/>
      <c r="V562" s="27">
        <v>14.5</v>
      </c>
      <c r="W562" s="27"/>
      <c r="X562" s="27">
        <v>14.5</v>
      </c>
      <c r="Y562" s="27"/>
      <c r="Z562" s="27">
        <v>15.0</v>
      </c>
      <c r="AA562" s="27"/>
      <c r="AB562" s="27">
        <v>14.5</v>
      </c>
      <c r="AC562" s="27"/>
      <c r="AD562" s="27">
        <v>14.5</v>
      </c>
      <c r="AE562" s="27"/>
      <c r="AF562" s="27">
        <v>14.5</v>
      </c>
      <c r="AG562" s="27"/>
      <c r="AH562" s="27">
        <v>102.0</v>
      </c>
      <c r="AI562" s="27">
        <v>92.0</v>
      </c>
      <c r="AJ562" s="27">
        <v>2.0</v>
      </c>
      <c r="AK562" s="27" t="b">
        <v>1</v>
      </c>
      <c r="AL562" s="27">
        <v>100.0</v>
      </c>
      <c r="AM562" s="27" t="s">
        <v>193</v>
      </c>
      <c r="AN562" s="27" t="s">
        <v>405</v>
      </c>
      <c r="AO562" s="27"/>
    </row>
    <row r="563">
      <c r="A563" s="200">
        <v>44824.025102534724</v>
      </c>
      <c r="B563" s="19" t="s">
        <v>154</v>
      </c>
      <c r="C563" s="21" t="s">
        <v>330</v>
      </c>
      <c r="D563" s="62">
        <v>1.0</v>
      </c>
      <c r="E563" s="27">
        <v>2.0</v>
      </c>
      <c r="F563" s="27" t="s">
        <v>1374</v>
      </c>
      <c r="G563" s="201" t="s">
        <v>57</v>
      </c>
      <c r="H563" s="27" t="s">
        <v>131</v>
      </c>
      <c r="I563" s="27"/>
      <c r="J563" s="33">
        <v>-8.0</v>
      </c>
      <c r="K563" s="33">
        <v>-8.5</v>
      </c>
      <c r="L563" s="66">
        <v>58.0</v>
      </c>
      <c r="M563" s="27" t="s">
        <v>1375</v>
      </c>
      <c r="N563" s="27">
        <v>-8.5</v>
      </c>
      <c r="O563" s="27"/>
      <c r="P563" s="27">
        <v>-8.5</v>
      </c>
      <c r="Q563" s="27"/>
      <c r="R563" s="27">
        <v>-8.5</v>
      </c>
      <c r="S563" s="27"/>
      <c r="T563" s="27">
        <v>-8.5</v>
      </c>
      <c r="U563" s="27"/>
      <c r="V563" s="27">
        <v>-8.5</v>
      </c>
      <c r="W563" s="27"/>
      <c r="X563" s="27">
        <v>-8.5</v>
      </c>
      <c r="Y563" s="27"/>
      <c r="Z563" s="27">
        <v>-8.5</v>
      </c>
      <c r="AA563" s="27"/>
      <c r="AB563" s="27">
        <v>-9.0</v>
      </c>
      <c r="AC563" s="27"/>
      <c r="AD563" s="27">
        <v>-8.5</v>
      </c>
      <c r="AE563" s="27"/>
      <c r="AF563" s="27">
        <v>-8.5</v>
      </c>
      <c r="AG563" s="27"/>
      <c r="AH563" s="27">
        <v>97.0</v>
      </c>
      <c r="AI563" s="27">
        <v>116.0</v>
      </c>
      <c r="AJ563" s="27">
        <v>2.0</v>
      </c>
      <c r="AK563" s="27" t="b">
        <v>1</v>
      </c>
      <c r="AL563" s="27">
        <v>100.0</v>
      </c>
      <c r="AM563" s="27" t="s">
        <v>389</v>
      </c>
      <c r="AN563" s="27" t="s">
        <v>405</v>
      </c>
      <c r="AO563" s="27"/>
    </row>
    <row r="564">
      <c r="A564" s="200">
        <v>44824.025102534724</v>
      </c>
      <c r="B564" s="19" t="s">
        <v>154</v>
      </c>
      <c r="C564" s="21" t="s">
        <v>368</v>
      </c>
      <c r="D564" s="62">
        <v>1.0</v>
      </c>
      <c r="E564" s="27">
        <v>2.0</v>
      </c>
      <c r="F564" s="27" t="s">
        <v>1468</v>
      </c>
      <c r="G564" s="201" t="s">
        <v>57</v>
      </c>
      <c r="H564" s="27"/>
      <c r="I564" s="27"/>
      <c r="J564" s="33">
        <v>-13.5</v>
      </c>
      <c r="K564" s="33">
        <v>-13.5</v>
      </c>
      <c r="L564" s="66">
        <v>58.0</v>
      </c>
      <c r="M564" s="27" t="s">
        <v>1404</v>
      </c>
      <c r="N564" s="27">
        <v>-13.5</v>
      </c>
      <c r="O564" s="27"/>
      <c r="P564" s="27">
        <v>-13.5</v>
      </c>
      <c r="Q564" s="27"/>
      <c r="R564" s="27">
        <v>-13.5</v>
      </c>
      <c r="S564" s="27"/>
      <c r="T564" s="27">
        <v>-13.5</v>
      </c>
      <c r="U564" s="27"/>
      <c r="V564" s="27">
        <v>-14.0</v>
      </c>
      <c r="W564" s="27"/>
      <c r="X564" s="27">
        <v>-13.5</v>
      </c>
      <c r="Y564" s="27"/>
      <c r="Z564" s="27">
        <v>-13.5</v>
      </c>
      <c r="AA564" s="27"/>
      <c r="AB564" s="27">
        <v>-13.5</v>
      </c>
      <c r="AC564" s="27"/>
      <c r="AD564" s="27">
        <v>-10.5</v>
      </c>
      <c r="AE564" s="27"/>
      <c r="AF564" s="27">
        <v>-10.5</v>
      </c>
      <c r="AG564" s="27"/>
      <c r="AH564" s="27">
        <v>78.0</v>
      </c>
      <c r="AI564" s="27">
        <v>90.0</v>
      </c>
      <c r="AJ564" s="27">
        <v>2.0</v>
      </c>
      <c r="AK564" s="27" t="b">
        <v>0</v>
      </c>
      <c r="AL564" s="27">
        <v>100.0</v>
      </c>
      <c r="AM564" s="27" t="s">
        <v>188</v>
      </c>
      <c r="AN564" s="27" t="s">
        <v>404</v>
      </c>
      <c r="AO564" s="27"/>
    </row>
    <row r="565">
      <c r="A565" s="200">
        <v>44824.025102534724</v>
      </c>
      <c r="B565" s="19" t="s">
        <v>154</v>
      </c>
      <c r="C565" s="21" t="s">
        <v>379</v>
      </c>
      <c r="D565" s="62">
        <v>1.0</v>
      </c>
      <c r="E565" s="27">
        <v>2.0</v>
      </c>
      <c r="F565" s="27" t="s">
        <v>1458</v>
      </c>
      <c r="G565" s="201" t="s">
        <v>57</v>
      </c>
      <c r="H565" s="27" t="s">
        <v>116</v>
      </c>
      <c r="I565" s="27"/>
      <c r="J565" s="33">
        <v>13.5</v>
      </c>
      <c r="K565" s="33">
        <v>25.5</v>
      </c>
      <c r="L565" s="66">
        <v>55.5</v>
      </c>
      <c r="M565" s="27" t="s">
        <v>1459</v>
      </c>
      <c r="N565" s="27">
        <v>25.5</v>
      </c>
      <c r="O565" s="27"/>
      <c r="P565" s="27">
        <v>25.5</v>
      </c>
      <c r="Q565" s="27"/>
      <c r="R565" s="27">
        <v>25.0</v>
      </c>
      <c r="S565" s="27"/>
      <c r="T565" s="27">
        <v>25.5</v>
      </c>
      <c r="U565" s="27"/>
      <c r="V565" s="27">
        <v>25.0</v>
      </c>
      <c r="W565" s="27"/>
      <c r="X565" s="27">
        <v>25.5</v>
      </c>
      <c r="Y565" s="27"/>
      <c r="Z565" s="27">
        <v>25.0</v>
      </c>
      <c r="AA565" s="27"/>
      <c r="AB565" s="27">
        <v>25.0</v>
      </c>
      <c r="AC565" s="27"/>
      <c r="AD565" s="27">
        <v>25.5</v>
      </c>
      <c r="AE565" s="27"/>
      <c r="AF565" s="27">
        <v>25.5</v>
      </c>
      <c r="AG565" s="27"/>
      <c r="AH565" s="27">
        <v>72.0</v>
      </c>
      <c r="AI565" s="27">
        <v>106.0</v>
      </c>
      <c r="AJ565" s="27">
        <v>2.0</v>
      </c>
      <c r="AK565" s="27" t="b">
        <v>0</v>
      </c>
      <c r="AL565" s="27">
        <v>100.0</v>
      </c>
      <c r="AM565" s="27" t="s">
        <v>192</v>
      </c>
      <c r="AN565" s="27" t="s">
        <v>404</v>
      </c>
      <c r="AO565" s="27"/>
    </row>
    <row r="566">
      <c r="A566" s="200">
        <v>44824.025102534724</v>
      </c>
      <c r="B566" s="19" t="s">
        <v>154</v>
      </c>
      <c r="C566" s="21" t="s">
        <v>320</v>
      </c>
      <c r="D566" s="62">
        <v>2.0</v>
      </c>
      <c r="E566" s="27">
        <v>1.0</v>
      </c>
      <c r="F566" s="27" t="s">
        <v>1463</v>
      </c>
      <c r="G566" s="201" t="s">
        <v>57</v>
      </c>
      <c r="H566" s="27" t="s">
        <v>148</v>
      </c>
      <c r="I566" s="27"/>
      <c r="J566" s="33">
        <v>-33.5</v>
      </c>
      <c r="K566" s="33">
        <v>-30.0</v>
      </c>
      <c r="L566" s="66">
        <v>53.5</v>
      </c>
      <c r="M566" s="27" t="s">
        <v>1286</v>
      </c>
      <c r="N566" s="27">
        <v>-30.5</v>
      </c>
      <c r="O566" s="27"/>
      <c r="P566" s="27">
        <v>-30.0</v>
      </c>
      <c r="Q566" s="27"/>
      <c r="R566" s="27">
        <v>-30.0</v>
      </c>
      <c r="S566" s="27"/>
      <c r="T566" s="27">
        <v>-30.0</v>
      </c>
      <c r="U566" s="27"/>
      <c r="V566" s="27">
        <v>-30.0</v>
      </c>
      <c r="W566" s="27"/>
      <c r="X566" s="27">
        <v>-30.0</v>
      </c>
      <c r="Y566" s="27"/>
      <c r="Z566" s="27">
        <v>-29.5</v>
      </c>
      <c r="AA566" s="27"/>
      <c r="AB566" s="27">
        <v>-30.5</v>
      </c>
      <c r="AC566" s="27"/>
      <c r="AD566" s="27">
        <v>-30.0</v>
      </c>
      <c r="AE566" s="27"/>
      <c r="AF566" s="27">
        <v>-30.0</v>
      </c>
      <c r="AG566" s="27"/>
      <c r="AH566" s="27">
        <v>131.0</v>
      </c>
      <c r="AI566" s="27">
        <v>43.0</v>
      </c>
      <c r="AJ566" s="27">
        <v>2.0</v>
      </c>
      <c r="AK566" s="27" t="b">
        <v>1</v>
      </c>
      <c r="AL566" s="27">
        <v>100.0</v>
      </c>
      <c r="AM566" s="27" t="s">
        <v>187</v>
      </c>
      <c r="AN566" s="27" t="s">
        <v>404</v>
      </c>
      <c r="AO566" s="27"/>
    </row>
    <row r="567">
      <c r="A567" s="200">
        <v>44831.02510368056</v>
      </c>
      <c r="B567" s="19" t="s">
        <v>53</v>
      </c>
      <c r="C567" s="21" t="s">
        <v>181</v>
      </c>
      <c r="D567" s="62">
        <v>2.0</v>
      </c>
      <c r="E567" s="27">
        <v>3.0</v>
      </c>
      <c r="F567" s="27" t="s">
        <v>1469</v>
      </c>
      <c r="G567" s="201" t="s">
        <v>57</v>
      </c>
      <c r="H567" s="27" t="s">
        <v>148</v>
      </c>
      <c r="I567" s="27"/>
      <c r="J567" s="33">
        <v>18.0</v>
      </c>
      <c r="K567" s="33">
        <v>16.5</v>
      </c>
      <c r="L567" s="66">
        <v>44.0</v>
      </c>
      <c r="M567" s="27" t="s">
        <v>1470</v>
      </c>
      <c r="N567" s="27">
        <v>16.5</v>
      </c>
      <c r="O567" s="27"/>
      <c r="P567" s="27">
        <v>16.0</v>
      </c>
      <c r="Q567" s="27"/>
      <c r="R567" s="27">
        <v>16.0</v>
      </c>
      <c r="S567" s="27"/>
      <c r="T567" s="27">
        <v>16.5</v>
      </c>
      <c r="U567" s="27"/>
      <c r="V567" s="27">
        <v>16.0</v>
      </c>
      <c r="W567" s="27"/>
      <c r="X567" s="27">
        <v>16.0</v>
      </c>
      <c r="Y567" s="27"/>
      <c r="Z567" s="27">
        <v>16.0</v>
      </c>
      <c r="AA567" s="27"/>
      <c r="AB567" s="27">
        <v>16.0</v>
      </c>
      <c r="AC567" s="27"/>
      <c r="AD567" s="27">
        <v>16.5</v>
      </c>
      <c r="AE567" s="27"/>
      <c r="AF567" s="27">
        <v>16.5</v>
      </c>
      <c r="AG567" s="27"/>
      <c r="AH567" s="27">
        <v>163.0</v>
      </c>
      <c r="AI567" s="27">
        <v>131.0</v>
      </c>
      <c r="AJ567" s="27">
        <v>2.0</v>
      </c>
      <c r="AK567" s="27" t="b">
        <v>0</v>
      </c>
      <c r="AL567" s="27">
        <v>100.0</v>
      </c>
      <c r="AM567" s="27" t="s">
        <v>189</v>
      </c>
      <c r="AN567" s="27" t="s">
        <v>405</v>
      </c>
      <c r="AO567" s="27"/>
    </row>
    <row r="568">
      <c r="A568" s="200">
        <v>44831.02510368056</v>
      </c>
      <c r="B568" s="19" t="s">
        <v>53</v>
      </c>
      <c r="C568" s="21" t="s">
        <v>168</v>
      </c>
      <c r="D568" s="62">
        <v>4.0</v>
      </c>
      <c r="E568" s="27">
        <v>0.0</v>
      </c>
      <c r="F568" s="27" t="s">
        <v>1471</v>
      </c>
      <c r="G568" s="201" t="s">
        <v>57</v>
      </c>
      <c r="H568" s="27" t="s">
        <v>131</v>
      </c>
      <c r="I568" s="27"/>
      <c r="J568" s="33">
        <v>-18.0</v>
      </c>
      <c r="K568" s="33">
        <v>-19.0</v>
      </c>
      <c r="L568" s="66">
        <v>66.0</v>
      </c>
      <c r="M568" s="27" t="s">
        <v>1419</v>
      </c>
      <c r="N568" s="27">
        <v>-18.5</v>
      </c>
      <c r="O568" s="27"/>
      <c r="P568" s="27">
        <v>-19.0</v>
      </c>
      <c r="Q568" s="27"/>
      <c r="R568" s="27">
        <v>-18.0</v>
      </c>
      <c r="S568" s="27"/>
      <c r="T568" s="27">
        <v>-19.0</v>
      </c>
      <c r="U568" s="27"/>
      <c r="V568" s="27">
        <v>-19.0</v>
      </c>
      <c r="W568" s="27"/>
      <c r="X568" s="27">
        <v>-19.0</v>
      </c>
      <c r="Y568" s="27"/>
      <c r="Z568" s="27">
        <v>-19.0</v>
      </c>
      <c r="AA568" s="27"/>
      <c r="AB568" s="27">
        <v>-19.5</v>
      </c>
      <c r="AC568" s="27"/>
      <c r="AD568" s="27">
        <v>-19.0</v>
      </c>
      <c r="AE568" s="27"/>
      <c r="AF568" s="27">
        <v>-19.0</v>
      </c>
      <c r="AG568" s="27"/>
      <c r="AH568" s="27">
        <v>195.0</v>
      </c>
      <c r="AI568" s="27">
        <v>64.0</v>
      </c>
      <c r="AJ568" s="27">
        <v>2.0</v>
      </c>
      <c r="AK568" s="27" t="b">
        <v>1</v>
      </c>
      <c r="AL568" s="27">
        <v>100.0</v>
      </c>
      <c r="AM568" s="27" t="s">
        <v>188</v>
      </c>
      <c r="AN568" s="27" t="s">
        <v>404</v>
      </c>
      <c r="AO568" s="27"/>
    </row>
    <row r="569">
      <c r="A569" s="200">
        <v>44831.02510368056</v>
      </c>
      <c r="B569" s="19" t="s">
        <v>53</v>
      </c>
      <c r="C569" s="21" t="s">
        <v>184</v>
      </c>
      <c r="D569" s="62">
        <v>3.0</v>
      </c>
      <c r="E569" s="27">
        <v>1.0</v>
      </c>
      <c r="F569" s="27" t="s">
        <v>1472</v>
      </c>
      <c r="G569" s="201" t="s">
        <v>57</v>
      </c>
      <c r="H569" s="27" t="s">
        <v>59</v>
      </c>
      <c r="I569" s="27"/>
      <c r="J569" s="33">
        <v>-12.0</v>
      </c>
      <c r="K569" s="33">
        <v>-14.0</v>
      </c>
      <c r="L569" s="66">
        <v>53.0</v>
      </c>
      <c r="M569" s="27" t="s">
        <v>1473</v>
      </c>
      <c r="N569" s="27">
        <v>-13.5</v>
      </c>
      <c r="O569" s="27"/>
      <c r="P569" s="27">
        <v>-13.5</v>
      </c>
      <c r="Q569" s="27"/>
      <c r="R569" s="27">
        <v>-13.5</v>
      </c>
      <c r="S569" s="27"/>
      <c r="T569" s="27">
        <v>-14.0</v>
      </c>
      <c r="U569" s="27"/>
      <c r="V569" s="27">
        <v>-13.5</v>
      </c>
      <c r="W569" s="27"/>
      <c r="X569" s="27">
        <v>-14.0</v>
      </c>
      <c r="Y569" s="27"/>
      <c r="Z569" s="27">
        <v>-14.0</v>
      </c>
      <c r="AA569" s="27"/>
      <c r="AB569" s="27">
        <v>-13.0</v>
      </c>
      <c r="AC569" s="27"/>
      <c r="AD569" s="27">
        <v>-14.0</v>
      </c>
      <c r="AE569" s="27"/>
      <c r="AF569" s="27">
        <v>-14.0</v>
      </c>
      <c r="AG569" s="27"/>
      <c r="AH569" s="27">
        <v>161.0</v>
      </c>
      <c r="AI569" s="27">
        <v>71.0</v>
      </c>
      <c r="AJ569" s="27">
        <v>2.0</v>
      </c>
      <c r="AK569" s="27" t="b">
        <v>1</v>
      </c>
      <c r="AL569" s="27">
        <v>100.0</v>
      </c>
      <c r="AM569" s="27" t="s">
        <v>187</v>
      </c>
      <c r="AN569" s="27" t="s">
        <v>404</v>
      </c>
      <c r="AO569" s="27"/>
    </row>
    <row r="570">
      <c r="A570" s="200">
        <v>44831.02510368056</v>
      </c>
      <c r="B570" s="19" t="s">
        <v>53</v>
      </c>
      <c r="C570" s="21" t="s">
        <v>170</v>
      </c>
      <c r="D570" s="62">
        <v>2.0</v>
      </c>
      <c r="E570" s="27">
        <v>2.0</v>
      </c>
      <c r="F570" s="27" t="s">
        <v>1474</v>
      </c>
      <c r="G570" s="201" t="s">
        <v>57</v>
      </c>
      <c r="H570" s="27" t="s">
        <v>154</v>
      </c>
      <c r="I570" s="27"/>
      <c r="J570" s="33">
        <v>-3.0</v>
      </c>
      <c r="K570" s="33">
        <v>-5.0</v>
      </c>
      <c r="L570" s="66">
        <v>55.5</v>
      </c>
      <c r="M570" s="27" t="s">
        <v>1475</v>
      </c>
      <c r="N570" s="27">
        <v>-5.0</v>
      </c>
      <c r="O570" s="27"/>
      <c r="P570" s="27">
        <v>-5.0</v>
      </c>
      <c r="Q570" s="27"/>
      <c r="R570" s="27">
        <v>-5.0</v>
      </c>
      <c r="S570" s="27"/>
      <c r="T570" s="27">
        <v>-5.0</v>
      </c>
      <c r="U570" s="27"/>
      <c r="V570" s="27">
        <v>-5.0</v>
      </c>
      <c r="W570" s="27"/>
      <c r="X570" s="27">
        <v>-4.5</v>
      </c>
      <c r="Y570" s="27"/>
      <c r="Z570" s="27">
        <v>-6.0</v>
      </c>
      <c r="AA570" s="27"/>
      <c r="AB570" s="27">
        <v>-4.5</v>
      </c>
      <c r="AC570" s="27"/>
      <c r="AD570" s="27">
        <v>-5.0</v>
      </c>
      <c r="AE570" s="27"/>
      <c r="AF570" s="27">
        <v>-5.0</v>
      </c>
      <c r="AG570" s="27"/>
      <c r="AH570" s="27">
        <v>84.0</v>
      </c>
      <c r="AI570" s="27">
        <v>98.0</v>
      </c>
      <c r="AJ570" s="27">
        <v>2.0</v>
      </c>
      <c r="AK570" s="27" t="b">
        <v>0</v>
      </c>
      <c r="AL570" s="27">
        <v>100.0</v>
      </c>
      <c r="AM570" s="27" t="s">
        <v>193</v>
      </c>
      <c r="AN570" s="27" t="s">
        <v>405</v>
      </c>
      <c r="AO570" s="27"/>
    </row>
    <row r="571">
      <c r="A571" s="200">
        <v>44831.02510368056</v>
      </c>
      <c r="B571" s="19" t="s">
        <v>53</v>
      </c>
      <c r="C571" s="21" t="s">
        <v>54</v>
      </c>
      <c r="D571" s="62">
        <v>3.0</v>
      </c>
      <c r="E571" s="27">
        <v>1.0</v>
      </c>
      <c r="F571" s="27" t="s">
        <v>1476</v>
      </c>
      <c r="G571" s="201" t="s">
        <v>57</v>
      </c>
      <c r="H571" s="27" t="s">
        <v>131</v>
      </c>
      <c r="I571" s="27"/>
      <c r="J571" s="33">
        <v>-6.5</v>
      </c>
      <c r="K571" s="33">
        <v>-6.5</v>
      </c>
      <c r="L571" s="66">
        <v>57.0</v>
      </c>
      <c r="M571" s="27" t="s">
        <v>1477</v>
      </c>
      <c r="N571" s="27">
        <v>-6.5</v>
      </c>
      <c r="O571" s="27"/>
      <c r="P571" s="27">
        <v>-6.5</v>
      </c>
      <c r="Q571" s="27"/>
      <c r="R571" s="27">
        <v>-6.5</v>
      </c>
      <c r="S571" s="27"/>
      <c r="T571" s="27">
        <v>-6.5</v>
      </c>
      <c r="U571" s="27"/>
      <c r="V571" s="27">
        <v>-6.5</v>
      </c>
      <c r="W571" s="27"/>
      <c r="X571" s="27">
        <v>-6.0</v>
      </c>
      <c r="Y571" s="27"/>
      <c r="Z571" s="27">
        <v>-6.5</v>
      </c>
      <c r="AA571" s="27"/>
      <c r="AB571" s="27">
        <v>-6.5</v>
      </c>
      <c r="AC571" s="27"/>
      <c r="AD571" s="27">
        <v>-6.5</v>
      </c>
      <c r="AE571" s="27"/>
      <c r="AF571" s="27">
        <v>-6.5</v>
      </c>
      <c r="AG571" s="27"/>
      <c r="AH571" s="27">
        <v>158.0</v>
      </c>
      <c r="AI571" s="27">
        <v>124.0</v>
      </c>
      <c r="AJ571" s="27">
        <v>2.0</v>
      </c>
      <c r="AK571" s="27" t="b">
        <v>0</v>
      </c>
      <c r="AL571" s="27">
        <v>100.0</v>
      </c>
      <c r="AM571" s="27" t="s">
        <v>191</v>
      </c>
      <c r="AN571" s="27" t="s">
        <v>404</v>
      </c>
      <c r="AO571" s="27"/>
    </row>
    <row r="572">
      <c r="A572" s="200">
        <v>44831.02510368056</v>
      </c>
      <c r="B572" s="19" t="s">
        <v>53</v>
      </c>
      <c r="C572" s="21" t="s">
        <v>195</v>
      </c>
      <c r="D572" s="62">
        <v>2.0</v>
      </c>
      <c r="E572" s="27">
        <v>2.0</v>
      </c>
      <c r="F572" s="27" t="s">
        <v>1478</v>
      </c>
      <c r="G572" s="201" t="s">
        <v>57</v>
      </c>
      <c r="H572" s="27" t="s">
        <v>103</v>
      </c>
      <c r="I572" s="27"/>
      <c r="J572" s="33">
        <v>19.5</v>
      </c>
      <c r="K572" s="33">
        <v>21.0</v>
      </c>
      <c r="L572" s="66">
        <v>66.5</v>
      </c>
      <c r="M572" s="27" t="s">
        <v>1479</v>
      </c>
      <c r="N572" s="27">
        <v>21.5</v>
      </c>
      <c r="O572" s="27"/>
      <c r="P572" s="27">
        <v>21.0</v>
      </c>
      <c r="Q572" s="27"/>
      <c r="R572" s="27">
        <v>21.0</v>
      </c>
      <c r="S572" s="27"/>
      <c r="T572" s="27">
        <v>21.0</v>
      </c>
      <c r="U572" s="27"/>
      <c r="V572" s="27">
        <v>21.0</v>
      </c>
      <c r="W572" s="27"/>
      <c r="X572" s="27">
        <v>21.0</v>
      </c>
      <c r="Y572" s="27"/>
      <c r="Z572" s="27">
        <v>21.5</v>
      </c>
      <c r="AA572" s="27"/>
      <c r="AB572" s="27">
        <v>21.0</v>
      </c>
      <c r="AC572" s="27"/>
      <c r="AD572" s="27">
        <v>21.0</v>
      </c>
      <c r="AE572" s="27"/>
      <c r="AF572" s="27">
        <v>21.0</v>
      </c>
      <c r="AG572" s="27"/>
      <c r="AH572" s="27">
        <v>156.0</v>
      </c>
      <c r="AI572" s="27">
        <v>127.0</v>
      </c>
      <c r="AJ572" s="27">
        <v>2.0</v>
      </c>
      <c r="AK572" s="27" t="b">
        <v>1</v>
      </c>
      <c r="AL572" s="27">
        <v>100.0</v>
      </c>
      <c r="AM572" s="27" t="s">
        <v>389</v>
      </c>
      <c r="AN572" s="27" t="s">
        <v>405</v>
      </c>
      <c r="AO572" s="27"/>
    </row>
    <row r="573">
      <c r="A573" s="200">
        <v>44831.02510368056</v>
      </c>
      <c r="B573" s="19" t="s">
        <v>53</v>
      </c>
      <c r="C573" s="21" t="s">
        <v>176</v>
      </c>
      <c r="D573" s="62">
        <v>2.0</v>
      </c>
      <c r="E573" s="27">
        <v>2.0</v>
      </c>
      <c r="F573" s="27" t="s">
        <v>1480</v>
      </c>
      <c r="G573" s="201" t="s">
        <v>57</v>
      </c>
      <c r="H573" s="27"/>
      <c r="I573" s="27"/>
      <c r="J573" s="33">
        <v>-17.5</v>
      </c>
      <c r="K573" s="33">
        <v>-16.5</v>
      </c>
      <c r="L573" s="66">
        <v>73.5</v>
      </c>
      <c r="M573" s="27" t="s">
        <v>1481</v>
      </c>
      <c r="N573" s="27">
        <v>-16.5</v>
      </c>
      <c r="O573" s="27"/>
      <c r="P573" s="27">
        <v>-16.5</v>
      </c>
      <c r="Q573" s="27"/>
      <c r="R573" s="27">
        <v>-16.0</v>
      </c>
      <c r="S573" s="27"/>
      <c r="T573" s="27">
        <v>-16.5</v>
      </c>
      <c r="U573" s="27"/>
      <c r="V573" s="27">
        <v>-16.5</v>
      </c>
      <c r="W573" s="27"/>
      <c r="X573" s="27">
        <v>-16.5</v>
      </c>
      <c r="Y573" s="27"/>
      <c r="Z573" s="27">
        <v>-16.5</v>
      </c>
      <c r="AA573" s="27"/>
      <c r="AB573" s="27">
        <v>-16.5</v>
      </c>
      <c r="AC573" s="27"/>
      <c r="AD573" s="27"/>
      <c r="AE573" s="27"/>
      <c r="AF573" s="27"/>
      <c r="AG573" s="27"/>
      <c r="AH573" s="27">
        <v>120.0</v>
      </c>
      <c r="AI573" s="27">
        <v>179.0</v>
      </c>
      <c r="AJ573" s="27">
        <v>2.0</v>
      </c>
      <c r="AK573" s="27" t="b">
        <v>0</v>
      </c>
      <c r="AL573" s="27">
        <v>100.0</v>
      </c>
      <c r="AM573" s="27" t="s">
        <v>190</v>
      </c>
      <c r="AN573" s="27" t="s">
        <v>405</v>
      </c>
      <c r="AO573" s="27"/>
    </row>
    <row r="574">
      <c r="A574" s="200">
        <v>44831.02510368056</v>
      </c>
      <c r="B574" s="19" t="s">
        <v>53</v>
      </c>
      <c r="C574" s="21" t="s">
        <v>120</v>
      </c>
      <c r="D574" s="62">
        <v>2.0</v>
      </c>
      <c r="E574" s="27">
        <v>3.0</v>
      </c>
      <c r="F574" s="27" t="s">
        <v>1482</v>
      </c>
      <c r="G574" s="201" t="s">
        <v>57</v>
      </c>
      <c r="H574" s="27" t="s">
        <v>103</v>
      </c>
      <c r="I574" s="27"/>
      <c r="J574" s="33">
        <v>17.5</v>
      </c>
      <c r="K574" s="33">
        <v>24.0</v>
      </c>
      <c r="L574" s="66">
        <v>46.5</v>
      </c>
      <c r="M574" s="27" t="s">
        <v>1483</v>
      </c>
      <c r="N574" s="27">
        <v>24.0</v>
      </c>
      <c r="O574" s="27"/>
      <c r="P574" s="27">
        <v>24.0</v>
      </c>
      <c r="Q574" s="27"/>
      <c r="R574" s="27">
        <v>24.0</v>
      </c>
      <c r="S574" s="27"/>
      <c r="T574" s="27">
        <v>24.0</v>
      </c>
      <c r="U574" s="27"/>
      <c r="V574" s="27">
        <v>24.0</v>
      </c>
      <c r="W574" s="27"/>
      <c r="X574" s="27">
        <v>24.5</v>
      </c>
      <c r="Y574" s="27"/>
      <c r="Z574" s="27">
        <v>24.0</v>
      </c>
      <c r="AA574" s="27"/>
      <c r="AB574" s="27">
        <v>24.0</v>
      </c>
      <c r="AC574" s="27"/>
      <c r="AD574" s="27">
        <v>24.0</v>
      </c>
      <c r="AE574" s="27"/>
      <c r="AF574" s="27">
        <v>24.0</v>
      </c>
      <c r="AG574" s="27"/>
      <c r="AH574" s="27">
        <v>122.0</v>
      </c>
      <c r="AI574" s="27">
        <v>156.0</v>
      </c>
      <c r="AJ574" s="27">
        <v>2.0</v>
      </c>
      <c r="AK574" s="27" t="b">
        <v>0</v>
      </c>
      <c r="AL574" s="27">
        <v>100.0</v>
      </c>
      <c r="AM574" s="27" t="s">
        <v>129</v>
      </c>
      <c r="AN574" s="27" t="s">
        <v>405</v>
      </c>
      <c r="AO574" s="27"/>
    </row>
    <row r="575">
      <c r="A575" s="200">
        <v>44831.02510368056</v>
      </c>
      <c r="B575" s="19" t="s">
        <v>53</v>
      </c>
      <c r="C575" s="21" t="s">
        <v>155</v>
      </c>
      <c r="D575" s="62">
        <v>2.0</v>
      </c>
      <c r="E575" s="27">
        <v>2.0</v>
      </c>
      <c r="F575" s="27" t="s">
        <v>1484</v>
      </c>
      <c r="G575" s="201" t="s">
        <v>57</v>
      </c>
      <c r="H575" s="27" t="s">
        <v>138</v>
      </c>
      <c r="I575" s="27"/>
      <c r="J575" s="33">
        <v>-3.5</v>
      </c>
      <c r="K575" s="33">
        <v>9.5</v>
      </c>
      <c r="L575" s="66">
        <v>53.5</v>
      </c>
      <c r="M575" s="27" t="s">
        <v>1485</v>
      </c>
      <c r="N575" s="27">
        <v>9.5</v>
      </c>
      <c r="O575" s="27"/>
      <c r="P575" s="27">
        <v>9.5</v>
      </c>
      <c r="Q575" s="27"/>
      <c r="R575" s="27">
        <v>10.0</v>
      </c>
      <c r="S575" s="27"/>
      <c r="T575" s="27">
        <v>9.5</v>
      </c>
      <c r="U575" s="27"/>
      <c r="V575" s="27">
        <v>9.5</v>
      </c>
      <c r="W575" s="27"/>
      <c r="X575" s="27">
        <v>10.0</v>
      </c>
      <c r="Y575" s="27"/>
      <c r="Z575" s="27">
        <v>10.0</v>
      </c>
      <c r="AA575" s="27"/>
      <c r="AB575" s="27">
        <v>10.0</v>
      </c>
      <c r="AC575" s="27"/>
      <c r="AD575" s="27">
        <v>9.5</v>
      </c>
      <c r="AE575" s="27"/>
      <c r="AF575" s="27">
        <v>9.5</v>
      </c>
      <c r="AG575" s="27"/>
      <c r="AH575" s="27">
        <v>73.0</v>
      </c>
      <c r="AI575" s="27">
        <v>77.0</v>
      </c>
      <c r="AJ575" s="27">
        <v>2.0</v>
      </c>
      <c r="AK575" s="27" t="b">
        <v>0</v>
      </c>
      <c r="AL575" s="27">
        <v>100.0</v>
      </c>
      <c r="AM575" s="27" t="s">
        <v>186</v>
      </c>
      <c r="AN575" s="27" t="s">
        <v>404</v>
      </c>
      <c r="AO575" s="27"/>
    </row>
    <row r="576">
      <c r="A576" s="200">
        <v>44831.02510368056</v>
      </c>
      <c r="B576" s="19" t="s">
        <v>53</v>
      </c>
      <c r="C576" s="21" t="s">
        <v>173</v>
      </c>
      <c r="D576" s="62">
        <v>2.0</v>
      </c>
      <c r="E576" s="27">
        <v>2.0</v>
      </c>
      <c r="F576" s="27" t="s">
        <v>1486</v>
      </c>
      <c r="G576" s="201" t="s">
        <v>183</v>
      </c>
      <c r="H576" s="27" t="s">
        <v>166</v>
      </c>
      <c r="I576" s="27"/>
      <c r="J576" s="33">
        <v>10.5</v>
      </c>
      <c r="K576" s="33">
        <v>7.5</v>
      </c>
      <c r="L576" s="66">
        <v>51.5</v>
      </c>
      <c r="M576" s="27" t="s">
        <v>1487</v>
      </c>
      <c r="N576" s="27">
        <v>7.5</v>
      </c>
      <c r="O576" s="27"/>
      <c r="P576" s="27">
        <v>7.5</v>
      </c>
      <c r="Q576" s="27"/>
      <c r="R576" s="27">
        <v>7.0</v>
      </c>
      <c r="S576" s="27"/>
      <c r="T576" s="27">
        <v>7.5</v>
      </c>
      <c r="U576" s="27"/>
      <c r="V576" s="27">
        <v>7.0</v>
      </c>
      <c r="W576" s="27"/>
      <c r="X576" s="27">
        <v>7.5</v>
      </c>
      <c r="Y576" s="27"/>
      <c r="Z576" s="27">
        <v>7.5</v>
      </c>
      <c r="AA576" s="27"/>
      <c r="AB576" s="27">
        <v>7.5</v>
      </c>
      <c r="AC576" s="27"/>
      <c r="AD576" s="27">
        <v>7.5</v>
      </c>
      <c r="AE576" s="27"/>
      <c r="AF576" s="27">
        <v>7.5</v>
      </c>
      <c r="AG576" s="27"/>
      <c r="AH576" s="27">
        <v>112.0</v>
      </c>
      <c r="AI576" s="27">
        <v>98.0</v>
      </c>
      <c r="AJ576" s="27">
        <v>2.0</v>
      </c>
      <c r="AK576" s="27" t="b">
        <v>1</v>
      </c>
      <c r="AL576" s="27">
        <v>100.0</v>
      </c>
      <c r="AM576" s="27" t="s">
        <v>192</v>
      </c>
      <c r="AN576" s="27" t="s">
        <v>404</v>
      </c>
      <c r="AO576" s="27"/>
    </row>
    <row r="577">
      <c r="A577" s="200">
        <v>44831.02510368056</v>
      </c>
      <c r="B577" s="19"/>
      <c r="C577" s="21"/>
      <c r="D577" s="62"/>
      <c r="E577" s="27"/>
      <c r="F577" s="27"/>
      <c r="G577" s="201"/>
      <c r="H577" s="27"/>
      <c r="I577" s="27"/>
      <c r="J577" s="33"/>
      <c r="K577" s="33"/>
      <c r="L577" s="66"/>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t="e">
        <v>#N/A</v>
      </c>
      <c r="AN577" s="27" t="e">
        <v>#N/A</v>
      </c>
      <c r="AO577" s="27"/>
    </row>
    <row r="578">
      <c r="A578" s="200">
        <v>44831.02510368056</v>
      </c>
      <c r="B578" s="19" t="s">
        <v>131</v>
      </c>
      <c r="C578" s="21" t="s">
        <v>208</v>
      </c>
      <c r="D578" s="62">
        <v>2.0</v>
      </c>
      <c r="E578" s="27">
        <v>2.0</v>
      </c>
      <c r="F578" s="27" t="s">
        <v>1488</v>
      </c>
      <c r="G578" s="201" t="s">
        <v>57</v>
      </c>
      <c r="H578" s="27" t="s">
        <v>154</v>
      </c>
      <c r="I578" s="27"/>
      <c r="J578" s="33">
        <v>6.5</v>
      </c>
      <c r="K578" s="33">
        <v>7.5</v>
      </c>
      <c r="L578" s="66">
        <v>53.0</v>
      </c>
      <c r="M578" s="27" t="s">
        <v>1489</v>
      </c>
      <c r="N578" s="27">
        <v>7.5</v>
      </c>
      <c r="O578" s="27"/>
      <c r="P578" s="27">
        <v>7.5</v>
      </c>
      <c r="Q578" s="27"/>
      <c r="R578" s="27">
        <v>7.5</v>
      </c>
      <c r="S578" s="27"/>
      <c r="T578" s="27">
        <v>7.5</v>
      </c>
      <c r="U578" s="27"/>
      <c r="V578" s="27">
        <v>8.0</v>
      </c>
      <c r="W578" s="27"/>
      <c r="X578" s="27">
        <v>7.5</v>
      </c>
      <c r="Y578" s="27"/>
      <c r="Z578" s="27">
        <v>7.5</v>
      </c>
      <c r="AA578" s="27"/>
      <c r="AB578" s="27">
        <v>7.5</v>
      </c>
      <c r="AC578" s="27"/>
      <c r="AD578" s="27"/>
      <c r="AE578" s="27"/>
      <c r="AF578" s="27"/>
      <c r="AG578" s="27"/>
      <c r="AH578" s="27">
        <v>78.0</v>
      </c>
      <c r="AI578" s="27">
        <v>103.0</v>
      </c>
      <c r="AJ578" s="27">
        <v>2.0</v>
      </c>
      <c r="AK578" s="27" t="b">
        <v>0</v>
      </c>
      <c r="AL578" s="27">
        <v>100.0</v>
      </c>
      <c r="AM578" s="27" t="s">
        <v>190</v>
      </c>
      <c r="AN578" s="27" t="s">
        <v>405</v>
      </c>
      <c r="AO578" s="27"/>
    </row>
    <row r="579">
      <c r="A579" s="200">
        <v>44831.02510368056</v>
      </c>
      <c r="B579" s="19" t="s">
        <v>131</v>
      </c>
      <c r="C579" s="21" t="s">
        <v>197</v>
      </c>
      <c r="D579" s="62">
        <v>2.0</v>
      </c>
      <c r="E579" s="27">
        <v>2.0</v>
      </c>
      <c r="F579" s="27" t="s">
        <v>1471</v>
      </c>
      <c r="G579" s="201" t="s">
        <v>57</v>
      </c>
      <c r="H579" s="27" t="s">
        <v>53</v>
      </c>
      <c r="I579" s="27"/>
      <c r="J579" s="33">
        <v>18.0</v>
      </c>
      <c r="K579" s="33">
        <v>19.0</v>
      </c>
      <c r="L579" s="66">
        <v>66.0</v>
      </c>
      <c r="M579" s="27" t="s">
        <v>1419</v>
      </c>
      <c r="N579" s="27">
        <v>18.5</v>
      </c>
      <c r="O579" s="27"/>
      <c r="P579" s="27">
        <v>19.0</v>
      </c>
      <c r="Q579" s="27"/>
      <c r="R579" s="27">
        <v>18.0</v>
      </c>
      <c r="S579" s="27"/>
      <c r="T579" s="27">
        <v>19.0</v>
      </c>
      <c r="U579" s="27"/>
      <c r="V579" s="27">
        <v>19.0</v>
      </c>
      <c r="W579" s="27"/>
      <c r="X579" s="27">
        <v>19.0</v>
      </c>
      <c r="Y579" s="27"/>
      <c r="Z579" s="27">
        <v>19.0</v>
      </c>
      <c r="AA579" s="27"/>
      <c r="AB579" s="27">
        <v>19.5</v>
      </c>
      <c r="AC579" s="27"/>
      <c r="AD579" s="27">
        <v>19.0</v>
      </c>
      <c r="AE579" s="27"/>
      <c r="AF579" s="27">
        <v>19.0</v>
      </c>
      <c r="AG579" s="27"/>
      <c r="AH579" s="27">
        <v>139.0</v>
      </c>
      <c r="AI579" s="27">
        <v>76.0</v>
      </c>
      <c r="AJ579" s="27">
        <v>2.0</v>
      </c>
      <c r="AK579" s="27" t="b">
        <v>0</v>
      </c>
      <c r="AL579" s="27">
        <v>100.0</v>
      </c>
      <c r="AM579" s="27" t="s">
        <v>188</v>
      </c>
      <c r="AN579" s="27" t="s">
        <v>404</v>
      </c>
      <c r="AO579" s="27"/>
    </row>
    <row r="580">
      <c r="A580" s="200">
        <v>44831.02510368056</v>
      </c>
      <c r="B580" s="19" t="s">
        <v>131</v>
      </c>
      <c r="C580" s="21" t="s">
        <v>199</v>
      </c>
      <c r="D580" s="62">
        <v>2.0</v>
      </c>
      <c r="E580" s="27">
        <v>2.0</v>
      </c>
      <c r="F580" s="27" t="s">
        <v>1490</v>
      </c>
      <c r="G580" s="201" t="s">
        <v>57</v>
      </c>
      <c r="H580" s="27" t="s">
        <v>109</v>
      </c>
      <c r="I580" s="27"/>
      <c r="J580" s="33">
        <v>10.0</v>
      </c>
      <c r="K580" s="33">
        <v>9.5</v>
      </c>
      <c r="L580" s="66">
        <v>51.0</v>
      </c>
      <c r="M580" s="27" t="s">
        <v>1276</v>
      </c>
      <c r="N580" s="27">
        <v>9.5</v>
      </c>
      <c r="O580" s="27"/>
      <c r="P580" s="27">
        <v>9.5</v>
      </c>
      <c r="Q580" s="27"/>
      <c r="R580" s="27">
        <v>10.0</v>
      </c>
      <c r="S580" s="27"/>
      <c r="T580" s="27">
        <v>9.5</v>
      </c>
      <c r="U580" s="27"/>
      <c r="V580" s="27">
        <v>9.5</v>
      </c>
      <c r="W580" s="27"/>
      <c r="X580" s="27">
        <v>9.5</v>
      </c>
      <c r="Y580" s="27"/>
      <c r="Z580" s="27">
        <v>9.5</v>
      </c>
      <c r="AA580" s="27"/>
      <c r="AB580" s="27">
        <v>10.0</v>
      </c>
      <c r="AC580" s="27"/>
      <c r="AD580" s="27">
        <v>10.0</v>
      </c>
      <c r="AE580" s="27"/>
      <c r="AF580" s="27">
        <v>10.0</v>
      </c>
      <c r="AG580" s="27"/>
      <c r="AH580" s="27">
        <v>73.0</v>
      </c>
      <c r="AI580" s="27">
        <v>139.0</v>
      </c>
      <c r="AJ580" s="27">
        <v>2.0</v>
      </c>
      <c r="AK580" s="27" t="b">
        <v>0</v>
      </c>
      <c r="AL580" s="27">
        <v>100.0</v>
      </c>
      <c r="AM580" s="27" t="s">
        <v>193</v>
      </c>
      <c r="AN580" s="27" t="s">
        <v>405</v>
      </c>
      <c r="AO580" s="27"/>
    </row>
    <row r="581">
      <c r="A581" s="200">
        <v>44831.02510368056</v>
      </c>
      <c r="B581" s="19" t="s">
        <v>131</v>
      </c>
      <c r="C581" s="21" t="s">
        <v>222</v>
      </c>
      <c r="D581" s="62">
        <v>3.0</v>
      </c>
      <c r="E581" s="27">
        <v>1.0</v>
      </c>
      <c r="F581" s="27" t="s">
        <v>1476</v>
      </c>
      <c r="G581" s="201" t="s">
        <v>57</v>
      </c>
      <c r="H581" s="27" t="s">
        <v>53</v>
      </c>
      <c r="I581" s="27"/>
      <c r="J581" s="33">
        <v>6.5</v>
      </c>
      <c r="K581" s="33">
        <v>6.5</v>
      </c>
      <c r="L581" s="66">
        <v>57.0</v>
      </c>
      <c r="M581" s="27" t="s">
        <v>1477</v>
      </c>
      <c r="N581" s="27">
        <v>6.5</v>
      </c>
      <c r="O581" s="27"/>
      <c r="P581" s="27">
        <v>6.5</v>
      </c>
      <c r="Q581" s="27"/>
      <c r="R581" s="27">
        <v>6.5</v>
      </c>
      <c r="S581" s="27"/>
      <c r="T581" s="27">
        <v>6.5</v>
      </c>
      <c r="U581" s="27"/>
      <c r="V581" s="27">
        <v>6.5</v>
      </c>
      <c r="W581" s="27"/>
      <c r="X581" s="27">
        <v>6.0</v>
      </c>
      <c r="Y581" s="27"/>
      <c r="Z581" s="27">
        <v>6.5</v>
      </c>
      <c r="AA581" s="27"/>
      <c r="AB581" s="27">
        <v>6.5</v>
      </c>
      <c r="AC581" s="27"/>
      <c r="AD581" s="27">
        <v>6.5</v>
      </c>
      <c r="AE581" s="27"/>
      <c r="AF581" s="27">
        <v>6.5</v>
      </c>
      <c r="AG581" s="27"/>
      <c r="AH581" s="27">
        <v>120.0</v>
      </c>
      <c r="AI581" s="27">
        <v>82.0</v>
      </c>
      <c r="AJ581" s="27">
        <v>2.0</v>
      </c>
      <c r="AK581" s="27" t="b">
        <v>1</v>
      </c>
      <c r="AL581" s="27">
        <v>100.0</v>
      </c>
      <c r="AM581" s="27" t="s">
        <v>191</v>
      </c>
      <c r="AN581" s="27" t="s">
        <v>404</v>
      </c>
      <c r="AO581" s="27"/>
    </row>
    <row r="582">
      <c r="A582" s="200">
        <v>44831.02510368056</v>
      </c>
      <c r="B582" s="19" t="s">
        <v>131</v>
      </c>
      <c r="C582" s="21" t="s">
        <v>214</v>
      </c>
      <c r="D582" s="62">
        <v>4.0</v>
      </c>
      <c r="E582" s="27">
        <v>0.0</v>
      </c>
      <c r="F582" s="27" t="s">
        <v>1491</v>
      </c>
      <c r="G582" s="201" t="s">
        <v>57</v>
      </c>
      <c r="H582" s="27" t="s">
        <v>144</v>
      </c>
      <c r="I582" s="27"/>
      <c r="J582" s="33">
        <v>-3.5</v>
      </c>
      <c r="K582" s="33">
        <v>-11.0</v>
      </c>
      <c r="L582" s="66">
        <v>57.0</v>
      </c>
      <c r="M582" s="27" t="s">
        <v>1492</v>
      </c>
      <c r="N582" s="27">
        <v>-11.0</v>
      </c>
      <c r="O582" s="27"/>
      <c r="P582" s="27">
        <v>-11.0</v>
      </c>
      <c r="Q582" s="27"/>
      <c r="R582" s="27">
        <v>-11.0</v>
      </c>
      <c r="S582" s="27"/>
      <c r="T582" s="27">
        <v>-11.0</v>
      </c>
      <c r="U582" s="27"/>
      <c r="V582" s="27">
        <v>-11.0</v>
      </c>
      <c r="W582" s="27"/>
      <c r="X582" s="27">
        <v>-10.5</v>
      </c>
      <c r="Y582" s="27"/>
      <c r="Z582" s="27">
        <v>-11.5</v>
      </c>
      <c r="AA582" s="27"/>
      <c r="AB582" s="27">
        <v>-11.0</v>
      </c>
      <c r="AC582" s="27"/>
      <c r="AD582" s="27">
        <v>-11.0</v>
      </c>
      <c r="AE582" s="27"/>
      <c r="AF582" s="27">
        <v>-11.0</v>
      </c>
      <c r="AG582" s="27"/>
      <c r="AH582" s="27">
        <v>194.0</v>
      </c>
      <c r="AI582" s="27">
        <v>76.0</v>
      </c>
      <c r="AJ582" s="27">
        <v>2.0</v>
      </c>
      <c r="AK582" s="27" t="b">
        <v>0</v>
      </c>
      <c r="AL582" s="27">
        <v>100.0</v>
      </c>
      <c r="AM582" s="27" t="s">
        <v>192</v>
      </c>
      <c r="AN582" s="27" t="s">
        <v>404</v>
      </c>
      <c r="AO582" s="27"/>
    </row>
    <row r="583">
      <c r="A583" s="200">
        <v>44831.02510368056</v>
      </c>
      <c r="B583" s="19" t="s">
        <v>131</v>
      </c>
      <c r="C583" s="21" t="s">
        <v>204</v>
      </c>
      <c r="D583" s="62">
        <v>2.0</v>
      </c>
      <c r="E583" s="27">
        <v>3.0</v>
      </c>
      <c r="F583" s="27" t="s">
        <v>1493</v>
      </c>
      <c r="G583" s="201" t="s">
        <v>57</v>
      </c>
      <c r="H583" s="27" t="s">
        <v>109</v>
      </c>
      <c r="I583" s="27"/>
      <c r="J583" s="33">
        <v>13.5</v>
      </c>
      <c r="K583" s="33">
        <v>12.5</v>
      </c>
      <c r="L583" s="66">
        <v>68.5</v>
      </c>
      <c r="M583" s="27" t="s">
        <v>1494</v>
      </c>
      <c r="N583" s="27">
        <v>13.0</v>
      </c>
      <c r="O583" s="27"/>
      <c r="P583" s="27">
        <v>13.0</v>
      </c>
      <c r="Q583" s="27"/>
      <c r="R583" s="27">
        <v>12.5</v>
      </c>
      <c r="S583" s="27"/>
      <c r="T583" s="27">
        <v>12.5</v>
      </c>
      <c r="U583" s="27"/>
      <c r="V583" s="27">
        <v>13.0</v>
      </c>
      <c r="W583" s="27"/>
      <c r="X583" s="27">
        <v>13.0</v>
      </c>
      <c r="Y583" s="27"/>
      <c r="Z583" s="27">
        <v>13.0</v>
      </c>
      <c r="AA583" s="27"/>
      <c r="AB583" s="27">
        <v>13.5</v>
      </c>
      <c r="AC583" s="27"/>
      <c r="AD583" s="27">
        <v>12.5</v>
      </c>
      <c r="AE583" s="27"/>
      <c r="AF583" s="27">
        <v>12.5</v>
      </c>
      <c r="AG583" s="27"/>
      <c r="AH583" s="27">
        <v>161.0</v>
      </c>
      <c r="AI583" s="27">
        <v>190.0</v>
      </c>
      <c r="AJ583" s="27">
        <v>2.0</v>
      </c>
      <c r="AK583" s="27" t="b">
        <v>1</v>
      </c>
      <c r="AL583" s="27">
        <v>100.0</v>
      </c>
      <c r="AM583" s="27" t="s">
        <v>189</v>
      </c>
      <c r="AN583" s="27" t="s">
        <v>405</v>
      </c>
      <c r="AO583" s="27"/>
    </row>
    <row r="584">
      <c r="A584" s="200">
        <v>44831.02510368056</v>
      </c>
      <c r="B584" s="19" t="s">
        <v>131</v>
      </c>
      <c r="C584" s="21" t="s">
        <v>219</v>
      </c>
      <c r="D584" s="62">
        <v>2.0</v>
      </c>
      <c r="E584" s="27">
        <v>2.0</v>
      </c>
      <c r="F584" s="27" t="s">
        <v>1495</v>
      </c>
      <c r="G584" s="201" t="s">
        <v>57</v>
      </c>
      <c r="H584" s="27" t="s">
        <v>178</v>
      </c>
      <c r="I584" s="27"/>
      <c r="J584" s="33">
        <v>2.0</v>
      </c>
      <c r="K584" s="33">
        <v>3.0</v>
      </c>
      <c r="L584" s="66">
        <v>57.0</v>
      </c>
      <c r="M584" s="27" t="s">
        <v>1496</v>
      </c>
      <c r="N584" s="27">
        <v>3.0</v>
      </c>
      <c r="O584" s="27"/>
      <c r="P584" s="27">
        <v>2.5</v>
      </c>
      <c r="Q584" s="27"/>
      <c r="R584" s="27">
        <v>3.0</v>
      </c>
      <c r="S584" s="27"/>
      <c r="T584" s="27">
        <v>3.0</v>
      </c>
      <c r="U584" s="27"/>
      <c r="V584" s="27">
        <v>2.5</v>
      </c>
      <c r="W584" s="27"/>
      <c r="X584" s="27">
        <v>2.5</v>
      </c>
      <c r="Y584" s="27"/>
      <c r="Z584" s="27">
        <v>2.5</v>
      </c>
      <c r="AA584" s="27"/>
      <c r="AB584" s="27">
        <v>3.0</v>
      </c>
      <c r="AC584" s="27"/>
      <c r="AD584" s="27">
        <v>3.0</v>
      </c>
      <c r="AE584" s="27"/>
      <c r="AF584" s="27"/>
      <c r="AG584" s="27"/>
      <c r="AH584" s="27">
        <v>82.0</v>
      </c>
      <c r="AI584" s="27">
        <v>94.0</v>
      </c>
      <c r="AJ584" s="27">
        <v>2.0</v>
      </c>
      <c r="AK584" s="27" t="b">
        <v>0</v>
      </c>
      <c r="AL584" s="27">
        <v>100.0</v>
      </c>
      <c r="AM584" s="27" t="s">
        <v>129</v>
      </c>
      <c r="AN584" s="27" t="s">
        <v>405</v>
      </c>
      <c r="AO584" s="27"/>
    </row>
    <row r="585">
      <c r="A585" s="200">
        <v>44831.02510368056</v>
      </c>
      <c r="B585" s="19" t="s">
        <v>131</v>
      </c>
      <c r="C585" s="21" t="s">
        <v>217</v>
      </c>
      <c r="D585" s="62">
        <v>4.0</v>
      </c>
      <c r="E585" s="27">
        <v>0.0</v>
      </c>
      <c r="F585" s="27" t="s">
        <v>1497</v>
      </c>
      <c r="G585" s="201" t="s">
        <v>57</v>
      </c>
      <c r="H585" s="27"/>
      <c r="I585" s="27"/>
      <c r="J585" s="33">
        <v>-7.5</v>
      </c>
      <c r="K585" s="33">
        <v>-7.0</v>
      </c>
      <c r="L585" s="66">
        <v>65.0</v>
      </c>
      <c r="M585" s="27" t="s">
        <v>1330</v>
      </c>
      <c r="N585" s="27">
        <v>-7.0</v>
      </c>
      <c r="O585" s="27"/>
      <c r="P585" s="27">
        <v>-7.0</v>
      </c>
      <c r="Q585" s="27"/>
      <c r="R585" s="27">
        <v>-7.0</v>
      </c>
      <c r="S585" s="27"/>
      <c r="T585" s="27">
        <v>-7.0</v>
      </c>
      <c r="U585" s="27"/>
      <c r="V585" s="27">
        <v>-7.0</v>
      </c>
      <c r="W585" s="27"/>
      <c r="X585" s="27">
        <v>-7.0</v>
      </c>
      <c r="Y585" s="27"/>
      <c r="Z585" s="27">
        <v>-7.0</v>
      </c>
      <c r="AA585" s="27"/>
      <c r="AB585" s="27">
        <v>-7.5</v>
      </c>
      <c r="AC585" s="27"/>
      <c r="AD585" s="27">
        <v>-7.0</v>
      </c>
      <c r="AE585" s="27"/>
      <c r="AF585" s="27">
        <v>-7.0</v>
      </c>
      <c r="AG585" s="27"/>
      <c r="AH585" s="27">
        <v>194.0</v>
      </c>
      <c r="AI585" s="27">
        <v>109.0</v>
      </c>
      <c r="AJ585" s="27">
        <v>2.0</v>
      </c>
      <c r="AK585" s="27" t="b">
        <v>0</v>
      </c>
      <c r="AL585" s="27">
        <v>100.0</v>
      </c>
      <c r="AM585" s="27" t="s">
        <v>187</v>
      </c>
      <c r="AN585" s="27" t="s">
        <v>404</v>
      </c>
      <c r="AO585" s="27"/>
    </row>
    <row r="586">
      <c r="A586" s="200">
        <v>44831.02510368056</v>
      </c>
      <c r="B586" s="19" t="s">
        <v>131</v>
      </c>
      <c r="C586" s="21" t="s">
        <v>210</v>
      </c>
      <c r="D586" s="62">
        <v>1.0</v>
      </c>
      <c r="E586" s="27">
        <v>3.0</v>
      </c>
      <c r="F586" s="27" t="s">
        <v>1498</v>
      </c>
      <c r="G586" s="201" t="s">
        <v>57</v>
      </c>
      <c r="H586" s="27" t="s">
        <v>141</v>
      </c>
      <c r="I586" s="27"/>
      <c r="J586" s="33">
        <v>14.0</v>
      </c>
      <c r="K586" s="33">
        <v>14.5</v>
      </c>
      <c r="L586" s="66">
        <v>64.5</v>
      </c>
      <c r="M586" s="27" t="s">
        <v>1430</v>
      </c>
      <c r="N586" s="27">
        <v>14.5</v>
      </c>
      <c r="O586" s="27"/>
      <c r="P586" s="27">
        <v>14.5</v>
      </c>
      <c r="Q586" s="27"/>
      <c r="R586" s="27">
        <v>15.5</v>
      </c>
      <c r="S586" s="27"/>
      <c r="T586" s="27">
        <v>14.5</v>
      </c>
      <c r="U586" s="27"/>
      <c r="V586" s="27">
        <v>15.5</v>
      </c>
      <c r="W586" s="27"/>
      <c r="X586" s="27">
        <v>14.5</v>
      </c>
      <c r="Y586" s="27"/>
      <c r="Z586" s="27">
        <v>14.5</v>
      </c>
      <c r="AA586" s="27"/>
      <c r="AB586" s="27">
        <v>14.5</v>
      </c>
      <c r="AC586" s="27"/>
      <c r="AD586" s="27">
        <v>14.5</v>
      </c>
      <c r="AE586" s="27"/>
      <c r="AF586" s="27">
        <v>14.5</v>
      </c>
      <c r="AG586" s="27"/>
      <c r="AH586" s="27">
        <v>94.0</v>
      </c>
      <c r="AI586" s="27">
        <v>142.0</v>
      </c>
      <c r="AJ586" s="27">
        <v>2.0</v>
      </c>
      <c r="AK586" s="27" t="b">
        <v>1</v>
      </c>
      <c r="AL586" s="27">
        <v>100.0</v>
      </c>
      <c r="AM586" s="27" t="s">
        <v>389</v>
      </c>
      <c r="AN586" s="27" t="s">
        <v>405</v>
      </c>
      <c r="AO586" s="27"/>
    </row>
    <row r="587">
      <c r="A587" s="200">
        <v>44831.02510368056</v>
      </c>
      <c r="B587" s="19" t="s">
        <v>131</v>
      </c>
      <c r="C587" s="21" t="s">
        <v>206</v>
      </c>
      <c r="D587" s="62">
        <v>4.0</v>
      </c>
      <c r="E587" s="27">
        <v>0.0</v>
      </c>
      <c r="F587" s="27" t="s">
        <v>1499</v>
      </c>
      <c r="G587" s="201" t="s">
        <v>183</v>
      </c>
      <c r="H587" s="27" t="s">
        <v>178</v>
      </c>
      <c r="I587" s="27"/>
      <c r="J587" s="33">
        <v>-10.0</v>
      </c>
      <c r="K587" s="33">
        <v>-7.5</v>
      </c>
      <c r="L587" s="66">
        <v>58.0</v>
      </c>
      <c r="M587" s="27" t="s">
        <v>1500</v>
      </c>
      <c r="N587" s="27">
        <v>-7.5</v>
      </c>
      <c r="O587" s="27"/>
      <c r="P587" s="27">
        <v>-7.5</v>
      </c>
      <c r="Q587" s="27"/>
      <c r="R587" s="27">
        <v>-7.5</v>
      </c>
      <c r="S587" s="27"/>
      <c r="T587" s="27">
        <v>-7.5</v>
      </c>
      <c r="U587" s="27"/>
      <c r="V587" s="27">
        <v>-7.5</v>
      </c>
      <c r="W587" s="27"/>
      <c r="X587" s="27">
        <v>-8.0</v>
      </c>
      <c r="Y587" s="27"/>
      <c r="Z587" s="27">
        <v>-7.5</v>
      </c>
      <c r="AA587" s="27"/>
      <c r="AB587" s="27">
        <v>-7.5</v>
      </c>
      <c r="AC587" s="27"/>
      <c r="AD587" s="27">
        <v>-7.5</v>
      </c>
      <c r="AE587" s="27"/>
      <c r="AF587" s="27">
        <v>-7.5</v>
      </c>
      <c r="AG587" s="27"/>
      <c r="AH587" s="27">
        <v>175.0</v>
      </c>
      <c r="AI587" s="27">
        <v>87.0</v>
      </c>
      <c r="AJ587" s="27">
        <v>2.0</v>
      </c>
      <c r="AK587" s="27" t="b">
        <v>1</v>
      </c>
      <c r="AL587" s="27">
        <v>100.0</v>
      </c>
      <c r="AM587" s="27" t="s">
        <v>186</v>
      </c>
      <c r="AN587" s="27" t="s">
        <v>404</v>
      </c>
      <c r="AO587" s="27"/>
    </row>
    <row r="588">
      <c r="A588" s="200">
        <v>44831.02510368056</v>
      </c>
      <c r="B588" s="19"/>
      <c r="C588" s="21"/>
      <c r="D588" s="62"/>
      <c r="E588" s="27"/>
      <c r="F588" s="27"/>
      <c r="G588" s="201"/>
      <c r="H588" s="27"/>
      <c r="I588" s="27"/>
      <c r="J588" s="33"/>
      <c r="K588" s="33"/>
      <c r="L588" s="66"/>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t="e">
        <v>#N/A</v>
      </c>
      <c r="AN588" s="27" t="e">
        <v>#N/A</v>
      </c>
      <c r="AO588" s="27"/>
    </row>
    <row r="589">
      <c r="A589" s="200">
        <v>44831.02510368056</v>
      </c>
      <c r="B589" s="19" t="s">
        <v>178</v>
      </c>
      <c r="C589" s="21" t="s">
        <v>263</v>
      </c>
      <c r="D589" s="62">
        <v>2.0</v>
      </c>
      <c r="E589" s="27">
        <v>2.0</v>
      </c>
      <c r="F589" s="27" t="s">
        <v>1501</v>
      </c>
      <c r="G589" s="201" t="s">
        <v>57</v>
      </c>
      <c r="H589" s="27" t="s">
        <v>109</v>
      </c>
      <c r="I589" s="27"/>
      <c r="J589" s="33">
        <v>31.0</v>
      </c>
      <c r="K589" s="33">
        <v>31.5</v>
      </c>
      <c r="L589" s="66">
        <v>44.0</v>
      </c>
      <c r="M589" s="27" t="s">
        <v>1084</v>
      </c>
      <c r="N589" s="27">
        <v>31.5</v>
      </c>
      <c r="O589" s="27"/>
      <c r="P589" s="27">
        <v>31.5</v>
      </c>
      <c r="Q589" s="27"/>
      <c r="R589" s="27">
        <v>31.5</v>
      </c>
      <c r="S589" s="27"/>
      <c r="T589" s="27">
        <v>31.5</v>
      </c>
      <c r="U589" s="27"/>
      <c r="V589" s="27">
        <v>31.0</v>
      </c>
      <c r="W589" s="27"/>
      <c r="X589" s="27">
        <v>31.0</v>
      </c>
      <c r="Y589" s="27"/>
      <c r="Z589" s="27">
        <v>31.5</v>
      </c>
      <c r="AA589" s="27"/>
      <c r="AB589" s="27">
        <v>31.0</v>
      </c>
      <c r="AC589" s="27"/>
      <c r="AD589" s="27">
        <v>31.5</v>
      </c>
      <c r="AE589" s="27"/>
      <c r="AF589" s="27">
        <v>31.5</v>
      </c>
      <c r="AG589" s="27"/>
      <c r="AH589" s="27">
        <v>82.0</v>
      </c>
      <c r="AI589" s="27">
        <v>79.0</v>
      </c>
      <c r="AJ589" s="27">
        <v>2.0</v>
      </c>
      <c r="AK589" s="27" t="b">
        <v>0</v>
      </c>
      <c r="AL589" s="27">
        <v>100.0</v>
      </c>
      <c r="AM589" s="27" t="s">
        <v>129</v>
      </c>
      <c r="AN589" s="27" t="s">
        <v>405</v>
      </c>
      <c r="AO589" s="27"/>
    </row>
    <row r="590">
      <c r="A590" s="200">
        <v>44831.02510368056</v>
      </c>
      <c r="B590" s="19" t="s">
        <v>178</v>
      </c>
      <c r="C590" s="21" t="s">
        <v>267</v>
      </c>
      <c r="D590" s="62">
        <v>3.0</v>
      </c>
      <c r="E590" s="27">
        <v>1.0</v>
      </c>
      <c r="F590" s="27" t="s">
        <v>1502</v>
      </c>
      <c r="G590" s="201" t="s">
        <v>57</v>
      </c>
      <c r="H590" s="27" t="s">
        <v>144</v>
      </c>
      <c r="I590" s="27"/>
      <c r="J590" s="33">
        <v>-13.5</v>
      </c>
      <c r="K590" s="33">
        <v>-11.5</v>
      </c>
      <c r="L590" s="66">
        <v>48.5</v>
      </c>
      <c r="M590" s="27" t="s">
        <v>1503</v>
      </c>
      <c r="N590" s="27">
        <v>-11.5</v>
      </c>
      <c r="O590" s="27"/>
      <c r="P590" s="27">
        <v>-12.0</v>
      </c>
      <c r="Q590" s="27"/>
      <c r="R590" s="27">
        <v>-11.5</v>
      </c>
      <c r="S590" s="27"/>
      <c r="T590" s="27">
        <v>-11.5</v>
      </c>
      <c r="U590" s="27"/>
      <c r="V590" s="27">
        <v>-12.0</v>
      </c>
      <c r="W590" s="27"/>
      <c r="X590" s="27">
        <v>-11.5</v>
      </c>
      <c r="Y590" s="27"/>
      <c r="Z590" s="27">
        <v>-11.5</v>
      </c>
      <c r="AA590" s="27"/>
      <c r="AB590" s="27">
        <v>-11.5</v>
      </c>
      <c r="AC590" s="27"/>
      <c r="AD590" s="27">
        <v>-11.5</v>
      </c>
      <c r="AE590" s="27"/>
      <c r="AF590" s="27">
        <v>-11.5</v>
      </c>
      <c r="AG590" s="27"/>
      <c r="AH590" s="27">
        <v>135.0</v>
      </c>
      <c r="AI590" s="27">
        <v>47.0</v>
      </c>
      <c r="AJ590" s="27">
        <v>2.0</v>
      </c>
      <c r="AK590" s="27" t="b">
        <v>1</v>
      </c>
      <c r="AL590" s="27">
        <v>100.0</v>
      </c>
      <c r="AM590" s="27" t="s">
        <v>389</v>
      </c>
      <c r="AN590" s="27" t="s">
        <v>405</v>
      </c>
      <c r="AO590" s="27"/>
    </row>
    <row r="591">
      <c r="A591" s="200">
        <v>44831.02510368056</v>
      </c>
      <c r="B591" s="19" t="s">
        <v>178</v>
      </c>
      <c r="C591" s="21" t="s">
        <v>257</v>
      </c>
      <c r="D591" s="62">
        <v>3.0</v>
      </c>
      <c r="E591" s="27">
        <v>1.0</v>
      </c>
      <c r="F591" s="27" t="s">
        <v>1504</v>
      </c>
      <c r="G591" s="201" t="s">
        <v>57</v>
      </c>
      <c r="H591" s="27" t="s">
        <v>116</v>
      </c>
      <c r="I591" s="27"/>
      <c r="J591" s="33">
        <v>-9.5</v>
      </c>
      <c r="K591" s="33">
        <v>-9.5</v>
      </c>
      <c r="L591" s="66">
        <v>67.5</v>
      </c>
      <c r="M591" s="27" t="s">
        <v>1505</v>
      </c>
      <c r="N591" s="27">
        <v>-10.0</v>
      </c>
      <c r="O591" s="27"/>
      <c r="P591" s="27">
        <v>-9.5</v>
      </c>
      <c r="Q591" s="27"/>
      <c r="R591" s="27">
        <v>-9.5</v>
      </c>
      <c r="S591" s="27"/>
      <c r="T591" s="27">
        <v>-9.5</v>
      </c>
      <c r="U591" s="27"/>
      <c r="V591" s="27">
        <v>-9.5</v>
      </c>
      <c r="W591" s="27"/>
      <c r="X591" s="27">
        <v>-9.5</v>
      </c>
      <c r="Y591" s="27"/>
      <c r="Z591" s="27">
        <v>-10.0</v>
      </c>
      <c r="AA591" s="27"/>
      <c r="AB591" s="27">
        <v>-9.5</v>
      </c>
      <c r="AC591" s="27"/>
      <c r="AD591" s="27">
        <v>-9.5</v>
      </c>
      <c r="AE591" s="27"/>
      <c r="AF591" s="27"/>
      <c r="AG591" s="27"/>
      <c r="AH591" s="27">
        <v>159.0</v>
      </c>
      <c r="AI591" s="27">
        <v>107.0</v>
      </c>
      <c r="AJ591" s="27">
        <v>2.0</v>
      </c>
      <c r="AK591" s="27" t="b">
        <v>1</v>
      </c>
      <c r="AL591" s="27">
        <v>100.0</v>
      </c>
      <c r="AM591" s="27" t="s">
        <v>193</v>
      </c>
      <c r="AN591" s="27" t="s">
        <v>405</v>
      </c>
      <c r="AO591" s="27"/>
    </row>
    <row r="592">
      <c r="A592" s="200">
        <v>44831.02510368056</v>
      </c>
      <c r="B592" s="19" t="s">
        <v>178</v>
      </c>
      <c r="C592" s="21" t="s">
        <v>271</v>
      </c>
      <c r="D592" s="62">
        <v>3.0</v>
      </c>
      <c r="E592" s="27">
        <v>1.0</v>
      </c>
      <c r="F592" s="27" t="s">
        <v>1506</v>
      </c>
      <c r="G592" s="201" t="s">
        <v>57</v>
      </c>
      <c r="H592" s="27" t="s">
        <v>59</v>
      </c>
      <c r="I592" s="27"/>
      <c r="J592" s="33">
        <v>-26.5</v>
      </c>
      <c r="K592" s="33">
        <v>-31.0</v>
      </c>
      <c r="L592" s="66">
        <v>65.5</v>
      </c>
      <c r="M592" s="27" t="s">
        <v>1507</v>
      </c>
      <c r="N592" s="27">
        <v>-31.5</v>
      </c>
      <c r="O592" s="27"/>
      <c r="P592" s="27">
        <v>-31.0</v>
      </c>
      <c r="Q592" s="27"/>
      <c r="R592" s="27">
        <v>-31.0</v>
      </c>
      <c r="S592" s="27"/>
      <c r="T592" s="27">
        <v>-31.0</v>
      </c>
      <c r="U592" s="27"/>
      <c r="V592" s="27">
        <v>-31.0</v>
      </c>
      <c r="W592" s="27"/>
      <c r="X592" s="27">
        <v>-31.0</v>
      </c>
      <c r="Y592" s="27"/>
      <c r="Z592" s="27">
        <v>-31.0</v>
      </c>
      <c r="AA592" s="27"/>
      <c r="AB592" s="27">
        <v>-31.5</v>
      </c>
      <c r="AC592" s="27"/>
      <c r="AD592" s="27">
        <v>-31.0</v>
      </c>
      <c r="AE592" s="27"/>
      <c r="AF592" s="27">
        <v>-31.0</v>
      </c>
      <c r="AG592" s="27"/>
      <c r="AH592" s="27">
        <v>190.0</v>
      </c>
      <c r="AI592" s="27">
        <v>77.0</v>
      </c>
      <c r="AJ592" s="27">
        <v>2.0</v>
      </c>
      <c r="AK592" s="27" t="b">
        <v>1</v>
      </c>
      <c r="AL592" s="27">
        <v>100.0</v>
      </c>
      <c r="AM592" s="27" t="s">
        <v>189</v>
      </c>
      <c r="AN592" s="27" t="s">
        <v>405</v>
      </c>
      <c r="AO592" s="27"/>
    </row>
    <row r="593">
      <c r="A593" s="200">
        <v>44831.02510368056</v>
      </c>
      <c r="B593" s="19" t="s">
        <v>178</v>
      </c>
      <c r="C593" s="21" t="s">
        <v>265</v>
      </c>
      <c r="D593" s="62">
        <v>2.0</v>
      </c>
      <c r="E593" s="27">
        <v>2.0</v>
      </c>
      <c r="F593" s="27" t="s">
        <v>1495</v>
      </c>
      <c r="G593" s="201" t="s">
        <v>57</v>
      </c>
      <c r="H593" s="27" t="s">
        <v>131</v>
      </c>
      <c r="I593" s="27"/>
      <c r="J593" s="33">
        <v>-2.0</v>
      </c>
      <c r="K593" s="33">
        <v>-3.0</v>
      </c>
      <c r="L593" s="66">
        <v>57.0</v>
      </c>
      <c r="M593" s="27" t="s">
        <v>1496</v>
      </c>
      <c r="N593" s="27">
        <v>-3.0</v>
      </c>
      <c r="O593" s="27"/>
      <c r="P593" s="27">
        <v>-2.5</v>
      </c>
      <c r="Q593" s="27"/>
      <c r="R593" s="27">
        <v>-3.0</v>
      </c>
      <c r="S593" s="27"/>
      <c r="T593" s="27">
        <v>-3.0</v>
      </c>
      <c r="U593" s="27"/>
      <c r="V593" s="27">
        <v>-2.5</v>
      </c>
      <c r="W593" s="27"/>
      <c r="X593" s="27">
        <v>-2.5</v>
      </c>
      <c r="Y593" s="27"/>
      <c r="Z593" s="27">
        <v>-2.5</v>
      </c>
      <c r="AA593" s="27"/>
      <c r="AB593" s="27">
        <v>-3.0</v>
      </c>
      <c r="AC593" s="27"/>
      <c r="AD593" s="27">
        <v>-3.0</v>
      </c>
      <c r="AE593" s="27"/>
      <c r="AF593" s="27"/>
      <c r="AG593" s="27"/>
      <c r="AH593" s="27">
        <v>127.0</v>
      </c>
      <c r="AI593" s="27">
        <v>104.0</v>
      </c>
      <c r="AJ593" s="27">
        <v>2.0</v>
      </c>
      <c r="AK593" s="27" t="b">
        <v>1</v>
      </c>
      <c r="AL593" s="27">
        <v>100.0</v>
      </c>
      <c r="AM593" s="27" t="s">
        <v>190</v>
      </c>
      <c r="AN593" s="27" t="s">
        <v>405</v>
      </c>
      <c r="AO593" s="27"/>
    </row>
    <row r="594">
      <c r="A594" s="200">
        <v>44831.02510368056</v>
      </c>
      <c r="B594" s="19" t="s">
        <v>178</v>
      </c>
      <c r="C594" s="21" t="s">
        <v>240</v>
      </c>
      <c r="D594" s="62">
        <v>4.0</v>
      </c>
      <c r="E594" s="27">
        <v>0.0</v>
      </c>
      <c r="F594" s="27" t="s">
        <v>1508</v>
      </c>
      <c r="G594" s="201" t="s">
        <v>57</v>
      </c>
      <c r="H594" s="27" t="s">
        <v>138</v>
      </c>
      <c r="I594" s="27"/>
      <c r="J594" s="33">
        <v>3.0</v>
      </c>
      <c r="K594" s="33">
        <v>-3.0</v>
      </c>
      <c r="L594" s="66">
        <v>53.5</v>
      </c>
      <c r="M594" s="27" t="s">
        <v>1509</v>
      </c>
      <c r="N594" s="27">
        <v>-3.0</v>
      </c>
      <c r="O594" s="27"/>
      <c r="P594" s="27">
        <v>-3.0</v>
      </c>
      <c r="Q594" s="27"/>
      <c r="R594" s="27">
        <v>-3.0</v>
      </c>
      <c r="S594" s="27"/>
      <c r="T594" s="27">
        <v>-3.0</v>
      </c>
      <c r="U594" s="27"/>
      <c r="V594" s="27">
        <v>-3.0</v>
      </c>
      <c r="W594" s="27"/>
      <c r="X594" s="27">
        <v>-2.5</v>
      </c>
      <c r="Y594" s="27"/>
      <c r="Z594" s="27">
        <v>-3.0</v>
      </c>
      <c r="AA594" s="27"/>
      <c r="AB594" s="27">
        <v>-3.0</v>
      </c>
      <c r="AC594" s="27"/>
      <c r="AD594" s="27">
        <v>-3.0</v>
      </c>
      <c r="AE594" s="27"/>
      <c r="AF594" s="27">
        <v>-3.0</v>
      </c>
      <c r="AG594" s="27"/>
      <c r="AH594" s="27">
        <v>183.0</v>
      </c>
      <c r="AI594" s="27">
        <v>24.0</v>
      </c>
      <c r="AJ594" s="27">
        <v>2.0</v>
      </c>
      <c r="AK594" s="27" t="b">
        <v>0</v>
      </c>
      <c r="AL594" s="27">
        <v>100.0</v>
      </c>
      <c r="AM594" s="27" t="s">
        <v>188</v>
      </c>
      <c r="AN594" s="27" t="s">
        <v>404</v>
      </c>
      <c r="AO594" s="27"/>
    </row>
    <row r="595">
      <c r="A595" s="200">
        <v>44831.02510368056</v>
      </c>
      <c r="B595" s="19" t="s">
        <v>178</v>
      </c>
      <c r="C595" s="21" t="s">
        <v>261</v>
      </c>
      <c r="D595" s="62">
        <v>4.0</v>
      </c>
      <c r="E595" s="27">
        <v>0.0</v>
      </c>
      <c r="F595" s="27" t="s">
        <v>1510</v>
      </c>
      <c r="G595" s="201" t="s">
        <v>57</v>
      </c>
      <c r="H595" s="27" t="s">
        <v>144</v>
      </c>
      <c r="I595" s="27"/>
      <c r="J595" s="33">
        <v>-21.0</v>
      </c>
      <c r="K595" s="33">
        <v>-22.5</v>
      </c>
      <c r="L595" s="66">
        <v>57.0</v>
      </c>
      <c r="M595" s="27" t="s">
        <v>1511</v>
      </c>
      <c r="N595" s="27">
        <v>-22.5</v>
      </c>
      <c r="O595" s="27"/>
      <c r="P595" s="27">
        <v>-22.0</v>
      </c>
      <c r="Q595" s="27"/>
      <c r="R595" s="27">
        <v>-22.0</v>
      </c>
      <c r="S595" s="27"/>
      <c r="T595" s="27">
        <v>-22.5</v>
      </c>
      <c r="U595" s="27"/>
      <c r="V595" s="27">
        <v>-22.0</v>
      </c>
      <c r="W595" s="27"/>
      <c r="X595" s="27">
        <v>-22.5</v>
      </c>
      <c r="Y595" s="27"/>
      <c r="Z595" s="27">
        <v>-22.0</v>
      </c>
      <c r="AA595" s="27"/>
      <c r="AB595" s="27">
        <v>-22.0</v>
      </c>
      <c r="AC595" s="27"/>
      <c r="AD595" s="27">
        <v>-22.5</v>
      </c>
      <c r="AE595" s="27"/>
      <c r="AF595" s="27">
        <v>-22.5</v>
      </c>
      <c r="AG595" s="27"/>
      <c r="AH595" s="27">
        <v>167.0</v>
      </c>
      <c r="AI595" s="27">
        <v>72.0</v>
      </c>
      <c r="AJ595" s="27">
        <v>2.0</v>
      </c>
      <c r="AK595" s="27" t="b">
        <v>0</v>
      </c>
      <c r="AL595" s="27">
        <v>100.0</v>
      </c>
      <c r="AM595" s="27" t="s">
        <v>191</v>
      </c>
      <c r="AN595" s="27" t="s">
        <v>404</v>
      </c>
      <c r="AO595" s="27"/>
    </row>
    <row r="596">
      <c r="A596" s="200">
        <v>44831.02510368056</v>
      </c>
      <c r="B596" s="19" t="s">
        <v>178</v>
      </c>
      <c r="C596" s="21" t="s">
        <v>269</v>
      </c>
      <c r="D596" s="62">
        <v>3.0</v>
      </c>
      <c r="E596" s="27">
        <v>1.0</v>
      </c>
      <c r="F596" s="27" t="s">
        <v>1512</v>
      </c>
      <c r="G596" s="201" t="s">
        <v>57</v>
      </c>
      <c r="H596" s="27" t="s">
        <v>148</v>
      </c>
      <c r="I596" s="27"/>
      <c r="J596" s="33">
        <v>-29.0</v>
      </c>
      <c r="K596" s="33">
        <v>-31.0</v>
      </c>
      <c r="L596" s="66">
        <v>52.5</v>
      </c>
      <c r="M596" s="27" t="s">
        <v>1286</v>
      </c>
      <c r="N596" s="27">
        <v>-31.5</v>
      </c>
      <c r="O596" s="27"/>
      <c r="P596" s="27">
        <v>-31.0</v>
      </c>
      <c r="Q596" s="27"/>
      <c r="R596" s="27">
        <v>-31.0</v>
      </c>
      <c r="S596" s="27"/>
      <c r="T596" s="27">
        <v>-31.0</v>
      </c>
      <c r="U596" s="27"/>
      <c r="V596" s="27">
        <v>-31.0</v>
      </c>
      <c r="W596" s="27"/>
      <c r="X596" s="27">
        <v>-31.0</v>
      </c>
      <c r="Y596" s="27"/>
      <c r="Z596" s="27">
        <v>-30.5</v>
      </c>
      <c r="AA596" s="27"/>
      <c r="AB596" s="27">
        <v>-31.0</v>
      </c>
      <c r="AC596" s="27"/>
      <c r="AD596" s="27">
        <v>-31.0</v>
      </c>
      <c r="AE596" s="27"/>
      <c r="AF596" s="27"/>
      <c r="AG596" s="27"/>
      <c r="AH596" s="27">
        <v>149.0</v>
      </c>
      <c r="AI596" s="27">
        <v>85.0</v>
      </c>
      <c r="AJ596" s="27">
        <v>2.0</v>
      </c>
      <c r="AK596" s="27" t="b">
        <v>0</v>
      </c>
      <c r="AL596" s="27">
        <v>100.0</v>
      </c>
      <c r="AM596" s="27" t="s">
        <v>192</v>
      </c>
      <c r="AN596" s="27" t="s">
        <v>404</v>
      </c>
      <c r="AO596" s="27"/>
    </row>
    <row r="597">
      <c r="A597" s="200">
        <v>44831.02510368056</v>
      </c>
      <c r="B597" s="19" t="s">
        <v>178</v>
      </c>
      <c r="C597" s="21" t="s">
        <v>272</v>
      </c>
      <c r="D597" s="62">
        <v>3.0</v>
      </c>
      <c r="E597" s="27">
        <v>1.0</v>
      </c>
      <c r="F597" s="27" t="s">
        <v>1513</v>
      </c>
      <c r="G597" s="201" t="s">
        <v>183</v>
      </c>
      <c r="H597" s="27" t="s">
        <v>166</v>
      </c>
      <c r="I597" s="27"/>
      <c r="J597" s="33">
        <v>5.0</v>
      </c>
      <c r="K597" s="33">
        <v>7.0</v>
      </c>
      <c r="L597" s="66">
        <v>56.5</v>
      </c>
      <c r="M597" s="27" t="s">
        <v>1336</v>
      </c>
      <c r="N597" s="27">
        <v>7.0</v>
      </c>
      <c r="O597" s="27"/>
      <c r="P597" s="27">
        <v>7.0</v>
      </c>
      <c r="Q597" s="27"/>
      <c r="R597" s="27">
        <v>7.0</v>
      </c>
      <c r="S597" s="27"/>
      <c r="T597" s="27">
        <v>7.5</v>
      </c>
      <c r="U597" s="27"/>
      <c r="V597" s="27">
        <v>7.0</v>
      </c>
      <c r="W597" s="27"/>
      <c r="X597" s="27">
        <v>7.0</v>
      </c>
      <c r="Y597" s="27"/>
      <c r="Z597" s="27">
        <v>7.0</v>
      </c>
      <c r="AA597" s="27"/>
      <c r="AB597" s="27">
        <v>6.5</v>
      </c>
      <c r="AC597" s="27"/>
      <c r="AD597" s="27">
        <v>7.5</v>
      </c>
      <c r="AE597" s="27"/>
      <c r="AF597" s="27">
        <v>7.5</v>
      </c>
      <c r="AG597" s="27"/>
      <c r="AH597" s="27">
        <v>147.0</v>
      </c>
      <c r="AI597" s="27">
        <v>101.0</v>
      </c>
      <c r="AJ597" s="27">
        <v>2.0</v>
      </c>
      <c r="AK597" s="27" t="b">
        <v>0</v>
      </c>
      <c r="AL597" s="27">
        <v>100.0</v>
      </c>
      <c r="AM597" s="27" t="s">
        <v>187</v>
      </c>
      <c r="AN597" s="27" t="s">
        <v>404</v>
      </c>
      <c r="AO597" s="27"/>
    </row>
    <row r="598">
      <c r="A598" s="200">
        <v>44831.02510368056</v>
      </c>
      <c r="B598" s="19" t="s">
        <v>178</v>
      </c>
      <c r="C598" s="21" t="s">
        <v>259</v>
      </c>
      <c r="D598" s="62">
        <v>3.0</v>
      </c>
      <c r="E598" s="27">
        <v>1.0</v>
      </c>
      <c r="F598" s="27" t="s">
        <v>1499</v>
      </c>
      <c r="G598" s="201" t="s">
        <v>183</v>
      </c>
      <c r="H598" s="27" t="s">
        <v>131</v>
      </c>
      <c r="I598" s="27"/>
      <c r="J598" s="33">
        <v>10.0</v>
      </c>
      <c r="K598" s="33">
        <v>7.5</v>
      </c>
      <c r="L598" s="66">
        <v>58.0</v>
      </c>
      <c r="M598" s="27" t="s">
        <v>1500</v>
      </c>
      <c r="N598" s="27">
        <v>7.5</v>
      </c>
      <c r="O598" s="27"/>
      <c r="P598" s="27">
        <v>7.5</v>
      </c>
      <c r="Q598" s="27"/>
      <c r="R598" s="27">
        <v>7.5</v>
      </c>
      <c r="S598" s="27"/>
      <c r="T598" s="27">
        <v>7.5</v>
      </c>
      <c r="U598" s="27"/>
      <c r="V598" s="27">
        <v>7.5</v>
      </c>
      <c r="W598" s="27"/>
      <c r="X598" s="27">
        <v>8.0</v>
      </c>
      <c r="Y598" s="27"/>
      <c r="Z598" s="27">
        <v>7.5</v>
      </c>
      <c r="AA598" s="27"/>
      <c r="AB598" s="27">
        <v>7.5</v>
      </c>
      <c r="AC598" s="27"/>
      <c r="AD598" s="27">
        <v>7.5</v>
      </c>
      <c r="AE598" s="27"/>
      <c r="AF598" s="27">
        <v>7.5</v>
      </c>
      <c r="AG598" s="27"/>
      <c r="AH598" s="27">
        <v>171.0</v>
      </c>
      <c r="AI598" s="27">
        <v>122.0</v>
      </c>
      <c r="AJ598" s="27">
        <v>2.0</v>
      </c>
      <c r="AK598" s="27" t="b">
        <v>0</v>
      </c>
      <c r="AL598" s="27">
        <v>100.0</v>
      </c>
      <c r="AM598" s="27" t="s">
        <v>186</v>
      </c>
      <c r="AN598" s="27" t="s">
        <v>404</v>
      </c>
      <c r="AO598" s="27"/>
    </row>
    <row r="599">
      <c r="A599" s="200">
        <v>44831.02510368056</v>
      </c>
      <c r="B599" s="19"/>
      <c r="C599" s="21"/>
      <c r="D599" s="62"/>
      <c r="E599" s="27"/>
      <c r="F599" s="27"/>
      <c r="G599" s="201"/>
      <c r="H599" s="27"/>
      <c r="I599" s="27"/>
      <c r="J599" s="33"/>
      <c r="K599" s="33"/>
      <c r="L599" s="66"/>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t="e">
        <v>#N/A</v>
      </c>
      <c r="AN599" s="27" t="e">
        <v>#N/A</v>
      </c>
      <c r="AO599" s="27"/>
    </row>
    <row r="600">
      <c r="A600" s="200">
        <v>44831.02510368056</v>
      </c>
      <c r="B600" s="19" t="s">
        <v>59</v>
      </c>
      <c r="C600" s="21" t="s">
        <v>274</v>
      </c>
      <c r="D600" s="62">
        <v>3.0</v>
      </c>
      <c r="E600" s="27">
        <v>1.0</v>
      </c>
      <c r="F600" s="27" t="s">
        <v>1514</v>
      </c>
      <c r="G600" s="201" t="s">
        <v>57</v>
      </c>
      <c r="H600" s="27" t="s">
        <v>116</v>
      </c>
      <c r="I600" s="27"/>
      <c r="J600" s="33">
        <v>6.0</v>
      </c>
      <c r="K600" s="33">
        <v>5.5</v>
      </c>
      <c r="L600" s="66">
        <v>69.5</v>
      </c>
      <c r="M600" s="27" t="s">
        <v>1515</v>
      </c>
      <c r="N600" s="27">
        <v>6.0</v>
      </c>
      <c r="O600" s="27"/>
      <c r="P600" s="27">
        <v>5.5</v>
      </c>
      <c r="Q600" s="27"/>
      <c r="R600" s="27">
        <v>6.0</v>
      </c>
      <c r="S600" s="27"/>
      <c r="T600" s="27">
        <v>5.5</v>
      </c>
      <c r="U600" s="27"/>
      <c r="V600" s="27">
        <v>6.0</v>
      </c>
      <c r="W600" s="27"/>
      <c r="X600" s="27">
        <v>6.0</v>
      </c>
      <c r="Y600" s="27"/>
      <c r="Z600" s="27">
        <v>5.5</v>
      </c>
      <c r="AA600" s="27"/>
      <c r="AB600" s="27">
        <v>6.5</v>
      </c>
      <c r="AC600" s="27"/>
      <c r="AD600" s="27">
        <v>5.5</v>
      </c>
      <c r="AE600" s="27"/>
      <c r="AF600" s="27">
        <v>5.5</v>
      </c>
      <c r="AG600" s="27"/>
      <c r="AH600" s="27">
        <v>151.0</v>
      </c>
      <c r="AI600" s="27">
        <v>94.0</v>
      </c>
      <c r="AJ600" s="27">
        <v>2.0</v>
      </c>
      <c r="AK600" s="27" t="b">
        <v>1</v>
      </c>
      <c r="AL600" s="27">
        <v>100.0</v>
      </c>
      <c r="AM600" s="27" t="s">
        <v>191</v>
      </c>
      <c r="AN600" s="27" t="s">
        <v>404</v>
      </c>
      <c r="AO600" s="27"/>
    </row>
    <row r="601">
      <c r="A601" s="200">
        <v>44831.02510368056</v>
      </c>
      <c r="B601" s="19" t="s">
        <v>59</v>
      </c>
      <c r="C601" s="21" t="s">
        <v>279</v>
      </c>
      <c r="D601" s="62">
        <v>3.0</v>
      </c>
      <c r="E601" s="27">
        <v>1.0</v>
      </c>
      <c r="F601" s="27" t="s">
        <v>1516</v>
      </c>
      <c r="G601" s="201" t="s">
        <v>57</v>
      </c>
      <c r="H601" s="27" t="s">
        <v>138</v>
      </c>
      <c r="I601" s="27"/>
      <c r="J601" s="33">
        <v>-1.0</v>
      </c>
      <c r="K601" s="33">
        <v>-3.0</v>
      </c>
      <c r="L601" s="66">
        <v>61.5</v>
      </c>
      <c r="M601" s="27" t="s">
        <v>1496</v>
      </c>
      <c r="N601" s="27">
        <v>-3.0</v>
      </c>
      <c r="O601" s="27"/>
      <c r="P601" s="27">
        <v>-3.0</v>
      </c>
      <c r="Q601" s="27"/>
      <c r="R601" s="27">
        <v>-2.5</v>
      </c>
      <c r="S601" s="27"/>
      <c r="T601" s="27">
        <v>-3.0</v>
      </c>
      <c r="U601" s="27"/>
      <c r="V601" s="27">
        <v>-2.5</v>
      </c>
      <c r="W601" s="27"/>
      <c r="X601" s="27">
        <v>-3.0</v>
      </c>
      <c r="Y601" s="27"/>
      <c r="Z601" s="27">
        <v>-2.5</v>
      </c>
      <c r="AA601" s="27"/>
      <c r="AB601" s="27">
        <v>-2.5</v>
      </c>
      <c r="AC601" s="27"/>
      <c r="AD601" s="27">
        <v>-3.0</v>
      </c>
      <c r="AE601" s="27"/>
      <c r="AF601" s="27">
        <v>-3.0</v>
      </c>
      <c r="AG601" s="27"/>
      <c r="AH601" s="27">
        <v>158.0</v>
      </c>
      <c r="AI601" s="27">
        <v>92.0</v>
      </c>
      <c r="AJ601" s="27">
        <v>2.0</v>
      </c>
      <c r="AK601" s="27" t="b">
        <v>1</v>
      </c>
      <c r="AL601" s="27">
        <v>100.0</v>
      </c>
      <c r="AM601" s="27" t="s">
        <v>129</v>
      </c>
      <c r="AN601" s="27" t="s">
        <v>405</v>
      </c>
      <c r="AO601" s="27"/>
    </row>
    <row r="602">
      <c r="A602" s="200">
        <v>44831.02510368056</v>
      </c>
      <c r="B602" s="19" t="s">
        <v>59</v>
      </c>
      <c r="C602" s="21" t="s">
        <v>291</v>
      </c>
      <c r="D602" s="62">
        <v>3.0</v>
      </c>
      <c r="E602" s="27">
        <v>1.0</v>
      </c>
      <c r="F602" s="27" t="s">
        <v>1472</v>
      </c>
      <c r="G602" s="201" t="s">
        <v>57</v>
      </c>
      <c r="H602" s="27" t="s">
        <v>53</v>
      </c>
      <c r="I602" s="27"/>
      <c r="J602" s="33">
        <v>12.0</v>
      </c>
      <c r="K602" s="33">
        <v>14.0</v>
      </c>
      <c r="L602" s="66">
        <v>53.0</v>
      </c>
      <c r="M602" s="27" t="s">
        <v>1473</v>
      </c>
      <c r="N602" s="27">
        <v>13.5</v>
      </c>
      <c r="O602" s="27"/>
      <c r="P602" s="27">
        <v>13.5</v>
      </c>
      <c r="Q602" s="27"/>
      <c r="R602" s="27">
        <v>13.5</v>
      </c>
      <c r="S602" s="27"/>
      <c r="T602" s="27">
        <v>14.0</v>
      </c>
      <c r="U602" s="27"/>
      <c r="V602" s="27">
        <v>13.5</v>
      </c>
      <c r="W602" s="27"/>
      <c r="X602" s="27">
        <v>14.0</v>
      </c>
      <c r="Y602" s="27"/>
      <c r="Z602" s="27">
        <v>14.0</v>
      </c>
      <c r="AA602" s="27"/>
      <c r="AB602" s="27">
        <v>13.0</v>
      </c>
      <c r="AC602" s="27"/>
      <c r="AD602" s="27">
        <v>14.0</v>
      </c>
      <c r="AE602" s="27"/>
      <c r="AF602" s="27">
        <v>14.0</v>
      </c>
      <c r="AG602" s="27"/>
      <c r="AH602" s="27">
        <v>125.0</v>
      </c>
      <c r="AI602" s="27">
        <v>63.0</v>
      </c>
      <c r="AJ602" s="27">
        <v>2.0</v>
      </c>
      <c r="AK602" s="27" t="b">
        <v>0</v>
      </c>
      <c r="AL602" s="27">
        <v>100.0</v>
      </c>
      <c r="AM602" s="27" t="s">
        <v>187</v>
      </c>
      <c r="AN602" s="27" t="s">
        <v>404</v>
      </c>
      <c r="AO602" s="27"/>
    </row>
    <row r="603">
      <c r="A603" s="200">
        <v>44831.02510368056</v>
      </c>
      <c r="B603" s="19" t="s">
        <v>59</v>
      </c>
      <c r="C603" s="21" t="s">
        <v>289</v>
      </c>
      <c r="D603" s="62">
        <v>1.0</v>
      </c>
      <c r="E603" s="27">
        <v>3.0</v>
      </c>
      <c r="F603" s="27" t="s">
        <v>1517</v>
      </c>
      <c r="G603" s="201" t="s">
        <v>57</v>
      </c>
      <c r="H603" s="27" t="s">
        <v>103</v>
      </c>
      <c r="I603" s="27"/>
      <c r="J603" s="33">
        <v>15.5</v>
      </c>
      <c r="K603" s="33">
        <v>18.5</v>
      </c>
      <c r="L603" s="66">
        <v>50.0</v>
      </c>
      <c r="M603" s="27" t="s">
        <v>1318</v>
      </c>
      <c r="N603" s="27">
        <v>18.5</v>
      </c>
      <c r="O603" s="27"/>
      <c r="P603" s="27">
        <v>18.5</v>
      </c>
      <c r="Q603" s="27"/>
      <c r="R603" s="27">
        <v>19.0</v>
      </c>
      <c r="S603" s="27"/>
      <c r="T603" s="27">
        <v>18.5</v>
      </c>
      <c r="U603" s="27"/>
      <c r="V603" s="27">
        <v>18.5</v>
      </c>
      <c r="W603" s="27"/>
      <c r="X603" s="27">
        <v>18.5</v>
      </c>
      <c r="Y603" s="27"/>
      <c r="Z603" s="27">
        <v>18.5</v>
      </c>
      <c r="AA603" s="27"/>
      <c r="AB603" s="27">
        <v>18.5</v>
      </c>
      <c r="AC603" s="27"/>
      <c r="AD603" s="27">
        <v>18.5</v>
      </c>
      <c r="AE603" s="27"/>
      <c r="AF603" s="27">
        <v>18.5</v>
      </c>
      <c r="AG603" s="27"/>
      <c r="AH603" s="27">
        <v>83.0</v>
      </c>
      <c r="AI603" s="27">
        <v>110.0</v>
      </c>
      <c r="AJ603" s="27">
        <v>2.0</v>
      </c>
      <c r="AK603" s="27" t="b">
        <v>0</v>
      </c>
      <c r="AL603" s="27">
        <v>100.0</v>
      </c>
      <c r="AM603" s="27" t="s">
        <v>186</v>
      </c>
      <c r="AN603" s="27" t="s">
        <v>404</v>
      </c>
      <c r="AO603" s="27"/>
    </row>
    <row r="604">
      <c r="A604" s="200">
        <v>44831.02510368056</v>
      </c>
      <c r="B604" s="19" t="s">
        <v>59</v>
      </c>
      <c r="C604" s="21" t="s">
        <v>281</v>
      </c>
      <c r="D604" s="62">
        <v>1.0</v>
      </c>
      <c r="E604" s="27">
        <v>4.0</v>
      </c>
      <c r="F604" s="27" t="s">
        <v>1518</v>
      </c>
      <c r="G604" s="201" t="s">
        <v>57</v>
      </c>
      <c r="H604" s="27" t="s">
        <v>154</v>
      </c>
      <c r="I604" s="27"/>
      <c r="J604" s="33">
        <v>38.0</v>
      </c>
      <c r="K604" s="33">
        <v>38.0</v>
      </c>
      <c r="L604" s="66">
        <v>58.0</v>
      </c>
      <c r="M604" s="27" t="s">
        <v>1139</v>
      </c>
      <c r="N604" s="27">
        <v>38.5</v>
      </c>
      <c r="O604" s="27"/>
      <c r="P604" s="27">
        <v>38.5</v>
      </c>
      <c r="Q604" s="27"/>
      <c r="R604" s="27">
        <v>39.0</v>
      </c>
      <c r="S604" s="27"/>
      <c r="T604" s="27">
        <v>38.0</v>
      </c>
      <c r="U604" s="27"/>
      <c r="V604" s="27">
        <v>38.5</v>
      </c>
      <c r="W604" s="27"/>
      <c r="X604" s="27">
        <v>38.0</v>
      </c>
      <c r="Y604" s="27"/>
      <c r="Z604" s="27">
        <v>38.5</v>
      </c>
      <c r="AA604" s="27"/>
      <c r="AB604" s="27">
        <v>38.5</v>
      </c>
      <c r="AC604" s="27"/>
      <c r="AD604" s="27">
        <v>38.0</v>
      </c>
      <c r="AE604" s="27"/>
      <c r="AF604" s="27">
        <v>38.0</v>
      </c>
      <c r="AG604" s="27"/>
      <c r="AH604" s="27">
        <v>72.0</v>
      </c>
      <c r="AI604" s="27">
        <v>182.0</v>
      </c>
      <c r="AJ604" s="27">
        <v>2.0</v>
      </c>
      <c r="AK604" s="27" t="b">
        <v>1</v>
      </c>
      <c r="AL604" s="27">
        <v>100.0</v>
      </c>
      <c r="AM604" s="27" t="s">
        <v>389</v>
      </c>
      <c r="AN604" s="27" t="s">
        <v>405</v>
      </c>
      <c r="AO604" s="27"/>
    </row>
    <row r="605">
      <c r="A605" s="200">
        <v>44831.02510368056</v>
      </c>
      <c r="B605" s="19" t="s">
        <v>59</v>
      </c>
      <c r="C605" s="21" t="s">
        <v>283</v>
      </c>
      <c r="D605" s="62">
        <v>4.0</v>
      </c>
      <c r="E605" s="27">
        <v>0.0</v>
      </c>
      <c r="F605" s="27" t="s">
        <v>1519</v>
      </c>
      <c r="G605" s="201" t="s">
        <v>57</v>
      </c>
      <c r="H605" s="27" t="s">
        <v>138</v>
      </c>
      <c r="I605" s="27"/>
      <c r="J605" s="33">
        <v>-24.5</v>
      </c>
      <c r="K605" s="33">
        <v>-27.0</v>
      </c>
      <c r="L605" s="66">
        <v>53.0</v>
      </c>
      <c r="M605" s="27" t="s">
        <v>1520</v>
      </c>
      <c r="N605" s="27">
        <v>-26.5</v>
      </c>
      <c r="O605" s="27"/>
      <c r="P605" s="27">
        <v>-27.0</v>
      </c>
      <c r="Q605" s="27"/>
      <c r="R605" s="27">
        <v>-27.5</v>
      </c>
      <c r="S605" s="27"/>
      <c r="T605" s="27">
        <v>-27.0</v>
      </c>
      <c r="U605" s="27"/>
      <c r="V605" s="27">
        <v>-27.0</v>
      </c>
      <c r="W605" s="27"/>
      <c r="X605" s="27">
        <v>-27.0</v>
      </c>
      <c r="Y605" s="27"/>
      <c r="Z605" s="27">
        <v>-27.5</v>
      </c>
      <c r="AA605" s="27"/>
      <c r="AB605" s="27">
        <v>-27.0</v>
      </c>
      <c r="AC605" s="27"/>
      <c r="AD605" s="27">
        <v>-27.0</v>
      </c>
      <c r="AE605" s="27"/>
      <c r="AF605" s="27"/>
      <c r="AG605" s="27"/>
      <c r="AH605" s="27">
        <v>125.0</v>
      </c>
      <c r="AI605" s="27">
        <v>52.0</v>
      </c>
      <c r="AJ605" s="27">
        <v>2.0</v>
      </c>
      <c r="AK605" s="27" t="b">
        <v>1</v>
      </c>
      <c r="AL605" s="27">
        <v>100.0</v>
      </c>
      <c r="AM605" s="27" t="s">
        <v>192</v>
      </c>
      <c r="AN605" s="27" t="s">
        <v>404</v>
      </c>
      <c r="AO605" s="27"/>
    </row>
    <row r="606">
      <c r="A606" s="200">
        <v>44831.02510368056</v>
      </c>
      <c r="B606" s="19" t="s">
        <v>59</v>
      </c>
      <c r="C606" s="21" t="s">
        <v>275</v>
      </c>
      <c r="D606" s="62">
        <v>1.0</v>
      </c>
      <c r="E606" s="27">
        <v>2.0</v>
      </c>
      <c r="F606" s="27" t="s">
        <v>1506</v>
      </c>
      <c r="G606" s="201" t="s">
        <v>57</v>
      </c>
      <c r="H606" s="27" t="s">
        <v>178</v>
      </c>
      <c r="I606" s="27"/>
      <c r="J606" s="33">
        <v>26.5</v>
      </c>
      <c r="K606" s="33">
        <v>31.0</v>
      </c>
      <c r="L606" s="66">
        <v>65.5</v>
      </c>
      <c r="M606" s="27" t="s">
        <v>1507</v>
      </c>
      <c r="N606" s="27">
        <v>31.5</v>
      </c>
      <c r="O606" s="27"/>
      <c r="P606" s="27">
        <v>31.0</v>
      </c>
      <c r="Q606" s="27"/>
      <c r="R606" s="27">
        <v>31.0</v>
      </c>
      <c r="S606" s="27"/>
      <c r="T606" s="27">
        <v>31.0</v>
      </c>
      <c r="U606" s="27"/>
      <c r="V606" s="27">
        <v>31.0</v>
      </c>
      <c r="W606" s="27"/>
      <c r="X606" s="27">
        <v>31.0</v>
      </c>
      <c r="Y606" s="27"/>
      <c r="Z606" s="27">
        <v>31.0</v>
      </c>
      <c r="AA606" s="27"/>
      <c r="AB606" s="27">
        <v>31.5</v>
      </c>
      <c r="AC606" s="27"/>
      <c r="AD606" s="27">
        <v>31.0</v>
      </c>
      <c r="AE606" s="27"/>
      <c r="AF606" s="27">
        <v>31.0</v>
      </c>
      <c r="AG606" s="27"/>
      <c r="AH606" s="27">
        <v>50.0</v>
      </c>
      <c r="AI606" s="27">
        <v>151.0</v>
      </c>
      <c r="AJ606" s="27">
        <v>2.0</v>
      </c>
      <c r="AK606" s="27" t="b">
        <v>0</v>
      </c>
      <c r="AL606" s="27">
        <v>100.0</v>
      </c>
      <c r="AM606" s="27" t="s">
        <v>189</v>
      </c>
      <c r="AN606" s="27" t="s">
        <v>405</v>
      </c>
      <c r="AO606" s="27"/>
    </row>
    <row r="607">
      <c r="A607" s="200">
        <v>44831.02510368056</v>
      </c>
      <c r="B607" s="19" t="s">
        <v>59</v>
      </c>
      <c r="C607" s="21" t="s">
        <v>277</v>
      </c>
      <c r="D607" s="62">
        <v>2.0</v>
      </c>
      <c r="E607" s="27">
        <v>2.0</v>
      </c>
      <c r="F607" s="27" t="s">
        <v>1521</v>
      </c>
      <c r="G607" s="201" t="s">
        <v>57</v>
      </c>
      <c r="H607" s="27" t="s">
        <v>116</v>
      </c>
      <c r="I607" s="27"/>
      <c r="J607" s="33">
        <v>-10.0</v>
      </c>
      <c r="K607" s="33">
        <v>-6.5</v>
      </c>
      <c r="L607" s="66">
        <v>57.0</v>
      </c>
      <c r="M607" s="27" t="s">
        <v>1522</v>
      </c>
      <c r="N607" s="27">
        <v>-6.5</v>
      </c>
      <c r="O607" s="27"/>
      <c r="P607" s="27">
        <v>-6.0</v>
      </c>
      <c r="Q607" s="27"/>
      <c r="R607" s="27">
        <v>-6.5</v>
      </c>
      <c r="S607" s="27"/>
      <c r="T607" s="27">
        <v>-6.5</v>
      </c>
      <c r="U607" s="27"/>
      <c r="V607" s="27">
        <v>-6.0</v>
      </c>
      <c r="W607" s="27"/>
      <c r="X607" s="27">
        <v>-6.0</v>
      </c>
      <c r="Y607" s="27"/>
      <c r="Z607" s="27">
        <v>-7.0</v>
      </c>
      <c r="AA607" s="27"/>
      <c r="AB607" s="27">
        <v>-6.0</v>
      </c>
      <c r="AC607" s="27"/>
      <c r="AD607" s="27">
        <v>-6.5</v>
      </c>
      <c r="AE607" s="27"/>
      <c r="AF607" s="27">
        <v>-6.5</v>
      </c>
      <c r="AG607" s="27"/>
      <c r="AH607" s="27">
        <v>138.0</v>
      </c>
      <c r="AI607" s="27">
        <v>137.0</v>
      </c>
      <c r="AJ607" s="27">
        <v>2.0</v>
      </c>
      <c r="AK607" s="27" t="b">
        <v>0</v>
      </c>
      <c r="AL607" s="27">
        <v>100.0</v>
      </c>
      <c r="AM607" s="27" t="s">
        <v>193</v>
      </c>
      <c r="AN607" s="27" t="s">
        <v>405</v>
      </c>
      <c r="AO607" s="27"/>
    </row>
    <row r="608">
      <c r="A608" s="200">
        <v>44831.02510368056</v>
      </c>
      <c r="B608" s="19" t="s">
        <v>59</v>
      </c>
      <c r="C608" s="21" t="s">
        <v>284</v>
      </c>
      <c r="D608" s="62">
        <v>4.0</v>
      </c>
      <c r="E608" s="27">
        <v>0.0</v>
      </c>
      <c r="F608" s="27" t="s">
        <v>1523</v>
      </c>
      <c r="G608" s="201" t="s">
        <v>57</v>
      </c>
      <c r="H608" s="27" t="s">
        <v>103</v>
      </c>
      <c r="I608" s="27"/>
      <c r="J608" s="33">
        <v>-15.5</v>
      </c>
      <c r="K608" s="33">
        <v>-17.0</v>
      </c>
      <c r="L608" s="66">
        <v>65.5</v>
      </c>
      <c r="M608" s="27" t="s">
        <v>1377</v>
      </c>
      <c r="N608" s="27">
        <v>-17.0</v>
      </c>
      <c r="O608" s="27"/>
      <c r="P608" s="27">
        <v>-17.0</v>
      </c>
      <c r="Q608" s="27"/>
      <c r="R608" s="27">
        <v>-17.0</v>
      </c>
      <c r="S608" s="27"/>
      <c r="T608" s="27">
        <v>-17.0</v>
      </c>
      <c r="U608" s="27"/>
      <c r="V608" s="27">
        <v>-17.0</v>
      </c>
      <c r="W608" s="27"/>
      <c r="X608" s="27">
        <v>-17.5</v>
      </c>
      <c r="Y608" s="27"/>
      <c r="Z608" s="27">
        <v>-17.0</v>
      </c>
      <c r="AA608" s="27"/>
      <c r="AB608" s="27">
        <v>-17.0</v>
      </c>
      <c r="AC608" s="27"/>
      <c r="AD608" s="27">
        <v>-17.0</v>
      </c>
      <c r="AE608" s="27"/>
      <c r="AF608" s="27">
        <v>-17.0</v>
      </c>
      <c r="AG608" s="27"/>
      <c r="AH608" s="27">
        <v>200.0</v>
      </c>
      <c r="AI608" s="27">
        <v>44.0</v>
      </c>
      <c r="AJ608" s="27">
        <v>2.0</v>
      </c>
      <c r="AK608" s="27" t="b">
        <v>1</v>
      </c>
      <c r="AL608" s="27">
        <v>100.0</v>
      </c>
      <c r="AM608" s="27" t="s">
        <v>188</v>
      </c>
      <c r="AN608" s="27" t="s">
        <v>404</v>
      </c>
      <c r="AO608" s="27"/>
    </row>
    <row r="609">
      <c r="A609" s="200">
        <v>44831.02510368056</v>
      </c>
      <c r="B609" s="19" t="s">
        <v>59</v>
      </c>
      <c r="C609" s="21" t="s">
        <v>285</v>
      </c>
      <c r="D609" s="62">
        <v>1.0</v>
      </c>
      <c r="E609" s="27">
        <v>3.0</v>
      </c>
      <c r="F609" s="27" t="s">
        <v>1524</v>
      </c>
      <c r="G609" s="201" t="s">
        <v>57</v>
      </c>
      <c r="H609" s="27" t="s">
        <v>109</v>
      </c>
      <c r="I609" s="27"/>
      <c r="J609" s="33">
        <v>24.5</v>
      </c>
      <c r="K609" s="33">
        <v>28.5</v>
      </c>
      <c r="L609" s="66">
        <v>61.5</v>
      </c>
      <c r="M609" s="27" t="s">
        <v>1507</v>
      </c>
      <c r="N609" s="27">
        <v>28.0</v>
      </c>
      <c r="O609" s="27"/>
      <c r="P609" s="27">
        <v>28.0</v>
      </c>
      <c r="Q609" s="27"/>
      <c r="R609" s="27">
        <v>28.0</v>
      </c>
      <c r="S609" s="27"/>
      <c r="T609" s="27">
        <v>28.5</v>
      </c>
      <c r="U609" s="27"/>
      <c r="V609" s="27">
        <v>28.0</v>
      </c>
      <c r="W609" s="27"/>
      <c r="X609" s="27">
        <v>28.0</v>
      </c>
      <c r="Y609" s="27"/>
      <c r="Z609" s="27">
        <v>28.5</v>
      </c>
      <c r="AA609" s="27"/>
      <c r="AB609" s="27">
        <v>28.5</v>
      </c>
      <c r="AC609" s="27"/>
      <c r="AD609" s="27">
        <v>28.5</v>
      </c>
      <c r="AE609" s="27"/>
      <c r="AF609" s="27"/>
      <c r="AG609" s="27"/>
      <c r="AH609" s="27">
        <v>123.0</v>
      </c>
      <c r="AI609" s="27">
        <v>129.0</v>
      </c>
      <c r="AJ609" s="27">
        <v>2.0</v>
      </c>
      <c r="AK609" s="27" t="b">
        <v>0</v>
      </c>
      <c r="AL609" s="27">
        <v>100.0</v>
      </c>
      <c r="AM609" s="27" t="s">
        <v>190</v>
      </c>
      <c r="AN609" s="27" t="s">
        <v>405</v>
      </c>
      <c r="AO609" s="27"/>
    </row>
    <row r="610">
      <c r="A610" s="200">
        <v>44831.02510368056</v>
      </c>
      <c r="B610" s="19"/>
      <c r="C610" s="21"/>
      <c r="D610" s="62"/>
      <c r="E610" s="27"/>
      <c r="F610" s="27"/>
      <c r="G610" s="201"/>
      <c r="H610" s="27"/>
      <c r="I610" s="27"/>
      <c r="J610" s="33"/>
      <c r="K610" s="33"/>
      <c r="L610" s="66"/>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t="e">
        <v>#N/A</v>
      </c>
      <c r="AN610" s="27" t="e">
        <v>#N/A</v>
      </c>
      <c r="AO610" s="27"/>
    </row>
    <row r="611">
      <c r="A611" s="200">
        <v>44831.02510368056</v>
      </c>
      <c r="B611" s="19" t="s">
        <v>138</v>
      </c>
      <c r="C611" s="21" t="s">
        <v>311</v>
      </c>
      <c r="D611" s="62">
        <v>1.0</v>
      </c>
      <c r="E611" s="27">
        <v>2.0</v>
      </c>
      <c r="F611" s="27" t="s">
        <v>1525</v>
      </c>
      <c r="G611" s="201" t="s">
        <v>57</v>
      </c>
      <c r="H611" s="27" t="s">
        <v>148</v>
      </c>
      <c r="I611" s="27"/>
      <c r="J611" s="33">
        <v>9.5</v>
      </c>
      <c r="K611" s="33">
        <v>14.0</v>
      </c>
      <c r="L611" s="66">
        <v>53.5</v>
      </c>
      <c r="M611" s="27" t="s">
        <v>1526</v>
      </c>
      <c r="N611" s="27">
        <v>14.0</v>
      </c>
      <c r="O611" s="27"/>
      <c r="P611" s="27">
        <v>14.0</v>
      </c>
      <c r="Q611" s="27"/>
      <c r="R611" s="27">
        <v>14.0</v>
      </c>
      <c r="S611" s="27"/>
      <c r="T611" s="27">
        <v>14.0</v>
      </c>
      <c r="U611" s="27"/>
      <c r="V611" s="27">
        <v>14.0</v>
      </c>
      <c r="W611" s="27"/>
      <c r="X611" s="27">
        <v>14.0</v>
      </c>
      <c r="Y611" s="27"/>
      <c r="Z611" s="27">
        <v>14.0</v>
      </c>
      <c r="AA611" s="27"/>
      <c r="AB611" s="27">
        <v>14.0</v>
      </c>
      <c r="AC611" s="27"/>
      <c r="AD611" s="27">
        <v>14.0</v>
      </c>
      <c r="AE611" s="27"/>
      <c r="AF611" s="27">
        <v>14.0</v>
      </c>
      <c r="AG611" s="27"/>
      <c r="AH611" s="27">
        <v>91.0</v>
      </c>
      <c r="AI611" s="27">
        <v>91.0</v>
      </c>
      <c r="AJ611" s="27">
        <v>2.0</v>
      </c>
      <c r="AK611" s="27" t="b">
        <v>1</v>
      </c>
      <c r="AL611" s="27">
        <v>100.0</v>
      </c>
      <c r="AM611" s="27" t="s">
        <v>191</v>
      </c>
      <c r="AN611" s="27" t="s">
        <v>404</v>
      </c>
      <c r="AO611" s="27"/>
    </row>
    <row r="612">
      <c r="A612" s="200">
        <v>44831.02510368056</v>
      </c>
      <c r="B612" s="19" t="s">
        <v>138</v>
      </c>
      <c r="C612" s="21" t="s">
        <v>309</v>
      </c>
      <c r="D612" s="62">
        <v>3.0</v>
      </c>
      <c r="E612" s="27">
        <v>2.0</v>
      </c>
      <c r="F612" s="27" t="s">
        <v>1527</v>
      </c>
      <c r="G612" s="201" t="s">
        <v>57</v>
      </c>
      <c r="H612" s="27" t="s">
        <v>141</v>
      </c>
      <c r="I612" s="27"/>
      <c r="J612" s="33">
        <v>29.5</v>
      </c>
      <c r="K612" s="33">
        <v>40.5</v>
      </c>
      <c r="L612" s="66">
        <v>48.0</v>
      </c>
      <c r="M612" s="27" t="s">
        <v>1139</v>
      </c>
      <c r="N612" s="27">
        <v>40.5</v>
      </c>
      <c r="O612" s="27"/>
      <c r="P612" s="27">
        <v>40.5</v>
      </c>
      <c r="Q612" s="27"/>
      <c r="R612" s="27">
        <v>40.5</v>
      </c>
      <c r="S612" s="27"/>
      <c r="T612" s="27">
        <v>40.0</v>
      </c>
      <c r="U612" s="27"/>
      <c r="V612" s="27">
        <v>40.5</v>
      </c>
      <c r="W612" s="27"/>
      <c r="X612" s="27">
        <v>40.5</v>
      </c>
      <c r="Y612" s="27"/>
      <c r="Z612" s="27">
        <v>41.0</v>
      </c>
      <c r="AA612" s="27"/>
      <c r="AB612" s="27">
        <v>40.5</v>
      </c>
      <c r="AC612" s="27"/>
      <c r="AD612" s="27">
        <v>40.0</v>
      </c>
      <c r="AE612" s="27"/>
      <c r="AF612" s="27">
        <v>40.0</v>
      </c>
      <c r="AG612" s="27"/>
      <c r="AH612" s="27">
        <v>171.0</v>
      </c>
      <c r="AI612" s="27">
        <v>169.0</v>
      </c>
      <c r="AJ612" s="27">
        <v>2.0</v>
      </c>
      <c r="AK612" s="27" t="b">
        <v>0</v>
      </c>
      <c r="AL612" s="27">
        <v>100.0</v>
      </c>
      <c r="AM612" s="27" t="s">
        <v>187</v>
      </c>
      <c r="AN612" s="27" t="s">
        <v>404</v>
      </c>
      <c r="AO612" s="27"/>
    </row>
    <row r="613">
      <c r="A613" s="200">
        <v>44831.02510368056</v>
      </c>
      <c r="B613" s="19" t="s">
        <v>138</v>
      </c>
      <c r="C613" s="21" t="s">
        <v>304</v>
      </c>
      <c r="D613" s="62">
        <v>1.0</v>
      </c>
      <c r="E613" s="27">
        <v>3.0</v>
      </c>
      <c r="F613" s="27" t="s">
        <v>1516</v>
      </c>
      <c r="G613" s="201" t="s">
        <v>57</v>
      </c>
      <c r="H613" s="27" t="s">
        <v>59</v>
      </c>
      <c r="I613" s="27"/>
      <c r="J613" s="33">
        <v>1.0</v>
      </c>
      <c r="K613" s="33">
        <v>3.0</v>
      </c>
      <c r="L613" s="66">
        <v>61.5</v>
      </c>
      <c r="M613" s="27" t="s">
        <v>1496</v>
      </c>
      <c r="N613" s="27">
        <v>3.0</v>
      </c>
      <c r="O613" s="27"/>
      <c r="P613" s="27">
        <v>3.0</v>
      </c>
      <c r="Q613" s="27"/>
      <c r="R613" s="27">
        <v>2.5</v>
      </c>
      <c r="S613" s="27"/>
      <c r="T613" s="27">
        <v>3.0</v>
      </c>
      <c r="U613" s="27"/>
      <c r="V613" s="27">
        <v>2.5</v>
      </c>
      <c r="W613" s="27"/>
      <c r="X613" s="27">
        <v>3.0</v>
      </c>
      <c r="Y613" s="27"/>
      <c r="Z613" s="27">
        <v>2.5</v>
      </c>
      <c r="AA613" s="27"/>
      <c r="AB613" s="27">
        <v>2.5</v>
      </c>
      <c r="AC613" s="27"/>
      <c r="AD613" s="27">
        <v>3.0</v>
      </c>
      <c r="AE613" s="27"/>
      <c r="AF613" s="27">
        <v>3.0</v>
      </c>
      <c r="AG613" s="27"/>
      <c r="AH613" s="27">
        <v>62.0</v>
      </c>
      <c r="AI613" s="27">
        <v>144.0</v>
      </c>
      <c r="AJ613" s="27">
        <v>2.0</v>
      </c>
      <c r="AK613" s="27" t="b">
        <v>0</v>
      </c>
      <c r="AL613" s="27">
        <v>100.0</v>
      </c>
      <c r="AM613" s="27" t="s">
        <v>129</v>
      </c>
      <c r="AN613" s="27" t="s">
        <v>405</v>
      </c>
      <c r="AO613" s="27"/>
    </row>
    <row r="614">
      <c r="A614" s="200">
        <v>44831.02510368056</v>
      </c>
      <c r="B614" s="19" t="s">
        <v>138</v>
      </c>
      <c r="C614" s="21" t="s">
        <v>303</v>
      </c>
      <c r="D614" s="62">
        <v>3.0</v>
      </c>
      <c r="E614" s="27">
        <v>1.0</v>
      </c>
      <c r="F614" s="27" t="s">
        <v>1528</v>
      </c>
      <c r="G614" s="201" t="s">
        <v>57</v>
      </c>
      <c r="H614" s="27" t="s">
        <v>148</v>
      </c>
      <c r="I614" s="27"/>
      <c r="J614" s="33">
        <v>9.0</v>
      </c>
      <c r="K614" s="33">
        <v>1.5</v>
      </c>
      <c r="L614" s="66">
        <v>51.0</v>
      </c>
      <c r="M614" s="27" t="s">
        <v>1417</v>
      </c>
      <c r="N614" s="27">
        <v>1.5</v>
      </c>
      <c r="O614" s="27"/>
      <c r="P614" s="27">
        <v>1.5</v>
      </c>
      <c r="Q614" s="27"/>
      <c r="R614" s="27">
        <v>1.0</v>
      </c>
      <c r="S614" s="27"/>
      <c r="T614" s="27">
        <v>1.5</v>
      </c>
      <c r="U614" s="27"/>
      <c r="V614" s="27">
        <v>1.5</v>
      </c>
      <c r="W614" s="27"/>
      <c r="X614" s="27">
        <v>1.5</v>
      </c>
      <c r="Y614" s="27"/>
      <c r="Z614" s="27">
        <v>1.5</v>
      </c>
      <c r="AA614" s="27"/>
      <c r="AB614" s="27">
        <v>2.0</v>
      </c>
      <c r="AC614" s="27"/>
      <c r="AD614" s="27">
        <v>1.5</v>
      </c>
      <c r="AE614" s="27"/>
      <c r="AF614" s="27">
        <v>1.5</v>
      </c>
      <c r="AG614" s="27"/>
      <c r="AH614" s="27">
        <v>134.0</v>
      </c>
      <c r="AI614" s="27">
        <v>104.0</v>
      </c>
      <c r="AJ614" s="27">
        <v>2.0</v>
      </c>
      <c r="AK614" s="27" t="b">
        <v>0</v>
      </c>
      <c r="AL614" s="27">
        <v>100.0</v>
      </c>
      <c r="AM614" s="27" t="s">
        <v>192</v>
      </c>
      <c r="AN614" s="27" t="s">
        <v>404</v>
      </c>
      <c r="AO614" s="27"/>
    </row>
    <row r="615">
      <c r="A615" s="200">
        <v>44831.02510368056</v>
      </c>
      <c r="B615" s="19" t="s">
        <v>138</v>
      </c>
      <c r="C615" s="21" t="s">
        <v>302</v>
      </c>
      <c r="D615" s="62">
        <v>3.0</v>
      </c>
      <c r="E615" s="27">
        <v>1.0</v>
      </c>
      <c r="F615" s="27" t="s">
        <v>1529</v>
      </c>
      <c r="G615" s="201" t="s">
        <v>57</v>
      </c>
      <c r="H615" s="27" t="s">
        <v>166</v>
      </c>
      <c r="I615" s="27"/>
      <c r="J615" s="33">
        <v>-13.0</v>
      </c>
      <c r="K615" s="33">
        <v>-13.0</v>
      </c>
      <c r="L615" s="66">
        <v>58.5</v>
      </c>
      <c r="M615" s="27" t="s">
        <v>1161</v>
      </c>
      <c r="N615" s="27">
        <v>-13.0</v>
      </c>
      <c r="O615" s="27"/>
      <c r="P615" s="27">
        <v>-13.0</v>
      </c>
      <c r="Q615" s="27"/>
      <c r="R615" s="27">
        <v>-13.0</v>
      </c>
      <c r="S615" s="27"/>
      <c r="T615" s="27">
        <v>-13.0</v>
      </c>
      <c r="U615" s="27"/>
      <c r="V615" s="27">
        <v>-13.0</v>
      </c>
      <c r="W615" s="27"/>
      <c r="X615" s="27">
        <v>-13.0</v>
      </c>
      <c r="Y615" s="27"/>
      <c r="Z615" s="27">
        <v>-13.5</v>
      </c>
      <c r="AA615" s="27"/>
      <c r="AB615" s="27">
        <v>-13.0</v>
      </c>
      <c r="AC615" s="27"/>
      <c r="AD615" s="27">
        <v>-13.0</v>
      </c>
      <c r="AE615" s="27"/>
      <c r="AF615" s="27">
        <v>-13.0</v>
      </c>
      <c r="AG615" s="27"/>
      <c r="AH615" s="27">
        <v>155.0</v>
      </c>
      <c r="AI615" s="27">
        <v>77.0</v>
      </c>
      <c r="AJ615" s="27">
        <v>2.0</v>
      </c>
      <c r="AK615" s="27" t="b">
        <v>1</v>
      </c>
      <c r="AL615" s="27">
        <v>100.0</v>
      </c>
      <c r="AM615" s="27" t="s">
        <v>193</v>
      </c>
      <c r="AN615" s="27" t="s">
        <v>405</v>
      </c>
      <c r="AO615" s="27"/>
    </row>
    <row r="616">
      <c r="A616" s="200">
        <v>44831.02510368056</v>
      </c>
      <c r="B616" s="19" t="s">
        <v>138</v>
      </c>
      <c r="C616" s="21" t="s">
        <v>298</v>
      </c>
      <c r="D616" s="62">
        <v>1.0</v>
      </c>
      <c r="E616" s="27">
        <v>3.0</v>
      </c>
      <c r="F616" s="27" t="s">
        <v>1519</v>
      </c>
      <c r="G616" s="201" t="s">
        <v>57</v>
      </c>
      <c r="H616" s="27" t="s">
        <v>59</v>
      </c>
      <c r="I616" s="27"/>
      <c r="J616" s="33">
        <v>24.5</v>
      </c>
      <c r="K616" s="33">
        <v>27.0</v>
      </c>
      <c r="L616" s="66">
        <v>53.0</v>
      </c>
      <c r="M616" s="27" t="s">
        <v>1520</v>
      </c>
      <c r="N616" s="27">
        <v>26.5</v>
      </c>
      <c r="O616" s="27"/>
      <c r="P616" s="27">
        <v>27.0</v>
      </c>
      <c r="Q616" s="27"/>
      <c r="R616" s="27">
        <v>27.5</v>
      </c>
      <c r="S616" s="27"/>
      <c r="T616" s="27">
        <v>27.0</v>
      </c>
      <c r="U616" s="27"/>
      <c r="V616" s="27">
        <v>27.0</v>
      </c>
      <c r="W616" s="27"/>
      <c r="X616" s="27">
        <v>27.0</v>
      </c>
      <c r="Y616" s="27"/>
      <c r="Z616" s="27">
        <v>27.5</v>
      </c>
      <c r="AA616" s="27"/>
      <c r="AB616" s="27">
        <v>27.0</v>
      </c>
      <c r="AC616" s="27"/>
      <c r="AD616" s="27">
        <v>27.0</v>
      </c>
      <c r="AE616" s="27"/>
      <c r="AF616" s="27"/>
      <c r="AG616" s="27"/>
      <c r="AH616" s="27">
        <v>120.0</v>
      </c>
      <c r="AI616" s="27">
        <v>134.0</v>
      </c>
      <c r="AJ616" s="27">
        <v>2.0</v>
      </c>
      <c r="AK616" s="27" t="b">
        <v>0</v>
      </c>
      <c r="AL616" s="27">
        <v>100.0</v>
      </c>
      <c r="AM616" s="27" t="s">
        <v>190</v>
      </c>
      <c r="AN616" s="27" t="s">
        <v>405</v>
      </c>
      <c r="AO616" s="27"/>
    </row>
    <row r="617">
      <c r="A617" s="200">
        <v>44831.02510368056</v>
      </c>
      <c r="B617" s="19" t="s">
        <v>138</v>
      </c>
      <c r="C617" s="21" t="s">
        <v>282</v>
      </c>
      <c r="D617" s="62">
        <v>3.0</v>
      </c>
      <c r="E617" s="27">
        <v>1.0</v>
      </c>
      <c r="F617" s="27" t="s">
        <v>1530</v>
      </c>
      <c r="G617" s="201" t="s">
        <v>57</v>
      </c>
      <c r="H617" s="27" t="s">
        <v>166</v>
      </c>
      <c r="I617" s="27"/>
      <c r="J617" s="33">
        <v>-8.5</v>
      </c>
      <c r="K617" s="33">
        <v>-16.5</v>
      </c>
      <c r="L617" s="66">
        <v>55.0</v>
      </c>
      <c r="M617" s="27" t="s">
        <v>1531</v>
      </c>
      <c r="N617" s="27">
        <v>-16.5</v>
      </c>
      <c r="O617" s="27"/>
      <c r="P617" s="27">
        <v>-16.5</v>
      </c>
      <c r="Q617" s="27"/>
      <c r="R617" s="27">
        <v>-16.5</v>
      </c>
      <c r="S617" s="27"/>
      <c r="T617" s="27">
        <v>-16.0</v>
      </c>
      <c r="U617" s="27"/>
      <c r="V617" s="27">
        <v>-16.5</v>
      </c>
      <c r="W617" s="27"/>
      <c r="X617" s="27">
        <v>-16.5</v>
      </c>
      <c r="Y617" s="27"/>
      <c r="Z617" s="27">
        <v>-16.5</v>
      </c>
      <c r="AA617" s="27"/>
      <c r="AB617" s="27">
        <v>-16.5</v>
      </c>
      <c r="AC617" s="27"/>
      <c r="AD617" s="27">
        <v>-16.0</v>
      </c>
      <c r="AE617" s="27"/>
      <c r="AF617" s="27">
        <v>-16.0</v>
      </c>
      <c r="AG617" s="27"/>
      <c r="AH617" s="27">
        <v>170.0</v>
      </c>
      <c r="AI617" s="27">
        <v>82.0</v>
      </c>
      <c r="AJ617" s="27">
        <v>2.0</v>
      </c>
      <c r="AK617" s="27" t="b">
        <v>0</v>
      </c>
      <c r="AL617" s="27">
        <v>100.0</v>
      </c>
      <c r="AM617" s="27" t="s">
        <v>389</v>
      </c>
      <c r="AN617" s="27" t="s">
        <v>405</v>
      </c>
      <c r="AO617" s="27"/>
    </row>
    <row r="618">
      <c r="A618" s="200">
        <v>44831.02510368056</v>
      </c>
      <c r="B618" s="19" t="s">
        <v>138</v>
      </c>
      <c r="C618" s="21" t="s">
        <v>296</v>
      </c>
      <c r="D618" s="62">
        <v>2.0</v>
      </c>
      <c r="E618" s="27">
        <v>2.0</v>
      </c>
      <c r="F618" s="27" t="s">
        <v>1532</v>
      </c>
      <c r="G618" s="201" t="s">
        <v>57</v>
      </c>
      <c r="H618" s="27"/>
      <c r="I618" s="27"/>
      <c r="J618" s="33">
        <v>-42.5</v>
      </c>
      <c r="K618" s="33">
        <v>-44.0</v>
      </c>
      <c r="L618" s="66">
        <v>68.5</v>
      </c>
      <c r="M618" s="27" t="s">
        <v>1240</v>
      </c>
      <c r="N618" s="27">
        <v>-41.5</v>
      </c>
      <c r="O618" s="27"/>
      <c r="P618" s="27">
        <v>-42.0</v>
      </c>
      <c r="Q618" s="27"/>
      <c r="R618" s="27">
        <v>-42.0</v>
      </c>
      <c r="S618" s="27"/>
      <c r="T618" s="27">
        <v>-44.0</v>
      </c>
      <c r="U618" s="27"/>
      <c r="V618" s="27">
        <v>-42.0</v>
      </c>
      <c r="W618" s="27"/>
      <c r="X618" s="27">
        <v>-42.0</v>
      </c>
      <c r="Y618" s="27"/>
      <c r="Z618" s="27">
        <v>-44.0</v>
      </c>
      <c r="AA618" s="27"/>
      <c r="AB618" s="27">
        <v>-44.0</v>
      </c>
      <c r="AC618" s="27"/>
      <c r="AD618" s="27"/>
      <c r="AE618" s="27"/>
      <c r="AF618" s="27"/>
      <c r="AG618" s="27"/>
      <c r="AH618" s="27">
        <v>148.0</v>
      </c>
      <c r="AI618" s="27">
        <v>140.0</v>
      </c>
      <c r="AJ618" s="27">
        <v>2.0</v>
      </c>
      <c r="AK618" s="27" t="b">
        <v>0</v>
      </c>
      <c r="AL618" s="27">
        <v>100.0</v>
      </c>
      <c r="AM618" s="27" t="s">
        <v>189</v>
      </c>
      <c r="AN618" s="27" t="s">
        <v>405</v>
      </c>
      <c r="AO618" s="27"/>
    </row>
    <row r="619">
      <c r="A619" s="200">
        <v>44831.02510368056</v>
      </c>
      <c r="B619" s="19" t="s">
        <v>138</v>
      </c>
      <c r="C619" s="21" t="s">
        <v>294</v>
      </c>
      <c r="D619" s="62">
        <v>2.0</v>
      </c>
      <c r="E619" s="27">
        <v>2.0</v>
      </c>
      <c r="F619" s="27" t="s">
        <v>1508</v>
      </c>
      <c r="G619" s="201" t="s">
        <v>57</v>
      </c>
      <c r="H619" s="27" t="s">
        <v>178</v>
      </c>
      <c r="I619" s="27"/>
      <c r="J619" s="33">
        <v>-3.0</v>
      </c>
      <c r="K619" s="33">
        <v>3.0</v>
      </c>
      <c r="L619" s="66">
        <v>53.5</v>
      </c>
      <c r="M619" s="27" t="s">
        <v>1509</v>
      </c>
      <c r="N619" s="27">
        <v>3.0</v>
      </c>
      <c r="O619" s="27"/>
      <c r="P619" s="27">
        <v>3.0</v>
      </c>
      <c r="Q619" s="27"/>
      <c r="R619" s="27">
        <v>3.0</v>
      </c>
      <c r="S619" s="27"/>
      <c r="T619" s="27">
        <v>3.0</v>
      </c>
      <c r="U619" s="27"/>
      <c r="V619" s="27">
        <v>3.0</v>
      </c>
      <c r="W619" s="27"/>
      <c r="X619" s="27">
        <v>2.5</v>
      </c>
      <c r="Y619" s="27"/>
      <c r="Z619" s="27">
        <v>3.0</v>
      </c>
      <c r="AA619" s="27"/>
      <c r="AB619" s="27">
        <v>3.0</v>
      </c>
      <c r="AC619" s="27"/>
      <c r="AD619" s="27">
        <v>3.0</v>
      </c>
      <c r="AE619" s="27"/>
      <c r="AF619" s="27">
        <v>3.0</v>
      </c>
      <c r="AG619" s="27"/>
      <c r="AH619" s="27">
        <v>122.0</v>
      </c>
      <c r="AI619" s="27">
        <v>86.0</v>
      </c>
      <c r="AJ619" s="27">
        <v>2.0</v>
      </c>
      <c r="AK619" s="27" t="b">
        <v>1</v>
      </c>
      <c r="AL619" s="27">
        <v>100.0</v>
      </c>
      <c r="AM619" s="27" t="s">
        <v>188</v>
      </c>
      <c r="AN619" s="27" t="s">
        <v>404</v>
      </c>
      <c r="AO619" s="27"/>
    </row>
    <row r="620">
      <c r="A620" s="200">
        <v>44831.02510368056</v>
      </c>
      <c r="B620" s="19" t="s">
        <v>138</v>
      </c>
      <c r="C620" s="21" t="s">
        <v>308</v>
      </c>
      <c r="D620" s="62">
        <v>4.0</v>
      </c>
      <c r="E620" s="27">
        <v>0.0</v>
      </c>
      <c r="F620" s="27" t="s">
        <v>1484</v>
      </c>
      <c r="G620" s="201" t="s">
        <v>57</v>
      </c>
      <c r="H620" s="27" t="s">
        <v>53</v>
      </c>
      <c r="I620" s="27"/>
      <c r="J620" s="33">
        <v>3.5</v>
      </c>
      <c r="K620" s="33">
        <v>-9.5</v>
      </c>
      <c r="L620" s="66">
        <v>53.5</v>
      </c>
      <c r="M620" s="27" t="s">
        <v>1485</v>
      </c>
      <c r="N620" s="27">
        <v>-9.5</v>
      </c>
      <c r="O620" s="27"/>
      <c r="P620" s="27">
        <v>-9.5</v>
      </c>
      <c r="Q620" s="27"/>
      <c r="R620" s="27">
        <v>-10.0</v>
      </c>
      <c r="S620" s="27"/>
      <c r="T620" s="27">
        <v>-9.5</v>
      </c>
      <c r="U620" s="27"/>
      <c r="V620" s="27">
        <v>-9.5</v>
      </c>
      <c r="W620" s="27"/>
      <c r="X620" s="27">
        <v>-10.0</v>
      </c>
      <c r="Y620" s="27"/>
      <c r="Z620" s="27">
        <v>-10.0</v>
      </c>
      <c r="AA620" s="27"/>
      <c r="AB620" s="27">
        <v>-10.0</v>
      </c>
      <c r="AC620" s="27"/>
      <c r="AD620" s="27">
        <v>-9.5</v>
      </c>
      <c r="AE620" s="27"/>
      <c r="AF620" s="27">
        <v>-9.5</v>
      </c>
      <c r="AG620" s="27"/>
      <c r="AH620" s="27">
        <v>133.0</v>
      </c>
      <c r="AI620" s="27">
        <v>70.0</v>
      </c>
      <c r="AJ620" s="27">
        <v>2.0</v>
      </c>
      <c r="AK620" s="27" t="b">
        <v>1</v>
      </c>
      <c r="AL620" s="27">
        <v>100.0</v>
      </c>
      <c r="AM620" s="27" t="s">
        <v>186</v>
      </c>
      <c r="AN620" s="27" t="s">
        <v>404</v>
      </c>
      <c r="AO620" s="27"/>
    </row>
    <row r="621">
      <c r="A621" s="200">
        <v>44831.02510368056</v>
      </c>
      <c r="B621" s="19"/>
      <c r="C621" s="21"/>
      <c r="D621" s="62"/>
      <c r="E621" s="27"/>
      <c r="F621" s="27"/>
      <c r="G621" s="201"/>
      <c r="H621" s="27"/>
      <c r="I621" s="27"/>
      <c r="J621" s="33"/>
      <c r="K621" s="33"/>
      <c r="L621" s="66"/>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t="e">
        <v>#N/A</v>
      </c>
      <c r="AN621" s="27" t="e">
        <v>#N/A</v>
      </c>
      <c r="AO621" s="27"/>
    </row>
    <row r="622">
      <c r="A622" s="200">
        <v>44831.02510368056</v>
      </c>
      <c r="B622" s="19" t="s">
        <v>141</v>
      </c>
      <c r="C622" s="21" t="s">
        <v>365</v>
      </c>
      <c r="D622" s="62">
        <v>1.0</v>
      </c>
      <c r="E622" s="27">
        <v>3.0</v>
      </c>
      <c r="F622" s="27"/>
      <c r="G622" s="201"/>
      <c r="H622" s="27"/>
      <c r="I622" s="27" t="s">
        <v>101</v>
      </c>
      <c r="J622" s="33"/>
      <c r="K622" s="33"/>
      <c r="L622" s="66"/>
      <c r="M622" s="27"/>
      <c r="N622" s="27"/>
      <c r="O622" s="27"/>
      <c r="P622" s="27"/>
      <c r="Q622" s="27"/>
      <c r="R622" s="27"/>
      <c r="S622" s="27"/>
      <c r="T622" s="27"/>
      <c r="U622" s="27"/>
      <c r="V622" s="27"/>
      <c r="W622" s="27"/>
      <c r="X622" s="27"/>
      <c r="Y622" s="27"/>
      <c r="Z622" s="27"/>
      <c r="AA622" s="27"/>
      <c r="AB622" s="27"/>
      <c r="AC622" s="27"/>
      <c r="AD622" s="27"/>
      <c r="AE622" s="27"/>
      <c r="AF622" s="27"/>
      <c r="AG622" s="27"/>
      <c r="AH622" s="27">
        <v>122.0</v>
      </c>
      <c r="AI622" s="27">
        <v>142.0</v>
      </c>
      <c r="AJ622" s="27">
        <v>0.0</v>
      </c>
      <c r="AK622" s="27" t="b">
        <v>1</v>
      </c>
      <c r="AL622" s="27">
        <v>59.0</v>
      </c>
      <c r="AM622" s="27" t="s">
        <v>188</v>
      </c>
      <c r="AN622" s="27" t="s">
        <v>404</v>
      </c>
      <c r="AO622" s="27"/>
    </row>
    <row r="623">
      <c r="A623" s="200">
        <v>44831.02510368056</v>
      </c>
      <c r="B623" s="19" t="s">
        <v>141</v>
      </c>
      <c r="C623" s="21" t="s">
        <v>393</v>
      </c>
      <c r="D623" s="62">
        <v>3.0</v>
      </c>
      <c r="E623" s="27">
        <v>1.0</v>
      </c>
      <c r="F623" s="27" t="s">
        <v>1533</v>
      </c>
      <c r="G623" s="201" t="s">
        <v>57</v>
      </c>
      <c r="H623" s="27" t="s">
        <v>154</v>
      </c>
      <c r="I623" s="27"/>
      <c r="J623" s="33">
        <v>-23.5</v>
      </c>
      <c r="K623" s="33">
        <v>-20.5</v>
      </c>
      <c r="L623" s="66">
        <v>49.5</v>
      </c>
      <c r="M623" s="27" t="s">
        <v>1130</v>
      </c>
      <c r="N623" s="27">
        <v>-21.5</v>
      </c>
      <c r="O623" s="27"/>
      <c r="P623" s="27">
        <v>-21.0</v>
      </c>
      <c r="Q623" s="27"/>
      <c r="R623" s="27">
        <v>-21.5</v>
      </c>
      <c r="S623" s="27"/>
      <c r="T623" s="27">
        <v>-20.5</v>
      </c>
      <c r="U623" s="27"/>
      <c r="V623" s="27">
        <v>-21.0</v>
      </c>
      <c r="W623" s="27"/>
      <c r="X623" s="27">
        <v>-20.5</v>
      </c>
      <c r="Y623" s="27"/>
      <c r="Z623" s="27">
        <v>-21.0</v>
      </c>
      <c r="AA623" s="27"/>
      <c r="AB623" s="27">
        <v>-21.0</v>
      </c>
      <c r="AC623" s="27"/>
      <c r="AD623" s="27">
        <v>-20.5</v>
      </c>
      <c r="AE623" s="27"/>
      <c r="AF623" s="27">
        <v>-20.5</v>
      </c>
      <c r="AG623" s="27"/>
      <c r="AH623" s="27">
        <v>134.0</v>
      </c>
      <c r="AI623" s="27">
        <v>106.0</v>
      </c>
      <c r="AJ623" s="27">
        <v>2.0</v>
      </c>
      <c r="AK623" s="27" t="b">
        <v>0</v>
      </c>
      <c r="AL623" s="27">
        <v>100.0</v>
      </c>
      <c r="AM623" s="27" t="s">
        <v>187</v>
      </c>
      <c r="AN623" s="27" t="s">
        <v>404</v>
      </c>
      <c r="AO623" s="27"/>
    </row>
    <row r="624">
      <c r="A624" s="200">
        <v>44831.02510368056</v>
      </c>
      <c r="B624" s="19" t="s">
        <v>141</v>
      </c>
      <c r="C624" s="21" t="s">
        <v>349</v>
      </c>
      <c r="D624" s="62">
        <v>2.0</v>
      </c>
      <c r="E624" s="27">
        <v>1.0</v>
      </c>
      <c r="F624" s="27" t="s">
        <v>1534</v>
      </c>
      <c r="G624" s="201" t="s">
        <v>57</v>
      </c>
      <c r="H624" s="27" t="s">
        <v>154</v>
      </c>
      <c r="I624" s="27"/>
      <c r="J624" s="33">
        <v>-3.0</v>
      </c>
      <c r="K624" s="33">
        <v>-7.0</v>
      </c>
      <c r="L624" s="66">
        <v>62.5</v>
      </c>
      <c r="M624" s="27" t="s">
        <v>1535</v>
      </c>
      <c r="N624" s="27">
        <v>-7.0</v>
      </c>
      <c r="O624" s="27"/>
      <c r="P624" s="27">
        <v>-6.5</v>
      </c>
      <c r="Q624" s="27"/>
      <c r="R624" s="27">
        <v>-6.5</v>
      </c>
      <c r="S624" s="27"/>
      <c r="T624" s="27">
        <v>-7.0</v>
      </c>
      <c r="U624" s="27"/>
      <c r="V624" s="27">
        <v>-6.5</v>
      </c>
      <c r="W624" s="27"/>
      <c r="X624" s="27">
        <v>-6.5</v>
      </c>
      <c r="Y624" s="27"/>
      <c r="Z624" s="27">
        <v>-7.0</v>
      </c>
      <c r="AA624" s="27"/>
      <c r="AB624" s="27">
        <v>-7.0</v>
      </c>
      <c r="AC624" s="27"/>
      <c r="AD624" s="27">
        <v>-7.0</v>
      </c>
      <c r="AE624" s="27"/>
      <c r="AF624" s="27"/>
      <c r="AG624" s="27"/>
      <c r="AH624" s="27">
        <v>71.0</v>
      </c>
      <c r="AI624" s="27">
        <v>47.0</v>
      </c>
      <c r="AJ624" s="27">
        <v>2.0</v>
      </c>
      <c r="AK624" s="27" t="b">
        <v>1</v>
      </c>
      <c r="AL624" s="27">
        <v>100.0</v>
      </c>
      <c r="AM624" s="27" t="s">
        <v>129</v>
      </c>
      <c r="AN624" s="27" t="s">
        <v>405</v>
      </c>
      <c r="AO624" s="27"/>
    </row>
    <row r="625">
      <c r="A625" s="200">
        <v>44831.02510368056</v>
      </c>
      <c r="B625" s="19" t="s">
        <v>141</v>
      </c>
      <c r="C625" s="21" t="s">
        <v>287</v>
      </c>
      <c r="D625" s="62">
        <v>4.0</v>
      </c>
      <c r="E625" s="27">
        <v>0.0</v>
      </c>
      <c r="F625" s="27" t="s">
        <v>1527</v>
      </c>
      <c r="G625" s="201" t="s">
        <v>57</v>
      </c>
      <c r="H625" s="27" t="s">
        <v>138</v>
      </c>
      <c r="I625" s="27"/>
      <c r="J625" s="33">
        <v>-29.5</v>
      </c>
      <c r="K625" s="33">
        <v>-40.5</v>
      </c>
      <c r="L625" s="66">
        <v>48.0</v>
      </c>
      <c r="M625" s="27" t="s">
        <v>1139</v>
      </c>
      <c r="N625" s="27">
        <v>-40.5</v>
      </c>
      <c r="O625" s="27"/>
      <c r="P625" s="27">
        <v>-40.5</v>
      </c>
      <c r="Q625" s="27"/>
      <c r="R625" s="27">
        <v>-40.5</v>
      </c>
      <c r="S625" s="27"/>
      <c r="T625" s="27">
        <v>-40.0</v>
      </c>
      <c r="U625" s="27"/>
      <c r="V625" s="27">
        <v>-40.5</v>
      </c>
      <c r="W625" s="27"/>
      <c r="X625" s="27">
        <v>-40.5</v>
      </c>
      <c r="Y625" s="27"/>
      <c r="Z625" s="27">
        <v>-41.0</v>
      </c>
      <c r="AA625" s="27"/>
      <c r="AB625" s="27">
        <v>-40.5</v>
      </c>
      <c r="AC625" s="27"/>
      <c r="AD625" s="27">
        <v>-40.0</v>
      </c>
      <c r="AE625" s="27"/>
      <c r="AF625" s="27">
        <v>-40.0</v>
      </c>
      <c r="AG625" s="27"/>
      <c r="AH625" s="27">
        <v>193.0</v>
      </c>
      <c r="AI625" s="27">
        <v>29.0</v>
      </c>
      <c r="AJ625" s="27">
        <v>2.0</v>
      </c>
      <c r="AK625" s="27" t="b">
        <v>1</v>
      </c>
      <c r="AL625" s="27">
        <v>100.0</v>
      </c>
      <c r="AM625" s="27" t="s">
        <v>192</v>
      </c>
      <c r="AN625" s="27" t="s">
        <v>404</v>
      </c>
      <c r="AO625" s="27"/>
    </row>
    <row r="626">
      <c r="A626" s="200">
        <v>44831.02510368056</v>
      </c>
      <c r="B626" s="19" t="s">
        <v>141</v>
      </c>
      <c r="C626" s="21" t="s">
        <v>317</v>
      </c>
      <c r="D626" s="62">
        <v>1.0</v>
      </c>
      <c r="E626" s="27">
        <v>4.0</v>
      </c>
      <c r="F626" s="27" t="s">
        <v>1536</v>
      </c>
      <c r="G626" s="201" t="s">
        <v>57</v>
      </c>
      <c r="H626" s="27" t="s">
        <v>154</v>
      </c>
      <c r="I626" s="27"/>
      <c r="J626" s="33">
        <v>23.0</v>
      </c>
      <c r="K626" s="33">
        <v>23.5</v>
      </c>
      <c r="L626" s="66">
        <v>50.0</v>
      </c>
      <c r="M626" s="27" t="s">
        <v>1537</v>
      </c>
      <c r="N626" s="27">
        <v>23.5</v>
      </c>
      <c r="O626" s="27"/>
      <c r="P626" s="27">
        <v>23.5</v>
      </c>
      <c r="Q626" s="27"/>
      <c r="R626" s="27">
        <v>23.5</v>
      </c>
      <c r="S626" s="27"/>
      <c r="T626" s="27">
        <v>23.5</v>
      </c>
      <c r="U626" s="27"/>
      <c r="V626" s="27">
        <v>23.5</v>
      </c>
      <c r="W626" s="27"/>
      <c r="X626" s="27">
        <v>23.5</v>
      </c>
      <c r="Y626" s="27"/>
      <c r="Z626" s="27">
        <v>23.5</v>
      </c>
      <c r="AA626" s="27"/>
      <c r="AB626" s="27">
        <v>23.5</v>
      </c>
      <c r="AC626" s="27"/>
      <c r="AD626" s="27">
        <v>23.5</v>
      </c>
      <c r="AE626" s="27"/>
      <c r="AF626" s="27">
        <v>23.5</v>
      </c>
      <c r="AG626" s="27"/>
      <c r="AH626" s="27">
        <v>120.0</v>
      </c>
      <c r="AI626" s="27">
        <v>237.0</v>
      </c>
      <c r="AJ626" s="27">
        <v>2.0</v>
      </c>
      <c r="AK626" s="27" t="b">
        <v>1</v>
      </c>
      <c r="AL626" s="27">
        <v>100.0</v>
      </c>
      <c r="AM626" s="27" t="s">
        <v>189</v>
      </c>
      <c r="AN626" s="27" t="s">
        <v>405</v>
      </c>
      <c r="AO626" s="27"/>
    </row>
    <row r="627">
      <c r="A627" s="200">
        <v>44831.02510368056</v>
      </c>
      <c r="B627" s="19" t="s">
        <v>141</v>
      </c>
      <c r="C627" s="21" t="s">
        <v>386</v>
      </c>
      <c r="D627" s="62">
        <v>3.0</v>
      </c>
      <c r="E627" s="27">
        <v>1.0</v>
      </c>
      <c r="F627" s="27" t="s">
        <v>1538</v>
      </c>
      <c r="G627" s="201" t="s">
        <v>57</v>
      </c>
      <c r="H627" s="27" t="s">
        <v>116</v>
      </c>
      <c r="I627" s="27"/>
      <c r="J627" s="33">
        <v>7.5</v>
      </c>
      <c r="K627" s="33">
        <v>7.5</v>
      </c>
      <c r="L627" s="66">
        <v>34.0</v>
      </c>
      <c r="M627" s="27" t="s">
        <v>1539</v>
      </c>
      <c r="N627" s="27">
        <v>7.5</v>
      </c>
      <c r="O627" s="27"/>
      <c r="P627" s="27">
        <v>7.5</v>
      </c>
      <c r="Q627" s="27"/>
      <c r="R627" s="27">
        <v>7.0</v>
      </c>
      <c r="S627" s="27"/>
      <c r="T627" s="27">
        <v>9.0</v>
      </c>
      <c r="U627" s="27"/>
      <c r="V627" s="27"/>
      <c r="W627" s="27"/>
      <c r="X627" s="27"/>
      <c r="Y627" s="27"/>
      <c r="Z627" s="27"/>
      <c r="AA627" s="27"/>
      <c r="AB627" s="27"/>
      <c r="AC627" s="27"/>
      <c r="AD627" s="27"/>
      <c r="AE627" s="27"/>
      <c r="AF627" s="27"/>
      <c r="AG627" s="27"/>
      <c r="AH627" s="27">
        <v>114.0</v>
      </c>
      <c r="AI627" s="27">
        <v>69.0</v>
      </c>
      <c r="AJ627" s="27">
        <v>2.0</v>
      </c>
      <c r="AK627" s="27" t="b">
        <v>1</v>
      </c>
      <c r="AL627" s="27">
        <v>100.0</v>
      </c>
      <c r="AM627" s="27" t="s">
        <v>191</v>
      </c>
      <c r="AN627" s="27" t="s">
        <v>404</v>
      </c>
      <c r="AO627" s="27"/>
    </row>
    <row r="628">
      <c r="A628" s="200">
        <v>44831.02510368056</v>
      </c>
      <c r="B628" s="19" t="s">
        <v>141</v>
      </c>
      <c r="C628" s="21" t="s">
        <v>318</v>
      </c>
      <c r="D628" s="62">
        <v>2.0</v>
      </c>
      <c r="E628" s="27">
        <v>2.0</v>
      </c>
      <c r="F628" s="27" t="s">
        <v>1540</v>
      </c>
      <c r="G628" s="201" t="s">
        <v>57</v>
      </c>
      <c r="H628" s="27" t="s">
        <v>166</v>
      </c>
      <c r="I628" s="27"/>
      <c r="J628" s="33">
        <v>3.5</v>
      </c>
      <c r="K628" s="33">
        <v>3.5</v>
      </c>
      <c r="L628" s="66">
        <v>51.5</v>
      </c>
      <c r="M628" s="27" t="s">
        <v>1541</v>
      </c>
      <c r="N628" s="27">
        <v>3.0</v>
      </c>
      <c r="O628" s="27"/>
      <c r="P628" s="27">
        <v>3.0</v>
      </c>
      <c r="Q628" s="27"/>
      <c r="R628" s="27">
        <v>3.0</v>
      </c>
      <c r="S628" s="27"/>
      <c r="T628" s="27">
        <v>3.5</v>
      </c>
      <c r="U628" s="27"/>
      <c r="V628" s="27">
        <v>3.0</v>
      </c>
      <c r="W628" s="27"/>
      <c r="X628" s="27">
        <v>3.0</v>
      </c>
      <c r="Y628" s="27"/>
      <c r="Z628" s="27">
        <v>3.0</v>
      </c>
      <c r="AA628" s="27"/>
      <c r="AB628" s="27">
        <v>3.0</v>
      </c>
      <c r="AC628" s="27"/>
      <c r="AD628" s="27">
        <v>3.5</v>
      </c>
      <c r="AE628" s="27"/>
      <c r="AF628" s="27">
        <v>3.5</v>
      </c>
      <c r="AG628" s="27"/>
      <c r="AH628" s="27">
        <v>92.0</v>
      </c>
      <c r="AI628" s="27">
        <v>84.0</v>
      </c>
      <c r="AJ628" s="27">
        <v>2.0</v>
      </c>
      <c r="AK628" s="27" t="b">
        <v>0</v>
      </c>
      <c r="AL628" s="27">
        <v>100.0</v>
      </c>
      <c r="AM628" s="27" t="s">
        <v>193</v>
      </c>
      <c r="AN628" s="27" t="s">
        <v>405</v>
      </c>
      <c r="AO628" s="27"/>
    </row>
    <row r="629">
      <c r="A629" s="200">
        <v>44831.02510368056</v>
      </c>
      <c r="B629" s="19" t="s">
        <v>141</v>
      </c>
      <c r="C629" s="21" t="s">
        <v>323</v>
      </c>
      <c r="D629" s="62">
        <v>1.0</v>
      </c>
      <c r="E629" s="27">
        <v>3.0</v>
      </c>
      <c r="F629" s="27" t="s">
        <v>1542</v>
      </c>
      <c r="G629" s="201" t="s">
        <v>57</v>
      </c>
      <c r="H629" s="27" t="s">
        <v>166</v>
      </c>
      <c r="I629" s="27"/>
      <c r="J629" s="33">
        <v>24.5</v>
      </c>
      <c r="K629" s="33">
        <v>26.5</v>
      </c>
      <c r="L629" s="66">
        <v>53.5</v>
      </c>
      <c r="M629" s="27" t="s">
        <v>1413</v>
      </c>
      <c r="N629" s="27">
        <v>26.5</v>
      </c>
      <c r="O629" s="27"/>
      <c r="P629" s="27">
        <v>26.5</v>
      </c>
      <c r="Q629" s="27"/>
      <c r="R629" s="27">
        <v>26.5</v>
      </c>
      <c r="S629" s="27"/>
      <c r="T629" s="27">
        <v>26.5</v>
      </c>
      <c r="U629" s="27"/>
      <c r="V629" s="27">
        <v>26.5</v>
      </c>
      <c r="W629" s="27"/>
      <c r="X629" s="27">
        <v>26.5</v>
      </c>
      <c r="Y629" s="27"/>
      <c r="Z629" s="27">
        <v>26.5</v>
      </c>
      <c r="AA629" s="27"/>
      <c r="AB629" s="27">
        <v>26.5</v>
      </c>
      <c r="AC629" s="27"/>
      <c r="AD629" s="27">
        <v>26.5</v>
      </c>
      <c r="AE629" s="27"/>
      <c r="AF629" s="27"/>
      <c r="AG629" s="27"/>
      <c r="AH629" s="27">
        <v>48.0</v>
      </c>
      <c r="AI629" s="27">
        <v>159.0</v>
      </c>
      <c r="AJ629" s="27">
        <v>2.0</v>
      </c>
      <c r="AK629" s="27" t="b">
        <v>0</v>
      </c>
      <c r="AL629" s="27">
        <v>100.0</v>
      </c>
      <c r="AM629" s="27" t="s">
        <v>190</v>
      </c>
      <c r="AN629" s="27" t="s">
        <v>405</v>
      </c>
      <c r="AO629" s="27"/>
    </row>
    <row r="630">
      <c r="A630" s="200">
        <v>44831.02510368056</v>
      </c>
      <c r="B630" s="19" t="s">
        <v>141</v>
      </c>
      <c r="C630" s="21" t="s">
        <v>314</v>
      </c>
      <c r="D630" s="62">
        <v>2.0</v>
      </c>
      <c r="E630" s="27">
        <v>2.0</v>
      </c>
      <c r="F630" s="27" t="s">
        <v>1543</v>
      </c>
      <c r="G630" s="201" t="s">
        <v>57</v>
      </c>
      <c r="H630" s="27" t="s">
        <v>103</v>
      </c>
      <c r="I630" s="27"/>
      <c r="J630" s="33">
        <v>1.0</v>
      </c>
      <c r="K630" s="33">
        <v>2.5</v>
      </c>
      <c r="L630" s="66">
        <v>71.5</v>
      </c>
      <c r="M630" s="27" t="s">
        <v>1544</v>
      </c>
      <c r="N630" s="27">
        <v>2.5</v>
      </c>
      <c r="O630" s="27"/>
      <c r="P630" s="27">
        <v>2.5</v>
      </c>
      <c r="Q630" s="27"/>
      <c r="R630" s="27">
        <v>2.5</v>
      </c>
      <c r="S630" s="27"/>
      <c r="T630" s="27">
        <v>2.0</v>
      </c>
      <c r="U630" s="27"/>
      <c r="V630" s="27">
        <v>2.5</v>
      </c>
      <c r="W630" s="27"/>
      <c r="X630" s="27">
        <v>2.5</v>
      </c>
      <c r="Y630" s="27"/>
      <c r="Z630" s="27">
        <v>2.5</v>
      </c>
      <c r="AA630" s="27"/>
      <c r="AB630" s="27">
        <v>2.5</v>
      </c>
      <c r="AC630" s="27"/>
      <c r="AD630" s="27">
        <v>2.0</v>
      </c>
      <c r="AE630" s="27"/>
      <c r="AF630" s="27">
        <v>2.0</v>
      </c>
      <c r="AG630" s="27"/>
      <c r="AH630" s="27">
        <v>154.0</v>
      </c>
      <c r="AI630" s="27">
        <v>102.0</v>
      </c>
      <c r="AJ630" s="27">
        <v>2.0</v>
      </c>
      <c r="AK630" s="27" t="b">
        <v>1</v>
      </c>
      <c r="AL630" s="27">
        <v>100.0</v>
      </c>
      <c r="AM630" s="27" t="s">
        <v>389</v>
      </c>
      <c r="AN630" s="27" t="s">
        <v>405</v>
      </c>
      <c r="AO630" s="27"/>
    </row>
    <row r="631">
      <c r="A631" s="200">
        <v>44831.02510368056</v>
      </c>
      <c r="B631" s="19" t="s">
        <v>141</v>
      </c>
      <c r="C631" s="21" t="s">
        <v>353</v>
      </c>
      <c r="D631" s="62">
        <v>2.0</v>
      </c>
      <c r="E631" s="27">
        <v>2.0</v>
      </c>
      <c r="F631" s="27" t="s">
        <v>1498</v>
      </c>
      <c r="G631" s="201" t="s">
        <v>57</v>
      </c>
      <c r="H631" s="27" t="s">
        <v>131</v>
      </c>
      <c r="I631" s="27"/>
      <c r="J631" s="33">
        <v>-14.0</v>
      </c>
      <c r="K631" s="33">
        <v>-14.5</v>
      </c>
      <c r="L631" s="66">
        <v>64.5</v>
      </c>
      <c r="M631" s="27" t="s">
        <v>1430</v>
      </c>
      <c r="N631" s="27">
        <v>-14.5</v>
      </c>
      <c r="O631" s="27"/>
      <c r="P631" s="27">
        <v>-14.5</v>
      </c>
      <c r="Q631" s="27"/>
      <c r="R631" s="27">
        <v>-15.5</v>
      </c>
      <c r="S631" s="27"/>
      <c r="T631" s="27">
        <v>-14.5</v>
      </c>
      <c r="U631" s="27"/>
      <c r="V631" s="27">
        <v>-15.5</v>
      </c>
      <c r="W631" s="27"/>
      <c r="X631" s="27">
        <v>-14.5</v>
      </c>
      <c r="Y631" s="27"/>
      <c r="Z631" s="27">
        <v>-14.5</v>
      </c>
      <c r="AA631" s="27"/>
      <c r="AB631" s="27">
        <v>-14.5</v>
      </c>
      <c r="AC631" s="27"/>
      <c r="AD631" s="27">
        <v>-14.5</v>
      </c>
      <c r="AE631" s="27"/>
      <c r="AF631" s="27">
        <v>-14.5</v>
      </c>
      <c r="AG631" s="27"/>
      <c r="AH631" s="27">
        <v>99.0</v>
      </c>
      <c r="AI631" s="27">
        <v>83.0</v>
      </c>
      <c r="AJ631" s="27">
        <v>2.0</v>
      </c>
      <c r="AK631" s="27" t="b">
        <v>0</v>
      </c>
      <c r="AL631" s="27">
        <v>100.0</v>
      </c>
      <c r="AM631" s="27" t="s">
        <v>186</v>
      </c>
      <c r="AN631" s="27" t="s">
        <v>404</v>
      </c>
      <c r="AO631" s="27"/>
    </row>
    <row r="632">
      <c r="A632" s="200">
        <v>44831.02510368056</v>
      </c>
      <c r="B632" s="19"/>
      <c r="C632" s="21"/>
      <c r="D632" s="62"/>
      <c r="E632" s="27"/>
      <c r="F632" s="27"/>
      <c r="G632" s="201"/>
      <c r="H632" s="27"/>
      <c r="I632" s="27"/>
      <c r="J632" s="33"/>
      <c r="K632" s="33"/>
      <c r="L632" s="66"/>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t="e">
        <v>#N/A</v>
      </c>
      <c r="AN632" s="27" t="e">
        <v>#N/A</v>
      </c>
      <c r="AO632" s="27"/>
    </row>
    <row r="633">
      <c r="A633" s="200">
        <v>44831.02510368056</v>
      </c>
      <c r="B633" s="19" t="s">
        <v>109</v>
      </c>
      <c r="C633" s="21" t="s">
        <v>328</v>
      </c>
      <c r="D633" s="62">
        <v>1.0</v>
      </c>
      <c r="E633" s="27">
        <v>3.0</v>
      </c>
      <c r="F633" s="27" t="s">
        <v>1545</v>
      </c>
      <c r="G633" s="201" t="s">
        <v>57</v>
      </c>
      <c r="H633" s="27" t="s">
        <v>154</v>
      </c>
      <c r="I633" s="27"/>
      <c r="J633" s="33">
        <v>5.5</v>
      </c>
      <c r="K633" s="33">
        <v>16.5</v>
      </c>
      <c r="L633" s="66">
        <v>38.0</v>
      </c>
      <c r="M633" s="27" t="s">
        <v>1546</v>
      </c>
      <c r="N633" s="27">
        <v>16.5</v>
      </c>
      <c r="O633" s="27"/>
      <c r="P633" s="27">
        <v>16.5</v>
      </c>
      <c r="Q633" s="27"/>
      <c r="R633" s="27">
        <v>16.5</v>
      </c>
      <c r="S633" s="27"/>
      <c r="T633" s="27">
        <v>16.5</v>
      </c>
      <c r="U633" s="27"/>
      <c r="V633" s="27">
        <v>16.5</v>
      </c>
      <c r="W633" s="27"/>
      <c r="X633" s="27">
        <v>16.0</v>
      </c>
      <c r="Y633" s="27"/>
      <c r="Z633" s="27">
        <v>16.5</v>
      </c>
      <c r="AA633" s="27"/>
      <c r="AB633" s="27">
        <v>16.5</v>
      </c>
      <c r="AC633" s="27"/>
      <c r="AD633" s="27">
        <v>16.5</v>
      </c>
      <c r="AE633" s="27"/>
      <c r="AF633" s="27">
        <v>16.5</v>
      </c>
      <c r="AG633" s="27"/>
      <c r="AH633" s="27">
        <v>91.0</v>
      </c>
      <c r="AI633" s="27">
        <v>101.0</v>
      </c>
      <c r="AJ633" s="27">
        <v>2.0</v>
      </c>
      <c r="AK633" s="27" t="b">
        <v>0</v>
      </c>
      <c r="AL633" s="27">
        <v>100.0</v>
      </c>
      <c r="AM633" s="27" t="s">
        <v>191</v>
      </c>
      <c r="AN633" s="27" t="s">
        <v>404</v>
      </c>
      <c r="AO633" s="27"/>
    </row>
    <row r="634">
      <c r="A634" s="200">
        <v>44831.02510368056</v>
      </c>
      <c r="B634" s="19" t="s">
        <v>109</v>
      </c>
      <c r="C634" s="21" t="s">
        <v>292</v>
      </c>
      <c r="D634" s="62">
        <v>2.0</v>
      </c>
      <c r="E634" s="27">
        <v>2.0</v>
      </c>
      <c r="F634" s="27" t="s">
        <v>1490</v>
      </c>
      <c r="G634" s="201" t="s">
        <v>57</v>
      </c>
      <c r="H634" s="27" t="s">
        <v>131</v>
      </c>
      <c r="I634" s="27"/>
      <c r="J634" s="33">
        <v>-10.0</v>
      </c>
      <c r="K634" s="33">
        <v>-9.5</v>
      </c>
      <c r="L634" s="66">
        <v>51.0</v>
      </c>
      <c r="M634" s="27" t="s">
        <v>1276</v>
      </c>
      <c r="N634" s="27">
        <v>-9.5</v>
      </c>
      <c r="O634" s="27"/>
      <c r="P634" s="27">
        <v>-9.5</v>
      </c>
      <c r="Q634" s="27"/>
      <c r="R634" s="27">
        <v>-10.0</v>
      </c>
      <c r="S634" s="27"/>
      <c r="T634" s="27">
        <v>-9.5</v>
      </c>
      <c r="U634" s="27"/>
      <c r="V634" s="27">
        <v>-9.5</v>
      </c>
      <c r="W634" s="27"/>
      <c r="X634" s="27">
        <v>-9.5</v>
      </c>
      <c r="Y634" s="27"/>
      <c r="Z634" s="27">
        <v>-9.5</v>
      </c>
      <c r="AA634" s="27"/>
      <c r="AB634" s="27">
        <v>-10.0</v>
      </c>
      <c r="AC634" s="27"/>
      <c r="AD634" s="27">
        <v>-10.0</v>
      </c>
      <c r="AE634" s="27"/>
      <c r="AF634" s="27">
        <v>-10.0</v>
      </c>
      <c r="AG634" s="27"/>
      <c r="AH634" s="27">
        <v>111.0</v>
      </c>
      <c r="AI634" s="27">
        <v>82.0</v>
      </c>
      <c r="AJ634" s="27">
        <v>2.0</v>
      </c>
      <c r="AK634" s="27" t="b">
        <v>1</v>
      </c>
      <c r="AL634" s="27">
        <v>100.0</v>
      </c>
      <c r="AM634" s="27" t="s">
        <v>193</v>
      </c>
      <c r="AN634" s="27" t="s">
        <v>405</v>
      </c>
      <c r="AO634" s="27"/>
    </row>
    <row r="635">
      <c r="A635" s="200">
        <v>44831.02510368056</v>
      </c>
      <c r="B635" s="19" t="s">
        <v>109</v>
      </c>
      <c r="C635" s="21" t="s">
        <v>394</v>
      </c>
      <c r="D635" s="62">
        <v>1.0</v>
      </c>
      <c r="E635" s="27">
        <v>4.0</v>
      </c>
      <c r="F635" s="27" t="s">
        <v>1547</v>
      </c>
      <c r="G635" s="201" t="s">
        <v>57</v>
      </c>
      <c r="H635" s="27" t="s">
        <v>166</v>
      </c>
      <c r="I635" s="27"/>
      <c r="J635" s="33">
        <v>-2.5</v>
      </c>
      <c r="K635" s="33">
        <v>-4.5</v>
      </c>
      <c r="L635" s="66">
        <v>53.0</v>
      </c>
      <c r="M635" s="27" t="s">
        <v>1548</v>
      </c>
      <c r="N635" s="27">
        <v>-4.5</v>
      </c>
      <c r="O635" s="27"/>
      <c r="P635" s="27">
        <v>-4.5</v>
      </c>
      <c r="Q635" s="27"/>
      <c r="R635" s="27">
        <v>-4.5</v>
      </c>
      <c r="S635" s="27"/>
      <c r="T635" s="27">
        <v>-5.0</v>
      </c>
      <c r="U635" s="27"/>
      <c r="V635" s="27">
        <v>-4.5</v>
      </c>
      <c r="W635" s="27"/>
      <c r="X635" s="27">
        <v>-4.5</v>
      </c>
      <c r="Y635" s="27"/>
      <c r="Z635" s="27">
        <v>-4.5</v>
      </c>
      <c r="AA635" s="27"/>
      <c r="AB635" s="27">
        <v>-4.0</v>
      </c>
      <c r="AC635" s="27"/>
      <c r="AD635" s="27">
        <v>-5.0</v>
      </c>
      <c r="AE635" s="27"/>
      <c r="AF635" s="27">
        <v>-5.0</v>
      </c>
      <c r="AG635" s="27"/>
      <c r="AH635" s="27">
        <v>77.0</v>
      </c>
      <c r="AI635" s="27">
        <v>173.0</v>
      </c>
      <c r="AJ635" s="27">
        <v>2.0</v>
      </c>
      <c r="AK635" s="27" t="b">
        <v>1</v>
      </c>
      <c r="AL635" s="27">
        <v>100.0</v>
      </c>
      <c r="AM635" s="27" t="s">
        <v>129</v>
      </c>
      <c r="AN635" s="27" t="s">
        <v>405</v>
      </c>
      <c r="AO635" s="27"/>
    </row>
    <row r="636">
      <c r="A636" s="200">
        <v>44831.02510368056</v>
      </c>
      <c r="B636" s="19" t="s">
        <v>109</v>
      </c>
      <c r="C636" s="21" t="s">
        <v>360</v>
      </c>
      <c r="D636" s="62">
        <v>3.0</v>
      </c>
      <c r="E636" s="27">
        <v>1.0</v>
      </c>
      <c r="F636" s="27" t="s">
        <v>1501</v>
      </c>
      <c r="G636" s="201" t="s">
        <v>57</v>
      </c>
      <c r="H636" s="27" t="s">
        <v>178</v>
      </c>
      <c r="I636" s="27"/>
      <c r="J636" s="33">
        <v>-31.0</v>
      </c>
      <c r="K636" s="33">
        <v>-31.5</v>
      </c>
      <c r="L636" s="66">
        <v>44.0</v>
      </c>
      <c r="M636" s="27" t="s">
        <v>1084</v>
      </c>
      <c r="N636" s="27">
        <v>-31.5</v>
      </c>
      <c r="O636" s="27"/>
      <c r="P636" s="27">
        <v>-31.5</v>
      </c>
      <c r="Q636" s="27"/>
      <c r="R636" s="27">
        <v>-31.5</v>
      </c>
      <c r="S636" s="27"/>
      <c r="T636" s="27">
        <v>-31.5</v>
      </c>
      <c r="U636" s="27"/>
      <c r="V636" s="27">
        <v>-31.0</v>
      </c>
      <c r="W636" s="27"/>
      <c r="X636" s="27">
        <v>-31.0</v>
      </c>
      <c r="Y636" s="27"/>
      <c r="Z636" s="27">
        <v>-31.5</v>
      </c>
      <c r="AA636" s="27"/>
      <c r="AB636" s="27">
        <v>-31.0</v>
      </c>
      <c r="AC636" s="27"/>
      <c r="AD636" s="27">
        <v>-31.5</v>
      </c>
      <c r="AE636" s="27"/>
      <c r="AF636" s="27">
        <v>-31.5</v>
      </c>
      <c r="AG636" s="27"/>
      <c r="AH636" s="27">
        <v>157.0</v>
      </c>
      <c r="AI636" s="27">
        <v>57.0</v>
      </c>
      <c r="AJ636" s="27">
        <v>2.0</v>
      </c>
      <c r="AK636" s="27" t="b">
        <v>1</v>
      </c>
      <c r="AL636" s="27">
        <v>100.0</v>
      </c>
      <c r="AM636" s="27" t="s">
        <v>192</v>
      </c>
      <c r="AN636" s="27" t="s">
        <v>404</v>
      </c>
      <c r="AO636" s="27"/>
    </row>
    <row r="637">
      <c r="A637" s="200">
        <v>44831.02510368056</v>
      </c>
      <c r="B637" s="19" t="s">
        <v>109</v>
      </c>
      <c r="C637" s="21" t="s">
        <v>343</v>
      </c>
      <c r="D637" s="62">
        <v>3.0</v>
      </c>
      <c r="E637" s="27">
        <v>1.0</v>
      </c>
      <c r="F637" s="27" t="s">
        <v>1549</v>
      </c>
      <c r="G637" s="201" t="s">
        <v>57</v>
      </c>
      <c r="H637" s="27" t="s">
        <v>144</v>
      </c>
      <c r="I637" s="27"/>
      <c r="J637" s="33">
        <v>26.5</v>
      </c>
      <c r="K637" s="33">
        <v>25.5</v>
      </c>
      <c r="L637" s="66">
        <v>65.5</v>
      </c>
      <c r="M637" s="27" t="s">
        <v>1550</v>
      </c>
      <c r="N637" s="27">
        <v>25.5</v>
      </c>
      <c r="O637" s="27"/>
      <c r="P637" s="27">
        <v>25.5</v>
      </c>
      <c r="Q637" s="27"/>
      <c r="R637" s="27">
        <v>25.5</v>
      </c>
      <c r="S637" s="27"/>
      <c r="T637" s="27">
        <v>25.5</v>
      </c>
      <c r="U637" s="27"/>
      <c r="V637" s="27">
        <v>25.5</v>
      </c>
      <c r="W637" s="27"/>
      <c r="X637" s="27">
        <v>25.5</v>
      </c>
      <c r="Y637" s="27"/>
      <c r="Z637" s="27">
        <v>26.0</v>
      </c>
      <c r="AA637" s="27"/>
      <c r="AB637" s="27">
        <v>26.0</v>
      </c>
      <c r="AC637" s="27"/>
      <c r="AD637" s="27">
        <v>25.5</v>
      </c>
      <c r="AE637" s="27"/>
      <c r="AF637" s="27">
        <v>25.5</v>
      </c>
      <c r="AG637" s="27"/>
      <c r="AH637" s="27">
        <v>135.0</v>
      </c>
      <c r="AI637" s="27">
        <v>100.0</v>
      </c>
      <c r="AJ637" s="27">
        <v>2.0</v>
      </c>
      <c r="AK637" s="27" t="b">
        <v>1</v>
      </c>
      <c r="AL637" s="27">
        <v>100.0</v>
      </c>
      <c r="AM637" s="27" t="s">
        <v>189</v>
      </c>
      <c r="AN637" s="27" t="s">
        <v>405</v>
      </c>
      <c r="AO637" s="27"/>
    </row>
    <row r="638">
      <c r="A638" s="200">
        <v>44831.02510368056</v>
      </c>
      <c r="B638" s="19" t="s">
        <v>109</v>
      </c>
      <c r="C638" s="21" t="s">
        <v>367</v>
      </c>
      <c r="D638" s="62">
        <v>3.0</v>
      </c>
      <c r="E638" s="27">
        <v>1.0</v>
      </c>
      <c r="F638" s="27" t="s">
        <v>1551</v>
      </c>
      <c r="G638" s="201" t="s">
        <v>57</v>
      </c>
      <c r="H638" s="27" t="s">
        <v>109</v>
      </c>
      <c r="I638" s="27"/>
      <c r="J638" s="33">
        <v>6.5</v>
      </c>
      <c r="K638" s="33">
        <v>-3.0</v>
      </c>
      <c r="L638" s="66">
        <v>62.0</v>
      </c>
      <c r="M638" s="27" t="s">
        <v>1552</v>
      </c>
      <c r="N638" s="27">
        <v>-2.5</v>
      </c>
      <c r="O638" s="27"/>
      <c r="P638" s="27">
        <v>-2.5</v>
      </c>
      <c r="Q638" s="27"/>
      <c r="R638" s="27">
        <v>-2.5</v>
      </c>
      <c r="S638" s="27"/>
      <c r="T638" s="27">
        <v>-3.0</v>
      </c>
      <c r="U638" s="27"/>
      <c r="V638" s="27">
        <v>-2.5</v>
      </c>
      <c r="W638" s="27"/>
      <c r="X638" s="27">
        <v>-2.5</v>
      </c>
      <c r="Y638" s="27"/>
      <c r="Z638" s="27">
        <v>-3.0</v>
      </c>
      <c r="AA638" s="27"/>
      <c r="AB638" s="27">
        <v>-2.5</v>
      </c>
      <c r="AC638" s="27"/>
      <c r="AD638" s="27">
        <v>-3.0</v>
      </c>
      <c r="AE638" s="27"/>
      <c r="AF638" s="27">
        <v>-3.0</v>
      </c>
      <c r="AG638" s="27"/>
      <c r="AH638" s="27">
        <v>186.0</v>
      </c>
      <c r="AI638" s="27">
        <v>158.0</v>
      </c>
      <c r="AJ638" s="27">
        <v>2.0</v>
      </c>
      <c r="AK638" s="27" t="b">
        <v>1</v>
      </c>
      <c r="AL638" s="27">
        <v>100.0</v>
      </c>
      <c r="AM638" s="27" t="s">
        <v>186</v>
      </c>
      <c r="AN638" s="27" t="s">
        <v>404</v>
      </c>
      <c r="AO638" s="27"/>
    </row>
    <row r="639">
      <c r="A639" s="200">
        <v>44831.02510368056</v>
      </c>
      <c r="B639" s="19" t="s">
        <v>109</v>
      </c>
      <c r="C639" s="21" t="s">
        <v>400</v>
      </c>
      <c r="D639" s="62">
        <v>2.0</v>
      </c>
      <c r="E639" s="27">
        <v>2.0</v>
      </c>
      <c r="F639" s="27" t="s">
        <v>1551</v>
      </c>
      <c r="G639" s="201" t="s">
        <v>57</v>
      </c>
      <c r="H639" s="27" t="s">
        <v>109</v>
      </c>
      <c r="I639" s="27"/>
      <c r="J639" s="33">
        <v>-6.5</v>
      </c>
      <c r="K639" s="33">
        <v>3.0</v>
      </c>
      <c r="L639" s="66">
        <v>62.0</v>
      </c>
      <c r="M639" s="27" t="s">
        <v>1552</v>
      </c>
      <c r="N639" s="27">
        <v>2.5</v>
      </c>
      <c r="O639" s="27"/>
      <c r="P639" s="27">
        <v>2.5</v>
      </c>
      <c r="Q639" s="27"/>
      <c r="R639" s="27">
        <v>2.5</v>
      </c>
      <c r="S639" s="27"/>
      <c r="T639" s="27">
        <v>3.0</v>
      </c>
      <c r="U639" s="27"/>
      <c r="V639" s="27">
        <v>2.5</v>
      </c>
      <c r="W639" s="27"/>
      <c r="X639" s="27">
        <v>2.5</v>
      </c>
      <c r="Y639" s="27"/>
      <c r="Z639" s="27">
        <v>3.0</v>
      </c>
      <c r="AA639" s="27"/>
      <c r="AB639" s="27">
        <v>2.5</v>
      </c>
      <c r="AC639" s="27"/>
      <c r="AD639" s="27">
        <v>3.0</v>
      </c>
      <c r="AE639" s="27"/>
      <c r="AF639" s="27">
        <v>3.0</v>
      </c>
      <c r="AG639" s="27"/>
      <c r="AH639" s="27">
        <v>100.0</v>
      </c>
      <c r="AI639" s="27">
        <v>96.0</v>
      </c>
      <c r="AJ639" s="27">
        <v>2.0</v>
      </c>
      <c r="AK639" s="27" t="b">
        <v>0</v>
      </c>
      <c r="AL639" s="27">
        <v>100.0</v>
      </c>
      <c r="AM639" s="27" t="s">
        <v>187</v>
      </c>
      <c r="AN639" s="27" t="s">
        <v>404</v>
      </c>
      <c r="AO639" s="27"/>
    </row>
    <row r="640">
      <c r="A640" s="200">
        <v>44831.02510368056</v>
      </c>
      <c r="B640" s="19" t="s">
        <v>109</v>
      </c>
      <c r="C640" s="21" t="s">
        <v>339</v>
      </c>
      <c r="D640" s="62">
        <v>3.0</v>
      </c>
      <c r="E640" s="27">
        <v>1.0</v>
      </c>
      <c r="F640" s="27" t="s">
        <v>1493</v>
      </c>
      <c r="G640" s="201" t="s">
        <v>57</v>
      </c>
      <c r="H640" s="27" t="s">
        <v>131</v>
      </c>
      <c r="I640" s="27"/>
      <c r="J640" s="33">
        <v>-13.5</v>
      </c>
      <c r="K640" s="33">
        <v>-12.5</v>
      </c>
      <c r="L640" s="66">
        <v>68.5</v>
      </c>
      <c r="M640" s="27" t="s">
        <v>1494</v>
      </c>
      <c r="N640" s="27">
        <v>-13.0</v>
      </c>
      <c r="O640" s="27"/>
      <c r="P640" s="27">
        <v>-13.0</v>
      </c>
      <c r="Q640" s="27"/>
      <c r="R640" s="27">
        <v>-12.5</v>
      </c>
      <c r="S640" s="27"/>
      <c r="T640" s="27">
        <v>-12.5</v>
      </c>
      <c r="U640" s="27"/>
      <c r="V640" s="27">
        <v>-13.0</v>
      </c>
      <c r="W640" s="27"/>
      <c r="X640" s="27">
        <v>-13.0</v>
      </c>
      <c r="Y640" s="27"/>
      <c r="Z640" s="27">
        <v>-13.0</v>
      </c>
      <c r="AA640" s="27"/>
      <c r="AB640" s="27">
        <v>-13.5</v>
      </c>
      <c r="AC640" s="27"/>
      <c r="AD640" s="27">
        <v>-12.5</v>
      </c>
      <c r="AE640" s="27"/>
      <c r="AF640" s="27">
        <v>-12.5</v>
      </c>
      <c r="AG640" s="27"/>
      <c r="AH640" s="27">
        <v>148.0</v>
      </c>
      <c r="AI640" s="27">
        <v>128.0</v>
      </c>
      <c r="AJ640" s="27">
        <v>2.0</v>
      </c>
      <c r="AK640" s="27" t="b">
        <v>0</v>
      </c>
      <c r="AL640" s="27">
        <v>100.0</v>
      </c>
      <c r="AM640" s="27" t="s">
        <v>389</v>
      </c>
      <c r="AN640" s="27" t="s">
        <v>405</v>
      </c>
      <c r="AO640" s="27"/>
    </row>
    <row r="641">
      <c r="A641" s="200">
        <v>44831.02510368056</v>
      </c>
      <c r="B641" s="19" t="s">
        <v>109</v>
      </c>
      <c r="C641" s="21" t="s">
        <v>344</v>
      </c>
      <c r="D641" s="62">
        <v>1.0</v>
      </c>
      <c r="E641" s="27">
        <v>3.0</v>
      </c>
      <c r="F641" s="27" t="s">
        <v>1553</v>
      </c>
      <c r="G641" s="201" t="s">
        <v>57</v>
      </c>
      <c r="H641" s="27" t="s">
        <v>103</v>
      </c>
      <c r="I641" s="27"/>
      <c r="J641" s="33">
        <v>3.5</v>
      </c>
      <c r="K641" s="33">
        <v>7.5</v>
      </c>
      <c r="L641" s="66">
        <v>57.5</v>
      </c>
      <c r="M641" s="27" t="s">
        <v>1554</v>
      </c>
      <c r="N641" s="27">
        <v>7.0</v>
      </c>
      <c r="O641" s="27"/>
      <c r="P641" s="27">
        <v>6.5</v>
      </c>
      <c r="Q641" s="27"/>
      <c r="R641" s="27">
        <v>7.0</v>
      </c>
      <c r="S641" s="27"/>
      <c r="T641" s="27">
        <v>7.5</v>
      </c>
      <c r="U641" s="27"/>
      <c r="V641" s="27">
        <v>6.5</v>
      </c>
      <c r="W641" s="27"/>
      <c r="X641" s="27">
        <v>6.5</v>
      </c>
      <c r="Y641" s="27"/>
      <c r="Z641" s="27">
        <v>7.0</v>
      </c>
      <c r="AA641" s="27"/>
      <c r="AB641" s="27">
        <v>7.5</v>
      </c>
      <c r="AC641" s="27"/>
      <c r="AD641" s="27">
        <v>7.5</v>
      </c>
      <c r="AE641" s="27"/>
      <c r="AF641" s="27"/>
      <c r="AG641" s="27"/>
      <c r="AH641" s="27">
        <v>117.0</v>
      </c>
      <c r="AI641" s="27">
        <v>137.0</v>
      </c>
      <c r="AJ641" s="27">
        <v>2.0</v>
      </c>
      <c r="AK641" s="27" t="b">
        <v>1</v>
      </c>
      <c r="AL641" s="27">
        <v>100.0</v>
      </c>
      <c r="AM641" s="27" t="s">
        <v>190</v>
      </c>
      <c r="AN641" s="27" t="s">
        <v>405</v>
      </c>
      <c r="AO641" s="27"/>
    </row>
    <row r="642">
      <c r="A642" s="200">
        <v>44831.02510368056</v>
      </c>
      <c r="B642" s="19" t="s">
        <v>109</v>
      </c>
      <c r="C642" s="21" t="s">
        <v>375</v>
      </c>
      <c r="D642" s="62">
        <v>4.0</v>
      </c>
      <c r="E642" s="27">
        <v>0.0</v>
      </c>
      <c r="F642" s="27" t="s">
        <v>1524</v>
      </c>
      <c r="G642" s="201" t="s">
        <v>57</v>
      </c>
      <c r="H642" s="27" t="s">
        <v>59</v>
      </c>
      <c r="I642" s="27"/>
      <c r="J642" s="33">
        <v>-24.5</v>
      </c>
      <c r="K642" s="33">
        <v>-28.5</v>
      </c>
      <c r="L642" s="66">
        <v>61.5</v>
      </c>
      <c r="M642" s="27" t="s">
        <v>1507</v>
      </c>
      <c r="N642" s="27">
        <v>-28.0</v>
      </c>
      <c r="O642" s="27"/>
      <c r="P642" s="27">
        <v>-28.0</v>
      </c>
      <c r="Q642" s="27"/>
      <c r="R642" s="27">
        <v>-28.0</v>
      </c>
      <c r="S642" s="27"/>
      <c r="T642" s="27">
        <v>-28.5</v>
      </c>
      <c r="U642" s="27"/>
      <c r="V642" s="27">
        <v>-28.0</v>
      </c>
      <c r="W642" s="27"/>
      <c r="X642" s="27">
        <v>-28.0</v>
      </c>
      <c r="Y642" s="27"/>
      <c r="Z642" s="27">
        <v>-28.5</v>
      </c>
      <c r="AA642" s="27"/>
      <c r="AB642" s="27">
        <v>-28.5</v>
      </c>
      <c r="AC642" s="27"/>
      <c r="AD642" s="27">
        <v>-28.5</v>
      </c>
      <c r="AE642" s="27"/>
      <c r="AF642" s="27"/>
      <c r="AG642" s="27"/>
      <c r="AH642" s="27">
        <v>155.0</v>
      </c>
      <c r="AI642" s="27">
        <v>67.0</v>
      </c>
      <c r="AJ642" s="27">
        <v>2.0</v>
      </c>
      <c r="AK642" s="27" t="b">
        <v>1</v>
      </c>
      <c r="AL642" s="27">
        <v>100.0</v>
      </c>
      <c r="AM642" s="27" t="s">
        <v>188</v>
      </c>
      <c r="AN642" s="27" t="s">
        <v>404</v>
      </c>
      <c r="AO642" s="27"/>
    </row>
    <row r="643">
      <c r="A643" s="200">
        <v>44831.02510368056</v>
      </c>
      <c r="B643" s="19"/>
      <c r="C643" s="21"/>
      <c r="D643" s="62"/>
      <c r="E643" s="27"/>
      <c r="F643" s="27"/>
      <c r="G643" s="201"/>
      <c r="H643" s="27"/>
      <c r="I643" s="27"/>
      <c r="J643" s="33"/>
      <c r="K643" s="33"/>
      <c r="L643" s="66"/>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t="e">
        <v>#N/A</v>
      </c>
      <c r="AN643" s="27" t="e">
        <v>#N/A</v>
      </c>
      <c r="AO643" s="27"/>
    </row>
    <row r="644">
      <c r="A644" s="200">
        <v>44831.02510368056</v>
      </c>
      <c r="B644" s="19" t="s">
        <v>144</v>
      </c>
      <c r="C644" s="21" t="s">
        <v>345</v>
      </c>
      <c r="D644" s="62">
        <v>1.0</v>
      </c>
      <c r="E644" s="27">
        <v>2.0</v>
      </c>
      <c r="F644" s="27"/>
      <c r="G644" s="201"/>
      <c r="H644" s="27"/>
      <c r="I644" s="27" t="s">
        <v>126</v>
      </c>
      <c r="J644" s="33"/>
      <c r="K644" s="33"/>
      <c r="L644" s="66"/>
      <c r="M644" s="27"/>
      <c r="N644" s="27"/>
      <c r="O644" s="27"/>
      <c r="P644" s="27"/>
      <c r="Q644" s="27"/>
      <c r="R644" s="27"/>
      <c r="S644" s="27"/>
      <c r="T644" s="27"/>
      <c r="U644" s="27"/>
      <c r="V644" s="27"/>
      <c r="W644" s="27"/>
      <c r="X644" s="27"/>
      <c r="Y644" s="27"/>
      <c r="Z644" s="27"/>
      <c r="AA644" s="27"/>
      <c r="AB644" s="27"/>
      <c r="AC644" s="27"/>
      <c r="AD644" s="27"/>
      <c r="AE644" s="27"/>
      <c r="AF644" s="27"/>
      <c r="AG644" s="27"/>
      <c r="AH644" s="27">
        <v>84.0</v>
      </c>
      <c r="AI644" s="27">
        <v>87.0</v>
      </c>
      <c r="AJ644" s="27">
        <v>0.0</v>
      </c>
      <c r="AK644" s="27" t="b">
        <v>0</v>
      </c>
      <c r="AL644" s="27">
        <v>59.0</v>
      </c>
      <c r="AM644" s="27" t="s">
        <v>129</v>
      </c>
      <c r="AN644" s="27" t="s">
        <v>405</v>
      </c>
      <c r="AO644" s="27"/>
    </row>
    <row r="645">
      <c r="A645" s="200">
        <v>44831.02510368056</v>
      </c>
      <c r="B645" s="19" t="s">
        <v>144</v>
      </c>
      <c r="C645" s="21" t="s">
        <v>338</v>
      </c>
      <c r="D645" s="62">
        <v>2.0</v>
      </c>
      <c r="E645" s="27">
        <v>2.0</v>
      </c>
      <c r="F645" s="27" t="s">
        <v>1502</v>
      </c>
      <c r="G645" s="201" t="s">
        <v>57</v>
      </c>
      <c r="H645" s="27" t="s">
        <v>178</v>
      </c>
      <c r="I645" s="27"/>
      <c r="J645" s="33">
        <v>13.5</v>
      </c>
      <c r="K645" s="33">
        <v>11.5</v>
      </c>
      <c r="L645" s="66">
        <v>48.5</v>
      </c>
      <c r="M645" s="27" t="s">
        <v>1503</v>
      </c>
      <c r="N645" s="27">
        <v>11.5</v>
      </c>
      <c r="O645" s="27"/>
      <c r="P645" s="27">
        <v>12.0</v>
      </c>
      <c r="Q645" s="27"/>
      <c r="R645" s="27">
        <v>11.5</v>
      </c>
      <c r="S645" s="27"/>
      <c r="T645" s="27">
        <v>11.5</v>
      </c>
      <c r="U645" s="27"/>
      <c r="V645" s="27">
        <v>12.0</v>
      </c>
      <c r="W645" s="27"/>
      <c r="X645" s="27">
        <v>11.5</v>
      </c>
      <c r="Y645" s="27"/>
      <c r="Z645" s="27">
        <v>11.5</v>
      </c>
      <c r="AA645" s="27"/>
      <c r="AB645" s="27">
        <v>11.5</v>
      </c>
      <c r="AC645" s="27"/>
      <c r="AD645" s="27">
        <v>11.5</v>
      </c>
      <c r="AE645" s="27"/>
      <c r="AF645" s="27">
        <v>11.5</v>
      </c>
      <c r="AG645" s="27"/>
      <c r="AH645" s="27">
        <v>125.0</v>
      </c>
      <c r="AI645" s="27">
        <v>93.0</v>
      </c>
      <c r="AJ645" s="27">
        <v>2.0</v>
      </c>
      <c r="AK645" s="27" t="b">
        <v>0</v>
      </c>
      <c r="AL645" s="27">
        <v>100.0</v>
      </c>
      <c r="AM645" s="27" t="s">
        <v>189</v>
      </c>
      <c r="AN645" s="27" t="s">
        <v>405</v>
      </c>
      <c r="AO645" s="27"/>
    </row>
    <row r="646">
      <c r="A646" s="200">
        <v>44831.02510368056</v>
      </c>
      <c r="B646" s="19" t="s">
        <v>144</v>
      </c>
      <c r="C646" s="21" t="s">
        <v>346</v>
      </c>
      <c r="D646" s="62">
        <v>2.0</v>
      </c>
      <c r="E646" s="27">
        <v>2.0</v>
      </c>
      <c r="F646" s="27" t="s">
        <v>1491</v>
      </c>
      <c r="G646" s="201" t="s">
        <v>57</v>
      </c>
      <c r="H646" s="27" t="s">
        <v>131</v>
      </c>
      <c r="I646" s="27"/>
      <c r="J646" s="33">
        <v>3.5</v>
      </c>
      <c r="K646" s="33">
        <v>11.0</v>
      </c>
      <c r="L646" s="66">
        <v>57.0</v>
      </c>
      <c r="M646" s="27" t="s">
        <v>1492</v>
      </c>
      <c r="N646" s="27">
        <v>11.0</v>
      </c>
      <c r="O646" s="27"/>
      <c r="P646" s="27">
        <v>11.0</v>
      </c>
      <c r="Q646" s="27"/>
      <c r="R646" s="27">
        <v>11.0</v>
      </c>
      <c r="S646" s="27"/>
      <c r="T646" s="27">
        <v>11.0</v>
      </c>
      <c r="U646" s="27"/>
      <c r="V646" s="27">
        <v>11.0</v>
      </c>
      <c r="W646" s="27"/>
      <c r="X646" s="27">
        <v>10.5</v>
      </c>
      <c r="Y646" s="27"/>
      <c r="Z646" s="27">
        <v>11.5</v>
      </c>
      <c r="AA646" s="27"/>
      <c r="AB646" s="27">
        <v>11.0</v>
      </c>
      <c r="AC646" s="27"/>
      <c r="AD646" s="27">
        <v>11.0</v>
      </c>
      <c r="AE646" s="27"/>
      <c r="AF646" s="27">
        <v>11.0</v>
      </c>
      <c r="AG646" s="27"/>
      <c r="AH646" s="27">
        <v>109.0</v>
      </c>
      <c r="AI646" s="27">
        <v>118.0</v>
      </c>
      <c r="AJ646" s="27">
        <v>2.0</v>
      </c>
      <c r="AK646" s="27" t="b">
        <v>1</v>
      </c>
      <c r="AL646" s="27">
        <v>100.0</v>
      </c>
      <c r="AM646" s="27" t="s">
        <v>192</v>
      </c>
      <c r="AN646" s="27" t="s">
        <v>404</v>
      </c>
      <c r="AO646" s="27"/>
    </row>
    <row r="647">
      <c r="A647" s="200">
        <v>44831.02510368056</v>
      </c>
      <c r="B647" s="19" t="s">
        <v>144</v>
      </c>
      <c r="C647" s="21" t="s">
        <v>357</v>
      </c>
      <c r="D647" s="62">
        <v>2.0</v>
      </c>
      <c r="E647" s="27">
        <v>2.0</v>
      </c>
      <c r="F647" s="27" t="s">
        <v>1549</v>
      </c>
      <c r="G647" s="201" t="s">
        <v>57</v>
      </c>
      <c r="H647" s="27" t="s">
        <v>109</v>
      </c>
      <c r="I647" s="27"/>
      <c r="J647" s="33">
        <v>-26.5</v>
      </c>
      <c r="K647" s="33">
        <v>-25.5</v>
      </c>
      <c r="L647" s="66">
        <v>65.5</v>
      </c>
      <c r="M647" s="27" t="s">
        <v>1550</v>
      </c>
      <c r="N647" s="27">
        <v>-25.5</v>
      </c>
      <c r="O647" s="27"/>
      <c r="P647" s="27">
        <v>-25.5</v>
      </c>
      <c r="Q647" s="27"/>
      <c r="R647" s="27">
        <v>-25.5</v>
      </c>
      <c r="S647" s="27"/>
      <c r="T647" s="27">
        <v>-25.5</v>
      </c>
      <c r="U647" s="27"/>
      <c r="V647" s="27">
        <v>-25.5</v>
      </c>
      <c r="W647" s="27"/>
      <c r="X647" s="27">
        <v>-25.5</v>
      </c>
      <c r="Y647" s="27"/>
      <c r="Z647" s="27">
        <v>-26.0</v>
      </c>
      <c r="AA647" s="27"/>
      <c r="AB647" s="27">
        <v>-26.0</v>
      </c>
      <c r="AC647" s="27"/>
      <c r="AD647" s="27">
        <v>-25.5</v>
      </c>
      <c r="AE647" s="27"/>
      <c r="AF647" s="27">
        <v>-25.5</v>
      </c>
      <c r="AG647" s="27"/>
      <c r="AH647" s="27">
        <v>140.0</v>
      </c>
      <c r="AI647" s="27">
        <v>82.0</v>
      </c>
      <c r="AJ647" s="27">
        <v>2.0</v>
      </c>
      <c r="AK647" s="27" t="b">
        <v>0</v>
      </c>
      <c r="AL647" s="27">
        <v>100.0</v>
      </c>
      <c r="AM647" s="27" t="s">
        <v>186</v>
      </c>
      <c r="AN647" s="27" t="s">
        <v>404</v>
      </c>
      <c r="AO647" s="27"/>
    </row>
    <row r="648">
      <c r="A648" s="200">
        <v>44831.02510368056</v>
      </c>
      <c r="B648" s="19" t="s">
        <v>144</v>
      </c>
      <c r="C648" s="21" t="s">
        <v>342</v>
      </c>
      <c r="D648" s="62">
        <v>0.0</v>
      </c>
      <c r="E648" s="27">
        <v>4.0</v>
      </c>
      <c r="F648" s="27" t="s">
        <v>1510</v>
      </c>
      <c r="G648" s="201" t="s">
        <v>57</v>
      </c>
      <c r="H648" s="27" t="s">
        <v>178</v>
      </c>
      <c r="I648" s="27"/>
      <c r="J648" s="33">
        <v>21.0</v>
      </c>
      <c r="K648" s="33">
        <v>22.5</v>
      </c>
      <c r="L648" s="66">
        <v>57.0</v>
      </c>
      <c r="M648" s="27" t="s">
        <v>1511</v>
      </c>
      <c r="N648" s="27">
        <v>22.5</v>
      </c>
      <c r="O648" s="27"/>
      <c r="P648" s="27">
        <v>22.0</v>
      </c>
      <c r="Q648" s="27"/>
      <c r="R648" s="27">
        <v>22.0</v>
      </c>
      <c r="S648" s="27"/>
      <c r="T648" s="27">
        <v>22.5</v>
      </c>
      <c r="U648" s="27"/>
      <c r="V648" s="27">
        <v>22.0</v>
      </c>
      <c r="W648" s="27"/>
      <c r="X648" s="27">
        <v>22.5</v>
      </c>
      <c r="Y648" s="27"/>
      <c r="Z648" s="27">
        <v>22.0</v>
      </c>
      <c r="AA648" s="27"/>
      <c r="AB648" s="27">
        <v>22.0</v>
      </c>
      <c r="AC648" s="27"/>
      <c r="AD648" s="27">
        <v>22.5</v>
      </c>
      <c r="AE648" s="27"/>
      <c r="AF648" s="27">
        <v>22.5</v>
      </c>
      <c r="AG648" s="27"/>
      <c r="AH648" s="27">
        <v>47.0</v>
      </c>
      <c r="AI648" s="27">
        <v>173.0</v>
      </c>
      <c r="AJ648" s="27">
        <v>2.0</v>
      </c>
      <c r="AK648" s="27" t="b">
        <v>1</v>
      </c>
      <c r="AL648" s="27">
        <v>100.0</v>
      </c>
      <c r="AM648" s="27" t="s">
        <v>191</v>
      </c>
      <c r="AN648" s="27" t="s">
        <v>404</v>
      </c>
      <c r="AO648" s="27"/>
    </row>
    <row r="649">
      <c r="A649" s="200">
        <v>44831.02510368056</v>
      </c>
      <c r="B649" s="19" t="s">
        <v>144</v>
      </c>
      <c r="C649" s="21" t="s">
        <v>359</v>
      </c>
      <c r="D649" s="62">
        <v>1.0</v>
      </c>
      <c r="E649" s="27">
        <v>3.0</v>
      </c>
      <c r="F649" s="27" t="s">
        <v>1555</v>
      </c>
      <c r="G649" s="201" t="s">
        <v>57</v>
      </c>
      <c r="H649" s="27" t="s">
        <v>116</v>
      </c>
      <c r="I649" s="27"/>
      <c r="J649" s="33">
        <v>44.0</v>
      </c>
      <c r="K649" s="33">
        <v>44.5</v>
      </c>
      <c r="L649" s="66">
        <v>61.5</v>
      </c>
      <c r="M649" s="27" t="s">
        <v>1139</v>
      </c>
      <c r="N649" s="27">
        <v>45.5</v>
      </c>
      <c r="O649" s="27"/>
      <c r="P649" s="27">
        <v>45.0</v>
      </c>
      <c r="Q649" s="27"/>
      <c r="R649" s="27">
        <v>45.0</v>
      </c>
      <c r="S649" s="27"/>
      <c r="T649" s="27">
        <v>44.5</v>
      </c>
      <c r="U649" s="27"/>
      <c r="V649" s="27">
        <v>45.0</v>
      </c>
      <c r="W649" s="27"/>
      <c r="X649" s="27">
        <v>45.0</v>
      </c>
      <c r="Y649" s="27"/>
      <c r="Z649" s="27">
        <v>45.0</v>
      </c>
      <c r="AA649" s="27"/>
      <c r="AB649" s="27">
        <v>44.5</v>
      </c>
      <c r="AC649" s="27"/>
      <c r="AD649" s="27">
        <v>44.5</v>
      </c>
      <c r="AE649" s="27"/>
      <c r="AF649" s="27"/>
      <c r="AG649" s="27"/>
      <c r="AH649" s="27">
        <v>108.0</v>
      </c>
      <c r="AI649" s="27">
        <v>127.0</v>
      </c>
      <c r="AJ649" s="27">
        <v>2.0</v>
      </c>
      <c r="AK649" s="27" t="b">
        <v>0</v>
      </c>
      <c r="AL649" s="27">
        <v>100.0</v>
      </c>
      <c r="AM649" s="27" t="s">
        <v>190</v>
      </c>
      <c r="AN649" s="27" t="s">
        <v>405</v>
      </c>
      <c r="AO649" s="27"/>
    </row>
    <row r="650">
      <c r="A650" s="200">
        <v>44831.02510368056</v>
      </c>
      <c r="B650" s="19" t="s">
        <v>144</v>
      </c>
      <c r="C650" s="21" t="s">
        <v>321</v>
      </c>
      <c r="D650" s="62">
        <v>3.0</v>
      </c>
      <c r="E650" s="27">
        <v>1.0</v>
      </c>
      <c r="F650" s="27" t="s">
        <v>1556</v>
      </c>
      <c r="G650" s="201" t="s">
        <v>57</v>
      </c>
      <c r="H650" s="27"/>
      <c r="I650" s="27"/>
      <c r="J650" s="33">
        <v>-17.5</v>
      </c>
      <c r="K650" s="33">
        <v>-20.0</v>
      </c>
      <c r="L650" s="66">
        <v>45.0</v>
      </c>
      <c r="M650" s="27" t="s">
        <v>1557</v>
      </c>
      <c r="N650" s="27">
        <v>-20.5</v>
      </c>
      <c r="O650" s="27"/>
      <c r="P650" s="27">
        <v>-20.0</v>
      </c>
      <c r="Q650" s="27"/>
      <c r="R650" s="27">
        <v>-20.0</v>
      </c>
      <c r="S650" s="27"/>
      <c r="T650" s="27">
        <v>-20.0</v>
      </c>
      <c r="U650" s="27"/>
      <c r="V650" s="27">
        <v>-20.0</v>
      </c>
      <c r="W650" s="27"/>
      <c r="X650" s="27">
        <v>-20.0</v>
      </c>
      <c r="Y650" s="27"/>
      <c r="Z650" s="27">
        <v>-20.0</v>
      </c>
      <c r="AA650" s="27"/>
      <c r="AB650" s="27">
        <v>-20.0</v>
      </c>
      <c r="AC650" s="27"/>
      <c r="AD650" s="27"/>
      <c r="AE650" s="27"/>
      <c r="AF650" s="27"/>
      <c r="AG650" s="27"/>
      <c r="AH650" s="27">
        <v>113.0</v>
      </c>
      <c r="AI650" s="27">
        <v>32.0</v>
      </c>
      <c r="AJ650" s="27">
        <v>2.0</v>
      </c>
      <c r="AK650" s="27" t="b">
        <v>0</v>
      </c>
      <c r="AL650" s="27">
        <v>100.0</v>
      </c>
      <c r="AM650" s="27" t="s">
        <v>188</v>
      </c>
      <c r="AN650" s="27" t="s">
        <v>404</v>
      </c>
      <c r="AO650" s="27"/>
    </row>
    <row r="651">
      <c r="A651" s="200">
        <v>44831.02510368056</v>
      </c>
      <c r="B651" s="19" t="s">
        <v>144</v>
      </c>
      <c r="C651" s="21" t="s">
        <v>371</v>
      </c>
      <c r="D651" s="62">
        <v>2.0</v>
      </c>
      <c r="E651" s="27">
        <v>2.0</v>
      </c>
      <c r="F651" s="27" t="s">
        <v>1558</v>
      </c>
      <c r="G651" s="201" t="s">
        <v>57</v>
      </c>
      <c r="H651" s="27" t="s">
        <v>148</v>
      </c>
      <c r="I651" s="27"/>
      <c r="J651" s="33">
        <v>-2.5</v>
      </c>
      <c r="K651" s="33">
        <v>-2.5</v>
      </c>
      <c r="L651" s="66">
        <v>49.5</v>
      </c>
      <c r="M651" s="27" t="s">
        <v>1544</v>
      </c>
      <c r="N651" s="27">
        <v>-2.5</v>
      </c>
      <c r="O651" s="27"/>
      <c r="P651" s="27">
        <v>-2.0</v>
      </c>
      <c r="Q651" s="27"/>
      <c r="R651" s="27">
        <v>-2.5</v>
      </c>
      <c r="S651" s="27"/>
      <c r="T651" s="27">
        <v>-2.5</v>
      </c>
      <c r="U651" s="27"/>
      <c r="V651" s="27">
        <v>-2.0</v>
      </c>
      <c r="W651" s="27"/>
      <c r="X651" s="27">
        <v>-2.0</v>
      </c>
      <c r="Y651" s="27"/>
      <c r="Z651" s="27">
        <v>-2.0</v>
      </c>
      <c r="AA651" s="27"/>
      <c r="AB651" s="27">
        <v>-2.5</v>
      </c>
      <c r="AC651" s="27"/>
      <c r="AD651" s="27">
        <v>-2.5</v>
      </c>
      <c r="AE651" s="27"/>
      <c r="AF651" s="27">
        <v>-2.5</v>
      </c>
      <c r="AG651" s="27"/>
      <c r="AH651" s="27">
        <v>171.0</v>
      </c>
      <c r="AI651" s="27">
        <v>110.0</v>
      </c>
      <c r="AJ651" s="27">
        <v>2.0</v>
      </c>
      <c r="AK651" s="27" t="b">
        <v>1</v>
      </c>
      <c r="AL651" s="27">
        <v>100.0</v>
      </c>
      <c r="AM651" s="27" t="s">
        <v>187</v>
      </c>
      <c r="AN651" s="27" t="s">
        <v>404</v>
      </c>
      <c r="AO651" s="27"/>
    </row>
    <row r="652">
      <c r="A652" s="200">
        <v>44831.02510368056</v>
      </c>
      <c r="B652" s="19" t="s">
        <v>144</v>
      </c>
      <c r="C652" s="21" t="s">
        <v>300</v>
      </c>
      <c r="D652" s="62">
        <v>4.0</v>
      </c>
      <c r="E652" s="27">
        <v>0.0</v>
      </c>
      <c r="F652" s="27" t="s">
        <v>1559</v>
      </c>
      <c r="G652" s="201" t="s">
        <v>57</v>
      </c>
      <c r="H652" s="27" t="s">
        <v>103</v>
      </c>
      <c r="I652" s="27"/>
      <c r="J652" s="33">
        <v>-1.5</v>
      </c>
      <c r="K652" s="33">
        <v>-2.5</v>
      </c>
      <c r="L652" s="66">
        <v>63.5</v>
      </c>
      <c r="M652" s="27" t="s">
        <v>1560</v>
      </c>
      <c r="N652" s="27">
        <v>-2.5</v>
      </c>
      <c r="O652" s="27"/>
      <c r="P652" s="27">
        <v>-2.5</v>
      </c>
      <c r="Q652" s="27"/>
      <c r="R652" s="27">
        <v>-2.5</v>
      </c>
      <c r="S652" s="27"/>
      <c r="T652" s="27">
        <v>-2.5</v>
      </c>
      <c r="U652" s="27"/>
      <c r="V652" s="27">
        <v>-2.5</v>
      </c>
      <c r="W652" s="27"/>
      <c r="X652" s="27">
        <v>-2.5</v>
      </c>
      <c r="Y652" s="27"/>
      <c r="Z652" s="27">
        <v>-2.5</v>
      </c>
      <c r="AA652" s="27"/>
      <c r="AB652" s="27">
        <v>-2.5</v>
      </c>
      <c r="AC652" s="27"/>
      <c r="AD652" s="27">
        <v>-2.5</v>
      </c>
      <c r="AE652" s="27"/>
      <c r="AF652" s="27">
        <v>-2.5</v>
      </c>
      <c r="AG652" s="27"/>
      <c r="AH652" s="27">
        <v>148.0</v>
      </c>
      <c r="AI652" s="27">
        <v>105.0</v>
      </c>
      <c r="AJ652" s="27">
        <v>2.0</v>
      </c>
      <c r="AK652" s="27" t="b">
        <v>1</v>
      </c>
      <c r="AL652" s="27">
        <v>100.0</v>
      </c>
      <c r="AM652" s="27" t="s">
        <v>193</v>
      </c>
      <c r="AN652" s="27" t="s">
        <v>405</v>
      </c>
      <c r="AO652" s="27"/>
    </row>
    <row r="653">
      <c r="A653" s="200">
        <v>44831.02510368056</v>
      </c>
      <c r="B653" s="19" t="s">
        <v>144</v>
      </c>
      <c r="C653" s="21" t="s">
        <v>325</v>
      </c>
      <c r="D653" s="62">
        <v>2.0</v>
      </c>
      <c r="E653" s="27">
        <v>2.0</v>
      </c>
      <c r="F653" s="27" t="s">
        <v>1561</v>
      </c>
      <c r="G653" s="201" t="s">
        <v>183</v>
      </c>
      <c r="H653" s="27" t="s">
        <v>116</v>
      </c>
      <c r="I653" s="27"/>
      <c r="J653" s="33">
        <v>-18.5</v>
      </c>
      <c r="K653" s="33">
        <v>-16.5</v>
      </c>
      <c r="L653" s="66">
        <v>48.0</v>
      </c>
      <c r="M653" s="27" t="s">
        <v>1562</v>
      </c>
      <c r="N653" s="27">
        <v>-16.5</v>
      </c>
      <c r="O653" s="27"/>
      <c r="P653" s="27">
        <v>-16.5</v>
      </c>
      <c r="Q653" s="27"/>
      <c r="R653" s="27">
        <v>-16.5</v>
      </c>
      <c r="S653" s="27"/>
      <c r="T653" s="27">
        <v>-15.5</v>
      </c>
      <c r="U653" s="27"/>
      <c r="V653" s="27">
        <v>-16.5</v>
      </c>
      <c r="W653" s="27"/>
      <c r="X653" s="27">
        <v>-16.5</v>
      </c>
      <c r="Y653" s="27"/>
      <c r="Z653" s="27">
        <v>-16.5</v>
      </c>
      <c r="AA653" s="27"/>
      <c r="AB653" s="27">
        <v>-16.5</v>
      </c>
      <c r="AC653" s="27"/>
      <c r="AD653" s="27">
        <v>-15.5</v>
      </c>
      <c r="AE653" s="27"/>
      <c r="AF653" s="27">
        <v>-15.5</v>
      </c>
      <c r="AG653" s="27"/>
      <c r="AH653" s="27">
        <v>128.0</v>
      </c>
      <c r="AI653" s="27">
        <v>75.0</v>
      </c>
      <c r="AJ653" s="27">
        <v>2.0</v>
      </c>
      <c r="AK653" s="27" t="b">
        <v>0</v>
      </c>
      <c r="AL653" s="27">
        <v>100.0</v>
      </c>
      <c r="AM653" s="27" t="s">
        <v>389</v>
      </c>
      <c r="AN653" s="27" t="s">
        <v>405</v>
      </c>
      <c r="AO653" s="27"/>
    </row>
    <row r="654">
      <c r="A654" s="200">
        <v>44831.02510368056</v>
      </c>
      <c r="B654" s="19"/>
      <c r="C654" s="21"/>
      <c r="D654" s="62"/>
      <c r="E654" s="27"/>
      <c r="F654" s="27"/>
      <c r="G654" s="201"/>
      <c r="H654" s="27"/>
      <c r="I654" s="27"/>
      <c r="J654" s="33"/>
      <c r="K654" s="33"/>
      <c r="L654" s="66"/>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t="e">
        <v>#N/A</v>
      </c>
      <c r="AN654" s="27" t="e">
        <v>#N/A</v>
      </c>
      <c r="AO654" s="27"/>
    </row>
    <row r="655">
      <c r="A655" s="200">
        <v>44831.02510368056</v>
      </c>
      <c r="B655" s="19" t="s">
        <v>166</v>
      </c>
      <c r="C655" s="21" t="s">
        <v>398</v>
      </c>
      <c r="D655" s="62">
        <v>1.0</v>
      </c>
      <c r="E655" s="27">
        <v>2.0</v>
      </c>
      <c r="F655" s="27"/>
      <c r="G655" s="201"/>
      <c r="H655" s="27"/>
      <c r="I655" s="27" t="s">
        <v>126</v>
      </c>
      <c r="J655" s="33">
        <v>-16.0</v>
      </c>
      <c r="K655" s="33">
        <v>-14.0</v>
      </c>
      <c r="L655" s="66">
        <v>54.5</v>
      </c>
      <c r="M655" s="27" t="s">
        <v>1451</v>
      </c>
      <c r="N655" s="27">
        <v>-14.0</v>
      </c>
      <c r="O655" s="27"/>
      <c r="P655" s="27">
        <v>-13.5</v>
      </c>
      <c r="Q655" s="27"/>
      <c r="R655" s="27">
        <v>-14.0</v>
      </c>
      <c r="S655" s="27"/>
      <c r="T655" s="27">
        <v>-14.0</v>
      </c>
      <c r="U655" s="27"/>
      <c r="V655" s="27">
        <v>-14.0</v>
      </c>
      <c r="W655" s="27"/>
      <c r="X655" s="27">
        <v>-14.0</v>
      </c>
      <c r="Y655" s="27"/>
      <c r="Z655" s="27">
        <v>-14.0</v>
      </c>
      <c r="AA655" s="27"/>
      <c r="AB655" s="27">
        <v>-14.0</v>
      </c>
      <c r="AC655" s="27"/>
      <c r="AD655" s="27"/>
      <c r="AE655" s="27"/>
      <c r="AF655" s="27"/>
      <c r="AG655" s="27"/>
      <c r="AH655" s="27">
        <v>115.0</v>
      </c>
      <c r="AI655" s="27">
        <v>89.0</v>
      </c>
      <c r="AJ655" s="27">
        <v>0.0</v>
      </c>
      <c r="AK655" s="27" t="b">
        <v>1</v>
      </c>
      <c r="AL655" s="27">
        <v>59.0</v>
      </c>
      <c r="AM655" s="27" t="s">
        <v>389</v>
      </c>
      <c r="AN655" s="27" t="s">
        <v>405</v>
      </c>
      <c r="AO655" s="27"/>
    </row>
    <row r="656">
      <c r="A656" s="200">
        <v>44831.02510368056</v>
      </c>
      <c r="B656" s="19" t="s">
        <v>166</v>
      </c>
      <c r="C656" s="21" t="s">
        <v>351</v>
      </c>
      <c r="D656" s="62">
        <v>1.0</v>
      </c>
      <c r="E656" s="27">
        <v>4.0</v>
      </c>
      <c r="F656" s="27" t="s">
        <v>1547</v>
      </c>
      <c r="G656" s="201" t="s">
        <v>57</v>
      </c>
      <c r="H656" s="27" t="s">
        <v>109</v>
      </c>
      <c r="I656" s="27"/>
      <c r="J656" s="33">
        <v>2.5</v>
      </c>
      <c r="K656" s="33">
        <v>4.5</v>
      </c>
      <c r="L656" s="66">
        <v>53.0</v>
      </c>
      <c r="M656" s="27" t="s">
        <v>1548</v>
      </c>
      <c r="N656" s="27">
        <v>4.5</v>
      </c>
      <c r="O656" s="27"/>
      <c r="P656" s="27">
        <v>4.5</v>
      </c>
      <c r="Q656" s="27"/>
      <c r="R656" s="27">
        <v>4.5</v>
      </c>
      <c r="S656" s="27"/>
      <c r="T656" s="27">
        <v>5.0</v>
      </c>
      <c r="U656" s="27"/>
      <c r="V656" s="27">
        <v>4.5</v>
      </c>
      <c r="W656" s="27"/>
      <c r="X656" s="27">
        <v>4.5</v>
      </c>
      <c r="Y656" s="27"/>
      <c r="Z656" s="27">
        <v>4.5</v>
      </c>
      <c r="AA656" s="27"/>
      <c r="AB656" s="27">
        <v>4.0</v>
      </c>
      <c r="AC656" s="27"/>
      <c r="AD656" s="27">
        <v>5.0</v>
      </c>
      <c r="AE656" s="27"/>
      <c r="AF656" s="27">
        <v>5.0</v>
      </c>
      <c r="AG656" s="27"/>
      <c r="AH656" s="27">
        <v>87.0</v>
      </c>
      <c r="AI656" s="27">
        <v>227.0</v>
      </c>
      <c r="AJ656" s="27">
        <v>2.0</v>
      </c>
      <c r="AK656" s="27" t="b">
        <v>0</v>
      </c>
      <c r="AL656" s="27">
        <v>100.0</v>
      </c>
      <c r="AM656" s="27" t="s">
        <v>129</v>
      </c>
      <c r="AN656" s="27" t="s">
        <v>405</v>
      </c>
      <c r="AO656" s="27"/>
    </row>
    <row r="657">
      <c r="A657" s="200">
        <v>44831.02510368056</v>
      </c>
      <c r="B657" s="19" t="s">
        <v>166</v>
      </c>
      <c r="C657" s="21" t="s">
        <v>334</v>
      </c>
      <c r="D657" s="62">
        <v>1.0</v>
      </c>
      <c r="E657" s="27">
        <v>3.0</v>
      </c>
      <c r="F657" s="27" t="s">
        <v>1529</v>
      </c>
      <c r="G657" s="201" t="s">
        <v>57</v>
      </c>
      <c r="H657" s="27" t="s">
        <v>138</v>
      </c>
      <c r="I657" s="27"/>
      <c r="J657" s="33">
        <v>13.0</v>
      </c>
      <c r="K657" s="33">
        <v>13.0</v>
      </c>
      <c r="L657" s="66">
        <v>58.5</v>
      </c>
      <c r="M657" s="27" t="s">
        <v>1161</v>
      </c>
      <c r="N657" s="27">
        <v>13.0</v>
      </c>
      <c r="O657" s="27"/>
      <c r="P657" s="27">
        <v>13.0</v>
      </c>
      <c r="Q657" s="27"/>
      <c r="R657" s="27">
        <v>13.0</v>
      </c>
      <c r="S657" s="27"/>
      <c r="T657" s="27">
        <v>13.0</v>
      </c>
      <c r="U657" s="27"/>
      <c r="V657" s="27">
        <v>13.0</v>
      </c>
      <c r="W657" s="27"/>
      <c r="X657" s="27">
        <v>13.0</v>
      </c>
      <c r="Y657" s="27"/>
      <c r="Z657" s="27">
        <v>13.5</v>
      </c>
      <c r="AA657" s="27"/>
      <c r="AB657" s="27">
        <v>13.0</v>
      </c>
      <c r="AC657" s="27"/>
      <c r="AD657" s="27">
        <v>13.0</v>
      </c>
      <c r="AE657" s="27"/>
      <c r="AF657" s="27">
        <v>13.0</v>
      </c>
      <c r="AG657" s="27"/>
      <c r="AH657" s="27">
        <v>110.0</v>
      </c>
      <c r="AI657" s="27">
        <v>155.0</v>
      </c>
      <c r="AJ657" s="27">
        <v>2.0</v>
      </c>
      <c r="AK657" s="27" t="b">
        <v>0</v>
      </c>
      <c r="AL657" s="27">
        <v>100.0</v>
      </c>
      <c r="AM657" s="27" t="s">
        <v>189</v>
      </c>
      <c r="AN657" s="27" t="s">
        <v>405</v>
      </c>
      <c r="AO657" s="27"/>
    </row>
    <row r="658">
      <c r="A658" s="200">
        <v>44831.02510368056</v>
      </c>
      <c r="B658" s="19" t="s">
        <v>166</v>
      </c>
      <c r="C658" s="21" t="s">
        <v>306</v>
      </c>
      <c r="D658" s="62">
        <v>2.0</v>
      </c>
      <c r="E658" s="27">
        <v>2.0</v>
      </c>
      <c r="F658" s="27" t="s">
        <v>1540</v>
      </c>
      <c r="G658" s="201" t="s">
        <v>57</v>
      </c>
      <c r="H658" s="27" t="s">
        <v>141</v>
      </c>
      <c r="I658" s="27"/>
      <c r="J658" s="33">
        <v>3.5</v>
      </c>
      <c r="K658" s="33">
        <v>3.0</v>
      </c>
      <c r="L658" s="66">
        <v>53.0</v>
      </c>
      <c r="M658" s="27" t="s">
        <v>1563</v>
      </c>
      <c r="N658" s="27">
        <v>3.0</v>
      </c>
      <c r="O658" s="27"/>
      <c r="P658" s="27">
        <v>3.0</v>
      </c>
      <c r="Q658" s="27"/>
      <c r="R658" s="27">
        <v>4.0</v>
      </c>
      <c r="S658" s="27"/>
      <c r="T658" s="27">
        <v>3.0</v>
      </c>
      <c r="U658" s="27"/>
      <c r="V658" s="27">
        <v>3.0</v>
      </c>
      <c r="W658" s="27"/>
      <c r="X658" s="27">
        <v>3.0</v>
      </c>
      <c r="Y658" s="27"/>
      <c r="Z658" s="27">
        <v>3.0</v>
      </c>
      <c r="AA658" s="27"/>
      <c r="AB658" s="27">
        <v>3.0</v>
      </c>
      <c r="AC658" s="27"/>
      <c r="AD658" s="27">
        <v>3.0</v>
      </c>
      <c r="AE658" s="27"/>
      <c r="AF658" s="27">
        <v>3.0</v>
      </c>
      <c r="AG658" s="27"/>
      <c r="AH658" s="27">
        <v>119.0</v>
      </c>
      <c r="AI658" s="27">
        <v>74.0</v>
      </c>
      <c r="AJ658" s="27">
        <v>2.0</v>
      </c>
      <c r="AK658" s="27" t="b">
        <v>1</v>
      </c>
      <c r="AL658" s="27">
        <v>100.0</v>
      </c>
      <c r="AM658" s="27" t="s">
        <v>193</v>
      </c>
      <c r="AN658" s="27" t="s">
        <v>405</v>
      </c>
      <c r="AO658" s="27"/>
    </row>
    <row r="659">
      <c r="A659" s="200">
        <v>44831.02510368056</v>
      </c>
      <c r="B659" s="19" t="s">
        <v>166</v>
      </c>
      <c r="C659" s="21" t="s">
        <v>399</v>
      </c>
      <c r="D659" s="62">
        <v>3.0</v>
      </c>
      <c r="E659" s="27">
        <v>1.0</v>
      </c>
      <c r="F659" s="27" t="s">
        <v>1542</v>
      </c>
      <c r="G659" s="201" t="s">
        <v>57</v>
      </c>
      <c r="H659" s="27" t="s">
        <v>141</v>
      </c>
      <c r="I659" s="27"/>
      <c r="J659" s="33">
        <v>-24.5</v>
      </c>
      <c r="K659" s="33">
        <v>-26.5</v>
      </c>
      <c r="L659" s="66">
        <v>53.5</v>
      </c>
      <c r="M659" s="27" t="s">
        <v>1413</v>
      </c>
      <c r="N659" s="27">
        <v>-26.5</v>
      </c>
      <c r="O659" s="27"/>
      <c r="P659" s="27">
        <v>-26.5</v>
      </c>
      <c r="Q659" s="27"/>
      <c r="R659" s="27">
        <v>-26.5</v>
      </c>
      <c r="S659" s="27"/>
      <c r="T659" s="27">
        <v>-26.5</v>
      </c>
      <c r="U659" s="27"/>
      <c r="V659" s="27">
        <v>-26.5</v>
      </c>
      <c r="W659" s="27"/>
      <c r="X659" s="27">
        <v>-26.5</v>
      </c>
      <c r="Y659" s="27"/>
      <c r="Z659" s="27">
        <v>-26.5</v>
      </c>
      <c r="AA659" s="27"/>
      <c r="AB659" s="27">
        <v>-26.5</v>
      </c>
      <c r="AC659" s="27"/>
      <c r="AD659" s="27">
        <v>-26.5</v>
      </c>
      <c r="AE659" s="27"/>
      <c r="AF659" s="27"/>
      <c r="AG659" s="27"/>
      <c r="AH659" s="27">
        <v>107.0</v>
      </c>
      <c r="AI659" s="27">
        <v>90.0</v>
      </c>
      <c r="AJ659" s="27">
        <v>2.0</v>
      </c>
      <c r="AK659" s="27" t="b">
        <v>1</v>
      </c>
      <c r="AL659" s="27">
        <v>100.0</v>
      </c>
      <c r="AM659" s="27" t="s">
        <v>190</v>
      </c>
      <c r="AN659" s="27" t="s">
        <v>405</v>
      </c>
      <c r="AO659" s="27"/>
    </row>
    <row r="660">
      <c r="A660" s="200">
        <v>44831.02510368056</v>
      </c>
      <c r="B660" s="19" t="s">
        <v>166</v>
      </c>
      <c r="C660" s="21" t="s">
        <v>333</v>
      </c>
      <c r="D660" s="62">
        <v>3.0</v>
      </c>
      <c r="E660" s="27">
        <v>1.0</v>
      </c>
      <c r="F660" s="27" t="s">
        <v>1564</v>
      </c>
      <c r="G660" s="201" t="s">
        <v>57</v>
      </c>
      <c r="H660" s="27" t="s">
        <v>103</v>
      </c>
      <c r="I660" s="27"/>
      <c r="J660" s="33">
        <v>-4.5</v>
      </c>
      <c r="K660" s="33">
        <v>-3.5</v>
      </c>
      <c r="L660" s="66">
        <v>50.5</v>
      </c>
      <c r="M660" s="27" t="s">
        <v>1565</v>
      </c>
      <c r="N660" s="27">
        <v>-3.5</v>
      </c>
      <c r="O660" s="27"/>
      <c r="P660" s="27">
        <v>-3.5</v>
      </c>
      <c r="Q660" s="27"/>
      <c r="R660" s="27">
        <v>-3.5</v>
      </c>
      <c r="S660" s="27"/>
      <c r="T660" s="27">
        <v>-4.0</v>
      </c>
      <c r="U660" s="27"/>
      <c r="V660" s="27">
        <v>-3.5</v>
      </c>
      <c r="W660" s="27"/>
      <c r="X660" s="27">
        <v>-3.5</v>
      </c>
      <c r="Y660" s="27"/>
      <c r="Z660" s="27">
        <v>-3.5</v>
      </c>
      <c r="AA660" s="27"/>
      <c r="AB660" s="27">
        <v>-3.5</v>
      </c>
      <c r="AC660" s="27"/>
      <c r="AD660" s="27">
        <v>-4.0</v>
      </c>
      <c r="AE660" s="27"/>
      <c r="AF660" s="27">
        <v>-4.0</v>
      </c>
      <c r="AG660" s="27"/>
      <c r="AH660" s="27">
        <v>120.0</v>
      </c>
      <c r="AI660" s="27">
        <v>82.0</v>
      </c>
      <c r="AJ660" s="27">
        <v>2.0</v>
      </c>
      <c r="AK660" s="27" t="b">
        <v>0</v>
      </c>
      <c r="AL660" s="27">
        <v>100.0</v>
      </c>
      <c r="AM660" s="27" t="s">
        <v>191</v>
      </c>
      <c r="AN660" s="27" t="s">
        <v>404</v>
      </c>
      <c r="AO660" s="27"/>
    </row>
    <row r="661">
      <c r="A661" s="200">
        <v>44831.02510368056</v>
      </c>
      <c r="B661" s="19" t="s">
        <v>166</v>
      </c>
      <c r="C661" s="21" t="s">
        <v>327</v>
      </c>
      <c r="D661" s="62">
        <v>3.0</v>
      </c>
      <c r="E661" s="27">
        <v>1.0</v>
      </c>
      <c r="F661" s="27" t="s">
        <v>1530</v>
      </c>
      <c r="G661" s="201" t="s">
        <v>57</v>
      </c>
      <c r="H661" s="27" t="s">
        <v>138</v>
      </c>
      <c r="I661" s="27"/>
      <c r="J661" s="33">
        <v>8.5</v>
      </c>
      <c r="K661" s="33">
        <v>16.5</v>
      </c>
      <c r="L661" s="66">
        <v>55.0</v>
      </c>
      <c r="M661" s="27" t="s">
        <v>1531</v>
      </c>
      <c r="N661" s="27">
        <v>16.5</v>
      </c>
      <c r="O661" s="27"/>
      <c r="P661" s="27">
        <v>16.5</v>
      </c>
      <c r="Q661" s="27"/>
      <c r="R661" s="27">
        <v>16.5</v>
      </c>
      <c r="S661" s="27"/>
      <c r="T661" s="27">
        <v>16.0</v>
      </c>
      <c r="U661" s="27"/>
      <c r="V661" s="27">
        <v>16.5</v>
      </c>
      <c r="W661" s="27"/>
      <c r="X661" s="27">
        <v>16.5</v>
      </c>
      <c r="Y661" s="27"/>
      <c r="Z661" s="27">
        <v>16.5</v>
      </c>
      <c r="AA661" s="27"/>
      <c r="AB661" s="27">
        <v>16.5</v>
      </c>
      <c r="AC661" s="27"/>
      <c r="AD661" s="27">
        <v>16.0</v>
      </c>
      <c r="AE661" s="27"/>
      <c r="AF661" s="27">
        <v>16.0</v>
      </c>
      <c r="AG661" s="27"/>
      <c r="AH661" s="27">
        <v>115.0</v>
      </c>
      <c r="AI661" s="27">
        <v>117.0</v>
      </c>
      <c r="AJ661" s="27">
        <v>2.0</v>
      </c>
      <c r="AK661" s="27" t="b">
        <v>1</v>
      </c>
      <c r="AL661" s="27">
        <v>100.0</v>
      </c>
      <c r="AM661" s="27" t="s">
        <v>188</v>
      </c>
      <c r="AN661" s="27" t="s">
        <v>404</v>
      </c>
      <c r="AO661" s="27"/>
    </row>
    <row r="662">
      <c r="A662" s="200">
        <v>44831.02510368056</v>
      </c>
      <c r="B662" s="19" t="s">
        <v>166</v>
      </c>
      <c r="C662" s="21" t="s">
        <v>370</v>
      </c>
      <c r="D662" s="62">
        <v>3.0</v>
      </c>
      <c r="E662" s="27">
        <v>1.0</v>
      </c>
      <c r="F662" s="27" t="s">
        <v>1566</v>
      </c>
      <c r="G662" s="201" t="s">
        <v>57</v>
      </c>
      <c r="H662" s="27"/>
      <c r="I662" s="27"/>
      <c r="J662" s="33">
        <v>-34.5</v>
      </c>
      <c r="K662" s="33">
        <v>-32.5</v>
      </c>
      <c r="L662" s="66">
        <v>55.5</v>
      </c>
      <c r="M662" s="27" t="s">
        <v>1232</v>
      </c>
      <c r="N662" s="27">
        <v>-32.5</v>
      </c>
      <c r="O662" s="27"/>
      <c r="P662" s="27">
        <v>-32.5</v>
      </c>
      <c r="Q662" s="27"/>
      <c r="R662" s="27">
        <v>-32.5</v>
      </c>
      <c r="S662" s="27"/>
      <c r="T662" s="27">
        <v>-32.5</v>
      </c>
      <c r="U662" s="27"/>
      <c r="V662" s="27">
        <v>-32.5</v>
      </c>
      <c r="W662" s="27"/>
      <c r="X662" s="27">
        <v>-33.0</v>
      </c>
      <c r="Y662" s="27"/>
      <c r="Z662" s="27">
        <v>-32.5</v>
      </c>
      <c r="AA662" s="27"/>
      <c r="AB662" s="27">
        <v>-32.5</v>
      </c>
      <c r="AC662" s="27"/>
      <c r="AD662" s="27"/>
      <c r="AE662" s="27"/>
      <c r="AF662" s="27"/>
      <c r="AG662" s="27"/>
      <c r="AH662" s="27">
        <v>144.0</v>
      </c>
      <c r="AI662" s="27">
        <v>102.0</v>
      </c>
      <c r="AJ662" s="27">
        <v>2.0</v>
      </c>
      <c r="AK662" s="27" t="b">
        <v>0</v>
      </c>
      <c r="AL662" s="27">
        <v>100.0</v>
      </c>
      <c r="AM662" s="27" t="s">
        <v>186</v>
      </c>
      <c r="AN662" s="27" t="s">
        <v>404</v>
      </c>
      <c r="AO662" s="27"/>
    </row>
    <row r="663">
      <c r="A663" s="200">
        <v>44831.02510368056</v>
      </c>
      <c r="B663" s="19" t="s">
        <v>166</v>
      </c>
      <c r="C663" s="21" t="s">
        <v>364</v>
      </c>
      <c r="D663" s="62">
        <v>2.0</v>
      </c>
      <c r="E663" s="27">
        <v>2.0</v>
      </c>
      <c r="F663" s="27" t="s">
        <v>1513</v>
      </c>
      <c r="G663" s="201" t="s">
        <v>183</v>
      </c>
      <c r="H663" s="27" t="s">
        <v>178</v>
      </c>
      <c r="I663" s="27"/>
      <c r="J663" s="33">
        <v>-5.0</v>
      </c>
      <c r="K663" s="33">
        <v>-7.0</v>
      </c>
      <c r="L663" s="66">
        <v>56.5</v>
      </c>
      <c r="M663" s="27" t="s">
        <v>1336</v>
      </c>
      <c r="N663" s="27">
        <v>-7.0</v>
      </c>
      <c r="O663" s="27"/>
      <c r="P663" s="27">
        <v>-7.0</v>
      </c>
      <c r="Q663" s="27"/>
      <c r="R663" s="27">
        <v>-7.0</v>
      </c>
      <c r="S663" s="27"/>
      <c r="T663" s="27">
        <v>-7.5</v>
      </c>
      <c r="U663" s="27"/>
      <c r="V663" s="27">
        <v>-7.0</v>
      </c>
      <c r="W663" s="27"/>
      <c r="X663" s="27">
        <v>-7.0</v>
      </c>
      <c r="Y663" s="27"/>
      <c r="Z663" s="27">
        <v>-7.0</v>
      </c>
      <c r="AA663" s="27"/>
      <c r="AB663" s="27">
        <v>-6.5</v>
      </c>
      <c r="AC663" s="27"/>
      <c r="AD663" s="27">
        <v>-7.5</v>
      </c>
      <c r="AE663" s="27"/>
      <c r="AF663" s="27">
        <v>-7.5</v>
      </c>
      <c r="AG663" s="27"/>
      <c r="AH663" s="27">
        <v>146.0</v>
      </c>
      <c r="AI663" s="27">
        <v>87.0</v>
      </c>
      <c r="AJ663" s="27">
        <v>2.0</v>
      </c>
      <c r="AK663" s="27" t="b">
        <v>1</v>
      </c>
      <c r="AL663" s="27">
        <v>100.0</v>
      </c>
      <c r="AM663" s="27" t="s">
        <v>187</v>
      </c>
      <c r="AN663" s="27" t="s">
        <v>404</v>
      </c>
      <c r="AO663" s="27"/>
    </row>
    <row r="664">
      <c r="A664" s="200">
        <v>44831.02510368056</v>
      </c>
      <c r="B664" s="19" t="s">
        <v>166</v>
      </c>
      <c r="C664" s="21" t="s">
        <v>337</v>
      </c>
      <c r="D664" s="62">
        <v>3.0</v>
      </c>
      <c r="E664" s="27">
        <v>1.0</v>
      </c>
      <c r="F664" s="27" t="s">
        <v>1486</v>
      </c>
      <c r="G664" s="201" t="s">
        <v>183</v>
      </c>
      <c r="H664" s="27" t="s">
        <v>53</v>
      </c>
      <c r="I664" s="27"/>
      <c r="J664" s="33">
        <v>-10.5</v>
      </c>
      <c r="K664" s="33">
        <v>-7.5</v>
      </c>
      <c r="L664" s="66">
        <v>51.5</v>
      </c>
      <c r="M664" s="27" t="s">
        <v>1487</v>
      </c>
      <c r="N664" s="27">
        <v>-7.5</v>
      </c>
      <c r="O664" s="27"/>
      <c r="P664" s="27">
        <v>-7.5</v>
      </c>
      <c r="Q664" s="27"/>
      <c r="R664" s="27">
        <v>-7.0</v>
      </c>
      <c r="S664" s="27"/>
      <c r="T664" s="27">
        <v>-7.5</v>
      </c>
      <c r="U664" s="27"/>
      <c r="V664" s="27">
        <v>-7.0</v>
      </c>
      <c r="W664" s="27"/>
      <c r="X664" s="27">
        <v>-7.5</v>
      </c>
      <c r="Y664" s="27"/>
      <c r="Z664" s="27">
        <v>-7.5</v>
      </c>
      <c r="AA664" s="27"/>
      <c r="AB664" s="27">
        <v>-7.5</v>
      </c>
      <c r="AC664" s="27"/>
      <c r="AD664" s="27">
        <v>-7.5</v>
      </c>
      <c r="AE664" s="27"/>
      <c r="AF664" s="27">
        <v>-7.5</v>
      </c>
      <c r="AG664" s="27"/>
      <c r="AH664" s="27">
        <v>95.0</v>
      </c>
      <c r="AI664" s="27">
        <v>87.0</v>
      </c>
      <c r="AJ664" s="27">
        <v>2.0</v>
      </c>
      <c r="AK664" s="27" t="b">
        <v>0</v>
      </c>
      <c r="AL664" s="27">
        <v>100.0</v>
      </c>
      <c r="AM664" s="27" t="s">
        <v>192</v>
      </c>
      <c r="AN664" s="27" t="s">
        <v>404</v>
      </c>
      <c r="AO664" s="27"/>
    </row>
    <row r="665">
      <c r="A665" s="200">
        <v>44831.02510368056</v>
      </c>
      <c r="B665" s="19"/>
      <c r="C665" s="21"/>
      <c r="D665" s="62"/>
      <c r="E665" s="27"/>
      <c r="F665" s="27"/>
      <c r="G665" s="201"/>
      <c r="H665" s="27"/>
      <c r="I665" s="27"/>
      <c r="J665" s="33"/>
      <c r="K665" s="33"/>
      <c r="L665" s="66"/>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t="e">
        <v>#N/A</v>
      </c>
      <c r="AN665" s="27" t="e">
        <v>#N/A</v>
      </c>
      <c r="AO665" s="27"/>
    </row>
    <row r="666">
      <c r="A666" s="200">
        <v>44831.02510368056</v>
      </c>
      <c r="B666" s="19" t="s">
        <v>116</v>
      </c>
      <c r="C666" s="21" t="s">
        <v>354</v>
      </c>
      <c r="D666" s="62">
        <v>3.0</v>
      </c>
      <c r="E666" s="27">
        <v>0.0</v>
      </c>
      <c r="F666" s="27"/>
      <c r="G666" s="201"/>
      <c r="H666" s="27"/>
      <c r="I666" s="27" t="s">
        <v>74</v>
      </c>
      <c r="J666" s="33">
        <v>-57.5</v>
      </c>
      <c r="K666" s="33">
        <v>-55.0</v>
      </c>
      <c r="L666" s="66">
        <v>64.5</v>
      </c>
      <c r="M666" s="27" t="s">
        <v>1139</v>
      </c>
      <c r="N666" s="27">
        <v>-54.5</v>
      </c>
      <c r="O666" s="27"/>
      <c r="P666" s="27">
        <v>-54.5</v>
      </c>
      <c r="Q666" s="27"/>
      <c r="R666" s="27">
        <v>-55.0</v>
      </c>
      <c r="S666" s="27"/>
      <c r="T666" s="27">
        <v>-55.0</v>
      </c>
      <c r="U666" s="27"/>
      <c r="V666" s="27">
        <v>-54.5</v>
      </c>
      <c r="W666" s="27"/>
      <c r="X666" s="27">
        <v>-54.5</v>
      </c>
      <c r="Y666" s="27"/>
      <c r="Z666" s="27">
        <v>-55.0</v>
      </c>
      <c r="AA666" s="27"/>
      <c r="AB666" s="27">
        <v>-55.0</v>
      </c>
      <c r="AC666" s="27"/>
      <c r="AD666" s="27"/>
      <c r="AE666" s="27"/>
      <c r="AF666" s="27"/>
      <c r="AG666" s="27"/>
      <c r="AH666" s="27">
        <v>155.0</v>
      </c>
      <c r="AI666" s="27">
        <v>68.0</v>
      </c>
      <c r="AJ666" s="27">
        <v>0.0</v>
      </c>
      <c r="AK666" s="27" t="b">
        <v>1</v>
      </c>
      <c r="AL666" s="27">
        <v>59.0</v>
      </c>
      <c r="AM666" s="27" t="s">
        <v>187</v>
      </c>
      <c r="AN666" s="27" t="s">
        <v>404</v>
      </c>
      <c r="AO666" s="27"/>
    </row>
    <row r="667">
      <c r="A667" s="200">
        <v>44831.02510368056</v>
      </c>
      <c r="B667" s="19" t="s">
        <v>116</v>
      </c>
      <c r="C667" s="21" t="s">
        <v>369</v>
      </c>
      <c r="D667" s="62">
        <v>4.0</v>
      </c>
      <c r="E667" s="27">
        <v>0.0</v>
      </c>
      <c r="F667" s="27" t="s">
        <v>1514</v>
      </c>
      <c r="G667" s="201" t="s">
        <v>57</v>
      </c>
      <c r="H667" s="27" t="s">
        <v>59</v>
      </c>
      <c r="I667" s="27"/>
      <c r="J667" s="33">
        <v>-6.0</v>
      </c>
      <c r="K667" s="33">
        <v>-5.5</v>
      </c>
      <c r="L667" s="66">
        <v>69.5</v>
      </c>
      <c r="M667" s="27" t="s">
        <v>1515</v>
      </c>
      <c r="N667" s="27">
        <v>-6.0</v>
      </c>
      <c r="O667" s="27"/>
      <c r="P667" s="27">
        <v>-5.5</v>
      </c>
      <c r="Q667" s="27"/>
      <c r="R667" s="27">
        <v>-6.0</v>
      </c>
      <c r="S667" s="27"/>
      <c r="T667" s="27">
        <v>-5.5</v>
      </c>
      <c r="U667" s="27"/>
      <c r="V667" s="27">
        <v>-6.0</v>
      </c>
      <c r="W667" s="27"/>
      <c r="X667" s="27">
        <v>-6.0</v>
      </c>
      <c r="Y667" s="27"/>
      <c r="Z667" s="27">
        <v>-5.5</v>
      </c>
      <c r="AA667" s="27"/>
      <c r="AB667" s="27">
        <v>-6.5</v>
      </c>
      <c r="AC667" s="27"/>
      <c r="AD667" s="27">
        <v>-5.5</v>
      </c>
      <c r="AE667" s="27"/>
      <c r="AF667" s="27">
        <v>-5.5</v>
      </c>
      <c r="AG667" s="27"/>
      <c r="AH667" s="27">
        <v>169.0</v>
      </c>
      <c r="AI667" s="27">
        <v>73.0</v>
      </c>
      <c r="AJ667" s="27">
        <v>2.0</v>
      </c>
      <c r="AK667" s="27" t="b">
        <v>0</v>
      </c>
      <c r="AL667" s="27">
        <v>100.0</v>
      </c>
      <c r="AM667" s="27" t="s">
        <v>191</v>
      </c>
      <c r="AN667" s="27" t="s">
        <v>404</v>
      </c>
      <c r="AO667" s="27"/>
    </row>
    <row r="668">
      <c r="A668" s="200">
        <v>44831.02510368056</v>
      </c>
      <c r="B668" s="19" t="s">
        <v>116</v>
      </c>
      <c r="C668" s="21" t="s">
        <v>332</v>
      </c>
      <c r="D668" s="62">
        <v>3.0</v>
      </c>
      <c r="E668" s="27">
        <v>1.0</v>
      </c>
      <c r="F668" s="27" t="s">
        <v>1538</v>
      </c>
      <c r="G668" s="201" t="s">
        <v>57</v>
      </c>
      <c r="H668" s="27" t="s">
        <v>141</v>
      </c>
      <c r="I668" s="27"/>
      <c r="J668" s="33">
        <v>-7.5</v>
      </c>
      <c r="K668" s="33">
        <v>-7.5</v>
      </c>
      <c r="L668" s="66">
        <v>34.0</v>
      </c>
      <c r="M668" s="27" t="s">
        <v>1539</v>
      </c>
      <c r="N668" s="27">
        <v>-7.5</v>
      </c>
      <c r="O668" s="27"/>
      <c r="P668" s="27">
        <v>-7.5</v>
      </c>
      <c r="Q668" s="27"/>
      <c r="R668" s="27">
        <v>-7.0</v>
      </c>
      <c r="S668" s="27"/>
      <c r="T668" s="27">
        <v>-9.0</v>
      </c>
      <c r="U668" s="27"/>
      <c r="V668" s="27"/>
      <c r="W668" s="27"/>
      <c r="X668" s="27"/>
      <c r="Y668" s="27"/>
      <c r="Z668" s="27"/>
      <c r="AA668" s="27"/>
      <c r="AB668" s="27"/>
      <c r="AC668" s="27"/>
      <c r="AD668" s="27"/>
      <c r="AE668" s="27"/>
      <c r="AF668" s="27"/>
      <c r="AG668" s="27"/>
      <c r="AH668" s="27">
        <v>68.0</v>
      </c>
      <c r="AI668" s="27">
        <v>23.0</v>
      </c>
      <c r="AJ668" s="27">
        <v>2.0</v>
      </c>
      <c r="AK668" s="27" t="b">
        <v>0</v>
      </c>
      <c r="AL668" s="27">
        <v>100.0</v>
      </c>
      <c r="AM668" s="27" t="s">
        <v>188</v>
      </c>
      <c r="AN668" s="27" t="s">
        <v>404</v>
      </c>
      <c r="AO668" s="27"/>
    </row>
    <row r="669">
      <c r="A669" s="200">
        <v>44831.02510368056</v>
      </c>
      <c r="B669" s="19" t="s">
        <v>116</v>
      </c>
      <c r="C669" s="21" t="s">
        <v>355</v>
      </c>
      <c r="D669" s="62">
        <v>2.0</v>
      </c>
      <c r="E669" s="27">
        <v>2.0</v>
      </c>
      <c r="F669" s="27" t="s">
        <v>1567</v>
      </c>
      <c r="G669" s="201" t="s">
        <v>57</v>
      </c>
      <c r="H669" s="27" t="s">
        <v>154</v>
      </c>
      <c r="I669" s="27"/>
      <c r="J669" s="33">
        <v>17.5</v>
      </c>
      <c r="K669" s="33">
        <v>17.5</v>
      </c>
      <c r="L669" s="66">
        <v>51.5</v>
      </c>
      <c r="M669" s="27" t="s">
        <v>1568</v>
      </c>
      <c r="N669" s="27">
        <v>17.5</v>
      </c>
      <c r="O669" s="27"/>
      <c r="P669" s="27">
        <v>17.5</v>
      </c>
      <c r="Q669" s="27"/>
      <c r="R669" s="27">
        <v>17.5</v>
      </c>
      <c r="S669" s="27"/>
      <c r="T669" s="27">
        <v>17.5</v>
      </c>
      <c r="U669" s="27"/>
      <c r="V669" s="27">
        <v>17.5</v>
      </c>
      <c r="W669" s="27"/>
      <c r="X669" s="27">
        <v>17.5</v>
      </c>
      <c r="Y669" s="27"/>
      <c r="Z669" s="27">
        <v>17.5</v>
      </c>
      <c r="AA669" s="27"/>
      <c r="AB669" s="27">
        <v>17.5</v>
      </c>
      <c r="AC669" s="27"/>
      <c r="AD669" s="27">
        <v>17.5</v>
      </c>
      <c r="AE669" s="27"/>
      <c r="AF669" s="27">
        <v>17.5</v>
      </c>
      <c r="AG669" s="27"/>
      <c r="AH669" s="27">
        <v>126.0</v>
      </c>
      <c r="AI669" s="27">
        <v>131.0</v>
      </c>
      <c r="AJ669" s="27">
        <v>2.0</v>
      </c>
      <c r="AK669" s="27" t="b">
        <v>1</v>
      </c>
      <c r="AL669" s="27">
        <v>100.0</v>
      </c>
      <c r="AM669" s="27" t="s">
        <v>189</v>
      </c>
      <c r="AN669" s="27" t="s">
        <v>405</v>
      </c>
      <c r="AO669" s="27"/>
    </row>
    <row r="670">
      <c r="A670" s="200">
        <v>44831.02510368056</v>
      </c>
      <c r="B670" s="19" t="s">
        <v>116</v>
      </c>
      <c r="C670" s="21" t="s">
        <v>329</v>
      </c>
      <c r="D670" s="62">
        <v>1.0</v>
      </c>
      <c r="E670" s="27">
        <v>3.0</v>
      </c>
      <c r="F670" s="27" t="s">
        <v>1504</v>
      </c>
      <c r="G670" s="201" t="s">
        <v>57</v>
      </c>
      <c r="H670" s="27" t="s">
        <v>178</v>
      </c>
      <c r="I670" s="27"/>
      <c r="J670" s="33">
        <v>9.5</v>
      </c>
      <c r="K670" s="33">
        <v>9.5</v>
      </c>
      <c r="L670" s="66">
        <v>67.5</v>
      </c>
      <c r="M670" s="27" t="s">
        <v>1505</v>
      </c>
      <c r="N670" s="27">
        <v>10.0</v>
      </c>
      <c r="O670" s="27"/>
      <c r="P670" s="27">
        <v>9.5</v>
      </c>
      <c r="Q670" s="27"/>
      <c r="R670" s="27">
        <v>9.5</v>
      </c>
      <c r="S670" s="27"/>
      <c r="T670" s="27">
        <v>9.5</v>
      </c>
      <c r="U670" s="27"/>
      <c r="V670" s="27">
        <v>9.5</v>
      </c>
      <c r="W670" s="27"/>
      <c r="X670" s="27">
        <v>9.5</v>
      </c>
      <c r="Y670" s="27"/>
      <c r="Z670" s="27">
        <v>10.0</v>
      </c>
      <c r="AA670" s="27"/>
      <c r="AB670" s="27">
        <v>9.5</v>
      </c>
      <c r="AC670" s="27"/>
      <c r="AD670" s="27">
        <v>9.5</v>
      </c>
      <c r="AE670" s="27"/>
      <c r="AF670" s="27"/>
      <c r="AG670" s="27"/>
      <c r="AH670" s="27">
        <v>94.0</v>
      </c>
      <c r="AI670" s="27">
        <v>130.0</v>
      </c>
      <c r="AJ670" s="27">
        <v>2.0</v>
      </c>
      <c r="AK670" s="27" t="b">
        <v>0</v>
      </c>
      <c r="AL670" s="27">
        <v>100.0</v>
      </c>
      <c r="AM670" s="27" t="s">
        <v>190</v>
      </c>
      <c r="AN670" s="27" t="s">
        <v>405</v>
      </c>
      <c r="AO670" s="27"/>
    </row>
    <row r="671">
      <c r="A671" s="200">
        <v>44831.02510368056</v>
      </c>
      <c r="B671" s="19" t="s">
        <v>116</v>
      </c>
      <c r="C671" s="21" t="s">
        <v>348</v>
      </c>
      <c r="D671" s="62">
        <v>1.0</v>
      </c>
      <c r="E671" s="27">
        <v>3.0</v>
      </c>
      <c r="F671" s="27" t="s">
        <v>1569</v>
      </c>
      <c r="G671" s="201" t="s">
        <v>57</v>
      </c>
      <c r="H671" s="27" t="s">
        <v>148</v>
      </c>
      <c r="I671" s="27"/>
      <c r="J671" s="33">
        <v>17.0</v>
      </c>
      <c r="K671" s="33">
        <v>21.0</v>
      </c>
      <c r="L671" s="66">
        <v>56.5</v>
      </c>
      <c r="M671" s="27" t="s">
        <v>1570</v>
      </c>
      <c r="N671" s="27">
        <v>21.0</v>
      </c>
      <c r="O671" s="27"/>
      <c r="P671" s="27">
        <v>21.0</v>
      </c>
      <c r="Q671" s="27"/>
      <c r="R671" s="27">
        <v>21.0</v>
      </c>
      <c r="S671" s="27"/>
      <c r="T671" s="27">
        <v>21.0</v>
      </c>
      <c r="U671" s="27"/>
      <c r="V671" s="27">
        <v>21.0</v>
      </c>
      <c r="W671" s="27"/>
      <c r="X671" s="27">
        <v>21.0</v>
      </c>
      <c r="Y671" s="27"/>
      <c r="Z671" s="27">
        <v>21.0</v>
      </c>
      <c r="AA671" s="27"/>
      <c r="AB671" s="27">
        <v>21.0</v>
      </c>
      <c r="AC671" s="27"/>
      <c r="AD671" s="27">
        <v>21.0</v>
      </c>
      <c r="AE671" s="27"/>
      <c r="AF671" s="27">
        <v>21.0</v>
      </c>
      <c r="AG671" s="27"/>
      <c r="AH671" s="27">
        <v>55.0</v>
      </c>
      <c r="AI671" s="27">
        <v>127.0</v>
      </c>
      <c r="AJ671" s="27">
        <v>2.0</v>
      </c>
      <c r="AK671" s="27" t="b">
        <v>0</v>
      </c>
      <c r="AL671" s="27">
        <v>100.0</v>
      </c>
      <c r="AM671" s="27" t="s">
        <v>186</v>
      </c>
      <c r="AN671" s="27" t="s">
        <v>404</v>
      </c>
      <c r="AO671" s="27"/>
    </row>
    <row r="672">
      <c r="A672" s="200">
        <v>44831.02510368056</v>
      </c>
      <c r="B672" s="19" t="s">
        <v>116</v>
      </c>
      <c r="C672" s="21" t="s">
        <v>336</v>
      </c>
      <c r="D672" s="62">
        <v>0.0</v>
      </c>
      <c r="E672" s="27">
        <v>4.0</v>
      </c>
      <c r="F672" s="27" t="s">
        <v>1571</v>
      </c>
      <c r="G672" s="201" t="s">
        <v>57</v>
      </c>
      <c r="H672" s="27"/>
      <c r="I672" s="27"/>
      <c r="J672" s="33">
        <v>3.5</v>
      </c>
      <c r="K672" s="33">
        <v>4.5</v>
      </c>
      <c r="L672" s="66">
        <v>59.0</v>
      </c>
      <c r="M672" s="27" t="s">
        <v>1572</v>
      </c>
      <c r="N672" s="27">
        <v>4.5</v>
      </c>
      <c r="O672" s="27"/>
      <c r="P672" s="27">
        <v>4.5</v>
      </c>
      <c r="Q672" s="27"/>
      <c r="R672" s="27">
        <v>4.0</v>
      </c>
      <c r="S672" s="27"/>
      <c r="T672" s="27">
        <v>4.5</v>
      </c>
      <c r="U672" s="27"/>
      <c r="V672" s="27">
        <v>4.5</v>
      </c>
      <c r="W672" s="27"/>
      <c r="X672" s="27">
        <v>4.0</v>
      </c>
      <c r="Y672" s="27"/>
      <c r="Z672" s="27">
        <v>4.5</v>
      </c>
      <c r="AA672" s="27"/>
      <c r="AB672" s="27">
        <v>4.5</v>
      </c>
      <c r="AC672" s="27"/>
      <c r="AD672" s="27"/>
      <c r="AE672" s="27"/>
      <c r="AF672" s="27"/>
      <c r="AG672" s="27"/>
      <c r="AH672" s="27">
        <v>43.0</v>
      </c>
      <c r="AI672" s="27">
        <v>164.0</v>
      </c>
      <c r="AJ672" s="27">
        <v>2.0</v>
      </c>
      <c r="AK672" s="27" t="b">
        <v>0</v>
      </c>
      <c r="AL672" s="27">
        <v>100.0</v>
      </c>
      <c r="AM672" s="27" t="s">
        <v>129</v>
      </c>
      <c r="AN672" s="27" t="s">
        <v>405</v>
      </c>
      <c r="AO672" s="27"/>
    </row>
    <row r="673">
      <c r="A673" s="200">
        <v>44831.02510368056</v>
      </c>
      <c r="B673" s="19" t="s">
        <v>116</v>
      </c>
      <c r="C673" s="21" t="s">
        <v>388</v>
      </c>
      <c r="D673" s="62">
        <v>3.0</v>
      </c>
      <c r="E673" s="27">
        <v>0.0</v>
      </c>
      <c r="F673" s="27" t="s">
        <v>1521</v>
      </c>
      <c r="G673" s="201" t="s">
        <v>57</v>
      </c>
      <c r="H673" s="27" t="s">
        <v>59</v>
      </c>
      <c r="I673" s="27"/>
      <c r="J673" s="33">
        <v>10.0</v>
      </c>
      <c r="K673" s="33">
        <v>6.5</v>
      </c>
      <c r="L673" s="66">
        <v>57.0</v>
      </c>
      <c r="M673" s="27" t="s">
        <v>1522</v>
      </c>
      <c r="N673" s="27">
        <v>6.5</v>
      </c>
      <c r="O673" s="27"/>
      <c r="P673" s="27">
        <v>6.0</v>
      </c>
      <c r="Q673" s="27"/>
      <c r="R673" s="27">
        <v>6.5</v>
      </c>
      <c r="S673" s="27"/>
      <c r="T673" s="27">
        <v>6.5</v>
      </c>
      <c r="U673" s="27"/>
      <c r="V673" s="27">
        <v>6.0</v>
      </c>
      <c r="W673" s="27"/>
      <c r="X673" s="27">
        <v>6.0</v>
      </c>
      <c r="Y673" s="27"/>
      <c r="Z673" s="27">
        <v>7.0</v>
      </c>
      <c r="AA673" s="27"/>
      <c r="AB673" s="27">
        <v>6.0</v>
      </c>
      <c r="AC673" s="27"/>
      <c r="AD673" s="27">
        <v>6.5</v>
      </c>
      <c r="AE673" s="27"/>
      <c r="AF673" s="27">
        <v>6.5</v>
      </c>
      <c r="AG673" s="27"/>
      <c r="AH673" s="27">
        <v>139.0</v>
      </c>
      <c r="AI673" s="27">
        <v>42.0</v>
      </c>
      <c r="AJ673" s="27">
        <v>2.0</v>
      </c>
      <c r="AK673" s="27" t="b">
        <v>1</v>
      </c>
      <c r="AL673" s="27">
        <v>100.0</v>
      </c>
      <c r="AM673" s="27" t="s">
        <v>193</v>
      </c>
      <c r="AN673" s="27" t="s">
        <v>405</v>
      </c>
      <c r="AO673" s="27"/>
    </row>
    <row r="674">
      <c r="A674" s="200">
        <v>44831.02510368056</v>
      </c>
      <c r="B674" s="19" t="s">
        <v>116</v>
      </c>
      <c r="C674" s="21" t="s">
        <v>313</v>
      </c>
      <c r="D674" s="62">
        <v>4.0</v>
      </c>
      <c r="E674" s="27">
        <v>0.0</v>
      </c>
      <c r="F674" s="27" t="s">
        <v>1555</v>
      </c>
      <c r="G674" s="201" t="s">
        <v>57</v>
      </c>
      <c r="H674" s="27" t="s">
        <v>144</v>
      </c>
      <c r="I674" s="27"/>
      <c r="J674" s="33">
        <v>-44.0</v>
      </c>
      <c r="K674" s="33">
        <v>-44.5</v>
      </c>
      <c r="L674" s="66">
        <v>61.5</v>
      </c>
      <c r="M674" s="27" t="s">
        <v>1139</v>
      </c>
      <c r="N674" s="27">
        <v>-45.5</v>
      </c>
      <c r="O674" s="27"/>
      <c r="P674" s="27">
        <v>-45.0</v>
      </c>
      <c r="Q674" s="27"/>
      <c r="R674" s="27">
        <v>-45.0</v>
      </c>
      <c r="S674" s="27"/>
      <c r="T674" s="27">
        <v>-44.5</v>
      </c>
      <c r="U674" s="27"/>
      <c r="V674" s="27">
        <v>-45.0</v>
      </c>
      <c r="W674" s="27"/>
      <c r="X674" s="27">
        <v>-45.0</v>
      </c>
      <c r="Y674" s="27"/>
      <c r="Z674" s="27">
        <v>-45.0</v>
      </c>
      <c r="AA674" s="27"/>
      <c r="AB674" s="27">
        <v>-44.5</v>
      </c>
      <c r="AC674" s="27"/>
      <c r="AD674" s="27">
        <v>-44.5</v>
      </c>
      <c r="AE674" s="27"/>
      <c r="AF674" s="27"/>
      <c r="AG674" s="27"/>
      <c r="AH674" s="27">
        <v>169.0</v>
      </c>
      <c r="AI674" s="27">
        <v>32.0</v>
      </c>
      <c r="AJ674" s="27">
        <v>2.0</v>
      </c>
      <c r="AK674" s="27" t="b">
        <v>1</v>
      </c>
      <c r="AL674" s="27">
        <v>100.0</v>
      </c>
      <c r="AM674" s="27" t="s">
        <v>192</v>
      </c>
      <c r="AN674" s="27" t="s">
        <v>404</v>
      </c>
      <c r="AO674" s="27"/>
    </row>
    <row r="675">
      <c r="A675" s="200">
        <v>44831.02510368056</v>
      </c>
      <c r="B675" s="19" t="s">
        <v>116</v>
      </c>
      <c r="C675" s="21" t="s">
        <v>347</v>
      </c>
      <c r="D675" s="62">
        <v>1.0</v>
      </c>
      <c r="E675" s="27">
        <v>2.0</v>
      </c>
      <c r="F675" s="27" t="s">
        <v>1561</v>
      </c>
      <c r="G675" s="201" t="s">
        <v>183</v>
      </c>
      <c r="H675" s="27" t="s">
        <v>144</v>
      </c>
      <c r="I675" s="27"/>
      <c r="J675" s="33">
        <v>18.5</v>
      </c>
      <c r="K675" s="33">
        <v>16.5</v>
      </c>
      <c r="L675" s="66">
        <v>48.0</v>
      </c>
      <c r="M675" s="27" t="s">
        <v>1562</v>
      </c>
      <c r="N675" s="27">
        <v>16.5</v>
      </c>
      <c r="O675" s="27"/>
      <c r="P675" s="27">
        <v>16.5</v>
      </c>
      <c r="Q675" s="27"/>
      <c r="R675" s="27">
        <v>16.5</v>
      </c>
      <c r="S675" s="27"/>
      <c r="T675" s="27">
        <v>15.5</v>
      </c>
      <c r="U675" s="27"/>
      <c r="V675" s="27">
        <v>16.5</v>
      </c>
      <c r="W675" s="27"/>
      <c r="X675" s="27">
        <v>16.5</v>
      </c>
      <c r="Y675" s="27"/>
      <c r="Z675" s="27">
        <v>16.5</v>
      </c>
      <c r="AA675" s="27"/>
      <c r="AB675" s="27">
        <v>16.5</v>
      </c>
      <c r="AC675" s="27"/>
      <c r="AD675" s="27">
        <v>15.5</v>
      </c>
      <c r="AE675" s="27"/>
      <c r="AF675" s="27">
        <v>15.5</v>
      </c>
      <c r="AG675" s="27"/>
      <c r="AH675" s="27">
        <v>43.0</v>
      </c>
      <c r="AI675" s="27">
        <v>71.0</v>
      </c>
      <c r="AJ675" s="27">
        <v>2.0</v>
      </c>
      <c r="AK675" s="27" t="b">
        <v>1</v>
      </c>
      <c r="AL675" s="27">
        <v>100.0</v>
      </c>
      <c r="AM675" s="27" t="s">
        <v>389</v>
      </c>
      <c r="AN675" s="27" t="s">
        <v>405</v>
      </c>
      <c r="AO675" s="27"/>
    </row>
    <row r="676">
      <c r="A676" s="200">
        <v>44831.02510368056</v>
      </c>
      <c r="B676" s="19"/>
      <c r="C676" s="21"/>
      <c r="D676" s="62"/>
      <c r="E676" s="27"/>
      <c r="F676" s="27"/>
      <c r="G676" s="201"/>
      <c r="H676" s="27"/>
      <c r="I676" s="27"/>
      <c r="J676" s="33"/>
      <c r="K676" s="33"/>
      <c r="L676" s="66"/>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t="e">
        <v>#N/A</v>
      </c>
      <c r="AN676" s="27" t="e">
        <v>#N/A</v>
      </c>
      <c r="AO676" s="27"/>
    </row>
    <row r="677">
      <c r="A677" s="200">
        <v>44831.02510368056</v>
      </c>
      <c r="B677" s="19" t="s">
        <v>148</v>
      </c>
      <c r="C677" s="21" t="s">
        <v>377</v>
      </c>
      <c r="D677" s="62">
        <v>4.0</v>
      </c>
      <c r="E677" s="27">
        <v>0.0</v>
      </c>
      <c r="F677" s="27" t="s">
        <v>1525</v>
      </c>
      <c r="G677" s="201" t="s">
        <v>57</v>
      </c>
      <c r="H677" s="27" t="s">
        <v>138</v>
      </c>
      <c r="I677" s="27"/>
      <c r="J677" s="33">
        <v>-9.5</v>
      </c>
      <c r="K677" s="33">
        <v>-14.0</v>
      </c>
      <c r="L677" s="66">
        <v>53.5</v>
      </c>
      <c r="M677" s="27" t="s">
        <v>1526</v>
      </c>
      <c r="N677" s="27">
        <v>-14.0</v>
      </c>
      <c r="O677" s="27"/>
      <c r="P677" s="27">
        <v>-14.0</v>
      </c>
      <c r="Q677" s="27"/>
      <c r="R677" s="27">
        <v>-14.0</v>
      </c>
      <c r="S677" s="27"/>
      <c r="T677" s="27">
        <v>-14.0</v>
      </c>
      <c r="U677" s="27"/>
      <c r="V677" s="27">
        <v>-14.0</v>
      </c>
      <c r="W677" s="27"/>
      <c r="X677" s="27">
        <v>-14.0</v>
      </c>
      <c r="Y677" s="27"/>
      <c r="Z677" s="27">
        <v>-14.0</v>
      </c>
      <c r="AA677" s="27"/>
      <c r="AB677" s="27">
        <v>-14.0</v>
      </c>
      <c r="AC677" s="27"/>
      <c r="AD677" s="27">
        <v>-14.0</v>
      </c>
      <c r="AE677" s="27"/>
      <c r="AF677" s="27">
        <v>-14.0</v>
      </c>
      <c r="AG677" s="27"/>
      <c r="AH677" s="27">
        <v>176.0</v>
      </c>
      <c r="AI677" s="27">
        <v>76.0</v>
      </c>
      <c r="AJ677" s="27">
        <v>2.0</v>
      </c>
      <c r="AK677" s="27" t="b">
        <v>0</v>
      </c>
      <c r="AL677" s="27">
        <v>100.0</v>
      </c>
      <c r="AM677" s="27" t="s">
        <v>191</v>
      </c>
      <c r="AN677" s="27" t="s">
        <v>404</v>
      </c>
      <c r="AO677" s="27"/>
    </row>
    <row r="678">
      <c r="A678" s="200">
        <v>44831.02510368056</v>
      </c>
      <c r="B678" s="19" t="s">
        <v>148</v>
      </c>
      <c r="C678" s="21" t="s">
        <v>381</v>
      </c>
      <c r="D678" s="62">
        <v>2.0</v>
      </c>
      <c r="E678" s="27">
        <v>2.0</v>
      </c>
      <c r="F678" s="27" t="s">
        <v>1469</v>
      </c>
      <c r="G678" s="201" t="s">
        <v>57</v>
      </c>
      <c r="H678" s="27" t="s">
        <v>53</v>
      </c>
      <c r="I678" s="27"/>
      <c r="J678" s="33">
        <v>-18.0</v>
      </c>
      <c r="K678" s="33">
        <v>-16.5</v>
      </c>
      <c r="L678" s="66">
        <v>44.0</v>
      </c>
      <c r="M678" s="27" t="s">
        <v>1470</v>
      </c>
      <c r="N678" s="27">
        <v>-16.5</v>
      </c>
      <c r="O678" s="27"/>
      <c r="P678" s="27">
        <v>-16.0</v>
      </c>
      <c r="Q678" s="27"/>
      <c r="R678" s="27">
        <v>-16.0</v>
      </c>
      <c r="S678" s="27"/>
      <c r="T678" s="27">
        <v>-16.5</v>
      </c>
      <c r="U678" s="27"/>
      <c r="V678" s="27">
        <v>-16.0</v>
      </c>
      <c r="W678" s="27"/>
      <c r="X678" s="27">
        <v>-16.0</v>
      </c>
      <c r="Y678" s="27"/>
      <c r="Z678" s="27">
        <v>-16.0</v>
      </c>
      <c r="AA678" s="27"/>
      <c r="AB678" s="27">
        <v>-16.0</v>
      </c>
      <c r="AC678" s="27"/>
      <c r="AD678" s="27">
        <v>-16.5</v>
      </c>
      <c r="AE678" s="27"/>
      <c r="AF678" s="27">
        <v>-16.5</v>
      </c>
      <c r="AG678" s="27"/>
      <c r="AH678" s="27">
        <v>144.0</v>
      </c>
      <c r="AI678" s="27">
        <v>93.0</v>
      </c>
      <c r="AJ678" s="27">
        <v>2.0</v>
      </c>
      <c r="AK678" s="27" t="b">
        <v>1</v>
      </c>
      <c r="AL678" s="27">
        <v>100.0</v>
      </c>
      <c r="AM678" s="27" t="s">
        <v>188</v>
      </c>
      <c r="AN678" s="27" t="s">
        <v>404</v>
      </c>
      <c r="AO678" s="27"/>
    </row>
    <row r="679">
      <c r="A679" s="200">
        <v>44831.02510368056</v>
      </c>
      <c r="B679" s="19" t="s">
        <v>148</v>
      </c>
      <c r="C679" s="21" t="s">
        <v>387</v>
      </c>
      <c r="D679" s="62">
        <v>3.0</v>
      </c>
      <c r="E679" s="27">
        <v>1.0</v>
      </c>
      <c r="F679" s="27" t="s">
        <v>1528</v>
      </c>
      <c r="G679" s="201" t="s">
        <v>57</v>
      </c>
      <c r="H679" s="27" t="s">
        <v>138</v>
      </c>
      <c r="I679" s="27"/>
      <c r="J679" s="33">
        <v>-9.0</v>
      </c>
      <c r="K679" s="33">
        <v>-1.5</v>
      </c>
      <c r="L679" s="66">
        <v>51.0</v>
      </c>
      <c r="M679" s="27" t="s">
        <v>1417</v>
      </c>
      <c r="N679" s="27">
        <v>-1.5</v>
      </c>
      <c r="O679" s="27"/>
      <c r="P679" s="27">
        <v>-1.5</v>
      </c>
      <c r="Q679" s="27"/>
      <c r="R679" s="27">
        <v>-1.0</v>
      </c>
      <c r="S679" s="27"/>
      <c r="T679" s="27">
        <v>-1.5</v>
      </c>
      <c r="U679" s="27"/>
      <c r="V679" s="27">
        <v>-1.5</v>
      </c>
      <c r="W679" s="27"/>
      <c r="X679" s="27">
        <v>-1.5</v>
      </c>
      <c r="Y679" s="27"/>
      <c r="Z679" s="27">
        <v>-1.5</v>
      </c>
      <c r="AA679" s="27"/>
      <c r="AB679" s="27">
        <v>-2.0</v>
      </c>
      <c r="AC679" s="27"/>
      <c r="AD679" s="27">
        <v>-1.5</v>
      </c>
      <c r="AE679" s="27"/>
      <c r="AF679" s="27">
        <v>-1.5</v>
      </c>
      <c r="AG679" s="27"/>
      <c r="AH679" s="27">
        <v>85.0</v>
      </c>
      <c r="AI679" s="27">
        <v>47.0</v>
      </c>
      <c r="AJ679" s="27">
        <v>2.0</v>
      </c>
      <c r="AK679" s="27" t="b">
        <v>1</v>
      </c>
      <c r="AL679" s="27">
        <v>100.0</v>
      </c>
      <c r="AM679" s="27" t="s">
        <v>192</v>
      </c>
      <c r="AN679" s="27" t="s">
        <v>404</v>
      </c>
      <c r="AO679" s="27"/>
    </row>
    <row r="680">
      <c r="A680" s="200">
        <v>44831.02510368056</v>
      </c>
      <c r="B680" s="19" t="s">
        <v>148</v>
      </c>
      <c r="C680" s="21" t="s">
        <v>380</v>
      </c>
      <c r="D680" s="62">
        <v>2.0</v>
      </c>
      <c r="E680" s="27">
        <v>2.0</v>
      </c>
      <c r="F680" s="27" t="s">
        <v>1573</v>
      </c>
      <c r="G680" s="201" t="s">
        <v>57</v>
      </c>
      <c r="H680" s="27"/>
      <c r="I680" s="27"/>
      <c r="J680" s="33">
        <v>-22.5</v>
      </c>
      <c r="K680" s="33">
        <v>-25.5</v>
      </c>
      <c r="L680" s="66">
        <v>63.0</v>
      </c>
      <c r="M680" s="27" t="s">
        <v>1574</v>
      </c>
      <c r="N680" s="27">
        <v>-26.5</v>
      </c>
      <c r="O680" s="27"/>
      <c r="P680" s="27">
        <v>-27.0</v>
      </c>
      <c r="Q680" s="27"/>
      <c r="R680" s="27">
        <v>-28.0</v>
      </c>
      <c r="S680" s="27"/>
      <c r="T680" s="27">
        <v>-25.5</v>
      </c>
      <c r="U680" s="27"/>
      <c r="V680" s="27">
        <v>-27.0</v>
      </c>
      <c r="W680" s="27"/>
      <c r="X680" s="27">
        <v>-25.5</v>
      </c>
      <c r="Y680" s="27"/>
      <c r="Z680" s="27">
        <v>-25.5</v>
      </c>
      <c r="AA680" s="27"/>
      <c r="AB680" s="27"/>
      <c r="AC680" s="27"/>
      <c r="AD680" s="27"/>
      <c r="AE680" s="27"/>
      <c r="AF680" s="27"/>
      <c r="AG680" s="27"/>
      <c r="AH680" s="27">
        <v>96.0</v>
      </c>
      <c r="AI680" s="27">
        <v>92.0</v>
      </c>
      <c r="AJ680" s="27">
        <v>2.0</v>
      </c>
      <c r="AK680" s="27" t="b">
        <v>0</v>
      </c>
      <c r="AL680" s="27">
        <v>100.0</v>
      </c>
      <c r="AM680" s="27" t="s">
        <v>193</v>
      </c>
      <c r="AN680" s="27" t="s">
        <v>405</v>
      </c>
      <c r="AO680" s="27"/>
    </row>
    <row r="681">
      <c r="A681" s="200">
        <v>44831.02510368056</v>
      </c>
      <c r="B681" s="19" t="s">
        <v>148</v>
      </c>
      <c r="C681" s="21" t="s">
        <v>374</v>
      </c>
      <c r="D681" s="62">
        <v>3.0</v>
      </c>
      <c r="E681" s="27">
        <v>1.0</v>
      </c>
      <c r="F681" s="27" t="s">
        <v>1569</v>
      </c>
      <c r="G681" s="201" t="s">
        <v>57</v>
      </c>
      <c r="H681" s="27" t="s">
        <v>116</v>
      </c>
      <c r="I681" s="27"/>
      <c r="J681" s="33">
        <v>-17.0</v>
      </c>
      <c r="K681" s="33">
        <v>-21.0</v>
      </c>
      <c r="L681" s="66">
        <v>56.5</v>
      </c>
      <c r="M681" s="27" t="s">
        <v>1570</v>
      </c>
      <c r="N681" s="27">
        <v>-21.0</v>
      </c>
      <c r="O681" s="27"/>
      <c r="P681" s="27">
        <v>-21.0</v>
      </c>
      <c r="Q681" s="27"/>
      <c r="R681" s="27">
        <v>-21.0</v>
      </c>
      <c r="S681" s="27"/>
      <c r="T681" s="27">
        <v>-21.0</v>
      </c>
      <c r="U681" s="27"/>
      <c r="V681" s="27">
        <v>-21.0</v>
      </c>
      <c r="W681" s="27"/>
      <c r="X681" s="27">
        <v>-21.0</v>
      </c>
      <c r="Y681" s="27"/>
      <c r="Z681" s="27">
        <v>-21.0</v>
      </c>
      <c r="AA681" s="27"/>
      <c r="AB681" s="27">
        <v>-21.0</v>
      </c>
      <c r="AC681" s="27"/>
      <c r="AD681" s="27">
        <v>-21.0</v>
      </c>
      <c r="AE681" s="27"/>
      <c r="AF681" s="27">
        <v>-21.0</v>
      </c>
      <c r="AG681" s="27"/>
      <c r="AH681" s="27">
        <v>137.0</v>
      </c>
      <c r="AI681" s="27">
        <v>54.0</v>
      </c>
      <c r="AJ681" s="27">
        <v>2.0</v>
      </c>
      <c r="AK681" s="27" t="b">
        <v>1</v>
      </c>
      <c r="AL681" s="27">
        <v>100.0</v>
      </c>
      <c r="AM681" s="27" t="s">
        <v>389</v>
      </c>
      <c r="AN681" s="27" t="s">
        <v>405</v>
      </c>
      <c r="AO681" s="27"/>
    </row>
    <row r="682">
      <c r="A682" s="200">
        <v>44831.02510368056</v>
      </c>
      <c r="B682" s="19" t="s">
        <v>148</v>
      </c>
      <c r="C682" s="21" t="s">
        <v>401</v>
      </c>
      <c r="D682" s="62">
        <v>1.0</v>
      </c>
      <c r="E682" s="27">
        <v>3.0</v>
      </c>
      <c r="F682" s="27" t="s">
        <v>1575</v>
      </c>
      <c r="G682" s="201" t="s">
        <v>57</v>
      </c>
      <c r="H682" s="27" t="s">
        <v>103</v>
      </c>
      <c r="I682" s="27"/>
      <c r="J682" s="33">
        <v>9.5</v>
      </c>
      <c r="K682" s="33">
        <v>10.0</v>
      </c>
      <c r="L682" s="66">
        <v>43.5</v>
      </c>
      <c r="M682" s="27" t="s">
        <v>1576</v>
      </c>
      <c r="N682" s="27">
        <v>10.5</v>
      </c>
      <c r="O682" s="27"/>
      <c r="P682" s="27">
        <v>10.0</v>
      </c>
      <c r="Q682" s="27"/>
      <c r="R682" s="27">
        <v>10.5</v>
      </c>
      <c r="S682" s="27"/>
      <c r="T682" s="27">
        <v>10.0</v>
      </c>
      <c r="U682" s="27"/>
      <c r="V682" s="27">
        <v>10.0</v>
      </c>
      <c r="W682" s="27"/>
      <c r="X682" s="27">
        <v>10.0</v>
      </c>
      <c r="Y682" s="27"/>
      <c r="Z682" s="27">
        <v>10.0</v>
      </c>
      <c r="AA682" s="27"/>
      <c r="AB682" s="27">
        <v>10.0</v>
      </c>
      <c r="AC682" s="27"/>
      <c r="AD682" s="27">
        <v>10.0</v>
      </c>
      <c r="AE682" s="27"/>
      <c r="AF682" s="27">
        <v>10.0</v>
      </c>
      <c r="AG682" s="27"/>
      <c r="AH682" s="27">
        <v>40.0</v>
      </c>
      <c r="AI682" s="27">
        <v>128.0</v>
      </c>
      <c r="AJ682" s="27">
        <v>2.0</v>
      </c>
      <c r="AK682" s="27" t="b">
        <v>1</v>
      </c>
      <c r="AL682" s="27">
        <v>100.0</v>
      </c>
      <c r="AM682" s="27" t="s">
        <v>189</v>
      </c>
      <c r="AN682" s="27" t="s">
        <v>405</v>
      </c>
      <c r="AO682" s="27"/>
    </row>
    <row r="683">
      <c r="A683" s="200">
        <v>44831.02510368056</v>
      </c>
      <c r="B683" s="19" t="s">
        <v>148</v>
      </c>
      <c r="C683" s="21" t="s">
        <v>326</v>
      </c>
      <c r="D683" s="62">
        <v>3.0</v>
      </c>
      <c r="E683" s="27">
        <v>1.0</v>
      </c>
      <c r="F683" s="27" t="s">
        <v>1577</v>
      </c>
      <c r="G683" s="201" t="s">
        <v>57</v>
      </c>
      <c r="H683" s="27" t="s">
        <v>154</v>
      </c>
      <c r="I683" s="27"/>
      <c r="J683" s="33">
        <v>-2.5</v>
      </c>
      <c r="K683" s="33">
        <v>-2.5</v>
      </c>
      <c r="L683" s="66">
        <v>45.0</v>
      </c>
      <c r="M683" s="27" t="s">
        <v>1578</v>
      </c>
      <c r="N683" s="27">
        <v>-2.5</v>
      </c>
      <c r="O683" s="27"/>
      <c r="P683" s="27">
        <v>-2.5</v>
      </c>
      <c r="Q683" s="27"/>
      <c r="R683" s="27">
        <v>-2.5</v>
      </c>
      <c r="S683" s="27"/>
      <c r="T683" s="27">
        <v>-2.5</v>
      </c>
      <c r="U683" s="27"/>
      <c r="V683" s="27">
        <v>-2.5</v>
      </c>
      <c r="W683" s="27"/>
      <c r="X683" s="27">
        <v>-2.5</v>
      </c>
      <c r="Y683" s="27"/>
      <c r="Z683" s="27">
        <v>-2.5</v>
      </c>
      <c r="AA683" s="27"/>
      <c r="AB683" s="27">
        <v>-2.5</v>
      </c>
      <c r="AC683" s="27"/>
      <c r="AD683" s="27">
        <v>-2.5</v>
      </c>
      <c r="AE683" s="27"/>
      <c r="AF683" s="27">
        <v>-2.5</v>
      </c>
      <c r="AG683" s="27"/>
      <c r="AH683" s="27">
        <v>119.0</v>
      </c>
      <c r="AI683" s="27">
        <v>58.0</v>
      </c>
      <c r="AJ683" s="27">
        <v>2.0</v>
      </c>
      <c r="AK683" s="27" t="b">
        <v>1</v>
      </c>
      <c r="AL683" s="27">
        <v>100.0</v>
      </c>
      <c r="AM683" s="27" t="s">
        <v>187</v>
      </c>
      <c r="AN683" s="27" t="s">
        <v>404</v>
      </c>
      <c r="AO683" s="27"/>
    </row>
    <row r="684">
      <c r="A684" s="200">
        <v>44831.02510368056</v>
      </c>
      <c r="B684" s="19" t="s">
        <v>148</v>
      </c>
      <c r="C684" s="21" t="s">
        <v>335</v>
      </c>
      <c r="D684" s="62">
        <v>1.0</v>
      </c>
      <c r="E684" s="27">
        <v>3.0</v>
      </c>
      <c r="F684" s="27" t="s">
        <v>1512</v>
      </c>
      <c r="G684" s="201" t="s">
        <v>57</v>
      </c>
      <c r="H684" s="27" t="s">
        <v>178</v>
      </c>
      <c r="I684" s="27"/>
      <c r="J684" s="33">
        <v>29.0</v>
      </c>
      <c r="K684" s="33">
        <v>31.0</v>
      </c>
      <c r="L684" s="66">
        <v>52.5</v>
      </c>
      <c r="M684" s="27" t="s">
        <v>1286</v>
      </c>
      <c r="N684" s="27">
        <v>31.5</v>
      </c>
      <c r="O684" s="27"/>
      <c r="P684" s="27">
        <v>31.0</v>
      </c>
      <c r="Q684" s="27"/>
      <c r="R684" s="27">
        <v>31.0</v>
      </c>
      <c r="S684" s="27"/>
      <c r="T684" s="27">
        <v>31.0</v>
      </c>
      <c r="U684" s="27"/>
      <c r="V684" s="27">
        <v>31.0</v>
      </c>
      <c r="W684" s="27"/>
      <c r="X684" s="27">
        <v>31.0</v>
      </c>
      <c r="Y684" s="27"/>
      <c r="Z684" s="27">
        <v>30.5</v>
      </c>
      <c r="AA684" s="27"/>
      <c r="AB684" s="27">
        <v>31.0</v>
      </c>
      <c r="AC684" s="27"/>
      <c r="AD684" s="27">
        <v>31.0</v>
      </c>
      <c r="AE684" s="27"/>
      <c r="AF684" s="27"/>
      <c r="AG684" s="27"/>
      <c r="AH684" s="27">
        <v>122.0</v>
      </c>
      <c r="AI684" s="27">
        <v>180.0</v>
      </c>
      <c r="AJ684" s="27">
        <v>2.0</v>
      </c>
      <c r="AK684" s="27" t="b">
        <v>1</v>
      </c>
      <c r="AL684" s="27">
        <v>100.0</v>
      </c>
      <c r="AM684" s="27" t="s">
        <v>190</v>
      </c>
      <c r="AN684" s="27" t="s">
        <v>405</v>
      </c>
      <c r="AO684" s="27"/>
    </row>
    <row r="685">
      <c r="A685" s="200">
        <v>44831.02510368056</v>
      </c>
      <c r="B685" s="19" t="s">
        <v>148</v>
      </c>
      <c r="C685" s="21" t="s">
        <v>316</v>
      </c>
      <c r="D685" s="62">
        <v>2.0</v>
      </c>
      <c r="E685" s="27">
        <v>2.0</v>
      </c>
      <c r="F685" s="27" t="s">
        <v>1579</v>
      </c>
      <c r="G685" s="201" t="s">
        <v>57</v>
      </c>
      <c r="H685" s="27" t="s">
        <v>154</v>
      </c>
      <c r="I685" s="27"/>
      <c r="J685" s="33">
        <v>-16.0</v>
      </c>
      <c r="K685" s="33">
        <v>-16.5</v>
      </c>
      <c r="L685" s="66">
        <v>44.5</v>
      </c>
      <c r="M685" s="27" t="s">
        <v>1546</v>
      </c>
      <c r="N685" s="27">
        <v>-16.5</v>
      </c>
      <c r="O685" s="27"/>
      <c r="P685" s="27">
        <v>-16.5</v>
      </c>
      <c r="Q685" s="27"/>
      <c r="R685" s="27">
        <v>-16.0</v>
      </c>
      <c r="S685" s="27"/>
      <c r="T685" s="27">
        <v>-16.5</v>
      </c>
      <c r="U685" s="27"/>
      <c r="V685" s="27">
        <v>-16.0</v>
      </c>
      <c r="W685" s="27"/>
      <c r="X685" s="27">
        <v>-16.0</v>
      </c>
      <c r="Y685" s="27"/>
      <c r="Z685" s="27">
        <v>-16.0</v>
      </c>
      <c r="AA685" s="27"/>
      <c r="AB685" s="27">
        <v>-15.5</v>
      </c>
      <c r="AC685" s="27"/>
      <c r="AD685" s="27">
        <v>-16.5</v>
      </c>
      <c r="AE685" s="27"/>
      <c r="AF685" s="27">
        <v>-16.5</v>
      </c>
      <c r="AG685" s="27"/>
      <c r="AH685" s="27">
        <v>88.0</v>
      </c>
      <c r="AI685" s="27">
        <v>82.0</v>
      </c>
      <c r="AJ685" s="27">
        <v>2.0</v>
      </c>
      <c r="AK685" s="27" t="b">
        <v>0</v>
      </c>
      <c r="AL685" s="27">
        <v>100.0</v>
      </c>
      <c r="AM685" s="27" t="s">
        <v>129</v>
      </c>
      <c r="AN685" s="27" t="s">
        <v>405</v>
      </c>
      <c r="AO685" s="27"/>
    </row>
    <row r="686">
      <c r="A686" s="200">
        <v>44831.02510368056</v>
      </c>
      <c r="B686" s="19" t="s">
        <v>148</v>
      </c>
      <c r="C686" s="21" t="s">
        <v>384</v>
      </c>
      <c r="D686" s="62">
        <v>2.0</v>
      </c>
      <c r="E686" s="27">
        <v>2.0</v>
      </c>
      <c r="F686" s="27" t="s">
        <v>1558</v>
      </c>
      <c r="G686" s="201" t="s">
        <v>57</v>
      </c>
      <c r="H686" s="27" t="s">
        <v>144</v>
      </c>
      <c r="I686" s="27"/>
      <c r="J686" s="33">
        <v>2.5</v>
      </c>
      <c r="K686" s="33">
        <v>2.5</v>
      </c>
      <c r="L686" s="66">
        <v>49.5</v>
      </c>
      <c r="M686" s="27" t="s">
        <v>1544</v>
      </c>
      <c r="N686" s="27">
        <v>2.5</v>
      </c>
      <c r="O686" s="27"/>
      <c r="P686" s="27">
        <v>2.0</v>
      </c>
      <c r="Q686" s="27"/>
      <c r="R686" s="27">
        <v>2.5</v>
      </c>
      <c r="S686" s="27"/>
      <c r="T686" s="27">
        <v>2.5</v>
      </c>
      <c r="U686" s="27"/>
      <c r="V686" s="27">
        <v>2.0</v>
      </c>
      <c r="W686" s="27"/>
      <c r="X686" s="27">
        <v>2.0</v>
      </c>
      <c r="Y686" s="27"/>
      <c r="Z686" s="27">
        <v>2.0</v>
      </c>
      <c r="AA686" s="27"/>
      <c r="AB686" s="27">
        <v>2.5</v>
      </c>
      <c r="AC686" s="27"/>
      <c r="AD686" s="27">
        <v>2.5</v>
      </c>
      <c r="AE686" s="27"/>
      <c r="AF686" s="27">
        <v>2.5</v>
      </c>
      <c r="AG686" s="27"/>
      <c r="AH686" s="27">
        <v>81.0</v>
      </c>
      <c r="AI686" s="27">
        <v>70.0</v>
      </c>
      <c r="AJ686" s="27">
        <v>2.0</v>
      </c>
      <c r="AK686" s="27" t="b">
        <v>0</v>
      </c>
      <c r="AL686" s="27">
        <v>100.0</v>
      </c>
      <c r="AM686" s="27" t="s">
        <v>186</v>
      </c>
      <c r="AN686" s="27" t="s">
        <v>404</v>
      </c>
      <c r="AO686" s="27"/>
    </row>
    <row r="687">
      <c r="A687" s="200">
        <v>44831.02510368056</v>
      </c>
      <c r="B687" s="19"/>
      <c r="C687" s="21"/>
      <c r="D687" s="62"/>
      <c r="E687" s="27"/>
      <c r="F687" s="27"/>
      <c r="G687" s="201"/>
      <c r="H687" s="27"/>
      <c r="I687" s="27"/>
      <c r="J687" s="33"/>
      <c r="K687" s="33"/>
      <c r="L687" s="66"/>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t="e">
        <v>#N/A</v>
      </c>
      <c r="AN687" s="27" t="e">
        <v>#N/A</v>
      </c>
      <c r="AO687" s="27"/>
    </row>
    <row r="688">
      <c r="A688" s="200">
        <v>44831.02510368056</v>
      </c>
      <c r="B688" s="19" t="s">
        <v>103</v>
      </c>
      <c r="C688" s="21" t="s">
        <v>378</v>
      </c>
      <c r="D688" s="62">
        <v>2.0</v>
      </c>
      <c r="E688" s="27">
        <v>1.0</v>
      </c>
      <c r="F688" s="27"/>
      <c r="G688" s="201"/>
      <c r="H688" s="27"/>
      <c r="I688" s="27" t="s">
        <v>133</v>
      </c>
      <c r="J688" s="33"/>
      <c r="K688" s="33"/>
      <c r="L688" s="66"/>
      <c r="M688" s="27"/>
      <c r="N688" s="27"/>
      <c r="O688" s="27"/>
      <c r="P688" s="27"/>
      <c r="Q688" s="27"/>
      <c r="R688" s="27"/>
      <c r="S688" s="27"/>
      <c r="T688" s="27"/>
      <c r="U688" s="27"/>
      <c r="V688" s="27"/>
      <c r="W688" s="27"/>
      <c r="X688" s="27"/>
      <c r="Y688" s="27"/>
      <c r="Z688" s="27"/>
      <c r="AA688" s="27"/>
      <c r="AB688" s="27"/>
      <c r="AC688" s="27"/>
      <c r="AD688" s="27"/>
      <c r="AE688" s="27"/>
      <c r="AF688" s="27"/>
      <c r="AG688" s="27"/>
      <c r="AH688" s="27">
        <v>108.0</v>
      </c>
      <c r="AI688" s="27">
        <v>42.0</v>
      </c>
      <c r="AJ688" s="27">
        <v>0.0</v>
      </c>
      <c r="AK688" s="27" t="b">
        <v>1</v>
      </c>
      <c r="AL688" s="27">
        <v>59.0</v>
      </c>
      <c r="AM688" s="27" t="s">
        <v>189</v>
      </c>
      <c r="AN688" s="27" t="s">
        <v>405</v>
      </c>
      <c r="AO688" s="27"/>
    </row>
    <row r="689">
      <c r="A689" s="200">
        <v>44831.02510368056</v>
      </c>
      <c r="B689" s="19" t="s">
        <v>103</v>
      </c>
      <c r="C689" s="21" t="s">
        <v>340</v>
      </c>
      <c r="D689" s="62">
        <v>4.0</v>
      </c>
      <c r="E689" s="27">
        <v>0.0</v>
      </c>
      <c r="F689" s="27" t="s">
        <v>1517</v>
      </c>
      <c r="G689" s="201" t="s">
        <v>57</v>
      </c>
      <c r="H689" s="27" t="s">
        <v>59</v>
      </c>
      <c r="I689" s="27"/>
      <c r="J689" s="33">
        <v>-15.5</v>
      </c>
      <c r="K689" s="33">
        <v>-18.5</v>
      </c>
      <c r="L689" s="66">
        <v>50.0</v>
      </c>
      <c r="M689" s="27" t="s">
        <v>1318</v>
      </c>
      <c r="N689" s="27">
        <v>-18.5</v>
      </c>
      <c r="O689" s="27"/>
      <c r="P689" s="27">
        <v>-18.5</v>
      </c>
      <c r="Q689" s="27"/>
      <c r="R689" s="27">
        <v>-19.0</v>
      </c>
      <c r="S689" s="27"/>
      <c r="T689" s="27">
        <v>-18.5</v>
      </c>
      <c r="U689" s="27"/>
      <c r="V689" s="27">
        <v>-18.5</v>
      </c>
      <c r="W689" s="27"/>
      <c r="X689" s="27">
        <v>-18.5</v>
      </c>
      <c r="Y689" s="27"/>
      <c r="Z689" s="27">
        <v>-18.5</v>
      </c>
      <c r="AA689" s="27"/>
      <c r="AB689" s="27">
        <v>-18.5</v>
      </c>
      <c r="AC689" s="27"/>
      <c r="AD689" s="27">
        <v>-18.5</v>
      </c>
      <c r="AE689" s="27"/>
      <c r="AF689" s="27">
        <v>-18.5</v>
      </c>
      <c r="AG689" s="27"/>
      <c r="AH689" s="27">
        <v>150.0</v>
      </c>
      <c r="AI689" s="27">
        <v>75.0</v>
      </c>
      <c r="AJ689" s="27">
        <v>2.0</v>
      </c>
      <c r="AK689" s="27" t="b">
        <v>1</v>
      </c>
      <c r="AL689" s="27">
        <v>100.0</v>
      </c>
      <c r="AM689" s="27" t="s">
        <v>186</v>
      </c>
      <c r="AN689" s="27" t="s">
        <v>404</v>
      </c>
      <c r="AO689" s="27"/>
    </row>
    <row r="690">
      <c r="A690" s="200">
        <v>44831.02510368056</v>
      </c>
      <c r="B690" s="19" t="s">
        <v>103</v>
      </c>
      <c r="C690" s="21" t="s">
        <v>322</v>
      </c>
      <c r="D690" s="62">
        <v>2.0</v>
      </c>
      <c r="E690" s="27">
        <v>2.0</v>
      </c>
      <c r="F690" s="27" t="s">
        <v>1564</v>
      </c>
      <c r="G690" s="201" t="s">
        <v>57</v>
      </c>
      <c r="H690" s="27" t="s">
        <v>166</v>
      </c>
      <c r="I690" s="27"/>
      <c r="J690" s="33">
        <v>4.5</v>
      </c>
      <c r="K690" s="33">
        <v>3.5</v>
      </c>
      <c r="L690" s="66">
        <v>50.5</v>
      </c>
      <c r="M690" s="27" t="s">
        <v>1565</v>
      </c>
      <c r="N690" s="27">
        <v>3.5</v>
      </c>
      <c r="O690" s="27"/>
      <c r="P690" s="27">
        <v>3.5</v>
      </c>
      <c r="Q690" s="27"/>
      <c r="R690" s="27">
        <v>3.5</v>
      </c>
      <c r="S690" s="27"/>
      <c r="T690" s="27">
        <v>4.0</v>
      </c>
      <c r="U690" s="27"/>
      <c r="V690" s="27">
        <v>3.5</v>
      </c>
      <c r="W690" s="27"/>
      <c r="X690" s="27">
        <v>3.5</v>
      </c>
      <c r="Y690" s="27"/>
      <c r="Z690" s="27">
        <v>3.5</v>
      </c>
      <c r="AA690" s="27"/>
      <c r="AB690" s="27">
        <v>3.5</v>
      </c>
      <c r="AC690" s="27"/>
      <c r="AD690" s="27">
        <v>4.0</v>
      </c>
      <c r="AE690" s="27"/>
      <c r="AF690" s="27">
        <v>4.0</v>
      </c>
      <c r="AG690" s="27"/>
      <c r="AH690" s="27">
        <v>117.0</v>
      </c>
      <c r="AI690" s="27">
        <v>136.0</v>
      </c>
      <c r="AJ690" s="27">
        <v>2.0</v>
      </c>
      <c r="AK690" s="27" t="b">
        <v>1</v>
      </c>
      <c r="AL690" s="27">
        <v>100.0</v>
      </c>
      <c r="AM690" s="27" t="s">
        <v>191</v>
      </c>
      <c r="AN690" s="27" t="s">
        <v>404</v>
      </c>
      <c r="AO690" s="27"/>
    </row>
    <row r="691">
      <c r="A691" s="200">
        <v>44831.02510368056</v>
      </c>
      <c r="B691" s="19" t="s">
        <v>103</v>
      </c>
      <c r="C691" s="21" t="s">
        <v>373</v>
      </c>
      <c r="D691" s="62">
        <v>4.0</v>
      </c>
      <c r="E691" s="27">
        <v>0.0</v>
      </c>
      <c r="F691" s="27" t="s">
        <v>1478</v>
      </c>
      <c r="G691" s="201" t="s">
        <v>57</v>
      </c>
      <c r="H691" s="27" t="s">
        <v>53</v>
      </c>
      <c r="I691" s="27"/>
      <c r="J691" s="33">
        <v>-19.5</v>
      </c>
      <c r="K691" s="33">
        <v>-21.0</v>
      </c>
      <c r="L691" s="66">
        <v>66.5</v>
      </c>
      <c r="M691" s="27" t="s">
        <v>1479</v>
      </c>
      <c r="N691" s="27">
        <v>-21.5</v>
      </c>
      <c r="O691" s="27"/>
      <c r="P691" s="27">
        <v>-21.0</v>
      </c>
      <c r="Q691" s="27"/>
      <c r="R691" s="27">
        <v>-21.0</v>
      </c>
      <c r="S691" s="27"/>
      <c r="T691" s="27">
        <v>-21.0</v>
      </c>
      <c r="U691" s="27"/>
      <c r="V691" s="27">
        <v>-21.0</v>
      </c>
      <c r="W691" s="27"/>
      <c r="X691" s="27">
        <v>-21.0</v>
      </c>
      <c r="Y691" s="27"/>
      <c r="Z691" s="27">
        <v>-21.5</v>
      </c>
      <c r="AA691" s="27"/>
      <c r="AB691" s="27">
        <v>-21.0</v>
      </c>
      <c r="AC691" s="27"/>
      <c r="AD691" s="27">
        <v>-21.0</v>
      </c>
      <c r="AE691" s="27"/>
      <c r="AF691" s="27">
        <v>-21.0</v>
      </c>
      <c r="AG691" s="27"/>
      <c r="AH691" s="27">
        <v>164.0</v>
      </c>
      <c r="AI691" s="27">
        <v>40.0</v>
      </c>
      <c r="AJ691" s="27">
        <v>2.0</v>
      </c>
      <c r="AK691" s="27" t="b">
        <v>0</v>
      </c>
      <c r="AL691" s="27">
        <v>100.0</v>
      </c>
      <c r="AM691" s="27" t="s">
        <v>192</v>
      </c>
      <c r="AN691" s="27" t="s">
        <v>404</v>
      </c>
      <c r="AO691" s="27"/>
    </row>
    <row r="692">
      <c r="A692" s="200">
        <v>44831.02510368056</v>
      </c>
      <c r="B692" s="19" t="s">
        <v>103</v>
      </c>
      <c r="C692" s="21" t="s">
        <v>362</v>
      </c>
      <c r="D692" s="62">
        <v>2.0</v>
      </c>
      <c r="E692" s="27">
        <v>2.0</v>
      </c>
      <c r="F692" s="27" t="s">
        <v>1575</v>
      </c>
      <c r="G692" s="201" t="s">
        <v>57</v>
      </c>
      <c r="H692" s="27" t="s">
        <v>148</v>
      </c>
      <c r="I692" s="27"/>
      <c r="J692" s="33">
        <v>-9.5</v>
      </c>
      <c r="K692" s="33">
        <v>-10.0</v>
      </c>
      <c r="L692" s="66">
        <v>43.5</v>
      </c>
      <c r="M692" s="27" t="s">
        <v>1576</v>
      </c>
      <c r="N692" s="27">
        <v>-10.5</v>
      </c>
      <c r="O692" s="27"/>
      <c r="P692" s="27">
        <v>-10.0</v>
      </c>
      <c r="Q692" s="27"/>
      <c r="R692" s="27">
        <v>-10.5</v>
      </c>
      <c r="S692" s="27"/>
      <c r="T692" s="27">
        <v>-10.0</v>
      </c>
      <c r="U692" s="27"/>
      <c r="V692" s="27">
        <v>-10.0</v>
      </c>
      <c r="W692" s="27"/>
      <c r="X692" s="27">
        <v>-10.0</v>
      </c>
      <c r="Y692" s="27"/>
      <c r="Z692" s="27">
        <v>-10.0</v>
      </c>
      <c r="AA692" s="27"/>
      <c r="AB692" s="27">
        <v>-10.0</v>
      </c>
      <c r="AC692" s="27"/>
      <c r="AD692" s="27">
        <v>-10.0</v>
      </c>
      <c r="AE692" s="27"/>
      <c r="AF692" s="27">
        <v>-10.0</v>
      </c>
      <c r="AG692" s="27"/>
      <c r="AH692" s="27">
        <v>72.0</v>
      </c>
      <c r="AI692" s="27">
        <v>60.0</v>
      </c>
      <c r="AJ692" s="27">
        <v>2.0</v>
      </c>
      <c r="AK692" s="27" t="b">
        <v>0</v>
      </c>
      <c r="AL692" s="27">
        <v>100.0</v>
      </c>
      <c r="AM692" s="27" t="s">
        <v>389</v>
      </c>
      <c r="AN692" s="27" t="s">
        <v>405</v>
      </c>
      <c r="AO692" s="27"/>
    </row>
    <row r="693">
      <c r="A693" s="200">
        <v>44831.02510368056</v>
      </c>
      <c r="B693" s="19" t="s">
        <v>103</v>
      </c>
      <c r="C693" s="21" t="s">
        <v>358</v>
      </c>
      <c r="D693" s="62">
        <v>3.0</v>
      </c>
      <c r="E693" s="27">
        <v>0.0</v>
      </c>
      <c r="F693" s="27" t="s">
        <v>1543</v>
      </c>
      <c r="G693" s="201" t="s">
        <v>57</v>
      </c>
      <c r="H693" s="27" t="s">
        <v>141</v>
      </c>
      <c r="I693" s="27"/>
      <c r="J693" s="33">
        <v>-1.0</v>
      </c>
      <c r="K693" s="33">
        <v>-2.5</v>
      </c>
      <c r="L693" s="66">
        <v>71.5</v>
      </c>
      <c r="M693" s="27" t="s">
        <v>1544</v>
      </c>
      <c r="N693" s="27">
        <v>-2.5</v>
      </c>
      <c r="O693" s="27"/>
      <c r="P693" s="27">
        <v>-2.5</v>
      </c>
      <c r="Q693" s="27"/>
      <c r="R693" s="27">
        <v>-2.5</v>
      </c>
      <c r="S693" s="27"/>
      <c r="T693" s="27">
        <v>-2.0</v>
      </c>
      <c r="U693" s="27"/>
      <c r="V693" s="27">
        <v>-2.5</v>
      </c>
      <c r="W693" s="27"/>
      <c r="X693" s="27">
        <v>-2.5</v>
      </c>
      <c r="Y693" s="27"/>
      <c r="Z693" s="27">
        <v>-2.5</v>
      </c>
      <c r="AA693" s="27"/>
      <c r="AB693" s="27">
        <v>-2.5</v>
      </c>
      <c r="AC693" s="27"/>
      <c r="AD693" s="27">
        <v>-2.0</v>
      </c>
      <c r="AE693" s="27"/>
      <c r="AF693" s="27">
        <v>-2.0</v>
      </c>
      <c r="AG693" s="27"/>
      <c r="AH693" s="27">
        <v>139.0</v>
      </c>
      <c r="AI693" s="27">
        <v>64.0</v>
      </c>
      <c r="AJ693" s="27">
        <v>2.0</v>
      </c>
      <c r="AK693" s="27" t="b">
        <v>0</v>
      </c>
      <c r="AL693" s="27">
        <v>100.0</v>
      </c>
      <c r="AM693" s="27" t="s">
        <v>187</v>
      </c>
      <c r="AN693" s="27" t="s">
        <v>404</v>
      </c>
      <c r="AO693" s="27"/>
    </row>
    <row r="694">
      <c r="A694" s="200">
        <v>44831.02510368056</v>
      </c>
      <c r="B694" s="19" t="s">
        <v>103</v>
      </c>
      <c r="C694" s="21" t="s">
        <v>356</v>
      </c>
      <c r="D694" s="62">
        <v>2.0</v>
      </c>
      <c r="E694" s="27">
        <v>2.0</v>
      </c>
      <c r="F694" s="27" t="s">
        <v>1553</v>
      </c>
      <c r="G694" s="201" t="s">
        <v>57</v>
      </c>
      <c r="H694" s="27" t="s">
        <v>109</v>
      </c>
      <c r="I694" s="27"/>
      <c r="J694" s="33">
        <v>-3.5</v>
      </c>
      <c r="K694" s="33">
        <v>-7.5</v>
      </c>
      <c r="L694" s="66">
        <v>57.5</v>
      </c>
      <c r="M694" s="27" t="s">
        <v>1554</v>
      </c>
      <c r="N694" s="27">
        <v>-7.0</v>
      </c>
      <c r="O694" s="27"/>
      <c r="P694" s="27">
        <v>-6.5</v>
      </c>
      <c r="Q694" s="27"/>
      <c r="R694" s="27">
        <v>-7.0</v>
      </c>
      <c r="S694" s="27"/>
      <c r="T694" s="27">
        <v>-7.5</v>
      </c>
      <c r="U694" s="27"/>
      <c r="V694" s="27">
        <v>-6.5</v>
      </c>
      <c r="W694" s="27"/>
      <c r="X694" s="27">
        <v>-6.5</v>
      </c>
      <c r="Y694" s="27"/>
      <c r="Z694" s="27">
        <v>-7.0</v>
      </c>
      <c r="AA694" s="27"/>
      <c r="AB694" s="27">
        <v>-7.5</v>
      </c>
      <c r="AC694" s="27"/>
      <c r="AD694" s="27">
        <v>-7.5</v>
      </c>
      <c r="AE694" s="27"/>
      <c r="AF694" s="27"/>
      <c r="AG694" s="27"/>
      <c r="AH694" s="27">
        <v>124.0</v>
      </c>
      <c r="AI694" s="27">
        <v>154.0</v>
      </c>
      <c r="AJ694" s="27">
        <v>2.0</v>
      </c>
      <c r="AK694" s="27" t="b">
        <v>0</v>
      </c>
      <c r="AL694" s="27">
        <v>100.0</v>
      </c>
      <c r="AM694" s="27" t="s">
        <v>190</v>
      </c>
      <c r="AN694" s="27" t="s">
        <v>405</v>
      </c>
      <c r="AO694" s="27"/>
    </row>
    <row r="695">
      <c r="A695" s="200">
        <v>44831.02510368056</v>
      </c>
      <c r="B695" s="19" t="s">
        <v>103</v>
      </c>
      <c r="C695" s="21" t="s">
        <v>341</v>
      </c>
      <c r="D695" s="62">
        <v>3.0</v>
      </c>
      <c r="E695" s="27">
        <v>1.0</v>
      </c>
      <c r="F695" s="27" t="s">
        <v>1523</v>
      </c>
      <c r="G695" s="201" t="s">
        <v>57</v>
      </c>
      <c r="H695" s="27" t="s">
        <v>59</v>
      </c>
      <c r="I695" s="27"/>
      <c r="J695" s="33">
        <v>15.5</v>
      </c>
      <c r="K695" s="33">
        <v>17.0</v>
      </c>
      <c r="L695" s="66">
        <v>65.5</v>
      </c>
      <c r="M695" s="27" t="s">
        <v>1377</v>
      </c>
      <c r="N695" s="27">
        <v>17.0</v>
      </c>
      <c r="O695" s="27"/>
      <c r="P695" s="27">
        <v>17.0</v>
      </c>
      <c r="Q695" s="27"/>
      <c r="R695" s="27">
        <v>17.0</v>
      </c>
      <c r="S695" s="27"/>
      <c r="T695" s="27">
        <v>17.0</v>
      </c>
      <c r="U695" s="27"/>
      <c r="V695" s="27">
        <v>17.0</v>
      </c>
      <c r="W695" s="27"/>
      <c r="X695" s="27">
        <v>17.5</v>
      </c>
      <c r="Y695" s="27"/>
      <c r="Z695" s="27">
        <v>17.0</v>
      </c>
      <c r="AA695" s="27"/>
      <c r="AB695" s="27">
        <v>17.0</v>
      </c>
      <c r="AC695" s="27"/>
      <c r="AD695" s="27">
        <v>17.0</v>
      </c>
      <c r="AE695" s="27"/>
      <c r="AF695" s="27">
        <v>17.0</v>
      </c>
      <c r="AG695" s="27"/>
      <c r="AH695" s="27">
        <v>148.0</v>
      </c>
      <c r="AI695" s="27">
        <v>92.0</v>
      </c>
      <c r="AJ695" s="27">
        <v>2.0</v>
      </c>
      <c r="AK695" s="27" t="b">
        <v>0</v>
      </c>
      <c r="AL695" s="27">
        <v>100.0</v>
      </c>
      <c r="AM695" s="27" t="s">
        <v>188</v>
      </c>
      <c r="AN695" s="27" t="s">
        <v>404</v>
      </c>
      <c r="AO695" s="27"/>
    </row>
    <row r="696">
      <c r="A696" s="200">
        <v>44831.02510368056</v>
      </c>
      <c r="B696" s="19" t="s">
        <v>103</v>
      </c>
      <c r="C696" s="21" t="s">
        <v>324</v>
      </c>
      <c r="D696" s="62">
        <v>3.0</v>
      </c>
      <c r="E696" s="27">
        <v>1.0</v>
      </c>
      <c r="F696" s="27" t="s">
        <v>1482</v>
      </c>
      <c r="G696" s="201" t="s">
        <v>57</v>
      </c>
      <c r="H696" s="27" t="s">
        <v>53</v>
      </c>
      <c r="I696" s="27"/>
      <c r="J696" s="33">
        <v>-17.5</v>
      </c>
      <c r="K696" s="33">
        <v>-24.0</v>
      </c>
      <c r="L696" s="66">
        <v>46.5</v>
      </c>
      <c r="M696" s="27" t="s">
        <v>1483</v>
      </c>
      <c r="N696" s="27">
        <v>-24.0</v>
      </c>
      <c r="O696" s="27"/>
      <c r="P696" s="27">
        <v>-24.0</v>
      </c>
      <c r="Q696" s="27"/>
      <c r="R696" s="27">
        <v>-24.0</v>
      </c>
      <c r="S696" s="27"/>
      <c r="T696" s="27">
        <v>-24.0</v>
      </c>
      <c r="U696" s="27"/>
      <c r="V696" s="27">
        <v>-24.0</v>
      </c>
      <c r="W696" s="27"/>
      <c r="X696" s="27">
        <v>-24.5</v>
      </c>
      <c r="Y696" s="27"/>
      <c r="Z696" s="27">
        <v>-24.0</v>
      </c>
      <c r="AA696" s="27"/>
      <c r="AB696" s="27">
        <v>-24.0</v>
      </c>
      <c r="AC696" s="27"/>
      <c r="AD696" s="27">
        <v>-24.0</v>
      </c>
      <c r="AE696" s="27"/>
      <c r="AF696" s="27">
        <v>-24.0</v>
      </c>
      <c r="AG696" s="27"/>
      <c r="AH696" s="27">
        <v>151.0</v>
      </c>
      <c r="AI696" s="27">
        <v>64.0</v>
      </c>
      <c r="AJ696" s="27">
        <v>2.0</v>
      </c>
      <c r="AK696" s="27" t="b">
        <v>1</v>
      </c>
      <c r="AL696" s="27">
        <v>100.0</v>
      </c>
      <c r="AM696" s="27" t="s">
        <v>129</v>
      </c>
      <c r="AN696" s="27" t="s">
        <v>405</v>
      </c>
      <c r="AO696" s="27"/>
    </row>
    <row r="697">
      <c r="A697" s="200">
        <v>44831.02510368056</v>
      </c>
      <c r="B697" s="19" t="s">
        <v>103</v>
      </c>
      <c r="C697" s="21" t="s">
        <v>361</v>
      </c>
      <c r="D697" s="62">
        <v>0.0</v>
      </c>
      <c r="E697" s="27">
        <v>4.0</v>
      </c>
      <c r="F697" s="27" t="s">
        <v>1559</v>
      </c>
      <c r="G697" s="201" t="s">
        <v>57</v>
      </c>
      <c r="H697" s="27" t="s">
        <v>144</v>
      </c>
      <c r="I697" s="27"/>
      <c r="J697" s="33">
        <v>1.5</v>
      </c>
      <c r="K697" s="33">
        <v>2.5</v>
      </c>
      <c r="L697" s="66">
        <v>63.5</v>
      </c>
      <c r="M697" s="27" t="s">
        <v>1560</v>
      </c>
      <c r="N697" s="27">
        <v>2.5</v>
      </c>
      <c r="O697" s="27"/>
      <c r="P697" s="27">
        <v>2.5</v>
      </c>
      <c r="Q697" s="27"/>
      <c r="R697" s="27">
        <v>2.5</v>
      </c>
      <c r="S697" s="27"/>
      <c r="T697" s="27">
        <v>2.5</v>
      </c>
      <c r="U697" s="27"/>
      <c r="V697" s="27">
        <v>2.5</v>
      </c>
      <c r="W697" s="27"/>
      <c r="X697" s="27">
        <v>2.5</v>
      </c>
      <c r="Y697" s="27"/>
      <c r="Z697" s="27">
        <v>2.5</v>
      </c>
      <c r="AA697" s="27"/>
      <c r="AB697" s="27">
        <v>2.5</v>
      </c>
      <c r="AC697" s="27"/>
      <c r="AD697" s="27">
        <v>2.5</v>
      </c>
      <c r="AE697" s="27"/>
      <c r="AF697" s="27">
        <v>2.5</v>
      </c>
      <c r="AG697" s="27"/>
      <c r="AH697" s="27">
        <v>107.0</v>
      </c>
      <c r="AI697" s="27">
        <v>153.0</v>
      </c>
      <c r="AJ697" s="27">
        <v>2.0</v>
      </c>
      <c r="AK697" s="27" t="b">
        <v>0</v>
      </c>
      <c r="AL697" s="27">
        <v>100.0</v>
      </c>
      <c r="AM697" s="27" t="s">
        <v>193</v>
      </c>
      <c r="AN697" s="27" t="s">
        <v>405</v>
      </c>
      <c r="AO697" s="27"/>
    </row>
    <row r="698">
      <c r="A698" s="200">
        <v>44831.02510368056</v>
      </c>
      <c r="B698" s="19"/>
      <c r="C698" s="21"/>
      <c r="D698" s="62"/>
      <c r="E698" s="27"/>
      <c r="F698" s="27"/>
      <c r="G698" s="201"/>
      <c r="H698" s="27"/>
      <c r="I698" s="27"/>
      <c r="J698" s="33"/>
      <c r="K698" s="33"/>
      <c r="L698" s="66"/>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t="e">
        <v>#N/A</v>
      </c>
      <c r="AN698" s="27" t="e">
        <v>#N/A</v>
      </c>
      <c r="AO698" s="27"/>
    </row>
    <row r="699">
      <c r="A699" s="200">
        <v>44831.02510368056</v>
      </c>
      <c r="B699" s="19" t="s">
        <v>154</v>
      </c>
      <c r="C699" s="21" t="s">
        <v>383</v>
      </c>
      <c r="D699" s="62">
        <v>3.0</v>
      </c>
      <c r="E699" s="27">
        <v>2.0</v>
      </c>
      <c r="F699" s="27" t="s">
        <v>1533</v>
      </c>
      <c r="G699" s="201" t="s">
        <v>57</v>
      </c>
      <c r="H699" s="27" t="s">
        <v>141</v>
      </c>
      <c r="I699" s="27"/>
      <c r="J699" s="33">
        <v>23.5</v>
      </c>
      <c r="K699" s="33">
        <v>20.5</v>
      </c>
      <c r="L699" s="66">
        <v>49.5</v>
      </c>
      <c r="M699" s="27" t="s">
        <v>1130</v>
      </c>
      <c r="N699" s="27">
        <v>21.5</v>
      </c>
      <c r="O699" s="27"/>
      <c r="P699" s="27">
        <v>21.0</v>
      </c>
      <c r="Q699" s="27"/>
      <c r="R699" s="27">
        <v>21.5</v>
      </c>
      <c r="S699" s="27"/>
      <c r="T699" s="27">
        <v>20.5</v>
      </c>
      <c r="U699" s="27"/>
      <c r="V699" s="27">
        <v>21.0</v>
      </c>
      <c r="W699" s="27"/>
      <c r="X699" s="27">
        <v>20.5</v>
      </c>
      <c r="Y699" s="27"/>
      <c r="Z699" s="27">
        <v>21.0</v>
      </c>
      <c r="AA699" s="27"/>
      <c r="AB699" s="27">
        <v>21.0</v>
      </c>
      <c r="AC699" s="27"/>
      <c r="AD699" s="27">
        <v>20.5</v>
      </c>
      <c r="AE699" s="27"/>
      <c r="AF699" s="27">
        <v>20.5</v>
      </c>
      <c r="AG699" s="27"/>
      <c r="AH699" s="27">
        <v>120.0</v>
      </c>
      <c r="AI699" s="27">
        <v>137.0</v>
      </c>
      <c r="AJ699" s="27">
        <v>2.0</v>
      </c>
      <c r="AK699" s="27" t="b">
        <v>1</v>
      </c>
      <c r="AL699" s="27">
        <v>100.0</v>
      </c>
      <c r="AM699" s="27" t="s">
        <v>129</v>
      </c>
      <c r="AN699" s="27" t="s">
        <v>405</v>
      </c>
      <c r="AO699" s="27"/>
    </row>
    <row r="700">
      <c r="A700" s="200">
        <v>44831.02510368056</v>
      </c>
      <c r="B700" s="19" t="s">
        <v>154</v>
      </c>
      <c r="C700" s="21" t="s">
        <v>382</v>
      </c>
      <c r="D700" s="62">
        <v>1.0</v>
      </c>
      <c r="E700" s="27">
        <v>3.0</v>
      </c>
      <c r="F700" s="27" t="s">
        <v>1534</v>
      </c>
      <c r="G700" s="201" t="s">
        <v>57</v>
      </c>
      <c r="H700" s="27" t="s">
        <v>141</v>
      </c>
      <c r="I700" s="27"/>
      <c r="J700" s="33">
        <v>3.0</v>
      </c>
      <c r="K700" s="33">
        <v>7.0</v>
      </c>
      <c r="L700" s="66">
        <v>62.5</v>
      </c>
      <c r="M700" s="27" t="s">
        <v>1535</v>
      </c>
      <c r="N700" s="27">
        <v>7.0</v>
      </c>
      <c r="O700" s="27"/>
      <c r="P700" s="27">
        <v>6.5</v>
      </c>
      <c r="Q700" s="27"/>
      <c r="R700" s="27">
        <v>6.5</v>
      </c>
      <c r="S700" s="27"/>
      <c r="T700" s="27">
        <v>7.0</v>
      </c>
      <c r="U700" s="27"/>
      <c r="V700" s="27">
        <v>6.5</v>
      </c>
      <c r="W700" s="27"/>
      <c r="X700" s="27">
        <v>6.5</v>
      </c>
      <c r="Y700" s="27"/>
      <c r="Z700" s="27">
        <v>7.0</v>
      </c>
      <c r="AA700" s="27"/>
      <c r="AB700" s="27">
        <v>7.0</v>
      </c>
      <c r="AC700" s="27"/>
      <c r="AD700" s="27">
        <v>7.0</v>
      </c>
      <c r="AE700" s="27"/>
      <c r="AF700" s="27"/>
      <c r="AG700" s="27"/>
      <c r="AH700" s="27">
        <v>69.0</v>
      </c>
      <c r="AI700" s="27">
        <v>133.0</v>
      </c>
      <c r="AJ700" s="27">
        <v>2.0</v>
      </c>
      <c r="AK700" s="27" t="b">
        <v>0</v>
      </c>
      <c r="AL700" s="27">
        <v>100.0</v>
      </c>
      <c r="AM700" s="27" t="s">
        <v>190</v>
      </c>
      <c r="AN700" s="27" t="s">
        <v>405</v>
      </c>
      <c r="AO700" s="27"/>
    </row>
    <row r="701">
      <c r="A701" s="200">
        <v>44831.02510368056</v>
      </c>
      <c r="B701" s="19" t="s">
        <v>154</v>
      </c>
      <c r="C701" s="21" t="s">
        <v>372</v>
      </c>
      <c r="D701" s="62">
        <v>3.0</v>
      </c>
      <c r="E701" s="27">
        <v>1.0</v>
      </c>
      <c r="F701" s="27" t="s">
        <v>1545</v>
      </c>
      <c r="G701" s="201" t="s">
        <v>57</v>
      </c>
      <c r="H701" s="27" t="s">
        <v>109</v>
      </c>
      <c r="I701" s="27"/>
      <c r="J701" s="33">
        <v>-5.5</v>
      </c>
      <c r="K701" s="33">
        <v>-16.5</v>
      </c>
      <c r="L701" s="66">
        <v>38.0</v>
      </c>
      <c r="M701" s="27" t="s">
        <v>1546</v>
      </c>
      <c r="N701" s="27">
        <v>-16.5</v>
      </c>
      <c r="O701" s="27"/>
      <c r="P701" s="27">
        <v>-16.5</v>
      </c>
      <c r="Q701" s="27"/>
      <c r="R701" s="27">
        <v>-16.5</v>
      </c>
      <c r="S701" s="27"/>
      <c r="T701" s="27">
        <v>-16.5</v>
      </c>
      <c r="U701" s="27"/>
      <c r="V701" s="27">
        <v>-16.5</v>
      </c>
      <c r="W701" s="27"/>
      <c r="X701" s="27">
        <v>-16.0</v>
      </c>
      <c r="Y701" s="27"/>
      <c r="Z701" s="27">
        <v>-16.5</v>
      </c>
      <c r="AA701" s="27"/>
      <c r="AB701" s="27">
        <v>-16.5</v>
      </c>
      <c r="AC701" s="27"/>
      <c r="AD701" s="27">
        <v>-16.5</v>
      </c>
      <c r="AE701" s="27"/>
      <c r="AF701" s="27">
        <v>-16.5</v>
      </c>
      <c r="AG701" s="27"/>
      <c r="AH701" s="27">
        <v>168.0</v>
      </c>
      <c r="AI701" s="27">
        <v>56.0</v>
      </c>
      <c r="AJ701" s="27">
        <v>2.0</v>
      </c>
      <c r="AK701" s="27" t="b">
        <v>1</v>
      </c>
      <c r="AL701" s="27">
        <v>100.0</v>
      </c>
      <c r="AM701" s="27" t="s">
        <v>191</v>
      </c>
      <c r="AN701" s="27" t="s">
        <v>404</v>
      </c>
      <c r="AO701" s="27"/>
    </row>
    <row r="702">
      <c r="A702" s="200">
        <v>44831.02510368056</v>
      </c>
      <c r="B702" s="19" t="s">
        <v>154</v>
      </c>
      <c r="C702" s="21" t="s">
        <v>368</v>
      </c>
      <c r="D702" s="62">
        <v>1.0</v>
      </c>
      <c r="E702" s="27">
        <v>3.0</v>
      </c>
      <c r="F702" s="27" t="s">
        <v>1488</v>
      </c>
      <c r="G702" s="201" t="s">
        <v>57</v>
      </c>
      <c r="H702" s="27" t="s">
        <v>131</v>
      </c>
      <c r="I702" s="27"/>
      <c r="J702" s="33">
        <v>-6.5</v>
      </c>
      <c r="K702" s="33">
        <v>-7.5</v>
      </c>
      <c r="L702" s="66">
        <v>53.0</v>
      </c>
      <c r="M702" s="27" t="s">
        <v>1489</v>
      </c>
      <c r="N702" s="27">
        <v>-7.5</v>
      </c>
      <c r="O702" s="27"/>
      <c r="P702" s="27">
        <v>-7.5</v>
      </c>
      <c r="Q702" s="27"/>
      <c r="R702" s="27">
        <v>-7.5</v>
      </c>
      <c r="S702" s="27"/>
      <c r="T702" s="27">
        <v>-7.5</v>
      </c>
      <c r="U702" s="27"/>
      <c r="V702" s="27">
        <v>-8.0</v>
      </c>
      <c r="W702" s="27"/>
      <c r="X702" s="27">
        <v>-7.5</v>
      </c>
      <c r="Y702" s="27"/>
      <c r="Z702" s="27">
        <v>-7.5</v>
      </c>
      <c r="AA702" s="27"/>
      <c r="AB702" s="27">
        <v>-7.5</v>
      </c>
      <c r="AC702" s="27"/>
      <c r="AD702" s="27"/>
      <c r="AE702" s="27"/>
      <c r="AF702" s="27"/>
      <c r="AG702" s="27"/>
      <c r="AH702" s="27">
        <v>92.0</v>
      </c>
      <c r="AI702" s="27">
        <v>107.0</v>
      </c>
      <c r="AJ702" s="27">
        <v>2.0</v>
      </c>
      <c r="AK702" s="27" t="b">
        <v>1</v>
      </c>
      <c r="AL702" s="27">
        <v>100.0</v>
      </c>
      <c r="AM702" s="27" t="s">
        <v>188</v>
      </c>
      <c r="AN702" s="27" t="s">
        <v>404</v>
      </c>
      <c r="AO702" s="27"/>
    </row>
    <row r="703">
      <c r="A703" s="200">
        <v>44831.02510368056</v>
      </c>
      <c r="B703" s="19" t="s">
        <v>154</v>
      </c>
      <c r="C703" s="21" t="s">
        <v>379</v>
      </c>
      <c r="D703" s="62">
        <v>2.0</v>
      </c>
      <c r="E703" s="27">
        <v>2.0</v>
      </c>
      <c r="F703" s="27" t="s">
        <v>1536</v>
      </c>
      <c r="G703" s="201" t="s">
        <v>57</v>
      </c>
      <c r="H703" s="27" t="s">
        <v>141</v>
      </c>
      <c r="I703" s="27"/>
      <c r="J703" s="33">
        <v>-23.0</v>
      </c>
      <c r="K703" s="33">
        <v>-23.5</v>
      </c>
      <c r="L703" s="66">
        <v>50.0</v>
      </c>
      <c r="M703" s="27" t="s">
        <v>1537</v>
      </c>
      <c r="N703" s="27">
        <v>-23.5</v>
      </c>
      <c r="O703" s="27"/>
      <c r="P703" s="27">
        <v>-23.5</v>
      </c>
      <c r="Q703" s="27"/>
      <c r="R703" s="27">
        <v>-23.5</v>
      </c>
      <c r="S703" s="27"/>
      <c r="T703" s="27">
        <v>-23.5</v>
      </c>
      <c r="U703" s="27"/>
      <c r="V703" s="27">
        <v>-23.5</v>
      </c>
      <c r="W703" s="27"/>
      <c r="X703" s="27">
        <v>-23.5</v>
      </c>
      <c r="Y703" s="27"/>
      <c r="Z703" s="27">
        <v>-23.5</v>
      </c>
      <c r="AA703" s="27"/>
      <c r="AB703" s="27">
        <v>-23.5</v>
      </c>
      <c r="AC703" s="27"/>
      <c r="AD703" s="27">
        <v>-23.5</v>
      </c>
      <c r="AE703" s="27"/>
      <c r="AF703" s="27">
        <v>-23.5</v>
      </c>
      <c r="AG703" s="27"/>
      <c r="AH703" s="27">
        <v>128.0</v>
      </c>
      <c r="AI703" s="27">
        <v>126.0</v>
      </c>
      <c r="AJ703" s="27">
        <v>2.0</v>
      </c>
      <c r="AK703" s="27" t="b">
        <v>0</v>
      </c>
      <c r="AL703" s="27">
        <v>100.0</v>
      </c>
      <c r="AM703" s="27" t="s">
        <v>192</v>
      </c>
      <c r="AN703" s="27" t="s">
        <v>404</v>
      </c>
      <c r="AO703" s="27"/>
    </row>
    <row r="704">
      <c r="A704" s="200">
        <v>44831.02510368056</v>
      </c>
      <c r="B704" s="19" t="s">
        <v>154</v>
      </c>
      <c r="C704" s="21" t="s">
        <v>363</v>
      </c>
      <c r="D704" s="62">
        <v>4.0</v>
      </c>
      <c r="E704" s="27">
        <v>0.0</v>
      </c>
      <c r="F704" s="27" t="s">
        <v>1518</v>
      </c>
      <c r="G704" s="201" t="s">
        <v>57</v>
      </c>
      <c r="H704" s="27" t="s">
        <v>59</v>
      </c>
      <c r="I704" s="27"/>
      <c r="J704" s="33">
        <v>-38.0</v>
      </c>
      <c r="K704" s="33">
        <v>-38.0</v>
      </c>
      <c r="L704" s="66">
        <v>58.0</v>
      </c>
      <c r="M704" s="27" t="s">
        <v>1139</v>
      </c>
      <c r="N704" s="27">
        <v>-38.5</v>
      </c>
      <c r="O704" s="27"/>
      <c r="P704" s="27">
        <v>-38.5</v>
      </c>
      <c r="Q704" s="27"/>
      <c r="R704" s="27">
        <v>-39.0</v>
      </c>
      <c r="S704" s="27"/>
      <c r="T704" s="27">
        <v>-38.0</v>
      </c>
      <c r="U704" s="27"/>
      <c r="V704" s="27">
        <v>-38.5</v>
      </c>
      <c r="W704" s="27"/>
      <c r="X704" s="27">
        <v>-38.0</v>
      </c>
      <c r="Y704" s="27"/>
      <c r="Z704" s="27">
        <v>-38.5</v>
      </c>
      <c r="AA704" s="27"/>
      <c r="AB704" s="27">
        <v>-38.5</v>
      </c>
      <c r="AC704" s="27"/>
      <c r="AD704" s="27">
        <v>-38.0</v>
      </c>
      <c r="AE704" s="27"/>
      <c r="AF704" s="27">
        <v>-38.0</v>
      </c>
      <c r="AG704" s="27"/>
      <c r="AH704" s="27">
        <v>144.0</v>
      </c>
      <c r="AI704" s="27">
        <v>47.0</v>
      </c>
      <c r="AJ704" s="27">
        <v>2.0</v>
      </c>
      <c r="AK704" s="27" t="b">
        <v>0</v>
      </c>
      <c r="AL704" s="27">
        <v>100.0</v>
      </c>
      <c r="AM704" s="27" t="s">
        <v>186</v>
      </c>
      <c r="AN704" s="27" t="s">
        <v>404</v>
      </c>
      <c r="AO704" s="27"/>
    </row>
    <row r="705">
      <c r="A705" s="200">
        <v>44831.02510368056</v>
      </c>
      <c r="B705" s="19" t="s">
        <v>154</v>
      </c>
      <c r="C705" s="21" t="s">
        <v>330</v>
      </c>
      <c r="D705" s="62">
        <v>2.0</v>
      </c>
      <c r="E705" s="27">
        <v>2.0</v>
      </c>
      <c r="F705" s="27" t="s">
        <v>1567</v>
      </c>
      <c r="G705" s="201" t="s">
        <v>57</v>
      </c>
      <c r="H705" s="27" t="s">
        <v>116</v>
      </c>
      <c r="I705" s="27"/>
      <c r="J705" s="33">
        <v>-17.5</v>
      </c>
      <c r="K705" s="33">
        <v>-17.5</v>
      </c>
      <c r="L705" s="66">
        <v>51.5</v>
      </c>
      <c r="M705" s="27" t="s">
        <v>1568</v>
      </c>
      <c r="N705" s="27">
        <v>-17.5</v>
      </c>
      <c r="O705" s="27"/>
      <c r="P705" s="27">
        <v>-17.5</v>
      </c>
      <c r="Q705" s="27"/>
      <c r="R705" s="27">
        <v>-17.5</v>
      </c>
      <c r="S705" s="27"/>
      <c r="T705" s="27">
        <v>-17.5</v>
      </c>
      <c r="U705" s="27"/>
      <c r="V705" s="27">
        <v>-17.5</v>
      </c>
      <c r="W705" s="27"/>
      <c r="X705" s="27">
        <v>-17.5</v>
      </c>
      <c r="Y705" s="27"/>
      <c r="Z705" s="27">
        <v>-17.5</v>
      </c>
      <c r="AA705" s="27"/>
      <c r="AB705" s="27">
        <v>-17.5</v>
      </c>
      <c r="AC705" s="27"/>
      <c r="AD705" s="27">
        <v>-17.5</v>
      </c>
      <c r="AE705" s="27"/>
      <c r="AF705" s="27">
        <v>-17.5</v>
      </c>
      <c r="AG705" s="27"/>
      <c r="AH705" s="27">
        <v>131.0</v>
      </c>
      <c r="AI705" s="27">
        <v>143.0</v>
      </c>
      <c r="AJ705" s="27">
        <v>2.0</v>
      </c>
      <c r="AK705" s="27" t="b">
        <v>0</v>
      </c>
      <c r="AL705" s="27">
        <v>100.0</v>
      </c>
      <c r="AM705" s="27" t="s">
        <v>389</v>
      </c>
      <c r="AN705" s="27" t="s">
        <v>405</v>
      </c>
      <c r="AO705" s="27"/>
    </row>
    <row r="706">
      <c r="A706" s="200">
        <v>44831.02510368056</v>
      </c>
      <c r="B706" s="19" t="s">
        <v>154</v>
      </c>
      <c r="C706" s="21" t="s">
        <v>352</v>
      </c>
      <c r="D706" s="62">
        <v>1.0</v>
      </c>
      <c r="E706" s="27">
        <v>3.0</v>
      </c>
      <c r="F706" s="27" t="s">
        <v>1474</v>
      </c>
      <c r="G706" s="201" t="s">
        <v>57</v>
      </c>
      <c r="H706" s="27" t="s">
        <v>53</v>
      </c>
      <c r="I706" s="27"/>
      <c r="J706" s="33">
        <v>3.0</v>
      </c>
      <c r="K706" s="33">
        <v>5.0</v>
      </c>
      <c r="L706" s="66">
        <v>55.5</v>
      </c>
      <c r="M706" s="27" t="s">
        <v>1475</v>
      </c>
      <c r="N706" s="27">
        <v>5.0</v>
      </c>
      <c r="O706" s="27"/>
      <c r="P706" s="27">
        <v>5.0</v>
      </c>
      <c r="Q706" s="27"/>
      <c r="R706" s="27">
        <v>5.0</v>
      </c>
      <c r="S706" s="27"/>
      <c r="T706" s="27">
        <v>5.0</v>
      </c>
      <c r="U706" s="27"/>
      <c r="V706" s="27">
        <v>5.0</v>
      </c>
      <c r="W706" s="27"/>
      <c r="X706" s="27">
        <v>4.5</v>
      </c>
      <c r="Y706" s="27"/>
      <c r="Z706" s="27">
        <v>6.0</v>
      </c>
      <c r="AA706" s="27"/>
      <c r="AB706" s="27">
        <v>4.5</v>
      </c>
      <c r="AC706" s="27"/>
      <c r="AD706" s="27">
        <v>5.0</v>
      </c>
      <c r="AE706" s="27"/>
      <c r="AF706" s="27">
        <v>5.0</v>
      </c>
      <c r="AG706" s="27"/>
      <c r="AH706" s="27">
        <v>128.0</v>
      </c>
      <c r="AI706" s="27">
        <v>121.0</v>
      </c>
      <c r="AJ706" s="27">
        <v>2.0</v>
      </c>
      <c r="AK706" s="27" t="b">
        <v>1</v>
      </c>
      <c r="AL706" s="27">
        <v>100.0</v>
      </c>
      <c r="AM706" s="27" t="s">
        <v>193</v>
      </c>
      <c r="AN706" s="27" t="s">
        <v>405</v>
      </c>
      <c r="AO706" s="27"/>
    </row>
    <row r="707">
      <c r="A707" s="200">
        <v>44831.02510368056</v>
      </c>
      <c r="B707" s="19" t="s">
        <v>154</v>
      </c>
      <c r="C707" s="21" t="s">
        <v>320</v>
      </c>
      <c r="D707" s="62">
        <v>3.0</v>
      </c>
      <c r="E707" s="27">
        <v>1.0</v>
      </c>
      <c r="F707" s="27" t="s">
        <v>1577</v>
      </c>
      <c r="G707" s="201" t="s">
        <v>57</v>
      </c>
      <c r="H707" s="27" t="s">
        <v>148</v>
      </c>
      <c r="I707" s="27"/>
      <c r="J707" s="33">
        <v>2.5</v>
      </c>
      <c r="K707" s="33">
        <v>2.5</v>
      </c>
      <c r="L707" s="66">
        <v>45.0</v>
      </c>
      <c r="M707" s="27" t="s">
        <v>1578</v>
      </c>
      <c r="N707" s="27">
        <v>2.5</v>
      </c>
      <c r="O707" s="27"/>
      <c r="P707" s="27">
        <v>2.5</v>
      </c>
      <c r="Q707" s="27"/>
      <c r="R707" s="27">
        <v>2.5</v>
      </c>
      <c r="S707" s="27"/>
      <c r="T707" s="27">
        <v>2.5</v>
      </c>
      <c r="U707" s="27"/>
      <c r="V707" s="27">
        <v>2.5</v>
      </c>
      <c r="W707" s="27"/>
      <c r="X707" s="27">
        <v>2.5</v>
      </c>
      <c r="Y707" s="27"/>
      <c r="Z707" s="27">
        <v>2.5</v>
      </c>
      <c r="AA707" s="27"/>
      <c r="AB707" s="27">
        <v>2.5</v>
      </c>
      <c r="AC707" s="27"/>
      <c r="AD707" s="27">
        <v>2.5</v>
      </c>
      <c r="AE707" s="27"/>
      <c r="AF707" s="27">
        <v>2.5</v>
      </c>
      <c r="AG707" s="27"/>
      <c r="AH707" s="27">
        <v>162.0</v>
      </c>
      <c r="AI707" s="27">
        <v>67.0</v>
      </c>
      <c r="AJ707" s="27">
        <v>2.0</v>
      </c>
      <c r="AK707" s="27" t="b">
        <v>0</v>
      </c>
      <c r="AL707" s="27">
        <v>100.0</v>
      </c>
      <c r="AM707" s="27" t="s">
        <v>187</v>
      </c>
      <c r="AN707" s="27" t="s">
        <v>404</v>
      </c>
      <c r="AO707" s="27"/>
    </row>
    <row r="708">
      <c r="A708" s="200">
        <v>44838.02510101852</v>
      </c>
      <c r="B708" s="19" t="s">
        <v>53</v>
      </c>
      <c r="C708" s="21" t="s">
        <v>120</v>
      </c>
      <c r="D708" s="62">
        <v>2.0</v>
      </c>
      <c r="E708" s="27">
        <v>3.0</v>
      </c>
      <c r="F708" s="27"/>
      <c r="G708" s="201"/>
      <c r="H708" s="27"/>
      <c r="I708" s="27" t="s">
        <v>88</v>
      </c>
      <c r="J708" s="33"/>
      <c r="K708" s="33"/>
      <c r="L708" s="66"/>
      <c r="M708" s="27"/>
      <c r="N708" s="27"/>
      <c r="O708" s="27"/>
      <c r="P708" s="27"/>
      <c r="Q708" s="27"/>
      <c r="R708" s="27"/>
      <c r="S708" s="27"/>
      <c r="T708" s="27"/>
      <c r="U708" s="27"/>
      <c r="V708" s="27"/>
      <c r="W708" s="27"/>
      <c r="X708" s="27"/>
      <c r="Y708" s="27"/>
      <c r="Z708" s="27"/>
      <c r="AA708" s="27"/>
      <c r="AB708" s="27"/>
      <c r="AC708" s="27"/>
      <c r="AD708" s="27"/>
      <c r="AE708" s="27"/>
      <c r="AF708" s="27"/>
      <c r="AG708" s="27"/>
      <c r="AH708" s="27">
        <v>122.0</v>
      </c>
      <c r="AI708" s="27">
        <v>156.0</v>
      </c>
      <c r="AJ708" s="27">
        <v>0.0</v>
      </c>
      <c r="AK708" s="27" t="b">
        <v>1</v>
      </c>
      <c r="AL708" s="27">
        <v>59.0</v>
      </c>
      <c r="AM708" s="27" t="s">
        <v>129</v>
      </c>
      <c r="AN708" s="27" t="s">
        <v>405</v>
      </c>
      <c r="AO708" s="27"/>
    </row>
    <row r="709">
      <c r="A709" s="200">
        <v>44838.02510101852</v>
      </c>
      <c r="B709" s="19" t="s">
        <v>53</v>
      </c>
      <c r="C709" s="21" t="s">
        <v>54</v>
      </c>
      <c r="D709" s="62">
        <v>4.0</v>
      </c>
      <c r="E709" s="27">
        <v>1.0</v>
      </c>
      <c r="F709" s="27" t="s">
        <v>1580</v>
      </c>
      <c r="G709" s="201" t="s">
        <v>57</v>
      </c>
      <c r="H709" s="27" t="s">
        <v>138</v>
      </c>
      <c r="I709" s="27"/>
      <c r="J709" s="33">
        <v>-13.0</v>
      </c>
      <c r="K709" s="33">
        <v>-17.5</v>
      </c>
      <c r="L709" s="66">
        <v>63.0</v>
      </c>
      <c r="M709" s="27" t="s">
        <v>1301</v>
      </c>
      <c r="N709" s="27">
        <v>-17.0</v>
      </c>
      <c r="O709" s="27"/>
      <c r="P709" s="27">
        <v>-18.0</v>
      </c>
      <c r="Q709" s="27"/>
      <c r="R709" s="27">
        <v>-17.0</v>
      </c>
      <c r="S709" s="27"/>
      <c r="T709" s="27">
        <v>-17.5</v>
      </c>
      <c r="U709" s="27"/>
      <c r="V709" s="27">
        <v>-17.5</v>
      </c>
      <c r="W709" s="27"/>
      <c r="X709" s="27">
        <v>-17.5</v>
      </c>
      <c r="Y709" s="27"/>
      <c r="Z709" s="27">
        <v>-17.0</v>
      </c>
      <c r="AA709" s="27"/>
      <c r="AB709" s="27">
        <v>-17.5</v>
      </c>
      <c r="AC709" s="27"/>
      <c r="AD709" s="27">
        <v>-17.5</v>
      </c>
      <c r="AE709" s="27"/>
      <c r="AF709" s="27">
        <v>-17.5</v>
      </c>
      <c r="AG709" s="27"/>
      <c r="AH709" s="27">
        <v>203.0</v>
      </c>
      <c r="AI709" s="27">
        <v>151.0</v>
      </c>
      <c r="AJ709" s="27">
        <v>2.0</v>
      </c>
      <c r="AK709" s="27" t="b">
        <v>1</v>
      </c>
      <c r="AL709" s="27">
        <v>100.0</v>
      </c>
      <c r="AM709" s="27" t="s">
        <v>191</v>
      </c>
      <c r="AN709" s="27" t="s">
        <v>404</v>
      </c>
      <c r="AO709" s="27"/>
    </row>
    <row r="710">
      <c r="A710" s="200">
        <v>44838.02510101852</v>
      </c>
      <c r="B710" s="19" t="s">
        <v>53</v>
      </c>
      <c r="C710" s="21" t="s">
        <v>173</v>
      </c>
      <c r="D710" s="62">
        <v>2.0</v>
      </c>
      <c r="E710" s="27">
        <v>3.0</v>
      </c>
      <c r="F710" s="27" t="s">
        <v>1581</v>
      </c>
      <c r="G710" s="201" t="s">
        <v>57</v>
      </c>
      <c r="H710" s="27" t="s">
        <v>116</v>
      </c>
      <c r="I710" s="27"/>
      <c r="J710" s="33">
        <v>28.5</v>
      </c>
      <c r="K710" s="33">
        <v>30.5</v>
      </c>
      <c r="L710" s="66">
        <v>54.5</v>
      </c>
      <c r="M710" s="27" t="s">
        <v>1582</v>
      </c>
      <c r="N710" s="27">
        <v>30.5</v>
      </c>
      <c r="O710" s="27"/>
      <c r="P710" s="27">
        <v>30.5</v>
      </c>
      <c r="Q710" s="27"/>
      <c r="R710" s="27">
        <v>31.0</v>
      </c>
      <c r="S710" s="27"/>
      <c r="T710" s="27">
        <v>30.5</v>
      </c>
      <c r="U710" s="27"/>
      <c r="V710" s="27">
        <v>31.0</v>
      </c>
      <c r="W710" s="27"/>
      <c r="X710" s="27">
        <v>30.5</v>
      </c>
      <c r="Y710" s="27"/>
      <c r="Z710" s="27">
        <v>30.0</v>
      </c>
      <c r="AA710" s="27"/>
      <c r="AB710" s="27">
        <v>30.0</v>
      </c>
      <c r="AC710" s="27"/>
      <c r="AD710" s="27">
        <v>30.5</v>
      </c>
      <c r="AE710" s="27"/>
      <c r="AF710" s="27">
        <v>30.5</v>
      </c>
      <c r="AG710" s="27"/>
      <c r="AH710" s="27">
        <v>134.0</v>
      </c>
      <c r="AI710" s="27">
        <v>124.0</v>
      </c>
      <c r="AJ710" s="27">
        <v>2.0</v>
      </c>
      <c r="AK710" s="27" t="b">
        <v>1</v>
      </c>
      <c r="AL710" s="27">
        <v>100.0</v>
      </c>
      <c r="AM710" s="27" t="s">
        <v>192</v>
      </c>
      <c r="AN710" s="27" t="s">
        <v>404</v>
      </c>
      <c r="AO710" s="27"/>
    </row>
    <row r="711">
      <c r="A711" s="200">
        <v>44838.02510101852</v>
      </c>
      <c r="B711" s="19" t="s">
        <v>53</v>
      </c>
      <c r="C711" s="21" t="s">
        <v>195</v>
      </c>
      <c r="D711" s="62">
        <v>2.0</v>
      </c>
      <c r="E711" s="27">
        <v>3.0</v>
      </c>
      <c r="F711" s="27" t="s">
        <v>1583</v>
      </c>
      <c r="G711" s="201" t="s">
        <v>57</v>
      </c>
      <c r="H711" s="27" t="s">
        <v>138</v>
      </c>
      <c r="I711" s="27"/>
      <c r="J711" s="33">
        <v>11.5</v>
      </c>
      <c r="K711" s="33">
        <v>10.0</v>
      </c>
      <c r="L711" s="66">
        <v>58.0</v>
      </c>
      <c r="M711" s="27" t="s">
        <v>1584</v>
      </c>
      <c r="N711" s="27">
        <v>10.0</v>
      </c>
      <c r="O711" s="27"/>
      <c r="P711" s="27">
        <v>10.0</v>
      </c>
      <c r="Q711" s="27"/>
      <c r="R711" s="27">
        <v>10.0</v>
      </c>
      <c r="S711" s="27"/>
      <c r="T711" s="27">
        <v>10.0</v>
      </c>
      <c r="U711" s="27"/>
      <c r="V711" s="27">
        <v>10.0</v>
      </c>
      <c r="W711" s="27"/>
      <c r="X711" s="27">
        <v>10.0</v>
      </c>
      <c r="Y711" s="27"/>
      <c r="Z711" s="27">
        <v>9.5</v>
      </c>
      <c r="AA711" s="27"/>
      <c r="AB711" s="27">
        <v>10.0</v>
      </c>
      <c r="AC711" s="27"/>
      <c r="AD711" s="27">
        <v>10.0</v>
      </c>
      <c r="AE711" s="27"/>
      <c r="AF711" s="27">
        <v>10.0</v>
      </c>
      <c r="AG711" s="27"/>
      <c r="AH711" s="27">
        <v>177.0</v>
      </c>
      <c r="AI711" s="27">
        <v>158.0</v>
      </c>
      <c r="AJ711" s="27">
        <v>2.0</v>
      </c>
      <c r="AK711" s="27" t="b">
        <v>0</v>
      </c>
      <c r="AL711" s="27">
        <v>100.0</v>
      </c>
      <c r="AM711" s="27" t="s">
        <v>389</v>
      </c>
      <c r="AN711" s="27" t="s">
        <v>405</v>
      </c>
      <c r="AO711" s="27"/>
    </row>
    <row r="712">
      <c r="A712" s="200">
        <v>44838.02510101852</v>
      </c>
      <c r="B712" s="19" t="s">
        <v>53</v>
      </c>
      <c r="C712" s="21" t="s">
        <v>155</v>
      </c>
      <c r="D712" s="62">
        <v>2.0</v>
      </c>
      <c r="E712" s="27">
        <v>3.0</v>
      </c>
      <c r="F712" s="27" t="s">
        <v>1585</v>
      </c>
      <c r="G712" s="201" t="s">
        <v>57</v>
      </c>
      <c r="H712" s="27"/>
      <c r="I712" s="27"/>
      <c r="J712" s="33">
        <v>2.0</v>
      </c>
      <c r="K712" s="33">
        <v>1.5</v>
      </c>
      <c r="L712" s="66">
        <v>54.5</v>
      </c>
      <c r="M712" s="27" t="s">
        <v>1173</v>
      </c>
      <c r="N712" s="27">
        <v>2.0</v>
      </c>
      <c r="O712" s="27"/>
      <c r="P712" s="27">
        <v>2.0</v>
      </c>
      <c r="Q712" s="27"/>
      <c r="R712" s="27">
        <v>2.0</v>
      </c>
      <c r="S712" s="27"/>
      <c r="T712" s="27">
        <v>1.5</v>
      </c>
      <c r="U712" s="27"/>
      <c r="V712" s="27">
        <v>2.0</v>
      </c>
      <c r="W712" s="27"/>
      <c r="X712" s="27">
        <v>2.0</v>
      </c>
      <c r="Y712" s="27"/>
      <c r="Z712" s="27">
        <v>2.0</v>
      </c>
      <c r="AA712" s="27"/>
      <c r="AB712" s="27">
        <v>2.5</v>
      </c>
      <c r="AC712" s="27"/>
      <c r="AD712" s="27">
        <v>1.5</v>
      </c>
      <c r="AE712" s="27"/>
      <c r="AF712" s="27">
        <v>1.5</v>
      </c>
      <c r="AG712" s="27"/>
      <c r="AH712" s="27">
        <v>90.0</v>
      </c>
      <c r="AI712" s="27">
        <v>115.0</v>
      </c>
      <c r="AJ712" s="27">
        <v>2.0</v>
      </c>
      <c r="AK712" s="27" t="b">
        <v>1</v>
      </c>
      <c r="AL712" s="27">
        <v>100.0</v>
      </c>
      <c r="AM712" s="27" t="s">
        <v>186</v>
      </c>
      <c r="AN712" s="27" t="s">
        <v>404</v>
      </c>
      <c r="AO712" s="27"/>
    </row>
    <row r="713">
      <c r="A713" s="200">
        <v>44838.02510101852</v>
      </c>
      <c r="B713" s="19" t="s">
        <v>53</v>
      </c>
      <c r="C713" s="21" t="s">
        <v>170</v>
      </c>
      <c r="D713" s="62">
        <v>2.0</v>
      </c>
      <c r="E713" s="27">
        <v>3.0</v>
      </c>
      <c r="F713" s="27" t="s">
        <v>1586</v>
      </c>
      <c r="G713" s="201" t="s">
        <v>57</v>
      </c>
      <c r="H713" s="27" t="s">
        <v>166</v>
      </c>
      <c r="I713" s="27"/>
      <c r="J713" s="33">
        <v>2.5</v>
      </c>
      <c r="K713" s="33">
        <v>3.5</v>
      </c>
      <c r="L713" s="66">
        <v>47.5</v>
      </c>
      <c r="M713" s="27" t="s">
        <v>1587</v>
      </c>
      <c r="N713" s="27">
        <v>4.0</v>
      </c>
      <c r="O713" s="27"/>
      <c r="P713" s="27">
        <v>3.5</v>
      </c>
      <c r="Q713" s="27"/>
      <c r="R713" s="27">
        <v>3.5</v>
      </c>
      <c r="S713" s="27"/>
      <c r="T713" s="27">
        <v>3.5</v>
      </c>
      <c r="U713" s="27"/>
      <c r="V713" s="27">
        <v>3.5</v>
      </c>
      <c r="W713" s="27"/>
      <c r="X713" s="27">
        <v>3.5</v>
      </c>
      <c r="Y713" s="27"/>
      <c r="Z713" s="27">
        <v>2.0</v>
      </c>
      <c r="AA713" s="27"/>
      <c r="AB713" s="27">
        <v>4.0</v>
      </c>
      <c r="AC713" s="27"/>
      <c r="AD713" s="27">
        <v>3.5</v>
      </c>
      <c r="AE713" s="27"/>
      <c r="AF713" s="27">
        <v>3.5</v>
      </c>
      <c r="AG713" s="27"/>
      <c r="AH713" s="27">
        <v>108.0</v>
      </c>
      <c r="AI713" s="27">
        <v>136.0</v>
      </c>
      <c r="AJ713" s="27">
        <v>2.0</v>
      </c>
      <c r="AK713" s="27" t="b">
        <v>0</v>
      </c>
      <c r="AL713" s="27">
        <v>100.0</v>
      </c>
      <c r="AM713" s="27" t="s">
        <v>193</v>
      </c>
      <c r="AN713" s="27" t="s">
        <v>405</v>
      </c>
      <c r="AO713" s="27"/>
    </row>
    <row r="714">
      <c r="A714" s="200">
        <v>44838.02510101852</v>
      </c>
      <c r="B714" s="19" t="s">
        <v>53</v>
      </c>
      <c r="C714" s="21" t="s">
        <v>181</v>
      </c>
      <c r="D714" s="62">
        <v>2.0</v>
      </c>
      <c r="E714" s="27">
        <v>4.0</v>
      </c>
      <c r="F714" s="27" t="s">
        <v>1588</v>
      </c>
      <c r="G714" s="201" t="s">
        <v>57</v>
      </c>
      <c r="H714" s="27" t="s">
        <v>131</v>
      </c>
      <c r="I714" s="27"/>
      <c r="J714" s="33">
        <v>-1.0</v>
      </c>
      <c r="K714" s="33">
        <v>-3.0</v>
      </c>
      <c r="L714" s="66">
        <v>67.0</v>
      </c>
      <c r="M714" s="27" t="s">
        <v>1541</v>
      </c>
      <c r="N714" s="27">
        <v>-3.0</v>
      </c>
      <c r="O714" s="27"/>
      <c r="P714" s="27">
        <v>-3.0</v>
      </c>
      <c r="Q714" s="27"/>
      <c r="R714" s="27">
        <v>-3.0</v>
      </c>
      <c r="S714" s="27"/>
      <c r="T714" s="27">
        <v>-3.5</v>
      </c>
      <c r="U714" s="27"/>
      <c r="V714" s="27">
        <v>-3.0</v>
      </c>
      <c r="W714" s="27"/>
      <c r="X714" s="27">
        <v>-3.0</v>
      </c>
      <c r="Y714" s="27"/>
      <c r="Z714" s="27">
        <v>-3.0</v>
      </c>
      <c r="AA714" s="27"/>
      <c r="AB714" s="27">
        <v>-3.0</v>
      </c>
      <c r="AC714" s="27"/>
      <c r="AD714" s="27">
        <v>-3.5</v>
      </c>
      <c r="AE714" s="27"/>
      <c r="AF714" s="27">
        <v>-3.5</v>
      </c>
      <c r="AG714" s="27"/>
      <c r="AH714" s="27">
        <v>191.0</v>
      </c>
      <c r="AI714" s="27">
        <v>176.0</v>
      </c>
      <c r="AJ714" s="27">
        <v>2.0</v>
      </c>
      <c r="AK714" s="27" t="b">
        <v>1</v>
      </c>
      <c r="AL714" s="27">
        <v>100.0</v>
      </c>
      <c r="AM714" s="27" t="s">
        <v>189</v>
      </c>
      <c r="AN714" s="27" t="s">
        <v>405</v>
      </c>
      <c r="AO714" s="27"/>
    </row>
    <row r="715">
      <c r="A715" s="200">
        <v>44838.02510101852</v>
      </c>
      <c r="B715" s="19" t="s">
        <v>53</v>
      </c>
      <c r="C715" s="21" t="s">
        <v>168</v>
      </c>
      <c r="D715" s="62">
        <v>5.0</v>
      </c>
      <c r="E715" s="27">
        <v>0.0</v>
      </c>
      <c r="F715" s="27" t="s">
        <v>1589</v>
      </c>
      <c r="G715" s="201" t="s">
        <v>57</v>
      </c>
      <c r="H715" s="27" t="s">
        <v>141</v>
      </c>
      <c r="I715" s="27"/>
      <c r="J715" s="33">
        <v>-41.0</v>
      </c>
      <c r="K715" s="33">
        <v>-40.0</v>
      </c>
      <c r="L715" s="66">
        <v>58.0</v>
      </c>
      <c r="M715" s="27" t="s">
        <v>1091</v>
      </c>
      <c r="N715" s="27">
        <v>-40.0</v>
      </c>
      <c r="O715" s="27"/>
      <c r="P715" s="27">
        <v>-39.0</v>
      </c>
      <c r="Q715" s="27"/>
      <c r="R715" s="27">
        <v>-39.0</v>
      </c>
      <c r="S715" s="27"/>
      <c r="T715" s="27">
        <v>-40.5</v>
      </c>
      <c r="U715" s="27"/>
      <c r="V715" s="27"/>
      <c r="W715" s="27"/>
      <c r="X715" s="27"/>
      <c r="Y715" s="27"/>
      <c r="Z715" s="27"/>
      <c r="AA715" s="27"/>
      <c r="AB715" s="27"/>
      <c r="AC715" s="27"/>
      <c r="AD715" s="27"/>
      <c r="AE715" s="27"/>
      <c r="AF715" s="27"/>
      <c r="AG715" s="27"/>
      <c r="AH715" s="27">
        <v>244.0</v>
      </c>
      <c r="AI715" s="27">
        <v>74.0</v>
      </c>
      <c r="AJ715" s="27">
        <v>2.0</v>
      </c>
      <c r="AK715" s="27" t="b">
        <v>1</v>
      </c>
      <c r="AL715" s="27">
        <v>100.0</v>
      </c>
      <c r="AM715" s="27" t="s">
        <v>188</v>
      </c>
      <c r="AN715" s="27" t="s">
        <v>404</v>
      </c>
      <c r="AO715" s="27"/>
    </row>
    <row r="716">
      <c r="A716" s="200">
        <v>44838.02510101852</v>
      </c>
      <c r="B716" s="19" t="s">
        <v>53</v>
      </c>
      <c r="C716" s="21" t="s">
        <v>184</v>
      </c>
      <c r="D716" s="62">
        <v>3.0</v>
      </c>
      <c r="E716" s="27">
        <v>2.0</v>
      </c>
      <c r="F716" s="27" t="s">
        <v>1590</v>
      </c>
      <c r="G716" s="201" t="s">
        <v>57</v>
      </c>
      <c r="H716" s="27" t="s">
        <v>103</v>
      </c>
      <c r="I716" s="27"/>
      <c r="J716" s="33">
        <v>-3.5</v>
      </c>
      <c r="K716" s="33">
        <v>-5.0</v>
      </c>
      <c r="L716" s="66">
        <v>69.5</v>
      </c>
      <c r="M716" s="27" t="s">
        <v>1591</v>
      </c>
      <c r="N716" s="27">
        <v>-5.5</v>
      </c>
      <c r="O716" s="27"/>
      <c r="P716" s="27">
        <v>-5.0</v>
      </c>
      <c r="Q716" s="27"/>
      <c r="R716" s="27">
        <v>-5.5</v>
      </c>
      <c r="S716" s="27"/>
      <c r="T716" s="27">
        <v>-4.5</v>
      </c>
      <c r="U716" s="27"/>
      <c r="V716" s="27">
        <v>-5.0</v>
      </c>
      <c r="W716" s="27"/>
      <c r="X716" s="27">
        <v>-5.0</v>
      </c>
      <c r="Y716" s="27"/>
      <c r="Z716" s="27">
        <v>-5.0</v>
      </c>
      <c r="AA716" s="27"/>
      <c r="AB716" s="27">
        <v>-5.0</v>
      </c>
      <c r="AC716" s="27"/>
      <c r="AD716" s="27">
        <v>-4.5</v>
      </c>
      <c r="AE716" s="27"/>
      <c r="AF716" s="27">
        <v>-4.5</v>
      </c>
      <c r="AG716" s="27"/>
      <c r="AH716" s="27">
        <v>185.0</v>
      </c>
      <c r="AI716" s="27">
        <v>126.0</v>
      </c>
      <c r="AJ716" s="27">
        <v>2.0</v>
      </c>
      <c r="AK716" s="27" t="b">
        <v>0</v>
      </c>
      <c r="AL716" s="27">
        <v>100.0</v>
      </c>
      <c r="AM716" s="27" t="s">
        <v>187</v>
      </c>
      <c r="AN716" s="27" t="s">
        <v>404</v>
      </c>
      <c r="AO716" s="27"/>
    </row>
    <row r="717">
      <c r="A717" s="200">
        <v>44838.02510101852</v>
      </c>
      <c r="B717" s="19" t="s">
        <v>53</v>
      </c>
      <c r="C717" s="21" t="s">
        <v>176</v>
      </c>
      <c r="D717" s="62">
        <v>2.0</v>
      </c>
      <c r="E717" s="27">
        <v>3.0</v>
      </c>
      <c r="F717" s="27" t="s">
        <v>1592</v>
      </c>
      <c r="G717" s="201" t="s">
        <v>183</v>
      </c>
      <c r="H717" s="27" t="s">
        <v>144</v>
      </c>
      <c r="I717" s="27"/>
      <c r="J717" s="33">
        <v>7.5</v>
      </c>
      <c r="K717" s="33">
        <v>13.0</v>
      </c>
      <c r="L717" s="66">
        <v>66.0</v>
      </c>
      <c r="M717" s="27" t="s">
        <v>1593</v>
      </c>
      <c r="N717" s="27">
        <v>13.0</v>
      </c>
      <c r="O717" s="27"/>
      <c r="P717" s="27">
        <v>12.0</v>
      </c>
      <c r="Q717" s="27"/>
      <c r="R717" s="27">
        <v>13.0</v>
      </c>
      <c r="S717" s="27"/>
      <c r="T717" s="27">
        <v>13.0</v>
      </c>
      <c r="U717" s="27"/>
      <c r="V717" s="27">
        <v>12.5</v>
      </c>
      <c r="W717" s="27"/>
      <c r="X717" s="27">
        <v>12.5</v>
      </c>
      <c r="Y717" s="27"/>
      <c r="Z717" s="27">
        <v>13.0</v>
      </c>
      <c r="AA717" s="27"/>
      <c r="AB717" s="27">
        <v>13.0</v>
      </c>
      <c r="AC717" s="27"/>
      <c r="AD717" s="27">
        <v>13.0</v>
      </c>
      <c r="AE717" s="27"/>
      <c r="AF717" s="27"/>
      <c r="AG717" s="27"/>
      <c r="AH717" s="27">
        <v>144.0</v>
      </c>
      <c r="AI717" s="27">
        <v>210.0</v>
      </c>
      <c r="AJ717" s="27">
        <v>2.0</v>
      </c>
      <c r="AK717" s="27" t="b">
        <v>0</v>
      </c>
      <c r="AL717" s="27">
        <v>100.0</v>
      </c>
      <c r="AM717" s="27" t="s">
        <v>190</v>
      </c>
      <c r="AN717" s="27" t="s">
        <v>405</v>
      </c>
      <c r="AO717" s="27"/>
    </row>
    <row r="718">
      <c r="A718" s="200">
        <v>44838.02510101852</v>
      </c>
      <c r="B718" s="19"/>
      <c r="C718" s="21"/>
      <c r="D718" s="62"/>
      <c r="E718" s="27"/>
      <c r="F718" s="27"/>
      <c r="G718" s="201"/>
      <c r="H718" s="27"/>
      <c r="I718" s="27"/>
      <c r="J718" s="33"/>
      <c r="K718" s="33"/>
      <c r="L718" s="66"/>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t="e">
        <v>#N/A</v>
      </c>
      <c r="AN718" s="27" t="e">
        <v>#N/A</v>
      </c>
      <c r="AO718" s="27"/>
    </row>
    <row r="719">
      <c r="A719" s="200">
        <v>44838.02510101852</v>
      </c>
      <c r="B719" s="19" t="s">
        <v>131</v>
      </c>
      <c r="C719" s="21" t="s">
        <v>214</v>
      </c>
      <c r="D719" s="62">
        <v>4.0</v>
      </c>
      <c r="E719" s="27">
        <v>0.0</v>
      </c>
      <c r="F719" s="27"/>
      <c r="G719" s="201"/>
      <c r="H719" s="27"/>
      <c r="I719" s="27" t="s">
        <v>82</v>
      </c>
      <c r="J719" s="33"/>
      <c r="K719" s="33"/>
      <c r="L719" s="66"/>
      <c r="M719" s="27"/>
      <c r="N719" s="27"/>
      <c r="O719" s="27"/>
      <c r="P719" s="27"/>
      <c r="Q719" s="27"/>
      <c r="R719" s="27"/>
      <c r="S719" s="27"/>
      <c r="T719" s="27"/>
      <c r="U719" s="27"/>
      <c r="V719" s="27"/>
      <c r="W719" s="27"/>
      <c r="X719" s="27"/>
      <c r="Y719" s="27"/>
      <c r="Z719" s="27"/>
      <c r="AA719" s="27"/>
      <c r="AB719" s="27"/>
      <c r="AC719" s="27"/>
      <c r="AD719" s="27"/>
      <c r="AE719" s="27"/>
      <c r="AF719" s="27"/>
      <c r="AG719" s="27"/>
      <c r="AH719" s="27">
        <v>194.0</v>
      </c>
      <c r="AI719" s="27">
        <v>76.0</v>
      </c>
      <c r="AJ719" s="27">
        <v>0.0</v>
      </c>
      <c r="AK719" s="27" t="b">
        <v>1</v>
      </c>
      <c r="AL719" s="27">
        <v>59.0</v>
      </c>
      <c r="AM719" s="27" t="s">
        <v>192</v>
      </c>
      <c r="AN719" s="27" t="s">
        <v>404</v>
      </c>
      <c r="AO719" s="27"/>
    </row>
    <row r="720">
      <c r="A720" s="200">
        <v>44838.02510101852</v>
      </c>
      <c r="B720" s="19" t="s">
        <v>131</v>
      </c>
      <c r="C720" s="21" t="s">
        <v>206</v>
      </c>
      <c r="D720" s="62">
        <v>5.0</v>
      </c>
      <c r="E720" s="27">
        <v>0.0</v>
      </c>
      <c r="F720" s="27" t="s">
        <v>1594</v>
      </c>
      <c r="G720" s="201" t="s">
        <v>57</v>
      </c>
      <c r="H720" s="27" t="s">
        <v>154</v>
      </c>
      <c r="I720" s="27"/>
      <c r="J720" s="33">
        <v>-13.0</v>
      </c>
      <c r="K720" s="33">
        <v>-6.5</v>
      </c>
      <c r="L720" s="66">
        <v>45.5</v>
      </c>
      <c r="M720" s="27" t="s">
        <v>1595</v>
      </c>
      <c r="N720" s="27">
        <v>-6.5</v>
      </c>
      <c r="O720" s="27"/>
      <c r="P720" s="27">
        <v>-6.5</v>
      </c>
      <c r="Q720" s="27"/>
      <c r="R720" s="27">
        <v>-6.5</v>
      </c>
      <c r="S720" s="27"/>
      <c r="T720" s="27">
        <v>-6.5</v>
      </c>
      <c r="U720" s="27"/>
      <c r="V720" s="27">
        <v>-6.5</v>
      </c>
      <c r="W720" s="27"/>
      <c r="X720" s="27">
        <v>-7.0</v>
      </c>
      <c r="Y720" s="27"/>
      <c r="Z720" s="27">
        <v>-7.0</v>
      </c>
      <c r="AA720" s="27"/>
      <c r="AB720" s="27">
        <v>-6.5</v>
      </c>
      <c r="AC720" s="27"/>
      <c r="AD720" s="27">
        <v>-6.5</v>
      </c>
      <c r="AE720" s="27"/>
      <c r="AF720" s="27">
        <v>-6.5</v>
      </c>
      <c r="AG720" s="27"/>
      <c r="AH720" s="27">
        <v>205.0</v>
      </c>
      <c r="AI720" s="27">
        <v>107.0</v>
      </c>
      <c r="AJ720" s="27">
        <v>2.0</v>
      </c>
      <c r="AK720" s="27" t="b">
        <v>0</v>
      </c>
      <c r="AL720" s="27">
        <v>100.0</v>
      </c>
      <c r="AM720" s="27" t="s">
        <v>186</v>
      </c>
      <c r="AN720" s="27" t="s">
        <v>404</v>
      </c>
      <c r="AO720" s="27"/>
    </row>
    <row r="721">
      <c r="A721" s="200">
        <v>44838.02510101852</v>
      </c>
      <c r="B721" s="19" t="s">
        <v>131</v>
      </c>
      <c r="C721" s="21" t="s">
        <v>199</v>
      </c>
      <c r="D721" s="62">
        <v>2.0</v>
      </c>
      <c r="E721" s="27">
        <v>3.0</v>
      </c>
      <c r="F721" s="27" t="s">
        <v>1596</v>
      </c>
      <c r="G721" s="201" t="s">
        <v>57</v>
      </c>
      <c r="H721" s="27" t="s">
        <v>154</v>
      </c>
      <c r="I721" s="27"/>
      <c r="J721" s="33">
        <v>8.5</v>
      </c>
      <c r="K721" s="33">
        <v>7.0</v>
      </c>
      <c r="L721" s="66">
        <v>59.0</v>
      </c>
      <c r="M721" s="27" t="s">
        <v>1487</v>
      </c>
      <c r="N721" s="27">
        <v>7.0</v>
      </c>
      <c r="O721" s="27"/>
      <c r="P721" s="27">
        <v>7.5</v>
      </c>
      <c r="Q721" s="27"/>
      <c r="R721" s="27">
        <v>7.0</v>
      </c>
      <c r="S721" s="27"/>
      <c r="T721" s="27">
        <v>7.0</v>
      </c>
      <c r="U721" s="27"/>
      <c r="V721" s="27">
        <v>7.5</v>
      </c>
      <c r="W721" s="27"/>
      <c r="X721" s="27">
        <v>7.5</v>
      </c>
      <c r="Y721" s="27"/>
      <c r="Z721" s="27">
        <v>7.5</v>
      </c>
      <c r="AA721" s="27"/>
      <c r="AB721" s="27">
        <v>8.0</v>
      </c>
      <c r="AC721" s="27"/>
      <c r="AD721" s="27">
        <v>7.0</v>
      </c>
      <c r="AE721" s="27"/>
      <c r="AF721" s="27">
        <v>7.0</v>
      </c>
      <c r="AG721" s="27"/>
      <c r="AH721" s="27">
        <v>101.0</v>
      </c>
      <c r="AI721" s="27">
        <v>184.0</v>
      </c>
      <c r="AJ721" s="27">
        <v>2.0</v>
      </c>
      <c r="AK721" s="27" t="b">
        <v>0</v>
      </c>
      <c r="AL721" s="27">
        <v>100.0</v>
      </c>
      <c r="AM721" s="27" t="s">
        <v>193</v>
      </c>
      <c r="AN721" s="27" t="s">
        <v>405</v>
      </c>
      <c r="AO721" s="27"/>
    </row>
    <row r="722">
      <c r="A722" s="200">
        <v>44838.02510101852</v>
      </c>
      <c r="B722" s="19" t="s">
        <v>131</v>
      </c>
      <c r="C722" s="21" t="s">
        <v>222</v>
      </c>
      <c r="D722" s="62">
        <v>4.0</v>
      </c>
      <c r="E722" s="27">
        <v>1.0</v>
      </c>
      <c r="F722" s="27" t="s">
        <v>1597</v>
      </c>
      <c r="G722" s="201" t="s">
        <v>57</v>
      </c>
      <c r="H722" s="27" t="s">
        <v>166</v>
      </c>
      <c r="I722" s="27"/>
      <c r="J722" s="33">
        <v>-4.5</v>
      </c>
      <c r="K722" s="33">
        <v>-4.0</v>
      </c>
      <c r="L722" s="66">
        <v>53.0</v>
      </c>
      <c r="M722" s="27" t="s">
        <v>1332</v>
      </c>
      <c r="N722" s="27">
        <v>-4.0</v>
      </c>
      <c r="O722" s="27"/>
      <c r="P722" s="27">
        <v>-4.0</v>
      </c>
      <c r="Q722" s="27"/>
      <c r="R722" s="27">
        <v>-4.0</v>
      </c>
      <c r="S722" s="27"/>
      <c r="T722" s="27">
        <v>-4.0</v>
      </c>
      <c r="U722" s="27"/>
      <c r="V722" s="27">
        <v>-4.0</v>
      </c>
      <c r="W722" s="27"/>
      <c r="X722" s="27">
        <v>-4.0</v>
      </c>
      <c r="Y722" s="27"/>
      <c r="Z722" s="27">
        <v>-4.0</v>
      </c>
      <c r="AA722" s="27"/>
      <c r="AB722" s="27">
        <v>-4.0</v>
      </c>
      <c r="AC722" s="27"/>
      <c r="AD722" s="27">
        <v>-4.0</v>
      </c>
      <c r="AE722" s="27"/>
      <c r="AF722" s="27">
        <v>-4.0</v>
      </c>
      <c r="AG722" s="27"/>
      <c r="AH722" s="27">
        <v>148.0</v>
      </c>
      <c r="AI722" s="27">
        <v>91.0</v>
      </c>
      <c r="AJ722" s="27">
        <v>2.0</v>
      </c>
      <c r="AK722" s="27" t="b">
        <v>1</v>
      </c>
      <c r="AL722" s="27">
        <v>100.0</v>
      </c>
      <c r="AM722" s="27" t="s">
        <v>191</v>
      </c>
      <c r="AN722" s="27" t="s">
        <v>404</v>
      </c>
      <c r="AO722" s="27"/>
    </row>
    <row r="723">
      <c r="A723" s="200">
        <v>44838.02510101852</v>
      </c>
      <c r="B723" s="19" t="s">
        <v>131</v>
      </c>
      <c r="C723" s="21" t="s">
        <v>204</v>
      </c>
      <c r="D723" s="62">
        <v>3.0</v>
      </c>
      <c r="E723" s="27">
        <v>3.0</v>
      </c>
      <c r="F723" s="27" t="s">
        <v>1588</v>
      </c>
      <c r="G723" s="201" t="s">
        <v>57</v>
      </c>
      <c r="H723" s="27" t="s">
        <v>53</v>
      </c>
      <c r="I723" s="27"/>
      <c r="J723" s="33">
        <v>1.0</v>
      </c>
      <c r="K723" s="33">
        <v>3.0</v>
      </c>
      <c r="L723" s="66">
        <v>67.5</v>
      </c>
      <c r="M723" s="27" t="s">
        <v>1598</v>
      </c>
      <c r="N723" s="27">
        <v>3.0</v>
      </c>
      <c r="O723" s="27"/>
      <c r="P723" s="27">
        <v>3.0</v>
      </c>
      <c r="Q723" s="27"/>
      <c r="R723" s="27">
        <v>3.0</v>
      </c>
      <c r="S723" s="27"/>
      <c r="T723" s="27">
        <v>3.0</v>
      </c>
      <c r="U723" s="27"/>
      <c r="V723" s="27">
        <v>3.0</v>
      </c>
      <c r="W723" s="27"/>
      <c r="X723" s="27">
        <v>3.0</v>
      </c>
      <c r="Y723" s="27"/>
      <c r="Z723" s="27">
        <v>2.5</v>
      </c>
      <c r="AA723" s="27"/>
      <c r="AB723" s="27">
        <v>3.0</v>
      </c>
      <c r="AC723" s="27"/>
      <c r="AD723" s="27">
        <v>3.0</v>
      </c>
      <c r="AE723" s="27"/>
      <c r="AF723" s="27">
        <v>3.0</v>
      </c>
      <c r="AG723" s="27"/>
      <c r="AH723" s="27">
        <v>206.0</v>
      </c>
      <c r="AI723" s="27">
        <v>218.0</v>
      </c>
      <c r="AJ723" s="27">
        <v>2.0</v>
      </c>
      <c r="AK723" s="27" t="b">
        <v>0</v>
      </c>
      <c r="AL723" s="27">
        <v>100.0</v>
      </c>
      <c r="AM723" s="27" t="s">
        <v>189</v>
      </c>
      <c r="AN723" s="27" t="s">
        <v>405</v>
      </c>
      <c r="AO723" s="27"/>
    </row>
    <row r="724">
      <c r="A724" s="200">
        <v>44838.02510101852</v>
      </c>
      <c r="B724" s="19" t="s">
        <v>131</v>
      </c>
      <c r="C724" s="21" t="s">
        <v>208</v>
      </c>
      <c r="D724" s="62">
        <v>2.0</v>
      </c>
      <c r="E724" s="27">
        <v>3.0</v>
      </c>
      <c r="F724" s="27" t="s">
        <v>1599</v>
      </c>
      <c r="G724" s="201" t="s">
        <v>57</v>
      </c>
      <c r="H724" s="27" t="s">
        <v>109</v>
      </c>
      <c r="I724" s="27"/>
      <c r="J724" s="33">
        <v>1.0</v>
      </c>
      <c r="K724" s="33">
        <v>3.0</v>
      </c>
      <c r="L724" s="66">
        <v>51.0</v>
      </c>
      <c r="M724" s="27" t="s">
        <v>1600</v>
      </c>
      <c r="N724" s="27">
        <v>3.0</v>
      </c>
      <c r="O724" s="27"/>
      <c r="P724" s="27">
        <v>3.0</v>
      </c>
      <c r="Q724" s="27"/>
      <c r="R724" s="27">
        <v>3.0</v>
      </c>
      <c r="S724" s="27"/>
      <c r="T724" s="27">
        <v>3.0</v>
      </c>
      <c r="U724" s="27"/>
      <c r="V724" s="27">
        <v>3.0</v>
      </c>
      <c r="W724" s="27"/>
      <c r="X724" s="27">
        <v>3.0</v>
      </c>
      <c r="Y724" s="27"/>
      <c r="Z724" s="27">
        <v>3.0</v>
      </c>
      <c r="AA724" s="27"/>
      <c r="AB724" s="27">
        <v>3.0</v>
      </c>
      <c r="AC724" s="27"/>
      <c r="AD724" s="27"/>
      <c r="AE724" s="27"/>
      <c r="AF724" s="27"/>
      <c r="AG724" s="27"/>
      <c r="AH724" s="27">
        <v>98.0</v>
      </c>
      <c r="AI724" s="27">
        <v>127.0</v>
      </c>
      <c r="AJ724" s="27">
        <v>2.0</v>
      </c>
      <c r="AK724" s="27" t="b">
        <v>0</v>
      </c>
      <c r="AL724" s="27">
        <v>100.0</v>
      </c>
      <c r="AM724" s="27" t="s">
        <v>190</v>
      </c>
      <c r="AN724" s="27" t="s">
        <v>405</v>
      </c>
      <c r="AO724" s="27"/>
    </row>
    <row r="725">
      <c r="A725" s="200">
        <v>44838.02510101852</v>
      </c>
      <c r="B725" s="19" t="s">
        <v>131</v>
      </c>
      <c r="C725" s="21" t="s">
        <v>217</v>
      </c>
      <c r="D725" s="62">
        <v>5.0</v>
      </c>
      <c r="E725" s="27">
        <v>0.0</v>
      </c>
      <c r="F725" s="27" t="s">
        <v>1601</v>
      </c>
      <c r="G725" s="201" t="s">
        <v>57</v>
      </c>
      <c r="H725" s="27" t="s">
        <v>148</v>
      </c>
      <c r="I725" s="27"/>
      <c r="J725" s="33">
        <v>3.5</v>
      </c>
      <c r="K725" s="33">
        <v>3.5</v>
      </c>
      <c r="L725" s="66">
        <v>58.5</v>
      </c>
      <c r="M725" s="27" t="s">
        <v>1602</v>
      </c>
      <c r="N725" s="27">
        <v>3.5</v>
      </c>
      <c r="O725" s="27"/>
      <c r="P725" s="27">
        <v>3.5</v>
      </c>
      <c r="Q725" s="27"/>
      <c r="R725" s="27">
        <v>4.0</v>
      </c>
      <c r="S725" s="27"/>
      <c r="T725" s="27">
        <v>3.5</v>
      </c>
      <c r="U725" s="27"/>
      <c r="V725" s="27">
        <v>3.5</v>
      </c>
      <c r="W725" s="27"/>
      <c r="X725" s="27">
        <v>3.5</v>
      </c>
      <c r="Y725" s="27"/>
      <c r="Z725" s="27">
        <v>3.5</v>
      </c>
      <c r="AA725" s="27"/>
      <c r="AB725" s="27">
        <v>3.5</v>
      </c>
      <c r="AC725" s="27"/>
      <c r="AD725" s="27">
        <v>3.5</v>
      </c>
      <c r="AE725" s="27"/>
      <c r="AF725" s="27">
        <v>3.5</v>
      </c>
      <c r="AG725" s="27"/>
      <c r="AH725" s="27">
        <v>208.0</v>
      </c>
      <c r="AI725" s="27">
        <v>120.0</v>
      </c>
      <c r="AJ725" s="27">
        <v>2.0</v>
      </c>
      <c r="AK725" s="27" t="b">
        <v>1</v>
      </c>
      <c r="AL725" s="27">
        <v>100.0</v>
      </c>
      <c r="AM725" s="27" t="s">
        <v>187</v>
      </c>
      <c r="AN725" s="27" t="s">
        <v>404</v>
      </c>
      <c r="AO725" s="27"/>
    </row>
    <row r="726">
      <c r="A726" s="200">
        <v>44838.02510101852</v>
      </c>
      <c r="B726" s="19" t="s">
        <v>131</v>
      </c>
      <c r="C726" s="21" t="s">
        <v>210</v>
      </c>
      <c r="D726" s="62">
        <v>1.0</v>
      </c>
      <c r="E726" s="27">
        <v>4.0</v>
      </c>
      <c r="F726" s="27" t="s">
        <v>1603</v>
      </c>
      <c r="G726" s="201" t="s">
        <v>57</v>
      </c>
      <c r="H726" s="27" t="s">
        <v>144</v>
      </c>
      <c r="I726" s="27"/>
      <c r="J726" s="33">
        <v>8.5</v>
      </c>
      <c r="K726" s="33">
        <v>9.5</v>
      </c>
      <c r="L726" s="66">
        <v>56.5</v>
      </c>
      <c r="M726" s="27" t="s">
        <v>1584</v>
      </c>
      <c r="N726" s="27">
        <v>9.5</v>
      </c>
      <c r="O726" s="27"/>
      <c r="P726" s="27">
        <v>10.0</v>
      </c>
      <c r="Q726" s="27"/>
      <c r="R726" s="27">
        <v>10.0</v>
      </c>
      <c r="S726" s="27"/>
      <c r="T726" s="27">
        <v>9.5</v>
      </c>
      <c r="U726" s="27"/>
      <c r="V726" s="27">
        <v>9.5</v>
      </c>
      <c r="W726" s="27"/>
      <c r="X726" s="27">
        <v>9.5</v>
      </c>
      <c r="Y726" s="27"/>
      <c r="Z726" s="27">
        <v>9.5</v>
      </c>
      <c r="AA726" s="27"/>
      <c r="AB726" s="27">
        <v>9.5</v>
      </c>
      <c r="AC726" s="27"/>
      <c r="AD726" s="27">
        <v>9.5</v>
      </c>
      <c r="AE726" s="27"/>
      <c r="AF726" s="27">
        <v>9.5</v>
      </c>
      <c r="AG726" s="27"/>
      <c r="AH726" s="27">
        <v>122.0</v>
      </c>
      <c r="AI726" s="27">
        <v>190.0</v>
      </c>
      <c r="AJ726" s="27">
        <v>2.0</v>
      </c>
      <c r="AK726" s="27" t="b">
        <v>1</v>
      </c>
      <c r="AL726" s="27">
        <v>100.0</v>
      </c>
      <c r="AM726" s="27" t="s">
        <v>389</v>
      </c>
      <c r="AN726" s="27" t="s">
        <v>405</v>
      </c>
      <c r="AO726" s="27"/>
    </row>
    <row r="727">
      <c r="A727" s="200">
        <v>44838.02510101852</v>
      </c>
      <c r="B727" s="19" t="s">
        <v>131</v>
      </c>
      <c r="C727" s="21" t="s">
        <v>197</v>
      </c>
      <c r="D727" s="62">
        <v>2.0</v>
      </c>
      <c r="E727" s="27">
        <v>3.0</v>
      </c>
      <c r="F727" s="27" t="s">
        <v>1604</v>
      </c>
      <c r="G727" s="201" t="s">
        <v>57</v>
      </c>
      <c r="H727" s="27" t="s">
        <v>144</v>
      </c>
      <c r="I727" s="27"/>
      <c r="J727" s="33">
        <v>-10.0</v>
      </c>
      <c r="K727" s="33">
        <v>-6.5</v>
      </c>
      <c r="L727" s="66">
        <v>43.5</v>
      </c>
      <c r="M727" s="27" t="s">
        <v>1605</v>
      </c>
      <c r="N727" s="27">
        <v>-6.5</v>
      </c>
      <c r="O727" s="27"/>
      <c r="P727" s="27">
        <v>-6.5</v>
      </c>
      <c r="Q727" s="27"/>
      <c r="R727" s="27">
        <v>-6.5</v>
      </c>
      <c r="S727" s="27"/>
      <c r="T727" s="27">
        <v>-6.5</v>
      </c>
      <c r="U727" s="27"/>
      <c r="V727" s="27">
        <v>-6.5</v>
      </c>
      <c r="W727" s="27"/>
      <c r="X727" s="27">
        <v>-6.0</v>
      </c>
      <c r="Y727" s="27"/>
      <c r="Z727" s="27">
        <v>-6.5</v>
      </c>
      <c r="AA727" s="27"/>
      <c r="AB727" s="27">
        <v>-6.0</v>
      </c>
      <c r="AC727" s="27"/>
      <c r="AD727" s="27">
        <v>-6.5</v>
      </c>
      <c r="AE727" s="27"/>
      <c r="AF727" s="27">
        <v>-6.5</v>
      </c>
      <c r="AG727" s="27"/>
      <c r="AH727" s="27">
        <v>149.0</v>
      </c>
      <c r="AI727" s="27">
        <v>110.0</v>
      </c>
      <c r="AJ727" s="27">
        <v>2.0</v>
      </c>
      <c r="AK727" s="27" t="b">
        <v>0</v>
      </c>
      <c r="AL727" s="27">
        <v>100.0</v>
      </c>
      <c r="AM727" s="27" t="s">
        <v>188</v>
      </c>
      <c r="AN727" s="27" t="s">
        <v>404</v>
      </c>
      <c r="AO727" s="27"/>
    </row>
    <row r="728">
      <c r="A728" s="200">
        <v>44838.02510101852</v>
      </c>
      <c r="B728" s="19" t="s">
        <v>131</v>
      </c>
      <c r="C728" s="21" t="s">
        <v>219</v>
      </c>
      <c r="D728" s="62">
        <v>2.0</v>
      </c>
      <c r="E728" s="27">
        <v>3.0</v>
      </c>
      <c r="F728" s="27" t="s">
        <v>1606</v>
      </c>
      <c r="G728" s="201" t="s">
        <v>57</v>
      </c>
      <c r="H728" s="27" t="s">
        <v>148</v>
      </c>
      <c r="I728" s="27"/>
      <c r="J728" s="33">
        <v>6.5</v>
      </c>
      <c r="K728" s="33">
        <v>6.0</v>
      </c>
      <c r="L728" s="66">
        <v>38.0</v>
      </c>
      <c r="M728" s="27" t="s">
        <v>1143</v>
      </c>
      <c r="N728" s="27">
        <v>6.5</v>
      </c>
      <c r="O728" s="27"/>
      <c r="P728" s="27">
        <v>6.0</v>
      </c>
      <c r="Q728" s="27"/>
      <c r="R728" s="27">
        <v>6.0</v>
      </c>
      <c r="S728" s="27"/>
      <c r="T728" s="27">
        <v>6.0</v>
      </c>
      <c r="U728" s="27"/>
      <c r="V728" s="27">
        <v>6.0</v>
      </c>
      <c r="W728" s="27"/>
      <c r="X728" s="27">
        <v>6.0</v>
      </c>
      <c r="Y728" s="27"/>
      <c r="Z728" s="27">
        <v>6.5</v>
      </c>
      <c r="AA728" s="27"/>
      <c r="AB728" s="27">
        <v>6.0</v>
      </c>
      <c r="AC728" s="27"/>
      <c r="AD728" s="27">
        <v>6.0</v>
      </c>
      <c r="AE728" s="27"/>
      <c r="AF728" s="27">
        <v>6.0</v>
      </c>
      <c r="AG728" s="27"/>
      <c r="AH728" s="27">
        <v>95.0</v>
      </c>
      <c r="AI728" s="27">
        <v>129.0</v>
      </c>
      <c r="AJ728" s="27">
        <v>2.0</v>
      </c>
      <c r="AK728" s="27" t="b">
        <v>0</v>
      </c>
      <c r="AL728" s="27">
        <v>100.0</v>
      </c>
      <c r="AM728" s="27" t="s">
        <v>129</v>
      </c>
      <c r="AN728" s="27" t="s">
        <v>405</v>
      </c>
      <c r="AO728" s="27"/>
    </row>
    <row r="729">
      <c r="A729" s="200">
        <v>44838.02510101852</v>
      </c>
      <c r="B729" s="19"/>
      <c r="C729" s="21"/>
      <c r="D729" s="62"/>
      <c r="E729" s="27"/>
      <c r="F729" s="27"/>
      <c r="G729" s="201"/>
      <c r="H729" s="27"/>
      <c r="I729" s="27"/>
      <c r="J729" s="33"/>
      <c r="K729" s="33"/>
      <c r="L729" s="66"/>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t="e">
        <v>#N/A</v>
      </c>
      <c r="AN729" s="27" t="e">
        <v>#N/A</v>
      </c>
      <c r="AO729" s="27"/>
    </row>
    <row r="730">
      <c r="A730" s="200">
        <v>44838.02510101852</v>
      </c>
      <c r="B730" s="19" t="s">
        <v>178</v>
      </c>
      <c r="C730" s="21" t="s">
        <v>257</v>
      </c>
      <c r="D730" s="62">
        <v>3.0</v>
      </c>
      <c r="E730" s="27">
        <v>2.0</v>
      </c>
      <c r="F730" s="27" t="s">
        <v>1607</v>
      </c>
      <c r="G730" s="201" t="s">
        <v>57</v>
      </c>
      <c r="H730" s="27" t="s">
        <v>144</v>
      </c>
      <c r="I730" s="27"/>
      <c r="J730" s="33">
        <v>9.5</v>
      </c>
      <c r="K730" s="33">
        <v>10.0</v>
      </c>
      <c r="L730" s="66">
        <v>70.0</v>
      </c>
      <c r="M730" s="27" t="s">
        <v>1608</v>
      </c>
      <c r="N730" s="27">
        <v>9.5</v>
      </c>
      <c r="O730" s="27"/>
      <c r="P730" s="27">
        <v>10.0</v>
      </c>
      <c r="Q730" s="27"/>
      <c r="R730" s="27">
        <v>10.0</v>
      </c>
      <c r="S730" s="27"/>
      <c r="T730" s="27">
        <v>10.0</v>
      </c>
      <c r="U730" s="27"/>
      <c r="V730" s="27">
        <v>10.0</v>
      </c>
      <c r="W730" s="27"/>
      <c r="X730" s="27">
        <v>10.0</v>
      </c>
      <c r="Y730" s="27"/>
      <c r="Z730" s="27">
        <v>10.0</v>
      </c>
      <c r="AA730" s="27"/>
      <c r="AB730" s="27">
        <v>10.0</v>
      </c>
      <c r="AC730" s="27"/>
      <c r="AD730" s="27">
        <v>10.0</v>
      </c>
      <c r="AE730" s="27"/>
      <c r="AF730" s="27">
        <v>10.0</v>
      </c>
      <c r="AG730" s="27"/>
      <c r="AH730" s="27">
        <v>189.0</v>
      </c>
      <c r="AI730" s="27">
        <v>141.0</v>
      </c>
      <c r="AJ730" s="27">
        <v>2.0</v>
      </c>
      <c r="AK730" s="27" t="b">
        <v>0</v>
      </c>
      <c r="AL730" s="27">
        <v>100.0</v>
      </c>
      <c r="AM730" s="27" t="s">
        <v>193</v>
      </c>
      <c r="AN730" s="27" t="s">
        <v>405</v>
      </c>
      <c r="AO730" s="27"/>
    </row>
    <row r="731">
      <c r="A731" s="200">
        <v>44838.02510101852</v>
      </c>
      <c r="B731" s="19" t="s">
        <v>178</v>
      </c>
      <c r="C731" s="21" t="s">
        <v>271</v>
      </c>
      <c r="D731" s="62">
        <v>3.0</v>
      </c>
      <c r="E731" s="27">
        <v>2.0</v>
      </c>
      <c r="F731" s="27" t="s">
        <v>1609</v>
      </c>
      <c r="G731" s="201" t="s">
        <v>57</v>
      </c>
      <c r="H731" s="27" t="s">
        <v>141</v>
      </c>
      <c r="I731" s="27"/>
      <c r="J731" s="33">
        <v>-5.0</v>
      </c>
      <c r="K731" s="33">
        <v>-4.5</v>
      </c>
      <c r="L731" s="66">
        <v>54.5</v>
      </c>
      <c r="M731" s="27" t="s">
        <v>1610</v>
      </c>
      <c r="N731" s="27">
        <v>-5.0</v>
      </c>
      <c r="O731" s="27"/>
      <c r="P731" s="27">
        <v>-5.5</v>
      </c>
      <c r="Q731" s="27"/>
      <c r="R731" s="27">
        <v>-5.0</v>
      </c>
      <c r="S731" s="27"/>
      <c r="T731" s="27">
        <v>-4.5</v>
      </c>
      <c r="U731" s="27"/>
      <c r="V731" s="27">
        <v>-5.5</v>
      </c>
      <c r="W731" s="27"/>
      <c r="X731" s="27">
        <v>-5.5</v>
      </c>
      <c r="Y731" s="27"/>
      <c r="Z731" s="27">
        <v>-5.5</v>
      </c>
      <c r="AA731" s="27"/>
      <c r="AB731" s="27">
        <v>-5.0</v>
      </c>
      <c r="AC731" s="27"/>
      <c r="AD731" s="27">
        <v>-4.5</v>
      </c>
      <c r="AE731" s="27"/>
      <c r="AF731" s="27">
        <v>-4.5</v>
      </c>
      <c r="AG731" s="27"/>
      <c r="AH731" s="27">
        <v>217.0</v>
      </c>
      <c r="AI731" s="27">
        <v>111.0</v>
      </c>
      <c r="AJ731" s="27">
        <v>2.0</v>
      </c>
      <c r="AK731" s="27" t="b">
        <v>1</v>
      </c>
      <c r="AL731" s="27">
        <v>100.0</v>
      </c>
      <c r="AM731" s="27" t="s">
        <v>189</v>
      </c>
      <c r="AN731" s="27" t="s">
        <v>405</v>
      </c>
      <c r="AO731" s="27"/>
    </row>
    <row r="732">
      <c r="A732" s="200">
        <v>44838.02510101852</v>
      </c>
      <c r="B732" s="19" t="s">
        <v>178</v>
      </c>
      <c r="C732" s="21" t="s">
        <v>269</v>
      </c>
      <c r="D732" s="62">
        <v>4.0</v>
      </c>
      <c r="E732" s="27">
        <v>1.0</v>
      </c>
      <c r="F732" s="27" t="s">
        <v>1611</v>
      </c>
      <c r="G732" s="201" t="s">
        <v>57</v>
      </c>
      <c r="H732" s="27" t="s">
        <v>148</v>
      </c>
      <c r="I732" s="27"/>
      <c r="J732" s="33">
        <v>-1.5</v>
      </c>
      <c r="K732" s="33">
        <v>-4.5</v>
      </c>
      <c r="L732" s="66">
        <v>45.0</v>
      </c>
      <c r="M732" s="27" t="s">
        <v>1612</v>
      </c>
      <c r="N732" s="27">
        <v>-4.5</v>
      </c>
      <c r="O732" s="27"/>
      <c r="P732" s="27">
        <v>-4.0</v>
      </c>
      <c r="Q732" s="27"/>
      <c r="R732" s="27">
        <v>-4.0</v>
      </c>
      <c r="S732" s="27"/>
      <c r="T732" s="27">
        <v>-4.5</v>
      </c>
      <c r="U732" s="27"/>
      <c r="V732" s="27">
        <v>-4.0</v>
      </c>
      <c r="W732" s="27"/>
      <c r="X732" s="27">
        <v>-4.0</v>
      </c>
      <c r="Y732" s="27"/>
      <c r="Z732" s="27">
        <v>-4.5</v>
      </c>
      <c r="AA732" s="27"/>
      <c r="AB732" s="27">
        <v>-4.0</v>
      </c>
      <c r="AC732" s="27"/>
      <c r="AD732" s="27">
        <v>-4.5</v>
      </c>
      <c r="AE732" s="27"/>
      <c r="AF732" s="27">
        <v>-4.5</v>
      </c>
      <c r="AG732" s="27"/>
      <c r="AH732" s="27">
        <v>191.0</v>
      </c>
      <c r="AI732" s="27">
        <v>109.0</v>
      </c>
      <c r="AJ732" s="27">
        <v>2.0</v>
      </c>
      <c r="AK732" s="27" t="b">
        <v>1</v>
      </c>
      <c r="AL732" s="27">
        <v>100.0</v>
      </c>
      <c r="AM732" s="27" t="s">
        <v>192</v>
      </c>
      <c r="AN732" s="27" t="s">
        <v>404</v>
      </c>
      <c r="AO732" s="27"/>
    </row>
    <row r="733">
      <c r="A733" s="200">
        <v>44838.02510101852</v>
      </c>
      <c r="B733" s="19" t="s">
        <v>178</v>
      </c>
      <c r="C733" s="21" t="s">
        <v>265</v>
      </c>
      <c r="D733" s="62">
        <v>3.0</v>
      </c>
      <c r="E733" s="27">
        <v>2.0</v>
      </c>
      <c r="F733" s="27" t="s">
        <v>1613</v>
      </c>
      <c r="G733" s="201" t="s">
        <v>57</v>
      </c>
      <c r="H733" s="27" t="s">
        <v>59</v>
      </c>
      <c r="I733" s="27"/>
      <c r="J733" s="33">
        <v>-7.0</v>
      </c>
      <c r="K733" s="33">
        <v>-6.5</v>
      </c>
      <c r="L733" s="66">
        <v>55.5</v>
      </c>
      <c r="M733" s="27" t="s">
        <v>1614</v>
      </c>
      <c r="N733" s="27">
        <v>-6.5</v>
      </c>
      <c r="O733" s="27"/>
      <c r="P733" s="27">
        <v>-6.5</v>
      </c>
      <c r="Q733" s="27"/>
      <c r="R733" s="27">
        <v>-7.0</v>
      </c>
      <c r="S733" s="27"/>
      <c r="T733" s="27">
        <v>-6.5</v>
      </c>
      <c r="U733" s="27"/>
      <c r="V733" s="27">
        <v>-6.5</v>
      </c>
      <c r="W733" s="27"/>
      <c r="X733" s="27">
        <v>-6.5</v>
      </c>
      <c r="Y733" s="27"/>
      <c r="Z733" s="27">
        <v>-6.5</v>
      </c>
      <c r="AA733" s="27"/>
      <c r="AB733" s="27">
        <v>-6.5</v>
      </c>
      <c r="AC733" s="27"/>
      <c r="AD733" s="27">
        <v>-6.5</v>
      </c>
      <c r="AE733" s="27"/>
      <c r="AF733" s="27"/>
      <c r="AG733" s="27"/>
      <c r="AH733" s="27">
        <v>165.0</v>
      </c>
      <c r="AI733" s="27">
        <v>121.0</v>
      </c>
      <c r="AJ733" s="27">
        <v>2.0</v>
      </c>
      <c r="AK733" s="27" t="b">
        <v>1</v>
      </c>
      <c r="AL733" s="27">
        <v>100.0</v>
      </c>
      <c r="AM733" s="27" t="s">
        <v>190</v>
      </c>
      <c r="AN733" s="27" t="s">
        <v>405</v>
      </c>
      <c r="AO733" s="27"/>
    </row>
    <row r="734">
      <c r="A734" s="200">
        <v>44838.02510101852</v>
      </c>
      <c r="B734" s="19" t="s">
        <v>178</v>
      </c>
      <c r="C734" s="21" t="s">
        <v>259</v>
      </c>
      <c r="D734" s="62">
        <v>4.0</v>
      </c>
      <c r="E734" s="27">
        <v>1.0</v>
      </c>
      <c r="F734" s="27" t="s">
        <v>1615</v>
      </c>
      <c r="G734" s="201" t="s">
        <v>57</v>
      </c>
      <c r="H734" s="27" t="s">
        <v>103</v>
      </c>
      <c r="I734" s="27"/>
      <c r="J734" s="33">
        <v>2.0</v>
      </c>
      <c r="K734" s="33">
        <v>6.0</v>
      </c>
      <c r="L734" s="66">
        <v>67.0</v>
      </c>
      <c r="M734" s="27" t="s">
        <v>1616</v>
      </c>
      <c r="N734" s="27">
        <v>6.0</v>
      </c>
      <c r="O734" s="27"/>
      <c r="P734" s="27">
        <v>6.0</v>
      </c>
      <c r="Q734" s="27"/>
      <c r="R734" s="27">
        <v>6.0</v>
      </c>
      <c r="S734" s="27"/>
      <c r="T734" s="27">
        <v>5.5</v>
      </c>
      <c r="U734" s="27"/>
      <c r="V734" s="27">
        <v>6.0</v>
      </c>
      <c r="W734" s="27"/>
      <c r="X734" s="27">
        <v>6.0</v>
      </c>
      <c r="Y734" s="27"/>
      <c r="Z734" s="27">
        <v>6.0</v>
      </c>
      <c r="AA734" s="27"/>
      <c r="AB734" s="27">
        <v>6.0</v>
      </c>
      <c r="AC734" s="27"/>
      <c r="AD734" s="27">
        <v>5.5</v>
      </c>
      <c r="AE734" s="27"/>
      <c r="AF734" s="27">
        <v>5.5</v>
      </c>
      <c r="AG734" s="27"/>
      <c r="AH734" s="27">
        <v>202.0</v>
      </c>
      <c r="AI734" s="27">
        <v>143.0</v>
      </c>
      <c r="AJ734" s="27">
        <v>2.0</v>
      </c>
      <c r="AK734" s="27" t="b">
        <v>1</v>
      </c>
      <c r="AL734" s="27">
        <v>100.0</v>
      </c>
      <c r="AM734" s="27" t="s">
        <v>186</v>
      </c>
      <c r="AN734" s="27" t="s">
        <v>404</v>
      </c>
      <c r="AO734" s="27"/>
    </row>
    <row r="735">
      <c r="A735" s="200">
        <v>44838.02510101852</v>
      </c>
      <c r="B735" s="19" t="s">
        <v>178</v>
      </c>
      <c r="C735" s="21" t="s">
        <v>272</v>
      </c>
      <c r="D735" s="62">
        <v>3.0</v>
      </c>
      <c r="E735" s="27">
        <v>2.0</v>
      </c>
      <c r="F735" s="27" t="s">
        <v>1617</v>
      </c>
      <c r="G735" s="201" t="s">
        <v>57</v>
      </c>
      <c r="H735" s="27" t="s">
        <v>59</v>
      </c>
      <c r="I735" s="27"/>
      <c r="J735" s="33">
        <v>7.0</v>
      </c>
      <c r="K735" s="33">
        <v>7.5</v>
      </c>
      <c r="L735" s="66">
        <v>56.0</v>
      </c>
      <c r="M735" s="27" t="s">
        <v>1618</v>
      </c>
      <c r="N735" s="27">
        <v>7.5</v>
      </c>
      <c r="O735" s="27"/>
      <c r="P735" s="27">
        <v>7.5</v>
      </c>
      <c r="Q735" s="27"/>
      <c r="R735" s="27">
        <v>7.5</v>
      </c>
      <c r="S735" s="27"/>
      <c r="T735" s="27">
        <v>8.0</v>
      </c>
      <c r="U735" s="27"/>
      <c r="V735" s="27">
        <v>7.5</v>
      </c>
      <c r="W735" s="27"/>
      <c r="X735" s="27">
        <v>7.5</v>
      </c>
      <c r="Y735" s="27"/>
      <c r="Z735" s="27">
        <v>7.5</v>
      </c>
      <c r="AA735" s="27"/>
      <c r="AB735" s="27">
        <v>7.5</v>
      </c>
      <c r="AC735" s="27"/>
      <c r="AD735" s="27">
        <v>8.0</v>
      </c>
      <c r="AE735" s="27"/>
      <c r="AF735" s="27">
        <v>8.0</v>
      </c>
      <c r="AG735" s="27"/>
      <c r="AH735" s="27">
        <v>175.0</v>
      </c>
      <c r="AI735" s="27">
        <v>138.0</v>
      </c>
      <c r="AJ735" s="27">
        <v>2.0</v>
      </c>
      <c r="AK735" s="27" t="b">
        <v>0</v>
      </c>
      <c r="AL735" s="27">
        <v>100.0</v>
      </c>
      <c r="AM735" s="27" t="s">
        <v>187</v>
      </c>
      <c r="AN735" s="27" t="s">
        <v>404</v>
      </c>
      <c r="AO735" s="27"/>
    </row>
    <row r="736">
      <c r="A736" s="200">
        <v>44838.02510101852</v>
      </c>
      <c r="B736" s="19" t="s">
        <v>178</v>
      </c>
      <c r="C736" s="21" t="s">
        <v>240</v>
      </c>
      <c r="D736" s="62">
        <v>4.0</v>
      </c>
      <c r="E736" s="27">
        <v>1.0</v>
      </c>
      <c r="F736" s="27" t="s">
        <v>1619</v>
      </c>
      <c r="G736" s="201" t="s">
        <v>57</v>
      </c>
      <c r="H736" s="27" t="s">
        <v>148</v>
      </c>
      <c r="I736" s="27"/>
      <c r="J736" s="33">
        <v>-7.5</v>
      </c>
      <c r="K736" s="33">
        <v>-9.5</v>
      </c>
      <c r="L736" s="66">
        <v>53.0</v>
      </c>
      <c r="M736" s="27" t="s">
        <v>1620</v>
      </c>
      <c r="N736" s="27">
        <v>-9.5</v>
      </c>
      <c r="O736" s="27"/>
      <c r="P736" s="27">
        <v>-9.0</v>
      </c>
      <c r="Q736" s="27"/>
      <c r="R736" s="27">
        <v>-9.0</v>
      </c>
      <c r="S736" s="27"/>
      <c r="T736" s="27">
        <v>-9.5</v>
      </c>
      <c r="U736" s="27"/>
      <c r="V736" s="27">
        <v>-9.0</v>
      </c>
      <c r="W736" s="27"/>
      <c r="X736" s="27">
        <v>-9.0</v>
      </c>
      <c r="Y736" s="27"/>
      <c r="Z736" s="27">
        <v>-9.5</v>
      </c>
      <c r="AA736" s="27"/>
      <c r="AB736" s="27">
        <v>-11.5</v>
      </c>
      <c r="AC736" s="27"/>
      <c r="AD736" s="27">
        <v>-9.5</v>
      </c>
      <c r="AE736" s="27"/>
      <c r="AF736" s="27">
        <v>-9.5</v>
      </c>
      <c r="AG736" s="27"/>
      <c r="AH736" s="27">
        <v>193.0</v>
      </c>
      <c r="AI736" s="27">
        <v>44.0</v>
      </c>
      <c r="AJ736" s="27">
        <v>2.0</v>
      </c>
      <c r="AK736" s="27" t="b">
        <v>0</v>
      </c>
      <c r="AL736" s="27">
        <v>100.0</v>
      </c>
      <c r="AM736" s="27" t="s">
        <v>188</v>
      </c>
      <c r="AN736" s="27" t="s">
        <v>404</v>
      </c>
      <c r="AO736" s="27"/>
    </row>
    <row r="737">
      <c r="A737" s="200">
        <v>44838.02510101852</v>
      </c>
      <c r="B737" s="19" t="s">
        <v>178</v>
      </c>
      <c r="C737" s="21" t="s">
        <v>263</v>
      </c>
      <c r="D737" s="62">
        <v>2.0</v>
      </c>
      <c r="E737" s="27">
        <v>3.0</v>
      </c>
      <c r="F737" s="27" t="s">
        <v>1621</v>
      </c>
      <c r="G737" s="201" t="s">
        <v>57</v>
      </c>
      <c r="H737" s="27" t="s">
        <v>59</v>
      </c>
      <c r="I737" s="27"/>
      <c r="J737" s="33">
        <v>14.5</v>
      </c>
      <c r="K737" s="33">
        <v>14.0</v>
      </c>
      <c r="L737" s="66">
        <v>44.5</v>
      </c>
      <c r="M737" s="27" t="s">
        <v>1622</v>
      </c>
      <c r="N737" s="27">
        <v>14.0</v>
      </c>
      <c r="O737" s="27"/>
      <c r="P737" s="27">
        <v>14.0</v>
      </c>
      <c r="Q737" s="27"/>
      <c r="R737" s="27">
        <v>14.0</v>
      </c>
      <c r="S737" s="27"/>
      <c r="T737" s="27">
        <v>14.0</v>
      </c>
      <c r="U737" s="27"/>
      <c r="V737" s="27">
        <v>14.0</v>
      </c>
      <c r="W737" s="27"/>
      <c r="X737" s="27">
        <v>14.0</v>
      </c>
      <c r="Y737" s="27"/>
      <c r="Z737" s="27">
        <v>14.0</v>
      </c>
      <c r="AA737" s="27"/>
      <c r="AB737" s="27">
        <v>14.0</v>
      </c>
      <c r="AC737" s="27"/>
      <c r="AD737" s="27">
        <v>14.0</v>
      </c>
      <c r="AE737" s="27"/>
      <c r="AF737" s="27">
        <v>14.0</v>
      </c>
      <c r="AG737" s="27"/>
      <c r="AH737" s="27">
        <v>102.0</v>
      </c>
      <c r="AI737" s="27">
        <v>110.0</v>
      </c>
      <c r="AJ737" s="27">
        <v>2.0</v>
      </c>
      <c r="AK737" s="27" t="b">
        <v>1</v>
      </c>
      <c r="AL737" s="27">
        <v>100.0</v>
      </c>
      <c r="AM737" s="27" t="s">
        <v>129</v>
      </c>
      <c r="AN737" s="27" t="s">
        <v>405</v>
      </c>
      <c r="AO737" s="27"/>
    </row>
    <row r="738">
      <c r="A738" s="200">
        <v>44838.02510101852</v>
      </c>
      <c r="B738" s="19" t="s">
        <v>178</v>
      </c>
      <c r="C738" s="21" t="s">
        <v>261</v>
      </c>
      <c r="D738" s="62">
        <v>5.0</v>
      </c>
      <c r="E738" s="27">
        <v>0.0</v>
      </c>
      <c r="F738" s="27" t="s">
        <v>1623</v>
      </c>
      <c r="G738" s="201" t="s">
        <v>57</v>
      </c>
      <c r="H738" s="27" t="s">
        <v>148</v>
      </c>
      <c r="I738" s="27"/>
      <c r="J738" s="33">
        <v>2.5</v>
      </c>
      <c r="K738" s="33">
        <v>2.5</v>
      </c>
      <c r="L738" s="66">
        <v>65.0</v>
      </c>
      <c r="M738" s="27" t="s">
        <v>1624</v>
      </c>
      <c r="N738" s="27">
        <v>2.5</v>
      </c>
      <c r="O738" s="27"/>
      <c r="P738" s="27">
        <v>2.5</v>
      </c>
      <c r="Q738" s="27"/>
      <c r="R738" s="27">
        <v>2.5</v>
      </c>
      <c r="S738" s="27"/>
      <c r="T738" s="27">
        <v>2.5</v>
      </c>
      <c r="U738" s="27"/>
      <c r="V738" s="27">
        <v>2.5</v>
      </c>
      <c r="W738" s="27"/>
      <c r="X738" s="27">
        <v>2.5</v>
      </c>
      <c r="Y738" s="27"/>
      <c r="Z738" s="27">
        <v>2.0</v>
      </c>
      <c r="AA738" s="27"/>
      <c r="AB738" s="27">
        <v>2.5</v>
      </c>
      <c r="AC738" s="27"/>
      <c r="AD738" s="27">
        <v>2.5</v>
      </c>
      <c r="AE738" s="27"/>
      <c r="AF738" s="27">
        <v>2.5</v>
      </c>
      <c r="AG738" s="27"/>
      <c r="AH738" s="27">
        <v>207.0</v>
      </c>
      <c r="AI738" s="27">
        <v>104.0</v>
      </c>
      <c r="AJ738" s="27">
        <v>2.0</v>
      </c>
      <c r="AK738" s="27" t="b">
        <v>1</v>
      </c>
      <c r="AL738" s="27">
        <v>100.0</v>
      </c>
      <c r="AM738" s="27" t="s">
        <v>191</v>
      </c>
      <c r="AN738" s="27" t="s">
        <v>404</v>
      </c>
      <c r="AO738" s="27"/>
    </row>
    <row r="739">
      <c r="A739" s="200">
        <v>44838.02510101852</v>
      </c>
      <c r="B739" s="19" t="s">
        <v>178</v>
      </c>
      <c r="C739" s="21" t="s">
        <v>267</v>
      </c>
      <c r="D739" s="62">
        <v>4.0</v>
      </c>
      <c r="E739" s="27">
        <v>1.0</v>
      </c>
      <c r="F739" s="27" t="s">
        <v>1625</v>
      </c>
      <c r="G739" s="201" t="s">
        <v>183</v>
      </c>
      <c r="H739" s="27" t="s">
        <v>154</v>
      </c>
      <c r="I739" s="27"/>
      <c r="J739" s="33">
        <v>4.5</v>
      </c>
      <c r="K739" s="33">
        <v>5.5</v>
      </c>
      <c r="L739" s="66">
        <v>52.0</v>
      </c>
      <c r="M739" s="27" t="s">
        <v>1626</v>
      </c>
      <c r="N739" s="27">
        <v>5.5</v>
      </c>
      <c r="O739" s="27"/>
      <c r="P739" s="27">
        <v>5.5</v>
      </c>
      <c r="Q739" s="27"/>
      <c r="R739" s="27">
        <v>5.5</v>
      </c>
      <c r="S739" s="27"/>
      <c r="T739" s="27">
        <v>5.5</v>
      </c>
      <c r="U739" s="27"/>
      <c r="V739" s="27">
        <v>5.0</v>
      </c>
      <c r="W739" s="27"/>
      <c r="X739" s="27">
        <v>5.5</v>
      </c>
      <c r="Y739" s="27"/>
      <c r="Z739" s="27">
        <v>5.5</v>
      </c>
      <c r="AA739" s="27"/>
      <c r="AB739" s="27">
        <v>5.5</v>
      </c>
      <c r="AC739" s="27"/>
      <c r="AD739" s="27">
        <v>5.5</v>
      </c>
      <c r="AE739" s="27"/>
      <c r="AF739" s="27">
        <v>5.5</v>
      </c>
      <c r="AG739" s="27"/>
      <c r="AH739" s="27">
        <v>162.0</v>
      </c>
      <c r="AI739" s="27">
        <v>71.0</v>
      </c>
      <c r="AJ739" s="27">
        <v>2.0</v>
      </c>
      <c r="AK739" s="27" t="b">
        <v>1</v>
      </c>
      <c r="AL739" s="27">
        <v>100.0</v>
      </c>
      <c r="AM739" s="27" t="s">
        <v>389</v>
      </c>
      <c r="AN739" s="27" t="s">
        <v>405</v>
      </c>
      <c r="AO739" s="27"/>
    </row>
    <row r="740">
      <c r="A740" s="200">
        <v>44838.02510101852</v>
      </c>
      <c r="B740" s="19"/>
      <c r="C740" s="21"/>
      <c r="D740" s="62"/>
      <c r="E740" s="27"/>
      <c r="F740" s="27"/>
      <c r="G740" s="201"/>
      <c r="H740" s="27"/>
      <c r="I740" s="27"/>
      <c r="J740" s="33"/>
      <c r="K740" s="33"/>
      <c r="L740" s="66"/>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t="e">
        <v>#N/A</v>
      </c>
      <c r="AN740" s="27" t="e">
        <v>#N/A</v>
      </c>
      <c r="AO740" s="27"/>
    </row>
    <row r="741">
      <c r="A741" s="200">
        <v>44838.02510101852</v>
      </c>
      <c r="B741" s="19" t="s">
        <v>59</v>
      </c>
      <c r="C741" s="21" t="s">
        <v>275</v>
      </c>
      <c r="D741" s="62">
        <v>2.0</v>
      </c>
      <c r="E741" s="27">
        <v>2.0</v>
      </c>
      <c r="F741" s="27" t="s">
        <v>1627</v>
      </c>
      <c r="G741" s="201" t="s">
        <v>57</v>
      </c>
      <c r="H741" s="27" t="s">
        <v>109</v>
      </c>
      <c r="I741" s="27"/>
      <c r="J741" s="33">
        <v>14.5</v>
      </c>
      <c r="K741" s="33">
        <v>15.0</v>
      </c>
      <c r="L741" s="66">
        <v>54.0</v>
      </c>
      <c r="M741" s="27" t="s">
        <v>1628</v>
      </c>
      <c r="N741" s="27">
        <v>15.5</v>
      </c>
      <c r="O741" s="27"/>
      <c r="P741" s="27">
        <v>16.0</v>
      </c>
      <c r="Q741" s="27"/>
      <c r="R741" s="27">
        <v>16.0</v>
      </c>
      <c r="S741" s="27"/>
      <c r="T741" s="27">
        <v>15.0</v>
      </c>
      <c r="U741" s="27"/>
      <c r="V741" s="27">
        <v>16.0</v>
      </c>
      <c r="W741" s="27"/>
      <c r="X741" s="27">
        <v>15.5</v>
      </c>
      <c r="Y741" s="27"/>
      <c r="Z741" s="27">
        <v>15.5</v>
      </c>
      <c r="AA741" s="27"/>
      <c r="AB741" s="27">
        <v>15.5</v>
      </c>
      <c r="AC741" s="27"/>
      <c r="AD741" s="27">
        <v>15.0</v>
      </c>
      <c r="AE741" s="27"/>
      <c r="AF741" s="27">
        <v>15.0</v>
      </c>
      <c r="AG741" s="27"/>
      <c r="AH741" s="27">
        <v>71.0</v>
      </c>
      <c r="AI741" s="27">
        <v>158.0</v>
      </c>
      <c r="AJ741" s="27">
        <v>2.0</v>
      </c>
      <c r="AK741" s="27" t="b">
        <v>0</v>
      </c>
      <c r="AL741" s="27">
        <v>100.0</v>
      </c>
      <c r="AM741" s="27" t="s">
        <v>189</v>
      </c>
      <c r="AN741" s="27" t="s">
        <v>405</v>
      </c>
      <c r="AO741" s="27"/>
    </row>
    <row r="742">
      <c r="A742" s="200">
        <v>44838.02510101852</v>
      </c>
      <c r="B742" s="19" t="s">
        <v>59</v>
      </c>
      <c r="C742" s="21" t="s">
        <v>285</v>
      </c>
      <c r="D742" s="62">
        <v>1.0</v>
      </c>
      <c r="E742" s="27">
        <v>4.0</v>
      </c>
      <c r="F742" s="27" t="s">
        <v>1613</v>
      </c>
      <c r="G742" s="201" t="s">
        <v>57</v>
      </c>
      <c r="H742" s="27" t="s">
        <v>178</v>
      </c>
      <c r="I742" s="27"/>
      <c r="J742" s="33">
        <v>7.0</v>
      </c>
      <c r="K742" s="33">
        <v>6.5</v>
      </c>
      <c r="L742" s="66">
        <v>55.5</v>
      </c>
      <c r="M742" s="27" t="s">
        <v>1614</v>
      </c>
      <c r="N742" s="27">
        <v>6.5</v>
      </c>
      <c r="O742" s="27"/>
      <c r="P742" s="27">
        <v>6.5</v>
      </c>
      <c r="Q742" s="27"/>
      <c r="R742" s="27">
        <v>7.0</v>
      </c>
      <c r="S742" s="27"/>
      <c r="T742" s="27">
        <v>6.5</v>
      </c>
      <c r="U742" s="27"/>
      <c r="V742" s="27">
        <v>6.5</v>
      </c>
      <c r="W742" s="27"/>
      <c r="X742" s="27">
        <v>6.5</v>
      </c>
      <c r="Y742" s="27"/>
      <c r="Z742" s="27">
        <v>6.5</v>
      </c>
      <c r="AA742" s="27"/>
      <c r="AB742" s="27">
        <v>6.5</v>
      </c>
      <c r="AC742" s="27"/>
      <c r="AD742" s="27">
        <v>6.5</v>
      </c>
      <c r="AE742" s="27"/>
      <c r="AF742" s="27"/>
      <c r="AG742" s="27"/>
      <c r="AH742" s="27">
        <v>140.0</v>
      </c>
      <c r="AI742" s="27">
        <v>167.0</v>
      </c>
      <c r="AJ742" s="27">
        <v>2.0</v>
      </c>
      <c r="AK742" s="27" t="b">
        <v>0</v>
      </c>
      <c r="AL742" s="27">
        <v>100.0</v>
      </c>
      <c r="AM742" s="27" t="s">
        <v>190</v>
      </c>
      <c r="AN742" s="27" t="s">
        <v>405</v>
      </c>
      <c r="AO742" s="27"/>
    </row>
    <row r="743">
      <c r="A743" s="200">
        <v>44838.02510101852</v>
      </c>
      <c r="B743" s="19" t="s">
        <v>59</v>
      </c>
      <c r="C743" s="21" t="s">
        <v>281</v>
      </c>
      <c r="D743" s="62">
        <v>2.0</v>
      </c>
      <c r="E743" s="27">
        <v>4.0</v>
      </c>
      <c r="F743" s="27" t="s">
        <v>1629</v>
      </c>
      <c r="G743" s="201" t="s">
        <v>57</v>
      </c>
      <c r="H743" s="27" t="s">
        <v>144</v>
      </c>
      <c r="I743" s="27"/>
      <c r="J743" s="33">
        <v>23.5</v>
      </c>
      <c r="K743" s="33">
        <v>23.5</v>
      </c>
      <c r="L743" s="66">
        <v>51.0</v>
      </c>
      <c r="M743" s="27" t="s">
        <v>1630</v>
      </c>
      <c r="N743" s="27">
        <v>23.5</v>
      </c>
      <c r="O743" s="27"/>
      <c r="P743" s="27">
        <v>23.5</v>
      </c>
      <c r="Q743" s="27"/>
      <c r="R743" s="27">
        <v>23.0</v>
      </c>
      <c r="S743" s="27"/>
      <c r="T743" s="27">
        <v>22.5</v>
      </c>
      <c r="U743" s="27"/>
      <c r="V743" s="27">
        <v>23.5</v>
      </c>
      <c r="W743" s="27"/>
      <c r="X743" s="27">
        <v>23.5</v>
      </c>
      <c r="Y743" s="27"/>
      <c r="Z743" s="27">
        <v>23.5</v>
      </c>
      <c r="AA743" s="27"/>
      <c r="AB743" s="27">
        <v>23.5</v>
      </c>
      <c r="AC743" s="27"/>
      <c r="AD743" s="27">
        <v>22.5</v>
      </c>
      <c r="AE743" s="27"/>
      <c r="AF743" s="27">
        <v>22.5</v>
      </c>
      <c r="AG743" s="27"/>
      <c r="AH743" s="27">
        <v>91.0</v>
      </c>
      <c r="AI743" s="27">
        <v>196.0</v>
      </c>
      <c r="AJ743" s="27">
        <v>2.0</v>
      </c>
      <c r="AK743" s="27" t="b">
        <v>1</v>
      </c>
      <c r="AL743" s="27">
        <v>100.0</v>
      </c>
      <c r="AM743" s="27" t="s">
        <v>389</v>
      </c>
      <c r="AN743" s="27" t="s">
        <v>405</v>
      </c>
      <c r="AO743" s="27"/>
    </row>
    <row r="744">
      <c r="A744" s="200">
        <v>44838.02510101852</v>
      </c>
      <c r="B744" s="19" t="s">
        <v>59</v>
      </c>
      <c r="C744" s="21" t="s">
        <v>277</v>
      </c>
      <c r="D744" s="62">
        <v>3.0</v>
      </c>
      <c r="E744" s="27">
        <v>2.0</v>
      </c>
      <c r="F744" s="27" t="s">
        <v>1631</v>
      </c>
      <c r="G744" s="201" t="s">
        <v>57</v>
      </c>
      <c r="H744" s="27"/>
      <c r="I744" s="27"/>
      <c r="J744" s="33">
        <v>-36.5</v>
      </c>
      <c r="K744" s="33">
        <v>-39.0</v>
      </c>
      <c r="L744" s="66">
        <v>54.5</v>
      </c>
      <c r="M744" s="27" t="s">
        <v>1286</v>
      </c>
      <c r="N744" s="27">
        <v>-39.5</v>
      </c>
      <c r="O744" s="27"/>
      <c r="P744" s="27">
        <v>-39.5</v>
      </c>
      <c r="Q744" s="27"/>
      <c r="R744" s="27">
        <v>-39.0</v>
      </c>
      <c r="S744" s="27"/>
      <c r="T744" s="27">
        <v>-39.0</v>
      </c>
      <c r="U744" s="27"/>
      <c r="V744" s="27">
        <v>-40.0</v>
      </c>
      <c r="W744" s="27"/>
      <c r="X744" s="27">
        <v>-39.0</v>
      </c>
      <c r="Y744" s="27"/>
      <c r="Z744" s="27">
        <v>-39.0</v>
      </c>
      <c r="AA744" s="27"/>
      <c r="AB744" s="27">
        <v>-39.0</v>
      </c>
      <c r="AC744" s="27"/>
      <c r="AD744" s="27"/>
      <c r="AE744" s="27"/>
      <c r="AF744" s="27"/>
      <c r="AG744" s="27"/>
      <c r="AH744" s="27">
        <v>187.0</v>
      </c>
      <c r="AI744" s="27">
        <v>137.0</v>
      </c>
      <c r="AJ744" s="27">
        <v>2.0</v>
      </c>
      <c r="AK744" s="27" t="b">
        <v>0</v>
      </c>
      <c r="AL744" s="27">
        <v>100.0</v>
      </c>
      <c r="AM744" s="27" t="s">
        <v>193</v>
      </c>
      <c r="AN744" s="27" t="s">
        <v>405</v>
      </c>
      <c r="AO744" s="27"/>
    </row>
    <row r="745">
      <c r="A745" s="200">
        <v>44838.02510101852</v>
      </c>
      <c r="B745" s="19" t="s">
        <v>59</v>
      </c>
      <c r="C745" s="21" t="s">
        <v>274</v>
      </c>
      <c r="D745" s="62">
        <v>3.0</v>
      </c>
      <c r="E745" s="27">
        <v>2.0</v>
      </c>
      <c r="F745" s="27" t="s">
        <v>1632</v>
      </c>
      <c r="G745" s="201" t="s">
        <v>57</v>
      </c>
      <c r="H745" s="27" t="s">
        <v>154</v>
      </c>
      <c r="I745" s="27"/>
      <c r="J745" s="33">
        <v>11.5</v>
      </c>
      <c r="K745" s="33">
        <v>10.5</v>
      </c>
      <c r="L745" s="66">
        <v>54.5</v>
      </c>
      <c r="M745" s="27" t="s">
        <v>1633</v>
      </c>
      <c r="N745" s="27">
        <v>10.5</v>
      </c>
      <c r="O745" s="27"/>
      <c r="P745" s="27">
        <v>10.5</v>
      </c>
      <c r="Q745" s="27"/>
      <c r="R745" s="27">
        <v>10.5</v>
      </c>
      <c r="S745" s="27"/>
      <c r="T745" s="27">
        <v>10.0</v>
      </c>
      <c r="U745" s="27"/>
      <c r="V745" s="27">
        <v>10.5</v>
      </c>
      <c r="W745" s="27"/>
      <c r="X745" s="27">
        <v>10.5</v>
      </c>
      <c r="Y745" s="27"/>
      <c r="Z745" s="27">
        <v>10.5</v>
      </c>
      <c r="AA745" s="27"/>
      <c r="AB745" s="27">
        <v>10.5</v>
      </c>
      <c r="AC745" s="27"/>
      <c r="AD745" s="27">
        <v>10.0</v>
      </c>
      <c r="AE745" s="27"/>
      <c r="AF745" s="27">
        <v>10.0</v>
      </c>
      <c r="AG745" s="27"/>
      <c r="AH745" s="27">
        <v>167.0</v>
      </c>
      <c r="AI745" s="27">
        <v>136.0</v>
      </c>
      <c r="AJ745" s="27">
        <v>2.0</v>
      </c>
      <c r="AK745" s="27" t="b">
        <v>0</v>
      </c>
      <c r="AL745" s="27">
        <v>100.0</v>
      </c>
      <c r="AM745" s="27" t="s">
        <v>191</v>
      </c>
      <c r="AN745" s="27" t="s">
        <v>404</v>
      </c>
      <c r="AO745" s="27"/>
    </row>
    <row r="746">
      <c r="A746" s="200">
        <v>44838.02510101852</v>
      </c>
      <c r="B746" s="19" t="s">
        <v>59</v>
      </c>
      <c r="C746" s="21" t="s">
        <v>291</v>
      </c>
      <c r="D746" s="62">
        <v>4.0</v>
      </c>
      <c r="E746" s="27">
        <v>1.0</v>
      </c>
      <c r="F746" s="27" t="s">
        <v>1617</v>
      </c>
      <c r="G746" s="201" t="s">
        <v>57</v>
      </c>
      <c r="H746" s="27" t="s">
        <v>178</v>
      </c>
      <c r="I746" s="27"/>
      <c r="J746" s="33">
        <v>-7.0</v>
      </c>
      <c r="K746" s="33">
        <v>-7.5</v>
      </c>
      <c r="L746" s="66">
        <v>56.0</v>
      </c>
      <c r="M746" s="27" t="s">
        <v>1618</v>
      </c>
      <c r="N746" s="27">
        <v>-7.5</v>
      </c>
      <c r="O746" s="27"/>
      <c r="P746" s="27">
        <v>-7.5</v>
      </c>
      <c r="Q746" s="27"/>
      <c r="R746" s="27">
        <v>-7.5</v>
      </c>
      <c r="S746" s="27"/>
      <c r="T746" s="27">
        <v>-8.0</v>
      </c>
      <c r="U746" s="27"/>
      <c r="V746" s="27">
        <v>-7.5</v>
      </c>
      <c r="W746" s="27"/>
      <c r="X746" s="27">
        <v>-7.5</v>
      </c>
      <c r="Y746" s="27"/>
      <c r="Z746" s="27">
        <v>-7.5</v>
      </c>
      <c r="AA746" s="27"/>
      <c r="AB746" s="27">
        <v>-7.5</v>
      </c>
      <c r="AC746" s="27"/>
      <c r="AD746" s="27">
        <v>-8.0</v>
      </c>
      <c r="AE746" s="27"/>
      <c r="AF746" s="27">
        <v>-8.0</v>
      </c>
      <c r="AG746" s="27"/>
      <c r="AH746" s="27">
        <v>162.0</v>
      </c>
      <c r="AI746" s="27">
        <v>91.0</v>
      </c>
      <c r="AJ746" s="27">
        <v>2.0</v>
      </c>
      <c r="AK746" s="27" t="b">
        <v>1</v>
      </c>
      <c r="AL746" s="27">
        <v>100.0</v>
      </c>
      <c r="AM746" s="27" t="s">
        <v>187</v>
      </c>
      <c r="AN746" s="27" t="s">
        <v>404</v>
      </c>
      <c r="AO746" s="27"/>
    </row>
    <row r="747">
      <c r="A747" s="200">
        <v>44838.02510101852</v>
      </c>
      <c r="B747" s="19" t="s">
        <v>59</v>
      </c>
      <c r="C747" s="21" t="s">
        <v>289</v>
      </c>
      <c r="D747" s="62">
        <v>2.0</v>
      </c>
      <c r="E747" s="27">
        <v>3.0</v>
      </c>
      <c r="F747" s="27" t="s">
        <v>1634</v>
      </c>
      <c r="G747" s="201" t="s">
        <v>57</v>
      </c>
      <c r="H747" s="27" t="s">
        <v>141</v>
      </c>
      <c r="I747" s="27"/>
      <c r="J747" s="33">
        <v>13.5</v>
      </c>
      <c r="K747" s="33">
        <v>13.5</v>
      </c>
      <c r="L747" s="66">
        <v>49.0</v>
      </c>
      <c r="M747" s="27" t="s">
        <v>1635</v>
      </c>
      <c r="N747" s="27">
        <v>13.5</v>
      </c>
      <c r="O747" s="27"/>
      <c r="P747" s="27">
        <v>13.5</v>
      </c>
      <c r="Q747" s="27"/>
      <c r="R747" s="27">
        <v>13.5</v>
      </c>
      <c r="S747" s="27"/>
      <c r="T747" s="27">
        <v>13.0</v>
      </c>
      <c r="U747" s="27"/>
      <c r="V747" s="27">
        <v>13.5</v>
      </c>
      <c r="W747" s="27"/>
      <c r="X747" s="27">
        <v>13.5</v>
      </c>
      <c r="Y747" s="27"/>
      <c r="Z747" s="27">
        <v>13.5</v>
      </c>
      <c r="AA747" s="27"/>
      <c r="AB747" s="27">
        <v>13.5</v>
      </c>
      <c r="AC747" s="27"/>
      <c r="AD747" s="27">
        <v>13.0</v>
      </c>
      <c r="AE747" s="27"/>
      <c r="AF747" s="27">
        <v>13.0</v>
      </c>
      <c r="AG747" s="27"/>
      <c r="AH747" s="27">
        <v>117.0</v>
      </c>
      <c r="AI747" s="27">
        <v>143.0</v>
      </c>
      <c r="AJ747" s="27">
        <v>2.0</v>
      </c>
      <c r="AK747" s="27" t="b">
        <v>0</v>
      </c>
      <c r="AL747" s="27">
        <v>100.0</v>
      </c>
      <c r="AM747" s="27" t="s">
        <v>186</v>
      </c>
      <c r="AN747" s="27" t="s">
        <v>404</v>
      </c>
      <c r="AO747" s="27"/>
    </row>
    <row r="748">
      <c r="A748" s="200">
        <v>44838.02510101852</v>
      </c>
      <c r="B748" s="19" t="s">
        <v>59</v>
      </c>
      <c r="C748" s="21" t="s">
        <v>284</v>
      </c>
      <c r="D748" s="62">
        <v>5.0</v>
      </c>
      <c r="E748" s="27">
        <v>0.0</v>
      </c>
      <c r="F748" s="27" t="s">
        <v>1636</v>
      </c>
      <c r="G748" s="201" t="s">
        <v>57</v>
      </c>
      <c r="H748" s="27" t="s">
        <v>116</v>
      </c>
      <c r="I748" s="27"/>
      <c r="J748" s="33">
        <v>-4.0</v>
      </c>
      <c r="K748" s="33">
        <v>-10.5</v>
      </c>
      <c r="L748" s="66">
        <v>42.0</v>
      </c>
      <c r="M748" s="27" t="s">
        <v>1637</v>
      </c>
      <c r="N748" s="27">
        <v>-10.5</v>
      </c>
      <c r="O748" s="27"/>
      <c r="P748" s="27">
        <v>-10.5</v>
      </c>
      <c r="Q748" s="27"/>
      <c r="R748" s="27">
        <v>-10.0</v>
      </c>
      <c r="S748" s="27"/>
      <c r="T748" s="27">
        <v>-10.5</v>
      </c>
      <c r="U748" s="27"/>
      <c r="V748" s="27">
        <v>-10.5</v>
      </c>
      <c r="W748" s="27"/>
      <c r="X748" s="27">
        <v>-10.5</v>
      </c>
      <c r="Y748" s="27"/>
      <c r="Z748" s="27">
        <v>-10.5</v>
      </c>
      <c r="AA748" s="27"/>
      <c r="AB748" s="27">
        <v>-10.5</v>
      </c>
      <c r="AC748" s="27"/>
      <c r="AD748" s="27">
        <v>-10.5</v>
      </c>
      <c r="AE748" s="27"/>
      <c r="AF748" s="27">
        <v>-10.5</v>
      </c>
      <c r="AG748" s="27"/>
      <c r="AH748" s="27">
        <v>227.0</v>
      </c>
      <c r="AI748" s="27">
        <v>58.0</v>
      </c>
      <c r="AJ748" s="27">
        <v>2.0</v>
      </c>
      <c r="AK748" s="27" t="b">
        <v>1</v>
      </c>
      <c r="AL748" s="27">
        <v>100.0</v>
      </c>
      <c r="AM748" s="27" t="s">
        <v>188</v>
      </c>
      <c r="AN748" s="27" t="s">
        <v>404</v>
      </c>
      <c r="AO748" s="27"/>
    </row>
    <row r="749">
      <c r="A749" s="200">
        <v>44838.02510101852</v>
      </c>
      <c r="B749" s="19" t="s">
        <v>59</v>
      </c>
      <c r="C749" s="21" t="s">
        <v>283</v>
      </c>
      <c r="D749" s="62">
        <v>4.0</v>
      </c>
      <c r="E749" s="27">
        <v>1.0</v>
      </c>
      <c r="F749" s="27" t="s">
        <v>1638</v>
      </c>
      <c r="G749" s="201" t="s">
        <v>57</v>
      </c>
      <c r="H749" s="27" t="s">
        <v>103</v>
      </c>
      <c r="I749" s="27"/>
      <c r="J749" s="33">
        <v>4.0</v>
      </c>
      <c r="K749" s="33">
        <v>6.5</v>
      </c>
      <c r="L749" s="66">
        <v>54.5</v>
      </c>
      <c r="M749" s="27" t="s">
        <v>1107</v>
      </c>
      <c r="N749" s="27">
        <v>6.5</v>
      </c>
      <c r="O749" s="27"/>
      <c r="P749" s="27">
        <v>6.5</v>
      </c>
      <c r="Q749" s="27"/>
      <c r="R749" s="27">
        <v>6.5</v>
      </c>
      <c r="S749" s="27"/>
      <c r="T749" s="27">
        <v>6.0</v>
      </c>
      <c r="U749" s="27"/>
      <c r="V749" s="27">
        <v>6.5</v>
      </c>
      <c r="W749" s="27"/>
      <c r="X749" s="27">
        <v>6.5</v>
      </c>
      <c r="Y749" s="27"/>
      <c r="Z749" s="27">
        <v>6.5</v>
      </c>
      <c r="AA749" s="27"/>
      <c r="AB749" s="27">
        <v>6.5</v>
      </c>
      <c r="AC749" s="27"/>
      <c r="AD749" s="27">
        <v>6.0</v>
      </c>
      <c r="AE749" s="27"/>
      <c r="AF749" s="27">
        <v>6.0</v>
      </c>
      <c r="AG749" s="27"/>
      <c r="AH749" s="27">
        <v>144.0</v>
      </c>
      <c r="AI749" s="27">
        <v>74.0</v>
      </c>
      <c r="AJ749" s="27">
        <v>2.0</v>
      </c>
      <c r="AK749" s="27" t="b">
        <v>0</v>
      </c>
      <c r="AL749" s="27">
        <v>100.0</v>
      </c>
      <c r="AM749" s="27" t="s">
        <v>192</v>
      </c>
      <c r="AN749" s="27" t="s">
        <v>404</v>
      </c>
      <c r="AO749" s="27"/>
    </row>
    <row r="750">
      <c r="A750" s="200">
        <v>44838.02510101852</v>
      </c>
      <c r="B750" s="19" t="s">
        <v>59</v>
      </c>
      <c r="C750" s="21" t="s">
        <v>279</v>
      </c>
      <c r="D750" s="62">
        <v>4.0</v>
      </c>
      <c r="E750" s="27">
        <v>1.0</v>
      </c>
      <c r="F750" s="27" t="s">
        <v>1621</v>
      </c>
      <c r="G750" s="201" t="s">
        <v>57</v>
      </c>
      <c r="H750" s="27" t="s">
        <v>178</v>
      </c>
      <c r="I750" s="27"/>
      <c r="J750" s="33">
        <v>-14.5</v>
      </c>
      <c r="K750" s="33">
        <v>-14.0</v>
      </c>
      <c r="L750" s="66">
        <v>44.5</v>
      </c>
      <c r="M750" s="27" t="s">
        <v>1622</v>
      </c>
      <c r="N750" s="27">
        <v>-14.0</v>
      </c>
      <c r="O750" s="27"/>
      <c r="P750" s="27">
        <v>-14.0</v>
      </c>
      <c r="Q750" s="27"/>
      <c r="R750" s="27">
        <v>-14.0</v>
      </c>
      <c r="S750" s="27"/>
      <c r="T750" s="27">
        <v>-14.0</v>
      </c>
      <c r="U750" s="27"/>
      <c r="V750" s="27">
        <v>-14.0</v>
      </c>
      <c r="W750" s="27"/>
      <c r="X750" s="27">
        <v>-14.0</v>
      </c>
      <c r="Y750" s="27"/>
      <c r="Z750" s="27">
        <v>-14.0</v>
      </c>
      <c r="AA750" s="27"/>
      <c r="AB750" s="27">
        <v>-14.0</v>
      </c>
      <c r="AC750" s="27"/>
      <c r="AD750" s="27">
        <v>-14.0</v>
      </c>
      <c r="AE750" s="27"/>
      <c r="AF750" s="27">
        <v>-14.0</v>
      </c>
      <c r="AG750" s="27"/>
      <c r="AH750" s="27">
        <v>189.0</v>
      </c>
      <c r="AI750" s="27">
        <v>112.0</v>
      </c>
      <c r="AJ750" s="27">
        <v>2.0</v>
      </c>
      <c r="AK750" s="27" t="b">
        <v>0</v>
      </c>
      <c r="AL750" s="27">
        <v>100.0</v>
      </c>
      <c r="AM750" s="27" t="s">
        <v>129</v>
      </c>
      <c r="AN750" s="27" t="s">
        <v>405</v>
      </c>
      <c r="AO750" s="27"/>
    </row>
    <row r="751">
      <c r="A751" s="200">
        <v>44838.02510101852</v>
      </c>
      <c r="B751" s="19"/>
      <c r="C751" s="21"/>
      <c r="D751" s="62"/>
      <c r="E751" s="27"/>
      <c r="F751" s="27"/>
      <c r="G751" s="201"/>
      <c r="H751" s="27"/>
      <c r="I751" s="27"/>
      <c r="J751" s="33"/>
      <c r="K751" s="33"/>
      <c r="L751" s="66"/>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t="e">
        <v>#N/A</v>
      </c>
      <c r="AN751" s="27" t="e">
        <v>#N/A</v>
      </c>
      <c r="AO751" s="27"/>
    </row>
    <row r="752">
      <c r="A752" s="200">
        <v>44838.02510101852</v>
      </c>
      <c r="B752" s="19" t="s">
        <v>138</v>
      </c>
      <c r="C752" s="21" t="s">
        <v>309</v>
      </c>
      <c r="D752" s="62">
        <v>3.0</v>
      </c>
      <c r="E752" s="27">
        <v>2.0</v>
      </c>
      <c r="F752" s="27"/>
      <c r="G752" s="201"/>
      <c r="H752" s="27"/>
      <c r="I752" s="27" t="s">
        <v>111</v>
      </c>
      <c r="J752" s="33"/>
      <c r="K752" s="33"/>
      <c r="L752" s="66"/>
      <c r="M752" s="27"/>
      <c r="N752" s="27"/>
      <c r="O752" s="27"/>
      <c r="P752" s="27"/>
      <c r="Q752" s="27"/>
      <c r="R752" s="27"/>
      <c r="S752" s="27"/>
      <c r="T752" s="27"/>
      <c r="U752" s="27"/>
      <c r="V752" s="27"/>
      <c r="W752" s="27"/>
      <c r="X752" s="27"/>
      <c r="Y752" s="27"/>
      <c r="Z752" s="27"/>
      <c r="AA752" s="27"/>
      <c r="AB752" s="27"/>
      <c r="AC752" s="27"/>
      <c r="AD752" s="27"/>
      <c r="AE752" s="27"/>
      <c r="AF752" s="27"/>
      <c r="AG752" s="27"/>
      <c r="AH752" s="27">
        <v>171.0</v>
      </c>
      <c r="AI752" s="27">
        <v>169.0</v>
      </c>
      <c r="AJ752" s="27">
        <v>0.0</v>
      </c>
      <c r="AK752" s="27" t="b">
        <v>1</v>
      </c>
      <c r="AL752" s="27">
        <v>59.0</v>
      </c>
      <c r="AM752" s="27" t="s">
        <v>187</v>
      </c>
      <c r="AN752" s="27" t="s">
        <v>404</v>
      </c>
      <c r="AO752" s="27"/>
    </row>
    <row r="753">
      <c r="A753" s="200">
        <v>44838.02510101852</v>
      </c>
      <c r="B753" s="19" t="s">
        <v>138</v>
      </c>
      <c r="C753" s="21" t="s">
        <v>311</v>
      </c>
      <c r="D753" s="62">
        <v>1.0</v>
      </c>
      <c r="E753" s="27">
        <v>3.0</v>
      </c>
      <c r="F753" s="27" t="s">
        <v>1580</v>
      </c>
      <c r="G753" s="201" t="s">
        <v>57</v>
      </c>
      <c r="H753" s="27" t="s">
        <v>53</v>
      </c>
      <c r="I753" s="27"/>
      <c r="J753" s="33">
        <v>13.0</v>
      </c>
      <c r="K753" s="33">
        <v>17.5</v>
      </c>
      <c r="L753" s="66">
        <v>63.0</v>
      </c>
      <c r="M753" s="27" t="s">
        <v>1301</v>
      </c>
      <c r="N753" s="27">
        <v>17.0</v>
      </c>
      <c r="O753" s="27"/>
      <c r="P753" s="27">
        <v>18.0</v>
      </c>
      <c r="Q753" s="27"/>
      <c r="R753" s="27">
        <v>17.0</v>
      </c>
      <c r="S753" s="27"/>
      <c r="T753" s="27">
        <v>17.5</v>
      </c>
      <c r="U753" s="27"/>
      <c r="V753" s="27">
        <v>17.5</v>
      </c>
      <c r="W753" s="27"/>
      <c r="X753" s="27">
        <v>17.5</v>
      </c>
      <c r="Y753" s="27"/>
      <c r="Z753" s="27">
        <v>17.0</v>
      </c>
      <c r="AA753" s="27"/>
      <c r="AB753" s="27">
        <v>17.5</v>
      </c>
      <c r="AC753" s="27"/>
      <c r="AD753" s="27">
        <v>17.5</v>
      </c>
      <c r="AE753" s="27"/>
      <c r="AF753" s="27">
        <v>17.5</v>
      </c>
      <c r="AG753" s="27"/>
      <c r="AH753" s="27">
        <v>118.0</v>
      </c>
      <c r="AI753" s="27">
        <v>136.0</v>
      </c>
      <c r="AJ753" s="27">
        <v>2.0</v>
      </c>
      <c r="AK753" s="27" t="b">
        <v>0</v>
      </c>
      <c r="AL753" s="27">
        <v>100.0</v>
      </c>
      <c r="AM753" s="27" t="s">
        <v>191</v>
      </c>
      <c r="AN753" s="27" t="s">
        <v>404</v>
      </c>
      <c r="AO753" s="27"/>
    </row>
    <row r="754">
      <c r="A754" s="200">
        <v>44838.02510101852</v>
      </c>
      <c r="B754" s="19" t="s">
        <v>138</v>
      </c>
      <c r="C754" s="21" t="s">
        <v>282</v>
      </c>
      <c r="D754" s="62">
        <v>4.0</v>
      </c>
      <c r="E754" s="27">
        <v>1.0</v>
      </c>
      <c r="F754" s="27" t="s">
        <v>1583</v>
      </c>
      <c r="G754" s="201" t="s">
        <v>57</v>
      </c>
      <c r="H754" s="27" t="s">
        <v>53</v>
      </c>
      <c r="I754" s="27"/>
      <c r="J754" s="33">
        <v>-11.5</v>
      </c>
      <c r="K754" s="33">
        <v>-10.0</v>
      </c>
      <c r="L754" s="66">
        <v>58.0</v>
      </c>
      <c r="M754" s="27" t="s">
        <v>1584</v>
      </c>
      <c r="N754" s="27">
        <v>-10.0</v>
      </c>
      <c r="O754" s="27"/>
      <c r="P754" s="27">
        <v>-10.0</v>
      </c>
      <c r="Q754" s="27"/>
      <c r="R754" s="27">
        <v>-10.0</v>
      </c>
      <c r="S754" s="27"/>
      <c r="T754" s="27">
        <v>-10.0</v>
      </c>
      <c r="U754" s="27"/>
      <c r="V754" s="27">
        <v>-10.0</v>
      </c>
      <c r="W754" s="27"/>
      <c r="X754" s="27">
        <v>-10.0</v>
      </c>
      <c r="Y754" s="27"/>
      <c r="Z754" s="27">
        <v>-9.5</v>
      </c>
      <c r="AA754" s="27"/>
      <c r="AB754" s="27">
        <v>-10.0</v>
      </c>
      <c r="AC754" s="27"/>
      <c r="AD754" s="27">
        <v>-10.0</v>
      </c>
      <c r="AE754" s="27"/>
      <c r="AF754" s="27">
        <v>-10.0</v>
      </c>
      <c r="AG754" s="27"/>
      <c r="AH754" s="27">
        <v>201.0</v>
      </c>
      <c r="AI754" s="27">
        <v>103.0</v>
      </c>
      <c r="AJ754" s="27">
        <v>2.0</v>
      </c>
      <c r="AK754" s="27" t="b">
        <v>1</v>
      </c>
      <c r="AL754" s="27">
        <v>100.0</v>
      </c>
      <c r="AM754" s="27" t="s">
        <v>389</v>
      </c>
      <c r="AN754" s="27" t="s">
        <v>405</v>
      </c>
      <c r="AO754" s="27"/>
    </row>
    <row r="755">
      <c r="A755" s="200">
        <v>44838.02510101852</v>
      </c>
      <c r="B755" s="19" t="s">
        <v>138</v>
      </c>
      <c r="C755" s="21" t="s">
        <v>302</v>
      </c>
      <c r="D755" s="62">
        <v>4.0</v>
      </c>
      <c r="E755" s="27">
        <v>1.0</v>
      </c>
      <c r="F755" s="27" t="s">
        <v>1639</v>
      </c>
      <c r="G755" s="201" t="s">
        <v>57</v>
      </c>
      <c r="H755" s="27" t="s">
        <v>109</v>
      </c>
      <c r="I755" s="27"/>
      <c r="J755" s="33">
        <v>-6.0</v>
      </c>
      <c r="K755" s="33">
        <v>-8.5</v>
      </c>
      <c r="L755" s="66">
        <v>47.5</v>
      </c>
      <c r="M755" s="27" t="s">
        <v>1640</v>
      </c>
      <c r="N755" s="27">
        <v>-8.5</v>
      </c>
      <c r="O755" s="27"/>
      <c r="P755" s="27">
        <v>-8.5</v>
      </c>
      <c r="Q755" s="27"/>
      <c r="R755" s="27">
        <v>-8.5</v>
      </c>
      <c r="S755" s="27"/>
      <c r="T755" s="27">
        <v>-9.0</v>
      </c>
      <c r="U755" s="27"/>
      <c r="V755" s="27">
        <v>-8.5</v>
      </c>
      <c r="W755" s="27"/>
      <c r="X755" s="27">
        <v>-8.5</v>
      </c>
      <c r="Y755" s="27"/>
      <c r="Z755" s="27">
        <v>-8.0</v>
      </c>
      <c r="AA755" s="27"/>
      <c r="AB755" s="27">
        <v>-8.5</v>
      </c>
      <c r="AC755" s="27"/>
      <c r="AD755" s="27">
        <v>-9.0</v>
      </c>
      <c r="AE755" s="27"/>
      <c r="AF755" s="27">
        <v>-9.0</v>
      </c>
      <c r="AG755" s="27"/>
      <c r="AH755" s="27">
        <v>175.0</v>
      </c>
      <c r="AI755" s="27">
        <v>94.0</v>
      </c>
      <c r="AJ755" s="27">
        <v>2.0</v>
      </c>
      <c r="AK755" s="27" t="b">
        <v>1</v>
      </c>
      <c r="AL755" s="27">
        <v>100.0</v>
      </c>
      <c r="AM755" s="27" t="s">
        <v>193</v>
      </c>
      <c r="AN755" s="27" t="s">
        <v>405</v>
      </c>
      <c r="AO755" s="27"/>
    </row>
    <row r="756">
      <c r="A756" s="200">
        <v>44838.02510101852</v>
      </c>
      <c r="B756" s="19" t="s">
        <v>138</v>
      </c>
      <c r="C756" s="21" t="s">
        <v>308</v>
      </c>
      <c r="D756" s="62">
        <v>5.0</v>
      </c>
      <c r="E756" s="27">
        <v>0.0</v>
      </c>
      <c r="F756" s="27" t="s">
        <v>1641</v>
      </c>
      <c r="G756" s="201" t="s">
        <v>57</v>
      </c>
      <c r="H756" s="27"/>
      <c r="I756" s="27"/>
      <c r="J756" s="33">
        <v>-55.0</v>
      </c>
      <c r="K756" s="33">
        <v>-53.0</v>
      </c>
      <c r="L756" s="66">
        <v>62.5</v>
      </c>
      <c r="M756" s="27" t="s">
        <v>1139</v>
      </c>
      <c r="N756" s="27">
        <v>-53.5</v>
      </c>
      <c r="O756" s="27"/>
      <c r="P756" s="27">
        <v>-54.0</v>
      </c>
      <c r="Q756" s="27"/>
      <c r="R756" s="27">
        <v>-53.0</v>
      </c>
      <c r="S756" s="27"/>
      <c r="T756" s="27">
        <v>-53.0</v>
      </c>
      <c r="U756" s="27"/>
      <c r="V756" s="27">
        <v>-54.0</v>
      </c>
      <c r="W756" s="27"/>
      <c r="X756" s="27">
        <v>-54.0</v>
      </c>
      <c r="Y756" s="27"/>
      <c r="Z756" s="27">
        <v>-53.0</v>
      </c>
      <c r="AA756" s="27"/>
      <c r="AB756" s="27">
        <v>-53.0</v>
      </c>
      <c r="AC756" s="27"/>
      <c r="AD756" s="27"/>
      <c r="AE756" s="27"/>
      <c r="AF756" s="27"/>
      <c r="AG756" s="27"/>
      <c r="AH756" s="27">
        <v>192.0</v>
      </c>
      <c r="AI756" s="27">
        <v>70.0</v>
      </c>
      <c r="AJ756" s="27">
        <v>2.0</v>
      </c>
      <c r="AK756" s="27" t="b">
        <v>0</v>
      </c>
      <c r="AL756" s="27">
        <v>100.0</v>
      </c>
      <c r="AM756" s="27" t="s">
        <v>186</v>
      </c>
      <c r="AN756" s="27" t="s">
        <v>404</v>
      </c>
      <c r="AO756" s="27"/>
    </row>
    <row r="757">
      <c r="A757" s="200">
        <v>44838.02510101852</v>
      </c>
      <c r="B757" s="19" t="s">
        <v>138</v>
      </c>
      <c r="C757" s="21" t="s">
        <v>303</v>
      </c>
      <c r="D757" s="62">
        <v>3.0</v>
      </c>
      <c r="E757" s="27">
        <v>2.0</v>
      </c>
      <c r="F757" s="27" t="s">
        <v>1642</v>
      </c>
      <c r="G757" s="201" t="s">
        <v>57</v>
      </c>
      <c r="H757" s="27" t="s">
        <v>141</v>
      </c>
      <c r="I757" s="27"/>
      <c r="J757" s="33">
        <v>19.0</v>
      </c>
      <c r="K757" s="33">
        <v>17.0</v>
      </c>
      <c r="L757" s="66">
        <v>61.0</v>
      </c>
      <c r="M757" s="27" t="s">
        <v>1257</v>
      </c>
      <c r="N757" s="27">
        <v>17.0</v>
      </c>
      <c r="O757" s="27"/>
      <c r="P757" s="27">
        <v>17.0</v>
      </c>
      <c r="Q757" s="27"/>
      <c r="R757" s="27">
        <v>17.0</v>
      </c>
      <c r="S757" s="27"/>
      <c r="T757" s="27">
        <v>17.0</v>
      </c>
      <c r="U757" s="27"/>
      <c r="V757" s="27">
        <v>17.0</v>
      </c>
      <c r="W757" s="27"/>
      <c r="X757" s="27">
        <v>17.0</v>
      </c>
      <c r="Y757" s="27"/>
      <c r="Z757" s="27">
        <v>17.0</v>
      </c>
      <c r="AA757" s="27"/>
      <c r="AB757" s="27">
        <v>17.0</v>
      </c>
      <c r="AC757" s="27"/>
      <c r="AD757" s="27">
        <v>17.0</v>
      </c>
      <c r="AE757" s="27"/>
      <c r="AF757" s="27">
        <v>17.0</v>
      </c>
      <c r="AG757" s="27"/>
      <c r="AH757" s="27">
        <v>160.0</v>
      </c>
      <c r="AI757" s="27">
        <v>153.0</v>
      </c>
      <c r="AJ757" s="27">
        <v>2.0</v>
      </c>
      <c r="AK757" s="27" t="b">
        <v>0</v>
      </c>
      <c r="AL757" s="27">
        <v>100.0</v>
      </c>
      <c r="AM757" s="27" t="s">
        <v>192</v>
      </c>
      <c r="AN757" s="27" t="s">
        <v>404</v>
      </c>
      <c r="AO757" s="27"/>
    </row>
    <row r="758">
      <c r="A758" s="200">
        <v>44838.02510101852</v>
      </c>
      <c r="B758" s="19" t="s">
        <v>138</v>
      </c>
      <c r="C758" s="21" t="s">
        <v>294</v>
      </c>
      <c r="D758" s="62">
        <v>2.0</v>
      </c>
      <c r="E758" s="27">
        <v>3.0</v>
      </c>
      <c r="F758" s="27" t="s">
        <v>1643</v>
      </c>
      <c r="G758" s="201" t="s">
        <v>57</v>
      </c>
      <c r="H758" s="27" t="s">
        <v>103</v>
      </c>
      <c r="I758" s="27"/>
      <c r="J758" s="33">
        <v>-4.5</v>
      </c>
      <c r="K758" s="33">
        <v>7.5</v>
      </c>
      <c r="L758" s="66">
        <v>58.0</v>
      </c>
      <c r="M758" s="27" t="s">
        <v>1644</v>
      </c>
      <c r="N758" s="27">
        <v>7.5</v>
      </c>
      <c r="O758" s="27"/>
      <c r="P758" s="27">
        <v>7.5</v>
      </c>
      <c r="Q758" s="27"/>
      <c r="R758" s="27">
        <v>7.5</v>
      </c>
      <c r="S758" s="27"/>
      <c r="T758" s="27">
        <v>7.5</v>
      </c>
      <c r="U758" s="27"/>
      <c r="V758" s="27">
        <v>7.5</v>
      </c>
      <c r="W758" s="27"/>
      <c r="X758" s="27">
        <v>7.5</v>
      </c>
      <c r="Y758" s="27"/>
      <c r="Z758" s="27">
        <v>8.0</v>
      </c>
      <c r="AA758" s="27"/>
      <c r="AB758" s="27">
        <v>7.5</v>
      </c>
      <c r="AC758" s="27"/>
      <c r="AD758" s="27">
        <v>7.5</v>
      </c>
      <c r="AE758" s="27"/>
      <c r="AF758" s="27">
        <v>7.5</v>
      </c>
      <c r="AG758" s="27"/>
      <c r="AH758" s="27">
        <v>135.0</v>
      </c>
      <c r="AI758" s="27">
        <v>113.0</v>
      </c>
      <c r="AJ758" s="27">
        <v>2.0</v>
      </c>
      <c r="AK758" s="27" t="b">
        <v>0</v>
      </c>
      <c r="AL758" s="27">
        <v>100.0</v>
      </c>
      <c r="AM758" s="27" t="s">
        <v>188</v>
      </c>
      <c r="AN758" s="27" t="s">
        <v>404</v>
      </c>
      <c r="AO758" s="27"/>
    </row>
    <row r="759">
      <c r="A759" s="200">
        <v>44838.02510101852</v>
      </c>
      <c r="B759" s="19" t="s">
        <v>138</v>
      </c>
      <c r="C759" s="21" t="s">
        <v>296</v>
      </c>
      <c r="D759" s="62">
        <v>3.0</v>
      </c>
      <c r="E759" s="27">
        <v>2.0</v>
      </c>
      <c r="F759" s="27" t="s">
        <v>1645</v>
      </c>
      <c r="G759" s="201" t="s">
        <v>57</v>
      </c>
      <c r="H759" s="27" t="s">
        <v>109</v>
      </c>
      <c r="I759" s="27"/>
      <c r="J759" s="33">
        <v>-5.5</v>
      </c>
      <c r="K759" s="33">
        <v>-4.5</v>
      </c>
      <c r="L759" s="66">
        <v>64.0</v>
      </c>
      <c r="M759" s="27" t="s">
        <v>1646</v>
      </c>
      <c r="N759" s="27">
        <v>-4.5</v>
      </c>
      <c r="O759" s="27"/>
      <c r="P759" s="27">
        <v>-4.5</v>
      </c>
      <c r="Q759" s="27"/>
      <c r="R759" s="27">
        <v>-4.0</v>
      </c>
      <c r="S759" s="27"/>
      <c r="T759" s="27">
        <v>-4.5</v>
      </c>
      <c r="U759" s="27"/>
      <c r="V759" s="27">
        <v>-4.5</v>
      </c>
      <c r="W759" s="27"/>
      <c r="X759" s="27">
        <v>-4.0</v>
      </c>
      <c r="Y759" s="27"/>
      <c r="Z759" s="27">
        <v>-4.0</v>
      </c>
      <c r="AA759" s="27"/>
      <c r="AB759" s="27">
        <v>-4.5</v>
      </c>
      <c r="AC759" s="27"/>
      <c r="AD759" s="27">
        <v>-4.5</v>
      </c>
      <c r="AE759" s="27"/>
      <c r="AF759" s="27">
        <v>-4.5</v>
      </c>
      <c r="AG759" s="27"/>
      <c r="AH759" s="27">
        <v>193.0</v>
      </c>
      <c r="AI759" s="27">
        <v>170.0</v>
      </c>
      <c r="AJ759" s="27">
        <v>2.0</v>
      </c>
      <c r="AK759" s="27" t="b">
        <v>0</v>
      </c>
      <c r="AL759" s="27">
        <v>100.0</v>
      </c>
      <c r="AM759" s="27" t="s">
        <v>189</v>
      </c>
      <c r="AN759" s="27" t="s">
        <v>405</v>
      </c>
      <c r="AO759" s="27"/>
    </row>
    <row r="760">
      <c r="A760" s="200">
        <v>44838.02510101852</v>
      </c>
      <c r="B760" s="19" t="s">
        <v>138</v>
      </c>
      <c r="C760" s="21" t="s">
        <v>304</v>
      </c>
      <c r="D760" s="62">
        <v>1.0</v>
      </c>
      <c r="E760" s="27">
        <v>4.0</v>
      </c>
      <c r="F760" s="27" t="s">
        <v>1647</v>
      </c>
      <c r="G760" s="201" t="s">
        <v>57</v>
      </c>
      <c r="H760" s="27" t="s">
        <v>141</v>
      </c>
      <c r="I760" s="27"/>
      <c r="J760" s="33">
        <v>24.0</v>
      </c>
      <c r="K760" s="33">
        <v>26.0</v>
      </c>
      <c r="L760" s="66">
        <v>60.0</v>
      </c>
      <c r="M760" s="27" t="s">
        <v>1648</v>
      </c>
      <c r="N760" s="27">
        <v>25.5</v>
      </c>
      <c r="O760" s="27"/>
      <c r="P760" s="27">
        <v>24.0</v>
      </c>
      <c r="Q760" s="27"/>
      <c r="R760" s="27">
        <v>26.0</v>
      </c>
      <c r="S760" s="27"/>
      <c r="T760" s="27">
        <v>26.0</v>
      </c>
      <c r="U760" s="27"/>
      <c r="V760" s="27">
        <v>25.5</v>
      </c>
      <c r="W760" s="27"/>
      <c r="X760" s="27">
        <v>26.0</v>
      </c>
      <c r="Y760" s="27"/>
      <c r="Z760" s="27">
        <v>25.5</v>
      </c>
      <c r="AA760" s="27"/>
      <c r="AB760" s="27">
        <v>25.5</v>
      </c>
      <c r="AC760" s="27"/>
      <c r="AD760" s="27">
        <v>26.0</v>
      </c>
      <c r="AE760" s="27"/>
      <c r="AF760" s="27">
        <v>26.0</v>
      </c>
      <c r="AG760" s="27"/>
      <c r="AH760" s="27">
        <v>88.0</v>
      </c>
      <c r="AI760" s="27">
        <v>182.0</v>
      </c>
      <c r="AJ760" s="27">
        <v>2.0</v>
      </c>
      <c r="AK760" s="27" t="b">
        <v>0</v>
      </c>
      <c r="AL760" s="27">
        <v>100.0</v>
      </c>
      <c r="AM760" s="27" t="s">
        <v>129</v>
      </c>
      <c r="AN760" s="27" t="s">
        <v>405</v>
      </c>
      <c r="AO760" s="27"/>
    </row>
    <row r="761">
      <c r="A761" s="200">
        <v>44838.02510101852</v>
      </c>
      <c r="B761" s="19" t="s">
        <v>138</v>
      </c>
      <c r="C761" s="21" t="s">
        <v>298</v>
      </c>
      <c r="D761" s="62">
        <v>1.0</v>
      </c>
      <c r="E761" s="27">
        <v>4.0</v>
      </c>
      <c r="F761" s="27" t="s">
        <v>1649</v>
      </c>
      <c r="G761" s="201" t="s">
        <v>183</v>
      </c>
      <c r="H761" s="27" t="s">
        <v>116</v>
      </c>
      <c r="I761" s="27"/>
      <c r="J761" s="33">
        <v>-4.0</v>
      </c>
      <c r="K761" s="33">
        <v>-3.5</v>
      </c>
      <c r="L761" s="66">
        <v>58.5</v>
      </c>
      <c r="M761" s="27" t="s">
        <v>1650</v>
      </c>
      <c r="N761" s="27">
        <v>-3.5</v>
      </c>
      <c r="O761" s="27"/>
      <c r="P761" s="27">
        <v>-3.0</v>
      </c>
      <c r="Q761" s="27"/>
      <c r="R761" s="27">
        <v>-3.5</v>
      </c>
      <c r="S761" s="27"/>
      <c r="T761" s="27">
        <v>-3.5</v>
      </c>
      <c r="U761" s="27"/>
      <c r="V761" s="27">
        <v>-3.5</v>
      </c>
      <c r="W761" s="27"/>
      <c r="X761" s="27">
        <v>-3.5</v>
      </c>
      <c r="Y761" s="27"/>
      <c r="Z761" s="27">
        <v>-4.5</v>
      </c>
      <c r="AA761" s="27"/>
      <c r="AB761" s="27">
        <v>-3.5</v>
      </c>
      <c r="AC761" s="27"/>
      <c r="AD761" s="27">
        <v>-3.5</v>
      </c>
      <c r="AE761" s="27"/>
      <c r="AF761" s="27"/>
      <c r="AG761" s="27"/>
      <c r="AH761" s="27">
        <v>158.0</v>
      </c>
      <c r="AI761" s="27">
        <v>178.0</v>
      </c>
      <c r="AJ761" s="27">
        <v>2.0</v>
      </c>
      <c r="AK761" s="27" t="b">
        <v>0</v>
      </c>
      <c r="AL761" s="27">
        <v>100.0</v>
      </c>
      <c r="AM761" s="27" t="s">
        <v>190</v>
      </c>
      <c r="AN761" s="27" t="s">
        <v>405</v>
      </c>
      <c r="AO761" s="27"/>
    </row>
    <row r="762">
      <c r="A762" s="200">
        <v>44838.02510101852</v>
      </c>
      <c r="B762" s="19"/>
      <c r="C762" s="21"/>
      <c r="D762" s="62"/>
      <c r="E762" s="27"/>
      <c r="F762" s="27"/>
      <c r="G762" s="201"/>
      <c r="H762" s="27"/>
      <c r="I762" s="27"/>
      <c r="J762" s="33"/>
      <c r="K762" s="33"/>
      <c r="L762" s="66"/>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t="e">
        <v>#N/A</v>
      </c>
      <c r="AN762" s="27" t="e">
        <v>#N/A</v>
      </c>
      <c r="AO762" s="27"/>
    </row>
    <row r="763">
      <c r="A763" s="200">
        <v>44838.02510101852</v>
      </c>
      <c r="B763" s="19" t="s">
        <v>141</v>
      </c>
      <c r="C763" s="21" t="s">
        <v>314</v>
      </c>
      <c r="D763" s="62">
        <v>2.0</v>
      </c>
      <c r="E763" s="27">
        <v>2.0</v>
      </c>
      <c r="F763" s="27"/>
      <c r="G763" s="201"/>
      <c r="H763" s="27"/>
      <c r="I763" s="27" t="s">
        <v>105</v>
      </c>
      <c r="J763" s="33"/>
      <c r="K763" s="33"/>
      <c r="L763" s="66"/>
      <c r="M763" s="27"/>
      <c r="N763" s="27"/>
      <c r="O763" s="27"/>
      <c r="P763" s="27"/>
      <c r="Q763" s="27"/>
      <c r="R763" s="27"/>
      <c r="S763" s="27"/>
      <c r="T763" s="27"/>
      <c r="U763" s="27"/>
      <c r="V763" s="27"/>
      <c r="W763" s="27"/>
      <c r="X763" s="27"/>
      <c r="Y763" s="27"/>
      <c r="Z763" s="27"/>
      <c r="AA763" s="27"/>
      <c r="AB763" s="27"/>
      <c r="AC763" s="27"/>
      <c r="AD763" s="27"/>
      <c r="AE763" s="27"/>
      <c r="AF763" s="27"/>
      <c r="AG763" s="27"/>
      <c r="AH763" s="27">
        <v>154.0</v>
      </c>
      <c r="AI763" s="27">
        <v>102.0</v>
      </c>
      <c r="AJ763" s="27">
        <v>0.0</v>
      </c>
      <c r="AK763" s="27" t="b">
        <v>0</v>
      </c>
      <c r="AL763" s="27">
        <v>59.0</v>
      </c>
      <c r="AM763" s="27" t="s">
        <v>389</v>
      </c>
      <c r="AN763" s="27" t="s">
        <v>405</v>
      </c>
      <c r="AO763" s="27"/>
    </row>
    <row r="764">
      <c r="A764" s="200">
        <v>44838.02510101852</v>
      </c>
      <c r="B764" s="19" t="s">
        <v>141</v>
      </c>
      <c r="C764" s="21" t="s">
        <v>349</v>
      </c>
      <c r="D764" s="62">
        <v>3.0</v>
      </c>
      <c r="E764" s="27">
        <v>1.0</v>
      </c>
      <c r="F764" s="27" t="s">
        <v>1651</v>
      </c>
      <c r="G764" s="201" t="s">
        <v>57</v>
      </c>
      <c r="H764" s="27" t="s">
        <v>154</v>
      </c>
      <c r="I764" s="27"/>
      <c r="J764" s="33">
        <v>1.0</v>
      </c>
      <c r="K764" s="33">
        <v>-2.5</v>
      </c>
      <c r="L764" s="66">
        <v>42.5</v>
      </c>
      <c r="M764" s="27" t="s">
        <v>1652</v>
      </c>
      <c r="N764" s="27">
        <v>-2.5</v>
      </c>
      <c r="O764" s="27"/>
      <c r="P764" s="27">
        <v>-2.5</v>
      </c>
      <c r="Q764" s="27"/>
      <c r="R764" s="27">
        <v>-2.5</v>
      </c>
      <c r="S764" s="27"/>
      <c r="T764" s="27">
        <v>-2.0</v>
      </c>
      <c r="U764" s="27"/>
      <c r="V764" s="27">
        <v>-2.5</v>
      </c>
      <c r="W764" s="27"/>
      <c r="X764" s="27">
        <v>-2.5</v>
      </c>
      <c r="Y764" s="27"/>
      <c r="Z764" s="27">
        <v>-2.5</v>
      </c>
      <c r="AA764" s="27"/>
      <c r="AB764" s="27">
        <v>-2.5</v>
      </c>
      <c r="AC764" s="27"/>
      <c r="AD764" s="27">
        <v>-2.0</v>
      </c>
      <c r="AE764" s="27"/>
      <c r="AF764" s="27">
        <v>-2.0</v>
      </c>
      <c r="AG764" s="27"/>
      <c r="AH764" s="27">
        <v>104.0</v>
      </c>
      <c r="AI764" s="27">
        <v>63.0</v>
      </c>
      <c r="AJ764" s="27">
        <v>2.0</v>
      </c>
      <c r="AK764" s="27" t="b">
        <v>0</v>
      </c>
      <c r="AL764" s="27">
        <v>100.0</v>
      </c>
      <c r="AM764" s="27" t="s">
        <v>129</v>
      </c>
      <c r="AN764" s="27" t="s">
        <v>405</v>
      </c>
      <c r="AO764" s="27"/>
    </row>
    <row r="765">
      <c r="A765" s="200">
        <v>44838.02510101852</v>
      </c>
      <c r="B765" s="19" t="s">
        <v>141</v>
      </c>
      <c r="C765" s="21" t="s">
        <v>365</v>
      </c>
      <c r="D765" s="62">
        <v>2.0</v>
      </c>
      <c r="E765" s="27">
        <v>3.0</v>
      </c>
      <c r="F765" s="27" t="s">
        <v>1653</v>
      </c>
      <c r="G765" s="201" t="s">
        <v>57</v>
      </c>
      <c r="H765" s="27" t="s">
        <v>166</v>
      </c>
      <c r="I765" s="27"/>
      <c r="J765" s="33">
        <v>-3.5</v>
      </c>
      <c r="K765" s="33">
        <v>-6.5</v>
      </c>
      <c r="L765" s="66">
        <v>61.5</v>
      </c>
      <c r="M765" s="27" t="s">
        <v>1654</v>
      </c>
      <c r="N765" s="27">
        <v>-7.0</v>
      </c>
      <c r="O765" s="27"/>
      <c r="P765" s="27">
        <v>-6.5</v>
      </c>
      <c r="Q765" s="27"/>
      <c r="R765" s="27">
        <v>-6.5</v>
      </c>
      <c r="S765" s="27"/>
      <c r="T765" s="27">
        <v>-6.5</v>
      </c>
      <c r="U765" s="27"/>
      <c r="V765" s="27">
        <v>-6.5</v>
      </c>
      <c r="W765" s="27"/>
      <c r="X765" s="27">
        <v>-6.5</v>
      </c>
      <c r="Y765" s="27"/>
      <c r="Z765" s="27">
        <v>-7.0</v>
      </c>
      <c r="AA765" s="27"/>
      <c r="AB765" s="27">
        <v>-6.5</v>
      </c>
      <c r="AC765" s="27"/>
      <c r="AD765" s="27">
        <v>-6.5</v>
      </c>
      <c r="AE765" s="27"/>
      <c r="AF765" s="27">
        <v>-6.5</v>
      </c>
      <c r="AG765" s="27"/>
      <c r="AH765" s="27">
        <v>157.0</v>
      </c>
      <c r="AI765" s="27">
        <v>163.0</v>
      </c>
      <c r="AJ765" s="27">
        <v>2.0</v>
      </c>
      <c r="AK765" s="27" t="b">
        <v>0</v>
      </c>
      <c r="AL765" s="27">
        <v>100.0</v>
      </c>
      <c r="AM765" s="27" t="s">
        <v>188</v>
      </c>
      <c r="AN765" s="27" t="s">
        <v>404</v>
      </c>
      <c r="AO765" s="27"/>
    </row>
    <row r="766">
      <c r="A766" s="200">
        <v>44838.02510101852</v>
      </c>
      <c r="B766" s="19" t="s">
        <v>141</v>
      </c>
      <c r="C766" s="21" t="s">
        <v>318</v>
      </c>
      <c r="D766" s="62">
        <v>3.0</v>
      </c>
      <c r="E766" s="27">
        <v>2.0</v>
      </c>
      <c r="F766" s="27" t="s">
        <v>1609</v>
      </c>
      <c r="G766" s="201" t="s">
        <v>57</v>
      </c>
      <c r="H766" s="27" t="s">
        <v>178</v>
      </c>
      <c r="I766" s="27"/>
      <c r="J766" s="33">
        <v>5.0</v>
      </c>
      <c r="K766" s="33">
        <v>4.5</v>
      </c>
      <c r="L766" s="66">
        <v>54.5</v>
      </c>
      <c r="M766" s="27" t="s">
        <v>1610</v>
      </c>
      <c r="N766" s="27">
        <v>5.0</v>
      </c>
      <c r="O766" s="27"/>
      <c r="P766" s="27">
        <v>5.5</v>
      </c>
      <c r="Q766" s="27"/>
      <c r="R766" s="27">
        <v>5.0</v>
      </c>
      <c r="S766" s="27"/>
      <c r="T766" s="27">
        <v>4.5</v>
      </c>
      <c r="U766" s="27"/>
      <c r="V766" s="27">
        <v>5.5</v>
      </c>
      <c r="W766" s="27"/>
      <c r="X766" s="27">
        <v>5.5</v>
      </c>
      <c r="Y766" s="27"/>
      <c r="Z766" s="27">
        <v>5.5</v>
      </c>
      <c r="AA766" s="27"/>
      <c r="AB766" s="27">
        <v>5.0</v>
      </c>
      <c r="AC766" s="27"/>
      <c r="AD766" s="27">
        <v>4.5</v>
      </c>
      <c r="AE766" s="27"/>
      <c r="AF766" s="27">
        <v>4.5</v>
      </c>
      <c r="AG766" s="27"/>
      <c r="AH766" s="27">
        <v>126.0</v>
      </c>
      <c r="AI766" s="27">
        <v>111.0</v>
      </c>
      <c r="AJ766" s="27">
        <v>2.0</v>
      </c>
      <c r="AK766" s="27" t="b">
        <v>0</v>
      </c>
      <c r="AL766" s="27">
        <v>100.0</v>
      </c>
      <c r="AM766" s="27" t="s">
        <v>193</v>
      </c>
      <c r="AN766" s="27" t="s">
        <v>405</v>
      </c>
      <c r="AO766" s="27"/>
    </row>
    <row r="767">
      <c r="A767" s="200">
        <v>44838.02510101852</v>
      </c>
      <c r="B767" s="19" t="s">
        <v>141</v>
      </c>
      <c r="C767" s="21" t="s">
        <v>317</v>
      </c>
      <c r="D767" s="62">
        <v>1.0</v>
      </c>
      <c r="E767" s="27">
        <v>5.0</v>
      </c>
      <c r="F767" s="27" t="s">
        <v>1655</v>
      </c>
      <c r="G767" s="201" t="s">
        <v>57</v>
      </c>
      <c r="H767" s="27" t="s">
        <v>154</v>
      </c>
      <c r="I767" s="27"/>
      <c r="J767" s="33">
        <v>1.0</v>
      </c>
      <c r="K767" s="33">
        <v>3.5</v>
      </c>
      <c r="L767" s="66">
        <v>56.0</v>
      </c>
      <c r="M767" s="27" t="s">
        <v>1656</v>
      </c>
      <c r="N767" s="27">
        <v>3.5</v>
      </c>
      <c r="O767" s="27"/>
      <c r="P767" s="27">
        <v>3.5</v>
      </c>
      <c r="Q767" s="27"/>
      <c r="R767" s="27">
        <v>3.5</v>
      </c>
      <c r="S767" s="27"/>
      <c r="T767" s="27">
        <v>3.5</v>
      </c>
      <c r="U767" s="27"/>
      <c r="V767" s="27">
        <v>3.5</v>
      </c>
      <c r="W767" s="27"/>
      <c r="X767" s="27">
        <v>3.5</v>
      </c>
      <c r="Y767" s="27"/>
      <c r="Z767" s="27">
        <v>3.5</v>
      </c>
      <c r="AA767" s="27"/>
      <c r="AB767" s="27">
        <v>3.5</v>
      </c>
      <c r="AC767" s="27"/>
      <c r="AD767" s="27">
        <v>3.5</v>
      </c>
      <c r="AE767" s="27"/>
      <c r="AF767" s="27">
        <v>3.5</v>
      </c>
      <c r="AG767" s="27"/>
      <c r="AH767" s="27">
        <v>155.0</v>
      </c>
      <c r="AI767" s="27">
        <v>278.0</v>
      </c>
      <c r="AJ767" s="27">
        <v>2.0</v>
      </c>
      <c r="AK767" s="27" t="b">
        <v>0</v>
      </c>
      <c r="AL767" s="27">
        <v>100.0</v>
      </c>
      <c r="AM767" s="27" t="s">
        <v>189</v>
      </c>
      <c r="AN767" s="27" t="s">
        <v>405</v>
      </c>
      <c r="AO767" s="27"/>
    </row>
    <row r="768">
      <c r="A768" s="200">
        <v>44838.02510101852</v>
      </c>
      <c r="B768" s="19" t="s">
        <v>141</v>
      </c>
      <c r="C768" s="21" t="s">
        <v>287</v>
      </c>
      <c r="D768" s="62">
        <v>5.0</v>
      </c>
      <c r="E768" s="27">
        <v>0.0</v>
      </c>
      <c r="F768" s="27" t="s">
        <v>1642</v>
      </c>
      <c r="G768" s="201" t="s">
        <v>57</v>
      </c>
      <c r="H768" s="27" t="s">
        <v>138</v>
      </c>
      <c r="I768" s="27"/>
      <c r="J768" s="33">
        <v>-19.0</v>
      </c>
      <c r="K768" s="33">
        <v>-17.0</v>
      </c>
      <c r="L768" s="66">
        <v>61.0</v>
      </c>
      <c r="M768" s="27" t="s">
        <v>1257</v>
      </c>
      <c r="N768" s="27">
        <v>-17.0</v>
      </c>
      <c r="O768" s="27"/>
      <c r="P768" s="27">
        <v>-17.0</v>
      </c>
      <c r="Q768" s="27"/>
      <c r="R768" s="27">
        <v>-17.0</v>
      </c>
      <c r="S768" s="27"/>
      <c r="T768" s="27">
        <v>-17.0</v>
      </c>
      <c r="U768" s="27"/>
      <c r="V768" s="27">
        <v>-17.0</v>
      </c>
      <c r="W768" s="27"/>
      <c r="X768" s="27">
        <v>-17.0</v>
      </c>
      <c r="Y768" s="27"/>
      <c r="Z768" s="27">
        <v>-17.0</v>
      </c>
      <c r="AA768" s="27"/>
      <c r="AB768" s="27">
        <v>-17.0</v>
      </c>
      <c r="AC768" s="27"/>
      <c r="AD768" s="27">
        <v>-17.0</v>
      </c>
      <c r="AE768" s="27"/>
      <c r="AF768" s="27">
        <v>-17.0</v>
      </c>
      <c r="AG768" s="27"/>
      <c r="AH768" s="27">
        <v>242.0</v>
      </c>
      <c r="AI768" s="27">
        <v>55.0</v>
      </c>
      <c r="AJ768" s="27">
        <v>2.0</v>
      </c>
      <c r="AK768" s="27" t="b">
        <v>1</v>
      </c>
      <c r="AL768" s="27">
        <v>100.0</v>
      </c>
      <c r="AM768" s="27" t="s">
        <v>192</v>
      </c>
      <c r="AN768" s="27" t="s">
        <v>404</v>
      </c>
      <c r="AO768" s="27"/>
    </row>
    <row r="769">
      <c r="A769" s="200">
        <v>44838.02510101852</v>
      </c>
      <c r="B769" s="19" t="s">
        <v>141</v>
      </c>
      <c r="C769" s="21" t="s">
        <v>386</v>
      </c>
      <c r="D769" s="62">
        <v>3.0</v>
      </c>
      <c r="E769" s="27">
        <v>2.0</v>
      </c>
      <c r="F769" s="27" t="s">
        <v>1589</v>
      </c>
      <c r="G769" s="201" t="s">
        <v>57</v>
      </c>
      <c r="H769" s="27" t="s">
        <v>53</v>
      </c>
      <c r="I769" s="27"/>
      <c r="J769" s="33">
        <v>41.0</v>
      </c>
      <c r="K769" s="33">
        <v>40.0</v>
      </c>
      <c r="L769" s="66">
        <v>58.0</v>
      </c>
      <c r="M769" s="27" t="s">
        <v>1091</v>
      </c>
      <c r="N769" s="27">
        <v>40.0</v>
      </c>
      <c r="O769" s="27"/>
      <c r="P769" s="27">
        <v>39.0</v>
      </c>
      <c r="Q769" s="27"/>
      <c r="R769" s="27">
        <v>39.0</v>
      </c>
      <c r="S769" s="27"/>
      <c r="T769" s="27">
        <v>40.5</v>
      </c>
      <c r="U769" s="27"/>
      <c r="V769" s="27"/>
      <c r="W769" s="27"/>
      <c r="X769" s="27"/>
      <c r="Y769" s="27"/>
      <c r="Z769" s="27"/>
      <c r="AA769" s="27"/>
      <c r="AB769" s="27"/>
      <c r="AC769" s="27"/>
      <c r="AD769" s="27"/>
      <c r="AE769" s="27"/>
      <c r="AF769" s="27"/>
      <c r="AG769" s="27"/>
      <c r="AH769" s="27">
        <v>124.0</v>
      </c>
      <c r="AI769" s="27">
        <v>118.0</v>
      </c>
      <c r="AJ769" s="27">
        <v>2.0</v>
      </c>
      <c r="AK769" s="27" t="b">
        <v>0</v>
      </c>
      <c r="AL769" s="27">
        <v>100.0</v>
      </c>
      <c r="AM769" s="27" t="s">
        <v>191</v>
      </c>
      <c r="AN769" s="27" t="s">
        <v>404</v>
      </c>
      <c r="AO769" s="27"/>
    </row>
    <row r="770">
      <c r="A770" s="200">
        <v>44838.02510101852</v>
      </c>
      <c r="B770" s="19" t="s">
        <v>141</v>
      </c>
      <c r="C770" s="21" t="s">
        <v>323</v>
      </c>
      <c r="D770" s="62">
        <v>1.0</v>
      </c>
      <c r="E770" s="27">
        <v>4.0</v>
      </c>
      <c r="F770" s="27" t="s">
        <v>1657</v>
      </c>
      <c r="G770" s="201" t="s">
        <v>57</v>
      </c>
      <c r="H770" s="27" t="s">
        <v>148</v>
      </c>
      <c r="I770" s="27"/>
      <c r="J770" s="33">
        <v>5.5</v>
      </c>
      <c r="K770" s="33">
        <v>9.0</v>
      </c>
      <c r="L770" s="66">
        <v>50.0</v>
      </c>
      <c r="M770" s="27" t="s">
        <v>1658</v>
      </c>
      <c r="N770" s="27">
        <v>9.5</v>
      </c>
      <c r="O770" s="27"/>
      <c r="P770" s="27">
        <v>9.0</v>
      </c>
      <c r="Q770" s="27"/>
      <c r="R770" s="27">
        <v>9.0</v>
      </c>
      <c r="S770" s="27"/>
      <c r="T770" s="27">
        <v>9.0</v>
      </c>
      <c r="U770" s="27"/>
      <c r="V770" s="27">
        <v>9.0</v>
      </c>
      <c r="W770" s="27"/>
      <c r="X770" s="27">
        <v>8.5</v>
      </c>
      <c r="Y770" s="27"/>
      <c r="Z770" s="27">
        <v>9.0</v>
      </c>
      <c r="AA770" s="27"/>
      <c r="AB770" s="27">
        <v>9.0</v>
      </c>
      <c r="AC770" s="27"/>
      <c r="AD770" s="27">
        <v>9.0</v>
      </c>
      <c r="AE770" s="27"/>
      <c r="AF770" s="27"/>
      <c r="AG770" s="27"/>
      <c r="AH770" s="27">
        <v>76.0</v>
      </c>
      <c r="AI770" s="27">
        <v>190.0</v>
      </c>
      <c r="AJ770" s="27">
        <v>2.0</v>
      </c>
      <c r="AK770" s="27" t="b">
        <v>0</v>
      </c>
      <c r="AL770" s="27">
        <v>100.0</v>
      </c>
      <c r="AM770" s="27" t="s">
        <v>190</v>
      </c>
      <c r="AN770" s="27" t="s">
        <v>405</v>
      </c>
      <c r="AO770" s="27"/>
    </row>
    <row r="771">
      <c r="A771" s="200">
        <v>44838.02510101852</v>
      </c>
      <c r="B771" s="19" t="s">
        <v>141</v>
      </c>
      <c r="C771" s="21" t="s">
        <v>353</v>
      </c>
      <c r="D771" s="62">
        <v>2.0</v>
      </c>
      <c r="E771" s="27">
        <v>3.0</v>
      </c>
      <c r="F771" s="27" t="s">
        <v>1634</v>
      </c>
      <c r="G771" s="201" t="s">
        <v>57</v>
      </c>
      <c r="H771" s="27" t="s">
        <v>59</v>
      </c>
      <c r="I771" s="27"/>
      <c r="J771" s="33">
        <v>-13.5</v>
      </c>
      <c r="K771" s="33">
        <v>-13.5</v>
      </c>
      <c r="L771" s="66">
        <v>49.0</v>
      </c>
      <c r="M771" s="27" t="s">
        <v>1635</v>
      </c>
      <c r="N771" s="27">
        <v>-13.5</v>
      </c>
      <c r="O771" s="27"/>
      <c r="P771" s="27">
        <v>-13.5</v>
      </c>
      <c r="Q771" s="27"/>
      <c r="R771" s="27">
        <v>-13.5</v>
      </c>
      <c r="S771" s="27"/>
      <c r="T771" s="27">
        <v>-13.0</v>
      </c>
      <c r="U771" s="27"/>
      <c r="V771" s="27">
        <v>-13.5</v>
      </c>
      <c r="W771" s="27"/>
      <c r="X771" s="27">
        <v>-13.5</v>
      </c>
      <c r="Y771" s="27"/>
      <c r="Z771" s="27">
        <v>-13.5</v>
      </c>
      <c r="AA771" s="27"/>
      <c r="AB771" s="27">
        <v>-13.5</v>
      </c>
      <c r="AC771" s="27"/>
      <c r="AD771" s="27">
        <v>-13.0</v>
      </c>
      <c r="AE771" s="27"/>
      <c r="AF771" s="27">
        <v>-13.0</v>
      </c>
      <c r="AG771" s="27"/>
      <c r="AH771" s="27">
        <v>132.0</v>
      </c>
      <c r="AI771" s="27">
        <v>117.0</v>
      </c>
      <c r="AJ771" s="27">
        <v>2.0</v>
      </c>
      <c r="AK771" s="27" t="b">
        <v>1</v>
      </c>
      <c r="AL771" s="27">
        <v>100.0</v>
      </c>
      <c r="AM771" s="27" t="s">
        <v>186</v>
      </c>
      <c r="AN771" s="27" t="s">
        <v>404</v>
      </c>
      <c r="AO771" s="27"/>
    </row>
    <row r="772">
      <c r="A772" s="200">
        <v>44838.02510101852</v>
      </c>
      <c r="B772" s="19" t="s">
        <v>141</v>
      </c>
      <c r="C772" s="21" t="s">
        <v>393</v>
      </c>
      <c r="D772" s="62">
        <v>4.0</v>
      </c>
      <c r="E772" s="27">
        <v>1.0</v>
      </c>
      <c r="F772" s="27" t="s">
        <v>1647</v>
      </c>
      <c r="G772" s="201" t="s">
        <v>57</v>
      </c>
      <c r="H772" s="27" t="s">
        <v>138</v>
      </c>
      <c r="I772" s="27"/>
      <c r="J772" s="33">
        <v>-24.0</v>
      </c>
      <c r="K772" s="33">
        <v>-26.0</v>
      </c>
      <c r="L772" s="66">
        <v>60.0</v>
      </c>
      <c r="M772" s="27" t="s">
        <v>1648</v>
      </c>
      <c r="N772" s="27">
        <v>-25.5</v>
      </c>
      <c r="O772" s="27"/>
      <c r="P772" s="27">
        <v>-24.0</v>
      </c>
      <c r="Q772" s="27"/>
      <c r="R772" s="27">
        <v>-26.0</v>
      </c>
      <c r="S772" s="27"/>
      <c r="T772" s="27">
        <v>-26.0</v>
      </c>
      <c r="U772" s="27"/>
      <c r="V772" s="27">
        <v>-25.5</v>
      </c>
      <c r="W772" s="27"/>
      <c r="X772" s="27">
        <v>-26.0</v>
      </c>
      <c r="Y772" s="27"/>
      <c r="Z772" s="27">
        <v>-25.5</v>
      </c>
      <c r="AA772" s="27"/>
      <c r="AB772" s="27">
        <v>-25.5</v>
      </c>
      <c r="AC772" s="27"/>
      <c r="AD772" s="27">
        <v>-26.0</v>
      </c>
      <c r="AE772" s="27"/>
      <c r="AF772" s="27">
        <v>-26.0</v>
      </c>
      <c r="AG772" s="27"/>
      <c r="AH772" s="27">
        <v>172.0</v>
      </c>
      <c r="AI772" s="27">
        <v>132.0</v>
      </c>
      <c r="AJ772" s="27">
        <v>2.0</v>
      </c>
      <c r="AK772" s="27" t="b">
        <v>1</v>
      </c>
      <c r="AL772" s="27">
        <v>100.0</v>
      </c>
      <c r="AM772" s="27" t="s">
        <v>187</v>
      </c>
      <c r="AN772" s="27" t="s">
        <v>404</v>
      </c>
      <c r="AO772" s="27"/>
    </row>
    <row r="773">
      <c r="A773" s="200">
        <v>44838.02510101852</v>
      </c>
      <c r="B773" s="19"/>
      <c r="C773" s="21"/>
      <c r="D773" s="62"/>
      <c r="E773" s="27"/>
      <c r="F773" s="27"/>
      <c r="G773" s="201"/>
      <c r="H773" s="27"/>
      <c r="I773" s="27"/>
      <c r="J773" s="33"/>
      <c r="K773" s="33"/>
      <c r="L773" s="66"/>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t="e">
        <v>#N/A</v>
      </c>
      <c r="AN773" s="27" t="e">
        <v>#N/A</v>
      </c>
      <c r="AO773" s="27"/>
    </row>
    <row r="774">
      <c r="A774" s="200">
        <v>44838.02510101852</v>
      </c>
      <c r="B774" s="19" t="s">
        <v>109</v>
      </c>
      <c r="C774" s="21" t="s">
        <v>400</v>
      </c>
      <c r="D774" s="62">
        <v>2.0</v>
      </c>
      <c r="E774" s="27">
        <v>2.0</v>
      </c>
      <c r="F774" s="27"/>
      <c r="G774" s="201"/>
      <c r="H774" s="27"/>
      <c r="I774" s="27" t="s">
        <v>70</v>
      </c>
      <c r="J774" s="33"/>
      <c r="K774" s="33"/>
      <c r="L774" s="66"/>
      <c r="M774" s="27"/>
      <c r="N774" s="27"/>
      <c r="O774" s="27"/>
      <c r="P774" s="27"/>
      <c r="Q774" s="27"/>
      <c r="R774" s="27"/>
      <c r="S774" s="27"/>
      <c r="T774" s="27"/>
      <c r="U774" s="27"/>
      <c r="V774" s="27"/>
      <c r="W774" s="27"/>
      <c r="X774" s="27"/>
      <c r="Y774" s="27"/>
      <c r="Z774" s="27"/>
      <c r="AA774" s="27"/>
      <c r="AB774" s="27"/>
      <c r="AC774" s="27"/>
      <c r="AD774" s="27"/>
      <c r="AE774" s="27"/>
      <c r="AF774" s="27"/>
      <c r="AG774" s="27"/>
      <c r="AH774" s="27">
        <v>100.0</v>
      </c>
      <c r="AI774" s="27">
        <v>96.0</v>
      </c>
      <c r="AJ774" s="27">
        <v>0.0</v>
      </c>
      <c r="AK774" s="27" t="b">
        <v>1</v>
      </c>
      <c r="AL774" s="27">
        <v>59.0</v>
      </c>
      <c r="AM774" s="27" t="s">
        <v>187</v>
      </c>
      <c r="AN774" s="27" t="s">
        <v>404</v>
      </c>
      <c r="AO774" s="27"/>
    </row>
    <row r="775">
      <c r="A775" s="200">
        <v>44838.02510101852</v>
      </c>
      <c r="B775" s="19" t="s">
        <v>109</v>
      </c>
      <c r="C775" s="21" t="s">
        <v>328</v>
      </c>
      <c r="D775" s="62">
        <v>1.0</v>
      </c>
      <c r="E775" s="27">
        <v>4.0</v>
      </c>
      <c r="F775" s="27" t="s">
        <v>1659</v>
      </c>
      <c r="G775" s="201" t="s">
        <v>57</v>
      </c>
      <c r="H775" s="27" t="s">
        <v>116</v>
      </c>
      <c r="I775" s="27"/>
      <c r="J775" s="33">
        <v>17.5</v>
      </c>
      <c r="K775" s="33">
        <v>24.5</v>
      </c>
      <c r="L775" s="66">
        <v>60.5</v>
      </c>
      <c r="M775" s="27" t="s">
        <v>1660</v>
      </c>
      <c r="N775" s="27">
        <v>24.5</v>
      </c>
      <c r="O775" s="27"/>
      <c r="P775" s="27">
        <v>24.5</v>
      </c>
      <c r="Q775" s="27"/>
      <c r="R775" s="27">
        <v>24.5</v>
      </c>
      <c r="S775" s="27"/>
      <c r="T775" s="27">
        <v>24.5</v>
      </c>
      <c r="U775" s="27"/>
      <c r="V775" s="27">
        <v>24.5</v>
      </c>
      <c r="W775" s="27"/>
      <c r="X775" s="27">
        <v>25.0</v>
      </c>
      <c r="Y775" s="27"/>
      <c r="Z775" s="27">
        <v>24.5</v>
      </c>
      <c r="AA775" s="27"/>
      <c r="AB775" s="27">
        <v>24.5</v>
      </c>
      <c r="AC775" s="27"/>
      <c r="AD775" s="27">
        <v>24.5</v>
      </c>
      <c r="AE775" s="27"/>
      <c r="AF775" s="27">
        <v>24.5</v>
      </c>
      <c r="AG775" s="27"/>
      <c r="AH775" s="27">
        <v>116.0</v>
      </c>
      <c r="AI775" s="27">
        <v>143.0</v>
      </c>
      <c r="AJ775" s="27">
        <v>2.0</v>
      </c>
      <c r="AK775" s="27" t="b">
        <v>0</v>
      </c>
      <c r="AL775" s="27">
        <v>100.0</v>
      </c>
      <c r="AM775" s="27" t="s">
        <v>191</v>
      </c>
      <c r="AN775" s="27" t="s">
        <v>404</v>
      </c>
      <c r="AO775" s="27"/>
    </row>
    <row r="776">
      <c r="A776" s="200">
        <v>44838.02510101852</v>
      </c>
      <c r="B776" s="19" t="s">
        <v>109</v>
      </c>
      <c r="C776" s="21" t="s">
        <v>394</v>
      </c>
      <c r="D776" s="62">
        <v>1.0</v>
      </c>
      <c r="E776" s="27">
        <v>5.0</v>
      </c>
      <c r="F776" s="27" t="s">
        <v>1627</v>
      </c>
      <c r="G776" s="201" t="s">
        <v>57</v>
      </c>
      <c r="H776" s="27" t="s">
        <v>59</v>
      </c>
      <c r="I776" s="27"/>
      <c r="J776" s="33">
        <v>-14.5</v>
      </c>
      <c r="K776" s="33">
        <v>-15.0</v>
      </c>
      <c r="L776" s="66">
        <v>54.0</v>
      </c>
      <c r="M776" s="27" t="s">
        <v>1628</v>
      </c>
      <c r="N776" s="27">
        <v>-15.5</v>
      </c>
      <c r="O776" s="27"/>
      <c r="P776" s="27">
        <v>-16.0</v>
      </c>
      <c r="Q776" s="27"/>
      <c r="R776" s="27">
        <v>-16.0</v>
      </c>
      <c r="S776" s="27"/>
      <c r="T776" s="27">
        <v>-15.0</v>
      </c>
      <c r="U776" s="27"/>
      <c r="V776" s="27">
        <v>-16.0</v>
      </c>
      <c r="W776" s="27"/>
      <c r="X776" s="27">
        <v>-15.5</v>
      </c>
      <c r="Y776" s="27"/>
      <c r="Z776" s="27">
        <v>-15.5</v>
      </c>
      <c r="AA776" s="27"/>
      <c r="AB776" s="27">
        <v>-15.5</v>
      </c>
      <c r="AC776" s="27"/>
      <c r="AD776" s="27">
        <v>-15.0</v>
      </c>
      <c r="AE776" s="27"/>
      <c r="AF776" s="27">
        <v>-15.0</v>
      </c>
      <c r="AG776" s="27"/>
      <c r="AH776" s="27">
        <v>84.0</v>
      </c>
      <c r="AI776" s="27">
        <v>194.0</v>
      </c>
      <c r="AJ776" s="27">
        <v>2.0</v>
      </c>
      <c r="AK776" s="27" t="b">
        <v>1</v>
      </c>
      <c r="AL776" s="27">
        <v>100.0</v>
      </c>
      <c r="AM776" s="27" t="s">
        <v>129</v>
      </c>
      <c r="AN776" s="27" t="s">
        <v>405</v>
      </c>
      <c r="AO776" s="27"/>
    </row>
    <row r="777">
      <c r="A777" s="200">
        <v>44838.02510101852</v>
      </c>
      <c r="B777" s="19" t="s">
        <v>109</v>
      </c>
      <c r="C777" s="21" t="s">
        <v>360</v>
      </c>
      <c r="D777" s="62">
        <v>4.0</v>
      </c>
      <c r="E777" s="27">
        <v>1.0</v>
      </c>
      <c r="F777" s="27" t="s">
        <v>1661</v>
      </c>
      <c r="G777" s="201" t="s">
        <v>57</v>
      </c>
      <c r="H777" s="27" t="s">
        <v>166</v>
      </c>
      <c r="I777" s="27"/>
      <c r="J777" s="33">
        <v>1.5</v>
      </c>
      <c r="K777" s="33">
        <v>-8.0</v>
      </c>
      <c r="L777" s="66">
        <v>45.0</v>
      </c>
      <c r="M777" s="27" t="s">
        <v>1662</v>
      </c>
      <c r="N777" s="27">
        <v>-8.5</v>
      </c>
      <c r="O777" s="27"/>
      <c r="P777" s="27">
        <v>-8.0</v>
      </c>
      <c r="Q777" s="27"/>
      <c r="R777" s="27">
        <v>-8.5</v>
      </c>
      <c r="S777" s="27"/>
      <c r="T777" s="27">
        <v>-8.0</v>
      </c>
      <c r="U777" s="27"/>
      <c r="V777" s="27">
        <v>-8.0</v>
      </c>
      <c r="W777" s="27"/>
      <c r="X777" s="27">
        <v>-8.0</v>
      </c>
      <c r="Y777" s="27"/>
      <c r="Z777" s="27">
        <v>-8.0</v>
      </c>
      <c r="AA777" s="27"/>
      <c r="AB777" s="27">
        <v>-8.0</v>
      </c>
      <c r="AC777" s="27"/>
      <c r="AD777" s="27">
        <v>-8.0</v>
      </c>
      <c r="AE777" s="27"/>
      <c r="AF777" s="27">
        <v>-8.0</v>
      </c>
      <c r="AG777" s="27"/>
      <c r="AH777" s="27">
        <v>178.0</v>
      </c>
      <c r="AI777" s="27">
        <v>74.0</v>
      </c>
      <c r="AJ777" s="27">
        <v>2.0</v>
      </c>
      <c r="AK777" s="27" t="b">
        <v>1</v>
      </c>
      <c r="AL777" s="27">
        <v>100.0</v>
      </c>
      <c r="AM777" s="27" t="s">
        <v>192</v>
      </c>
      <c r="AN777" s="27" t="s">
        <v>404</v>
      </c>
      <c r="AO777" s="27"/>
    </row>
    <row r="778">
      <c r="A778" s="200">
        <v>44838.02510101852</v>
      </c>
      <c r="B778" s="19" t="s">
        <v>109</v>
      </c>
      <c r="C778" s="21" t="s">
        <v>292</v>
      </c>
      <c r="D778" s="62">
        <v>2.0</v>
      </c>
      <c r="E778" s="27">
        <v>3.0</v>
      </c>
      <c r="F778" s="27" t="s">
        <v>1639</v>
      </c>
      <c r="G778" s="201" t="s">
        <v>57</v>
      </c>
      <c r="H778" s="27" t="s">
        <v>138</v>
      </c>
      <c r="I778" s="27"/>
      <c r="J778" s="33">
        <v>6.0</v>
      </c>
      <c r="K778" s="33">
        <v>8.5</v>
      </c>
      <c r="L778" s="66">
        <v>47.5</v>
      </c>
      <c r="M778" s="27" t="s">
        <v>1640</v>
      </c>
      <c r="N778" s="27">
        <v>8.5</v>
      </c>
      <c r="O778" s="27"/>
      <c r="P778" s="27">
        <v>8.5</v>
      </c>
      <c r="Q778" s="27"/>
      <c r="R778" s="27">
        <v>8.5</v>
      </c>
      <c r="S778" s="27"/>
      <c r="T778" s="27">
        <v>9.0</v>
      </c>
      <c r="U778" s="27"/>
      <c r="V778" s="27">
        <v>8.5</v>
      </c>
      <c r="W778" s="27"/>
      <c r="X778" s="27">
        <v>8.5</v>
      </c>
      <c r="Y778" s="27"/>
      <c r="Z778" s="27">
        <v>8.0</v>
      </c>
      <c r="AA778" s="27"/>
      <c r="AB778" s="27">
        <v>8.5</v>
      </c>
      <c r="AC778" s="27"/>
      <c r="AD778" s="27">
        <v>9.0</v>
      </c>
      <c r="AE778" s="27"/>
      <c r="AF778" s="27">
        <v>9.0</v>
      </c>
      <c r="AG778" s="27"/>
      <c r="AH778" s="27">
        <v>128.0</v>
      </c>
      <c r="AI778" s="27">
        <v>102.0</v>
      </c>
      <c r="AJ778" s="27">
        <v>2.0</v>
      </c>
      <c r="AK778" s="27" t="b">
        <v>0</v>
      </c>
      <c r="AL778" s="27">
        <v>100.0</v>
      </c>
      <c r="AM778" s="27" t="s">
        <v>193</v>
      </c>
      <c r="AN778" s="27" t="s">
        <v>405</v>
      </c>
      <c r="AO778" s="27"/>
    </row>
    <row r="779">
      <c r="A779" s="200">
        <v>44838.02510101852</v>
      </c>
      <c r="B779" s="19" t="s">
        <v>109</v>
      </c>
      <c r="C779" s="21" t="s">
        <v>344</v>
      </c>
      <c r="D779" s="62">
        <v>2.0</v>
      </c>
      <c r="E779" s="27">
        <v>3.0</v>
      </c>
      <c r="F779" s="27" t="s">
        <v>1599</v>
      </c>
      <c r="G779" s="201" t="s">
        <v>57</v>
      </c>
      <c r="H779" s="27" t="s">
        <v>131</v>
      </c>
      <c r="I779" s="27"/>
      <c r="J779" s="33">
        <v>-1.0</v>
      </c>
      <c r="K779" s="33">
        <v>-3.0</v>
      </c>
      <c r="L779" s="66">
        <v>51.0</v>
      </c>
      <c r="M779" s="27" t="s">
        <v>1600</v>
      </c>
      <c r="N779" s="27">
        <v>-3.0</v>
      </c>
      <c r="O779" s="27"/>
      <c r="P779" s="27">
        <v>-3.0</v>
      </c>
      <c r="Q779" s="27"/>
      <c r="R779" s="27">
        <v>-3.0</v>
      </c>
      <c r="S779" s="27"/>
      <c r="T779" s="27">
        <v>-3.0</v>
      </c>
      <c r="U779" s="27"/>
      <c r="V779" s="27">
        <v>-3.0</v>
      </c>
      <c r="W779" s="27"/>
      <c r="X779" s="27">
        <v>-3.0</v>
      </c>
      <c r="Y779" s="27"/>
      <c r="Z779" s="27">
        <v>-3.0</v>
      </c>
      <c r="AA779" s="27"/>
      <c r="AB779" s="27">
        <v>-3.0</v>
      </c>
      <c r="AC779" s="27"/>
      <c r="AD779" s="27"/>
      <c r="AE779" s="27"/>
      <c r="AF779" s="27"/>
      <c r="AG779" s="27"/>
      <c r="AH779" s="27">
        <v>141.0</v>
      </c>
      <c r="AI779" s="27">
        <v>157.0</v>
      </c>
      <c r="AJ779" s="27">
        <v>2.0</v>
      </c>
      <c r="AK779" s="27" t="b">
        <v>1</v>
      </c>
      <c r="AL779" s="27">
        <v>100.0</v>
      </c>
      <c r="AM779" s="27" t="s">
        <v>190</v>
      </c>
      <c r="AN779" s="27" t="s">
        <v>405</v>
      </c>
      <c r="AO779" s="27"/>
    </row>
    <row r="780">
      <c r="A780" s="200">
        <v>44838.02510101852</v>
      </c>
      <c r="B780" s="19" t="s">
        <v>109</v>
      </c>
      <c r="C780" s="21" t="s">
        <v>367</v>
      </c>
      <c r="D780" s="62">
        <v>4.0</v>
      </c>
      <c r="E780" s="27">
        <v>1.0</v>
      </c>
      <c r="F780" s="27" t="s">
        <v>1663</v>
      </c>
      <c r="G780" s="201" t="s">
        <v>57</v>
      </c>
      <c r="H780" s="27" t="s">
        <v>148</v>
      </c>
      <c r="I780" s="27"/>
      <c r="J780" s="33">
        <v>-9.0</v>
      </c>
      <c r="K780" s="33">
        <v>-10.0</v>
      </c>
      <c r="L780" s="66">
        <v>57.5</v>
      </c>
      <c r="M780" s="27" t="s">
        <v>1664</v>
      </c>
      <c r="N780" s="27">
        <v>-9.5</v>
      </c>
      <c r="O780" s="27"/>
      <c r="P780" s="27">
        <v>-9.5</v>
      </c>
      <c r="Q780" s="27"/>
      <c r="R780" s="27">
        <v>-9.5</v>
      </c>
      <c r="S780" s="27"/>
      <c r="T780" s="27">
        <v>-10.0</v>
      </c>
      <c r="U780" s="27"/>
      <c r="V780" s="27">
        <v>-9.5</v>
      </c>
      <c r="W780" s="27"/>
      <c r="X780" s="27">
        <v>-9.5</v>
      </c>
      <c r="Y780" s="27"/>
      <c r="Z780" s="27">
        <v>-9.5</v>
      </c>
      <c r="AA780" s="27"/>
      <c r="AB780" s="27">
        <v>-10.0</v>
      </c>
      <c r="AC780" s="27"/>
      <c r="AD780" s="27">
        <v>-10.0</v>
      </c>
      <c r="AE780" s="27"/>
      <c r="AF780" s="27">
        <v>-10.0</v>
      </c>
      <c r="AG780" s="27"/>
      <c r="AH780" s="27">
        <v>227.0</v>
      </c>
      <c r="AI780" s="27">
        <v>168.0</v>
      </c>
      <c r="AJ780" s="27">
        <v>2.0</v>
      </c>
      <c r="AK780" s="27" t="b">
        <v>0</v>
      </c>
      <c r="AL780" s="27">
        <v>100.0</v>
      </c>
      <c r="AM780" s="27" t="s">
        <v>186</v>
      </c>
      <c r="AN780" s="27" t="s">
        <v>404</v>
      </c>
      <c r="AO780" s="27"/>
    </row>
    <row r="781">
      <c r="A781" s="200">
        <v>44838.02510101852</v>
      </c>
      <c r="B781" s="19" t="s">
        <v>109</v>
      </c>
      <c r="C781" s="21" t="s">
        <v>375</v>
      </c>
      <c r="D781" s="62">
        <v>5.0</v>
      </c>
      <c r="E781" s="27">
        <v>0.0</v>
      </c>
      <c r="F781" s="27" t="s">
        <v>1665</v>
      </c>
      <c r="G781" s="201" t="s">
        <v>57</v>
      </c>
      <c r="H781" s="27" t="s">
        <v>154</v>
      </c>
      <c r="I781" s="27"/>
      <c r="J781" s="33">
        <v>-24.5</v>
      </c>
      <c r="K781" s="33">
        <v>-25.0</v>
      </c>
      <c r="L781" s="66">
        <v>50.0</v>
      </c>
      <c r="M781" s="27" t="s">
        <v>1660</v>
      </c>
      <c r="N781" s="27">
        <v>-25.5</v>
      </c>
      <c r="O781" s="27"/>
      <c r="P781" s="27">
        <v>-25.5</v>
      </c>
      <c r="Q781" s="27"/>
      <c r="R781" s="27">
        <v>-25.5</v>
      </c>
      <c r="S781" s="27"/>
      <c r="T781" s="27">
        <v>-25.0</v>
      </c>
      <c r="U781" s="27"/>
      <c r="V781" s="27">
        <v>-25.5</v>
      </c>
      <c r="W781" s="27"/>
      <c r="X781" s="27">
        <v>-25.0</v>
      </c>
      <c r="Y781" s="27"/>
      <c r="Z781" s="27">
        <v>-26.0</v>
      </c>
      <c r="AA781" s="27"/>
      <c r="AB781" s="27">
        <v>-25.5</v>
      </c>
      <c r="AC781" s="27"/>
      <c r="AD781" s="27">
        <v>-25.0</v>
      </c>
      <c r="AE781" s="27"/>
      <c r="AF781" s="27">
        <v>-25.0</v>
      </c>
      <c r="AG781" s="27"/>
      <c r="AH781" s="27">
        <v>172.0</v>
      </c>
      <c r="AI781" s="27">
        <v>74.0</v>
      </c>
      <c r="AJ781" s="27">
        <v>2.0</v>
      </c>
      <c r="AK781" s="27" t="b">
        <v>0</v>
      </c>
      <c r="AL781" s="27">
        <v>100.0</v>
      </c>
      <c r="AM781" s="27" t="s">
        <v>188</v>
      </c>
      <c r="AN781" s="27" t="s">
        <v>404</v>
      </c>
      <c r="AO781" s="27"/>
    </row>
    <row r="782">
      <c r="A782" s="200">
        <v>44838.02510101852</v>
      </c>
      <c r="B782" s="19" t="s">
        <v>109</v>
      </c>
      <c r="C782" s="21" t="s">
        <v>339</v>
      </c>
      <c r="D782" s="62">
        <v>4.0</v>
      </c>
      <c r="E782" s="27">
        <v>1.0</v>
      </c>
      <c r="F782" s="27" t="s">
        <v>1666</v>
      </c>
      <c r="G782" s="201" t="s">
        <v>57</v>
      </c>
      <c r="H782" s="27" t="s">
        <v>103</v>
      </c>
      <c r="I782" s="27"/>
      <c r="J782" s="33">
        <v>-20.0</v>
      </c>
      <c r="K782" s="33">
        <v>-19.5</v>
      </c>
      <c r="L782" s="66">
        <v>50.0</v>
      </c>
      <c r="M782" s="27" t="s">
        <v>1419</v>
      </c>
      <c r="N782" s="27">
        <v>-18.5</v>
      </c>
      <c r="O782" s="27"/>
      <c r="P782" s="27">
        <v>-18.5</v>
      </c>
      <c r="Q782" s="27"/>
      <c r="R782" s="27">
        <v>-19.0</v>
      </c>
      <c r="S782" s="27"/>
      <c r="T782" s="27">
        <v>-19.5</v>
      </c>
      <c r="U782" s="27"/>
      <c r="V782" s="27">
        <v>-18.5</v>
      </c>
      <c r="W782" s="27"/>
      <c r="X782" s="27">
        <v>-18.5</v>
      </c>
      <c r="Y782" s="27"/>
      <c r="Z782" s="27">
        <v>-18.5</v>
      </c>
      <c r="AA782" s="27"/>
      <c r="AB782" s="27">
        <v>-18.5</v>
      </c>
      <c r="AC782" s="27"/>
      <c r="AD782" s="27">
        <v>-19.5</v>
      </c>
      <c r="AE782" s="27"/>
      <c r="AF782" s="27">
        <v>-19.5</v>
      </c>
      <c r="AG782" s="27"/>
      <c r="AH782" s="27">
        <v>172.0</v>
      </c>
      <c r="AI782" s="27">
        <v>131.0</v>
      </c>
      <c r="AJ782" s="27">
        <v>2.0</v>
      </c>
      <c r="AK782" s="27" t="b">
        <v>1</v>
      </c>
      <c r="AL782" s="27">
        <v>100.0</v>
      </c>
      <c r="AM782" s="27" t="s">
        <v>389</v>
      </c>
      <c r="AN782" s="27" t="s">
        <v>405</v>
      </c>
      <c r="AO782" s="27"/>
    </row>
    <row r="783">
      <c r="A783" s="200">
        <v>44838.02510101852</v>
      </c>
      <c r="B783" s="19" t="s">
        <v>109</v>
      </c>
      <c r="C783" s="21" t="s">
        <v>343</v>
      </c>
      <c r="D783" s="62">
        <v>3.0</v>
      </c>
      <c r="E783" s="27">
        <v>2.0</v>
      </c>
      <c r="F783" s="27" t="s">
        <v>1645</v>
      </c>
      <c r="G783" s="201" t="s">
        <v>57</v>
      </c>
      <c r="H783" s="27" t="s">
        <v>138</v>
      </c>
      <c r="I783" s="27"/>
      <c r="J783" s="33">
        <v>5.5</v>
      </c>
      <c r="K783" s="33">
        <v>4.5</v>
      </c>
      <c r="L783" s="66">
        <v>64.0</v>
      </c>
      <c r="M783" s="27" t="s">
        <v>1646</v>
      </c>
      <c r="N783" s="27">
        <v>4.5</v>
      </c>
      <c r="O783" s="27"/>
      <c r="P783" s="27">
        <v>4.5</v>
      </c>
      <c r="Q783" s="27"/>
      <c r="R783" s="27">
        <v>4.0</v>
      </c>
      <c r="S783" s="27"/>
      <c r="T783" s="27">
        <v>4.5</v>
      </c>
      <c r="U783" s="27"/>
      <c r="V783" s="27">
        <v>4.5</v>
      </c>
      <c r="W783" s="27"/>
      <c r="X783" s="27">
        <v>4.0</v>
      </c>
      <c r="Y783" s="27"/>
      <c r="Z783" s="27">
        <v>4.0</v>
      </c>
      <c r="AA783" s="27"/>
      <c r="AB783" s="27">
        <v>4.5</v>
      </c>
      <c r="AC783" s="27"/>
      <c r="AD783" s="27">
        <v>4.5</v>
      </c>
      <c r="AE783" s="27"/>
      <c r="AF783" s="27">
        <v>4.5</v>
      </c>
      <c r="AG783" s="27"/>
      <c r="AH783" s="27">
        <v>165.0</v>
      </c>
      <c r="AI783" s="27">
        <v>145.0</v>
      </c>
      <c r="AJ783" s="27">
        <v>2.0</v>
      </c>
      <c r="AK783" s="27" t="b">
        <v>1</v>
      </c>
      <c r="AL783" s="27">
        <v>100.0</v>
      </c>
      <c r="AM783" s="27" t="s">
        <v>189</v>
      </c>
      <c r="AN783" s="27" t="s">
        <v>405</v>
      </c>
      <c r="AO783" s="27"/>
    </row>
    <row r="784">
      <c r="A784" s="200">
        <v>44838.02510101852</v>
      </c>
      <c r="B784" s="19"/>
      <c r="C784" s="21"/>
      <c r="D784" s="62"/>
      <c r="E784" s="27"/>
      <c r="F784" s="27"/>
      <c r="G784" s="201"/>
      <c r="H784" s="27"/>
      <c r="I784" s="27"/>
      <c r="J784" s="33"/>
      <c r="K784" s="33"/>
      <c r="L784" s="66"/>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t="e">
        <v>#N/A</v>
      </c>
      <c r="AN784" s="27" t="e">
        <v>#N/A</v>
      </c>
      <c r="AO784" s="27"/>
    </row>
    <row r="785">
      <c r="A785" s="200">
        <v>44838.02510101852</v>
      </c>
      <c r="B785" s="19" t="s">
        <v>144</v>
      </c>
      <c r="C785" s="21" t="s">
        <v>338</v>
      </c>
      <c r="D785" s="62">
        <v>2.0</v>
      </c>
      <c r="E785" s="27">
        <v>2.0</v>
      </c>
      <c r="F785" s="27"/>
      <c r="G785" s="201"/>
      <c r="H785" s="27"/>
      <c r="I785" s="27" t="s">
        <v>133</v>
      </c>
      <c r="J785" s="33"/>
      <c r="K785" s="33"/>
      <c r="L785" s="66"/>
      <c r="M785" s="27"/>
      <c r="N785" s="27"/>
      <c r="O785" s="27"/>
      <c r="P785" s="27"/>
      <c r="Q785" s="27"/>
      <c r="R785" s="27"/>
      <c r="S785" s="27"/>
      <c r="T785" s="27"/>
      <c r="U785" s="27"/>
      <c r="V785" s="27"/>
      <c r="W785" s="27"/>
      <c r="X785" s="27"/>
      <c r="Y785" s="27"/>
      <c r="Z785" s="27"/>
      <c r="AA785" s="27"/>
      <c r="AB785" s="27"/>
      <c r="AC785" s="27"/>
      <c r="AD785" s="27"/>
      <c r="AE785" s="27"/>
      <c r="AF785" s="27"/>
      <c r="AG785" s="27"/>
      <c r="AH785" s="27">
        <v>125.0</v>
      </c>
      <c r="AI785" s="27">
        <v>93.0</v>
      </c>
      <c r="AJ785" s="27">
        <v>0.0</v>
      </c>
      <c r="AK785" s="27" t="b">
        <v>1</v>
      </c>
      <c r="AL785" s="27">
        <v>59.0</v>
      </c>
      <c r="AM785" s="27" t="s">
        <v>189</v>
      </c>
      <c r="AN785" s="27" t="s">
        <v>405</v>
      </c>
      <c r="AO785" s="27"/>
    </row>
    <row r="786">
      <c r="A786" s="200">
        <v>44838.02510101852</v>
      </c>
      <c r="B786" s="19" t="s">
        <v>144</v>
      </c>
      <c r="C786" s="21" t="s">
        <v>357</v>
      </c>
      <c r="D786" s="62">
        <v>2.0</v>
      </c>
      <c r="E786" s="27">
        <v>2.0</v>
      </c>
      <c r="F786" s="27"/>
      <c r="G786" s="201"/>
      <c r="H786" s="27"/>
      <c r="I786" s="27" t="s">
        <v>105</v>
      </c>
      <c r="J786" s="33"/>
      <c r="K786" s="33"/>
      <c r="L786" s="66"/>
      <c r="M786" s="27"/>
      <c r="N786" s="27"/>
      <c r="O786" s="27"/>
      <c r="P786" s="27"/>
      <c r="Q786" s="27"/>
      <c r="R786" s="27"/>
      <c r="S786" s="27"/>
      <c r="T786" s="27"/>
      <c r="U786" s="27"/>
      <c r="V786" s="27"/>
      <c r="W786" s="27"/>
      <c r="X786" s="27"/>
      <c r="Y786" s="27"/>
      <c r="Z786" s="27"/>
      <c r="AA786" s="27"/>
      <c r="AB786" s="27"/>
      <c r="AC786" s="27"/>
      <c r="AD786" s="27"/>
      <c r="AE786" s="27"/>
      <c r="AF786" s="27"/>
      <c r="AG786" s="27"/>
      <c r="AH786" s="27">
        <v>140.0</v>
      </c>
      <c r="AI786" s="27">
        <v>82.0</v>
      </c>
      <c r="AJ786" s="27">
        <v>0.0</v>
      </c>
      <c r="AK786" s="27" t="b">
        <v>1</v>
      </c>
      <c r="AL786" s="27">
        <v>59.0</v>
      </c>
      <c r="AM786" s="27" t="s">
        <v>186</v>
      </c>
      <c r="AN786" s="27" t="s">
        <v>404</v>
      </c>
      <c r="AO786" s="27"/>
    </row>
    <row r="787">
      <c r="A787" s="200">
        <v>44838.02510101852</v>
      </c>
      <c r="B787" s="19" t="s">
        <v>144</v>
      </c>
      <c r="C787" s="21" t="s">
        <v>346</v>
      </c>
      <c r="D787" s="62">
        <v>3.0</v>
      </c>
      <c r="E787" s="27">
        <v>2.0</v>
      </c>
      <c r="F787" s="27" t="s">
        <v>1667</v>
      </c>
      <c r="G787" s="201" t="s">
        <v>57</v>
      </c>
      <c r="H787" s="27"/>
      <c r="I787" s="27"/>
      <c r="J787" s="33">
        <v>-30.0</v>
      </c>
      <c r="K787" s="33">
        <v>-32.0</v>
      </c>
      <c r="L787" s="66">
        <v>71.5</v>
      </c>
      <c r="M787" s="27" t="s">
        <v>1286</v>
      </c>
      <c r="N787" s="27">
        <v>-31.5</v>
      </c>
      <c r="O787" s="27"/>
      <c r="P787" s="27">
        <v>-32.0</v>
      </c>
      <c r="Q787" s="27"/>
      <c r="R787" s="27">
        <v>-31.0</v>
      </c>
      <c r="S787" s="27"/>
      <c r="T787" s="27">
        <v>-32.0</v>
      </c>
      <c r="U787" s="27"/>
      <c r="V787" s="27">
        <v>-32.0</v>
      </c>
      <c r="W787" s="27"/>
      <c r="X787" s="27">
        <v>-32.0</v>
      </c>
      <c r="Y787" s="27"/>
      <c r="Z787" s="27">
        <v>-32.0</v>
      </c>
      <c r="AA787" s="27" t="s">
        <v>1091</v>
      </c>
      <c r="AB787" s="27">
        <v>-32.0</v>
      </c>
      <c r="AC787" s="27" t="s">
        <v>1091</v>
      </c>
      <c r="AD787" s="27" t="s">
        <v>1091</v>
      </c>
      <c r="AE787" s="27" t="s">
        <v>1091</v>
      </c>
      <c r="AF787" s="27" t="s">
        <v>1091</v>
      </c>
      <c r="AG787" s="27" t="s">
        <v>1091</v>
      </c>
      <c r="AH787" s="27">
        <v>161.0</v>
      </c>
      <c r="AI787" s="27">
        <v>135.0</v>
      </c>
      <c r="AJ787" s="27">
        <v>2.0</v>
      </c>
      <c r="AK787" s="27" t="b">
        <v>0</v>
      </c>
      <c r="AL787" s="27">
        <v>100.0</v>
      </c>
      <c r="AM787" s="27" t="s">
        <v>192</v>
      </c>
      <c r="AN787" s="27" t="s">
        <v>404</v>
      </c>
      <c r="AO787" s="27"/>
    </row>
    <row r="788">
      <c r="A788" s="200">
        <v>44838.02510101852</v>
      </c>
      <c r="B788" s="19" t="s">
        <v>144</v>
      </c>
      <c r="C788" s="21" t="s">
        <v>342</v>
      </c>
      <c r="D788" s="62">
        <v>0.0</v>
      </c>
      <c r="E788" s="27">
        <v>5.0</v>
      </c>
      <c r="F788" s="27" t="s">
        <v>1668</v>
      </c>
      <c r="G788" s="201" t="s">
        <v>57</v>
      </c>
      <c r="H788" s="27" t="s">
        <v>103</v>
      </c>
      <c r="I788" s="27"/>
      <c r="J788" s="33">
        <v>10.5</v>
      </c>
      <c r="K788" s="33">
        <v>17.5</v>
      </c>
      <c r="L788" s="66">
        <v>60.5</v>
      </c>
      <c r="M788" s="27" t="s">
        <v>1669</v>
      </c>
      <c r="N788" s="27">
        <v>17.5</v>
      </c>
      <c r="O788" s="27"/>
      <c r="P788" s="27">
        <v>18.0</v>
      </c>
      <c r="Q788" s="27"/>
      <c r="R788" s="27">
        <v>18.0</v>
      </c>
      <c r="S788" s="27"/>
      <c r="T788" s="27">
        <v>17.5</v>
      </c>
      <c r="U788" s="27"/>
      <c r="V788" s="27">
        <v>18.0</v>
      </c>
      <c r="W788" s="27"/>
      <c r="X788" s="27">
        <v>18.0</v>
      </c>
      <c r="Y788" s="27"/>
      <c r="Z788" s="27">
        <v>18.0</v>
      </c>
      <c r="AA788" s="27"/>
      <c r="AB788" s="27">
        <v>17.5</v>
      </c>
      <c r="AC788" s="27"/>
      <c r="AD788" s="27">
        <v>17.5</v>
      </c>
      <c r="AE788" s="27"/>
      <c r="AF788" s="27">
        <v>17.5</v>
      </c>
      <c r="AG788" s="27"/>
      <c r="AH788" s="27">
        <v>67.0</v>
      </c>
      <c r="AI788" s="27">
        <v>216.0</v>
      </c>
      <c r="AJ788" s="27">
        <v>2.0</v>
      </c>
      <c r="AK788" s="27" t="b">
        <v>0</v>
      </c>
      <c r="AL788" s="27">
        <v>100.0</v>
      </c>
      <c r="AM788" s="27" t="s">
        <v>191</v>
      </c>
      <c r="AN788" s="27" t="s">
        <v>404</v>
      </c>
      <c r="AO788" s="27"/>
    </row>
    <row r="789">
      <c r="A789" s="200">
        <v>44838.02510101852</v>
      </c>
      <c r="B789" s="19" t="s">
        <v>144</v>
      </c>
      <c r="C789" s="21" t="s">
        <v>371</v>
      </c>
      <c r="D789" s="62">
        <v>2.0</v>
      </c>
      <c r="E789" s="27">
        <v>3.0</v>
      </c>
      <c r="F789" s="27" t="s">
        <v>1670</v>
      </c>
      <c r="G789" s="201" t="s">
        <v>57</v>
      </c>
      <c r="H789" s="27" t="s">
        <v>166</v>
      </c>
      <c r="I789" s="27"/>
      <c r="J789" s="33">
        <v>13.5</v>
      </c>
      <c r="K789" s="33">
        <v>7.5</v>
      </c>
      <c r="L789" s="66">
        <v>61.5</v>
      </c>
      <c r="M789" s="27" t="s">
        <v>1644</v>
      </c>
      <c r="N789" s="27">
        <v>7.5</v>
      </c>
      <c r="O789" s="27"/>
      <c r="P789" s="27">
        <v>7.5</v>
      </c>
      <c r="Q789" s="27"/>
      <c r="R789" s="27">
        <v>8.0</v>
      </c>
      <c r="S789" s="27"/>
      <c r="T789" s="27">
        <v>7.5</v>
      </c>
      <c r="U789" s="27"/>
      <c r="V789" s="27">
        <v>7.5</v>
      </c>
      <c r="W789" s="27"/>
      <c r="X789" s="27">
        <v>7.5</v>
      </c>
      <c r="Y789" s="27"/>
      <c r="Z789" s="27">
        <v>8.0</v>
      </c>
      <c r="AA789" s="27"/>
      <c r="AB789" s="27">
        <v>8.0</v>
      </c>
      <c r="AC789" s="27"/>
      <c r="AD789" s="27">
        <v>7.5</v>
      </c>
      <c r="AE789" s="27"/>
      <c r="AF789" s="27">
        <v>7.5</v>
      </c>
      <c r="AG789" s="27"/>
      <c r="AH789" s="27">
        <v>191.0</v>
      </c>
      <c r="AI789" s="27">
        <v>148.0</v>
      </c>
      <c r="AJ789" s="27">
        <v>2.0</v>
      </c>
      <c r="AK789" s="27" t="b">
        <v>0</v>
      </c>
      <c r="AL789" s="27">
        <v>100.0</v>
      </c>
      <c r="AM789" s="27" t="s">
        <v>187</v>
      </c>
      <c r="AN789" s="27" t="s">
        <v>404</v>
      </c>
      <c r="AO789" s="27"/>
    </row>
    <row r="790">
      <c r="A790" s="200">
        <v>44838.02510101852</v>
      </c>
      <c r="B790" s="19" t="s">
        <v>144</v>
      </c>
      <c r="C790" s="21" t="s">
        <v>300</v>
      </c>
      <c r="D790" s="62">
        <v>5.0</v>
      </c>
      <c r="E790" s="27">
        <v>0.0</v>
      </c>
      <c r="F790" s="27" t="s">
        <v>1607</v>
      </c>
      <c r="G790" s="201" t="s">
        <v>57</v>
      </c>
      <c r="H790" s="27" t="s">
        <v>178</v>
      </c>
      <c r="I790" s="27"/>
      <c r="J790" s="33">
        <v>-9.5</v>
      </c>
      <c r="K790" s="33">
        <v>-10.0</v>
      </c>
      <c r="L790" s="66">
        <v>70.0</v>
      </c>
      <c r="M790" s="27" t="s">
        <v>1608</v>
      </c>
      <c r="N790" s="27">
        <v>-9.5</v>
      </c>
      <c r="O790" s="27"/>
      <c r="P790" s="27">
        <v>-10.0</v>
      </c>
      <c r="Q790" s="27"/>
      <c r="R790" s="27">
        <v>-10.0</v>
      </c>
      <c r="S790" s="27"/>
      <c r="T790" s="27">
        <v>-10.0</v>
      </c>
      <c r="U790" s="27"/>
      <c r="V790" s="27">
        <v>-10.0</v>
      </c>
      <c r="W790" s="27"/>
      <c r="X790" s="27">
        <v>-10.0</v>
      </c>
      <c r="Y790" s="27"/>
      <c r="Z790" s="27">
        <v>-10.0</v>
      </c>
      <c r="AA790" s="27"/>
      <c r="AB790" s="27">
        <v>-10.0</v>
      </c>
      <c r="AC790" s="27"/>
      <c r="AD790" s="27">
        <v>-10.0</v>
      </c>
      <c r="AE790" s="27"/>
      <c r="AF790" s="27">
        <v>-10.0</v>
      </c>
      <c r="AG790" s="27"/>
      <c r="AH790" s="27">
        <v>182.0</v>
      </c>
      <c r="AI790" s="27">
        <v>135.0</v>
      </c>
      <c r="AJ790" s="27">
        <v>2.0</v>
      </c>
      <c r="AK790" s="27" t="b">
        <v>1</v>
      </c>
      <c r="AL790" s="27">
        <v>100.0</v>
      </c>
      <c r="AM790" s="27" t="s">
        <v>193</v>
      </c>
      <c r="AN790" s="27" t="s">
        <v>405</v>
      </c>
      <c r="AO790" s="27"/>
    </row>
    <row r="791">
      <c r="A791" s="200">
        <v>44838.02510101852</v>
      </c>
      <c r="B791" s="19" t="s">
        <v>144</v>
      </c>
      <c r="C791" s="21" t="s">
        <v>345</v>
      </c>
      <c r="D791" s="62">
        <v>1.0</v>
      </c>
      <c r="E791" s="27">
        <v>3.0</v>
      </c>
      <c r="F791" s="27" t="s">
        <v>1629</v>
      </c>
      <c r="G791" s="201" t="s">
        <v>57</v>
      </c>
      <c r="H791" s="27" t="s">
        <v>59</v>
      </c>
      <c r="I791" s="27"/>
      <c r="J791" s="33">
        <v>-23.5</v>
      </c>
      <c r="K791" s="33">
        <v>-23.5</v>
      </c>
      <c r="L791" s="66">
        <v>51.0</v>
      </c>
      <c r="M791" s="27" t="s">
        <v>1630</v>
      </c>
      <c r="N791" s="27">
        <v>-23.5</v>
      </c>
      <c r="O791" s="27"/>
      <c r="P791" s="27">
        <v>-23.5</v>
      </c>
      <c r="Q791" s="27"/>
      <c r="R791" s="27">
        <v>-23.0</v>
      </c>
      <c r="S791" s="27"/>
      <c r="T791" s="27">
        <v>-22.5</v>
      </c>
      <c r="U791" s="27"/>
      <c r="V791" s="27">
        <v>-23.5</v>
      </c>
      <c r="W791" s="27"/>
      <c r="X791" s="27">
        <v>-23.5</v>
      </c>
      <c r="Y791" s="27"/>
      <c r="Z791" s="27">
        <v>-23.5</v>
      </c>
      <c r="AA791" s="27"/>
      <c r="AB791" s="27">
        <v>-23.5</v>
      </c>
      <c r="AC791" s="27"/>
      <c r="AD791" s="27">
        <v>-22.5</v>
      </c>
      <c r="AE791" s="27"/>
      <c r="AF791" s="27">
        <v>-22.5</v>
      </c>
      <c r="AG791" s="27"/>
      <c r="AH791" s="27">
        <v>98.0</v>
      </c>
      <c r="AI791" s="27">
        <v>106.0</v>
      </c>
      <c r="AJ791" s="27">
        <v>2.0</v>
      </c>
      <c r="AK791" s="27" t="b">
        <v>0</v>
      </c>
      <c r="AL791" s="27">
        <v>100.0</v>
      </c>
      <c r="AM791" s="27" t="s">
        <v>129</v>
      </c>
      <c r="AN791" s="27" t="s">
        <v>405</v>
      </c>
      <c r="AO791" s="27"/>
    </row>
    <row r="792">
      <c r="A792" s="200">
        <v>44838.02510101852</v>
      </c>
      <c r="B792" s="19" t="s">
        <v>144</v>
      </c>
      <c r="C792" s="21" t="s">
        <v>325</v>
      </c>
      <c r="D792" s="62">
        <v>3.0</v>
      </c>
      <c r="E792" s="27">
        <v>2.0</v>
      </c>
      <c r="F792" s="27" t="s">
        <v>1603</v>
      </c>
      <c r="G792" s="201" t="s">
        <v>57</v>
      </c>
      <c r="H792" s="27" t="s">
        <v>131</v>
      </c>
      <c r="I792" s="27"/>
      <c r="J792" s="33">
        <v>-8.5</v>
      </c>
      <c r="K792" s="33">
        <v>-9.5</v>
      </c>
      <c r="L792" s="66">
        <v>56.5</v>
      </c>
      <c r="M792" s="27" t="s">
        <v>1584</v>
      </c>
      <c r="N792" s="27">
        <v>-9.5</v>
      </c>
      <c r="O792" s="27"/>
      <c r="P792" s="27">
        <v>-10.0</v>
      </c>
      <c r="Q792" s="27"/>
      <c r="R792" s="27">
        <v>-10.0</v>
      </c>
      <c r="S792" s="27"/>
      <c r="T792" s="27">
        <v>-9.5</v>
      </c>
      <c r="U792" s="27"/>
      <c r="V792" s="27">
        <v>-9.5</v>
      </c>
      <c r="W792" s="27"/>
      <c r="X792" s="27">
        <v>-9.5</v>
      </c>
      <c r="Y792" s="27"/>
      <c r="Z792" s="27">
        <v>-9.5</v>
      </c>
      <c r="AA792" s="27"/>
      <c r="AB792" s="27">
        <v>-9.5</v>
      </c>
      <c r="AC792" s="27"/>
      <c r="AD792" s="27">
        <v>-9.5</v>
      </c>
      <c r="AE792" s="27"/>
      <c r="AF792" s="27">
        <v>-9.5</v>
      </c>
      <c r="AG792" s="27"/>
      <c r="AH792" s="27">
        <v>176.0</v>
      </c>
      <c r="AI792" s="27">
        <v>103.0</v>
      </c>
      <c r="AJ792" s="27">
        <v>2.0</v>
      </c>
      <c r="AK792" s="27" t="b">
        <v>0</v>
      </c>
      <c r="AL792" s="27">
        <v>100.0</v>
      </c>
      <c r="AM792" s="27" t="s">
        <v>389</v>
      </c>
      <c r="AN792" s="27" t="s">
        <v>405</v>
      </c>
      <c r="AO792" s="27"/>
    </row>
    <row r="793">
      <c r="A793" s="200">
        <v>44838.02510101852</v>
      </c>
      <c r="B793" s="19" t="s">
        <v>144</v>
      </c>
      <c r="C793" s="21" t="s">
        <v>321</v>
      </c>
      <c r="D793" s="62">
        <v>4.0</v>
      </c>
      <c r="E793" s="27">
        <v>1.0</v>
      </c>
      <c r="F793" s="27" t="s">
        <v>1604</v>
      </c>
      <c r="G793" s="201" t="s">
        <v>57</v>
      </c>
      <c r="H793" s="27" t="s">
        <v>131</v>
      </c>
      <c r="I793" s="27"/>
      <c r="J793" s="33">
        <v>10.0</v>
      </c>
      <c r="K793" s="33">
        <v>6.5</v>
      </c>
      <c r="L793" s="66">
        <v>43.5</v>
      </c>
      <c r="M793" s="27" t="s">
        <v>1605</v>
      </c>
      <c r="N793" s="27">
        <v>6.5</v>
      </c>
      <c r="O793" s="27"/>
      <c r="P793" s="27">
        <v>6.5</v>
      </c>
      <c r="Q793" s="27"/>
      <c r="R793" s="27">
        <v>6.5</v>
      </c>
      <c r="S793" s="27"/>
      <c r="T793" s="27">
        <v>6.5</v>
      </c>
      <c r="U793" s="27"/>
      <c r="V793" s="27">
        <v>6.5</v>
      </c>
      <c r="W793" s="27"/>
      <c r="X793" s="27">
        <v>6.0</v>
      </c>
      <c r="Y793" s="27"/>
      <c r="Z793" s="27">
        <v>6.5</v>
      </c>
      <c r="AA793" s="27"/>
      <c r="AB793" s="27">
        <v>6.0</v>
      </c>
      <c r="AC793" s="27"/>
      <c r="AD793" s="27">
        <v>6.5</v>
      </c>
      <c r="AE793" s="27"/>
      <c r="AF793" s="27">
        <v>6.5</v>
      </c>
      <c r="AG793" s="27"/>
      <c r="AH793" s="27">
        <v>147.0</v>
      </c>
      <c r="AI793" s="27">
        <v>42.0</v>
      </c>
      <c r="AJ793" s="27">
        <v>2.0</v>
      </c>
      <c r="AK793" s="27" t="b">
        <v>1</v>
      </c>
      <c r="AL793" s="27">
        <v>100.0</v>
      </c>
      <c r="AM793" s="27" t="s">
        <v>188</v>
      </c>
      <c r="AN793" s="27" t="s">
        <v>404</v>
      </c>
      <c r="AO793" s="27"/>
    </row>
    <row r="794">
      <c r="A794" s="200">
        <v>44838.02510101852</v>
      </c>
      <c r="B794" s="19" t="s">
        <v>144</v>
      </c>
      <c r="C794" s="21" t="s">
        <v>359</v>
      </c>
      <c r="D794" s="62">
        <v>2.0</v>
      </c>
      <c r="E794" s="27">
        <v>3.0</v>
      </c>
      <c r="F794" s="27" t="s">
        <v>1592</v>
      </c>
      <c r="G794" s="201" t="s">
        <v>183</v>
      </c>
      <c r="H794" s="27" t="s">
        <v>53</v>
      </c>
      <c r="I794" s="27"/>
      <c r="J794" s="33">
        <v>-7.5</v>
      </c>
      <c r="K794" s="33">
        <v>-13.0</v>
      </c>
      <c r="L794" s="66">
        <v>66.0</v>
      </c>
      <c r="M794" s="27" t="s">
        <v>1593</v>
      </c>
      <c r="N794" s="27">
        <v>-13.0</v>
      </c>
      <c r="O794" s="27"/>
      <c r="P794" s="27">
        <v>-12.0</v>
      </c>
      <c r="Q794" s="27"/>
      <c r="R794" s="27">
        <v>-13.0</v>
      </c>
      <c r="S794" s="27"/>
      <c r="T794" s="27">
        <v>-13.0</v>
      </c>
      <c r="U794" s="27"/>
      <c r="V794" s="27">
        <v>-12.5</v>
      </c>
      <c r="W794" s="27"/>
      <c r="X794" s="27">
        <v>-12.5</v>
      </c>
      <c r="Y794" s="27"/>
      <c r="Z794" s="27">
        <v>-13.0</v>
      </c>
      <c r="AA794" s="27"/>
      <c r="AB794" s="27">
        <v>-13.0</v>
      </c>
      <c r="AC794" s="27"/>
      <c r="AD794" s="27">
        <v>-13.0</v>
      </c>
      <c r="AE794" s="27"/>
      <c r="AF794" s="27"/>
      <c r="AG794" s="27"/>
      <c r="AH794" s="27">
        <v>139.0</v>
      </c>
      <c r="AI794" s="27">
        <v>151.0</v>
      </c>
      <c r="AJ794" s="27">
        <v>2.0</v>
      </c>
      <c r="AK794" s="27" t="b">
        <v>1</v>
      </c>
      <c r="AL794" s="27">
        <v>100.0</v>
      </c>
      <c r="AM794" s="27" t="s">
        <v>190</v>
      </c>
      <c r="AN794" s="27" t="s">
        <v>405</v>
      </c>
      <c r="AO794" s="27"/>
    </row>
    <row r="795">
      <c r="A795" s="200">
        <v>44838.02510101852</v>
      </c>
      <c r="B795" s="19"/>
      <c r="C795" s="21"/>
      <c r="D795" s="62"/>
      <c r="E795" s="27"/>
      <c r="F795" s="27"/>
      <c r="G795" s="201"/>
      <c r="H795" s="27"/>
      <c r="I795" s="27"/>
      <c r="J795" s="33"/>
      <c r="K795" s="33"/>
      <c r="L795" s="66"/>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t="e">
        <v>#N/A</v>
      </c>
      <c r="AN795" s="27" t="e">
        <v>#N/A</v>
      </c>
      <c r="AO795" s="27"/>
    </row>
    <row r="796">
      <c r="A796" s="200">
        <v>44838.02510101852</v>
      </c>
      <c r="B796" s="19" t="s">
        <v>166</v>
      </c>
      <c r="C796" s="21" t="s">
        <v>351</v>
      </c>
      <c r="D796" s="62">
        <v>1.0</v>
      </c>
      <c r="E796" s="27">
        <v>4.0</v>
      </c>
      <c r="F796" s="27"/>
      <c r="G796" s="201"/>
      <c r="H796" s="27"/>
      <c r="I796" s="27" t="s">
        <v>126</v>
      </c>
      <c r="J796" s="33"/>
      <c r="K796" s="33"/>
      <c r="L796" s="66"/>
      <c r="M796" s="27"/>
      <c r="N796" s="27"/>
      <c r="O796" s="27"/>
      <c r="P796" s="27"/>
      <c r="Q796" s="27"/>
      <c r="R796" s="27"/>
      <c r="S796" s="27"/>
      <c r="T796" s="27"/>
      <c r="U796" s="27"/>
      <c r="V796" s="27"/>
      <c r="W796" s="27"/>
      <c r="X796" s="27"/>
      <c r="Y796" s="27"/>
      <c r="Z796" s="27"/>
      <c r="AA796" s="27"/>
      <c r="AB796" s="27"/>
      <c r="AC796" s="27"/>
      <c r="AD796" s="27"/>
      <c r="AE796" s="27"/>
      <c r="AF796" s="27"/>
      <c r="AG796" s="27"/>
      <c r="AH796" s="27">
        <v>87.0</v>
      </c>
      <c r="AI796" s="27">
        <v>227.0</v>
      </c>
      <c r="AJ796" s="27">
        <v>0.0</v>
      </c>
      <c r="AK796" s="27" t="b">
        <v>1</v>
      </c>
      <c r="AL796" s="27">
        <v>59.0</v>
      </c>
      <c r="AM796" s="27" t="s">
        <v>129</v>
      </c>
      <c r="AN796" s="27" t="s">
        <v>405</v>
      </c>
      <c r="AO796" s="27"/>
    </row>
    <row r="797">
      <c r="A797" s="200">
        <v>44838.02510101852</v>
      </c>
      <c r="B797" s="19" t="s">
        <v>166</v>
      </c>
      <c r="C797" s="21" t="s">
        <v>334</v>
      </c>
      <c r="D797" s="62">
        <v>1.0</v>
      </c>
      <c r="E797" s="27">
        <v>3.0</v>
      </c>
      <c r="F797" s="27"/>
      <c r="G797" s="201"/>
      <c r="H797" s="27"/>
      <c r="I797" s="27" t="s">
        <v>133</v>
      </c>
      <c r="J797" s="33"/>
      <c r="K797" s="33"/>
      <c r="L797" s="66"/>
      <c r="M797" s="27"/>
      <c r="N797" s="27"/>
      <c r="O797" s="27"/>
      <c r="P797" s="27"/>
      <c r="Q797" s="27"/>
      <c r="R797" s="27"/>
      <c r="S797" s="27"/>
      <c r="T797" s="27"/>
      <c r="U797" s="27"/>
      <c r="V797" s="27"/>
      <c r="W797" s="27"/>
      <c r="X797" s="27"/>
      <c r="Y797" s="27"/>
      <c r="Z797" s="27"/>
      <c r="AA797" s="27"/>
      <c r="AB797" s="27"/>
      <c r="AC797" s="27"/>
      <c r="AD797" s="27"/>
      <c r="AE797" s="27"/>
      <c r="AF797" s="27"/>
      <c r="AG797" s="27"/>
      <c r="AH797" s="27">
        <v>110.0</v>
      </c>
      <c r="AI797" s="27">
        <v>155.0</v>
      </c>
      <c r="AJ797" s="27">
        <v>0.0</v>
      </c>
      <c r="AK797" s="27" t="b">
        <v>1</v>
      </c>
      <c r="AL797" s="27">
        <v>59.0</v>
      </c>
      <c r="AM797" s="27" t="s">
        <v>189</v>
      </c>
      <c r="AN797" s="27" t="s">
        <v>405</v>
      </c>
      <c r="AO797" s="27"/>
    </row>
    <row r="798">
      <c r="A798" s="200">
        <v>44838.02510101852</v>
      </c>
      <c r="B798" s="19" t="s">
        <v>166</v>
      </c>
      <c r="C798" s="21" t="s">
        <v>327</v>
      </c>
      <c r="D798" s="62">
        <v>3.0</v>
      </c>
      <c r="E798" s="27">
        <v>2.0</v>
      </c>
      <c r="F798" s="27" t="s">
        <v>1653</v>
      </c>
      <c r="G798" s="201" t="s">
        <v>57</v>
      </c>
      <c r="H798" s="27" t="s">
        <v>141</v>
      </c>
      <c r="I798" s="27"/>
      <c r="J798" s="33">
        <v>3.5</v>
      </c>
      <c r="K798" s="33">
        <v>6.5</v>
      </c>
      <c r="L798" s="66">
        <v>61.5</v>
      </c>
      <c r="M798" s="27" t="s">
        <v>1654</v>
      </c>
      <c r="N798" s="27">
        <v>7.0</v>
      </c>
      <c r="O798" s="27"/>
      <c r="P798" s="27">
        <v>6.5</v>
      </c>
      <c r="Q798" s="27"/>
      <c r="R798" s="27">
        <v>6.5</v>
      </c>
      <c r="S798" s="27"/>
      <c r="T798" s="27">
        <v>6.5</v>
      </c>
      <c r="U798" s="27"/>
      <c r="V798" s="27">
        <v>6.5</v>
      </c>
      <c r="W798" s="27"/>
      <c r="X798" s="27">
        <v>6.5</v>
      </c>
      <c r="Y798" s="27"/>
      <c r="Z798" s="27">
        <v>7.0</v>
      </c>
      <c r="AA798" s="27"/>
      <c r="AB798" s="27">
        <v>6.5</v>
      </c>
      <c r="AC798" s="27"/>
      <c r="AD798" s="27">
        <v>6.5</v>
      </c>
      <c r="AE798" s="27"/>
      <c r="AF798" s="27">
        <v>6.5</v>
      </c>
      <c r="AG798" s="27"/>
      <c r="AH798" s="27">
        <v>136.0</v>
      </c>
      <c r="AI798" s="27">
        <v>152.0</v>
      </c>
      <c r="AJ798" s="27">
        <v>2.0</v>
      </c>
      <c r="AK798" s="27" t="b">
        <v>1</v>
      </c>
      <c r="AL798" s="27">
        <v>100.0</v>
      </c>
      <c r="AM798" s="27" t="s">
        <v>188</v>
      </c>
      <c r="AN798" s="27" t="s">
        <v>404</v>
      </c>
      <c r="AO798" s="27"/>
    </row>
    <row r="799">
      <c r="A799" s="200">
        <v>44838.02510101852</v>
      </c>
      <c r="B799" s="19" t="s">
        <v>166</v>
      </c>
      <c r="C799" s="21" t="s">
        <v>370</v>
      </c>
      <c r="D799" s="62">
        <v>3.0</v>
      </c>
      <c r="E799" s="27">
        <v>2.0</v>
      </c>
      <c r="F799" s="27" t="s">
        <v>1671</v>
      </c>
      <c r="G799" s="201" t="s">
        <v>57</v>
      </c>
      <c r="H799" s="27" t="s">
        <v>116</v>
      </c>
      <c r="I799" s="27"/>
      <c r="J799" s="33">
        <v>-18.5</v>
      </c>
      <c r="K799" s="33">
        <v>-21.5</v>
      </c>
      <c r="L799" s="66">
        <v>47.0</v>
      </c>
      <c r="M799" s="27" t="s">
        <v>1672</v>
      </c>
      <c r="N799" s="27">
        <v>-21.5</v>
      </c>
      <c r="O799" s="27"/>
      <c r="P799" s="27">
        <v>-21.5</v>
      </c>
      <c r="Q799" s="27"/>
      <c r="R799" s="27">
        <v>-22.0</v>
      </c>
      <c r="S799" s="27"/>
      <c r="T799" s="27">
        <v>-21.5</v>
      </c>
      <c r="U799" s="27"/>
      <c r="V799" s="27">
        <v>-21.5</v>
      </c>
      <c r="W799" s="27"/>
      <c r="X799" s="27">
        <v>-21.5</v>
      </c>
      <c r="Y799" s="27"/>
      <c r="Z799" s="27">
        <v>-21.5</v>
      </c>
      <c r="AA799" s="27"/>
      <c r="AB799" s="27">
        <v>-22.0</v>
      </c>
      <c r="AC799" s="27"/>
      <c r="AD799" s="27">
        <v>-21.5</v>
      </c>
      <c r="AE799" s="27"/>
      <c r="AF799" s="27">
        <v>-21.5</v>
      </c>
      <c r="AG799" s="27"/>
      <c r="AH799" s="27">
        <v>165.0</v>
      </c>
      <c r="AI799" s="27">
        <v>128.0</v>
      </c>
      <c r="AJ799" s="27">
        <v>2.0</v>
      </c>
      <c r="AK799" s="27" t="b">
        <v>1</v>
      </c>
      <c r="AL799" s="27">
        <v>100.0</v>
      </c>
      <c r="AM799" s="27" t="s">
        <v>186</v>
      </c>
      <c r="AN799" s="27" t="s">
        <v>404</v>
      </c>
      <c r="AO799" s="27"/>
    </row>
    <row r="800">
      <c r="A800" s="200">
        <v>44838.02510101852</v>
      </c>
      <c r="B800" s="19" t="s">
        <v>166</v>
      </c>
      <c r="C800" s="21" t="s">
        <v>364</v>
      </c>
      <c r="D800" s="62">
        <v>3.0</v>
      </c>
      <c r="E800" s="27">
        <v>2.0</v>
      </c>
      <c r="F800" s="27" t="s">
        <v>1670</v>
      </c>
      <c r="G800" s="201" t="s">
        <v>57</v>
      </c>
      <c r="H800" s="27" t="s">
        <v>144</v>
      </c>
      <c r="I800" s="27"/>
      <c r="J800" s="33">
        <v>-13.5</v>
      </c>
      <c r="K800" s="33">
        <v>-7.5</v>
      </c>
      <c r="L800" s="66">
        <v>61.5</v>
      </c>
      <c r="M800" s="27" t="s">
        <v>1644</v>
      </c>
      <c r="N800" s="27">
        <v>-7.5</v>
      </c>
      <c r="O800" s="27"/>
      <c r="P800" s="27">
        <v>-7.5</v>
      </c>
      <c r="Q800" s="27"/>
      <c r="R800" s="27">
        <v>-8.0</v>
      </c>
      <c r="S800" s="27"/>
      <c r="T800" s="27">
        <v>-7.5</v>
      </c>
      <c r="U800" s="27"/>
      <c r="V800" s="27">
        <v>-7.5</v>
      </c>
      <c r="W800" s="27"/>
      <c r="X800" s="27">
        <v>-7.5</v>
      </c>
      <c r="Y800" s="27"/>
      <c r="Z800" s="27">
        <v>-8.0</v>
      </c>
      <c r="AA800" s="27"/>
      <c r="AB800" s="27">
        <v>-8.0</v>
      </c>
      <c r="AC800" s="27"/>
      <c r="AD800" s="27">
        <v>-7.5</v>
      </c>
      <c r="AE800" s="27"/>
      <c r="AF800" s="27">
        <v>-7.5</v>
      </c>
      <c r="AG800" s="27"/>
      <c r="AH800" s="27">
        <v>184.0</v>
      </c>
      <c r="AI800" s="27">
        <v>107.0</v>
      </c>
      <c r="AJ800" s="27">
        <v>2.0</v>
      </c>
      <c r="AK800" s="27" t="b">
        <v>1</v>
      </c>
      <c r="AL800" s="27">
        <v>100.0</v>
      </c>
      <c r="AM800" s="27" t="s">
        <v>187</v>
      </c>
      <c r="AN800" s="27" t="s">
        <v>404</v>
      </c>
      <c r="AO800" s="27"/>
    </row>
    <row r="801">
      <c r="A801" s="200">
        <v>44838.02510101852</v>
      </c>
      <c r="B801" s="19" t="s">
        <v>166</v>
      </c>
      <c r="C801" s="21" t="s">
        <v>337</v>
      </c>
      <c r="D801" s="62">
        <v>3.0</v>
      </c>
      <c r="E801" s="27">
        <v>2.0</v>
      </c>
      <c r="F801" s="27" t="s">
        <v>1661</v>
      </c>
      <c r="G801" s="201" t="s">
        <v>57</v>
      </c>
      <c r="H801" s="27" t="s">
        <v>109</v>
      </c>
      <c r="I801" s="27"/>
      <c r="J801" s="33">
        <v>-1.5</v>
      </c>
      <c r="K801" s="33">
        <v>8.0</v>
      </c>
      <c r="L801" s="66">
        <v>45.0</v>
      </c>
      <c r="M801" s="27" t="s">
        <v>1662</v>
      </c>
      <c r="N801" s="27">
        <v>8.5</v>
      </c>
      <c r="O801" s="27"/>
      <c r="P801" s="27">
        <v>8.0</v>
      </c>
      <c r="Q801" s="27"/>
      <c r="R801" s="27">
        <v>8.5</v>
      </c>
      <c r="S801" s="27"/>
      <c r="T801" s="27">
        <v>8.0</v>
      </c>
      <c r="U801" s="27"/>
      <c r="V801" s="27">
        <v>8.0</v>
      </c>
      <c r="W801" s="27"/>
      <c r="X801" s="27">
        <v>8.0</v>
      </c>
      <c r="Y801" s="27"/>
      <c r="Z801" s="27">
        <v>8.0</v>
      </c>
      <c r="AA801" s="27"/>
      <c r="AB801" s="27">
        <v>8.0</v>
      </c>
      <c r="AC801" s="27"/>
      <c r="AD801" s="27">
        <v>8.0</v>
      </c>
      <c r="AE801" s="27"/>
      <c r="AF801" s="27">
        <v>8.0</v>
      </c>
      <c r="AG801" s="27"/>
      <c r="AH801" s="27">
        <v>112.0</v>
      </c>
      <c r="AI801" s="27">
        <v>108.0</v>
      </c>
      <c r="AJ801" s="27">
        <v>2.0</v>
      </c>
      <c r="AK801" s="27" t="b">
        <v>0</v>
      </c>
      <c r="AL801" s="27">
        <v>100.0</v>
      </c>
      <c r="AM801" s="27" t="s">
        <v>192</v>
      </c>
      <c r="AN801" s="27" t="s">
        <v>404</v>
      </c>
      <c r="AO801" s="27"/>
    </row>
    <row r="802">
      <c r="A802" s="200">
        <v>44838.02510101852</v>
      </c>
      <c r="B802" s="19" t="s">
        <v>166</v>
      </c>
      <c r="C802" s="21" t="s">
        <v>399</v>
      </c>
      <c r="D802" s="62">
        <v>4.0</v>
      </c>
      <c r="E802" s="27">
        <v>1.0</v>
      </c>
      <c r="F802" s="27" t="s">
        <v>1586</v>
      </c>
      <c r="G802" s="201" t="s">
        <v>57</v>
      </c>
      <c r="H802" s="27" t="s">
        <v>53</v>
      </c>
      <c r="I802" s="27"/>
      <c r="J802" s="33">
        <v>-2.5</v>
      </c>
      <c r="K802" s="33">
        <v>-3.5</v>
      </c>
      <c r="L802" s="66">
        <v>47.5</v>
      </c>
      <c r="M802" s="27" t="s">
        <v>1587</v>
      </c>
      <c r="N802" s="27">
        <v>-4.0</v>
      </c>
      <c r="O802" s="27"/>
      <c r="P802" s="27">
        <v>-3.5</v>
      </c>
      <c r="Q802" s="27"/>
      <c r="R802" s="27">
        <v>-3.5</v>
      </c>
      <c r="S802" s="27"/>
      <c r="T802" s="27">
        <v>-3.5</v>
      </c>
      <c r="U802" s="27"/>
      <c r="V802" s="27">
        <v>-3.5</v>
      </c>
      <c r="W802" s="27"/>
      <c r="X802" s="27">
        <v>-3.5</v>
      </c>
      <c r="Y802" s="27"/>
      <c r="Z802" s="27">
        <v>-2.0</v>
      </c>
      <c r="AA802" s="27"/>
      <c r="AB802" s="27">
        <v>-4.0</v>
      </c>
      <c r="AC802" s="27"/>
      <c r="AD802" s="27">
        <v>-3.5</v>
      </c>
      <c r="AE802" s="27"/>
      <c r="AF802" s="27">
        <v>-3.5</v>
      </c>
      <c r="AG802" s="27"/>
      <c r="AH802" s="27">
        <v>145.0</v>
      </c>
      <c r="AI802" s="27">
        <v>114.0</v>
      </c>
      <c r="AJ802" s="27">
        <v>2.0</v>
      </c>
      <c r="AK802" s="27" t="b">
        <v>1</v>
      </c>
      <c r="AL802" s="27">
        <v>100.0</v>
      </c>
      <c r="AM802" s="27" t="s">
        <v>190</v>
      </c>
      <c r="AN802" s="27" t="s">
        <v>405</v>
      </c>
      <c r="AO802" s="27"/>
    </row>
    <row r="803">
      <c r="A803" s="200">
        <v>44838.02510101852</v>
      </c>
      <c r="B803" s="19" t="s">
        <v>166</v>
      </c>
      <c r="C803" s="21" t="s">
        <v>333</v>
      </c>
      <c r="D803" s="62">
        <v>3.0</v>
      </c>
      <c r="E803" s="27">
        <v>2.0</v>
      </c>
      <c r="F803" s="27" t="s">
        <v>1597</v>
      </c>
      <c r="G803" s="201" t="s">
        <v>57</v>
      </c>
      <c r="H803" s="27" t="s">
        <v>131</v>
      </c>
      <c r="I803" s="27"/>
      <c r="J803" s="33">
        <v>4.5</v>
      </c>
      <c r="K803" s="33">
        <v>4.0</v>
      </c>
      <c r="L803" s="66">
        <v>53.0</v>
      </c>
      <c r="M803" s="27" t="s">
        <v>1332</v>
      </c>
      <c r="N803" s="27">
        <v>4.0</v>
      </c>
      <c r="O803" s="27"/>
      <c r="P803" s="27">
        <v>4.0</v>
      </c>
      <c r="Q803" s="27"/>
      <c r="R803" s="27">
        <v>4.0</v>
      </c>
      <c r="S803" s="27"/>
      <c r="T803" s="27">
        <v>4.0</v>
      </c>
      <c r="U803" s="27"/>
      <c r="V803" s="27">
        <v>4.0</v>
      </c>
      <c r="W803" s="27"/>
      <c r="X803" s="27">
        <v>4.0</v>
      </c>
      <c r="Y803" s="27"/>
      <c r="Z803" s="27">
        <v>4.0</v>
      </c>
      <c r="AA803" s="27"/>
      <c r="AB803" s="27">
        <v>4.0</v>
      </c>
      <c r="AC803" s="27"/>
      <c r="AD803" s="27">
        <v>4.0</v>
      </c>
      <c r="AE803" s="27"/>
      <c r="AF803" s="27">
        <v>4.0</v>
      </c>
      <c r="AG803" s="27"/>
      <c r="AH803" s="27">
        <v>129.0</v>
      </c>
      <c r="AI803" s="27">
        <v>110.0</v>
      </c>
      <c r="AJ803" s="27">
        <v>2.0</v>
      </c>
      <c r="AK803" s="27" t="b">
        <v>0</v>
      </c>
      <c r="AL803" s="27">
        <v>100.0</v>
      </c>
      <c r="AM803" s="27" t="s">
        <v>191</v>
      </c>
      <c r="AN803" s="27" t="s">
        <v>404</v>
      </c>
      <c r="AO803" s="27"/>
    </row>
    <row r="804">
      <c r="A804" s="200">
        <v>44838.02510101852</v>
      </c>
      <c r="B804" s="19" t="s">
        <v>166</v>
      </c>
      <c r="C804" s="21" t="s">
        <v>306</v>
      </c>
      <c r="D804" s="62">
        <v>3.0</v>
      </c>
      <c r="E804" s="27">
        <v>2.0</v>
      </c>
      <c r="F804" s="27" t="s">
        <v>1673</v>
      </c>
      <c r="G804" s="201" t="s">
        <v>57</v>
      </c>
      <c r="H804" s="27"/>
      <c r="I804" s="27"/>
      <c r="J804" s="33">
        <v>-34.0</v>
      </c>
      <c r="K804" s="33">
        <v>-31.5</v>
      </c>
      <c r="L804" s="66">
        <v>57.5</v>
      </c>
      <c r="M804" s="27" t="s">
        <v>1105</v>
      </c>
      <c r="N804" s="27">
        <v>-31.5</v>
      </c>
      <c r="O804" s="27"/>
      <c r="P804" s="27">
        <v>-31.0</v>
      </c>
      <c r="Q804" s="27"/>
      <c r="R804" s="27">
        <v>-32.0</v>
      </c>
      <c r="S804" s="27"/>
      <c r="T804" s="27">
        <v>-31.5</v>
      </c>
      <c r="U804" s="27"/>
      <c r="V804" s="27">
        <v>-31.0</v>
      </c>
      <c r="W804" s="27"/>
      <c r="X804" s="27">
        <v>-31.0</v>
      </c>
      <c r="Y804" s="27"/>
      <c r="Z804" s="27"/>
      <c r="AA804" s="27"/>
      <c r="AB804" s="27"/>
      <c r="AC804" s="27"/>
      <c r="AD804" s="27"/>
      <c r="AE804" s="27"/>
      <c r="AF804" s="27"/>
      <c r="AG804" s="27"/>
      <c r="AH804" s="27">
        <v>147.0</v>
      </c>
      <c r="AI804" s="27">
        <v>81.0</v>
      </c>
      <c r="AJ804" s="27">
        <v>2.0</v>
      </c>
      <c r="AK804" s="27" t="b">
        <v>0</v>
      </c>
      <c r="AL804" s="27">
        <v>100.0</v>
      </c>
      <c r="AM804" s="27" t="s">
        <v>193</v>
      </c>
      <c r="AN804" s="27" t="s">
        <v>405</v>
      </c>
      <c r="AO804" s="27"/>
    </row>
    <row r="805">
      <c r="A805" s="200">
        <v>44838.02510101852</v>
      </c>
      <c r="B805" s="19" t="s">
        <v>166</v>
      </c>
      <c r="C805" s="21" t="s">
        <v>398</v>
      </c>
      <c r="D805" s="62">
        <v>1.0</v>
      </c>
      <c r="E805" s="27">
        <v>3.0</v>
      </c>
      <c r="F805" s="27" t="s">
        <v>1674</v>
      </c>
      <c r="G805" s="201" t="s">
        <v>57</v>
      </c>
      <c r="H805" s="27" t="s">
        <v>103</v>
      </c>
      <c r="I805" s="27"/>
      <c r="J805" s="33">
        <v>-6.5</v>
      </c>
      <c r="K805" s="33">
        <v>-8.5</v>
      </c>
      <c r="L805" s="66">
        <v>54.0</v>
      </c>
      <c r="M805" s="27" t="s">
        <v>1364</v>
      </c>
      <c r="N805" s="27">
        <v>-8.5</v>
      </c>
      <c r="O805" s="27"/>
      <c r="P805" s="27">
        <v>-8.5</v>
      </c>
      <c r="Q805" s="27"/>
      <c r="R805" s="27">
        <v>-9.0</v>
      </c>
      <c r="S805" s="27"/>
      <c r="T805" s="27">
        <v>-8.5</v>
      </c>
      <c r="U805" s="27"/>
      <c r="V805" s="27">
        <v>-8.5</v>
      </c>
      <c r="W805" s="27"/>
      <c r="X805" s="27">
        <v>-9.0</v>
      </c>
      <c r="Y805" s="27"/>
      <c r="Z805" s="27">
        <v>-9.0</v>
      </c>
      <c r="AA805" s="27"/>
      <c r="AB805" s="27">
        <v>-8.5</v>
      </c>
      <c r="AC805" s="27"/>
      <c r="AD805" s="27">
        <v>-8.5</v>
      </c>
      <c r="AE805" s="27"/>
      <c r="AF805" s="27">
        <v>-8.5</v>
      </c>
      <c r="AG805" s="27"/>
      <c r="AH805" s="27">
        <v>129.0</v>
      </c>
      <c r="AI805" s="27">
        <v>120.0</v>
      </c>
      <c r="AJ805" s="27">
        <v>2.0</v>
      </c>
      <c r="AK805" s="27" t="b">
        <v>1</v>
      </c>
      <c r="AL805" s="27">
        <v>100.0</v>
      </c>
      <c r="AM805" s="27" t="s">
        <v>389</v>
      </c>
      <c r="AN805" s="27" t="s">
        <v>405</v>
      </c>
      <c r="AO805" s="27"/>
    </row>
    <row r="806">
      <c r="A806" s="200">
        <v>44838.02510101852</v>
      </c>
      <c r="B806" s="19"/>
      <c r="C806" s="21"/>
      <c r="D806" s="62"/>
      <c r="E806" s="27"/>
      <c r="F806" s="27"/>
      <c r="G806" s="201"/>
      <c r="H806" s="27"/>
      <c r="I806" s="27"/>
      <c r="J806" s="33"/>
      <c r="K806" s="33"/>
      <c r="L806" s="66"/>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t="e">
        <v>#N/A</v>
      </c>
      <c r="AN806" s="27" t="e">
        <v>#N/A</v>
      </c>
      <c r="AO806" s="27"/>
    </row>
    <row r="807">
      <c r="A807" s="200">
        <v>44838.02510101852</v>
      </c>
      <c r="B807" s="19" t="s">
        <v>116</v>
      </c>
      <c r="C807" s="21" t="s">
        <v>336</v>
      </c>
      <c r="D807" s="62">
        <v>0.0</v>
      </c>
      <c r="E807" s="27">
        <v>4.0</v>
      </c>
      <c r="F807" s="27"/>
      <c r="G807" s="201"/>
      <c r="H807" s="27"/>
      <c r="I807" s="27" t="s">
        <v>88</v>
      </c>
      <c r="J807" s="33">
        <v>3.5</v>
      </c>
      <c r="K807" s="33">
        <v>4.5</v>
      </c>
      <c r="L807" s="66">
        <v>59.0</v>
      </c>
      <c r="M807" s="27" t="s">
        <v>1572</v>
      </c>
      <c r="N807" s="27">
        <v>4.5</v>
      </c>
      <c r="O807" s="27"/>
      <c r="P807" s="27">
        <v>4.5</v>
      </c>
      <c r="Q807" s="27"/>
      <c r="R807" s="27">
        <v>4.0</v>
      </c>
      <c r="S807" s="27"/>
      <c r="T807" s="27">
        <v>4.5</v>
      </c>
      <c r="U807" s="27"/>
      <c r="V807" s="27">
        <v>4.5</v>
      </c>
      <c r="W807" s="27"/>
      <c r="X807" s="27">
        <v>4.0</v>
      </c>
      <c r="Y807" s="27"/>
      <c r="Z807" s="27">
        <v>4.5</v>
      </c>
      <c r="AA807" s="27"/>
      <c r="AB807" s="27">
        <v>4.5</v>
      </c>
      <c r="AC807" s="27"/>
      <c r="AD807" s="27"/>
      <c r="AE807" s="27"/>
      <c r="AF807" s="27"/>
      <c r="AG807" s="27"/>
      <c r="AH807" s="27">
        <v>43.0</v>
      </c>
      <c r="AI807" s="27">
        <v>164.0</v>
      </c>
      <c r="AJ807" s="27">
        <v>0.0</v>
      </c>
      <c r="AK807" s="27" t="b">
        <v>1</v>
      </c>
      <c r="AL807" s="27">
        <v>59.0</v>
      </c>
      <c r="AM807" s="27" t="s">
        <v>129</v>
      </c>
      <c r="AN807" s="27" t="s">
        <v>405</v>
      </c>
      <c r="AO807" s="27"/>
    </row>
    <row r="808">
      <c r="A808" s="200">
        <v>44838.02510101852</v>
      </c>
      <c r="B808" s="19" t="s">
        <v>116</v>
      </c>
      <c r="C808" s="21" t="s">
        <v>369</v>
      </c>
      <c r="D808" s="62">
        <v>5.0</v>
      </c>
      <c r="E808" s="27">
        <v>0.0</v>
      </c>
      <c r="F808" s="27" t="s">
        <v>1659</v>
      </c>
      <c r="G808" s="201" t="s">
        <v>57</v>
      </c>
      <c r="H808" s="27" t="s">
        <v>109</v>
      </c>
      <c r="I808" s="27"/>
      <c r="J808" s="33">
        <v>-17.5</v>
      </c>
      <c r="K808" s="33">
        <v>-24.5</v>
      </c>
      <c r="L808" s="66">
        <v>60.5</v>
      </c>
      <c r="M808" s="27" t="s">
        <v>1660</v>
      </c>
      <c r="N808" s="27">
        <v>-24.5</v>
      </c>
      <c r="O808" s="27"/>
      <c r="P808" s="27">
        <v>-24.5</v>
      </c>
      <c r="Q808" s="27"/>
      <c r="R808" s="27">
        <v>-24.5</v>
      </c>
      <c r="S808" s="27"/>
      <c r="T808" s="27">
        <v>-24.5</v>
      </c>
      <c r="U808" s="27"/>
      <c r="V808" s="27">
        <v>-24.5</v>
      </c>
      <c r="W808" s="27"/>
      <c r="X808" s="27">
        <v>-25.0</v>
      </c>
      <c r="Y808" s="27"/>
      <c r="Z808" s="27">
        <v>-24.5</v>
      </c>
      <c r="AA808" s="27"/>
      <c r="AB808" s="27">
        <v>-24.5</v>
      </c>
      <c r="AC808" s="27"/>
      <c r="AD808" s="27">
        <v>-24.5</v>
      </c>
      <c r="AE808" s="27"/>
      <c r="AF808" s="27">
        <v>-24.5</v>
      </c>
      <c r="AG808" s="27"/>
      <c r="AH808" s="27">
        <v>211.0</v>
      </c>
      <c r="AI808" s="27">
        <v>98.0</v>
      </c>
      <c r="AJ808" s="27">
        <v>2.0</v>
      </c>
      <c r="AK808" s="27" t="b">
        <v>1</v>
      </c>
      <c r="AL808" s="27">
        <v>100.0</v>
      </c>
      <c r="AM808" s="27" t="s">
        <v>191</v>
      </c>
      <c r="AN808" s="27" t="s">
        <v>404</v>
      </c>
      <c r="AO808" s="27"/>
    </row>
    <row r="809">
      <c r="A809" s="200">
        <v>44838.02510101852</v>
      </c>
      <c r="B809" s="19" t="s">
        <v>116</v>
      </c>
      <c r="C809" s="21" t="s">
        <v>355</v>
      </c>
      <c r="D809" s="62">
        <v>3.0</v>
      </c>
      <c r="E809" s="27">
        <v>2.0</v>
      </c>
      <c r="F809" s="27" t="s">
        <v>1675</v>
      </c>
      <c r="G809" s="201" t="s">
        <v>57</v>
      </c>
      <c r="H809" s="27" t="s">
        <v>103</v>
      </c>
      <c r="I809" s="27"/>
      <c r="J809" s="33">
        <v>9.0</v>
      </c>
      <c r="K809" s="33">
        <v>10.5</v>
      </c>
      <c r="L809" s="66">
        <v>51.5</v>
      </c>
      <c r="M809" s="27" t="s">
        <v>1676</v>
      </c>
      <c r="N809" s="27">
        <v>10.0</v>
      </c>
      <c r="O809" s="27"/>
      <c r="P809" s="27">
        <v>10.5</v>
      </c>
      <c r="Q809" s="27"/>
      <c r="R809" s="27">
        <v>10.0</v>
      </c>
      <c r="S809" s="27"/>
      <c r="T809" s="27">
        <v>10.5</v>
      </c>
      <c r="U809" s="27"/>
      <c r="V809" s="27">
        <v>10.5</v>
      </c>
      <c r="W809" s="27"/>
      <c r="X809" s="27">
        <v>10.5</v>
      </c>
      <c r="Y809" s="27"/>
      <c r="Z809" s="27">
        <v>10.5</v>
      </c>
      <c r="AA809" s="27"/>
      <c r="AB809" s="27">
        <v>10.5</v>
      </c>
      <c r="AC809" s="27"/>
      <c r="AD809" s="27">
        <v>10.5</v>
      </c>
      <c r="AE809" s="27"/>
      <c r="AF809" s="27">
        <v>10.5</v>
      </c>
      <c r="AG809" s="27"/>
      <c r="AH809" s="27">
        <v>154.0</v>
      </c>
      <c r="AI809" s="27">
        <v>155.0</v>
      </c>
      <c r="AJ809" s="27">
        <v>2.0</v>
      </c>
      <c r="AK809" s="27" t="b">
        <v>0</v>
      </c>
      <c r="AL809" s="27">
        <v>100.0</v>
      </c>
      <c r="AM809" s="27" t="s">
        <v>189</v>
      </c>
      <c r="AN809" s="27" t="s">
        <v>405</v>
      </c>
      <c r="AO809" s="27"/>
    </row>
    <row r="810">
      <c r="A810" s="200">
        <v>44838.02510101852</v>
      </c>
      <c r="B810" s="19" t="s">
        <v>116</v>
      </c>
      <c r="C810" s="21" t="s">
        <v>348</v>
      </c>
      <c r="D810" s="62">
        <v>2.0</v>
      </c>
      <c r="E810" s="27">
        <v>3.0</v>
      </c>
      <c r="F810" s="27" t="s">
        <v>1671</v>
      </c>
      <c r="G810" s="201" t="s">
        <v>57</v>
      </c>
      <c r="H810" s="27" t="s">
        <v>166</v>
      </c>
      <c r="I810" s="27"/>
      <c r="J810" s="33">
        <v>18.5</v>
      </c>
      <c r="K810" s="33">
        <v>21.5</v>
      </c>
      <c r="L810" s="66">
        <v>47.0</v>
      </c>
      <c r="M810" s="27" t="s">
        <v>1672</v>
      </c>
      <c r="N810" s="27">
        <v>21.5</v>
      </c>
      <c r="O810" s="27"/>
      <c r="P810" s="27">
        <v>21.5</v>
      </c>
      <c r="Q810" s="27"/>
      <c r="R810" s="27">
        <v>22.0</v>
      </c>
      <c r="S810" s="27"/>
      <c r="T810" s="27">
        <v>21.5</v>
      </c>
      <c r="U810" s="27"/>
      <c r="V810" s="27">
        <v>21.5</v>
      </c>
      <c r="W810" s="27"/>
      <c r="X810" s="27">
        <v>21.5</v>
      </c>
      <c r="Y810" s="27"/>
      <c r="Z810" s="27">
        <v>21.5</v>
      </c>
      <c r="AA810" s="27"/>
      <c r="AB810" s="27">
        <v>22.0</v>
      </c>
      <c r="AC810" s="27"/>
      <c r="AD810" s="27">
        <v>21.5</v>
      </c>
      <c r="AE810" s="27"/>
      <c r="AF810" s="27">
        <v>21.5</v>
      </c>
      <c r="AG810" s="27"/>
      <c r="AH810" s="27">
        <v>81.0</v>
      </c>
      <c r="AI810" s="27">
        <v>148.0</v>
      </c>
      <c r="AJ810" s="27">
        <v>2.0</v>
      </c>
      <c r="AK810" s="27" t="b">
        <v>0</v>
      </c>
      <c r="AL810" s="27">
        <v>100.0</v>
      </c>
      <c r="AM810" s="27" t="s">
        <v>186</v>
      </c>
      <c r="AN810" s="27" t="s">
        <v>404</v>
      </c>
      <c r="AO810" s="27"/>
    </row>
    <row r="811">
      <c r="A811" s="200">
        <v>44838.02510101852</v>
      </c>
      <c r="B811" s="19" t="s">
        <v>116</v>
      </c>
      <c r="C811" s="21" t="s">
        <v>313</v>
      </c>
      <c r="D811" s="62">
        <v>5.0</v>
      </c>
      <c r="E811" s="27">
        <v>0.0</v>
      </c>
      <c r="F811" s="27" t="s">
        <v>1581</v>
      </c>
      <c r="G811" s="201" t="s">
        <v>57</v>
      </c>
      <c r="H811" s="27" t="s">
        <v>53</v>
      </c>
      <c r="I811" s="27"/>
      <c r="J811" s="33">
        <v>-28.5</v>
      </c>
      <c r="K811" s="33">
        <v>-30.5</v>
      </c>
      <c r="L811" s="66">
        <v>54.5</v>
      </c>
      <c r="M811" s="27" t="s">
        <v>1582</v>
      </c>
      <c r="N811" s="27">
        <v>-30.5</v>
      </c>
      <c r="O811" s="27"/>
      <c r="P811" s="27">
        <v>-30.5</v>
      </c>
      <c r="Q811" s="27"/>
      <c r="R811" s="27">
        <v>-31.0</v>
      </c>
      <c r="S811" s="27"/>
      <c r="T811" s="27">
        <v>-30.5</v>
      </c>
      <c r="U811" s="27"/>
      <c r="V811" s="27">
        <v>-31.0</v>
      </c>
      <c r="W811" s="27"/>
      <c r="X811" s="27">
        <v>-30.5</v>
      </c>
      <c r="Y811" s="27"/>
      <c r="Z811" s="27">
        <v>-30.0</v>
      </c>
      <c r="AA811" s="27"/>
      <c r="AB811" s="27">
        <v>-30.0</v>
      </c>
      <c r="AC811" s="27"/>
      <c r="AD811" s="27">
        <v>-30.5</v>
      </c>
      <c r="AE811" s="27"/>
      <c r="AF811" s="27">
        <v>-30.5</v>
      </c>
      <c r="AG811" s="27"/>
      <c r="AH811" s="27">
        <v>195.0</v>
      </c>
      <c r="AI811" s="27">
        <v>54.0</v>
      </c>
      <c r="AJ811" s="27">
        <v>2.0</v>
      </c>
      <c r="AK811" s="27" t="b">
        <v>0</v>
      </c>
      <c r="AL811" s="27">
        <v>100.0</v>
      </c>
      <c r="AM811" s="27" t="s">
        <v>192</v>
      </c>
      <c r="AN811" s="27" t="s">
        <v>404</v>
      </c>
      <c r="AO811" s="27"/>
    </row>
    <row r="812">
      <c r="A812" s="200">
        <v>44838.02510101852</v>
      </c>
      <c r="B812" s="19" t="s">
        <v>116</v>
      </c>
      <c r="C812" s="21" t="s">
        <v>354</v>
      </c>
      <c r="D812" s="62">
        <v>4.0</v>
      </c>
      <c r="E812" s="27">
        <v>0.0</v>
      </c>
      <c r="F812" s="27" t="s">
        <v>1677</v>
      </c>
      <c r="G812" s="201" t="s">
        <v>57</v>
      </c>
      <c r="H812" s="27" t="s">
        <v>154</v>
      </c>
      <c r="I812" s="27"/>
      <c r="J812" s="33">
        <v>1.0</v>
      </c>
      <c r="K812" s="33">
        <v>2.5</v>
      </c>
      <c r="L812" s="66">
        <v>56.0</v>
      </c>
      <c r="M812" s="27" t="s">
        <v>1678</v>
      </c>
      <c r="N812" s="27">
        <v>2.5</v>
      </c>
      <c r="O812" s="27"/>
      <c r="P812" s="27">
        <v>2.5</v>
      </c>
      <c r="Q812" s="27"/>
      <c r="R812" s="27">
        <v>2.0</v>
      </c>
      <c r="S812" s="27"/>
      <c r="T812" s="27">
        <v>2.5</v>
      </c>
      <c r="U812" s="27"/>
      <c r="V812" s="27">
        <v>2.5</v>
      </c>
      <c r="W812" s="27"/>
      <c r="X812" s="27">
        <v>2.5</v>
      </c>
      <c r="Y812" s="27"/>
      <c r="Z812" s="27">
        <v>3.0</v>
      </c>
      <c r="AA812" s="27"/>
      <c r="AB812" s="27">
        <v>2.5</v>
      </c>
      <c r="AC812" s="27"/>
      <c r="AD812" s="27">
        <v>2.5</v>
      </c>
      <c r="AE812" s="27"/>
      <c r="AF812" s="27">
        <v>2.5</v>
      </c>
      <c r="AG812" s="27"/>
      <c r="AH812" s="27">
        <v>191.0</v>
      </c>
      <c r="AI812" s="27">
        <v>93.0</v>
      </c>
      <c r="AJ812" s="27">
        <v>2.0</v>
      </c>
      <c r="AK812" s="27" t="b">
        <v>1</v>
      </c>
      <c r="AL812" s="27">
        <v>100.0</v>
      </c>
      <c r="AM812" s="27" t="s">
        <v>187</v>
      </c>
      <c r="AN812" s="27" t="s">
        <v>404</v>
      </c>
      <c r="AO812" s="27"/>
    </row>
    <row r="813">
      <c r="A813" s="200">
        <v>44838.02510101852</v>
      </c>
      <c r="B813" s="19" t="s">
        <v>116</v>
      </c>
      <c r="C813" s="21" t="s">
        <v>332</v>
      </c>
      <c r="D813" s="62">
        <v>3.0</v>
      </c>
      <c r="E813" s="27">
        <v>2.0</v>
      </c>
      <c r="F813" s="27" t="s">
        <v>1636</v>
      </c>
      <c r="G813" s="201" t="s">
        <v>57</v>
      </c>
      <c r="H813" s="27" t="s">
        <v>59</v>
      </c>
      <c r="I813" s="27"/>
      <c r="J813" s="33">
        <v>4.0</v>
      </c>
      <c r="K813" s="33">
        <v>10.5</v>
      </c>
      <c r="L813" s="66">
        <v>42.0</v>
      </c>
      <c r="M813" s="27" t="s">
        <v>1637</v>
      </c>
      <c r="N813" s="27">
        <v>10.5</v>
      </c>
      <c r="O813" s="27"/>
      <c r="P813" s="27">
        <v>10.5</v>
      </c>
      <c r="Q813" s="27"/>
      <c r="R813" s="27">
        <v>10.0</v>
      </c>
      <c r="S813" s="27"/>
      <c r="T813" s="27">
        <v>10.5</v>
      </c>
      <c r="U813" s="27"/>
      <c r="V813" s="27">
        <v>10.5</v>
      </c>
      <c r="W813" s="27"/>
      <c r="X813" s="27">
        <v>10.5</v>
      </c>
      <c r="Y813" s="27"/>
      <c r="Z813" s="27">
        <v>10.5</v>
      </c>
      <c r="AA813" s="27"/>
      <c r="AB813" s="27">
        <v>10.5</v>
      </c>
      <c r="AC813" s="27"/>
      <c r="AD813" s="27">
        <v>10.5</v>
      </c>
      <c r="AE813" s="27"/>
      <c r="AF813" s="27">
        <v>10.5</v>
      </c>
      <c r="AG813" s="27"/>
      <c r="AH813" s="27">
        <v>82.0</v>
      </c>
      <c r="AI813" s="27">
        <v>50.0</v>
      </c>
      <c r="AJ813" s="27">
        <v>2.0</v>
      </c>
      <c r="AK813" s="27" t="b">
        <v>0</v>
      </c>
      <c r="AL813" s="27">
        <v>100.0</v>
      </c>
      <c r="AM813" s="27" t="s">
        <v>188</v>
      </c>
      <c r="AN813" s="27" t="s">
        <v>404</v>
      </c>
      <c r="AO813" s="27"/>
    </row>
    <row r="814">
      <c r="A814" s="200">
        <v>44838.02510101852</v>
      </c>
      <c r="B814" s="19" t="s">
        <v>116</v>
      </c>
      <c r="C814" s="21" t="s">
        <v>347</v>
      </c>
      <c r="D814" s="62">
        <v>1.0</v>
      </c>
      <c r="E814" s="27">
        <v>3.0</v>
      </c>
      <c r="F814" s="27" t="s">
        <v>1679</v>
      </c>
      <c r="G814" s="201" t="s">
        <v>57</v>
      </c>
      <c r="H814" s="27" t="s">
        <v>103</v>
      </c>
      <c r="I814" s="27"/>
      <c r="J814" s="33">
        <v>16.0</v>
      </c>
      <c r="K814" s="33">
        <v>14.0</v>
      </c>
      <c r="L814" s="66">
        <v>38.5</v>
      </c>
      <c r="M814" s="27" t="s">
        <v>1680</v>
      </c>
      <c r="N814" s="27">
        <v>14.0</v>
      </c>
      <c r="O814" s="27"/>
      <c r="P814" s="27">
        <v>14.0</v>
      </c>
      <c r="Q814" s="27"/>
      <c r="R814" s="27">
        <v>14.0</v>
      </c>
      <c r="S814" s="27"/>
      <c r="T814" s="27">
        <v>14.0</v>
      </c>
      <c r="U814" s="27"/>
      <c r="V814" s="27">
        <v>14.0</v>
      </c>
      <c r="W814" s="27"/>
      <c r="X814" s="27">
        <v>14.0</v>
      </c>
      <c r="Y814" s="27"/>
      <c r="Z814" s="27">
        <v>14.0</v>
      </c>
      <c r="AA814" s="27"/>
      <c r="AB814" s="27">
        <v>14.0</v>
      </c>
      <c r="AC814" s="27"/>
      <c r="AD814" s="27">
        <v>14.0</v>
      </c>
      <c r="AE814" s="27"/>
      <c r="AF814" s="27">
        <v>14.0</v>
      </c>
      <c r="AG814" s="27"/>
      <c r="AH814" s="27">
        <v>53.0</v>
      </c>
      <c r="AI814" s="27">
        <v>84.0</v>
      </c>
      <c r="AJ814" s="27">
        <v>2.0</v>
      </c>
      <c r="AK814" s="27" t="b">
        <v>1</v>
      </c>
      <c r="AL814" s="27">
        <v>100.0</v>
      </c>
      <c r="AM814" s="27" t="s">
        <v>389</v>
      </c>
      <c r="AN814" s="27" t="s">
        <v>405</v>
      </c>
      <c r="AO814" s="27"/>
    </row>
    <row r="815">
      <c r="A815" s="200">
        <v>44838.02510101852</v>
      </c>
      <c r="B815" s="19" t="s">
        <v>116</v>
      </c>
      <c r="C815" s="21" t="s">
        <v>388</v>
      </c>
      <c r="D815" s="62">
        <v>4.0</v>
      </c>
      <c r="E815" s="27">
        <v>0.0</v>
      </c>
      <c r="F815" s="27" t="s">
        <v>1681</v>
      </c>
      <c r="G815" s="201" t="s">
        <v>57</v>
      </c>
      <c r="H815" s="27" t="s">
        <v>148</v>
      </c>
      <c r="I815" s="27"/>
      <c r="J815" s="33"/>
      <c r="K815" s="33"/>
      <c r="L815" s="66"/>
      <c r="M815" s="27"/>
      <c r="N815" s="27"/>
      <c r="O815" s="27"/>
      <c r="P815" s="27"/>
      <c r="Q815" s="27"/>
      <c r="R815" s="27"/>
      <c r="S815" s="27"/>
      <c r="T815" s="27"/>
      <c r="U815" s="27"/>
      <c r="V815" s="27"/>
      <c r="W815" s="27"/>
      <c r="X815" s="27"/>
      <c r="Y815" s="27"/>
      <c r="Z815" s="27"/>
      <c r="AA815" s="27"/>
      <c r="AB815" s="27"/>
      <c r="AC815" s="27"/>
      <c r="AD815" s="27"/>
      <c r="AE815" s="27"/>
      <c r="AF815" s="27"/>
      <c r="AG815" s="27"/>
      <c r="AH815" s="27">
        <v>179.0</v>
      </c>
      <c r="AI815" s="27">
        <v>55.0</v>
      </c>
      <c r="AJ815" s="27">
        <v>2.0</v>
      </c>
      <c r="AK815" s="27" t="b">
        <v>0</v>
      </c>
      <c r="AL815" s="27">
        <v>100.0</v>
      </c>
      <c r="AM815" s="27" t="s">
        <v>193</v>
      </c>
      <c r="AN815" s="27" t="s">
        <v>405</v>
      </c>
      <c r="AO815" s="27"/>
    </row>
    <row r="816">
      <c r="A816" s="200">
        <v>44838.02510101852</v>
      </c>
      <c r="B816" s="19" t="s">
        <v>116</v>
      </c>
      <c r="C816" s="21" t="s">
        <v>329</v>
      </c>
      <c r="D816" s="62">
        <v>2.0</v>
      </c>
      <c r="E816" s="27">
        <v>3.0</v>
      </c>
      <c r="F816" s="27" t="s">
        <v>1649</v>
      </c>
      <c r="G816" s="201" t="s">
        <v>183</v>
      </c>
      <c r="H816" s="27" t="s">
        <v>138</v>
      </c>
      <c r="I816" s="27"/>
      <c r="J816" s="33">
        <v>4.0</v>
      </c>
      <c r="K816" s="33">
        <v>3.5</v>
      </c>
      <c r="L816" s="66">
        <v>58.5</v>
      </c>
      <c r="M816" s="27" t="s">
        <v>1650</v>
      </c>
      <c r="N816" s="27">
        <v>3.5</v>
      </c>
      <c r="O816" s="27"/>
      <c r="P816" s="27">
        <v>3.0</v>
      </c>
      <c r="Q816" s="27"/>
      <c r="R816" s="27">
        <v>3.5</v>
      </c>
      <c r="S816" s="27"/>
      <c r="T816" s="27">
        <v>3.5</v>
      </c>
      <c r="U816" s="27"/>
      <c r="V816" s="27">
        <v>3.5</v>
      </c>
      <c r="W816" s="27"/>
      <c r="X816" s="27">
        <v>3.5</v>
      </c>
      <c r="Y816" s="27"/>
      <c r="Z816" s="27">
        <v>4.5</v>
      </c>
      <c r="AA816" s="27"/>
      <c r="AB816" s="27">
        <v>3.5</v>
      </c>
      <c r="AC816" s="27"/>
      <c r="AD816" s="27">
        <v>3.5</v>
      </c>
      <c r="AE816" s="27"/>
      <c r="AF816" s="27"/>
      <c r="AG816" s="27"/>
      <c r="AH816" s="27">
        <v>138.0</v>
      </c>
      <c r="AI816" s="27">
        <v>168.0</v>
      </c>
      <c r="AJ816" s="27">
        <v>2.0</v>
      </c>
      <c r="AK816" s="27" t="b">
        <v>1</v>
      </c>
      <c r="AL816" s="27">
        <v>100.0</v>
      </c>
      <c r="AM816" s="27" t="s">
        <v>190</v>
      </c>
      <c r="AN816" s="27" t="s">
        <v>405</v>
      </c>
      <c r="AO816" s="27"/>
    </row>
    <row r="817">
      <c r="A817" s="200">
        <v>44838.02510101852</v>
      </c>
      <c r="B817" s="19"/>
      <c r="C817" s="21"/>
      <c r="D817" s="62"/>
      <c r="E817" s="27"/>
      <c r="F817" s="27"/>
      <c r="G817" s="201"/>
      <c r="H817" s="27"/>
      <c r="I817" s="27"/>
      <c r="J817" s="33"/>
      <c r="K817" s="33"/>
      <c r="L817" s="66"/>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t="e">
        <v>#N/A</v>
      </c>
      <c r="AN817" s="27" t="e">
        <v>#N/A</v>
      </c>
      <c r="AO817" s="27"/>
    </row>
    <row r="818">
      <c r="A818" s="200">
        <v>44838.02510101852</v>
      </c>
      <c r="B818" s="19" t="s">
        <v>148</v>
      </c>
      <c r="C818" s="21" t="s">
        <v>374</v>
      </c>
      <c r="D818" s="62">
        <v>3.0</v>
      </c>
      <c r="E818" s="27">
        <v>1.0</v>
      </c>
      <c r="F818" s="27"/>
      <c r="G818" s="201"/>
      <c r="H818" s="27"/>
      <c r="I818" s="27" t="s">
        <v>105</v>
      </c>
      <c r="J818" s="33"/>
      <c r="K818" s="33"/>
      <c r="L818" s="66"/>
      <c r="M818" s="27"/>
      <c r="N818" s="27"/>
      <c r="O818" s="27"/>
      <c r="P818" s="27"/>
      <c r="Q818" s="27"/>
      <c r="R818" s="27"/>
      <c r="S818" s="27"/>
      <c r="T818" s="27"/>
      <c r="U818" s="27"/>
      <c r="V818" s="27"/>
      <c r="W818" s="27"/>
      <c r="X818" s="27"/>
      <c r="Y818" s="27"/>
      <c r="Z818" s="27"/>
      <c r="AA818" s="27"/>
      <c r="AB818" s="27"/>
      <c r="AC818" s="27"/>
      <c r="AD818" s="27"/>
      <c r="AE818" s="27"/>
      <c r="AF818" s="27"/>
      <c r="AG818" s="27"/>
      <c r="AH818" s="27">
        <v>137.0</v>
      </c>
      <c r="AI818" s="27">
        <v>54.0</v>
      </c>
      <c r="AJ818" s="27">
        <v>0.0</v>
      </c>
      <c r="AK818" s="27" t="b">
        <v>1</v>
      </c>
      <c r="AL818" s="27">
        <v>59.0</v>
      </c>
      <c r="AM818" s="27" t="s">
        <v>389</v>
      </c>
      <c r="AN818" s="27" t="s">
        <v>405</v>
      </c>
      <c r="AO818" s="27"/>
    </row>
    <row r="819">
      <c r="A819" s="200">
        <v>44838.02510101852</v>
      </c>
      <c r="B819" s="19" t="s">
        <v>148</v>
      </c>
      <c r="C819" s="21" t="s">
        <v>387</v>
      </c>
      <c r="D819" s="62">
        <v>3.0</v>
      </c>
      <c r="E819" s="27">
        <v>2.0</v>
      </c>
      <c r="F819" s="27" t="s">
        <v>1611</v>
      </c>
      <c r="G819" s="201" t="s">
        <v>57</v>
      </c>
      <c r="H819" s="27" t="s">
        <v>178</v>
      </c>
      <c r="I819" s="27"/>
      <c r="J819" s="33">
        <v>1.5</v>
      </c>
      <c r="K819" s="33">
        <v>4.5</v>
      </c>
      <c r="L819" s="66">
        <v>45.0</v>
      </c>
      <c r="M819" s="27" t="s">
        <v>1612</v>
      </c>
      <c r="N819" s="27">
        <v>4.5</v>
      </c>
      <c r="O819" s="27"/>
      <c r="P819" s="27">
        <v>4.0</v>
      </c>
      <c r="Q819" s="27"/>
      <c r="R819" s="27">
        <v>4.0</v>
      </c>
      <c r="S819" s="27"/>
      <c r="T819" s="27">
        <v>4.5</v>
      </c>
      <c r="U819" s="27"/>
      <c r="V819" s="27">
        <v>4.0</v>
      </c>
      <c r="W819" s="27"/>
      <c r="X819" s="27">
        <v>4.0</v>
      </c>
      <c r="Y819" s="27"/>
      <c r="Z819" s="27">
        <v>4.5</v>
      </c>
      <c r="AA819" s="27"/>
      <c r="AB819" s="27">
        <v>4.0</v>
      </c>
      <c r="AC819" s="27"/>
      <c r="AD819" s="27">
        <v>4.5</v>
      </c>
      <c r="AE819" s="27"/>
      <c r="AF819" s="27">
        <v>4.5</v>
      </c>
      <c r="AG819" s="27"/>
      <c r="AH819" s="27">
        <v>109.0</v>
      </c>
      <c r="AI819" s="27">
        <v>89.0</v>
      </c>
      <c r="AJ819" s="27">
        <v>2.0</v>
      </c>
      <c r="AK819" s="27" t="b">
        <v>0</v>
      </c>
      <c r="AL819" s="27">
        <v>100.0</v>
      </c>
      <c r="AM819" s="27" t="s">
        <v>192</v>
      </c>
      <c r="AN819" s="27" t="s">
        <v>404</v>
      </c>
      <c r="AO819" s="27"/>
    </row>
    <row r="820">
      <c r="A820" s="200">
        <v>44838.02510101852</v>
      </c>
      <c r="B820" s="19" t="s">
        <v>148</v>
      </c>
      <c r="C820" s="21" t="s">
        <v>326</v>
      </c>
      <c r="D820" s="62">
        <v>3.0</v>
      </c>
      <c r="E820" s="27">
        <v>2.0</v>
      </c>
      <c r="F820" s="27" t="s">
        <v>1601</v>
      </c>
      <c r="G820" s="201" t="s">
        <v>57</v>
      </c>
      <c r="H820" s="27" t="s">
        <v>131</v>
      </c>
      <c r="I820" s="27"/>
      <c r="J820" s="33">
        <v>-3.5</v>
      </c>
      <c r="K820" s="33">
        <v>-3.5</v>
      </c>
      <c r="L820" s="66">
        <v>58.5</v>
      </c>
      <c r="M820" s="27" t="s">
        <v>1602</v>
      </c>
      <c r="N820" s="27">
        <v>-3.5</v>
      </c>
      <c r="O820" s="27"/>
      <c r="P820" s="27">
        <v>-3.5</v>
      </c>
      <c r="Q820" s="27"/>
      <c r="R820" s="27">
        <v>-4.0</v>
      </c>
      <c r="S820" s="27"/>
      <c r="T820" s="27">
        <v>-3.5</v>
      </c>
      <c r="U820" s="27"/>
      <c r="V820" s="27">
        <v>-3.5</v>
      </c>
      <c r="W820" s="27"/>
      <c r="X820" s="27">
        <v>-3.5</v>
      </c>
      <c r="Y820" s="27"/>
      <c r="Z820" s="27">
        <v>-3.5</v>
      </c>
      <c r="AA820" s="27"/>
      <c r="AB820" s="27">
        <v>-3.5</v>
      </c>
      <c r="AC820" s="27"/>
      <c r="AD820" s="27">
        <v>-3.5</v>
      </c>
      <c r="AE820" s="27"/>
      <c r="AF820" s="27">
        <v>-3.5</v>
      </c>
      <c r="AG820" s="27"/>
      <c r="AH820" s="27">
        <v>130.0</v>
      </c>
      <c r="AI820" s="27">
        <v>72.0</v>
      </c>
      <c r="AJ820" s="27">
        <v>2.0</v>
      </c>
      <c r="AK820" s="27" t="b">
        <v>0</v>
      </c>
      <c r="AL820" s="27">
        <v>100.0</v>
      </c>
      <c r="AM820" s="27" t="s">
        <v>187</v>
      </c>
      <c r="AN820" s="27" t="s">
        <v>404</v>
      </c>
      <c r="AO820" s="27"/>
    </row>
    <row r="821">
      <c r="A821" s="200">
        <v>44838.02510101852</v>
      </c>
      <c r="B821" s="19" t="s">
        <v>148</v>
      </c>
      <c r="C821" s="21" t="s">
        <v>384</v>
      </c>
      <c r="D821" s="62">
        <v>2.0</v>
      </c>
      <c r="E821" s="27">
        <v>3.0</v>
      </c>
      <c r="F821" s="27" t="s">
        <v>1663</v>
      </c>
      <c r="G821" s="201" t="s">
        <v>57</v>
      </c>
      <c r="H821" s="27" t="s">
        <v>109</v>
      </c>
      <c r="I821" s="27"/>
      <c r="J821" s="33">
        <v>9.0</v>
      </c>
      <c r="K821" s="33">
        <v>10.0</v>
      </c>
      <c r="L821" s="66">
        <v>57.5</v>
      </c>
      <c r="M821" s="27" t="s">
        <v>1664</v>
      </c>
      <c r="N821" s="27">
        <v>9.5</v>
      </c>
      <c r="O821" s="27"/>
      <c r="P821" s="27">
        <v>9.5</v>
      </c>
      <c r="Q821" s="27"/>
      <c r="R821" s="27">
        <v>9.5</v>
      </c>
      <c r="S821" s="27"/>
      <c r="T821" s="27">
        <v>10.0</v>
      </c>
      <c r="U821" s="27"/>
      <c r="V821" s="27">
        <v>9.5</v>
      </c>
      <c r="W821" s="27"/>
      <c r="X821" s="27">
        <v>9.5</v>
      </c>
      <c r="Y821" s="27"/>
      <c r="Z821" s="27">
        <v>9.5</v>
      </c>
      <c r="AA821" s="27"/>
      <c r="AB821" s="27">
        <v>10.0</v>
      </c>
      <c r="AC821" s="27"/>
      <c r="AD821" s="27">
        <v>10.0</v>
      </c>
      <c r="AE821" s="27"/>
      <c r="AF821" s="27">
        <v>10.0</v>
      </c>
      <c r="AG821" s="27"/>
      <c r="AH821" s="27">
        <v>91.0</v>
      </c>
      <c r="AI821" s="27">
        <v>111.0</v>
      </c>
      <c r="AJ821" s="27">
        <v>2.0</v>
      </c>
      <c r="AK821" s="27" t="b">
        <v>1</v>
      </c>
      <c r="AL821" s="27">
        <v>100.0</v>
      </c>
      <c r="AM821" s="27" t="s">
        <v>186</v>
      </c>
      <c r="AN821" s="27" t="s">
        <v>404</v>
      </c>
      <c r="AO821" s="27"/>
    </row>
    <row r="822">
      <c r="A822" s="200">
        <v>44838.02510101852</v>
      </c>
      <c r="B822" s="19" t="s">
        <v>148</v>
      </c>
      <c r="C822" s="21" t="s">
        <v>335</v>
      </c>
      <c r="D822" s="62">
        <v>2.0</v>
      </c>
      <c r="E822" s="27">
        <v>3.0</v>
      </c>
      <c r="F822" s="27" t="s">
        <v>1657</v>
      </c>
      <c r="G822" s="201" t="s">
        <v>57</v>
      </c>
      <c r="H822" s="27" t="s">
        <v>141</v>
      </c>
      <c r="I822" s="27"/>
      <c r="J822" s="33">
        <v>-5.5</v>
      </c>
      <c r="K822" s="33">
        <v>-9.0</v>
      </c>
      <c r="L822" s="66">
        <v>50.0</v>
      </c>
      <c r="M822" s="27" t="s">
        <v>1658</v>
      </c>
      <c r="N822" s="27">
        <v>-9.5</v>
      </c>
      <c r="O822" s="27"/>
      <c r="P822" s="27">
        <v>-9.0</v>
      </c>
      <c r="Q822" s="27"/>
      <c r="R822" s="27">
        <v>-9.0</v>
      </c>
      <c r="S822" s="27"/>
      <c r="T822" s="27">
        <v>-9.0</v>
      </c>
      <c r="U822" s="27"/>
      <c r="V822" s="27">
        <v>-9.0</v>
      </c>
      <c r="W822" s="27"/>
      <c r="X822" s="27">
        <v>-8.5</v>
      </c>
      <c r="Y822" s="27"/>
      <c r="Z822" s="27">
        <v>-9.0</v>
      </c>
      <c r="AA822" s="27"/>
      <c r="AB822" s="27">
        <v>-9.0</v>
      </c>
      <c r="AC822" s="27"/>
      <c r="AD822" s="27">
        <v>-9.0</v>
      </c>
      <c r="AE822" s="27"/>
      <c r="AF822" s="27"/>
      <c r="AG822" s="27"/>
      <c r="AH822" s="27">
        <v>153.0</v>
      </c>
      <c r="AI822" s="27">
        <v>208.0</v>
      </c>
      <c r="AJ822" s="27">
        <v>2.0</v>
      </c>
      <c r="AK822" s="27" t="b">
        <v>1</v>
      </c>
      <c r="AL822" s="27">
        <v>100.0</v>
      </c>
      <c r="AM822" s="27" t="s">
        <v>190</v>
      </c>
      <c r="AN822" s="27" t="s">
        <v>405</v>
      </c>
      <c r="AO822" s="27"/>
    </row>
    <row r="823">
      <c r="A823" s="200">
        <v>44838.02510101852</v>
      </c>
      <c r="B823" s="19" t="s">
        <v>148</v>
      </c>
      <c r="C823" s="21" t="s">
        <v>401</v>
      </c>
      <c r="D823" s="62">
        <v>1.0</v>
      </c>
      <c r="E823" s="27">
        <v>4.0</v>
      </c>
      <c r="F823" s="27" t="s">
        <v>1682</v>
      </c>
      <c r="G823" s="201" t="s">
        <v>57</v>
      </c>
      <c r="H823" s="27" t="s">
        <v>103</v>
      </c>
      <c r="I823" s="27"/>
      <c r="J823" s="33">
        <v>20.0</v>
      </c>
      <c r="K823" s="33">
        <v>20.5</v>
      </c>
      <c r="L823" s="66">
        <v>53.0</v>
      </c>
      <c r="M823" s="27" t="s">
        <v>1426</v>
      </c>
      <c r="N823" s="27">
        <v>20.5</v>
      </c>
      <c r="O823" s="27"/>
      <c r="P823" s="27">
        <v>20.0</v>
      </c>
      <c r="Q823" s="27"/>
      <c r="R823" s="27">
        <v>19.5</v>
      </c>
      <c r="S823" s="27"/>
      <c r="T823" s="27">
        <v>20.5</v>
      </c>
      <c r="U823" s="27"/>
      <c r="V823" s="27">
        <v>20.0</v>
      </c>
      <c r="W823" s="27"/>
      <c r="X823" s="27">
        <v>19.5</v>
      </c>
      <c r="Y823" s="27"/>
      <c r="Z823" s="27">
        <v>20.0</v>
      </c>
      <c r="AA823" s="27"/>
      <c r="AB823" s="27">
        <v>20.5</v>
      </c>
      <c r="AC823" s="27"/>
      <c r="AD823" s="27">
        <v>20.5</v>
      </c>
      <c r="AE823" s="27"/>
      <c r="AF823" s="27">
        <v>10.0</v>
      </c>
      <c r="AG823" s="27"/>
      <c r="AH823" s="27">
        <v>53.0</v>
      </c>
      <c r="AI823" s="27">
        <v>148.0</v>
      </c>
      <c r="AJ823" s="27">
        <v>2.0</v>
      </c>
      <c r="AK823" s="27" t="b">
        <v>1</v>
      </c>
      <c r="AL823" s="27">
        <v>100.0</v>
      </c>
      <c r="AM823" s="27" t="s">
        <v>189</v>
      </c>
      <c r="AN823" s="27" t="s">
        <v>405</v>
      </c>
      <c r="AO823" s="27"/>
    </row>
    <row r="824">
      <c r="A824" s="200">
        <v>44838.02510101852</v>
      </c>
      <c r="B824" s="19" t="s">
        <v>148</v>
      </c>
      <c r="C824" s="21" t="s">
        <v>380</v>
      </c>
      <c r="D824" s="62">
        <v>2.0</v>
      </c>
      <c r="E824" s="27">
        <v>3.0</v>
      </c>
      <c r="F824" s="27" t="s">
        <v>1681</v>
      </c>
      <c r="G824" s="201" t="s">
        <v>57</v>
      </c>
      <c r="H824" s="27" t="s">
        <v>116</v>
      </c>
      <c r="I824" s="27"/>
      <c r="J824" s="33">
        <v>19.5</v>
      </c>
      <c r="K824" s="33">
        <v>21.5</v>
      </c>
      <c r="L824" s="66">
        <v>51.5</v>
      </c>
      <c r="M824" s="27" t="s">
        <v>1683</v>
      </c>
      <c r="N824" s="27">
        <v>21.5</v>
      </c>
      <c r="O824" s="27"/>
      <c r="P824" s="27">
        <v>22.0</v>
      </c>
      <c r="Q824" s="27"/>
      <c r="R824" s="27">
        <v>22.0</v>
      </c>
      <c r="S824" s="27"/>
      <c r="T824" s="27">
        <v>21.5</v>
      </c>
      <c r="U824" s="27"/>
      <c r="V824" s="27">
        <v>22.0</v>
      </c>
      <c r="W824" s="27"/>
      <c r="X824" s="27">
        <v>21.5</v>
      </c>
      <c r="Y824" s="27"/>
      <c r="Z824" s="27">
        <v>22.0</v>
      </c>
      <c r="AA824" s="27"/>
      <c r="AB824" s="27">
        <v>22.0</v>
      </c>
      <c r="AC824" s="27"/>
      <c r="AD824" s="27">
        <v>21.5</v>
      </c>
      <c r="AE824" s="27"/>
      <c r="AF824" s="27">
        <v>21.5</v>
      </c>
      <c r="AG824" s="27"/>
      <c r="AH824" s="27">
        <v>109.0</v>
      </c>
      <c r="AI824" s="27">
        <v>132.0</v>
      </c>
      <c r="AJ824" s="27">
        <v>2.0</v>
      </c>
      <c r="AK824" s="27" t="b">
        <v>1</v>
      </c>
      <c r="AL824" s="27">
        <v>100.0</v>
      </c>
      <c r="AM824" s="27" t="s">
        <v>193</v>
      </c>
      <c r="AN824" s="27" t="s">
        <v>405</v>
      </c>
      <c r="AO824" s="27"/>
    </row>
    <row r="825">
      <c r="A825" s="200">
        <v>44838.02510101852</v>
      </c>
      <c r="B825" s="19" t="s">
        <v>148</v>
      </c>
      <c r="C825" s="21" t="s">
        <v>381</v>
      </c>
      <c r="D825" s="62">
        <v>3.0</v>
      </c>
      <c r="E825" s="27">
        <v>2.0</v>
      </c>
      <c r="F825" s="27" t="s">
        <v>1619</v>
      </c>
      <c r="G825" s="201" t="s">
        <v>57</v>
      </c>
      <c r="H825" s="27" t="s">
        <v>178</v>
      </c>
      <c r="I825" s="27"/>
      <c r="J825" s="33">
        <v>7.5</v>
      </c>
      <c r="K825" s="33">
        <v>9.5</v>
      </c>
      <c r="L825" s="66">
        <v>53.0</v>
      </c>
      <c r="M825" s="27" t="s">
        <v>1620</v>
      </c>
      <c r="N825" s="27">
        <v>9.5</v>
      </c>
      <c r="O825" s="27"/>
      <c r="P825" s="27">
        <v>9.0</v>
      </c>
      <c r="Q825" s="27"/>
      <c r="R825" s="27">
        <v>9.0</v>
      </c>
      <c r="S825" s="27"/>
      <c r="T825" s="27">
        <v>9.5</v>
      </c>
      <c r="U825" s="27"/>
      <c r="V825" s="27">
        <v>9.0</v>
      </c>
      <c r="W825" s="27"/>
      <c r="X825" s="27">
        <v>9.0</v>
      </c>
      <c r="Y825" s="27"/>
      <c r="Z825" s="27">
        <v>9.5</v>
      </c>
      <c r="AA825" s="27"/>
      <c r="AB825" s="27">
        <v>11.5</v>
      </c>
      <c r="AC825" s="27"/>
      <c r="AD825" s="27">
        <v>9.5</v>
      </c>
      <c r="AE825" s="27"/>
      <c r="AF825" s="27">
        <v>9.5</v>
      </c>
      <c r="AG825" s="27"/>
      <c r="AH825" s="27">
        <v>164.0</v>
      </c>
      <c r="AI825" s="27">
        <v>103.0</v>
      </c>
      <c r="AJ825" s="27">
        <v>2.0</v>
      </c>
      <c r="AK825" s="27" t="b">
        <v>1</v>
      </c>
      <c r="AL825" s="27">
        <v>100.0</v>
      </c>
      <c r="AM825" s="27" t="s">
        <v>188</v>
      </c>
      <c r="AN825" s="27" t="s">
        <v>404</v>
      </c>
      <c r="AO825" s="27"/>
    </row>
    <row r="826">
      <c r="A826" s="200">
        <v>44838.02510101852</v>
      </c>
      <c r="B826" s="19" t="s">
        <v>148</v>
      </c>
      <c r="C826" s="21" t="s">
        <v>377</v>
      </c>
      <c r="D826" s="62">
        <v>4.0</v>
      </c>
      <c r="E826" s="27">
        <v>1.0</v>
      </c>
      <c r="F826" s="27" t="s">
        <v>1623</v>
      </c>
      <c r="G826" s="201" t="s">
        <v>57</v>
      </c>
      <c r="H826" s="27" t="s">
        <v>178</v>
      </c>
      <c r="I826" s="27"/>
      <c r="J826" s="33">
        <v>-2.5</v>
      </c>
      <c r="K826" s="33">
        <v>-2.5</v>
      </c>
      <c r="L826" s="66">
        <v>65.0</v>
      </c>
      <c r="M826" s="27" t="s">
        <v>1624</v>
      </c>
      <c r="N826" s="27">
        <v>-2.5</v>
      </c>
      <c r="O826" s="27"/>
      <c r="P826" s="27">
        <v>-2.5</v>
      </c>
      <c r="Q826" s="27"/>
      <c r="R826" s="27">
        <v>-2.5</v>
      </c>
      <c r="S826" s="27"/>
      <c r="T826" s="27">
        <v>-2.5</v>
      </c>
      <c r="U826" s="27"/>
      <c r="V826" s="27">
        <v>-2.5</v>
      </c>
      <c r="W826" s="27"/>
      <c r="X826" s="27">
        <v>-2.5</v>
      </c>
      <c r="Y826" s="27"/>
      <c r="Z826" s="27">
        <v>-2.0</v>
      </c>
      <c r="AA826" s="27"/>
      <c r="AB826" s="27">
        <v>-2.5</v>
      </c>
      <c r="AC826" s="27"/>
      <c r="AD826" s="27">
        <v>-2.5</v>
      </c>
      <c r="AE826" s="27"/>
      <c r="AF826" s="27">
        <v>-2.5</v>
      </c>
      <c r="AG826" s="27"/>
      <c r="AH826" s="27">
        <v>208.0</v>
      </c>
      <c r="AI826" s="27">
        <v>116.0</v>
      </c>
      <c r="AJ826" s="27">
        <v>2.0</v>
      </c>
      <c r="AK826" s="27" t="b">
        <v>0</v>
      </c>
      <c r="AL826" s="27">
        <v>100.0</v>
      </c>
      <c r="AM826" s="27" t="s">
        <v>191</v>
      </c>
      <c r="AN826" s="27" t="s">
        <v>404</v>
      </c>
      <c r="AO826" s="27"/>
    </row>
    <row r="827">
      <c r="A827" s="200">
        <v>44838.02510101852</v>
      </c>
      <c r="B827" s="19" t="s">
        <v>148</v>
      </c>
      <c r="C827" s="21" t="s">
        <v>316</v>
      </c>
      <c r="D827" s="62">
        <v>3.0</v>
      </c>
      <c r="E827" s="27">
        <v>2.0</v>
      </c>
      <c r="F827" s="27" t="s">
        <v>1606</v>
      </c>
      <c r="G827" s="201" t="s">
        <v>57</v>
      </c>
      <c r="H827" s="27" t="s">
        <v>131</v>
      </c>
      <c r="I827" s="27"/>
      <c r="J827" s="33">
        <v>-6.5</v>
      </c>
      <c r="K827" s="33">
        <v>-6.0</v>
      </c>
      <c r="L827" s="66">
        <v>38.0</v>
      </c>
      <c r="M827" s="27" t="s">
        <v>1143</v>
      </c>
      <c r="N827" s="27">
        <v>-6.5</v>
      </c>
      <c r="O827" s="27"/>
      <c r="P827" s="27">
        <v>-6.0</v>
      </c>
      <c r="Q827" s="27"/>
      <c r="R827" s="27">
        <v>-6.0</v>
      </c>
      <c r="S827" s="27"/>
      <c r="T827" s="27">
        <v>-6.0</v>
      </c>
      <c r="U827" s="27"/>
      <c r="V827" s="27">
        <v>-6.0</v>
      </c>
      <c r="W827" s="27"/>
      <c r="X827" s="27">
        <v>-6.0</v>
      </c>
      <c r="Y827" s="27"/>
      <c r="Z827" s="27">
        <v>-6.5</v>
      </c>
      <c r="AA827" s="27"/>
      <c r="AB827" s="27">
        <v>-6.0</v>
      </c>
      <c r="AC827" s="27"/>
      <c r="AD827" s="27">
        <v>-6.0</v>
      </c>
      <c r="AE827" s="27"/>
      <c r="AF827" s="27">
        <v>-6.0</v>
      </c>
      <c r="AG827" s="27"/>
      <c r="AH827" s="27">
        <v>123.0</v>
      </c>
      <c r="AI827" s="27">
        <v>95.0</v>
      </c>
      <c r="AJ827" s="27">
        <v>2.0</v>
      </c>
      <c r="AK827" s="27" t="b">
        <v>1</v>
      </c>
      <c r="AL827" s="27">
        <v>100.0</v>
      </c>
      <c r="AM827" s="27" t="s">
        <v>129</v>
      </c>
      <c r="AN827" s="27" t="s">
        <v>405</v>
      </c>
      <c r="AO827" s="27"/>
    </row>
    <row r="828">
      <c r="A828" s="200">
        <v>44838.02510101852</v>
      </c>
      <c r="B828" s="19"/>
      <c r="C828" s="21"/>
      <c r="D828" s="62"/>
      <c r="E828" s="27"/>
      <c r="F828" s="27"/>
      <c r="G828" s="201"/>
      <c r="H828" s="27"/>
      <c r="I828" s="27"/>
      <c r="J828" s="33"/>
      <c r="K828" s="33"/>
      <c r="L828" s="66"/>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t="e">
        <v>#N/A</v>
      </c>
      <c r="AN828" s="27" t="e">
        <v>#N/A</v>
      </c>
      <c r="AO828" s="27"/>
    </row>
    <row r="829">
      <c r="A829" s="200">
        <v>44838.02510101852</v>
      </c>
      <c r="B829" s="19" t="s">
        <v>103</v>
      </c>
      <c r="C829" s="21" t="s">
        <v>378</v>
      </c>
      <c r="D829" s="62">
        <v>2.0</v>
      </c>
      <c r="E829" s="27">
        <v>2.0</v>
      </c>
      <c r="F829" s="27" t="s">
        <v>1675</v>
      </c>
      <c r="G829" s="201" t="s">
        <v>57</v>
      </c>
      <c r="H829" s="27" t="s">
        <v>116</v>
      </c>
      <c r="I829" s="27"/>
      <c r="J829" s="33">
        <v>-9.0</v>
      </c>
      <c r="K829" s="33">
        <v>-10.5</v>
      </c>
      <c r="L829" s="66">
        <v>51.5</v>
      </c>
      <c r="M829" s="27" t="s">
        <v>1676</v>
      </c>
      <c r="N829" s="27">
        <v>-10.0</v>
      </c>
      <c r="O829" s="27"/>
      <c r="P829" s="27">
        <v>-10.5</v>
      </c>
      <c r="Q829" s="27"/>
      <c r="R829" s="27">
        <v>-10.0</v>
      </c>
      <c r="S829" s="27"/>
      <c r="T829" s="27">
        <v>-10.5</v>
      </c>
      <c r="U829" s="27"/>
      <c r="V829" s="27">
        <v>-10.5</v>
      </c>
      <c r="W829" s="27"/>
      <c r="X829" s="27">
        <v>-10.5</v>
      </c>
      <c r="Y829" s="27"/>
      <c r="Z829" s="27">
        <v>-10.5</v>
      </c>
      <c r="AA829" s="27"/>
      <c r="AB829" s="27">
        <v>-10.5</v>
      </c>
      <c r="AC829" s="27"/>
      <c r="AD829" s="27">
        <v>-10.5</v>
      </c>
      <c r="AE829" s="27"/>
      <c r="AF829" s="27">
        <v>-10.5</v>
      </c>
      <c r="AG829" s="27"/>
      <c r="AH829" s="27">
        <v>132.0</v>
      </c>
      <c r="AI829" s="27">
        <v>70.0</v>
      </c>
      <c r="AJ829" s="27">
        <v>2.0</v>
      </c>
      <c r="AK829" s="27" t="b">
        <v>1</v>
      </c>
      <c r="AL829" s="27">
        <v>100.0</v>
      </c>
      <c r="AM829" s="27" t="s">
        <v>189</v>
      </c>
      <c r="AN829" s="27" t="s">
        <v>405</v>
      </c>
      <c r="AO829" s="27"/>
    </row>
    <row r="830">
      <c r="A830" s="200">
        <v>44838.02510101852</v>
      </c>
      <c r="B830" s="19" t="s">
        <v>103</v>
      </c>
      <c r="C830" s="21" t="s">
        <v>322</v>
      </c>
      <c r="D830" s="62">
        <v>3.0</v>
      </c>
      <c r="E830" s="27">
        <v>2.0</v>
      </c>
      <c r="F830" s="27" t="s">
        <v>1668</v>
      </c>
      <c r="G830" s="201" t="s">
        <v>57</v>
      </c>
      <c r="H830" s="27" t="s">
        <v>144</v>
      </c>
      <c r="I830" s="27"/>
      <c r="J830" s="33">
        <v>-10.5</v>
      </c>
      <c r="K830" s="33">
        <v>-17.5</v>
      </c>
      <c r="L830" s="66">
        <v>60.5</v>
      </c>
      <c r="M830" s="27" t="s">
        <v>1669</v>
      </c>
      <c r="N830" s="27">
        <v>-17.5</v>
      </c>
      <c r="O830" s="27"/>
      <c r="P830" s="27">
        <v>-18.0</v>
      </c>
      <c r="Q830" s="27"/>
      <c r="R830" s="27">
        <v>-18.0</v>
      </c>
      <c r="S830" s="27"/>
      <c r="T830" s="27">
        <v>-17.5</v>
      </c>
      <c r="U830" s="27"/>
      <c r="V830" s="27">
        <v>-18.0</v>
      </c>
      <c r="W830" s="27"/>
      <c r="X830" s="27">
        <v>-18.0</v>
      </c>
      <c r="Y830" s="27"/>
      <c r="Z830" s="27">
        <v>-18.0</v>
      </c>
      <c r="AA830" s="27"/>
      <c r="AB830" s="27">
        <v>-17.5</v>
      </c>
      <c r="AC830" s="27"/>
      <c r="AD830" s="27">
        <v>-17.5</v>
      </c>
      <c r="AE830" s="27"/>
      <c r="AF830" s="27">
        <v>-17.5</v>
      </c>
      <c r="AG830" s="27"/>
      <c r="AH830" s="27">
        <v>160.0</v>
      </c>
      <c r="AI830" s="27">
        <v>156.0</v>
      </c>
      <c r="AJ830" s="27">
        <v>2.0</v>
      </c>
      <c r="AK830" s="27" t="b">
        <v>1</v>
      </c>
      <c r="AL830" s="27">
        <v>100.0</v>
      </c>
      <c r="AM830" s="27" t="s">
        <v>191</v>
      </c>
      <c r="AN830" s="27" t="s">
        <v>404</v>
      </c>
      <c r="AO830" s="27"/>
    </row>
    <row r="831">
      <c r="A831" s="200">
        <v>44838.02510101852</v>
      </c>
      <c r="B831" s="19" t="s">
        <v>103</v>
      </c>
      <c r="C831" s="21" t="s">
        <v>340</v>
      </c>
      <c r="D831" s="62">
        <v>4.0</v>
      </c>
      <c r="E831" s="27">
        <v>1.0</v>
      </c>
      <c r="F831" s="27" t="s">
        <v>1615</v>
      </c>
      <c r="G831" s="201" t="s">
        <v>57</v>
      </c>
      <c r="H831" s="27" t="s">
        <v>178</v>
      </c>
      <c r="I831" s="27"/>
      <c r="J831" s="33">
        <v>-2.0</v>
      </c>
      <c r="K831" s="33">
        <v>-6.0</v>
      </c>
      <c r="L831" s="66">
        <v>67.0</v>
      </c>
      <c r="M831" s="27" t="s">
        <v>1616</v>
      </c>
      <c r="N831" s="27">
        <v>-6.0</v>
      </c>
      <c r="O831" s="27"/>
      <c r="P831" s="27">
        <v>-6.0</v>
      </c>
      <c r="Q831" s="27"/>
      <c r="R831" s="27">
        <v>-6.0</v>
      </c>
      <c r="S831" s="27"/>
      <c r="T831" s="27">
        <v>-5.5</v>
      </c>
      <c r="U831" s="27"/>
      <c r="V831" s="27">
        <v>-6.0</v>
      </c>
      <c r="W831" s="27"/>
      <c r="X831" s="27">
        <v>-6.0</v>
      </c>
      <c r="Y831" s="27"/>
      <c r="Z831" s="27">
        <v>-6.0</v>
      </c>
      <c r="AA831" s="27"/>
      <c r="AB831" s="27">
        <v>-6.0</v>
      </c>
      <c r="AC831" s="27"/>
      <c r="AD831" s="27">
        <v>-5.5</v>
      </c>
      <c r="AE831" s="27"/>
      <c r="AF831" s="27">
        <v>-5.5</v>
      </c>
      <c r="AG831" s="27"/>
      <c r="AH831" s="27">
        <v>171.0</v>
      </c>
      <c r="AI831" s="27">
        <v>106.0</v>
      </c>
      <c r="AJ831" s="27">
        <v>2.0</v>
      </c>
      <c r="AK831" s="27" t="b">
        <v>0</v>
      </c>
      <c r="AL831" s="27">
        <v>100.0</v>
      </c>
      <c r="AM831" s="27" t="s">
        <v>186</v>
      </c>
      <c r="AN831" s="27" t="s">
        <v>404</v>
      </c>
      <c r="AO831" s="27"/>
    </row>
    <row r="832">
      <c r="A832" s="200">
        <v>44838.02510101852</v>
      </c>
      <c r="B832" s="19" t="s">
        <v>103</v>
      </c>
      <c r="C832" s="21" t="s">
        <v>341</v>
      </c>
      <c r="D832" s="62">
        <v>4.0</v>
      </c>
      <c r="E832" s="27">
        <v>1.0</v>
      </c>
      <c r="F832" s="27" t="s">
        <v>1643</v>
      </c>
      <c r="G832" s="201" t="s">
        <v>57</v>
      </c>
      <c r="H832" s="27" t="s">
        <v>138</v>
      </c>
      <c r="I832" s="27"/>
      <c r="J832" s="33">
        <v>4.5</v>
      </c>
      <c r="K832" s="33">
        <v>-7.5</v>
      </c>
      <c r="L832" s="66">
        <v>58.0</v>
      </c>
      <c r="M832" s="27" t="s">
        <v>1644</v>
      </c>
      <c r="N832" s="27">
        <v>-7.5</v>
      </c>
      <c r="O832" s="27"/>
      <c r="P832" s="27">
        <v>-7.5</v>
      </c>
      <c r="Q832" s="27"/>
      <c r="R832" s="27">
        <v>-7.5</v>
      </c>
      <c r="S832" s="27"/>
      <c r="T832" s="27">
        <v>-7.5</v>
      </c>
      <c r="U832" s="27"/>
      <c r="V832" s="27">
        <v>-7.5</v>
      </c>
      <c r="W832" s="27"/>
      <c r="X832" s="27">
        <v>-7.5</v>
      </c>
      <c r="Y832" s="27"/>
      <c r="Z832" s="27">
        <v>-8.0</v>
      </c>
      <c r="AA832" s="27"/>
      <c r="AB832" s="27">
        <v>-7.5</v>
      </c>
      <c r="AC832" s="27"/>
      <c r="AD832" s="27">
        <v>-7.5</v>
      </c>
      <c r="AE832" s="27"/>
      <c r="AF832" s="27">
        <v>-7.5</v>
      </c>
      <c r="AG832" s="27"/>
      <c r="AH832" s="27">
        <v>175.0</v>
      </c>
      <c r="AI832" s="27">
        <v>105.0</v>
      </c>
      <c r="AJ832" s="27">
        <v>2.0</v>
      </c>
      <c r="AK832" s="27" t="b">
        <v>1</v>
      </c>
      <c r="AL832" s="27">
        <v>100.0</v>
      </c>
      <c r="AM832" s="27" t="s">
        <v>188</v>
      </c>
      <c r="AN832" s="27" t="s">
        <v>404</v>
      </c>
      <c r="AO832" s="27"/>
    </row>
    <row r="833">
      <c r="A833" s="200">
        <v>44838.02510101852</v>
      </c>
      <c r="B833" s="19" t="s">
        <v>103</v>
      </c>
      <c r="C833" s="21" t="s">
        <v>356</v>
      </c>
      <c r="D833" s="62">
        <v>3.0</v>
      </c>
      <c r="E833" s="27">
        <v>2.0</v>
      </c>
      <c r="F833" s="27" t="s">
        <v>1682</v>
      </c>
      <c r="G833" s="201" t="s">
        <v>57</v>
      </c>
      <c r="H833" s="27" t="s">
        <v>148</v>
      </c>
      <c r="I833" s="27"/>
      <c r="J833" s="33">
        <v>-20.0</v>
      </c>
      <c r="K833" s="33">
        <v>-20.5</v>
      </c>
      <c r="L833" s="66">
        <v>53.0</v>
      </c>
      <c r="M833" s="27" t="s">
        <v>1426</v>
      </c>
      <c r="N833" s="27">
        <v>-20.5</v>
      </c>
      <c r="O833" s="27"/>
      <c r="P833" s="27">
        <v>-20.0</v>
      </c>
      <c r="Q833" s="27"/>
      <c r="R833" s="27">
        <v>-19.5</v>
      </c>
      <c r="S833" s="27"/>
      <c r="T833" s="27">
        <v>-20.5</v>
      </c>
      <c r="U833" s="27"/>
      <c r="V833" s="27">
        <v>-20.0</v>
      </c>
      <c r="W833" s="27"/>
      <c r="X833" s="27">
        <v>-19.5</v>
      </c>
      <c r="Y833" s="27"/>
      <c r="Z833" s="27">
        <v>-20.0</v>
      </c>
      <c r="AA833" s="27"/>
      <c r="AB833" s="27">
        <v>-20.5</v>
      </c>
      <c r="AC833" s="27"/>
      <c r="AD833" s="27">
        <v>-20.5</v>
      </c>
      <c r="AE833" s="27"/>
      <c r="AF833" s="27"/>
      <c r="AG833" s="27"/>
      <c r="AH833" s="27">
        <v>144.0</v>
      </c>
      <c r="AI833" s="27">
        <v>167.0</v>
      </c>
      <c r="AJ833" s="27">
        <v>2.0</v>
      </c>
      <c r="AK833" s="27" t="b">
        <v>0</v>
      </c>
      <c r="AL833" s="27">
        <v>100.0</v>
      </c>
      <c r="AM833" s="27" t="s">
        <v>190</v>
      </c>
      <c r="AN833" s="27" t="s">
        <v>405</v>
      </c>
      <c r="AO833" s="27"/>
    </row>
    <row r="834">
      <c r="A834" s="200">
        <v>44838.02510101852</v>
      </c>
      <c r="B834" s="19" t="s">
        <v>103</v>
      </c>
      <c r="C834" s="21" t="s">
        <v>358</v>
      </c>
      <c r="D834" s="62">
        <v>4.0</v>
      </c>
      <c r="E834" s="27">
        <v>0.0</v>
      </c>
      <c r="F834" s="27" t="s">
        <v>1590</v>
      </c>
      <c r="G834" s="201" t="s">
        <v>57</v>
      </c>
      <c r="H834" s="27" t="s">
        <v>53</v>
      </c>
      <c r="I834" s="27"/>
      <c r="J834" s="33">
        <v>3.5</v>
      </c>
      <c r="K834" s="33">
        <v>5.0</v>
      </c>
      <c r="L834" s="66">
        <v>69.5</v>
      </c>
      <c r="M834" s="27" t="s">
        <v>1591</v>
      </c>
      <c r="N834" s="27">
        <v>5.5</v>
      </c>
      <c r="O834" s="27"/>
      <c r="P834" s="27">
        <v>5.0</v>
      </c>
      <c r="Q834" s="27"/>
      <c r="R834" s="27">
        <v>5.5</v>
      </c>
      <c r="S834" s="27"/>
      <c r="T834" s="27">
        <v>4.5</v>
      </c>
      <c r="U834" s="27"/>
      <c r="V834" s="27">
        <v>5.0</v>
      </c>
      <c r="W834" s="27"/>
      <c r="X834" s="27">
        <v>5.0</v>
      </c>
      <c r="Y834" s="27"/>
      <c r="Z834" s="27">
        <v>5.0</v>
      </c>
      <c r="AA834" s="27"/>
      <c r="AB834" s="27">
        <v>5.0</v>
      </c>
      <c r="AC834" s="27"/>
      <c r="AD834" s="27">
        <v>4.5</v>
      </c>
      <c r="AE834" s="27"/>
      <c r="AF834" s="27">
        <v>4.5</v>
      </c>
      <c r="AG834" s="27"/>
      <c r="AH834" s="27">
        <v>194.0</v>
      </c>
      <c r="AI834" s="27">
        <v>88.0</v>
      </c>
      <c r="AJ834" s="27">
        <v>2.0</v>
      </c>
      <c r="AK834" s="27" t="b">
        <v>1</v>
      </c>
      <c r="AL834" s="27">
        <v>100.0</v>
      </c>
      <c r="AM834" s="27" t="s">
        <v>187</v>
      </c>
      <c r="AN834" s="27" t="s">
        <v>404</v>
      </c>
      <c r="AO834" s="27"/>
    </row>
    <row r="835">
      <c r="A835" s="200">
        <v>44838.02510101852</v>
      </c>
      <c r="B835" s="19" t="s">
        <v>103</v>
      </c>
      <c r="C835" s="21" t="s">
        <v>362</v>
      </c>
      <c r="D835" s="62">
        <v>2.0</v>
      </c>
      <c r="E835" s="27">
        <v>3.0</v>
      </c>
      <c r="F835" s="27" t="s">
        <v>1666</v>
      </c>
      <c r="G835" s="201" t="s">
        <v>57</v>
      </c>
      <c r="H835" s="27" t="s">
        <v>109</v>
      </c>
      <c r="I835" s="27"/>
      <c r="J835" s="33">
        <v>20.0</v>
      </c>
      <c r="K835" s="33">
        <v>19.5</v>
      </c>
      <c r="L835" s="66">
        <v>50.0</v>
      </c>
      <c r="M835" s="27" t="s">
        <v>1419</v>
      </c>
      <c r="N835" s="27">
        <v>18.5</v>
      </c>
      <c r="O835" s="27"/>
      <c r="P835" s="27">
        <v>18.5</v>
      </c>
      <c r="Q835" s="27"/>
      <c r="R835" s="27">
        <v>19.0</v>
      </c>
      <c r="S835" s="27"/>
      <c r="T835" s="27">
        <v>19.5</v>
      </c>
      <c r="U835" s="27"/>
      <c r="V835" s="27">
        <v>18.5</v>
      </c>
      <c r="W835" s="27"/>
      <c r="X835" s="27">
        <v>18.5</v>
      </c>
      <c r="Y835" s="27"/>
      <c r="Z835" s="27">
        <v>18.5</v>
      </c>
      <c r="AA835" s="27"/>
      <c r="AB835" s="27">
        <v>18.5</v>
      </c>
      <c r="AC835" s="27"/>
      <c r="AD835" s="27">
        <v>19.5</v>
      </c>
      <c r="AE835" s="27"/>
      <c r="AF835" s="27">
        <v>19.5</v>
      </c>
      <c r="AG835" s="27"/>
      <c r="AH835" s="27">
        <v>75.0</v>
      </c>
      <c r="AI835" s="27">
        <v>84.0</v>
      </c>
      <c r="AJ835" s="27">
        <v>2.0</v>
      </c>
      <c r="AK835" s="27" t="b">
        <v>0</v>
      </c>
      <c r="AL835" s="27">
        <v>100.0</v>
      </c>
      <c r="AM835" s="27" t="s">
        <v>389</v>
      </c>
      <c r="AN835" s="27" t="s">
        <v>405</v>
      </c>
      <c r="AO835" s="27"/>
    </row>
    <row r="836">
      <c r="A836" s="200">
        <v>44838.02510101852</v>
      </c>
      <c r="B836" s="19" t="s">
        <v>103</v>
      </c>
      <c r="C836" s="21" t="s">
        <v>373</v>
      </c>
      <c r="D836" s="62">
        <v>5.0</v>
      </c>
      <c r="E836" s="27">
        <v>0.0</v>
      </c>
      <c r="F836" s="27" t="s">
        <v>1638</v>
      </c>
      <c r="G836" s="201" t="s">
        <v>57</v>
      </c>
      <c r="H836" s="27" t="s">
        <v>59</v>
      </c>
      <c r="I836" s="27"/>
      <c r="J836" s="33">
        <v>-4.0</v>
      </c>
      <c r="K836" s="33">
        <v>-6.5</v>
      </c>
      <c r="L836" s="66">
        <v>54.5</v>
      </c>
      <c r="M836" s="27" t="s">
        <v>1107</v>
      </c>
      <c r="N836" s="27">
        <v>-6.5</v>
      </c>
      <c r="O836" s="27"/>
      <c r="P836" s="27">
        <v>-6.5</v>
      </c>
      <c r="Q836" s="27"/>
      <c r="R836" s="27">
        <v>-6.5</v>
      </c>
      <c r="S836" s="27"/>
      <c r="T836" s="27">
        <v>-6.0</v>
      </c>
      <c r="U836" s="27"/>
      <c r="V836" s="27">
        <v>-6.5</v>
      </c>
      <c r="W836" s="27"/>
      <c r="X836" s="27">
        <v>-6.5</v>
      </c>
      <c r="Y836" s="27"/>
      <c r="Z836" s="27">
        <v>-6.5</v>
      </c>
      <c r="AA836" s="27"/>
      <c r="AB836" s="27">
        <v>-6.5</v>
      </c>
      <c r="AC836" s="27"/>
      <c r="AD836" s="27">
        <v>-6.0</v>
      </c>
      <c r="AE836" s="27"/>
      <c r="AF836" s="27">
        <v>-6.0</v>
      </c>
      <c r="AG836" s="27"/>
      <c r="AH836" s="27">
        <v>186.0</v>
      </c>
      <c r="AI836" s="27">
        <v>59.0</v>
      </c>
      <c r="AJ836" s="27">
        <v>2.0</v>
      </c>
      <c r="AK836" s="27" t="b">
        <v>1</v>
      </c>
      <c r="AL836" s="27">
        <v>100.0</v>
      </c>
      <c r="AM836" s="27" t="s">
        <v>192</v>
      </c>
      <c r="AN836" s="27" t="s">
        <v>404</v>
      </c>
      <c r="AO836" s="27"/>
    </row>
    <row r="837">
      <c r="A837" s="200">
        <v>44838.02510101852</v>
      </c>
      <c r="B837" s="19" t="s">
        <v>103</v>
      </c>
      <c r="C837" s="21" t="s">
        <v>324</v>
      </c>
      <c r="D837" s="62">
        <v>4.0</v>
      </c>
      <c r="E837" s="27">
        <v>1.0</v>
      </c>
      <c r="F837" s="27" t="s">
        <v>1679</v>
      </c>
      <c r="G837" s="201" t="s">
        <v>57</v>
      </c>
      <c r="H837" s="27" t="s">
        <v>116</v>
      </c>
      <c r="I837" s="27"/>
      <c r="J837" s="33">
        <v>-16.0</v>
      </c>
      <c r="K837" s="33">
        <v>-14.0</v>
      </c>
      <c r="L837" s="66">
        <v>38.5</v>
      </c>
      <c r="M837" s="27" t="s">
        <v>1680</v>
      </c>
      <c r="N837" s="27">
        <v>-14.0</v>
      </c>
      <c r="O837" s="27"/>
      <c r="P837" s="27">
        <v>-14.0</v>
      </c>
      <c r="Q837" s="27"/>
      <c r="R837" s="27">
        <v>-14.0</v>
      </c>
      <c r="S837" s="27"/>
      <c r="T837" s="27">
        <v>-14.0</v>
      </c>
      <c r="U837" s="27"/>
      <c r="V837" s="27">
        <v>-14.0</v>
      </c>
      <c r="W837" s="27"/>
      <c r="X837" s="27">
        <v>-14.0</v>
      </c>
      <c r="Y837" s="27"/>
      <c r="Z837" s="27">
        <v>-14.0</v>
      </c>
      <c r="AA837" s="27"/>
      <c r="AB837" s="27">
        <v>-14.0</v>
      </c>
      <c r="AC837" s="27"/>
      <c r="AD837" s="27">
        <v>-14.0</v>
      </c>
      <c r="AE837" s="27"/>
      <c r="AF837" s="27">
        <v>-14.0</v>
      </c>
      <c r="AG837" s="27"/>
      <c r="AH837" s="27">
        <v>164.0</v>
      </c>
      <c r="AI837" s="27">
        <v>74.0</v>
      </c>
      <c r="AJ837" s="27">
        <v>2.0</v>
      </c>
      <c r="AK837" s="27" t="b">
        <v>0</v>
      </c>
      <c r="AL837" s="27">
        <v>100.0</v>
      </c>
      <c r="AM837" s="27" t="s">
        <v>129</v>
      </c>
      <c r="AN837" s="27" t="s">
        <v>405</v>
      </c>
      <c r="AO837" s="27"/>
    </row>
    <row r="838">
      <c r="A838" s="200">
        <v>44838.02510101852</v>
      </c>
      <c r="B838" s="19" t="s">
        <v>103</v>
      </c>
      <c r="C838" s="21" t="s">
        <v>361</v>
      </c>
      <c r="D838" s="62">
        <v>1.0</v>
      </c>
      <c r="E838" s="27">
        <v>4.0</v>
      </c>
      <c r="F838" s="27" t="s">
        <v>1674</v>
      </c>
      <c r="G838" s="201" t="s">
        <v>57</v>
      </c>
      <c r="H838" s="27" t="s">
        <v>166</v>
      </c>
      <c r="I838" s="27"/>
      <c r="J838" s="33">
        <v>6.5</v>
      </c>
      <c r="K838" s="33">
        <v>8.5</v>
      </c>
      <c r="L838" s="66">
        <v>54.0</v>
      </c>
      <c r="M838" s="27" t="s">
        <v>1364</v>
      </c>
      <c r="N838" s="27">
        <v>8.5</v>
      </c>
      <c r="O838" s="27"/>
      <c r="P838" s="27">
        <v>8.5</v>
      </c>
      <c r="Q838" s="27"/>
      <c r="R838" s="27">
        <v>9.0</v>
      </c>
      <c r="S838" s="27"/>
      <c r="T838" s="27">
        <v>8.5</v>
      </c>
      <c r="U838" s="27"/>
      <c r="V838" s="27">
        <v>8.5</v>
      </c>
      <c r="W838" s="27"/>
      <c r="X838" s="27">
        <v>9.0</v>
      </c>
      <c r="Y838" s="27"/>
      <c r="Z838" s="27">
        <v>9.0</v>
      </c>
      <c r="AA838" s="27"/>
      <c r="AB838" s="27">
        <v>8.5</v>
      </c>
      <c r="AC838" s="27"/>
      <c r="AD838" s="27">
        <v>8.5</v>
      </c>
      <c r="AE838" s="27"/>
      <c r="AF838" s="27">
        <v>8.5</v>
      </c>
      <c r="AG838" s="27"/>
      <c r="AH838" s="27">
        <v>138.0</v>
      </c>
      <c r="AI838" s="27">
        <v>167.0</v>
      </c>
      <c r="AJ838" s="27">
        <v>2.0</v>
      </c>
      <c r="AK838" s="27" t="b">
        <v>0</v>
      </c>
      <c r="AL838" s="27">
        <v>100.0</v>
      </c>
      <c r="AM838" s="27" t="s">
        <v>193</v>
      </c>
      <c r="AN838" s="27" t="s">
        <v>405</v>
      </c>
      <c r="AO838" s="27"/>
    </row>
    <row r="839">
      <c r="A839" s="200">
        <v>44838.02510101852</v>
      </c>
      <c r="B839" s="19"/>
      <c r="C839" s="21"/>
      <c r="D839" s="62"/>
      <c r="E839" s="27"/>
      <c r="F839" s="27"/>
      <c r="G839" s="201"/>
      <c r="H839" s="27"/>
      <c r="I839" s="27"/>
      <c r="J839" s="33"/>
      <c r="K839" s="33"/>
      <c r="L839" s="66"/>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t="e">
        <v>#N/A</v>
      </c>
      <c r="AN839" s="27" t="e">
        <v>#N/A</v>
      </c>
      <c r="AO839" s="27"/>
    </row>
    <row r="840">
      <c r="A840" s="200">
        <v>44838.02510101852</v>
      </c>
      <c r="B840" s="19" t="s">
        <v>154</v>
      </c>
      <c r="C840" s="21" t="s">
        <v>363</v>
      </c>
      <c r="D840" s="62">
        <v>4.0</v>
      </c>
      <c r="E840" s="27">
        <v>1.0</v>
      </c>
      <c r="F840" s="27" t="s">
        <v>1594</v>
      </c>
      <c r="G840" s="201" t="s">
        <v>57</v>
      </c>
      <c r="H840" s="27" t="s">
        <v>131</v>
      </c>
      <c r="I840" s="27"/>
      <c r="J840" s="33">
        <v>13.0</v>
      </c>
      <c r="K840" s="33">
        <v>6.5</v>
      </c>
      <c r="L840" s="66">
        <v>45.5</v>
      </c>
      <c r="M840" s="27" t="s">
        <v>1595</v>
      </c>
      <c r="N840" s="27">
        <v>6.5</v>
      </c>
      <c r="O840" s="27"/>
      <c r="P840" s="27">
        <v>6.5</v>
      </c>
      <c r="Q840" s="27"/>
      <c r="R840" s="27">
        <v>6.5</v>
      </c>
      <c r="S840" s="27"/>
      <c r="T840" s="27">
        <v>6.5</v>
      </c>
      <c r="U840" s="27"/>
      <c r="V840" s="27">
        <v>6.5</v>
      </c>
      <c r="W840" s="27"/>
      <c r="X840" s="27">
        <v>7.0</v>
      </c>
      <c r="Y840" s="27"/>
      <c r="Z840" s="27">
        <v>7.0</v>
      </c>
      <c r="AA840" s="27"/>
      <c r="AB840" s="27">
        <v>6.5</v>
      </c>
      <c r="AC840" s="27"/>
      <c r="AD840" s="27">
        <v>6.5</v>
      </c>
      <c r="AE840" s="27"/>
      <c r="AF840" s="27">
        <v>6.5</v>
      </c>
      <c r="AG840" s="27"/>
      <c r="AH840" s="27">
        <v>164.0</v>
      </c>
      <c r="AI840" s="27">
        <v>77.0</v>
      </c>
      <c r="AJ840" s="27">
        <v>2.0</v>
      </c>
      <c r="AK840" s="27" t="b">
        <v>1</v>
      </c>
      <c r="AL840" s="27">
        <v>100.0</v>
      </c>
      <c r="AM840" s="27" t="s">
        <v>186</v>
      </c>
      <c r="AN840" s="27" t="s">
        <v>404</v>
      </c>
      <c r="AO840" s="27"/>
    </row>
    <row r="841">
      <c r="A841" s="200">
        <v>44838.02510101852</v>
      </c>
      <c r="B841" s="19" t="s">
        <v>154</v>
      </c>
      <c r="C841" s="21" t="s">
        <v>383</v>
      </c>
      <c r="D841" s="62">
        <v>3.0</v>
      </c>
      <c r="E841" s="27">
        <v>3.0</v>
      </c>
      <c r="F841" s="27" t="s">
        <v>1651</v>
      </c>
      <c r="G841" s="201" t="s">
        <v>57</v>
      </c>
      <c r="H841" s="27" t="s">
        <v>141</v>
      </c>
      <c r="I841" s="27"/>
      <c r="J841" s="33">
        <v>-1.0</v>
      </c>
      <c r="K841" s="33">
        <v>2.5</v>
      </c>
      <c r="L841" s="66">
        <v>42.5</v>
      </c>
      <c r="M841" s="27" t="s">
        <v>1652</v>
      </c>
      <c r="N841" s="27">
        <v>2.5</v>
      </c>
      <c r="O841" s="27"/>
      <c r="P841" s="27">
        <v>2.5</v>
      </c>
      <c r="Q841" s="27"/>
      <c r="R841" s="27">
        <v>2.5</v>
      </c>
      <c r="S841" s="27"/>
      <c r="T841" s="27">
        <v>2.0</v>
      </c>
      <c r="U841" s="27"/>
      <c r="V841" s="27">
        <v>2.5</v>
      </c>
      <c r="W841" s="27"/>
      <c r="X841" s="27">
        <v>2.5</v>
      </c>
      <c r="Y841" s="27"/>
      <c r="Z841" s="27">
        <v>2.5</v>
      </c>
      <c r="AA841" s="27"/>
      <c r="AB841" s="27">
        <v>2.5</v>
      </c>
      <c r="AC841" s="27"/>
      <c r="AD841" s="27">
        <v>2.0</v>
      </c>
      <c r="AE841" s="27"/>
      <c r="AF841" s="27">
        <v>2.0</v>
      </c>
      <c r="AG841" s="27"/>
      <c r="AH841" s="27">
        <v>136.0</v>
      </c>
      <c r="AI841" s="27">
        <v>170.0</v>
      </c>
      <c r="AJ841" s="27">
        <v>2.0</v>
      </c>
      <c r="AK841" s="27" t="b">
        <v>1</v>
      </c>
      <c r="AL841" s="27">
        <v>100.0</v>
      </c>
      <c r="AM841" s="27" t="s">
        <v>129</v>
      </c>
      <c r="AN841" s="27" t="s">
        <v>405</v>
      </c>
      <c r="AO841" s="27"/>
    </row>
    <row r="842">
      <c r="A842" s="200">
        <v>44838.02510101852</v>
      </c>
      <c r="B842" s="19" t="s">
        <v>154</v>
      </c>
      <c r="C842" s="21" t="s">
        <v>352</v>
      </c>
      <c r="D842" s="62">
        <v>2.0</v>
      </c>
      <c r="E842" s="27">
        <v>3.0</v>
      </c>
      <c r="F842" s="27" t="s">
        <v>1596</v>
      </c>
      <c r="G842" s="201" t="s">
        <v>57</v>
      </c>
      <c r="H842" s="27" t="s">
        <v>131</v>
      </c>
      <c r="I842" s="27"/>
      <c r="J842" s="33">
        <v>-8.5</v>
      </c>
      <c r="K842" s="33">
        <v>-7.0</v>
      </c>
      <c r="L842" s="66">
        <v>59.0</v>
      </c>
      <c r="M842" s="27" t="s">
        <v>1487</v>
      </c>
      <c r="N842" s="27">
        <v>-7.0</v>
      </c>
      <c r="O842" s="27"/>
      <c r="P842" s="27">
        <v>-7.5</v>
      </c>
      <c r="Q842" s="27"/>
      <c r="R842" s="27">
        <v>-7.0</v>
      </c>
      <c r="S842" s="27"/>
      <c r="T842" s="27">
        <v>-7.0</v>
      </c>
      <c r="U842" s="27"/>
      <c r="V842" s="27">
        <v>-7.5</v>
      </c>
      <c r="W842" s="27"/>
      <c r="X842" s="27">
        <v>-7.5</v>
      </c>
      <c r="Y842" s="27"/>
      <c r="Z842" s="27">
        <v>-7.5</v>
      </c>
      <c r="AA842" s="27"/>
      <c r="AB842" s="27">
        <v>-8.0</v>
      </c>
      <c r="AC842" s="27"/>
      <c r="AD842" s="27">
        <v>-7.0</v>
      </c>
      <c r="AE842" s="27"/>
      <c r="AF842" s="27">
        <v>-7.0</v>
      </c>
      <c r="AG842" s="27"/>
      <c r="AH842" s="27">
        <v>173.0</v>
      </c>
      <c r="AI842" s="27">
        <v>149.0</v>
      </c>
      <c r="AJ842" s="27">
        <v>2.0</v>
      </c>
      <c r="AK842" s="27" t="b">
        <v>1</v>
      </c>
      <c r="AL842" s="27">
        <v>100.0</v>
      </c>
      <c r="AM842" s="27" t="s">
        <v>193</v>
      </c>
      <c r="AN842" s="27" t="s">
        <v>405</v>
      </c>
      <c r="AO842" s="27"/>
    </row>
    <row r="843">
      <c r="A843" s="200">
        <v>44838.02510101852</v>
      </c>
      <c r="B843" s="19" t="s">
        <v>154</v>
      </c>
      <c r="C843" s="21" t="s">
        <v>366</v>
      </c>
      <c r="D843" s="62">
        <v>3.0</v>
      </c>
      <c r="E843" s="27">
        <v>3.0</v>
      </c>
      <c r="F843" s="27" t="s">
        <v>1655</v>
      </c>
      <c r="G843" s="201" t="s">
        <v>57</v>
      </c>
      <c r="H843" s="27" t="s">
        <v>141</v>
      </c>
      <c r="I843" s="27"/>
      <c r="J843" s="33">
        <v>-1.0</v>
      </c>
      <c r="K843" s="33">
        <v>-3.5</v>
      </c>
      <c r="L843" s="66">
        <v>56.0</v>
      </c>
      <c r="M843" s="27" t="s">
        <v>1656</v>
      </c>
      <c r="N843" s="27">
        <v>-3.5</v>
      </c>
      <c r="O843" s="27"/>
      <c r="P843" s="27">
        <v>-3.5</v>
      </c>
      <c r="Q843" s="27"/>
      <c r="R843" s="27">
        <v>-3.5</v>
      </c>
      <c r="S843" s="27"/>
      <c r="T843" s="27">
        <v>-3.5</v>
      </c>
      <c r="U843" s="27"/>
      <c r="V843" s="27">
        <v>-3.5</v>
      </c>
      <c r="W843" s="27"/>
      <c r="X843" s="27">
        <v>-3.5</v>
      </c>
      <c r="Y843" s="27"/>
      <c r="Z843" s="27">
        <v>-3.5</v>
      </c>
      <c r="AA843" s="27"/>
      <c r="AB843" s="27">
        <v>-3.5</v>
      </c>
      <c r="AC843" s="27"/>
      <c r="AD843" s="27">
        <v>-3.5</v>
      </c>
      <c r="AE843" s="27"/>
      <c r="AF843" s="27">
        <v>-3.5</v>
      </c>
      <c r="AG843" s="27"/>
      <c r="AH843" s="27">
        <v>124.0</v>
      </c>
      <c r="AI843" s="27">
        <v>161.0</v>
      </c>
      <c r="AJ843" s="27">
        <v>2.0</v>
      </c>
      <c r="AK843" s="27" t="b">
        <v>1</v>
      </c>
      <c r="AL843" s="27">
        <v>100.0</v>
      </c>
      <c r="AM843" s="27" t="s">
        <v>189</v>
      </c>
      <c r="AN843" s="27" t="s">
        <v>405</v>
      </c>
      <c r="AO843" s="27"/>
    </row>
    <row r="844">
      <c r="A844" s="200">
        <v>44838.02510101852</v>
      </c>
      <c r="B844" s="19" t="s">
        <v>154</v>
      </c>
      <c r="C844" s="21" t="s">
        <v>382</v>
      </c>
      <c r="D844" s="62">
        <v>2.0</v>
      </c>
      <c r="E844" s="27">
        <v>3.0</v>
      </c>
      <c r="F844" s="27" t="s">
        <v>1684</v>
      </c>
      <c r="G844" s="201" t="s">
        <v>57</v>
      </c>
      <c r="H844" s="27"/>
      <c r="I844" s="27"/>
      <c r="J844" s="33">
        <v>-15.0</v>
      </c>
      <c r="K844" s="33">
        <v>-15.0</v>
      </c>
      <c r="L844" s="66">
        <v>52.5</v>
      </c>
      <c r="M844" s="27" t="s">
        <v>1685</v>
      </c>
      <c r="N844" s="27">
        <v>-15.5</v>
      </c>
      <c r="O844" s="27"/>
      <c r="P844" s="27">
        <v>-15.0</v>
      </c>
      <c r="Q844" s="27"/>
      <c r="R844" s="27">
        <v>-15.0</v>
      </c>
      <c r="S844" s="27"/>
      <c r="T844" s="27">
        <v>-15.0</v>
      </c>
      <c r="U844" s="27"/>
      <c r="V844" s="27">
        <v>-15.0</v>
      </c>
      <c r="W844" s="27"/>
      <c r="X844" s="27">
        <v>-15.0</v>
      </c>
      <c r="Y844" s="27"/>
      <c r="Z844" s="27">
        <v>-15.0</v>
      </c>
      <c r="AA844" s="27"/>
      <c r="AB844" s="27">
        <v>-15.0</v>
      </c>
      <c r="AC844" s="27"/>
      <c r="AD844" s="27"/>
      <c r="AE844" s="27"/>
      <c r="AF844" s="27"/>
      <c r="AG844" s="27"/>
      <c r="AH844" s="27">
        <v>113.0</v>
      </c>
      <c r="AI844" s="27">
        <v>140.0</v>
      </c>
      <c r="AJ844" s="27">
        <v>2.0</v>
      </c>
      <c r="AK844" s="27" t="b">
        <v>0</v>
      </c>
      <c r="AL844" s="27">
        <v>100.0</v>
      </c>
      <c r="AM844" s="27" t="s">
        <v>190</v>
      </c>
      <c r="AN844" s="27" t="s">
        <v>405</v>
      </c>
      <c r="AO844" s="27"/>
    </row>
    <row r="845">
      <c r="A845" s="200">
        <v>44838.02510101852</v>
      </c>
      <c r="B845" s="19" t="s">
        <v>154</v>
      </c>
      <c r="C845" s="21" t="s">
        <v>368</v>
      </c>
      <c r="D845" s="62">
        <v>1.0</v>
      </c>
      <c r="E845" s="27">
        <v>4.0</v>
      </c>
      <c r="F845" s="27" t="s">
        <v>1665</v>
      </c>
      <c r="G845" s="201" t="s">
        <v>57</v>
      </c>
      <c r="H845" s="27" t="s">
        <v>109</v>
      </c>
      <c r="I845" s="27"/>
      <c r="J845" s="33">
        <v>24.5</v>
      </c>
      <c r="K845" s="33">
        <v>25.0</v>
      </c>
      <c r="L845" s="66">
        <v>50.0</v>
      </c>
      <c r="M845" s="27" t="s">
        <v>1660</v>
      </c>
      <c r="N845" s="27">
        <v>25.5</v>
      </c>
      <c r="O845" s="27"/>
      <c r="P845" s="27">
        <v>25.5</v>
      </c>
      <c r="Q845" s="27"/>
      <c r="R845" s="27">
        <v>25.5</v>
      </c>
      <c r="S845" s="27"/>
      <c r="T845" s="27">
        <v>25.0</v>
      </c>
      <c r="U845" s="27"/>
      <c r="V845" s="27">
        <v>25.5</v>
      </c>
      <c r="W845" s="27"/>
      <c r="X845" s="27">
        <v>25.0</v>
      </c>
      <c r="Y845" s="27"/>
      <c r="Z845" s="27">
        <v>26.0</v>
      </c>
      <c r="AA845" s="27"/>
      <c r="AB845" s="27">
        <v>25.5</v>
      </c>
      <c r="AC845" s="27"/>
      <c r="AD845" s="27">
        <v>25.0</v>
      </c>
      <c r="AE845" s="27"/>
      <c r="AF845" s="27">
        <v>25.0</v>
      </c>
      <c r="AG845" s="27"/>
      <c r="AH845" s="27">
        <v>99.0</v>
      </c>
      <c r="AI845" s="27">
        <v>124.0</v>
      </c>
      <c r="AJ845" s="27">
        <v>2.0</v>
      </c>
      <c r="AK845" s="27" t="b">
        <v>1</v>
      </c>
      <c r="AL845" s="27">
        <v>100.0</v>
      </c>
      <c r="AM845" s="27" t="s">
        <v>188</v>
      </c>
      <c r="AN845" s="27" t="s">
        <v>404</v>
      </c>
      <c r="AO845" s="27"/>
    </row>
    <row r="846">
      <c r="A846" s="200">
        <v>44838.02510101852</v>
      </c>
      <c r="B846" s="19" t="s">
        <v>154</v>
      </c>
      <c r="C846" s="21" t="s">
        <v>320</v>
      </c>
      <c r="D846" s="62">
        <v>3.0</v>
      </c>
      <c r="E846" s="27">
        <v>2.0</v>
      </c>
      <c r="F846" s="27" t="s">
        <v>1677</v>
      </c>
      <c r="G846" s="201" t="s">
        <v>57</v>
      </c>
      <c r="H846" s="27" t="s">
        <v>116</v>
      </c>
      <c r="I846" s="27"/>
      <c r="J846" s="33">
        <v>-1.0</v>
      </c>
      <c r="K846" s="33">
        <v>-2.5</v>
      </c>
      <c r="L846" s="66">
        <v>56.0</v>
      </c>
      <c r="M846" s="27" t="s">
        <v>1678</v>
      </c>
      <c r="N846" s="27">
        <v>-2.5</v>
      </c>
      <c r="O846" s="27"/>
      <c r="P846" s="27">
        <v>-2.5</v>
      </c>
      <c r="Q846" s="27"/>
      <c r="R846" s="27">
        <v>-2.0</v>
      </c>
      <c r="S846" s="27"/>
      <c r="T846" s="27">
        <v>-2.5</v>
      </c>
      <c r="U846" s="27"/>
      <c r="V846" s="27">
        <v>-2.5</v>
      </c>
      <c r="W846" s="27"/>
      <c r="X846" s="27">
        <v>-2.5</v>
      </c>
      <c r="Y846" s="27"/>
      <c r="Z846" s="27">
        <v>-3.0</v>
      </c>
      <c r="AA846" s="27"/>
      <c r="AB846" s="27">
        <v>-2.5</v>
      </c>
      <c r="AC846" s="27"/>
      <c r="AD846" s="27">
        <v>-2.5</v>
      </c>
      <c r="AE846" s="27"/>
      <c r="AF846" s="27">
        <v>-2.5</v>
      </c>
      <c r="AG846" s="27"/>
      <c r="AH846" s="27">
        <v>187.0</v>
      </c>
      <c r="AI846" s="27">
        <v>103.0</v>
      </c>
      <c r="AJ846" s="27">
        <v>2.0</v>
      </c>
      <c r="AK846" s="27" t="b">
        <v>0</v>
      </c>
      <c r="AL846" s="27">
        <v>100.0</v>
      </c>
      <c r="AM846" s="27" t="s">
        <v>187</v>
      </c>
      <c r="AN846" s="27" t="s">
        <v>404</v>
      </c>
      <c r="AO846" s="27"/>
    </row>
    <row r="847">
      <c r="A847" s="200">
        <v>44838.02510101852</v>
      </c>
      <c r="B847" s="19" t="s">
        <v>154</v>
      </c>
      <c r="C847" s="21" t="s">
        <v>372</v>
      </c>
      <c r="D847" s="62">
        <v>4.0</v>
      </c>
      <c r="E847" s="27">
        <v>1.0</v>
      </c>
      <c r="F847" s="27" t="s">
        <v>1632</v>
      </c>
      <c r="G847" s="201" t="s">
        <v>57</v>
      </c>
      <c r="H847" s="27" t="s">
        <v>59</v>
      </c>
      <c r="I847" s="27"/>
      <c r="J847" s="33">
        <v>-11.5</v>
      </c>
      <c r="K847" s="33">
        <v>-10.5</v>
      </c>
      <c r="L847" s="66">
        <v>54.5</v>
      </c>
      <c r="M847" s="27" t="s">
        <v>1633</v>
      </c>
      <c r="N847" s="27">
        <v>-10.5</v>
      </c>
      <c r="O847" s="27"/>
      <c r="P847" s="27">
        <v>-10.5</v>
      </c>
      <c r="Q847" s="27"/>
      <c r="R847" s="27">
        <v>-10.5</v>
      </c>
      <c r="S847" s="27"/>
      <c r="T847" s="27">
        <v>-10.0</v>
      </c>
      <c r="U847" s="27"/>
      <c r="V847" s="27">
        <v>-10.5</v>
      </c>
      <c r="W847" s="27"/>
      <c r="X847" s="27">
        <v>-10.5</v>
      </c>
      <c r="Y847" s="27"/>
      <c r="Z847" s="27">
        <v>-10.5</v>
      </c>
      <c r="AA847" s="27"/>
      <c r="AB847" s="27">
        <v>-10.5</v>
      </c>
      <c r="AC847" s="27"/>
      <c r="AD847" s="27">
        <v>-10.0</v>
      </c>
      <c r="AE847" s="27"/>
      <c r="AF847" s="27">
        <v>-10.0</v>
      </c>
      <c r="AG847" s="27"/>
      <c r="AH847" s="27">
        <v>210.0</v>
      </c>
      <c r="AI847" s="27">
        <v>72.0</v>
      </c>
      <c r="AJ847" s="27">
        <v>2.0</v>
      </c>
      <c r="AK847" s="27" t="b">
        <v>1</v>
      </c>
      <c r="AL847" s="27">
        <v>100.0</v>
      </c>
      <c r="AM847" s="27" t="s">
        <v>191</v>
      </c>
      <c r="AN847" s="27" t="s">
        <v>404</v>
      </c>
      <c r="AO847" s="27"/>
    </row>
    <row r="848">
      <c r="A848" s="200">
        <v>44838.02510101852</v>
      </c>
      <c r="B848" s="19" t="s">
        <v>154</v>
      </c>
      <c r="C848" s="21" t="s">
        <v>379</v>
      </c>
      <c r="D848" s="62">
        <v>3.0</v>
      </c>
      <c r="E848" s="27">
        <v>2.0</v>
      </c>
      <c r="F848" s="27" t="s">
        <v>1686</v>
      </c>
      <c r="G848" s="201" t="s">
        <v>57</v>
      </c>
      <c r="H848" s="27"/>
      <c r="I848" s="27"/>
      <c r="J848" s="33">
        <v>-38.0</v>
      </c>
      <c r="K848" s="33">
        <v>-38.0</v>
      </c>
      <c r="L848" s="66"/>
      <c r="M848" s="27" t="s">
        <v>1305</v>
      </c>
      <c r="N848" s="27"/>
      <c r="O848" s="27"/>
      <c r="P848" s="27"/>
      <c r="Q848" s="27"/>
      <c r="R848" s="27"/>
      <c r="S848" s="27"/>
      <c r="T848" s="27"/>
      <c r="U848" s="27"/>
      <c r="V848" s="27"/>
      <c r="W848" s="27"/>
      <c r="X848" s="27"/>
      <c r="Y848" s="27"/>
      <c r="Z848" s="27"/>
      <c r="AA848" s="27"/>
      <c r="AB848" s="27"/>
      <c r="AC848" s="27"/>
      <c r="AD848" s="27"/>
      <c r="AE848" s="27"/>
      <c r="AF848" s="27"/>
      <c r="AG848" s="27"/>
      <c r="AH848" s="27">
        <v>178.0</v>
      </c>
      <c r="AI848" s="27">
        <v>136.0</v>
      </c>
      <c r="AJ848" s="27">
        <v>2.0</v>
      </c>
      <c r="AK848" s="27" t="b">
        <v>0</v>
      </c>
      <c r="AL848" s="27">
        <v>100.0</v>
      </c>
      <c r="AM848" s="27" t="s">
        <v>192</v>
      </c>
      <c r="AN848" s="27" t="s">
        <v>404</v>
      </c>
      <c r="AO848" s="27"/>
    </row>
    <row r="849">
      <c r="A849" s="200">
        <v>44845.02510600694</v>
      </c>
      <c r="B849" s="19" t="s">
        <v>53</v>
      </c>
      <c r="C849" s="21" t="s">
        <v>170</v>
      </c>
      <c r="D849" s="62">
        <v>2.0</v>
      </c>
      <c r="E849" s="27">
        <v>3.0</v>
      </c>
      <c r="F849" s="27"/>
      <c r="G849" s="201"/>
      <c r="H849" s="27"/>
      <c r="I849" s="27" t="s">
        <v>119</v>
      </c>
      <c r="J849" s="33"/>
      <c r="K849" s="33"/>
      <c r="L849" s="66"/>
      <c r="M849" s="27"/>
      <c r="N849" s="27"/>
      <c r="O849" s="27"/>
      <c r="P849" s="27"/>
      <c r="Q849" s="27"/>
      <c r="R849" s="27"/>
      <c r="S849" s="27"/>
      <c r="T849" s="27"/>
      <c r="U849" s="27"/>
      <c r="V849" s="27"/>
      <c r="W849" s="27"/>
      <c r="X849" s="27"/>
      <c r="Y849" s="27"/>
      <c r="Z849" s="27"/>
      <c r="AA849" s="27"/>
      <c r="AB849" s="27"/>
      <c r="AC849" s="27"/>
      <c r="AD849" s="27"/>
      <c r="AE849" s="27"/>
      <c r="AF849" s="27"/>
      <c r="AG849" s="27"/>
      <c r="AH849" s="27">
        <v>108.0</v>
      </c>
      <c r="AI849" s="27">
        <v>136.0</v>
      </c>
      <c r="AJ849" s="27">
        <v>0.0</v>
      </c>
      <c r="AK849" s="27" t="b">
        <v>1</v>
      </c>
      <c r="AL849" s="27">
        <v>59.0</v>
      </c>
      <c r="AM849" s="27" t="s">
        <v>193</v>
      </c>
      <c r="AN849" s="27" t="s">
        <v>405</v>
      </c>
      <c r="AO849" s="27"/>
    </row>
    <row r="850">
      <c r="A850" s="200">
        <v>44845.02510600694</v>
      </c>
      <c r="B850" s="19" t="s">
        <v>53</v>
      </c>
      <c r="C850" s="21" t="s">
        <v>181</v>
      </c>
      <c r="D850" s="62">
        <v>2.0</v>
      </c>
      <c r="E850" s="27">
        <v>4.0</v>
      </c>
      <c r="F850" s="27"/>
      <c r="G850" s="201"/>
      <c r="H850" s="27"/>
      <c r="I850" s="27" t="s">
        <v>133</v>
      </c>
      <c r="J850" s="33"/>
      <c r="K850" s="33"/>
      <c r="L850" s="66"/>
      <c r="M850" s="27"/>
      <c r="N850" s="27"/>
      <c r="O850" s="27"/>
      <c r="P850" s="27"/>
      <c r="Q850" s="27"/>
      <c r="R850" s="27"/>
      <c r="S850" s="27"/>
      <c r="T850" s="27"/>
      <c r="U850" s="27"/>
      <c r="V850" s="27"/>
      <c r="W850" s="27"/>
      <c r="X850" s="27"/>
      <c r="Y850" s="27"/>
      <c r="Z850" s="27"/>
      <c r="AA850" s="27"/>
      <c r="AB850" s="27"/>
      <c r="AC850" s="27"/>
      <c r="AD850" s="27"/>
      <c r="AE850" s="27"/>
      <c r="AF850" s="27"/>
      <c r="AG850" s="27"/>
      <c r="AH850" s="27">
        <v>191.0</v>
      </c>
      <c r="AI850" s="27">
        <v>176.0</v>
      </c>
      <c r="AJ850" s="27">
        <v>0.0</v>
      </c>
      <c r="AK850" s="27" t="b">
        <v>1</v>
      </c>
      <c r="AL850" s="27">
        <v>59.0</v>
      </c>
      <c r="AM850" s="27" t="s">
        <v>189</v>
      </c>
      <c r="AN850" s="27" t="s">
        <v>405</v>
      </c>
      <c r="AO850" s="27"/>
    </row>
    <row r="851">
      <c r="A851" s="200">
        <v>44845.02510600694</v>
      </c>
      <c r="B851" s="19" t="s">
        <v>53</v>
      </c>
      <c r="C851" s="21" t="s">
        <v>54</v>
      </c>
      <c r="D851" s="62">
        <v>5.0</v>
      </c>
      <c r="E851" s="27">
        <v>1.0</v>
      </c>
      <c r="F851" s="27" t="s">
        <v>1687</v>
      </c>
      <c r="G851" s="201" t="s">
        <v>57</v>
      </c>
      <c r="H851" s="27" t="s">
        <v>103</v>
      </c>
      <c r="I851" s="27"/>
      <c r="J851" s="33">
        <v>-11.5</v>
      </c>
      <c r="K851" s="33">
        <v>-13.5</v>
      </c>
      <c r="L851" s="66">
        <v>72.5</v>
      </c>
      <c r="M851" s="27" t="s">
        <v>1688</v>
      </c>
      <c r="N851" s="27">
        <v>-13.5</v>
      </c>
      <c r="O851" s="27"/>
      <c r="P851" s="27">
        <v>-13.5</v>
      </c>
      <c r="Q851" s="27"/>
      <c r="R851" s="27">
        <v>-14.0</v>
      </c>
      <c r="S851" s="27"/>
      <c r="T851" s="27">
        <v>-13.5</v>
      </c>
      <c r="U851" s="27"/>
      <c r="V851" s="27">
        <v>-13.5</v>
      </c>
      <c r="W851" s="27"/>
      <c r="X851" s="27">
        <v>-13.5</v>
      </c>
      <c r="Y851" s="27"/>
      <c r="Z851" s="27">
        <v>-13.5</v>
      </c>
      <c r="AA851" s="27"/>
      <c r="AB851" s="27">
        <v>-14.0</v>
      </c>
      <c r="AC851" s="27"/>
      <c r="AD851" s="27">
        <v>-13.5</v>
      </c>
      <c r="AE851" s="27"/>
      <c r="AF851" s="27">
        <v>-13.5</v>
      </c>
      <c r="AG851" s="27"/>
      <c r="AH851" s="27">
        <v>252.0</v>
      </c>
      <c r="AI851" s="27">
        <v>173.0</v>
      </c>
      <c r="AJ851" s="27">
        <v>2.0</v>
      </c>
      <c r="AK851" s="27" t="b">
        <v>0</v>
      </c>
      <c r="AL851" s="27">
        <v>100.0</v>
      </c>
      <c r="AM851" s="27" t="s">
        <v>191</v>
      </c>
      <c r="AN851" s="27" t="s">
        <v>404</v>
      </c>
      <c r="AO851" s="27"/>
    </row>
    <row r="852">
      <c r="A852" s="200">
        <v>44845.02510600694</v>
      </c>
      <c r="B852" s="19" t="s">
        <v>53</v>
      </c>
      <c r="C852" s="21" t="s">
        <v>168</v>
      </c>
      <c r="D852" s="62">
        <v>6.0</v>
      </c>
      <c r="E852" s="27">
        <v>0.0</v>
      </c>
      <c r="F852" s="27" t="s">
        <v>1689</v>
      </c>
      <c r="G852" s="201" t="s">
        <v>57</v>
      </c>
      <c r="H852" s="27" t="s">
        <v>138</v>
      </c>
      <c r="I852" s="27"/>
      <c r="J852" s="33">
        <v>-11.5</v>
      </c>
      <c r="K852" s="33">
        <v>-27.5</v>
      </c>
      <c r="L852" s="66">
        <v>64.5</v>
      </c>
      <c r="M852" s="27" t="s">
        <v>1690</v>
      </c>
      <c r="N852" s="27">
        <v>-27.0</v>
      </c>
      <c r="O852" s="27"/>
      <c r="P852" s="27">
        <v>-27.0</v>
      </c>
      <c r="Q852" s="27"/>
      <c r="R852" s="27">
        <v>-27.0</v>
      </c>
      <c r="S852" s="27"/>
      <c r="T852" s="27">
        <v>-27.0</v>
      </c>
      <c r="U852" s="27"/>
      <c r="V852" s="27">
        <v>-27.0</v>
      </c>
      <c r="W852" s="27"/>
      <c r="X852" s="27">
        <v>-27.0</v>
      </c>
      <c r="Y852" s="27"/>
      <c r="Z852" s="27">
        <v>-27.0</v>
      </c>
      <c r="AA852" s="27"/>
      <c r="AB852" s="27">
        <v>-27.5</v>
      </c>
      <c r="AC852" s="27"/>
      <c r="AD852" s="27">
        <v>-27.0</v>
      </c>
      <c r="AE852" s="27"/>
      <c r="AF852" s="27">
        <v>-27.0</v>
      </c>
      <c r="AG852" s="27"/>
      <c r="AH852" s="27">
        <v>293.0</v>
      </c>
      <c r="AI852" s="27">
        <v>94.0</v>
      </c>
      <c r="AJ852" s="27">
        <v>2.0</v>
      </c>
      <c r="AK852" s="27" t="b">
        <v>0</v>
      </c>
      <c r="AL852" s="27">
        <v>100.0</v>
      </c>
      <c r="AM852" s="27" t="s">
        <v>188</v>
      </c>
      <c r="AN852" s="27" t="s">
        <v>404</v>
      </c>
      <c r="AO852" s="27"/>
    </row>
    <row r="853">
      <c r="A853" s="200">
        <v>44845.02510600694</v>
      </c>
      <c r="B853" s="19" t="s">
        <v>53</v>
      </c>
      <c r="C853" s="21" t="s">
        <v>195</v>
      </c>
      <c r="D853" s="62">
        <v>2.0</v>
      </c>
      <c r="E853" s="27">
        <v>4.0</v>
      </c>
      <c r="F853" s="27" t="s">
        <v>1691</v>
      </c>
      <c r="G853" s="201" t="s">
        <v>57</v>
      </c>
      <c r="H853" s="27" t="s">
        <v>116</v>
      </c>
      <c r="I853" s="27"/>
      <c r="J853" s="33">
        <v>-6.0</v>
      </c>
      <c r="K853" s="33">
        <v>-4.5</v>
      </c>
      <c r="L853" s="66">
        <v>46.5</v>
      </c>
      <c r="M853" s="27" t="s">
        <v>1692</v>
      </c>
      <c r="N853" s="27">
        <v>-5.5</v>
      </c>
      <c r="O853" s="27"/>
      <c r="P853" s="27">
        <v>-4.5</v>
      </c>
      <c r="Q853" s="27"/>
      <c r="R853" s="27">
        <v>-5.0</v>
      </c>
      <c r="S853" s="27"/>
      <c r="T853" s="27">
        <v>-4.5</v>
      </c>
      <c r="U853" s="27"/>
      <c r="V853" s="27">
        <v>-4.5</v>
      </c>
      <c r="W853" s="27"/>
      <c r="X853" s="27">
        <v>-4.5</v>
      </c>
      <c r="Y853" s="27"/>
      <c r="Z853" s="27">
        <v>-4.5</v>
      </c>
      <c r="AA853" s="27"/>
      <c r="AB853" s="27">
        <v>-5.0</v>
      </c>
      <c r="AC853" s="27"/>
      <c r="AD853" s="27">
        <v>-4.5</v>
      </c>
      <c r="AE853" s="27"/>
      <c r="AF853" s="27">
        <v>-4.5</v>
      </c>
      <c r="AG853" s="27"/>
      <c r="AH853" s="27">
        <v>198.0</v>
      </c>
      <c r="AI853" s="27">
        <v>211.0</v>
      </c>
      <c r="AJ853" s="27">
        <v>2.0</v>
      </c>
      <c r="AK853" s="27" t="b">
        <v>0</v>
      </c>
      <c r="AL853" s="27">
        <v>100.0</v>
      </c>
      <c r="AM853" s="27" t="s">
        <v>389</v>
      </c>
      <c r="AN853" s="27" t="s">
        <v>405</v>
      </c>
      <c r="AO853" s="27"/>
    </row>
    <row r="854">
      <c r="A854" s="200">
        <v>44845.02510600694</v>
      </c>
      <c r="B854" s="19" t="s">
        <v>53</v>
      </c>
      <c r="C854" s="21" t="s">
        <v>176</v>
      </c>
      <c r="D854" s="62">
        <v>3.0</v>
      </c>
      <c r="E854" s="27">
        <v>3.0</v>
      </c>
      <c r="F854" s="27" t="s">
        <v>1693</v>
      </c>
      <c r="G854" s="201" t="s">
        <v>57</v>
      </c>
      <c r="H854" s="27" t="s">
        <v>141</v>
      </c>
      <c r="I854" s="27"/>
      <c r="J854" s="33">
        <v>-11.0</v>
      </c>
      <c r="K854" s="33">
        <v>-10.0</v>
      </c>
      <c r="L854" s="66">
        <v>59.0</v>
      </c>
      <c r="M854" s="27" t="s">
        <v>1576</v>
      </c>
      <c r="N854" s="27">
        <v>-10.0</v>
      </c>
      <c r="O854" s="27"/>
      <c r="P854" s="27">
        <v>-10.0</v>
      </c>
      <c r="Q854" s="27"/>
      <c r="R854" s="27">
        <v>-10.5</v>
      </c>
      <c r="S854" s="27"/>
      <c r="T854" s="27">
        <v>-10.0</v>
      </c>
      <c r="U854" s="27"/>
      <c r="V854" s="27">
        <v>-10.0</v>
      </c>
      <c r="W854" s="27"/>
      <c r="X854" s="27">
        <v>-9.5</v>
      </c>
      <c r="Y854" s="27"/>
      <c r="Z854" s="27">
        <v>-10.0</v>
      </c>
      <c r="AA854" s="27"/>
      <c r="AB854" s="27">
        <v>-10.0</v>
      </c>
      <c r="AC854" s="27"/>
      <c r="AD854" s="27">
        <v>-10.0</v>
      </c>
      <c r="AE854" s="27"/>
      <c r="AF854" s="27" t="s">
        <v>1091</v>
      </c>
      <c r="AG854" s="27" t="s">
        <v>1091</v>
      </c>
      <c r="AH854" s="27">
        <v>199.0</v>
      </c>
      <c r="AI854" s="27">
        <v>244.0</v>
      </c>
      <c r="AJ854" s="27">
        <v>2.0</v>
      </c>
      <c r="AK854" s="27" t="b">
        <v>1</v>
      </c>
      <c r="AL854" s="27">
        <v>100.0</v>
      </c>
      <c r="AM854" s="27" t="s">
        <v>190</v>
      </c>
      <c r="AN854" s="27" t="s">
        <v>405</v>
      </c>
      <c r="AO854" s="27"/>
    </row>
    <row r="855">
      <c r="A855" s="200">
        <v>44845.02510600694</v>
      </c>
      <c r="B855" s="19" t="s">
        <v>53</v>
      </c>
      <c r="C855" s="21" t="s">
        <v>155</v>
      </c>
      <c r="D855" s="62">
        <v>2.0</v>
      </c>
      <c r="E855" s="27">
        <v>4.0</v>
      </c>
      <c r="F855" s="27" t="s">
        <v>1694</v>
      </c>
      <c r="G855" s="201" t="s">
        <v>57</v>
      </c>
      <c r="H855" s="27" t="s">
        <v>141</v>
      </c>
      <c r="I855" s="27"/>
      <c r="J855" s="33">
        <v>5.0</v>
      </c>
      <c r="K855" s="33">
        <v>-1.5</v>
      </c>
      <c r="L855" s="66">
        <v>47.5</v>
      </c>
      <c r="M855" s="27" t="s">
        <v>1417</v>
      </c>
      <c r="N855" s="27">
        <v>-1.5</v>
      </c>
      <c r="O855" s="27"/>
      <c r="P855" s="27">
        <v>-1.5</v>
      </c>
      <c r="Q855" s="27"/>
      <c r="R855" s="27">
        <v>-1.0</v>
      </c>
      <c r="S855" s="27"/>
      <c r="T855" s="27">
        <v>-2.5</v>
      </c>
      <c r="U855" s="27"/>
      <c r="V855" s="27">
        <v>-1.5</v>
      </c>
      <c r="W855" s="27"/>
      <c r="X855" s="27">
        <v>-1.5</v>
      </c>
      <c r="Y855" s="27"/>
      <c r="Z855" s="27">
        <v>-1.5</v>
      </c>
      <c r="AA855" s="27" t="s">
        <v>1091</v>
      </c>
      <c r="AB855" s="27">
        <v>-1.5</v>
      </c>
      <c r="AC855" s="27" t="s">
        <v>1091</v>
      </c>
      <c r="AD855" s="27">
        <v>-2.5</v>
      </c>
      <c r="AE855" s="27" t="s">
        <v>1091</v>
      </c>
      <c r="AF855" s="27">
        <v>-2.5</v>
      </c>
      <c r="AG855" s="27" t="s">
        <v>1091</v>
      </c>
      <c r="AH855" s="27">
        <v>107.0</v>
      </c>
      <c r="AI855" s="27">
        <v>149.0</v>
      </c>
      <c r="AJ855" s="27">
        <v>2.0</v>
      </c>
      <c r="AK855" s="27" t="b">
        <v>0</v>
      </c>
      <c r="AL855" s="27">
        <v>100.0</v>
      </c>
      <c r="AM855" s="27" t="s">
        <v>186</v>
      </c>
      <c r="AN855" s="27" t="s">
        <v>404</v>
      </c>
      <c r="AO855" s="27"/>
    </row>
    <row r="856">
      <c r="A856" s="200">
        <v>44845.02510600694</v>
      </c>
      <c r="B856" s="19" t="s">
        <v>53</v>
      </c>
      <c r="C856" s="21" t="s">
        <v>184</v>
      </c>
      <c r="D856" s="62">
        <v>3.0</v>
      </c>
      <c r="E856" s="27">
        <v>3.0</v>
      </c>
      <c r="F856" s="27" t="s">
        <v>1695</v>
      </c>
      <c r="G856" s="201" t="s">
        <v>57</v>
      </c>
      <c r="H856" s="27" t="s">
        <v>166</v>
      </c>
      <c r="I856" s="27"/>
      <c r="J856" s="33">
        <v>1.0</v>
      </c>
      <c r="K856" s="33">
        <v>7.5</v>
      </c>
      <c r="L856" s="66">
        <v>64.5</v>
      </c>
      <c r="M856" s="27" t="s">
        <v>1696</v>
      </c>
      <c r="N856" s="27">
        <v>7.5</v>
      </c>
      <c r="O856" s="27"/>
      <c r="P856" s="27">
        <v>7.5</v>
      </c>
      <c r="Q856" s="27"/>
      <c r="R856" s="27">
        <v>7.5</v>
      </c>
      <c r="S856" s="27"/>
      <c r="T856" s="27">
        <v>7.5</v>
      </c>
      <c r="U856" s="27"/>
      <c r="V856" s="27">
        <v>7.5</v>
      </c>
      <c r="W856" s="27"/>
      <c r="X856" s="27">
        <v>7.0</v>
      </c>
      <c r="Y856" s="27"/>
      <c r="Z856" s="27">
        <v>7.5</v>
      </c>
      <c r="AA856" s="27"/>
      <c r="AB856" s="27">
        <v>7.5</v>
      </c>
      <c r="AC856" s="27"/>
      <c r="AD856" s="27">
        <v>7.5</v>
      </c>
      <c r="AE856" s="27" t="s">
        <v>1091</v>
      </c>
      <c r="AF856" s="27">
        <v>7.5</v>
      </c>
      <c r="AG856" s="27" t="s">
        <v>1091</v>
      </c>
      <c r="AH856" s="27">
        <v>185.0</v>
      </c>
      <c r="AI856" s="27">
        <v>175.0</v>
      </c>
      <c r="AJ856" s="27">
        <v>2.0</v>
      </c>
      <c r="AK856" s="27" t="b">
        <v>0</v>
      </c>
      <c r="AL856" s="27">
        <v>100.0</v>
      </c>
      <c r="AM856" s="27" t="s">
        <v>187</v>
      </c>
      <c r="AN856" s="27" t="s">
        <v>404</v>
      </c>
      <c r="AO856" s="27"/>
    </row>
    <row r="857">
      <c r="A857" s="200">
        <v>44845.02510600694</v>
      </c>
      <c r="B857" s="19" t="s">
        <v>53</v>
      </c>
      <c r="C857" s="21" t="s">
        <v>173</v>
      </c>
      <c r="D857" s="62">
        <v>2.0</v>
      </c>
      <c r="E857" s="27">
        <v>4.0</v>
      </c>
      <c r="F857" s="27" t="s">
        <v>1697</v>
      </c>
      <c r="G857" s="201" t="s">
        <v>57</v>
      </c>
      <c r="H857" s="27" t="s">
        <v>144</v>
      </c>
      <c r="I857" s="27"/>
      <c r="J857" s="33">
        <v>10.5</v>
      </c>
      <c r="K857" s="33">
        <v>11.0</v>
      </c>
      <c r="L857" s="66">
        <v>54.0</v>
      </c>
      <c r="M857" s="27" t="s">
        <v>1698</v>
      </c>
      <c r="N857" s="27">
        <v>11.0</v>
      </c>
      <c r="O857" s="27"/>
      <c r="P857" s="27">
        <v>11.0</v>
      </c>
      <c r="Q857" s="27"/>
      <c r="R857" s="27">
        <v>10.5</v>
      </c>
      <c r="S857" s="27"/>
      <c r="T857" s="27">
        <v>11.0</v>
      </c>
      <c r="U857" s="27"/>
      <c r="V857" s="27">
        <v>11.0</v>
      </c>
      <c r="W857" s="27"/>
      <c r="X857" s="27">
        <v>11.0</v>
      </c>
      <c r="Y857" s="27"/>
      <c r="Z857" s="27">
        <v>11.0</v>
      </c>
      <c r="AA857" s="27"/>
      <c r="AB857" s="27">
        <v>11.0</v>
      </c>
      <c r="AC857" s="27"/>
      <c r="AD857" s="27">
        <v>11.0</v>
      </c>
      <c r="AE857" s="27"/>
      <c r="AF857" s="27">
        <v>11.0</v>
      </c>
      <c r="AG857" s="27"/>
      <c r="AH857" s="27">
        <v>151.0</v>
      </c>
      <c r="AI857" s="27">
        <v>148.0</v>
      </c>
      <c r="AJ857" s="27">
        <v>2.0</v>
      </c>
      <c r="AK857" s="27" t="b">
        <v>0</v>
      </c>
      <c r="AL857" s="27">
        <v>100.0</v>
      </c>
      <c r="AM857" s="27" t="s">
        <v>192</v>
      </c>
      <c r="AN857" s="27" t="s">
        <v>404</v>
      </c>
      <c r="AO857" s="27"/>
    </row>
    <row r="858">
      <c r="A858" s="200">
        <v>44845.02510600694</v>
      </c>
      <c r="B858" s="19" t="s">
        <v>53</v>
      </c>
      <c r="C858" s="21" t="s">
        <v>120</v>
      </c>
      <c r="D858" s="62">
        <v>2.0</v>
      </c>
      <c r="E858" s="27">
        <v>4.0</v>
      </c>
      <c r="F858" s="27" t="s">
        <v>1699</v>
      </c>
      <c r="G858" s="201" t="s">
        <v>57</v>
      </c>
      <c r="H858" s="27" t="s">
        <v>116</v>
      </c>
      <c r="I858" s="27"/>
      <c r="J858" s="33">
        <v>-2.5</v>
      </c>
      <c r="K858" s="33">
        <v>-3.5</v>
      </c>
      <c r="L858" s="66">
        <v>45.0</v>
      </c>
      <c r="M858" s="27" t="s">
        <v>1700</v>
      </c>
      <c r="N858" s="27">
        <v>-3.5</v>
      </c>
      <c r="O858" s="27"/>
      <c r="P858" s="27">
        <v>-3.5</v>
      </c>
      <c r="Q858" s="27"/>
      <c r="R858" s="27">
        <v>-3.5</v>
      </c>
      <c r="S858" s="27"/>
      <c r="T858" s="27">
        <v>-3.5</v>
      </c>
      <c r="U858" s="27"/>
      <c r="V858" s="27">
        <v>-3.5</v>
      </c>
      <c r="W858" s="27"/>
      <c r="X858" s="27">
        <v>-4.0</v>
      </c>
      <c r="Y858" s="27"/>
      <c r="Z858" s="27">
        <v>-3.5</v>
      </c>
      <c r="AA858" s="27"/>
      <c r="AB858" s="27">
        <v>-3.5</v>
      </c>
      <c r="AC858" s="27"/>
      <c r="AD858" s="27">
        <v>-3.5</v>
      </c>
      <c r="AE858" s="27"/>
      <c r="AF858" s="27">
        <v>-3.5</v>
      </c>
      <c r="AG858" s="27"/>
      <c r="AH858" s="27">
        <v>136.0</v>
      </c>
      <c r="AI858" s="27">
        <v>173.0</v>
      </c>
      <c r="AJ858" s="27">
        <v>2.0</v>
      </c>
      <c r="AK858" s="27" t="b">
        <v>0</v>
      </c>
      <c r="AL858" s="27">
        <v>100.0</v>
      </c>
      <c r="AM858" s="27" t="s">
        <v>129</v>
      </c>
      <c r="AN858" s="27" t="s">
        <v>405</v>
      </c>
      <c r="AO858" s="27"/>
    </row>
    <row r="859">
      <c r="A859" s="200">
        <v>44845.02510600694</v>
      </c>
      <c r="B859" s="19"/>
      <c r="C859" s="21"/>
      <c r="D859" s="62"/>
      <c r="E859" s="27"/>
      <c r="F859" s="27"/>
      <c r="G859" s="201"/>
      <c r="H859" s="27"/>
      <c r="I859" s="27"/>
      <c r="J859" s="33"/>
      <c r="K859" s="33"/>
      <c r="L859" s="66"/>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t="e">
        <v>#N/A</v>
      </c>
      <c r="AN859" s="27" t="e">
        <v>#N/A</v>
      </c>
      <c r="AO859" s="27"/>
    </row>
    <row r="860">
      <c r="A860" s="200">
        <v>44845.02510600694</v>
      </c>
      <c r="B860" s="19" t="s">
        <v>131</v>
      </c>
      <c r="C860" s="21" t="s">
        <v>204</v>
      </c>
      <c r="D860" s="62">
        <v>3.0</v>
      </c>
      <c r="E860" s="27">
        <v>3.0</v>
      </c>
      <c r="F860" s="27"/>
      <c r="G860" s="201"/>
      <c r="H860" s="27"/>
      <c r="I860" s="27" t="s">
        <v>133</v>
      </c>
      <c r="J860" s="33"/>
      <c r="K860" s="33"/>
      <c r="L860" s="66"/>
      <c r="M860" s="27"/>
      <c r="N860" s="27"/>
      <c r="O860" s="27"/>
      <c r="P860" s="27"/>
      <c r="Q860" s="27"/>
      <c r="R860" s="27"/>
      <c r="S860" s="27"/>
      <c r="T860" s="27"/>
      <c r="U860" s="27"/>
      <c r="V860" s="27"/>
      <c r="W860" s="27"/>
      <c r="X860" s="27"/>
      <c r="Y860" s="27"/>
      <c r="Z860" s="27"/>
      <c r="AA860" s="27"/>
      <c r="AB860" s="27"/>
      <c r="AC860" s="27"/>
      <c r="AD860" s="27"/>
      <c r="AE860" s="27"/>
      <c r="AF860" s="27"/>
      <c r="AG860" s="27"/>
      <c r="AH860" s="27">
        <v>206.0</v>
      </c>
      <c r="AI860" s="27">
        <v>218.0</v>
      </c>
      <c r="AJ860" s="27">
        <v>0.0</v>
      </c>
      <c r="AK860" s="27" t="b">
        <v>1</v>
      </c>
      <c r="AL860" s="27">
        <v>59.0</v>
      </c>
      <c r="AM860" s="27" t="s">
        <v>189</v>
      </c>
      <c r="AN860" s="27" t="s">
        <v>405</v>
      </c>
      <c r="AO860" s="27"/>
    </row>
    <row r="861">
      <c r="A861" s="200">
        <v>44845.02510600694</v>
      </c>
      <c r="B861" s="19" t="s">
        <v>131</v>
      </c>
      <c r="C861" s="21" t="s">
        <v>219</v>
      </c>
      <c r="D861" s="62">
        <v>3.0</v>
      </c>
      <c r="E861" s="27">
        <v>3.0</v>
      </c>
      <c r="F861" s="27" t="s">
        <v>1701</v>
      </c>
      <c r="G861" s="201" t="s">
        <v>57</v>
      </c>
      <c r="H861" s="27" t="s">
        <v>166</v>
      </c>
      <c r="I861" s="27"/>
      <c r="J861" s="33">
        <v>-13.5</v>
      </c>
      <c r="K861" s="33">
        <v>-24.0</v>
      </c>
      <c r="L861" s="66">
        <v>48.5</v>
      </c>
      <c r="M861" s="27" t="s">
        <v>1369</v>
      </c>
      <c r="N861" s="27">
        <v>-23.5</v>
      </c>
      <c r="O861" s="27"/>
      <c r="P861" s="27">
        <v>-24.0</v>
      </c>
      <c r="Q861" s="27"/>
      <c r="R861" s="27">
        <v>-24.0</v>
      </c>
      <c r="S861" s="27"/>
      <c r="T861" s="27">
        <v>-24.0</v>
      </c>
      <c r="U861" s="27"/>
      <c r="V861" s="27">
        <v>-23.5</v>
      </c>
      <c r="W861" s="27"/>
      <c r="X861" s="27">
        <v>-24.0</v>
      </c>
      <c r="Y861" s="27"/>
      <c r="Z861" s="27">
        <v>-24.0</v>
      </c>
      <c r="AA861" s="27"/>
      <c r="AB861" s="27" t="s">
        <v>1091</v>
      </c>
      <c r="AC861" s="27" t="s">
        <v>1091</v>
      </c>
      <c r="AD861" s="27" t="s">
        <v>1091</v>
      </c>
      <c r="AE861" s="27" t="s">
        <v>1091</v>
      </c>
      <c r="AF861" s="27" t="s">
        <v>1091</v>
      </c>
      <c r="AG861" s="27" t="s">
        <v>1091</v>
      </c>
      <c r="AH861" s="27">
        <v>111.0</v>
      </c>
      <c r="AI861" s="27">
        <v>143.0</v>
      </c>
      <c r="AJ861" s="27">
        <v>2.0</v>
      </c>
      <c r="AK861" s="27" t="b">
        <v>0</v>
      </c>
      <c r="AL861" s="27">
        <v>100.0</v>
      </c>
      <c r="AM861" s="27" t="s">
        <v>129</v>
      </c>
      <c r="AN861" s="27" t="s">
        <v>405</v>
      </c>
      <c r="AO861" s="27"/>
    </row>
    <row r="862">
      <c r="A862" s="200">
        <v>44845.02510600694</v>
      </c>
      <c r="B862" s="19" t="s">
        <v>131</v>
      </c>
      <c r="C862" s="21" t="s">
        <v>222</v>
      </c>
      <c r="D862" s="62">
        <v>4.0</v>
      </c>
      <c r="E862" s="27">
        <v>2.0</v>
      </c>
      <c r="F862" s="27" t="s">
        <v>1702</v>
      </c>
      <c r="G862" s="201" t="s">
        <v>57</v>
      </c>
      <c r="H862" s="27" t="s">
        <v>116</v>
      </c>
      <c r="I862" s="27"/>
      <c r="J862" s="33">
        <v>14.0</v>
      </c>
      <c r="K862" s="33">
        <v>12.0</v>
      </c>
      <c r="L862" s="66">
        <v>64.5</v>
      </c>
      <c r="M862" s="27" t="s">
        <v>1698</v>
      </c>
      <c r="N862" s="27">
        <v>12.5</v>
      </c>
      <c r="O862" s="27"/>
      <c r="P862" s="27">
        <v>12.5</v>
      </c>
      <c r="Q862" s="27"/>
      <c r="R862" s="27">
        <v>12.0</v>
      </c>
      <c r="S862" s="27"/>
      <c r="T862" s="27">
        <v>12.0</v>
      </c>
      <c r="U862" s="27"/>
      <c r="V862" s="27">
        <v>12.0</v>
      </c>
      <c r="W862" s="27"/>
      <c r="X862" s="27">
        <v>12.5</v>
      </c>
      <c r="Y862" s="27"/>
      <c r="Z862" s="27">
        <v>12.5</v>
      </c>
      <c r="AA862" s="27"/>
      <c r="AB862" s="27">
        <v>11.5</v>
      </c>
      <c r="AC862" s="27"/>
      <c r="AD862" s="27">
        <v>12.0</v>
      </c>
      <c r="AE862" s="27"/>
      <c r="AF862" s="27">
        <v>12.0</v>
      </c>
      <c r="AG862" s="27"/>
      <c r="AH862" s="27">
        <v>162.0</v>
      </c>
      <c r="AI862" s="27">
        <v>121.0</v>
      </c>
      <c r="AJ862" s="27">
        <v>2.0</v>
      </c>
      <c r="AK862" s="27" t="b">
        <v>0</v>
      </c>
      <c r="AL862" s="27">
        <v>100.0</v>
      </c>
      <c r="AM862" s="27" t="s">
        <v>191</v>
      </c>
      <c r="AN862" s="27" t="s">
        <v>404</v>
      </c>
      <c r="AO862" s="27"/>
    </row>
    <row r="863">
      <c r="A863" s="200">
        <v>44845.02510600694</v>
      </c>
      <c r="B863" s="19" t="s">
        <v>131</v>
      </c>
      <c r="C863" s="21" t="s">
        <v>199</v>
      </c>
      <c r="D863" s="62">
        <v>2.0</v>
      </c>
      <c r="E863" s="27">
        <v>4.0</v>
      </c>
      <c r="F863" s="27" t="s">
        <v>1703</v>
      </c>
      <c r="G863" s="201" t="s">
        <v>57</v>
      </c>
      <c r="H863" s="27" t="s">
        <v>144</v>
      </c>
      <c r="I863" s="27"/>
      <c r="J863" s="33">
        <v>14.0</v>
      </c>
      <c r="K863" s="33">
        <v>12.5</v>
      </c>
      <c r="L863" s="66">
        <v>58.0</v>
      </c>
      <c r="M863" s="27" t="s">
        <v>1704</v>
      </c>
      <c r="N863" s="27">
        <v>13.0</v>
      </c>
      <c r="O863" s="27"/>
      <c r="P863" s="27">
        <v>12.5</v>
      </c>
      <c r="Q863" s="27"/>
      <c r="R863" s="27">
        <v>12.5</v>
      </c>
      <c r="S863" s="27"/>
      <c r="T863" s="27">
        <v>12.5</v>
      </c>
      <c r="U863" s="27"/>
      <c r="V863" s="27">
        <v>12.5</v>
      </c>
      <c r="W863" s="27"/>
      <c r="X863" s="27">
        <v>13.0</v>
      </c>
      <c r="Y863" s="27"/>
      <c r="Z863" s="27">
        <v>12.5</v>
      </c>
      <c r="AA863" s="27"/>
      <c r="AB863" s="27">
        <v>12.0</v>
      </c>
      <c r="AC863" s="27"/>
      <c r="AD863" s="27">
        <v>12.5</v>
      </c>
      <c r="AE863" s="27"/>
      <c r="AF863" s="27">
        <v>12.5</v>
      </c>
      <c r="AG863" s="27"/>
      <c r="AH863" s="27">
        <v>122.0</v>
      </c>
      <c r="AI863" s="27">
        <v>212.0</v>
      </c>
      <c r="AJ863" s="27">
        <v>2.0</v>
      </c>
      <c r="AK863" s="27" t="b">
        <v>0</v>
      </c>
      <c r="AL863" s="27">
        <v>100.0</v>
      </c>
      <c r="AM863" s="27" t="s">
        <v>193</v>
      </c>
      <c r="AN863" s="27" t="s">
        <v>405</v>
      </c>
      <c r="AO863" s="27"/>
    </row>
    <row r="864">
      <c r="A864" s="200">
        <v>44845.02510600694</v>
      </c>
      <c r="B864" s="19" t="s">
        <v>131</v>
      </c>
      <c r="C864" s="21" t="s">
        <v>206</v>
      </c>
      <c r="D864" s="62">
        <v>6.0</v>
      </c>
      <c r="E864" s="27">
        <v>0.0</v>
      </c>
      <c r="F864" s="27" t="s">
        <v>1705</v>
      </c>
      <c r="G864" s="201" t="s">
        <v>57</v>
      </c>
      <c r="H864" s="27" t="s">
        <v>59</v>
      </c>
      <c r="I864" s="27"/>
      <c r="J864" s="33">
        <v>-22.0</v>
      </c>
      <c r="K864" s="33">
        <v>-21.0</v>
      </c>
      <c r="L864" s="66">
        <v>49.0</v>
      </c>
      <c r="M864" s="27" t="s">
        <v>1706</v>
      </c>
      <c r="N864" s="27">
        <v>-21.0</v>
      </c>
      <c r="O864" s="27"/>
      <c r="P864" s="27">
        <v>-21.0</v>
      </c>
      <c r="Q864" s="27"/>
      <c r="R864" s="27">
        <v>-20.5</v>
      </c>
      <c r="S864" s="27"/>
      <c r="T864" s="27">
        <v>-21.0</v>
      </c>
      <c r="U864" s="27"/>
      <c r="V864" s="27">
        <v>-21.0</v>
      </c>
      <c r="W864" s="27"/>
      <c r="X864" s="27">
        <v>-21.0</v>
      </c>
      <c r="Y864" s="27"/>
      <c r="Z864" s="27">
        <v>-21.0</v>
      </c>
      <c r="AA864" s="27"/>
      <c r="AB864" s="27">
        <v>-21.0</v>
      </c>
      <c r="AC864" s="27"/>
      <c r="AD864" s="27">
        <v>-21.0</v>
      </c>
      <c r="AE864" s="27"/>
      <c r="AF864" s="27">
        <v>-21.0</v>
      </c>
      <c r="AG864" s="27"/>
      <c r="AH864" s="27">
        <v>236.0</v>
      </c>
      <c r="AI864" s="27">
        <v>110.0</v>
      </c>
      <c r="AJ864" s="27">
        <v>2.0</v>
      </c>
      <c r="AK864" s="27" t="b">
        <v>1</v>
      </c>
      <c r="AL864" s="27">
        <v>100.0</v>
      </c>
      <c r="AM864" s="27" t="s">
        <v>186</v>
      </c>
      <c r="AN864" s="27" t="s">
        <v>404</v>
      </c>
      <c r="AO864" s="27"/>
    </row>
    <row r="865">
      <c r="A865" s="200">
        <v>44845.02510600694</v>
      </c>
      <c r="B865" s="19" t="s">
        <v>131</v>
      </c>
      <c r="C865" s="21" t="s">
        <v>208</v>
      </c>
      <c r="D865" s="62">
        <v>3.0</v>
      </c>
      <c r="E865" s="27">
        <v>3.0</v>
      </c>
      <c r="F865" s="27" t="s">
        <v>1707</v>
      </c>
      <c r="G865" s="201" t="s">
        <v>57</v>
      </c>
      <c r="H865" s="27" t="s">
        <v>144</v>
      </c>
      <c r="I865" s="27"/>
      <c r="J865" s="33">
        <v>3.5</v>
      </c>
      <c r="K865" s="33">
        <v>5.5</v>
      </c>
      <c r="L865" s="66">
        <v>52.5</v>
      </c>
      <c r="M865" s="27" t="s">
        <v>1708</v>
      </c>
      <c r="N865" s="27">
        <v>5.0</v>
      </c>
      <c r="O865" s="27"/>
      <c r="P865" s="27">
        <v>5.5</v>
      </c>
      <c r="Q865" s="27"/>
      <c r="R865" s="27">
        <v>5.5</v>
      </c>
      <c r="S865" s="27"/>
      <c r="T865" s="27">
        <v>5.0</v>
      </c>
      <c r="U865" s="27"/>
      <c r="V865" s="27">
        <v>5.5</v>
      </c>
      <c r="W865" s="27"/>
      <c r="X865" s="27">
        <v>4.5</v>
      </c>
      <c r="Y865" s="27"/>
      <c r="Z865" s="27">
        <v>5.5</v>
      </c>
      <c r="AA865" s="27"/>
      <c r="AB865" s="27">
        <v>5.5</v>
      </c>
      <c r="AC865" s="27"/>
      <c r="AD865" s="27" t="s">
        <v>1091</v>
      </c>
      <c r="AE865" s="27" t="s">
        <v>1091</v>
      </c>
      <c r="AF865" s="27" t="s">
        <v>1091</v>
      </c>
      <c r="AG865" s="27" t="s">
        <v>1091</v>
      </c>
      <c r="AH865" s="27">
        <v>125.0</v>
      </c>
      <c r="AI865" s="27">
        <v>151.0</v>
      </c>
      <c r="AJ865" s="27">
        <v>2.0</v>
      </c>
      <c r="AK865" s="27" t="b">
        <v>1</v>
      </c>
      <c r="AL865" s="27">
        <v>100.0</v>
      </c>
      <c r="AM865" s="27" t="s">
        <v>190</v>
      </c>
      <c r="AN865" s="27" t="s">
        <v>405</v>
      </c>
      <c r="AO865" s="27"/>
    </row>
    <row r="866">
      <c r="A866" s="200">
        <v>44845.02510600694</v>
      </c>
      <c r="B866" s="19" t="s">
        <v>131</v>
      </c>
      <c r="C866" s="21" t="s">
        <v>197</v>
      </c>
      <c r="D866" s="62">
        <v>3.0</v>
      </c>
      <c r="E866" s="27">
        <v>3.0</v>
      </c>
      <c r="F866" s="27" t="s">
        <v>1709</v>
      </c>
      <c r="G866" s="201" t="s">
        <v>57</v>
      </c>
      <c r="H866" s="27" t="s">
        <v>154</v>
      </c>
      <c r="I866" s="27"/>
      <c r="J866" s="33">
        <v>-9.5</v>
      </c>
      <c r="K866" s="33">
        <v>-10.0</v>
      </c>
      <c r="L866" s="66">
        <v>56.5</v>
      </c>
      <c r="M866" s="27" t="s">
        <v>1710</v>
      </c>
      <c r="N866" s="27">
        <v>-10.0</v>
      </c>
      <c r="O866" s="27"/>
      <c r="P866" s="27">
        <v>-10.0</v>
      </c>
      <c r="Q866" s="27"/>
      <c r="R866" s="27">
        <v>-10.0</v>
      </c>
      <c r="S866" s="27"/>
      <c r="T866" s="27">
        <v>-10.0</v>
      </c>
      <c r="U866" s="27"/>
      <c r="V866" s="27">
        <v>-10.0</v>
      </c>
      <c r="W866" s="27"/>
      <c r="X866" s="27">
        <v>-10.5</v>
      </c>
      <c r="Y866" s="27"/>
      <c r="Z866" s="27">
        <v>-10.0</v>
      </c>
      <c r="AA866" s="27"/>
      <c r="AB866" s="27">
        <v>-10.0</v>
      </c>
      <c r="AC866" s="27"/>
      <c r="AD866" s="27">
        <v>-10.0</v>
      </c>
      <c r="AE866" s="27"/>
      <c r="AF866" s="27">
        <v>-10.0</v>
      </c>
      <c r="AG866" s="27"/>
      <c r="AH866" s="27">
        <v>191.0</v>
      </c>
      <c r="AI866" s="27">
        <v>117.0</v>
      </c>
      <c r="AJ866" s="27">
        <v>2.0</v>
      </c>
      <c r="AK866" s="27" t="b">
        <v>1</v>
      </c>
      <c r="AL866" s="27">
        <v>100.0</v>
      </c>
      <c r="AM866" s="27" t="s">
        <v>188</v>
      </c>
      <c r="AN866" s="27" t="s">
        <v>404</v>
      </c>
      <c r="AO866" s="27"/>
    </row>
    <row r="867">
      <c r="A867" s="200">
        <v>44845.02510600694</v>
      </c>
      <c r="B867" s="19" t="s">
        <v>131</v>
      </c>
      <c r="C867" s="21" t="s">
        <v>210</v>
      </c>
      <c r="D867" s="62">
        <v>1.0</v>
      </c>
      <c r="E867" s="27">
        <v>5.0</v>
      </c>
      <c r="F867" s="27" t="s">
        <v>1711</v>
      </c>
      <c r="G867" s="201" t="s">
        <v>57</v>
      </c>
      <c r="H867" s="27" t="s">
        <v>138</v>
      </c>
      <c r="I867" s="27"/>
      <c r="J867" s="33">
        <v>27.0</v>
      </c>
      <c r="K867" s="33">
        <v>27.0</v>
      </c>
      <c r="L867" s="66">
        <v>58.5</v>
      </c>
      <c r="M867" s="27" t="s">
        <v>1712</v>
      </c>
      <c r="N867" s="27">
        <v>27.5</v>
      </c>
      <c r="O867" s="27"/>
      <c r="P867" s="27">
        <v>27.0</v>
      </c>
      <c r="Q867" s="27"/>
      <c r="R867" s="27">
        <v>27.0</v>
      </c>
      <c r="S867" s="27"/>
      <c r="T867" s="27">
        <v>27.0</v>
      </c>
      <c r="U867" s="27"/>
      <c r="V867" s="27">
        <v>27.0</v>
      </c>
      <c r="W867" s="27"/>
      <c r="X867" s="27">
        <v>27.0</v>
      </c>
      <c r="Y867" s="27"/>
      <c r="Z867" s="27">
        <v>27.0</v>
      </c>
      <c r="AA867" s="27"/>
      <c r="AB867" s="27">
        <v>27.0</v>
      </c>
      <c r="AC867" s="27"/>
      <c r="AD867" s="27">
        <v>27.0</v>
      </c>
      <c r="AE867" s="27"/>
      <c r="AF867" s="27">
        <v>27.0</v>
      </c>
      <c r="AG867" s="27"/>
      <c r="AH867" s="27">
        <v>146.0</v>
      </c>
      <c r="AI867" s="27">
        <v>218.0</v>
      </c>
      <c r="AJ867" s="27">
        <v>2.0</v>
      </c>
      <c r="AK867" s="27" t="b">
        <v>1</v>
      </c>
      <c r="AL867" s="27">
        <v>100.0</v>
      </c>
      <c r="AM867" s="27" t="s">
        <v>389</v>
      </c>
      <c r="AN867" s="27" t="s">
        <v>405</v>
      </c>
      <c r="AO867" s="27"/>
    </row>
    <row r="868">
      <c r="A868" s="200">
        <v>44845.02510600694</v>
      </c>
      <c r="B868" s="19" t="s">
        <v>131</v>
      </c>
      <c r="C868" s="21" t="s">
        <v>214</v>
      </c>
      <c r="D868" s="62">
        <v>5.0</v>
      </c>
      <c r="E868" s="27">
        <v>0.0</v>
      </c>
      <c r="F868" s="27" t="s">
        <v>1713</v>
      </c>
      <c r="G868" s="201" t="s">
        <v>57</v>
      </c>
      <c r="H868" s="27" t="s">
        <v>109</v>
      </c>
      <c r="I868" s="27"/>
      <c r="J868" s="33">
        <v>-3.5</v>
      </c>
      <c r="K868" s="33">
        <v>-2.5</v>
      </c>
      <c r="L868" s="66">
        <v>64.0</v>
      </c>
      <c r="M868" s="27" t="s">
        <v>1624</v>
      </c>
      <c r="N868" s="27">
        <v>-2.5</v>
      </c>
      <c r="O868" s="27"/>
      <c r="P868" s="27">
        <v>-2.5</v>
      </c>
      <c r="Q868" s="27"/>
      <c r="R868" s="27">
        <v>-2.5</v>
      </c>
      <c r="S868" s="27"/>
      <c r="T868" s="27">
        <v>-2.5</v>
      </c>
      <c r="U868" s="27"/>
      <c r="V868" s="27">
        <v>-2.5</v>
      </c>
      <c r="W868" s="27"/>
      <c r="X868" s="27">
        <v>-2.5</v>
      </c>
      <c r="Y868" s="27"/>
      <c r="Z868" s="27">
        <v>-2.5</v>
      </c>
      <c r="AA868" s="27"/>
      <c r="AB868" s="27">
        <v>-3.0</v>
      </c>
      <c r="AC868" s="27"/>
      <c r="AD868" s="27">
        <v>-2.5</v>
      </c>
      <c r="AE868" s="27"/>
      <c r="AF868" s="27">
        <v>-2.5</v>
      </c>
      <c r="AG868" s="27"/>
      <c r="AH868" s="27">
        <v>234.0</v>
      </c>
      <c r="AI868" s="27">
        <v>89.0</v>
      </c>
      <c r="AJ868" s="27">
        <v>2.0</v>
      </c>
      <c r="AK868" s="27" t="b">
        <v>0</v>
      </c>
      <c r="AL868" s="27">
        <v>100.0</v>
      </c>
      <c r="AM868" s="27" t="s">
        <v>192</v>
      </c>
      <c r="AN868" s="27" t="s">
        <v>404</v>
      </c>
      <c r="AO868" s="27"/>
    </row>
    <row r="869">
      <c r="A869" s="200">
        <v>44845.02510600694</v>
      </c>
      <c r="B869" s="19" t="s">
        <v>131</v>
      </c>
      <c r="C869" s="21" t="s">
        <v>217</v>
      </c>
      <c r="D869" s="62">
        <v>5.0</v>
      </c>
      <c r="E869" s="27">
        <v>1.0</v>
      </c>
      <c r="F869" s="27" t="s">
        <v>1714</v>
      </c>
      <c r="G869" s="201" t="s">
        <v>57</v>
      </c>
      <c r="H869" s="27" t="s">
        <v>103</v>
      </c>
      <c r="I869" s="27"/>
      <c r="J869" s="33">
        <v>5.5</v>
      </c>
      <c r="K869" s="33">
        <v>7.0</v>
      </c>
      <c r="L869" s="66">
        <v>70.0</v>
      </c>
      <c r="M869" s="27" t="s">
        <v>1715</v>
      </c>
      <c r="N869" s="27">
        <v>7.5</v>
      </c>
      <c r="O869" s="27"/>
      <c r="P869" s="27">
        <v>7.0</v>
      </c>
      <c r="Q869" s="27"/>
      <c r="R869" s="27">
        <v>7.0</v>
      </c>
      <c r="S869" s="27"/>
      <c r="T869" s="27">
        <v>7.0</v>
      </c>
      <c r="U869" s="27"/>
      <c r="V869" s="27">
        <v>7.0</v>
      </c>
      <c r="W869" s="27"/>
      <c r="X869" s="27">
        <v>7.0</v>
      </c>
      <c r="Y869" s="27"/>
      <c r="Z869" s="27">
        <v>7.0</v>
      </c>
      <c r="AA869" s="27"/>
      <c r="AB869" s="27">
        <v>7.0</v>
      </c>
      <c r="AC869" s="27"/>
      <c r="AD869" s="27">
        <v>7.0</v>
      </c>
      <c r="AE869" s="27"/>
      <c r="AF869" s="27">
        <v>7.0</v>
      </c>
      <c r="AG869" s="27" t="s">
        <v>1091</v>
      </c>
      <c r="AH869" s="27">
        <v>239.0</v>
      </c>
      <c r="AI869" s="27">
        <v>158.0</v>
      </c>
      <c r="AJ869" s="27">
        <v>2.0</v>
      </c>
      <c r="AK869" s="27" t="b">
        <v>1</v>
      </c>
      <c r="AL869" s="27">
        <v>100.0</v>
      </c>
      <c r="AM869" s="27" t="s">
        <v>187</v>
      </c>
      <c r="AN869" s="27" t="s">
        <v>404</v>
      </c>
      <c r="AO869" s="27"/>
    </row>
    <row r="870">
      <c r="A870" s="200">
        <v>44845.02510600694</v>
      </c>
      <c r="B870" s="19"/>
      <c r="C870" s="21"/>
      <c r="D870" s="62"/>
      <c r="E870" s="27"/>
      <c r="F870" s="27"/>
      <c r="G870" s="201"/>
      <c r="H870" s="27"/>
      <c r="I870" s="27"/>
      <c r="J870" s="33"/>
      <c r="K870" s="33"/>
      <c r="L870" s="66"/>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t="e">
        <v>#N/A</v>
      </c>
      <c r="AN870" s="27" t="e">
        <v>#N/A</v>
      </c>
      <c r="AO870" s="27"/>
    </row>
    <row r="871">
      <c r="A871" s="200">
        <v>44845.02510600694</v>
      </c>
      <c r="B871" s="19" t="s">
        <v>178</v>
      </c>
      <c r="C871" s="21" t="s">
        <v>240</v>
      </c>
      <c r="D871" s="62">
        <v>4.0</v>
      </c>
      <c r="E871" s="27">
        <v>1.0</v>
      </c>
      <c r="F871" s="27"/>
      <c r="G871" s="201"/>
      <c r="H871" s="27"/>
      <c r="I871" s="27" t="s">
        <v>101</v>
      </c>
      <c r="J871" s="33"/>
      <c r="K871" s="33"/>
      <c r="L871" s="66"/>
      <c r="M871" s="27"/>
      <c r="N871" s="27"/>
      <c r="O871" s="27"/>
      <c r="P871" s="27"/>
      <c r="Q871" s="27"/>
      <c r="R871" s="27"/>
      <c r="S871" s="27"/>
      <c r="T871" s="27"/>
      <c r="U871" s="27"/>
      <c r="V871" s="27"/>
      <c r="W871" s="27"/>
      <c r="X871" s="27"/>
      <c r="Y871" s="27"/>
      <c r="Z871" s="27"/>
      <c r="AA871" s="27"/>
      <c r="AB871" s="27"/>
      <c r="AC871" s="27"/>
      <c r="AD871" s="27"/>
      <c r="AE871" s="27"/>
      <c r="AF871" s="27"/>
      <c r="AG871" s="27"/>
      <c r="AH871" s="27">
        <v>193.0</v>
      </c>
      <c r="AI871" s="27">
        <v>44.0</v>
      </c>
      <c r="AJ871" s="27">
        <v>0.0</v>
      </c>
      <c r="AK871" s="27" t="b">
        <v>1</v>
      </c>
      <c r="AL871" s="27">
        <v>59.0</v>
      </c>
      <c r="AM871" s="27" t="s">
        <v>188</v>
      </c>
      <c r="AN871" s="27" t="s">
        <v>404</v>
      </c>
      <c r="AO871" s="27"/>
    </row>
    <row r="872">
      <c r="A872" s="200">
        <v>44845.02510600694</v>
      </c>
      <c r="B872" s="19" t="s">
        <v>178</v>
      </c>
      <c r="C872" s="21" t="s">
        <v>259</v>
      </c>
      <c r="D872" s="62">
        <v>5.0</v>
      </c>
      <c r="E872" s="27">
        <v>1.0</v>
      </c>
      <c r="F872" s="27" t="s">
        <v>1716</v>
      </c>
      <c r="G872" s="201" t="s">
        <v>57</v>
      </c>
      <c r="H872" s="27" t="s">
        <v>166</v>
      </c>
      <c r="I872" s="27"/>
      <c r="J872" s="33">
        <v>-15.0</v>
      </c>
      <c r="K872" s="33">
        <v>-15.5</v>
      </c>
      <c r="L872" s="66">
        <v>65.5</v>
      </c>
      <c r="M872" s="27" t="s">
        <v>1717</v>
      </c>
      <c r="N872" s="27">
        <v>-16.5</v>
      </c>
      <c r="O872" s="27"/>
      <c r="P872" s="27">
        <v>-16.0</v>
      </c>
      <c r="Q872" s="27"/>
      <c r="R872" s="27">
        <v>-16.0</v>
      </c>
      <c r="S872" s="27"/>
      <c r="T872" s="27">
        <v>-15.5</v>
      </c>
      <c r="U872" s="27"/>
      <c r="V872" s="27">
        <v>-16.0</v>
      </c>
      <c r="W872" s="27"/>
      <c r="X872" s="27">
        <v>-16.5</v>
      </c>
      <c r="Y872" s="27"/>
      <c r="Z872" s="27">
        <v>-16.5</v>
      </c>
      <c r="AA872" s="27"/>
      <c r="AB872" s="27">
        <v>-16.0</v>
      </c>
      <c r="AC872" s="27"/>
      <c r="AD872" s="27">
        <v>-15.5</v>
      </c>
      <c r="AE872" s="27"/>
      <c r="AF872" s="27">
        <v>-15.5</v>
      </c>
      <c r="AG872" s="27" t="s">
        <v>1091</v>
      </c>
      <c r="AH872" s="27">
        <v>247.0</v>
      </c>
      <c r="AI872" s="27">
        <v>153.0</v>
      </c>
      <c r="AJ872" s="27">
        <v>2.0</v>
      </c>
      <c r="AK872" s="27" t="b">
        <v>0</v>
      </c>
      <c r="AL872" s="27">
        <v>100.0</v>
      </c>
      <c r="AM872" s="27" t="s">
        <v>186</v>
      </c>
      <c r="AN872" s="27" t="s">
        <v>404</v>
      </c>
      <c r="AO872" s="27"/>
    </row>
    <row r="873">
      <c r="A873" s="200">
        <v>44845.02510600694</v>
      </c>
      <c r="B873" s="19" t="s">
        <v>178</v>
      </c>
      <c r="C873" s="21" t="s">
        <v>263</v>
      </c>
      <c r="D873" s="62">
        <v>2.0</v>
      </c>
      <c r="E873" s="27">
        <v>4.0</v>
      </c>
      <c r="F873" s="27" t="s">
        <v>1718</v>
      </c>
      <c r="G873" s="201" t="s">
        <v>57</v>
      </c>
      <c r="H873" s="27" t="s">
        <v>154</v>
      </c>
      <c r="I873" s="27"/>
      <c r="J873" s="33">
        <v>4.0</v>
      </c>
      <c r="K873" s="33">
        <v>3.5</v>
      </c>
      <c r="L873" s="66">
        <v>46.5</v>
      </c>
      <c r="M873" s="27" t="s">
        <v>1602</v>
      </c>
      <c r="N873" s="27">
        <v>3.0</v>
      </c>
      <c r="O873" s="27"/>
      <c r="P873" s="27">
        <v>3.0</v>
      </c>
      <c r="Q873" s="27"/>
      <c r="R873" s="27">
        <v>3.0</v>
      </c>
      <c r="S873" s="27"/>
      <c r="T873" s="27">
        <v>3.5</v>
      </c>
      <c r="U873" s="27"/>
      <c r="V873" s="27">
        <v>3.0</v>
      </c>
      <c r="W873" s="27"/>
      <c r="X873" s="27">
        <v>3.5</v>
      </c>
      <c r="Y873" s="27"/>
      <c r="Z873" s="27">
        <v>3.0</v>
      </c>
      <c r="AA873" s="27"/>
      <c r="AB873" s="27">
        <v>3.5</v>
      </c>
      <c r="AC873" s="27"/>
      <c r="AD873" s="27">
        <v>3.5</v>
      </c>
      <c r="AE873" s="27"/>
      <c r="AF873" s="27">
        <v>3.5</v>
      </c>
      <c r="AG873" s="27"/>
      <c r="AH873" s="27">
        <v>116.0</v>
      </c>
      <c r="AI873" s="27">
        <v>137.0</v>
      </c>
      <c r="AJ873" s="27">
        <v>2.0</v>
      </c>
      <c r="AK873" s="27" t="b">
        <v>1</v>
      </c>
      <c r="AL873" s="27">
        <v>100.0</v>
      </c>
      <c r="AM873" s="27" t="s">
        <v>129</v>
      </c>
      <c r="AN873" s="27" t="s">
        <v>405</v>
      </c>
      <c r="AO873" s="27"/>
    </row>
    <row r="874">
      <c r="A874" s="200">
        <v>44845.02510600694</v>
      </c>
      <c r="B874" s="19" t="s">
        <v>178</v>
      </c>
      <c r="C874" s="21" t="s">
        <v>271</v>
      </c>
      <c r="D874" s="62">
        <v>3.0</v>
      </c>
      <c r="E874" s="27">
        <v>3.0</v>
      </c>
      <c r="F874" s="27" t="s">
        <v>1719</v>
      </c>
      <c r="G874" s="201" t="s">
        <v>57</v>
      </c>
      <c r="H874" s="27" t="s">
        <v>138</v>
      </c>
      <c r="I874" s="27"/>
      <c r="J874" s="33">
        <v>5.5</v>
      </c>
      <c r="K874" s="33">
        <v>6.5</v>
      </c>
      <c r="L874" s="66">
        <v>72.5</v>
      </c>
      <c r="M874" s="27" t="s">
        <v>1720</v>
      </c>
      <c r="N874" s="27">
        <v>6.5</v>
      </c>
      <c r="O874" s="27"/>
      <c r="P874" s="27">
        <v>6.5</v>
      </c>
      <c r="Q874" s="27"/>
      <c r="R874" s="27">
        <v>6.0</v>
      </c>
      <c r="S874" s="27"/>
      <c r="T874" s="27">
        <v>6.5</v>
      </c>
      <c r="U874" s="27"/>
      <c r="V874" s="27">
        <v>6.5</v>
      </c>
      <c r="W874" s="27"/>
      <c r="X874" s="27">
        <v>6.0</v>
      </c>
      <c r="Y874" s="27"/>
      <c r="Z874" s="27">
        <v>6.5</v>
      </c>
      <c r="AA874" s="27"/>
      <c r="AB874" s="27">
        <v>6.5</v>
      </c>
      <c r="AC874" s="27"/>
      <c r="AD874" s="27">
        <v>6.5</v>
      </c>
      <c r="AE874" s="27"/>
      <c r="AF874" s="27">
        <v>6.5</v>
      </c>
      <c r="AG874" s="27"/>
      <c r="AH874" s="27">
        <v>245.0</v>
      </c>
      <c r="AI874" s="27">
        <v>142.0</v>
      </c>
      <c r="AJ874" s="27">
        <v>2.0</v>
      </c>
      <c r="AK874" s="27" t="b">
        <v>1</v>
      </c>
      <c r="AL874" s="27">
        <v>100.0</v>
      </c>
      <c r="AM874" s="27" t="s">
        <v>189</v>
      </c>
      <c r="AN874" s="27" t="s">
        <v>405</v>
      </c>
      <c r="AO874" s="27"/>
    </row>
    <row r="875">
      <c r="A875" s="200">
        <v>44845.02510600694</v>
      </c>
      <c r="B875" s="19" t="s">
        <v>178</v>
      </c>
      <c r="C875" s="21" t="s">
        <v>272</v>
      </c>
      <c r="D875" s="62">
        <v>3.0</v>
      </c>
      <c r="E875" s="27">
        <v>3.0</v>
      </c>
      <c r="F875" s="27" t="s">
        <v>1721</v>
      </c>
      <c r="G875" s="201" t="s">
        <v>57</v>
      </c>
      <c r="H875" s="27" t="s">
        <v>116</v>
      </c>
      <c r="I875" s="27"/>
      <c r="J875" s="33">
        <v>13.5</v>
      </c>
      <c r="K875" s="33">
        <v>11.0</v>
      </c>
      <c r="L875" s="66">
        <v>56.5</v>
      </c>
      <c r="M875" s="27" t="s">
        <v>1392</v>
      </c>
      <c r="N875" s="27">
        <v>11.0</v>
      </c>
      <c r="O875" s="27"/>
      <c r="P875" s="27">
        <v>11.0</v>
      </c>
      <c r="Q875" s="27"/>
      <c r="R875" s="27">
        <v>10.5</v>
      </c>
      <c r="S875" s="27"/>
      <c r="T875" s="27">
        <v>11.0</v>
      </c>
      <c r="U875" s="27"/>
      <c r="V875" s="27">
        <v>11.5</v>
      </c>
      <c r="W875" s="27"/>
      <c r="X875" s="27">
        <v>11.0</v>
      </c>
      <c r="Y875" s="27"/>
      <c r="Z875" s="27">
        <v>11.0</v>
      </c>
      <c r="AA875" s="27"/>
      <c r="AB875" s="27">
        <v>11.5</v>
      </c>
      <c r="AC875" s="27"/>
      <c r="AD875" s="27">
        <v>11.0</v>
      </c>
      <c r="AE875" s="27"/>
      <c r="AF875" s="27">
        <v>11.0</v>
      </c>
      <c r="AG875" s="27"/>
      <c r="AH875" s="27">
        <v>206.0</v>
      </c>
      <c r="AI875" s="27">
        <v>179.0</v>
      </c>
      <c r="AJ875" s="27">
        <v>2.0</v>
      </c>
      <c r="AK875" s="27" t="b">
        <v>0</v>
      </c>
      <c r="AL875" s="27">
        <v>100.0</v>
      </c>
      <c r="AM875" s="27" t="s">
        <v>187</v>
      </c>
      <c r="AN875" s="27" t="s">
        <v>404</v>
      </c>
      <c r="AO875" s="27"/>
    </row>
    <row r="876">
      <c r="A876" s="200">
        <v>44845.02510600694</v>
      </c>
      <c r="B876" s="19" t="s">
        <v>178</v>
      </c>
      <c r="C876" s="21" t="s">
        <v>261</v>
      </c>
      <c r="D876" s="62">
        <v>6.0</v>
      </c>
      <c r="E876" s="27">
        <v>0.0</v>
      </c>
      <c r="F876" s="27" t="s">
        <v>1722</v>
      </c>
      <c r="G876" s="201" t="s">
        <v>57</v>
      </c>
      <c r="H876" s="27" t="s">
        <v>154</v>
      </c>
      <c r="I876" s="27"/>
      <c r="J876" s="33">
        <v>-1.0</v>
      </c>
      <c r="K876" s="33">
        <v>3.0</v>
      </c>
      <c r="L876" s="66">
        <v>46.0</v>
      </c>
      <c r="M876" s="27" t="s">
        <v>1723</v>
      </c>
      <c r="N876" s="27">
        <v>3.0</v>
      </c>
      <c r="O876" s="27"/>
      <c r="P876" s="27">
        <v>3.0</v>
      </c>
      <c r="Q876" s="27"/>
      <c r="R876" s="27">
        <v>3.0</v>
      </c>
      <c r="S876" s="27"/>
      <c r="T876" s="27">
        <v>3.0</v>
      </c>
      <c r="U876" s="27"/>
      <c r="V876" s="27">
        <v>3.0</v>
      </c>
      <c r="W876" s="27"/>
      <c r="X876" s="27">
        <v>3.0</v>
      </c>
      <c r="Y876" s="27"/>
      <c r="Z876" s="27">
        <v>3.0</v>
      </c>
      <c r="AA876" s="27"/>
      <c r="AB876" s="27">
        <v>3.5</v>
      </c>
      <c r="AC876" s="27"/>
      <c r="AD876" s="27">
        <v>3.0</v>
      </c>
      <c r="AE876" s="27"/>
      <c r="AF876" s="27">
        <v>3.0</v>
      </c>
      <c r="AG876" s="27"/>
      <c r="AH876" s="27">
        <v>249.0</v>
      </c>
      <c r="AI876" s="27">
        <v>136.0</v>
      </c>
      <c r="AJ876" s="27">
        <v>2.0</v>
      </c>
      <c r="AK876" s="27" t="b">
        <v>0</v>
      </c>
      <c r="AL876" s="27">
        <v>100.0</v>
      </c>
      <c r="AM876" s="27" t="s">
        <v>191</v>
      </c>
      <c r="AN876" s="27" t="s">
        <v>404</v>
      </c>
      <c r="AO876" s="27"/>
    </row>
    <row r="877">
      <c r="A877" s="200">
        <v>44845.02510600694</v>
      </c>
      <c r="B877" s="19" t="s">
        <v>178</v>
      </c>
      <c r="C877" s="21" t="s">
        <v>265</v>
      </c>
      <c r="D877" s="62">
        <v>4.0</v>
      </c>
      <c r="E877" s="27">
        <v>2.0</v>
      </c>
      <c r="F877" s="27" t="s">
        <v>1724</v>
      </c>
      <c r="G877" s="201" t="s">
        <v>57</v>
      </c>
      <c r="H877" s="27" t="s">
        <v>138</v>
      </c>
      <c r="I877" s="27"/>
      <c r="J877" s="33">
        <v>-5.5</v>
      </c>
      <c r="K877" s="33">
        <v>-6.5</v>
      </c>
      <c r="L877" s="66">
        <v>63.0</v>
      </c>
      <c r="M877" s="27" t="s">
        <v>1725</v>
      </c>
      <c r="N877" s="27">
        <v>-6.0</v>
      </c>
      <c r="O877" s="27"/>
      <c r="P877" s="27">
        <v>-6.5</v>
      </c>
      <c r="Q877" s="27"/>
      <c r="R877" s="27">
        <v>-6.5</v>
      </c>
      <c r="S877" s="27"/>
      <c r="T877" s="27">
        <v>-6.5</v>
      </c>
      <c r="U877" s="27"/>
      <c r="V877" s="27">
        <v>-6.5</v>
      </c>
      <c r="W877" s="27"/>
      <c r="X877" s="27">
        <v>-6.5</v>
      </c>
      <c r="Y877" s="27"/>
      <c r="Z877" s="27">
        <v>-6.0</v>
      </c>
      <c r="AA877" s="27"/>
      <c r="AB877" s="27">
        <v>-6.5</v>
      </c>
      <c r="AC877" s="27"/>
      <c r="AD877" s="27">
        <v>-6.5</v>
      </c>
      <c r="AE877" s="27"/>
      <c r="AF877" s="27" t="s">
        <v>1091</v>
      </c>
      <c r="AG877" s="27" t="s">
        <v>1091</v>
      </c>
      <c r="AH877" s="27">
        <v>217.0</v>
      </c>
      <c r="AI877" s="27">
        <v>153.0</v>
      </c>
      <c r="AJ877" s="27">
        <v>2.0</v>
      </c>
      <c r="AK877" s="27" t="b">
        <v>1</v>
      </c>
      <c r="AL877" s="27">
        <v>100.0</v>
      </c>
      <c r="AM877" s="27" t="s">
        <v>190</v>
      </c>
      <c r="AN877" s="27" t="s">
        <v>405</v>
      </c>
      <c r="AO877" s="27"/>
    </row>
    <row r="878">
      <c r="A878" s="200">
        <v>44845.02510600694</v>
      </c>
      <c r="B878" s="19" t="s">
        <v>178</v>
      </c>
      <c r="C878" s="21" t="s">
        <v>267</v>
      </c>
      <c r="D878" s="62">
        <v>5.0</v>
      </c>
      <c r="E878" s="27">
        <v>1.0</v>
      </c>
      <c r="F878" s="27" t="s">
        <v>1726</v>
      </c>
      <c r="G878" s="201" t="s">
        <v>57</v>
      </c>
      <c r="H878" s="27" t="s">
        <v>144</v>
      </c>
      <c r="I878" s="27"/>
      <c r="J878" s="33">
        <v>-2.0</v>
      </c>
      <c r="K878" s="33">
        <v>-2.5</v>
      </c>
      <c r="L878" s="66">
        <v>66.0</v>
      </c>
      <c r="M878" s="27" t="s">
        <v>1727</v>
      </c>
      <c r="N878" s="27">
        <v>-3.0</v>
      </c>
      <c r="O878" s="27"/>
      <c r="P878" s="27">
        <v>-2.5</v>
      </c>
      <c r="Q878" s="27"/>
      <c r="R878" s="27">
        <v>-3.0</v>
      </c>
      <c r="S878" s="27"/>
      <c r="T878" s="27">
        <v>-2.5</v>
      </c>
      <c r="U878" s="27"/>
      <c r="V878" s="27">
        <v>-2.5</v>
      </c>
      <c r="W878" s="27"/>
      <c r="X878" s="27">
        <v>-3.0</v>
      </c>
      <c r="Y878" s="27"/>
      <c r="Z878" s="27">
        <v>-2.5</v>
      </c>
      <c r="AA878" s="27"/>
      <c r="AB878" s="27">
        <v>-3.0</v>
      </c>
      <c r="AC878" s="27"/>
      <c r="AD878" s="27">
        <v>-2.5</v>
      </c>
      <c r="AE878" s="27"/>
      <c r="AF878" s="27">
        <v>-2.5</v>
      </c>
      <c r="AG878" s="27"/>
      <c r="AH878" s="27">
        <v>186.0</v>
      </c>
      <c r="AI878" s="27">
        <v>80.0</v>
      </c>
      <c r="AJ878" s="27">
        <v>2.0</v>
      </c>
      <c r="AK878" s="27" t="b">
        <v>0</v>
      </c>
      <c r="AL878" s="27">
        <v>100.0</v>
      </c>
      <c r="AM878" s="27" t="s">
        <v>389</v>
      </c>
      <c r="AN878" s="27" t="s">
        <v>405</v>
      </c>
      <c r="AO878" s="27"/>
    </row>
    <row r="879">
      <c r="A879" s="200">
        <v>44845.02510600694</v>
      </c>
      <c r="B879" s="19" t="s">
        <v>178</v>
      </c>
      <c r="C879" s="21" t="s">
        <v>257</v>
      </c>
      <c r="D879" s="62">
        <v>3.0</v>
      </c>
      <c r="E879" s="27">
        <v>3.0</v>
      </c>
      <c r="F879" s="27" t="s">
        <v>1728</v>
      </c>
      <c r="G879" s="201" t="s">
        <v>57</v>
      </c>
      <c r="H879" s="27" t="s">
        <v>103</v>
      </c>
      <c r="I879" s="27"/>
      <c r="J879" s="33">
        <v>2.0</v>
      </c>
      <c r="K879" s="33">
        <v>2.5</v>
      </c>
      <c r="L879" s="66">
        <v>67.0</v>
      </c>
      <c r="M879" s="27" t="s">
        <v>1729</v>
      </c>
      <c r="N879" s="27">
        <v>2.5</v>
      </c>
      <c r="O879" s="27"/>
      <c r="P879" s="27">
        <v>2.5</v>
      </c>
      <c r="Q879" s="27"/>
      <c r="R879" s="27">
        <v>2.5</v>
      </c>
      <c r="S879" s="27"/>
      <c r="T879" s="27">
        <v>2.5</v>
      </c>
      <c r="U879" s="27"/>
      <c r="V879" s="27">
        <v>2.5</v>
      </c>
      <c r="W879" s="27"/>
      <c r="X879" s="27">
        <v>2.5</v>
      </c>
      <c r="Y879" s="27"/>
      <c r="Z879" s="27">
        <v>2.5</v>
      </c>
      <c r="AA879" s="27"/>
      <c r="AB879" s="27">
        <v>2.5</v>
      </c>
      <c r="AC879" s="27"/>
      <c r="AD879" s="27">
        <v>2.5</v>
      </c>
      <c r="AE879" s="27"/>
      <c r="AF879" s="27" t="s">
        <v>1091</v>
      </c>
      <c r="AG879" s="27" t="s">
        <v>1091</v>
      </c>
      <c r="AH879" s="27">
        <v>222.0</v>
      </c>
      <c r="AI879" s="27">
        <v>182.0</v>
      </c>
      <c r="AJ879" s="27">
        <v>2.0</v>
      </c>
      <c r="AK879" s="27" t="b">
        <v>1</v>
      </c>
      <c r="AL879" s="27">
        <v>100.0</v>
      </c>
      <c r="AM879" s="27" t="s">
        <v>193</v>
      </c>
      <c r="AN879" s="27" t="s">
        <v>405</v>
      </c>
      <c r="AO879" s="27"/>
    </row>
    <row r="880">
      <c r="A880" s="200">
        <v>44845.02510600694</v>
      </c>
      <c r="B880" s="19" t="s">
        <v>178</v>
      </c>
      <c r="C880" s="21" t="s">
        <v>269</v>
      </c>
      <c r="D880" s="62">
        <v>5.0</v>
      </c>
      <c r="E880" s="27">
        <v>1.0</v>
      </c>
      <c r="F880" s="27" t="s">
        <v>1730</v>
      </c>
      <c r="G880" s="201" t="s">
        <v>57</v>
      </c>
      <c r="H880" s="27" t="s">
        <v>138</v>
      </c>
      <c r="I880" s="27"/>
      <c r="J880" s="33">
        <v>-3.0</v>
      </c>
      <c r="K880" s="33">
        <v>-9.5</v>
      </c>
      <c r="L880" s="66">
        <v>55.0</v>
      </c>
      <c r="M880" s="27" t="s">
        <v>1731</v>
      </c>
      <c r="N880" s="27">
        <v>-8.5</v>
      </c>
      <c r="O880" s="27"/>
      <c r="P880" s="27">
        <v>-8.5</v>
      </c>
      <c r="Q880" s="27"/>
      <c r="R880" s="27">
        <v>-8.5</v>
      </c>
      <c r="S880" s="27"/>
      <c r="T880" s="27">
        <v>-9.5</v>
      </c>
      <c r="U880" s="27"/>
      <c r="V880" s="27">
        <v>-8.5</v>
      </c>
      <c r="W880" s="27"/>
      <c r="X880" s="27">
        <v>-8.5</v>
      </c>
      <c r="Y880" s="27"/>
      <c r="Z880" s="27">
        <v>-8.5</v>
      </c>
      <c r="AA880" s="27"/>
      <c r="AB880" s="27">
        <v>-9.0</v>
      </c>
      <c r="AC880" s="27"/>
      <c r="AD880" s="27">
        <v>-9.5</v>
      </c>
      <c r="AE880" s="27"/>
      <c r="AF880" s="27">
        <v>-9.5</v>
      </c>
      <c r="AG880" s="27"/>
      <c r="AH880" s="27">
        <v>231.0</v>
      </c>
      <c r="AI880" s="27">
        <v>126.0</v>
      </c>
      <c r="AJ880" s="27">
        <v>2.0</v>
      </c>
      <c r="AK880" s="27" t="b">
        <v>1</v>
      </c>
      <c r="AL880" s="27">
        <v>100.0</v>
      </c>
      <c r="AM880" s="27" t="s">
        <v>192</v>
      </c>
      <c r="AN880" s="27" t="s">
        <v>404</v>
      </c>
      <c r="AO880" s="27"/>
    </row>
    <row r="881">
      <c r="A881" s="200">
        <v>44845.02510600694</v>
      </c>
      <c r="B881" s="19"/>
      <c r="C881" s="21"/>
      <c r="D881" s="62"/>
      <c r="E881" s="27"/>
      <c r="F881" s="27"/>
      <c r="G881" s="201"/>
      <c r="H881" s="27"/>
      <c r="I881" s="27"/>
      <c r="J881" s="33"/>
      <c r="K881" s="33"/>
      <c r="L881" s="66"/>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t="e">
        <v>#N/A</v>
      </c>
      <c r="AN881" s="27" t="e">
        <v>#N/A</v>
      </c>
      <c r="AO881" s="27"/>
    </row>
    <row r="882">
      <c r="A882" s="200">
        <v>44845.02510600694</v>
      </c>
      <c r="B882" s="19" t="s">
        <v>59</v>
      </c>
      <c r="C882" s="21" t="s">
        <v>274</v>
      </c>
      <c r="D882" s="62">
        <v>4.0</v>
      </c>
      <c r="E882" s="27">
        <v>2.0</v>
      </c>
      <c r="F882" s="27" t="s">
        <v>1732</v>
      </c>
      <c r="G882" s="201" t="s">
        <v>57</v>
      </c>
      <c r="H882" s="27" t="s">
        <v>138</v>
      </c>
      <c r="I882" s="27"/>
      <c r="J882" s="33">
        <v>-7.5</v>
      </c>
      <c r="K882" s="33">
        <v>-4.5</v>
      </c>
      <c r="L882" s="66">
        <v>53.0</v>
      </c>
      <c r="M882" s="27" t="s">
        <v>1733</v>
      </c>
      <c r="N882" s="27">
        <v>-4.5</v>
      </c>
      <c r="O882" s="27"/>
      <c r="P882" s="27">
        <v>-4.5</v>
      </c>
      <c r="Q882" s="27"/>
      <c r="R882" s="27">
        <v>-4.5</v>
      </c>
      <c r="S882" s="27"/>
      <c r="T882" s="27">
        <v>-4.5</v>
      </c>
      <c r="U882" s="27"/>
      <c r="V882" s="27">
        <v>-4.5</v>
      </c>
      <c r="W882" s="27"/>
      <c r="X882" s="27">
        <v>-4.5</v>
      </c>
      <c r="Y882" s="27"/>
      <c r="Z882" s="27">
        <v>-4.5</v>
      </c>
      <c r="AA882" s="27"/>
      <c r="AB882" s="27">
        <v>-4.0</v>
      </c>
      <c r="AC882" s="27"/>
      <c r="AD882" s="27">
        <v>-4.5</v>
      </c>
      <c r="AE882" s="27"/>
      <c r="AF882" s="27">
        <v>-4.5</v>
      </c>
      <c r="AG882" s="27" t="s">
        <v>1091</v>
      </c>
      <c r="AH882" s="27">
        <v>195.0</v>
      </c>
      <c r="AI882" s="27">
        <v>163.0</v>
      </c>
      <c r="AJ882" s="27">
        <v>2.0</v>
      </c>
      <c r="AK882" s="27" t="b">
        <v>1</v>
      </c>
      <c r="AL882" s="27">
        <v>100.0</v>
      </c>
      <c r="AM882" s="27" t="s">
        <v>191</v>
      </c>
      <c r="AN882" s="27" t="s">
        <v>404</v>
      </c>
      <c r="AO882" s="27"/>
    </row>
    <row r="883">
      <c r="A883" s="200">
        <v>44845.02510600694</v>
      </c>
      <c r="B883" s="19" t="s">
        <v>59</v>
      </c>
      <c r="C883" s="21" t="s">
        <v>289</v>
      </c>
      <c r="D883" s="62">
        <v>2.0</v>
      </c>
      <c r="E883" s="27">
        <v>4.0</v>
      </c>
      <c r="F883" s="27" t="s">
        <v>1705</v>
      </c>
      <c r="G883" s="201" t="s">
        <v>57</v>
      </c>
      <c r="H883" s="27" t="s">
        <v>131</v>
      </c>
      <c r="I883" s="27"/>
      <c r="J883" s="33">
        <v>22.0</v>
      </c>
      <c r="K883" s="33">
        <v>21.0</v>
      </c>
      <c r="L883" s="66">
        <v>49.0</v>
      </c>
      <c r="M883" s="27" t="s">
        <v>1706</v>
      </c>
      <c r="N883" s="27">
        <v>21.0</v>
      </c>
      <c r="O883" s="27"/>
      <c r="P883" s="27">
        <v>21.0</v>
      </c>
      <c r="Q883" s="27"/>
      <c r="R883" s="27">
        <v>20.5</v>
      </c>
      <c r="S883" s="27"/>
      <c r="T883" s="27">
        <v>21.0</v>
      </c>
      <c r="U883" s="27"/>
      <c r="V883" s="27">
        <v>21.0</v>
      </c>
      <c r="W883" s="27"/>
      <c r="X883" s="27">
        <v>21.0</v>
      </c>
      <c r="Y883" s="27"/>
      <c r="Z883" s="27">
        <v>21.0</v>
      </c>
      <c r="AA883" s="27"/>
      <c r="AB883" s="27">
        <v>21.0</v>
      </c>
      <c r="AC883" s="27"/>
      <c r="AD883" s="27">
        <v>21.0</v>
      </c>
      <c r="AE883" s="27"/>
      <c r="AF883" s="27">
        <v>21.0</v>
      </c>
      <c r="AG883" s="27"/>
      <c r="AH883" s="27">
        <v>120.0</v>
      </c>
      <c r="AI883" s="27">
        <v>174.0</v>
      </c>
      <c r="AJ883" s="27">
        <v>2.0</v>
      </c>
      <c r="AK883" s="27" t="b">
        <v>0</v>
      </c>
      <c r="AL883" s="27">
        <v>100.0</v>
      </c>
      <c r="AM883" s="27" t="s">
        <v>186</v>
      </c>
      <c r="AN883" s="27" t="s">
        <v>404</v>
      </c>
      <c r="AO883" s="27"/>
    </row>
    <row r="884">
      <c r="A884" s="200">
        <v>44845.02510600694</v>
      </c>
      <c r="B884" s="19" t="s">
        <v>59</v>
      </c>
      <c r="C884" s="21" t="s">
        <v>283</v>
      </c>
      <c r="D884" s="62">
        <v>4.0</v>
      </c>
      <c r="E884" s="27">
        <v>2.0</v>
      </c>
      <c r="F884" s="27" t="s">
        <v>1734</v>
      </c>
      <c r="G884" s="201" t="s">
        <v>57</v>
      </c>
      <c r="H884" s="27" t="s">
        <v>154</v>
      </c>
      <c r="I884" s="27"/>
      <c r="J884" s="33">
        <v>-12.5</v>
      </c>
      <c r="K884" s="33">
        <v>-4.0</v>
      </c>
      <c r="L884" s="66">
        <v>45.5</v>
      </c>
      <c r="M884" s="27" t="s">
        <v>1735</v>
      </c>
      <c r="N884" s="27">
        <v>-4.0</v>
      </c>
      <c r="O884" s="27"/>
      <c r="P884" s="27">
        <v>-4.5</v>
      </c>
      <c r="Q884" s="27"/>
      <c r="R884" s="27">
        <v>-4.0</v>
      </c>
      <c r="S884" s="27"/>
      <c r="T884" s="27">
        <v>-4.0</v>
      </c>
      <c r="U884" s="27"/>
      <c r="V884" s="27">
        <v>-4.5</v>
      </c>
      <c r="W884" s="27"/>
      <c r="X884" s="27">
        <v>-4.5</v>
      </c>
      <c r="Y884" s="27"/>
      <c r="Z884" s="27">
        <v>-4.0</v>
      </c>
      <c r="AA884" s="27"/>
      <c r="AB884" s="27">
        <v>-4.0</v>
      </c>
      <c r="AC884" s="27"/>
      <c r="AD884" s="27">
        <v>-4.0</v>
      </c>
      <c r="AE884" s="27"/>
      <c r="AF884" s="27">
        <v>-4.0</v>
      </c>
      <c r="AG884" s="27" t="s">
        <v>1091</v>
      </c>
      <c r="AH884" s="27">
        <v>158.0</v>
      </c>
      <c r="AI884" s="27">
        <v>98.0</v>
      </c>
      <c r="AJ884" s="27">
        <v>2.0</v>
      </c>
      <c r="AK884" s="27" t="b">
        <v>1</v>
      </c>
      <c r="AL884" s="27">
        <v>100.0</v>
      </c>
      <c r="AM884" s="27" t="s">
        <v>192</v>
      </c>
      <c r="AN884" s="27" t="s">
        <v>404</v>
      </c>
      <c r="AO884" s="27"/>
    </row>
    <row r="885">
      <c r="A885" s="200">
        <v>44845.02510600694</v>
      </c>
      <c r="B885" s="19" t="s">
        <v>59</v>
      </c>
      <c r="C885" s="21" t="s">
        <v>291</v>
      </c>
      <c r="D885" s="62">
        <v>5.0</v>
      </c>
      <c r="E885" s="27">
        <v>1.0</v>
      </c>
      <c r="F885" s="27" t="s">
        <v>1736</v>
      </c>
      <c r="G885" s="201" t="s">
        <v>57</v>
      </c>
      <c r="H885" s="27" t="s">
        <v>148</v>
      </c>
      <c r="I885" s="27"/>
      <c r="J885" s="33">
        <v>-1.5</v>
      </c>
      <c r="K885" s="33">
        <v>0.0</v>
      </c>
      <c r="L885" s="66">
        <v>58.0</v>
      </c>
      <c r="M885" s="27" t="s">
        <v>1737</v>
      </c>
      <c r="N885" s="27">
        <v>-1.5</v>
      </c>
      <c r="O885" s="27"/>
      <c r="P885" s="27">
        <v>-1.5</v>
      </c>
      <c r="Q885" s="27"/>
      <c r="R885" s="27">
        <v>0.0</v>
      </c>
      <c r="S885" s="27"/>
      <c r="T885" s="27">
        <v>0.0</v>
      </c>
      <c r="U885" s="27"/>
      <c r="V885" s="27">
        <v>-1.0</v>
      </c>
      <c r="W885" s="27"/>
      <c r="X885" s="27">
        <v>-1.0</v>
      </c>
      <c r="Y885" s="27"/>
      <c r="Z885" s="27">
        <v>-1.0</v>
      </c>
      <c r="AA885" s="27"/>
      <c r="AB885" s="27">
        <v>-2.0</v>
      </c>
      <c r="AC885" s="27" t="s">
        <v>1091</v>
      </c>
      <c r="AD885" s="27">
        <v>0.0</v>
      </c>
      <c r="AE885" s="27" t="s">
        <v>1091</v>
      </c>
      <c r="AF885" s="27">
        <v>0.0</v>
      </c>
      <c r="AG885" s="27" t="s">
        <v>1091</v>
      </c>
      <c r="AH885" s="27">
        <v>172.0</v>
      </c>
      <c r="AI885" s="27">
        <v>100.0</v>
      </c>
      <c r="AJ885" s="27">
        <v>2.0</v>
      </c>
      <c r="AK885" s="27" t="b">
        <v>0</v>
      </c>
      <c r="AL885" s="27">
        <v>100.0</v>
      </c>
      <c r="AM885" s="27" t="s">
        <v>187</v>
      </c>
      <c r="AN885" s="27" t="s">
        <v>404</v>
      </c>
      <c r="AO885" s="27"/>
    </row>
    <row r="886">
      <c r="A886" s="200">
        <v>44845.02510600694</v>
      </c>
      <c r="B886" s="19" t="s">
        <v>59</v>
      </c>
      <c r="C886" s="21" t="s">
        <v>277</v>
      </c>
      <c r="D886" s="62">
        <v>3.0</v>
      </c>
      <c r="E886" s="27">
        <v>3.0</v>
      </c>
      <c r="F886" s="27" t="s">
        <v>1738</v>
      </c>
      <c r="G886" s="201" t="s">
        <v>57</v>
      </c>
      <c r="H886" s="27" t="s">
        <v>148</v>
      </c>
      <c r="I886" s="27"/>
      <c r="J886" s="33">
        <v>-19.0</v>
      </c>
      <c r="K886" s="33">
        <v>-19.0</v>
      </c>
      <c r="L886" s="66">
        <v>55.5</v>
      </c>
      <c r="M886" s="27" t="s">
        <v>1739</v>
      </c>
      <c r="N886" s="27">
        <v>-19.5</v>
      </c>
      <c r="O886" s="27"/>
      <c r="P886" s="27">
        <v>-19.0</v>
      </c>
      <c r="Q886" s="27"/>
      <c r="R886" s="27">
        <v>-19.0</v>
      </c>
      <c r="S886" s="27"/>
      <c r="T886" s="27">
        <v>-19.0</v>
      </c>
      <c r="U886" s="27"/>
      <c r="V886" s="27">
        <v>-19.5</v>
      </c>
      <c r="W886" s="27"/>
      <c r="X886" s="27">
        <v>-19.0</v>
      </c>
      <c r="Y886" s="27"/>
      <c r="Z886" s="27">
        <v>-19.0</v>
      </c>
      <c r="AA886" s="27"/>
      <c r="AB886" s="27">
        <v>-20.0</v>
      </c>
      <c r="AC886" s="27"/>
      <c r="AD886" s="27">
        <v>-19.0</v>
      </c>
      <c r="AE886" s="27"/>
      <c r="AF886" s="27">
        <v>-19.0</v>
      </c>
      <c r="AG886" s="27"/>
      <c r="AH886" s="27">
        <v>211.0</v>
      </c>
      <c r="AI886" s="27">
        <v>173.0</v>
      </c>
      <c r="AJ886" s="27">
        <v>2.0</v>
      </c>
      <c r="AK886" s="27" t="b">
        <v>0</v>
      </c>
      <c r="AL886" s="27">
        <v>100.0</v>
      </c>
      <c r="AM886" s="27" t="s">
        <v>193</v>
      </c>
      <c r="AN886" s="27" t="s">
        <v>405</v>
      </c>
      <c r="AO886" s="27"/>
    </row>
    <row r="887">
      <c r="A887" s="200">
        <v>44845.02510600694</v>
      </c>
      <c r="B887" s="19" t="s">
        <v>59</v>
      </c>
      <c r="C887" s="21" t="s">
        <v>275</v>
      </c>
      <c r="D887" s="62">
        <v>2.0</v>
      </c>
      <c r="E887" s="27">
        <v>3.0</v>
      </c>
      <c r="F887" s="27" t="s">
        <v>1740</v>
      </c>
      <c r="G887" s="201" t="s">
        <v>57</v>
      </c>
      <c r="H887" s="27" t="s">
        <v>59</v>
      </c>
      <c r="I887" s="27"/>
      <c r="J887" s="33">
        <v>3.5</v>
      </c>
      <c r="K887" s="33">
        <v>5.5</v>
      </c>
      <c r="L887" s="66">
        <v>36.5</v>
      </c>
      <c r="M887" s="27" t="s">
        <v>1725</v>
      </c>
      <c r="N887" s="27">
        <v>5.5</v>
      </c>
      <c r="O887" s="27"/>
      <c r="P887" s="27">
        <v>5.5</v>
      </c>
      <c r="Q887" s="27"/>
      <c r="R887" s="27">
        <v>5.0</v>
      </c>
      <c r="S887" s="27"/>
      <c r="T887" s="27">
        <v>5.5</v>
      </c>
      <c r="U887" s="27"/>
      <c r="V887" s="27">
        <v>5.5</v>
      </c>
      <c r="W887" s="27"/>
      <c r="X887" s="27">
        <v>6.0</v>
      </c>
      <c r="Y887" s="27"/>
      <c r="Z887" s="27">
        <v>5.5</v>
      </c>
      <c r="AA887" s="27"/>
      <c r="AB887" s="27">
        <v>5.5</v>
      </c>
      <c r="AC887" s="27"/>
      <c r="AD887" s="27">
        <v>5.5</v>
      </c>
      <c r="AE887" s="27"/>
      <c r="AF887" s="27">
        <v>5.5</v>
      </c>
      <c r="AG887" s="27"/>
      <c r="AH887" s="27">
        <v>83.0</v>
      </c>
      <c r="AI887" s="27">
        <v>191.0</v>
      </c>
      <c r="AJ887" s="27">
        <v>2.0</v>
      </c>
      <c r="AK887" s="27" t="b">
        <v>0</v>
      </c>
      <c r="AL887" s="27">
        <v>100.0</v>
      </c>
      <c r="AM887" s="27" t="s">
        <v>189</v>
      </c>
      <c r="AN887" s="27" t="s">
        <v>405</v>
      </c>
      <c r="AO887" s="27"/>
    </row>
    <row r="888">
      <c r="A888" s="200">
        <v>44845.02510600694</v>
      </c>
      <c r="B888" s="19" t="s">
        <v>59</v>
      </c>
      <c r="C888" s="21" t="s">
        <v>281</v>
      </c>
      <c r="D888" s="62">
        <v>3.0</v>
      </c>
      <c r="E888" s="27">
        <v>4.0</v>
      </c>
      <c r="F888" s="27" t="s">
        <v>1740</v>
      </c>
      <c r="G888" s="201" t="s">
        <v>57</v>
      </c>
      <c r="H888" s="27" t="s">
        <v>59</v>
      </c>
      <c r="I888" s="27"/>
      <c r="J888" s="33">
        <v>-3.5</v>
      </c>
      <c r="K888" s="33">
        <v>-5.5</v>
      </c>
      <c r="L888" s="66">
        <v>36.5</v>
      </c>
      <c r="M888" s="27" t="s">
        <v>1725</v>
      </c>
      <c r="N888" s="27">
        <v>-5.5</v>
      </c>
      <c r="O888" s="27"/>
      <c r="P888" s="27">
        <v>-5.5</v>
      </c>
      <c r="Q888" s="27"/>
      <c r="R888" s="27">
        <v>-5.0</v>
      </c>
      <c r="S888" s="27"/>
      <c r="T888" s="27">
        <v>-5.5</v>
      </c>
      <c r="U888" s="27"/>
      <c r="V888" s="27">
        <v>-5.5</v>
      </c>
      <c r="W888" s="27"/>
      <c r="X888" s="27">
        <v>-6.0</v>
      </c>
      <c r="Y888" s="27"/>
      <c r="Z888" s="27">
        <v>-5.5</v>
      </c>
      <c r="AA888" s="27"/>
      <c r="AB888" s="27">
        <v>-5.5</v>
      </c>
      <c r="AC888" s="27"/>
      <c r="AD888" s="27">
        <v>-5.5</v>
      </c>
      <c r="AE888" s="27"/>
      <c r="AF888" s="27">
        <v>-5.5</v>
      </c>
      <c r="AG888" s="27"/>
      <c r="AH888" s="27">
        <v>124.0</v>
      </c>
      <c r="AI888" s="27">
        <v>208.0</v>
      </c>
      <c r="AJ888" s="27">
        <v>2.0</v>
      </c>
      <c r="AK888" s="27" t="b">
        <v>1</v>
      </c>
      <c r="AL888" s="27">
        <v>100.0</v>
      </c>
      <c r="AM888" s="27" t="s">
        <v>389</v>
      </c>
      <c r="AN888" s="27" t="s">
        <v>405</v>
      </c>
      <c r="AO888" s="27"/>
    </row>
    <row r="889">
      <c r="A889" s="200">
        <v>44845.02510600694</v>
      </c>
      <c r="B889" s="19" t="s">
        <v>59</v>
      </c>
      <c r="C889" s="21" t="s">
        <v>285</v>
      </c>
      <c r="D889" s="62">
        <v>1.0</v>
      </c>
      <c r="E889" s="27">
        <v>5.0</v>
      </c>
      <c r="F889" s="27" t="s">
        <v>1741</v>
      </c>
      <c r="G889" s="201" t="s">
        <v>57</v>
      </c>
      <c r="H889" s="27" t="s">
        <v>116</v>
      </c>
      <c r="I889" s="27"/>
      <c r="J889" s="33">
        <v>-9.0</v>
      </c>
      <c r="K889" s="33">
        <v>-7.5</v>
      </c>
      <c r="L889" s="66">
        <v>55.5</v>
      </c>
      <c r="M889" s="27" t="s">
        <v>1330</v>
      </c>
      <c r="N889" s="27">
        <v>-7.5</v>
      </c>
      <c r="O889" s="27"/>
      <c r="P889" s="27">
        <v>-7.5</v>
      </c>
      <c r="Q889" s="27"/>
      <c r="R889" s="27">
        <v>-7.5</v>
      </c>
      <c r="S889" s="27"/>
      <c r="T889" s="27">
        <v>-7.5</v>
      </c>
      <c r="U889" s="27"/>
      <c r="V889" s="27">
        <v>-7.5</v>
      </c>
      <c r="W889" s="27"/>
      <c r="X889" s="27">
        <v>-7.5</v>
      </c>
      <c r="Y889" s="27"/>
      <c r="Z889" s="27">
        <v>-7.5</v>
      </c>
      <c r="AA889" s="27"/>
      <c r="AB889" s="27">
        <v>-7.5</v>
      </c>
      <c r="AC889" s="27"/>
      <c r="AD889" s="27">
        <v>-7.5</v>
      </c>
      <c r="AE889" s="27"/>
      <c r="AF889" s="27" t="s">
        <v>1091</v>
      </c>
      <c r="AG889" s="27" t="s">
        <v>1091</v>
      </c>
      <c r="AH889" s="27">
        <v>156.0</v>
      </c>
      <c r="AI889" s="27">
        <v>184.0</v>
      </c>
      <c r="AJ889" s="27">
        <v>2.0</v>
      </c>
      <c r="AK889" s="27" t="b">
        <v>0</v>
      </c>
      <c r="AL889" s="27">
        <v>100.0</v>
      </c>
      <c r="AM889" s="27" t="s">
        <v>190</v>
      </c>
      <c r="AN889" s="27" t="s">
        <v>405</v>
      </c>
      <c r="AO889" s="27"/>
    </row>
    <row r="890">
      <c r="A890" s="200">
        <v>44845.02510600694</v>
      </c>
      <c r="B890" s="19" t="s">
        <v>59</v>
      </c>
      <c r="C890" s="21" t="s">
        <v>284</v>
      </c>
      <c r="D890" s="62">
        <v>6.0</v>
      </c>
      <c r="E890" s="27">
        <v>0.0</v>
      </c>
      <c r="F890" s="27" t="s">
        <v>1742</v>
      </c>
      <c r="G890" s="201" t="s">
        <v>57</v>
      </c>
      <c r="H890" s="27" t="s">
        <v>166</v>
      </c>
      <c r="I890" s="27"/>
      <c r="J890" s="33">
        <v>-17.5</v>
      </c>
      <c r="K890" s="33">
        <v>-23.5</v>
      </c>
      <c r="L890" s="66">
        <v>57.5</v>
      </c>
      <c r="M890" s="27" t="s">
        <v>1743</v>
      </c>
      <c r="N890" s="27">
        <v>-23.5</v>
      </c>
      <c r="O890" s="27"/>
      <c r="P890" s="27">
        <v>-23.5</v>
      </c>
      <c r="Q890" s="27"/>
      <c r="R890" s="27">
        <v>-23.0</v>
      </c>
      <c r="S890" s="27"/>
      <c r="T890" s="27">
        <v>-24.0</v>
      </c>
      <c r="U890" s="27"/>
      <c r="V890" s="27">
        <v>-23.5</v>
      </c>
      <c r="W890" s="27"/>
      <c r="X890" s="27">
        <v>-23.5</v>
      </c>
      <c r="Y890" s="27"/>
      <c r="Z890" s="27">
        <v>-23.5</v>
      </c>
      <c r="AA890" s="27"/>
      <c r="AB890" s="27">
        <v>-23.5</v>
      </c>
      <c r="AC890" s="27"/>
      <c r="AD890" s="27">
        <v>-24.0</v>
      </c>
      <c r="AE890" s="27"/>
      <c r="AF890" s="27">
        <v>-24.0</v>
      </c>
      <c r="AG890" s="27"/>
      <c r="AH890" s="27">
        <v>258.0</v>
      </c>
      <c r="AI890" s="27">
        <v>68.0</v>
      </c>
      <c r="AJ890" s="27">
        <v>2.0</v>
      </c>
      <c r="AK890" s="27" t="b">
        <v>1</v>
      </c>
      <c r="AL890" s="27">
        <v>100.0</v>
      </c>
      <c r="AM890" s="27" t="s">
        <v>188</v>
      </c>
      <c r="AN890" s="27" t="s">
        <v>404</v>
      </c>
      <c r="AO890" s="27"/>
    </row>
    <row r="891">
      <c r="A891" s="200">
        <v>44845.02510600694</v>
      </c>
      <c r="B891" s="19" t="s">
        <v>59</v>
      </c>
      <c r="C891" s="21" t="s">
        <v>279</v>
      </c>
      <c r="D891" s="62">
        <v>4.0</v>
      </c>
      <c r="E891" s="27">
        <v>2.0</v>
      </c>
      <c r="F891" s="27" t="s">
        <v>1744</v>
      </c>
      <c r="G891" s="201" t="s">
        <v>57</v>
      </c>
      <c r="H891" s="27" t="s">
        <v>141</v>
      </c>
      <c r="I891" s="27"/>
      <c r="J891" s="33"/>
      <c r="K891" s="33"/>
      <c r="L891" s="66"/>
      <c r="M891" s="27"/>
      <c r="N891" s="27"/>
      <c r="O891" s="27"/>
      <c r="P891" s="27"/>
      <c r="Q891" s="27"/>
      <c r="R891" s="27"/>
      <c r="S891" s="27"/>
      <c r="T891" s="27"/>
      <c r="U891" s="27"/>
      <c r="V891" s="27"/>
      <c r="W891" s="27"/>
      <c r="X891" s="27"/>
      <c r="Y891" s="27"/>
      <c r="Z891" s="27"/>
      <c r="AA891" s="27"/>
      <c r="AB891" s="27"/>
      <c r="AC891" s="27"/>
      <c r="AD891" s="27"/>
      <c r="AE891" s="27"/>
      <c r="AF891" s="27"/>
      <c r="AG891" s="27"/>
      <c r="AH891" s="27">
        <v>196.0</v>
      </c>
      <c r="AI891" s="27">
        <v>152.0</v>
      </c>
      <c r="AJ891" s="27">
        <v>2.0</v>
      </c>
      <c r="AK891" s="27" t="b">
        <v>1</v>
      </c>
      <c r="AL891" s="27">
        <v>100.0</v>
      </c>
      <c r="AM891" s="27" t="s">
        <v>129</v>
      </c>
      <c r="AN891" s="27" t="s">
        <v>405</v>
      </c>
      <c r="AO891" s="27"/>
    </row>
    <row r="892">
      <c r="A892" s="200">
        <v>44845.02510600694</v>
      </c>
      <c r="B892" s="19"/>
      <c r="C892" s="21"/>
      <c r="D892" s="62"/>
      <c r="E892" s="27"/>
      <c r="F892" s="27"/>
      <c r="G892" s="201"/>
      <c r="H892" s="27"/>
      <c r="I892" s="27"/>
      <c r="J892" s="33"/>
      <c r="K892" s="33"/>
      <c r="L892" s="66"/>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t="e">
        <v>#N/A</v>
      </c>
      <c r="AN892" s="27" t="e">
        <v>#N/A</v>
      </c>
      <c r="AO892" s="27"/>
    </row>
    <row r="893">
      <c r="A893" s="200">
        <v>44845.02510600694</v>
      </c>
      <c r="B893" s="19" t="s">
        <v>138</v>
      </c>
      <c r="C893" s="21" t="s">
        <v>302</v>
      </c>
      <c r="D893" s="62">
        <v>4.0</v>
      </c>
      <c r="E893" s="27">
        <v>1.0</v>
      </c>
      <c r="F893" s="27"/>
      <c r="G893" s="201"/>
      <c r="H893" s="27"/>
      <c r="I893" s="27" t="s">
        <v>159</v>
      </c>
      <c r="J893" s="33"/>
      <c r="K893" s="33"/>
      <c r="L893" s="66"/>
      <c r="M893" s="27"/>
      <c r="N893" s="27"/>
      <c r="O893" s="27"/>
      <c r="P893" s="27"/>
      <c r="Q893" s="27"/>
      <c r="R893" s="27"/>
      <c r="S893" s="27"/>
      <c r="T893" s="27"/>
      <c r="U893" s="27"/>
      <c r="V893" s="27"/>
      <c r="W893" s="27"/>
      <c r="X893" s="27"/>
      <c r="Y893" s="27"/>
      <c r="Z893" s="27"/>
      <c r="AA893" s="27"/>
      <c r="AB893" s="27"/>
      <c r="AC893" s="27"/>
      <c r="AD893" s="27"/>
      <c r="AE893" s="27"/>
      <c r="AF893" s="27"/>
      <c r="AG893" s="27"/>
      <c r="AH893" s="27">
        <v>175.0</v>
      </c>
      <c r="AI893" s="27">
        <v>94.0</v>
      </c>
      <c r="AJ893" s="27">
        <v>0.0</v>
      </c>
      <c r="AK893" s="27" t="b">
        <v>1</v>
      </c>
      <c r="AL893" s="27">
        <v>59.0</v>
      </c>
      <c r="AM893" s="27" t="s">
        <v>193</v>
      </c>
      <c r="AN893" s="27" t="s">
        <v>405</v>
      </c>
      <c r="AO893" s="27"/>
    </row>
    <row r="894">
      <c r="A894" s="200">
        <v>44845.02510600694</v>
      </c>
      <c r="B894" s="19" t="s">
        <v>138</v>
      </c>
      <c r="C894" s="21" t="s">
        <v>308</v>
      </c>
      <c r="D894" s="62">
        <v>5.0</v>
      </c>
      <c r="E894" s="27">
        <v>0.0</v>
      </c>
      <c r="F894" s="27"/>
      <c r="G894" s="201"/>
      <c r="H894" s="27"/>
      <c r="I894" s="27" t="s">
        <v>97</v>
      </c>
      <c r="J894" s="33">
        <v>-55.0</v>
      </c>
      <c r="K894" s="33">
        <v>-53.0</v>
      </c>
      <c r="L894" s="66">
        <v>62.5</v>
      </c>
      <c r="M894" s="27" t="s">
        <v>1139</v>
      </c>
      <c r="N894" s="27">
        <v>-53.5</v>
      </c>
      <c r="O894" s="27"/>
      <c r="P894" s="27">
        <v>-54.0</v>
      </c>
      <c r="Q894" s="27"/>
      <c r="R894" s="27">
        <v>-53.0</v>
      </c>
      <c r="S894" s="27"/>
      <c r="T894" s="27">
        <v>-53.0</v>
      </c>
      <c r="U894" s="27"/>
      <c r="V894" s="27">
        <v>-54.0</v>
      </c>
      <c r="W894" s="27"/>
      <c r="X894" s="27">
        <v>-54.0</v>
      </c>
      <c r="Y894" s="27"/>
      <c r="Z894" s="27">
        <v>-53.0</v>
      </c>
      <c r="AA894" s="27"/>
      <c r="AB894" s="27">
        <v>-53.0</v>
      </c>
      <c r="AC894" s="27"/>
      <c r="AD894" s="27"/>
      <c r="AE894" s="27"/>
      <c r="AF894" s="27"/>
      <c r="AG894" s="27"/>
      <c r="AH894" s="27">
        <v>192.0</v>
      </c>
      <c r="AI894" s="27">
        <v>70.0</v>
      </c>
      <c r="AJ894" s="27">
        <v>0.0</v>
      </c>
      <c r="AK894" s="27" t="b">
        <v>1</v>
      </c>
      <c r="AL894" s="27">
        <v>59.0</v>
      </c>
      <c r="AM894" s="27" t="s">
        <v>186</v>
      </c>
      <c r="AN894" s="27" t="s">
        <v>404</v>
      </c>
      <c r="AO894" s="27"/>
    </row>
    <row r="895">
      <c r="A895" s="200">
        <v>44845.02510600694</v>
      </c>
      <c r="B895" s="19" t="s">
        <v>138</v>
      </c>
      <c r="C895" s="21" t="s">
        <v>311</v>
      </c>
      <c r="D895" s="62">
        <v>1.0</v>
      </c>
      <c r="E895" s="27">
        <v>4.0</v>
      </c>
      <c r="F895" s="27" t="s">
        <v>1732</v>
      </c>
      <c r="G895" s="201" t="s">
        <v>57</v>
      </c>
      <c r="H895" s="27" t="s">
        <v>59</v>
      </c>
      <c r="I895" s="27"/>
      <c r="J895" s="33">
        <v>7.5</v>
      </c>
      <c r="K895" s="33">
        <v>4.5</v>
      </c>
      <c r="L895" s="66">
        <v>53.0</v>
      </c>
      <c r="M895" s="27" t="s">
        <v>1733</v>
      </c>
      <c r="N895" s="27">
        <v>4.5</v>
      </c>
      <c r="O895" s="27"/>
      <c r="P895" s="27">
        <v>4.5</v>
      </c>
      <c r="Q895" s="27"/>
      <c r="R895" s="27">
        <v>4.5</v>
      </c>
      <c r="S895" s="27"/>
      <c r="T895" s="27">
        <v>4.5</v>
      </c>
      <c r="U895" s="27"/>
      <c r="V895" s="27">
        <v>4.5</v>
      </c>
      <c r="W895" s="27"/>
      <c r="X895" s="27">
        <v>4.5</v>
      </c>
      <c r="Y895" s="27"/>
      <c r="Z895" s="27">
        <v>4.5</v>
      </c>
      <c r="AA895" s="27"/>
      <c r="AB895" s="27">
        <v>4.0</v>
      </c>
      <c r="AC895" s="27"/>
      <c r="AD895" s="27">
        <v>4.5</v>
      </c>
      <c r="AE895" s="27"/>
      <c r="AF895" s="27">
        <v>4.5</v>
      </c>
      <c r="AG895" s="27" t="s">
        <v>1091</v>
      </c>
      <c r="AH895" s="27">
        <v>145.0</v>
      </c>
      <c r="AI895" s="27">
        <v>164.0</v>
      </c>
      <c r="AJ895" s="27">
        <v>2.0</v>
      </c>
      <c r="AK895" s="27" t="b">
        <v>0</v>
      </c>
      <c r="AL895" s="27">
        <v>100.0</v>
      </c>
      <c r="AM895" s="27" t="s">
        <v>191</v>
      </c>
      <c r="AN895" s="27" t="s">
        <v>404</v>
      </c>
      <c r="AO895" s="27"/>
    </row>
    <row r="896">
      <c r="A896" s="200">
        <v>44845.02510600694</v>
      </c>
      <c r="B896" s="19" t="s">
        <v>138</v>
      </c>
      <c r="C896" s="21" t="s">
        <v>304</v>
      </c>
      <c r="D896" s="62">
        <v>2.0</v>
      </c>
      <c r="E896" s="27">
        <v>4.0</v>
      </c>
      <c r="F896" s="27" t="s">
        <v>1745</v>
      </c>
      <c r="G896" s="201" t="s">
        <v>57</v>
      </c>
      <c r="H896" s="27" t="s">
        <v>103</v>
      </c>
      <c r="I896" s="27"/>
      <c r="J896" s="33">
        <v>9.5</v>
      </c>
      <c r="K896" s="33">
        <v>12.5</v>
      </c>
      <c r="L896" s="66">
        <v>54.5</v>
      </c>
      <c r="M896" s="27" t="s">
        <v>1746</v>
      </c>
      <c r="N896" s="27">
        <v>11.5</v>
      </c>
      <c r="O896" s="27"/>
      <c r="P896" s="27">
        <v>11.5</v>
      </c>
      <c r="Q896" s="27"/>
      <c r="R896" s="27">
        <v>11.5</v>
      </c>
      <c r="S896" s="27"/>
      <c r="T896" s="27">
        <v>12.5</v>
      </c>
      <c r="U896" s="27"/>
      <c r="V896" s="27">
        <v>11.5</v>
      </c>
      <c r="W896" s="27"/>
      <c r="X896" s="27">
        <v>11.5</v>
      </c>
      <c r="Y896" s="27"/>
      <c r="Z896" s="27">
        <v>11.0</v>
      </c>
      <c r="AA896" s="27"/>
      <c r="AB896" s="27">
        <v>11.5</v>
      </c>
      <c r="AC896" s="27"/>
      <c r="AD896" s="27">
        <v>12.5</v>
      </c>
      <c r="AE896" s="27"/>
      <c r="AF896" s="27">
        <v>12.5</v>
      </c>
      <c r="AG896" s="27"/>
      <c r="AH896" s="27">
        <v>122.0</v>
      </c>
      <c r="AI896" s="27">
        <v>209.0</v>
      </c>
      <c r="AJ896" s="27">
        <v>2.0</v>
      </c>
      <c r="AK896" s="27" t="b">
        <v>1</v>
      </c>
      <c r="AL896" s="27">
        <v>100.0</v>
      </c>
      <c r="AM896" s="27" t="s">
        <v>129</v>
      </c>
      <c r="AN896" s="27" t="s">
        <v>405</v>
      </c>
      <c r="AO896" s="27"/>
    </row>
    <row r="897">
      <c r="A897" s="200">
        <v>44845.02510600694</v>
      </c>
      <c r="B897" s="19" t="s">
        <v>138</v>
      </c>
      <c r="C897" s="21" t="s">
        <v>296</v>
      </c>
      <c r="D897" s="62">
        <v>4.0</v>
      </c>
      <c r="E897" s="27">
        <v>2.0</v>
      </c>
      <c r="F897" s="27" t="s">
        <v>1719</v>
      </c>
      <c r="G897" s="201" t="s">
        <v>57</v>
      </c>
      <c r="H897" s="27" t="s">
        <v>178</v>
      </c>
      <c r="I897" s="27"/>
      <c r="J897" s="33">
        <v>-5.5</v>
      </c>
      <c r="K897" s="33">
        <v>-6.5</v>
      </c>
      <c r="L897" s="66">
        <v>72.5</v>
      </c>
      <c r="M897" s="27" t="s">
        <v>1720</v>
      </c>
      <c r="N897" s="27">
        <v>-6.5</v>
      </c>
      <c r="O897" s="27"/>
      <c r="P897" s="27">
        <v>-6.5</v>
      </c>
      <c r="Q897" s="27"/>
      <c r="R897" s="27">
        <v>-6.0</v>
      </c>
      <c r="S897" s="27"/>
      <c r="T897" s="27">
        <v>-6.5</v>
      </c>
      <c r="U897" s="27"/>
      <c r="V897" s="27">
        <v>-6.5</v>
      </c>
      <c r="W897" s="27"/>
      <c r="X897" s="27">
        <v>-6.0</v>
      </c>
      <c r="Y897" s="27"/>
      <c r="Z897" s="27">
        <v>-6.5</v>
      </c>
      <c r="AA897" s="27"/>
      <c r="AB897" s="27">
        <v>-6.5</v>
      </c>
      <c r="AC897" s="27"/>
      <c r="AD897" s="27">
        <v>-6.5</v>
      </c>
      <c r="AE897" s="27"/>
      <c r="AF897" s="27">
        <v>-6.5</v>
      </c>
      <c r="AG897" s="27"/>
      <c r="AH897" s="27">
        <v>224.0</v>
      </c>
      <c r="AI897" s="27">
        <v>198.0</v>
      </c>
      <c r="AJ897" s="27">
        <v>2.0</v>
      </c>
      <c r="AK897" s="27" t="b">
        <v>0</v>
      </c>
      <c r="AL897" s="27">
        <v>100.0</v>
      </c>
      <c r="AM897" s="27" t="s">
        <v>189</v>
      </c>
      <c r="AN897" s="27" t="s">
        <v>405</v>
      </c>
      <c r="AO897" s="27"/>
    </row>
    <row r="898">
      <c r="A898" s="200">
        <v>44845.02510600694</v>
      </c>
      <c r="B898" s="19" t="s">
        <v>138</v>
      </c>
      <c r="C898" s="21" t="s">
        <v>294</v>
      </c>
      <c r="D898" s="62">
        <v>2.0</v>
      </c>
      <c r="E898" s="27">
        <v>4.0</v>
      </c>
      <c r="F898" s="27" t="s">
        <v>1689</v>
      </c>
      <c r="G898" s="201" t="s">
        <v>57</v>
      </c>
      <c r="H898" s="27" t="s">
        <v>53</v>
      </c>
      <c r="I898" s="27"/>
      <c r="J898" s="33">
        <v>11.5</v>
      </c>
      <c r="K898" s="33">
        <v>27.5</v>
      </c>
      <c r="L898" s="66">
        <v>64.5</v>
      </c>
      <c r="M898" s="27" t="s">
        <v>1690</v>
      </c>
      <c r="N898" s="27">
        <v>27.0</v>
      </c>
      <c r="O898" s="27"/>
      <c r="P898" s="27">
        <v>27.0</v>
      </c>
      <c r="Q898" s="27"/>
      <c r="R898" s="27">
        <v>27.0</v>
      </c>
      <c r="S898" s="27"/>
      <c r="T898" s="27">
        <v>27.0</v>
      </c>
      <c r="U898" s="27"/>
      <c r="V898" s="27">
        <v>27.0</v>
      </c>
      <c r="W898" s="27"/>
      <c r="X898" s="27">
        <v>27.0</v>
      </c>
      <c r="Y898" s="27"/>
      <c r="Z898" s="27">
        <v>27.0</v>
      </c>
      <c r="AA898" s="27"/>
      <c r="AB898" s="27">
        <v>27.5</v>
      </c>
      <c r="AC898" s="27"/>
      <c r="AD898" s="27">
        <v>27.0</v>
      </c>
      <c r="AE898" s="27"/>
      <c r="AF898" s="27">
        <v>27.0</v>
      </c>
      <c r="AG898" s="27"/>
      <c r="AH898" s="27">
        <v>155.0</v>
      </c>
      <c r="AI898" s="27">
        <v>162.0</v>
      </c>
      <c r="AJ898" s="27">
        <v>2.0</v>
      </c>
      <c r="AK898" s="27" t="b">
        <v>1</v>
      </c>
      <c r="AL898" s="27">
        <v>100.0</v>
      </c>
      <c r="AM898" s="27" t="s">
        <v>188</v>
      </c>
      <c r="AN898" s="27" t="s">
        <v>404</v>
      </c>
      <c r="AO898" s="27"/>
    </row>
    <row r="899">
      <c r="A899" s="200">
        <v>44845.02510600694</v>
      </c>
      <c r="B899" s="19" t="s">
        <v>138</v>
      </c>
      <c r="C899" s="21" t="s">
        <v>309</v>
      </c>
      <c r="D899" s="62">
        <v>3.0</v>
      </c>
      <c r="E899" s="27">
        <v>3.0</v>
      </c>
      <c r="F899" s="27" t="s">
        <v>1747</v>
      </c>
      <c r="G899" s="201" t="s">
        <v>57</v>
      </c>
      <c r="H899" s="27" t="s">
        <v>103</v>
      </c>
      <c r="I899" s="27"/>
      <c r="J899" s="33">
        <v>18.0</v>
      </c>
      <c r="K899" s="33">
        <v>17.0</v>
      </c>
      <c r="L899" s="66">
        <v>59.5</v>
      </c>
      <c r="M899" s="27" t="s">
        <v>1748</v>
      </c>
      <c r="N899" s="27">
        <v>17.0</v>
      </c>
      <c r="O899" s="27"/>
      <c r="P899" s="27">
        <v>17.0</v>
      </c>
      <c r="Q899" s="27"/>
      <c r="R899" s="27">
        <v>17.5</v>
      </c>
      <c r="S899" s="27"/>
      <c r="T899" s="27">
        <v>17.0</v>
      </c>
      <c r="U899" s="27"/>
      <c r="V899" s="27">
        <v>17.0</v>
      </c>
      <c r="W899" s="27"/>
      <c r="X899" s="27">
        <v>17.0</v>
      </c>
      <c r="Y899" s="27"/>
      <c r="Z899" s="27">
        <v>17.0</v>
      </c>
      <c r="AA899" s="27"/>
      <c r="AB899" s="27">
        <v>17.0</v>
      </c>
      <c r="AC899" s="27"/>
      <c r="AD899" s="27">
        <v>17.0</v>
      </c>
      <c r="AE899" s="27"/>
      <c r="AF899" s="27">
        <v>17.0</v>
      </c>
      <c r="AG899" s="27"/>
      <c r="AH899" s="27">
        <v>199.0</v>
      </c>
      <c r="AI899" s="27">
        <v>221.0</v>
      </c>
      <c r="AJ899" s="27">
        <v>2.0</v>
      </c>
      <c r="AK899" s="27" t="b">
        <v>1</v>
      </c>
      <c r="AL899" s="27">
        <v>100.0</v>
      </c>
      <c r="AM899" s="27" t="s">
        <v>187</v>
      </c>
      <c r="AN899" s="27" t="s">
        <v>404</v>
      </c>
      <c r="AO899" s="27"/>
    </row>
    <row r="900">
      <c r="A900" s="200">
        <v>44845.02510600694</v>
      </c>
      <c r="B900" s="19" t="s">
        <v>138</v>
      </c>
      <c r="C900" s="21" t="s">
        <v>298</v>
      </c>
      <c r="D900" s="62">
        <v>1.0</v>
      </c>
      <c r="E900" s="27">
        <v>5.0</v>
      </c>
      <c r="F900" s="27" t="s">
        <v>1724</v>
      </c>
      <c r="G900" s="201" t="s">
        <v>57</v>
      </c>
      <c r="H900" s="27" t="s">
        <v>178</v>
      </c>
      <c r="I900" s="27"/>
      <c r="J900" s="33">
        <v>5.5</v>
      </c>
      <c r="K900" s="33">
        <v>6.5</v>
      </c>
      <c r="L900" s="66">
        <v>63.0</v>
      </c>
      <c r="M900" s="27" t="s">
        <v>1725</v>
      </c>
      <c r="N900" s="27">
        <v>6.0</v>
      </c>
      <c r="O900" s="27"/>
      <c r="P900" s="27">
        <v>6.5</v>
      </c>
      <c r="Q900" s="27"/>
      <c r="R900" s="27">
        <v>6.5</v>
      </c>
      <c r="S900" s="27"/>
      <c r="T900" s="27">
        <v>6.5</v>
      </c>
      <c r="U900" s="27"/>
      <c r="V900" s="27">
        <v>6.5</v>
      </c>
      <c r="W900" s="27"/>
      <c r="X900" s="27">
        <v>6.5</v>
      </c>
      <c r="Y900" s="27"/>
      <c r="Z900" s="27">
        <v>6.0</v>
      </c>
      <c r="AA900" s="27"/>
      <c r="AB900" s="27">
        <v>6.5</v>
      </c>
      <c r="AC900" s="27"/>
      <c r="AD900" s="27">
        <v>6.5</v>
      </c>
      <c r="AE900" s="27"/>
      <c r="AF900" s="27" t="s">
        <v>1091</v>
      </c>
      <c r="AG900" s="27" t="s">
        <v>1091</v>
      </c>
      <c r="AH900" s="27">
        <v>190.0</v>
      </c>
      <c r="AI900" s="27">
        <v>230.0</v>
      </c>
      <c r="AJ900" s="27">
        <v>2.0</v>
      </c>
      <c r="AK900" s="27" t="b">
        <v>0</v>
      </c>
      <c r="AL900" s="27">
        <v>100.0</v>
      </c>
      <c r="AM900" s="27" t="s">
        <v>190</v>
      </c>
      <c r="AN900" s="27" t="s">
        <v>405</v>
      </c>
      <c r="AO900" s="27"/>
    </row>
    <row r="901">
      <c r="A901" s="200">
        <v>44845.02510600694</v>
      </c>
      <c r="B901" s="19" t="s">
        <v>138</v>
      </c>
      <c r="C901" s="21" t="s">
        <v>282</v>
      </c>
      <c r="D901" s="62">
        <v>5.0</v>
      </c>
      <c r="E901" s="27">
        <v>1.0</v>
      </c>
      <c r="F901" s="27" t="s">
        <v>1711</v>
      </c>
      <c r="G901" s="201" t="s">
        <v>57</v>
      </c>
      <c r="H901" s="27" t="s">
        <v>131</v>
      </c>
      <c r="I901" s="27"/>
      <c r="J901" s="33">
        <v>-27.0</v>
      </c>
      <c r="K901" s="33">
        <v>-27.0</v>
      </c>
      <c r="L901" s="66">
        <v>58.5</v>
      </c>
      <c r="M901" s="27" t="s">
        <v>1712</v>
      </c>
      <c r="N901" s="27">
        <v>-27.5</v>
      </c>
      <c r="O901" s="27"/>
      <c r="P901" s="27">
        <v>-27.0</v>
      </c>
      <c r="Q901" s="27"/>
      <c r="R901" s="27">
        <v>-27.0</v>
      </c>
      <c r="S901" s="27"/>
      <c r="T901" s="27">
        <v>-27.0</v>
      </c>
      <c r="U901" s="27"/>
      <c r="V901" s="27">
        <v>-27.0</v>
      </c>
      <c r="W901" s="27"/>
      <c r="X901" s="27">
        <v>-27.0</v>
      </c>
      <c r="Y901" s="27"/>
      <c r="Z901" s="27">
        <v>-27.0</v>
      </c>
      <c r="AA901" s="27"/>
      <c r="AB901" s="27">
        <v>-27.0</v>
      </c>
      <c r="AC901" s="27"/>
      <c r="AD901" s="27">
        <v>-27.0</v>
      </c>
      <c r="AE901" s="27"/>
      <c r="AF901" s="27">
        <v>-27.0</v>
      </c>
      <c r="AG901" s="27"/>
      <c r="AH901" s="27">
        <v>229.0</v>
      </c>
      <c r="AI901" s="27">
        <v>127.0</v>
      </c>
      <c r="AJ901" s="27">
        <v>2.0</v>
      </c>
      <c r="AK901" s="27" t="b">
        <v>0</v>
      </c>
      <c r="AL901" s="27">
        <v>100.0</v>
      </c>
      <c r="AM901" s="27" t="s">
        <v>389</v>
      </c>
      <c r="AN901" s="27" t="s">
        <v>405</v>
      </c>
      <c r="AO901" s="27"/>
    </row>
    <row r="902">
      <c r="A902" s="200">
        <v>44845.02510600694</v>
      </c>
      <c r="B902" s="19" t="s">
        <v>138</v>
      </c>
      <c r="C902" s="21" t="s">
        <v>303</v>
      </c>
      <c r="D902" s="62">
        <v>3.0</v>
      </c>
      <c r="E902" s="27">
        <v>3.0</v>
      </c>
      <c r="F902" s="27" t="s">
        <v>1730</v>
      </c>
      <c r="G902" s="201" t="s">
        <v>57</v>
      </c>
      <c r="H902" s="27" t="s">
        <v>178</v>
      </c>
      <c r="I902" s="27"/>
      <c r="J902" s="33">
        <v>3.0</v>
      </c>
      <c r="K902" s="33">
        <v>9.5</v>
      </c>
      <c r="L902" s="66">
        <v>55.0</v>
      </c>
      <c r="M902" s="27" t="s">
        <v>1731</v>
      </c>
      <c r="N902" s="27">
        <v>8.5</v>
      </c>
      <c r="O902" s="27"/>
      <c r="P902" s="27">
        <v>8.5</v>
      </c>
      <c r="Q902" s="27"/>
      <c r="R902" s="27">
        <v>8.5</v>
      </c>
      <c r="S902" s="27"/>
      <c r="T902" s="27">
        <v>9.5</v>
      </c>
      <c r="U902" s="27"/>
      <c r="V902" s="27">
        <v>8.5</v>
      </c>
      <c r="W902" s="27"/>
      <c r="X902" s="27">
        <v>8.5</v>
      </c>
      <c r="Y902" s="27"/>
      <c r="Z902" s="27">
        <v>8.5</v>
      </c>
      <c r="AA902" s="27"/>
      <c r="AB902" s="27">
        <v>9.0</v>
      </c>
      <c r="AC902" s="27"/>
      <c r="AD902" s="27">
        <v>9.5</v>
      </c>
      <c r="AE902" s="27"/>
      <c r="AF902" s="27">
        <v>9.5</v>
      </c>
      <c r="AG902" s="27"/>
      <c r="AH902" s="27">
        <v>177.0</v>
      </c>
      <c r="AI902" s="27">
        <v>193.0</v>
      </c>
      <c r="AJ902" s="27">
        <v>2.0</v>
      </c>
      <c r="AK902" s="27" t="b">
        <v>0</v>
      </c>
      <c r="AL902" s="27">
        <v>100.0</v>
      </c>
      <c r="AM902" s="27" t="s">
        <v>192</v>
      </c>
      <c r="AN902" s="27" t="s">
        <v>404</v>
      </c>
      <c r="AO902" s="27"/>
    </row>
    <row r="903">
      <c r="A903" s="200">
        <v>44845.02510600694</v>
      </c>
      <c r="B903" s="19"/>
      <c r="C903" s="21"/>
      <c r="D903" s="62"/>
      <c r="E903" s="27"/>
      <c r="F903" s="27"/>
      <c r="G903" s="201"/>
      <c r="H903" s="27"/>
      <c r="I903" s="27"/>
      <c r="J903" s="33"/>
      <c r="K903" s="33"/>
      <c r="L903" s="66"/>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t="e">
        <v>#N/A</v>
      </c>
      <c r="AN903" s="27" t="e">
        <v>#N/A</v>
      </c>
      <c r="AO903" s="27"/>
    </row>
    <row r="904">
      <c r="A904" s="200">
        <v>44845.02510600694</v>
      </c>
      <c r="B904" s="19" t="s">
        <v>141</v>
      </c>
      <c r="C904" s="21" t="s">
        <v>317</v>
      </c>
      <c r="D904" s="62">
        <v>1.0</v>
      </c>
      <c r="E904" s="27">
        <v>5.0</v>
      </c>
      <c r="F904" s="27"/>
      <c r="G904" s="201"/>
      <c r="H904" s="27"/>
      <c r="I904" s="27" t="s">
        <v>1044</v>
      </c>
      <c r="J904" s="33"/>
      <c r="K904" s="33"/>
      <c r="L904" s="66"/>
      <c r="M904" s="27"/>
      <c r="N904" s="27"/>
      <c r="O904" s="27"/>
      <c r="P904" s="27"/>
      <c r="Q904" s="27"/>
      <c r="R904" s="27"/>
      <c r="S904" s="27"/>
      <c r="T904" s="27"/>
      <c r="U904" s="27"/>
      <c r="V904" s="27"/>
      <c r="W904" s="27"/>
      <c r="X904" s="27"/>
      <c r="Y904" s="27"/>
      <c r="Z904" s="27"/>
      <c r="AA904" s="27"/>
      <c r="AB904" s="27"/>
      <c r="AC904" s="27"/>
      <c r="AD904" s="27"/>
      <c r="AE904" s="27"/>
      <c r="AF904" s="27"/>
      <c r="AG904" s="27"/>
      <c r="AH904" s="27">
        <v>155.0</v>
      </c>
      <c r="AI904" s="27">
        <v>278.0</v>
      </c>
      <c r="AJ904" s="27">
        <v>0.0</v>
      </c>
      <c r="AK904" s="27" t="b">
        <v>1</v>
      </c>
      <c r="AL904" s="27">
        <v>59.0</v>
      </c>
      <c r="AM904" s="27" t="s">
        <v>189</v>
      </c>
      <c r="AN904" s="27" t="s">
        <v>405</v>
      </c>
      <c r="AO904" s="27"/>
    </row>
    <row r="905">
      <c r="A905" s="200">
        <v>44845.02510600694</v>
      </c>
      <c r="B905" s="19" t="s">
        <v>141</v>
      </c>
      <c r="C905" s="21" t="s">
        <v>287</v>
      </c>
      <c r="D905" s="62">
        <v>6.0</v>
      </c>
      <c r="E905" s="27">
        <v>0.0</v>
      </c>
      <c r="F905" s="27" t="s">
        <v>1749</v>
      </c>
      <c r="G905" s="201" t="s">
        <v>57</v>
      </c>
      <c r="H905" s="27" t="s">
        <v>148</v>
      </c>
      <c r="I905" s="27"/>
      <c r="J905" s="33">
        <v>-16.0</v>
      </c>
      <c r="K905" s="33">
        <v>-24.5</v>
      </c>
      <c r="L905" s="66">
        <v>48.0</v>
      </c>
      <c r="M905" s="27" t="s">
        <v>1165</v>
      </c>
      <c r="N905" s="27">
        <v>-24.5</v>
      </c>
      <c r="O905" s="27"/>
      <c r="P905" s="27">
        <v>-24.0</v>
      </c>
      <c r="Q905" s="27"/>
      <c r="R905" s="27">
        <v>-24.0</v>
      </c>
      <c r="S905" s="27"/>
      <c r="T905" s="27">
        <v>-24.5</v>
      </c>
      <c r="U905" s="27"/>
      <c r="V905" s="27">
        <v>-24.0</v>
      </c>
      <c r="W905" s="27"/>
      <c r="X905" s="27">
        <v>-24.0</v>
      </c>
      <c r="Y905" s="27"/>
      <c r="Z905" s="27">
        <v>-24.5</v>
      </c>
      <c r="AA905" s="27"/>
      <c r="AB905" s="27">
        <v>-24.0</v>
      </c>
      <c r="AC905" s="27"/>
      <c r="AD905" s="27">
        <v>-24.5</v>
      </c>
      <c r="AE905" s="27"/>
      <c r="AF905" s="27">
        <v>-24.5</v>
      </c>
      <c r="AG905" s="27"/>
      <c r="AH905" s="27">
        <v>266.0</v>
      </c>
      <c r="AI905" s="27">
        <v>75.0</v>
      </c>
      <c r="AJ905" s="27">
        <v>2.0</v>
      </c>
      <c r="AK905" s="27" t="b">
        <v>1</v>
      </c>
      <c r="AL905" s="27">
        <v>100.0</v>
      </c>
      <c r="AM905" s="27" t="s">
        <v>192</v>
      </c>
      <c r="AN905" s="27" t="s">
        <v>404</v>
      </c>
      <c r="AO905" s="27"/>
    </row>
    <row r="906">
      <c r="A906" s="200">
        <v>44845.02510600694</v>
      </c>
      <c r="B906" s="19" t="s">
        <v>141</v>
      </c>
      <c r="C906" s="21" t="s">
        <v>393</v>
      </c>
      <c r="D906" s="62">
        <v>4.0</v>
      </c>
      <c r="E906" s="27">
        <v>2.0</v>
      </c>
      <c r="F906" s="27" t="s">
        <v>1750</v>
      </c>
      <c r="G906" s="201" t="s">
        <v>57</v>
      </c>
      <c r="H906" s="27" t="s">
        <v>109</v>
      </c>
      <c r="I906" s="27"/>
      <c r="J906" s="33">
        <v>9.5</v>
      </c>
      <c r="K906" s="33">
        <v>4.0</v>
      </c>
      <c r="L906" s="66">
        <v>51.5</v>
      </c>
      <c r="M906" s="27" t="s">
        <v>1650</v>
      </c>
      <c r="N906" s="27">
        <v>3.5</v>
      </c>
      <c r="O906" s="27"/>
      <c r="P906" s="27">
        <v>3.5</v>
      </c>
      <c r="Q906" s="27"/>
      <c r="R906" s="27">
        <v>3.5</v>
      </c>
      <c r="S906" s="27"/>
      <c r="T906" s="27">
        <v>4.0</v>
      </c>
      <c r="U906" s="27"/>
      <c r="V906" s="27">
        <v>3.5</v>
      </c>
      <c r="W906" s="27"/>
      <c r="X906" s="27">
        <v>3.5</v>
      </c>
      <c r="Y906" s="27"/>
      <c r="Z906" s="27">
        <v>4.0</v>
      </c>
      <c r="AA906" s="27"/>
      <c r="AB906" s="27">
        <v>4.0</v>
      </c>
      <c r="AC906" s="27"/>
      <c r="AD906" s="27">
        <v>4.0</v>
      </c>
      <c r="AE906" s="27"/>
      <c r="AF906" s="27">
        <v>4.0</v>
      </c>
      <c r="AG906" s="27"/>
      <c r="AH906" s="27">
        <v>192.0</v>
      </c>
      <c r="AI906" s="27">
        <v>160.0</v>
      </c>
      <c r="AJ906" s="27">
        <v>2.0</v>
      </c>
      <c r="AK906" s="27" t="b">
        <v>1</v>
      </c>
      <c r="AL906" s="27">
        <v>100.0</v>
      </c>
      <c r="AM906" s="27" t="s">
        <v>187</v>
      </c>
      <c r="AN906" s="27" t="s">
        <v>404</v>
      </c>
      <c r="AO906" s="27"/>
    </row>
    <row r="907">
      <c r="A907" s="200">
        <v>44845.02510600694</v>
      </c>
      <c r="B907" s="19" t="s">
        <v>141</v>
      </c>
      <c r="C907" s="21" t="s">
        <v>318</v>
      </c>
      <c r="D907" s="62">
        <v>4.0</v>
      </c>
      <c r="E907" s="27">
        <v>2.0</v>
      </c>
      <c r="F907" s="27" t="s">
        <v>1751</v>
      </c>
      <c r="G907" s="201" t="s">
        <v>57</v>
      </c>
      <c r="H907" s="27" t="s">
        <v>144</v>
      </c>
      <c r="I907" s="27"/>
      <c r="J907" s="33">
        <v>-7.0</v>
      </c>
      <c r="K907" s="33">
        <v>-7.0</v>
      </c>
      <c r="L907" s="66">
        <v>54.0</v>
      </c>
      <c r="M907" s="27" t="s">
        <v>1752</v>
      </c>
      <c r="N907" s="27">
        <v>-7.0</v>
      </c>
      <c r="O907" s="27"/>
      <c r="P907" s="27">
        <v>-6.5</v>
      </c>
      <c r="Q907" s="27"/>
      <c r="R907" s="27">
        <v>-7.0</v>
      </c>
      <c r="S907" s="27"/>
      <c r="T907" s="27">
        <v>-7.0</v>
      </c>
      <c r="U907" s="27"/>
      <c r="V907" s="27">
        <v>-7.0</v>
      </c>
      <c r="W907" s="27"/>
      <c r="X907" s="27">
        <v>-7.0</v>
      </c>
      <c r="Y907" s="27"/>
      <c r="Z907" s="27">
        <v>-7.0</v>
      </c>
      <c r="AA907" s="27"/>
      <c r="AB907" s="27">
        <v>-7.0</v>
      </c>
      <c r="AC907" s="27"/>
      <c r="AD907" s="27">
        <v>-7.0</v>
      </c>
      <c r="AE907" s="27"/>
      <c r="AF907" s="27" t="s">
        <v>1091</v>
      </c>
      <c r="AG907" s="27" t="s">
        <v>1091</v>
      </c>
      <c r="AH907" s="27">
        <v>153.0</v>
      </c>
      <c r="AI907" s="27">
        <v>121.0</v>
      </c>
      <c r="AJ907" s="27">
        <v>2.0</v>
      </c>
      <c r="AK907" s="27" t="b">
        <v>0</v>
      </c>
      <c r="AL907" s="27">
        <v>100.0</v>
      </c>
      <c r="AM907" s="27" t="s">
        <v>193</v>
      </c>
      <c r="AN907" s="27" t="s">
        <v>405</v>
      </c>
      <c r="AO907" s="27"/>
    </row>
    <row r="908">
      <c r="A908" s="200">
        <v>44845.02510600694</v>
      </c>
      <c r="B908" s="19" t="s">
        <v>141</v>
      </c>
      <c r="C908" s="21" t="s">
        <v>323</v>
      </c>
      <c r="D908" s="62">
        <v>1.0</v>
      </c>
      <c r="E908" s="27">
        <v>5.0</v>
      </c>
      <c r="F908" s="27" t="s">
        <v>1693</v>
      </c>
      <c r="G908" s="201" t="s">
        <v>57</v>
      </c>
      <c r="H908" s="27" t="s">
        <v>53</v>
      </c>
      <c r="I908" s="27"/>
      <c r="J908" s="33">
        <v>11.0</v>
      </c>
      <c r="K908" s="33">
        <v>10.0</v>
      </c>
      <c r="L908" s="66">
        <v>59.0</v>
      </c>
      <c r="M908" s="27" t="s">
        <v>1576</v>
      </c>
      <c r="N908" s="27">
        <v>10.0</v>
      </c>
      <c r="O908" s="27"/>
      <c r="P908" s="27">
        <v>10.0</v>
      </c>
      <c r="Q908" s="27"/>
      <c r="R908" s="27">
        <v>10.5</v>
      </c>
      <c r="S908" s="27"/>
      <c r="T908" s="27">
        <v>10.0</v>
      </c>
      <c r="U908" s="27"/>
      <c r="V908" s="27">
        <v>10.0</v>
      </c>
      <c r="W908" s="27"/>
      <c r="X908" s="27">
        <v>9.5</v>
      </c>
      <c r="Y908" s="27"/>
      <c r="Z908" s="27">
        <v>10.0</v>
      </c>
      <c r="AA908" s="27"/>
      <c r="AB908" s="27">
        <v>10.0</v>
      </c>
      <c r="AC908" s="27"/>
      <c r="AD908" s="27">
        <v>10.0</v>
      </c>
      <c r="AE908" s="27"/>
      <c r="AF908" s="27" t="s">
        <v>1091</v>
      </c>
      <c r="AG908" s="27" t="s">
        <v>1091</v>
      </c>
      <c r="AH908" s="27">
        <v>110.0</v>
      </c>
      <c r="AI908" s="27">
        <v>245.0</v>
      </c>
      <c r="AJ908" s="27">
        <v>2.0</v>
      </c>
      <c r="AK908" s="27" t="b">
        <v>0</v>
      </c>
      <c r="AL908" s="27">
        <v>100.0</v>
      </c>
      <c r="AM908" s="27" t="s">
        <v>190</v>
      </c>
      <c r="AN908" s="27" t="s">
        <v>405</v>
      </c>
      <c r="AO908" s="27"/>
    </row>
    <row r="909">
      <c r="A909" s="200">
        <v>44845.02510600694</v>
      </c>
      <c r="B909" s="19" t="s">
        <v>141</v>
      </c>
      <c r="C909" s="21" t="s">
        <v>353</v>
      </c>
      <c r="D909" s="62">
        <v>3.0</v>
      </c>
      <c r="E909" s="27">
        <v>3.0</v>
      </c>
      <c r="F909" s="27" t="s">
        <v>1694</v>
      </c>
      <c r="G909" s="201" t="s">
        <v>57</v>
      </c>
      <c r="H909" s="27" t="s">
        <v>53</v>
      </c>
      <c r="I909" s="27"/>
      <c r="J909" s="33">
        <v>-5.0</v>
      </c>
      <c r="K909" s="33">
        <v>1.5</v>
      </c>
      <c r="L909" s="66">
        <v>47.5</v>
      </c>
      <c r="M909" s="27" t="s">
        <v>1417</v>
      </c>
      <c r="N909" s="27">
        <v>1.5</v>
      </c>
      <c r="O909" s="27"/>
      <c r="P909" s="27">
        <v>1.5</v>
      </c>
      <c r="Q909" s="27"/>
      <c r="R909" s="27">
        <v>1.0</v>
      </c>
      <c r="S909" s="27"/>
      <c r="T909" s="27">
        <v>2.5</v>
      </c>
      <c r="U909" s="27"/>
      <c r="V909" s="27">
        <v>1.5</v>
      </c>
      <c r="W909" s="27"/>
      <c r="X909" s="27">
        <v>1.5</v>
      </c>
      <c r="Y909" s="27"/>
      <c r="Z909" s="27">
        <v>1.5</v>
      </c>
      <c r="AA909" s="27" t="s">
        <v>1091</v>
      </c>
      <c r="AB909" s="27">
        <v>1.5</v>
      </c>
      <c r="AC909" s="27" t="s">
        <v>1091</v>
      </c>
      <c r="AD909" s="27">
        <v>2.5</v>
      </c>
      <c r="AE909" s="27" t="s">
        <v>1091</v>
      </c>
      <c r="AF909" s="27">
        <v>2.5</v>
      </c>
      <c r="AG909" s="27" t="s">
        <v>1091</v>
      </c>
      <c r="AH909" s="27">
        <v>166.0</v>
      </c>
      <c r="AI909" s="27">
        <v>134.0</v>
      </c>
      <c r="AJ909" s="27">
        <v>2.0</v>
      </c>
      <c r="AK909" s="27" t="b">
        <v>1</v>
      </c>
      <c r="AL909" s="27">
        <v>100.0</v>
      </c>
      <c r="AM909" s="27" t="s">
        <v>186</v>
      </c>
      <c r="AN909" s="27" t="s">
        <v>404</v>
      </c>
      <c r="AO909" s="27"/>
    </row>
    <row r="910">
      <c r="A910" s="200">
        <v>44845.02510600694</v>
      </c>
      <c r="B910" s="19" t="s">
        <v>141</v>
      </c>
      <c r="C910" s="21" t="s">
        <v>349</v>
      </c>
      <c r="D910" s="62">
        <v>4.0</v>
      </c>
      <c r="E910" s="27">
        <v>1.0</v>
      </c>
      <c r="F910" s="27" t="s">
        <v>1744</v>
      </c>
      <c r="G910" s="201" t="s">
        <v>57</v>
      </c>
      <c r="H910" s="27" t="s">
        <v>59</v>
      </c>
      <c r="I910" s="27"/>
      <c r="J910" s="33"/>
      <c r="K910" s="33"/>
      <c r="L910" s="66"/>
      <c r="M910" s="27"/>
      <c r="N910" s="27"/>
      <c r="O910" s="27"/>
      <c r="P910" s="27"/>
      <c r="Q910" s="27"/>
      <c r="R910" s="27"/>
      <c r="S910" s="27"/>
      <c r="T910" s="27"/>
      <c r="U910" s="27"/>
      <c r="V910" s="27"/>
      <c r="W910" s="27"/>
      <c r="X910" s="27"/>
      <c r="Y910" s="27"/>
      <c r="Z910" s="27"/>
      <c r="AA910" s="27"/>
      <c r="AB910" s="27"/>
      <c r="AC910" s="27"/>
      <c r="AD910" s="27"/>
      <c r="AE910" s="27"/>
      <c r="AF910" s="27"/>
      <c r="AG910" s="27"/>
      <c r="AH910" s="27">
        <v>144.0</v>
      </c>
      <c r="AI910" s="27">
        <v>70.0</v>
      </c>
      <c r="AJ910" s="27">
        <v>2.0</v>
      </c>
      <c r="AK910" s="27" t="b">
        <v>0</v>
      </c>
      <c r="AL910" s="27">
        <v>100.0</v>
      </c>
      <c r="AM910" s="27" t="s">
        <v>129</v>
      </c>
      <c r="AN910" s="27" t="s">
        <v>405</v>
      </c>
      <c r="AO910" s="27"/>
    </row>
    <row r="911">
      <c r="A911" s="200">
        <v>44845.02510600694</v>
      </c>
      <c r="B911" s="19" t="s">
        <v>141</v>
      </c>
      <c r="C911" s="21" t="s">
        <v>365</v>
      </c>
      <c r="D911" s="62">
        <v>3.0</v>
      </c>
      <c r="E911" s="27">
        <v>3.0</v>
      </c>
      <c r="F911" s="27" t="s">
        <v>1753</v>
      </c>
      <c r="G911" s="201" t="s">
        <v>57</v>
      </c>
      <c r="H911" s="27" t="s">
        <v>141</v>
      </c>
      <c r="I911" s="27"/>
      <c r="J911" s="33">
        <v>-7.5</v>
      </c>
      <c r="K911" s="33">
        <v>-3.0</v>
      </c>
      <c r="L911" s="66">
        <v>50.0</v>
      </c>
      <c r="M911" s="27" t="s">
        <v>1541</v>
      </c>
      <c r="N911" s="27">
        <v>-3.0</v>
      </c>
      <c r="O911" s="27"/>
      <c r="P911" s="27">
        <v>-3.0</v>
      </c>
      <c r="Q911" s="27"/>
      <c r="R911" s="27">
        <v>-3.0</v>
      </c>
      <c r="S911" s="27"/>
      <c r="T911" s="27">
        <v>-3.0</v>
      </c>
      <c r="U911" s="27"/>
      <c r="V911" s="27" t="s">
        <v>1091</v>
      </c>
      <c r="W911" s="27" t="s">
        <v>1091</v>
      </c>
      <c r="X911" s="27" t="s">
        <v>1091</v>
      </c>
      <c r="Y911" s="27" t="s">
        <v>1091</v>
      </c>
      <c r="Z911" s="27" t="s">
        <v>1091</v>
      </c>
      <c r="AA911" s="27" t="s">
        <v>1091</v>
      </c>
      <c r="AB911" s="27" t="s">
        <v>1091</v>
      </c>
      <c r="AC911" s="27" t="s">
        <v>1091</v>
      </c>
      <c r="AD911" s="27" t="s">
        <v>1091</v>
      </c>
      <c r="AE911" s="27" t="s">
        <v>1091</v>
      </c>
      <c r="AF911" s="27" t="s">
        <v>1091</v>
      </c>
      <c r="AG911" s="27" t="s">
        <v>1091</v>
      </c>
      <c r="AH911" s="27">
        <v>171.0</v>
      </c>
      <c r="AI911" s="27">
        <v>176.0</v>
      </c>
      <c r="AJ911" s="27">
        <v>2.0</v>
      </c>
      <c r="AK911" s="27" t="b">
        <v>1</v>
      </c>
      <c r="AL911" s="27">
        <v>100.0</v>
      </c>
      <c r="AM911" s="27" t="s">
        <v>188</v>
      </c>
      <c r="AN911" s="27" t="s">
        <v>404</v>
      </c>
      <c r="AO911" s="27"/>
    </row>
    <row r="912">
      <c r="A912" s="200">
        <v>44845.02510600694</v>
      </c>
      <c r="B912" s="19" t="s">
        <v>141</v>
      </c>
      <c r="C912" s="21" t="s">
        <v>386</v>
      </c>
      <c r="D912" s="62">
        <v>3.0</v>
      </c>
      <c r="E912" s="27">
        <v>3.0</v>
      </c>
      <c r="F912" s="27" t="s">
        <v>1753</v>
      </c>
      <c r="G912" s="201" t="s">
        <v>57</v>
      </c>
      <c r="H912" s="27" t="s">
        <v>141</v>
      </c>
      <c r="I912" s="27"/>
      <c r="J912" s="33">
        <v>7.5</v>
      </c>
      <c r="K912" s="33">
        <v>3.0</v>
      </c>
      <c r="L912" s="66">
        <v>50.0</v>
      </c>
      <c r="M912" s="27" t="s">
        <v>1541</v>
      </c>
      <c r="N912" s="27">
        <v>3.0</v>
      </c>
      <c r="O912" s="27"/>
      <c r="P912" s="27">
        <v>3.0</v>
      </c>
      <c r="Q912" s="27"/>
      <c r="R912" s="27">
        <v>3.0</v>
      </c>
      <c r="S912" s="27"/>
      <c r="T912" s="27">
        <v>3.0</v>
      </c>
      <c r="U912" s="27"/>
      <c r="V912" s="27" t="s">
        <v>1091</v>
      </c>
      <c r="W912" s="27" t="s">
        <v>1091</v>
      </c>
      <c r="X912" s="27" t="s">
        <v>1091</v>
      </c>
      <c r="Y912" s="27" t="s">
        <v>1091</v>
      </c>
      <c r="Z912" s="27" t="s">
        <v>1091</v>
      </c>
      <c r="AA912" s="27" t="s">
        <v>1091</v>
      </c>
      <c r="AB912" s="27" t="s">
        <v>1091</v>
      </c>
      <c r="AC912" s="27" t="s">
        <v>1091</v>
      </c>
      <c r="AD912" s="27" t="s">
        <v>1091</v>
      </c>
      <c r="AE912" s="27" t="s">
        <v>1091</v>
      </c>
      <c r="AF912" s="27" t="s">
        <v>1091</v>
      </c>
      <c r="AG912" s="27" t="s">
        <v>1091</v>
      </c>
      <c r="AH912" s="27">
        <v>137.0</v>
      </c>
      <c r="AI912" s="27">
        <v>132.0</v>
      </c>
      <c r="AJ912" s="27">
        <v>2.0</v>
      </c>
      <c r="AK912" s="27" t="b">
        <v>0</v>
      </c>
      <c r="AL912" s="27">
        <v>100.0</v>
      </c>
      <c r="AM912" s="27" t="s">
        <v>191</v>
      </c>
      <c r="AN912" s="27" t="s">
        <v>404</v>
      </c>
      <c r="AO912" s="27"/>
    </row>
    <row r="913">
      <c r="A913" s="200">
        <v>44845.02510600694</v>
      </c>
      <c r="B913" s="19" t="s">
        <v>141</v>
      </c>
      <c r="C913" s="21" t="s">
        <v>314</v>
      </c>
      <c r="D913" s="62">
        <v>2.0</v>
      </c>
      <c r="E913" s="27">
        <v>3.0</v>
      </c>
      <c r="F913" s="27" t="s">
        <v>1754</v>
      </c>
      <c r="G913" s="201" t="s">
        <v>57</v>
      </c>
      <c r="H913" s="27" t="s">
        <v>148</v>
      </c>
      <c r="I913" s="27"/>
      <c r="J913" s="33">
        <v>4.0</v>
      </c>
      <c r="K913" s="33">
        <v>3.0</v>
      </c>
      <c r="L913" s="66">
        <v>64.5</v>
      </c>
      <c r="M913" s="27" t="s">
        <v>1755</v>
      </c>
      <c r="N913" s="27">
        <v>3.0</v>
      </c>
      <c r="O913" s="27"/>
      <c r="P913" s="27">
        <v>3.0</v>
      </c>
      <c r="Q913" s="27"/>
      <c r="R913" s="27">
        <v>3.5</v>
      </c>
      <c r="S913" s="27"/>
      <c r="T913" s="27">
        <v>3.0</v>
      </c>
      <c r="U913" s="27"/>
      <c r="V913" s="27">
        <v>3.0</v>
      </c>
      <c r="W913" s="27"/>
      <c r="X913" s="27">
        <v>3.0</v>
      </c>
      <c r="Y913" s="27"/>
      <c r="Z913" s="27">
        <v>3.0</v>
      </c>
      <c r="AA913" s="27"/>
      <c r="AB913" s="27">
        <v>3.0</v>
      </c>
      <c r="AC913" s="27"/>
      <c r="AD913" s="27">
        <v>3.0</v>
      </c>
      <c r="AE913" s="27"/>
      <c r="AF913" s="27">
        <v>3.0</v>
      </c>
      <c r="AG913" s="27"/>
      <c r="AH913" s="27">
        <v>173.0</v>
      </c>
      <c r="AI913" s="27">
        <v>143.0</v>
      </c>
      <c r="AJ913" s="27">
        <v>2.0</v>
      </c>
      <c r="AK913" s="27" t="b">
        <v>1</v>
      </c>
      <c r="AL913" s="27">
        <v>100.0</v>
      </c>
      <c r="AM913" s="27" t="s">
        <v>389</v>
      </c>
      <c r="AN913" s="27" t="s">
        <v>405</v>
      </c>
      <c r="AO913" s="27"/>
    </row>
    <row r="914">
      <c r="A914" s="200">
        <v>44845.02510600694</v>
      </c>
      <c r="B914" s="19"/>
      <c r="C914" s="21"/>
      <c r="D914" s="62"/>
      <c r="E914" s="27"/>
      <c r="F914" s="27"/>
      <c r="G914" s="201"/>
      <c r="H914" s="27"/>
      <c r="I914" s="27"/>
      <c r="J914" s="33"/>
      <c r="K914" s="33"/>
      <c r="L914" s="66"/>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t="e">
        <v>#N/A</v>
      </c>
      <c r="AN914" s="27" t="e">
        <v>#N/A</v>
      </c>
      <c r="AO914" s="27"/>
    </row>
    <row r="915">
      <c r="A915" s="200">
        <v>44845.02510600694</v>
      </c>
      <c r="B915" s="19" t="s">
        <v>109</v>
      </c>
      <c r="C915" s="21" t="s">
        <v>394</v>
      </c>
      <c r="D915" s="62">
        <v>1.0</v>
      </c>
      <c r="E915" s="27">
        <v>5.0</v>
      </c>
      <c r="F915" s="27"/>
      <c r="G915" s="201"/>
      <c r="H915" s="27"/>
      <c r="I915" s="27" t="s">
        <v>1756</v>
      </c>
      <c r="J915" s="33"/>
      <c r="K915" s="33"/>
      <c r="L915" s="66"/>
      <c r="M915" s="27"/>
      <c r="N915" s="27"/>
      <c r="O915" s="27"/>
      <c r="P915" s="27"/>
      <c r="Q915" s="27"/>
      <c r="R915" s="27"/>
      <c r="S915" s="27"/>
      <c r="T915" s="27"/>
      <c r="U915" s="27"/>
      <c r="V915" s="27"/>
      <c r="W915" s="27"/>
      <c r="X915" s="27"/>
      <c r="Y915" s="27"/>
      <c r="Z915" s="27"/>
      <c r="AA915" s="27"/>
      <c r="AB915" s="27"/>
      <c r="AC915" s="27"/>
      <c r="AD915" s="27"/>
      <c r="AE915" s="27"/>
      <c r="AF915" s="27"/>
      <c r="AG915" s="27"/>
      <c r="AH915" s="27">
        <v>84.0</v>
      </c>
      <c r="AI915" s="27">
        <v>194.0</v>
      </c>
      <c r="AJ915" s="27">
        <v>0.0</v>
      </c>
      <c r="AK915" s="27" t="b">
        <v>1</v>
      </c>
      <c r="AL915" s="27">
        <v>59.0</v>
      </c>
      <c r="AM915" s="27" t="s">
        <v>129</v>
      </c>
      <c r="AN915" s="27" t="s">
        <v>405</v>
      </c>
      <c r="AO915" s="27"/>
    </row>
    <row r="916">
      <c r="A916" s="200">
        <v>44845.02510600694</v>
      </c>
      <c r="B916" s="19" t="s">
        <v>109</v>
      </c>
      <c r="C916" s="21" t="s">
        <v>292</v>
      </c>
      <c r="D916" s="62">
        <v>2.0</v>
      </c>
      <c r="E916" s="27">
        <v>3.0</v>
      </c>
      <c r="F916" s="27"/>
      <c r="G916" s="201"/>
      <c r="H916" s="27"/>
      <c r="I916" s="27" t="s">
        <v>105</v>
      </c>
      <c r="J916" s="33"/>
      <c r="K916" s="33"/>
      <c r="L916" s="66"/>
      <c r="M916" s="27"/>
      <c r="N916" s="27"/>
      <c r="O916" s="27"/>
      <c r="P916" s="27"/>
      <c r="Q916" s="27"/>
      <c r="R916" s="27"/>
      <c r="S916" s="27"/>
      <c r="T916" s="27"/>
      <c r="U916" s="27"/>
      <c r="V916" s="27"/>
      <c r="W916" s="27"/>
      <c r="X916" s="27"/>
      <c r="Y916" s="27"/>
      <c r="Z916" s="27"/>
      <c r="AA916" s="27"/>
      <c r="AB916" s="27"/>
      <c r="AC916" s="27"/>
      <c r="AD916" s="27"/>
      <c r="AE916" s="27"/>
      <c r="AF916" s="27"/>
      <c r="AG916" s="27"/>
      <c r="AH916" s="27">
        <v>128.0</v>
      </c>
      <c r="AI916" s="27">
        <v>102.0</v>
      </c>
      <c r="AJ916" s="27">
        <v>0.0</v>
      </c>
      <c r="AK916" s="27" t="b">
        <v>1</v>
      </c>
      <c r="AL916" s="27">
        <v>59.0</v>
      </c>
      <c r="AM916" s="27" t="s">
        <v>193</v>
      </c>
      <c r="AN916" s="27" t="s">
        <v>405</v>
      </c>
      <c r="AO916" s="27"/>
    </row>
    <row r="917">
      <c r="A917" s="200">
        <v>44845.02510600694</v>
      </c>
      <c r="B917" s="19" t="s">
        <v>109</v>
      </c>
      <c r="C917" s="21" t="s">
        <v>375</v>
      </c>
      <c r="D917" s="62">
        <v>5.0</v>
      </c>
      <c r="E917" s="27">
        <v>0.0</v>
      </c>
      <c r="F917" s="27"/>
      <c r="G917" s="201"/>
      <c r="H917" s="27"/>
      <c r="I917" s="27" t="s">
        <v>74</v>
      </c>
      <c r="J917" s="33"/>
      <c r="K917" s="33"/>
      <c r="L917" s="66"/>
      <c r="M917" s="27"/>
      <c r="N917" s="27"/>
      <c r="O917" s="27"/>
      <c r="P917" s="27"/>
      <c r="Q917" s="27"/>
      <c r="R917" s="27"/>
      <c r="S917" s="27"/>
      <c r="T917" s="27"/>
      <c r="U917" s="27"/>
      <c r="V917" s="27"/>
      <c r="W917" s="27"/>
      <c r="X917" s="27"/>
      <c r="Y917" s="27"/>
      <c r="Z917" s="27"/>
      <c r="AA917" s="27"/>
      <c r="AB917" s="27"/>
      <c r="AC917" s="27"/>
      <c r="AD917" s="27"/>
      <c r="AE917" s="27"/>
      <c r="AF917" s="27"/>
      <c r="AG917" s="27"/>
      <c r="AH917" s="27">
        <v>172.0</v>
      </c>
      <c r="AI917" s="27">
        <v>74.0</v>
      </c>
      <c r="AJ917" s="27">
        <v>0.0</v>
      </c>
      <c r="AK917" s="27" t="b">
        <v>1</v>
      </c>
      <c r="AL917" s="27">
        <v>59.0</v>
      </c>
      <c r="AM917" s="27" t="s">
        <v>188</v>
      </c>
      <c r="AN917" s="27" t="s">
        <v>404</v>
      </c>
      <c r="AO917" s="27"/>
    </row>
    <row r="918">
      <c r="A918" s="200">
        <v>44845.02510600694</v>
      </c>
      <c r="B918" s="19" t="s">
        <v>109</v>
      </c>
      <c r="C918" s="21" t="s">
        <v>400</v>
      </c>
      <c r="D918" s="62">
        <v>3.0</v>
      </c>
      <c r="E918" s="27">
        <v>2.0</v>
      </c>
      <c r="F918" s="27" t="s">
        <v>1750</v>
      </c>
      <c r="G918" s="201" t="s">
        <v>57</v>
      </c>
      <c r="H918" s="27" t="s">
        <v>141</v>
      </c>
      <c r="I918" s="27"/>
      <c r="J918" s="33">
        <v>-9.5</v>
      </c>
      <c r="K918" s="33">
        <v>-4.0</v>
      </c>
      <c r="L918" s="66">
        <v>51.5</v>
      </c>
      <c r="M918" s="27" t="s">
        <v>1650</v>
      </c>
      <c r="N918" s="27">
        <v>-3.5</v>
      </c>
      <c r="O918" s="27"/>
      <c r="P918" s="27">
        <v>-3.5</v>
      </c>
      <c r="Q918" s="27"/>
      <c r="R918" s="27">
        <v>-3.5</v>
      </c>
      <c r="S918" s="27"/>
      <c r="T918" s="27">
        <v>-4.0</v>
      </c>
      <c r="U918" s="27"/>
      <c r="V918" s="27">
        <v>-3.5</v>
      </c>
      <c r="W918" s="27"/>
      <c r="X918" s="27">
        <v>-3.5</v>
      </c>
      <c r="Y918" s="27"/>
      <c r="Z918" s="27">
        <v>-4.0</v>
      </c>
      <c r="AA918" s="27"/>
      <c r="AB918" s="27">
        <v>-4.0</v>
      </c>
      <c r="AC918" s="27"/>
      <c r="AD918" s="27">
        <v>-4.0</v>
      </c>
      <c r="AE918" s="27"/>
      <c r="AF918" s="27">
        <v>-4.0</v>
      </c>
      <c r="AG918" s="27"/>
      <c r="AH918" s="27">
        <v>128.0</v>
      </c>
      <c r="AI918" s="27">
        <v>116.0</v>
      </c>
      <c r="AJ918" s="27">
        <v>2.0</v>
      </c>
      <c r="AK918" s="27" t="b">
        <v>0</v>
      </c>
      <c r="AL918" s="27">
        <v>100.0</v>
      </c>
      <c r="AM918" s="27" t="s">
        <v>187</v>
      </c>
      <c r="AN918" s="27" t="s">
        <v>404</v>
      </c>
      <c r="AO918" s="27"/>
    </row>
    <row r="919">
      <c r="A919" s="200">
        <v>44845.02510600694</v>
      </c>
      <c r="B919" s="19" t="s">
        <v>109</v>
      </c>
      <c r="C919" s="21" t="s">
        <v>328</v>
      </c>
      <c r="D919" s="62">
        <v>2.0</v>
      </c>
      <c r="E919" s="27">
        <v>4.0</v>
      </c>
      <c r="F919" s="27" t="s">
        <v>1757</v>
      </c>
      <c r="G919" s="201" t="s">
        <v>57</v>
      </c>
      <c r="H919" s="27" t="s">
        <v>148</v>
      </c>
      <c r="I919" s="27"/>
      <c r="J919" s="33">
        <v>14.5</v>
      </c>
      <c r="K919" s="33">
        <v>13.5</v>
      </c>
      <c r="L919" s="66">
        <v>56.5</v>
      </c>
      <c r="M919" s="27" t="s">
        <v>1758</v>
      </c>
      <c r="N919" s="27">
        <v>13.5</v>
      </c>
      <c r="O919" s="27"/>
      <c r="P919" s="27">
        <v>13.5</v>
      </c>
      <c r="Q919" s="27"/>
      <c r="R919" s="27">
        <v>13.5</v>
      </c>
      <c r="S919" s="27"/>
      <c r="T919" s="27">
        <v>13.0</v>
      </c>
      <c r="U919" s="27"/>
      <c r="V919" s="27">
        <v>13.5</v>
      </c>
      <c r="W919" s="27"/>
      <c r="X919" s="27">
        <v>13.5</v>
      </c>
      <c r="Y919" s="27"/>
      <c r="Z919" s="27">
        <v>13.5</v>
      </c>
      <c r="AA919" s="27"/>
      <c r="AB919" s="27">
        <v>13.5</v>
      </c>
      <c r="AC919" s="27"/>
      <c r="AD919" s="27">
        <v>13.0</v>
      </c>
      <c r="AE919" s="27"/>
      <c r="AF919" s="27">
        <v>13.0</v>
      </c>
      <c r="AG919" s="27"/>
      <c r="AH919" s="27">
        <v>161.0</v>
      </c>
      <c r="AI919" s="27">
        <v>181.0</v>
      </c>
      <c r="AJ919" s="27">
        <v>2.0</v>
      </c>
      <c r="AK919" s="27" t="b">
        <v>0</v>
      </c>
      <c r="AL919" s="27">
        <v>100.0</v>
      </c>
      <c r="AM919" s="27" t="s">
        <v>191</v>
      </c>
      <c r="AN919" s="27" t="s">
        <v>404</v>
      </c>
      <c r="AO919" s="27"/>
    </row>
    <row r="920">
      <c r="A920" s="200">
        <v>44845.02510600694</v>
      </c>
      <c r="B920" s="19" t="s">
        <v>109</v>
      </c>
      <c r="C920" s="21" t="s">
        <v>367</v>
      </c>
      <c r="D920" s="62">
        <v>5.0</v>
      </c>
      <c r="E920" s="27">
        <v>1.0</v>
      </c>
      <c r="F920" s="27" t="s">
        <v>1759</v>
      </c>
      <c r="G920" s="201" t="s">
        <v>57</v>
      </c>
      <c r="H920" s="27" t="s">
        <v>144</v>
      </c>
      <c r="I920" s="27"/>
      <c r="J920" s="33">
        <v>4.5</v>
      </c>
      <c r="K920" s="33">
        <v>4.0</v>
      </c>
      <c r="L920" s="66">
        <v>67.5</v>
      </c>
      <c r="M920" s="27" t="s">
        <v>1760</v>
      </c>
      <c r="N920" s="27">
        <v>3.5</v>
      </c>
      <c r="O920" s="27"/>
      <c r="P920" s="27">
        <v>4.0</v>
      </c>
      <c r="Q920" s="27"/>
      <c r="R920" s="27">
        <v>3.5</v>
      </c>
      <c r="S920" s="27"/>
      <c r="T920" s="27">
        <v>4.0</v>
      </c>
      <c r="U920" s="27"/>
      <c r="V920" s="27">
        <v>4.0</v>
      </c>
      <c r="W920" s="27"/>
      <c r="X920" s="27">
        <v>4.0</v>
      </c>
      <c r="Y920" s="27"/>
      <c r="Z920" s="27">
        <v>4.0</v>
      </c>
      <c r="AA920" s="27"/>
      <c r="AB920" s="27">
        <v>4.0</v>
      </c>
      <c r="AC920" s="27"/>
      <c r="AD920" s="27">
        <v>4.0</v>
      </c>
      <c r="AE920" s="27"/>
      <c r="AF920" s="27">
        <v>4.0</v>
      </c>
      <c r="AG920" s="27"/>
      <c r="AH920" s="27">
        <v>254.0</v>
      </c>
      <c r="AI920" s="27">
        <v>192.0</v>
      </c>
      <c r="AJ920" s="27">
        <v>2.0</v>
      </c>
      <c r="AK920" s="27" t="b">
        <v>1</v>
      </c>
      <c r="AL920" s="27">
        <v>100.0</v>
      </c>
      <c r="AM920" s="27" t="s">
        <v>186</v>
      </c>
      <c r="AN920" s="27" t="s">
        <v>404</v>
      </c>
      <c r="AO920" s="27"/>
    </row>
    <row r="921">
      <c r="A921" s="200">
        <v>44845.02510600694</v>
      </c>
      <c r="B921" s="19" t="s">
        <v>109</v>
      </c>
      <c r="C921" s="21" t="s">
        <v>343</v>
      </c>
      <c r="D921" s="62">
        <v>3.0</v>
      </c>
      <c r="E921" s="27">
        <v>3.0</v>
      </c>
      <c r="F921" s="27" t="s">
        <v>1761</v>
      </c>
      <c r="G921" s="201" t="s">
        <v>57</v>
      </c>
      <c r="H921" s="27" t="s">
        <v>103</v>
      </c>
      <c r="I921" s="27"/>
      <c r="J921" s="33" t="s">
        <v>1091</v>
      </c>
      <c r="K921" s="33" t="s">
        <v>1091</v>
      </c>
      <c r="L921" s="26" t="s">
        <v>1091</v>
      </c>
      <c r="M921" s="27" t="s">
        <v>1091</v>
      </c>
      <c r="N921" s="27" t="s">
        <v>1091</v>
      </c>
      <c r="O921" s="27" t="s">
        <v>1091</v>
      </c>
      <c r="P921" s="27" t="s">
        <v>1091</v>
      </c>
      <c r="Q921" s="27" t="s">
        <v>1091</v>
      </c>
      <c r="R921" s="27" t="s">
        <v>1091</v>
      </c>
      <c r="S921" s="27" t="s">
        <v>1091</v>
      </c>
      <c r="T921" s="27" t="s">
        <v>1091</v>
      </c>
      <c r="U921" s="27" t="s">
        <v>1091</v>
      </c>
      <c r="V921" s="27" t="s">
        <v>1091</v>
      </c>
      <c r="W921" s="27" t="s">
        <v>1091</v>
      </c>
      <c r="X921" s="27" t="s">
        <v>1091</v>
      </c>
      <c r="Y921" s="27" t="s">
        <v>1091</v>
      </c>
      <c r="Z921" s="27" t="s">
        <v>1091</v>
      </c>
      <c r="AA921" s="27" t="s">
        <v>1091</v>
      </c>
      <c r="AB921" s="27" t="s">
        <v>1091</v>
      </c>
      <c r="AC921" s="27" t="s">
        <v>1091</v>
      </c>
      <c r="AD921" s="27" t="s">
        <v>1091</v>
      </c>
      <c r="AE921" s="27" t="s">
        <v>1091</v>
      </c>
      <c r="AF921" s="27" t="s">
        <v>1091</v>
      </c>
      <c r="AG921" s="27" t="s">
        <v>1091</v>
      </c>
      <c r="AH921" s="27">
        <v>179.0</v>
      </c>
      <c r="AI921" s="27">
        <v>186.0</v>
      </c>
      <c r="AJ921" s="27">
        <v>2.0</v>
      </c>
      <c r="AK921" s="27" t="b">
        <v>1</v>
      </c>
      <c r="AL921" s="27">
        <v>100.0</v>
      </c>
      <c r="AM921" s="27" t="s">
        <v>189</v>
      </c>
      <c r="AN921" s="27" t="s">
        <v>405</v>
      </c>
      <c r="AO921" s="27"/>
    </row>
    <row r="922">
      <c r="A922" s="200">
        <v>44845.02510600694</v>
      </c>
      <c r="B922" s="19" t="s">
        <v>109</v>
      </c>
      <c r="C922" s="21" t="s">
        <v>360</v>
      </c>
      <c r="D922" s="62">
        <v>4.0</v>
      </c>
      <c r="E922" s="27">
        <v>2.0</v>
      </c>
      <c r="F922" s="27" t="s">
        <v>1713</v>
      </c>
      <c r="G922" s="201" t="s">
        <v>57</v>
      </c>
      <c r="H922" s="27" t="s">
        <v>131</v>
      </c>
      <c r="I922" s="27"/>
      <c r="J922" s="33">
        <v>3.5</v>
      </c>
      <c r="K922" s="33">
        <v>2.5</v>
      </c>
      <c r="L922" s="66">
        <v>64.0</v>
      </c>
      <c r="M922" s="27" t="s">
        <v>1624</v>
      </c>
      <c r="N922" s="27">
        <v>2.5</v>
      </c>
      <c r="O922" s="27"/>
      <c r="P922" s="27">
        <v>2.5</v>
      </c>
      <c r="Q922" s="27"/>
      <c r="R922" s="27">
        <v>2.5</v>
      </c>
      <c r="S922" s="27"/>
      <c r="T922" s="27">
        <v>2.5</v>
      </c>
      <c r="U922" s="27"/>
      <c r="V922" s="27">
        <v>2.5</v>
      </c>
      <c r="W922" s="27"/>
      <c r="X922" s="27">
        <v>2.5</v>
      </c>
      <c r="Y922" s="27"/>
      <c r="Z922" s="27">
        <v>2.5</v>
      </c>
      <c r="AA922" s="27"/>
      <c r="AB922" s="27">
        <v>3.0</v>
      </c>
      <c r="AC922" s="27"/>
      <c r="AD922" s="27">
        <v>2.5</v>
      </c>
      <c r="AE922" s="27"/>
      <c r="AF922" s="27">
        <v>2.5</v>
      </c>
      <c r="AG922" s="27"/>
      <c r="AH922" s="27">
        <v>191.0</v>
      </c>
      <c r="AI922" s="27">
        <v>114.0</v>
      </c>
      <c r="AJ922" s="27">
        <v>2.0</v>
      </c>
      <c r="AK922" s="27" t="b">
        <v>1</v>
      </c>
      <c r="AL922" s="27">
        <v>100.0</v>
      </c>
      <c r="AM922" s="27" t="s">
        <v>192</v>
      </c>
      <c r="AN922" s="27" t="s">
        <v>404</v>
      </c>
      <c r="AO922" s="27"/>
    </row>
    <row r="923">
      <c r="A923" s="200">
        <v>44845.02510600694</v>
      </c>
      <c r="B923" s="19" t="s">
        <v>109</v>
      </c>
      <c r="C923" s="21" t="s">
        <v>344</v>
      </c>
      <c r="D923" s="62">
        <v>3.0</v>
      </c>
      <c r="E923" s="27">
        <v>3.0</v>
      </c>
      <c r="F923" s="27" t="s">
        <v>1762</v>
      </c>
      <c r="G923" s="201" t="s">
        <v>57</v>
      </c>
      <c r="H923" s="27" t="s">
        <v>148</v>
      </c>
      <c r="I923" s="27"/>
      <c r="J923" s="33">
        <v>1.0</v>
      </c>
      <c r="K923" s="33">
        <v>-2.0</v>
      </c>
      <c r="L923" s="66">
        <v>55.5</v>
      </c>
      <c r="M923" s="27" t="s">
        <v>1763</v>
      </c>
      <c r="N923" s="27">
        <v>-2.0</v>
      </c>
      <c r="O923" s="27"/>
      <c r="P923" s="27">
        <v>-2.0</v>
      </c>
      <c r="Q923" s="27"/>
      <c r="R923" s="27">
        <v>-1.5</v>
      </c>
      <c r="S923" s="27"/>
      <c r="T923" s="27">
        <v>-2.0</v>
      </c>
      <c r="U923" s="27"/>
      <c r="V923" s="27">
        <v>-2.0</v>
      </c>
      <c r="W923" s="27"/>
      <c r="X923" s="27">
        <v>-2.0</v>
      </c>
      <c r="Y923" s="27"/>
      <c r="Z923" s="27">
        <v>-2.0</v>
      </c>
      <c r="AA923" s="27"/>
      <c r="AB923" s="27">
        <v>-2.0</v>
      </c>
      <c r="AC923" s="27"/>
      <c r="AD923" s="27">
        <v>-2.0</v>
      </c>
      <c r="AE923" s="27"/>
      <c r="AF923" s="27" t="s">
        <v>1091</v>
      </c>
      <c r="AG923" s="27" t="s">
        <v>1091</v>
      </c>
      <c r="AH923" s="27">
        <v>179.0</v>
      </c>
      <c r="AI923" s="27">
        <v>164.0</v>
      </c>
      <c r="AJ923" s="27">
        <v>2.0</v>
      </c>
      <c r="AK923" s="27" t="b">
        <v>1</v>
      </c>
      <c r="AL923" s="27">
        <v>100.0</v>
      </c>
      <c r="AM923" s="27" t="s">
        <v>190</v>
      </c>
      <c r="AN923" s="27" t="s">
        <v>405</v>
      </c>
      <c r="AO923" s="27"/>
    </row>
    <row r="924">
      <c r="A924" s="200">
        <v>44845.02510600694</v>
      </c>
      <c r="B924" s="19" t="s">
        <v>109</v>
      </c>
      <c r="C924" s="21" t="s">
        <v>339</v>
      </c>
      <c r="D924" s="62">
        <v>4.0</v>
      </c>
      <c r="E924" s="27">
        <v>2.0</v>
      </c>
      <c r="F924" s="27" t="s">
        <v>1764</v>
      </c>
      <c r="G924" s="201" t="s">
        <v>57</v>
      </c>
      <c r="H924" s="27" t="s">
        <v>154</v>
      </c>
      <c r="I924" s="27"/>
      <c r="J924" s="33">
        <v>-4.5</v>
      </c>
      <c r="K924" s="33">
        <v>-1.5</v>
      </c>
      <c r="L924" s="66">
        <v>57.5</v>
      </c>
      <c r="M924" s="27" t="s">
        <v>1765</v>
      </c>
      <c r="N924" s="27">
        <v>-1.5</v>
      </c>
      <c r="O924" s="27"/>
      <c r="P924" s="27">
        <v>-1.5</v>
      </c>
      <c r="Q924" s="27"/>
      <c r="R924" s="27">
        <v>-1.5</v>
      </c>
      <c r="S924" s="27"/>
      <c r="T924" s="27">
        <v>-1.5</v>
      </c>
      <c r="U924" s="27"/>
      <c r="V924" s="27">
        <v>-1.5</v>
      </c>
      <c r="W924" s="27"/>
      <c r="X924" s="27">
        <v>-1.5</v>
      </c>
      <c r="Y924" s="27"/>
      <c r="Z924" s="27">
        <v>-1.5</v>
      </c>
      <c r="AA924" s="27"/>
      <c r="AB924" s="27">
        <v>-1.5</v>
      </c>
      <c r="AC924" s="27"/>
      <c r="AD924" s="27">
        <v>-1.5</v>
      </c>
      <c r="AE924" s="27"/>
      <c r="AF924" s="27">
        <v>-1.5</v>
      </c>
      <c r="AG924" s="27"/>
      <c r="AH924" s="27">
        <v>204.0</v>
      </c>
      <c r="AI924" s="27">
        <v>164.0</v>
      </c>
      <c r="AJ924" s="27">
        <v>2.0</v>
      </c>
      <c r="AK924" s="27" t="b">
        <v>1</v>
      </c>
      <c r="AL924" s="27">
        <v>100.0</v>
      </c>
      <c r="AM924" s="27" t="s">
        <v>389</v>
      </c>
      <c r="AN924" s="27" t="s">
        <v>405</v>
      </c>
      <c r="AO924" s="27"/>
    </row>
    <row r="925">
      <c r="A925" s="200">
        <v>44845.02510600694</v>
      </c>
      <c r="B925" s="19"/>
      <c r="C925" s="21"/>
      <c r="D925" s="62"/>
      <c r="E925" s="27"/>
      <c r="F925" s="27"/>
      <c r="G925" s="201"/>
      <c r="H925" s="27"/>
      <c r="I925" s="27"/>
      <c r="J925" s="33"/>
      <c r="K925" s="33"/>
      <c r="L925" s="66"/>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t="e">
        <v>#N/A</v>
      </c>
      <c r="AN925" s="27" t="e">
        <v>#N/A</v>
      </c>
      <c r="AO925" s="27"/>
    </row>
    <row r="926">
      <c r="A926" s="200">
        <v>44845.02510600694</v>
      </c>
      <c r="B926" s="19" t="s">
        <v>144</v>
      </c>
      <c r="C926" s="21" t="s">
        <v>342</v>
      </c>
      <c r="D926" s="62">
        <v>0.0</v>
      </c>
      <c r="E926" s="27">
        <v>5.0</v>
      </c>
      <c r="F926" s="27"/>
      <c r="G926" s="201"/>
      <c r="H926" s="27"/>
      <c r="I926" s="27" t="s">
        <v>93</v>
      </c>
      <c r="J926" s="33"/>
      <c r="K926" s="33"/>
      <c r="L926" s="66"/>
      <c r="M926" s="27"/>
      <c r="N926" s="27"/>
      <c r="O926" s="27"/>
      <c r="P926" s="27"/>
      <c r="Q926" s="27"/>
      <c r="R926" s="27"/>
      <c r="S926" s="27"/>
      <c r="T926" s="27"/>
      <c r="U926" s="27"/>
      <c r="V926" s="27"/>
      <c r="W926" s="27"/>
      <c r="X926" s="27"/>
      <c r="Y926" s="27"/>
      <c r="Z926" s="27"/>
      <c r="AA926" s="27"/>
      <c r="AB926" s="27"/>
      <c r="AC926" s="27"/>
      <c r="AD926" s="27"/>
      <c r="AE926" s="27"/>
      <c r="AF926" s="27"/>
      <c r="AG926" s="27"/>
      <c r="AH926" s="27">
        <v>67.0</v>
      </c>
      <c r="AI926" s="27">
        <v>216.0</v>
      </c>
      <c r="AJ926" s="27">
        <v>0.0</v>
      </c>
      <c r="AK926" s="27" t="b">
        <v>1</v>
      </c>
      <c r="AL926" s="27">
        <v>59.0</v>
      </c>
      <c r="AM926" s="27" t="s">
        <v>191</v>
      </c>
      <c r="AN926" s="27" t="s">
        <v>404</v>
      </c>
      <c r="AO926" s="27"/>
    </row>
    <row r="927">
      <c r="A927" s="200">
        <v>44845.02510600694</v>
      </c>
      <c r="B927" s="19" t="s">
        <v>144</v>
      </c>
      <c r="C927" s="21" t="s">
        <v>371</v>
      </c>
      <c r="D927" s="62">
        <v>2.0</v>
      </c>
      <c r="E927" s="27">
        <v>3.0</v>
      </c>
      <c r="F927" s="27"/>
      <c r="G927" s="201"/>
      <c r="H927" s="27"/>
      <c r="I927" s="27" t="s">
        <v>88</v>
      </c>
      <c r="J927" s="33"/>
      <c r="K927" s="33"/>
      <c r="L927" s="66"/>
      <c r="M927" s="27"/>
      <c r="N927" s="27"/>
      <c r="O927" s="27"/>
      <c r="P927" s="27"/>
      <c r="Q927" s="27"/>
      <c r="R927" s="27"/>
      <c r="S927" s="27"/>
      <c r="T927" s="27"/>
      <c r="U927" s="27"/>
      <c r="V927" s="27"/>
      <c r="W927" s="27"/>
      <c r="X927" s="27"/>
      <c r="Y927" s="27"/>
      <c r="Z927" s="27"/>
      <c r="AA927" s="27"/>
      <c r="AB927" s="27"/>
      <c r="AC927" s="27"/>
      <c r="AD927" s="27"/>
      <c r="AE927" s="27"/>
      <c r="AF927" s="27"/>
      <c r="AG927" s="27"/>
      <c r="AH927" s="27">
        <v>191.0</v>
      </c>
      <c r="AI927" s="27">
        <v>148.0</v>
      </c>
      <c r="AJ927" s="27">
        <v>0.0</v>
      </c>
      <c r="AK927" s="27" t="b">
        <v>1</v>
      </c>
      <c r="AL927" s="27">
        <v>59.0</v>
      </c>
      <c r="AM927" s="27" t="s">
        <v>187</v>
      </c>
      <c r="AN927" s="27" t="s">
        <v>404</v>
      </c>
      <c r="AO927" s="27"/>
    </row>
    <row r="928">
      <c r="A928" s="200">
        <v>44845.02510600694</v>
      </c>
      <c r="B928" s="19" t="s">
        <v>144</v>
      </c>
      <c r="C928" s="21" t="s">
        <v>345</v>
      </c>
      <c r="D928" s="62">
        <v>1.0</v>
      </c>
      <c r="E928" s="27">
        <v>4.0</v>
      </c>
      <c r="F928" s="27" t="s">
        <v>1766</v>
      </c>
      <c r="G928" s="201" t="s">
        <v>57</v>
      </c>
      <c r="H928" s="27" t="s">
        <v>148</v>
      </c>
      <c r="I928" s="27"/>
      <c r="J928" s="33">
        <v>5.5</v>
      </c>
      <c r="K928" s="33">
        <v>10.5</v>
      </c>
      <c r="L928" s="66">
        <v>46.0</v>
      </c>
      <c r="M928" s="27" t="s">
        <v>1633</v>
      </c>
      <c r="N928" s="27">
        <v>10.0</v>
      </c>
      <c r="O928" s="27"/>
      <c r="P928" s="27">
        <v>10.5</v>
      </c>
      <c r="Q928" s="27"/>
      <c r="R928" s="27">
        <v>10.0</v>
      </c>
      <c r="S928" s="27"/>
      <c r="T928" s="27">
        <v>10.5</v>
      </c>
      <c r="U928" s="27"/>
      <c r="V928" s="27">
        <v>10.5</v>
      </c>
      <c r="W928" s="27"/>
      <c r="X928" s="27">
        <v>10.5</v>
      </c>
      <c r="Y928" s="27"/>
      <c r="Z928" s="27">
        <v>10.5</v>
      </c>
      <c r="AA928" s="27"/>
      <c r="AB928" s="27">
        <v>10.5</v>
      </c>
      <c r="AC928" s="27"/>
      <c r="AD928" s="27">
        <v>10.5</v>
      </c>
      <c r="AE928" s="27"/>
      <c r="AF928" s="27">
        <v>10.5</v>
      </c>
      <c r="AG928" s="27" t="s">
        <v>1091</v>
      </c>
      <c r="AH928" s="27">
        <v>118.0</v>
      </c>
      <c r="AI928" s="27">
        <v>146.0</v>
      </c>
      <c r="AJ928" s="27">
        <v>2.0</v>
      </c>
      <c r="AK928" s="27" t="b">
        <v>1</v>
      </c>
      <c r="AL928" s="27">
        <v>100.0</v>
      </c>
      <c r="AM928" s="27" t="s">
        <v>129</v>
      </c>
      <c r="AN928" s="27" t="s">
        <v>405</v>
      </c>
      <c r="AO928" s="27"/>
    </row>
    <row r="929">
      <c r="A929" s="200">
        <v>44845.02510600694</v>
      </c>
      <c r="B929" s="19" t="s">
        <v>144</v>
      </c>
      <c r="C929" s="21" t="s">
        <v>300</v>
      </c>
      <c r="D929" s="62">
        <v>6.0</v>
      </c>
      <c r="E929" s="27">
        <v>0.0</v>
      </c>
      <c r="F929" s="27" t="s">
        <v>1703</v>
      </c>
      <c r="G929" s="201" t="s">
        <v>57</v>
      </c>
      <c r="H929" s="27" t="s">
        <v>131</v>
      </c>
      <c r="I929" s="27"/>
      <c r="J929" s="33">
        <v>-14.0</v>
      </c>
      <c r="K929" s="33">
        <v>-12.5</v>
      </c>
      <c r="L929" s="66">
        <v>58.0</v>
      </c>
      <c r="M929" s="27" t="s">
        <v>1704</v>
      </c>
      <c r="N929" s="27">
        <v>-13.0</v>
      </c>
      <c r="O929" s="27"/>
      <c r="P929" s="27">
        <v>-12.5</v>
      </c>
      <c r="Q929" s="27"/>
      <c r="R929" s="27">
        <v>-12.5</v>
      </c>
      <c r="S929" s="27"/>
      <c r="T929" s="27">
        <v>-12.5</v>
      </c>
      <c r="U929" s="27"/>
      <c r="V929" s="27">
        <v>-12.5</v>
      </c>
      <c r="W929" s="27"/>
      <c r="X929" s="27">
        <v>-13.0</v>
      </c>
      <c r="Y929" s="27"/>
      <c r="Z929" s="27">
        <v>-12.5</v>
      </c>
      <c r="AA929" s="27"/>
      <c r="AB929" s="27">
        <v>-12.0</v>
      </c>
      <c r="AC929" s="27"/>
      <c r="AD929" s="27">
        <v>-12.5</v>
      </c>
      <c r="AE929" s="27"/>
      <c r="AF929" s="27">
        <v>-12.5</v>
      </c>
      <c r="AG929" s="27"/>
      <c r="AH929" s="27">
        <v>210.0</v>
      </c>
      <c r="AI929" s="27">
        <v>156.0</v>
      </c>
      <c r="AJ929" s="27">
        <v>2.0</v>
      </c>
      <c r="AK929" s="27" t="b">
        <v>1</v>
      </c>
      <c r="AL929" s="27">
        <v>100.0</v>
      </c>
      <c r="AM929" s="27" t="s">
        <v>193</v>
      </c>
      <c r="AN929" s="27" t="s">
        <v>405</v>
      </c>
      <c r="AO929" s="27"/>
    </row>
    <row r="930">
      <c r="A930" s="200">
        <v>44845.02510600694</v>
      </c>
      <c r="B930" s="19" t="s">
        <v>144</v>
      </c>
      <c r="C930" s="21" t="s">
        <v>321</v>
      </c>
      <c r="D930" s="62">
        <v>5.0</v>
      </c>
      <c r="E930" s="27">
        <v>1.0</v>
      </c>
      <c r="F930" s="27" t="s">
        <v>1767</v>
      </c>
      <c r="G930" s="201" t="s">
        <v>57</v>
      </c>
      <c r="H930" s="27" t="s">
        <v>116</v>
      </c>
      <c r="I930" s="27"/>
      <c r="J930" s="33">
        <v>-4.5</v>
      </c>
      <c r="K930" s="33">
        <v>-3.5</v>
      </c>
      <c r="L930" s="66">
        <v>36.5</v>
      </c>
      <c r="M930" s="27" t="s">
        <v>1768</v>
      </c>
      <c r="N930" s="27">
        <v>-3.5</v>
      </c>
      <c r="O930" s="27"/>
      <c r="P930" s="27">
        <v>-3.5</v>
      </c>
      <c r="Q930" s="27"/>
      <c r="R930" s="27">
        <v>-3.5</v>
      </c>
      <c r="S930" s="27"/>
      <c r="T930" s="27">
        <v>-3.5</v>
      </c>
      <c r="U930" s="27"/>
      <c r="V930" s="27">
        <v>-3.5</v>
      </c>
      <c r="W930" s="27"/>
      <c r="X930" s="27">
        <v>-4.0</v>
      </c>
      <c r="Y930" s="27"/>
      <c r="Z930" s="27">
        <v>-4.0</v>
      </c>
      <c r="AA930" s="27"/>
      <c r="AB930" s="27">
        <v>-3.5</v>
      </c>
      <c r="AC930" s="27"/>
      <c r="AD930" s="27">
        <v>-3.5</v>
      </c>
      <c r="AE930" s="27"/>
      <c r="AF930" s="27">
        <v>-3.5</v>
      </c>
      <c r="AG930" s="27"/>
      <c r="AH930" s="27">
        <v>156.0</v>
      </c>
      <c r="AI930" s="27">
        <v>48.0</v>
      </c>
      <c r="AJ930" s="27">
        <v>2.0</v>
      </c>
      <c r="AK930" s="27" t="b">
        <v>1</v>
      </c>
      <c r="AL930" s="27">
        <v>100.0</v>
      </c>
      <c r="AM930" s="27" t="s">
        <v>188</v>
      </c>
      <c r="AN930" s="27" t="s">
        <v>404</v>
      </c>
      <c r="AO930" s="27"/>
    </row>
    <row r="931">
      <c r="A931" s="200">
        <v>44845.02510600694</v>
      </c>
      <c r="B931" s="19" t="s">
        <v>144</v>
      </c>
      <c r="C931" s="21" t="s">
        <v>338</v>
      </c>
      <c r="D931" s="62">
        <v>2.0</v>
      </c>
      <c r="E931" s="27">
        <v>3.0</v>
      </c>
      <c r="F931" s="27" t="s">
        <v>1751</v>
      </c>
      <c r="G931" s="201" t="s">
        <v>57</v>
      </c>
      <c r="H931" s="27" t="s">
        <v>141</v>
      </c>
      <c r="I931" s="27"/>
      <c r="J931" s="33" t="s">
        <v>1091</v>
      </c>
      <c r="K931" s="33" t="s">
        <v>1091</v>
      </c>
      <c r="L931" s="26" t="s">
        <v>1091</v>
      </c>
      <c r="M931" s="27" t="s">
        <v>1091</v>
      </c>
      <c r="N931" s="27" t="s">
        <v>1091</v>
      </c>
      <c r="O931" s="27" t="s">
        <v>1091</v>
      </c>
      <c r="P931" s="27" t="s">
        <v>1091</v>
      </c>
      <c r="Q931" s="27" t="s">
        <v>1091</v>
      </c>
      <c r="R931" s="27" t="s">
        <v>1091</v>
      </c>
      <c r="S931" s="27" t="s">
        <v>1091</v>
      </c>
      <c r="T931" s="27" t="s">
        <v>1091</v>
      </c>
      <c r="U931" s="27" t="s">
        <v>1091</v>
      </c>
      <c r="V931" s="27" t="s">
        <v>1091</v>
      </c>
      <c r="W931" s="27" t="s">
        <v>1091</v>
      </c>
      <c r="X931" s="27" t="s">
        <v>1091</v>
      </c>
      <c r="Y931" s="27" t="s">
        <v>1091</v>
      </c>
      <c r="Z931" s="27" t="s">
        <v>1091</v>
      </c>
      <c r="AA931" s="27" t="s">
        <v>1091</v>
      </c>
      <c r="AB931" s="27" t="s">
        <v>1091</v>
      </c>
      <c r="AC931" s="27" t="s">
        <v>1091</v>
      </c>
      <c r="AD931" s="27" t="s">
        <v>1091</v>
      </c>
      <c r="AE931" s="27" t="s">
        <v>1091</v>
      </c>
      <c r="AF931" s="27" t="s">
        <v>1091</v>
      </c>
      <c r="AG931" s="27" t="s">
        <v>1091</v>
      </c>
      <c r="AH931" s="27">
        <v>135.0</v>
      </c>
      <c r="AI931" s="27">
        <v>120.0</v>
      </c>
      <c r="AJ931" s="27">
        <v>2.0</v>
      </c>
      <c r="AK931" s="27" t="b">
        <v>1</v>
      </c>
      <c r="AL931" s="27">
        <v>100.0</v>
      </c>
      <c r="AM931" s="27" t="s">
        <v>189</v>
      </c>
      <c r="AN931" s="27" t="s">
        <v>405</v>
      </c>
      <c r="AO931" s="27"/>
    </row>
    <row r="932">
      <c r="A932" s="200">
        <v>44845.02510600694</v>
      </c>
      <c r="B932" s="19" t="s">
        <v>144</v>
      </c>
      <c r="C932" s="21" t="s">
        <v>357</v>
      </c>
      <c r="D932" s="62">
        <v>2.0</v>
      </c>
      <c r="E932" s="27">
        <v>3.0</v>
      </c>
      <c r="F932" s="27" t="s">
        <v>1759</v>
      </c>
      <c r="G932" s="201" t="s">
        <v>57</v>
      </c>
      <c r="H932" s="27" t="s">
        <v>109</v>
      </c>
      <c r="I932" s="27"/>
      <c r="J932" s="33">
        <v>-4.5</v>
      </c>
      <c r="K932" s="33">
        <v>-4.0</v>
      </c>
      <c r="L932" s="66">
        <v>67.5</v>
      </c>
      <c r="M932" s="27" t="s">
        <v>1760</v>
      </c>
      <c r="N932" s="27">
        <v>-3.5</v>
      </c>
      <c r="O932" s="27"/>
      <c r="P932" s="27">
        <v>-4.0</v>
      </c>
      <c r="Q932" s="27"/>
      <c r="R932" s="27">
        <v>-3.5</v>
      </c>
      <c r="S932" s="27"/>
      <c r="T932" s="27">
        <v>-4.0</v>
      </c>
      <c r="U932" s="27"/>
      <c r="V932" s="27">
        <v>-4.0</v>
      </c>
      <c r="W932" s="27"/>
      <c r="X932" s="27">
        <v>-4.0</v>
      </c>
      <c r="Y932" s="27"/>
      <c r="Z932" s="27">
        <v>-4.0</v>
      </c>
      <c r="AA932" s="27"/>
      <c r="AB932" s="27">
        <v>-4.0</v>
      </c>
      <c r="AC932" s="27"/>
      <c r="AD932" s="27">
        <v>-4.0</v>
      </c>
      <c r="AE932" s="27"/>
      <c r="AF932" s="27">
        <v>-4.0</v>
      </c>
      <c r="AG932" s="27"/>
      <c r="AH932" s="27">
        <v>164.0</v>
      </c>
      <c r="AI932" s="27">
        <v>109.0</v>
      </c>
      <c r="AJ932" s="27">
        <v>2.0</v>
      </c>
      <c r="AK932" s="27" t="b">
        <v>0</v>
      </c>
      <c r="AL932" s="27">
        <v>100.0</v>
      </c>
      <c r="AM932" s="27" t="s">
        <v>186</v>
      </c>
      <c r="AN932" s="27" t="s">
        <v>404</v>
      </c>
      <c r="AO932" s="27"/>
    </row>
    <row r="933">
      <c r="A933" s="200">
        <v>44845.02510600694</v>
      </c>
      <c r="B933" s="19" t="s">
        <v>144</v>
      </c>
      <c r="C933" s="21" t="s">
        <v>325</v>
      </c>
      <c r="D933" s="62">
        <v>3.0</v>
      </c>
      <c r="E933" s="27">
        <v>3.0</v>
      </c>
      <c r="F933" s="27" t="s">
        <v>1726</v>
      </c>
      <c r="G933" s="201" t="s">
        <v>57</v>
      </c>
      <c r="H933" s="27" t="s">
        <v>178</v>
      </c>
      <c r="I933" s="27"/>
      <c r="J933" s="33">
        <v>2.0</v>
      </c>
      <c r="K933" s="33">
        <v>2.5</v>
      </c>
      <c r="L933" s="66">
        <v>66.0</v>
      </c>
      <c r="M933" s="27" t="s">
        <v>1727</v>
      </c>
      <c r="N933" s="27">
        <v>3.0</v>
      </c>
      <c r="O933" s="27"/>
      <c r="P933" s="27">
        <v>2.5</v>
      </c>
      <c r="Q933" s="27"/>
      <c r="R933" s="27">
        <v>3.0</v>
      </c>
      <c r="S933" s="27"/>
      <c r="T933" s="27">
        <v>2.5</v>
      </c>
      <c r="U933" s="27"/>
      <c r="V933" s="27">
        <v>2.5</v>
      </c>
      <c r="W933" s="27"/>
      <c r="X933" s="27">
        <v>3.0</v>
      </c>
      <c r="Y933" s="27"/>
      <c r="Z933" s="27">
        <v>2.5</v>
      </c>
      <c r="AA933" s="27"/>
      <c r="AB933" s="27">
        <v>3.0</v>
      </c>
      <c r="AC933" s="27"/>
      <c r="AD933" s="27">
        <v>2.5</v>
      </c>
      <c r="AE933" s="27"/>
      <c r="AF933" s="27">
        <v>2.5</v>
      </c>
      <c r="AG933" s="27"/>
      <c r="AH933" s="27">
        <v>185.0</v>
      </c>
      <c r="AI933" s="27">
        <v>127.0</v>
      </c>
      <c r="AJ933" s="27">
        <v>2.0</v>
      </c>
      <c r="AK933" s="27" t="b">
        <v>1</v>
      </c>
      <c r="AL933" s="27">
        <v>100.0</v>
      </c>
      <c r="AM933" s="27" t="s">
        <v>389</v>
      </c>
      <c r="AN933" s="27" t="s">
        <v>405</v>
      </c>
      <c r="AO933" s="27"/>
    </row>
    <row r="934">
      <c r="A934" s="200">
        <v>44845.02510600694</v>
      </c>
      <c r="B934" s="19" t="s">
        <v>144</v>
      </c>
      <c r="C934" s="21" t="s">
        <v>359</v>
      </c>
      <c r="D934" s="62">
        <v>2.0</v>
      </c>
      <c r="E934" s="27">
        <v>4.0</v>
      </c>
      <c r="F934" s="27" t="s">
        <v>1707</v>
      </c>
      <c r="G934" s="201" t="s">
        <v>57</v>
      </c>
      <c r="H934" s="27" t="s">
        <v>131</v>
      </c>
      <c r="I934" s="27"/>
      <c r="J934" s="33">
        <v>-3.5</v>
      </c>
      <c r="K934" s="33">
        <v>-5.5</v>
      </c>
      <c r="L934" s="66">
        <v>52.5</v>
      </c>
      <c r="M934" s="27" t="s">
        <v>1708</v>
      </c>
      <c r="N934" s="27">
        <v>-5.0</v>
      </c>
      <c r="O934" s="27"/>
      <c r="P934" s="27">
        <v>-5.5</v>
      </c>
      <c r="Q934" s="27"/>
      <c r="R934" s="27">
        <v>-5.5</v>
      </c>
      <c r="S934" s="27"/>
      <c r="T934" s="27">
        <v>-5.0</v>
      </c>
      <c r="U934" s="27"/>
      <c r="V934" s="27">
        <v>-5.5</v>
      </c>
      <c r="W934" s="27"/>
      <c r="X934" s="27">
        <v>-4.5</v>
      </c>
      <c r="Y934" s="27"/>
      <c r="Z934" s="27">
        <v>-5.5</v>
      </c>
      <c r="AA934" s="27"/>
      <c r="AB934" s="27">
        <v>-5.5</v>
      </c>
      <c r="AC934" s="27"/>
      <c r="AD934" s="27" t="s">
        <v>1091</v>
      </c>
      <c r="AE934" s="27" t="s">
        <v>1091</v>
      </c>
      <c r="AF934" s="27" t="s">
        <v>1091</v>
      </c>
      <c r="AG934" s="27" t="s">
        <v>1091</v>
      </c>
      <c r="AH934" s="27">
        <v>163.0</v>
      </c>
      <c r="AI934" s="27">
        <v>178.0</v>
      </c>
      <c r="AJ934" s="27">
        <v>2.0</v>
      </c>
      <c r="AK934" s="27" t="b">
        <v>0</v>
      </c>
      <c r="AL934" s="27">
        <v>100.0</v>
      </c>
      <c r="AM934" s="27" t="s">
        <v>190</v>
      </c>
      <c r="AN934" s="27" t="s">
        <v>405</v>
      </c>
      <c r="AO934" s="27"/>
    </row>
    <row r="935">
      <c r="A935" s="200">
        <v>44845.02510600694</v>
      </c>
      <c r="B935" s="19" t="s">
        <v>144</v>
      </c>
      <c r="C935" s="21" t="s">
        <v>346</v>
      </c>
      <c r="D935" s="62">
        <v>4.0</v>
      </c>
      <c r="E935" s="27">
        <v>2.0</v>
      </c>
      <c r="F935" s="27" t="s">
        <v>1697</v>
      </c>
      <c r="G935" s="201" t="s">
        <v>57</v>
      </c>
      <c r="H935" s="27" t="s">
        <v>53</v>
      </c>
      <c r="I935" s="27"/>
      <c r="J935" s="33">
        <v>-10.5</v>
      </c>
      <c r="K935" s="33">
        <v>-11.0</v>
      </c>
      <c r="L935" s="66">
        <v>54.0</v>
      </c>
      <c r="M935" s="27" t="s">
        <v>1698</v>
      </c>
      <c r="N935" s="27">
        <v>-11.0</v>
      </c>
      <c r="O935" s="27"/>
      <c r="P935" s="27">
        <v>-11.0</v>
      </c>
      <c r="Q935" s="27"/>
      <c r="R935" s="27">
        <v>-10.5</v>
      </c>
      <c r="S935" s="27"/>
      <c r="T935" s="27">
        <v>-11.0</v>
      </c>
      <c r="U935" s="27"/>
      <c r="V935" s="27">
        <v>-11.0</v>
      </c>
      <c r="W935" s="27"/>
      <c r="X935" s="27">
        <v>-11.0</v>
      </c>
      <c r="Y935" s="27"/>
      <c r="Z935" s="27">
        <v>-11.0</v>
      </c>
      <c r="AA935" s="27"/>
      <c r="AB935" s="27">
        <v>-11.0</v>
      </c>
      <c r="AC935" s="27"/>
      <c r="AD935" s="27">
        <v>-11.0</v>
      </c>
      <c r="AE935" s="27"/>
      <c r="AF935" s="27">
        <v>-11.0</v>
      </c>
      <c r="AG935" s="27"/>
      <c r="AH935" s="27">
        <v>185.0</v>
      </c>
      <c r="AI935" s="27">
        <v>152.0</v>
      </c>
      <c r="AJ935" s="27">
        <v>2.0</v>
      </c>
      <c r="AK935" s="27" t="b">
        <v>1</v>
      </c>
      <c r="AL935" s="27">
        <v>100.0</v>
      </c>
      <c r="AM935" s="27" t="s">
        <v>192</v>
      </c>
      <c r="AN935" s="27" t="s">
        <v>404</v>
      </c>
      <c r="AO935" s="27"/>
    </row>
    <row r="936">
      <c r="A936" s="200">
        <v>44845.02510600694</v>
      </c>
      <c r="B936" s="19"/>
      <c r="C936" s="21"/>
      <c r="D936" s="62"/>
      <c r="E936" s="27"/>
      <c r="F936" s="27"/>
      <c r="G936" s="201"/>
      <c r="H936" s="27"/>
      <c r="I936" s="27"/>
      <c r="J936" s="33"/>
      <c r="K936" s="33"/>
      <c r="L936" s="66"/>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t="e">
        <v>#N/A</v>
      </c>
      <c r="AN936" s="27" t="e">
        <v>#N/A</v>
      </c>
      <c r="AO936" s="27"/>
    </row>
    <row r="937">
      <c r="A937" s="200">
        <v>44845.02510600694</v>
      </c>
      <c r="B937" s="19" t="s">
        <v>166</v>
      </c>
      <c r="C937" s="21" t="s">
        <v>333</v>
      </c>
      <c r="D937" s="62">
        <v>3.0</v>
      </c>
      <c r="E937" s="27">
        <v>2.0</v>
      </c>
      <c r="F937" s="27"/>
      <c r="G937" s="201"/>
      <c r="H937" s="27"/>
      <c r="I937" s="27" t="s">
        <v>93</v>
      </c>
      <c r="J937" s="33"/>
      <c r="K937" s="33"/>
      <c r="L937" s="66"/>
      <c r="M937" s="27"/>
      <c r="N937" s="27"/>
      <c r="O937" s="27"/>
      <c r="P937" s="27"/>
      <c r="Q937" s="27"/>
      <c r="R937" s="27"/>
      <c r="S937" s="27"/>
      <c r="T937" s="27"/>
      <c r="U937" s="27"/>
      <c r="V937" s="27"/>
      <c r="W937" s="27"/>
      <c r="X937" s="27"/>
      <c r="Y937" s="27"/>
      <c r="Z937" s="27"/>
      <c r="AA937" s="27"/>
      <c r="AB937" s="27"/>
      <c r="AC937" s="27"/>
      <c r="AD937" s="27"/>
      <c r="AE937" s="27"/>
      <c r="AF937" s="27"/>
      <c r="AG937" s="27"/>
      <c r="AH937" s="27">
        <v>129.0</v>
      </c>
      <c r="AI937" s="27">
        <v>110.0</v>
      </c>
      <c r="AJ937" s="27">
        <v>0.0</v>
      </c>
      <c r="AK937" s="27" t="b">
        <v>1</v>
      </c>
      <c r="AL937" s="27">
        <v>59.0</v>
      </c>
      <c r="AM937" s="27" t="s">
        <v>191</v>
      </c>
      <c r="AN937" s="27" t="s">
        <v>404</v>
      </c>
      <c r="AO937" s="27"/>
    </row>
    <row r="938">
      <c r="A938" s="200">
        <v>44845.02510600694</v>
      </c>
      <c r="B938" s="19" t="s">
        <v>166</v>
      </c>
      <c r="C938" s="21" t="s">
        <v>306</v>
      </c>
      <c r="D938" s="62">
        <v>3.0</v>
      </c>
      <c r="E938" s="27">
        <v>2.0</v>
      </c>
      <c r="F938" s="27"/>
      <c r="G938" s="201"/>
      <c r="H938" s="27"/>
      <c r="I938" s="27" t="s">
        <v>105</v>
      </c>
      <c r="J938" s="33">
        <v>-34.0</v>
      </c>
      <c r="K938" s="33">
        <v>-31.5</v>
      </c>
      <c r="L938" s="66">
        <v>57.5</v>
      </c>
      <c r="M938" s="27" t="s">
        <v>1105</v>
      </c>
      <c r="N938" s="27">
        <v>-31.5</v>
      </c>
      <c r="O938" s="27"/>
      <c r="P938" s="27">
        <v>-31.0</v>
      </c>
      <c r="Q938" s="27"/>
      <c r="R938" s="27">
        <v>-32.0</v>
      </c>
      <c r="S938" s="27"/>
      <c r="T938" s="27">
        <v>-31.5</v>
      </c>
      <c r="U938" s="27"/>
      <c r="V938" s="27">
        <v>-31.0</v>
      </c>
      <c r="W938" s="27"/>
      <c r="X938" s="27">
        <v>-31.0</v>
      </c>
      <c r="Y938" s="27"/>
      <c r="Z938" s="27"/>
      <c r="AA938" s="27"/>
      <c r="AB938" s="27"/>
      <c r="AC938" s="27"/>
      <c r="AD938" s="27"/>
      <c r="AE938" s="27"/>
      <c r="AF938" s="27"/>
      <c r="AG938" s="27"/>
      <c r="AH938" s="27">
        <v>147.0</v>
      </c>
      <c r="AI938" s="27">
        <v>81.0</v>
      </c>
      <c r="AJ938" s="27">
        <v>0.0</v>
      </c>
      <c r="AK938" s="27" t="b">
        <v>0</v>
      </c>
      <c r="AL938" s="27">
        <v>59.0</v>
      </c>
      <c r="AM938" s="27" t="s">
        <v>193</v>
      </c>
      <c r="AN938" s="27" t="s">
        <v>405</v>
      </c>
      <c r="AO938" s="27"/>
    </row>
    <row r="939">
      <c r="A939" s="200">
        <v>44845.02510600694</v>
      </c>
      <c r="B939" s="19" t="s">
        <v>166</v>
      </c>
      <c r="C939" s="21" t="s">
        <v>351</v>
      </c>
      <c r="D939" s="62">
        <v>1.0</v>
      </c>
      <c r="E939" s="27">
        <v>5.0</v>
      </c>
      <c r="F939" s="27" t="s">
        <v>1701</v>
      </c>
      <c r="G939" s="201" t="s">
        <v>57</v>
      </c>
      <c r="H939" s="27" t="s">
        <v>131</v>
      </c>
      <c r="I939" s="27"/>
      <c r="J939" s="33">
        <v>13.5</v>
      </c>
      <c r="K939" s="33">
        <v>24.0</v>
      </c>
      <c r="L939" s="66">
        <v>48.5</v>
      </c>
      <c r="M939" s="27" t="s">
        <v>1369</v>
      </c>
      <c r="N939" s="27">
        <v>23.5</v>
      </c>
      <c r="O939" s="27"/>
      <c r="P939" s="27">
        <v>24.0</v>
      </c>
      <c r="Q939" s="27"/>
      <c r="R939" s="27">
        <v>24.0</v>
      </c>
      <c r="S939" s="27"/>
      <c r="T939" s="27">
        <v>24.0</v>
      </c>
      <c r="U939" s="27"/>
      <c r="V939" s="27">
        <v>23.5</v>
      </c>
      <c r="W939" s="27"/>
      <c r="X939" s="27">
        <v>24.0</v>
      </c>
      <c r="Y939" s="27"/>
      <c r="Z939" s="27">
        <v>24.0</v>
      </c>
      <c r="AA939" s="27"/>
      <c r="AB939" s="27" t="s">
        <v>1091</v>
      </c>
      <c r="AC939" s="27" t="s">
        <v>1091</v>
      </c>
      <c r="AD939" s="27" t="s">
        <v>1091</v>
      </c>
      <c r="AE939" s="27" t="s">
        <v>1091</v>
      </c>
      <c r="AF939" s="27" t="s">
        <v>1091</v>
      </c>
      <c r="AG939" s="27" t="s">
        <v>1091</v>
      </c>
      <c r="AH939" s="27">
        <v>101.0</v>
      </c>
      <c r="AI939" s="27">
        <v>243.0</v>
      </c>
      <c r="AJ939" s="27">
        <v>2.0</v>
      </c>
      <c r="AK939" s="27" t="b">
        <v>1</v>
      </c>
      <c r="AL939" s="27">
        <v>100.0</v>
      </c>
      <c r="AM939" s="27" t="s">
        <v>129</v>
      </c>
      <c r="AN939" s="27" t="s">
        <v>405</v>
      </c>
      <c r="AO939" s="27"/>
    </row>
    <row r="940">
      <c r="A940" s="200">
        <v>44845.02510600694</v>
      </c>
      <c r="B940" s="19" t="s">
        <v>166</v>
      </c>
      <c r="C940" s="21" t="s">
        <v>334</v>
      </c>
      <c r="D940" s="62">
        <v>2.0</v>
      </c>
      <c r="E940" s="27">
        <v>3.0</v>
      </c>
      <c r="F940" s="27" t="s">
        <v>1769</v>
      </c>
      <c r="G940" s="201" t="s">
        <v>57</v>
      </c>
      <c r="H940" s="27" t="s">
        <v>154</v>
      </c>
      <c r="I940" s="27"/>
      <c r="J940" s="33" t="s">
        <v>1091</v>
      </c>
      <c r="K940" s="33" t="s">
        <v>1091</v>
      </c>
      <c r="L940" s="26" t="s">
        <v>1091</v>
      </c>
      <c r="M940" s="27" t="s">
        <v>1091</v>
      </c>
      <c r="N940" s="27" t="s">
        <v>1091</v>
      </c>
      <c r="O940" s="27" t="s">
        <v>1091</v>
      </c>
      <c r="P940" s="27" t="s">
        <v>1091</v>
      </c>
      <c r="Q940" s="27" t="s">
        <v>1091</v>
      </c>
      <c r="R940" s="27" t="s">
        <v>1091</v>
      </c>
      <c r="S940" s="27" t="s">
        <v>1091</v>
      </c>
      <c r="T940" s="27" t="s">
        <v>1091</v>
      </c>
      <c r="U940" s="27" t="s">
        <v>1091</v>
      </c>
      <c r="V940" s="27" t="s">
        <v>1091</v>
      </c>
      <c r="W940" s="27" t="s">
        <v>1091</v>
      </c>
      <c r="X940" s="27" t="s">
        <v>1091</v>
      </c>
      <c r="Y940" s="27" t="s">
        <v>1091</v>
      </c>
      <c r="Z940" s="27" t="s">
        <v>1091</v>
      </c>
      <c r="AA940" s="27" t="s">
        <v>1091</v>
      </c>
      <c r="AB940" s="27" t="s">
        <v>1091</v>
      </c>
      <c r="AC940" s="27" t="s">
        <v>1091</v>
      </c>
      <c r="AD940" s="27" t="s">
        <v>1091</v>
      </c>
      <c r="AE940" s="27" t="s">
        <v>1091</v>
      </c>
      <c r="AF940" s="27" t="s">
        <v>1091</v>
      </c>
      <c r="AG940" s="27" t="s">
        <v>1091</v>
      </c>
      <c r="AH940" s="27">
        <v>151.0</v>
      </c>
      <c r="AI940" s="27">
        <v>186.0</v>
      </c>
      <c r="AJ940" s="27">
        <v>2.0</v>
      </c>
      <c r="AK940" s="27" t="b">
        <v>1</v>
      </c>
      <c r="AL940" s="27">
        <v>100.0</v>
      </c>
      <c r="AM940" s="27" t="s">
        <v>189</v>
      </c>
      <c r="AN940" s="27" t="s">
        <v>405</v>
      </c>
      <c r="AO940" s="27"/>
    </row>
    <row r="941">
      <c r="A941" s="200">
        <v>44845.02510600694</v>
      </c>
      <c r="B941" s="19" t="s">
        <v>166</v>
      </c>
      <c r="C941" s="21" t="s">
        <v>398</v>
      </c>
      <c r="D941" s="62">
        <v>1.0</v>
      </c>
      <c r="E941" s="27">
        <v>4.0</v>
      </c>
      <c r="F941" s="27" t="s">
        <v>1716</v>
      </c>
      <c r="G941" s="201" t="s">
        <v>57</v>
      </c>
      <c r="H941" s="27" t="s">
        <v>178</v>
      </c>
      <c r="I941" s="27"/>
      <c r="J941" s="33">
        <v>15.0</v>
      </c>
      <c r="K941" s="33">
        <v>15.5</v>
      </c>
      <c r="L941" s="66">
        <v>65.5</v>
      </c>
      <c r="M941" s="27" t="s">
        <v>1717</v>
      </c>
      <c r="N941" s="27">
        <v>16.5</v>
      </c>
      <c r="O941" s="27"/>
      <c r="P941" s="27">
        <v>16.0</v>
      </c>
      <c r="Q941" s="27"/>
      <c r="R941" s="27">
        <v>16.0</v>
      </c>
      <c r="S941" s="27"/>
      <c r="T941" s="27">
        <v>15.5</v>
      </c>
      <c r="U941" s="27"/>
      <c r="V941" s="27">
        <v>16.0</v>
      </c>
      <c r="W941" s="27"/>
      <c r="X941" s="27">
        <v>16.5</v>
      </c>
      <c r="Y941" s="27"/>
      <c r="Z941" s="27">
        <v>16.5</v>
      </c>
      <c r="AA941" s="27"/>
      <c r="AB941" s="27">
        <v>16.0</v>
      </c>
      <c r="AC941" s="27"/>
      <c r="AD941" s="27">
        <v>15.5</v>
      </c>
      <c r="AE941" s="27"/>
      <c r="AF941" s="27">
        <v>15.5</v>
      </c>
      <c r="AG941" s="27" t="s">
        <v>1091</v>
      </c>
      <c r="AH941" s="27">
        <v>139.0</v>
      </c>
      <c r="AI941" s="27">
        <v>165.0</v>
      </c>
      <c r="AJ941" s="27">
        <v>2.0</v>
      </c>
      <c r="AK941" s="27" t="b">
        <v>1</v>
      </c>
      <c r="AL941" s="27">
        <v>100.0</v>
      </c>
      <c r="AM941" s="27" t="s">
        <v>389</v>
      </c>
      <c r="AN941" s="27" t="s">
        <v>405</v>
      </c>
      <c r="AO941" s="27"/>
    </row>
    <row r="942">
      <c r="A942" s="200">
        <v>44845.02510600694</v>
      </c>
      <c r="B942" s="19" t="s">
        <v>166</v>
      </c>
      <c r="C942" s="21" t="s">
        <v>370</v>
      </c>
      <c r="D942" s="62">
        <v>4.0</v>
      </c>
      <c r="E942" s="27">
        <v>2.0</v>
      </c>
      <c r="F942" s="27" t="s">
        <v>1770</v>
      </c>
      <c r="G942" s="201" t="s">
        <v>57</v>
      </c>
      <c r="H942" s="27" t="s">
        <v>148</v>
      </c>
      <c r="I942" s="27"/>
      <c r="J942" s="33">
        <v>-13.5</v>
      </c>
      <c r="K942" s="33">
        <v>-14.5</v>
      </c>
      <c r="L942" s="66">
        <v>49.5</v>
      </c>
      <c r="M942" s="27" t="s">
        <v>1771</v>
      </c>
      <c r="N942" s="27">
        <v>-14.5</v>
      </c>
      <c r="O942" s="27"/>
      <c r="P942" s="27">
        <v>-14.5</v>
      </c>
      <c r="Q942" s="27"/>
      <c r="R942" s="27">
        <v>-14.5</v>
      </c>
      <c r="S942" s="27"/>
      <c r="T942" s="27">
        <v>-14.5</v>
      </c>
      <c r="U942" s="27"/>
      <c r="V942" s="27">
        <v>-14.5</v>
      </c>
      <c r="W942" s="27"/>
      <c r="X942" s="27">
        <v>-14.5</v>
      </c>
      <c r="Y942" s="27"/>
      <c r="Z942" s="27">
        <v>-14.5</v>
      </c>
      <c r="AA942" s="27"/>
      <c r="AB942" s="27">
        <v>-14.5</v>
      </c>
      <c r="AC942" s="27"/>
      <c r="AD942" s="27">
        <v>-14.5</v>
      </c>
      <c r="AE942" s="27"/>
      <c r="AF942" s="27">
        <v>-14.5</v>
      </c>
      <c r="AG942" s="27"/>
      <c r="AH942" s="27">
        <v>210.0</v>
      </c>
      <c r="AI942" s="27">
        <v>157.0</v>
      </c>
      <c r="AJ942" s="27">
        <v>2.0</v>
      </c>
      <c r="AK942" s="27" t="b">
        <v>0</v>
      </c>
      <c r="AL942" s="27">
        <v>100.0</v>
      </c>
      <c r="AM942" s="27" t="s">
        <v>186</v>
      </c>
      <c r="AN942" s="27" t="s">
        <v>404</v>
      </c>
      <c r="AO942" s="27"/>
    </row>
    <row r="943">
      <c r="A943" s="200">
        <v>44845.02510600694</v>
      </c>
      <c r="B943" s="19" t="s">
        <v>166</v>
      </c>
      <c r="C943" s="21" t="s">
        <v>337</v>
      </c>
      <c r="D943" s="62">
        <v>3.0</v>
      </c>
      <c r="E943" s="27">
        <v>3.0</v>
      </c>
      <c r="F943" s="27" t="s">
        <v>1772</v>
      </c>
      <c r="G943" s="201" t="s">
        <v>57</v>
      </c>
      <c r="H943" s="27" t="s">
        <v>116</v>
      </c>
      <c r="I943" s="27"/>
      <c r="J943" s="33">
        <v>13.5</v>
      </c>
      <c r="K943" s="33">
        <v>28.0</v>
      </c>
      <c r="L943" s="66">
        <v>64.5</v>
      </c>
      <c r="M943" s="27" t="s">
        <v>1248</v>
      </c>
      <c r="N943" s="27">
        <v>28.0</v>
      </c>
      <c r="O943" s="27"/>
      <c r="P943" s="27">
        <v>27.5</v>
      </c>
      <c r="Q943" s="27"/>
      <c r="R943" s="27">
        <v>28.0</v>
      </c>
      <c r="S943" s="27"/>
      <c r="T943" s="27">
        <v>28.0</v>
      </c>
      <c r="U943" s="27"/>
      <c r="V943" s="27">
        <v>27.5</v>
      </c>
      <c r="W943" s="27"/>
      <c r="X943" s="27">
        <v>27.5</v>
      </c>
      <c r="Y943" s="27"/>
      <c r="Z943" s="27">
        <v>28.0</v>
      </c>
      <c r="AA943" s="27"/>
      <c r="AB943" s="27">
        <v>28.0</v>
      </c>
      <c r="AC943" s="27"/>
      <c r="AD943" s="27">
        <v>28.0</v>
      </c>
      <c r="AE943" s="27"/>
      <c r="AF943" s="27">
        <v>28.0</v>
      </c>
      <c r="AG943" s="27"/>
      <c r="AH943" s="27">
        <v>122.0</v>
      </c>
      <c r="AI943" s="27">
        <v>150.0</v>
      </c>
      <c r="AJ943" s="27">
        <v>2.0</v>
      </c>
      <c r="AK943" s="27" t="b">
        <v>1</v>
      </c>
      <c r="AL943" s="27">
        <v>100.0</v>
      </c>
      <c r="AM943" s="27" t="s">
        <v>192</v>
      </c>
      <c r="AN943" s="27" t="s">
        <v>404</v>
      </c>
      <c r="AO943" s="27"/>
    </row>
    <row r="944">
      <c r="A944" s="200">
        <v>44845.02510600694</v>
      </c>
      <c r="B944" s="19" t="s">
        <v>166</v>
      </c>
      <c r="C944" s="21" t="s">
        <v>399</v>
      </c>
      <c r="D944" s="62">
        <v>5.0</v>
      </c>
      <c r="E944" s="27">
        <v>1.0</v>
      </c>
      <c r="F944" s="27" t="s">
        <v>1773</v>
      </c>
      <c r="G944" s="201" t="s">
        <v>57</v>
      </c>
      <c r="H944" s="27" t="s">
        <v>148</v>
      </c>
      <c r="I944" s="27"/>
      <c r="J944" s="33">
        <v>-24.5</v>
      </c>
      <c r="K944" s="33">
        <v>-23.0</v>
      </c>
      <c r="L944" s="66">
        <v>52.5</v>
      </c>
      <c r="M944" s="27" t="s">
        <v>1774</v>
      </c>
      <c r="N944" s="27">
        <v>-23.5</v>
      </c>
      <c r="O944" s="27"/>
      <c r="P944" s="27">
        <v>-22.5</v>
      </c>
      <c r="Q944" s="27"/>
      <c r="R944" s="27">
        <v>-22.0</v>
      </c>
      <c r="S944" s="27"/>
      <c r="T944" s="27">
        <v>-23.0</v>
      </c>
      <c r="U944" s="27"/>
      <c r="V944" s="27">
        <v>-22.5</v>
      </c>
      <c r="W944" s="27"/>
      <c r="X944" s="27">
        <v>-23.0</v>
      </c>
      <c r="Y944" s="27"/>
      <c r="Z944" s="27">
        <v>-22.5</v>
      </c>
      <c r="AA944" s="27"/>
      <c r="AB944" s="27">
        <v>-22.5</v>
      </c>
      <c r="AC944" s="27"/>
      <c r="AD944" s="27">
        <v>-23.0</v>
      </c>
      <c r="AE944" s="27"/>
      <c r="AF944" s="27">
        <v>-23.0</v>
      </c>
      <c r="AG944" s="27" t="s">
        <v>1091</v>
      </c>
      <c r="AH944" s="27">
        <v>187.0</v>
      </c>
      <c r="AI944" s="27">
        <v>138.0</v>
      </c>
      <c r="AJ944" s="27">
        <v>2.0</v>
      </c>
      <c r="AK944" s="27" t="b">
        <v>1</v>
      </c>
      <c r="AL944" s="27">
        <v>100.0</v>
      </c>
      <c r="AM944" s="27" t="s">
        <v>190</v>
      </c>
      <c r="AN944" s="27" t="s">
        <v>405</v>
      </c>
      <c r="AO944" s="27"/>
    </row>
    <row r="945">
      <c r="A945" s="200">
        <v>44845.02510600694</v>
      </c>
      <c r="B945" s="19" t="s">
        <v>166</v>
      </c>
      <c r="C945" s="21" t="s">
        <v>327</v>
      </c>
      <c r="D945" s="62">
        <v>3.0</v>
      </c>
      <c r="E945" s="27">
        <v>3.0</v>
      </c>
      <c r="F945" s="27" t="s">
        <v>1742</v>
      </c>
      <c r="G945" s="201" t="s">
        <v>57</v>
      </c>
      <c r="H945" s="27" t="s">
        <v>59</v>
      </c>
      <c r="I945" s="27"/>
      <c r="J945" s="33">
        <v>17.5</v>
      </c>
      <c r="K945" s="33">
        <v>23.5</v>
      </c>
      <c r="L945" s="66">
        <v>57.5</v>
      </c>
      <c r="M945" s="27" t="s">
        <v>1743</v>
      </c>
      <c r="N945" s="27">
        <v>23.5</v>
      </c>
      <c r="O945" s="27"/>
      <c r="P945" s="27">
        <v>23.5</v>
      </c>
      <c r="Q945" s="27"/>
      <c r="R945" s="27">
        <v>23.0</v>
      </c>
      <c r="S945" s="27"/>
      <c r="T945" s="27">
        <v>24.0</v>
      </c>
      <c r="U945" s="27"/>
      <c r="V945" s="27">
        <v>23.5</v>
      </c>
      <c r="W945" s="27"/>
      <c r="X945" s="27">
        <v>23.5</v>
      </c>
      <c r="Y945" s="27"/>
      <c r="Z945" s="27">
        <v>23.5</v>
      </c>
      <c r="AA945" s="27"/>
      <c r="AB945" s="27">
        <v>23.5</v>
      </c>
      <c r="AC945" s="27"/>
      <c r="AD945" s="27">
        <v>24.0</v>
      </c>
      <c r="AE945" s="27"/>
      <c r="AF945" s="27">
        <v>24.0</v>
      </c>
      <c r="AG945" s="27"/>
      <c r="AH945" s="27">
        <v>146.0</v>
      </c>
      <c r="AI945" s="27">
        <v>183.0</v>
      </c>
      <c r="AJ945" s="27">
        <v>2.0</v>
      </c>
      <c r="AK945" s="27" t="b">
        <v>0</v>
      </c>
      <c r="AL945" s="27">
        <v>100.0</v>
      </c>
      <c r="AM945" s="27" t="s">
        <v>188</v>
      </c>
      <c r="AN945" s="27" t="s">
        <v>404</v>
      </c>
      <c r="AO945" s="27"/>
    </row>
    <row r="946">
      <c r="A946" s="200">
        <v>44845.02510600694</v>
      </c>
      <c r="B946" s="19" t="s">
        <v>166</v>
      </c>
      <c r="C946" s="21" t="s">
        <v>364</v>
      </c>
      <c r="D946" s="62">
        <v>4.0</v>
      </c>
      <c r="E946" s="27">
        <v>2.0</v>
      </c>
      <c r="F946" s="27" t="s">
        <v>1695</v>
      </c>
      <c r="G946" s="201" t="s">
        <v>57</v>
      </c>
      <c r="H946" s="27" t="s">
        <v>53</v>
      </c>
      <c r="I946" s="27"/>
      <c r="J946" s="33">
        <v>-1.0</v>
      </c>
      <c r="K946" s="33">
        <v>-7.5</v>
      </c>
      <c r="L946" s="66">
        <v>64.5</v>
      </c>
      <c r="M946" s="27" t="s">
        <v>1696</v>
      </c>
      <c r="N946" s="27">
        <v>-7.5</v>
      </c>
      <c r="O946" s="27"/>
      <c r="P946" s="27">
        <v>-7.5</v>
      </c>
      <c r="Q946" s="27"/>
      <c r="R946" s="27">
        <v>-7.5</v>
      </c>
      <c r="S946" s="27"/>
      <c r="T946" s="27">
        <v>-7.5</v>
      </c>
      <c r="U946" s="27"/>
      <c r="V946" s="27">
        <v>-7.5</v>
      </c>
      <c r="W946" s="27"/>
      <c r="X946" s="27">
        <v>-7.0</v>
      </c>
      <c r="Y946" s="27"/>
      <c r="Z946" s="27">
        <v>-7.5</v>
      </c>
      <c r="AA946" s="27"/>
      <c r="AB946" s="27">
        <v>-7.5</v>
      </c>
      <c r="AC946" s="27"/>
      <c r="AD946" s="27">
        <v>-7.5</v>
      </c>
      <c r="AE946" s="27" t="s">
        <v>1091</v>
      </c>
      <c r="AF946" s="27">
        <v>-7.5</v>
      </c>
      <c r="AG946" s="27" t="s">
        <v>1091</v>
      </c>
      <c r="AH946" s="27">
        <v>233.0</v>
      </c>
      <c r="AI946" s="27">
        <v>107.0</v>
      </c>
      <c r="AJ946" s="27">
        <v>2.0</v>
      </c>
      <c r="AK946" s="27" t="b">
        <v>1</v>
      </c>
      <c r="AL946" s="27">
        <v>100.0</v>
      </c>
      <c r="AM946" s="27" t="s">
        <v>187</v>
      </c>
      <c r="AN946" s="27" t="s">
        <v>404</v>
      </c>
      <c r="AO946" s="27"/>
    </row>
    <row r="947">
      <c r="A947" s="200">
        <v>44845.02510600694</v>
      </c>
      <c r="B947" s="19"/>
      <c r="C947" s="21"/>
      <c r="D947" s="62"/>
      <c r="E947" s="27"/>
      <c r="F947" s="27"/>
      <c r="G947" s="201"/>
      <c r="H947" s="27"/>
      <c r="I947" s="27"/>
      <c r="J947" s="33"/>
      <c r="K947" s="33"/>
      <c r="L947" s="66"/>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t="e">
        <v>#N/A</v>
      </c>
      <c r="AN947" s="27" t="e">
        <v>#N/A</v>
      </c>
      <c r="AO947" s="27"/>
    </row>
    <row r="948">
      <c r="A948" s="200">
        <v>44845.02510600694</v>
      </c>
      <c r="B948" s="19" t="s">
        <v>116</v>
      </c>
      <c r="C948" s="21" t="s">
        <v>355</v>
      </c>
      <c r="D948" s="62">
        <v>3.0</v>
      </c>
      <c r="E948" s="27">
        <v>2.0</v>
      </c>
      <c r="F948" s="27"/>
      <c r="G948" s="201"/>
      <c r="H948" s="27"/>
      <c r="I948" s="27" t="s">
        <v>133</v>
      </c>
      <c r="J948" s="33"/>
      <c r="K948" s="33"/>
      <c r="L948" s="66"/>
      <c r="M948" s="27"/>
      <c r="N948" s="27"/>
      <c r="O948" s="27"/>
      <c r="P948" s="27"/>
      <c r="Q948" s="27"/>
      <c r="R948" s="27"/>
      <c r="S948" s="27"/>
      <c r="T948" s="27"/>
      <c r="U948" s="27"/>
      <c r="V948" s="27"/>
      <c r="W948" s="27"/>
      <c r="X948" s="27"/>
      <c r="Y948" s="27"/>
      <c r="Z948" s="27"/>
      <c r="AA948" s="27"/>
      <c r="AB948" s="27"/>
      <c r="AC948" s="27"/>
      <c r="AD948" s="27"/>
      <c r="AE948" s="27"/>
      <c r="AF948" s="27"/>
      <c r="AG948" s="27"/>
      <c r="AH948" s="27">
        <v>154.0</v>
      </c>
      <c r="AI948" s="27">
        <v>155.0</v>
      </c>
      <c r="AJ948" s="27">
        <v>0.0</v>
      </c>
      <c r="AK948" s="27" t="b">
        <v>1</v>
      </c>
      <c r="AL948" s="27">
        <v>59.0</v>
      </c>
      <c r="AM948" s="27" t="s">
        <v>189</v>
      </c>
      <c r="AN948" s="27" t="s">
        <v>405</v>
      </c>
      <c r="AO948" s="27"/>
    </row>
    <row r="949">
      <c r="A949" s="200">
        <v>44845.02510600694</v>
      </c>
      <c r="B949" s="19" t="s">
        <v>116</v>
      </c>
      <c r="C949" s="21" t="s">
        <v>369</v>
      </c>
      <c r="D949" s="62">
        <v>6.0</v>
      </c>
      <c r="E949" s="27">
        <v>0.0</v>
      </c>
      <c r="F949" s="27" t="s">
        <v>1702</v>
      </c>
      <c r="G949" s="201" t="s">
        <v>57</v>
      </c>
      <c r="H949" s="27" t="s">
        <v>131</v>
      </c>
      <c r="I949" s="27"/>
      <c r="J949" s="33">
        <v>-14.0</v>
      </c>
      <c r="K949" s="33">
        <v>-12.0</v>
      </c>
      <c r="L949" s="66">
        <v>64.5</v>
      </c>
      <c r="M949" s="27" t="s">
        <v>1698</v>
      </c>
      <c r="N949" s="27">
        <v>-12.5</v>
      </c>
      <c r="O949" s="27"/>
      <c r="P949" s="27">
        <v>-12.5</v>
      </c>
      <c r="Q949" s="27"/>
      <c r="R949" s="27">
        <v>-12.0</v>
      </c>
      <c r="S949" s="27"/>
      <c r="T949" s="27">
        <v>-12.0</v>
      </c>
      <c r="U949" s="27"/>
      <c r="V949" s="27">
        <v>-12.0</v>
      </c>
      <c r="W949" s="27"/>
      <c r="X949" s="27">
        <v>-12.5</v>
      </c>
      <c r="Y949" s="27"/>
      <c r="Z949" s="27">
        <v>-12.5</v>
      </c>
      <c r="AA949" s="27"/>
      <c r="AB949" s="27">
        <v>-11.5</v>
      </c>
      <c r="AC949" s="27"/>
      <c r="AD949" s="27">
        <v>-12.0</v>
      </c>
      <c r="AE949" s="27"/>
      <c r="AF949" s="27">
        <v>-12.0</v>
      </c>
      <c r="AG949" s="27"/>
      <c r="AH949" s="27">
        <v>241.0</v>
      </c>
      <c r="AI949" s="27">
        <v>112.0</v>
      </c>
      <c r="AJ949" s="27">
        <v>2.0</v>
      </c>
      <c r="AK949" s="27" t="b">
        <v>1</v>
      </c>
      <c r="AL949" s="27">
        <v>100.0</v>
      </c>
      <c r="AM949" s="27" t="s">
        <v>191</v>
      </c>
      <c r="AN949" s="27" t="s">
        <v>404</v>
      </c>
      <c r="AO949" s="27"/>
    </row>
    <row r="950">
      <c r="A950" s="200">
        <v>44845.02510600694</v>
      </c>
      <c r="B950" s="19" t="s">
        <v>116</v>
      </c>
      <c r="C950" s="21" t="s">
        <v>332</v>
      </c>
      <c r="D950" s="62">
        <v>3.0</v>
      </c>
      <c r="E950" s="27">
        <v>3.0</v>
      </c>
      <c r="F950" s="27" t="s">
        <v>1767</v>
      </c>
      <c r="G950" s="201" t="s">
        <v>57</v>
      </c>
      <c r="H950" s="27" t="s">
        <v>144</v>
      </c>
      <c r="I950" s="27"/>
      <c r="J950" s="33">
        <v>4.5</v>
      </c>
      <c r="K950" s="33">
        <v>3.5</v>
      </c>
      <c r="L950" s="66">
        <v>36.5</v>
      </c>
      <c r="M950" s="27" t="s">
        <v>1768</v>
      </c>
      <c r="N950" s="27">
        <v>3.5</v>
      </c>
      <c r="O950" s="27"/>
      <c r="P950" s="27">
        <v>3.5</v>
      </c>
      <c r="Q950" s="27"/>
      <c r="R950" s="27">
        <v>3.5</v>
      </c>
      <c r="S950" s="27"/>
      <c r="T950" s="27">
        <v>3.5</v>
      </c>
      <c r="U950" s="27"/>
      <c r="V950" s="27">
        <v>3.5</v>
      </c>
      <c r="W950" s="27"/>
      <c r="X950" s="27">
        <v>4.0</v>
      </c>
      <c r="Y950" s="27"/>
      <c r="Z950" s="27">
        <v>4.0</v>
      </c>
      <c r="AA950" s="27"/>
      <c r="AB950" s="27">
        <v>3.5</v>
      </c>
      <c r="AC950" s="27"/>
      <c r="AD950" s="27">
        <v>3.5</v>
      </c>
      <c r="AE950" s="27"/>
      <c r="AF950" s="27">
        <v>3.5</v>
      </c>
      <c r="AG950" s="27"/>
      <c r="AH950" s="27">
        <v>88.0</v>
      </c>
      <c r="AI950" s="27">
        <v>59.0</v>
      </c>
      <c r="AJ950" s="27">
        <v>2.0</v>
      </c>
      <c r="AK950" s="27" t="b">
        <v>0</v>
      </c>
      <c r="AL950" s="27">
        <v>100.0</v>
      </c>
      <c r="AM950" s="27" t="s">
        <v>188</v>
      </c>
      <c r="AN950" s="27" t="s">
        <v>404</v>
      </c>
      <c r="AO950" s="27"/>
    </row>
    <row r="951">
      <c r="A951" s="200">
        <v>44845.02510600694</v>
      </c>
      <c r="B951" s="19" t="s">
        <v>116</v>
      </c>
      <c r="C951" s="21" t="s">
        <v>388</v>
      </c>
      <c r="D951" s="62">
        <v>5.0</v>
      </c>
      <c r="E951" s="27">
        <v>0.0</v>
      </c>
      <c r="F951" s="27" t="s">
        <v>1775</v>
      </c>
      <c r="G951" s="201" t="s">
        <v>57</v>
      </c>
      <c r="H951" s="27" t="s">
        <v>154</v>
      </c>
      <c r="I951" s="27"/>
      <c r="J951" s="33">
        <v>-10.5</v>
      </c>
      <c r="K951" s="33">
        <v>-11.5</v>
      </c>
      <c r="L951" s="66">
        <v>64.0</v>
      </c>
      <c r="M951" s="27" t="s">
        <v>1776</v>
      </c>
      <c r="N951" s="27">
        <v>-11.5</v>
      </c>
      <c r="O951" s="27"/>
      <c r="P951" s="27">
        <v>-11.5</v>
      </c>
      <c r="Q951" s="27"/>
      <c r="R951" s="27">
        <v>-11.5</v>
      </c>
      <c r="S951" s="27"/>
      <c r="T951" s="27">
        <v>-12.0</v>
      </c>
      <c r="U951" s="27"/>
      <c r="V951" s="27">
        <v>-11.5</v>
      </c>
      <c r="W951" s="27"/>
      <c r="X951" s="27">
        <v>-11.5</v>
      </c>
      <c r="Y951" s="27"/>
      <c r="Z951" s="27">
        <v>-11.5</v>
      </c>
      <c r="AA951" s="27"/>
      <c r="AB951" s="27">
        <v>-12.0</v>
      </c>
      <c r="AC951" s="27"/>
      <c r="AD951" s="27">
        <v>-12.0</v>
      </c>
      <c r="AE951" s="27"/>
      <c r="AF951" s="27">
        <v>-12.0</v>
      </c>
      <c r="AG951" s="27"/>
      <c r="AH951" s="27">
        <v>221.0</v>
      </c>
      <c r="AI951" s="27">
        <v>75.0</v>
      </c>
      <c r="AJ951" s="27">
        <v>2.0</v>
      </c>
      <c r="AK951" s="27" t="b">
        <v>1</v>
      </c>
      <c r="AL951" s="27">
        <v>100.0</v>
      </c>
      <c r="AM951" s="27" t="s">
        <v>193</v>
      </c>
      <c r="AN951" s="27" t="s">
        <v>405</v>
      </c>
      <c r="AO951" s="27"/>
    </row>
    <row r="952">
      <c r="A952" s="200">
        <v>44845.02510600694</v>
      </c>
      <c r="B952" s="19" t="s">
        <v>116</v>
      </c>
      <c r="C952" s="21" t="s">
        <v>354</v>
      </c>
      <c r="D952" s="62">
        <v>5.0</v>
      </c>
      <c r="E952" s="27">
        <v>0.0</v>
      </c>
      <c r="F952" s="27" t="s">
        <v>1721</v>
      </c>
      <c r="G952" s="201" t="s">
        <v>57</v>
      </c>
      <c r="H952" s="27" t="s">
        <v>178</v>
      </c>
      <c r="I952" s="27"/>
      <c r="J952" s="33">
        <v>-13.5</v>
      </c>
      <c r="K952" s="33">
        <v>-11.0</v>
      </c>
      <c r="L952" s="66">
        <v>56.5</v>
      </c>
      <c r="M952" s="27" t="s">
        <v>1392</v>
      </c>
      <c r="N952" s="27">
        <v>-11.0</v>
      </c>
      <c r="O952" s="27"/>
      <c r="P952" s="27">
        <v>-11.0</v>
      </c>
      <c r="Q952" s="27"/>
      <c r="R952" s="27">
        <v>-10.5</v>
      </c>
      <c r="S952" s="27"/>
      <c r="T952" s="27">
        <v>-11.0</v>
      </c>
      <c r="U952" s="27"/>
      <c r="V952" s="27">
        <v>-11.5</v>
      </c>
      <c r="W952" s="27"/>
      <c r="X952" s="27">
        <v>-11.0</v>
      </c>
      <c r="Y952" s="27"/>
      <c r="Z952" s="27">
        <v>-11.0</v>
      </c>
      <c r="AA952" s="27"/>
      <c r="AB952" s="27">
        <v>-11.5</v>
      </c>
      <c r="AC952" s="27"/>
      <c r="AD952" s="27">
        <v>-11.0</v>
      </c>
      <c r="AE952" s="27"/>
      <c r="AF952" s="27">
        <v>-11.0</v>
      </c>
      <c r="AG952" s="27"/>
      <c r="AH952" s="27">
        <v>232.0</v>
      </c>
      <c r="AI952" s="27">
        <v>124.0</v>
      </c>
      <c r="AJ952" s="27">
        <v>2.0</v>
      </c>
      <c r="AK952" s="27" t="b">
        <v>1</v>
      </c>
      <c r="AL952" s="27">
        <v>100.0</v>
      </c>
      <c r="AM952" s="27" t="s">
        <v>187</v>
      </c>
      <c r="AN952" s="27" t="s">
        <v>404</v>
      </c>
      <c r="AO952" s="27"/>
    </row>
    <row r="953">
      <c r="A953" s="200">
        <v>44845.02510600694</v>
      </c>
      <c r="B953" s="19" t="s">
        <v>116</v>
      </c>
      <c r="C953" s="21" t="s">
        <v>347</v>
      </c>
      <c r="D953" s="62">
        <v>2.0</v>
      </c>
      <c r="E953" s="27">
        <v>3.0</v>
      </c>
      <c r="F953" s="27" t="s">
        <v>1691</v>
      </c>
      <c r="G953" s="201" t="s">
        <v>57</v>
      </c>
      <c r="H953" s="27" t="s">
        <v>53</v>
      </c>
      <c r="I953" s="27"/>
      <c r="J953" s="33">
        <v>6.0</v>
      </c>
      <c r="K953" s="33">
        <v>4.5</v>
      </c>
      <c r="L953" s="66">
        <v>46.5</v>
      </c>
      <c r="M953" s="27" t="s">
        <v>1692</v>
      </c>
      <c r="N953" s="27">
        <v>5.5</v>
      </c>
      <c r="O953" s="27"/>
      <c r="P953" s="27">
        <v>4.5</v>
      </c>
      <c r="Q953" s="27"/>
      <c r="R953" s="27">
        <v>5.0</v>
      </c>
      <c r="S953" s="27"/>
      <c r="T953" s="27">
        <v>4.5</v>
      </c>
      <c r="U953" s="27"/>
      <c r="V953" s="27">
        <v>4.5</v>
      </c>
      <c r="W953" s="27"/>
      <c r="X953" s="27">
        <v>4.5</v>
      </c>
      <c r="Y953" s="27"/>
      <c r="Z953" s="27">
        <v>4.5</v>
      </c>
      <c r="AA953" s="27"/>
      <c r="AB953" s="27">
        <v>5.0</v>
      </c>
      <c r="AC953" s="27"/>
      <c r="AD953" s="27">
        <v>4.5</v>
      </c>
      <c r="AE953" s="27"/>
      <c r="AF953" s="27">
        <v>4.5</v>
      </c>
      <c r="AG953" s="27"/>
      <c r="AH953" s="27">
        <v>106.0</v>
      </c>
      <c r="AI953" s="27">
        <v>105.0</v>
      </c>
      <c r="AJ953" s="27">
        <v>2.0</v>
      </c>
      <c r="AK953" s="27" t="b">
        <v>1</v>
      </c>
      <c r="AL953" s="27">
        <v>100.0</v>
      </c>
      <c r="AM953" s="27" t="s">
        <v>389</v>
      </c>
      <c r="AN953" s="27" t="s">
        <v>405</v>
      </c>
      <c r="AO953" s="27"/>
    </row>
    <row r="954">
      <c r="A954" s="200">
        <v>44845.02510600694</v>
      </c>
      <c r="B954" s="19" t="s">
        <v>116</v>
      </c>
      <c r="C954" s="21" t="s">
        <v>313</v>
      </c>
      <c r="D954" s="62">
        <v>6.0</v>
      </c>
      <c r="E954" s="27">
        <v>0.0</v>
      </c>
      <c r="F954" s="27" t="s">
        <v>1772</v>
      </c>
      <c r="G954" s="201" t="s">
        <v>57</v>
      </c>
      <c r="H954" s="27" t="s">
        <v>166</v>
      </c>
      <c r="I954" s="27"/>
      <c r="J954" s="33">
        <v>-13.5</v>
      </c>
      <c r="K954" s="33">
        <v>-28.0</v>
      </c>
      <c r="L954" s="66">
        <v>64.5</v>
      </c>
      <c r="M954" s="27" t="s">
        <v>1248</v>
      </c>
      <c r="N954" s="27">
        <v>-28.0</v>
      </c>
      <c r="O954" s="27"/>
      <c r="P954" s="27">
        <v>-27.5</v>
      </c>
      <c r="Q954" s="27"/>
      <c r="R954" s="27">
        <v>-28.0</v>
      </c>
      <c r="S954" s="27"/>
      <c r="T954" s="27">
        <v>-28.0</v>
      </c>
      <c r="U954" s="27"/>
      <c r="V954" s="27">
        <v>-27.5</v>
      </c>
      <c r="W954" s="27"/>
      <c r="X954" s="27">
        <v>-27.5</v>
      </c>
      <c r="Y954" s="27"/>
      <c r="Z954" s="27">
        <v>-28.0</v>
      </c>
      <c r="AA954" s="27"/>
      <c r="AB954" s="27">
        <v>-28.0</v>
      </c>
      <c r="AC954" s="27"/>
      <c r="AD954" s="27">
        <v>-28.0</v>
      </c>
      <c r="AE954" s="27"/>
      <c r="AF954" s="27">
        <v>-28.0</v>
      </c>
      <c r="AG954" s="27"/>
      <c r="AH954" s="27">
        <v>237.0</v>
      </c>
      <c r="AI954" s="27">
        <v>64.0</v>
      </c>
      <c r="AJ954" s="27">
        <v>2.0</v>
      </c>
      <c r="AK954" s="27" t="b">
        <v>0</v>
      </c>
      <c r="AL954" s="27">
        <v>100.0</v>
      </c>
      <c r="AM954" s="27" t="s">
        <v>192</v>
      </c>
      <c r="AN954" s="27" t="s">
        <v>404</v>
      </c>
      <c r="AO954" s="27"/>
    </row>
    <row r="955">
      <c r="A955" s="200">
        <v>44845.02510600694</v>
      </c>
      <c r="B955" s="19" t="s">
        <v>116</v>
      </c>
      <c r="C955" s="21" t="s">
        <v>329</v>
      </c>
      <c r="D955" s="62">
        <v>3.0</v>
      </c>
      <c r="E955" s="27">
        <v>3.0</v>
      </c>
      <c r="F955" s="27" t="s">
        <v>1741</v>
      </c>
      <c r="G955" s="201" t="s">
        <v>57</v>
      </c>
      <c r="H955" s="27" t="s">
        <v>59</v>
      </c>
      <c r="I955" s="27"/>
      <c r="J955" s="33">
        <v>9.0</v>
      </c>
      <c r="K955" s="33">
        <v>7.5</v>
      </c>
      <c r="L955" s="66">
        <v>55.5</v>
      </c>
      <c r="M955" s="27" t="s">
        <v>1330</v>
      </c>
      <c r="N955" s="27">
        <v>7.5</v>
      </c>
      <c r="O955" s="27"/>
      <c r="P955" s="27">
        <v>7.5</v>
      </c>
      <c r="Q955" s="27"/>
      <c r="R955" s="27">
        <v>7.5</v>
      </c>
      <c r="S955" s="27"/>
      <c r="T955" s="27">
        <v>7.5</v>
      </c>
      <c r="U955" s="27"/>
      <c r="V955" s="27">
        <v>7.5</v>
      </c>
      <c r="W955" s="27"/>
      <c r="X955" s="27">
        <v>7.5</v>
      </c>
      <c r="Y955" s="27"/>
      <c r="Z955" s="27">
        <v>7.5</v>
      </c>
      <c r="AA955" s="27"/>
      <c r="AB955" s="27">
        <v>7.5</v>
      </c>
      <c r="AC955" s="27"/>
      <c r="AD955" s="27">
        <v>7.5</v>
      </c>
      <c r="AE955" s="27"/>
      <c r="AF955" s="27" t="s">
        <v>1091</v>
      </c>
      <c r="AG955" s="27" t="s">
        <v>1091</v>
      </c>
      <c r="AH955" s="27">
        <v>155.0</v>
      </c>
      <c r="AI955" s="27">
        <v>184.0</v>
      </c>
      <c r="AJ955" s="27">
        <v>2.0</v>
      </c>
      <c r="AK955" s="27" t="b">
        <v>1</v>
      </c>
      <c r="AL955" s="27">
        <v>100.0</v>
      </c>
      <c r="AM955" s="27" t="s">
        <v>190</v>
      </c>
      <c r="AN955" s="27" t="s">
        <v>405</v>
      </c>
      <c r="AO955" s="27"/>
    </row>
    <row r="956">
      <c r="A956" s="200">
        <v>44845.02510600694</v>
      </c>
      <c r="B956" s="19" t="s">
        <v>116</v>
      </c>
      <c r="C956" s="21" t="s">
        <v>336</v>
      </c>
      <c r="D956" s="62">
        <v>1.0</v>
      </c>
      <c r="E956" s="27">
        <v>4.0</v>
      </c>
      <c r="F956" s="27" t="s">
        <v>1699</v>
      </c>
      <c r="G956" s="201" t="s">
        <v>57</v>
      </c>
      <c r="H956" s="27" t="s">
        <v>53</v>
      </c>
      <c r="I956" s="27"/>
      <c r="J956" s="33">
        <v>2.5</v>
      </c>
      <c r="K956" s="33">
        <v>3.5</v>
      </c>
      <c r="L956" s="66">
        <v>45.0</v>
      </c>
      <c r="M956" s="27" t="s">
        <v>1700</v>
      </c>
      <c r="N956" s="27">
        <v>3.5</v>
      </c>
      <c r="O956" s="27"/>
      <c r="P956" s="27">
        <v>3.5</v>
      </c>
      <c r="Q956" s="27"/>
      <c r="R956" s="27">
        <v>3.5</v>
      </c>
      <c r="S956" s="27"/>
      <c r="T956" s="27">
        <v>3.5</v>
      </c>
      <c r="U956" s="27"/>
      <c r="V956" s="27">
        <v>3.5</v>
      </c>
      <c r="W956" s="27"/>
      <c r="X956" s="27">
        <v>4.0</v>
      </c>
      <c r="Y956" s="27"/>
      <c r="Z956" s="27">
        <v>3.5</v>
      </c>
      <c r="AA956" s="27"/>
      <c r="AB956" s="27">
        <v>3.5</v>
      </c>
      <c r="AC956" s="27"/>
      <c r="AD956" s="27">
        <v>3.5</v>
      </c>
      <c r="AE956" s="27"/>
      <c r="AF956" s="27">
        <v>3.5</v>
      </c>
      <c r="AG956" s="27"/>
      <c r="AH956" s="27">
        <v>60.0</v>
      </c>
      <c r="AI956" s="27">
        <v>178.0</v>
      </c>
      <c r="AJ956" s="27">
        <v>2.0</v>
      </c>
      <c r="AK956" s="27" t="b">
        <v>1</v>
      </c>
      <c r="AL956" s="27">
        <v>100.0</v>
      </c>
      <c r="AM956" s="27" t="s">
        <v>129</v>
      </c>
      <c r="AN956" s="27" t="s">
        <v>405</v>
      </c>
      <c r="AO956" s="27"/>
    </row>
    <row r="957">
      <c r="A957" s="200">
        <v>44845.02510600694</v>
      </c>
      <c r="B957" s="19" t="s">
        <v>116</v>
      </c>
      <c r="C957" s="21" t="s">
        <v>348</v>
      </c>
      <c r="D957" s="62">
        <v>3.0</v>
      </c>
      <c r="E957" s="27">
        <v>3.0</v>
      </c>
      <c r="F957" s="27" t="s">
        <v>1777</v>
      </c>
      <c r="G957" s="201" t="s">
        <v>183</v>
      </c>
      <c r="H957" s="27"/>
      <c r="I957" s="27"/>
      <c r="J957" s="33">
        <v>2.5</v>
      </c>
      <c r="K957" s="33">
        <v>3.5</v>
      </c>
      <c r="L957" s="66">
        <v>53.5</v>
      </c>
      <c r="M957" s="27" t="s">
        <v>1778</v>
      </c>
      <c r="N957" s="27">
        <v>3.5</v>
      </c>
      <c r="O957" s="27"/>
      <c r="P957" s="27">
        <v>3.5</v>
      </c>
      <c r="Q957" s="27"/>
      <c r="R957" s="27">
        <v>3.5</v>
      </c>
      <c r="S957" s="27"/>
      <c r="T957" s="27">
        <v>3.5</v>
      </c>
      <c r="U957" s="27"/>
      <c r="V957" s="27">
        <v>3.5</v>
      </c>
      <c r="W957" s="27"/>
      <c r="X957" s="27">
        <v>3.5</v>
      </c>
      <c r="Y957" s="27"/>
      <c r="Z957" s="27">
        <v>3.5</v>
      </c>
      <c r="AA957" s="27"/>
      <c r="AB957" s="27">
        <v>3.5</v>
      </c>
      <c r="AC957" s="27"/>
      <c r="AD957" s="27">
        <v>3.5</v>
      </c>
      <c r="AE957" s="27"/>
      <c r="AF957" s="27">
        <v>3.5</v>
      </c>
      <c r="AG957" s="27"/>
      <c r="AH957" s="27">
        <v>104.0</v>
      </c>
      <c r="AI957" s="27">
        <v>168.0</v>
      </c>
      <c r="AJ957" s="27">
        <v>2.0</v>
      </c>
      <c r="AK957" s="27" t="b">
        <v>0</v>
      </c>
      <c r="AL957" s="27">
        <v>100.0</v>
      </c>
      <c r="AM957" s="27" t="s">
        <v>186</v>
      </c>
      <c r="AN957" s="27" t="s">
        <v>404</v>
      </c>
      <c r="AO957" s="27"/>
    </row>
    <row r="958">
      <c r="A958" s="200">
        <v>44845.02510600694</v>
      </c>
      <c r="B958" s="19"/>
      <c r="C958" s="21"/>
      <c r="D958" s="62"/>
      <c r="E958" s="27"/>
      <c r="F958" s="27"/>
      <c r="G958" s="201"/>
      <c r="H958" s="27"/>
      <c r="I958" s="27"/>
      <c r="J958" s="33"/>
      <c r="K958" s="33"/>
      <c r="L958" s="66"/>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t="e">
        <v>#N/A</v>
      </c>
      <c r="AN958" s="27" t="e">
        <v>#N/A</v>
      </c>
      <c r="AO958" s="27"/>
    </row>
    <row r="959">
      <c r="A959" s="200">
        <v>44845.02510600694</v>
      </c>
      <c r="B959" s="19" t="s">
        <v>148</v>
      </c>
      <c r="C959" s="21" t="s">
        <v>316</v>
      </c>
      <c r="D959" s="62">
        <v>4.0</v>
      </c>
      <c r="E959" s="27">
        <v>2.0</v>
      </c>
      <c r="F959" s="27" t="s">
        <v>1766</v>
      </c>
      <c r="G959" s="201" t="s">
        <v>57</v>
      </c>
      <c r="H959" s="27" t="s">
        <v>144</v>
      </c>
      <c r="I959" s="27"/>
      <c r="J959" s="33">
        <v>-5.5</v>
      </c>
      <c r="K959" s="33">
        <v>-10.5</v>
      </c>
      <c r="L959" s="66">
        <v>46.0</v>
      </c>
      <c r="M959" s="27" t="s">
        <v>1633</v>
      </c>
      <c r="N959" s="27">
        <v>-10.0</v>
      </c>
      <c r="O959" s="27"/>
      <c r="P959" s="27">
        <v>-10.5</v>
      </c>
      <c r="Q959" s="27"/>
      <c r="R959" s="27">
        <v>-10.0</v>
      </c>
      <c r="S959" s="27"/>
      <c r="T959" s="27">
        <v>-10.5</v>
      </c>
      <c r="U959" s="27"/>
      <c r="V959" s="27">
        <v>-10.5</v>
      </c>
      <c r="W959" s="27"/>
      <c r="X959" s="27">
        <v>-10.5</v>
      </c>
      <c r="Y959" s="27"/>
      <c r="Z959" s="27">
        <v>-10.5</v>
      </c>
      <c r="AA959" s="27"/>
      <c r="AB959" s="27">
        <v>-10.5</v>
      </c>
      <c r="AC959" s="27"/>
      <c r="AD959" s="27">
        <v>-10.5</v>
      </c>
      <c r="AE959" s="27"/>
      <c r="AF959" s="27">
        <v>-10.5</v>
      </c>
      <c r="AG959" s="27" t="s">
        <v>1091</v>
      </c>
      <c r="AH959" s="27">
        <v>163.0</v>
      </c>
      <c r="AI959" s="27">
        <v>115.0</v>
      </c>
      <c r="AJ959" s="27">
        <v>2.0</v>
      </c>
      <c r="AK959" s="27" t="b">
        <v>0</v>
      </c>
      <c r="AL959" s="27">
        <v>100.0</v>
      </c>
      <c r="AM959" s="27" t="s">
        <v>129</v>
      </c>
      <c r="AN959" s="27" t="s">
        <v>405</v>
      </c>
      <c r="AO959" s="27"/>
    </row>
    <row r="960">
      <c r="A960" s="200">
        <v>44845.02510600694</v>
      </c>
      <c r="B960" s="19" t="s">
        <v>148</v>
      </c>
      <c r="C960" s="21" t="s">
        <v>387</v>
      </c>
      <c r="D960" s="62">
        <v>3.0</v>
      </c>
      <c r="E960" s="27">
        <v>3.0</v>
      </c>
      <c r="F960" s="27" t="s">
        <v>1749</v>
      </c>
      <c r="G960" s="201" t="s">
        <v>57</v>
      </c>
      <c r="H960" s="27" t="s">
        <v>141</v>
      </c>
      <c r="I960" s="27"/>
      <c r="J960" s="33">
        <v>16.0</v>
      </c>
      <c r="K960" s="33">
        <v>24.5</v>
      </c>
      <c r="L960" s="66">
        <v>48.0</v>
      </c>
      <c r="M960" s="27" t="s">
        <v>1165</v>
      </c>
      <c r="N960" s="27">
        <v>24.5</v>
      </c>
      <c r="O960" s="27"/>
      <c r="P960" s="27">
        <v>24.0</v>
      </c>
      <c r="Q960" s="27"/>
      <c r="R960" s="27">
        <v>24.0</v>
      </c>
      <c r="S960" s="27"/>
      <c r="T960" s="27">
        <v>24.5</v>
      </c>
      <c r="U960" s="27"/>
      <c r="V960" s="27">
        <v>24.0</v>
      </c>
      <c r="W960" s="27"/>
      <c r="X960" s="27">
        <v>24.0</v>
      </c>
      <c r="Y960" s="27"/>
      <c r="Z960" s="27">
        <v>24.5</v>
      </c>
      <c r="AA960" s="27"/>
      <c r="AB960" s="27">
        <v>24.0</v>
      </c>
      <c r="AC960" s="27"/>
      <c r="AD960" s="27">
        <v>24.5</v>
      </c>
      <c r="AE960" s="27"/>
      <c r="AF960" s="27">
        <v>24.5</v>
      </c>
      <c r="AG960" s="27"/>
      <c r="AH960" s="27">
        <v>129.0</v>
      </c>
      <c r="AI960" s="27">
        <v>113.0</v>
      </c>
      <c r="AJ960" s="27">
        <v>2.0</v>
      </c>
      <c r="AK960" s="27" t="b">
        <v>0</v>
      </c>
      <c r="AL960" s="27">
        <v>100.0</v>
      </c>
      <c r="AM960" s="27" t="s">
        <v>192</v>
      </c>
      <c r="AN960" s="27" t="s">
        <v>404</v>
      </c>
      <c r="AO960" s="27"/>
    </row>
    <row r="961">
      <c r="A961" s="200">
        <v>44845.02510600694</v>
      </c>
      <c r="B961" s="19" t="s">
        <v>148</v>
      </c>
      <c r="C961" s="21" t="s">
        <v>326</v>
      </c>
      <c r="D961" s="62">
        <v>3.0</v>
      </c>
      <c r="E961" s="27">
        <v>3.0</v>
      </c>
      <c r="F961" s="27" t="s">
        <v>1736</v>
      </c>
      <c r="G961" s="201" t="s">
        <v>57</v>
      </c>
      <c r="H961" s="27" t="s">
        <v>59</v>
      </c>
      <c r="I961" s="27"/>
      <c r="J961" s="33">
        <v>1.5</v>
      </c>
      <c r="K961" s="33">
        <v>0.0</v>
      </c>
      <c r="L961" s="66">
        <v>58.0</v>
      </c>
      <c r="M961" s="27" t="s">
        <v>1737</v>
      </c>
      <c r="N961" s="27">
        <v>1.5</v>
      </c>
      <c r="O961" s="27"/>
      <c r="P961" s="27">
        <v>1.5</v>
      </c>
      <c r="Q961" s="27"/>
      <c r="R961" s="27">
        <v>0.0</v>
      </c>
      <c r="S961" s="27"/>
      <c r="T961" s="27">
        <v>0.0</v>
      </c>
      <c r="U961" s="27"/>
      <c r="V961" s="27">
        <v>1.0</v>
      </c>
      <c r="W961" s="27"/>
      <c r="X961" s="27">
        <v>1.0</v>
      </c>
      <c r="Y961" s="27"/>
      <c r="Z961" s="27">
        <v>1.0</v>
      </c>
      <c r="AA961" s="27"/>
      <c r="AB961" s="27">
        <v>2.0</v>
      </c>
      <c r="AC961" s="27" t="s">
        <v>1091</v>
      </c>
      <c r="AD961" s="27">
        <v>0.0</v>
      </c>
      <c r="AE961" s="27" t="s">
        <v>1091</v>
      </c>
      <c r="AF961" s="27">
        <v>0.0</v>
      </c>
      <c r="AG961" s="27" t="s">
        <v>1091</v>
      </c>
      <c r="AH961" s="27">
        <v>139.0</v>
      </c>
      <c r="AI961" s="27">
        <v>82.0</v>
      </c>
      <c r="AJ961" s="27">
        <v>2.0</v>
      </c>
      <c r="AK961" s="27" t="b">
        <v>1</v>
      </c>
      <c r="AL961" s="27">
        <v>100.0</v>
      </c>
      <c r="AM961" s="27" t="s">
        <v>187</v>
      </c>
      <c r="AN961" s="27" t="s">
        <v>404</v>
      </c>
      <c r="AO961" s="27"/>
    </row>
    <row r="962">
      <c r="A962" s="200">
        <v>44845.02510600694</v>
      </c>
      <c r="B962" s="19" t="s">
        <v>148</v>
      </c>
      <c r="C962" s="21" t="s">
        <v>380</v>
      </c>
      <c r="D962" s="62">
        <v>3.0</v>
      </c>
      <c r="E962" s="27">
        <v>3.0</v>
      </c>
      <c r="F962" s="27" t="s">
        <v>1738</v>
      </c>
      <c r="G962" s="201" t="s">
        <v>57</v>
      </c>
      <c r="H962" s="27" t="s">
        <v>59</v>
      </c>
      <c r="I962" s="27"/>
      <c r="J962" s="33">
        <v>19.0</v>
      </c>
      <c r="K962" s="33">
        <v>19.0</v>
      </c>
      <c r="L962" s="66">
        <v>55.5</v>
      </c>
      <c r="M962" s="27" t="s">
        <v>1739</v>
      </c>
      <c r="N962" s="27">
        <v>19.5</v>
      </c>
      <c r="O962" s="27"/>
      <c r="P962" s="27">
        <v>19.0</v>
      </c>
      <c r="Q962" s="27"/>
      <c r="R962" s="27">
        <v>19.0</v>
      </c>
      <c r="S962" s="27"/>
      <c r="T962" s="27">
        <v>19.0</v>
      </c>
      <c r="U962" s="27"/>
      <c r="V962" s="27">
        <v>19.5</v>
      </c>
      <c r="W962" s="27"/>
      <c r="X962" s="27">
        <v>19.0</v>
      </c>
      <c r="Y962" s="27"/>
      <c r="Z962" s="27">
        <v>19.0</v>
      </c>
      <c r="AA962" s="27"/>
      <c r="AB962" s="27">
        <v>20.0</v>
      </c>
      <c r="AC962" s="27"/>
      <c r="AD962" s="27">
        <v>19.0</v>
      </c>
      <c r="AE962" s="27"/>
      <c r="AF962" s="27">
        <v>19.0</v>
      </c>
      <c r="AG962" s="27"/>
      <c r="AH962" s="27">
        <v>145.0</v>
      </c>
      <c r="AI962" s="27">
        <v>156.0</v>
      </c>
      <c r="AJ962" s="27">
        <v>2.0</v>
      </c>
      <c r="AK962" s="27" t="b">
        <v>1</v>
      </c>
      <c r="AL962" s="27">
        <v>100.0</v>
      </c>
      <c r="AM962" s="27" t="s">
        <v>193</v>
      </c>
      <c r="AN962" s="27" t="s">
        <v>405</v>
      </c>
      <c r="AO962" s="27"/>
    </row>
    <row r="963">
      <c r="A963" s="200">
        <v>44845.02510600694</v>
      </c>
      <c r="B963" s="19" t="s">
        <v>148</v>
      </c>
      <c r="C963" s="21" t="s">
        <v>377</v>
      </c>
      <c r="D963" s="62">
        <v>4.0</v>
      </c>
      <c r="E963" s="27">
        <v>2.0</v>
      </c>
      <c r="F963" s="27" t="s">
        <v>1757</v>
      </c>
      <c r="G963" s="201" t="s">
        <v>57</v>
      </c>
      <c r="H963" s="27" t="s">
        <v>109</v>
      </c>
      <c r="I963" s="27"/>
      <c r="J963" s="33">
        <v>-14.5</v>
      </c>
      <c r="K963" s="33">
        <v>-13.5</v>
      </c>
      <c r="L963" s="66">
        <v>56.5</v>
      </c>
      <c r="M963" s="27" t="s">
        <v>1758</v>
      </c>
      <c r="N963" s="27">
        <v>-13.5</v>
      </c>
      <c r="O963" s="27"/>
      <c r="P963" s="27">
        <v>-13.5</v>
      </c>
      <c r="Q963" s="27"/>
      <c r="R963" s="27">
        <v>-13.5</v>
      </c>
      <c r="S963" s="27"/>
      <c r="T963" s="27">
        <v>-13.0</v>
      </c>
      <c r="U963" s="27"/>
      <c r="V963" s="27">
        <v>-13.5</v>
      </c>
      <c r="W963" s="27"/>
      <c r="X963" s="27">
        <v>-13.5</v>
      </c>
      <c r="Y963" s="27"/>
      <c r="Z963" s="27">
        <v>-13.5</v>
      </c>
      <c r="AA963" s="27"/>
      <c r="AB963" s="27">
        <v>-13.5</v>
      </c>
      <c r="AC963" s="27"/>
      <c r="AD963" s="27">
        <v>-13.0</v>
      </c>
      <c r="AE963" s="27"/>
      <c r="AF963" s="27">
        <v>-13.0</v>
      </c>
      <c r="AG963" s="27"/>
      <c r="AH963" s="27">
        <v>246.0</v>
      </c>
      <c r="AI963" s="27">
        <v>161.0</v>
      </c>
      <c r="AJ963" s="27">
        <v>2.0</v>
      </c>
      <c r="AK963" s="27" t="b">
        <v>1</v>
      </c>
      <c r="AL963" s="27">
        <v>100.0</v>
      </c>
      <c r="AM963" s="27" t="s">
        <v>191</v>
      </c>
      <c r="AN963" s="27" t="s">
        <v>404</v>
      </c>
      <c r="AO963" s="27"/>
    </row>
    <row r="964">
      <c r="A964" s="200">
        <v>44845.02510600694</v>
      </c>
      <c r="B964" s="19" t="s">
        <v>148</v>
      </c>
      <c r="C964" s="21" t="s">
        <v>384</v>
      </c>
      <c r="D964" s="62">
        <v>2.0</v>
      </c>
      <c r="E964" s="27">
        <v>4.0</v>
      </c>
      <c r="F964" s="27" t="s">
        <v>1770</v>
      </c>
      <c r="G964" s="201" t="s">
        <v>57</v>
      </c>
      <c r="H964" s="27" t="s">
        <v>166</v>
      </c>
      <c r="I964" s="27"/>
      <c r="J964" s="33">
        <v>13.5</v>
      </c>
      <c r="K964" s="33">
        <v>14.5</v>
      </c>
      <c r="L964" s="66">
        <v>49.5</v>
      </c>
      <c r="M964" s="27" t="s">
        <v>1771</v>
      </c>
      <c r="N964" s="27">
        <v>14.5</v>
      </c>
      <c r="O964" s="27"/>
      <c r="P964" s="27">
        <v>14.5</v>
      </c>
      <c r="Q964" s="27"/>
      <c r="R964" s="27">
        <v>14.5</v>
      </c>
      <c r="S964" s="27"/>
      <c r="T964" s="27">
        <v>14.5</v>
      </c>
      <c r="U964" s="27"/>
      <c r="V964" s="27">
        <v>14.5</v>
      </c>
      <c r="W964" s="27"/>
      <c r="X964" s="27">
        <v>14.5</v>
      </c>
      <c r="Y964" s="27"/>
      <c r="Z964" s="27">
        <v>14.5</v>
      </c>
      <c r="AA964" s="27"/>
      <c r="AB964" s="27">
        <v>14.5</v>
      </c>
      <c r="AC964" s="27"/>
      <c r="AD964" s="27">
        <v>14.5</v>
      </c>
      <c r="AE964" s="27"/>
      <c r="AF964" s="27">
        <v>14.5</v>
      </c>
      <c r="AG964" s="27"/>
      <c r="AH964" s="27">
        <v>120.0</v>
      </c>
      <c r="AI964" s="27">
        <v>156.0</v>
      </c>
      <c r="AJ964" s="27">
        <v>2.0</v>
      </c>
      <c r="AK964" s="27" t="b">
        <v>1</v>
      </c>
      <c r="AL964" s="27">
        <v>100.0</v>
      </c>
      <c r="AM964" s="27" t="s">
        <v>186</v>
      </c>
      <c r="AN964" s="27" t="s">
        <v>404</v>
      </c>
      <c r="AO964" s="27"/>
    </row>
    <row r="965">
      <c r="A965" s="200">
        <v>44845.02510600694</v>
      </c>
      <c r="B965" s="19" t="s">
        <v>148</v>
      </c>
      <c r="C965" s="21" t="s">
        <v>401</v>
      </c>
      <c r="D965" s="62">
        <v>1.0</v>
      </c>
      <c r="E965" s="27">
        <v>5.0</v>
      </c>
      <c r="F965" s="27" t="s">
        <v>1773</v>
      </c>
      <c r="G965" s="201" t="s">
        <v>57</v>
      </c>
      <c r="H965" s="27" t="s">
        <v>166</v>
      </c>
      <c r="I965" s="27"/>
      <c r="J965" s="33">
        <v>24.5</v>
      </c>
      <c r="K965" s="33">
        <v>23.0</v>
      </c>
      <c r="L965" s="66">
        <v>52.5</v>
      </c>
      <c r="M965" s="27" t="s">
        <v>1774</v>
      </c>
      <c r="N965" s="27">
        <v>23.5</v>
      </c>
      <c r="O965" s="27"/>
      <c r="P965" s="27">
        <v>22.5</v>
      </c>
      <c r="Q965" s="27"/>
      <c r="R965" s="27">
        <v>22.0</v>
      </c>
      <c r="S965" s="27"/>
      <c r="T965" s="27">
        <v>23.0</v>
      </c>
      <c r="U965" s="27"/>
      <c r="V965" s="27">
        <v>22.5</v>
      </c>
      <c r="W965" s="27"/>
      <c r="X965" s="27">
        <v>23.0</v>
      </c>
      <c r="Y965" s="27"/>
      <c r="Z965" s="27">
        <v>22.5</v>
      </c>
      <c r="AA965" s="27"/>
      <c r="AB965" s="27">
        <v>22.5</v>
      </c>
      <c r="AC965" s="27"/>
      <c r="AD965" s="27">
        <v>23.0</v>
      </c>
      <c r="AE965" s="27"/>
      <c r="AF965" s="27">
        <v>23.0</v>
      </c>
      <c r="AG965" s="27" t="s">
        <v>1091</v>
      </c>
      <c r="AH965" s="27">
        <v>77.0</v>
      </c>
      <c r="AI965" s="27">
        <v>190.0</v>
      </c>
      <c r="AJ965" s="27">
        <v>2.0</v>
      </c>
      <c r="AK965" s="27" t="b">
        <v>0</v>
      </c>
      <c r="AL965" s="27">
        <v>100.0</v>
      </c>
      <c r="AM965" s="27" t="s">
        <v>189</v>
      </c>
      <c r="AN965" s="27" t="s">
        <v>405</v>
      </c>
      <c r="AO965" s="27"/>
    </row>
    <row r="966">
      <c r="A966" s="200">
        <v>44845.02510600694</v>
      </c>
      <c r="B966" s="19" t="s">
        <v>148</v>
      </c>
      <c r="C966" s="21" t="s">
        <v>381</v>
      </c>
      <c r="D966" s="62">
        <v>4.0</v>
      </c>
      <c r="E966" s="27">
        <v>2.0</v>
      </c>
      <c r="F966" s="27" t="s">
        <v>1779</v>
      </c>
      <c r="G966" s="201" t="s">
        <v>57</v>
      </c>
      <c r="H966" s="27" t="s">
        <v>103</v>
      </c>
      <c r="I966" s="27"/>
      <c r="J966" s="33">
        <v>3.0</v>
      </c>
      <c r="K966" s="33">
        <v>3.0</v>
      </c>
      <c r="L966" s="66">
        <v>59.5</v>
      </c>
      <c r="M966" s="27" t="s">
        <v>1755</v>
      </c>
      <c r="N966" s="27">
        <v>3.0</v>
      </c>
      <c r="O966" s="27"/>
      <c r="P966" s="27">
        <v>3.0</v>
      </c>
      <c r="Q966" s="27"/>
      <c r="R966" s="27">
        <v>3.0</v>
      </c>
      <c r="S966" s="27"/>
      <c r="T966" s="27">
        <v>3.0</v>
      </c>
      <c r="U966" s="27"/>
      <c r="V966" s="27">
        <v>3.0</v>
      </c>
      <c r="W966" s="27"/>
      <c r="X966" s="27">
        <v>3.0</v>
      </c>
      <c r="Y966" s="27"/>
      <c r="Z966" s="27">
        <v>3.0</v>
      </c>
      <c r="AA966" s="27"/>
      <c r="AB966" s="27">
        <v>3.0</v>
      </c>
      <c r="AC966" s="27"/>
      <c r="AD966" s="27">
        <v>3.0</v>
      </c>
      <c r="AE966" s="27"/>
      <c r="AF966" s="27">
        <v>3.0</v>
      </c>
      <c r="AG966" s="27"/>
      <c r="AH966" s="27">
        <v>195.0</v>
      </c>
      <c r="AI966" s="27">
        <v>132.0</v>
      </c>
      <c r="AJ966" s="27">
        <v>2.0</v>
      </c>
      <c r="AK966" s="27" t="b">
        <v>0</v>
      </c>
      <c r="AL966" s="27">
        <v>100.0</v>
      </c>
      <c r="AM966" s="27" t="s">
        <v>188</v>
      </c>
      <c r="AN966" s="27" t="s">
        <v>404</v>
      </c>
      <c r="AO966" s="27"/>
    </row>
    <row r="967">
      <c r="A967" s="200">
        <v>44845.02510600694</v>
      </c>
      <c r="B967" s="19" t="s">
        <v>148</v>
      </c>
      <c r="C967" s="21" t="s">
        <v>335</v>
      </c>
      <c r="D967" s="62">
        <v>2.0</v>
      </c>
      <c r="E967" s="27">
        <v>4.0</v>
      </c>
      <c r="F967" s="27" t="s">
        <v>1762</v>
      </c>
      <c r="G967" s="201" t="s">
        <v>57</v>
      </c>
      <c r="H967" s="27" t="s">
        <v>109</v>
      </c>
      <c r="I967" s="27"/>
      <c r="J967" s="33">
        <v>-1.0</v>
      </c>
      <c r="K967" s="33">
        <v>2.0</v>
      </c>
      <c r="L967" s="66">
        <v>55.5</v>
      </c>
      <c r="M967" s="27" t="s">
        <v>1763</v>
      </c>
      <c r="N967" s="27">
        <v>2.0</v>
      </c>
      <c r="O967" s="27"/>
      <c r="P967" s="27">
        <v>2.0</v>
      </c>
      <c r="Q967" s="27"/>
      <c r="R967" s="27">
        <v>1.5</v>
      </c>
      <c r="S967" s="27"/>
      <c r="T967" s="27">
        <v>2.0</v>
      </c>
      <c r="U967" s="27"/>
      <c r="V967" s="27">
        <v>2.0</v>
      </c>
      <c r="W967" s="27"/>
      <c r="X967" s="27">
        <v>2.0</v>
      </c>
      <c r="Y967" s="27"/>
      <c r="Z967" s="27">
        <v>2.0</v>
      </c>
      <c r="AA967" s="27"/>
      <c r="AB967" s="27">
        <v>2.0</v>
      </c>
      <c r="AC967" s="27"/>
      <c r="AD967" s="27">
        <v>2.0</v>
      </c>
      <c r="AE967" s="27"/>
      <c r="AF967" s="27" t="s">
        <v>1091</v>
      </c>
      <c r="AG967" s="27" t="s">
        <v>1091</v>
      </c>
      <c r="AH967" s="27">
        <v>160.0</v>
      </c>
      <c r="AI967" s="27">
        <v>246.0</v>
      </c>
      <c r="AJ967" s="27">
        <v>2.0</v>
      </c>
      <c r="AK967" s="27" t="b">
        <v>0</v>
      </c>
      <c r="AL967" s="27">
        <v>100.0</v>
      </c>
      <c r="AM967" s="27" t="s">
        <v>190</v>
      </c>
      <c r="AN967" s="27" t="s">
        <v>405</v>
      </c>
      <c r="AO967" s="27"/>
    </row>
    <row r="968">
      <c r="A968" s="200">
        <v>44845.02510600694</v>
      </c>
      <c r="B968" s="19" t="s">
        <v>148</v>
      </c>
      <c r="C968" s="21" t="s">
        <v>374</v>
      </c>
      <c r="D968" s="62">
        <v>4.0</v>
      </c>
      <c r="E968" s="27">
        <v>1.0</v>
      </c>
      <c r="F968" s="27" t="s">
        <v>1754</v>
      </c>
      <c r="G968" s="201" t="s">
        <v>57</v>
      </c>
      <c r="H968" s="27" t="s">
        <v>141</v>
      </c>
      <c r="I968" s="27"/>
      <c r="J968" s="33">
        <v>-4.0</v>
      </c>
      <c r="K968" s="33">
        <v>-3.0</v>
      </c>
      <c r="L968" s="66">
        <v>64.5</v>
      </c>
      <c r="M968" s="27" t="s">
        <v>1755</v>
      </c>
      <c r="N968" s="27">
        <v>-3.0</v>
      </c>
      <c r="O968" s="27"/>
      <c r="P968" s="27">
        <v>-3.0</v>
      </c>
      <c r="Q968" s="27"/>
      <c r="R968" s="27">
        <v>-3.5</v>
      </c>
      <c r="S968" s="27"/>
      <c r="T968" s="27">
        <v>-3.0</v>
      </c>
      <c r="U968" s="27"/>
      <c r="V968" s="27">
        <v>-3.0</v>
      </c>
      <c r="W968" s="27"/>
      <c r="X968" s="27">
        <v>-3.0</v>
      </c>
      <c r="Y968" s="27"/>
      <c r="Z968" s="27">
        <v>-3.0</v>
      </c>
      <c r="AA968" s="27"/>
      <c r="AB968" s="27">
        <v>-3.0</v>
      </c>
      <c r="AC968" s="27"/>
      <c r="AD968" s="27">
        <v>-3.0</v>
      </c>
      <c r="AE968" s="27"/>
      <c r="AF968" s="27">
        <v>-3.0</v>
      </c>
      <c r="AG968" s="27"/>
      <c r="AH968" s="27">
        <v>178.0</v>
      </c>
      <c r="AI968" s="27">
        <v>73.0</v>
      </c>
      <c r="AJ968" s="27">
        <v>2.0</v>
      </c>
      <c r="AK968" s="27" t="b">
        <v>0</v>
      </c>
      <c r="AL968" s="27">
        <v>100.0</v>
      </c>
      <c r="AM968" s="27" t="s">
        <v>389</v>
      </c>
      <c r="AN968" s="27" t="s">
        <v>405</v>
      </c>
      <c r="AO968" s="27"/>
    </row>
    <row r="969">
      <c r="A969" s="200">
        <v>44845.02510600694</v>
      </c>
      <c r="B969" s="19"/>
      <c r="C969" s="21"/>
      <c r="D969" s="62"/>
      <c r="E969" s="27"/>
      <c r="F969" s="27"/>
      <c r="G969" s="201"/>
      <c r="H969" s="27"/>
      <c r="I969" s="27"/>
      <c r="J969" s="33"/>
      <c r="K969" s="33"/>
      <c r="L969" s="66"/>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t="e">
        <v>#N/A</v>
      </c>
      <c r="AN969" s="27" t="e">
        <v>#N/A</v>
      </c>
      <c r="AO969" s="27"/>
    </row>
    <row r="970">
      <c r="A970" s="200">
        <v>44845.02510600694</v>
      </c>
      <c r="B970" s="19" t="s">
        <v>103</v>
      </c>
      <c r="C970" s="21" t="s">
        <v>362</v>
      </c>
      <c r="D970" s="62">
        <v>2.0</v>
      </c>
      <c r="E970" s="27">
        <v>3.0</v>
      </c>
      <c r="F970" s="27"/>
      <c r="G970" s="201"/>
      <c r="H970" s="27"/>
      <c r="I970" s="27" t="s">
        <v>82</v>
      </c>
      <c r="J970" s="33"/>
      <c r="K970" s="33"/>
      <c r="L970" s="66"/>
      <c r="M970" s="27"/>
      <c r="N970" s="27"/>
      <c r="O970" s="27"/>
      <c r="P970" s="27"/>
      <c r="Q970" s="27"/>
      <c r="R970" s="27"/>
      <c r="S970" s="27"/>
      <c r="T970" s="27"/>
      <c r="U970" s="27"/>
      <c r="V970" s="27"/>
      <c r="W970" s="27"/>
      <c r="X970" s="27"/>
      <c r="Y970" s="27"/>
      <c r="Z970" s="27"/>
      <c r="AA970" s="27"/>
      <c r="AB970" s="27"/>
      <c r="AC970" s="27"/>
      <c r="AD970" s="27"/>
      <c r="AE970" s="27"/>
      <c r="AF970" s="27"/>
      <c r="AG970" s="27"/>
      <c r="AH970" s="27">
        <v>75.0</v>
      </c>
      <c r="AI970" s="27">
        <v>84.0</v>
      </c>
      <c r="AJ970" s="27">
        <v>0.0</v>
      </c>
      <c r="AK970" s="27" t="b">
        <v>1</v>
      </c>
      <c r="AL970" s="27">
        <v>59.0</v>
      </c>
      <c r="AM970" s="27" t="s">
        <v>389</v>
      </c>
      <c r="AN970" s="27" t="s">
        <v>405</v>
      </c>
      <c r="AO970" s="27"/>
    </row>
    <row r="971">
      <c r="A971" s="200">
        <v>44845.02510600694</v>
      </c>
      <c r="B971" s="19" t="s">
        <v>103</v>
      </c>
      <c r="C971" s="21" t="s">
        <v>322</v>
      </c>
      <c r="D971" s="62">
        <v>3.0</v>
      </c>
      <c r="E971" s="27">
        <v>3.0</v>
      </c>
      <c r="F971" s="27" t="s">
        <v>1687</v>
      </c>
      <c r="G971" s="201" t="s">
        <v>57</v>
      </c>
      <c r="H971" s="27" t="s">
        <v>53</v>
      </c>
      <c r="I971" s="27"/>
      <c r="J971" s="33">
        <v>11.5</v>
      </c>
      <c r="K971" s="33">
        <v>13.5</v>
      </c>
      <c r="L971" s="66">
        <v>72.5</v>
      </c>
      <c r="M971" s="27" t="s">
        <v>1688</v>
      </c>
      <c r="N971" s="27">
        <v>13.5</v>
      </c>
      <c r="O971" s="27"/>
      <c r="P971" s="27">
        <v>13.5</v>
      </c>
      <c r="Q971" s="27"/>
      <c r="R971" s="27">
        <v>14.0</v>
      </c>
      <c r="S971" s="27"/>
      <c r="T971" s="27">
        <v>13.5</v>
      </c>
      <c r="U971" s="27"/>
      <c r="V971" s="27">
        <v>13.5</v>
      </c>
      <c r="W971" s="27"/>
      <c r="X971" s="27">
        <v>13.5</v>
      </c>
      <c r="Y971" s="27"/>
      <c r="Z971" s="27">
        <v>13.5</v>
      </c>
      <c r="AA971" s="27"/>
      <c r="AB971" s="27">
        <v>14.0</v>
      </c>
      <c r="AC971" s="27"/>
      <c r="AD971" s="27">
        <v>13.5</v>
      </c>
      <c r="AE971" s="27"/>
      <c r="AF971" s="27">
        <v>13.5</v>
      </c>
      <c r="AG971" s="27"/>
      <c r="AH971" s="27">
        <v>182.0</v>
      </c>
      <c r="AI971" s="27">
        <v>205.0</v>
      </c>
      <c r="AJ971" s="27">
        <v>2.0</v>
      </c>
      <c r="AK971" s="27" t="b">
        <v>1</v>
      </c>
      <c r="AL971" s="27">
        <v>100.0</v>
      </c>
      <c r="AM971" s="27" t="s">
        <v>191</v>
      </c>
      <c r="AN971" s="27" t="s">
        <v>404</v>
      </c>
      <c r="AO971" s="27"/>
    </row>
    <row r="972">
      <c r="A972" s="200">
        <v>44845.02510600694</v>
      </c>
      <c r="B972" s="19" t="s">
        <v>103</v>
      </c>
      <c r="C972" s="21" t="s">
        <v>340</v>
      </c>
      <c r="D972" s="62">
        <v>4.0</v>
      </c>
      <c r="E972" s="27">
        <v>2.0</v>
      </c>
      <c r="F972" s="27" t="s">
        <v>1780</v>
      </c>
      <c r="G972" s="201" t="s">
        <v>57</v>
      </c>
      <c r="H972" s="27" t="s">
        <v>154</v>
      </c>
      <c r="I972" s="27"/>
      <c r="J972" s="33">
        <v>3.5</v>
      </c>
      <c r="K972" s="33">
        <v>3.5</v>
      </c>
      <c r="L972" s="66">
        <v>50.5</v>
      </c>
      <c r="M972" s="27" t="s">
        <v>1781</v>
      </c>
      <c r="N972" s="27">
        <v>3.5</v>
      </c>
      <c r="O972" s="27"/>
      <c r="P972" s="27">
        <v>3.5</v>
      </c>
      <c r="Q972" s="27"/>
      <c r="R972" s="27">
        <v>3.5</v>
      </c>
      <c r="S972" s="27"/>
      <c r="T972" s="27">
        <v>3.0</v>
      </c>
      <c r="U972" s="27"/>
      <c r="V972" s="27">
        <v>3.5</v>
      </c>
      <c r="W972" s="27"/>
      <c r="X972" s="27">
        <v>3.5</v>
      </c>
      <c r="Y972" s="27"/>
      <c r="Z972" s="27">
        <v>3.5</v>
      </c>
      <c r="AA972" s="27"/>
      <c r="AB972" s="27">
        <v>-6.0</v>
      </c>
      <c r="AC972" s="27"/>
      <c r="AD972" s="27">
        <v>3.0</v>
      </c>
      <c r="AE972" s="27"/>
      <c r="AF972" s="27">
        <v>3.0</v>
      </c>
      <c r="AG972" s="27"/>
      <c r="AH972" s="27">
        <v>188.0</v>
      </c>
      <c r="AI972" s="27">
        <v>125.0</v>
      </c>
      <c r="AJ972" s="27">
        <v>2.0</v>
      </c>
      <c r="AK972" s="27" t="b">
        <v>0</v>
      </c>
      <c r="AL972" s="27">
        <v>100.0</v>
      </c>
      <c r="AM972" s="27" t="s">
        <v>186</v>
      </c>
      <c r="AN972" s="27" t="s">
        <v>404</v>
      </c>
      <c r="AO972" s="27"/>
    </row>
    <row r="973">
      <c r="A973" s="200">
        <v>44845.02510600694</v>
      </c>
      <c r="B973" s="19" t="s">
        <v>103</v>
      </c>
      <c r="C973" s="21" t="s">
        <v>324</v>
      </c>
      <c r="D973" s="62">
        <v>4.0</v>
      </c>
      <c r="E973" s="27">
        <v>2.0</v>
      </c>
      <c r="F973" s="27" t="s">
        <v>1745</v>
      </c>
      <c r="G973" s="201" t="s">
        <v>57</v>
      </c>
      <c r="H973" s="27" t="s">
        <v>138</v>
      </c>
      <c r="I973" s="27"/>
      <c r="J973" s="33">
        <v>-9.5</v>
      </c>
      <c r="K973" s="33">
        <v>-12.5</v>
      </c>
      <c r="L973" s="66">
        <v>54.5</v>
      </c>
      <c r="M973" s="27" t="s">
        <v>1746</v>
      </c>
      <c r="N973" s="27">
        <v>-11.5</v>
      </c>
      <c r="O973" s="27"/>
      <c r="P973" s="27">
        <v>-11.5</v>
      </c>
      <c r="Q973" s="27"/>
      <c r="R973" s="27">
        <v>-11.5</v>
      </c>
      <c r="S973" s="27"/>
      <c r="T973" s="27">
        <v>-12.5</v>
      </c>
      <c r="U973" s="27"/>
      <c r="V973" s="27">
        <v>-11.5</v>
      </c>
      <c r="W973" s="27"/>
      <c r="X973" s="27">
        <v>-11.5</v>
      </c>
      <c r="Y973" s="27"/>
      <c r="Z973" s="27">
        <v>-11.0</v>
      </c>
      <c r="AA973" s="27"/>
      <c r="AB973" s="27">
        <v>-11.5</v>
      </c>
      <c r="AC973" s="27"/>
      <c r="AD973" s="27">
        <v>-12.5</v>
      </c>
      <c r="AE973" s="27"/>
      <c r="AF973" s="27">
        <v>-12.5</v>
      </c>
      <c r="AG973" s="27"/>
      <c r="AH973" s="27">
        <v>191.0</v>
      </c>
      <c r="AI973" s="27">
        <v>108.0</v>
      </c>
      <c r="AJ973" s="27">
        <v>2.0</v>
      </c>
      <c r="AK973" s="27" t="b">
        <v>0</v>
      </c>
      <c r="AL973" s="27">
        <v>100.0</v>
      </c>
      <c r="AM973" s="27" t="s">
        <v>129</v>
      </c>
      <c r="AN973" s="27" t="s">
        <v>405</v>
      </c>
      <c r="AO973" s="27"/>
    </row>
    <row r="974">
      <c r="A974" s="200">
        <v>44845.02510600694</v>
      </c>
      <c r="B974" s="19" t="s">
        <v>103</v>
      </c>
      <c r="C974" s="21" t="s">
        <v>373</v>
      </c>
      <c r="D974" s="62">
        <v>6.0</v>
      </c>
      <c r="E974" s="27">
        <v>0.0</v>
      </c>
      <c r="F974" s="27" t="s">
        <v>1747</v>
      </c>
      <c r="G974" s="201" t="s">
        <v>57</v>
      </c>
      <c r="H974" s="27" t="s">
        <v>138</v>
      </c>
      <c r="I974" s="27"/>
      <c r="J974" s="33">
        <v>-18.0</v>
      </c>
      <c r="K974" s="33">
        <v>-17.0</v>
      </c>
      <c r="L974" s="66">
        <v>59.5</v>
      </c>
      <c r="M974" s="27" t="s">
        <v>1748</v>
      </c>
      <c r="N974" s="27">
        <v>-17.0</v>
      </c>
      <c r="O974" s="27"/>
      <c r="P974" s="27">
        <v>-17.0</v>
      </c>
      <c r="Q974" s="27"/>
      <c r="R974" s="27">
        <v>-17.5</v>
      </c>
      <c r="S974" s="27"/>
      <c r="T974" s="27">
        <v>-17.0</v>
      </c>
      <c r="U974" s="27"/>
      <c r="V974" s="27">
        <v>-17.0</v>
      </c>
      <c r="W974" s="27"/>
      <c r="X974" s="27">
        <v>-17.0</v>
      </c>
      <c r="Y974" s="27"/>
      <c r="Z974" s="27">
        <v>-17.0</v>
      </c>
      <c r="AA974" s="27"/>
      <c r="AB974" s="27">
        <v>-17.0</v>
      </c>
      <c r="AC974" s="27"/>
      <c r="AD974" s="27">
        <v>-17.0</v>
      </c>
      <c r="AE974" s="27"/>
      <c r="AF974" s="27">
        <v>-17.0</v>
      </c>
      <c r="AG974" s="27"/>
      <c r="AH974" s="27">
        <v>238.0</v>
      </c>
      <c r="AI974" s="27">
        <v>87.0</v>
      </c>
      <c r="AJ974" s="27">
        <v>2.0</v>
      </c>
      <c r="AK974" s="27" t="b">
        <v>0</v>
      </c>
      <c r="AL974" s="27">
        <v>100.0</v>
      </c>
      <c r="AM974" s="27" t="s">
        <v>192</v>
      </c>
      <c r="AN974" s="27" t="s">
        <v>404</v>
      </c>
      <c r="AO974" s="27"/>
    </row>
    <row r="975">
      <c r="A975" s="200">
        <v>44845.02510600694</v>
      </c>
      <c r="B975" s="19" t="s">
        <v>103</v>
      </c>
      <c r="C975" s="21" t="s">
        <v>378</v>
      </c>
      <c r="D975" s="62">
        <v>3.0</v>
      </c>
      <c r="E975" s="27">
        <v>2.0</v>
      </c>
      <c r="F975" s="27" t="s">
        <v>1761</v>
      </c>
      <c r="G975" s="201" t="s">
        <v>57</v>
      </c>
      <c r="H975" s="27" t="s">
        <v>109</v>
      </c>
      <c r="I975" s="27"/>
      <c r="J975" s="33" t="s">
        <v>1091</v>
      </c>
      <c r="K975" s="33" t="s">
        <v>1091</v>
      </c>
      <c r="L975" s="26" t="s">
        <v>1091</v>
      </c>
      <c r="M975" s="27" t="s">
        <v>1091</v>
      </c>
      <c r="N975" s="27" t="s">
        <v>1091</v>
      </c>
      <c r="O975" s="27" t="s">
        <v>1091</v>
      </c>
      <c r="P975" s="27" t="s">
        <v>1091</v>
      </c>
      <c r="Q975" s="27" t="s">
        <v>1091</v>
      </c>
      <c r="R975" s="27" t="s">
        <v>1091</v>
      </c>
      <c r="S975" s="27" t="s">
        <v>1091</v>
      </c>
      <c r="T975" s="27" t="s">
        <v>1091</v>
      </c>
      <c r="U975" s="27" t="s">
        <v>1091</v>
      </c>
      <c r="V975" s="27" t="s">
        <v>1091</v>
      </c>
      <c r="W975" s="27" t="s">
        <v>1091</v>
      </c>
      <c r="X975" s="27" t="s">
        <v>1091</v>
      </c>
      <c r="Y975" s="27" t="s">
        <v>1091</v>
      </c>
      <c r="Z975" s="27" t="s">
        <v>1091</v>
      </c>
      <c r="AA975" s="27" t="s">
        <v>1091</v>
      </c>
      <c r="AB975" s="27" t="s">
        <v>1091</v>
      </c>
      <c r="AC975" s="27" t="s">
        <v>1091</v>
      </c>
      <c r="AD975" s="27" t="s">
        <v>1091</v>
      </c>
      <c r="AE975" s="27" t="s">
        <v>1091</v>
      </c>
      <c r="AF975" s="27" t="s">
        <v>1091</v>
      </c>
      <c r="AG975" s="27" t="s">
        <v>1091</v>
      </c>
      <c r="AH975" s="27">
        <v>173.0</v>
      </c>
      <c r="AI975" s="27">
        <v>84.0</v>
      </c>
      <c r="AJ975" s="27">
        <v>2.0</v>
      </c>
      <c r="AK975" s="27" t="b">
        <v>0</v>
      </c>
      <c r="AL975" s="27">
        <v>100.0</v>
      </c>
      <c r="AM975" s="27" t="s">
        <v>189</v>
      </c>
      <c r="AN975" s="27" t="s">
        <v>405</v>
      </c>
      <c r="AO975" s="27"/>
    </row>
    <row r="976">
      <c r="A976" s="200">
        <v>44845.02510600694</v>
      </c>
      <c r="B976" s="19" t="s">
        <v>103</v>
      </c>
      <c r="C976" s="21" t="s">
        <v>361</v>
      </c>
      <c r="D976" s="62">
        <v>2.0</v>
      </c>
      <c r="E976" s="27">
        <v>4.0</v>
      </c>
      <c r="F976" s="27" t="s">
        <v>1728</v>
      </c>
      <c r="G976" s="201" t="s">
        <v>57</v>
      </c>
      <c r="H976" s="27" t="s">
        <v>178</v>
      </c>
      <c r="I976" s="27"/>
      <c r="J976" s="33">
        <v>-2.0</v>
      </c>
      <c r="K976" s="33">
        <v>-2.5</v>
      </c>
      <c r="L976" s="66">
        <v>67.0</v>
      </c>
      <c r="M976" s="27" t="s">
        <v>1729</v>
      </c>
      <c r="N976" s="27">
        <v>-2.5</v>
      </c>
      <c r="O976" s="27"/>
      <c r="P976" s="27">
        <v>-2.5</v>
      </c>
      <c r="Q976" s="27"/>
      <c r="R976" s="27">
        <v>-2.5</v>
      </c>
      <c r="S976" s="27"/>
      <c r="T976" s="27">
        <v>-2.5</v>
      </c>
      <c r="U976" s="27"/>
      <c r="V976" s="27">
        <v>-2.5</v>
      </c>
      <c r="W976" s="27"/>
      <c r="X976" s="27">
        <v>-2.5</v>
      </c>
      <c r="Y976" s="27"/>
      <c r="Z976" s="27">
        <v>-2.5</v>
      </c>
      <c r="AA976" s="27"/>
      <c r="AB976" s="27">
        <v>-2.5</v>
      </c>
      <c r="AC976" s="27"/>
      <c r="AD976" s="27">
        <v>-2.5</v>
      </c>
      <c r="AE976" s="27"/>
      <c r="AF976" s="27" t="s">
        <v>1091</v>
      </c>
      <c r="AG976" s="27" t="s">
        <v>1091</v>
      </c>
      <c r="AH976" s="27">
        <v>179.0</v>
      </c>
      <c r="AI976" s="27">
        <v>200.0</v>
      </c>
      <c r="AJ976" s="27">
        <v>2.0</v>
      </c>
      <c r="AK976" s="27" t="b">
        <v>0</v>
      </c>
      <c r="AL976" s="27">
        <v>100.0</v>
      </c>
      <c r="AM976" s="27" t="s">
        <v>193</v>
      </c>
      <c r="AN976" s="27" t="s">
        <v>405</v>
      </c>
      <c r="AO976" s="27"/>
    </row>
    <row r="977">
      <c r="A977" s="200">
        <v>44845.02510600694</v>
      </c>
      <c r="B977" s="19" t="s">
        <v>103</v>
      </c>
      <c r="C977" s="21" t="s">
        <v>356</v>
      </c>
      <c r="D977" s="62">
        <v>4.0</v>
      </c>
      <c r="E977" s="27">
        <v>2.0</v>
      </c>
      <c r="F977" s="27" t="s">
        <v>1782</v>
      </c>
      <c r="G977" s="201" t="s">
        <v>57</v>
      </c>
      <c r="H977" s="27" t="s">
        <v>154</v>
      </c>
      <c r="I977" s="27"/>
      <c r="J977" s="33">
        <v>5.0</v>
      </c>
      <c r="K977" s="33">
        <v>4.0</v>
      </c>
      <c r="L977" s="66">
        <v>55.5</v>
      </c>
      <c r="M977" s="27" t="s">
        <v>1783</v>
      </c>
      <c r="N977" s="27">
        <v>4.5</v>
      </c>
      <c r="O977" s="27"/>
      <c r="P977" s="27">
        <v>5.0</v>
      </c>
      <c r="Q977" s="27"/>
      <c r="R977" s="27">
        <v>4.5</v>
      </c>
      <c r="S977" s="27"/>
      <c r="T977" s="27">
        <v>4.0</v>
      </c>
      <c r="U977" s="27"/>
      <c r="V977" s="27">
        <v>5.0</v>
      </c>
      <c r="W977" s="27"/>
      <c r="X977" s="27">
        <v>5.0</v>
      </c>
      <c r="Y977" s="27"/>
      <c r="Z977" s="27">
        <v>5.5</v>
      </c>
      <c r="AA977" s="27"/>
      <c r="AB977" s="27">
        <v>4.0</v>
      </c>
      <c r="AC977" s="27"/>
      <c r="AD977" s="27">
        <v>4.0</v>
      </c>
      <c r="AE977" s="27"/>
      <c r="AF977" s="27" t="s">
        <v>1091</v>
      </c>
      <c r="AG977" s="27" t="s">
        <v>1091</v>
      </c>
      <c r="AH977" s="27">
        <v>189.0</v>
      </c>
      <c r="AI977" s="27">
        <v>190.0</v>
      </c>
      <c r="AJ977" s="27">
        <v>2.0</v>
      </c>
      <c r="AK977" s="27" t="b">
        <v>1</v>
      </c>
      <c r="AL977" s="27">
        <v>100.0</v>
      </c>
      <c r="AM977" s="27" t="s">
        <v>190</v>
      </c>
      <c r="AN977" s="27" t="s">
        <v>405</v>
      </c>
      <c r="AO977" s="27"/>
    </row>
    <row r="978">
      <c r="A978" s="200">
        <v>44845.02510600694</v>
      </c>
      <c r="B978" s="19" t="s">
        <v>103</v>
      </c>
      <c r="C978" s="21" t="s">
        <v>341</v>
      </c>
      <c r="D978" s="62">
        <v>4.0</v>
      </c>
      <c r="E978" s="27">
        <v>2.0</v>
      </c>
      <c r="F978" s="27" t="s">
        <v>1779</v>
      </c>
      <c r="G978" s="201" t="s">
        <v>57</v>
      </c>
      <c r="H978" s="27" t="s">
        <v>148</v>
      </c>
      <c r="I978" s="27"/>
      <c r="J978" s="33">
        <v>-3.0</v>
      </c>
      <c r="K978" s="33">
        <v>-3.0</v>
      </c>
      <c r="L978" s="66">
        <v>59.5</v>
      </c>
      <c r="M978" s="27" t="s">
        <v>1755</v>
      </c>
      <c r="N978" s="27">
        <v>-3.0</v>
      </c>
      <c r="O978" s="27"/>
      <c r="P978" s="27">
        <v>-3.0</v>
      </c>
      <c r="Q978" s="27"/>
      <c r="R978" s="27">
        <v>-3.0</v>
      </c>
      <c r="S978" s="27"/>
      <c r="T978" s="27">
        <v>-3.0</v>
      </c>
      <c r="U978" s="27"/>
      <c r="V978" s="27">
        <v>-3.0</v>
      </c>
      <c r="W978" s="27"/>
      <c r="X978" s="27">
        <v>-3.0</v>
      </c>
      <c r="Y978" s="27"/>
      <c r="Z978" s="27">
        <v>-3.0</v>
      </c>
      <c r="AA978" s="27"/>
      <c r="AB978" s="27">
        <v>-3.0</v>
      </c>
      <c r="AC978" s="27"/>
      <c r="AD978" s="27">
        <v>-3.0</v>
      </c>
      <c r="AE978" s="27"/>
      <c r="AF978" s="27">
        <v>-3.0</v>
      </c>
      <c r="AG978" s="27"/>
      <c r="AH978" s="27">
        <v>204.0</v>
      </c>
      <c r="AI978" s="27">
        <v>136.0</v>
      </c>
      <c r="AJ978" s="27">
        <v>2.0</v>
      </c>
      <c r="AK978" s="27" t="b">
        <v>1</v>
      </c>
      <c r="AL978" s="27">
        <v>100.0</v>
      </c>
      <c r="AM978" s="27" t="s">
        <v>188</v>
      </c>
      <c r="AN978" s="27" t="s">
        <v>404</v>
      </c>
      <c r="AO978" s="27"/>
    </row>
    <row r="979">
      <c r="A979" s="200">
        <v>44845.02510600694</v>
      </c>
      <c r="B979" s="19" t="s">
        <v>103</v>
      </c>
      <c r="C979" s="21" t="s">
        <v>358</v>
      </c>
      <c r="D979" s="62">
        <v>5.0</v>
      </c>
      <c r="E979" s="27">
        <v>0.0</v>
      </c>
      <c r="F979" s="27" t="s">
        <v>1714</v>
      </c>
      <c r="G979" s="201" t="s">
        <v>57</v>
      </c>
      <c r="H979" s="27" t="s">
        <v>131</v>
      </c>
      <c r="I979" s="27"/>
      <c r="J979" s="33">
        <v>-5.5</v>
      </c>
      <c r="K979" s="33">
        <v>-7.0</v>
      </c>
      <c r="L979" s="66">
        <v>70.0</v>
      </c>
      <c r="M979" s="27" t="s">
        <v>1715</v>
      </c>
      <c r="N979" s="27">
        <v>-7.5</v>
      </c>
      <c r="O979" s="27"/>
      <c r="P979" s="27">
        <v>-7.0</v>
      </c>
      <c r="Q979" s="27"/>
      <c r="R979" s="27">
        <v>-7.0</v>
      </c>
      <c r="S979" s="27"/>
      <c r="T979" s="27">
        <v>-7.0</v>
      </c>
      <c r="U979" s="27"/>
      <c r="V979" s="27">
        <v>-7.0</v>
      </c>
      <c r="W979" s="27"/>
      <c r="X979" s="27">
        <v>-7.0</v>
      </c>
      <c r="Y979" s="27"/>
      <c r="Z979" s="27">
        <v>-7.0</v>
      </c>
      <c r="AA979" s="27"/>
      <c r="AB979" s="27">
        <v>-7.0</v>
      </c>
      <c r="AC979" s="27"/>
      <c r="AD979" s="27">
        <v>-7.0</v>
      </c>
      <c r="AE979" s="27"/>
      <c r="AF979" s="27">
        <v>-7.0</v>
      </c>
      <c r="AG979" s="27" t="s">
        <v>1091</v>
      </c>
      <c r="AH979" s="27">
        <v>232.0</v>
      </c>
      <c r="AI979" s="27">
        <v>119.0</v>
      </c>
      <c r="AJ979" s="27">
        <v>2.0</v>
      </c>
      <c r="AK979" s="27" t="b">
        <v>0</v>
      </c>
      <c r="AL979" s="27">
        <v>100.0</v>
      </c>
      <c r="AM979" s="27" t="s">
        <v>187</v>
      </c>
      <c r="AN979" s="27" t="s">
        <v>404</v>
      </c>
      <c r="AO979" s="27"/>
    </row>
    <row r="980">
      <c r="A980" s="200">
        <v>44845.02510600694</v>
      </c>
      <c r="B980" s="19"/>
      <c r="C980" s="21"/>
      <c r="D980" s="62"/>
      <c r="E980" s="27"/>
      <c r="F980" s="27"/>
      <c r="G980" s="201"/>
      <c r="H980" s="27"/>
      <c r="I980" s="27"/>
      <c r="J980" s="33"/>
      <c r="K980" s="33"/>
      <c r="L980" s="66"/>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t="e">
        <v>#N/A</v>
      </c>
      <c r="AN980" s="27" t="e">
        <v>#N/A</v>
      </c>
      <c r="AO980" s="27"/>
    </row>
    <row r="981">
      <c r="A981" s="200">
        <v>44845.02510600694</v>
      </c>
      <c r="B981" s="19" t="s">
        <v>154</v>
      </c>
      <c r="C981" s="21" t="s">
        <v>320</v>
      </c>
      <c r="D981" s="62">
        <v>3.0</v>
      </c>
      <c r="E981" s="27">
        <v>2.0</v>
      </c>
      <c r="F981" s="27"/>
      <c r="G981" s="201"/>
      <c r="H981" s="27"/>
      <c r="I981" s="27" t="s">
        <v>88</v>
      </c>
      <c r="J981" s="33"/>
      <c r="K981" s="33"/>
      <c r="L981" s="66"/>
      <c r="M981" s="27"/>
      <c r="N981" s="27"/>
      <c r="O981" s="27"/>
      <c r="P981" s="27"/>
      <c r="Q981" s="27"/>
      <c r="R981" s="27"/>
      <c r="S981" s="27"/>
      <c r="T981" s="27"/>
      <c r="U981" s="27"/>
      <c r="V981" s="27"/>
      <c r="W981" s="27"/>
      <c r="X981" s="27"/>
      <c r="Y981" s="27"/>
      <c r="Z981" s="27"/>
      <c r="AA981" s="27"/>
      <c r="AB981" s="27"/>
      <c r="AC981" s="27"/>
      <c r="AD981" s="27"/>
      <c r="AE981" s="27"/>
      <c r="AF981" s="27"/>
      <c r="AG981" s="27"/>
      <c r="AH981" s="27">
        <v>187.0</v>
      </c>
      <c r="AI981" s="27">
        <v>103.0</v>
      </c>
      <c r="AJ981" s="27">
        <v>0.0</v>
      </c>
      <c r="AK981" s="27" t="b">
        <v>1</v>
      </c>
      <c r="AL981" s="27">
        <v>59.0</v>
      </c>
      <c r="AM981" s="27" t="s">
        <v>187</v>
      </c>
      <c r="AN981" s="27" t="s">
        <v>404</v>
      </c>
      <c r="AO981" s="27"/>
    </row>
    <row r="982">
      <c r="A982" s="200">
        <v>44845.02510600694</v>
      </c>
      <c r="B982" s="19" t="s">
        <v>154</v>
      </c>
      <c r="C982" s="21" t="s">
        <v>363</v>
      </c>
      <c r="D982" s="62">
        <v>5.0</v>
      </c>
      <c r="E982" s="27">
        <v>1.0</v>
      </c>
      <c r="F982" s="27" t="s">
        <v>1780</v>
      </c>
      <c r="G982" s="201" t="s">
        <v>57</v>
      </c>
      <c r="H982" s="27" t="s">
        <v>103</v>
      </c>
      <c r="I982" s="27"/>
      <c r="J982" s="33">
        <v>-3.5</v>
      </c>
      <c r="K982" s="33">
        <v>-3.5</v>
      </c>
      <c r="L982" s="66">
        <v>50.5</v>
      </c>
      <c r="M982" s="27" t="s">
        <v>1781</v>
      </c>
      <c r="N982" s="27">
        <v>-3.5</v>
      </c>
      <c r="O982" s="27"/>
      <c r="P982" s="27">
        <v>-3.5</v>
      </c>
      <c r="Q982" s="27"/>
      <c r="R982" s="27">
        <v>-3.5</v>
      </c>
      <c r="S982" s="27"/>
      <c r="T982" s="27">
        <v>-3.0</v>
      </c>
      <c r="U982" s="27"/>
      <c r="V982" s="27">
        <v>-3.5</v>
      </c>
      <c r="W982" s="27"/>
      <c r="X982" s="27">
        <v>-3.5</v>
      </c>
      <c r="Y982" s="27"/>
      <c r="Z982" s="27">
        <v>-3.5</v>
      </c>
      <c r="AA982" s="27"/>
      <c r="AB982" s="27">
        <v>6.0</v>
      </c>
      <c r="AC982" s="27"/>
      <c r="AD982" s="27">
        <v>-3.0</v>
      </c>
      <c r="AE982" s="27"/>
      <c r="AF982" s="27">
        <v>-3.0</v>
      </c>
      <c r="AG982" s="27"/>
      <c r="AH982" s="27">
        <v>183.0</v>
      </c>
      <c r="AI982" s="27">
        <v>94.0</v>
      </c>
      <c r="AJ982" s="27">
        <v>2.0</v>
      </c>
      <c r="AK982" s="27" t="b">
        <v>1</v>
      </c>
      <c r="AL982" s="27">
        <v>100.0</v>
      </c>
      <c r="AM982" s="27" t="s">
        <v>186</v>
      </c>
      <c r="AN982" s="27" t="s">
        <v>404</v>
      </c>
      <c r="AO982" s="27"/>
    </row>
    <row r="983">
      <c r="A983" s="200">
        <v>44845.02510600694</v>
      </c>
      <c r="B983" s="19" t="s">
        <v>154</v>
      </c>
      <c r="C983" s="21" t="s">
        <v>379</v>
      </c>
      <c r="D983" s="62">
        <v>4.0</v>
      </c>
      <c r="E983" s="27">
        <v>2.0</v>
      </c>
      <c r="F983" s="27" t="s">
        <v>1734</v>
      </c>
      <c r="G983" s="201" t="s">
        <v>57</v>
      </c>
      <c r="H983" s="27" t="s">
        <v>59</v>
      </c>
      <c r="I983" s="27"/>
      <c r="J983" s="33">
        <v>12.5</v>
      </c>
      <c r="K983" s="33">
        <v>4.0</v>
      </c>
      <c r="L983" s="66">
        <v>45.5</v>
      </c>
      <c r="M983" s="27" t="s">
        <v>1735</v>
      </c>
      <c r="N983" s="27">
        <v>4.0</v>
      </c>
      <c r="O983" s="27"/>
      <c r="P983" s="27">
        <v>4.5</v>
      </c>
      <c r="Q983" s="27"/>
      <c r="R983" s="27">
        <v>4.0</v>
      </c>
      <c r="S983" s="27"/>
      <c r="T983" s="27">
        <v>4.0</v>
      </c>
      <c r="U983" s="27"/>
      <c r="V983" s="27">
        <v>4.5</v>
      </c>
      <c r="W983" s="27"/>
      <c r="X983" s="27">
        <v>4.5</v>
      </c>
      <c r="Y983" s="27"/>
      <c r="Z983" s="27">
        <v>4.0</v>
      </c>
      <c r="AA983" s="27"/>
      <c r="AB983" s="27">
        <v>4.0</v>
      </c>
      <c r="AC983" s="27"/>
      <c r="AD983" s="27">
        <v>4.0</v>
      </c>
      <c r="AE983" s="27"/>
      <c r="AF983" s="27">
        <v>4.0</v>
      </c>
      <c r="AG983" s="27" t="s">
        <v>1091</v>
      </c>
      <c r="AH983" s="27">
        <v>202.0</v>
      </c>
      <c r="AI983" s="27">
        <v>150.0</v>
      </c>
      <c r="AJ983" s="27">
        <v>2.0</v>
      </c>
      <c r="AK983" s="27" t="b">
        <v>0</v>
      </c>
      <c r="AL983" s="27">
        <v>100.0</v>
      </c>
      <c r="AM983" s="27" t="s">
        <v>192</v>
      </c>
      <c r="AN983" s="27" t="s">
        <v>404</v>
      </c>
      <c r="AO983" s="27"/>
    </row>
    <row r="984">
      <c r="A984" s="200">
        <v>44845.02510600694</v>
      </c>
      <c r="B984" s="19" t="s">
        <v>154</v>
      </c>
      <c r="C984" s="21" t="s">
        <v>366</v>
      </c>
      <c r="D984" s="62">
        <v>3.0</v>
      </c>
      <c r="E984" s="27">
        <v>4.0</v>
      </c>
      <c r="F984" s="27" t="s">
        <v>1769</v>
      </c>
      <c r="G984" s="201" t="s">
        <v>57</v>
      </c>
      <c r="H984" s="27" t="s">
        <v>166</v>
      </c>
      <c r="I984" s="27"/>
      <c r="J984" s="33" t="s">
        <v>1091</v>
      </c>
      <c r="K984" s="33" t="s">
        <v>1091</v>
      </c>
      <c r="L984" s="26" t="s">
        <v>1091</v>
      </c>
      <c r="M984" s="27" t="s">
        <v>1091</v>
      </c>
      <c r="N984" s="27" t="s">
        <v>1091</v>
      </c>
      <c r="O984" s="27" t="s">
        <v>1091</v>
      </c>
      <c r="P984" s="27" t="s">
        <v>1091</v>
      </c>
      <c r="Q984" s="27" t="s">
        <v>1091</v>
      </c>
      <c r="R984" s="27" t="s">
        <v>1091</v>
      </c>
      <c r="S984" s="27" t="s">
        <v>1091</v>
      </c>
      <c r="T984" s="27" t="s">
        <v>1091</v>
      </c>
      <c r="U984" s="27" t="s">
        <v>1091</v>
      </c>
      <c r="V984" s="27" t="s">
        <v>1091</v>
      </c>
      <c r="W984" s="27" t="s">
        <v>1091</v>
      </c>
      <c r="X984" s="27" t="s">
        <v>1091</v>
      </c>
      <c r="Y984" s="27" t="s">
        <v>1091</v>
      </c>
      <c r="Z984" s="27" t="s">
        <v>1091</v>
      </c>
      <c r="AA984" s="27" t="s">
        <v>1091</v>
      </c>
      <c r="AB984" s="27" t="s">
        <v>1091</v>
      </c>
      <c r="AC984" s="27" t="s">
        <v>1091</v>
      </c>
      <c r="AD984" s="27" t="s">
        <v>1091</v>
      </c>
      <c r="AE984" s="27" t="s">
        <v>1091</v>
      </c>
      <c r="AF984" s="27" t="s">
        <v>1091</v>
      </c>
      <c r="AG984" s="27" t="s">
        <v>1091</v>
      </c>
      <c r="AH984" s="27">
        <v>155.0</v>
      </c>
      <c r="AI984" s="27">
        <v>202.0</v>
      </c>
      <c r="AJ984" s="27">
        <v>2.0</v>
      </c>
      <c r="AK984" s="27" t="b">
        <v>0</v>
      </c>
      <c r="AL984" s="27">
        <v>100.0</v>
      </c>
      <c r="AM984" s="27" t="s">
        <v>189</v>
      </c>
      <c r="AN984" s="27" t="s">
        <v>405</v>
      </c>
      <c r="AO984" s="27"/>
    </row>
    <row r="985">
      <c r="A985" s="200">
        <v>44845.02510600694</v>
      </c>
      <c r="B985" s="19" t="s">
        <v>154</v>
      </c>
      <c r="C985" s="21" t="s">
        <v>383</v>
      </c>
      <c r="D985" s="62">
        <v>4.0</v>
      </c>
      <c r="E985" s="27">
        <v>3.0</v>
      </c>
      <c r="F985" s="27" t="s">
        <v>1718</v>
      </c>
      <c r="G985" s="201" t="s">
        <v>57</v>
      </c>
      <c r="H985" s="27" t="s">
        <v>178</v>
      </c>
      <c r="I985" s="27"/>
      <c r="J985" s="33">
        <v>-4.0</v>
      </c>
      <c r="K985" s="33">
        <v>-3.5</v>
      </c>
      <c r="L985" s="66">
        <v>46.5</v>
      </c>
      <c r="M985" s="27" t="s">
        <v>1602</v>
      </c>
      <c r="N985" s="27">
        <v>-3.0</v>
      </c>
      <c r="O985" s="27"/>
      <c r="P985" s="27">
        <v>-3.0</v>
      </c>
      <c r="Q985" s="27"/>
      <c r="R985" s="27">
        <v>-3.0</v>
      </c>
      <c r="S985" s="27"/>
      <c r="T985" s="27">
        <v>-3.5</v>
      </c>
      <c r="U985" s="27"/>
      <c r="V985" s="27">
        <v>-3.0</v>
      </c>
      <c r="W985" s="27"/>
      <c r="X985" s="27">
        <v>-3.5</v>
      </c>
      <c r="Y985" s="27"/>
      <c r="Z985" s="27">
        <v>-3.0</v>
      </c>
      <c r="AA985" s="27"/>
      <c r="AB985" s="27">
        <v>-3.5</v>
      </c>
      <c r="AC985" s="27"/>
      <c r="AD985" s="27">
        <v>-3.5</v>
      </c>
      <c r="AE985" s="27"/>
      <c r="AF985" s="27">
        <v>-3.5</v>
      </c>
      <c r="AG985" s="27"/>
      <c r="AH985" s="27">
        <v>163.0</v>
      </c>
      <c r="AI985" s="27">
        <v>184.0</v>
      </c>
      <c r="AJ985" s="27">
        <v>2.0</v>
      </c>
      <c r="AK985" s="27" t="b">
        <v>0</v>
      </c>
      <c r="AL985" s="27">
        <v>100.0</v>
      </c>
      <c r="AM985" s="27" t="s">
        <v>129</v>
      </c>
      <c r="AN985" s="27" t="s">
        <v>405</v>
      </c>
      <c r="AO985" s="27"/>
    </row>
    <row r="986">
      <c r="A986" s="200">
        <v>44845.02510600694</v>
      </c>
      <c r="B986" s="19" t="s">
        <v>154</v>
      </c>
      <c r="C986" s="21" t="s">
        <v>352</v>
      </c>
      <c r="D986" s="62">
        <v>2.0</v>
      </c>
      <c r="E986" s="27">
        <v>4.0</v>
      </c>
      <c r="F986" s="27" t="s">
        <v>1775</v>
      </c>
      <c r="G986" s="201" t="s">
        <v>57</v>
      </c>
      <c r="H986" s="27" t="s">
        <v>116</v>
      </c>
      <c r="I986" s="27"/>
      <c r="J986" s="33">
        <v>10.5</v>
      </c>
      <c r="K986" s="33">
        <v>11.5</v>
      </c>
      <c r="L986" s="66">
        <v>64.0</v>
      </c>
      <c r="M986" s="27" t="s">
        <v>1776</v>
      </c>
      <c r="N986" s="27">
        <v>11.5</v>
      </c>
      <c r="O986" s="27"/>
      <c r="P986" s="27">
        <v>11.5</v>
      </c>
      <c r="Q986" s="27"/>
      <c r="R986" s="27">
        <v>11.5</v>
      </c>
      <c r="S986" s="27"/>
      <c r="T986" s="27">
        <v>12.0</v>
      </c>
      <c r="U986" s="27"/>
      <c r="V986" s="27">
        <v>11.5</v>
      </c>
      <c r="W986" s="27"/>
      <c r="X986" s="27">
        <v>11.5</v>
      </c>
      <c r="Y986" s="27"/>
      <c r="Z986" s="27">
        <v>11.5</v>
      </c>
      <c r="AA986" s="27"/>
      <c r="AB986" s="27">
        <v>12.0</v>
      </c>
      <c r="AC986" s="27"/>
      <c r="AD986" s="27">
        <v>12.0</v>
      </c>
      <c r="AE986" s="27"/>
      <c r="AF986" s="27">
        <v>12.0</v>
      </c>
      <c r="AG986" s="27"/>
      <c r="AH986" s="27">
        <v>193.0</v>
      </c>
      <c r="AI986" s="27">
        <v>191.0</v>
      </c>
      <c r="AJ986" s="27">
        <v>2.0</v>
      </c>
      <c r="AK986" s="27" t="b">
        <v>0</v>
      </c>
      <c r="AL986" s="27">
        <v>100.0</v>
      </c>
      <c r="AM986" s="27" t="s">
        <v>193</v>
      </c>
      <c r="AN986" s="27" t="s">
        <v>405</v>
      </c>
      <c r="AO986" s="27"/>
    </row>
    <row r="987">
      <c r="A987" s="200">
        <v>44845.02510600694</v>
      </c>
      <c r="B987" s="19" t="s">
        <v>154</v>
      </c>
      <c r="C987" s="21" t="s">
        <v>372</v>
      </c>
      <c r="D987" s="62">
        <v>4.0</v>
      </c>
      <c r="E987" s="27">
        <v>2.0</v>
      </c>
      <c r="F987" s="27" t="s">
        <v>1722</v>
      </c>
      <c r="G987" s="201" t="s">
        <v>57</v>
      </c>
      <c r="H987" s="27" t="s">
        <v>178</v>
      </c>
      <c r="I987" s="27"/>
      <c r="J987" s="33">
        <v>1.0</v>
      </c>
      <c r="K987" s="33">
        <v>-3.0</v>
      </c>
      <c r="L987" s="66">
        <v>46.0</v>
      </c>
      <c r="M987" s="27" t="s">
        <v>1723</v>
      </c>
      <c r="N987" s="27">
        <v>-3.0</v>
      </c>
      <c r="O987" s="27"/>
      <c r="P987" s="27">
        <v>-3.0</v>
      </c>
      <c r="Q987" s="27"/>
      <c r="R987" s="27">
        <v>-3.0</v>
      </c>
      <c r="S987" s="27"/>
      <c r="T987" s="27">
        <v>-3.0</v>
      </c>
      <c r="U987" s="27"/>
      <c r="V987" s="27">
        <v>-3.0</v>
      </c>
      <c r="W987" s="27"/>
      <c r="X987" s="27">
        <v>-3.0</v>
      </c>
      <c r="Y987" s="27"/>
      <c r="Z987" s="27">
        <v>-3.0</v>
      </c>
      <c r="AA987" s="27"/>
      <c r="AB987" s="27">
        <v>-3.5</v>
      </c>
      <c r="AC987" s="27"/>
      <c r="AD987" s="27">
        <v>-3.0</v>
      </c>
      <c r="AE987" s="27"/>
      <c r="AF987" s="27">
        <v>-3.0</v>
      </c>
      <c r="AG987" s="27"/>
      <c r="AH987" s="27">
        <v>242.0</v>
      </c>
      <c r="AI987" s="27">
        <v>114.0</v>
      </c>
      <c r="AJ987" s="27">
        <v>2.0</v>
      </c>
      <c r="AK987" s="27" t="b">
        <v>1</v>
      </c>
      <c r="AL987" s="27">
        <v>100.0</v>
      </c>
      <c r="AM987" s="27" t="s">
        <v>191</v>
      </c>
      <c r="AN987" s="27" t="s">
        <v>404</v>
      </c>
      <c r="AO987" s="27"/>
    </row>
    <row r="988">
      <c r="A988" s="200">
        <v>44845.02510600694</v>
      </c>
      <c r="B988" s="19" t="s">
        <v>154</v>
      </c>
      <c r="C988" s="21" t="s">
        <v>368</v>
      </c>
      <c r="D988" s="62">
        <v>1.0</v>
      </c>
      <c r="E988" s="27">
        <v>5.0</v>
      </c>
      <c r="F988" s="27" t="s">
        <v>1709</v>
      </c>
      <c r="G988" s="201" t="s">
        <v>57</v>
      </c>
      <c r="H988" s="27" t="s">
        <v>131</v>
      </c>
      <c r="I988" s="27"/>
      <c r="J988" s="33">
        <v>9.5</v>
      </c>
      <c r="K988" s="33">
        <v>10.0</v>
      </c>
      <c r="L988" s="66">
        <v>56.5</v>
      </c>
      <c r="M988" s="27" t="s">
        <v>1710</v>
      </c>
      <c r="N988" s="27">
        <v>10.0</v>
      </c>
      <c r="O988" s="27"/>
      <c r="P988" s="27">
        <v>10.0</v>
      </c>
      <c r="Q988" s="27"/>
      <c r="R988" s="27">
        <v>10.0</v>
      </c>
      <c r="S988" s="27"/>
      <c r="T988" s="27">
        <v>10.0</v>
      </c>
      <c r="U988" s="27"/>
      <c r="V988" s="27">
        <v>10.0</v>
      </c>
      <c r="W988" s="27"/>
      <c r="X988" s="27">
        <v>10.5</v>
      </c>
      <c r="Y988" s="27"/>
      <c r="Z988" s="27">
        <v>10.0</v>
      </c>
      <c r="AA988" s="27"/>
      <c r="AB988" s="27">
        <v>10.0</v>
      </c>
      <c r="AC988" s="27"/>
      <c r="AD988" s="27">
        <v>10.0</v>
      </c>
      <c r="AE988" s="27"/>
      <c r="AF988" s="27">
        <v>10.0</v>
      </c>
      <c r="AG988" s="27"/>
      <c r="AH988" s="27">
        <v>106.0</v>
      </c>
      <c r="AI988" s="27">
        <v>166.0</v>
      </c>
      <c r="AJ988" s="27">
        <v>2.0</v>
      </c>
      <c r="AK988" s="27" t="b">
        <v>0</v>
      </c>
      <c r="AL988" s="27">
        <v>100.0</v>
      </c>
      <c r="AM988" s="27" t="s">
        <v>188</v>
      </c>
      <c r="AN988" s="27" t="s">
        <v>404</v>
      </c>
      <c r="AO988" s="27"/>
    </row>
    <row r="989">
      <c r="A989" s="200">
        <v>44845.02510600694</v>
      </c>
      <c r="B989" s="19" t="s">
        <v>154</v>
      </c>
      <c r="C989" s="21" t="s">
        <v>382</v>
      </c>
      <c r="D989" s="62">
        <v>2.0</v>
      </c>
      <c r="E989" s="27">
        <v>4.0</v>
      </c>
      <c r="F989" s="27" t="s">
        <v>1782</v>
      </c>
      <c r="G989" s="201" t="s">
        <v>57</v>
      </c>
      <c r="H989" s="27" t="s">
        <v>103</v>
      </c>
      <c r="I989" s="27"/>
      <c r="J989" s="33">
        <v>-5.0</v>
      </c>
      <c r="K989" s="33">
        <v>-4.0</v>
      </c>
      <c r="L989" s="66">
        <v>55.5</v>
      </c>
      <c r="M989" s="27" t="s">
        <v>1783</v>
      </c>
      <c r="N989" s="27">
        <v>-4.5</v>
      </c>
      <c r="O989" s="27"/>
      <c r="P989" s="27">
        <v>-5.0</v>
      </c>
      <c r="Q989" s="27"/>
      <c r="R989" s="27">
        <v>-4.5</v>
      </c>
      <c r="S989" s="27"/>
      <c r="T989" s="27">
        <v>-4.0</v>
      </c>
      <c r="U989" s="27"/>
      <c r="V989" s="27">
        <v>-5.0</v>
      </c>
      <c r="W989" s="27"/>
      <c r="X989" s="27">
        <v>-5.0</v>
      </c>
      <c r="Y989" s="27"/>
      <c r="Z989" s="27">
        <v>-5.5</v>
      </c>
      <c r="AA989" s="27"/>
      <c r="AB989" s="27">
        <v>-4.0</v>
      </c>
      <c r="AC989" s="27"/>
      <c r="AD989" s="27">
        <v>-4.0</v>
      </c>
      <c r="AE989" s="27"/>
      <c r="AF989" s="27" t="s">
        <v>1091</v>
      </c>
      <c r="AG989" s="27" t="s">
        <v>1091</v>
      </c>
      <c r="AH989" s="27">
        <v>136.0</v>
      </c>
      <c r="AI989" s="27">
        <v>185.0</v>
      </c>
      <c r="AJ989" s="27">
        <v>2.0</v>
      </c>
      <c r="AK989" s="27" t="b">
        <v>0</v>
      </c>
      <c r="AL989" s="27">
        <v>100.0</v>
      </c>
      <c r="AM989" s="27" t="s">
        <v>190</v>
      </c>
      <c r="AN989" s="27" t="s">
        <v>405</v>
      </c>
      <c r="AO989" s="27"/>
    </row>
    <row r="990">
      <c r="A990" s="200">
        <v>44852.025106597226</v>
      </c>
      <c r="B990" s="19" t="s">
        <v>53</v>
      </c>
      <c r="C990" s="21" t="s">
        <v>54</v>
      </c>
      <c r="D990" s="62">
        <v>5.0</v>
      </c>
      <c r="E990" s="27">
        <v>1.0</v>
      </c>
      <c r="F990" s="27"/>
      <c r="G990" s="201"/>
      <c r="H990" s="27"/>
      <c r="I990" s="27" t="s">
        <v>1039</v>
      </c>
      <c r="J990" s="33"/>
      <c r="K990" s="33"/>
      <c r="L990" s="66"/>
      <c r="M990" s="27"/>
      <c r="N990" s="27"/>
      <c r="O990" s="27"/>
      <c r="P990" s="27"/>
      <c r="Q990" s="27"/>
      <c r="R990" s="27"/>
      <c r="S990" s="27"/>
      <c r="T990" s="27"/>
      <c r="U990" s="27"/>
      <c r="V990" s="27"/>
      <c r="W990" s="27"/>
      <c r="X990" s="27"/>
      <c r="Y990" s="27"/>
      <c r="Z990" s="27"/>
      <c r="AA990" s="27"/>
      <c r="AB990" s="27"/>
      <c r="AC990" s="27"/>
      <c r="AD990" s="27"/>
      <c r="AE990" s="27"/>
      <c r="AF990" s="27"/>
      <c r="AG990" s="27"/>
      <c r="AH990" s="27">
        <v>252.0</v>
      </c>
      <c r="AI990" s="27">
        <v>173.0</v>
      </c>
      <c r="AJ990" s="27">
        <v>0.0</v>
      </c>
      <c r="AK990" s="27" t="b">
        <v>1</v>
      </c>
      <c r="AL990" s="27">
        <v>59.0</v>
      </c>
      <c r="AM990" s="27" t="s">
        <v>191</v>
      </c>
      <c r="AN990" s="27" t="s">
        <v>404</v>
      </c>
      <c r="AO990" s="27"/>
    </row>
    <row r="991">
      <c r="A991" s="200">
        <v>44852.025106597226</v>
      </c>
      <c r="B991" s="19" t="s">
        <v>53</v>
      </c>
      <c r="C991" s="21" t="s">
        <v>168</v>
      </c>
      <c r="D991" s="62">
        <v>6.0</v>
      </c>
      <c r="E991" s="27">
        <v>0.0</v>
      </c>
      <c r="F991" s="27"/>
      <c r="G991" s="201"/>
      <c r="H991" s="27"/>
      <c r="I991" s="27" t="s">
        <v>74</v>
      </c>
      <c r="J991" s="33"/>
      <c r="K991" s="33"/>
      <c r="L991" s="66"/>
      <c r="M991" s="27"/>
      <c r="N991" s="27"/>
      <c r="O991" s="27"/>
      <c r="P991" s="27"/>
      <c r="Q991" s="27"/>
      <c r="R991" s="27"/>
      <c r="S991" s="27"/>
      <c r="T991" s="27"/>
      <c r="U991" s="27"/>
      <c r="V991" s="27"/>
      <c r="W991" s="27"/>
      <c r="X991" s="27"/>
      <c r="Y991" s="27"/>
      <c r="Z991" s="27"/>
      <c r="AA991" s="27"/>
      <c r="AB991" s="27"/>
      <c r="AC991" s="27"/>
      <c r="AD991" s="27"/>
      <c r="AE991" s="27"/>
      <c r="AF991" s="27"/>
      <c r="AG991" s="27"/>
      <c r="AH991" s="27">
        <v>293.0</v>
      </c>
      <c r="AI991" s="27">
        <v>94.0</v>
      </c>
      <c r="AJ991" s="27">
        <v>0.0</v>
      </c>
      <c r="AK991" s="27" t="b">
        <v>1</v>
      </c>
      <c r="AL991" s="27">
        <v>59.0</v>
      </c>
      <c r="AM991" s="27" t="s">
        <v>188</v>
      </c>
      <c r="AN991" s="27" t="s">
        <v>404</v>
      </c>
      <c r="AO991" s="27"/>
    </row>
    <row r="992">
      <c r="A992" s="200">
        <v>44852.025106597226</v>
      </c>
      <c r="B992" s="19" t="s">
        <v>53</v>
      </c>
      <c r="C992" s="21" t="s">
        <v>195</v>
      </c>
      <c r="D992" s="62">
        <v>2.0</v>
      </c>
      <c r="E992" s="27">
        <v>4.0</v>
      </c>
      <c r="F992" s="27"/>
      <c r="G992" s="201"/>
      <c r="H992" s="27"/>
      <c r="I992" s="27" t="s">
        <v>105</v>
      </c>
      <c r="J992" s="33"/>
      <c r="K992" s="33"/>
      <c r="L992" s="66"/>
      <c r="M992" s="27"/>
      <c r="N992" s="27"/>
      <c r="O992" s="27"/>
      <c r="P992" s="27"/>
      <c r="Q992" s="27"/>
      <c r="R992" s="27"/>
      <c r="S992" s="27"/>
      <c r="T992" s="27"/>
      <c r="U992" s="27"/>
      <c r="V992" s="27"/>
      <c r="W992" s="27"/>
      <c r="X992" s="27"/>
      <c r="Y992" s="27"/>
      <c r="Z992" s="27"/>
      <c r="AA992" s="27"/>
      <c r="AB992" s="27"/>
      <c r="AC992" s="27"/>
      <c r="AD992" s="27"/>
      <c r="AE992" s="27"/>
      <c r="AF992" s="27"/>
      <c r="AG992" s="27"/>
      <c r="AH992" s="27">
        <v>198.0</v>
      </c>
      <c r="AI992" s="27">
        <v>211.0</v>
      </c>
      <c r="AJ992" s="27">
        <v>0.0</v>
      </c>
      <c r="AK992" s="27" t="b">
        <v>1</v>
      </c>
      <c r="AL992" s="27">
        <v>59.0</v>
      </c>
      <c r="AM992" s="27" t="s">
        <v>389</v>
      </c>
      <c r="AN992" s="27" t="s">
        <v>405</v>
      </c>
      <c r="AO992" s="27"/>
    </row>
    <row r="993">
      <c r="A993" s="200">
        <v>44852.025106597226</v>
      </c>
      <c r="B993" s="19" t="s">
        <v>53</v>
      </c>
      <c r="C993" s="21" t="s">
        <v>155</v>
      </c>
      <c r="D993" s="62">
        <v>2.0</v>
      </c>
      <c r="E993" s="27">
        <v>4.0</v>
      </c>
      <c r="F993" s="27"/>
      <c r="G993" s="201"/>
      <c r="H993" s="27"/>
      <c r="I993" s="27" t="s">
        <v>82</v>
      </c>
      <c r="J993" s="33"/>
      <c r="K993" s="33"/>
      <c r="L993" s="66"/>
      <c r="M993" s="27"/>
      <c r="N993" s="27"/>
      <c r="O993" s="27"/>
      <c r="P993" s="27"/>
      <c r="Q993" s="27"/>
      <c r="R993" s="27"/>
      <c r="S993" s="27"/>
      <c r="T993" s="27"/>
      <c r="U993" s="27"/>
      <c r="V993" s="27"/>
      <c r="W993" s="27"/>
      <c r="X993" s="27"/>
      <c r="Y993" s="27"/>
      <c r="Z993" s="27"/>
      <c r="AA993" s="27"/>
      <c r="AB993" s="27"/>
      <c r="AC993" s="27"/>
      <c r="AD993" s="27"/>
      <c r="AE993" s="27"/>
      <c r="AF993" s="27"/>
      <c r="AG993" s="27"/>
      <c r="AH993" s="27">
        <v>107.0</v>
      </c>
      <c r="AI993" s="27">
        <v>149.0</v>
      </c>
      <c r="AJ993" s="27">
        <v>0.0</v>
      </c>
      <c r="AK993" s="27" t="b">
        <v>1</v>
      </c>
      <c r="AL993" s="27">
        <v>59.0</v>
      </c>
      <c r="AM993" s="27" t="s">
        <v>186</v>
      </c>
      <c r="AN993" s="27" t="s">
        <v>404</v>
      </c>
      <c r="AO993" s="27"/>
    </row>
    <row r="994">
      <c r="A994" s="200">
        <v>44852.025106597226</v>
      </c>
      <c r="B994" s="19" t="s">
        <v>53</v>
      </c>
      <c r="C994" s="21" t="s">
        <v>173</v>
      </c>
      <c r="D994" s="62">
        <v>2.0</v>
      </c>
      <c r="E994" s="27">
        <v>4.0</v>
      </c>
      <c r="F994" s="27"/>
      <c r="G994" s="201"/>
      <c r="H994" s="27"/>
      <c r="I994" s="27" t="s">
        <v>111</v>
      </c>
      <c r="J994" s="33"/>
      <c r="K994" s="33"/>
      <c r="L994" s="66"/>
      <c r="M994" s="27"/>
      <c r="N994" s="27"/>
      <c r="O994" s="27"/>
      <c r="P994" s="27"/>
      <c r="Q994" s="27"/>
      <c r="R994" s="27"/>
      <c r="S994" s="27"/>
      <c r="T994" s="27"/>
      <c r="U994" s="27"/>
      <c r="V994" s="27"/>
      <c r="W994" s="27"/>
      <c r="X994" s="27"/>
      <c r="Y994" s="27"/>
      <c r="Z994" s="27"/>
      <c r="AA994" s="27"/>
      <c r="AB994" s="27"/>
      <c r="AC994" s="27"/>
      <c r="AD994" s="27"/>
      <c r="AE994" s="27"/>
      <c r="AF994" s="27"/>
      <c r="AG994" s="27"/>
      <c r="AH994" s="27">
        <v>151.0</v>
      </c>
      <c r="AI994" s="27">
        <v>148.0</v>
      </c>
      <c r="AJ994" s="27">
        <v>0.0</v>
      </c>
      <c r="AK994" s="27" t="b">
        <v>1</v>
      </c>
      <c r="AL994" s="27">
        <v>59.0</v>
      </c>
      <c r="AM994" s="27" t="s">
        <v>192</v>
      </c>
      <c r="AN994" s="27" t="s">
        <v>404</v>
      </c>
      <c r="AO994" s="27"/>
    </row>
    <row r="995">
      <c r="A995" s="200">
        <v>44852.025106597226</v>
      </c>
      <c r="B995" s="19" t="s">
        <v>53</v>
      </c>
      <c r="C995" s="21" t="s">
        <v>120</v>
      </c>
      <c r="D995" s="62">
        <v>2.0</v>
      </c>
      <c r="E995" s="27">
        <v>5.0</v>
      </c>
      <c r="F995" s="27" t="s">
        <v>1784</v>
      </c>
      <c r="G995" s="201" t="s">
        <v>57</v>
      </c>
      <c r="H995" s="27" t="s">
        <v>166</v>
      </c>
      <c r="I995" s="27"/>
      <c r="J995" s="33">
        <v>-7.5</v>
      </c>
      <c r="K995" s="33">
        <v>-6.0</v>
      </c>
      <c r="L995" s="66">
        <v>52.0</v>
      </c>
      <c r="M995" s="27" t="s">
        <v>1785</v>
      </c>
      <c r="N995" s="27">
        <v>-6.0</v>
      </c>
      <c r="O995" s="27"/>
      <c r="P995" s="27">
        <v>-6.0</v>
      </c>
      <c r="Q995" s="27"/>
      <c r="R995" s="27">
        <v>-6.0</v>
      </c>
      <c r="S995" s="27"/>
      <c r="T995" s="27">
        <v>-6.0</v>
      </c>
      <c r="U995" s="27"/>
      <c r="V995" s="27">
        <v>-6.0</v>
      </c>
      <c r="W995" s="27"/>
      <c r="X995" s="27">
        <v>-6.0</v>
      </c>
      <c r="Y995" s="27"/>
      <c r="Z995" s="27">
        <v>-5.5</v>
      </c>
      <c r="AA995" s="27"/>
      <c r="AB995" s="27">
        <v>-5.5</v>
      </c>
      <c r="AC995" s="27"/>
      <c r="AD995" s="27">
        <v>-6.0</v>
      </c>
      <c r="AE995" s="27"/>
      <c r="AF995" s="27">
        <v>-6.0</v>
      </c>
      <c r="AG995" s="27"/>
      <c r="AH995" s="27">
        <v>152.0</v>
      </c>
      <c r="AI995" s="27">
        <v>204.0</v>
      </c>
      <c r="AJ995" s="27">
        <v>2.0</v>
      </c>
      <c r="AK995" s="27" t="b">
        <v>0</v>
      </c>
      <c r="AL995" s="27">
        <v>100.0</v>
      </c>
      <c r="AM995" s="27" t="s">
        <v>129</v>
      </c>
      <c r="AN995" s="27" t="s">
        <v>405</v>
      </c>
      <c r="AO995" s="27"/>
    </row>
    <row r="996">
      <c r="A996" s="200">
        <v>44852.025106597226</v>
      </c>
      <c r="B996" s="19" t="s">
        <v>53</v>
      </c>
      <c r="C996" s="21" t="s">
        <v>181</v>
      </c>
      <c r="D996" s="62">
        <v>3.0</v>
      </c>
      <c r="E996" s="27">
        <v>4.0</v>
      </c>
      <c r="F996" s="27" t="s">
        <v>1786</v>
      </c>
      <c r="G996" s="201" t="s">
        <v>57</v>
      </c>
      <c r="H996" s="27" t="s">
        <v>116</v>
      </c>
      <c r="I996" s="27"/>
      <c r="J996" s="33" t="s">
        <v>1091</v>
      </c>
      <c r="K996" s="33" t="s">
        <v>1091</v>
      </c>
      <c r="L996" s="26" t="s">
        <v>1091</v>
      </c>
      <c r="M996" s="27" t="s">
        <v>1091</v>
      </c>
      <c r="N996" s="27" t="s">
        <v>1091</v>
      </c>
      <c r="O996" s="27" t="s">
        <v>1091</v>
      </c>
      <c r="P996" s="27" t="s">
        <v>1091</v>
      </c>
      <c r="Q996" s="27" t="s">
        <v>1091</v>
      </c>
      <c r="R996" s="27" t="s">
        <v>1091</v>
      </c>
      <c r="S996" s="27" t="s">
        <v>1091</v>
      </c>
      <c r="T996" s="27" t="s">
        <v>1091</v>
      </c>
      <c r="U996" s="27" t="s">
        <v>1091</v>
      </c>
      <c r="V996" s="27" t="s">
        <v>1091</v>
      </c>
      <c r="W996" s="27" t="s">
        <v>1091</v>
      </c>
      <c r="X996" s="27" t="s">
        <v>1091</v>
      </c>
      <c r="Y996" s="27" t="s">
        <v>1091</v>
      </c>
      <c r="Z996" s="27" t="s">
        <v>1091</v>
      </c>
      <c r="AA996" s="27" t="s">
        <v>1091</v>
      </c>
      <c r="AB996" s="27" t="s">
        <v>1091</v>
      </c>
      <c r="AC996" s="27" t="s">
        <v>1091</v>
      </c>
      <c r="AD996" s="27" t="s">
        <v>1091</v>
      </c>
      <c r="AE996" s="27" t="s">
        <v>1091</v>
      </c>
      <c r="AF996" s="27" t="s">
        <v>1091</v>
      </c>
      <c r="AG996" s="27" t="s">
        <v>1091</v>
      </c>
      <c r="AH996" s="27">
        <v>208.0</v>
      </c>
      <c r="AI996" s="27">
        <v>190.0</v>
      </c>
      <c r="AJ996" s="27">
        <v>2.0</v>
      </c>
      <c r="AK996" s="27" t="b">
        <v>1</v>
      </c>
      <c r="AL996" s="27">
        <v>100.0</v>
      </c>
      <c r="AM996" s="27" t="s">
        <v>189</v>
      </c>
      <c r="AN996" s="27" t="s">
        <v>405</v>
      </c>
      <c r="AO996" s="27"/>
    </row>
    <row r="997">
      <c r="A997" s="200">
        <v>44852.025106597226</v>
      </c>
      <c r="B997" s="19" t="s">
        <v>53</v>
      </c>
      <c r="C997" s="21" t="s">
        <v>176</v>
      </c>
      <c r="D997" s="62">
        <v>4.0</v>
      </c>
      <c r="E997" s="27">
        <v>3.0</v>
      </c>
      <c r="F997" s="27" t="s">
        <v>1787</v>
      </c>
      <c r="G997" s="201" t="s">
        <v>57</v>
      </c>
      <c r="H997" s="27" t="s">
        <v>154</v>
      </c>
      <c r="I997" s="27"/>
      <c r="J997" s="33">
        <v>3.0</v>
      </c>
      <c r="K997" s="33">
        <v>2.0</v>
      </c>
      <c r="L997" s="66">
        <v>61.0</v>
      </c>
      <c r="M997" s="27" t="s">
        <v>1173</v>
      </c>
      <c r="N997" s="27">
        <v>1.5</v>
      </c>
      <c r="O997" s="27"/>
      <c r="P997" s="27">
        <v>2.0</v>
      </c>
      <c r="Q997" s="27"/>
      <c r="R997" s="27">
        <v>2.0</v>
      </c>
      <c r="S997" s="27"/>
      <c r="T997" s="27">
        <v>2.5</v>
      </c>
      <c r="U997" s="27"/>
      <c r="V997" s="27">
        <v>2.0</v>
      </c>
      <c r="W997" s="27"/>
      <c r="X997" s="27">
        <v>1.5</v>
      </c>
      <c r="Y997" s="27"/>
      <c r="Z997" s="27">
        <v>1.5</v>
      </c>
      <c r="AA997" s="27"/>
      <c r="AB997" s="27">
        <v>2.5</v>
      </c>
      <c r="AC997" s="27" t="s">
        <v>1091</v>
      </c>
      <c r="AD997" s="27">
        <v>2.5</v>
      </c>
      <c r="AE997" s="27" t="s">
        <v>1091</v>
      </c>
      <c r="AF997" s="27" t="s">
        <v>1091</v>
      </c>
      <c r="AG997" s="27" t="s">
        <v>1091</v>
      </c>
      <c r="AH997" s="27">
        <v>232.0</v>
      </c>
      <c r="AI997" s="27">
        <v>258.0</v>
      </c>
      <c r="AJ997" s="27">
        <v>2.0</v>
      </c>
      <c r="AK997" s="27" t="b">
        <v>1</v>
      </c>
      <c r="AL997" s="27">
        <v>100.0</v>
      </c>
      <c r="AM997" s="27" t="s">
        <v>190</v>
      </c>
      <c r="AN997" s="27" t="s">
        <v>405</v>
      </c>
      <c r="AO997" s="27"/>
    </row>
    <row r="998">
      <c r="A998" s="200">
        <v>44852.025106597226</v>
      </c>
      <c r="B998" s="19" t="s">
        <v>53</v>
      </c>
      <c r="C998" s="21" t="s">
        <v>184</v>
      </c>
      <c r="D998" s="62">
        <v>4.0</v>
      </c>
      <c r="E998" s="27">
        <v>3.0</v>
      </c>
      <c r="F998" s="27" t="s">
        <v>1788</v>
      </c>
      <c r="G998" s="201" t="s">
        <v>57</v>
      </c>
      <c r="H998" s="27" t="s">
        <v>131</v>
      </c>
      <c r="I998" s="27"/>
      <c r="J998" s="33">
        <v>-7.5</v>
      </c>
      <c r="K998" s="33">
        <v>-10.5</v>
      </c>
      <c r="L998" s="66">
        <v>65.0</v>
      </c>
      <c r="M998" s="27" t="s">
        <v>1208</v>
      </c>
      <c r="N998" s="27">
        <v>-10.0</v>
      </c>
      <c r="O998" s="27"/>
      <c r="P998" s="27">
        <v>-10.5</v>
      </c>
      <c r="Q998" s="27"/>
      <c r="R998" s="27">
        <v>-10.5</v>
      </c>
      <c r="S998" s="27"/>
      <c r="T998" s="27">
        <v>-10.0</v>
      </c>
      <c r="U998" s="27"/>
      <c r="V998" s="27">
        <v>-10.5</v>
      </c>
      <c r="W998" s="27"/>
      <c r="X998" s="27">
        <v>-10.5</v>
      </c>
      <c r="Y998" s="27"/>
      <c r="Z998" s="27">
        <v>-10.5</v>
      </c>
      <c r="AA998" s="27"/>
      <c r="AB998" s="27">
        <v>-10.5</v>
      </c>
      <c r="AC998" s="27"/>
      <c r="AD998" s="27">
        <v>-10.0</v>
      </c>
      <c r="AE998" s="27"/>
      <c r="AF998" s="27">
        <v>-10.0</v>
      </c>
      <c r="AG998" s="27"/>
      <c r="AH998" s="27">
        <v>237.0</v>
      </c>
      <c r="AI998" s="27">
        <v>217.0</v>
      </c>
      <c r="AJ998" s="27">
        <v>2.0</v>
      </c>
      <c r="AK998" s="27" t="b">
        <v>0</v>
      </c>
      <c r="AL998" s="27">
        <v>100.0</v>
      </c>
      <c r="AM998" s="27" t="s">
        <v>187</v>
      </c>
      <c r="AN998" s="27" t="s">
        <v>404</v>
      </c>
      <c r="AO998" s="27"/>
    </row>
    <row r="999">
      <c r="A999" s="200">
        <v>44852.025106597226</v>
      </c>
      <c r="B999" s="19" t="s">
        <v>53</v>
      </c>
      <c r="C999" s="21" t="s">
        <v>170</v>
      </c>
      <c r="D999" s="62">
        <v>3.0</v>
      </c>
      <c r="E999" s="27">
        <v>3.0</v>
      </c>
      <c r="F999" s="27" t="s">
        <v>1789</v>
      </c>
      <c r="G999" s="201" t="s">
        <v>57</v>
      </c>
      <c r="H999" s="27" t="s">
        <v>144</v>
      </c>
      <c r="I999" s="27"/>
      <c r="J999" s="33" t="s">
        <v>1091</v>
      </c>
      <c r="K999" s="33" t="s">
        <v>1091</v>
      </c>
      <c r="L999" s="26" t="s">
        <v>1091</v>
      </c>
      <c r="M999" s="27" t="s">
        <v>1091</v>
      </c>
      <c r="N999" s="27" t="s">
        <v>1091</v>
      </c>
      <c r="O999" s="27" t="s">
        <v>1091</v>
      </c>
      <c r="P999" s="27" t="s">
        <v>1091</v>
      </c>
      <c r="Q999" s="27" t="s">
        <v>1091</v>
      </c>
      <c r="R999" s="27" t="s">
        <v>1091</v>
      </c>
      <c r="S999" s="27" t="s">
        <v>1091</v>
      </c>
      <c r="T999" s="27" t="s">
        <v>1091</v>
      </c>
      <c r="U999" s="27" t="s">
        <v>1091</v>
      </c>
      <c r="V999" s="27" t="s">
        <v>1091</v>
      </c>
      <c r="W999" s="27" t="s">
        <v>1091</v>
      </c>
      <c r="X999" s="27" t="s">
        <v>1091</v>
      </c>
      <c r="Y999" s="27" t="s">
        <v>1091</v>
      </c>
      <c r="Z999" s="27" t="s">
        <v>1091</v>
      </c>
      <c r="AA999" s="27" t="s">
        <v>1091</v>
      </c>
      <c r="AB999" s="27" t="s">
        <v>1091</v>
      </c>
      <c r="AC999" s="27" t="s">
        <v>1091</v>
      </c>
      <c r="AD999" s="27" t="s">
        <v>1091</v>
      </c>
      <c r="AE999" s="27" t="s">
        <v>1091</v>
      </c>
      <c r="AF999" s="27" t="s">
        <v>1091</v>
      </c>
      <c r="AG999" s="27" t="s">
        <v>1091</v>
      </c>
      <c r="AH999" s="27">
        <v>157.0</v>
      </c>
      <c r="AI999" s="27">
        <v>157.0</v>
      </c>
      <c r="AJ999" s="27">
        <v>2.0</v>
      </c>
      <c r="AK999" s="27" t="b">
        <v>1</v>
      </c>
      <c r="AL999" s="27">
        <v>100.0</v>
      </c>
      <c r="AM999" s="27" t="s">
        <v>193</v>
      </c>
      <c r="AN999" s="27" t="s">
        <v>405</v>
      </c>
      <c r="AO999" s="27"/>
    </row>
    <row r="1000">
      <c r="A1000" s="200">
        <v>44852.025106597226</v>
      </c>
      <c r="B1000" s="19"/>
      <c r="C1000" s="21"/>
      <c r="D1000" s="62"/>
      <c r="E1000" s="27"/>
      <c r="F1000" s="27"/>
      <c r="G1000" s="201"/>
      <c r="H1000" s="27"/>
      <c r="I1000" s="27"/>
      <c r="J1000" s="33"/>
      <c r="K1000" s="33"/>
      <c r="L1000" s="66"/>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t="e">
        <v>#N/A</v>
      </c>
      <c r="AN1000" s="27" t="e">
        <v>#N/A</v>
      </c>
      <c r="AO1000" s="27"/>
    </row>
    <row r="1001">
      <c r="A1001" s="200">
        <v>44852.025106597226</v>
      </c>
      <c r="B1001" s="19" t="s">
        <v>131</v>
      </c>
      <c r="C1001" s="21" t="s">
        <v>219</v>
      </c>
      <c r="D1001" s="62">
        <v>3.0</v>
      </c>
      <c r="E1001" s="27">
        <v>3.0</v>
      </c>
      <c r="F1001" s="27"/>
      <c r="G1001" s="201"/>
      <c r="H1001" s="27"/>
      <c r="I1001" s="27" t="s">
        <v>126</v>
      </c>
      <c r="J1001" s="33"/>
      <c r="K1001" s="33"/>
      <c r="L1001" s="66"/>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v>111.0</v>
      </c>
      <c r="AI1001" s="27">
        <v>143.0</v>
      </c>
      <c r="AJ1001" s="27">
        <v>0.0</v>
      </c>
      <c r="AK1001" s="27" t="b">
        <v>1</v>
      </c>
      <c r="AL1001" s="27">
        <v>59.0</v>
      </c>
      <c r="AM1001" s="27" t="s">
        <v>129</v>
      </c>
      <c r="AN1001" s="27" t="s">
        <v>405</v>
      </c>
      <c r="AO1001" s="27"/>
    </row>
    <row r="1002">
      <c r="A1002" s="200">
        <v>44852.025106597226</v>
      </c>
      <c r="B1002" s="19" t="s">
        <v>131</v>
      </c>
      <c r="C1002" s="21" t="s">
        <v>222</v>
      </c>
      <c r="D1002" s="62">
        <v>4.0</v>
      </c>
      <c r="E1002" s="27">
        <v>3.0</v>
      </c>
      <c r="F1002" s="27" t="s">
        <v>1790</v>
      </c>
      <c r="G1002" s="201" t="s">
        <v>57</v>
      </c>
      <c r="H1002" s="27" t="s">
        <v>59</v>
      </c>
      <c r="I1002" s="27"/>
      <c r="J1002" s="33">
        <v>3.0</v>
      </c>
      <c r="K1002" s="33">
        <v>3.0</v>
      </c>
      <c r="L1002" s="66">
        <v>51.5</v>
      </c>
      <c r="M1002" s="27" t="s">
        <v>1791</v>
      </c>
      <c r="N1002" s="27">
        <v>3.0</v>
      </c>
      <c r="O1002" s="27"/>
      <c r="P1002" s="27">
        <v>3.0</v>
      </c>
      <c r="Q1002" s="27"/>
      <c r="R1002" s="27">
        <v>3.0</v>
      </c>
      <c r="S1002" s="27"/>
      <c r="T1002" s="27">
        <v>3.5</v>
      </c>
      <c r="U1002" s="27"/>
      <c r="V1002" s="27">
        <v>3.0</v>
      </c>
      <c r="W1002" s="27"/>
      <c r="X1002" s="27">
        <v>3.0</v>
      </c>
      <c r="Y1002" s="27"/>
      <c r="Z1002" s="27">
        <v>3.0</v>
      </c>
      <c r="AA1002" s="27"/>
      <c r="AB1002" s="27">
        <v>3.0</v>
      </c>
      <c r="AC1002" s="27"/>
      <c r="AD1002" s="27">
        <v>3.5</v>
      </c>
      <c r="AE1002" s="27"/>
      <c r="AF1002" s="27">
        <v>3.5</v>
      </c>
      <c r="AG1002" s="27"/>
      <c r="AH1002" s="27">
        <v>172.0</v>
      </c>
      <c r="AI1002" s="27">
        <v>145.0</v>
      </c>
      <c r="AJ1002" s="27">
        <v>2.0</v>
      </c>
      <c r="AK1002" s="27" t="b">
        <v>0</v>
      </c>
      <c r="AL1002" s="27">
        <v>100.0</v>
      </c>
      <c r="AM1002" s="27" t="s">
        <v>191</v>
      </c>
      <c r="AN1002" s="27" t="s">
        <v>404</v>
      </c>
      <c r="AO1002" s="27"/>
    </row>
    <row r="1003">
      <c r="A1003" s="200">
        <v>44852.025106597226</v>
      </c>
      <c r="B1003" s="19" t="s">
        <v>131</v>
      </c>
      <c r="C1003" s="21" t="s">
        <v>206</v>
      </c>
      <c r="D1003" s="62">
        <v>7.0</v>
      </c>
      <c r="E1003" s="27">
        <v>0.0</v>
      </c>
      <c r="F1003" s="27" t="s">
        <v>1792</v>
      </c>
      <c r="G1003" s="201" t="s">
        <v>57</v>
      </c>
      <c r="H1003" s="27" t="s">
        <v>103</v>
      </c>
      <c r="I1003" s="27"/>
      <c r="J1003" s="33">
        <v>-4.5</v>
      </c>
      <c r="K1003" s="33">
        <v>-4.5</v>
      </c>
      <c r="L1003" s="66">
        <v>51.0</v>
      </c>
      <c r="M1003" s="27" t="s">
        <v>1793</v>
      </c>
      <c r="N1003" s="27">
        <v>-4.5</v>
      </c>
      <c r="O1003" s="27"/>
      <c r="P1003" s="27">
        <v>-4.5</v>
      </c>
      <c r="Q1003" s="27"/>
      <c r="R1003" s="27">
        <v>-4.5</v>
      </c>
      <c r="S1003" s="27"/>
      <c r="T1003" s="27">
        <v>-4.5</v>
      </c>
      <c r="U1003" s="27"/>
      <c r="V1003" s="27">
        <v>-4.5</v>
      </c>
      <c r="W1003" s="27"/>
      <c r="X1003" s="27">
        <v>-4.5</v>
      </c>
      <c r="Y1003" s="27"/>
      <c r="Z1003" s="27">
        <v>-4.5</v>
      </c>
      <c r="AA1003" s="27"/>
      <c r="AB1003" s="27">
        <v>-4.5</v>
      </c>
      <c r="AC1003" s="27"/>
      <c r="AD1003" s="27">
        <v>-4.5</v>
      </c>
      <c r="AE1003" s="27"/>
      <c r="AF1003" s="27">
        <v>-4.5</v>
      </c>
      <c r="AG1003" s="27"/>
      <c r="AH1003" s="27">
        <v>270.0</v>
      </c>
      <c r="AI1003" s="27">
        <v>138.0</v>
      </c>
      <c r="AJ1003" s="27">
        <v>2.0</v>
      </c>
      <c r="AK1003" s="27" t="b">
        <v>1</v>
      </c>
      <c r="AL1003" s="27">
        <v>100.0</v>
      </c>
      <c r="AM1003" s="27" t="s">
        <v>186</v>
      </c>
      <c r="AN1003" s="27" t="s">
        <v>404</v>
      </c>
      <c r="AO1003" s="27"/>
    </row>
    <row r="1004">
      <c r="A1004" s="200">
        <v>44852.025106597226</v>
      </c>
      <c r="B1004" s="19" t="s">
        <v>131</v>
      </c>
      <c r="C1004" s="21" t="s">
        <v>199</v>
      </c>
      <c r="D1004" s="62">
        <v>2.0</v>
      </c>
      <c r="E1004" s="27">
        <v>5.0</v>
      </c>
      <c r="F1004" s="27" t="s">
        <v>1794</v>
      </c>
      <c r="G1004" s="201" t="s">
        <v>57</v>
      </c>
      <c r="H1004" s="27" t="s">
        <v>138</v>
      </c>
      <c r="I1004" s="27"/>
      <c r="J1004" s="33">
        <v>17.5</v>
      </c>
      <c r="K1004" s="33">
        <v>17.0</v>
      </c>
      <c r="L1004" s="66">
        <v>51.0</v>
      </c>
      <c r="M1004" s="27" t="s">
        <v>1795</v>
      </c>
      <c r="N1004" s="27">
        <v>17.0</v>
      </c>
      <c r="O1004" s="27"/>
      <c r="P1004" s="27">
        <v>17.0</v>
      </c>
      <c r="Q1004" s="27"/>
      <c r="R1004" s="27">
        <v>17.0</v>
      </c>
      <c r="S1004" s="27"/>
      <c r="T1004" s="27">
        <v>17.0</v>
      </c>
      <c r="U1004" s="27"/>
      <c r="V1004" s="27">
        <v>17.0</v>
      </c>
      <c r="W1004" s="27"/>
      <c r="X1004" s="27">
        <v>17.0</v>
      </c>
      <c r="Y1004" s="27"/>
      <c r="Z1004" s="27">
        <v>17.0</v>
      </c>
      <c r="AA1004" s="27"/>
      <c r="AB1004" s="27">
        <v>17.0</v>
      </c>
      <c r="AC1004" s="27"/>
      <c r="AD1004" s="27">
        <v>17.0</v>
      </c>
      <c r="AE1004" s="27"/>
      <c r="AF1004" s="27">
        <v>17.0</v>
      </c>
      <c r="AG1004" s="27"/>
      <c r="AH1004" s="27">
        <v>156.0</v>
      </c>
      <c r="AI1004" s="27">
        <v>253.0</v>
      </c>
      <c r="AJ1004" s="27">
        <v>2.0</v>
      </c>
      <c r="AK1004" s="27" t="b">
        <v>1</v>
      </c>
      <c r="AL1004" s="27">
        <v>100.0</v>
      </c>
      <c r="AM1004" s="27" t="s">
        <v>193</v>
      </c>
      <c r="AN1004" s="27" t="s">
        <v>405</v>
      </c>
      <c r="AO1004" s="27"/>
    </row>
    <row r="1005">
      <c r="A1005" s="200">
        <v>44852.025106597226</v>
      </c>
      <c r="B1005" s="19" t="s">
        <v>131</v>
      </c>
      <c r="C1005" s="21" t="s">
        <v>214</v>
      </c>
      <c r="D1005" s="62">
        <v>6.0</v>
      </c>
      <c r="E1005" s="27">
        <v>0.0</v>
      </c>
      <c r="F1005" s="27" t="s">
        <v>1796</v>
      </c>
      <c r="G1005" s="201" t="s">
        <v>57</v>
      </c>
      <c r="H1005" s="27" t="s">
        <v>141</v>
      </c>
      <c r="I1005" s="27"/>
      <c r="J1005" s="33">
        <v>16.5</v>
      </c>
      <c r="K1005" s="33">
        <v>9.0</v>
      </c>
      <c r="L1005" s="66">
        <v>67.0</v>
      </c>
      <c r="M1005" s="27" t="s">
        <v>1797</v>
      </c>
      <c r="N1005" s="27">
        <v>8.5</v>
      </c>
      <c r="O1005" s="27"/>
      <c r="P1005" s="27">
        <v>9.0</v>
      </c>
      <c r="Q1005" s="27"/>
      <c r="R1005" s="27">
        <v>9.0</v>
      </c>
      <c r="S1005" s="27"/>
      <c r="T1005" s="27">
        <v>9.0</v>
      </c>
      <c r="U1005" s="27"/>
      <c r="V1005" s="27">
        <v>9.0</v>
      </c>
      <c r="W1005" s="27"/>
      <c r="X1005" s="27">
        <v>9.5</v>
      </c>
      <c r="Y1005" s="27"/>
      <c r="Z1005" s="27">
        <v>8.5</v>
      </c>
      <c r="AA1005" s="27"/>
      <c r="AB1005" s="27">
        <v>9.0</v>
      </c>
      <c r="AC1005" s="27"/>
      <c r="AD1005" s="27">
        <v>9.0</v>
      </c>
      <c r="AE1005" s="27"/>
      <c r="AF1005" s="27">
        <v>9.0</v>
      </c>
      <c r="AG1005" s="27"/>
      <c r="AH1005" s="27">
        <v>286.0</v>
      </c>
      <c r="AI1005" s="27">
        <v>138.0</v>
      </c>
      <c r="AJ1005" s="27">
        <v>2.0</v>
      </c>
      <c r="AK1005" s="27" t="b">
        <v>0</v>
      </c>
      <c r="AL1005" s="27">
        <v>100.0</v>
      </c>
      <c r="AM1005" s="27" t="s">
        <v>192</v>
      </c>
      <c r="AN1005" s="27" t="s">
        <v>404</v>
      </c>
      <c r="AO1005" s="27"/>
    </row>
    <row r="1006">
      <c r="A1006" s="200">
        <v>44852.025106597226</v>
      </c>
      <c r="B1006" s="19" t="s">
        <v>131</v>
      </c>
      <c r="C1006" s="21" t="s">
        <v>210</v>
      </c>
      <c r="D1006" s="62">
        <v>1.0</v>
      </c>
      <c r="E1006" s="27">
        <v>6.0</v>
      </c>
      <c r="F1006" s="27" t="s">
        <v>1798</v>
      </c>
      <c r="G1006" s="201" t="s">
        <v>57</v>
      </c>
      <c r="H1006" s="27" t="s">
        <v>178</v>
      </c>
      <c r="I1006" s="27"/>
      <c r="J1006" s="33">
        <v>11.0</v>
      </c>
      <c r="K1006" s="33">
        <v>12.0</v>
      </c>
      <c r="L1006" s="66">
        <v>55.0</v>
      </c>
      <c r="M1006" s="27" t="s">
        <v>1799</v>
      </c>
      <c r="N1006" s="27">
        <v>12.0</v>
      </c>
      <c r="O1006" s="27"/>
      <c r="P1006" s="27">
        <v>12.0</v>
      </c>
      <c r="Q1006" s="27"/>
      <c r="R1006" s="27">
        <v>12.0</v>
      </c>
      <c r="S1006" s="27"/>
      <c r="T1006" s="27">
        <v>12.0</v>
      </c>
      <c r="U1006" s="27"/>
      <c r="V1006" s="27">
        <v>12.0</v>
      </c>
      <c r="W1006" s="27"/>
      <c r="X1006" s="27">
        <v>12.0</v>
      </c>
      <c r="Y1006" s="27"/>
      <c r="Z1006" s="27">
        <v>12.0</v>
      </c>
      <c r="AA1006" s="27"/>
      <c r="AB1006" s="27">
        <v>12.0</v>
      </c>
      <c r="AC1006" s="27"/>
      <c r="AD1006" s="27">
        <v>12.0</v>
      </c>
      <c r="AE1006" s="27"/>
      <c r="AF1006" s="27">
        <v>12.0</v>
      </c>
      <c r="AG1006" s="27"/>
      <c r="AH1006" s="27">
        <v>177.0</v>
      </c>
      <c r="AI1006" s="27">
        <v>263.0</v>
      </c>
      <c r="AJ1006" s="27">
        <v>2.0</v>
      </c>
      <c r="AK1006" s="27" t="b">
        <v>0</v>
      </c>
      <c r="AL1006" s="27">
        <v>100.0</v>
      </c>
      <c r="AM1006" s="27" t="s">
        <v>389</v>
      </c>
      <c r="AN1006" s="27" t="s">
        <v>405</v>
      </c>
      <c r="AO1006" s="27"/>
    </row>
    <row r="1007">
      <c r="A1007" s="200">
        <v>44852.025106597226</v>
      </c>
      <c r="B1007" s="19" t="s">
        <v>131</v>
      </c>
      <c r="C1007" s="21" t="s">
        <v>204</v>
      </c>
      <c r="D1007" s="62">
        <v>4.0</v>
      </c>
      <c r="E1007" s="27">
        <v>3.0</v>
      </c>
      <c r="F1007" s="27" t="s">
        <v>1800</v>
      </c>
      <c r="G1007" s="201" t="s">
        <v>57</v>
      </c>
      <c r="H1007" s="27" t="s">
        <v>166</v>
      </c>
      <c r="I1007" s="27"/>
      <c r="J1007" s="33" t="s">
        <v>1091</v>
      </c>
      <c r="K1007" s="33" t="s">
        <v>1091</v>
      </c>
      <c r="L1007" s="26" t="s">
        <v>1091</v>
      </c>
      <c r="M1007" s="27" t="s">
        <v>1091</v>
      </c>
      <c r="N1007" s="27" t="s">
        <v>1091</v>
      </c>
      <c r="O1007" s="27" t="s">
        <v>1091</v>
      </c>
      <c r="P1007" s="27" t="s">
        <v>1091</v>
      </c>
      <c r="Q1007" s="27" t="s">
        <v>1091</v>
      </c>
      <c r="R1007" s="27" t="s">
        <v>1091</v>
      </c>
      <c r="S1007" s="27" t="s">
        <v>1091</v>
      </c>
      <c r="T1007" s="27" t="s">
        <v>1091</v>
      </c>
      <c r="U1007" s="27" t="s">
        <v>1091</v>
      </c>
      <c r="V1007" s="27" t="s">
        <v>1091</v>
      </c>
      <c r="W1007" s="27" t="s">
        <v>1091</v>
      </c>
      <c r="X1007" s="27" t="s">
        <v>1091</v>
      </c>
      <c r="Y1007" s="27" t="s">
        <v>1091</v>
      </c>
      <c r="Z1007" s="27" t="s">
        <v>1091</v>
      </c>
      <c r="AA1007" s="27" t="s">
        <v>1091</v>
      </c>
      <c r="AB1007" s="27" t="s">
        <v>1091</v>
      </c>
      <c r="AC1007" s="27" t="s">
        <v>1091</v>
      </c>
      <c r="AD1007" s="27" t="s">
        <v>1091</v>
      </c>
      <c r="AE1007" s="27" t="s">
        <v>1091</v>
      </c>
      <c r="AF1007" s="27" t="s">
        <v>1091</v>
      </c>
      <c r="AG1007" s="27" t="s">
        <v>1091</v>
      </c>
      <c r="AH1007" s="27">
        <v>253.0</v>
      </c>
      <c r="AI1007" s="27">
        <v>245.0</v>
      </c>
      <c r="AJ1007" s="27">
        <v>2.0</v>
      </c>
      <c r="AK1007" s="27" t="b">
        <v>1</v>
      </c>
      <c r="AL1007" s="27">
        <v>100.0</v>
      </c>
      <c r="AM1007" s="27" t="s">
        <v>189</v>
      </c>
      <c r="AN1007" s="27" t="s">
        <v>405</v>
      </c>
      <c r="AO1007" s="27"/>
    </row>
    <row r="1008">
      <c r="A1008" s="200">
        <v>44852.025106597226</v>
      </c>
      <c r="B1008" s="19" t="s">
        <v>131</v>
      </c>
      <c r="C1008" s="21" t="s">
        <v>217</v>
      </c>
      <c r="D1008" s="62">
        <v>5.0</v>
      </c>
      <c r="E1008" s="27">
        <v>2.0</v>
      </c>
      <c r="F1008" s="27" t="s">
        <v>1788</v>
      </c>
      <c r="G1008" s="201" t="s">
        <v>57</v>
      </c>
      <c r="H1008" s="27" t="s">
        <v>53</v>
      </c>
      <c r="I1008" s="27"/>
      <c r="J1008" s="33">
        <v>7.5</v>
      </c>
      <c r="K1008" s="33">
        <v>10.5</v>
      </c>
      <c r="L1008" s="66">
        <v>65.0</v>
      </c>
      <c r="M1008" s="27" t="s">
        <v>1208</v>
      </c>
      <c r="N1008" s="27">
        <v>10.0</v>
      </c>
      <c r="O1008" s="27"/>
      <c r="P1008" s="27">
        <v>10.5</v>
      </c>
      <c r="Q1008" s="27"/>
      <c r="R1008" s="27">
        <v>10.5</v>
      </c>
      <c r="S1008" s="27"/>
      <c r="T1008" s="27">
        <v>10.0</v>
      </c>
      <c r="U1008" s="27"/>
      <c r="V1008" s="27">
        <v>10.5</v>
      </c>
      <c r="W1008" s="27"/>
      <c r="X1008" s="27">
        <v>10.5</v>
      </c>
      <c r="Y1008" s="27"/>
      <c r="Z1008" s="27">
        <v>10.5</v>
      </c>
      <c r="AA1008" s="27"/>
      <c r="AB1008" s="27">
        <v>10.5</v>
      </c>
      <c r="AC1008" s="27"/>
      <c r="AD1008" s="27">
        <v>10.0</v>
      </c>
      <c r="AE1008" s="27"/>
      <c r="AF1008" s="27">
        <v>10.0</v>
      </c>
      <c r="AG1008" s="27"/>
      <c r="AH1008" s="27">
        <v>281.0</v>
      </c>
      <c r="AI1008" s="27">
        <v>210.0</v>
      </c>
      <c r="AJ1008" s="27">
        <v>2.0</v>
      </c>
      <c r="AK1008" s="27" t="b">
        <v>1</v>
      </c>
      <c r="AL1008" s="27">
        <v>100.0</v>
      </c>
      <c r="AM1008" s="27" t="s">
        <v>187</v>
      </c>
      <c r="AN1008" s="27" t="s">
        <v>404</v>
      </c>
      <c r="AO1008" s="27"/>
    </row>
    <row r="1009">
      <c r="A1009" s="200">
        <v>44852.025106597226</v>
      </c>
      <c r="B1009" s="19" t="s">
        <v>131</v>
      </c>
      <c r="C1009" s="21" t="s">
        <v>208</v>
      </c>
      <c r="D1009" s="62">
        <v>3.0</v>
      </c>
      <c r="E1009" s="27">
        <v>4.0</v>
      </c>
      <c r="F1009" s="27" t="s">
        <v>1801</v>
      </c>
      <c r="G1009" s="201" t="s">
        <v>57</v>
      </c>
      <c r="H1009" s="27" t="s">
        <v>148</v>
      </c>
      <c r="I1009" s="27"/>
      <c r="J1009" s="33">
        <v>-7.0</v>
      </c>
      <c r="K1009" s="33">
        <v>-7.0</v>
      </c>
      <c r="L1009" s="66">
        <v>45.0</v>
      </c>
      <c r="M1009" s="27" t="s">
        <v>1802</v>
      </c>
      <c r="N1009" s="27">
        <v>-7.0</v>
      </c>
      <c r="O1009" s="27"/>
      <c r="P1009" s="27">
        <v>-7.0</v>
      </c>
      <c r="Q1009" s="27"/>
      <c r="R1009" s="27">
        <v>-7.0</v>
      </c>
      <c r="S1009" s="27"/>
      <c r="T1009" s="27">
        <v>-7.0</v>
      </c>
      <c r="U1009" s="27"/>
      <c r="V1009" s="27">
        <v>-7.0</v>
      </c>
      <c r="W1009" s="27"/>
      <c r="X1009" s="27">
        <v>-7.5</v>
      </c>
      <c r="Y1009" s="27"/>
      <c r="Z1009" s="27">
        <v>-7.0</v>
      </c>
      <c r="AA1009" s="27"/>
      <c r="AB1009" s="27">
        <v>-7.0</v>
      </c>
      <c r="AC1009" s="27"/>
      <c r="AD1009" s="27" t="s">
        <v>1091</v>
      </c>
      <c r="AE1009" s="27" t="s">
        <v>1091</v>
      </c>
      <c r="AF1009" s="27" t="s">
        <v>1091</v>
      </c>
      <c r="AG1009" s="27" t="s">
        <v>1091</v>
      </c>
      <c r="AH1009" s="27">
        <v>138.0</v>
      </c>
      <c r="AI1009" s="27">
        <v>168.0</v>
      </c>
      <c r="AJ1009" s="27">
        <v>2.0</v>
      </c>
      <c r="AK1009" s="27" t="b">
        <v>0</v>
      </c>
      <c r="AL1009" s="27">
        <v>100.0</v>
      </c>
      <c r="AM1009" s="27" t="s">
        <v>190</v>
      </c>
      <c r="AN1009" s="27" t="s">
        <v>405</v>
      </c>
      <c r="AO1009" s="27"/>
    </row>
    <row r="1010">
      <c r="A1010" s="200">
        <v>44852.025106597226</v>
      </c>
      <c r="B1010" s="19" t="s">
        <v>131</v>
      </c>
      <c r="C1010" s="21" t="s">
        <v>197</v>
      </c>
      <c r="D1010" s="62">
        <v>3.0</v>
      </c>
      <c r="E1010" s="27">
        <v>4.0</v>
      </c>
      <c r="F1010" s="27" t="s">
        <v>1803</v>
      </c>
      <c r="G1010" s="201" t="s">
        <v>183</v>
      </c>
      <c r="H1010" s="27" t="s">
        <v>138</v>
      </c>
      <c r="I1010" s="27"/>
      <c r="J1010" s="33">
        <v>2.0</v>
      </c>
      <c r="K1010" s="33">
        <v>-7.0</v>
      </c>
      <c r="L1010" s="66">
        <v>49.5</v>
      </c>
      <c r="M1010" s="27" t="s">
        <v>1314</v>
      </c>
      <c r="N1010" s="27">
        <v>-7.0</v>
      </c>
      <c r="O1010" s="27"/>
      <c r="P1010" s="27">
        <v>-7.0</v>
      </c>
      <c r="Q1010" s="27"/>
      <c r="R1010" s="27">
        <v>-7.0</v>
      </c>
      <c r="S1010" s="27"/>
      <c r="T1010" s="27">
        <v>-7.0</v>
      </c>
      <c r="U1010" s="27"/>
      <c r="V1010" s="27">
        <v>-7.0</v>
      </c>
      <c r="W1010" s="27"/>
      <c r="X1010" s="27">
        <v>-7.0</v>
      </c>
      <c r="Y1010" s="27"/>
      <c r="Z1010" s="27">
        <v>-7.0</v>
      </c>
      <c r="AA1010" s="27"/>
      <c r="AB1010" s="27">
        <v>-6.5</v>
      </c>
      <c r="AC1010" s="27"/>
      <c r="AD1010" s="27">
        <v>-7.0</v>
      </c>
      <c r="AE1010" s="27"/>
      <c r="AF1010" s="27">
        <v>-7.0</v>
      </c>
      <c r="AG1010" s="27"/>
      <c r="AH1010" s="27">
        <v>219.0</v>
      </c>
      <c r="AI1010" s="27">
        <v>151.0</v>
      </c>
      <c r="AJ1010" s="27">
        <v>2.0</v>
      </c>
      <c r="AK1010" s="27" t="b">
        <v>1</v>
      </c>
      <c r="AL1010" s="27">
        <v>100.0</v>
      </c>
      <c r="AM1010" s="27" t="s">
        <v>188</v>
      </c>
      <c r="AN1010" s="27" t="s">
        <v>404</v>
      </c>
      <c r="AO1010" s="27"/>
    </row>
    <row r="1011">
      <c r="A1011" s="200">
        <v>44852.025106597226</v>
      </c>
      <c r="B1011" s="19"/>
      <c r="C1011" s="21"/>
      <c r="D1011" s="62"/>
      <c r="E1011" s="27"/>
      <c r="F1011" s="27"/>
      <c r="G1011" s="201"/>
      <c r="H1011" s="27"/>
      <c r="I1011" s="27"/>
      <c r="J1011" s="33"/>
      <c r="K1011" s="33"/>
      <c r="L1011" s="66"/>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t="e">
        <v>#N/A</v>
      </c>
      <c r="AN1011" s="27" t="e">
        <v>#N/A</v>
      </c>
      <c r="AO1011" s="27"/>
    </row>
    <row r="1012">
      <c r="A1012" s="200">
        <v>44852.025106597226</v>
      </c>
      <c r="B1012" s="19" t="s">
        <v>178</v>
      </c>
      <c r="C1012" s="21" t="s">
        <v>259</v>
      </c>
      <c r="D1012" s="62">
        <v>5.0</v>
      </c>
      <c r="E1012" s="27">
        <v>1.0</v>
      </c>
      <c r="F1012" s="27"/>
      <c r="G1012" s="201"/>
      <c r="H1012" s="27"/>
      <c r="I1012" s="27" t="s">
        <v>97</v>
      </c>
      <c r="J1012" s="33"/>
      <c r="K1012" s="33"/>
      <c r="L1012" s="66"/>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v>247.0</v>
      </c>
      <c r="AI1012" s="27">
        <v>153.0</v>
      </c>
      <c r="AJ1012" s="27">
        <v>0.0</v>
      </c>
      <c r="AK1012" s="27" t="b">
        <v>1</v>
      </c>
      <c r="AL1012" s="27">
        <v>59.0</v>
      </c>
      <c r="AM1012" s="27" t="s">
        <v>186</v>
      </c>
      <c r="AN1012" s="27" t="s">
        <v>404</v>
      </c>
      <c r="AO1012" s="27"/>
    </row>
    <row r="1013">
      <c r="A1013" s="200">
        <v>44852.025106597226</v>
      </c>
      <c r="B1013" s="19" t="s">
        <v>178</v>
      </c>
      <c r="C1013" s="21" t="s">
        <v>272</v>
      </c>
      <c r="D1013" s="62">
        <v>3.0</v>
      </c>
      <c r="E1013" s="27">
        <v>3.0</v>
      </c>
      <c r="F1013" s="27"/>
      <c r="G1013" s="201"/>
      <c r="H1013" s="27"/>
      <c r="I1013" s="27" t="s">
        <v>1039</v>
      </c>
      <c r="J1013" s="33"/>
      <c r="K1013" s="33"/>
      <c r="L1013" s="66"/>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v>206.0</v>
      </c>
      <c r="AI1013" s="27">
        <v>179.0</v>
      </c>
      <c r="AJ1013" s="27">
        <v>0.0</v>
      </c>
      <c r="AK1013" s="27" t="b">
        <v>1</v>
      </c>
      <c r="AL1013" s="27">
        <v>59.0</v>
      </c>
      <c r="AM1013" s="27" t="s">
        <v>187</v>
      </c>
      <c r="AN1013" s="27" t="s">
        <v>404</v>
      </c>
      <c r="AO1013" s="27"/>
    </row>
    <row r="1014">
      <c r="A1014" s="200">
        <v>44852.025106597226</v>
      </c>
      <c r="B1014" s="19" t="s">
        <v>178</v>
      </c>
      <c r="C1014" s="21" t="s">
        <v>261</v>
      </c>
      <c r="D1014" s="62">
        <v>6.0</v>
      </c>
      <c r="E1014" s="27">
        <v>0.0</v>
      </c>
      <c r="F1014" s="27"/>
      <c r="G1014" s="201"/>
      <c r="H1014" s="27"/>
      <c r="I1014" s="27" t="s">
        <v>1039</v>
      </c>
      <c r="J1014" s="33"/>
      <c r="K1014" s="33"/>
      <c r="L1014" s="66"/>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v>249.0</v>
      </c>
      <c r="AI1014" s="27">
        <v>136.0</v>
      </c>
      <c r="AJ1014" s="27">
        <v>0.0</v>
      </c>
      <c r="AK1014" s="27" t="b">
        <v>1</v>
      </c>
      <c r="AL1014" s="27">
        <v>59.0</v>
      </c>
      <c r="AM1014" s="27" t="s">
        <v>191</v>
      </c>
      <c r="AN1014" s="27" t="s">
        <v>404</v>
      </c>
      <c r="AO1014" s="27"/>
    </row>
    <row r="1015">
      <c r="A1015" s="200">
        <v>44852.025106597226</v>
      </c>
      <c r="B1015" s="19" t="s">
        <v>178</v>
      </c>
      <c r="C1015" s="21" t="s">
        <v>263</v>
      </c>
      <c r="D1015" s="62">
        <v>2.0</v>
      </c>
      <c r="E1015" s="27">
        <v>5.0</v>
      </c>
      <c r="F1015" s="27" t="s">
        <v>1804</v>
      </c>
      <c r="G1015" s="201" t="s">
        <v>57</v>
      </c>
      <c r="H1015" s="27" t="s">
        <v>109</v>
      </c>
      <c r="I1015" s="27"/>
      <c r="J1015" s="33">
        <v>-6.5</v>
      </c>
      <c r="K1015" s="33">
        <v>-7.0</v>
      </c>
      <c r="L1015" s="66">
        <v>38.5</v>
      </c>
      <c r="M1015" s="27" t="s">
        <v>1805</v>
      </c>
      <c r="N1015" s="27">
        <v>-7.0</v>
      </c>
      <c r="O1015" s="27"/>
      <c r="P1015" s="27">
        <v>-7.0</v>
      </c>
      <c r="Q1015" s="27"/>
      <c r="R1015" s="27">
        <v>-7.0</v>
      </c>
      <c r="S1015" s="27"/>
      <c r="T1015" s="27">
        <v>-7.0</v>
      </c>
      <c r="U1015" s="27"/>
      <c r="V1015" s="27">
        <v>-7.0</v>
      </c>
      <c r="W1015" s="27"/>
      <c r="X1015" s="27">
        <v>-7.0</v>
      </c>
      <c r="Y1015" s="27"/>
      <c r="Z1015" s="27">
        <v>-7.0</v>
      </c>
      <c r="AA1015" s="27"/>
      <c r="AB1015" s="27">
        <v>-7.0</v>
      </c>
      <c r="AC1015" s="27"/>
      <c r="AD1015" s="27">
        <v>-7.0</v>
      </c>
      <c r="AE1015" s="27"/>
      <c r="AF1015" s="27">
        <v>-7.0</v>
      </c>
      <c r="AG1015" s="27"/>
      <c r="AH1015" s="27">
        <v>125.0</v>
      </c>
      <c r="AI1015" s="27">
        <v>158.0</v>
      </c>
      <c r="AJ1015" s="27">
        <v>2.0</v>
      </c>
      <c r="AK1015" s="27" t="b">
        <v>0</v>
      </c>
      <c r="AL1015" s="27">
        <v>100.0</v>
      </c>
      <c r="AM1015" s="27" t="s">
        <v>129</v>
      </c>
      <c r="AN1015" s="27" t="s">
        <v>405</v>
      </c>
      <c r="AO1015" s="27"/>
    </row>
    <row r="1016">
      <c r="A1016" s="200">
        <v>44852.025106597226</v>
      </c>
      <c r="B1016" s="19" t="s">
        <v>178</v>
      </c>
      <c r="C1016" s="21" t="s">
        <v>269</v>
      </c>
      <c r="D1016" s="62">
        <v>5.0</v>
      </c>
      <c r="E1016" s="27">
        <v>2.0</v>
      </c>
      <c r="F1016" s="27" t="s">
        <v>1806</v>
      </c>
      <c r="G1016" s="201" t="s">
        <v>57</v>
      </c>
      <c r="H1016" s="27" t="s">
        <v>59</v>
      </c>
      <c r="I1016" s="27"/>
      <c r="J1016" s="33">
        <v>-1.5</v>
      </c>
      <c r="K1016" s="33">
        <v>-3.5</v>
      </c>
      <c r="L1016" s="66">
        <v>50.5</v>
      </c>
      <c r="M1016" s="27" t="s">
        <v>1807</v>
      </c>
      <c r="N1016" s="27">
        <v>-3.5</v>
      </c>
      <c r="O1016" s="27"/>
      <c r="P1016" s="27">
        <v>-3.5</v>
      </c>
      <c r="Q1016" s="27"/>
      <c r="R1016" s="27">
        <v>-3.5</v>
      </c>
      <c r="S1016" s="27"/>
      <c r="T1016" s="27">
        <v>-3.5</v>
      </c>
      <c r="U1016" s="27"/>
      <c r="V1016" s="27">
        <v>-3.5</v>
      </c>
      <c r="W1016" s="27"/>
      <c r="X1016" s="27">
        <v>-3.5</v>
      </c>
      <c r="Y1016" s="27"/>
      <c r="Z1016" s="27">
        <v>-3.5</v>
      </c>
      <c r="AA1016" s="27"/>
      <c r="AB1016" s="27">
        <v>-3.0</v>
      </c>
      <c r="AC1016" s="27"/>
      <c r="AD1016" s="27">
        <v>-3.5</v>
      </c>
      <c r="AE1016" s="27"/>
      <c r="AF1016" s="27">
        <v>-3.5</v>
      </c>
      <c r="AG1016" s="27"/>
      <c r="AH1016" s="27">
        <v>248.0</v>
      </c>
      <c r="AI1016" s="27">
        <v>153.0</v>
      </c>
      <c r="AJ1016" s="27">
        <v>2.0</v>
      </c>
      <c r="AK1016" s="27" t="b">
        <v>1</v>
      </c>
      <c r="AL1016" s="27">
        <v>100.0</v>
      </c>
      <c r="AM1016" s="27" t="s">
        <v>192</v>
      </c>
      <c r="AN1016" s="27" t="s">
        <v>404</v>
      </c>
      <c r="AO1016" s="27"/>
    </row>
    <row r="1017">
      <c r="A1017" s="200">
        <v>44852.025106597226</v>
      </c>
      <c r="B1017" s="19" t="s">
        <v>178</v>
      </c>
      <c r="C1017" s="21" t="s">
        <v>257</v>
      </c>
      <c r="D1017" s="62">
        <v>4.0</v>
      </c>
      <c r="E1017" s="27">
        <v>3.0</v>
      </c>
      <c r="F1017" s="27" t="s">
        <v>1808</v>
      </c>
      <c r="G1017" s="201" t="s">
        <v>57</v>
      </c>
      <c r="H1017" s="27" t="s">
        <v>116</v>
      </c>
      <c r="I1017" s="27"/>
      <c r="J1017" s="33">
        <v>11.0</v>
      </c>
      <c r="K1017" s="33">
        <v>12.5</v>
      </c>
      <c r="L1017" s="66">
        <v>67.5</v>
      </c>
      <c r="M1017" s="27" t="s">
        <v>1809</v>
      </c>
      <c r="N1017" s="27">
        <v>12.5</v>
      </c>
      <c r="O1017" s="27"/>
      <c r="P1017" s="27">
        <v>13.0</v>
      </c>
      <c r="Q1017" s="27"/>
      <c r="R1017" s="27">
        <v>13.0</v>
      </c>
      <c r="S1017" s="27"/>
      <c r="T1017" s="27">
        <v>12.5</v>
      </c>
      <c r="U1017" s="27"/>
      <c r="V1017" s="27">
        <v>13.0</v>
      </c>
      <c r="W1017" s="27"/>
      <c r="X1017" s="27">
        <v>13.0</v>
      </c>
      <c r="Y1017" s="27"/>
      <c r="Z1017" s="27">
        <v>13.0</v>
      </c>
      <c r="AA1017" s="27"/>
      <c r="AB1017" s="27">
        <v>13.0</v>
      </c>
      <c r="AC1017" s="27"/>
      <c r="AD1017" s="27">
        <v>12.5</v>
      </c>
      <c r="AE1017" s="27"/>
      <c r="AF1017" s="27">
        <v>12.5</v>
      </c>
      <c r="AG1017" s="27"/>
      <c r="AH1017" s="27">
        <v>267.0</v>
      </c>
      <c r="AI1017" s="27">
        <v>220.0</v>
      </c>
      <c r="AJ1017" s="27">
        <v>2.0</v>
      </c>
      <c r="AK1017" s="27" t="b">
        <v>0</v>
      </c>
      <c r="AL1017" s="27">
        <v>100.0</v>
      </c>
      <c r="AM1017" s="27" t="s">
        <v>193</v>
      </c>
      <c r="AN1017" s="27" t="s">
        <v>405</v>
      </c>
      <c r="AO1017" s="27"/>
    </row>
    <row r="1018">
      <c r="A1018" s="200">
        <v>44852.025106597226</v>
      </c>
      <c r="B1018" s="19" t="s">
        <v>178</v>
      </c>
      <c r="C1018" s="21" t="s">
        <v>267</v>
      </c>
      <c r="D1018" s="62">
        <v>6.0</v>
      </c>
      <c r="E1018" s="27">
        <v>1.0</v>
      </c>
      <c r="F1018" s="27" t="s">
        <v>1798</v>
      </c>
      <c r="G1018" s="201" t="s">
        <v>57</v>
      </c>
      <c r="H1018" s="27" t="s">
        <v>131</v>
      </c>
      <c r="I1018" s="27"/>
      <c r="J1018" s="33">
        <v>-11.0</v>
      </c>
      <c r="K1018" s="33">
        <v>-12.0</v>
      </c>
      <c r="L1018" s="66">
        <v>55.0</v>
      </c>
      <c r="M1018" s="27" t="s">
        <v>1799</v>
      </c>
      <c r="N1018" s="27">
        <v>-12.0</v>
      </c>
      <c r="O1018" s="27"/>
      <c r="P1018" s="27">
        <v>-12.0</v>
      </c>
      <c r="Q1018" s="27"/>
      <c r="R1018" s="27">
        <v>-12.0</v>
      </c>
      <c r="S1018" s="27"/>
      <c r="T1018" s="27">
        <v>-12.0</v>
      </c>
      <c r="U1018" s="27"/>
      <c r="V1018" s="27">
        <v>-12.0</v>
      </c>
      <c r="W1018" s="27"/>
      <c r="X1018" s="27">
        <v>-12.0</v>
      </c>
      <c r="Y1018" s="27"/>
      <c r="Z1018" s="27">
        <v>-12.0</v>
      </c>
      <c r="AA1018" s="27"/>
      <c r="AB1018" s="27">
        <v>-12.0</v>
      </c>
      <c r="AC1018" s="27"/>
      <c r="AD1018" s="27">
        <v>-12.0</v>
      </c>
      <c r="AE1018" s="27"/>
      <c r="AF1018" s="27">
        <v>-12.0</v>
      </c>
      <c r="AG1018" s="27"/>
      <c r="AH1018" s="27">
        <v>231.0</v>
      </c>
      <c r="AI1018" s="27">
        <v>111.0</v>
      </c>
      <c r="AJ1018" s="27">
        <v>2.0</v>
      </c>
      <c r="AK1018" s="27" t="b">
        <v>1</v>
      </c>
      <c r="AL1018" s="27">
        <v>100.0</v>
      </c>
      <c r="AM1018" s="27" t="s">
        <v>389</v>
      </c>
      <c r="AN1018" s="27" t="s">
        <v>405</v>
      </c>
      <c r="AO1018" s="27"/>
    </row>
    <row r="1019">
      <c r="A1019" s="200">
        <v>44852.025106597226</v>
      </c>
      <c r="B1019" s="19" t="s">
        <v>178</v>
      </c>
      <c r="C1019" s="21" t="s">
        <v>271</v>
      </c>
      <c r="D1019" s="62">
        <v>4.0</v>
      </c>
      <c r="E1019" s="27">
        <v>3.0</v>
      </c>
      <c r="F1019" s="27" t="s">
        <v>1810</v>
      </c>
      <c r="G1019" s="201" t="s">
        <v>57</v>
      </c>
      <c r="H1019" s="27" t="s">
        <v>109</v>
      </c>
      <c r="I1019" s="27"/>
      <c r="J1019" s="33">
        <v>-5.5</v>
      </c>
      <c r="K1019" s="33">
        <v>-7.5</v>
      </c>
      <c r="L1019" s="66">
        <v>67.5</v>
      </c>
      <c r="M1019" s="27" t="s">
        <v>1811</v>
      </c>
      <c r="N1019" s="27">
        <v>-7.5</v>
      </c>
      <c r="O1019" s="27"/>
      <c r="P1019" s="27">
        <v>-7.5</v>
      </c>
      <c r="Q1019" s="27"/>
      <c r="R1019" s="27">
        <v>-7.5</v>
      </c>
      <c r="S1019" s="27"/>
      <c r="T1019" s="27">
        <v>-8.0</v>
      </c>
      <c r="U1019" s="27"/>
      <c r="V1019" s="27">
        <v>-7.5</v>
      </c>
      <c r="W1019" s="27"/>
      <c r="X1019" s="27">
        <v>-7.5</v>
      </c>
      <c r="Y1019" s="27"/>
      <c r="Z1019" s="27">
        <v>-7.5</v>
      </c>
      <c r="AA1019" s="27"/>
      <c r="AB1019" s="27">
        <v>-7.5</v>
      </c>
      <c r="AC1019" s="27"/>
      <c r="AD1019" s="27">
        <v>-8.0</v>
      </c>
      <c r="AE1019" s="27"/>
      <c r="AF1019" s="27">
        <v>-8.0</v>
      </c>
      <c r="AG1019" s="27"/>
      <c r="AH1019" s="27">
        <v>280.0</v>
      </c>
      <c r="AI1019" s="27">
        <v>159.0</v>
      </c>
      <c r="AJ1019" s="27">
        <v>2.0</v>
      </c>
      <c r="AK1019" s="27" t="b">
        <v>1</v>
      </c>
      <c r="AL1019" s="27">
        <v>100.0</v>
      </c>
      <c r="AM1019" s="27" t="s">
        <v>189</v>
      </c>
      <c r="AN1019" s="27" t="s">
        <v>405</v>
      </c>
      <c r="AO1019" s="27"/>
    </row>
    <row r="1020">
      <c r="A1020" s="200">
        <v>44852.025106597226</v>
      </c>
      <c r="B1020" s="19" t="s">
        <v>178</v>
      </c>
      <c r="C1020" s="21" t="s">
        <v>265</v>
      </c>
      <c r="D1020" s="62">
        <v>5.0</v>
      </c>
      <c r="E1020" s="27">
        <v>2.0</v>
      </c>
      <c r="F1020" s="27" t="s">
        <v>1812</v>
      </c>
      <c r="G1020" s="201" t="s">
        <v>57</v>
      </c>
      <c r="H1020" s="27" t="s">
        <v>144</v>
      </c>
      <c r="I1020" s="27"/>
      <c r="J1020" s="33">
        <v>-8.0</v>
      </c>
      <c r="K1020" s="33">
        <v>-7.5</v>
      </c>
      <c r="L1020" s="66">
        <v>62.0</v>
      </c>
      <c r="M1020" s="27" t="s">
        <v>1330</v>
      </c>
      <c r="N1020" s="27">
        <v>-7.5</v>
      </c>
      <c r="O1020" s="27"/>
      <c r="P1020" s="27">
        <v>-7.0</v>
      </c>
      <c r="Q1020" s="27"/>
      <c r="R1020" s="27">
        <v>-7.0</v>
      </c>
      <c r="S1020" s="27"/>
      <c r="T1020" s="27">
        <v>-7.5</v>
      </c>
      <c r="U1020" s="27"/>
      <c r="V1020" s="27">
        <v>-7.0</v>
      </c>
      <c r="W1020" s="27"/>
      <c r="X1020" s="27">
        <v>-7.0</v>
      </c>
      <c r="Y1020" s="27"/>
      <c r="Z1020" s="27">
        <v>-7.0</v>
      </c>
      <c r="AA1020" s="27"/>
      <c r="AB1020" s="27">
        <v>-7.5</v>
      </c>
      <c r="AC1020" s="27"/>
      <c r="AD1020" s="27">
        <v>-7.5</v>
      </c>
      <c r="AE1020" s="27"/>
      <c r="AF1020" s="27" t="s">
        <v>1091</v>
      </c>
      <c r="AG1020" s="27" t="s">
        <v>1091</v>
      </c>
      <c r="AH1020" s="27">
        <v>269.0</v>
      </c>
      <c r="AI1020" s="27">
        <v>184.0</v>
      </c>
      <c r="AJ1020" s="27">
        <v>2.0</v>
      </c>
      <c r="AK1020" s="27" t="b">
        <v>0</v>
      </c>
      <c r="AL1020" s="27">
        <v>100.0</v>
      </c>
      <c r="AM1020" s="27" t="s">
        <v>190</v>
      </c>
      <c r="AN1020" s="27" t="s">
        <v>405</v>
      </c>
      <c r="AO1020" s="27"/>
    </row>
    <row r="1021">
      <c r="A1021" s="200">
        <v>44852.025106597226</v>
      </c>
      <c r="B1021" s="19" t="s">
        <v>178</v>
      </c>
      <c r="C1021" s="21" t="s">
        <v>240</v>
      </c>
      <c r="D1021" s="62">
        <v>4.0</v>
      </c>
      <c r="E1021" s="27">
        <v>2.0</v>
      </c>
      <c r="F1021" s="27" t="s">
        <v>1813</v>
      </c>
      <c r="G1021" s="201" t="s">
        <v>57</v>
      </c>
      <c r="H1021" s="27" t="s">
        <v>144</v>
      </c>
      <c r="I1021" s="27"/>
      <c r="J1021" s="33">
        <v>-1.0</v>
      </c>
      <c r="K1021" s="33">
        <v>-4.5</v>
      </c>
      <c r="L1021" s="66">
        <v>39.5</v>
      </c>
      <c r="M1021" s="27" t="s">
        <v>1814</v>
      </c>
      <c r="N1021" s="27">
        <v>-4.0</v>
      </c>
      <c r="O1021" s="27"/>
      <c r="P1021" s="27">
        <v>-4.5</v>
      </c>
      <c r="Q1021" s="27"/>
      <c r="R1021" s="27">
        <v>-4.5</v>
      </c>
      <c r="S1021" s="27"/>
      <c r="T1021" s="27">
        <v>-5.0</v>
      </c>
      <c r="U1021" s="27"/>
      <c r="V1021" s="27">
        <v>-4.5</v>
      </c>
      <c r="W1021" s="27"/>
      <c r="X1021" s="27">
        <v>-4.5</v>
      </c>
      <c r="Y1021" s="27"/>
      <c r="Z1021" s="27">
        <v>-4.0</v>
      </c>
      <c r="AA1021" s="27"/>
      <c r="AB1021" s="27">
        <v>-4.5</v>
      </c>
      <c r="AC1021" s="27"/>
      <c r="AD1021" s="27">
        <v>-5.0</v>
      </c>
      <c r="AE1021" s="27"/>
      <c r="AF1021" s="27">
        <v>-5.0</v>
      </c>
      <c r="AG1021" s="27"/>
      <c r="AH1021" s="27">
        <v>207.0</v>
      </c>
      <c r="AI1021" s="27">
        <v>70.0</v>
      </c>
      <c r="AJ1021" s="27">
        <v>2.0</v>
      </c>
      <c r="AK1021" s="27" t="b">
        <v>1</v>
      </c>
      <c r="AL1021" s="27">
        <v>100.0</v>
      </c>
      <c r="AM1021" s="27" t="s">
        <v>188</v>
      </c>
      <c r="AN1021" s="27" t="s">
        <v>404</v>
      </c>
      <c r="AO1021" s="27"/>
    </row>
    <row r="1022">
      <c r="A1022" s="200">
        <v>44852.025106597226</v>
      </c>
      <c r="B1022" s="19"/>
      <c r="C1022" s="21"/>
      <c r="D1022" s="62"/>
      <c r="E1022" s="27"/>
      <c r="F1022" s="27"/>
      <c r="G1022" s="201"/>
      <c r="H1022" s="27"/>
      <c r="I1022" s="27"/>
      <c r="J1022" s="33"/>
      <c r="K1022" s="33"/>
      <c r="L1022" s="66"/>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t="e">
        <v>#N/A</v>
      </c>
      <c r="AN1022" s="27" t="e">
        <v>#N/A</v>
      </c>
      <c r="AO1022" s="27"/>
    </row>
    <row r="1023">
      <c r="A1023" s="200">
        <v>44852.025106597226</v>
      </c>
      <c r="B1023" s="19" t="s">
        <v>59</v>
      </c>
      <c r="C1023" s="21" t="s">
        <v>289</v>
      </c>
      <c r="D1023" s="62">
        <v>2.0</v>
      </c>
      <c r="E1023" s="27">
        <v>4.0</v>
      </c>
      <c r="F1023" s="27"/>
      <c r="G1023" s="201"/>
      <c r="H1023" s="27"/>
      <c r="I1023" s="27" t="s">
        <v>97</v>
      </c>
      <c r="J1023" s="33"/>
      <c r="K1023" s="33"/>
      <c r="L1023" s="66"/>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v>120.0</v>
      </c>
      <c r="AI1023" s="27">
        <v>174.0</v>
      </c>
      <c r="AJ1023" s="27">
        <v>0.0</v>
      </c>
      <c r="AK1023" s="27" t="b">
        <v>1</v>
      </c>
      <c r="AL1023" s="27">
        <v>59.0</v>
      </c>
      <c r="AM1023" s="27" t="s">
        <v>186</v>
      </c>
      <c r="AN1023" s="27" t="s">
        <v>404</v>
      </c>
      <c r="AO1023" s="27"/>
    </row>
    <row r="1024">
      <c r="A1024" s="200">
        <v>44852.025106597226</v>
      </c>
      <c r="B1024" s="19" t="s">
        <v>59</v>
      </c>
      <c r="C1024" s="21" t="s">
        <v>291</v>
      </c>
      <c r="D1024" s="62">
        <v>5.0</v>
      </c>
      <c r="E1024" s="27">
        <v>1.0</v>
      </c>
      <c r="F1024" s="27"/>
      <c r="G1024" s="201"/>
      <c r="H1024" s="27"/>
      <c r="I1024" s="27" t="s">
        <v>1038</v>
      </c>
      <c r="J1024" s="33"/>
      <c r="K1024" s="33"/>
      <c r="L1024" s="66"/>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v>172.0</v>
      </c>
      <c r="AI1024" s="27">
        <v>100.0</v>
      </c>
      <c r="AJ1024" s="27">
        <v>0.0</v>
      </c>
      <c r="AK1024" s="27" t="b">
        <v>1</v>
      </c>
      <c r="AL1024" s="27">
        <v>59.0</v>
      </c>
      <c r="AM1024" s="27" t="s">
        <v>187</v>
      </c>
      <c r="AN1024" s="27" t="s">
        <v>404</v>
      </c>
      <c r="AO1024" s="27"/>
    </row>
    <row r="1025">
      <c r="A1025" s="200">
        <v>44852.025106597226</v>
      </c>
      <c r="B1025" s="19" t="s">
        <v>59</v>
      </c>
      <c r="C1025" s="21" t="s">
        <v>277</v>
      </c>
      <c r="D1025" s="62">
        <v>3.0</v>
      </c>
      <c r="E1025" s="27">
        <v>3.0</v>
      </c>
      <c r="F1025" s="27"/>
      <c r="G1025" s="201"/>
      <c r="H1025" s="27"/>
      <c r="I1025" s="27" t="s">
        <v>105</v>
      </c>
      <c r="J1025" s="33"/>
      <c r="K1025" s="33"/>
      <c r="L1025" s="66"/>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v>211.0</v>
      </c>
      <c r="AI1025" s="27">
        <v>173.0</v>
      </c>
      <c r="AJ1025" s="27">
        <v>0.0</v>
      </c>
      <c r="AK1025" s="27" t="b">
        <v>0</v>
      </c>
      <c r="AL1025" s="27">
        <v>59.0</v>
      </c>
      <c r="AM1025" s="27" t="s">
        <v>193</v>
      </c>
      <c r="AN1025" s="27" t="s">
        <v>405</v>
      </c>
      <c r="AO1025" s="27"/>
    </row>
    <row r="1026">
      <c r="A1026" s="200">
        <v>44852.025106597226</v>
      </c>
      <c r="B1026" s="19" t="s">
        <v>59</v>
      </c>
      <c r="C1026" s="21" t="s">
        <v>279</v>
      </c>
      <c r="D1026" s="62">
        <v>4.0</v>
      </c>
      <c r="E1026" s="27">
        <v>3.0</v>
      </c>
      <c r="F1026" s="27" t="s">
        <v>1815</v>
      </c>
      <c r="G1026" s="201" t="s">
        <v>57</v>
      </c>
      <c r="H1026" s="27" t="s">
        <v>103</v>
      </c>
      <c r="I1026" s="27"/>
      <c r="J1026" s="33">
        <v>8.5</v>
      </c>
      <c r="K1026" s="33">
        <v>10.0</v>
      </c>
      <c r="L1026" s="66">
        <v>50.0</v>
      </c>
      <c r="M1026" s="27" t="s">
        <v>1816</v>
      </c>
      <c r="N1026" s="27">
        <v>10.0</v>
      </c>
      <c r="O1026" s="27"/>
      <c r="P1026" s="27">
        <v>10.5</v>
      </c>
      <c r="Q1026" s="27"/>
      <c r="R1026" s="27">
        <v>10.5</v>
      </c>
      <c r="S1026" s="27"/>
      <c r="T1026" s="27">
        <v>10.0</v>
      </c>
      <c r="U1026" s="27"/>
      <c r="V1026" s="27">
        <v>10.5</v>
      </c>
      <c r="W1026" s="27"/>
      <c r="X1026" s="27">
        <v>10.0</v>
      </c>
      <c r="Y1026" s="27"/>
      <c r="Z1026" s="27">
        <v>10.0</v>
      </c>
      <c r="AA1026" s="27"/>
      <c r="AB1026" s="27">
        <v>10.5</v>
      </c>
      <c r="AC1026" s="27"/>
      <c r="AD1026" s="27">
        <v>10.0</v>
      </c>
      <c r="AE1026" s="27"/>
      <c r="AF1026" s="27">
        <v>10.0</v>
      </c>
      <c r="AG1026" s="27"/>
      <c r="AH1026" s="27">
        <v>203.0</v>
      </c>
      <c r="AI1026" s="27">
        <v>194.0</v>
      </c>
      <c r="AJ1026" s="27">
        <v>2.0</v>
      </c>
      <c r="AK1026" s="27" t="b">
        <v>0</v>
      </c>
      <c r="AL1026" s="27">
        <v>100.0</v>
      </c>
      <c r="AM1026" s="27" t="s">
        <v>129</v>
      </c>
      <c r="AN1026" s="27" t="s">
        <v>405</v>
      </c>
      <c r="AO1026" s="27"/>
    </row>
    <row r="1027">
      <c r="A1027" s="200">
        <v>44852.025106597226</v>
      </c>
      <c r="B1027" s="19" t="s">
        <v>59</v>
      </c>
      <c r="C1027" s="21" t="s">
        <v>274</v>
      </c>
      <c r="D1027" s="62">
        <v>5.0</v>
      </c>
      <c r="E1027" s="27">
        <v>2.0</v>
      </c>
      <c r="F1027" s="27" t="s">
        <v>1790</v>
      </c>
      <c r="G1027" s="201" t="s">
        <v>57</v>
      </c>
      <c r="H1027" s="27" t="s">
        <v>131</v>
      </c>
      <c r="I1027" s="27"/>
      <c r="J1027" s="33">
        <v>-3.0</v>
      </c>
      <c r="K1027" s="33">
        <v>-3.0</v>
      </c>
      <c r="L1027" s="66">
        <v>51.5</v>
      </c>
      <c r="M1027" s="27" t="s">
        <v>1791</v>
      </c>
      <c r="N1027" s="27">
        <v>-3.0</v>
      </c>
      <c r="O1027" s="27"/>
      <c r="P1027" s="27">
        <v>-3.0</v>
      </c>
      <c r="Q1027" s="27"/>
      <c r="R1027" s="27">
        <v>-3.0</v>
      </c>
      <c r="S1027" s="27"/>
      <c r="T1027" s="27">
        <v>-3.5</v>
      </c>
      <c r="U1027" s="27"/>
      <c r="V1027" s="27">
        <v>-3.0</v>
      </c>
      <c r="W1027" s="27"/>
      <c r="X1027" s="27">
        <v>-3.0</v>
      </c>
      <c r="Y1027" s="27"/>
      <c r="Z1027" s="27">
        <v>-3.0</v>
      </c>
      <c r="AA1027" s="27"/>
      <c r="AB1027" s="27">
        <v>-3.0</v>
      </c>
      <c r="AC1027" s="27"/>
      <c r="AD1027" s="27">
        <v>-3.5</v>
      </c>
      <c r="AE1027" s="27"/>
      <c r="AF1027" s="27">
        <v>-3.5</v>
      </c>
      <c r="AG1027" s="27"/>
      <c r="AH1027" s="27">
        <v>219.0</v>
      </c>
      <c r="AI1027" s="27">
        <v>173.0</v>
      </c>
      <c r="AJ1027" s="27">
        <v>2.0</v>
      </c>
      <c r="AK1027" s="27" t="b">
        <v>1</v>
      </c>
      <c r="AL1027" s="27">
        <v>100.0</v>
      </c>
      <c r="AM1027" s="27" t="s">
        <v>191</v>
      </c>
      <c r="AN1027" s="27" t="s">
        <v>404</v>
      </c>
      <c r="AO1027" s="27"/>
    </row>
    <row r="1028">
      <c r="A1028" s="200">
        <v>44852.025106597226</v>
      </c>
      <c r="B1028" s="19" t="s">
        <v>59</v>
      </c>
      <c r="C1028" s="21" t="s">
        <v>283</v>
      </c>
      <c r="D1028" s="62">
        <v>5.0</v>
      </c>
      <c r="E1028" s="27">
        <v>2.0</v>
      </c>
      <c r="F1028" s="27" t="s">
        <v>1806</v>
      </c>
      <c r="G1028" s="201" t="s">
        <v>57</v>
      </c>
      <c r="H1028" s="27" t="s">
        <v>178</v>
      </c>
      <c r="I1028" s="27"/>
      <c r="J1028" s="33">
        <v>1.5</v>
      </c>
      <c r="K1028" s="33">
        <v>3.5</v>
      </c>
      <c r="L1028" s="66">
        <v>50.5</v>
      </c>
      <c r="M1028" s="27" t="s">
        <v>1807</v>
      </c>
      <c r="N1028" s="27">
        <v>3.5</v>
      </c>
      <c r="O1028" s="27"/>
      <c r="P1028" s="27">
        <v>3.5</v>
      </c>
      <c r="Q1028" s="27"/>
      <c r="R1028" s="27">
        <v>3.5</v>
      </c>
      <c r="S1028" s="27"/>
      <c r="T1028" s="27">
        <v>3.5</v>
      </c>
      <c r="U1028" s="27"/>
      <c r="V1028" s="27">
        <v>3.5</v>
      </c>
      <c r="W1028" s="27"/>
      <c r="X1028" s="27">
        <v>3.5</v>
      </c>
      <c r="Y1028" s="27"/>
      <c r="Z1028" s="27">
        <v>3.5</v>
      </c>
      <c r="AA1028" s="27"/>
      <c r="AB1028" s="27">
        <v>3.0</v>
      </c>
      <c r="AC1028" s="27"/>
      <c r="AD1028" s="27">
        <v>3.5</v>
      </c>
      <c r="AE1028" s="27"/>
      <c r="AF1028" s="27">
        <v>3.5</v>
      </c>
      <c r="AG1028" s="27"/>
      <c r="AH1028" s="27">
        <v>185.0</v>
      </c>
      <c r="AI1028" s="27">
        <v>115.0</v>
      </c>
      <c r="AJ1028" s="27">
        <v>2.0</v>
      </c>
      <c r="AK1028" s="27" t="b">
        <v>0</v>
      </c>
      <c r="AL1028" s="27">
        <v>100.0</v>
      </c>
      <c r="AM1028" s="27" t="s">
        <v>192</v>
      </c>
      <c r="AN1028" s="27" t="s">
        <v>404</v>
      </c>
      <c r="AO1028" s="27"/>
    </row>
    <row r="1029">
      <c r="A1029" s="200">
        <v>44852.025106597226</v>
      </c>
      <c r="B1029" s="19" t="s">
        <v>59</v>
      </c>
      <c r="C1029" s="21" t="s">
        <v>281</v>
      </c>
      <c r="D1029" s="62">
        <v>3.0</v>
      </c>
      <c r="E1029" s="27">
        <v>5.0</v>
      </c>
      <c r="F1029" s="27" t="s">
        <v>1817</v>
      </c>
      <c r="G1029" s="201" t="s">
        <v>57</v>
      </c>
      <c r="H1029" s="27" t="s">
        <v>116</v>
      </c>
      <c r="I1029" s="27"/>
      <c r="J1029" s="33">
        <v>11.0</v>
      </c>
      <c r="K1029" s="33">
        <v>9.5</v>
      </c>
      <c r="L1029" s="66">
        <v>47.5</v>
      </c>
      <c r="M1029" s="27" t="s">
        <v>1818</v>
      </c>
      <c r="N1029" s="27">
        <v>9.5</v>
      </c>
      <c r="O1029" s="27"/>
      <c r="P1029" s="27">
        <v>9.5</v>
      </c>
      <c r="Q1029" s="27"/>
      <c r="R1029" s="27">
        <v>9.5</v>
      </c>
      <c r="S1029" s="27"/>
      <c r="T1029" s="27">
        <v>9.5</v>
      </c>
      <c r="U1029" s="27"/>
      <c r="V1029" s="27">
        <v>9.5</v>
      </c>
      <c r="W1029" s="27"/>
      <c r="X1029" s="27">
        <v>9.5</v>
      </c>
      <c r="Y1029" s="27"/>
      <c r="Z1029" s="27">
        <v>9.5</v>
      </c>
      <c r="AA1029" s="27"/>
      <c r="AB1029" s="27">
        <v>9.5</v>
      </c>
      <c r="AC1029" s="27"/>
      <c r="AD1029" s="27">
        <v>9.5</v>
      </c>
      <c r="AE1029" s="27"/>
      <c r="AF1029" s="27" t="s">
        <v>1091</v>
      </c>
      <c r="AG1029" s="27" t="s">
        <v>1091</v>
      </c>
      <c r="AH1029" s="27">
        <v>145.0</v>
      </c>
      <c r="AI1029" s="27">
        <v>233.0</v>
      </c>
      <c r="AJ1029" s="27">
        <v>2.0</v>
      </c>
      <c r="AK1029" s="27" t="b">
        <v>0</v>
      </c>
      <c r="AL1029" s="27">
        <v>100.0</v>
      </c>
      <c r="AM1029" s="27" t="s">
        <v>389</v>
      </c>
      <c r="AN1029" s="27" t="s">
        <v>405</v>
      </c>
      <c r="AO1029" s="27"/>
    </row>
    <row r="1030">
      <c r="A1030" s="200">
        <v>44852.025106597226</v>
      </c>
      <c r="B1030" s="19" t="s">
        <v>59</v>
      </c>
      <c r="C1030" s="21" t="s">
        <v>284</v>
      </c>
      <c r="D1030" s="62">
        <v>7.0</v>
      </c>
      <c r="E1030" s="27">
        <v>0.0</v>
      </c>
      <c r="F1030" s="27" t="s">
        <v>1819</v>
      </c>
      <c r="G1030" s="201" t="s">
        <v>57</v>
      </c>
      <c r="H1030" s="27" t="s">
        <v>109</v>
      </c>
      <c r="I1030" s="27"/>
      <c r="J1030" s="33">
        <v>-7.0</v>
      </c>
      <c r="K1030" s="33">
        <v>-7.0</v>
      </c>
      <c r="L1030" s="66">
        <v>49.0</v>
      </c>
      <c r="M1030" s="27" t="s">
        <v>1820</v>
      </c>
      <c r="N1030" s="27">
        <v>-7.0</v>
      </c>
      <c r="O1030" s="27"/>
      <c r="P1030" s="27">
        <v>-7.0</v>
      </c>
      <c r="Q1030" s="27"/>
      <c r="R1030" s="27">
        <v>-7.0</v>
      </c>
      <c r="S1030" s="27"/>
      <c r="T1030" s="27">
        <v>-7.0</v>
      </c>
      <c r="U1030" s="27"/>
      <c r="V1030" s="27">
        <v>-7.0</v>
      </c>
      <c r="W1030" s="27"/>
      <c r="X1030" s="27">
        <v>-7.0</v>
      </c>
      <c r="Y1030" s="27"/>
      <c r="Z1030" s="27">
        <v>-7.0</v>
      </c>
      <c r="AA1030" s="27"/>
      <c r="AB1030" s="27">
        <v>-7.0</v>
      </c>
      <c r="AC1030" s="27"/>
      <c r="AD1030" s="27">
        <v>-7.0</v>
      </c>
      <c r="AE1030" s="27"/>
      <c r="AF1030" s="27">
        <v>-7.0</v>
      </c>
      <c r="AG1030" s="27"/>
      <c r="AH1030" s="27">
        <v>299.0</v>
      </c>
      <c r="AI1030" s="27">
        <v>85.0</v>
      </c>
      <c r="AJ1030" s="27">
        <v>2.0</v>
      </c>
      <c r="AK1030" s="27" t="b">
        <v>0</v>
      </c>
      <c r="AL1030" s="27">
        <v>100.0</v>
      </c>
      <c r="AM1030" s="27" t="s">
        <v>188</v>
      </c>
      <c r="AN1030" s="27" t="s">
        <v>404</v>
      </c>
      <c r="AO1030" s="27"/>
    </row>
    <row r="1031">
      <c r="A1031" s="200">
        <v>44852.025106597226</v>
      </c>
      <c r="B1031" s="19" t="s">
        <v>59</v>
      </c>
      <c r="C1031" s="21" t="s">
        <v>285</v>
      </c>
      <c r="D1031" s="62">
        <v>2.0</v>
      </c>
      <c r="E1031" s="27">
        <v>5.0</v>
      </c>
      <c r="F1031" s="27" t="s">
        <v>1821</v>
      </c>
      <c r="G1031" s="201" t="s">
        <v>57</v>
      </c>
      <c r="H1031" s="27" t="s">
        <v>141</v>
      </c>
      <c r="I1031" s="27"/>
      <c r="J1031" s="33">
        <v>-13.0</v>
      </c>
      <c r="K1031" s="33">
        <v>-12.5</v>
      </c>
      <c r="L1031" s="66">
        <v>60.5</v>
      </c>
      <c r="M1031" s="27" t="s">
        <v>1822</v>
      </c>
      <c r="N1031" s="27">
        <v>-13.0</v>
      </c>
      <c r="O1031" s="27"/>
      <c r="P1031" s="27">
        <v>-12.0</v>
      </c>
      <c r="Q1031" s="27"/>
      <c r="R1031" s="27">
        <v>-12.0</v>
      </c>
      <c r="S1031" s="27"/>
      <c r="T1031" s="27">
        <v>-12.5</v>
      </c>
      <c r="U1031" s="27"/>
      <c r="V1031" s="27">
        <v>-12.0</v>
      </c>
      <c r="W1031" s="27"/>
      <c r="X1031" s="27">
        <v>-12.0</v>
      </c>
      <c r="Y1031" s="27"/>
      <c r="Z1031" s="27">
        <v>-11.5</v>
      </c>
      <c r="AA1031" s="27"/>
      <c r="AB1031" s="27">
        <v>-12.5</v>
      </c>
      <c r="AC1031" s="27"/>
      <c r="AD1031" s="27">
        <v>-13.0</v>
      </c>
      <c r="AE1031" s="27"/>
      <c r="AF1031" s="27" t="s">
        <v>1091</v>
      </c>
      <c r="AG1031" s="27" t="s">
        <v>1091</v>
      </c>
      <c r="AH1031" s="27">
        <v>184.0</v>
      </c>
      <c r="AI1031" s="27">
        <v>205.0</v>
      </c>
      <c r="AJ1031" s="27">
        <v>2.0</v>
      </c>
      <c r="AK1031" s="27" t="b">
        <v>0</v>
      </c>
      <c r="AL1031" s="27">
        <v>100.0</v>
      </c>
      <c r="AM1031" s="27" t="s">
        <v>190</v>
      </c>
      <c r="AN1031" s="27" t="s">
        <v>405</v>
      </c>
      <c r="AO1031" s="27"/>
    </row>
    <row r="1032">
      <c r="A1032" s="200">
        <v>44852.025106597226</v>
      </c>
      <c r="B1032" s="19" t="s">
        <v>59</v>
      </c>
      <c r="C1032" s="21" t="s">
        <v>275</v>
      </c>
      <c r="D1032" s="62">
        <v>2.0</v>
      </c>
      <c r="E1032" s="27">
        <v>4.0</v>
      </c>
      <c r="F1032" s="27" t="s">
        <v>1823</v>
      </c>
      <c r="G1032" s="201" t="s">
        <v>57</v>
      </c>
      <c r="H1032" s="27" t="s">
        <v>138</v>
      </c>
      <c r="I1032" s="27"/>
      <c r="J1032" s="33" t="s">
        <v>1091</v>
      </c>
      <c r="K1032" s="33" t="s">
        <v>1091</v>
      </c>
      <c r="L1032" s="26" t="s">
        <v>1091</v>
      </c>
      <c r="M1032" s="27" t="s">
        <v>1091</v>
      </c>
      <c r="N1032" s="27" t="s">
        <v>1091</v>
      </c>
      <c r="O1032" s="27" t="s">
        <v>1091</v>
      </c>
      <c r="P1032" s="27" t="s">
        <v>1091</v>
      </c>
      <c r="Q1032" s="27" t="s">
        <v>1091</v>
      </c>
      <c r="R1032" s="27" t="s">
        <v>1091</v>
      </c>
      <c r="S1032" s="27" t="s">
        <v>1091</v>
      </c>
      <c r="T1032" s="27" t="s">
        <v>1091</v>
      </c>
      <c r="U1032" s="27" t="s">
        <v>1091</v>
      </c>
      <c r="V1032" s="27" t="s">
        <v>1091</v>
      </c>
      <c r="W1032" s="27" t="s">
        <v>1091</v>
      </c>
      <c r="X1032" s="27" t="s">
        <v>1091</v>
      </c>
      <c r="Y1032" s="27" t="s">
        <v>1091</v>
      </c>
      <c r="Z1032" s="27" t="s">
        <v>1091</v>
      </c>
      <c r="AA1032" s="27" t="s">
        <v>1091</v>
      </c>
      <c r="AB1032" s="27" t="s">
        <v>1091</v>
      </c>
      <c r="AC1032" s="27" t="s">
        <v>1091</v>
      </c>
      <c r="AD1032" s="27" t="s">
        <v>1091</v>
      </c>
      <c r="AE1032" s="27" t="s">
        <v>1091</v>
      </c>
      <c r="AF1032" s="27" t="s">
        <v>1091</v>
      </c>
      <c r="AG1032" s="27" t="s">
        <v>1091</v>
      </c>
      <c r="AH1032" s="27">
        <v>93.0</v>
      </c>
      <c r="AI1032" s="27">
        <v>221.0</v>
      </c>
      <c r="AJ1032" s="27">
        <v>2.0</v>
      </c>
      <c r="AK1032" s="27" t="b">
        <v>0</v>
      </c>
      <c r="AL1032" s="27">
        <v>100.0</v>
      </c>
      <c r="AM1032" s="27" t="s">
        <v>189</v>
      </c>
      <c r="AN1032" s="27" t="s">
        <v>405</v>
      </c>
      <c r="AO1032" s="27"/>
    </row>
    <row r="1033">
      <c r="A1033" s="200">
        <v>44852.025106597226</v>
      </c>
      <c r="B1033" s="19"/>
      <c r="C1033" s="21"/>
      <c r="D1033" s="62"/>
      <c r="E1033" s="27"/>
      <c r="F1033" s="27"/>
      <c r="G1033" s="201"/>
      <c r="H1033" s="27"/>
      <c r="I1033" s="27"/>
      <c r="J1033" s="33"/>
      <c r="K1033" s="33"/>
      <c r="L1033" s="66"/>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t="e">
        <v>#N/A</v>
      </c>
      <c r="AN1033" s="27" t="e">
        <v>#N/A</v>
      </c>
      <c r="AO1033" s="27"/>
    </row>
    <row r="1034">
      <c r="A1034" s="200">
        <v>44852.025106597226</v>
      </c>
      <c r="B1034" s="19" t="s">
        <v>138</v>
      </c>
      <c r="C1034" s="21" t="s">
        <v>282</v>
      </c>
      <c r="D1034" s="62">
        <v>5.0</v>
      </c>
      <c r="E1034" s="27">
        <v>1.0</v>
      </c>
      <c r="F1034" s="27"/>
      <c r="G1034" s="201"/>
      <c r="H1034" s="27"/>
      <c r="I1034" s="27" t="s">
        <v>82</v>
      </c>
      <c r="J1034" s="33"/>
      <c r="K1034" s="33"/>
      <c r="L1034" s="66"/>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v>229.0</v>
      </c>
      <c r="AI1034" s="27">
        <v>127.0</v>
      </c>
      <c r="AJ1034" s="27">
        <v>0.0</v>
      </c>
      <c r="AK1034" s="27" t="b">
        <v>1</v>
      </c>
      <c r="AL1034" s="27">
        <v>59.0</v>
      </c>
      <c r="AM1034" s="27" t="s">
        <v>389</v>
      </c>
      <c r="AN1034" s="27" t="s">
        <v>405</v>
      </c>
      <c r="AO1034" s="27"/>
    </row>
    <row r="1035">
      <c r="A1035" s="200">
        <v>44852.025106597226</v>
      </c>
      <c r="B1035" s="19" t="s">
        <v>138</v>
      </c>
      <c r="C1035" s="21" t="s">
        <v>311</v>
      </c>
      <c r="D1035" s="62">
        <v>2.0</v>
      </c>
      <c r="E1035" s="27">
        <v>4.0</v>
      </c>
      <c r="F1035" s="27" t="s">
        <v>1824</v>
      </c>
      <c r="G1035" s="201" t="s">
        <v>57</v>
      </c>
      <c r="H1035" s="27" t="s">
        <v>109</v>
      </c>
      <c r="I1035" s="27"/>
      <c r="J1035" s="33">
        <v>18.0</v>
      </c>
      <c r="K1035" s="33">
        <v>16.5</v>
      </c>
      <c r="L1035" s="66">
        <v>54.5</v>
      </c>
      <c r="M1035" s="27" t="s">
        <v>1825</v>
      </c>
      <c r="N1035" s="27">
        <v>16.5</v>
      </c>
      <c r="O1035" s="27"/>
      <c r="P1035" s="27">
        <v>16.5</v>
      </c>
      <c r="Q1035" s="27"/>
      <c r="R1035" s="27">
        <v>16.5</v>
      </c>
      <c r="S1035" s="27"/>
      <c r="T1035" s="27">
        <v>17.0</v>
      </c>
      <c r="U1035" s="27"/>
      <c r="V1035" s="27">
        <v>16.5</v>
      </c>
      <c r="W1035" s="27"/>
      <c r="X1035" s="27">
        <v>16.5</v>
      </c>
      <c r="Y1035" s="27"/>
      <c r="Z1035" s="27">
        <v>16.5</v>
      </c>
      <c r="AA1035" s="27"/>
      <c r="AB1035" s="27">
        <v>16.5</v>
      </c>
      <c r="AC1035" s="27"/>
      <c r="AD1035" s="27">
        <v>17.0</v>
      </c>
      <c r="AE1035" s="27"/>
      <c r="AF1035" s="27">
        <v>17.0</v>
      </c>
      <c r="AG1035" s="27"/>
      <c r="AH1035" s="27">
        <v>161.0</v>
      </c>
      <c r="AI1035" s="27">
        <v>178.0</v>
      </c>
      <c r="AJ1035" s="27">
        <v>2.0</v>
      </c>
      <c r="AK1035" s="27" t="b">
        <v>0</v>
      </c>
      <c r="AL1035" s="27">
        <v>100.0</v>
      </c>
      <c r="AM1035" s="27" t="s">
        <v>191</v>
      </c>
      <c r="AN1035" s="27" t="s">
        <v>404</v>
      </c>
      <c r="AO1035" s="27"/>
    </row>
    <row r="1036">
      <c r="A1036" s="200">
        <v>44852.025106597226</v>
      </c>
      <c r="B1036" s="19" t="s">
        <v>138</v>
      </c>
      <c r="C1036" s="21" t="s">
        <v>304</v>
      </c>
      <c r="D1036" s="62">
        <v>3.0</v>
      </c>
      <c r="E1036" s="27">
        <v>4.0</v>
      </c>
      <c r="F1036" s="27" t="s">
        <v>1826</v>
      </c>
      <c r="G1036" s="201" t="s">
        <v>57</v>
      </c>
      <c r="H1036" s="27" t="s">
        <v>116</v>
      </c>
      <c r="I1036" s="27"/>
      <c r="J1036" s="33">
        <v>-8.0</v>
      </c>
      <c r="K1036" s="33">
        <v>-14.0</v>
      </c>
      <c r="L1036" s="66">
        <v>45.5</v>
      </c>
      <c r="M1036" s="27" t="s">
        <v>1827</v>
      </c>
      <c r="N1036" s="27">
        <v>-14.0</v>
      </c>
      <c r="O1036" s="27"/>
      <c r="P1036" s="27">
        <v>-14.0</v>
      </c>
      <c r="Q1036" s="27"/>
      <c r="R1036" s="27">
        <v>-14.0</v>
      </c>
      <c r="S1036" s="27"/>
      <c r="T1036" s="27">
        <v>-14.0</v>
      </c>
      <c r="U1036" s="27"/>
      <c r="V1036" s="27">
        <v>-14.0</v>
      </c>
      <c r="W1036" s="27"/>
      <c r="X1036" s="27">
        <v>-14.0</v>
      </c>
      <c r="Y1036" s="27"/>
      <c r="Z1036" s="27">
        <v>-14.0</v>
      </c>
      <c r="AA1036" s="27"/>
      <c r="AB1036" s="27">
        <v>-14.0</v>
      </c>
      <c r="AC1036" s="27"/>
      <c r="AD1036" s="27">
        <v>-14.0</v>
      </c>
      <c r="AE1036" s="27"/>
      <c r="AF1036" s="27">
        <v>-14.0</v>
      </c>
      <c r="AG1036" s="27"/>
      <c r="AH1036" s="27">
        <v>139.0</v>
      </c>
      <c r="AI1036" s="27">
        <v>222.0</v>
      </c>
      <c r="AJ1036" s="27">
        <v>2.0</v>
      </c>
      <c r="AK1036" s="27" t="b">
        <v>1</v>
      </c>
      <c r="AL1036" s="27">
        <v>100.0</v>
      </c>
      <c r="AM1036" s="27" t="s">
        <v>129</v>
      </c>
      <c r="AN1036" s="27" t="s">
        <v>405</v>
      </c>
      <c r="AO1036" s="27"/>
    </row>
    <row r="1037">
      <c r="A1037" s="200">
        <v>44852.025106597226</v>
      </c>
      <c r="B1037" s="19" t="s">
        <v>138</v>
      </c>
      <c r="C1037" s="21" t="s">
        <v>302</v>
      </c>
      <c r="D1037" s="62">
        <v>5.0</v>
      </c>
      <c r="E1037" s="27">
        <v>1.0</v>
      </c>
      <c r="F1037" s="27" t="s">
        <v>1794</v>
      </c>
      <c r="G1037" s="201" t="s">
        <v>57</v>
      </c>
      <c r="H1037" s="27" t="s">
        <v>131</v>
      </c>
      <c r="I1037" s="27"/>
      <c r="J1037" s="33">
        <v>-17.5</v>
      </c>
      <c r="K1037" s="33">
        <v>-17.0</v>
      </c>
      <c r="L1037" s="66">
        <v>51.0</v>
      </c>
      <c r="M1037" s="27" t="s">
        <v>1795</v>
      </c>
      <c r="N1037" s="27">
        <v>-17.0</v>
      </c>
      <c r="O1037" s="27"/>
      <c r="P1037" s="27">
        <v>-17.0</v>
      </c>
      <c r="Q1037" s="27"/>
      <c r="R1037" s="27">
        <v>-17.0</v>
      </c>
      <c r="S1037" s="27"/>
      <c r="T1037" s="27">
        <v>-17.0</v>
      </c>
      <c r="U1037" s="27"/>
      <c r="V1037" s="27">
        <v>-17.0</v>
      </c>
      <c r="W1037" s="27"/>
      <c r="X1037" s="27">
        <v>-17.0</v>
      </c>
      <c r="Y1037" s="27"/>
      <c r="Z1037" s="27">
        <v>-17.0</v>
      </c>
      <c r="AA1037" s="27"/>
      <c r="AB1037" s="27">
        <v>-17.0</v>
      </c>
      <c r="AC1037" s="27"/>
      <c r="AD1037" s="27">
        <v>-17.0</v>
      </c>
      <c r="AE1037" s="27"/>
      <c r="AF1037" s="27">
        <v>-17.0</v>
      </c>
      <c r="AG1037" s="27"/>
      <c r="AH1037" s="27">
        <v>216.0</v>
      </c>
      <c r="AI1037" s="27">
        <v>128.0</v>
      </c>
      <c r="AJ1037" s="27">
        <v>2.0</v>
      </c>
      <c r="AK1037" s="27" t="b">
        <v>0</v>
      </c>
      <c r="AL1037" s="27">
        <v>100.0</v>
      </c>
      <c r="AM1037" s="27" t="s">
        <v>193</v>
      </c>
      <c r="AN1037" s="27" t="s">
        <v>405</v>
      </c>
      <c r="AO1037" s="27"/>
    </row>
    <row r="1038">
      <c r="A1038" s="200">
        <v>44852.025106597226</v>
      </c>
      <c r="B1038" s="19" t="s">
        <v>138</v>
      </c>
      <c r="C1038" s="21" t="s">
        <v>303</v>
      </c>
      <c r="D1038" s="62">
        <v>4.0</v>
      </c>
      <c r="E1038" s="27">
        <v>3.0</v>
      </c>
      <c r="F1038" s="27" t="s">
        <v>1828</v>
      </c>
      <c r="G1038" s="201" t="s">
        <v>57</v>
      </c>
      <c r="H1038" s="27" t="s">
        <v>141</v>
      </c>
      <c r="I1038" s="27"/>
      <c r="J1038" s="33">
        <v>2.5</v>
      </c>
      <c r="K1038" s="33">
        <v>1.0</v>
      </c>
      <c r="L1038" s="66">
        <v>66.5</v>
      </c>
      <c r="M1038" s="27" t="s">
        <v>1829</v>
      </c>
      <c r="N1038" s="27">
        <v>1.0</v>
      </c>
      <c r="O1038" s="27"/>
      <c r="P1038" s="27">
        <v>1.0</v>
      </c>
      <c r="Q1038" s="27"/>
      <c r="R1038" s="27">
        <v>1.0</v>
      </c>
      <c r="S1038" s="27"/>
      <c r="T1038" s="27">
        <v>1.0</v>
      </c>
      <c r="U1038" s="27"/>
      <c r="V1038" s="27">
        <v>1.0</v>
      </c>
      <c r="W1038" s="27"/>
      <c r="X1038" s="27">
        <v>0.0</v>
      </c>
      <c r="Y1038" s="27"/>
      <c r="Z1038" s="27">
        <v>1.0</v>
      </c>
      <c r="AA1038" s="27"/>
      <c r="AB1038" s="27">
        <v>1.0</v>
      </c>
      <c r="AC1038" s="27"/>
      <c r="AD1038" s="27">
        <v>1.0</v>
      </c>
      <c r="AE1038" s="27"/>
      <c r="AF1038" s="27">
        <v>1.0</v>
      </c>
      <c r="AG1038" s="27" t="s">
        <v>1091</v>
      </c>
      <c r="AH1038" s="27">
        <v>229.0</v>
      </c>
      <c r="AI1038" s="27">
        <v>228.0</v>
      </c>
      <c r="AJ1038" s="27">
        <v>2.0</v>
      </c>
      <c r="AK1038" s="27" t="b">
        <v>0</v>
      </c>
      <c r="AL1038" s="27">
        <v>100.0</v>
      </c>
      <c r="AM1038" s="27" t="s">
        <v>192</v>
      </c>
      <c r="AN1038" s="27" t="s">
        <v>404</v>
      </c>
      <c r="AO1038" s="27"/>
    </row>
    <row r="1039">
      <c r="A1039" s="200">
        <v>44852.025106597226</v>
      </c>
      <c r="B1039" s="19" t="s">
        <v>138</v>
      </c>
      <c r="C1039" s="21" t="s">
        <v>309</v>
      </c>
      <c r="D1039" s="62">
        <v>3.0</v>
      </c>
      <c r="E1039" s="27">
        <v>4.0</v>
      </c>
      <c r="F1039" s="27" t="s">
        <v>1830</v>
      </c>
      <c r="G1039" s="201" t="s">
        <v>57</v>
      </c>
      <c r="H1039" s="27" t="s">
        <v>116</v>
      </c>
      <c r="I1039" s="27"/>
      <c r="J1039" s="33">
        <v>36.5</v>
      </c>
      <c r="K1039" s="33">
        <v>37.5</v>
      </c>
      <c r="L1039" s="66">
        <v>56.5</v>
      </c>
      <c r="M1039" s="27" t="s">
        <v>1139</v>
      </c>
      <c r="N1039" s="27">
        <v>37.5</v>
      </c>
      <c r="O1039" s="27"/>
      <c r="P1039" s="27">
        <v>37.5</v>
      </c>
      <c r="Q1039" s="27"/>
      <c r="R1039" s="27">
        <v>37.5</v>
      </c>
      <c r="S1039" s="27"/>
      <c r="T1039" s="27">
        <v>38.0</v>
      </c>
      <c r="U1039" s="27"/>
      <c r="V1039" s="27">
        <v>37.5</v>
      </c>
      <c r="W1039" s="27"/>
      <c r="X1039" s="27">
        <v>37.0</v>
      </c>
      <c r="Y1039" s="27"/>
      <c r="Z1039" s="27">
        <v>37.5</v>
      </c>
      <c r="AA1039" s="27"/>
      <c r="AB1039" s="27">
        <v>37.5</v>
      </c>
      <c r="AC1039" s="27"/>
      <c r="AD1039" s="27">
        <v>38.0</v>
      </c>
      <c r="AE1039" s="27"/>
      <c r="AF1039" s="27">
        <v>38.0</v>
      </c>
      <c r="AG1039" s="27"/>
      <c r="AH1039" s="27">
        <v>199.0</v>
      </c>
      <c r="AI1039" s="27">
        <v>276.0</v>
      </c>
      <c r="AJ1039" s="27">
        <v>2.0</v>
      </c>
      <c r="AK1039" s="27" t="b">
        <v>1</v>
      </c>
      <c r="AL1039" s="27">
        <v>100.0</v>
      </c>
      <c r="AM1039" s="27" t="s">
        <v>187</v>
      </c>
      <c r="AN1039" s="27" t="s">
        <v>404</v>
      </c>
      <c r="AO1039" s="27"/>
    </row>
    <row r="1040">
      <c r="A1040" s="200">
        <v>44852.025106597226</v>
      </c>
      <c r="B1040" s="19" t="s">
        <v>138</v>
      </c>
      <c r="C1040" s="21" t="s">
        <v>308</v>
      </c>
      <c r="D1040" s="62">
        <v>6.0</v>
      </c>
      <c r="E1040" s="27">
        <v>0.0</v>
      </c>
      <c r="F1040" s="27" t="s">
        <v>1831</v>
      </c>
      <c r="G1040" s="201" t="s">
        <v>57</v>
      </c>
      <c r="H1040" s="27" t="s">
        <v>154</v>
      </c>
      <c r="I1040" s="27"/>
      <c r="J1040" s="33">
        <v>4.0</v>
      </c>
      <c r="K1040" s="33">
        <v>-3.0</v>
      </c>
      <c r="L1040" s="66">
        <v>42.5</v>
      </c>
      <c r="M1040" s="27" t="s">
        <v>1832</v>
      </c>
      <c r="N1040" s="27">
        <v>-3.0</v>
      </c>
      <c r="O1040" s="27"/>
      <c r="P1040" s="27">
        <v>-3.0</v>
      </c>
      <c r="Q1040" s="27"/>
      <c r="R1040" s="27">
        <v>-3.0</v>
      </c>
      <c r="S1040" s="27"/>
      <c r="T1040" s="27">
        <v>-3.0</v>
      </c>
      <c r="U1040" s="27"/>
      <c r="V1040" s="27">
        <v>-3.0</v>
      </c>
      <c r="W1040" s="27"/>
      <c r="X1040" s="27">
        <v>-3.0</v>
      </c>
      <c r="Y1040" s="27"/>
      <c r="Z1040" s="27">
        <v>-3.0</v>
      </c>
      <c r="AA1040" s="27"/>
      <c r="AB1040" s="27">
        <v>-3.5</v>
      </c>
      <c r="AC1040" s="27"/>
      <c r="AD1040" s="27">
        <v>-3.0</v>
      </c>
      <c r="AE1040" s="27"/>
      <c r="AF1040" s="27">
        <v>-3.0</v>
      </c>
      <c r="AG1040" s="27"/>
      <c r="AH1040" s="27">
        <v>216.0</v>
      </c>
      <c r="AI1040" s="27">
        <v>79.0</v>
      </c>
      <c r="AJ1040" s="27">
        <v>2.0</v>
      </c>
      <c r="AK1040" s="27" t="b">
        <v>1</v>
      </c>
      <c r="AL1040" s="27">
        <v>100.0</v>
      </c>
      <c r="AM1040" s="27" t="s">
        <v>186</v>
      </c>
      <c r="AN1040" s="27" t="s">
        <v>404</v>
      </c>
      <c r="AO1040" s="27"/>
    </row>
    <row r="1041">
      <c r="A1041" s="200">
        <v>44852.025106597226</v>
      </c>
      <c r="B1041" s="19" t="s">
        <v>138</v>
      </c>
      <c r="C1041" s="21" t="s">
        <v>298</v>
      </c>
      <c r="D1041" s="62">
        <v>2.0</v>
      </c>
      <c r="E1041" s="27">
        <v>5.0</v>
      </c>
      <c r="F1041" s="27" t="s">
        <v>1833</v>
      </c>
      <c r="G1041" s="201" t="s">
        <v>57</v>
      </c>
      <c r="H1041" s="27" t="s">
        <v>103</v>
      </c>
      <c r="I1041" s="27"/>
      <c r="J1041" s="33">
        <v>2.0</v>
      </c>
      <c r="K1041" s="33">
        <v>3.5</v>
      </c>
      <c r="L1041" s="66">
        <v>64.5</v>
      </c>
      <c r="M1041" s="27" t="s">
        <v>1834</v>
      </c>
      <c r="N1041" s="27">
        <v>3.5</v>
      </c>
      <c r="O1041" s="27"/>
      <c r="P1041" s="27">
        <v>3.5</v>
      </c>
      <c r="Q1041" s="27"/>
      <c r="R1041" s="27">
        <v>3.5</v>
      </c>
      <c r="S1041" s="27"/>
      <c r="T1041" s="27">
        <v>3.5</v>
      </c>
      <c r="U1041" s="27"/>
      <c r="V1041" s="27">
        <v>3.5</v>
      </c>
      <c r="W1041" s="27"/>
      <c r="X1041" s="27">
        <v>3.5</v>
      </c>
      <c r="Y1041" s="27"/>
      <c r="Z1041" s="27">
        <v>3.5</v>
      </c>
      <c r="AA1041" s="27"/>
      <c r="AB1041" s="27">
        <v>3.5</v>
      </c>
      <c r="AC1041" s="27"/>
      <c r="AD1041" s="27">
        <v>3.5</v>
      </c>
      <c r="AE1041" s="27"/>
      <c r="AF1041" s="27" t="s">
        <v>1091</v>
      </c>
      <c r="AG1041" s="27" t="s">
        <v>1091</v>
      </c>
      <c r="AH1041" s="27">
        <v>229.0</v>
      </c>
      <c r="AI1041" s="27">
        <v>240.0</v>
      </c>
      <c r="AJ1041" s="27">
        <v>2.0</v>
      </c>
      <c r="AK1041" s="27" t="b">
        <v>1</v>
      </c>
      <c r="AL1041" s="27">
        <v>100.0</v>
      </c>
      <c r="AM1041" s="27" t="s">
        <v>190</v>
      </c>
      <c r="AN1041" s="27" t="s">
        <v>405</v>
      </c>
      <c r="AO1041" s="27"/>
    </row>
    <row r="1042">
      <c r="A1042" s="200">
        <v>44852.025106597226</v>
      </c>
      <c r="B1042" s="19" t="s">
        <v>138</v>
      </c>
      <c r="C1042" s="21" t="s">
        <v>296</v>
      </c>
      <c r="D1042" s="62">
        <v>5.0</v>
      </c>
      <c r="E1042" s="27">
        <v>2.0</v>
      </c>
      <c r="F1042" s="27" t="s">
        <v>1823</v>
      </c>
      <c r="G1042" s="201" t="s">
        <v>57</v>
      </c>
      <c r="H1042" s="27" t="s">
        <v>59</v>
      </c>
      <c r="I1042" s="27"/>
      <c r="J1042" s="33">
        <v>-27.5</v>
      </c>
      <c r="K1042" s="33">
        <v>-33.5</v>
      </c>
      <c r="L1042" s="66">
        <v>63.5</v>
      </c>
      <c r="M1042" s="27" t="s">
        <v>1582</v>
      </c>
      <c r="N1042" s="27">
        <v>-33.5</v>
      </c>
      <c r="O1042" s="27"/>
      <c r="P1042" s="27">
        <v>-33.5</v>
      </c>
      <c r="Q1042" s="27"/>
      <c r="R1042" s="27">
        <v>-33.5</v>
      </c>
      <c r="S1042" s="27"/>
      <c r="T1042" s="27">
        <v>-33.5</v>
      </c>
      <c r="U1042" s="27"/>
      <c r="V1042" s="27">
        <v>-33.5</v>
      </c>
      <c r="W1042" s="27"/>
      <c r="X1042" s="27">
        <v>-33.0</v>
      </c>
      <c r="Y1042" s="27"/>
      <c r="Z1042" s="27">
        <v>-33.0</v>
      </c>
      <c r="AA1042" s="27"/>
      <c r="AB1042" s="27">
        <v>-33.5</v>
      </c>
      <c r="AC1042" s="27"/>
      <c r="AD1042" s="27">
        <v>-33.5</v>
      </c>
      <c r="AE1042" s="27"/>
      <c r="AF1042" s="27">
        <v>-33.5</v>
      </c>
      <c r="AG1042" s="27"/>
      <c r="AH1042" s="27">
        <v>254.0</v>
      </c>
      <c r="AI1042" s="27">
        <v>208.0</v>
      </c>
      <c r="AJ1042" s="27">
        <v>2.0</v>
      </c>
      <c r="AK1042" s="27" t="b">
        <v>1</v>
      </c>
      <c r="AL1042" s="27">
        <v>100.0</v>
      </c>
      <c r="AM1042" s="27" t="s">
        <v>189</v>
      </c>
      <c r="AN1042" s="27" t="s">
        <v>405</v>
      </c>
      <c r="AO1042" s="27"/>
    </row>
    <row r="1043">
      <c r="A1043" s="200">
        <v>44852.025106597226</v>
      </c>
      <c r="B1043" s="19" t="s">
        <v>138</v>
      </c>
      <c r="C1043" s="21" t="s">
        <v>294</v>
      </c>
      <c r="D1043" s="62">
        <v>3.0</v>
      </c>
      <c r="E1043" s="27">
        <v>4.0</v>
      </c>
      <c r="F1043" s="27" t="s">
        <v>1803</v>
      </c>
      <c r="G1043" s="201" t="s">
        <v>183</v>
      </c>
      <c r="H1043" s="27" t="s">
        <v>131</v>
      </c>
      <c r="I1043" s="27"/>
      <c r="J1043" s="33">
        <v>-2.0</v>
      </c>
      <c r="K1043" s="33">
        <v>7.0</v>
      </c>
      <c r="L1043" s="66">
        <v>49.5</v>
      </c>
      <c r="M1043" s="27" t="s">
        <v>1314</v>
      </c>
      <c r="N1043" s="27">
        <v>7.0</v>
      </c>
      <c r="O1043" s="27"/>
      <c r="P1043" s="27">
        <v>7.0</v>
      </c>
      <c r="Q1043" s="27"/>
      <c r="R1043" s="27">
        <v>7.0</v>
      </c>
      <c r="S1043" s="27"/>
      <c r="T1043" s="27">
        <v>7.0</v>
      </c>
      <c r="U1043" s="27"/>
      <c r="V1043" s="27">
        <v>7.0</v>
      </c>
      <c r="W1043" s="27"/>
      <c r="X1043" s="27">
        <v>7.0</v>
      </c>
      <c r="Y1043" s="27"/>
      <c r="Z1043" s="27">
        <v>7.0</v>
      </c>
      <c r="AA1043" s="27"/>
      <c r="AB1043" s="27">
        <v>6.5</v>
      </c>
      <c r="AC1043" s="27"/>
      <c r="AD1043" s="27">
        <v>7.0</v>
      </c>
      <c r="AE1043" s="27"/>
      <c r="AF1043" s="27">
        <v>7.0</v>
      </c>
      <c r="AG1043" s="27"/>
      <c r="AH1043" s="27">
        <v>189.0</v>
      </c>
      <c r="AI1043" s="27">
        <v>190.0</v>
      </c>
      <c r="AJ1043" s="27">
        <v>2.0</v>
      </c>
      <c r="AK1043" s="27" t="b">
        <v>0</v>
      </c>
      <c r="AL1043" s="27">
        <v>100.0</v>
      </c>
      <c r="AM1043" s="27" t="s">
        <v>188</v>
      </c>
      <c r="AN1043" s="27" t="s">
        <v>404</v>
      </c>
      <c r="AO1043" s="27"/>
    </row>
    <row r="1044">
      <c r="A1044" s="200">
        <v>44852.025106597226</v>
      </c>
      <c r="B1044" s="19"/>
      <c r="C1044" s="21"/>
      <c r="D1044" s="62"/>
      <c r="E1044" s="27"/>
      <c r="F1044" s="27"/>
      <c r="G1044" s="201"/>
      <c r="H1044" s="27"/>
      <c r="I1044" s="27"/>
      <c r="J1044" s="33"/>
      <c r="K1044" s="33"/>
      <c r="L1044" s="66"/>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t="e">
        <v>#N/A</v>
      </c>
      <c r="AN1044" s="27" t="e">
        <v>#N/A</v>
      </c>
      <c r="AO1044" s="27"/>
    </row>
    <row r="1045">
      <c r="A1045" s="200">
        <v>44852.025106597226</v>
      </c>
      <c r="B1045" s="19" t="s">
        <v>141</v>
      </c>
      <c r="C1045" s="21" t="s">
        <v>353</v>
      </c>
      <c r="D1045" s="62">
        <v>3.0</v>
      </c>
      <c r="E1045" s="27">
        <v>3.0</v>
      </c>
      <c r="F1045" s="27"/>
      <c r="G1045" s="201"/>
      <c r="H1045" s="27"/>
      <c r="I1045" s="27" t="s">
        <v>97</v>
      </c>
      <c r="J1045" s="33"/>
      <c r="K1045" s="33"/>
      <c r="L1045" s="66"/>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v>166.0</v>
      </c>
      <c r="AI1045" s="27">
        <v>134.0</v>
      </c>
      <c r="AJ1045" s="27">
        <v>0.0</v>
      </c>
      <c r="AK1045" s="27" t="b">
        <v>1</v>
      </c>
      <c r="AL1045" s="27">
        <v>59.0</v>
      </c>
      <c r="AM1045" s="27" t="s">
        <v>186</v>
      </c>
      <c r="AN1045" s="27" t="s">
        <v>404</v>
      </c>
      <c r="AO1045" s="27"/>
    </row>
    <row r="1046">
      <c r="A1046" s="200">
        <v>44852.025106597226</v>
      </c>
      <c r="B1046" s="19" t="s">
        <v>141</v>
      </c>
      <c r="C1046" s="21" t="s">
        <v>386</v>
      </c>
      <c r="D1046" s="62">
        <v>3.0</v>
      </c>
      <c r="E1046" s="27">
        <v>3.0</v>
      </c>
      <c r="F1046" s="27"/>
      <c r="G1046" s="201"/>
      <c r="H1046" s="27"/>
      <c r="I1046" s="27" t="s">
        <v>101</v>
      </c>
      <c r="J1046" s="33"/>
      <c r="K1046" s="33"/>
      <c r="L1046" s="66"/>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v>137.0</v>
      </c>
      <c r="AI1046" s="27">
        <v>132.0</v>
      </c>
      <c r="AJ1046" s="27">
        <v>0.0</v>
      </c>
      <c r="AK1046" s="27" t="b">
        <v>1</v>
      </c>
      <c r="AL1046" s="27">
        <v>59.0</v>
      </c>
      <c r="AM1046" s="27" t="s">
        <v>191</v>
      </c>
      <c r="AN1046" s="27" t="s">
        <v>404</v>
      </c>
      <c r="AO1046" s="27"/>
    </row>
    <row r="1047">
      <c r="A1047" s="200">
        <v>44852.025106597226</v>
      </c>
      <c r="B1047" s="19" t="s">
        <v>141</v>
      </c>
      <c r="C1047" s="21" t="s">
        <v>349</v>
      </c>
      <c r="D1047" s="62">
        <v>4.0</v>
      </c>
      <c r="E1047" s="27">
        <v>2.0</v>
      </c>
      <c r="F1047" s="27" t="s">
        <v>1835</v>
      </c>
      <c r="G1047" s="201" t="s">
        <v>57</v>
      </c>
      <c r="H1047" s="27" t="s">
        <v>144</v>
      </c>
      <c r="I1047" s="27"/>
      <c r="J1047" s="33">
        <v>-3.5</v>
      </c>
      <c r="K1047" s="33">
        <v>-7.0</v>
      </c>
      <c r="L1047" s="66">
        <v>46.5</v>
      </c>
      <c r="M1047" s="27" t="s">
        <v>1356</v>
      </c>
      <c r="N1047" s="27">
        <v>-7.0</v>
      </c>
      <c r="O1047" s="27"/>
      <c r="P1047" s="27">
        <v>-7.0</v>
      </c>
      <c r="Q1047" s="27"/>
      <c r="R1047" s="27">
        <v>-7.0</v>
      </c>
      <c r="S1047" s="27"/>
      <c r="T1047" s="27">
        <v>-7.5</v>
      </c>
      <c r="U1047" s="27"/>
      <c r="V1047" s="27">
        <v>-7.0</v>
      </c>
      <c r="W1047" s="27"/>
      <c r="X1047" s="27">
        <v>-7.0</v>
      </c>
      <c r="Y1047" s="27"/>
      <c r="Z1047" s="27">
        <v>-7.0</v>
      </c>
      <c r="AA1047" s="27"/>
      <c r="AB1047" s="27">
        <v>-7.0</v>
      </c>
      <c r="AC1047" s="27"/>
      <c r="AD1047" s="27">
        <v>-7.5</v>
      </c>
      <c r="AE1047" s="27"/>
      <c r="AF1047" s="27">
        <v>-7.5</v>
      </c>
      <c r="AG1047" s="27"/>
      <c r="AH1047" s="27">
        <v>154.0</v>
      </c>
      <c r="AI1047" s="27">
        <v>87.0</v>
      </c>
      <c r="AJ1047" s="27">
        <v>2.0</v>
      </c>
      <c r="AK1047" s="27" t="b">
        <v>1</v>
      </c>
      <c r="AL1047" s="27">
        <v>100.0</v>
      </c>
      <c r="AM1047" s="27" t="s">
        <v>129</v>
      </c>
      <c r="AN1047" s="27" t="s">
        <v>405</v>
      </c>
      <c r="AO1047" s="27"/>
    </row>
    <row r="1048">
      <c r="A1048" s="200">
        <v>44852.025106597226</v>
      </c>
      <c r="B1048" s="19" t="s">
        <v>141</v>
      </c>
      <c r="C1048" s="21" t="s">
        <v>365</v>
      </c>
      <c r="D1048" s="62">
        <v>3.0</v>
      </c>
      <c r="E1048" s="27">
        <v>4.0</v>
      </c>
      <c r="F1048" s="27" t="s">
        <v>1836</v>
      </c>
      <c r="G1048" s="201" t="s">
        <v>57</v>
      </c>
      <c r="H1048" s="27" t="s">
        <v>148</v>
      </c>
      <c r="I1048" s="27"/>
      <c r="J1048" s="33">
        <v>13.5</v>
      </c>
      <c r="K1048" s="33">
        <v>14.0</v>
      </c>
      <c r="L1048" s="66">
        <v>56.5</v>
      </c>
      <c r="M1048" s="27" t="s">
        <v>1837</v>
      </c>
      <c r="N1048" s="27">
        <v>14.0</v>
      </c>
      <c r="O1048" s="27"/>
      <c r="P1048" s="27">
        <v>14.0</v>
      </c>
      <c r="Q1048" s="27"/>
      <c r="R1048" s="27">
        <v>14.0</v>
      </c>
      <c r="S1048" s="27"/>
      <c r="T1048" s="27">
        <v>14.0</v>
      </c>
      <c r="U1048" s="27"/>
      <c r="V1048" s="27">
        <v>14.0</v>
      </c>
      <c r="W1048" s="27"/>
      <c r="X1048" s="27">
        <v>14.0</v>
      </c>
      <c r="Y1048" s="27"/>
      <c r="Z1048" s="27">
        <v>14.0</v>
      </c>
      <c r="AA1048" s="27"/>
      <c r="AB1048" s="27">
        <v>14.0</v>
      </c>
      <c r="AC1048" s="27"/>
      <c r="AD1048" s="27">
        <v>14.0</v>
      </c>
      <c r="AE1048" s="27"/>
      <c r="AF1048" s="27">
        <v>14.0</v>
      </c>
      <c r="AG1048" s="27"/>
      <c r="AH1048" s="27">
        <v>208.0</v>
      </c>
      <c r="AI1048" s="27">
        <v>219.0</v>
      </c>
      <c r="AJ1048" s="27">
        <v>2.0</v>
      </c>
      <c r="AK1048" s="27" t="b">
        <v>0</v>
      </c>
      <c r="AL1048" s="27">
        <v>100.0</v>
      </c>
      <c r="AM1048" s="27" t="s">
        <v>188</v>
      </c>
      <c r="AN1048" s="27" t="s">
        <v>404</v>
      </c>
      <c r="AO1048" s="27"/>
    </row>
    <row r="1049">
      <c r="A1049" s="200">
        <v>44852.025106597226</v>
      </c>
      <c r="B1049" s="19" t="s">
        <v>141</v>
      </c>
      <c r="C1049" s="21" t="s">
        <v>287</v>
      </c>
      <c r="D1049" s="62">
        <v>6.0</v>
      </c>
      <c r="E1049" s="27">
        <v>1.0</v>
      </c>
      <c r="F1049" s="27" t="s">
        <v>1796</v>
      </c>
      <c r="G1049" s="201" t="s">
        <v>57</v>
      </c>
      <c r="H1049" s="27" t="s">
        <v>131</v>
      </c>
      <c r="I1049" s="27"/>
      <c r="J1049" s="33">
        <v>-16.5</v>
      </c>
      <c r="K1049" s="33">
        <v>-9.0</v>
      </c>
      <c r="L1049" s="66">
        <v>67.0</v>
      </c>
      <c r="M1049" s="27" t="s">
        <v>1797</v>
      </c>
      <c r="N1049" s="27">
        <v>-8.5</v>
      </c>
      <c r="O1049" s="27"/>
      <c r="P1049" s="27">
        <v>-9.0</v>
      </c>
      <c r="Q1049" s="27"/>
      <c r="R1049" s="27">
        <v>-9.0</v>
      </c>
      <c r="S1049" s="27"/>
      <c r="T1049" s="27">
        <v>-9.0</v>
      </c>
      <c r="U1049" s="27"/>
      <c r="V1049" s="27">
        <v>-9.0</v>
      </c>
      <c r="W1049" s="27"/>
      <c r="X1049" s="27">
        <v>-9.5</v>
      </c>
      <c r="Y1049" s="27"/>
      <c r="Z1049" s="27">
        <v>-8.5</v>
      </c>
      <c r="AA1049" s="27"/>
      <c r="AB1049" s="27">
        <v>-9.0</v>
      </c>
      <c r="AC1049" s="27"/>
      <c r="AD1049" s="27">
        <v>-9.0</v>
      </c>
      <c r="AE1049" s="27"/>
      <c r="AF1049" s="27">
        <v>-9.0</v>
      </c>
      <c r="AG1049" s="27"/>
      <c r="AH1049" s="27">
        <v>315.0</v>
      </c>
      <c r="AI1049" s="27">
        <v>127.0</v>
      </c>
      <c r="AJ1049" s="27">
        <v>2.0</v>
      </c>
      <c r="AK1049" s="27" t="b">
        <v>1</v>
      </c>
      <c r="AL1049" s="27">
        <v>100.0</v>
      </c>
      <c r="AM1049" s="27" t="s">
        <v>192</v>
      </c>
      <c r="AN1049" s="27" t="s">
        <v>404</v>
      </c>
      <c r="AO1049" s="27"/>
    </row>
    <row r="1050">
      <c r="A1050" s="200">
        <v>44852.025106597226</v>
      </c>
      <c r="B1050" s="19" t="s">
        <v>141</v>
      </c>
      <c r="C1050" s="21" t="s">
        <v>393</v>
      </c>
      <c r="D1050" s="62">
        <v>4.0</v>
      </c>
      <c r="E1050" s="27">
        <v>3.0</v>
      </c>
      <c r="F1050" s="27" t="s">
        <v>1828</v>
      </c>
      <c r="G1050" s="201" t="s">
        <v>57</v>
      </c>
      <c r="H1050" s="27" t="s">
        <v>138</v>
      </c>
      <c r="I1050" s="27"/>
      <c r="J1050" s="33">
        <v>-2.5</v>
      </c>
      <c r="K1050" s="33">
        <v>-1.0</v>
      </c>
      <c r="L1050" s="66">
        <v>66.5</v>
      </c>
      <c r="M1050" s="27" t="s">
        <v>1829</v>
      </c>
      <c r="N1050" s="27">
        <v>-1.0</v>
      </c>
      <c r="O1050" s="27"/>
      <c r="P1050" s="27">
        <v>-1.0</v>
      </c>
      <c r="Q1050" s="27"/>
      <c r="R1050" s="27">
        <v>-1.0</v>
      </c>
      <c r="S1050" s="27"/>
      <c r="T1050" s="27">
        <v>-1.0</v>
      </c>
      <c r="U1050" s="27"/>
      <c r="V1050" s="27">
        <v>-1.0</v>
      </c>
      <c r="W1050" s="27"/>
      <c r="X1050" s="27">
        <v>0.0</v>
      </c>
      <c r="Y1050" s="27"/>
      <c r="Z1050" s="27">
        <v>-1.0</v>
      </c>
      <c r="AA1050" s="27"/>
      <c r="AB1050" s="27">
        <v>-1.0</v>
      </c>
      <c r="AC1050" s="27"/>
      <c r="AD1050" s="27">
        <v>-1.0</v>
      </c>
      <c r="AE1050" s="27"/>
      <c r="AF1050" s="27">
        <v>-1.0</v>
      </c>
      <c r="AG1050" s="27" t="s">
        <v>1091</v>
      </c>
      <c r="AH1050" s="27">
        <v>227.0</v>
      </c>
      <c r="AI1050" s="27">
        <v>212.0</v>
      </c>
      <c r="AJ1050" s="27">
        <v>2.0</v>
      </c>
      <c r="AK1050" s="27" t="b">
        <v>1</v>
      </c>
      <c r="AL1050" s="27">
        <v>100.0</v>
      </c>
      <c r="AM1050" s="27" t="s">
        <v>187</v>
      </c>
      <c r="AN1050" s="27" t="s">
        <v>404</v>
      </c>
      <c r="AO1050" s="27"/>
    </row>
    <row r="1051">
      <c r="A1051" s="200">
        <v>44852.025106597226</v>
      </c>
      <c r="B1051" s="19" t="s">
        <v>141</v>
      </c>
      <c r="C1051" s="21" t="s">
        <v>317</v>
      </c>
      <c r="D1051" s="62">
        <v>1.0</v>
      </c>
      <c r="E1051" s="27">
        <v>6.0</v>
      </c>
      <c r="F1051" s="27" t="s">
        <v>1838</v>
      </c>
      <c r="G1051" s="201" t="s">
        <v>57</v>
      </c>
      <c r="H1051" s="27" t="s">
        <v>103</v>
      </c>
      <c r="I1051" s="27"/>
      <c r="J1051" s="33" t="s">
        <v>1091</v>
      </c>
      <c r="K1051" s="33" t="s">
        <v>1091</v>
      </c>
      <c r="L1051" s="26" t="s">
        <v>1091</v>
      </c>
      <c r="M1051" s="27" t="s">
        <v>1091</v>
      </c>
      <c r="N1051" s="27" t="s">
        <v>1091</v>
      </c>
      <c r="O1051" s="27" t="s">
        <v>1091</v>
      </c>
      <c r="P1051" s="27" t="s">
        <v>1091</v>
      </c>
      <c r="Q1051" s="27" t="s">
        <v>1091</v>
      </c>
      <c r="R1051" s="27" t="s">
        <v>1091</v>
      </c>
      <c r="S1051" s="27" t="s">
        <v>1091</v>
      </c>
      <c r="T1051" s="27" t="s">
        <v>1091</v>
      </c>
      <c r="U1051" s="27" t="s">
        <v>1091</v>
      </c>
      <c r="V1051" s="27" t="s">
        <v>1091</v>
      </c>
      <c r="W1051" s="27" t="s">
        <v>1091</v>
      </c>
      <c r="X1051" s="27" t="s">
        <v>1091</v>
      </c>
      <c r="Y1051" s="27" t="s">
        <v>1091</v>
      </c>
      <c r="Z1051" s="27" t="s">
        <v>1091</v>
      </c>
      <c r="AA1051" s="27" t="s">
        <v>1091</v>
      </c>
      <c r="AB1051" s="27" t="s">
        <v>1091</v>
      </c>
      <c r="AC1051" s="27" t="s">
        <v>1091</v>
      </c>
      <c r="AD1051" s="27" t="s">
        <v>1091</v>
      </c>
      <c r="AE1051" s="27" t="s">
        <v>1091</v>
      </c>
      <c r="AF1051" s="27" t="s">
        <v>1091</v>
      </c>
      <c r="AG1051" s="27" t="s">
        <v>1091</v>
      </c>
      <c r="AH1051" s="27">
        <v>175.0</v>
      </c>
      <c r="AI1051" s="27">
        <v>312.0</v>
      </c>
      <c r="AJ1051" s="27">
        <v>2.0</v>
      </c>
      <c r="AK1051" s="27" t="b">
        <v>1</v>
      </c>
      <c r="AL1051" s="27">
        <v>100.0</v>
      </c>
      <c r="AM1051" s="27" t="s">
        <v>189</v>
      </c>
      <c r="AN1051" s="27" t="s">
        <v>405</v>
      </c>
      <c r="AO1051" s="27"/>
    </row>
    <row r="1052">
      <c r="A1052" s="200">
        <v>44852.025106597226</v>
      </c>
      <c r="B1052" s="19" t="s">
        <v>141</v>
      </c>
      <c r="C1052" s="21" t="s">
        <v>318</v>
      </c>
      <c r="D1052" s="62">
        <v>5.0</v>
      </c>
      <c r="E1052" s="27">
        <v>2.0</v>
      </c>
      <c r="F1052" s="27" t="s">
        <v>1839</v>
      </c>
      <c r="G1052" s="201" t="s">
        <v>57</v>
      </c>
      <c r="H1052" s="27" t="s">
        <v>148</v>
      </c>
      <c r="I1052" s="27"/>
      <c r="J1052" s="33">
        <v>-15.5</v>
      </c>
      <c r="K1052" s="33">
        <v>-16.5</v>
      </c>
      <c r="L1052" s="66">
        <v>46.5</v>
      </c>
      <c r="M1052" s="27" t="s">
        <v>1377</v>
      </c>
      <c r="N1052" s="27">
        <v>-16.5</v>
      </c>
      <c r="O1052" s="27"/>
      <c r="P1052" s="27">
        <v>-16.5</v>
      </c>
      <c r="Q1052" s="27"/>
      <c r="R1052" s="27">
        <v>-16.5</v>
      </c>
      <c r="S1052" s="27"/>
      <c r="T1052" s="27">
        <v>-16.5</v>
      </c>
      <c r="U1052" s="27"/>
      <c r="V1052" s="27">
        <v>-16.5</v>
      </c>
      <c r="W1052" s="27"/>
      <c r="X1052" s="27">
        <v>-16.5</v>
      </c>
      <c r="Y1052" s="27"/>
      <c r="Z1052" s="27">
        <v>-16.5</v>
      </c>
      <c r="AA1052" s="27"/>
      <c r="AB1052" s="27">
        <v>-16.5</v>
      </c>
      <c r="AC1052" s="27"/>
      <c r="AD1052" s="27">
        <v>-16.5</v>
      </c>
      <c r="AE1052" s="27"/>
      <c r="AF1052" s="27">
        <v>-16.5</v>
      </c>
      <c r="AG1052" s="27"/>
      <c r="AH1052" s="27">
        <v>170.0</v>
      </c>
      <c r="AI1052" s="27">
        <v>135.0</v>
      </c>
      <c r="AJ1052" s="27">
        <v>2.0</v>
      </c>
      <c r="AK1052" s="27" t="b">
        <v>0</v>
      </c>
      <c r="AL1052" s="27">
        <v>100.0</v>
      </c>
      <c r="AM1052" s="27" t="s">
        <v>193</v>
      </c>
      <c r="AN1052" s="27" t="s">
        <v>405</v>
      </c>
      <c r="AO1052" s="27"/>
    </row>
    <row r="1053">
      <c r="A1053" s="200">
        <v>44852.025106597226</v>
      </c>
      <c r="B1053" s="19" t="s">
        <v>141</v>
      </c>
      <c r="C1053" s="21" t="s">
        <v>323</v>
      </c>
      <c r="D1053" s="62">
        <v>1.0</v>
      </c>
      <c r="E1053" s="27">
        <v>6.0</v>
      </c>
      <c r="F1053" s="27" t="s">
        <v>1821</v>
      </c>
      <c r="G1053" s="201" t="s">
        <v>57</v>
      </c>
      <c r="H1053" s="27" t="s">
        <v>59</v>
      </c>
      <c r="I1053" s="27"/>
      <c r="J1053" s="33">
        <v>13.0</v>
      </c>
      <c r="K1053" s="33">
        <v>12.5</v>
      </c>
      <c r="L1053" s="66">
        <v>60.5</v>
      </c>
      <c r="M1053" s="27" t="s">
        <v>1822</v>
      </c>
      <c r="N1053" s="27">
        <v>13.0</v>
      </c>
      <c r="O1053" s="27"/>
      <c r="P1053" s="27">
        <v>12.0</v>
      </c>
      <c r="Q1053" s="27"/>
      <c r="R1053" s="27">
        <v>12.0</v>
      </c>
      <c r="S1053" s="27"/>
      <c r="T1053" s="27">
        <v>12.5</v>
      </c>
      <c r="U1053" s="27"/>
      <c r="V1053" s="27">
        <v>12.0</v>
      </c>
      <c r="W1053" s="27"/>
      <c r="X1053" s="27">
        <v>12.0</v>
      </c>
      <c r="Y1053" s="27"/>
      <c r="Z1053" s="27">
        <v>11.5</v>
      </c>
      <c r="AA1053" s="27"/>
      <c r="AB1053" s="27">
        <v>12.5</v>
      </c>
      <c r="AC1053" s="27"/>
      <c r="AD1053" s="27">
        <v>13.0</v>
      </c>
      <c r="AE1053" s="27"/>
      <c r="AF1053" s="27" t="s">
        <v>1091</v>
      </c>
      <c r="AG1053" s="27" t="s">
        <v>1091</v>
      </c>
      <c r="AH1053" s="27">
        <v>131.0</v>
      </c>
      <c r="AI1053" s="27">
        <v>273.0</v>
      </c>
      <c r="AJ1053" s="27">
        <v>2.0</v>
      </c>
      <c r="AK1053" s="27" t="b">
        <v>1</v>
      </c>
      <c r="AL1053" s="27">
        <v>100.0</v>
      </c>
      <c r="AM1053" s="27" t="s">
        <v>190</v>
      </c>
      <c r="AN1053" s="27" t="s">
        <v>405</v>
      </c>
      <c r="AO1053" s="27"/>
    </row>
    <row r="1054">
      <c r="A1054" s="200">
        <v>44852.025106597226</v>
      </c>
      <c r="B1054" s="19" t="s">
        <v>141</v>
      </c>
      <c r="C1054" s="21" t="s">
        <v>314</v>
      </c>
      <c r="D1054" s="62">
        <v>3.0</v>
      </c>
      <c r="E1054" s="27">
        <v>3.0</v>
      </c>
      <c r="F1054" s="27" t="s">
        <v>1840</v>
      </c>
      <c r="G1054" s="201" t="s">
        <v>57</v>
      </c>
      <c r="H1054" s="27" t="s">
        <v>116</v>
      </c>
      <c r="I1054" s="27"/>
      <c r="J1054" s="33">
        <v>-20.5</v>
      </c>
      <c r="K1054" s="33">
        <v>-12.5</v>
      </c>
      <c r="L1054" s="66">
        <v>58.5</v>
      </c>
      <c r="M1054" s="27" t="s">
        <v>1841</v>
      </c>
      <c r="N1054" s="27">
        <v>-12.5</v>
      </c>
      <c r="O1054" s="27"/>
      <c r="P1054" s="27">
        <v>-12.0</v>
      </c>
      <c r="Q1054" s="27"/>
      <c r="R1054" s="27">
        <v>-12.5</v>
      </c>
      <c r="S1054" s="27"/>
      <c r="T1054" s="27">
        <v>-12.5</v>
      </c>
      <c r="U1054" s="27"/>
      <c r="V1054" s="27">
        <v>-12.5</v>
      </c>
      <c r="W1054" s="27"/>
      <c r="X1054" s="27">
        <v>-12.5</v>
      </c>
      <c r="Y1054" s="27"/>
      <c r="Z1054" s="27">
        <v>-12.5</v>
      </c>
      <c r="AA1054" s="27"/>
      <c r="AB1054" s="27">
        <v>-12.5</v>
      </c>
      <c r="AC1054" s="27"/>
      <c r="AD1054" s="27">
        <v>-12.5</v>
      </c>
      <c r="AE1054" s="27"/>
      <c r="AF1054" s="27">
        <v>-12.5</v>
      </c>
      <c r="AG1054" s="27"/>
      <c r="AH1054" s="27">
        <v>213.0</v>
      </c>
      <c r="AI1054" s="27">
        <v>177.0</v>
      </c>
      <c r="AJ1054" s="27">
        <v>2.0</v>
      </c>
      <c r="AK1054" s="27" t="b">
        <v>0</v>
      </c>
      <c r="AL1054" s="27">
        <v>100.0</v>
      </c>
      <c r="AM1054" s="27" t="s">
        <v>389</v>
      </c>
      <c r="AN1054" s="27" t="s">
        <v>405</v>
      </c>
      <c r="AO1054" s="27"/>
    </row>
    <row r="1055">
      <c r="A1055" s="200">
        <v>44852.025106597226</v>
      </c>
      <c r="B1055" s="19"/>
      <c r="C1055" s="21"/>
      <c r="D1055" s="62"/>
      <c r="E1055" s="27"/>
      <c r="F1055" s="27"/>
      <c r="G1055" s="201"/>
      <c r="H1055" s="27"/>
      <c r="I1055" s="27"/>
      <c r="J1055" s="33"/>
      <c r="K1055" s="33"/>
      <c r="L1055" s="66"/>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t="e">
        <v>#N/A</v>
      </c>
      <c r="AN1055" s="27" t="e">
        <v>#N/A</v>
      </c>
      <c r="AO1055" s="27"/>
    </row>
    <row r="1056">
      <c r="A1056" s="200">
        <v>44852.025106597226</v>
      </c>
      <c r="B1056" s="19" t="s">
        <v>109</v>
      </c>
      <c r="C1056" s="21" t="s">
        <v>328</v>
      </c>
      <c r="D1056" s="62">
        <v>2.0</v>
      </c>
      <c r="E1056" s="27">
        <v>4.0</v>
      </c>
      <c r="F1056" s="27"/>
      <c r="G1056" s="201"/>
      <c r="H1056" s="27"/>
      <c r="I1056" s="27" t="s">
        <v>93</v>
      </c>
      <c r="J1056" s="33"/>
      <c r="K1056" s="33"/>
      <c r="L1056" s="66"/>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v>161.0</v>
      </c>
      <c r="AI1056" s="27">
        <v>181.0</v>
      </c>
      <c r="AJ1056" s="27">
        <v>0.0</v>
      </c>
      <c r="AK1056" s="27" t="b">
        <v>1</v>
      </c>
      <c r="AL1056" s="27">
        <v>59.0</v>
      </c>
      <c r="AM1056" s="27" t="s">
        <v>191</v>
      </c>
      <c r="AN1056" s="27" t="s">
        <v>404</v>
      </c>
      <c r="AO1056" s="27"/>
    </row>
    <row r="1057">
      <c r="A1057" s="200">
        <v>44852.025106597226</v>
      </c>
      <c r="B1057" s="19" t="s">
        <v>109</v>
      </c>
      <c r="C1057" s="21" t="s">
        <v>367</v>
      </c>
      <c r="D1057" s="62">
        <v>6.0</v>
      </c>
      <c r="E1057" s="27">
        <v>1.0</v>
      </c>
      <c r="F1057" s="27" t="s">
        <v>1842</v>
      </c>
      <c r="G1057" s="201" t="s">
        <v>57</v>
      </c>
      <c r="H1057" s="27"/>
      <c r="I1057" s="27"/>
      <c r="J1057" s="33">
        <v>-6.5</v>
      </c>
      <c r="K1057" s="33">
        <v>-7.0</v>
      </c>
      <c r="L1057" s="66">
        <v>70.0</v>
      </c>
      <c r="M1057" s="27" t="s">
        <v>1843</v>
      </c>
      <c r="N1057" s="27">
        <v>-7.0</v>
      </c>
      <c r="O1057" s="27"/>
      <c r="P1057" s="27">
        <v>-7.0</v>
      </c>
      <c r="Q1057" s="27"/>
      <c r="R1057" s="27">
        <v>-7.0</v>
      </c>
      <c r="S1057" s="27"/>
      <c r="T1057" s="27">
        <v>-7.0</v>
      </c>
      <c r="U1057" s="27"/>
      <c r="V1057" s="27">
        <v>-7.0</v>
      </c>
      <c r="W1057" s="27"/>
      <c r="X1057" s="27">
        <v>-7.0</v>
      </c>
      <c r="Y1057" s="27"/>
      <c r="Z1057" s="27">
        <v>-7.0</v>
      </c>
      <c r="AA1057" s="27"/>
      <c r="AB1057" s="27">
        <v>-7.0</v>
      </c>
      <c r="AC1057" s="27"/>
      <c r="AD1057" s="27">
        <v>-7.0</v>
      </c>
      <c r="AE1057" s="27"/>
      <c r="AF1057" s="27">
        <v>-7.0</v>
      </c>
      <c r="AG1057" s="27"/>
      <c r="AH1057" s="27">
        <v>292.0</v>
      </c>
      <c r="AI1057" s="27">
        <v>227.0</v>
      </c>
      <c r="AJ1057" s="27">
        <v>2.0</v>
      </c>
      <c r="AK1057" s="27" t="b">
        <v>0</v>
      </c>
      <c r="AL1057" s="27">
        <v>100.0</v>
      </c>
      <c r="AM1057" s="27" t="s">
        <v>186</v>
      </c>
      <c r="AN1057" s="27" t="s">
        <v>404</v>
      </c>
      <c r="AO1057" s="27"/>
    </row>
    <row r="1058">
      <c r="A1058" s="200">
        <v>44852.025106597226</v>
      </c>
      <c r="B1058" s="19" t="s">
        <v>109</v>
      </c>
      <c r="C1058" s="21" t="s">
        <v>394</v>
      </c>
      <c r="D1058" s="62">
        <v>2.0</v>
      </c>
      <c r="E1058" s="27">
        <v>5.0</v>
      </c>
      <c r="F1058" s="27" t="s">
        <v>1804</v>
      </c>
      <c r="G1058" s="201" t="s">
        <v>57</v>
      </c>
      <c r="H1058" s="27" t="s">
        <v>178</v>
      </c>
      <c r="I1058" s="27"/>
      <c r="J1058" s="33">
        <v>6.5</v>
      </c>
      <c r="K1058" s="33">
        <v>7.0</v>
      </c>
      <c r="L1058" s="66">
        <v>38.5</v>
      </c>
      <c r="M1058" s="27" t="s">
        <v>1805</v>
      </c>
      <c r="N1058" s="27">
        <v>7.0</v>
      </c>
      <c r="O1058" s="27"/>
      <c r="P1058" s="27">
        <v>7.0</v>
      </c>
      <c r="Q1058" s="27"/>
      <c r="R1058" s="27">
        <v>7.0</v>
      </c>
      <c r="S1058" s="27"/>
      <c r="T1058" s="27">
        <v>7.0</v>
      </c>
      <c r="U1058" s="27"/>
      <c r="V1058" s="27">
        <v>7.0</v>
      </c>
      <c r="W1058" s="27"/>
      <c r="X1058" s="27">
        <v>7.0</v>
      </c>
      <c r="Y1058" s="27"/>
      <c r="Z1058" s="27">
        <v>7.0</v>
      </c>
      <c r="AA1058" s="27"/>
      <c r="AB1058" s="27">
        <v>7.0</v>
      </c>
      <c r="AC1058" s="27"/>
      <c r="AD1058" s="27">
        <v>7.0</v>
      </c>
      <c r="AE1058" s="27"/>
      <c r="AF1058" s="27">
        <v>7.0</v>
      </c>
      <c r="AG1058" s="27"/>
      <c r="AH1058" s="27">
        <v>105.0</v>
      </c>
      <c r="AI1058" s="27">
        <v>203.0</v>
      </c>
      <c r="AJ1058" s="27">
        <v>2.0</v>
      </c>
      <c r="AK1058" s="27" t="b">
        <v>1</v>
      </c>
      <c r="AL1058" s="27">
        <v>100.0</v>
      </c>
      <c r="AM1058" s="27" t="s">
        <v>129</v>
      </c>
      <c r="AN1058" s="27" t="s">
        <v>405</v>
      </c>
      <c r="AO1058" s="27"/>
    </row>
    <row r="1059">
      <c r="A1059" s="200">
        <v>44852.025106597226</v>
      </c>
      <c r="B1059" s="19" t="s">
        <v>109</v>
      </c>
      <c r="C1059" s="21" t="s">
        <v>400</v>
      </c>
      <c r="D1059" s="62">
        <v>3.0</v>
      </c>
      <c r="E1059" s="27">
        <v>3.0</v>
      </c>
      <c r="F1059" s="27" t="s">
        <v>1824</v>
      </c>
      <c r="G1059" s="201" t="s">
        <v>57</v>
      </c>
      <c r="H1059" s="27" t="s">
        <v>138</v>
      </c>
      <c r="I1059" s="27"/>
      <c r="J1059" s="33">
        <v>-18.0</v>
      </c>
      <c r="K1059" s="33">
        <v>-16.5</v>
      </c>
      <c r="L1059" s="66">
        <v>54.5</v>
      </c>
      <c r="M1059" s="27" t="s">
        <v>1825</v>
      </c>
      <c r="N1059" s="27">
        <v>-16.5</v>
      </c>
      <c r="O1059" s="27"/>
      <c r="P1059" s="27">
        <v>-16.5</v>
      </c>
      <c r="Q1059" s="27"/>
      <c r="R1059" s="27">
        <v>-16.5</v>
      </c>
      <c r="S1059" s="27"/>
      <c r="T1059" s="27">
        <v>-17.0</v>
      </c>
      <c r="U1059" s="27"/>
      <c r="V1059" s="27">
        <v>-16.5</v>
      </c>
      <c r="W1059" s="27"/>
      <c r="X1059" s="27">
        <v>-16.5</v>
      </c>
      <c r="Y1059" s="27"/>
      <c r="Z1059" s="27">
        <v>-16.5</v>
      </c>
      <c r="AA1059" s="27"/>
      <c r="AB1059" s="27">
        <v>-16.5</v>
      </c>
      <c r="AC1059" s="27"/>
      <c r="AD1059" s="27">
        <v>-17.0</v>
      </c>
      <c r="AE1059" s="27"/>
      <c r="AF1059" s="27">
        <v>-17.0</v>
      </c>
      <c r="AG1059" s="27"/>
      <c r="AH1059" s="27">
        <v>142.0</v>
      </c>
      <c r="AI1059" s="27">
        <v>132.0</v>
      </c>
      <c r="AJ1059" s="27">
        <v>2.0</v>
      </c>
      <c r="AK1059" s="27" t="b">
        <v>1</v>
      </c>
      <c r="AL1059" s="27">
        <v>100.0</v>
      </c>
      <c r="AM1059" s="27" t="s">
        <v>187</v>
      </c>
      <c r="AN1059" s="27" t="s">
        <v>404</v>
      </c>
      <c r="AO1059" s="27"/>
    </row>
    <row r="1060">
      <c r="A1060" s="200">
        <v>44852.025106597226</v>
      </c>
      <c r="B1060" s="19" t="s">
        <v>109</v>
      </c>
      <c r="C1060" s="21" t="s">
        <v>360</v>
      </c>
      <c r="D1060" s="62">
        <v>5.0</v>
      </c>
      <c r="E1060" s="27">
        <v>2.0</v>
      </c>
      <c r="F1060" s="27" t="s">
        <v>1844</v>
      </c>
      <c r="G1060" s="201" t="s">
        <v>57</v>
      </c>
      <c r="H1060" s="27" t="s">
        <v>144</v>
      </c>
      <c r="I1060" s="27"/>
      <c r="J1060" s="33">
        <v>3.0</v>
      </c>
      <c r="K1060" s="33">
        <v>1.5</v>
      </c>
      <c r="L1060" s="66">
        <v>51.5</v>
      </c>
      <c r="M1060" s="27" t="s">
        <v>1845</v>
      </c>
      <c r="N1060" s="27">
        <v>2.5</v>
      </c>
      <c r="O1060" s="27"/>
      <c r="P1060" s="27">
        <v>2.0</v>
      </c>
      <c r="Q1060" s="27"/>
      <c r="R1060" s="27">
        <v>2.5</v>
      </c>
      <c r="S1060" s="27"/>
      <c r="T1060" s="27">
        <v>1.5</v>
      </c>
      <c r="U1060" s="27"/>
      <c r="V1060" s="27">
        <v>2.0</v>
      </c>
      <c r="W1060" s="27"/>
      <c r="X1060" s="27">
        <v>2.0</v>
      </c>
      <c r="Y1060" s="27"/>
      <c r="Z1060" s="27">
        <v>2.0</v>
      </c>
      <c r="AA1060" s="27"/>
      <c r="AB1060" s="27">
        <v>3.0</v>
      </c>
      <c r="AC1060" s="27"/>
      <c r="AD1060" s="27">
        <v>1.5</v>
      </c>
      <c r="AE1060" s="27"/>
      <c r="AF1060" s="27">
        <v>1.5</v>
      </c>
      <c r="AG1060" s="27"/>
      <c r="AH1060" s="27">
        <v>236.0</v>
      </c>
      <c r="AI1060" s="27">
        <v>149.0</v>
      </c>
      <c r="AJ1060" s="27">
        <v>2.0</v>
      </c>
      <c r="AK1060" s="27" t="b">
        <v>1</v>
      </c>
      <c r="AL1060" s="27">
        <v>100.0</v>
      </c>
      <c r="AM1060" s="27" t="s">
        <v>192</v>
      </c>
      <c r="AN1060" s="27" t="s">
        <v>404</v>
      </c>
      <c r="AO1060" s="27"/>
    </row>
    <row r="1061">
      <c r="A1061" s="200">
        <v>44852.025106597226</v>
      </c>
      <c r="B1061" s="19" t="s">
        <v>109</v>
      </c>
      <c r="C1061" s="21" t="s">
        <v>343</v>
      </c>
      <c r="D1061" s="62">
        <v>3.0</v>
      </c>
      <c r="E1061" s="27">
        <v>4.0</v>
      </c>
      <c r="F1061" s="27" t="s">
        <v>1810</v>
      </c>
      <c r="G1061" s="201" t="s">
        <v>57</v>
      </c>
      <c r="H1061" s="27" t="s">
        <v>178</v>
      </c>
      <c r="I1061" s="27"/>
      <c r="J1061" s="33">
        <v>5.5</v>
      </c>
      <c r="K1061" s="33">
        <v>7.5</v>
      </c>
      <c r="L1061" s="66">
        <v>67.5</v>
      </c>
      <c r="M1061" s="27" t="s">
        <v>1811</v>
      </c>
      <c r="N1061" s="27">
        <v>7.5</v>
      </c>
      <c r="O1061" s="27"/>
      <c r="P1061" s="27">
        <v>7.5</v>
      </c>
      <c r="Q1061" s="27"/>
      <c r="R1061" s="27">
        <v>7.5</v>
      </c>
      <c r="S1061" s="27"/>
      <c r="T1061" s="27">
        <v>8.0</v>
      </c>
      <c r="U1061" s="27"/>
      <c r="V1061" s="27">
        <v>7.5</v>
      </c>
      <c r="W1061" s="27"/>
      <c r="X1061" s="27">
        <v>7.5</v>
      </c>
      <c r="Y1061" s="27"/>
      <c r="Z1061" s="27">
        <v>7.5</v>
      </c>
      <c r="AA1061" s="27"/>
      <c r="AB1061" s="27">
        <v>7.5</v>
      </c>
      <c r="AC1061" s="27"/>
      <c r="AD1061" s="27">
        <v>8.0</v>
      </c>
      <c r="AE1061" s="27"/>
      <c r="AF1061" s="27">
        <v>8.0</v>
      </c>
      <c r="AG1061" s="27"/>
      <c r="AH1061" s="27">
        <v>196.0</v>
      </c>
      <c r="AI1061" s="27">
        <v>221.0</v>
      </c>
      <c r="AJ1061" s="27">
        <v>2.0</v>
      </c>
      <c r="AK1061" s="27" t="b">
        <v>0</v>
      </c>
      <c r="AL1061" s="27">
        <v>100.0</v>
      </c>
      <c r="AM1061" s="27" t="s">
        <v>189</v>
      </c>
      <c r="AN1061" s="27" t="s">
        <v>405</v>
      </c>
      <c r="AO1061" s="27"/>
    </row>
    <row r="1062">
      <c r="A1062" s="200">
        <v>44852.025106597226</v>
      </c>
      <c r="B1062" s="19" t="s">
        <v>109</v>
      </c>
      <c r="C1062" s="21" t="s">
        <v>344</v>
      </c>
      <c r="D1062" s="62">
        <v>4.0</v>
      </c>
      <c r="E1062" s="27">
        <v>3.0</v>
      </c>
      <c r="F1062" s="27" t="s">
        <v>1846</v>
      </c>
      <c r="G1062" s="201" t="s">
        <v>57</v>
      </c>
      <c r="H1062" s="27" t="s">
        <v>148</v>
      </c>
      <c r="I1062" s="27"/>
      <c r="J1062" s="33">
        <v>-16.5</v>
      </c>
      <c r="K1062" s="33">
        <v>-17.0</v>
      </c>
      <c r="L1062" s="66">
        <v>47.0</v>
      </c>
      <c r="M1062" s="27" t="s">
        <v>1257</v>
      </c>
      <c r="N1062" s="27">
        <v>-17.0</v>
      </c>
      <c r="O1062" s="27"/>
      <c r="P1062" s="27">
        <v>-17.0</v>
      </c>
      <c r="Q1062" s="27"/>
      <c r="R1062" s="27">
        <v>-17.0</v>
      </c>
      <c r="S1062" s="27"/>
      <c r="T1062" s="27">
        <v>-17.0</v>
      </c>
      <c r="U1062" s="27"/>
      <c r="V1062" s="27">
        <v>-17.0</v>
      </c>
      <c r="W1062" s="27"/>
      <c r="X1062" s="27">
        <v>-17.0</v>
      </c>
      <c r="Y1062" s="27"/>
      <c r="Z1062" s="27">
        <v>-17.0</v>
      </c>
      <c r="AA1062" s="27"/>
      <c r="AB1062" s="27">
        <v>-17.0</v>
      </c>
      <c r="AC1062" s="27"/>
      <c r="AD1062" s="27">
        <v>-17.0</v>
      </c>
      <c r="AE1062" s="27"/>
      <c r="AF1062" s="27" t="s">
        <v>1091</v>
      </c>
      <c r="AG1062" s="27" t="s">
        <v>1091</v>
      </c>
      <c r="AH1062" s="27">
        <v>213.0</v>
      </c>
      <c r="AI1062" s="27">
        <v>171.0</v>
      </c>
      <c r="AJ1062" s="27">
        <v>2.0</v>
      </c>
      <c r="AK1062" s="27" t="b">
        <v>1</v>
      </c>
      <c r="AL1062" s="27">
        <v>100.0</v>
      </c>
      <c r="AM1062" s="27" t="s">
        <v>190</v>
      </c>
      <c r="AN1062" s="27" t="s">
        <v>405</v>
      </c>
      <c r="AO1062" s="27"/>
    </row>
    <row r="1063">
      <c r="A1063" s="200">
        <v>44852.025106597226</v>
      </c>
      <c r="B1063" s="19" t="s">
        <v>109</v>
      </c>
      <c r="C1063" s="21" t="s">
        <v>375</v>
      </c>
      <c r="D1063" s="62">
        <v>5.0</v>
      </c>
      <c r="E1063" s="27">
        <v>1.0</v>
      </c>
      <c r="F1063" s="27" t="s">
        <v>1819</v>
      </c>
      <c r="G1063" s="201" t="s">
        <v>57</v>
      </c>
      <c r="H1063" s="27" t="s">
        <v>59</v>
      </c>
      <c r="I1063" s="27"/>
      <c r="J1063" s="33">
        <v>7.0</v>
      </c>
      <c r="K1063" s="33">
        <v>7.0</v>
      </c>
      <c r="L1063" s="66">
        <v>49.0</v>
      </c>
      <c r="M1063" s="27" t="s">
        <v>1820</v>
      </c>
      <c r="N1063" s="27">
        <v>7.0</v>
      </c>
      <c r="O1063" s="27"/>
      <c r="P1063" s="27">
        <v>7.0</v>
      </c>
      <c r="Q1063" s="27"/>
      <c r="R1063" s="27">
        <v>7.0</v>
      </c>
      <c r="S1063" s="27"/>
      <c r="T1063" s="27">
        <v>7.0</v>
      </c>
      <c r="U1063" s="27"/>
      <c r="V1063" s="27">
        <v>7.0</v>
      </c>
      <c r="W1063" s="27"/>
      <c r="X1063" s="27">
        <v>7.0</v>
      </c>
      <c r="Y1063" s="27"/>
      <c r="Z1063" s="27">
        <v>7.0</v>
      </c>
      <c r="AA1063" s="27"/>
      <c r="AB1063" s="27">
        <v>7.0</v>
      </c>
      <c r="AC1063" s="27"/>
      <c r="AD1063" s="27">
        <v>7.0</v>
      </c>
      <c r="AE1063" s="27"/>
      <c r="AF1063" s="27">
        <v>7.0</v>
      </c>
      <c r="AG1063" s="27"/>
      <c r="AH1063" s="27">
        <v>189.0</v>
      </c>
      <c r="AI1063" s="27">
        <v>115.0</v>
      </c>
      <c r="AJ1063" s="27">
        <v>2.0</v>
      </c>
      <c r="AK1063" s="27" t="b">
        <v>1</v>
      </c>
      <c r="AL1063" s="27">
        <v>100.0</v>
      </c>
      <c r="AM1063" s="27" t="s">
        <v>188</v>
      </c>
      <c r="AN1063" s="27" t="s">
        <v>404</v>
      </c>
      <c r="AO1063" s="27"/>
    </row>
    <row r="1064">
      <c r="A1064" s="200">
        <v>44852.025106597226</v>
      </c>
      <c r="B1064" s="19" t="s">
        <v>109</v>
      </c>
      <c r="C1064" s="21" t="s">
        <v>292</v>
      </c>
      <c r="D1064" s="62">
        <v>3.0</v>
      </c>
      <c r="E1064" s="27">
        <v>3.0</v>
      </c>
      <c r="F1064" s="27" t="s">
        <v>1847</v>
      </c>
      <c r="G1064" s="201" t="s">
        <v>57</v>
      </c>
      <c r="H1064" s="27" t="s">
        <v>166</v>
      </c>
      <c r="I1064" s="27"/>
      <c r="J1064" s="33">
        <v>6.5</v>
      </c>
      <c r="K1064" s="33">
        <v>10.5</v>
      </c>
      <c r="L1064" s="66">
        <v>46.5</v>
      </c>
      <c r="M1064" s="27" t="s">
        <v>1848</v>
      </c>
      <c r="N1064" s="27">
        <v>10.5</v>
      </c>
      <c r="O1064" s="27"/>
      <c r="P1064" s="27">
        <v>10.5</v>
      </c>
      <c r="Q1064" s="27"/>
      <c r="R1064" s="27">
        <v>10.5</v>
      </c>
      <c r="S1064" s="27"/>
      <c r="T1064" s="27">
        <v>10.0</v>
      </c>
      <c r="U1064" s="27"/>
      <c r="V1064" s="27">
        <v>10.5</v>
      </c>
      <c r="W1064" s="27"/>
      <c r="X1064" s="27">
        <v>10.5</v>
      </c>
      <c r="Y1064" s="27"/>
      <c r="Z1064" s="27">
        <v>10.5</v>
      </c>
      <c r="AA1064" s="27"/>
      <c r="AB1064" s="27">
        <v>10.5</v>
      </c>
      <c r="AC1064" s="27"/>
      <c r="AD1064" s="27">
        <v>10.0</v>
      </c>
      <c r="AE1064" s="27"/>
      <c r="AF1064" s="27">
        <v>10.0</v>
      </c>
      <c r="AG1064" s="27"/>
      <c r="AH1064" s="27">
        <v>151.0</v>
      </c>
      <c r="AI1064" s="27">
        <v>115.0</v>
      </c>
      <c r="AJ1064" s="27">
        <v>2.0</v>
      </c>
      <c r="AK1064" s="27" t="b">
        <v>0</v>
      </c>
      <c r="AL1064" s="27">
        <v>100.0</v>
      </c>
      <c r="AM1064" s="27" t="s">
        <v>193</v>
      </c>
      <c r="AN1064" s="27" t="s">
        <v>405</v>
      </c>
      <c r="AO1064" s="27"/>
    </row>
    <row r="1065">
      <c r="A1065" s="200">
        <v>44852.025106597226</v>
      </c>
      <c r="B1065" s="19" t="s">
        <v>109</v>
      </c>
      <c r="C1065" s="21" t="s">
        <v>339</v>
      </c>
      <c r="D1065" s="62">
        <v>4.0</v>
      </c>
      <c r="E1065" s="27">
        <v>3.0</v>
      </c>
      <c r="F1065" s="27" t="s">
        <v>1849</v>
      </c>
      <c r="G1065" s="201" t="s">
        <v>183</v>
      </c>
      <c r="H1065" s="27" t="s">
        <v>144</v>
      </c>
      <c r="I1065" s="27"/>
      <c r="J1065" s="33">
        <v>3.0</v>
      </c>
      <c r="K1065" s="33">
        <v>5.5</v>
      </c>
      <c r="L1065" s="66">
        <v>62.5</v>
      </c>
      <c r="M1065" s="27" t="s">
        <v>1850</v>
      </c>
      <c r="N1065" s="27">
        <v>6.0</v>
      </c>
      <c r="O1065" s="27"/>
      <c r="P1065" s="27">
        <v>5.5</v>
      </c>
      <c r="Q1065" s="27"/>
      <c r="R1065" s="27">
        <v>5.5</v>
      </c>
      <c r="S1065" s="27"/>
      <c r="T1065" s="27">
        <v>5.5</v>
      </c>
      <c r="U1065" s="27"/>
      <c r="V1065" s="27">
        <v>5.5</v>
      </c>
      <c r="W1065" s="27"/>
      <c r="X1065" s="27">
        <v>5.5</v>
      </c>
      <c r="Y1065" s="27"/>
      <c r="Z1065" s="27">
        <v>6.0</v>
      </c>
      <c r="AA1065" s="27"/>
      <c r="AB1065" s="27">
        <v>5.5</v>
      </c>
      <c r="AC1065" s="27"/>
      <c r="AD1065" s="27">
        <v>5.5</v>
      </c>
      <c r="AE1065" s="27"/>
      <c r="AF1065" s="27">
        <v>5.5</v>
      </c>
      <c r="AG1065" s="27"/>
      <c r="AH1065" s="27">
        <v>249.0</v>
      </c>
      <c r="AI1065" s="27">
        <v>211.0</v>
      </c>
      <c r="AJ1065" s="27">
        <v>2.0</v>
      </c>
      <c r="AK1065" s="27" t="b">
        <v>0</v>
      </c>
      <c r="AL1065" s="27">
        <v>100.0</v>
      </c>
      <c r="AM1065" s="27" t="s">
        <v>389</v>
      </c>
      <c r="AN1065" s="27" t="s">
        <v>405</v>
      </c>
      <c r="AO1065" s="27"/>
    </row>
    <row r="1066">
      <c r="A1066" s="200">
        <v>44852.025106597226</v>
      </c>
      <c r="B1066" s="19"/>
      <c r="C1066" s="21"/>
      <c r="D1066" s="62"/>
      <c r="E1066" s="27"/>
      <c r="F1066" s="27"/>
      <c r="G1066" s="201"/>
      <c r="H1066" s="27"/>
      <c r="I1066" s="27"/>
      <c r="J1066" s="33"/>
      <c r="K1066" s="33"/>
      <c r="L1066" s="66"/>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t="e">
        <v>#N/A</v>
      </c>
      <c r="AN1066" s="27" t="e">
        <v>#N/A</v>
      </c>
      <c r="AO1066" s="27"/>
    </row>
    <row r="1067">
      <c r="A1067" s="200">
        <v>44852.025106597226</v>
      </c>
      <c r="B1067" s="19" t="s">
        <v>144</v>
      </c>
      <c r="C1067" s="21" t="s">
        <v>345</v>
      </c>
      <c r="D1067" s="62">
        <v>2.0</v>
      </c>
      <c r="E1067" s="27">
        <v>4.0</v>
      </c>
      <c r="F1067" s="27" t="s">
        <v>1835</v>
      </c>
      <c r="G1067" s="201" t="s">
        <v>57</v>
      </c>
      <c r="H1067" s="27" t="s">
        <v>141</v>
      </c>
      <c r="I1067" s="27"/>
      <c r="J1067" s="33">
        <v>3.5</v>
      </c>
      <c r="K1067" s="33">
        <v>7.0</v>
      </c>
      <c r="L1067" s="66">
        <v>46.5</v>
      </c>
      <c r="M1067" s="27" t="s">
        <v>1356</v>
      </c>
      <c r="N1067" s="27">
        <v>7.0</v>
      </c>
      <c r="O1067" s="27"/>
      <c r="P1067" s="27">
        <v>7.0</v>
      </c>
      <c r="Q1067" s="27"/>
      <c r="R1067" s="27">
        <v>7.0</v>
      </c>
      <c r="S1067" s="27"/>
      <c r="T1067" s="27">
        <v>7.5</v>
      </c>
      <c r="U1067" s="27"/>
      <c r="V1067" s="27">
        <v>7.0</v>
      </c>
      <c r="W1067" s="27"/>
      <c r="X1067" s="27">
        <v>7.0</v>
      </c>
      <c r="Y1067" s="27"/>
      <c r="Z1067" s="27">
        <v>7.0</v>
      </c>
      <c r="AA1067" s="27"/>
      <c r="AB1067" s="27">
        <v>7.0</v>
      </c>
      <c r="AC1067" s="27"/>
      <c r="AD1067" s="27">
        <v>7.5</v>
      </c>
      <c r="AE1067" s="27"/>
      <c r="AF1067" s="27">
        <v>7.5</v>
      </c>
      <c r="AG1067" s="27"/>
      <c r="AH1067" s="27">
        <v>135.0</v>
      </c>
      <c r="AI1067" s="27">
        <v>156.0</v>
      </c>
      <c r="AJ1067" s="27">
        <v>2.0</v>
      </c>
      <c r="AK1067" s="27" t="b">
        <v>0</v>
      </c>
      <c r="AL1067" s="27">
        <v>100.0</v>
      </c>
      <c r="AM1067" s="27" t="s">
        <v>129</v>
      </c>
      <c r="AN1067" s="27" t="s">
        <v>405</v>
      </c>
      <c r="AO1067" s="27"/>
    </row>
    <row r="1068">
      <c r="A1068" s="200">
        <v>44852.025106597226</v>
      </c>
      <c r="B1068" s="19" t="s">
        <v>144</v>
      </c>
      <c r="C1068" s="21" t="s">
        <v>346</v>
      </c>
      <c r="D1068" s="62">
        <v>4.0</v>
      </c>
      <c r="E1068" s="27">
        <v>3.0</v>
      </c>
      <c r="F1068" s="27" t="s">
        <v>1844</v>
      </c>
      <c r="G1068" s="201" t="s">
        <v>57</v>
      </c>
      <c r="H1068" s="27" t="s">
        <v>109</v>
      </c>
      <c r="I1068" s="27"/>
      <c r="J1068" s="33">
        <v>-3.0</v>
      </c>
      <c r="K1068" s="33">
        <v>-1.5</v>
      </c>
      <c r="L1068" s="66">
        <v>51.5</v>
      </c>
      <c r="M1068" s="27" t="s">
        <v>1845</v>
      </c>
      <c r="N1068" s="27">
        <v>-2.5</v>
      </c>
      <c r="O1068" s="27"/>
      <c r="P1068" s="27">
        <v>-2.0</v>
      </c>
      <c r="Q1068" s="27"/>
      <c r="R1068" s="27">
        <v>-2.5</v>
      </c>
      <c r="S1068" s="27"/>
      <c r="T1068" s="27">
        <v>-1.5</v>
      </c>
      <c r="U1068" s="27"/>
      <c r="V1068" s="27">
        <v>-2.0</v>
      </c>
      <c r="W1068" s="27"/>
      <c r="X1068" s="27">
        <v>-2.0</v>
      </c>
      <c r="Y1068" s="27"/>
      <c r="Z1068" s="27">
        <v>-2.0</v>
      </c>
      <c r="AA1068" s="27"/>
      <c r="AB1068" s="27">
        <v>-3.0</v>
      </c>
      <c r="AC1068" s="27"/>
      <c r="AD1068" s="27">
        <v>-1.5</v>
      </c>
      <c r="AE1068" s="27"/>
      <c r="AF1068" s="27">
        <v>-1.5</v>
      </c>
      <c r="AG1068" s="27"/>
      <c r="AH1068" s="27">
        <v>220.0</v>
      </c>
      <c r="AI1068" s="27">
        <v>197.0</v>
      </c>
      <c r="AJ1068" s="27">
        <v>2.0</v>
      </c>
      <c r="AK1068" s="27" t="b">
        <v>0</v>
      </c>
      <c r="AL1068" s="27">
        <v>100.0</v>
      </c>
      <c r="AM1068" s="27" t="s">
        <v>192</v>
      </c>
      <c r="AN1068" s="27" t="s">
        <v>404</v>
      </c>
      <c r="AO1068" s="27"/>
    </row>
    <row r="1069">
      <c r="A1069" s="200">
        <v>44852.025106597226</v>
      </c>
      <c r="B1069" s="19" t="s">
        <v>144</v>
      </c>
      <c r="C1069" s="21" t="s">
        <v>338</v>
      </c>
      <c r="D1069" s="62">
        <v>3.0</v>
      </c>
      <c r="E1069" s="27">
        <v>3.0</v>
      </c>
      <c r="F1069" s="27" t="s">
        <v>1851</v>
      </c>
      <c r="G1069" s="201" t="s">
        <v>57</v>
      </c>
      <c r="H1069" s="27" t="s">
        <v>154</v>
      </c>
      <c r="I1069" s="27"/>
      <c r="J1069" s="33" t="s">
        <v>1091</v>
      </c>
      <c r="K1069" s="33" t="s">
        <v>1091</v>
      </c>
      <c r="L1069" s="26" t="s">
        <v>1091</v>
      </c>
      <c r="M1069" s="27" t="s">
        <v>1091</v>
      </c>
      <c r="N1069" s="27" t="s">
        <v>1091</v>
      </c>
      <c r="O1069" s="27" t="s">
        <v>1091</v>
      </c>
      <c r="P1069" s="27" t="s">
        <v>1091</v>
      </c>
      <c r="Q1069" s="27" t="s">
        <v>1091</v>
      </c>
      <c r="R1069" s="27" t="s">
        <v>1091</v>
      </c>
      <c r="S1069" s="27" t="s">
        <v>1091</v>
      </c>
      <c r="T1069" s="27" t="s">
        <v>1091</v>
      </c>
      <c r="U1069" s="27" t="s">
        <v>1091</v>
      </c>
      <c r="V1069" s="27" t="s">
        <v>1091</v>
      </c>
      <c r="W1069" s="27" t="s">
        <v>1091</v>
      </c>
      <c r="X1069" s="27" t="s">
        <v>1091</v>
      </c>
      <c r="Y1069" s="27" t="s">
        <v>1091</v>
      </c>
      <c r="Z1069" s="27" t="s">
        <v>1091</v>
      </c>
      <c r="AA1069" s="27" t="s">
        <v>1091</v>
      </c>
      <c r="AB1069" s="27" t="s">
        <v>1091</v>
      </c>
      <c r="AC1069" s="27" t="s">
        <v>1091</v>
      </c>
      <c r="AD1069" s="27" t="s">
        <v>1091</v>
      </c>
      <c r="AE1069" s="27" t="s">
        <v>1091</v>
      </c>
      <c r="AF1069" s="27" t="s">
        <v>1091</v>
      </c>
      <c r="AG1069" s="27" t="s">
        <v>1091</v>
      </c>
      <c r="AH1069" s="27">
        <v>155.0</v>
      </c>
      <c r="AI1069" s="27">
        <v>139.0</v>
      </c>
      <c r="AJ1069" s="27">
        <v>2.0</v>
      </c>
      <c r="AK1069" s="27" t="b">
        <v>0</v>
      </c>
      <c r="AL1069" s="27">
        <v>100.0</v>
      </c>
      <c r="AM1069" s="27" t="s">
        <v>189</v>
      </c>
      <c r="AN1069" s="27" t="s">
        <v>405</v>
      </c>
      <c r="AO1069" s="27"/>
    </row>
    <row r="1070">
      <c r="A1070" s="200">
        <v>44852.025106597226</v>
      </c>
      <c r="B1070" s="19" t="s">
        <v>144</v>
      </c>
      <c r="C1070" s="21" t="s">
        <v>359</v>
      </c>
      <c r="D1070" s="62">
        <v>2.0</v>
      </c>
      <c r="E1070" s="27">
        <v>5.0</v>
      </c>
      <c r="F1070" s="27" t="s">
        <v>1812</v>
      </c>
      <c r="G1070" s="201" t="s">
        <v>57</v>
      </c>
      <c r="H1070" s="27" t="s">
        <v>178</v>
      </c>
      <c r="I1070" s="27"/>
      <c r="J1070" s="33">
        <v>8.0</v>
      </c>
      <c r="K1070" s="33">
        <v>7.5</v>
      </c>
      <c r="L1070" s="66">
        <v>62.0</v>
      </c>
      <c r="M1070" s="27" t="s">
        <v>1330</v>
      </c>
      <c r="N1070" s="27">
        <v>7.5</v>
      </c>
      <c r="O1070" s="27"/>
      <c r="P1070" s="27">
        <v>7.0</v>
      </c>
      <c r="Q1070" s="27"/>
      <c r="R1070" s="27">
        <v>7.0</v>
      </c>
      <c r="S1070" s="27"/>
      <c r="T1070" s="27">
        <v>7.5</v>
      </c>
      <c r="U1070" s="27"/>
      <c r="V1070" s="27">
        <v>7.0</v>
      </c>
      <c r="W1070" s="27"/>
      <c r="X1070" s="27">
        <v>7.0</v>
      </c>
      <c r="Y1070" s="27"/>
      <c r="Z1070" s="27">
        <v>7.0</v>
      </c>
      <c r="AA1070" s="27"/>
      <c r="AB1070" s="27">
        <v>7.5</v>
      </c>
      <c r="AC1070" s="27"/>
      <c r="AD1070" s="27">
        <v>7.5</v>
      </c>
      <c r="AE1070" s="27"/>
      <c r="AF1070" s="27" t="s">
        <v>1091</v>
      </c>
      <c r="AG1070" s="27" t="s">
        <v>1091</v>
      </c>
      <c r="AH1070" s="27">
        <v>194.0</v>
      </c>
      <c r="AI1070" s="27">
        <v>230.0</v>
      </c>
      <c r="AJ1070" s="27">
        <v>2.0</v>
      </c>
      <c r="AK1070" s="27" t="b">
        <v>1</v>
      </c>
      <c r="AL1070" s="27">
        <v>100.0</v>
      </c>
      <c r="AM1070" s="27" t="s">
        <v>190</v>
      </c>
      <c r="AN1070" s="27" t="s">
        <v>405</v>
      </c>
      <c r="AO1070" s="27"/>
    </row>
    <row r="1071">
      <c r="A1071" s="200">
        <v>44852.025106597226</v>
      </c>
      <c r="B1071" s="19" t="s">
        <v>144</v>
      </c>
      <c r="C1071" s="21" t="s">
        <v>357</v>
      </c>
      <c r="D1071" s="62">
        <v>3.0</v>
      </c>
      <c r="E1071" s="27">
        <v>3.0</v>
      </c>
      <c r="F1071" s="27" t="s">
        <v>1852</v>
      </c>
      <c r="G1071" s="201" t="s">
        <v>57</v>
      </c>
      <c r="H1071" s="27" t="s">
        <v>148</v>
      </c>
      <c r="I1071" s="27"/>
      <c r="J1071" s="33">
        <v>-5.5</v>
      </c>
      <c r="K1071" s="33">
        <v>-8.5</v>
      </c>
      <c r="L1071" s="66">
        <v>47.5</v>
      </c>
      <c r="M1071" s="27" t="s">
        <v>1853</v>
      </c>
      <c r="N1071" s="27">
        <v>-8.5</v>
      </c>
      <c r="O1071" s="27"/>
      <c r="P1071" s="27">
        <v>-9.0</v>
      </c>
      <c r="Q1071" s="27"/>
      <c r="R1071" s="27">
        <v>-9.0</v>
      </c>
      <c r="S1071" s="27"/>
      <c r="T1071" s="27">
        <v>-8.5</v>
      </c>
      <c r="U1071" s="27"/>
      <c r="V1071" s="27">
        <v>-9.0</v>
      </c>
      <c r="W1071" s="27"/>
      <c r="X1071" s="27">
        <v>-9.5</v>
      </c>
      <c r="Y1071" s="27"/>
      <c r="Z1071" s="27">
        <v>-8.5</v>
      </c>
      <c r="AA1071" s="27"/>
      <c r="AB1071" s="27">
        <v>-8.5</v>
      </c>
      <c r="AC1071" s="27"/>
      <c r="AD1071" s="27">
        <v>-8.5</v>
      </c>
      <c r="AE1071" s="27"/>
      <c r="AF1071" s="27">
        <v>-8.5</v>
      </c>
      <c r="AG1071" s="27"/>
      <c r="AH1071" s="27">
        <v>184.0</v>
      </c>
      <c r="AI1071" s="27">
        <v>123.0</v>
      </c>
      <c r="AJ1071" s="27">
        <v>2.0</v>
      </c>
      <c r="AK1071" s="27" t="b">
        <v>1</v>
      </c>
      <c r="AL1071" s="27">
        <v>100.0</v>
      </c>
      <c r="AM1071" s="27" t="s">
        <v>186</v>
      </c>
      <c r="AN1071" s="27" t="s">
        <v>404</v>
      </c>
      <c r="AO1071" s="27"/>
    </row>
    <row r="1072">
      <c r="A1072" s="200">
        <v>44852.025106597226</v>
      </c>
      <c r="B1072" s="19" t="s">
        <v>144</v>
      </c>
      <c r="C1072" s="21" t="s">
        <v>300</v>
      </c>
      <c r="D1072" s="62">
        <v>6.0</v>
      </c>
      <c r="E1072" s="27">
        <v>1.0</v>
      </c>
      <c r="F1072" s="27" t="s">
        <v>1789</v>
      </c>
      <c r="G1072" s="201" t="s">
        <v>57</v>
      </c>
      <c r="H1072" s="27" t="s">
        <v>53</v>
      </c>
      <c r="I1072" s="27"/>
      <c r="J1072" s="33">
        <v>-11.0</v>
      </c>
      <c r="K1072" s="33">
        <v>-11.0</v>
      </c>
      <c r="L1072" s="66">
        <v>58.5</v>
      </c>
      <c r="M1072" s="27" t="s">
        <v>1854</v>
      </c>
      <c r="N1072" s="27">
        <v>-11.5</v>
      </c>
      <c r="O1072" s="27"/>
      <c r="P1072" s="27">
        <v>-11.5</v>
      </c>
      <c r="Q1072" s="27"/>
      <c r="R1072" s="27">
        <v>-11.0</v>
      </c>
      <c r="S1072" s="27"/>
      <c r="T1072" s="27">
        <v>-11.0</v>
      </c>
      <c r="U1072" s="27"/>
      <c r="V1072" s="27">
        <v>-11.0</v>
      </c>
      <c r="W1072" s="27"/>
      <c r="X1072" s="27">
        <v>-10.5</v>
      </c>
      <c r="Y1072" s="27"/>
      <c r="Z1072" s="27">
        <v>-12.0</v>
      </c>
      <c r="AA1072" s="27"/>
      <c r="AB1072" s="27">
        <v>-12.5</v>
      </c>
      <c r="AC1072" s="27"/>
      <c r="AD1072" s="27">
        <v>-11.0</v>
      </c>
      <c r="AE1072" s="27"/>
      <c r="AF1072" s="27">
        <v>-11.0</v>
      </c>
      <c r="AG1072" s="27"/>
      <c r="AH1072" s="27">
        <v>231.0</v>
      </c>
      <c r="AI1072" s="27">
        <v>205.0</v>
      </c>
      <c r="AJ1072" s="27">
        <v>2.0</v>
      </c>
      <c r="AK1072" s="27" t="b">
        <v>0</v>
      </c>
      <c r="AL1072" s="27">
        <v>100.0</v>
      </c>
      <c r="AM1072" s="27" t="s">
        <v>193</v>
      </c>
      <c r="AN1072" s="27" t="s">
        <v>405</v>
      </c>
      <c r="AO1072" s="27"/>
    </row>
    <row r="1073">
      <c r="A1073" s="200">
        <v>44852.025106597226</v>
      </c>
      <c r="B1073" s="19" t="s">
        <v>144</v>
      </c>
      <c r="C1073" s="21" t="s">
        <v>321</v>
      </c>
      <c r="D1073" s="62">
        <v>6.0</v>
      </c>
      <c r="E1073" s="27">
        <v>1.0</v>
      </c>
      <c r="F1073" s="27" t="s">
        <v>1813</v>
      </c>
      <c r="G1073" s="201" t="s">
        <v>57</v>
      </c>
      <c r="H1073" s="27" t="s">
        <v>178</v>
      </c>
      <c r="I1073" s="27"/>
      <c r="J1073" s="33">
        <v>1.0</v>
      </c>
      <c r="K1073" s="33">
        <v>4.5</v>
      </c>
      <c r="L1073" s="66">
        <v>39.5</v>
      </c>
      <c r="M1073" s="27" t="s">
        <v>1814</v>
      </c>
      <c r="N1073" s="27">
        <v>4.0</v>
      </c>
      <c r="O1073" s="27"/>
      <c r="P1073" s="27">
        <v>4.5</v>
      </c>
      <c r="Q1073" s="27"/>
      <c r="R1073" s="27">
        <v>4.5</v>
      </c>
      <c r="S1073" s="27"/>
      <c r="T1073" s="27">
        <v>5.0</v>
      </c>
      <c r="U1073" s="27"/>
      <c r="V1073" s="27">
        <v>4.5</v>
      </c>
      <c r="W1073" s="27"/>
      <c r="X1073" s="27">
        <v>4.5</v>
      </c>
      <c r="Y1073" s="27"/>
      <c r="Z1073" s="27">
        <v>4.0</v>
      </c>
      <c r="AA1073" s="27"/>
      <c r="AB1073" s="27">
        <v>4.5</v>
      </c>
      <c r="AC1073" s="27"/>
      <c r="AD1073" s="27">
        <v>5.0</v>
      </c>
      <c r="AE1073" s="27"/>
      <c r="AF1073" s="27">
        <v>5.0</v>
      </c>
      <c r="AG1073" s="27"/>
      <c r="AH1073" s="27">
        <v>182.0</v>
      </c>
      <c r="AI1073" s="27">
        <v>62.0</v>
      </c>
      <c r="AJ1073" s="27">
        <v>2.0</v>
      </c>
      <c r="AK1073" s="27" t="b">
        <v>0</v>
      </c>
      <c r="AL1073" s="27">
        <v>100.0</v>
      </c>
      <c r="AM1073" s="27" t="s">
        <v>188</v>
      </c>
      <c r="AN1073" s="27" t="s">
        <v>404</v>
      </c>
      <c r="AO1073" s="27"/>
    </row>
    <row r="1074">
      <c r="A1074" s="200">
        <v>44852.025106597226</v>
      </c>
      <c r="B1074" s="19" t="s">
        <v>144</v>
      </c>
      <c r="C1074" s="21" t="s">
        <v>371</v>
      </c>
      <c r="D1074" s="62">
        <v>3.0</v>
      </c>
      <c r="E1074" s="27">
        <v>3.0</v>
      </c>
      <c r="F1074" s="27" t="s">
        <v>1855</v>
      </c>
      <c r="G1074" s="201" t="s">
        <v>57</v>
      </c>
      <c r="H1074" s="27" t="s">
        <v>154</v>
      </c>
      <c r="I1074" s="27"/>
      <c r="J1074" s="33">
        <v>2.5</v>
      </c>
      <c r="K1074" s="33">
        <v>3.0</v>
      </c>
      <c r="L1074" s="66">
        <v>55.0</v>
      </c>
      <c r="M1074" s="27" t="s">
        <v>1856</v>
      </c>
      <c r="N1074" s="27">
        <v>3.0</v>
      </c>
      <c r="O1074" s="27"/>
      <c r="P1074" s="27">
        <v>3.0</v>
      </c>
      <c r="Q1074" s="27"/>
      <c r="R1074" s="27">
        <v>3.0</v>
      </c>
      <c r="S1074" s="27"/>
      <c r="T1074" s="27">
        <v>3.5</v>
      </c>
      <c r="U1074" s="27"/>
      <c r="V1074" s="27">
        <v>3.0</v>
      </c>
      <c r="W1074" s="27"/>
      <c r="X1074" s="27">
        <v>3.0</v>
      </c>
      <c r="Y1074" s="27"/>
      <c r="Z1074" s="27">
        <v>3.0</v>
      </c>
      <c r="AA1074" s="27"/>
      <c r="AB1074" s="27">
        <v>3.0</v>
      </c>
      <c r="AC1074" s="27"/>
      <c r="AD1074" s="27">
        <v>3.5</v>
      </c>
      <c r="AE1074" s="27"/>
      <c r="AF1074" s="27">
        <v>3.5</v>
      </c>
      <c r="AG1074" s="27"/>
      <c r="AH1074" s="27">
        <v>234.0</v>
      </c>
      <c r="AI1074" s="27">
        <v>188.0</v>
      </c>
      <c r="AJ1074" s="27">
        <v>2.0</v>
      </c>
      <c r="AK1074" s="27" t="b">
        <v>1</v>
      </c>
      <c r="AL1074" s="27">
        <v>100.0</v>
      </c>
      <c r="AM1074" s="27" t="s">
        <v>187</v>
      </c>
      <c r="AN1074" s="27" t="s">
        <v>404</v>
      </c>
      <c r="AO1074" s="27"/>
    </row>
    <row r="1075">
      <c r="A1075" s="200">
        <v>44852.025106597226</v>
      </c>
      <c r="B1075" s="19" t="s">
        <v>144</v>
      </c>
      <c r="C1075" s="21" t="s">
        <v>325</v>
      </c>
      <c r="D1075" s="62">
        <v>4.0</v>
      </c>
      <c r="E1075" s="27">
        <v>3.0</v>
      </c>
      <c r="F1075" s="27" t="s">
        <v>1849</v>
      </c>
      <c r="G1075" s="201" t="s">
        <v>183</v>
      </c>
      <c r="H1075" s="27" t="s">
        <v>109</v>
      </c>
      <c r="I1075" s="27"/>
      <c r="J1075" s="33">
        <v>-3.0</v>
      </c>
      <c r="K1075" s="33">
        <v>-5.5</v>
      </c>
      <c r="L1075" s="66">
        <v>62.5</v>
      </c>
      <c r="M1075" s="27" t="s">
        <v>1850</v>
      </c>
      <c r="N1075" s="27">
        <v>-6.0</v>
      </c>
      <c r="O1075" s="27"/>
      <c r="P1075" s="27">
        <v>-5.5</v>
      </c>
      <c r="Q1075" s="27"/>
      <c r="R1075" s="27">
        <v>-5.5</v>
      </c>
      <c r="S1075" s="27"/>
      <c r="T1075" s="27">
        <v>-5.5</v>
      </c>
      <c r="U1075" s="27"/>
      <c r="V1075" s="27">
        <v>-5.5</v>
      </c>
      <c r="W1075" s="27"/>
      <c r="X1075" s="27">
        <v>-5.5</v>
      </c>
      <c r="Y1075" s="27"/>
      <c r="Z1075" s="27">
        <v>-6.0</v>
      </c>
      <c r="AA1075" s="27"/>
      <c r="AB1075" s="27">
        <v>-5.5</v>
      </c>
      <c r="AC1075" s="27"/>
      <c r="AD1075" s="27">
        <v>-5.5</v>
      </c>
      <c r="AE1075" s="27"/>
      <c r="AF1075" s="27">
        <v>-5.5</v>
      </c>
      <c r="AG1075" s="27"/>
      <c r="AH1075" s="27">
        <v>232.0</v>
      </c>
      <c r="AI1075" s="27">
        <v>172.0</v>
      </c>
      <c r="AJ1075" s="27">
        <v>2.0</v>
      </c>
      <c r="AK1075" s="27" t="b">
        <v>1</v>
      </c>
      <c r="AL1075" s="27">
        <v>100.0</v>
      </c>
      <c r="AM1075" s="27" t="s">
        <v>389</v>
      </c>
      <c r="AN1075" s="27" t="s">
        <v>405</v>
      </c>
      <c r="AO1075" s="27"/>
    </row>
    <row r="1076">
      <c r="A1076" s="200">
        <v>44852.025106597226</v>
      </c>
      <c r="B1076" s="19" t="s">
        <v>144</v>
      </c>
      <c r="C1076" s="21" t="s">
        <v>342</v>
      </c>
      <c r="D1076" s="62">
        <v>1.0</v>
      </c>
      <c r="E1076" s="27">
        <v>5.0</v>
      </c>
      <c r="F1076" s="27" t="s">
        <v>1857</v>
      </c>
      <c r="G1076" s="201" t="s">
        <v>183</v>
      </c>
      <c r="H1076" s="27" t="s">
        <v>166</v>
      </c>
      <c r="I1076" s="27"/>
      <c r="J1076" s="33">
        <v>14.0</v>
      </c>
      <c r="K1076" s="33">
        <v>15.0</v>
      </c>
      <c r="L1076" s="66">
        <v>48.0</v>
      </c>
      <c r="M1076" s="27" t="s">
        <v>1858</v>
      </c>
      <c r="N1076" s="27">
        <v>15.5</v>
      </c>
      <c r="O1076" s="27"/>
      <c r="P1076" s="27">
        <v>15.0</v>
      </c>
      <c r="Q1076" s="27"/>
      <c r="R1076" s="27">
        <v>15.0</v>
      </c>
      <c r="S1076" s="27"/>
      <c r="T1076" s="27">
        <v>15.0</v>
      </c>
      <c r="U1076" s="27"/>
      <c r="V1076" s="27">
        <v>15.0</v>
      </c>
      <c r="W1076" s="27"/>
      <c r="X1076" s="27">
        <v>15.0</v>
      </c>
      <c r="Y1076" s="27"/>
      <c r="Z1076" s="27">
        <v>15.0</v>
      </c>
      <c r="AA1076" s="27"/>
      <c r="AB1076" s="27">
        <v>15.0</v>
      </c>
      <c r="AC1076" s="27"/>
      <c r="AD1076" s="27">
        <v>15.0</v>
      </c>
      <c r="AE1076" s="27"/>
      <c r="AF1076" s="27">
        <v>15.0</v>
      </c>
      <c r="AG1076" s="27"/>
      <c r="AH1076" s="27">
        <v>87.0</v>
      </c>
      <c r="AI1076" s="27">
        <v>229.0</v>
      </c>
      <c r="AJ1076" s="27">
        <v>2.0</v>
      </c>
      <c r="AK1076" s="27" t="b">
        <v>1</v>
      </c>
      <c r="AL1076" s="27">
        <v>100.0</v>
      </c>
      <c r="AM1076" s="27" t="s">
        <v>191</v>
      </c>
      <c r="AN1076" s="27" t="s">
        <v>404</v>
      </c>
      <c r="AO1076" s="27"/>
    </row>
    <row r="1077">
      <c r="A1077" s="200">
        <v>44852.025106597226</v>
      </c>
      <c r="B1077" s="19"/>
      <c r="C1077" s="21"/>
      <c r="D1077" s="62"/>
      <c r="E1077" s="27"/>
      <c r="F1077" s="27"/>
      <c r="G1077" s="201"/>
      <c r="H1077" s="27"/>
      <c r="I1077" s="27"/>
      <c r="J1077" s="33"/>
      <c r="K1077" s="33"/>
      <c r="L1077" s="66"/>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t="e">
        <v>#N/A</v>
      </c>
      <c r="AN1077" s="27" t="e">
        <v>#N/A</v>
      </c>
      <c r="AO1077" s="27"/>
    </row>
    <row r="1078">
      <c r="A1078" s="200">
        <v>44852.025106597226</v>
      </c>
      <c r="B1078" s="19" t="s">
        <v>166</v>
      </c>
      <c r="C1078" s="21" t="s">
        <v>370</v>
      </c>
      <c r="D1078" s="62">
        <v>4.0</v>
      </c>
      <c r="E1078" s="27">
        <v>2.0</v>
      </c>
      <c r="F1078" s="27"/>
      <c r="G1078" s="201"/>
      <c r="H1078" s="27"/>
      <c r="I1078" s="27" t="s">
        <v>97</v>
      </c>
      <c r="J1078" s="33"/>
      <c r="K1078" s="33"/>
      <c r="L1078" s="66"/>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v>210.0</v>
      </c>
      <c r="AI1078" s="27">
        <v>157.0</v>
      </c>
      <c r="AJ1078" s="27">
        <v>0.0</v>
      </c>
      <c r="AK1078" s="27" t="b">
        <v>1</v>
      </c>
      <c r="AL1078" s="27">
        <v>59.0</v>
      </c>
      <c r="AM1078" s="27" t="s">
        <v>186</v>
      </c>
      <c r="AN1078" s="27" t="s">
        <v>404</v>
      </c>
      <c r="AO1078" s="27"/>
    </row>
    <row r="1079">
      <c r="A1079" s="200">
        <v>44852.025106597226</v>
      </c>
      <c r="B1079" s="19" t="s">
        <v>166</v>
      </c>
      <c r="C1079" s="21" t="s">
        <v>351</v>
      </c>
      <c r="D1079" s="62">
        <v>2.0</v>
      </c>
      <c r="E1079" s="27">
        <v>5.0</v>
      </c>
      <c r="F1079" s="27" t="s">
        <v>1784</v>
      </c>
      <c r="G1079" s="201" t="s">
        <v>57</v>
      </c>
      <c r="H1079" s="27" t="s">
        <v>53</v>
      </c>
      <c r="I1079" s="27"/>
      <c r="J1079" s="33">
        <v>7.5</v>
      </c>
      <c r="K1079" s="33">
        <v>6.0</v>
      </c>
      <c r="L1079" s="66">
        <v>52.0</v>
      </c>
      <c r="M1079" s="27" t="s">
        <v>1785</v>
      </c>
      <c r="N1079" s="27">
        <v>6.0</v>
      </c>
      <c r="O1079" s="27"/>
      <c r="P1079" s="27">
        <v>6.0</v>
      </c>
      <c r="Q1079" s="27"/>
      <c r="R1079" s="27">
        <v>6.0</v>
      </c>
      <c r="S1079" s="27"/>
      <c r="T1079" s="27">
        <v>6.0</v>
      </c>
      <c r="U1079" s="27"/>
      <c r="V1079" s="27">
        <v>6.0</v>
      </c>
      <c r="W1079" s="27"/>
      <c r="X1079" s="27">
        <v>6.0</v>
      </c>
      <c r="Y1079" s="27"/>
      <c r="Z1079" s="27">
        <v>5.5</v>
      </c>
      <c r="AA1079" s="27"/>
      <c r="AB1079" s="27">
        <v>5.5</v>
      </c>
      <c r="AC1079" s="27"/>
      <c r="AD1079" s="27">
        <v>6.0</v>
      </c>
      <c r="AE1079" s="27"/>
      <c r="AF1079" s="27">
        <v>6.0</v>
      </c>
      <c r="AG1079" s="27"/>
      <c r="AH1079" s="27">
        <v>132.0</v>
      </c>
      <c r="AI1079" s="27">
        <v>259.0</v>
      </c>
      <c r="AJ1079" s="27">
        <v>2.0</v>
      </c>
      <c r="AK1079" s="27" t="b">
        <v>1</v>
      </c>
      <c r="AL1079" s="27">
        <v>100.0</v>
      </c>
      <c r="AM1079" s="27" t="s">
        <v>129</v>
      </c>
      <c r="AN1079" s="27" t="s">
        <v>405</v>
      </c>
      <c r="AO1079" s="27"/>
    </row>
    <row r="1080">
      <c r="A1080" s="200">
        <v>44852.025106597226</v>
      </c>
      <c r="B1080" s="19" t="s">
        <v>166</v>
      </c>
      <c r="C1080" s="21" t="s">
        <v>334</v>
      </c>
      <c r="D1080" s="62">
        <v>2.0</v>
      </c>
      <c r="E1080" s="27">
        <v>4.0</v>
      </c>
      <c r="F1080" s="27" t="s">
        <v>1800</v>
      </c>
      <c r="G1080" s="201" t="s">
        <v>57</v>
      </c>
      <c r="H1080" s="27" t="s">
        <v>131</v>
      </c>
      <c r="I1080" s="27"/>
      <c r="J1080" s="33" t="s">
        <v>1091</v>
      </c>
      <c r="K1080" s="33" t="s">
        <v>1091</v>
      </c>
      <c r="L1080" s="26" t="s">
        <v>1091</v>
      </c>
      <c r="M1080" s="27" t="s">
        <v>1091</v>
      </c>
      <c r="N1080" s="27" t="s">
        <v>1091</v>
      </c>
      <c r="O1080" s="27" t="s">
        <v>1091</v>
      </c>
      <c r="P1080" s="27" t="s">
        <v>1091</v>
      </c>
      <c r="Q1080" s="27" t="s">
        <v>1091</v>
      </c>
      <c r="R1080" s="27" t="s">
        <v>1091</v>
      </c>
      <c r="S1080" s="27" t="s">
        <v>1091</v>
      </c>
      <c r="T1080" s="27" t="s">
        <v>1091</v>
      </c>
      <c r="U1080" s="27" t="s">
        <v>1091</v>
      </c>
      <c r="V1080" s="27" t="s">
        <v>1091</v>
      </c>
      <c r="W1080" s="27" t="s">
        <v>1091</v>
      </c>
      <c r="X1080" s="27" t="s">
        <v>1091</v>
      </c>
      <c r="Y1080" s="27" t="s">
        <v>1091</v>
      </c>
      <c r="Z1080" s="27" t="s">
        <v>1091</v>
      </c>
      <c r="AA1080" s="27" t="s">
        <v>1091</v>
      </c>
      <c r="AB1080" s="27" t="s">
        <v>1091</v>
      </c>
      <c r="AC1080" s="27" t="s">
        <v>1091</v>
      </c>
      <c r="AD1080" s="27" t="s">
        <v>1091</v>
      </c>
      <c r="AE1080" s="27" t="s">
        <v>1091</v>
      </c>
      <c r="AF1080" s="27" t="s">
        <v>1091</v>
      </c>
      <c r="AG1080" s="27" t="s">
        <v>1091</v>
      </c>
      <c r="AH1080" s="27">
        <v>178.0</v>
      </c>
      <c r="AI1080" s="27">
        <v>233.0</v>
      </c>
      <c r="AJ1080" s="27">
        <v>2.0</v>
      </c>
      <c r="AK1080" s="27" t="b">
        <v>0</v>
      </c>
      <c r="AL1080" s="27">
        <v>100.0</v>
      </c>
      <c r="AM1080" s="27" t="s">
        <v>189</v>
      </c>
      <c r="AN1080" s="27" t="s">
        <v>405</v>
      </c>
      <c r="AO1080" s="27"/>
    </row>
    <row r="1081">
      <c r="A1081" s="200">
        <v>44852.025106597226</v>
      </c>
      <c r="B1081" s="19" t="s">
        <v>166</v>
      </c>
      <c r="C1081" s="21" t="s">
        <v>327</v>
      </c>
      <c r="D1081" s="62">
        <v>3.0</v>
      </c>
      <c r="E1081" s="27">
        <v>4.0</v>
      </c>
      <c r="F1081" s="27" t="s">
        <v>1859</v>
      </c>
      <c r="G1081" s="201" t="s">
        <v>57</v>
      </c>
      <c r="H1081" s="27" t="s">
        <v>103</v>
      </c>
      <c r="I1081" s="27"/>
      <c r="J1081" s="33">
        <v>13.5</v>
      </c>
      <c r="K1081" s="33">
        <v>11.0</v>
      </c>
      <c r="L1081" s="66">
        <v>62.5</v>
      </c>
      <c r="M1081" s="27" t="s">
        <v>1860</v>
      </c>
      <c r="N1081" s="27">
        <v>11.5</v>
      </c>
      <c r="O1081" s="27"/>
      <c r="P1081" s="27">
        <v>11.0</v>
      </c>
      <c r="Q1081" s="27"/>
      <c r="R1081" s="27">
        <v>11.0</v>
      </c>
      <c r="S1081" s="27"/>
      <c r="T1081" s="27">
        <v>11.0</v>
      </c>
      <c r="U1081" s="27"/>
      <c r="V1081" s="27">
        <v>11.0</v>
      </c>
      <c r="W1081" s="27"/>
      <c r="X1081" s="27">
        <v>11.0</v>
      </c>
      <c r="Y1081" s="27"/>
      <c r="Z1081" s="27">
        <v>11.0</v>
      </c>
      <c r="AA1081" s="27"/>
      <c r="AB1081" s="27">
        <v>10.5</v>
      </c>
      <c r="AC1081" s="27"/>
      <c r="AD1081" s="27">
        <v>11.0</v>
      </c>
      <c r="AE1081" s="27"/>
      <c r="AF1081" s="27">
        <v>11.0</v>
      </c>
      <c r="AG1081" s="27"/>
      <c r="AH1081" s="27">
        <v>179.0</v>
      </c>
      <c r="AI1081" s="27">
        <v>221.0</v>
      </c>
      <c r="AJ1081" s="27">
        <v>2.0</v>
      </c>
      <c r="AK1081" s="27" t="b">
        <v>1</v>
      </c>
      <c r="AL1081" s="27">
        <v>100.0</v>
      </c>
      <c r="AM1081" s="27" t="s">
        <v>188</v>
      </c>
      <c r="AN1081" s="27" t="s">
        <v>404</v>
      </c>
      <c r="AO1081" s="27"/>
    </row>
    <row r="1082">
      <c r="A1082" s="200">
        <v>44852.025106597226</v>
      </c>
      <c r="B1082" s="19" t="s">
        <v>166</v>
      </c>
      <c r="C1082" s="21" t="s">
        <v>399</v>
      </c>
      <c r="D1082" s="62">
        <v>6.0</v>
      </c>
      <c r="E1082" s="27">
        <v>1.0</v>
      </c>
      <c r="F1082" s="27" t="s">
        <v>1861</v>
      </c>
      <c r="G1082" s="201" t="s">
        <v>57</v>
      </c>
      <c r="H1082" s="27"/>
      <c r="I1082" s="27"/>
      <c r="J1082" s="33">
        <v>-23.5</v>
      </c>
      <c r="K1082" s="33">
        <v>-24.5</v>
      </c>
      <c r="L1082" s="66">
        <v>55.0</v>
      </c>
      <c r="M1082" s="27" t="s">
        <v>1862</v>
      </c>
      <c r="N1082" s="27">
        <v>-24.5</v>
      </c>
      <c r="O1082" s="27" t="s">
        <v>1091</v>
      </c>
      <c r="P1082" s="27">
        <v>-24.5</v>
      </c>
      <c r="Q1082" s="27" t="s">
        <v>1091</v>
      </c>
      <c r="R1082" s="27">
        <v>-24.5</v>
      </c>
      <c r="S1082" s="27" t="s">
        <v>1091</v>
      </c>
      <c r="T1082" s="27">
        <v>-24.5</v>
      </c>
      <c r="U1082" s="27" t="s">
        <v>1091</v>
      </c>
      <c r="V1082" s="27">
        <v>-24.5</v>
      </c>
      <c r="W1082" s="27" t="s">
        <v>1091</v>
      </c>
      <c r="X1082" s="27">
        <v>-24.5</v>
      </c>
      <c r="Y1082" s="27" t="s">
        <v>1091</v>
      </c>
      <c r="Z1082" s="27" t="s">
        <v>1091</v>
      </c>
      <c r="AA1082" s="27" t="s">
        <v>1091</v>
      </c>
      <c r="AB1082" s="27" t="s">
        <v>1091</v>
      </c>
      <c r="AC1082" s="27" t="s">
        <v>1091</v>
      </c>
      <c r="AD1082" s="27" t="s">
        <v>1091</v>
      </c>
      <c r="AE1082" s="27" t="s">
        <v>1091</v>
      </c>
      <c r="AF1082" s="27" t="s">
        <v>1091</v>
      </c>
      <c r="AG1082" s="27" t="s">
        <v>1091</v>
      </c>
      <c r="AH1082" s="27">
        <v>208.0</v>
      </c>
      <c r="AI1082" s="27">
        <v>158.0</v>
      </c>
      <c r="AJ1082" s="27">
        <v>2.0</v>
      </c>
      <c r="AK1082" s="27" t="b">
        <v>0</v>
      </c>
      <c r="AL1082" s="27">
        <v>100.0</v>
      </c>
      <c r="AM1082" s="27" t="s">
        <v>190</v>
      </c>
      <c r="AN1082" s="27" t="s">
        <v>405</v>
      </c>
      <c r="AO1082" s="27"/>
    </row>
    <row r="1083">
      <c r="A1083" s="200">
        <v>44852.025106597226</v>
      </c>
      <c r="B1083" s="19" t="s">
        <v>166</v>
      </c>
      <c r="C1083" s="21" t="s">
        <v>337</v>
      </c>
      <c r="D1083" s="62">
        <v>3.0</v>
      </c>
      <c r="E1083" s="27">
        <v>4.0</v>
      </c>
      <c r="F1083" s="27" t="s">
        <v>1863</v>
      </c>
      <c r="G1083" s="201" t="s">
        <v>57</v>
      </c>
      <c r="H1083" s="27" t="s">
        <v>103</v>
      </c>
      <c r="I1083" s="27"/>
      <c r="J1083" s="33">
        <v>13.5</v>
      </c>
      <c r="K1083" s="33">
        <v>15.0</v>
      </c>
      <c r="L1083" s="66">
        <v>55.5</v>
      </c>
      <c r="M1083" s="27" t="s">
        <v>1864</v>
      </c>
      <c r="N1083" s="27">
        <v>15.5</v>
      </c>
      <c r="O1083" s="27"/>
      <c r="P1083" s="27">
        <v>15.5</v>
      </c>
      <c r="Q1083" s="27"/>
      <c r="R1083" s="27">
        <v>15.5</v>
      </c>
      <c r="S1083" s="27"/>
      <c r="T1083" s="27">
        <v>15.0</v>
      </c>
      <c r="U1083" s="27"/>
      <c r="V1083" s="27">
        <v>15.5</v>
      </c>
      <c r="W1083" s="27"/>
      <c r="X1083" s="27">
        <v>15.0</v>
      </c>
      <c r="Y1083" s="27"/>
      <c r="Z1083" s="27">
        <v>15.5</v>
      </c>
      <c r="AA1083" s="27"/>
      <c r="AB1083" s="27">
        <v>15.0</v>
      </c>
      <c r="AC1083" s="27"/>
      <c r="AD1083" s="27">
        <v>15.0</v>
      </c>
      <c r="AE1083" s="27"/>
      <c r="AF1083" s="27">
        <v>15.0</v>
      </c>
      <c r="AG1083" s="27"/>
      <c r="AH1083" s="27">
        <v>156.0</v>
      </c>
      <c r="AI1083" s="27">
        <v>198.0</v>
      </c>
      <c r="AJ1083" s="27">
        <v>2.0</v>
      </c>
      <c r="AK1083" s="27" t="b">
        <v>0</v>
      </c>
      <c r="AL1083" s="27">
        <v>100.0</v>
      </c>
      <c r="AM1083" s="27" t="s">
        <v>192</v>
      </c>
      <c r="AN1083" s="27" t="s">
        <v>404</v>
      </c>
      <c r="AO1083" s="27"/>
    </row>
    <row r="1084">
      <c r="A1084" s="200">
        <v>44852.025106597226</v>
      </c>
      <c r="B1084" s="19" t="s">
        <v>166</v>
      </c>
      <c r="C1084" s="21" t="s">
        <v>364</v>
      </c>
      <c r="D1084" s="62">
        <v>5.0</v>
      </c>
      <c r="E1084" s="27">
        <v>2.0</v>
      </c>
      <c r="F1084" s="27" t="s">
        <v>1865</v>
      </c>
      <c r="G1084" s="201" t="s">
        <v>57</v>
      </c>
      <c r="H1084" s="27" t="s">
        <v>148</v>
      </c>
      <c r="I1084" s="27"/>
      <c r="J1084" s="33">
        <v>-14.5</v>
      </c>
      <c r="K1084" s="33">
        <v>-15.5</v>
      </c>
      <c r="L1084" s="66">
        <v>48.5</v>
      </c>
      <c r="M1084" s="27" t="s">
        <v>1866</v>
      </c>
      <c r="N1084" s="27">
        <v>-15.5</v>
      </c>
      <c r="O1084" s="27"/>
      <c r="P1084" s="27">
        <v>-15.5</v>
      </c>
      <c r="Q1084" s="27"/>
      <c r="R1084" s="27">
        <v>-15.5</v>
      </c>
      <c r="S1084" s="27"/>
      <c r="T1084" s="27">
        <v>-15.0</v>
      </c>
      <c r="U1084" s="27"/>
      <c r="V1084" s="27">
        <v>-15.5</v>
      </c>
      <c r="W1084" s="27"/>
      <c r="X1084" s="27">
        <v>-15.5</v>
      </c>
      <c r="Y1084" s="27"/>
      <c r="Z1084" s="27">
        <v>-15.5</v>
      </c>
      <c r="AA1084" s="27"/>
      <c r="AB1084" s="27">
        <v>-15.0</v>
      </c>
      <c r="AC1084" s="27"/>
      <c r="AD1084" s="27">
        <v>-15.0</v>
      </c>
      <c r="AE1084" s="27"/>
      <c r="AF1084" s="27">
        <v>-15.0</v>
      </c>
      <c r="AG1084" s="27"/>
      <c r="AH1084" s="27">
        <v>257.0</v>
      </c>
      <c r="AI1084" s="27">
        <v>128.0</v>
      </c>
      <c r="AJ1084" s="27">
        <v>2.0</v>
      </c>
      <c r="AK1084" s="27" t="b">
        <v>1</v>
      </c>
      <c r="AL1084" s="27">
        <v>100.0</v>
      </c>
      <c r="AM1084" s="27" t="s">
        <v>187</v>
      </c>
      <c r="AN1084" s="27" t="s">
        <v>404</v>
      </c>
      <c r="AO1084" s="27"/>
    </row>
    <row r="1085">
      <c r="A1085" s="200">
        <v>44852.025106597226</v>
      </c>
      <c r="B1085" s="19" t="s">
        <v>166</v>
      </c>
      <c r="C1085" s="21" t="s">
        <v>398</v>
      </c>
      <c r="D1085" s="62">
        <v>2.0</v>
      </c>
      <c r="E1085" s="27">
        <v>4.0</v>
      </c>
      <c r="F1085" s="27" t="s">
        <v>1867</v>
      </c>
      <c r="G1085" s="201" t="s">
        <v>57</v>
      </c>
      <c r="H1085" s="27"/>
      <c r="I1085" s="27"/>
      <c r="J1085" s="33">
        <v>-28.5</v>
      </c>
      <c r="K1085" s="33">
        <v>-32.0</v>
      </c>
      <c r="L1085" s="66">
        <v>50.5</v>
      </c>
      <c r="M1085" s="27" t="s">
        <v>1105</v>
      </c>
      <c r="N1085" s="27">
        <v>-31.5</v>
      </c>
      <c r="O1085" s="27" t="s">
        <v>1091</v>
      </c>
      <c r="P1085" s="27">
        <v>-31.0</v>
      </c>
      <c r="Q1085" s="27" t="s">
        <v>1091</v>
      </c>
      <c r="R1085" s="27">
        <v>-31.0</v>
      </c>
      <c r="S1085" s="27" t="s">
        <v>1091</v>
      </c>
      <c r="T1085" s="27">
        <v>-32.0</v>
      </c>
      <c r="U1085" s="27" t="s">
        <v>1091</v>
      </c>
      <c r="V1085" s="27">
        <v>-31.0</v>
      </c>
      <c r="W1085" s="27" t="s">
        <v>1091</v>
      </c>
      <c r="X1085" s="27">
        <v>-32.5</v>
      </c>
      <c r="Y1085" s="27" t="s">
        <v>1091</v>
      </c>
      <c r="Z1085" s="27">
        <v>-32.0</v>
      </c>
      <c r="AA1085" s="27" t="s">
        <v>1091</v>
      </c>
      <c r="AB1085" s="27">
        <v>-32.0</v>
      </c>
      <c r="AC1085" s="27" t="s">
        <v>1091</v>
      </c>
      <c r="AD1085" s="27" t="s">
        <v>1091</v>
      </c>
      <c r="AE1085" s="27" t="s">
        <v>1091</v>
      </c>
      <c r="AF1085" s="27" t="s">
        <v>1091</v>
      </c>
      <c r="AG1085" s="27" t="s">
        <v>1091</v>
      </c>
      <c r="AH1085" s="27">
        <v>181.0</v>
      </c>
      <c r="AI1085" s="27">
        <v>182.0</v>
      </c>
      <c r="AJ1085" s="27">
        <v>2.0</v>
      </c>
      <c r="AK1085" s="27" t="b">
        <v>0</v>
      </c>
      <c r="AL1085" s="27">
        <v>100.0</v>
      </c>
      <c r="AM1085" s="27" t="s">
        <v>389</v>
      </c>
      <c r="AN1085" s="27" t="s">
        <v>405</v>
      </c>
      <c r="AO1085" s="27"/>
    </row>
    <row r="1086">
      <c r="A1086" s="200">
        <v>44852.025106597226</v>
      </c>
      <c r="B1086" s="19" t="s">
        <v>166</v>
      </c>
      <c r="C1086" s="21" t="s">
        <v>306</v>
      </c>
      <c r="D1086" s="62">
        <v>3.0</v>
      </c>
      <c r="E1086" s="27">
        <v>3.0</v>
      </c>
      <c r="F1086" s="27" t="s">
        <v>1847</v>
      </c>
      <c r="G1086" s="201" t="s">
        <v>57</v>
      </c>
      <c r="H1086" s="27" t="s">
        <v>109</v>
      </c>
      <c r="I1086" s="27"/>
      <c r="J1086" s="33">
        <v>-6.5</v>
      </c>
      <c r="K1086" s="33">
        <v>-10.5</v>
      </c>
      <c r="L1086" s="66">
        <v>46.5</v>
      </c>
      <c r="M1086" s="27" t="s">
        <v>1848</v>
      </c>
      <c r="N1086" s="27">
        <v>-10.5</v>
      </c>
      <c r="O1086" s="27"/>
      <c r="P1086" s="27">
        <v>-10.5</v>
      </c>
      <c r="Q1086" s="27"/>
      <c r="R1086" s="27">
        <v>-10.5</v>
      </c>
      <c r="S1086" s="27"/>
      <c r="T1086" s="27">
        <v>-10.0</v>
      </c>
      <c r="U1086" s="27"/>
      <c r="V1086" s="27">
        <v>-10.5</v>
      </c>
      <c r="W1086" s="27"/>
      <c r="X1086" s="27">
        <v>-10.5</v>
      </c>
      <c r="Y1086" s="27"/>
      <c r="Z1086" s="27">
        <v>-10.5</v>
      </c>
      <c r="AA1086" s="27"/>
      <c r="AB1086" s="27">
        <v>-10.5</v>
      </c>
      <c r="AC1086" s="27"/>
      <c r="AD1086" s="27">
        <v>-10.0</v>
      </c>
      <c r="AE1086" s="27"/>
      <c r="AF1086" s="27">
        <v>-10.0</v>
      </c>
      <c r="AG1086" s="27"/>
      <c r="AH1086" s="27">
        <v>160.0</v>
      </c>
      <c r="AI1086" s="27">
        <v>104.0</v>
      </c>
      <c r="AJ1086" s="27">
        <v>2.0</v>
      </c>
      <c r="AK1086" s="27" t="b">
        <v>1</v>
      </c>
      <c r="AL1086" s="27">
        <v>100.0</v>
      </c>
      <c r="AM1086" s="27" t="s">
        <v>193</v>
      </c>
      <c r="AN1086" s="27" t="s">
        <v>405</v>
      </c>
      <c r="AO1086" s="27"/>
    </row>
    <row r="1087">
      <c r="A1087" s="200">
        <v>44852.025106597226</v>
      </c>
      <c r="B1087" s="19" t="s">
        <v>166</v>
      </c>
      <c r="C1087" s="21" t="s">
        <v>333</v>
      </c>
      <c r="D1087" s="62">
        <v>3.0</v>
      </c>
      <c r="E1087" s="27">
        <v>3.0</v>
      </c>
      <c r="F1087" s="27" t="s">
        <v>1857</v>
      </c>
      <c r="G1087" s="201" t="s">
        <v>183</v>
      </c>
      <c r="H1087" s="27" t="s">
        <v>144</v>
      </c>
      <c r="I1087" s="27"/>
      <c r="J1087" s="33">
        <v>-14.0</v>
      </c>
      <c r="K1087" s="33">
        <v>-15.0</v>
      </c>
      <c r="L1087" s="66">
        <v>48.0</v>
      </c>
      <c r="M1087" s="27" t="s">
        <v>1858</v>
      </c>
      <c r="N1087" s="27">
        <v>-15.5</v>
      </c>
      <c r="O1087" s="27"/>
      <c r="P1087" s="27">
        <v>-15.0</v>
      </c>
      <c r="Q1087" s="27"/>
      <c r="R1087" s="27">
        <v>-15.0</v>
      </c>
      <c r="S1087" s="27"/>
      <c r="T1087" s="27">
        <v>-15.0</v>
      </c>
      <c r="U1087" s="27"/>
      <c r="V1087" s="27">
        <v>-15.0</v>
      </c>
      <c r="W1087" s="27"/>
      <c r="X1087" s="27">
        <v>-15.0</v>
      </c>
      <c r="Y1087" s="27"/>
      <c r="Z1087" s="27">
        <v>-15.0</v>
      </c>
      <c r="AA1087" s="27"/>
      <c r="AB1087" s="27">
        <v>-15.0</v>
      </c>
      <c r="AC1087" s="27"/>
      <c r="AD1087" s="27">
        <v>-15.0</v>
      </c>
      <c r="AE1087" s="27"/>
      <c r="AF1087" s="27">
        <v>-15.0</v>
      </c>
      <c r="AG1087" s="27"/>
      <c r="AH1087" s="27">
        <v>142.0</v>
      </c>
      <c r="AI1087" s="27">
        <v>130.0</v>
      </c>
      <c r="AJ1087" s="27">
        <v>2.0</v>
      </c>
      <c r="AK1087" s="27" t="b">
        <v>0</v>
      </c>
      <c r="AL1087" s="27">
        <v>100.0</v>
      </c>
      <c r="AM1087" s="27" t="s">
        <v>191</v>
      </c>
      <c r="AN1087" s="27" t="s">
        <v>404</v>
      </c>
      <c r="AO1087" s="27"/>
    </row>
    <row r="1088">
      <c r="A1088" s="200">
        <v>44852.025106597226</v>
      </c>
      <c r="B1088" s="19"/>
      <c r="C1088" s="21"/>
      <c r="D1088" s="62"/>
      <c r="E1088" s="27"/>
      <c r="F1088" s="27"/>
      <c r="G1088" s="201"/>
      <c r="H1088" s="27"/>
      <c r="I1088" s="27"/>
      <c r="J1088" s="33"/>
      <c r="K1088" s="33"/>
      <c r="L1088" s="66"/>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t="e">
        <v>#N/A</v>
      </c>
      <c r="AN1088" s="27" t="e">
        <v>#N/A</v>
      </c>
      <c r="AO1088" s="27"/>
    </row>
    <row r="1089">
      <c r="A1089" s="200">
        <v>44852.025106597226</v>
      </c>
      <c r="B1089" s="19" t="s">
        <v>116</v>
      </c>
      <c r="C1089" s="21" t="s">
        <v>332</v>
      </c>
      <c r="D1089" s="62">
        <v>3.0</v>
      </c>
      <c r="E1089" s="27">
        <v>3.0</v>
      </c>
      <c r="F1089" s="27"/>
      <c r="G1089" s="201"/>
      <c r="H1089" s="27"/>
      <c r="I1089" s="27" t="s">
        <v>74</v>
      </c>
      <c r="J1089" s="33"/>
      <c r="K1089" s="33"/>
      <c r="L1089" s="66"/>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v>88.0</v>
      </c>
      <c r="AI1089" s="27">
        <v>59.0</v>
      </c>
      <c r="AJ1089" s="27">
        <v>0.0</v>
      </c>
      <c r="AK1089" s="27" t="b">
        <v>1</v>
      </c>
      <c r="AL1089" s="27">
        <v>59.0</v>
      </c>
      <c r="AM1089" s="27" t="s">
        <v>188</v>
      </c>
      <c r="AN1089" s="27" t="s">
        <v>404</v>
      </c>
      <c r="AO1089" s="27"/>
    </row>
    <row r="1090">
      <c r="A1090" s="200">
        <v>44852.025106597226</v>
      </c>
      <c r="B1090" s="19" t="s">
        <v>116</v>
      </c>
      <c r="C1090" s="21" t="s">
        <v>348</v>
      </c>
      <c r="D1090" s="62">
        <v>3.0</v>
      </c>
      <c r="E1090" s="27">
        <v>3.0</v>
      </c>
      <c r="F1090" s="27"/>
      <c r="G1090" s="201"/>
      <c r="H1090" s="27"/>
      <c r="I1090" s="27" t="s">
        <v>82</v>
      </c>
      <c r="J1090" s="33">
        <v>2.5</v>
      </c>
      <c r="K1090" s="33">
        <v>3.5</v>
      </c>
      <c r="L1090" s="66">
        <v>53.5</v>
      </c>
      <c r="M1090" s="27" t="s">
        <v>1778</v>
      </c>
      <c r="N1090" s="27">
        <v>3.5</v>
      </c>
      <c r="O1090" s="27"/>
      <c r="P1090" s="27">
        <v>3.5</v>
      </c>
      <c r="Q1090" s="27"/>
      <c r="R1090" s="27">
        <v>3.5</v>
      </c>
      <c r="S1090" s="27"/>
      <c r="T1090" s="27">
        <v>3.5</v>
      </c>
      <c r="U1090" s="27"/>
      <c r="V1090" s="27">
        <v>3.5</v>
      </c>
      <c r="W1090" s="27"/>
      <c r="X1090" s="27">
        <v>3.5</v>
      </c>
      <c r="Y1090" s="27"/>
      <c r="Z1090" s="27">
        <v>3.5</v>
      </c>
      <c r="AA1090" s="27"/>
      <c r="AB1090" s="27">
        <v>3.5</v>
      </c>
      <c r="AC1090" s="27"/>
      <c r="AD1090" s="27">
        <v>3.5</v>
      </c>
      <c r="AE1090" s="27"/>
      <c r="AF1090" s="27">
        <v>3.5</v>
      </c>
      <c r="AG1090" s="27"/>
      <c r="AH1090" s="27">
        <v>104.0</v>
      </c>
      <c r="AI1090" s="27">
        <v>168.0</v>
      </c>
      <c r="AJ1090" s="27">
        <v>0.0</v>
      </c>
      <c r="AK1090" s="27" t="b">
        <v>1</v>
      </c>
      <c r="AL1090" s="27">
        <v>59.0</v>
      </c>
      <c r="AM1090" s="27" t="s">
        <v>186</v>
      </c>
      <c r="AN1090" s="27" t="s">
        <v>404</v>
      </c>
      <c r="AO1090" s="27"/>
    </row>
    <row r="1091">
      <c r="A1091" s="200">
        <v>44852.025106597226</v>
      </c>
      <c r="B1091" s="19" t="s">
        <v>116</v>
      </c>
      <c r="C1091" s="21" t="s">
        <v>369</v>
      </c>
      <c r="D1091" s="62">
        <v>6.0</v>
      </c>
      <c r="E1091" s="27">
        <v>1.0</v>
      </c>
      <c r="F1091" s="27" t="s">
        <v>1868</v>
      </c>
      <c r="G1091" s="201" t="s">
        <v>57</v>
      </c>
      <c r="H1091" s="27" t="s">
        <v>154</v>
      </c>
      <c r="I1091" s="27"/>
      <c r="J1091" s="33">
        <v>-3.0</v>
      </c>
      <c r="K1091" s="33">
        <v>3.5</v>
      </c>
      <c r="L1091" s="66">
        <v>65.5</v>
      </c>
      <c r="M1091" s="27" t="s">
        <v>1869</v>
      </c>
      <c r="N1091" s="27">
        <v>3.5</v>
      </c>
      <c r="O1091" s="27"/>
      <c r="P1091" s="27">
        <v>3.5</v>
      </c>
      <c r="Q1091" s="27"/>
      <c r="R1091" s="27">
        <v>3.5</v>
      </c>
      <c r="S1091" s="27"/>
      <c r="T1091" s="27">
        <v>3.5</v>
      </c>
      <c r="U1091" s="27"/>
      <c r="V1091" s="27">
        <v>3.5</v>
      </c>
      <c r="W1091" s="27"/>
      <c r="X1091" s="27">
        <v>3.5</v>
      </c>
      <c r="Y1091" s="27"/>
      <c r="Z1091" s="27">
        <v>3.5</v>
      </c>
      <c r="AA1091" s="27"/>
      <c r="AB1091" s="27">
        <v>3.0</v>
      </c>
      <c r="AC1091" s="27"/>
      <c r="AD1091" s="27">
        <v>3.5</v>
      </c>
      <c r="AE1091" s="27"/>
      <c r="AF1091" s="27">
        <v>3.5</v>
      </c>
      <c r="AG1091" s="27"/>
      <c r="AH1091" s="27">
        <v>283.0</v>
      </c>
      <c r="AI1091" s="27">
        <v>155.0</v>
      </c>
      <c r="AJ1091" s="27">
        <v>2.0</v>
      </c>
      <c r="AK1091" s="27" t="b">
        <v>1</v>
      </c>
      <c r="AL1091" s="27">
        <v>100.0</v>
      </c>
      <c r="AM1091" s="27" t="s">
        <v>191</v>
      </c>
      <c r="AN1091" s="27" t="s">
        <v>404</v>
      </c>
      <c r="AO1091" s="27"/>
    </row>
    <row r="1092">
      <c r="A1092" s="200">
        <v>44852.025106597226</v>
      </c>
      <c r="B1092" s="19" t="s">
        <v>116</v>
      </c>
      <c r="C1092" s="21" t="s">
        <v>336</v>
      </c>
      <c r="D1092" s="62">
        <v>1.0</v>
      </c>
      <c r="E1092" s="27">
        <v>5.0</v>
      </c>
      <c r="F1092" s="27" t="s">
        <v>1826</v>
      </c>
      <c r="G1092" s="201" t="s">
        <v>57</v>
      </c>
      <c r="H1092" s="27" t="s">
        <v>138</v>
      </c>
      <c r="I1092" s="27"/>
      <c r="J1092" s="33">
        <v>8.0</v>
      </c>
      <c r="K1092" s="33">
        <v>14.0</v>
      </c>
      <c r="L1092" s="66">
        <v>45.5</v>
      </c>
      <c r="M1092" s="27" t="s">
        <v>1827</v>
      </c>
      <c r="N1092" s="27">
        <v>14.0</v>
      </c>
      <c r="O1092" s="27"/>
      <c r="P1092" s="27">
        <v>14.0</v>
      </c>
      <c r="Q1092" s="27"/>
      <c r="R1092" s="27">
        <v>14.0</v>
      </c>
      <c r="S1092" s="27"/>
      <c r="T1092" s="27">
        <v>14.0</v>
      </c>
      <c r="U1092" s="27"/>
      <c r="V1092" s="27">
        <v>14.0</v>
      </c>
      <c r="W1092" s="27"/>
      <c r="X1092" s="27">
        <v>14.0</v>
      </c>
      <c r="Y1092" s="27"/>
      <c r="Z1092" s="27">
        <v>14.0</v>
      </c>
      <c r="AA1092" s="27"/>
      <c r="AB1092" s="27">
        <v>14.0</v>
      </c>
      <c r="AC1092" s="27"/>
      <c r="AD1092" s="27">
        <v>14.0</v>
      </c>
      <c r="AE1092" s="27"/>
      <c r="AF1092" s="27">
        <v>14.0</v>
      </c>
      <c r="AG1092" s="27"/>
      <c r="AH1092" s="27">
        <v>73.0</v>
      </c>
      <c r="AI1092" s="27">
        <v>195.0</v>
      </c>
      <c r="AJ1092" s="27">
        <v>2.0</v>
      </c>
      <c r="AK1092" s="27" t="b">
        <v>0</v>
      </c>
      <c r="AL1092" s="27">
        <v>100.0</v>
      </c>
      <c r="AM1092" s="27" t="s">
        <v>129</v>
      </c>
      <c r="AN1092" s="27" t="s">
        <v>405</v>
      </c>
      <c r="AO1092" s="27"/>
    </row>
    <row r="1093">
      <c r="A1093" s="200">
        <v>44852.025106597226</v>
      </c>
      <c r="B1093" s="19" t="s">
        <v>116</v>
      </c>
      <c r="C1093" s="21" t="s">
        <v>355</v>
      </c>
      <c r="D1093" s="62">
        <v>3.0</v>
      </c>
      <c r="E1093" s="27">
        <v>3.0</v>
      </c>
      <c r="F1093" s="27" t="s">
        <v>1786</v>
      </c>
      <c r="G1093" s="201" t="s">
        <v>57</v>
      </c>
      <c r="H1093" s="27" t="s">
        <v>53</v>
      </c>
      <c r="I1093" s="27"/>
      <c r="J1093" s="33">
        <v>5.5</v>
      </c>
      <c r="K1093" s="33">
        <v>5.0</v>
      </c>
      <c r="L1093" s="66">
        <v>54.5</v>
      </c>
      <c r="M1093" s="27" t="s">
        <v>1870</v>
      </c>
      <c r="N1093" s="27">
        <v>5.5</v>
      </c>
      <c r="O1093" s="27"/>
      <c r="P1093" s="27">
        <v>5.0</v>
      </c>
      <c r="Q1093" s="27"/>
      <c r="R1093" s="27">
        <v>4.0</v>
      </c>
      <c r="S1093" s="27"/>
      <c r="T1093" s="27">
        <v>5.0</v>
      </c>
      <c r="U1093" s="27"/>
      <c r="V1093" s="27">
        <v>5.0</v>
      </c>
      <c r="W1093" s="27"/>
      <c r="X1093" s="27">
        <v>4.5</v>
      </c>
      <c r="Y1093" s="27"/>
      <c r="Z1093" s="27">
        <v>5.0</v>
      </c>
      <c r="AA1093" s="27"/>
      <c r="AB1093" s="27">
        <v>4.5</v>
      </c>
      <c r="AC1093" s="27"/>
      <c r="AD1093" s="27">
        <v>5.0</v>
      </c>
      <c r="AE1093" s="27"/>
      <c r="AF1093" s="27">
        <v>5.0</v>
      </c>
      <c r="AG1093" s="27"/>
      <c r="AH1093" s="27">
        <v>168.0</v>
      </c>
      <c r="AI1093" s="27">
        <v>172.0</v>
      </c>
      <c r="AJ1093" s="27">
        <v>2.0</v>
      </c>
      <c r="AK1093" s="27" t="b">
        <v>0</v>
      </c>
      <c r="AL1093" s="27">
        <v>100.0</v>
      </c>
      <c r="AM1093" s="27" t="s">
        <v>189</v>
      </c>
      <c r="AN1093" s="27" t="s">
        <v>405</v>
      </c>
      <c r="AO1093" s="27"/>
    </row>
    <row r="1094">
      <c r="A1094" s="200">
        <v>44852.025106597226</v>
      </c>
      <c r="B1094" s="19" t="s">
        <v>116</v>
      </c>
      <c r="C1094" s="21" t="s">
        <v>388</v>
      </c>
      <c r="D1094" s="62">
        <v>5.0</v>
      </c>
      <c r="E1094" s="27">
        <v>1.0</v>
      </c>
      <c r="F1094" s="27" t="s">
        <v>1808</v>
      </c>
      <c r="G1094" s="201" t="s">
        <v>57</v>
      </c>
      <c r="H1094" s="27" t="s">
        <v>178</v>
      </c>
      <c r="I1094" s="27"/>
      <c r="J1094" s="33">
        <v>-11.0</v>
      </c>
      <c r="K1094" s="33">
        <v>-12.5</v>
      </c>
      <c r="L1094" s="66">
        <v>67.5</v>
      </c>
      <c r="M1094" s="27" t="s">
        <v>1809</v>
      </c>
      <c r="N1094" s="27">
        <v>-12.5</v>
      </c>
      <c r="O1094" s="27"/>
      <c r="P1094" s="27">
        <v>-13.0</v>
      </c>
      <c r="Q1094" s="27"/>
      <c r="R1094" s="27">
        <v>-13.0</v>
      </c>
      <c r="S1094" s="27"/>
      <c r="T1094" s="27">
        <v>-12.5</v>
      </c>
      <c r="U1094" s="27"/>
      <c r="V1094" s="27">
        <v>-13.0</v>
      </c>
      <c r="W1094" s="27"/>
      <c r="X1094" s="27">
        <v>-13.0</v>
      </c>
      <c r="Y1094" s="27"/>
      <c r="Z1094" s="27">
        <v>-13.0</v>
      </c>
      <c r="AA1094" s="27"/>
      <c r="AB1094" s="27">
        <v>-13.0</v>
      </c>
      <c r="AC1094" s="27"/>
      <c r="AD1094" s="27">
        <v>-12.5</v>
      </c>
      <c r="AE1094" s="27"/>
      <c r="AF1094" s="27">
        <v>-12.5</v>
      </c>
      <c r="AG1094" s="27"/>
      <c r="AH1094" s="27">
        <v>259.0</v>
      </c>
      <c r="AI1094" s="27">
        <v>120.0</v>
      </c>
      <c r="AJ1094" s="27">
        <v>2.0</v>
      </c>
      <c r="AK1094" s="27" t="b">
        <v>1</v>
      </c>
      <c r="AL1094" s="27">
        <v>100.0</v>
      </c>
      <c r="AM1094" s="27" t="s">
        <v>193</v>
      </c>
      <c r="AN1094" s="27" t="s">
        <v>405</v>
      </c>
      <c r="AO1094" s="27"/>
    </row>
    <row r="1095">
      <c r="A1095" s="200">
        <v>44852.025106597226</v>
      </c>
      <c r="B1095" s="19" t="s">
        <v>116</v>
      </c>
      <c r="C1095" s="21" t="s">
        <v>313</v>
      </c>
      <c r="D1095" s="62">
        <v>7.0</v>
      </c>
      <c r="E1095" s="27">
        <v>0.0</v>
      </c>
      <c r="F1095" s="27" t="s">
        <v>1830</v>
      </c>
      <c r="G1095" s="201" t="s">
        <v>57</v>
      </c>
      <c r="H1095" s="27" t="s">
        <v>138</v>
      </c>
      <c r="I1095" s="27"/>
      <c r="J1095" s="33">
        <v>-36.5</v>
      </c>
      <c r="K1095" s="33">
        <v>-37.5</v>
      </c>
      <c r="L1095" s="66">
        <v>56.5</v>
      </c>
      <c r="M1095" s="27" t="s">
        <v>1139</v>
      </c>
      <c r="N1095" s="27">
        <v>-37.5</v>
      </c>
      <c r="O1095" s="27"/>
      <c r="P1095" s="27">
        <v>-37.5</v>
      </c>
      <c r="Q1095" s="27"/>
      <c r="R1095" s="27">
        <v>-37.5</v>
      </c>
      <c r="S1095" s="27"/>
      <c r="T1095" s="27">
        <v>-38.0</v>
      </c>
      <c r="U1095" s="27"/>
      <c r="V1095" s="27">
        <v>-37.5</v>
      </c>
      <c r="W1095" s="27"/>
      <c r="X1095" s="27">
        <v>-37.0</v>
      </c>
      <c r="Y1095" s="27"/>
      <c r="Z1095" s="27">
        <v>-37.5</v>
      </c>
      <c r="AA1095" s="27"/>
      <c r="AB1095" s="27">
        <v>-37.5</v>
      </c>
      <c r="AC1095" s="27"/>
      <c r="AD1095" s="27">
        <v>-38.0</v>
      </c>
      <c r="AE1095" s="27"/>
      <c r="AF1095" s="27">
        <v>-38.0</v>
      </c>
      <c r="AG1095" s="27"/>
      <c r="AH1095" s="27">
        <v>292.0</v>
      </c>
      <c r="AI1095" s="27">
        <v>64.0</v>
      </c>
      <c r="AJ1095" s="27">
        <v>2.0</v>
      </c>
      <c r="AK1095" s="27" t="b">
        <v>0</v>
      </c>
      <c r="AL1095" s="27">
        <v>100.0</v>
      </c>
      <c r="AM1095" s="27" t="s">
        <v>192</v>
      </c>
      <c r="AN1095" s="27" t="s">
        <v>404</v>
      </c>
      <c r="AO1095" s="27"/>
    </row>
    <row r="1096">
      <c r="A1096" s="200">
        <v>44852.025106597226</v>
      </c>
      <c r="B1096" s="19" t="s">
        <v>116</v>
      </c>
      <c r="C1096" s="21" t="s">
        <v>329</v>
      </c>
      <c r="D1096" s="62">
        <v>4.0</v>
      </c>
      <c r="E1096" s="27">
        <v>3.0</v>
      </c>
      <c r="F1096" s="27" t="s">
        <v>1817</v>
      </c>
      <c r="G1096" s="201" t="s">
        <v>57</v>
      </c>
      <c r="H1096" s="27" t="s">
        <v>59</v>
      </c>
      <c r="I1096" s="27"/>
      <c r="J1096" s="33">
        <v>-11.0</v>
      </c>
      <c r="K1096" s="33">
        <v>-9.5</v>
      </c>
      <c r="L1096" s="66">
        <v>47.5</v>
      </c>
      <c r="M1096" s="27" t="s">
        <v>1818</v>
      </c>
      <c r="N1096" s="27">
        <v>-9.5</v>
      </c>
      <c r="O1096" s="27"/>
      <c r="P1096" s="27">
        <v>-9.5</v>
      </c>
      <c r="Q1096" s="27"/>
      <c r="R1096" s="27">
        <v>-9.5</v>
      </c>
      <c r="S1096" s="27"/>
      <c r="T1096" s="27">
        <v>-9.5</v>
      </c>
      <c r="U1096" s="27"/>
      <c r="V1096" s="27">
        <v>-9.5</v>
      </c>
      <c r="W1096" s="27"/>
      <c r="X1096" s="27">
        <v>-9.5</v>
      </c>
      <c r="Y1096" s="27"/>
      <c r="Z1096" s="27">
        <v>-9.5</v>
      </c>
      <c r="AA1096" s="27"/>
      <c r="AB1096" s="27">
        <v>-9.5</v>
      </c>
      <c r="AC1096" s="27"/>
      <c r="AD1096" s="27">
        <v>-9.5</v>
      </c>
      <c r="AE1096" s="27"/>
      <c r="AF1096" s="27" t="s">
        <v>1091</v>
      </c>
      <c r="AG1096" s="27" t="s">
        <v>1091</v>
      </c>
      <c r="AH1096" s="27">
        <v>180.0</v>
      </c>
      <c r="AI1096" s="27">
        <v>205.0</v>
      </c>
      <c r="AJ1096" s="27">
        <v>2.0</v>
      </c>
      <c r="AK1096" s="27" t="b">
        <v>1</v>
      </c>
      <c r="AL1096" s="27">
        <v>100.0</v>
      </c>
      <c r="AM1096" s="27" t="s">
        <v>190</v>
      </c>
      <c r="AN1096" s="27" t="s">
        <v>405</v>
      </c>
      <c r="AO1096" s="27"/>
    </row>
    <row r="1097">
      <c r="A1097" s="200">
        <v>44852.025106597226</v>
      </c>
      <c r="B1097" s="19" t="s">
        <v>116</v>
      </c>
      <c r="C1097" s="21" t="s">
        <v>347</v>
      </c>
      <c r="D1097" s="62">
        <v>2.0</v>
      </c>
      <c r="E1097" s="27">
        <v>4.0</v>
      </c>
      <c r="F1097" s="27" t="s">
        <v>1840</v>
      </c>
      <c r="G1097" s="201" t="s">
        <v>57</v>
      </c>
      <c r="H1097" s="27" t="s">
        <v>141</v>
      </c>
      <c r="I1097" s="27"/>
      <c r="J1097" s="33">
        <v>20.5</v>
      </c>
      <c r="K1097" s="33">
        <v>12.5</v>
      </c>
      <c r="L1097" s="66">
        <v>58.5</v>
      </c>
      <c r="M1097" s="27" t="s">
        <v>1841</v>
      </c>
      <c r="N1097" s="27">
        <v>12.5</v>
      </c>
      <c r="O1097" s="27"/>
      <c r="P1097" s="27">
        <v>12.0</v>
      </c>
      <c r="Q1097" s="27"/>
      <c r="R1097" s="27">
        <v>12.5</v>
      </c>
      <c r="S1097" s="27"/>
      <c r="T1097" s="27">
        <v>12.5</v>
      </c>
      <c r="U1097" s="27"/>
      <c r="V1097" s="27">
        <v>12.5</v>
      </c>
      <c r="W1097" s="27"/>
      <c r="X1097" s="27">
        <v>12.5</v>
      </c>
      <c r="Y1097" s="27"/>
      <c r="Z1097" s="27">
        <v>12.5</v>
      </c>
      <c r="AA1097" s="27"/>
      <c r="AB1097" s="27">
        <v>12.5</v>
      </c>
      <c r="AC1097" s="27"/>
      <c r="AD1097" s="27">
        <v>12.5</v>
      </c>
      <c r="AE1097" s="27"/>
      <c r="AF1097" s="27">
        <v>12.5</v>
      </c>
      <c r="AG1097" s="27"/>
      <c r="AH1097" s="27">
        <v>140.0</v>
      </c>
      <c r="AI1097" s="27">
        <v>145.0</v>
      </c>
      <c r="AJ1097" s="27">
        <v>2.0</v>
      </c>
      <c r="AK1097" s="27" t="b">
        <v>1</v>
      </c>
      <c r="AL1097" s="27">
        <v>100.0</v>
      </c>
      <c r="AM1097" s="27" t="s">
        <v>389</v>
      </c>
      <c r="AN1097" s="27" t="s">
        <v>405</v>
      </c>
      <c r="AO1097" s="27"/>
    </row>
    <row r="1098">
      <c r="A1098" s="200">
        <v>44852.025106597226</v>
      </c>
      <c r="B1098" s="19" t="s">
        <v>116</v>
      </c>
      <c r="C1098" s="21" t="s">
        <v>354</v>
      </c>
      <c r="D1098" s="62">
        <v>5.0</v>
      </c>
      <c r="E1098" s="27">
        <v>1.0</v>
      </c>
      <c r="F1098" s="27" t="s">
        <v>1871</v>
      </c>
      <c r="G1098" s="201" t="s">
        <v>183</v>
      </c>
      <c r="H1098" s="27" t="s">
        <v>103</v>
      </c>
      <c r="I1098" s="27"/>
      <c r="J1098" s="33">
        <v>1.0</v>
      </c>
      <c r="K1098" s="33">
        <v>5.5</v>
      </c>
      <c r="L1098" s="66">
        <v>70.0</v>
      </c>
      <c r="M1098" s="27" t="s">
        <v>1610</v>
      </c>
      <c r="N1098" s="27">
        <v>5.5</v>
      </c>
      <c r="O1098" s="27"/>
      <c r="P1098" s="27">
        <v>5.0</v>
      </c>
      <c r="Q1098" s="27"/>
      <c r="R1098" s="27">
        <v>5.0</v>
      </c>
      <c r="S1098" s="27"/>
      <c r="T1098" s="27">
        <v>5.5</v>
      </c>
      <c r="U1098" s="27"/>
      <c r="V1098" s="27">
        <v>5.0</v>
      </c>
      <c r="W1098" s="27"/>
      <c r="X1098" s="27">
        <v>5.0</v>
      </c>
      <c r="Y1098" s="27"/>
      <c r="Z1098" s="27">
        <v>5.0</v>
      </c>
      <c r="AA1098" s="27"/>
      <c r="AB1098" s="27">
        <v>4.5</v>
      </c>
      <c r="AC1098" s="27"/>
      <c r="AD1098" s="27">
        <v>5.5</v>
      </c>
      <c r="AE1098" s="27"/>
      <c r="AF1098" s="27">
        <v>5.5</v>
      </c>
      <c r="AG1098" s="27"/>
      <c r="AH1098" s="27">
        <v>272.0</v>
      </c>
      <c r="AI1098" s="27">
        <v>167.0</v>
      </c>
      <c r="AJ1098" s="27">
        <v>2.0</v>
      </c>
      <c r="AK1098" s="27" t="b">
        <v>0</v>
      </c>
      <c r="AL1098" s="27">
        <v>100.0</v>
      </c>
      <c r="AM1098" s="27" t="s">
        <v>187</v>
      </c>
      <c r="AN1098" s="27" t="s">
        <v>404</v>
      </c>
      <c r="AO1098" s="27"/>
    </row>
    <row r="1099">
      <c r="A1099" s="200">
        <v>44852.025106597226</v>
      </c>
      <c r="B1099" s="19"/>
      <c r="C1099" s="21"/>
      <c r="D1099" s="62"/>
      <c r="E1099" s="27"/>
      <c r="F1099" s="27"/>
      <c r="G1099" s="201"/>
      <c r="H1099" s="27"/>
      <c r="I1099" s="27"/>
      <c r="J1099" s="33"/>
      <c r="K1099" s="33"/>
      <c r="L1099" s="66"/>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t="e">
        <v>#N/A</v>
      </c>
      <c r="AN1099" s="27" t="e">
        <v>#N/A</v>
      </c>
      <c r="AO1099" s="27"/>
    </row>
    <row r="1100">
      <c r="A1100" s="200">
        <v>44852.025106597226</v>
      </c>
      <c r="B1100" s="19" t="s">
        <v>148</v>
      </c>
      <c r="C1100" s="21" t="s">
        <v>316</v>
      </c>
      <c r="D1100" s="62">
        <v>4.0</v>
      </c>
      <c r="E1100" s="27">
        <v>2.0</v>
      </c>
      <c r="F1100" s="27"/>
      <c r="G1100" s="201"/>
      <c r="H1100" s="27"/>
      <c r="I1100" s="27" t="s">
        <v>126</v>
      </c>
      <c r="J1100" s="33"/>
      <c r="K1100" s="33"/>
      <c r="L1100" s="66"/>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v>163.0</v>
      </c>
      <c r="AI1100" s="27">
        <v>115.0</v>
      </c>
      <c r="AJ1100" s="27">
        <v>0.0</v>
      </c>
      <c r="AK1100" s="27" t="b">
        <v>1</v>
      </c>
      <c r="AL1100" s="27">
        <v>59.0</v>
      </c>
      <c r="AM1100" s="27" t="s">
        <v>129</v>
      </c>
      <c r="AN1100" s="27" t="s">
        <v>405</v>
      </c>
      <c r="AO1100" s="27"/>
    </row>
    <row r="1101">
      <c r="A1101" s="200">
        <v>44852.025106597226</v>
      </c>
      <c r="B1101" s="19" t="s">
        <v>148</v>
      </c>
      <c r="C1101" s="21" t="s">
        <v>387</v>
      </c>
      <c r="D1101" s="62">
        <v>3.0</v>
      </c>
      <c r="E1101" s="27">
        <v>3.0</v>
      </c>
      <c r="F1101" s="27"/>
      <c r="G1101" s="201"/>
      <c r="H1101" s="27"/>
      <c r="I1101" s="27" t="s">
        <v>111</v>
      </c>
      <c r="J1101" s="33"/>
      <c r="K1101" s="33"/>
      <c r="L1101" s="66"/>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v>129.0</v>
      </c>
      <c r="AI1101" s="27">
        <v>113.0</v>
      </c>
      <c r="AJ1101" s="27">
        <v>0.0</v>
      </c>
      <c r="AK1101" s="27" t="b">
        <v>1</v>
      </c>
      <c r="AL1101" s="27">
        <v>59.0</v>
      </c>
      <c r="AM1101" s="27" t="s">
        <v>192</v>
      </c>
      <c r="AN1101" s="27" t="s">
        <v>404</v>
      </c>
      <c r="AO1101" s="27"/>
    </row>
    <row r="1102">
      <c r="A1102" s="200">
        <v>44852.025106597226</v>
      </c>
      <c r="B1102" s="19" t="s">
        <v>148</v>
      </c>
      <c r="C1102" s="21" t="s">
        <v>381</v>
      </c>
      <c r="D1102" s="62">
        <v>5.0</v>
      </c>
      <c r="E1102" s="27">
        <v>2.0</v>
      </c>
      <c r="F1102" s="27" t="s">
        <v>1836</v>
      </c>
      <c r="G1102" s="201" t="s">
        <v>57</v>
      </c>
      <c r="H1102" s="27" t="s">
        <v>141</v>
      </c>
      <c r="I1102" s="27"/>
      <c r="J1102" s="33">
        <v>-13.5</v>
      </c>
      <c r="K1102" s="33">
        <v>-14.0</v>
      </c>
      <c r="L1102" s="66">
        <v>56.5</v>
      </c>
      <c r="M1102" s="27" t="s">
        <v>1837</v>
      </c>
      <c r="N1102" s="27">
        <v>-14.0</v>
      </c>
      <c r="O1102" s="27"/>
      <c r="P1102" s="27">
        <v>-14.0</v>
      </c>
      <c r="Q1102" s="27"/>
      <c r="R1102" s="27">
        <v>-14.0</v>
      </c>
      <c r="S1102" s="27"/>
      <c r="T1102" s="27">
        <v>-14.0</v>
      </c>
      <c r="U1102" s="27"/>
      <c r="V1102" s="27">
        <v>-14.0</v>
      </c>
      <c r="W1102" s="27"/>
      <c r="X1102" s="27">
        <v>-14.0</v>
      </c>
      <c r="Y1102" s="27"/>
      <c r="Z1102" s="27">
        <v>-14.0</v>
      </c>
      <c r="AA1102" s="27"/>
      <c r="AB1102" s="27">
        <v>-14.0</v>
      </c>
      <c r="AC1102" s="27"/>
      <c r="AD1102" s="27">
        <v>-14.0</v>
      </c>
      <c r="AE1102" s="27"/>
      <c r="AF1102" s="27">
        <v>-14.0</v>
      </c>
      <c r="AG1102" s="27"/>
      <c r="AH1102" s="27">
        <v>238.0</v>
      </c>
      <c r="AI1102" s="27">
        <v>169.0</v>
      </c>
      <c r="AJ1102" s="27">
        <v>2.0</v>
      </c>
      <c r="AK1102" s="27" t="b">
        <v>1</v>
      </c>
      <c r="AL1102" s="27">
        <v>100.0</v>
      </c>
      <c r="AM1102" s="27" t="s">
        <v>188</v>
      </c>
      <c r="AN1102" s="27" t="s">
        <v>404</v>
      </c>
      <c r="AO1102" s="27"/>
    </row>
    <row r="1103">
      <c r="A1103" s="200">
        <v>44852.025106597226</v>
      </c>
      <c r="B1103" s="19" t="s">
        <v>148</v>
      </c>
      <c r="C1103" s="21" t="s">
        <v>377</v>
      </c>
      <c r="D1103" s="62">
        <v>5.0</v>
      </c>
      <c r="E1103" s="27">
        <v>2.0</v>
      </c>
      <c r="F1103" s="27" t="s">
        <v>1872</v>
      </c>
      <c r="G1103" s="201" t="s">
        <v>57</v>
      </c>
      <c r="H1103" s="27" t="s">
        <v>103</v>
      </c>
      <c r="I1103" s="27"/>
      <c r="J1103" s="33">
        <v>-17.0</v>
      </c>
      <c r="K1103" s="33">
        <v>-15.0</v>
      </c>
      <c r="L1103" s="66">
        <v>72.0</v>
      </c>
      <c r="M1103" s="27" t="s">
        <v>1395</v>
      </c>
      <c r="N1103" s="27">
        <v>-14.5</v>
      </c>
      <c r="O1103" s="27"/>
      <c r="P1103" s="27">
        <v>-14.5</v>
      </c>
      <c r="Q1103" s="27"/>
      <c r="R1103" s="27">
        <v>-14.5</v>
      </c>
      <c r="S1103" s="27"/>
      <c r="T1103" s="27">
        <v>-15.0</v>
      </c>
      <c r="U1103" s="27"/>
      <c r="V1103" s="27">
        <v>-14.5</v>
      </c>
      <c r="W1103" s="27"/>
      <c r="X1103" s="27">
        <v>-14.5</v>
      </c>
      <c r="Y1103" s="27"/>
      <c r="Z1103" s="27">
        <v>-14.5</v>
      </c>
      <c r="AA1103" s="27"/>
      <c r="AB1103" s="27">
        <v>-17.5</v>
      </c>
      <c r="AC1103" s="27"/>
      <c r="AD1103" s="27">
        <v>-15.0</v>
      </c>
      <c r="AE1103" s="27"/>
      <c r="AF1103" s="27">
        <v>-15.0</v>
      </c>
      <c r="AG1103" s="27"/>
      <c r="AH1103" s="27">
        <v>295.0</v>
      </c>
      <c r="AI1103" s="27">
        <v>200.0</v>
      </c>
      <c r="AJ1103" s="27">
        <v>2.0</v>
      </c>
      <c r="AK1103" s="27" t="b">
        <v>1</v>
      </c>
      <c r="AL1103" s="27">
        <v>100.0</v>
      </c>
      <c r="AM1103" s="27" t="s">
        <v>191</v>
      </c>
      <c r="AN1103" s="27" t="s">
        <v>404</v>
      </c>
      <c r="AO1103" s="27"/>
    </row>
    <row r="1104">
      <c r="A1104" s="200">
        <v>44852.025106597226</v>
      </c>
      <c r="B1104" s="19" t="s">
        <v>148</v>
      </c>
      <c r="C1104" s="21" t="s">
        <v>380</v>
      </c>
      <c r="D1104" s="62">
        <v>3.0</v>
      </c>
      <c r="E1104" s="27">
        <v>4.0</v>
      </c>
      <c r="F1104" s="27" t="s">
        <v>1839</v>
      </c>
      <c r="G1104" s="201" t="s">
        <v>57</v>
      </c>
      <c r="H1104" s="27" t="s">
        <v>141</v>
      </c>
      <c r="I1104" s="27"/>
      <c r="J1104" s="33">
        <v>15.5</v>
      </c>
      <c r="K1104" s="33">
        <v>16.5</v>
      </c>
      <c r="L1104" s="66">
        <v>46.5</v>
      </c>
      <c r="M1104" s="27" t="s">
        <v>1377</v>
      </c>
      <c r="N1104" s="27">
        <v>16.5</v>
      </c>
      <c r="O1104" s="27"/>
      <c r="P1104" s="27">
        <v>16.5</v>
      </c>
      <c r="Q1104" s="27"/>
      <c r="R1104" s="27">
        <v>16.5</v>
      </c>
      <c r="S1104" s="27"/>
      <c r="T1104" s="27">
        <v>16.5</v>
      </c>
      <c r="U1104" s="27"/>
      <c r="V1104" s="27">
        <v>16.5</v>
      </c>
      <c r="W1104" s="27"/>
      <c r="X1104" s="27">
        <v>16.5</v>
      </c>
      <c r="Y1104" s="27"/>
      <c r="Z1104" s="27">
        <v>16.5</v>
      </c>
      <c r="AA1104" s="27"/>
      <c r="AB1104" s="27">
        <v>16.5</v>
      </c>
      <c r="AC1104" s="27"/>
      <c r="AD1104" s="27">
        <v>16.5</v>
      </c>
      <c r="AE1104" s="27"/>
      <c r="AF1104" s="27">
        <v>16.5</v>
      </c>
      <c r="AG1104" s="27"/>
      <c r="AH1104" s="27">
        <v>159.0</v>
      </c>
      <c r="AI1104" s="27">
        <v>173.0</v>
      </c>
      <c r="AJ1104" s="27">
        <v>2.0</v>
      </c>
      <c r="AK1104" s="27" t="b">
        <v>1</v>
      </c>
      <c r="AL1104" s="27">
        <v>100.0</v>
      </c>
      <c r="AM1104" s="27" t="s">
        <v>193</v>
      </c>
      <c r="AN1104" s="27" t="s">
        <v>405</v>
      </c>
      <c r="AO1104" s="27"/>
    </row>
    <row r="1105">
      <c r="A1105" s="200">
        <v>44852.025106597226</v>
      </c>
      <c r="B1105" s="19" t="s">
        <v>148</v>
      </c>
      <c r="C1105" s="21" t="s">
        <v>401</v>
      </c>
      <c r="D1105" s="62">
        <v>1.0</v>
      </c>
      <c r="E1105" s="27">
        <v>6.0</v>
      </c>
      <c r="F1105" s="27" t="s">
        <v>1846</v>
      </c>
      <c r="G1105" s="201" t="s">
        <v>57</v>
      </c>
      <c r="H1105" s="27" t="s">
        <v>109</v>
      </c>
      <c r="I1105" s="27"/>
      <c r="J1105" s="33">
        <v>16.5</v>
      </c>
      <c r="K1105" s="33">
        <v>17.0</v>
      </c>
      <c r="L1105" s="66">
        <v>47.0</v>
      </c>
      <c r="M1105" s="27" t="s">
        <v>1257</v>
      </c>
      <c r="N1105" s="27">
        <v>17.0</v>
      </c>
      <c r="O1105" s="27"/>
      <c r="P1105" s="27">
        <v>17.0</v>
      </c>
      <c r="Q1105" s="27"/>
      <c r="R1105" s="27">
        <v>17.0</v>
      </c>
      <c r="S1105" s="27"/>
      <c r="T1105" s="27">
        <v>17.0</v>
      </c>
      <c r="U1105" s="27"/>
      <c r="V1105" s="27">
        <v>17.0</v>
      </c>
      <c r="W1105" s="27"/>
      <c r="X1105" s="27">
        <v>17.0</v>
      </c>
      <c r="Y1105" s="27"/>
      <c r="Z1105" s="27">
        <v>17.0</v>
      </c>
      <c r="AA1105" s="27"/>
      <c r="AB1105" s="27">
        <v>17.0</v>
      </c>
      <c r="AC1105" s="27"/>
      <c r="AD1105" s="27">
        <v>17.0</v>
      </c>
      <c r="AE1105" s="27"/>
      <c r="AF1105" s="27" t="s">
        <v>1091</v>
      </c>
      <c r="AG1105" s="27" t="s">
        <v>1091</v>
      </c>
      <c r="AH1105" s="27">
        <v>84.0</v>
      </c>
      <c r="AI1105" s="27">
        <v>224.0</v>
      </c>
      <c r="AJ1105" s="27">
        <v>2.0</v>
      </c>
      <c r="AK1105" s="27" t="b">
        <v>0</v>
      </c>
      <c r="AL1105" s="27">
        <v>100.0</v>
      </c>
      <c r="AM1105" s="27" t="s">
        <v>189</v>
      </c>
      <c r="AN1105" s="27" t="s">
        <v>405</v>
      </c>
      <c r="AO1105" s="27"/>
    </row>
    <row r="1106">
      <c r="A1106" s="200">
        <v>44852.025106597226</v>
      </c>
      <c r="B1106" s="19" t="s">
        <v>148</v>
      </c>
      <c r="C1106" s="21" t="s">
        <v>384</v>
      </c>
      <c r="D1106" s="62">
        <v>2.0</v>
      </c>
      <c r="E1106" s="27">
        <v>5.0</v>
      </c>
      <c r="F1106" s="27" t="s">
        <v>1852</v>
      </c>
      <c r="G1106" s="201" t="s">
        <v>57</v>
      </c>
      <c r="H1106" s="27" t="s">
        <v>144</v>
      </c>
      <c r="I1106" s="27"/>
      <c r="J1106" s="33">
        <v>5.5</v>
      </c>
      <c r="K1106" s="33">
        <v>8.5</v>
      </c>
      <c r="L1106" s="66">
        <v>47.5</v>
      </c>
      <c r="M1106" s="27" t="s">
        <v>1853</v>
      </c>
      <c r="N1106" s="27">
        <v>8.5</v>
      </c>
      <c r="O1106" s="27"/>
      <c r="P1106" s="27">
        <v>9.0</v>
      </c>
      <c r="Q1106" s="27"/>
      <c r="R1106" s="27">
        <v>9.0</v>
      </c>
      <c r="S1106" s="27"/>
      <c r="T1106" s="27">
        <v>8.5</v>
      </c>
      <c r="U1106" s="27"/>
      <c r="V1106" s="27">
        <v>9.0</v>
      </c>
      <c r="W1106" s="27"/>
      <c r="X1106" s="27">
        <v>9.5</v>
      </c>
      <c r="Y1106" s="27"/>
      <c r="Z1106" s="27">
        <v>8.5</v>
      </c>
      <c r="AA1106" s="27"/>
      <c r="AB1106" s="27">
        <v>8.5</v>
      </c>
      <c r="AC1106" s="27"/>
      <c r="AD1106" s="27">
        <v>8.5</v>
      </c>
      <c r="AE1106" s="27"/>
      <c r="AF1106" s="27">
        <v>8.5</v>
      </c>
      <c r="AG1106" s="27"/>
      <c r="AH1106" s="27">
        <v>134.0</v>
      </c>
      <c r="AI1106" s="27">
        <v>176.0</v>
      </c>
      <c r="AJ1106" s="27">
        <v>2.0</v>
      </c>
      <c r="AK1106" s="27" t="b">
        <v>0</v>
      </c>
      <c r="AL1106" s="27">
        <v>100.0</v>
      </c>
      <c r="AM1106" s="27" t="s">
        <v>186</v>
      </c>
      <c r="AN1106" s="27" t="s">
        <v>404</v>
      </c>
      <c r="AO1106" s="27"/>
    </row>
    <row r="1107">
      <c r="A1107" s="200">
        <v>44852.025106597226</v>
      </c>
      <c r="B1107" s="19" t="s">
        <v>148</v>
      </c>
      <c r="C1107" s="21" t="s">
        <v>326</v>
      </c>
      <c r="D1107" s="62">
        <v>3.0</v>
      </c>
      <c r="E1107" s="27">
        <v>4.0</v>
      </c>
      <c r="F1107" s="27" t="s">
        <v>1865</v>
      </c>
      <c r="G1107" s="201" t="s">
        <v>57</v>
      </c>
      <c r="H1107" s="27" t="s">
        <v>166</v>
      </c>
      <c r="I1107" s="27"/>
      <c r="J1107" s="33">
        <v>14.5</v>
      </c>
      <c r="K1107" s="33">
        <v>15.5</v>
      </c>
      <c r="L1107" s="66">
        <v>48.5</v>
      </c>
      <c r="M1107" s="27" t="s">
        <v>1866</v>
      </c>
      <c r="N1107" s="27">
        <v>15.5</v>
      </c>
      <c r="O1107" s="27"/>
      <c r="P1107" s="27">
        <v>15.5</v>
      </c>
      <c r="Q1107" s="27"/>
      <c r="R1107" s="27">
        <v>15.5</v>
      </c>
      <c r="S1107" s="27"/>
      <c r="T1107" s="27">
        <v>15.0</v>
      </c>
      <c r="U1107" s="27"/>
      <c r="V1107" s="27">
        <v>15.5</v>
      </c>
      <c r="W1107" s="27"/>
      <c r="X1107" s="27">
        <v>15.5</v>
      </c>
      <c r="Y1107" s="27"/>
      <c r="Z1107" s="27">
        <v>15.5</v>
      </c>
      <c r="AA1107" s="27"/>
      <c r="AB1107" s="27">
        <v>15.0</v>
      </c>
      <c r="AC1107" s="27"/>
      <c r="AD1107" s="27">
        <v>15.0</v>
      </c>
      <c r="AE1107" s="27"/>
      <c r="AF1107" s="27">
        <v>15.0</v>
      </c>
      <c r="AG1107" s="27"/>
      <c r="AH1107" s="27">
        <v>160.0</v>
      </c>
      <c r="AI1107" s="27">
        <v>106.0</v>
      </c>
      <c r="AJ1107" s="27">
        <v>2.0</v>
      </c>
      <c r="AK1107" s="27" t="b">
        <v>0</v>
      </c>
      <c r="AL1107" s="27">
        <v>100.0</v>
      </c>
      <c r="AM1107" s="27" t="s">
        <v>187</v>
      </c>
      <c r="AN1107" s="27" t="s">
        <v>404</v>
      </c>
      <c r="AO1107" s="27"/>
    </row>
    <row r="1108">
      <c r="A1108" s="200">
        <v>44852.025106597226</v>
      </c>
      <c r="B1108" s="19" t="s">
        <v>148</v>
      </c>
      <c r="C1108" s="21" t="s">
        <v>335</v>
      </c>
      <c r="D1108" s="62">
        <v>3.0</v>
      </c>
      <c r="E1108" s="27">
        <v>4.0</v>
      </c>
      <c r="F1108" s="27" t="s">
        <v>1801</v>
      </c>
      <c r="G1108" s="201" t="s">
        <v>57</v>
      </c>
      <c r="H1108" s="27" t="s">
        <v>131</v>
      </c>
      <c r="I1108" s="27"/>
      <c r="J1108" s="33">
        <v>7.0</v>
      </c>
      <c r="K1108" s="33">
        <v>7.0</v>
      </c>
      <c r="L1108" s="66">
        <v>45.0</v>
      </c>
      <c r="M1108" s="27" t="s">
        <v>1802</v>
      </c>
      <c r="N1108" s="27">
        <v>7.0</v>
      </c>
      <c r="O1108" s="27"/>
      <c r="P1108" s="27">
        <v>7.0</v>
      </c>
      <c r="Q1108" s="27"/>
      <c r="R1108" s="27">
        <v>7.0</v>
      </c>
      <c r="S1108" s="27"/>
      <c r="T1108" s="27">
        <v>7.0</v>
      </c>
      <c r="U1108" s="27"/>
      <c r="V1108" s="27">
        <v>7.0</v>
      </c>
      <c r="W1108" s="27"/>
      <c r="X1108" s="27">
        <v>7.5</v>
      </c>
      <c r="Y1108" s="27"/>
      <c r="Z1108" s="27">
        <v>7.0</v>
      </c>
      <c r="AA1108" s="27"/>
      <c r="AB1108" s="27">
        <v>7.0</v>
      </c>
      <c r="AC1108" s="27"/>
      <c r="AD1108" s="27" t="s">
        <v>1091</v>
      </c>
      <c r="AE1108" s="27" t="s">
        <v>1091</v>
      </c>
      <c r="AF1108" s="27" t="s">
        <v>1091</v>
      </c>
      <c r="AG1108" s="27" t="s">
        <v>1091</v>
      </c>
      <c r="AH1108" s="27">
        <v>177.0</v>
      </c>
      <c r="AI1108" s="27">
        <v>259.0</v>
      </c>
      <c r="AJ1108" s="27">
        <v>2.0</v>
      </c>
      <c r="AK1108" s="27" t="b">
        <v>1</v>
      </c>
      <c r="AL1108" s="27">
        <v>100.0</v>
      </c>
      <c r="AM1108" s="27" t="s">
        <v>190</v>
      </c>
      <c r="AN1108" s="27" t="s">
        <v>405</v>
      </c>
      <c r="AO1108" s="27"/>
    </row>
    <row r="1109">
      <c r="A1109" s="200">
        <v>44852.025106597226</v>
      </c>
      <c r="B1109" s="19" t="s">
        <v>148</v>
      </c>
      <c r="C1109" s="21" t="s">
        <v>374</v>
      </c>
      <c r="D1109" s="62">
        <v>5.0</v>
      </c>
      <c r="E1109" s="27">
        <v>1.0</v>
      </c>
      <c r="F1109" s="27" t="s">
        <v>1873</v>
      </c>
      <c r="G1109" s="201" t="s">
        <v>57</v>
      </c>
      <c r="H1109" s="27" t="s">
        <v>103</v>
      </c>
      <c r="I1109" s="27"/>
      <c r="J1109" s="33">
        <v>-23.5</v>
      </c>
      <c r="K1109" s="33">
        <v>-23.5</v>
      </c>
      <c r="L1109" s="66">
        <v>46.5</v>
      </c>
      <c r="M1109" s="27" t="s">
        <v>1874</v>
      </c>
      <c r="N1109" s="27">
        <v>-23.5</v>
      </c>
      <c r="O1109" s="27"/>
      <c r="P1109" s="27">
        <v>-23.5</v>
      </c>
      <c r="Q1109" s="27"/>
      <c r="R1109" s="27">
        <v>-23.5</v>
      </c>
      <c r="S1109" s="27"/>
      <c r="T1109" s="27">
        <v>-23.5</v>
      </c>
      <c r="U1109" s="27"/>
      <c r="V1109" s="27">
        <v>-23.5</v>
      </c>
      <c r="W1109" s="27"/>
      <c r="X1109" s="27">
        <v>-23.5</v>
      </c>
      <c r="Y1109" s="27"/>
      <c r="Z1109" s="27">
        <v>-23.5</v>
      </c>
      <c r="AA1109" s="27"/>
      <c r="AB1109" s="27">
        <v>-23.5</v>
      </c>
      <c r="AC1109" s="27"/>
      <c r="AD1109" s="27">
        <v>-23.5</v>
      </c>
      <c r="AE1109" s="27"/>
      <c r="AF1109" s="27">
        <v>-23.5</v>
      </c>
      <c r="AG1109" s="27"/>
      <c r="AH1109" s="27">
        <v>248.0</v>
      </c>
      <c r="AI1109" s="27">
        <v>86.0</v>
      </c>
      <c r="AJ1109" s="27">
        <v>2.0</v>
      </c>
      <c r="AK1109" s="27" t="b">
        <v>1</v>
      </c>
      <c r="AL1109" s="27">
        <v>100.0</v>
      </c>
      <c r="AM1109" s="27" t="s">
        <v>389</v>
      </c>
      <c r="AN1109" s="27" t="s">
        <v>405</v>
      </c>
      <c r="AO1109" s="27"/>
    </row>
    <row r="1110">
      <c r="A1110" s="200">
        <v>44852.025106597226</v>
      </c>
      <c r="B1110" s="19"/>
      <c r="C1110" s="21"/>
      <c r="D1110" s="62"/>
      <c r="E1110" s="27"/>
      <c r="F1110" s="27"/>
      <c r="G1110" s="201"/>
      <c r="H1110" s="27"/>
      <c r="I1110" s="27"/>
      <c r="J1110" s="33"/>
      <c r="K1110" s="33"/>
      <c r="L1110" s="66"/>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t="e">
        <v>#N/A</v>
      </c>
      <c r="AN1110" s="27" t="e">
        <v>#N/A</v>
      </c>
      <c r="AO1110" s="27"/>
    </row>
    <row r="1111">
      <c r="A1111" s="200">
        <v>44852.025106597226</v>
      </c>
      <c r="B1111" s="19" t="s">
        <v>103</v>
      </c>
      <c r="C1111" s="21" t="s">
        <v>361</v>
      </c>
      <c r="D1111" s="62">
        <v>2.0</v>
      </c>
      <c r="E1111" s="27">
        <v>4.0</v>
      </c>
      <c r="F1111" s="27"/>
      <c r="G1111" s="201"/>
      <c r="H1111" s="27"/>
      <c r="I1111" s="27" t="s">
        <v>105</v>
      </c>
      <c r="J1111" s="33"/>
      <c r="K1111" s="33"/>
      <c r="L1111" s="66"/>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v>179.0</v>
      </c>
      <c r="AI1111" s="27">
        <v>200.0</v>
      </c>
      <c r="AJ1111" s="27">
        <v>0.0</v>
      </c>
      <c r="AK1111" s="27" t="b">
        <v>1</v>
      </c>
      <c r="AL1111" s="27">
        <v>59.0</v>
      </c>
      <c r="AM1111" s="27" t="s">
        <v>193</v>
      </c>
      <c r="AN1111" s="27" t="s">
        <v>405</v>
      </c>
      <c r="AO1111" s="27"/>
    </row>
    <row r="1112">
      <c r="A1112" s="200">
        <v>44852.025106597226</v>
      </c>
      <c r="B1112" s="19" t="s">
        <v>103</v>
      </c>
      <c r="C1112" s="21" t="s">
        <v>324</v>
      </c>
      <c r="D1112" s="62">
        <v>5.0</v>
      </c>
      <c r="E1112" s="27">
        <v>2.0</v>
      </c>
      <c r="F1112" s="27" t="s">
        <v>1815</v>
      </c>
      <c r="G1112" s="201" t="s">
        <v>57</v>
      </c>
      <c r="H1112" s="27" t="s">
        <v>59</v>
      </c>
      <c r="I1112" s="27"/>
      <c r="J1112" s="33">
        <v>-8.5</v>
      </c>
      <c r="K1112" s="33">
        <v>-10.0</v>
      </c>
      <c r="L1112" s="66">
        <v>50.0</v>
      </c>
      <c r="M1112" s="27" t="s">
        <v>1816</v>
      </c>
      <c r="N1112" s="27">
        <v>-10.0</v>
      </c>
      <c r="O1112" s="27"/>
      <c r="P1112" s="27">
        <v>-10.5</v>
      </c>
      <c r="Q1112" s="27"/>
      <c r="R1112" s="27">
        <v>-10.5</v>
      </c>
      <c r="S1112" s="27"/>
      <c r="T1112" s="27">
        <v>-10.0</v>
      </c>
      <c r="U1112" s="27"/>
      <c r="V1112" s="27">
        <v>-10.5</v>
      </c>
      <c r="W1112" s="27"/>
      <c r="X1112" s="27">
        <v>-10.0</v>
      </c>
      <c r="Y1112" s="27"/>
      <c r="Z1112" s="27">
        <v>-10.0</v>
      </c>
      <c r="AA1112" s="27"/>
      <c r="AB1112" s="27">
        <v>-10.5</v>
      </c>
      <c r="AC1112" s="27"/>
      <c r="AD1112" s="27">
        <v>-10.0</v>
      </c>
      <c r="AE1112" s="27"/>
      <c r="AF1112" s="27">
        <v>-10.0</v>
      </c>
      <c r="AG1112" s="27"/>
      <c r="AH1112" s="27">
        <v>233.0</v>
      </c>
      <c r="AI1112" s="27">
        <v>115.0</v>
      </c>
      <c r="AJ1112" s="27">
        <v>2.0</v>
      </c>
      <c r="AK1112" s="27" t="b">
        <v>1</v>
      </c>
      <c r="AL1112" s="27">
        <v>100.0</v>
      </c>
      <c r="AM1112" s="27" t="s">
        <v>129</v>
      </c>
      <c r="AN1112" s="27" t="s">
        <v>405</v>
      </c>
      <c r="AO1112" s="27"/>
    </row>
    <row r="1113">
      <c r="A1113" s="200">
        <v>44852.025106597226</v>
      </c>
      <c r="B1113" s="19" t="s">
        <v>103</v>
      </c>
      <c r="C1113" s="21" t="s">
        <v>340</v>
      </c>
      <c r="D1113" s="62">
        <v>4.0</v>
      </c>
      <c r="E1113" s="27">
        <v>3.0</v>
      </c>
      <c r="F1113" s="27" t="s">
        <v>1792</v>
      </c>
      <c r="G1113" s="201" t="s">
        <v>57</v>
      </c>
      <c r="H1113" s="27" t="s">
        <v>131</v>
      </c>
      <c r="I1113" s="27"/>
      <c r="J1113" s="33">
        <v>4.5</v>
      </c>
      <c r="K1113" s="33">
        <v>4.5</v>
      </c>
      <c r="L1113" s="66">
        <v>51.0</v>
      </c>
      <c r="M1113" s="27" t="s">
        <v>1793</v>
      </c>
      <c r="N1113" s="27">
        <v>4.5</v>
      </c>
      <c r="O1113" s="27"/>
      <c r="P1113" s="27">
        <v>4.5</v>
      </c>
      <c r="Q1113" s="27"/>
      <c r="R1113" s="27">
        <v>4.5</v>
      </c>
      <c r="S1113" s="27"/>
      <c r="T1113" s="27">
        <v>4.5</v>
      </c>
      <c r="U1113" s="27"/>
      <c r="V1113" s="27">
        <v>4.5</v>
      </c>
      <c r="W1113" s="27"/>
      <c r="X1113" s="27">
        <v>4.5</v>
      </c>
      <c r="Y1113" s="27"/>
      <c r="Z1113" s="27">
        <v>4.5</v>
      </c>
      <c r="AA1113" s="27"/>
      <c r="AB1113" s="27">
        <v>4.5</v>
      </c>
      <c r="AC1113" s="27"/>
      <c r="AD1113" s="27">
        <v>4.5</v>
      </c>
      <c r="AE1113" s="27"/>
      <c r="AF1113" s="27">
        <v>4.5</v>
      </c>
      <c r="AG1113" s="27"/>
      <c r="AH1113" s="27">
        <v>216.0</v>
      </c>
      <c r="AI1113" s="27">
        <v>159.0</v>
      </c>
      <c r="AJ1113" s="27">
        <v>2.0</v>
      </c>
      <c r="AK1113" s="27" t="b">
        <v>0</v>
      </c>
      <c r="AL1113" s="27">
        <v>100.0</v>
      </c>
      <c r="AM1113" s="27" t="s">
        <v>186</v>
      </c>
      <c r="AN1113" s="27" t="s">
        <v>404</v>
      </c>
      <c r="AO1113" s="27"/>
    </row>
    <row r="1114">
      <c r="A1114" s="200">
        <v>44852.025106597226</v>
      </c>
      <c r="B1114" s="19" t="s">
        <v>103</v>
      </c>
      <c r="C1114" s="21" t="s">
        <v>322</v>
      </c>
      <c r="D1114" s="62">
        <v>3.0</v>
      </c>
      <c r="E1114" s="27">
        <v>4.0</v>
      </c>
      <c r="F1114" s="27" t="s">
        <v>1872</v>
      </c>
      <c r="G1114" s="201" t="s">
        <v>57</v>
      </c>
      <c r="H1114" s="27" t="s">
        <v>148</v>
      </c>
      <c r="I1114" s="27"/>
      <c r="J1114" s="33">
        <v>17.0</v>
      </c>
      <c r="K1114" s="33">
        <v>15.0</v>
      </c>
      <c r="L1114" s="66">
        <v>72.0</v>
      </c>
      <c r="M1114" s="27" t="s">
        <v>1395</v>
      </c>
      <c r="N1114" s="27">
        <v>14.5</v>
      </c>
      <c r="O1114" s="27"/>
      <c r="P1114" s="27">
        <v>14.5</v>
      </c>
      <c r="Q1114" s="27"/>
      <c r="R1114" s="27">
        <v>14.5</v>
      </c>
      <c r="S1114" s="27"/>
      <c r="T1114" s="27">
        <v>15.0</v>
      </c>
      <c r="U1114" s="27"/>
      <c r="V1114" s="27">
        <v>14.5</v>
      </c>
      <c r="W1114" s="27"/>
      <c r="X1114" s="27">
        <v>14.5</v>
      </c>
      <c r="Y1114" s="27"/>
      <c r="Z1114" s="27">
        <v>14.5</v>
      </c>
      <c r="AA1114" s="27"/>
      <c r="AB1114" s="27">
        <v>17.5</v>
      </c>
      <c r="AC1114" s="27"/>
      <c r="AD1114" s="27">
        <v>15.0</v>
      </c>
      <c r="AE1114" s="27"/>
      <c r="AF1114" s="27">
        <v>15.0</v>
      </c>
      <c r="AG1114" s="27"/>
      <c r="AH1114" s="27">
        <v>221.0</v>
      </c>
      <c r="AI1114" s="27">
        <v>254.0</v>
      </c>
      <c r="AJ1114" s="27">
        <v>2.0</v>
      </c>
      <c r="AK1114" s="27" t="b">
        <v>0</v>
      </c>
      <c r="AL1114" s="27">
        <v>100.0</v>
      </c>
      <c r="AM1114" s="27" t="s">
        <v>191</v>
      </c>
      <c r="AN1114" s="27" t="s">
        <v>404</v>
      </c>
      <c r="AO1114" s="27"/>
    </row>
    <row r="1115">
      <c r="A1115" s="200">
        <v>44852.025106597226</v>
      </c>
      <c r="B1115" s="19" t="s">
        <v>103</v>
      </c>
      <c r="C1115" s="21" t="s">
        <v>341</v>
      </c>
      <c r="D1115" s="62">
        <v>5.0</v>
      </c>
      <c r="E1115" s="27">
        <v>2.0</v>
      </c>
      <c r="F1115" s="27" t="s">
        <v>1859</v>
      </c>
      <c r="G1115" s="201" t="s">
        <v>57</v>
      </c>
      <c r="H1115" s="27" t="s">
        <v>166</v>
      </c>
      <c r="I1115" s="27"/>
      <c r="J1115" s="33">
        <v>-13.5</v>
      </c>
      <c r="K1115" s="33">
        <v>-11.0</v>
      </c>
      <c r="L1115" s="66">
        <v>62.5</v>
      </c>
      <c r="M1115" s="27" t="s">
        <v>1860</v>
      </c>
      <c r="N1115" s="27">
        <v>-11.5</v>
      </c>
      <c r="O1115" s="27"/>
      <c r="P1115" s="27">
        <v>-11.0</v>
      </c>
      <c r="Q1115" s="27"/>
      <c r="R1115" s="27">
        <v>-11.0</v>
      </c>
      <c r="S1115" s="27"/>
      <c r="T1115" s="27">
        <v>-11.0</v>
      </c>
      <c r="U1115" s="27"/>
      <c r="V1115" s="27">
        <v>-11.0</v>
      </c>
      <c r="W1115" s="27"/>
      <c r="X1115" s="27">
        <v>-11.0</v>
      </c>
      <c r="Y1115" s="27"/>
      <c r="Z1115" s="27">
        <v>-11.0</v>
      </c>
      <c r="AA1115" s="27"/>
      <c r="AB1115" s="27">
        <v>-10.5</v>
      </c>
      <c r="AC1115" s="27"/>
      <c r="AD1115" s="27">
        <v>-11.0</v>
      </c>
      <c r="AE1115" s="27"/>
      <c r="AF1115" s="27">
        <v>-11.0</v>
      </c>
      <c r="AG1115" s="27"/>
      <c r="AH1115" s="27">
        <v>242.0</v>
      </c>
      <c r="AI1115" s="27">
        <v>169.0</v>
      </c>
      <c r="AJ1115" s="27">
        <v>2.0</v>
      </c>
      <c r="AK1115" s="27" t="b">
        <v>0</v>
      </c>
      <c r="AL1115" s="27">
        <v>100.0</v>
      </c>
      <c r="AM1115" s="27" t="s">
        <v>188</v>
      </c>
      <c r="AN1115" s="27" t="s">
        <v>404</v>
      </c>
      <c r="AO1115" s="27"/>
    </row>
    <row r="1116">
      <c r="A1116" s="200">
        <v>44852.025106597226</v>
      </c>
      <c r="B1116" s="19" t="s">
        <v>103</v>
      </c>
      <c r="C1116" s="21" t="s">
        <v>378</v>
      </c>
      <c r="D1116" s="62">
        <v>4.0</v>
      </c>
      <c r="E1116" s="27">
        <v>2.0</v>
      </c>
      <c r="F1116" s="27" t="s">
        <v>1838</v>
      </c>
      <c r="G1116" s="201" t="s">
        <v>57</v>
      </c>
      <c r="H1116" s="27" t="s">
        <v>141</v>
      </c>
      <c r="I1116" s="27"/>
      <c r="J1116" s="33" t="s">
        <v>1091</v>
      </c>
      <c r="K1116" s="33" t="s">
        <v>1091</v>
      </c>
      <c r="L1116" s="26" t="s">
        <v>1091</v>
      </c>
      <c r="M1116" s="27" t="s">
        <v>1091</v>
      </c>
      <c r="N1116" s="27" t="s">
        <v>1091</v>
      </c>
      <c r="O1116" s="27" t="s">
        <v>1091</v>
      </c>
      <c r="P1116" s="27" t="s">
        <v>1091</v>
      </c>
      <c r="Q1116" s="27" t="s">
        <v>1091</v>
      </c>
      <c r="R1116" s="27" t="s">
        <v>1091</v>
      </c>
      <c r="S1116" s="27" t="s">
        <v>1091</v>
      </c>
      <c r="T1116" s="27" t="s">
        <v>1091</v>
      </c>
      <c r="U1116" s="27" t="s">
        <v>1091</v>
      </c>
      <c r="V1116" s="27" t="s">
        <v>1091</v>
      </c>
      <c r="W1116" s="27" t="s">
        <v>1091</v>
      </c>
      <c r="X1116" s="27" t="s">
        <v>1091</v>
      </c>
      <c r="Y1116" s="27" t="s">
        <v>1091</v>
      </c>
      <c r="Z1116" s="27" t="s">
        <v>1091</v>
      </c>
      <c r="AA1116" s="27" t="s">
        <v>1091</v>
      </c>
      <c r="AB1116" s="27" t="s">
        <v>1091</v>
      </c>
      <c r="AC1116" s="27" t="s">
        <v>1091</v>
      </c>
      <c r="AD1116" s="27" t="s">
        <v>1091</v>
      </c>
      <c r="AE1116" s="27" t="s">
        <v>1091</v>
      </c>
      <c r="AF1116" s="27" t="s">
        <v>1091</v>
      </c>
      <c r="AG1116" s="27" t="s">
        <v>1091</v>
      </c>
      <c r="AH1116" s="27">
        <v>207.0</v>
      </c>
      <c r="AI1116" s="27">
        <v>104.0</v>
      </c>
      <c r="AJ1116" s="27">
        <v>2.0</v>
      </c>
      <c r="AK1116" s="27" t="b">
        <v>0</v>
      </c>
      <c r="AL1116" s="27">
        <v>100.0</v>
      </c>
      <c r="AM1116" s="27" t="s">
        <v>189</v>
      </c>
      <c r="AN1116" s="27" t="s">
        <v>405</v>
      </c>
      <c r="AO1116" s="27"/>
    </row>
    <row r="1117">
      <c r="A1117" s="200">
        <v>44852.025106597226</v>
      </c>
      <c r="B1117" s="19" t="s">
        <v>103</v>
      </c>
      <c r="C1117" s="21" t="s">
        <v>356</v>
      </c>
      <c r="D1117" s="62">
        <v>4.0</v>
      </c>
      <c r="E1117" s="27">
        <v>3.0</v>
      </c>
      <c r="F1117" s="27" t="s">
        <v>1833</v>
      </c>
      <c r="G1117" s="201" t="s">
        <v>57</v>
      </c>
      <c r="H1117" s="27" t="s">
        <v>138</v>
      </c>
      <c r="I1117" s="27"/>
      <c r="J1117" s="33">
        <v>-2.0</v>
      </c>
      <c r="K1117" s="33">
        <v>-3.5</v>
      </c>
      <c r="L1117" s="66">
        <v>64.5</v>
      </c>
      <c r="M1117" s="27" t="s">
        <v>1834</v>
      </c>
      <c r="N1117" s="27">
        <v>-3.5</v>
      </c>
      <c r="O1117" s="27"/>
      <c r="P1117" s="27">
        <v>-3.5</v>
      </c>
      <c r="Q1117" s="27"/>
      <c r="R1117" s="27">
        <v>-3.5</v>
      </c>
      <c r="S1117" s="27"/>
      <c r="T1117" s="27">
        <v>-3.5</v>
      </c>
      <c r="U1117" s="27"/>
      <c r="V1117" s="27">
        <v>-3.5</v>
      </c>
      <c r="W1117" s="27"/>
      <c r="X1117" s="27">
        <v>-3.5</v>
      </c>
      <c r="Y1117" s="27"/>
      <c r="Z1117" s="27">
        <v>-3.5</v>
      </c>
      <c r="AA1117" s="27"/>
      <c r="AB1117" s="27">
        <v>-3.5</v>
      </c>
      <c r="AC1117" s="27"/>
      <c r="AD1117" s="27">
        <v>-3.5</v>
      </c>
      <c r="AE1117" s="27"/>
      <c r="AF1117" s="27" t="s">
        <v>1091</v>
      </c>
      <c r="AG1117" s="27" t="s">
        <v>1091</v>
      </c>
      <c r="AH1117" s="27">
        <v>199.0</v>
      </c>
      <c r="AI1117" s="27">
        <v>229.0</v>
      </c>
      <c r="AJ1117" s="27">
        <v>2.0</v>
      </c>
      <c r="AK1117" s="27" t="b">
        <v>0</v>
      </c>
      <c r="AL1117" s="27">
        <v>100.0</v>
      </c>
      <c r="AM1117" s="27" t="s">
        <v>190</v>
      </c>
      <c r="AN1117" s="27" t="s">
        <v>405</v>
      </c>
      <c r="AO1117" s="27"/>
    </row>
    <row r="1118">
      <c r="A1118" s="200">
        <v>44852.025106597226</v>
      </c>
      <c r="B1118" s="19" t="s">
        <v>103</v>
      </c>
      <c r="C1118" s="21" t="s">
        <v>373</v>
      </c>
      <c r="D1118" s="62">
        <v>7.0</v>
      </c>
      <c r="E1118" s="27">
        <v>0.0</v>
      </c>
      <c r="F1118" s="27" t="s">
        <v>1863</v>
      </c>
      <c r="G1118" s="201" t="s">
        <v>57</v>
      </c>
      <c r="H1118" s="27" t="s">
        <v>166</v>
      </c>
      <c r="I1118" s="27"/>
      <c r="J1118" s="33">
        <v>-13.5</v>
      </c>
      <c r="K1118" s="33">
        <v>-15.0</v>
      </c>
      <c r="L1118" s="66">
        <v>55.5</v>
      </c>
      <c r="M1118" s="27" t="s">
        <v>1864</v>
      </c>
      <c r="N1118" s="27">
        <v>-15.5</v>
      </c>
      <c r="O1118" s="27"/>
      <c r="P1118" s="27">
        <v>-15.5</v>
      </c>
      <c r="Q1118" s="27"/>
      <c r="R1118" s="27">
        <v>-15.5</v>
      </c>
      <c r="S1118" s="27"/>
      <c r="T1118" s="27">
        <v>-15.0</v>
      </c>
      <c r="U1118" s="27"/>
      <c r="V1118" s="27">
        <v>-15.5</v>
      </c>
      <c r="W1118" s="27"/>
      <c r="X1118" s="27">
        <v>-15.0</v>
      </c>
      <c r="Y1118" s="27"/>
      <c r="Z1118" s="27">
        <v>-15.5</v>
      </c>
      <c r="AA1118" s="27"/>
      <c r="AB1118" s="27">
        <v>-15.0</v>
      </c>
      <c r="AC1118" s="27"/>
      <c r="AD1118" s="27">
        <v>-15.0</v>
      </c>
      <c r="AE1118" s="27"/>
      <c r="AF1118" s="27">
        <v>-15.0</v>
      </c>
      <c r="AG1118" s="27"/>
      <c r="AH1118" s="27">
        <v>286.0</v>
      </c>
      <c r="AI1118" s="27">
        <v>121.0</v>
      </c>
      <c r="AJ1118" s="27">
        <v>2.0</v>
      </c>
      <c r="AK1118" s="27" t="b">
        <v>1</v>
      </c>
      <c r="AL1118" s="27">
        <v>100.0</v>
      </c>
      <c r="AM1118" s="27" t="s">
        <v>192</v>
      </c>
      <c r="AN1118" s="27" t="s">
        <v>404</v>
      </c>
      <c r="AO1118" s="27"/>
    </row>
    <row r="1119">
      <c r="A1119" s="200">
        <v>44852.025106597226</v>
      </c>
      <c r="B1119" s="19" t="s">
        <v>103</v>
      </c>
      <c r="C1119" s="21" t="s">
        <v>362</v>
      </c>
      <c r="D1119" s="62">
        <v>2.0</v>
      </c>
      <c r="E1119" s="27">
        <v>4.0</v>
      </c>
      <c r="F1119" s="27" t="s">
        <v>1873</v>
      </c>
      <c r="G1119" s="201" t="s">
        <v>57</v>
      </c>
      <c r="H1119" s="27" t="s">
        <v>148</v>
      </c>
      <c r="I1119" s="27"/>
      <c r="J1119" s="33">
        <v>23.5</v>
      </c>
      <c r="K1119" s="33">
        <v>23.5</v>
      </c>
      <c r="L1119" s="66">
        <v>46.5</v>
      </c>
      <c r="M1119" s="27" t="s">
        <v>1874</v>
      </c>
      <c r="N1119" s="27">
        <v>23.5</v>
      </c>
      <c r="O1119" s="27"/>
      <c r="P1119" s="27">
        <v>23.5</v>
      </c>
      <c r="Q1119" s="27"/>
      <c r="R1119" s="27">
        <v>23.5</v>
      </c>
      <c r="S1119" s="27"/>
      <c r="T1119" s="27">
        <v>23.5</v>
      </c>
      <c r="U1119" s="27"/>
      <c r="V1119" s="27">
        <v>23.5</v>
      </c>
      <c r="W1119" s="27"/>
      <c r="X1119" s="27">
        <v>23.5</v>
      </c>
      <c r="Y1119" s="27"/>
      <c r="Z1119" s="27">
        <v>23.5</v>
      </c>
      <c r="AA1119" s="27"/>
      <c r="AB1119" s="27">
        <v>23.5</v>
      </c>
      <c r="AC1119" s="27"/>
      <c r="AD1119" s="27">
        <v>23.5</v>
      </c>
      <c r="AE1119" s="27"/>
      <c r="AF1119" s="27">
        <v>23.5</v>
      </c>
      <c r="AG1119" s="27"/>
      <c r="AH1119" s="27">
        <v>88.0</v>
      </c>
      <c r="AI1119" s="27">
        <v>154.0</v>
      </c>
      <c r="AJ1119" s="27">
        <v>2.0</v>
      </c>
      <c r="AK1119" s="27" t="b">
        <v>0</v>
      </c>
      <c r="AL1119" s="27">
        <v>100.0</v>
      </c>
      <c r="AM1119" s="27" t="s">
        <v>389</v>
      </c>
      <c r="AN1119" s="27" t="s">
        <v>405</v>
      </c>
      <c r="AO1119" s="27"/>
    </row>
    <row r="1120">
      <c r="A1120" s="200">
        <v>44852.025106597226</v>
      </c>
      <c r="B1120" s="19" t="s">
        <v>103</v>
      </c>
      <c r="C1120" s="21" t="s">
        <v>358</v>
      </c>
      <c r="D1120" s="62">
        <v>6.0</v>
      </c>
      <c r="E1120" s="27">
        <v>0.0</v>
      </c>
      <c r="F1120" s="27" t="s">
        <v>1871</v>
      </c>
      <c r="G1120" s="201" t="s">
        <v>183</v>
      </c>
      <c r="H1120" s="27" t="s">
        <v>116</v>
      </c>
      <c r="I1120" s="27"/>
      <c r="J1120" s="33">
        <v>-1.0</v>
      </c>
      <c r="K1120" s="33">
        <v>-5.5</v>
      </c>
      <c r="L1120" s="66">
        <v>70.0</v>
      </c>
      <c r="M1120" s="27" t="s">
        <v>1610</v>
      </c>
      <c r="N1120" s="27">
        <v>-5.5</v>
      </c>
      <c r="O1120" s="27"/>
      <c r="P1120" s="27">
        <v>-5.0</v>
      </c>
      <c r="Q1120" s="27"/>
      <c r="R1120" s="27">
        <v>-5.0</v>
      </c>
      <c r="S1120" s="27"/>
      <c r="T1120" s="27">
        <v>-5.5</v>
      </c>
      <c r="U1120" s="27"/>
      <c r="V1120" s="27">
        <v>-5.0</v>
      </c>
      <c r="W1120" s="27"/>
      <c r="X1120" s="27">
        <v>-5.0</v>
      </c>
      <c r="Y1120" s="27"/>
      <c r="Z1120" s="27">
        <v>-5.0</v>
      </c>
      <c r="AA1120" s="27"/>
      <c r="AB1120" s="27">
        <v>-4.5</v>
      </c>
      <c r="AC1120" s="27"/>
      <c r="AD1120" s="27">
        <v>-5.5</v>
      </c>
      <c r="AE1120" s="27"/>
      <c r="AF1120" s="27">
        <v>-5.5</v>
      </c>
      <c r="AG1120" s="27"/>
      <c r="AH1120" s="27">
        <v>275.0</v>
      </c>
      <c r="AI1120" s="27">
        <v>159.0</v>
      </c>
      <c r="AJ1120" s="27">
        <v>2.0</v>
      </c>
      <c r="AK1120" s="27" t="b">
        <v>1</v>
      </c>
      <c r="AL1120" s="27">
        <v>100.0</v>
      </c>
      <c r="AM1120" s="27" t="s">
        <v>187</v>
      </c>
      <c r="AN1120" s="27" t="s">
        <v>404</v>
      </c>
      <c r="AO1120" s="27"/>
    </row>
    <row r="1121">
      <c r="A1121" s="200">
        <v>44852.025106597226</v>
      </c>
      <c r="B1121" s="19"/>
      <c r="C1121" s="21"/>
      <c r="D1121" s="62"/>
      <c r="E1121" s="27"/>
      <c r="F1121" s="27"/>
      <c r="G1121" s="201"/>
      <c r="H1121" s="27"/>
      <c r="I1121" s="27"/>
      <c r="J1121" s="33"/>
      <c r="K1121" s="33"/>
      <c r="L1121" s="66"/>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t="e">
        <v>#N/A</v>
      </c>
      <c r="AN1121" s="27" t="e">
        <v>#N/A</v>
      </c>
      <c r="AO1121" s="27"/>
    </row>
    <row r="1122">
      <c r="A1122" s="200">
        <v>44852.025106597226</v>
      </c>
      <c r="B1122" s="19" t="s">
        <v>154</v>
      </c>
      <c r="C1122" s="21" t="s">
        <v>379</v>
      </c>
      <c r="D1122" s="62">
        <v>4.0</v>
      </c>
      <c r="E1122" s="27">
        <v>2.0</v>
      </c>
      <c r="F1122" s="27"/>
      <c r="G1122" s="201"/>
      <c r="H1122" s="27"/>
      <c r="I1122" s="27" t="s">
        <v>111</v>
      </c>
      <c r="J1122" s="33"/>
      <c r="K1122" s="33"/>
      <c r="L1122" s="66"/>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v>202.0</v>
      </c>
      <c r="AI1122" s="27">
        <v>150.0</v>
      </c>
      <c r="AJ1122" s="27">
        <v>0.0</v>
      </c>
      <c r="AK1122" s="27" t="b">
        <v>1</v>
      </c>
      <c r="AL1122" s="27">
        <v>59.0</v>
      </c>
      <c r="AM1122" s="27" t="s">
        <v>192</v>
      </c>
      <c r="AN1122" s="27" t="s">
        <v>404</v>
      </c>
      <c r="AO1122" s="27"/>
    </row>
    <row r="1123">
      <c r="A1123" s="200">
        <v>44852.025106597226</v>
      </c>
      <c r="B1123" s="19" t="s">
        <v>154</v>
      </c>
      <c r="C1123" s="21" t="s">
        <v>366</v>
      </c>
      <c r="D1123" s="62">
        <v>3.0</v>
      </c>
      <c r="E1123" s="27">
        <v>4.0</v>
      </c>
      <c r="F1123" s="27"/>
      <c r="G1123" s="201"/>
      <c r="H1123" s="27"/>
      <c r="I1123" s="27" t="s">
        <v>133</v>
      </c>
      <c r="J1123" s="33"/>
      <c r="K1123" s="33"/>
      <c r="L1123" s="66"/>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v>155.0</v>
      </c>
      <c r="AI1123" s="27">
        <v>202.0</v>
      </c>
      <c r="AJ1123" s="27">
        <v>0.0</v>
      </c>
      <c r="AK1123" s="27" t="b">
        <v>1</v>
      </c>
      <c r="AL1123" s="27">
        <v>59.0</v>
      </c>
      <c r="AM1123" s="27" t="s">
        <v>189</v>
      </c>
      <c r="AN1123" s="27" t="s">
        <v>405</v>
      </c>
      <c r="AO1123" s="27"/>
    </row>
    <row r="1124">
      <c r="A1124" s="200">
        <v>44852.025106597226</v>
      </c>
      <c r="B1124" s="19" t="s">
        <v>154</v>
      </c>
      <c r="C1124" s="21" t="s">
        <v>383</v>
      </c>
      <c r="D1124" s="62">
        <v>4.0</v>
      </c>
      <c r="E1124" s="27">
        <v>3.0</v>
      </c>
      <c r="F1124" s="27"/>
      <c r="G1124" s="201"/>
      <c r="H1124" s="27"/>
      <c r="I1124" s="27" t="s">
        <v>1038</v>
      </c>
      <c r="J1124" s="33"/>
      <c r="K1124" s="33"/>
      <c r="L1124" s="66"/>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v>163.0</v>
      </c>
      <c r="AI1124" s="27">
        <v>184.0</v>
      </c>
      <c r="AJ1124" s="27">
        <v>0.0</v>
      </c>
      <c r="AK1124" s="27" t="b">
        <v>1</v>
      </c>
      <c r="AL1124" s="27">
        <v>59.0</v>
      </c>
      <c r="AM1124" s="27" t="s">
        <v>129</v>
      </c>
      <c r="AN1124" s="27" t="s">
        <v>405</v>
      </c>
      <c r="AO1124" s="27"/>
    </row>
    <row r="1125">
      <c r="A1125" s="200">
        <v>44852.025106597226</v>
      </c>
      <c r="B1125" s="19" t="s">
        <v>154</v>
      </c>
      <c r="C1125" s="21" t="s">
        <v>368</v>
      </c>
      <c r="D1125" s="62">
        <v>1.0</v>
      </c>
      <c r="E1125" s="27">
        <v>5.0</v>
      </c>
      <c r="F1125" s="27"/>
      <c r="G1125" s="201"/>
      <c r="H1125" s="27"/>
      <c r="I1125" s="27" t="s">
        <v>101</v>
      </c>
      <c r="J1125" s="33"/>
      <c r="K1125" s="33"/>
      <c r="L1125" s="66"/>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v>106.0</v>
      </c>
      <c r="AI1125" s="27">
        <v>166.0</v>
      </c>
      <c r="AJ1125" s="27">
        <v>0.0</v>
      </c>
      <c r="AK1125" s="27" t="b">
        <v>1</v>
      </c>
      <c r="AL1125" s="27">
        <v>59.0</v>
      </c>
      <c r="AM1125" s="27" t="s">
        <v>188</v>
      </c>
      <c r="AN1125" s="27" t="s">
        <v>404</v>
      </c>
      <c r="AO1125" s="27"/>
    </row>
    <row r="1126">
      <c r="A1126" s="200">
        <v>44852.025106597226</v>
      </c>
      <c r="B1126" s="19" t="s">
        <v>154</v>
      </c>
      <c r="C1126" s="21" t="s">
        <v>330</v>
      </c>
      <c r="D1126" s="62">
        <v>3.0</v>
      </c>
      <c r="E1126" s="27">
        <v>3.0</v>
      </c>
      <c r="F1126" s="27"/>
      <c r="G1126" s="201"/>
      <c r="H1126" s="27"/>
      <c r="I1126" s="27" t="s">
        <v>119</v>
      </c>
      <c r="J1126" s="33"/>
      <c r="K1126" s="33"/>
      <c r="L1126" s="66"/>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v>188.0</v>
      </c>
      <c r="AI1126" s="27">
        <v>202.0</v>
      </c>
      <c r="AJ1126" s="27">
        <v>0.0</v>
      </c>
      <c r="AK1126" s="27" t="b">
        <v>1</v>
      </c>
      <c r="AL1126" s="27">
        <v>59.0</v>
      </c>
      <c r="AM1126" s="27" t="s">
        <v>389</v>
      </c>
      <c r="AN1126" s="27" t="s">
        <v>405</v>
      </c>
      <c r="AO1126" s="27"/>
    </row>
    <row r="1127">
      <c r="A1127" s="200">
        <v>44852.025106597226</v>
      </c>
      <c r="B1127" s="19" t="s">
        <v>154</v>
      </c>
      <c r="C1127" s="21" t="s">
        <v>372</v>
      </c>
      <c r="D1127" s="62">
        <v>5.0</v>
      </c>
      <c r="E1127" s="27">
        <v>2.0</v>
      </c>
      <c r="F1127" s="27" t="s">
        <v>1868</v>
      </c>
      <c r="G1127" s="201" t="s">
        <v>57</v>
      </c>
      <c r="H1127" s="27" t="s">
        <v>116</v>
      </c>
      <c r="I1127" s="27"/>
      <c r="J1127" s="33">
        <v>3.0</v>
      </c>
      <c r="K1127" s="33">
        <v>-3.5</v>
      </c>
      <c r="L1127" s="66">
        <v>65.5</v>
      </c>
      <c r="M1127" s="27" t="s">
        <v>1869</v>
      </c>
      <c r="N1127" s="27">
        <v>-3.5</v>
      </c>
      <c r="O1127" s="27"/>
      <c r="P1127" s="27">
        <v>-3.5</v>
      </c>
      <c r="Q1127" s="27"/>
      <c r="R1127" s="27">
        <v>-3.5</v>
      </c>
      <c r="S1127" s="27"/>
      <c r="T1127" s="27">
        <v>-3.5</v>
      </c>
      <c r="U1127" s="27"/>
      <c r="V1127" s="27">
        <v>-3.5</v>
      </c>
      <c r="W1127" s="27"/>
      <c r="X1127" s="27">
        <v>-3.5</v>
      </c>
      <c r="Y1127" s="27"/>
      <c r="Z1127" s="27">
        <v>-3.5</v>
      </c>
      <c r="AA1127" s="27"/>
      <c r="AB1127" s="27">
        <v>-3.0</v>
      </c>
      <c r="AC1127" s="27"/>
      <c r="AD1127" s="27">
        <v>-3.5</v>
      </c>
      <c r="AE1127" s="27"/>
      <c r="AF1127" s="27">
        <v>-3.5</v>
      </c>
      <c r="AG1127" s="27"/>
      <c r="AH1127" s="27">
        <v>285.0</v>
      </c>
      <c r="AI1127" s="27">
        <v>156.0</v>
      </c>
      <c r="AJ1127" s="27">
        <v>2.0</v>
      </c>
      <c r="AK1127" s="27" t="b">
        <v>0</v>
      </c>
      <c r="AL1127" s="27">
        <v>100.0</v>
      </c>
      <c r="AM1127" s="27" t="s">
        <v>191</v>
      </c>
      <c r="AN1127" s="27" t="s">
        <v>404</v>
      </c>
      <c r="AO1127" s="27"/>
    </row>
    <row r="1128">
      <c r="A1128" s="200">
        <v>44852.025106597226</v>
      </c>
      <c r="B1128" s="19" t="s">
        <v>154</v>
      </c>
      <c r="C1128" s="21" t="s">
        <v>352</v>
      </c>
      <c r="D1128" s="62">
        <v>2.0</v>
      </c>
      <c r="E1128" s="27">
        <v>5.0</v>
      </c>
      <c r="F1128" s="27" t="s">
        <v>1851</v>
      </c>
      <c r="G1128" s="201" t="s">
        <v>57</v>
      </c>
      <c r="H1128" s="27" t="s">
        <v>144</v>
      </c>
      <c r="I1128" s="27"/>
      <c r="J1128" s="33">
        <v>3.5</v>
      </c>
      <c r="K1128" s="33">
        <v>4.5</v>
      </c>
      <c r="L1128" s="66">
        <v>53.0</v>
      </c>
      <c r="M1128" s="27" t="s">
        <v>1875</v>
      </c>
      <c r="N1128" s="27">
        <v>4.5</v>
      </c>
      <c r="O1128" s="27"/>
      <c r="P1128" s="27">
        <v>4.5</v>
      </c>
      <c r="Q1128" s="27"/>
      <c r="R1128" s="27">
        <v>4.5</v>
      </c>
      <c r="S1128" s="27"/>
      <c r="T1128" s="27">
        <v>4.5</v>
      </c>
      <c r="U1128" s="27"/>
      <c r="V1128" s="27">
        <v>4.5</v>
      </c>
      <c r="W1128" s="27"/>
      <c r="X1128" s="27">
        <v>4.5</v>
      </c>
      <c r="Y1128" s="27"/>
      <c r="Z1128" s="27">
        <v>4.5</v>
      </c>
      <c r="AA1128" s="27"/>
      <c r="AB1128" s="27">
        <v>4.5</v>
      </c>
      <c r="AC1128" s="27"/>
      <c r="AD1128" s="27">
        <v>4.5</v>
      </c>
      <c r="AE1128" s="27"/>
      <c r="AF1128" s="27">
        <v>4.5</v>
      </c>
      <c r="AG1128" s="27"/>
      <c r="AH1128" s="27">
        <v>212.0</v>
      </c>
      <c r="AI1128" s="27">
        <v>211.0</v>
      </c>
      <c r="AJ1128" s="27">
        <v>2.0</v>
      </c>
      <c r="AK1128" s="27" t="b">
        <v>1</v>
      </c>
      <c r="AL1128" s="27">
        <v>100.0</v>
      </c>
      <c r="AM1128" s="27" t="s">
        <v>193</v>
      </c>
      <c r="AN1128" s="27" t="s">
        <v>405</v>
      </c>
      <c r="AO1128" s="27"/>
    </row>
    <row r="1129">
      <c r="A1129" s="200">
        <v>44852.025106597226</v>
      </c>
      <c r="B1129" s="19" t="s">
        <v>154</v>
      </c>
      <c r="C1129" s="21" t="s">
        <v>382</v>
      </c>
      <c r="D1129" s="62">
        <v>2.0</v>
      </c>
      <c r="E1129" s="27">
        <v>5.0</v>
      </c>
      <c r="F1129" s="27" t="s">
        <v>1787</v>
      </c>
      <c r="G1129" s="201" t="s">
        <v>57</v>
      </c>
      <c r="H1129" s="27" t="s">
        <v>53</v>
      </c>
      <c r="I1129" s="27"/>
      <c r="J1129" s="33">
        <v>-3.0</v>
      </c>
      <c r="K1129" s="33">
        <v>-2.0</v>
      </c>
      <c r="L1129" s="66">
        <v>61.0</v>
      </c>
      <c r="M1129" s="27" t="s">
        <v>1173</v>
      </c>
      <c r="N1129" s="27">
        <v>-1.5</v>
      </c>
      <c r="O1129" s="27"/>
      <c r="P1129" s="27">
        <v>-2.0</v>
      </c>
      <c r="Q1129" s="27"/>
      <c r="R1129" s="27">
        <v>-2.0</v>
      </c>
      <c r="S1129" s="27"/>
      <c r="T1129" s="27">
        <v>-2.5</v>
      </c>
      <c r="U1129" s="27"/>
      <c r="V1129" s="27">
        <v>-2.0</v>
      </c>
      <c r="W1129" s="27"/>
      <c r="X1129" s="27">
        <v>-1.5</v>
      </c>
      <c r="Y1129" s="27"/>
      <c r="Z1129" s="27">
        <v>-1.5</v>
      </c>
      <c r="AA1129" s="27"/>
      <c r="AB1129" s="27">
        <v>-2.5</v>
      </c>
      <c r="AC1129" s="27" t="s">
        <v>1091</v>
      </c>
      <c r="AD1129" s="27">
        <v>-2.5</v>
      </c>
      <c r="AE1129" s="27" t="s">
        <v>1091</v>
      </c>
      <c r="AF1129" s="27" t="s">
        <v>1091</v>
      </c>
      <c r="AG1129" s="27" t="s">
        <v>1091</v>
      </c>
      <c r="AH1129" s="27">
        <v>150.0</v>
      </c>
      <c r="AI1129" s="27">
        <v>218.0</v>
      </c>
      <c r="AJ1129" s="27">
        <v>2.0</v>
      </c>
      <c r="AK1129" s="27" t="b">
        <v>0</v>
      </c>
      <c r="AL1129" s="27">
        <v>100.0</v>
      </c>
      <c r="AM1129" s="27" t="s">
        <v>190</v>
      </c>
      <c r="AN1129" s="27" t="s">
        <v>405</v>
      </c>
      <c r="AO1129" s="27"/>
    </row>
    <row r="1130">
      <c r="A1130" s="200">
        <v>44852.025106597226</v>
      </c>
      <c r="B1130" s="19" t="s">
        <v>154</v>
      </c>
      <c r="C1130" s="21" t="s">
        <v>363</v>
      </c>
      <c r="D1130" s="62">
        <v>5.0</v>
      </c>
      <c r="E1130" s="27">
        <v>2.0</v>
      </c>
      <c r="F1130" s="27" t="s">
        <v>1831</v>
      </c>
      <c r="G1130" s="201" t="s">
        <v>57</v>
      </c>
      <c r="H1130" s="27" t="s">
        <v>138</v>
      </c>
      <c r="I1130" s="27"/>
      <c r="J1130" s="33">
        <v>-4.0</v>
      </c>
      <c r="K1130" s="33">
        <v>3.0</v>
      </c>
      <c r="L1130" s="66">
        <v>42.5</v>
      </c>
      <c r="M1130" s="27" t="s">
        <v>1832</v>
      </c>
      <c r="N1130" s="27">
        <v>3.0</v>
      </c>
      <c r="O1130" s="27"/>
      <c r="P1130" s="27">
        <v>3.0</v>
      </c>
      <c r="Q1130" s="27"/>
      <c r="R1130" s="27">
        <v>3.0</v>
      </c>
      <c r="S1130" s="27"/>
      <c r="T1130" s="27">
        <v>3.0</v>
      </c>
      <c r="U1130" s="27"/>
      <c r="V1130" s="27">
        <v>3.0</v>
      </c>
      <c r="W1130" s="27"/>
      <c r="X1130" s="27">
        <v>3.0</v>
      </c>
      <c r="Y1130" s="27"/>
      <c r="Z1130" s="27">
        <v>3.0</v>
      </c>
      <c r="AA1130" s="27"/>
      <c r="AB1130" s="27">
        <v>3.5</v>
      </c>
      <c r="AC1130" s="27"/>
      <c r="AD1130" s="27">
        <v>3.0</v>
      </c>
      <c r="AE1130" s="27"/>
      <c r="AF1130" s="27">
        <v>3.0</v>
      </c>
      <c r="AG1130" s="27"/>
      <c r="AH1130" s="27">
        <v>192.0</v>
      </c>
      <c r="AI1130" s="27">
        <v>118.0</v>
      </c>
      <c r="AJ1130" s="27">
        <v>2.0</v>
      </c>
      <c r="AK1130" s="27" t="b">
        <v>0</v>
      </c>
      <c r="AL1130" s="27">
        <v>100.0</v>
      </c>
      <c r="AM1130" s="27" t="s">
        <v>186</v>
      </c>
      <c r="AN1130" s="27" t="s">
        <v>404</v>
      </c>
      <c r="AO1130" s="27"/>
    </row>
    <row r="1131">
      <c r="A1131" s="200">
        <v>44859.02510291667</v>
      </c>
      <c r="B1131" s="19" t="s">
        <v>53</v>
      </c>
      <c r="C1131" s="21" t="s">
        <v>184</v>
      </c>
      <c r="D1131" s="62">
        <v>4.0</v>
      </c>
      <c r="E1131" s="27">
        <v>3.0</v>
      </c>
      <c r="F1131" s="27"/>
      <c r="G1131" s="201"/>
      <c r="H1131" s="27"/>
      <c r="I1131" s="27" t="s">
        <v>88</v>
      </c>
      <c r="J1131" s="33"/>
      <c r="K1131" s="33"/>
      <c r="L1131" s="66"/>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v>237.0</v>
      </c>
      <c r="AI1131" s="27">
        <v>217.0</v>
      </c>
      <c r="AJ1131" s="27">
        <v>0.0</v>
      </c>
      <c r="AK1131" s="27" t="b">
        <v>1</v>
      </c>
      <c r="AL1131" s="27">
        <v>59.0</v>
      </c>
      <c r="AM1131" s="27" t="s">
        <v>187</v>
      </c>
      <c r="AN1131" s="27" t="s">
        <v>404</v>
      </c>
      <c r="AO1131" s="27"/>
    </row>
    <row r="1132">
      <c r="A1132" s="200">
        <v>44859.02510291667</v>
      </c>
      <c r="B1132" s="19" t="s">
        <v>53</v>
      </c>
      <c r="C1132" s="21" t="s">
        <v>120</v>
      </c>
      <c r="D1132" s="62">
        <v>2.0</v>
      </c>
      <c r="E1132" s="27">
        <v>6.0</v>
      </c>
      <c r="F1132" s="27" t="s">
        <v>1876</v>
      </c>
      <c r="G1132" s="201" t="s">
        <v>57</v>
      </c>
      <c r="H1132" s="27" t="s">
        <v>131</v>
      </c>
      <c r="I1132" s="27"/>
      <c r="J1132" s="33">
        <v>9.5</v>
      </c>
      <c r="K1132" s="33">
        <v>7.5</v>
      </c>
      <c r="L1132" s="66">
        <v>36.0</v>
      </c>
      <c r="M1132" s="27" t="s">
        <v>1877</v>
      </c>
      <c r="N1132" s="27">
        <v>7.5</v>
      </c>
      <c r="O1132" s="27"/>
      <c r="P1132" s="27">
        <v>7.0</v>
      </c>
      <c r="Q1132" s="27"/>
      <c r="R1132" s="27">
        <v>7.0</v>
      </c>
      <c r="S1132" s="27"/>
      <c r="T1132" s="27">
        <v>7.5</v>
      </c>
      <c r="U1132" s="27"/>
      <c r="V1132" s="27">
        <v>7.0</v>
      </c>
      <c r="W1132" s="27"/>
      <c r="X1132" s="27">
        <v>7.0</v>
      </c>
      <c r="Y1132" s="27"/>
      <c r="Z1132" s="27">
        <v>7.5</v>
      </c>
      <c r="AA1132" s="27"/>
      <c r="AB1132" s="27">
        <v>7.5</v>
      </c>
      <c r="AC1132" s="27"/>
      <c r="AD1132" s="27">
        <v>7.5</v>
      </c>
      <c r="AE1132" s="27"/>
      <c r="AF1132" s="27" t="s">
        <v>1091</v>
      </c>
      <c r="AG1132" s="27" t="s">
        <v>1091</v>
      </c>
      <c r="AH1132" s="27">
        <v>159.0</v>
      </c>
      <c r="AI1132" s="27">
        <v>227.0</v>
      </c>
      <c r="AJ1132" s="27">
        <v>2.0</v>
      </c>
      <c r="AK1132" s="27" t="b">
        <v>0</v>
      </c>
      <c r="AL1132" s="27">
        <v>100.0</v>
      </c>
      <c r="AM1132" s="27" t="s">
        <v>129</v>
      </c>
      <c r="AN1132" s="27" t="s">
        <v>405</v>
      </c>
      <c r="AO1132" s="27"/>
    </row>
    <row r="1133">
      <c r="A1133" s="200">
        <v>44859.02510291667</v>
      </c>
      <c r="B1133" s="19" t="s">
        <v>53</v>
      </c>
      <c r="C1133" s="21" t="s">
        <v>173</v>
      </c>
      <c r="D1133" s="62">
        <v>3.0</v>
      </c>
      <c r="E1133" s="27">
        <v>4.0</v>
      </c>
      <c r="F1133" s="27" t="s">
        <v>1878</v>
      </c>
      <c r="G1133" s="201" t="s">
        <v>57</v>
      </c>
      <c r="H1133" s="27" t="s">
        <v>138</v>
      </c>
      <c r="I1133" s="27"/>
      <c r="J1133" s="33">
        <v>-15.5</v>
      </c>
      <c r="K1133" s="33">
        <v>-13.5</v>
      </c>
      <c r="L1133" s="66">
        <v>49.5</v>
      </c>
      <c r="M1133" s="27" t="s">
        <v>1879</v>
      </c>
      <c r="N1133" s="27">
        <v>-14.0</v>
      </c>
      <c r="O1133" s="27"/>
      <c r="P1133" s="27">
        <v>-14.0</v>
      </c>
      <c r="Q1133" s="27"/>
      <c r="R1133" s="27">
        <v>-14.0</v>
      </c>
      <c r="S1133" s="27"/>
      <c r="T1133" s="27">
        <v>-13.5</v>
      </c>
      <c r="U1133" s="27"/>
      <c r="V1133" s="27">
        <v>-17.0</v>
      </c>
      <c r="W1133" s="27"/>
      <c r="X1133" s="27">
        <v>-14.0</v>
      </c>
      <c r="Y1133" s="27"/>
      <c r="Z1133" s="27">
        <v>-14.0</v>
      </c>
      <c r="AA1133" s="27"/>
      <c r="AB1133" s="27">
        <v>-13.5</v>
      </c>
      <c r="AC1133" s="27"/>
      <c r="AD1133" s="27">
        <v>-13.5</v>
      </c>
      <c r="AE1133" s="27"/>
      <c r="AF1133" s="27" t="s">
        <v>1091</v>
      </c>
      <c r="AG1133" s="27" t="s">
        <v>1091</v>
      </c>
      <c r="AH1133" s="27">
        <v>168.0</v>
      </c>
      <c r="AI1133" s="27">
        <v>162.0</v>
      </c>
      <c r="AJ1133" s="27">
        <v>2.0</v>
      </c>
      <c r="AK1133" s="27" t="b">
        <v>1</v>
      </c>
      <c r="AL1133" s="27">
        <v>100.0</v>
      </c>
      <c r="AM1133" s="27" t="s">
        <v>192</v>
      </c>
      <c r="AN1133" s="27" t="s">
        <v>404</v>
      </c>
      <c r="AO1133" s="27"/>
    </row>
    <row r="1134">
      <c r="A1134" s="200">
        <v>44859.02510291667</v>
      </c>
      <c r="B1134" s="19" t="s">
        <v>53</v>
      </c>
      <c r="C1134" s="21" t="s">
        <v>181</v>
      </c>
      <c r="D1134" s="62">
        <v>3.0</v>
      </c>
      <c r="E1134" s="27">
        <v>5.0</v>
      </c>
      <c r="F1134" s="27" t="s">
        <v>1880</v>
      </c>
      <c r="G1134" s="201" t="s">
        <v>57</v>
      </c>
      <c r="H1134" s="27" t="s">
        <v>154</v>
      </c>
      <c r="I1134" s="27"/>
      <c r="J1134" s="33">
        <v>-2.5</v>
      </c>
      <c r="K1134" s="33">
        <v>-3.0</v>
      </c>
      <c r="L1134" s="66">
        <v>50.5</v>
      </c>
      <c r="M1134" s="27" t="s">
        <v>1881</v>
      </c>
      <c r="N1134" s="27">
        <v>-3.0</v>
      </c>
      <c r="O1134" s="27"/>
      <c r="P1134" s="27">
        <v>-3.0</v>
      </c>
      <c r="Q1134" s="27"/>
      <c r="R1134" s="27">
        <v>-3.0</v>
      </c>
      <c r="S1134" s="27"/>
      <c r="T1134" s="27">
        <v>-3.0</v>
      </c>
      <c r="U1134" s="27"/>
      <c r="V1134" s="27">
        <v>-3.0</v>
      </c>
      <c r="W1134" s="27"/>
      <c r="X1134" s="27">
        <v>-3.0</v>
      </c>
      <c r="Y1134" s="27"/>
      <c r="Z1134" s="27">
        <v>-3.0</v>
      </c>
      <c r="AA1134" s="27"/>
      <c r="AB1134" s="27">
        <v>-3.0</v>
      </c>
      <c r="AC1134" s="27"/>
      <c r="AD1134" s="27">
        <v>-3.0</v>
      </c>
      <c r="AE1134" s="27"/>
      <c r="AF1134" s="27" t="s">
        <v>1091</v>
      </c>
      <c r="AG1134" s="27" t="s">
        <v>1091</v>
      </c>
      <c r="AH1134" s="27">
        <v>229.0</v>
      </c>
      <c r="AI1134" s="27">
        <v>214.0</v>
      </c>
      <c r="AJ1134" s="27">
        <v>2.0</v>
      </c>
      <c r="AK1134" s="27" t="b">
        <v>0</v>
      </c>
      <c r="AL1134" s="27">
        <v>100.0</v>
      </c>
      <c r="AM1134" s="27" t="s">
        <v>189</v>
      </c>
      <c r="AN1134" s="27" t="s">
        <v>405</v>
      </c>
      <c r="AO1134" s="27"/>
    </row>
    <row r="1135">
      <c r="A1135" s="200">
        <v>44859.02510291667</v>
      </c>
      <c r="B1135" s="19" t="s">
        <v>53</v>
      </c>
      <c r="C1135" s="21" t="s">
        <v>170</v>
      </c>
      <c r="D1135" s="62">
        <v>3.0</v>
      </c>
      <c r="E1135" s="27">
        <v>4.0</v>
      </c>
      <c r="F1135" s="27" t="s">
        <v>1882</v>
      </c>
      <c r="G1135" s="201" t="s">
        <v>57</v>
      </c>
      <c r="H1135" s="27" t="s">
        <v>178</v>
      </c>
      <c r="I1135" s="27"/>
      <c r="J1135" s="33" t="s">
        <v>1091</v>
      </c>
      <c r="K1135" s="33" t="s">
        <v>1091</v>
      </c>
      <c r="L1135" s="26" t="s">
        <v>1091</v>
      </c>
      <c r="M1135" s="27" t="s">
        <v>1091</v>
      </c>
      <c r="N1135" s="27" t="s">
        <v>1091</v>
      </c>
      <c r="O1135" s="27" t="s">
        <v>1091</v>
      </c>
      <c r="P1135" s="27" t="s">
        <v>1091</v>
      </c>
      <c r="Q1135" s="27" t="s">
        <v>1091</v>
      </c>
      <c r="R1135" s="27" t="s">
        <v>1091</v>
      </c>
      <c r="S1135" s="27" t="s">
        <v>1091</v>
      </c>
      <c r="T1135" s="27" t="s">
        <v>1091</v>
      </c>
      <c r="U1135" s="27" t="s">
        <v>1091</v>
      </c>
      <c r="V1135" s="27" t="s">
        <v>1091</v>
      </c>
      <c r="W1135" s="27" t="s">
        <v>1091</v>
      </c>
      <c r="X1135" s="27" t="s">
        <v>1091</v>
      </c>
      <c r="Y1135" s="27" t="s">
        <v>1091</v>
      </c>
      <c r="Z1135" s="27" t="s">
        <v>1091</v>
      </c>
      <c r="AA1135" s="27" t="s">
        <v>1091</v>
      </c>
      <c r="AB1135" s="27" t="s">
        <v>1091</v>
      </c>
      <c r="AC1135" s="27" t="s">
        <v>1091</v>
      </c>
      <c r="AD1135" s="27" t="s">
        <v>1091</v>
      </c>
      <c r="AE1135" s="27" t="s">
        <v>1091</v>
      </c>
      <c r="AF1135" s="27" t="s">
        <v>1091</v>
      </c>
      <c r="AG1135" s="27" t="s">
        <v>1091</v>
      </c>
      <c r="AH1135" s="27">
        <v>180.0</v>
      </c>
      <c r="AI1135" s="27">
        <v>185.0</v>
      </c>
      <c r="AJ1135" s="27">
        <v>2.0</v>
      </c>
      <c r="AK1135" s="27" t="b">
        <v>1</v>
      </c>
      <c r="AL1135" s="27">
        <v>100.0</v>
      </c>
      <c r="AM1135" s="27" t="s">
        <v>193</v>
      </c>
      <c r="AN1135" s="27" t="s">
        <v>405</v>
      </c>
      <c r="AO1135" s="27"/>
    </row>
    <row r="1136">
      <c r="A1136" s="200">
        <v>44859.02510291667</v>
      </c>
      <c r="B1136" s="19" t="s">
        <v>53</v>
      </c>
      <c r="C1136" s="21" t="s">
        <v>54</v>
      </c>
      <c r="D1136" s="62">
        <v>6.0</v>
      </c>
      <c r="E1136" s="27">
        <v>1.0</v>
      </c>
      <c r="F1136" s="27" t="s">
        <v>1883</v>
      </c>
      <c r="G1136" s="201" t="s">
        <v>57</v>
      </c>
      <c r="H1136" s="27" t="s">
        <v>178</v>
      </c>
      <c r="I1136" s="27"/>
      <c r="J1136" s="33">
        <v>-4.0</v>
      </c>
      <c r="K1136" s="33">
        <v>-7.0</v>
      </c>
      <c r="L1136" s="66">
        <v>70.5</v>
      </c>
      <c r="M1136" s="27" t="s">
        <v>1595</v>
      </c>
      <c r="N1136" s="27">
        <v>-7.0</v>
      </c>
      <c r="O1136" s="27"/>
      <c r="P1136" s="27">
        <v>-7.0</v>
      </c>
      <c r="Q1136" s="27"/>
      <c r="R1136" s="27">
        <v>-7.0</v>
      </c>
      <c r="S1136" s="27"/>
      <c r="T1136" s="27">
        <v>-7.0</v>
      </c>
      <c r="U1136" s="27"/>
      <c r="V1136" s="27">
        <v>-7.0</v>
      </c>
      <c r="W1136" s="27"/>
      <c r="X1136" s="27">
        <v>-7.0</v>
      </c>
      <c r="Y1136" s="27"/>
      <c r="Z1136" s="27">
        <v>-7.0</v>
      </c>
      <c r="AA1136" s="27"/>
      <c r="AB1136" s="27">
        <v>-7.0</v>
      </c>
      <c r="AC1136" s="27"/>
      <c r="AD1136" s="27">
        <v>-7.0</v>
      </c>
      <c r="AE1136" s="27"/>
      <c r="AF1136" s="27" t="s">
        <v>1091</v>
      </c>
      <c r="AG1136" s="27" t="s">
        <v>1091</v>
      </c>
      <c r="AH1136" s="27">
        <v>297.0</v>
      </c>
      <c r="AI1136" s="27">
        <v>203.0</v>
      </c>
      <c r="AJ1136" s="27">
        <v>2.0</v>
      </c>
      <c r="AK1136" s="27" t="b">
        <v>1</v>
      </c>
      <c r="AL1136" s="27">
        <v>100.0</v>
      </c>
      <c r="AM1136" s="27" t="s">
        <v>191</v>
      </c>
      <c r="AN1136" s="27" t="s">
        <v>404</v>
      </c>
      <c r="AO1136" s="27"/>
    </row>
    <row r="1137">
      <c r="A1137" s="200">
        <v>44859.02510291667</v>
      </c>
      <c r="B1137" s="19" t="s">
        <v>53</v>
      </c>
      <c r="C1137" s="21" t="s">
        <v>176</v>
      </c>
      <c r="D1137" s="62">
        <v>5.0</v>
      </c>
      <c r="E1137" s="27">
        <v>3.0</v>
      </c>
      <c r="F1137" s="27" t="s">
        <v>1884</v>
      </c>
      <c r="G1137" s="201" t="s">
        <v>57</v>
      </c>
      <c r="H1137" s="27" t="s">
        <v>138</v>
      </c>
      <c r="I1137" s="27"/>
      <c r="J1137" s="33">
        <v>1.0</v>
      </c>
      <c r="K1137" s="33">
        <v>2.0</v>
      </c>
      <c r="L1137" s="66">
        <v>65.0</v>
      </c>
      <c r="M1137" s="27" t="s">
        <v>1885</v>
      </c>
      <c r="N1137" s="27">
        <v>2.5</v>
      </c>
      <c r="O1137" s="27"/>
      <c r="P1137" s="27">
        <v>2.5</v>
      </c>
      <c r="Q1137" s="27"/>
      <c r="R1137" s="27">
        <v>2.5</v>
      </c>
      <c r="S1137" s="27"/>
      <c r="T1137" s="27">
        <v>2.0</v>
      </c>
      <c r="U1137" s="27"/>
      <c r="V1137" s="27">
        <v>2.5</v>
      </c>
      <c r="W1137" s="27"/>
      <c r="X1137" s="27">
        <v>2.5</v>
      </c>
      <c r="Y1137" s="27"/>
      <c r="Z1137" s="27">
        <v>2.0</v>
      </c>
      <c r="AA1137" s="27"/>
      <c r="AB1137" s="27">
        <v>2.0</v>
      </c>
      <c r="AC1137" s="27"/>
      <c r="AD1137" s="27" t="s">
        <v>1091</v>
      </c>
      <c r="AE1137" s="27" t="s">
        <v>1091</v>
      </c>
      <c r="AF1137" s="27" t="s">
        <v>1091</v>
      </c>
      <c r="AG1137" s="27" t="s">
        <v>1091</v>
      </c>
      <c r="AH1137" s="27">
        <v>256.0</v>
      </c>
      <c r="AI1137" s="27">
        <v>275.0</v>
      </c>
      <c r="AJ1137" s="27">
        <v>2.0</v>
      </c>
      <c r="AK1137" s="27" t="b">
        <v>0</v>
      </c>
      <c r="AL1137" s="27">
        <v>100.0</v>
      </c>
      <c r="AM1137" s="27" t="s">
        <v>190</v>
      </c>
      <c r="AN1137" s="27" t="s">
        <v>405</v>
      </c>
      <c r="AO1137" s="27"/>
    </row>
    <row r="1138">
      <c r="A1138" s="200">
        <v>44859.02510291667</v>
      </c>
      <c r="B1138" s="19" t="s">
        <v>53</v>
      </c>
      <c r="C1138" s="21" t="s">
        <v>168</v>
      </c>
      <c r="D1138" s="62">
        <v>7.0</v>
      </c>
      <c r="E1138" s="27">
        <v>0.0</v>
      </c>
      <c r="F1138" s="27" t="s">
        <v>1886</v>
      </c>
      <c r="G1138" s="201" t="s">
        <v>57</v>
      </c>
      <c r="H1138" s="27" t="s">
        <v>116</v>
      </c>
      <c r="I1138" s="27"/>
      <c r="J1138" s="33">
        <v>-21.0</v>
      </c>
      <c r="K1138" s="33">
        <v>-29.5</v>
      </c>
      <c r="L1138" s="66">
        <v>50.0</v>
      </c>
      <c r="M1138" s="27" t="s">
        <v>1507</v>
      </c>
      <c r="N1138" s="27">
        <v>-30.5</v>
      </c>
      <c r="O1138" s="27"/>
      <c r="P1138" s="27">
        <v>-30.0</v>
      </c>
      <c r="Q1138" s="27"/>
      <c r="R1138" s="27">
        <v>-30.0</v>
      </c>
      <c r="S1138" s="27"/>
      <c r="T1138" s="27">
        <v>-29.5</v>
      </c>
      <c r="U1138" s="27"/>
      <c r="V1138" s="27">
        <v>-30.0</v>
      </c>
      <c r="W1138" s="27"/>
      <c r="X1138" s="27">
        <v>-29.5</v>
      </c>
      <c r="Y1138" s="27"/>
      <c r="Z1138" s="27">
        <v>-30.0</v>
      </c>
      <c r="AA1138" s="27"/>
      <c r="AB1138" s="27">
        <v>-29.5</v>
      </c>
      <c r="AC1138" s="27"/>
      <c r="AD1138" s="27">
        <v>-29.5</v>
      </c>
      <c r="AE1138" s="27"/>
      <c r="AF1138" s="27" t="s">
        <v>1091</v>
      </c>
      <c r="AG1138" s="27" t="s">
        <v>1091</v>
      </c>
      <c r="AH1138" s="27">
        <v>347.0</v>
      </c>
      <c r="AI1138" s="27">
        <v>104.0</v>
      </c>
      <c r="AJ1138" s="27">
        <v>2.0</v>
      </c>
      <c r="AK1138" s="27" t="b">
        <v>1</v>
      </c>
      <c r="AL1138" s="27">
        <v>100.0</v>
      </c>
      <c r="AM1138" s="27" t="s">
        <v>188</v>
      </c>
      <c r="AN1138" s="27" t="s">
        <v>404</v>
      </c>
      <c r="AO1138" s="27"/>
    </row>
    <row r="1139">
      <c r="A1139" s="200">
        <v>44859.02510291667</v>
      </c>
      <c r="B1139" s="19" t="s">
        <v>53</v>
      </c>
      <c r="C1139" s="21" t="s">
        <v>195</v>
      </c>
      <c r="D1139" s="62">
        <v>3.0</v>
      </c>
      <c r="E1139" s="27">
        <v>4.0</v>
      </c>
      <c r="F1139" s="27" t="s">
        <v>1887</v>
      </c>
      <c r="G1139" s="201" t="s">
        <v>57</v>
      </c>
      <c r="H1139" s="27" t="s">
        <v>103</v>
      </c>
      <c r="I1139" s="27"/>
      <c r="J1139" s="33">
        <v>-12.5</v>
      </c>
      <c r="K1139" s="33">
        <v>-13.5</v>
      </c>
      <c r="L1139" s="66">
        <v>53.5</v>
      </c>
      <c r="M1139" s="27" t="s">
        <v>1888</v>
      </c>
      <c r="N1139" s="27">
        <v>-13.5</v>
      </c>
      <c r="O1139" s="27"/>
      <c r="P1139" s="27">
        <v>-13.5</v>
      </c>
      <c r="Q1139" s="27"/>
      <c r="R1139" s="27">
        <v>-13.5</v>
      </c>
      <c r="S1139" s="27"/>
      <c r="T1139" s="27">
        <v>-13.5</v>
      </c>
      <c r="U1139" s="27"/>
      <c r="V1139" s="27">
        <v>-13.5</v>
      </c>
      <c r="W1139" s="27"/>
      <c r="X1139" s="27">
        <v>-13.5</v>
      </c>
      <c r="Y1139" s="27"/>
      <c r="Z1139" s="27">
        <v>-13.5</v>
      </c>
      <c r="AA1139" s="27"/>
      <c r="AB1139" s="27">
        <v>-13.5</v>
      </c>
      <c r="AC1139" s="27"/>
      <c r="AD1139" s="27">
        <v>-13.5</v>
      </c>
      <c r="AE1139" s="27"/>
      <c r="AF1139" s="27" t="s">
        <v>1091</v>
      </c>
      <c r="AG1139" s="27" t="s">
        <v>1091</v>
      </c>
      <c r="AH1139" s="27">
        <v>225.0</v>
      </c>
      <c r="AI1139" s="27">
        <v>227.0</v>
      </c>
      <c r="AJ1139" s="27">
        <v>2.0</v>
      </c>
      <c r="AK1139" s="27" t="b">
        <v>1</v>
      </c>
      <c r="AL1139" s="27">
        <v>100.0</v>
      </c>
      <c r="AM1139" s="27" t="s">
        <v>389</v>
      </c>
      <c r="AN1139" s="27" t="s">
        <v>405</v>
      </c>
      <c r="AO1139" s="27"/>
    </row>
    <row r="1140">
      <c r="A1140" s="200">
        <v>44859.02510291667</v>
      </c>
      <c r="B1140" s="19" t="s">
        <v>53</v>
      </c>
      <c r="C1140" s="21" t="s">
        <v>155</v>
      </c>
      <c r="D1140" s="62">
        <v>3.0</v>
      </c>
      <c r="E1140" s="27">
        <v>4.0</v>
      </c>
      <c r="F1140" s="27" t="s">
        <v>1889</v>
      </c>
      <c r="G1140" s="201" t="s">
        <v>57</v>
      </c>
      <c r="H1140" s="27" t="s">
        <v>116</v>
      </c>
      <c r="I1140" s="27"/>
      <c r="J1140" s="33">
        <v>3.5</v>
      </c>
      <c r="K1140" s="33">
        <v>3.5</v>
      </c>
      <c r="L1140" s="66">
        <v>48.0</v>
      </c>
      <c r="M1140" s="27" t="s">
        <v>1781</v>
      </c>
      <c r="N1140" s="27">
        <v>3.5</v>
      </c>
      <c r="O1140" s="27"/>
      <c r="P1140" s="27">
        <v>3.5</v>
      </c>
      <c r="Q1140" s="27"/>
      <c r="R1140" s="27">
        <v>3.5</v>
      </c>
      <c r="S1140" s="27"/>
      <c r="T1140" s="27">
        <v>3.5</v>
      </c>
      <c r="U1140" s="27"/>
      <c r="V1140" s="27">
        <v>3.5</v>
      </c>
      <c r="W1140" s="27"/>
      <c r="X1140" s="27">
        <v>3.5</v>
      </c>
      <c r="Y1140" s="27"/>
      <c r="Z1140" s="27">
        <v>3.5</v>
      </c>
      <c r="AA1140" s="27"/>
      <c r="AB1140" s="27">
        <v>3.5</v>
      </c>
      <c r="AC1140" s="27"/>
      <c r="AD1140" s="27">
        <v>3.5</v>
      </c>
      <c r="AE1140" s="27"/>
      <c r="AF1140" s="27" t="s">
        <v>1091</v>
      </c>
      <c r="AG1140" s="27" t="s">
        <v>1091</v>
      </c>
      <c r="AH1140" s="27">
        <v>123.0</v>
      </c>
      <c r="AI1140" s="27">
        <v>158.0</v>
      </c>
      <c r="AJ1140" s="27">
        <v>2.0</v>
      </c>
      <c r="AK1140" s="27" t="b">
        <v>0</v>
      </c>
      <c r="AL1140" s="27">
        <v>100.0</v>
      </c>
      <c r="AM1140" s="27" t="s">
        <v>186</v>
      </c>
      <c r="AN1140" s="27" t="s">
        <v>404</v>
      </c>
      <c r="AO1140" s="27"/>
    </row>
    <row r="1141">
      <c r="A1141" s="200">
        <v>44859.02510291667</v>
      </c>
      <c r="B1141" s="19"/>
      <c r="C1141" s="21"/>
      <c r="D1141" s="62"/>
      <c r="E1141" s="27"/>
      <c r="F1141" s="27"/>
      <c r="G1141" s="201"/>
      <c r="H1141" s="27"/>
      <c r="I1141" s="27"/>
      <c r="J1141" s="33"/>
      <c r="K1141" s="33"/>
      <c r="L1141" s="66"/>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t="e">
        <v>#N/A</v>
      </c>
      <c r="AN1141" s="27" t="e">
        <v>#N/A</v>
      </c>
      <c r="AO1141" s="27"/>
    </row>
    <row r="1142">
      <c r="A1142" s="200">
        <v>44859.02510291667</v>
      </c>
      <c r="B1142" s="19" t="s">
        <v>131</v>
      </c>
      <c r="C1142" s="21" t="s">
        <v>222</v>
      </c>
      <c r="D1142" s="62">
        <v>4.0</v>
      </c>
      <c r="E1142" s="27">
        <v>3.0</v>
      </c>
      <c r="F1142" s="27"/>
      <c r="G1142" s="201"/>
      <c r="H1142" s="27"/>
      <c r="I1142" s="27" t="s">
        <v>88</v>
      </c>
      <c r="J1142" s="33"/>
      <c r="K1142" s="33"/>
      <c r="L1142" s="66"/>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v>172.0</v>
      </c>
      <c r="AI1142" s="27">
        <v>145.0</v>
      </c>
      <c r="AJ1142" s="27">
        <v>0.0</v>
      </c>
      <c r="AK1142" s="27" t="b">
        <v>1</v>
      </c>
      <c r="AL1142" s="27">
        <v>59.0</v>
      </c>
      <c r="AM1142" s="27" t="s">
        <v>191</v>
      </c>
      <c r="AN1142" s="27" t="s">
        <v>404</v>
      </c>
      <c r="AO1142" s="27"/>
    </row>
    <row r="1143">
      <c r="A1143" s="200">
        <v>44859.02510291667</v>
      </c>
      <c r="B1143" s="19" t="s">
        <v>131</v>
      </c>
      <c r="C1143" s="21" t="s">
        <v>210</v>
      </c>
      <c r="D1143" s="62">
        <v>1.0</v>
      </c>
      <c r="E1143" s="27">
        <v>6.0</v>
      </c>
      <c r="F1143" s="27"/>
      <c r="G1143" s="201"/>
      <c r="H1143" s="27"/>
      <c r="I1143" s="27" t="s">
        <v>105</v>
      </c>
      <c r="J1143" s="33"/>
      <c r="K1143" s="33"/>
      <c r="L1143" s="66"/>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v>177.0</v>
      </c>
      <c r="AI1143" s="27">
        <v>263.0</v>
      </c>
      <c r="AJ1143" s="27">
        <v>0.0</v>
      </c>
      <c r="AK1143" s="27" t="b">
        <v>1</v>
      </c>
      <c r="AL1143" s="27">
        <v>59.0</v>
      </c>
      <c r="AM1143" s="27" t="s">
        <v>389</v>
      </c>
      <c r="AN1143" s="27" t="s">
        <v>405</v>
      </c>
      <c r="AO1143" s="27"/>
    </row>
    <row r="1144">
      <c r="A1144" s="200">
        <v>44859.02510291667</v>
      </c>
      <c r="B1144" s="19" t="s">
        <v>131</v>
      </c>
      <c r="C1144" s="21" t="s">
        <v>219</v>
      </c>
      <c r="D1144" s="62">
        <v>4.0</v>
      </c>
      <c r="E1144" s="27">
        <v>3.0</v>
      </c>
      <c r="F1144" s="27" t="s">
        <v>1876</v>
      </c>
      <c r="G1144" s="201" t="s">
        <v>57</v>
      </c>
      <c r="H1144" s="27" t="s">
        <v>53</v>
      </c>
      <c r="I1144" s="27"/>
      <c r="J1144" s="33">
        <v>-9.5</v>
      </c>
      <c r="K1144" s="33">
        <v>-7.5</v>
      </c>
      <c r="L1144" s="66">
        <v>36.0</v>
      </c>
      <c r="M1144" s="27" t="s">
        <v>1877</v>
      </c>
      <c r="N1144" s="27">
        <v>-7.5</v>
      </c>
      <c r="O1144" s="27"/>
      <c r="P1144" s="27">
        <v>-7.0</v>
      </c>
      <c r="Q1144" s="27"/>
      <c r="R1144" s="27">
        <v>-7.0</v>
      </c>
      <c r="S1144" s="27"/>
      <c r="T1144" s="27">
        <v>-7.5</v>
      </c>
      <c r="U1144" s="27"/>
      <c r="V1144" s="27">
        <v>-7.0</v>
      </c>
      <c r="W1144" s="27"/>
      <c r="X1144" s="27">
        <v>-7.0</v>
      </c>
      <c r="Y1144" s="27"/>
      <c r="Z1144" s="27">
        <v>-7.5</v>
      </c>
      <c r="AA1144" s="27"/>
      <c r="AB1144" s="27">
        <v>-7.5</v>
      </c>
      <c r="AC1144" s="27"/>
      <c r="AD1144" s="27">
        <v>-7.5</v>
      </c>
      <c r="AE1144" s="27"/>
      <c r="AF1144" s="27" t="s">
        <v>1091</v>
      </c>
      <c r="AG1144" s="27" t="s">
        <v>1091</v>
      </c>
      <c r="AH1144" s="27">
        <v>134.0</v>
      </c>
      <c r="AI1144" s="27">
        <v>150.0</v>
      </c>
      <c r="AJ1144" s="27">
        <v>2.0</v>
      </c>
      <c r="AK1144" s="27" t="b">
        <v>1</v>
      </c>
      <c r="AL1144" s="27">
        <v>100.0</v>
      </c>
      <c r="AM1144" s="27" t="s">
        <v>129</v>
      </c>
      <c r="AN1144" s="27" t="s">
        <v>405</v>
      </c>
      <c r="AO1144" s="27"/>
    </row>
    <row r="1145">
      <c r="A1145" s="200">
        <v>44859.02510291667</v>
      </c>
      <c r="B1145" s="19" t="s">
        <v>131</v>
      </c>
      <c r="C1145" s="21" t="s">
        <v>208</v>
      </c>
      <c r="D1145" s="62">
        <v>3.0</v>
      </c>
      <c r="E1145" s="27">
        <v>5.0</v>
      </c>
      <c r="F1145" s="27" t="s">
        <v>1890</v>
      </c>
      <c r="G1145" s="201" t="s">
        <v>57</v>
      </c>
      <c r="H1145" s="27" t="s">
        <v>154</v>
      </c>
      <c r="I1145" s="27"/>
      <c r="J1145" s="33">
        <v>-5.0</v>
      </c>
      <c r="K1145" s="33">
        <v>-7.0</v>
      </c>
      <c r="L1145" s="66">
        <v>44.0</v>
      </c>
      <c r="M1145" s="27" t="s">
        <v>1595</v>
      </c>
      <c r="N1145" s="27">
        <v>-7.0</v>
      </c>
      <c r="O1145" s="27"/>
      <c r="P1145" s="27">
        <v>-6.5</v>
      </c>
      <c r="Q1145" s="27"/>
      <c r="R1145" s="27">
        <v>-7.0</v>
      </c>
      <c r="S1145" s="27"/>
      <c r="T1145" s="27">
        <v>-7.0</v>
      </c>
      <c r="U1145" s="27"/>
      <c r="V1145" s="27">
        <v>-7.0</v>
      </c>
      <c r="W1145" s="27"/>
      <c r="X1145" s="27">
        <v>-7.0</v>
      </c>
      <c r="Y1145" s="27"/>
      <c r="Z1145" s="27">
        <v>-7.0</v>
      </c>
      <c r="AA1145" s="27"/>
      <c r="AB1145" s="27" t="s">
        <v>1091</v>
      </c>
      <c r="AC1145" s="27" t="s">
        <v>1091</v>
      </c>
      <c r="AD1145" s="27" t="s">
        <v>1091</v>
      </c>
      <c r="AE1145" s="27" t="s">
        <v>1091</v>
      </c>
      <c r="AF1145" s="27" t="s">
        <v>1091</v>
      </c>
      <c r="AG1145" s="27" t="s">
        <v>1091</v>
      </c>
      <c r="AH1145" s="27">
        <v>148.0</v>
      </c>
      <c r="AI1145" s="27">
        <v>184.0</v>
      </c>
      <c r="AJ1145" s="27">
        <v>2.0</v>
      </c>
      <c r="AK1145" s="27" t="b">
        <v>1</v>
      </c>
      <c r="AL1145" s="27">
        <v>100.0</v>
      </c>
      <c r="AM1145" s="27" t="s">
        <v>190</v>
      </c>
      <c r="AN1145" s="27" t="s">
        <v>405</v>
      </c>
      <c r="AO1145" s="27"/>
    </row>
    <row r="1146">
      <c r="A1146" s="200">
        <v>44859.02510291667</v>
      </c>
      <c r="B1146" s="19" t="s">
        <v>131</v>
      </c>
      <c r="C1146" s="21" t="s">
        <v>197</v>
      </c>
      <c r="D1146" s="62">
        <v>4.0</v>
      </c>
      <c r="E1146" s="27">
        <v>4.0</v>
      </c>
      <c r="F1146" s="27" t="s">
        <v>1891</v>
      </c>
      <c r="G1146" s="201" t="s">
        <v>57</v>
      </c>
      <c r="H1146" s="27" t="s">
        <v>148</v>
      </c>
      <c r="I1146" s="27"/>
      <c r="J1146" s="33">
        <v>-2.0</v>
      </c>
      <c r="K1146" s="33">
        <v>-1.5</v>
      </c>
      <c r="L1146" s="66">
        <v>51.5</v>
      </c>
      <c r="M1146" s="27" t="s">
        <v>1892</v>
      </c>
      <c r="N1146" s="27">
        <v>-1.5</v>
      </c>
      <c r="O1146" s="27"/>
      <c r="P1146" s="27">
        <v>-1.5</v>
      </c>
      <c r="Q1146" s="27"/>
      <c r="R1146" s="27">
        <v>-1.5</v>
      </c>
      <c r="S1146" s="27"/>
      <c r="T1146" s="27">
        <v>-1.5</v>
      </c>
      <c r="U1146" s="27"/>
      <c r="V1146" s="27">
        <v>-1.5</v>
      </c>
      <c r="W1146" s="27"/>
      <c r="X1146" s="27">
        <v>-1.5</v>
      </c>
      <c r="Y1146" s="27"/>
      <c r="Z1146" s="27">
        <v>-1.5</v>
      </c>
      <c r="AA1146" s="27"/>
      <c r="AB1146" s="27">
        <v>-1.5</v>
      </c>
      <c r="AC1146" s="27"/>
      <c r="AD1146" s="27">
        <v>-1.5</v>
      </c>
      <c r="AE1146" s="27"/>
      <c r="AF1146" s="27" t="s">
        <v>1091</v>
      </c>
      <c r="AG1146" s="27" t="s">
        <v>1091</v>
      </c>
      <c r="AH1146" s="27">
        <v>254.0</v>
      </c>
      <c r="AI1146" s="27">
        <v>175.0</v>
      </c>
      <c r="AJ1146" s="27">
        <v>2.0</v>
      </c>
      <c r="AK1146" s="27" t="b">
        <v>1</v>
      </c>
      <c r="AL1146" s="27">
        <v>100.0</v>
      </c>
      <c r="AM1146" s="27" t="s">
        <v>188</v>
      </c>
      <c r="AN1146" s="27" t="s">
        <v>404</v>
      </c>
      <c r="AO1146" s="27"/>
    </row>
    <row r="1147">
      <c r="A1147" s="200">
        <v>44859.02510291667</v>
      </c>
      <c r="B1147" s="19" t="s">
        <v>131</v>
      </c>
      <c r="C1147" s="21" t="s">
        <v>204</v>
      </c>
      <c r="D1147" s="62">
        <v>4.0</v>
      </c>
      <c r="E1147" s="27">
        <v>4.0</v>
      </c>
      <c r="F1147" s="27" t="s">
        <v>1893</v>
      </c>
      <c r="G1147" s="201" t="s">
        <v>57</v>
      </c>
      <c r="H1147" s="27" t="s">
        <v>138</v>
      </c>
      <c r="I1147" s="27"/>
      <c r="J1147" s="33" t="s">
        <v>1091</v>
      </c>
      <c r="K1147" s="33" t="s">
        <v>1091</v>
      </c>
      <c r="L1147" s="26" t="s">
        <v>1091</v>
      </c>
      <c r="M1147" s="27" t="s">
        <v>1091</v>
      </c>
      <c r="N1147" s="27" t="s">
        <v>1091</v>
      </c>
      <c r="O1147" s="27" t="s">
        <v>1091</v>
      </c>
      <c r="P1147" s="27" t="s">
        <v>1091</v>
      </c>
      <c r="Q1147" s="27" t="s">
        <v>1091</v>
      </c>
      <c r="R1147" s="27" t="s">
        <v>1091</v>
      </c>
      <c r="S1147" s="27" t="s">
        <v>1091</v>
      </c>
      <c r="T1147" s="27" t="s">
        <v>1091</v>
      </c>
      <c r="U1147" s="27" t="s">
        <v>1091</v>
      </c>
      <c r="V1147" s="27" t="s">
        <v>1091</v>
      </c>
      <c r="W1147" s="27" t="s">
        <v>1091</v>
      </c>
      <c r="X1147" s="27" t="s">
        <v>1091</v>
      </c>
      <c r="Y1147" s="27" t="s">
        <v>1091</v>
      </c>
      <c r="Z1147" s="27" t="s">
        <v>1091</v>
      </c>
      <c r="AA1147" s="27" t="s">
        <v>1091</v>
      </c>
      <c r="AB1147" s="27" t="s">
        <v>1091</v>
      </c>
      <c r="AC1147" s="27" t="s">
        <v>1091</v>
      </c>
      <c r="AD1147" s="27" t="s">
        <v>1091</v>
      </c>
      <c r="AE1147" s="27" t="s">
        <v>1091</v>
      </c>
      <c r="AF1147" s="27" t="s">
        <v>1091</v>
      </c>
      <c r="AG1147" s="27" t="s">
        <v>1091</v>
      </c>
      <c r="AH1147" s="27">
        <v>280.0</v>
      </c>
      <c r="AI1147" s="27">
        <v>276.0</v>
      </c>
      <c r="AJ1147" s="27">
        <v>2.0</v>
      </c>
      <c r="AK1147" s="27" t="b">
        <v>1</v>
      </c>
      <c r="AL1147" s="27">
        <v>100.0</v>
      </c>
      <c r="AM1147" s="27" t="s">
        <v>189</v>
      </c>
      <c r="AN1147" s="27" t="s">
        <v>405</v>
      </c>
      <c r="AO1147" s="27"/>
    </row>
    <row r="1148">
      <c r="A1148" s="200">
        <v>44859.02510291667</v>
      </c>
      <c r="B1148" s="19" t="s">
        <v>131</v>
      </c>
      <c r="C1148" s="21" t="s">
        <v>214</v>
      </c>
      <c r="D1148" s="62">
        <v>7.0</v>
      </c>
      <c r="E1148" s="27">
        <v>0.0</v>
      </c>
      <c r="F1148" s="27" t="s">
        <v>1894</v>
      </c>
      <c r="G1148" s="201" t="s">
        <v>57</v>
      </c>
      <c r="H1148" s="27"/>
      <c r="I1148" s="27"/>
      <c r="J1148" s="33">
        <v>-38.0</v>
      </c>
      <c r="K1148" s="33">
        <v>-38.5</v>
      </c>
      <c r="L1148" s="66">
        <v>70.0</v>
      </c>
      <c r="M1148" s="27" t="s">
        <v>1091</v>
      </c>
      <c r="N1148" s="27">
        <v>-38.5</v>
      </c>
      <c r="O1148" s="27" t="s">
        <v>1091</v>
      </c>
      <c r="P1148" s="27">
        <v>-38.5</v>
      </c>
      <c r="Q1148" s="27" t="s">
        <v>1091</v>
      </c>
      <c r="R1148" s="27">
        <v>-38.5</v>
      </c>
      <c r="S1148" s="27" t="s">
        <v>1091</v>
      </c>
      <c r="T1148" s="27">
        <v>-38.5</v>
      </c>
      <c r="U1148" s="27" t="s">
        <v>1091</v>
      </c>
      <c r="V1148" s="27">
        <v>-38.5</v>
      </c>
      <c r="W1148" s="27" t="s">
        <v>1091</v>
      </c>
      <c r="X1148" s="27">
        <v>-39.0</v>
      </c>
      <c r="Y1148" s="27" t="s">
        <v>1091</v>
      </c>
      <c r="Z1148" s="27" t="s">
        <v>1091</v>
      </c>
      <c r="AA1148" s="27" t="s">
        <v>1091</v>
      </c>
      <c r="AB1148" s="27" t="s">
        <v>1091</v>
      </c>
      <c r="AC1148" s="27" t="s">
        <v>1091</v>
      </c>
      <c r="AD1148" s="27" t="s">
        <v>1091</v>
      </c>
      <c r="AE1148" s="27" t="s">
        <v>1091</v>
      </c>
      <c r="AF1148" s="27" t="s">
        <v>1091</v>
      </c>
      <c r="AG1148" s="27" t="s">
        <v>1091</v>
      </c>
      <c r="AH1148" s="27">
        <v>351.0</v>
      </c>
      <c r="AI1148" s="27">
        <v>162.0</v>
      </c>
      <c r="AJ1148" s="27">
        <v>2.0</v>
      </c>
      <c r="AK1148" s="27" t="b">
        <v>0</v>
      </c>
      <c r="AL1148" s="27">
        <v>100.0</v>
      </c>
      <c r="AM1148" s="27" t="s">
        <v>192</v>
      </c>
      <c r="AN1148" s="27" t="s">
        <v>404</v>
      </c>
      <c r="AO1148" s="27"/>
    </row>
    <row r="1149">
      <c r="A1149" s="200">
        <v>44859.02510291667</v>
      </c>
      <c r="B1149" s="19" t="s">
        <v>131</v>
      </c>
      <c r="C1149" s="21" t="s">
        <v>206</v>
      </c>
      <c r="D1149" s="62">
        <v>8.0</v>
      </c>
      <c r="E1149" s="27">
        <v>0.0</v>
      </c>
      <c r="F1149" s="27" t="s">
        <v>1895</v>
      </c>
      <c r="G1149" s="201" t="s">
        <v>57</v>
      </c>
      <c r="H1149" s="27" t="s">
        <v>138</v>
      </c>
      <c r="I1149" s="27"/>
      <c r="J1149" s="33">
        <v>-17.0</v>
      </c>
      <c r="K1149" s="33">
        <v>-14.0</v>
      </c>
      <c r="L1149" s="66">
        <v>49.5</v>
      </c>
      <c r="M1149" s="27" t="s">
        <v>1896</v>
      </c>
      <c r="N1149" s="27">
        <v>-14.5</v>
      </c>
      <c r="O1149" s="27"/>
      <c r="P1149" s="27">
        <v>-14.0</v>
      </c>
      <c r="Q1149" s="27"/>
      <c r="R1149" s="27">
        <v>-14.0</v>
      </c>
      <c r="S1149" s="27"/>
      <c r="T1149" s="27">
        <v>-14.0</v>
      </c>
      <c r="U1149" s="27"/>
      <c r="V1149" s="27">
        <v>-14.0</v>
      </c>
      <c r="W1149" s="27"/>
      <c r="X1149" s="27">
        <v>-14.0</v>
      </c>
      <c r="Y1149" s="27"/>
      <c r="Z1149" s="27">
        <v>-14.0</v>
      </c>
      <c r="AA1149" s="27"/>
      <c r="AB1149" s="27">
        <v>-14.0</v>
      </c>
      <c r="AC1149" s="27"/>
      <c r="AD1149" s="27">
        <v>-14.0</v>
      </c>
      <c r="AE1149" s="27"/>
      <c r="AF1149" s="27" t="s">
        <v>1091</v>
      </c>
      <c r="AG1149" s="27" t="s">
        <v>1091</v>
      </c>
      <c r="AH1149" s="27">
        <v>297.0</v>
      </c>
      <c r="AI1149" s="27">
        <v>159.0</v>
      </c>
      <c r="AJ1149" s="27">
        <v>2.0</v>
      </c>
      <c r="AK1149" s="27" t="b">
        <v>0</v>
      </c>
      <c r="AL1149" s="27">
        <v>100.0</v>
      </c>
      <c r="AM1149" s="27" t="s">
        <v>186</v>
      </c>
      <c r="AN1149" s="27" t="s">
        <v>404</v>
      </c>
      <c r="AO1149" s="27"/>
    </row>
    <row r="1150">
      <c r="A1150" s="200">
        <v>44859.02510291667</v>
      </c>
      <c r="B1150" s="19" t="s">
        <v>131</v>
      </c>
      <c r="C1150" s="21" t="s">
        <v>199</v>
      </c>
      <c r="D1150" s="62">
        <v>2.0</v>
      </c>
      <c r="E1150" s="27">
        <v>6.0</v>
      </c>
      <c r="F1150" s="27" t="s">
        <v>1897</v>
      </c>
      <c r="G1150" s="201" t="s">
        <v>57</v>
      </c>
      <c r="H1150" s="27" t="s">
        <v>166</v>
      </c>
      <c r="I1150" s="27"/>
      <c r="J1150" s="33">
        <v>7.5</v>
      </c>
      <c r="K1150" s="33">
        <v>6.5</v>
      </c>
      <c r="L1150" s="66">
        <v>56.0</v>
      </c>
      <c r="M1150" s="27" t="s">
        <v>1898</v>
      </c>
      <c r="N1150" s="27">
        <v>6.5</v>
      </c>
      <c r="O1150" s="27"/>
      <c r="P1150" s="27">
        <v>6.5</v>
      </c>
      <c r="Q1150" s="27"/>
      <c r="R1150" s="27">
        <v>6.5</v>
      </c>
      <c r="S1150" s="27"/>
      <c r="T1150" s="27">
        <v>6.5</v>
      </c>
      <c r="U1150" s="27"/>
      <c r="V1150" s="27">
        <v>6.5</v>
      </c>
      <c r="W1150" s="27"/>
      <c r="X1150" s="27">
        <v>6.5</v>
      </c>
      <c r="Y1150" s="27"/>
      <c r="Z1150" s="27">
        <v>6.5</v>
      </c>
      <c r="AA1150" s="27"/>
      <c r="AB1150" s="27">
        <v>6.5</v>
      </c>
      <c r="AC1150" s="27"/>
      <c r="AD1150" s="27">
        <v>6.5</v>
      </c>
      <c r="AE1150" s="27"/>
      <c r="AF1150" s="27" t="s">
        <v>1091</v>
      </c>
      <c r="AG1150" s="27" t="s">
        <v>1091</v>
      </c>
      <c r="AH1150" s="27">
        <v>180.0</v>
      </c>
      <c r="AI1150" s="27">
        <v>301.0</v>
      </c>
      <c r="AJ1150" s="27">
        <v>2.0</v>
      </c>
      <c r="AK1150" s="27" t="b">
        <v>1</v>
      </c>
      <c r="AL1150" s="27">
        <v>100.0</v>
      </c>
      <c r="AM1150" s="27" t="s">
        <v>193</v>
      </c>
      <c r="AN1150" s="27" t="s">
        <v>405</v>
      </c>
      <c r="AO1150" s="27"/>
    </row>
    <row r="1151">
      <c r="A1151" s="200">
        <v>44859.02510291667</v>
      </c>
      <c r="B1151" s="19" t="s">
        <v>131</v>
      </c>
      <c r="C1151" s="21" t="s">
        <v>217</v>
      </c>
      <c r="D1151" s="62">
        <v>5.0</v>
      </c>
      <c r="E1151" s="27">
        <v>3.0</v>
      </c>
      <c r="F1151" s="27" t="s">
        <v>1899</v>
      </c>
      <c r="G1151" s="201" t="s">
        <v>57</v>
      </c>
      <c r="H1151" s="27" t="s">
        <v>154</v>
      </c>
      <c r="I1151" s="27"/>
      <c r="J1151" s="33">
        <v>9.5</v>
      </c>
      <c r="K1151" s="33">
        <v>10.5</v>
      </c>
      <c r="L1151" s="66">
        <v>58.0</v>
      </c>
      <c r="M1151" s="27" t="s">
        <v>1485</v>
      </c>
      <c r="N1151" s="27">
        <v>10.0</v>
      </c>
      <c r="O1151" s="27"/>
      <c r="P1151" s="27">
        <v>10.0</v>
      </c>
      <c r="Q1151" s="27"/>
      <c r="R1151" s="27">
        <v>10.0</v>
      </c>
      <c r="S1151" s="27"/>
      <c r="T1151" s="27">
        <v>10.5</v>
      </c>
      <c r="U1151" s="27"/>
      <c r="V1151" s="27">
        <v>10.0</v>
      </c>
      <c r="W1151" s="27"/>
      <c r="X1151" s="27">
        <v>10.0</v>
      </c>
      <c r="Y1151" s="27"/>
      <c r="Z1151" s="27">
        <v>10.0</v>
      </c>
      <c r="AA1151" s="27"/>
      <c r="AB1151" s="27">
        <v>10.5</v>
      </c>
      <c r="AC1151" s="27"/>
      <c r="AD1151" s="27">
        <v>10.5</v>
      </c>
      <c r="AE1151" s="27"/>
      <c r="AF1151" s="27" t="s">
        <v>1091</v>
      </c>
      <c r="AG1151" s="27" t="s">
        <v>1091</v>
      </c>
      <c r="AH1151" s="27">
        <v>304.0</v>
      </c>
      <c r="AI1151" s="27">
        <v>245.0</v>
      </c>
      <c r="AJ1151" s="27">
        <v>2.0</v>
      </c>
      <c r="AK1151" s="27" t="b">
        <v>0</v>
      </c>
      <c r="AL1151" s="27">
        <v>100.0</v>
      </c>
      <c r="AM1151" s="27" t="s">
        <v>187</v>
      </c>
      <c r="AN1151" s="27" t="s">
        <v>404</v>
      </c>
      <c r="AO1151" s="27"/>
    </row>
    <row r="1152">
      <c r="A1152" s="200">
        <v>44859.02510291667</v>
      </c>
      <c r="B1152" s="19"/>
      <c r="C1152" s="21"/>
      <c r="D1152" s="62"/>
      <c r="E1152" s="27"/>
      <c r="F1152" s="27"/>
      <c r="G1152" s="201"/>
      <c r="H1152" s="27"/>
      <c r="I1152" s="27"/>
      <c r="J1152" s="33"/>
      <c r="K1152" s="33"/>
      <c r="L1152" s="66"/>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t="e">
        <v>#N/A</v>
      </c>
      <c r="AN1152" s="27" t="e">
        <v>#N/A</v>
      </c>
      <c r="AO1152" s="27"/>
    </row>
    <row r="1153">
      <c r="A1153" s="200">
        <v>44859.02510291667</v>
      </c>
      <c r="B1153" s="19" t="s">
        <v>178</v>
      </c>
      <c r="C1153" s="21" t="s">
        <v>240</v>
      </c>
      <c r="D1153" s="62">
        <v>4.0</v>
      </c>
      <c r="E1153" s="27">
        <v>3.0</v>
      </c>
      <c r="F1153" s="27" t="s">
        <v>1900</v>
      </c>
      <c r="G1153" s="201" t="s">
        <v>57</v>
      </c>
      <c r="H1153" s="27" t="s">
        <v>109</v>
      </c>
      <c r="I1153" s="27"/>
      <c r="J1153" s="33">
        <v>10.0</v>
      </c>
      <c r="K1153" s="33">
        <v>5.5</v>
      </c>
      <c r="L1153" s="66">
        <v>43.0</v>
      </c>
      <c r="M1153" s="27" t="s">
        <v>1901</v>
      </c>
      <c r="N1153" s="27">
        <v>5.5</v>
      </c>
      <c r="O1153" s="27"/>
      <c r="P1153" s="27">
        <v>5.0</v>
      </c>
      <c r="Q1153" s="27"/>
      <c r="R1153" s="27">
        <v>5.0</v>
      </c>
      <c r="S1153" s="27"/>
      <c r="T1153" s="27">
        <v>5.5</v>
      </c>
      <c r="U1153" s="27"/>
      <c r="V1153" s="27">
        <v>5.5</v>
      </c>
      <c r="W1153" s="27"/>
      <c r="X1153" s="27">
        <v>5.5</v>
      </c>
      <c r="Y1153" s="27"/>
      <c r="Z1153" s="27">
        <v>5.5</v>
      </c>
      <c r="AA1153" s="27"/>
      <c r="AB1153" s="27">
        <v>5.5</v>
      </c>
      <c r="AC1153" s="27"/>
      <c r="AD1153" s="27">
        <v>5.5</v>
      </c>
      <c r="AE1153" s="27"/>
      <c r="AF1153" s="27" t="s">
        <v>1091</v>
      </c>
      <c r="AG1153" s="27" t="s">
        <v>1091</v>
      </c>
      <c r="AH1153" s="27">
        <v>224.0</v>
      </c>
      <c r="AI1153" s="27">
        <v>115.0</v>
      </c>
      <c r="AJ1153" s="27">
        <v>2.0</v>
      </c>
      <c r="AK1153" s="27" t="b">
        <v>0</v>
      </c>
      <c r="AL1153" s="27">
        <v>100.0</v>
      </c>
      <c r="AM1153" s="27" t="s">
        <v>188</v>
      </c>
      <c r="AN1153" s="27" t="s">
        <v>404</v>
      </c>
      <c r="AO1153" s="27"/>
    </row>
    <row r="1154">
      <c r="A1154" s="200">
        <v>44859.02510291667</v>
      </c>
      <c r="B1154" s="19" t="s">
        <v>178</v>
      </c>
      <c r="C1154" s="21" t="s">
        <v>269</v>
      </c>
      <c r="D1154" s="62">
        <v>5.0</v>
      </c>
      <c r="E1154" s="27">
        <v>3.0</v>
      </c>
      <c r="F1154" s="27" t="s">
        <v>1902</v>
      </c>
      <c r="G1154" s="201" t="s">
        <v>57</v>
      </c>
      <c r="H1154" s="27" t="s">
        <v>141</v>
      </c>
      <c r="I1154" s="27"/>
      <c r="J1154" s="33">
        <v>20.5</v>
      </c>
      <c r="K1154" s="33">
        <v>21.0</v>
      </c>
      <c r="L1154" s="66">
        <v>61.5</v>
      </c>
      <c r="M1154" s="27" t="s">
        <v>1903</v>
      </c>
      <c r="N1154" s="27">
        <v>21.0</v>
      </c>
      <c r="O1154" s="27"/>
      <c r="P1154" s="27">
        <v>21.0</v>
      </c>
      <c r="Q1154" s="27"/>
      <c r="R1154" s="27">
        <v>21.0</v>
      </c>
      <c r="S1154" s="27"/>
      <c r="T1154" s="27">
        <v>21.0</v>
      </c>
      <c r="U1154" s="27"/>
      <c r="V1154" s="27">
        <v>21.0</v>
      </c>
      <c r="W1154" s="27"/>
      <c r="X1154" s="27">
        <v>21.5</v>
      </c>
      <c r="Y1154" s="27"/>
      <c r="Z1154" s="27">
        <v>21.0</v>
      </c>
      <c r="AA1154" s="27"/>
      <c r="AB1154" s="27">
        <v>21.0</v>
      </c>
      <c r="AC1154" s="27"/>
      <c r="AD1154" s="27">
        <v>21.0</v>
      </c>
      <c r="AE1154" s="27"/>
      <c r="AF1154" s="27" t="s">
        <v>1091</v>
      </c>
      <c r="AG1154" s="27" t="s">
        <v>1091</v>
      </c>
      <c r="AH1154" s="27">
        <v>254.0</v>
      </c>
      <c r="AI1154" s="27">
        <v>183.0</v>
      </c>
      <c r="AJ1154" s="27">
        <v>2.0</v>
      </c>
      <c r="AK1154" s="27" t="b">
        <v>1</v>
      </c>
      <c r="AL1154" s="27">
        <v>100.0</v>
      </c>
      <c r="AM1154" s="27" t="s">
        <v>192</v>
      </c>
      <c r="AN1154" s="27" t="s">
        <v>404</v>
      </c>
      <c r="AO1154" s="27"/>
    </row>
    <row r="1155">
      <c r="A1155" s="200">
        <v>44859.02510291667</v>
      </c>
      <c r="B1155" s="19" t="s">
        <v>178</v>
      </c>
      <c r="C1155" s="21" t="s">
        <v>263</v>
      </c>
      <c r="D1155" s="62">
        <v>2.0</v>
      </c>
      <c r="E1155" s="27">
        <v>6.0</v>
      </c>
      <c r="F1155" s="27" t="s">
        <v>1904</v>
      </c>
      <c r="G1155" s="201" t="s">
        <v>57</v>
      </c>
      <c r="H1155" s="27" t="s">
        <v>144</v>
      </c>
      <c r="I1155" s="27"/>
      <c r="J1155" s="33">
        <v>13.0</v>
      </c>
      <c r="K1155" s="33">
        <v>9.5</v>
      </c>
      <c r="L1155" s="66">
        <v>40.0</v>
      </c>
      <c r="M1155" s="27" t="s">
        <v>1584</v>
      </c>
      <c r="N1155" s="27">
        <v>9.5</v>
      </c>
      <c r="O1155" s="27"/>
      <c r="P1155" s="27">
        <v>9.5</v>
      </c>
      <c r="Q1155" s="27"/>
      <c r="R1155" s="27">
        <v>9.5</v>
      </c>
      <c r="S1155" s="27"/>
      <c r="T1155" s="27">
        <v>9.5</v>
      </c>
      <c r="U1155" s="27"/>
      <c r="V1155" s="27">
        <v>9.5</v>
      </c>
      <c r="W1155" s="27"/>
      <c r="X1155" s="27">
        <v>9.5</v>
      </c>
      <c r="Y1155" s="27"/>
      <c r="Z1155" s="27">
        <v>9.5</v>
      </c>
      <c r="AA1155" s="27" t="s">
        <v>1091</v>
      </c>
      <c r="AB1155" s="27">
        <v>9.5</v>
      </c>
      <c r="AC1155" s="27" t="s">
        <v>1091</v>
      </c>
      <c r="AD1155" s="27">
        <v>9.5</v>
      </c>
      <c r="AE1155" s="27" t="s">
        <v>1091</v>
      </c>
      <c r="AF1155" s="27" t="s">
        <v>1091</v>
      </c>
      <c r="AG1155" s="27" t="s">
        <v>1091</v>
      </c>
      <c r="AH1155" s="27">
        <v>134.0</v>
      </c>
      <c r="AI1155" s="27">
        <v>199.0</v>
      </c>
      <c r="AJ1155" s="27">
        <v>2.0</v>
      </c>
      <c r="AK1155" s="27" t="b">
        <v>0</v>
      </c>
      <c r="AL1155" s="27">
        <v>100.0</v>
      </c>
      <c r="AM1155" s="27" t="s">
        <v>129</v>
      </c>
      <c r="AN1155" s="27" t="s">
        <v>405</v>
      </c>
      <c r="AO1155" s="27"/>
    </row>
    <row r="1156">
      <c r="A1156" s="200">
        <v>44859.02510291667</v>
      </c>
      <c r="B1156" s="19" t="s">
        <v>178</v>
      </c>
      <c r="C1156" s="21" t="s">
        <v>257</v>
      </c>
      <c r="D1156" s="62">
        <v>5.0</v>
      </c>
      <c r="E1156" s="27">
        <v>3.0</v>
      </c>
      <c r="F1156" s="27" t="s">
        <v>1882</v>
      </c>
      <c r="G1156" s="201" t="s">
        <v>57</v>
      </c>
      <c r="H1156" s="27" t="s">
        <v>53</v>
      </c>
      <c r="I1156" s="27"/>
      <c r="J1156" s="33">
        <v>2.5</v>
      </c>
      <c r="K1156" s="33">
        <v>2.5</v>
      </c>
      <c r="L1156" s="66">
        <v>66.5</v>
      </c>
      <c r="M1156" s="27" t="s">
        <v>1173</v>
      </c>
      <c r="N1156" s="27">
        <v>1.5</v>
      </c>
      <c r="O1156" s="27"/>
      <c r="P1156" s="27">
        <v>1.5</v>
      </c>
      <c r="Q1156" s="27"/>
      <c r="R1156" s="27">
        <v>1.5</v>
      </c>
      <c r="S1156" s="27"/>
      <c r="T1156" s="27">
        <v>2.5</v>
      </c>
      <c r="U1156" s="27"/>
      <c r="V1156" s="27">
        <v>1.5</v>
      </c>
      <c r="W1156" s="27"/>
      <c r="X1156" s="27">
        <v>1.5</v>
      </c>
      <c r="Y1156" s="27"/>
      <c r="Z1156" s="27">
        <v>2.5</v>
      </c>
      <c r="AA1156" s="27"/>
      <c r="AB1156" s="27">
        <v>2.5</v>
      </c>
      <c r="AC1156" s="27"/>
      <c r="AD1156" s="27">
        <v>2.5</v>
      </c>
      <c r="AE1156" s="27"/>
      <c r="AF1156" s="27" t="s">
        <v>1091</v>
      </c>
      <c r="AG1156" s="27" t="s">
        <v>1091</v>
      </c>
      <c r="AH1156" s="27">
        <v>295.0</v>
      </c>
      <c r="AI1156" s="27">
        <v>243.0</v>
      </c>
      <c r="AJ1156" s="27">
        <v>2.0</v>
      </c>
      <c r="AK1156" s="27" t="b">
        <v>0</v>
      </c>
      <c r="AL1156" s="27">
        <v>100.0</v>
      </c>
      <c r="AM1156" s="27" t="s">
        <v>193</v>
      </c>
      <c r="AN1156" s="27" t="s">
        <v>405</v>
      </c>
      <c r="AO1156" s="27"/>
    </row>
    <row r="1157">
      <c r="A1157" s="200">
        <v>44859.02510291667</v>
      </c>
      <c r="B1157" s="19" t="s">
        <v>178</v>
      </c>
      <c r="C1157" s="21" t="s">
        <v>261</v>
      </c>
      <c r="D1157" s="62">
        <v>6.0</v>
      </c>
      <c r="E1157" s="27">
        <v>1.0</v>
      </c>
      <c r="F1157" s="27" t="s">
        <v>1883</v>
      </c>
      <c r="G1157" s="201" t="s">
        <v>57</v>
      </c>
      <c r="H1157" s="27" t="s">
        <v>53</v>
      </c>
      <c r="I1157" s="27"/>
      <c r="J1157" s="33">
        <v>4.0</v>
      </c>
      <c r="K1157" s="33">
        <v>7.0</v>
      </c>
      <c r="L1157" s="66">
        <v>70.5</v>
      </c>
      <c r="M1157" s="27" t="s">
        <v>1595</v>
      </c>
      <c r="N1157" s="27">
        <v>7.0</v>
      </c>
      <c r="O1157" s="27"/>
      <c r="P1157" s="27">
        <v>7.0</v>
      </c>
      <c r="Q1157" s="27"/>
      <c r="R1157" s="27">
        <v>7.0</v>
      </c>
      <c r="S1157" s="27"/>
      <c r="T1157" s="27">
        <v>7.0</v>
      </c>
      <c r="U1157" s="27"/>
      <c r="V1157" s="27">
        <v>7.0</v>
      </c>
      <c r="W1157" s="27"/>
      <c r="X1157" s="27">
        <v>7.0</v>
      </c>
      <c r="Y1157" s="27"/>
      <c r="Z1157" s="27">
        <v>7.0</v>
      </c>
      <c r="AA1157" s="27"/>
      <c r="AB1157" s="27">
        <v>7.0</v>
      </c>
      <c r="AC1157" s="27"/>
      <c r="AD1157" s="27">
        <v>7.0</v>
      </c>
      <c r="AE1157" s="27"/>
      <c r="AF1157" s="27" t="s">
        <v>1091</v>
      </c>
      <c r="AG1157" s="27" t="s">
        <v>1091</v>
      </c>
      <c r="AH1157" s="27">
        <v>279.0</v>
      </c>
      <c r="AI1157" s="27">
        <v>181.0</v>
      </c>
      <c r="AJ1157" s="27">
        <v>2.0</v>
      </c>
      <c r="AK1157" s="27" t="b">
        <v>0</v>
      </c>
      <c r="AL1157" s="27">
        <v>100.0</v>
      </c>
      <c r="AM1157" s="27" t="s">
        <v>191</v>
      </c>
      <c r="AN1157" s="27" t="s">
        <v>404</v>
      </c>
      <c r="AO1157" s="27"/>
    </row>
    <row r="1158">
      <c r="A1158" s="200">
        <v>44859.02510291667</v>
      </c>
      <c r="B1158" s="19" t="s">
        <v>178</v>
      </c>
      <c r="C1158" s="21" t="s">
        <v>267</v>
      </c>
      <c r="D1158" s="62">
        <v>7.0</v>
      </c>
      <c r="E1158" s="27">
        <v>1.0</v>
      </c>
      <c r="F1158" s="27" t="s">
        <v>1905</v>
      </c>
      <c r="G1158" s="201" t="s">
        <v>57</v>
      </c>
      <c r="H1158" s="27" t="s">
        <v>109</v>
      </c>
      <c r="I1158" s="27"/>
      <c r="J1158" s="33">
        <v>-6.0</v>
      </c>
      <c r="K1158" s="33">
        <v>-7.0</v>
      </c>
      <c r="L1158" s="66">
        <v>55.0</v>
      </c>
      <c r="M1158" s="27" t="s">
        <v>1906</v>
      </c>
      <c r="N1158" s="27">
        <v>-7.0</v>
      </c>
      <c r="O1158" s="27"/>
      <c r="P1158" s="27">
        <v>-7.0</v>
      </c>
      <c r="Q1158" s="27"/>
      <c r="R1158" s="27">
        <v>-7.0</v>
      </c>
      <c r="S1158" s="27"/>
      <c r="T1158" s="27">
        <v>-7.0</v>
      </c>
      <c r="U1158" s="27"/>
      <c r="V1158" s="27">
        <v>-7.0</v>
      </c>
      <c r="W1158" s="27"/>
      <c r="X1158" s="27">
        <v>-7.0</v>
      </c>
      <c r="Y1158" s="27"/>
      <c r="Z1158" s="27">
        <v>-7.5</v>
      </c>
      <c r="AA1158" s="27"/>
      <c r="AB1158" s="27">
        <v>-7.0</v>
      </c>
      <c r="AC1158" s="27"/>
      <c r="AD1158" s="27">
        <v>-7.0</v>
      </c>
      <c r="AE1158" s="27"/>
      <c r="AF1158" s="27" t="s">
        <v>1091</v>
      </c>
      <c r="AG1158" s="27" t="s">
        <v>1091</v>
      </c>
      <c r="AH1158" s="27">
        <v>269.0</v>
      </c>
      <c r="AI1158" s="27">
        <v>139.0</v>
      </c>
      <c r="AJ1158" s="27">
        <v>2.0</v>
      </c>
      <c r="AK1158" s="27" t="b">
        <v>0</v>
      </c>
      <c r="AL1158" s="27">
        <v>100.0</v>
      </c>
      <c r="AM1158" s="27" t="s">
        <v>389</v>
      </c>
      <c r="AN1158" s="27" t="s">
        <v>405</v>
      </c>
      <c r="AO1158" s="27"/>
    </row>
    <row r="1159">
      <c r="A1159" s="200">
        <v>44859.02510291667</v>
      </c>
      <c r="B1159" s="19" t="s">
        <v>178</v>
      </c>
      <c r="C1159" s="21" t="s">
        <v>259</v>
      </c>
      <c r="D1159" s="62">
        <v>6.0</v>
      </c>
      <c r="E1159" s="27">
        <v>1.0</v>
      </c>
      <c r="F1159" s="27" t="s">
        <v>1907</v>
      </c>
      <c r="G1159" s="201" t="s">
        <v>57</v>
      </c>
      <c r="H1159" s="27" t="s">
        <v>59</v>
      </c>
      <c r="I1159" s="27"/>
      <c r="J1159" s="33">
        <v>-20.0</v>
      </c>
      <c r="K1159" s="33">
        <v>-20.5</v>
      </c>
      <c r="L1159" s="66">
        <v>60.0</v>
      </c>
      <c r="M1159" s="27" t="s">
        <v>1426</v>
      </c>
      <c r="N1159" s="27">
        <v>-20.0</v>
      </c>
      <c r="O1159" s="27"/>
      <c r="P1159" s="27">
        <v>-20.0</v>
      </c>
      <c r="Q1159" s="27"/>
      <c r="R1159" s="27">
        <v>-20.0</v>
      </c>
      <c r="S1159" s="27"/>
      <c r="T1159" s="27">
        <v>-20.5</v>
      </c>
      <c r="U1159" s="27"/>
      <c r="V1159" s="27">
        <v>-20.0</v>
      </c>
      <c r="W1159" s="27"/>
      <c r="X1159" s="27">
        <v>-20.0</v>
      </c>
      <c r="Y1159" s="27"/>
      <c r="Z1159" s="27">
        <v>-20.0</v>
      </c>
      <c r="AA1159" s="27"/>
      <c r="AB1159" s="27">
        <v>-20.5</v>
      </c>
      <c r="AC1159" s="27"/>
      <c r="AD1159" s="27">
        <v>-20.5</v>
      </c>
      <c r="AE1159" s="27"/>
      <c r="AF1159" s="27" t="s">
        <v>1091</v>
      </c>
      <c r="AG1159" s="27" t="s">
        <v>1091</v>
      </c>
      <c r="AH1159" s="27">
        <v>290.0</v>
      </c>
      <c r="AI1159" s="27">
        <v>168.0</v>
      </c>
      <c r="AJ1159" s="27">
        <v>2.0</v>
      </c>
      <c r="AK1159" s="27" t="b">
        <v>1</v>
      </c>
      <c r="AL1159" s="27">
        <v>100.0</v>
      </c>
      <c r="AM1159" s="27" t="s">
        <v>186</v>
      </c>
      <c r="AN1159" s="27" t="s">
        <v>404</v>
      </c>
      <c r="AO1159" s="27"/>
    </row>
    <row r="1160">
      <c r="A1160" s="200">
        <v>44859.02510291667</v>
      </c>
      <c r="B1160" s="19" t="s">
        <v>178</v>
      </c>
      <c r="C1160" s="21" t="s">
        <v>272</v>
      </c>
      <c r="D1160" s="62">
        <v>4.0</v>
      </c>
      <c r="E1160" s="27">
        <v>3.0</v>
      </c>
      <c r="F1160" s="27" t="s">
        <v>1908</v>
      </c>
      <c r="G1160" s="201" t="s">
        <v>57</v>
      </c>
      <c r="H1160" s="27" t="s">
        <v>144</v>
      </c>
      <c r="I1160" s="27"/>
      <c r="J1160" s="33">
        <v>-4.5</v>
      </c>
      <c r="K1160" s="33">
        <v>-5.0</v>
      </c>
      <c r="L1160" s="66">
        <v>65.5</v>
      </c>
      <c r="M1160" s="27" t="s">
        <v>1163</v>
      </c>
      <c r="N1160" s="27">
        <v>-5.5</v>
      </c>
      <c r="O1160" s="27"/>
      <c r="P1160" s="27">
        <v>-5.0</v>
      </c>
      <c r="Q1160" s="27"/>
      <c r="R1160" s="27">
        <v>-5.0</v>
      </c>
      <c r="S1160" s="27"/>
      <c r="T1160" s="27">
        <v>-5.0</v>
      </c>
      <c r="U1160" s="27"/>
      <c r="V1160" s="27">
        <v>-5.0</v>
      </c>
      <c r="W1160" s="27"/>
      <c r="X1160" s="27">
        <v>-5.0</v>
      </c>
      <c r="Y1160" s="27"/>
      <c r="Z1160" s="27">
        <v>-5.5</v>
      </c>
      <c r="AA1160" s="27"/>
      <c r="AB1160" s="27">
        <v>-5.0</v>
      </c>
      <c r="AC1160" s="27"/>
      <c r="AD1160" s="27">
        <v>-5.0</v>
      </c>
      <c r="AE1160" s="27"/>
      <c r="AF1160" s="27" t="s">
        <v>1091</v>
      </c>
      <c r="AG1160" s="27" t="s">
        <v>1091</v>
      </c>
      <c r="AH1160" s="27">
        <v>254.0</v>
      </c>
      <c r="AI1160" s="27">
        <v>189.0</v>
      </c>
      <c r="AJ1160" s="27">
        <v>2.0</v>
      </c>
      <c r="AK1160" s="27" t="b">
        <v>0</v>
      </c>
      <c r="AL1160" s="27">
        <v>100.0</v>
      </c>
      <c r="AM1160" s="27" t="s">
        <v>187</v>
      </c>
      <c r="AN1160" s="27" t="s">
        <v>404</v>
      </c>
      <c r="AO1160" s="27"/>
    </row>
    <row r="1161">
      <c r="A1161" s="200">
        <v>44859.02510291667</v>
      </c>
      <c r="B1161" s="19" t="s">
        <v>178</v>
      </c>
      <c r="C1161" s="21" t="s">
        <v>265</v>
      </c>
      <c r="D1161" s="62">
        <v>5.0</v>
      </c>
      <c r="E1161" s="27">
        <v>3.0</v>
      </c>
      <c r="F1161" s="27" t="s">
        <v>1909</v>
      </c>
      <c r="G1161" s="201" t="s">
        <v>57</v>
      </c>
      <c r="H1161" s="27" t="s">
        <v>109</v>
      </c>
      <c r="I1161" s="27"/>
      <c r="J1161" s="33">
        <v>-7.0</v>
      </c>
      <c r="K1161" s="33">
        <v>-7.5</v>
      </c>
      <c r="L1161" s="66">
        <v>56.5</v>
      </c>
      <c r="M1161" s="27" t="s">
        <v>1696</v>
      </c>
      <c r="N1161" s="27">
        <v>-7.0</v>
      </c>
      <c r="O1161" s="27"/>
      <c r="P1161" s="27">
        <v>-7.5</v>
      </c>
      <c r="Q1161" s="27"/>
      <c r="R1161" s="27">
        <v>-7.0</v>
      </c>
      <c r="S1161" s="27"/>
      <c r="T1161" s="27">
        <v>-7.5</v>
      </c>
      <c r="U1161" s="27"/>
      <c r="V1161" s="27">
        <v>-7.0</v>
      </c>
      <c r="W1161" s="27"/>
      <c r="X1161" s="27">
        <v>-7.0</v>
      </c>
      <c r="Y1161" s="27"/>
      <c r="Z1161" s="27">
        <v>-7.5</v>
      </c>
      <c r="AA1161" s="27"/>
      <c r="AB1161" s="27">
        <v>-7.5</v>
      </c>
      <c r="AC1161" s="27"/>
      <c r="AD1161" s="27" t="s">
        <v>1091</v>
      </c>
      <c r="AE1161" s="27" t="s">
        <v>1091</v>
      </c>
      <c r="AF1161" s="27" t="s">
        <v>1091</v>
      </c>
      <c r="AG1161" s="27" t="s">
        <v>1091</v>
      </c>
      <c r="AH1161" s="27">
        <v>296.0</v>
      </c>
      <c r="AI1161" s="27">
        <v>218.0</v>
      </c>
      <c r="AJ1161" s="27">
        <v>2.0</v>
      </c>
      <c r="AK1161" s="27" t="b">
        <v>1</v>
      </c>
      <c r="AL1161" s="27">
        <v>100.0</v>
      </c>
      <c r="AM1161" s="27" t="s">
        <v>190</v>
      </c>
      <c r="AN1161" s="27" t="s">
        <v>405</v>
      </c>
      <c r="AO1161" s="27"/>
    </row>
    <row r="1162">
      <c r="A1162" s="200">
        <v>44859.02510291667</v>
      </c>
      <c r="B1162" s="19" t="s">
        <v>178</v>
      </c>
      <c r="C1162" s="21" t="s">
        <v>271</v>
      </c>
      <c r="D1162" s="62">
        <v>5.0</v>
      </c>
      <c r="E1162" s="27">
        <v>3.0</v>
      </c>
      <c r="F1162" s="27" t="s">
        <v>1910</v>
      </c>
      <c r="G1162" s="201" t="s">
        <v>57</v>
      </c>
      <c r="H1162" s="27" t="s">
        <v>103</v>
      </c>
      <c r="I1162" s="27"/>
      <c r="J1162" s="33" t="s">
        <v>1091</v>
      </c>
      <c r="K1162" s="33" t="s">
        <v>1091</v>
      </c>
      <c r="L1162" s="26" t="s">
        <v>1091</v>
      </c>
      <c r="M1162" s="27" t="s">
        <v>1091</v>
      </c>
      <c r="N1162" s="27" t="s">
        <v>1091</v>
      </c>
      <c r="O1162" s="27" t="s">
        <v>1091</v>
      </c>
      <c r="P1162" s="27" t="s">
        <v>1091</v>
      </c>
      <c r="Q1162" s="27" t="s">
        <v>1091</v>
      </c>
      <c r="R1162" s="27" t="s">
        <v>1091</v>
      </c>
      <c r="S1162" s="27" t="s">
        <v>1091</v>
      </c>
      <c r="T1162" s="27" t="s">
        <v>1091</v>
      </c>
      <c r="U1162" s="27" t="s">
        <v>1091</v>
      </c>
      <c r="V1162" s="27" t="s">
        <v>1091</v>
      </c>
      <c r="W1162" s="27" t="s">
        <v>1091</v>
      </c>
      <c r="X1162" s="27" t="s">
        <v>1091</v>
      </c>
      <c r="Y1162" s="27" t="s">
        <v>1091</v>
      </c>
      <c r="Z1162" s="27" t="s">
        <v>1091</v>
      </c>
      <c r="AA1162" s="27" t="s">
        <v>1091</v>
      </c>
      <c r="AB1162" s="27" t="s">
        <v>1091</v>
      </c>
      <c r="AC1162" s="27" t="s">
        <v>1091</v>
      </c>
      <c r="AD1162" s="27" t="s">
        <v>1091</v>
      </c>
      <c r="AE1162" s="27" t="s">
        <v>1091</v>
      </c>
      <c r="AF1162" s="27" t="s">
        <v>1091</v>
      </c>
      <c r="AG1162" s="27" t="s">
        <v>1091</v>
      </c>
      <c r="AH1162" s="27">
        <v>300.0</v>
      </c>
      <c r="AI1162" s="27">
        <v>176.0</v>
      </c>
      <c r="AJ1162" s="27">
        <v>2.0</v>
      </c>
      <c r="AK1162" s="27" t="b">
        <v>1</v>
      </c>
      <c r="AL1162" s="27">
        <v>100.0</v>
      </c>
      <c r="AM1162" s="27" t="s">
        <v>189</v>
      </c>
      <c r="AN1162" s="27" t="s">
        <v>405</v>
      </c>
      <c r="AO1162" s="27"/>
    </row>
    <row r="1163">
      <c r="A1163" s="200">
        <v>44859.02510291667</v>
      </c>
      <c r="B1163" s="19"/>
      <c r="C1163" s="21"/>
      <c r="D1163" s="62"/>
      <c r="E1163" s="27"/>
      <c r="F1163" s="27"/>
      <c r="G1163" s="201"/>
      <c r="H1163" s="27"/>
      <c r="I1163" s="27"/>
      <c r="J1163" s="33"/>
      <c r="K1163" s="33"/>
      <c r="L1163" s="66"/>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t="e">
        <v>#N/A</v>
      </c>
      <c r="AN1163" s="27" t="e">
        <v>#N/A</v>
      </c>
      <c r="AO1163" s="27"/>
    </row>
    <row r="1164">
      <c r="A1164" s="200">
        <v>44859.02510291667</v>
      </c>
      <c r="B1164" s="19" t="s">
        <v>59</v>
      </c>
      <c r="C1164" s="21" t="s">
        <v>283</v>
      </c>
      <c r="D1164" s="62">
        <v>5.0</v>
      </c>
      <c r="E1164" s="27">
        <v>2.0</v>
      </c>
      <c r="F1164" s="27"/>
      <c r="G1164" s="201"/>
      <c r="H1164" s="27"/>
      <c r="I1164" s="27" t="s">
        <v>82</v>
      </c>
      <c r="J1164" s="33"/>
      <c r="K1164" s="33"/>
      <c r="L1164" s="66"/>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v>185.0</v>
      </c>
      <c r="AI1164" s="27">
        <v>115.0</v>
      </c>
      <c r="AJ1164" s="27">
        <v>0.0</v>
      </c>
      <c r="AK1164" s="27" t="b">
        <v>1</v>
      </c>
      <c r="AL1164" s="27">
        <v>59.0</v>
      </c>
      <c r="AM1164" s="27" t="s">
        <v>192</v>
      </c>
      <c r="AN1164" s="27" t="s">
        <v>404</v>
      </c>
      <c r="AO1164" s="27"/>
    </row>
    <row r="1165">
      <c r="A1165" s="200">
        <v>44859.02510291667</v>
      </c>
      <c r="B1165" s="19" t="s">
        <v>59</v>
      </c>
      <c r="C1165" s="21" t="s">
        <v>281</v>
      </c>
      <c r="D1165" s="62">
        <v>3.0</v>
      </c>
      <c r="E1165" s="27">
        <v>5.0</v>
      </c>
      <c r="F1165" s="27"/>
      <c r="G1165" s="201"/>
      <c r="H1165" s="27"/>
      <c r="I1165" s="27" t="s">
        <v>126</v>
      </c>
      <c r="J1165" s="33"/>
      <c r="K1165" s="33"/>
      <c r="L1165" s="66"/>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v>145.0</v>
      </c>
      <c r="AI1165" s="27">
        <v>233.0</v>
      </c>
      <c r="AJ1165" s="27">
        <v>0.0</v>
      </c>
      <c r="AK1165" s="27" t="b">
        <v>1</v>
      </c>
      <c r="AL1165" s="27">
        <v>59.0</v>
      </c>
      <c r="AM1165" s="27" t="s">
        <v>389</v>
      </c>
      <c r="AN1165" s="27" t="s">
        <v>405</v>
      </c>
      <c r="AO1165" s="27"/>
    </row>
    <row r="1166">
      <c r="A1166" s="200">
        <v>44859.02510291667</v>
      </c>
      <c r="B1166" s="19" t="s">
        <v>59</v>
      </c>
      <c r="C1166" s="21" t="s">
        <v>284</v>
      </c>
      <c r="D1166" s="62">
        <v>7.0</v>
      </c>
      <c r="E1166" s="27">
        <v>0.0</v>
      </c>
      <c r="F1166" s="27"/>
      <c r="G1166" s="201"/>
      <c r="H1166" s="27"/>
      <c r="I1166" s="27" t="s">
        <v>58</v>
      </c>
      <c r="J1166" s="33"/>
      <c r="K1166" s="33"/>
      <c r="L1166" s="66"/>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v>299.0</v>
      </c>
      <c r="AI1166" s="27">
        <v>85.0</v>
      </c>
      <c r="AJ1166" s="27">
        <v>0.0</v>
      </c>
      <c r="AK1166" s="27" t="b">
        <v>1</v>
      </c>
      <c r="AL1166" s="27">
        <v>59.0</v>
      </c>
      <c r="AM1166" s="27" t="s">
        <v>188</v>
      </c>
      <c r="AN1166" s="27" t="s">
        <v>404</v>
      </c>
      <c r="AO1166" s="27"/>
    </row>
    <row r="1167">
      <c r="A1167" s="200">
        <v>44859.02510291667</v>
      </c>
      <c r="B1167" s="19" t="s">
        <v>59</v>
      </c>
      <c r="C1167" s="21" t="s">
        <v>291</v>
      </c>
      <c r="D1167" s="62">
        <v>5.0</v>
      </c>
      <c r="E1167" s="27">
        <v>2.0</v>
      </c>
      <c r="F1167" s="27" t="s">
        <v>1911</v>
      </c>
      <c r="G1167" s="201" t="s">
        <v>57</v>
      </c>
      <c r="H1167" s="27" t="s">
        <v>103</v>
      </c>
      <c r="I1167" s="27"/>
      <c r="J1167" s="33">
        <v>6.0</v>
      </c>
      <c r="K1167" s="33">
        <v>3.5</v>
      </c>
      <c r="L1167" s="66">
        <v>54.5</v>
      </c>
      <c r="M1167" s="27" t="s">
        <v>1869</v>
      </c>
      <c r="N1167" s="27">
        <v>3.5</v>
      </c>
      <c r="O1167" s="27"/>
      <c r="P1167" s="27">
        <v>3.5</v>
      </c>
      <c r="Q1167" s="27"/>
      <c r="R1167" s="27">
        <v>3.5</v>
      </c>
      <c r="S1167" s="27"/>
      <c r="T1167" s="27">
        <v>3.5</v>
      </c>
      <c r="U1167" s="27"/>
      <c r="V1167" s="27">
        <v>3.0</v>
      </c>
      <c r="W1167" s="27"/>
      <c r="X1167" s="27">
        <v>3.5</v>
      </c>
      <c r="Y1167" s="27"/>
      <c r="Z1167" s="27">
        <v>3.0</v>
      </c>
      <c r="AA1167" s="27"/>
      <c r="AB1167" s="27">
        <v>3.5</v>
      </c>
      <c r="AC1167" s="27"/>
      <c r="AD1167" s="27">
        <v>3.5</v>
      </c>
      <c r="AE1167" s="27"/>
      <c r="AF1167" s="27" t="s">
        <v>1091</v>
      </c>
      <c r="AG1167" s="27" t="s">
        <v>1091</v>
      </c>
      <c r="AH1167" s="27">
        <v>200.0</v>
      </c>
      <c r="AI1167" s="27">
        <v>138.0</v>
      </c>
      <c r="AJ1167" s="27">
        <v>2.0</v>
      </c>
      <c r="AK1167" s="27" t="b">
        <v>0</v>
      </c>
      <c r="AL1167" s="27">
        <v>100.0</v>
      </c>
      <c r="AM1167" s="27" t="s">
        <v>187</v>
      </c>
      <c r="AN1167" s="27" t="s">
        <v>404</v>
      </c>
      <c r="AO1167" s="27"/>
    </row>
    <row r="1168">
      <c r="A1168" s="200">
        <v>44859.02510291667</v>
      </c>
      <c r="B1168" s="19" t="s">
        <v>59</v>
      </c>
      <c r="C1168" s="21" t="s">
        <v>274</v>
      </c>
      <c r="D1168" s="62">
        <v>6.0</v>
      </c>
      <c r="E1168" s="27">
        <v>2.0</v>
      </c>
      <c r="F1168" s="27" t="s">
        <v>1912</v>
      </c>
      <c r="G1168" s="201" t="s">
        <v>57</v>
      </c>
      <c r="H1168" s="27" t="s">
        <v>144</v>
      </c>
      <c r="I1168" s="27"/>
      <c r="J1168" s="33">
        <v>-23.0</v>
      </c>
      <c r="K1168" s="33">
        <v>-23.0</v>
      </c>
      <c r="L1168" s="66">
        <v>47.5</v>
      </c>
      <c r="M1168" s="27" t="s">
        <v>1913</v>
      </c>
      <c r="N1168" s="27">
        <v>-22.5</v>
      </c>
      <c r="O1168" s="27"/>
      <c r="P1168" s="27">
        <v>-23.0</v>
      </c>
      <c r="Q1168" s="27"/>
      <c r="R1168" s="27">
        <v>-23.0</v>
      </c>
      <c r="S1168" s="27"/>
      <c r="T1168" s="27">
        <v>-23.0</v>
      </c>
      <c r="U1168" s="27"/>
      <c r="V1168" s="27">
        <v>-23.0</v>
      </c>
      <c r="W1168" s="27"/>
      <c r="X1168" s="27">
        <v>-23.0</v>
      </c>
      <c r="Y1168" s="27"/>
      <c r="Z1168" s="27">
        <v>-23.0</v>
      </c>
      <c r="AA1168" s="27"/>
      <c r="AB1168" s="27">
        <v>-23.0</v>
      </c>
      <c r="AC1168" s="27"/>
      <c r="AD1168" s="27">
        <v>-23.0</v>
      </c>
      <c r="AE1168" s="27" t="s">
        <v>1091</v>
      </c>
      <c r="AF1168" s="27" t="s">
        <v>1091</v>
      </c>
      <c r="AG1168" s="27" t="s">
        <v>1091</v>
      </c>
      <c r="AH1168" s="27">
        <v>261.0</v>
      </c>
      <c r="AI1168" s="27">
        <v>182.0</v>
      </c>
      <c r="AJ1168" s="27">
        <v>2.0</v>
      </c>
      <c r="AK1168" s="27" t="b">
        <v>0</v>
      </c>
      <c r="AL1168" s="27">
        <v>100.0</v>
      </c>
      <c r="AM1168" s="27" t="s">
        <v>191</v>
      </c>
      <c r="AN1168" s="27" t="s">
        <v>404</v>
      </c>
      <c r="AO1168" s="27"/>
    </row>
    <row r="1169">
      <c r="A1169" s="200">
        <v>44859.02510291667</v>
      </c>
      <c r="B1169" s="19" t="s">
        <v>59</v>
      </c>
      <c r="C1169" s="21" t="s">
        <v>275</v>
      </c>
      <c r="D1169" s="62">
        <v>3.0</v>
      </c>
      <c r="E1169" s="27">
        <v>4.0</v>
      </c>
      <c r="F1169" s="27" t="s">
        <v>1914</v>
      </c>
      <c r="G1169" s="201" t="s">
        <v>57</v>
      </c>
      <c r="H1169" s="27" t="s">
        <v>141</v>
      </c>
      <c r="I1169" s="27"/>
      <c r="J1169" s="33">
        <v>14.0</v>
      </c>
      <c r="K1169" s="33">
        <v>13.5</v>
      </c>
      <c r="L1169" s="66">
        <v>63.5</v>
      </c>
      <c r="M1169" s="27" t="s">
        <v>1915</v>
      </c>
      <c r="N1169" s="27">
        <v>13.5</v>
      </c>
      <c r="O1169" s="27"/>
      <c r="P1169" s="27">
        <v>14.0</v>
      </c>
      <c r="Q1169" s="27"/>
      <c r="R1169" s="27">
        <v>14.0</v>
      </c>
      <c r="S1169" s="27"/>
      <c r="T1169" s="27">
        <v>13.5</v>
      </c>
      <c r="U1169" s="27"/>
      <c r="V1169" s="27">
        <v>14.0</v>
      </c>
      <c r="W1169" s="27"/>
      <c r="X1169" s="27">
        <v>14.0</v>
      </c>
      <c r="Y1169" s="27"/>
      <c r="Z1169" s="27">
        <v>14.0</v>
      </c>
      <c r="AA1169" s="27"/>
      <c r="AB1169" s="27">
        <v>13.5</v>
      </c>
      <c r="AC1169" s="27"/>
      <c r="AD1169" s="27">
        <v>13.5</v>
      </c>
      <c r="AE1169" s="27"/>
      <c r="AF1169" s="27" t="s">
        <v>1091</v>
      </c>
      <c r="AG1169" s="27" t="s">
        <v>1091</v>
      </c>
      <c r="AH1169" s="27">
        <v>127.0</v>
      </c>
      <c r="AI1169" s="27">
        <v>236.0</v>
      </c>
      <c r="AJ1169" s="27">
        <v>2.0</v>
      </c>
      <c r="AK1169" s="27" t="b">
        <v>0</v>
      </c>
      <c r="AL1169" s="27">
        <v>100.0</v>
      </c>
      <c r="AM1169" s="27" t="s">
        <v>189</v>
      </c>
      <c r="AN1169" s="27" t="s">
        <v>405</v>
      </c>
      <c r="AO1169" s="27"/>
    </row>
    <row r="1170">
      <c r="A1170" s="200">
        <v>44859.02510291667</v>
      </c>
      <c r="B1170" s="19" t="s">
        <v>59</v>
      </c>
      <c r="C1170" s="21" t="s">
        <v>289</v>
      </c>
      <c r="D1170" s="62">
        <v>2.0</v>
      </c>
      <c r="E1170" s="27">
        <v>5.0</v>
      </c>
      <c r="F1170" s="27" t="s">
        <v>1907</v>
      </c>
      <c r="G1170" s="201" t="s">
        <v>57</v>
      </c>
      <c r="H1170" s="27" t="s">
        <v>178</v>
      </c>
      <c r="I1170" s="27"/>
      <c r="J1170" s="33">
        <v>20.0</v>
      </c>
      <c r="K1170" s="33">
        <v>20.5</v>
      </c>
      <c r="L1170" s="66">
        <v>60.0</v>
      </c>
      <c r="M1170" s="27" t="s">
        <v>1426</v>
      </c>
      <c r="N1170" s="27">
        <v>20.0</v>
      </c>
      <c r="O1170" s="27"/>
      <c r="P1170" s="27">
        <v>20.0</v>
      </c>
      <c r="Q1170" s="27"/>
      <c r="R1170" s="27">
        <v>20.0</v>
      </c>
      <c r="S1170" s="27"/>
      <c r="T1170" s="27">
        <v>20.5</v>
      </c>
      <c r="U1170" s="27"/>
      <c r="V1170" s="27">
        <v>20.0</v>
      </c>
      <c r="W1170" s="27"/>
      <c r="X1170" s="27">
        <v>20.0</v>
      </c>
      <c r="Y1170" s="27"/>
      <c r="Z1170" s="27">
        <v>20.0</v>
      </c>
      <c r="AA1170" s="27"/>
      <c r="AB1170" s="27">
        <v>20.5</v>
      </c>
      <c r="AC1170" s="27"/>
      <c r="AD1170" s="27">
        <v>20.5</v>
      </c>
      <c r="AE1170" s="27"/>
      <c r="AF1170" s="27" t="s">
        <v>1091</v>
      </c>
      <c r="AG1170" s="27" t="s">
        <v>1091</v>
      </c>
      <c r="AH1170" s="27">
        <v>135.0</v>
      </c>
      <c r="AI1170" s="27">
        <v>217.0</v>
      </c>
      <c r="AJ1170" s="27">
        <v>2.0</v>
      </c>
      <c r="AK1170" s="27" t="b">
        <v>0</v>
      </c>
      <c r="AL1170" s="27">
        <v>100.0</v>
      </c>
      <c r="AM1170" s="27" t="s">
        <v>186</v>
      </c>
      <c r="AN1170" s="27" t="s">
        <v>404</v>
      </c>
      <c r="AO1170" s="27"/>
    </row>
    <row r="1171">
      <c r="A1171" s="200">
        <v>44859.02510291667</v>
      </c>
      <c r="B1171" s="19" t="s">
        <v>59</v>
      </c>
      <c r="C1171" s="21" t="s">
        <v>279</v>
      </c>
      <c r="D1171" s="62">
        <v>4.0</v>
      </c>
      <c r="E1171" s="27">
        <v>4.0</v>
      </c>
      <c r="F1171" s="27" t="s">
        <v>1916</v>
      </c>
      <c r="G1171" s="201" t="s">
        <v>57</v>
      </c>
      <c r="H1171" s="27" t="s">
        <v>109</v>
      </c>
      <c r="I1171" s="27"/>
      <c r="J1171" s="33">
        <v>24.5</v>
      </c>
      <c r="K1171" s="33">
        <v>25.0</v>
      </c>
      <c r="L1171" s="66">
        <v>46.0</v>
      </c>
      <c r="M1171" s="27" t="s">
        <v>1917</v>
      </c>
      <c r="N1171" s="27">
        <v>26.5</v>
      </c>
      <c r="O1171" s="27"/>
      <c r="P1171" s="27">
        <v>26.0</v>
      </c>
      <c r="Q1171" s="27"/>
      <c r="R1171" s="27">
        <v>26.0</v>
      </c>
      <c r="S1171" s="27"/>
      <c r="T1171" s="27">
        <v>25.0</v>
      </c>
      <c r="U1171" s="27"/>
      <c r="V1171" s="27">
        <v>26.0</v>
      </c>
      <c r="W1171" s="27"/>
      <c r="X1171" s="27">
        <v>26.0</v>
      </c>
      <c r="Y1171" s="27"/>
      <c r="Z1171" s="27">
        <v>26.5</v>
      </c>
      <c r="AA1171" s="27"/>
      <c r="AB1171" s="27">
        <v>25.0</v>
      </c>
      <c r="AC1171" s="27"/>
      <c r="AD1171" s="27">
        <v>25.0</v>
      </c>
      <c r="AE1171" s="27"/>
      <c r="AF1171" s="27" t="s">
        <v>1091</v>
      </c>
      <c r="AG1171" s="27" t="s">
        <v>1091</v>
      </c>
      <c r="AH1171" s="27">
        <v>224.0</v>
      </c>
      <c r="AI1171" s="27">
        <v>238.0</v>
      </c>
      <c r="AJ1171" s="27">
        <v>2.0</v>
      </c>
      <c r="AK1171" s="27" t="b">
        <v>0</v>
      </c>
      <c r="AL1171" s="27">
        <v>100.0</v>
      </c>
      <c r="AM1171" s="27" t="s">
        <v>129</v>
      </c>
      <c r="AN1171" s="27" t="s">
        <v>405</v>
      </c>
      <c r="AO1171" s="27"/>
    </row>
    <row r="1172">
      <c r="A1172" s="200">
        <v>44859.02510291667</v>
      </c>
      <c r="B1172" s="19" t="s">
        <v>59</v>
      </c>
      <c r="C1172" s="21" t="s">
        <v>285</v>
      </c>
      <c r="D1172" s="62">
        <v>2.0</v>
      </c>
      <c r="E1172" s="27">
        <v>6.0</v>
      </c>
      <c r="F1172" s="27" t="s">
        <v>1918</v>
      </c>
      <c r="G1172" s="201" t="s">
        <v>57</v>
      </c>
      <c r="H1172" s="27" t="s">
        <v>148</v>
      </c>
      <c r="I1172" s="27"/>
      <c r="J1172" s="33">
        <v>-7.0</v>
      </c>
      <c r="K1172" s="33">
        <v>-6.5</v>
      </c>
      <c r="L1172" s="66">
        <v>50.5</v>
      </c>
      <c r="M1172" s="27" t="s">
        <v>1919</v>
      </c>
      <c r="N1172" s="27">
        <v>-6.5</v>
      </c>
      <c r="O1172" s="27"/>
      <c r="P1172" s="27">
        <v>-6.0</v>
      </c>
      <c r="Q1172" s="27"/>
      <c r="R1172" s="27">
        <v>-6.5</v>
      </c>
      <c r="S1172" s="27"/>
      <c r="T1172" s="27">
        <v>-6.5</v>
      </c>
      <c r="U1172" s="27"/>
      <c r="V1172" s="27">
        <v>-6.5</v>
      </c>
      <c r="W1172" s="27"/>
      <c r="X1172" s="27">
        <v>-6.0</v>
      </c>
      <c r="Y1172" s="27"/>
      <c r="Z1172" s="27">
        <v>-6.5</v>
      </c>
      <c r="AA1172" s="27"/>
      <c r="AB1172" s="27">
        <v>-6.5</v>
      </c>
      <c r="AC1172" s="27"/>
      <c r="AD1172" s="27" t="s">
        <v>1091</v>
      </c>
      <c r="AE1172" s="27" t="s">
        <v>1091</v>
      </c>
      <c r="AF1172" s="27" t="s">
        <v>1091</v>
      </c>
      <c r="AG1172" s="27" t="s">
        <v>1091</v>
      </c>
      <c r="AH1172" s="27">
        <v>202.0</v>
      </c>
      <c r="AI1172" s="27">
        <v>239.0</v>
      </c>
      <c r="AJ1172" s="27">
        <v>2.0</v>
      </c>
      <c r="AK1172" s="27" t="b">
        <v>1</v>
      </c>
      <c r="AL1172" s="27">
        <v>100.0</v>
      </c>
      <c r="AM1172" s="27" t="s">
        <v>190</v>
      </c>
      <c r="AN1172" s="27" t="s">
        <v>405</v>
      </c>
      <c r="AO1172" s="27"/>
    </row>
    <row r="1173">
      <c r="A1173" s="200">
        <v>44859.02510291667</v>
      </c>
      <c r="B1173" s="19" t="s">
        <v>59</v>
      </c>
      <c r="C1173" s="21" t="s">
        <v>277</v>
      </c>
      <c r="D1173" s="62">
        <v>4.0</v>
      </c>
      <c r="E1173" s="27">
        <v>3.0</v>
      </c>
      <c r="F1173" s="27" t="s">
        <v>1920</v>
      </c>
      <c r="G1173" s="201" t="s">
        <v>57</v>
      </c>
      <c r="H1173" s="27" t="s">
        <v>103</v>
      </c>
      <c r="I1173" s="27"/>
      <c r="J1173" s="33">
        <v>9.5</v>
      </c>
      <c r="K1173" s="33">
        <v>10.0</v>
      </c>
      <c r="L1173" s="66">
        <v>60.5</v>
      </c>
      <c r="M1173" s="27" t="s">
        <v>1921</v>
      </c>
      <c r="N1173" s="27">
        <v>10.0</v>
      </c>
      <c r="O1173" s="27"/>
      <c r="P1173" s="27">
        <v>10.0</v>
      </c>
      <c r="Q1173" s="27"/>
      <c r="R1173" s="27">
        <v>10.0</v>
      </c>
      <c r="S1173" s="27"/>
      <c r="T1173" s="27">
        <v>10.0</v>
      </c>
      <c r="U1173" s="27"/>
      <c r="V1173" s="27">
        <v>10.0</v>
      </c>
      <c r="W1173" s="27"/>
      <c r="X1173" s="27">
        <v>9.5</v>
      </c>
      <c r="Y1173" s="27"/>
      <c r="Z1173" s="27">
        <v>10.0</v>
      </c>
      <c r="AA1173" s="27"/>
      <c r="AB1173" s="27">
        <v>10.0</v>
      </c>
      <c r="AC1173" s="27"/>
      <c r="AD1173" s="27">
        <v>10.0</v>
      </c>
      <c r="AE1173" s="27"/>
      <c r="AF1173" s="27">
        <v>10.0</v>
      </c>
      <c r="AG1173" s="27"/>
      <c r="AH1173" s="27">
        <v>253.0</v>
      </c>
      <c r="AI1173" s="27">
        <v>190.0</v>
      </c>
      <c r="AJ1173" s="27">
        <v>2.0</v>
      </c>
      <c r="AK1173" s="27" t="b">
        <v>0</v>
      </c>
      <c r="AL1173" s="27">
        <v>100.0</v>
      </c>
      <c r="AM1173" s="27" t="s">
        <v>193</v>
      </c>
      <c r="AN1173" s="27" t="s">
        <v>405</v>
      </c>
      <c r="AO1173" s="27"/>
    </row>
    <row r="1174">
      <c r="A1174" s="200">
        <v>44859.02510291667</v>
      </c>
      <c r="B1174" s="19"/>
      <c r="C1174" s="21"/>
      <c r="D1174" s="62"/>
      <c r="E1174" s="27"/>
      <c r="F1174" s="27"/>
      <c r="G1174" s="201"/>
      <c r="H1174" s="27"/>
      <c r="I1174" s="27"/>
      <c r="J1174" s="33"/>
      <c r="K1174" s="33"/>
      <c r="L1174" s="66"/>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t="e">
        <v>#N/A</v>
      </c>
      <c r="AN1174" s="27" t="e">
        <v>#N/A</v>
      </c>
      <c r="AO1174" s="27"/>
    </row>
    <row r="1175">
      <c r="A1175" s="200">
        <v>44859.02510291667</v>
      </c>
      <c r="B1175" s="19" t="s">
        <v>138</v>
      </c>
      <c r="C1175" s="21" t="s">
        <v>303</v>
      </c>
      <c r="D1175" s="62">
        <v>4.0</v>
      </c>
      <c r="E1175" s="27">
        <v>3.0</v>
      </c>
      <c r="F1175" s="27"/>
      <c r="G1175" s="201"/>
      <c r="H1175" s="27"/>
      <c r="I1175" s="27" t="s">
        <v>111</v>
      </c>
      <c r="J1175" s="33"/>
      <c r="K1175" s="33"/>
      <c r="L1175" s="66"/>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v>229.0</v>
      </c>
      <c r="AI1175" s="27">
        <v>228.0</v>
      </c>
      <c r="AJ1175" s="27">
        <v>0.0</v>
      </c>
      <c r="AK1175" s="27" t="b">
        <v>1</v>
      </c>
      <c r="AL1175" s="27">
        <v>59.0</v>
      </c>
      <c r="AM1175" s="27" t="s">
        <v>192</v>
      </c>
      <c r="AN1175" s="27" t="s">
        <v>404</v>
      </c>
      <c r="AO1175" s="27"/>
    </row>
    <row r="1176">
      <c r="A1176" s="200">
        <v>44859.02510291667</v>
      </c>
      <c r="B1176" s="19" t="s">
        <v>138</v>
      </c>
      <c r="C1176" s="21" t="s">
        <v>294</v>
      </c>
      <c r="D1176" s="62">
        <v>3.0</v>
      </c>
      <c r="E1176" s="27">
        <v>4.0</v>
      </c>
      <c r="F1176" s="27"/>
      <c r="G1176" s="201"/>
      <c r="H1176" s="27"/>
      <c r="I1176" s="27" t="s">
        <v>58</v>
      </c>
      <c r="J1176" s="33"/>
      <c r="K1176" s="33"/>
      <c r="L1176" s="66"/>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v>189.0</v>
      </c>
      <c r="AI1176" s="27">
        <v>190.0</v>
      </c>
      <c r="AJ1176" s="27">
        <v>0.0</v>
      </c>
      <c r="AK1176" s="27" t="b">
        <v>1</v>
      </c>
      <c r="AL1176" s="27">
        <v>59.0</v>
      </c>
      <c r="AM1176" s="27" t="s">
        <v>188</v>
      </c>
      <c r="AN1176" s="27" t="s">
        <v>404</v>
      </c>
      <c r="AO1176" s="27"/>
    </row>
    <row r="1177">
      <c r="A1177" s="200">
        <v>44859.02510291667</v>
      </c>
      <c r="B1177" s="19" t="s">
        <v>138</v>
      </c>
      <c r="C1177" s="21" t="s">
        <v>304</v>
      </c>
      <c r="D1177" s="62">
        <v>3.0</v>
      </c>
      <c r="E1177" s="27">
        <v>5.0</v>
      </c>
      <c r="F1177" s="27" t="s">
        <v>1922</v>
      </c>
      <c r="G1177" s="201" t="s">
        <v>57</v>
      </c>
      <c r="H1177" s="27" t="s">
        <v>154</v>
      </c>
      <c r="I1177" s="27"/>
      <c r="J1177" s="33">
        <v>3.5</v>
      </c>
      <c r="K1177" s="33">
        <v>5.5</v>
      </c>
      <c r="L1177" s="66">
        <v>44.5</v>
      </c>
      <c r="M1177" s="27" t="s">
        <v>1923</v>
      </c>
      <c r="N1177" s="27">
        <v>5.5</v>
      </c>
      <c r="O1177" s="27"/>
      <c r="P1177" s="27">
        <v>5.5</v>
      </c>
      <c r="Q1177" s="27"/>
      <c r="R1177" s="27">
        <v>5.5</v>
      </c>
      <c r="S1177" s="27"/>
      <c r="T1177" s="27">
        <v>5.5</v>
      </c>
      <c r="U1177" s="27"/>
      <c r="V1177" s="27">
        <v>5.5</v>
      </c>
      <c r="W1177" s="27"/>
      <c r="X1177" s="27">
        <v>5.5</v>
      </c>
      <c r="Y1177" s="27"/>
      <c r="Z1177" s="27">
        <v>5.5</v>
      </c>
      <c r="AA1177" s="27"/>
      <c r="AB1177" s="27">
        <v>5.5</v>
      </c>
      <c r="AC1177" s="27"/>
      <c r="AD1177" s="27">
        <v>5.5</v>
      </c>
      <c r="AE1177" s="27"/>
      <c r="AF1177" s="27" t="s">
        <v>1091</v>
      </c>
      <c r="AG1177" s="27" t="s">
        <v>1091</v>
      </c>
      <c r="AH1177" s="27">
        <v>153.0</v>
      </c>
      <c r="AI1177" s="27">
        <v>250.0</v>
      </c>
      <c r="AJ1177" s="27">
        <v>2.0</v>
      </c>
      <c r="AK1177" s="27" t="b">
        <v>0</v>
      </c>
      <c r="AL1177" s="27">
        <v>100.0</v>
      </c>
      <c r="AM1177" s="27" t="s">
        <v>129</v>
      </c>
      <c r="AN1177" s="27" t="s">
        <v>405</v>
      </c>
      <c r="AO1177" s="27"/>
    </row>
    <row r="1178">
      <c r="A1178" s="200">
        <v>44859.02510291667</v>
      </c>
      <c r="B1178" s="19" t="s">
        <v>138</v>
      </c>
      <c r="C1178" s="21" t="s">
        <v>309</v>
      </c>
      <c r="D1178" s="62">
        <v>3.0</v>
      </c>
      <c r="E1178" s="27">
        <v>5.0</v>
      </c>
      <c r="F1178" s="27" t="s">
        <v>1878</v>
      </c>
      <c r="G1178" s="201" t="s">
        <v>57</v>
      </c>
      <c r="H1178" s="27" t="s">
        <v>53</v>
      </c>
      <c r="I1178" s="27"/>
      <c r="J1178" s="33">
        <v>15.5</v>
      </c>
      <c r="K1178" s="33">
        <v>13.5</v>
      </c>
      <c r="L1178" s="66">
        <v>49.5</v>
      </c>
      <c r="M1178" s="27" t="s">
        <v>1879</v>
      </c>
      <c r="N1178" s="27">
        <v>14.0</v>
      </c>
      <c r="O1178" s="27"/>
      <c r="P1178" s="27">
        <v>14.0</v>
      </c>
      <c r="Q1178" s="27"/>
      <c r="R1178" s="27">
        <v>14.0</v>
      </c>
      <c r="S1178" s="27"/>
      <c r="T1178" s="27">
        <v>13.5</v>
      </c>
      <c r="U1178" s="27"/>
      <c r="V1178" s="27">
        <v>17.0</v>
      </c>
      <c r="W1178" s="27"/>
      <c r="X1178" s="27">
        <v>14.0</v>
      </c>
      <c r="Y1178" s="27"/>
      <c r="Z1178" s="27">
        <v>14.0</v>
      </c>
      <c r="AA1178" s="27"/>
      <c r="AB1178" s="27">
        <v>13.5</v>
      </c>
      <c r="AC1178" s="27"/>
      <c r="AD1178" s="27">
        <v>13.5</v>
      </c>
      <c r="AE1178" s="27"/>
      <c r="AF1178" s="27" t="s">
        <v>1091</v>
      </c>
      <c r="AG1178" s="27" t="s">
        <v>1091</v>
      </c>
      <c r="AH1178" s="27">
        <v>213.0</v>
      </c>
      <c r="AI1178" s="27">
        <v>293.0</v>
      </c>
      <c r="AJ1178" s="27">
        <v>2.0</v>
      </c>
      <c r="AK1178" s="27" t="b">
        <v>0</v>
      </c>
      <c r="AL1178" s="27">
        <v>100.0</v>
      </c>
      <c r="AM1178" s="27" t="s">
        <v>187</v>
      </c>
      <c r="AN1178" s="27" t="s">
        <v>404</v>
      </c>
      <c r="AO1178" s="27"/>
    </row>
    <row r="1179">
      <c r="A1179" s="200">
        <v>44859.02510291667</v>
      </c>
      <c r="B1179" s="19" t="s">
        <v>138</v>
      </c>
      <c r="C1179" s="21" t="s">
        <v>311</v>
      </c>
      <c r="D1179" s="62">
        <v>3.0</v>
      </c>
      <c r="E1179" s="27">
        <v>4.0</v>
      </c>
      <c r="F1179" s="27" t="s">
        <v>1924</v>
      </c>
      <c r="G1179" s="201" t="s">
        <v>57</v>
      </c>
      <c r="H1179" s="27" t="s">
        <v>109</v>
      </c>
      <c r="I1179" s="27"/>
      <c r="J1179" s="33">
        <v>-3.0</v>
      </c>
      <c r="K1179" s="33">
        <v>-3.0</v>
      </c>
      <c r="L1179" s="66">
        <v>52.0</v>
      </c>
      <c r="M1179" s="27" t="s">
        <v>1755</v>
      </c>
      <c r="N1179" s="27">
        <v>-3.0</v>
      </c>
      <c r="O1179" s="27"/>
      <c r="P1179" s="27">
        <v>-3.0</v>
      </c>
      <c r="Q1179" s="27"/>
      <c r="R1179" s="27">
        <v>-3.0</v>
      </c>
      <c r="S1179" s="27"/>
      <c r="T1179" s="27">
        <v>-3.0</v>
      </c>
      <c r="U1179" s="27"/>
      <c r="V1179" s="27">
        <v>-3.0</v>
      </c>
      <c r="W1179" s="27"/>
      <c r="X1179" s="27">
        <v>-3.0</v>
      </c>
      <c r="Y1179" s="27"/>
      <c r="Z1179" s="27">
        <v>-3.0</v>
      </c>
      <c r="AA1179" s="27"/>
      <c r="AB1179" s="27">
        <v>-3.0</v>
      </c>
      <c r="AC1179" s="27"/>
      <c r="AD1179" s="27">
        <v>-3.0</v>
      </c>
      <c r="AE1179" s="27"/>
      <c r="AF1179" s="27" t="s">
        <v>1091</v>
      </c>
      <c r="AG1179" s="27" t="s">
        <v>1091</v>
      </c>
      <c r="AH1179" s="27">
        <v>176.0</v>
      </c>
      <c r="AI1179" s="27">
        <v>192.0</v>
      </c>
      <c r="AJ1179" s="27">
        <v>2.0</v>
      </c>
      <c r="AK1179" s="27" t="b">
        <v>0</v>
      </c>
      <c r="AL1179" s="27">
        <v>100.0</v>
      </c>
      <c r="AM1179" s="27" t="s">
        <v>191</v>
      </c>
      <c r="AN1179" s="27" t="s">
        <v>404</v>
      </c>
      <c r="AO1179" s="27"/>
    </row>
    <row r="1180">
      <c r="A1180" s="200">
        <v>44859.02510291667</v>
      </c>
      <c r="B1180" s="19" t="s">
        <v>138</v>
      </c>
      <c r="C1180" s="21" t="s">
        <v>296</v>
      </c>
      <c r="D1180" s="62">
        <v>6.0</v>
      </c>
      <c r="E1180" s="27">
        <v>2.0</v>
      </c>
      <c r="F1180" s="27" t="s">
        <v>1893</v>
      </c>
      <c r="G1180" s="201" t="s">
        <v>57</v>
      </c>
      <c r="H1180" s="27" t="s">
        <v>131</v>
      </c>
      <c r="I1180" s="27"/>
      <c r="J1180" s="33" t="s">
        <v>1091</v>
      </c>
      <c r="K1180" s="33" t="s">
        <v>1091</v>
      </c>
      <c r="L1180" s="26" t="s">
        <v>1091</v>
      </c>
      <c r="M1180" s="27" t="s">
        <v>1091</v>
      </c>
      <c r="N1180" s="27" t="s">
        <v>1091</v>
      </c>
      <c r="O1180" s="27" t="s">
        <v>1091</v>
      </c>
      <c r="P1180" s="27" t="s">
        <v>1091</v>
      </c>
      <c r="Q1180" s="27" t="s">
        <v>1091</v>
      </c>
      <c r="R1180" s="27" t="s">
        <v>1091</v>
      </c>
      <c r="S1180" s="27" t="s">
        <v>1091</v>
      </c>
      <c r="T1180" s="27" t="s">
        <v>1091</v>
      </c>
      <c r="U1180" s="27" t="s">
        <v>1091</v>
      </c>
      <c r="V1180" s="27" t="s">
        <v>1091</v>
      </c>
      <c r="W1180" s="27" t="s">
        <v>1091</v>
      </c>
      <c r="X1180" s="27" t="s">
        <v>1091</v>
      </c>
      <c r="Y1180" s="27" t="s">
        <v>1091</v>
      </c>
      <c r="Z1180" s="27" t="s">
        <v>1091</v>
      </c>
      <c r="AA1180" s="27" t="s">
        <v>1091</v>
      </c>
      <c r="AB1180" s="27" t="s">
        <v>1091</v>
      </c>
      <c r="AC1180" s="27" t="s">
        <v>1091</v>
      </c>
      <c r="AD1180" s="27" t="s">
        <v>1091</v>
      </c>
      <c r="AE1180" s="27" t="s">
        <v>1091</v>
      </c>
      <c r="AF1180" s="27" t="s">
        <v>1091</v>
      </c>
      <c r="AG1180" s="27" t="s">
        <v>1091</v>
      </c>
      <c r="AH1180" s="27">
        <v>285.0</v>
      </c>
      <c r="AI1180" s="27">
        <v>235.0</v>
      </c>
      <c r="AJ1180" s="27">
        <v>2.0</v>
      </c>
      <c r="AK1180" s="27" t="b">
        <v>0</v>
      </c>
      <c r="AL1180" s="27">
        <v>100.0</v>
      </c>
      <c r="AM1180" s="27" t="s">
        <v>189</v>
      </c>
      <c r="AN1180" s="27" t="s">
        <v>405</v>
      </c>
      <c r="AO1180" s="27"/>
    </row>
    <row r="1181">
      <c r="A1181" s="200">
        <v>44859.02510291667</v>
      </c>
      <c r="B1181" s="19" t="s">
        <v>138</v>
      </c>
      <c r="C1181" s="21" t="s">
        <v>298</v>
      </c>
      <c r="D1181" s="62">
        <v>2.0</v>
      </c>
      <c r="E1181" s="27">
        <v>6.0</v>
      </c>
      <c r="F1181" s="27" t="s">
        <v>1884</v>
      </c>
      <c r="G1181" s="201" t="s">
        <v>57</v>
      </c>
      <c r="H1181" s="27" t="s">
        <v>53</v>
      </c>
      <c r="I1181" s="27"/>
      <c r="J1181" s="33">
        <v>-1.0</v>
      </c>
      <c r="K1181" s="33">
        <v>-2.0</v>
      </c>
      <c r="L1181" s="66">
        <v>65.0</v>
      </c>
      <c r="M1181" s="27" t="s">
        <v>1885</v>
      </c>
      <c r="N1181" s="27">
        <v>-2.5</v>
      </c>
      <c r="O1181" s="27"/>
      <c r="P1181" s="27">
        <v>-2.5</v>
      </c>
      <c r="Q1181" s="27"/>
      <c r="R1181" s="27">
        <v>-2.5</v>
      </c>
      <c r="S1181" s="27"/>
      <c r="T1181" s="27">
        <v>-2.0</v>
      </c>
      <c r="U1181" s="27"/>
      <c r="V1181" s="27">
        <v>-2.5</v>
      </c>
      <c r="W1181" s="27"/>
      <c r="X1181" s="27">
        <v>-2.5</v>
      </c>
      <c r="Y1181" s="27"/>
      <c r="Z1181" s="27">
        <v>-2.0</v>
      </c>
      <c r="AA1181" s="27"/>
      <c r="AB1181" s="27">
        <v>-2.0</v>
      </c>
      <c r="AC1181" s="27"/>
      <c r="AD1181" s="27" t="s">
        <v>1091</v>
      </c>
      <c r="AE1181" s="27" t="s">
        <v>1091</v>
      </c>
      <c r="AF1181" s="27" t="s">
        <v>1091</v>
      </c>
      <c r="AG1181" s="27" t="s">
        <v>1091</v>
      </c>
      <c r="AH1181" s="27">
        <v>246.0</v>
      </c>
      <c r="AI1181" s="27">
        <v>264.0</v>
      </c>
      <c r="AJ1181" s="27">
        <v>2.0</v>
      </c>
      <c r="AK1181" s="27" t="b">
        <v>1</v>
      </c>
      <c r="AL1181" s="27">
        <v>100.0</v>
      </c>
      <c r="AM1181" s="27" t="s">
        <v>190</v>
      </c>
      <c r="AN1181" s="27" t="s">
        <v>405</v>
      </c>
      <c r="AO1181" s="27"/>
    </row>
    <row r="1182">
      <c r="A1182" s="200">
        <v>44859.02510291667</v>
      </c>
      <c r="B1182" s="19" t="s">
        <v>138</v>
      </c>
      <c r="C1182" s="21" t="s">
        <v>282</v>
      </c>
      <c r="D1182" s="62">
        <v>6.0</v>
      </c>
      <c r="E1182" s="27">
        <v>1.0</v>
      </c>
      <c r="F1182" s="27" t="s">
        <v>1925</v>
      </c>
      <c r="G1182" s="201" t="s">
        <v>57</v>
      </c>
      <c r="H1182" s="27" t="s">
        <v>141</v>
      </c>
      <c r="I1182" s="27"/>
      <c r="J1182" s="33">
        <v>-3.0</v>
      </c>
      <c r="K1182" s="33">
        <v>-3.5</v>
      </c>
      <c r="L1182" s="66">
        <v>59.5</v>
      </c>
      <c r="M1182" s="27" t="s">
        <v>1926</v>
      </c>
      <c r="N1182" s="27">
        <v>-3.5</v>
      </c>
      <c r="O1182" s="27"/>
      <c r="P1182" s="27">
        <v>-3.5</v>
      </c>
      <c r="Q1182" s="27"/>
      <c r="R1182" s="27">
        <v>-3.5</v>
      </c>
      <c r="S1182" s="27"/>
      <c r="T1182" s="27">
        <v>-3.5</v>
      </c>
      <c r="U1182" s="27"/>
      <c r="V1182" s="27">
        <v>-3.5</v>
      </c>
      <c r="W1182" s="27"/>
      <c r="X1182" s="27">
        <v>-3.5</v>
      </c>
      <c r="Y1182" s="27"/>
      <c r="Z1182" s="27">
        <v>-3.5</v>
      </c>
      <c r="AA1182" s="27"/>
      <c r="AB1182" s="27">
        <v>-3.5</v>
      </c>
      <c r="AC1182" s="27"/>
      <c r="AD1182" s="27">
        <v>-3.5</v>
      </c>
      <c r="AE1182" s="27"/>
      <c r="AF1182" s="27" t="s">
        <v>1091</v>
      </c>
      <c r="AG1182" s="27" t="s">
        <v>1091</v>
      </c>
      <c r="AH1182" s="27">
        <v>258.0</v>
      </c>
      <c r="AI1182" s="27">
        <v>154.0</v>
      </c>
      <c r="AJ1182" s="27">
        <v>2.0</v>
      </c>
      <c r="AK1182" s="27" t="b">
        <v>1</v>
      </c>
      <c r="AL1182" s="27">
        <v>100.0</v>
      </c>
      <c r="AM1182" s="27" t="s">
        <v>389</v>
      </c>
      <c r="AN1182" s="27" t="s">
        <v>405</v>
      </c>
      <c r="AO1182" s="27"/>
    </row>
    <row r="1183">
      <c r="A1183" s="200">
        <v>44859.02510291667</v>
      </c>
      <c r="B1183" s="19" t="s">
        <v>138</v>
      </c>
      <c r="C1183" s="21" t="s">
        <v>308</v>
      </c>
      <c r="D1183" s="62">
        <v>6.0</v>
      </c>
      <c r="E1183" s="27">
        <v>1.0</v>
      </c>
      <c r="F1183" s="27" t="s">
        <v>1895</v>
      </c>
      <c r="G1183" s="201" t="s">
        <v>57</v>
      </c>
      <c r="H1183" s="27" t="s">
        <v>131</v>
      </c>
      <c r="I1183" s="27"/>
      <c r="J1183" s="33">
        <v>17.0</v>
      </c>
      <c r="K1183" s="33">
        <v>14.0</v>
      </c>
      <c r="L1183" s="66">
        <v>49.5</v>
      </c>
      <c r="M1183" s="27" t="s">
        <v>1896</v>
      </c>
      <c r="N1183" s="27">
        <v>14.5</v>
      </c>
      <c r="O1183" s="27"/>
      <c r="P1183" s="27">
        <v>14.0</v>
      </c>
      <c r="Q1183" s="27"/>
      <c r="R1183" s="27">
        <v>14.0</v>
      </c>
      <c r="S1183" s="27"/>
      <c r="T1183" s="27">
        <v>14.0</v>
      </c>
      <c r="U1183" s="27"/>
      <c r="V1183" s="27">
        <v>14.0</v>
      </c>
      <c r="W1183" s="27"/>
      <c r="X1183" s="27">
        <v>14.0</v>
      </c>
      <c r="Y1183" s="27"/>
      <c r="Z1183" s="27">
        <v>14.0</v>
      </c>
      <c r="AA1183" s="27"/>
      <c r="AB1183" s="27">
        <v>14.0</v>
      </c>
      <c r="AC1183" s="27"/>
      <c r="AD1183" s="27">
        <v>14.0</v>
      </c>
      <c r="AE1183" s="27"/>
      <c r="AF1183" s="27" t="s">
        <v>1091</v>
      </c>
      <c r="AG1183" s="27" t="s">
        <v>1091</v>
      </c>
      <c r="AH1183" s="27">
        <v>237.0</v>
      </c>
      <c r="AI1183" s="27">
        <v>106.0</v>
      </c>
      <c r="AJ1183" s="27">
        <v>2.0</v>
      </c>
      <c r="AK1183" s="27" t="b">
        <v>1</v>
      </c>
      <c r="AL1183" s="27">
        <v>100.0</v>
      </c>
      <c r="AM1183" s="27" t="s">
        <v>186</v>
      </c>
      <c r="AN1183" s="27" t="s">
        <v>404</v>
      </c>
      <c r="AO1183" s="27"/>
    </row>
    <row r="1184">
      <c r="A1184" s="200">
        <v>44859.02510291667</v>
      </c>
      <c r="B1184" s="19" t="s">
        <v>138</v>
      </c>
      <c r="C1184" s="21" t="s">
        <v>302</v>
      </c>
      <c r="D1184" s="62">
        <v>5.0</v>
      </c>
      <c r="E1184" s="27">
        <v>2.0</v>
      </c>
      <c r="F1184" s="27" t="s">
        <v>1927</v>
      </c>
      <c r="G1184" s="201" t="s">
        <v>57</v>
      </c>
      <c r="H1184" s="27" t="s">
        <v>141</v>
      </c>
      <c r="I1184" s="27"/>
      <c r="J1184" s="33">
        <v>-3.5</v>
      </c>
      <c r="K1184" s="33">
        <v>-3.0</v>
      </c>
      <c r="L1184" s="66">
        <v>47.0</v>
      </c>
      <c r="M1184" s="27" t="s">
        <v>1755</v>
      </c>
      <c r="N1184" s="27">
        <v>-3.0</v>
      </c>
      <c r="O1184" s="27"/>
      <c r="P1184" s="27">
        <v>-3.0</v>
      </c>
      <c r="Q1184" s="27"/>
      <c r="R1184" s="27">
        <v>-3.0</v>
      </c>
      <c r="S1184" s="27"/>
      <c r="T1184" s="27">
        <v>-3.0</v>
      </c>
      <c r="U1184" s="27"/>
      <c r="V1184" s="27">
        <v>-3.0</v>
      </c>
      <c r="W1184" s="27"/>
      <c r="X1184" s="27">
        <v>-3.0</v>
      </c>
      <c r="Y1184" s="27"/>
      <c r="Z1184" s="27">
        <v>-3.0</v>
      </c>
      <c r="AA1184" s="27"/>
      <c r="AB1184" s="27">
        <v>-3.0</v>
      </c>
      <c r="AC1184" s="27"/>
      <c r="AD1184" s="27">
        <v>-3.0</v>
      </c>
      <c r="AE1184" s="27"/>
      <c r="AF1184" s="27" t="s">
        <v>1091</v>
      </c>
      <c r="AG1184" s="27" t="s">
        <v>1091</v>
      </c>
      <c r="AH1184" s="27">
        <v>222.0</v>
      </c>
      <c r="AI1184" s="27">
        <v>138.0</v>
      </c>
      <c r="AJ1184" s="27">
        <v>2.0</v>
      </c>
      <c r="AK1184" s="27" t="b">
        <v>1</v>
      </c>
      <c r="AL1184" s="27">
        <v>100.0</v>
      </c>
      <c r="AM1184" s="27" t="s">
        <v>193</v>
      </c>
      <c r="AN1184" s="27" t="s">
        <v>405</v>
      </c>
      <c r="AO1184" s="27"/>
    </row>
    <row r="1185">
      <c r="A1185" s="200">
        <v>44859.02510291667</v>
      </c>
      <c r="B1185" s="19"/>
      <c r="C1185" s="21"/>
      <c r="D1185" s="62"/>
      <c r="E1185" s="27"/>
      <c r="F1185" s="27"/>
      <c r="G1185" s="201"/>
      <c r="H1185" s="27"/>
      <c r="I1185" s="27"/>
      <c r="J1185" s="33"/>
      <c r="K1185" s="33"/>
      <c r="L1185" s="66"/>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t="e">
        <v>#N/A</v>
      </c>
      <c r="AN1185" s="27" t="e">
        <v>#N/A</v>
      </c>
      <c r="AO1185" s="27"/>
    </row>
    <row r="1186">
      <c r="A1186" s="200">
        <v>44859.02510291667</v>
      </c>
      <c r="B1186" s="19" t="s">
        <v>141</v>
      </c>
      <c r="C1186" s="21" t="s">
        <v>365</v>
      </c>
      <c r="D1186" s="62">
        <v>3.0</v>
      </c>
      <c r="E1186" s="27">
        <v>4.0</v>
      </c>
      <c r="F1186" s="27"/>
      <c r="G1186" s="201"/>
      <c r="H1186" s="27"/>
      <c r="I1186" s="27" t="s">
        <v>58</v>
      </c>
      <c r="J1186" s="33"/>
      <c r="K1186" s="33"/>
      <c r="L1186" s="66"/>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v>208.0</v>
      </c>
      <c r="AI1186" s="27">
        <v>219.0</v>
      </c>
      <c r="AJ1186" s="27">
        <v>0.0</v>
      </c>
      <c r="AK1186" s="27" t="b">
        <v>1</v>
      </c>
      <c r="AL1186" s="27">
        <v>59.0</v>
      </c>
      <c r="AM1186" s="27" t="s">
        <v>188</v>
      </c>
      <c r="AN1186" s="27" t="s">
        <v>404</v>
      </c>
      <c r="AO1186" s="27"/>
    </row>
    <row r="1187">
      <c r="A1187" s="200">
        <v>44859.02510291667</v>
      </c>
      <c r="B1187" s="19" t="s">
        <v>141</v>
      </c>
      <c r="C1187" s="21" t="s">
        <v>349</v>
      </c>
      <c r="D1187" s="62">
        <v>4.0</v>
      </c>
      <c r="E1187" s="27">
        <v>2.0</v>
      </c>
      <c r="F1187" s="27" t="s">
        <v>1928</v>
      </c>
      <c r="G1187" s="201" t="s">
        <v>1929</v>
      </c>
      <c r="H1187" s="27" t="s">
        <v>109</v>
      </c>
      <c r="I1187" s="27" t="s">
        <v>126</v>
      </c>
      <c r="J1187" s="33">
        <v>-22.0</v>
      </c>
      <c r="K1187" s="33">
        <v>-21.0</v>
      </c>
      <c r="L1187" s="66">
        <v>43.0</v>
      </c>
      <c r="M1187" s="27" t="s">
        <v>1930</v>
      </c>
      <c r="N1187" s="27">
        <v>-21.5</v>
      </c>
      <c r="O1187" s="27"/>
      <c r="P1187" s="27">
        <v>-21.5</v>
      </c>
      <c r="Q1187" s="27"/>
      <c r="R1187" s="27">
        <v>-21.0</v>
      </c>
      <c r="S1187" s="27"/>
      <c r="T1187" s="27">
        <v>-21.5</v>
      </c>
      <c r="U1187" s="27"/>
      <c r="V1187" s="27">
        <v>-21.0</v>
      </c>
      <c r="W1187" s="27"/>
      <c r="X1187" s="27">
        <v>-21.0</v>
      </c>
      <c r="Y1187" s="27"/>
      <c r="Z1187" s="27">
        <v>-21.0</v>
      </c>
      <c r="AA1187" s="27"/>
      <c r="AB1187" s="27">
        <v>-21.5</v>
      </c>
      <c r="AC1187" s="27"/>
      <c r="AD1187" s="27">
        <v>-21.5</v>
      </c>
      <c r="AE1187" s="27"/>
      <c r="AF1187" s="27" t="s">
        <v>1091</v>
      </c>
      <c r="AG1187" s="27" t="s">
        <v>1091</v>
      </c>
      <c r="AH1187" s="27">
        <v>154.0</v>
      </c>
      <c r="AI1187" s="27">
        <v>87.0</v>
      </c>
      <c r="AJ1187" s="27">
        <v>0.0</v>
      </c>
      <c r="AK1187" s="27" t="b">
        <v>0</v>
      </c>
      <c r="AL1187" s="27">
        <v>100.0</v>
      </c>
      <c r="AM1187" s="27" t="s">
        <v>129</v>
      </c>
      <c r="AN1187" s="27" t="s">
        <v>405</v>
      </c>
      <c r="AO1187" s="27"/>
    </row>
    <row r="1188">
      <c r="A1188" s="200">
        <v>44859.02510291667</v>
      </c>
      <c r="B1188" s="19" t="s">
        <v>141</v>
      </c>
      <c r="C1188" s="21" t="s">
        <v>353</v>
      </c>
      <c r="D1188" s="62">
        <v>4.0</v>
      </c>
      <c r="E1188" s="27">
        <v>3.0</v>
      </c>
      <c r="F1188" s="27" t="s">
        <v>1931</v>
      </c>
      <c r="G1188" s="201" t="s">
        <v>57</v>
      </c>
      <c r="H1188" s="27" t="s">
        <v>166</v>
      </c>
      <c r="I1188" s="27"/>
      <c r="J1188" s="33">
        <v>-1.0</v>
      </c>
      <c r="K1188" s="33">
        <v>-1.5</v>
      </c>
      <c r="L1188" s="66">
        <v>55.0</v>
      </c>
      <c r="M1188" s="27" t="s">
        <v>1417</v>
      </c>
      <c r="N1188" s="27">
        <v>-1.5</v>
      </c>
      <c r="O1188" s="27"/>
      <c r="P1188" s="27">
        <v>-1.5</v>
      </c>
      <c r="Q1188" s="27"/>
      <c r="R1188" s="27">
        <v>-1.5</v>
      </c>
      <c r="S1188" s="27"/>
      <c r="T1188" s="27">
        <v>-1.5</v>
      </c>
      <c r="U1188" s="27"/>
      <c r="V1188" s="27">
        <v>-1.5</v>
      </c>
      <c r="W1188" s="27"/>
      <c r="X1188" s="27">
        <v>-1.5</v>
      </c>
      <c r="Y1188" s="27"/>
      <c r="Z1188" s="27" t="s">
        <v>1091</v>
      </c>
      <c r="AA1188" s="27" t="s">
        <v>1091</v>
      </c>
      <c r="AB1188" s="27" t="s">
        <v>1091</v>
      </c>
      <c r="AC1188" s="27" t="s">
        <v>1091</v>
      </c>
      <c r="AD1188" s="27" t="s">
        <v>1091</v>
      </c>
      <c r="AE1188" s="27" t="s">
        <v>1091</v>
      </c>
      <c r="AF1188" s="27" t="s">
        <v>1091</v>
      </c>
      <c r="AG1188" s="27" t="s">
        <v>1091</v>
      </c>
      <c r="AH1188" s="27">
        <v>190.0</v>
      </c>
      <c r="AI1188" s="27">
        <v>144.0</v>
      </c>
      <c r="AJ1188" s="27">
        <v>2.0</v>
      </c>
      <c r="AK1188" s="27" t="b">
        <v>1</v>
      </c>
      <c r="AL1188" s="27">
        <v>100.0</v>
      </c>
      <c r="AM1188" s="27" t="s">
        <v>186</v>
      </c>
      <c r="AN1188" s="27" t="s">
        <v>404</v>
      </c>
      <c r="AO1188" s="27"/>
    </row>
    <row r="1189">
      <c r="A1189" s="200">
        <v>44859.02510291667</v>
      </c>
      <c r="B1189" s="19" t="s">
        <v>141</v>
      </c>
      <c r="C1189" s="21" t="s">
        <v>287</v>
      </c>
      <c r="D1189" s="62">
        <v>7.0</v>
      </c>
      <c r="E1189" s="27">
        <v>1.0</v>
      </c>
      <c r="F1189" s="27" t="s">
        <v>1902</v>
      </c>
      <c r="G1189" s="201" t="s">
        <v>57</v>
      </c>
      <c r="H1189" s="27" t="s">
        <v>178</v>
      </c>
      <c r="I1189" s="27"/>
      <c r="J1189" s="33">
        <v>-20.5</v>
      </c>
      <c r="K1189" s="33">
        <v>-21.0</v>
      </c>
      <c r="L1189" s="66">
        <v>61.5</v>
      </c>
      <c r="M1189" s="27" t="s">
        <v>1903</v>
      </c>
      <c r="N1189" s="27">
        <v>-21.0</v>
      </c>
      <c r="O1189" s="27"/>
      <c r="P1189" s="27">
        <v>-21.0</v>
      </c>
      <c r="Q1189" s="27"/>
      <c r="R1189" s="27">
        <v>-21.0</v>
      </c>
      <c r="S1189" s="27"/>
      <c r="T1189" s="27">
        <v>-21.0</v>
      </c>
      <c r="U1189" s="27"/>
      <c r="V1189" s="27">
        <v>-21.0</v>
      </c>
      <c r="W1189" s="27"/>
      <c r="X1189" s="27">
        <v>-21.5</v>
      </c>
      <c r="Y1189" s="27"/>
      <c r="Z1189" s="27">
        <v>-21.0</v>
      </c>
      <c r="AA1189" s="27"/>
      <c r="AB1189" s="27">
        <v>-21.0</v>
      </c>
      <c r="AC1189" s="27"/>
      <c r="AD1189" s="27">
        <v>-21.0</v>
      </c>
      <c r="AE1189" s="27"/>
      <c r="AF1189" s="27" t="s">
        <v>1091</v>
      </c>
      <c r="AG1189" s="27" t="s">
        <v>1091</v>
      </c>
      <c r="AH1189" s="27">
        <v>345.0</v>
      </c>
      <c r="AI1189" s="27">
        <v>133.0</v>
      </c>
      <c r="AJ1189" s="27">
        <v>2.0</v>
      </c>
      <c r="AK1189" s="27" t="b">
        <v>0</v>
      </c>
      <c r="AL1189" s="27">
        <v>100.0</v>
      </c>
      <c r="AM1189" s="27" t="s">
        <v>192</v>
      </c>
      <c r="AN1189" s="27" t="s">
        <v>404</v>
      </c>
      <c r="AO1189" s="27"/>
    </row>
    <row r="1190">
      <c r="A1190" s="200">
        <v>44859.02510291667</v>
      </c>
      <c r="B1190" s="19" t="s">
        <v>141</v>
      </c>
      <c r="C1190" s="21" t="s">
        <v>393</v>
      </c>
      <c r="D1190" s="62">
        <v>4.0</v>
      </c>
      <c r="E1190" s="27">
        <v>4.0</v>
      </c>
      <c r="F1190" s="27" t="s">
        <v>1932</v>
      </c>
      <c r="G1190" s="201" t="s">
        <v>57</v>
      </c>
      <c r="H1190" s="27" t="s">
        <v>166</v>
      </c>
      <c r="I1190" s="27"/>
      <c r="J1190" s="33">
        <v>-6.5</v>
      </c>
      <c r="K1190" s="33">
        <v>-7.0</v>
      </c>
      <c r="L1190" s="66">
        <v>58.0</v>
      </c>
      <c r="M1190" s="27" t="s">
        <v>1314</v>
      </c>
      <c r="N1190" s="27">
        <v>-6.5</v>
      </c>
      <c r="O1190" s="27"/>
      <c r="P1190" s="27">
        <v>-7.5</v>
      </c>
      <c r="Q1190" s="27"/>
      <c r="R1190" s="27">
        <v>-7.0</v>
      </c>
      <c r="S1190" s="27"/>
      <c r="T1190" s="27">
        <v>-7.0</v>
      </c>
      <c r="U1190" s="27"/>
      <c r="V1190" s="27">
        <v>-7.0</v>
      </c>
      <c r="W1190" s="27"/>
      <c r="X1190" s="27">
        <v>-7.0</v>
      </c>
      <c r="Y1190" s="27"/>
      <c r="Z1190" s="27">
        <v>-7.0</v>
      </c>
      <c r="AA1190" s="27"/>
      <c r="AB1190" s="27">
        <v>-7.0</v>
      </c>
      <c r="AC1190" s="27"/>
      <c r="AD1190" s="27">
        <v>-7.0</v>
      </c>
      <c r="AE1190" s="27"/>
      <c r="AF1190" s="27" t="s">
        <v>1091</v>
      </c>
      <c r="AG1190" s="27" t="s">
        <v>1091</v>
      </c>
      <c r="AH1190" s="27">
        <v>241.0</v>
      </c>
      <c r="AI1190" s="27">
        <v>253.0</v>
      </c>
      <c r="AJ1190" s="27">
        <v>2.0</v>
      </c>
      <c r="AK1190" s="27" t="b">
        <v>1</v>
      </c>
      <c r="AL1190" s="27">
        <v>100.0</v>
      </c>
      <c r="AM1190" s="27" t="s">
        <v>187</v>
      </c>
      <c r="AN1190" s="27" t="s">
        <v>404</v>
      </c>
      <c r="AO1190" s="27"/>
    </row>
    <row r="1191">
      <c r="A1191" s="200">
        <v>44859.02510291667</v>
      </c>
      <c r="B1191" s="19" t="s">
        <v>141</v>
      </c>
      <c r="C1191" s="21" t="s">
        <v>317</v>
      </c>
      <c r="D1191" s="62">
        <v>1.0</v>
      </c>
      <c r="E1191" s="27">
        <v>7.0</v>
      </c>
      <c r="F1191" s="27" t="s">
        <v>1914</v>
      </c>
      <c r="G1191" s="201" t="s">
        <v>57</v>
      </c>
      <c r="H1191" s="27" t="s">
        <v>59</v>
      </c>
      <c r="I1191" s="27"/>
      <c r="J1191" s="33">
        <v>-14.0</v>
      </c>
      <c r="K1191" s="33">
        <v>-13.5</v>
      </c>
      <c r="L1191" s="66">
        <v>63.5</v>
      </c>
      <c r="M1191" s="27" t="s">
        <v>1915</v>
      </c>
      <c r="N1191" s="27">
        <v>-13.5</v>
      </c>
      <c r="O1191" s="27"/>
      <c r="P1191" s="27">
        <v>-14.0</v>
      </c>
      <c r="Q1191" s="27"/>
      <c r="R1191" s="27">
        <v>-14.0</v>
      </c>
      <c r="S1191" s="27"/>
      <c r="T1191" s="27">
        <v>-13.5</v>
      </c>
      <c r="U1191" s="27"/>
      <c r="V1191" s="27">
        <v>-14.0</v>
      </c>
      <c r="W1191" s="27"/>
      <c r="X1191" s="27">
        <v>-14.0</v>
      </c>
      <c r="Y1191" s="27"/>
      <c r="Z1191" s="27">
        <v>-14.0</v>
      </c>
      <c r="AA1191" s="27"/>
      <c r="AB1191" s="27">
        <v>-13.5</v>
      </c>
      <c r="AC1191" s="27"/>
      <c r="AD1191" s="27">
        <v>-13.5</v>
      </c>
      <c r="AE1191" s="27"/>
      <c r="AF1191" s="27" t="s">
        <v>1091</v>
      </c>
      <c r="AG1191" s="27" t="s">
        <v>1091</v>
      </c>
      <c r="AH1191" s="27">
        <v>190.0</v>
      </c>
      <c r="AI1191" s="27">
        <v>346.0</v>
      </c>
      <c r="AJ1191" s="27">
        <v>2.0</v>
      </c>
      <c r="AK1191" s="27" t="b">
        <v>1</v>
      </c>
      <c r="AL1191" s="27">
        <v>100.0</v>
      </c>
      <c r="AM1191" s="27" t="s">
        <v>189</v>
      </c>
      <c r="AN1191" s="27" t="s">
        <v>405</v>
      </c>
      <c r="AO1191" s="27"/>
    </row>
    <row r="1192">
      <c r="A1192" s="200">
        <v>44859.02510291667</v>
      </c>
      <c r="B1192" s="19" t="s">
        <v>141</v>
      </c>
      <c r="C1192" s="21" t="s">
        <v>314</v>
      </c>
      <c r="D1192" s="62">
        <v>3.0</v>
      </c>
      <c r="E1192" s="27">
        <v>4.0</v>
      </c>
      <c r="F1192" s="27" t="s">
        <v>1925</v>
      </c>
      <c r="G1192" s="201" t="s">
        <v>57</v>
      </c>
      <c r="H1192" s="27" t="s">
        <v>138</v>
      </c>
      <c r="I1192" s="27"/>
      <c r="J1192" s="33">
        <v>3.0</v>
      </c>
      <c r="K1192" s="33">
        <v>3.5</v>
      </c>
      <c r="L1192" s="66">
        <v>59.5</v>
      </c>
      <c r="M1192" s="27" t="s">
        <v>1926</v>
      </c>
      <c r="N1192" s="27">
        <v>3.5</v>
      </c>
      <c r="O1192" s="27"/>
      <c r="P1192" s="27">
        <v>3.5</v>
      </c>
      <c r="Q1192" s="27"/>
      <c r="R1192" s="27">
        <v>3.5</v>
      </c>
      <c r="S1192" s="27"/>
      <c r="T1192" s="27">
        <v>3.5</v>
      </c>
      <c r="U1192" s="27"/>
      <c r="V1192" s="27">
        <v>3.5</v>
      </c>
      <c r="W1192" s="27"/>
      <c r="X1192" s="27">
        <v>3.5</v>
      </c>
      <c r="Y1192" s="27"/>
      <c r="Z1192" s="27">
        <v>3.5</v>
      </c>
      <c r="AA1192" s="27"/>
      <c r="AB1192" s="27">
        <v>3.5</v>
      </c>
      <c r="AC1192" s="27"/>
      <c r="AD1192" s="27">
        <v>3.5</v>
      </c>
      <c r="AE1192" s="27"/>
      <c r="AF1192" s="27" t="s">
        <v>1091</v>
      </c>
      <c r="AG1192" s="27" t="s">
        <v>1091</v>
      </c>
      <c r="AH1192" s="27">
        <v>240.0</v>
      </c>
      <c r="AI1192" s="27">
        <v>206.0</v>
      </c>
      <c r="AJ1192" s="27">
        <v>2.0</v>
      </c>
      <c r="AK1192" s="27" t="b">
        <v>0</v>
      </c>
      <c r="AL1192" s="27">
        <v>100.0</v>
      </c>
      <c r="AM1192" s="27" t="s">
        <v>389</v>
      </c>
      <c r="AN1192" s="27" t="s">
        <v>405</v>
      </c>
      <c r="AO1192" s="27"/>
    </row>
    <row r="1193">
      <c r="A1193" s="200">
        <v>44859.02510291667</v>
      </c>
      <c r="B1193" s="19" t="s">
        <v>141</v>
      </c>
      <c r="C1193" s="21" t="s">
        <v>323</v>
      </c>
      <c r="D1193" s="62">
        <v>1.0</v>
      </c>
      <c r="E1193" s="27">
        <v>7.0</v>
      </c>
      <c r="F1193" s="27" t="s">
        <v>1933</v>
      </c>
      <c r="G1193" s="201" t="s">
        <v>57</v>
      </c>
      <c r="H1193" s="27" t="s">
        <v>144</v>
      </c>
      <c r="I1193" s="27"/>
      <c r="J1193" s="33">
        <v>20.0</v>
      </c>
      <c r="K1193" s="33">
        <v>15.5</v>
      </c>
      <c r="L1193" s="66">
        <v>65.0</v>
      </c>
      <c r="M1193" s="27" t="s">
        <v>1717</v>
      </c>
      <c r="N1193" s="27">
        <v>15.5</v>
      </c>
      <c r="O1193" s="27"/>
      <c r="P1193" s="27">
        <v>16.0</v>
      </c>
      <c r="Q1193" s="27"/>
      <c r="R1193" s="27">
        <v>16.0</v>
      </c>
      <c r="S1193" s="27"/>
      <c r="T1193" s="27">
        <v>15.5</v>
      </c>
      <c r="U1193" s="27"/>
      <c r="V1193" s="27">
        <v>16.0</v>
      </c>
      <c r="W1193" s="27"/>
      <c r="X1193" s="27">
        <v>16.0</v>
      </c>
      <c r="Y1193" s="27"/>
      <c r="Z1193" s="27">
        <v>15.5</v>
      </c>
      <c r="AA1193" s="27"/>
      <c r="AB1193" s="27">
        <v>15.5</v>
      </c>
      <c r="AC1193" s="27"/>
      <c r="AD1193" s="27" t="s">
        <v>1091</v>
      </c>
      <c r="AE1193" s="27" t="s">
        <v>1091</v>
      </c>
      <c r="AF1193" s="27" t="s">
        <v>1091</v>
      </c>
      <c r="AG1193" s="27" t="s">
        <v>1091</v>
      </c>
      <c r="AH1193" s="27">
        <v>158.0</v>
      </c>
      <c r="AI1193" s="27">
        <v>306.0</v>
      </c>
      <c r="AJ1193" s="27">
        <v>2.0</v>
      </c>
      <c r="AK1193" s="27" t="b">
        <v>1</v>
      </c>
      <c r="AL1193" s="27">
        <v>100.0</v>
      </c>
      <c r="AM1193" s="27" t="s">
        <v>190</v>
      </c>
      <c r="AN1193" s="27" t="s">
        <v>405</v>
      </c>
      <c r="AO1193" s="27"/>
    </row>
    <row r="1194">
      <c r="A1194" s="200">
        <v>44859.02510291667</v>
      </c>
      <c r="B1194" s="19" t="s">
        <v>141</v>
      </c>
      <c r="C1194" s="21" t="s">
        <v>386</v>
      </c>
      <c r="D1194" s="62">
        <v>4.0</v>
      </c>
      <c r="E1194" s="27">
        <v>3.0</v>
      </c>
      <c r="F1194" s="27" t="s">
        <v>1934</v>
      </c>
      <c r="G1194" s="201" t="s">
        <v>57</v>
      </c>
      <c r="H1194" s="27" t="s">
        <v>166</v>
      </c>
      <c r="I1194" s="27"/>
      <c r="J1194" s="33">
        <v>-1.0</v>
      </c>
      <c r="K1194" s="33">
        <v>-3.0</v>
      </c>
      <c r="L1194" s="66">
        <v>48.0</v>
      </c>
      <c r="M1194" s="27" t="s">
        <v>1935</v>
      </c>
      <c r="N1194" s="27">
        <v>-3.0</v>
      </c>
      <c r="O1194" s="27"/>
      <c r="P1194" s="27">
        <v>-3.0</v>
      </c>
      <c r="Q1194" s="27"/>
      <c r="R1194" s="27">
        <v>-3.0</v>
      </c>
      <c r="S1194" s="27"/>
      <c r="T1194" s="27" t="s">
        <v>1091</v>
      </c>
      <c r="U1194" s="27" t="s">
        <v>1091</v>
      </c>
      <c r="V1194" s="27" t="s">
        <v>1091</v>
      </c>
      <c r="W1194" s="27" t="s">
        <v>1091</v>
      </c>
      <c r="X1194" s="27" t="s">
        <v>1091</v>
      </c>
      <c r="Y1194" s="27" t="s">
        <v>1091</v>
      </c>
      <c r="Z1194" s="27" t="s">
        <v>1091</v>
      </c>
      <c r="AA1194" s="27" t="s">
        <v>1091</v>
      </c>
      <c r="AB1194" s="27" t="s">
        <v>1091</v>
      </c>
      <c r="AC1194" s="27" t="s">
        <v>1091</v>
      </c>
      <c r="AD1194" s="27" t="s">
        <v>1091</v>
      </c>
      <c r="AE1194" s="27" t="s">
        <v>1091</v>
      </c>
      <c r="AF1194" s="27" t="s">
        <v>1091</v>
      </c>
      <c r="AG1194" s="27" t="s">
        <v>1091</v>
      </c>
      <c r="AH1194" s="27">
        <v>161.0</v>
      </c>
      <c r="AI1194" s="27">
        <v>149.0</v>
      </c>
      <c r="AJ1194" s="27">
        <v>2.0</v>
      </c>
      <c r="AK1194" s="27" t="b">
        <v>1</v>
      </c>
      <c r="AL1194" s="27">
        <v>100.0</v>
      </c>
      <c r="AM1194" s="27" t="s">
        <v>191</v>
      </c>
      <c r="AN1194" s="27" t="s">
        <v>404</v>
      </c>
      <c r="AO1194" s="27"/>
    </row>
    <row r="1195">
      <c r="A1195" s="200">
        <v>44859.02510291667</v>
      </c>
      <c r="B1195" s="19" t="s">
        <v>141</v>
      </c>
      <c r="C1195" s="21" t="s">
        <v>318</v>
      </c>
      <c r="D1195" s="62">
        <v>6.0</v>
      </c>
      <c r="E1195" s="27">
        <v>2.0</v>
      </c>
      <c r="F1195" s="27" t="s">
        <v>1927</v>
      </c>
      <c r="G1195" s="201" t="s">
        <v>57</v>
      </c>
      <c r="H1195" s="27" t="s">
        <v>138</v>
      </c>
      <c r="I1195" s="27"/>
      <c r="J1195" s="33">
        <v>3.5</v>
      </c>
      <c r="K1195" s="33">
        <v>3.0</v>
      </c>
      <c r="L1195" s="66">
        <v>47.0</v>
      </c>
      <c r="M1195" s="27" t="s">
        <v>1755</v>
      </c>
      <c r="N1195" s="27">
        <v>3.0</v>
      </c>
      <c r="O1195" s="27"/>
      <c r="P1195" s="27">
        <v>3.0</v>
      </c>
      <c r="Q1195" s="27"/>
      <c r="R1195" s="27">
        <v>3.0</v>
      </c>
      <c r="S1195" s="27"/>
      <c r="T1195" s="27">
        <v>3.0</v>
      </c>
      <c r="U1195" s="27"/>
      <c r="V1195" s="27">
        <v>3.0</v>
      </c>
      <c r="W1195" s="27"/>
      <c r="X1195" s="27">
        <v>3.0</v>
      </c>
      <c r="Y1195" s="27"/>
      <c r="Z1195" s="27">
        <v>3.0</v>
      </c>
      <c r="AA1195" s="27"/>
      <c r="AB1195" s="27">
        <v>3.0</v>
      </c>
      <c r="AC1195" s="27"/>
      <c r="AD1195" s="27">
        <v>3.0</v>
      </c>
      <c r="AE1195" s="27"/>
      <c r="AF1195" s="27" t="s">
        <v>1091</v>
      </c>
      <c r="AG1195" s="27" t="s">
        <v>1091</v>
      </c>
      <c r="AH1195" s="27">
        <v>180.0</v>
      </c>
      <c r="AI1195" s="27">
        <v>141.0</v>
      </c>
      <c r="AJ1195" s="27">
        <v>2.0</v>
      </c>
      <c r="AK1195" s="27" t="b">
        <v>0</v>
      </c>
      <c r="AL1195" s="27">
        <v>100.0</v>
      </c>
      <c r="AM1195" s="27" t="s">
        <v>193</v>
      </c>
      <c r="AN1195" s="27" t="s">
        <v>405</v>
      </c>
      <c r="AO1195" s="27"/>
    </row>
    <row r="1196">
      <c r="A1196" s="200">
        <v>44859.02510291667</v>
      </c>
      <c r="B1196" s="19"/>
      <c r="C1196" s="21"/>
      <c r="D1196" s="62"/>
      <c r="E1196" s="27"/>
      <c r="F1196" s="27"/>
      <c r="G1196" s="201"/>
      <c r="H1196" s="27"/>
      <c r="I1196" s="27"/>
      <c r="J1196" s="33"/>
      <c r="K1196" s="33"/>
      <c r="L1196" s="66"/>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t="e">
        <v>#N/A</v>
      </c>
      <c r="AN1196" s="27" t="e">
        <v>#N/A</v>
      </c>
      <c r="AO1196" s="27"/>
    </row>
    <row r="1197">
      <c r="A1197" s="200">
        <v>44859.02510291667</v>
      </c>
      <c r="B1197" s="19" t="s">
        <v>109</v>
      </c>
      <c r="C1197" s="21" t="s">
        <v>367</v>
      </c>
      <c r="D1197" s="62">
        <v>6.0</v>
      </c>
      <c r="E1197" s="27">
        <v>1.0</v>
      </c>
      <c r="F1197" s="27"/>
      <c r="G1197" s="201"/>
      <c r="H1197" s="27"/>
      <c r="I1197" s="27" t="s">
        <v>97</v>
      </c>
      <c r="J1197" s="33">
        <v>-6.5</v>
      </c>
      <c r="K1197" s="33">
        <v>-7.0</v>
      </c>
      <c r="L1197" s="66">
        <v>70.0</v>
      </c>
      <c r="M1197" s="27" t="s">
        <v>1843</v>
      </c>
      <c r="N1197" s="27">
        <v>-7.0</v>
      </c>
      <c r="O1197" s="27"/>
      <c r="P1197" s="27">
        <v>-7.0</v>
      </c>
      <c r="Q1197" s="27"/>
      <c r="R1197" s="27">
        <v>-7.0</v>
      </c>
      <c r="S1197" s="27"/>
      <c r="T1197" s="27">
        <v>-7.0</v>
      </c>
      <c r="U1197" s="27"/>
      <c r="V1197" s="27">
        <v>-7.0</v>
      </c>
      <c r="W1197" s="27"/>
      <c r="X1197" s="27">
        <v>-7.0</v>
      </c>
      <c r="Y1197" s="27"/>
      <c r="Z1197" s="27">
        <v>-7.0</v>
      </c>
      <c r="AA1197" s="27"/>
      <c r="AB1197" s="27">
        <v>-7.0</v>
      </c>
      <c r="AC1197" s="27"/>
      <c r="AD1197" s="27">
        <v>-7.0</v>
      </c>
      <c r="AE1197" s="27"/>
      <c r="AF1197" s="27">
        <v>-7.0</v>
      </c>
      <c r="AG1197" s="27"/>
      <c r="AH1197" s="27">
        <v>292.0</v>
      </c>
      <c r="AI1197" s="27">
        <v>227.0</v>
      </c>
      <c r="AJ1197" s="27">
        <v>0.0</v>
      </c>
      <c r="AK1197" s="27" t="b">
        <v>1</v>
      </c>
      <c r="AL1197" s="27">
        <v>59.0</v>
      </c>
      <c r="AM1197" s="27" t="s">
        <v>186</v>
      </c>
      <c r="AN1197" s="27" t="s">
        <v>404</v>
      </c>
      <c r="AO1197" s="27"/>
    </row>
    <row r="1198">
      <c r="A1198" s="200">
        <v>44859.02510291667</v>
      </c>
      <c r="B1198" s="19" t="s">
        <v>109</v>
      </c>
      <c r="C1198" s="21" t="s">
        <v>343</v>
      </c>
      <c r="D1198" s="62">
        <v>3.0</v>
      </c>
      <c r="E1198" s="27">
        <v>4.0</v>
      </c>
      <c r="F1198" s="27"/>
      <c r="G1198" s="201"/>
      <c r="H1198" s="27"/>
      <c r="I1198" s="27" t="s">
        <v>133</v>
      </c>
      <c r="J1198" s="33"/>
      <c r="K1198" s="33"/>
      <c r="L1198" s="66"/>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v>196.0</v>
      </c>
      <c r="AI1198" s="27">
        <v>221.0</v>
      </c>
      <c r="AJ1198" s="27">
        <v>0.0</v>
      </c>
      <c r="AK1198" s="27" t="b">
        <v>1</v>
      </c>
      <c r="AL1198" s="27">
        <v>59.0</v>
      </c>
      <c r="AM1198" s="27" t="s">
        <v>189</v>
      </c>
      <c r="AN1198" s="27" t="s">
        <v>405</v>
      </c>
      <c r="AO1198" s="27"/>
    </row>
    <row r="1199">
      <c r="A1199" s="200">
        <v>44859.02510291667</v>
      </c>
      <c r="B1199" s="19" t="s">
        <v>109</v>
      </c>
      <c r="C1199" s="21" t="s">
        <v>394</v>
      </c>
      <c r="D1199" s="62">
        <v>2.0</v>
      </c>
      <c r="E1199" s="27">
        <v>5.0</v>
      </c>
      <c r="F1199" s="27" t="s">
        <v>1928</v>
      </c>
      <c r="G1199" s="201" t="s">
        <v>1929</v>
      </c>
      <c r="H1199" s="27" t="s">
        <v>141</v>
      </c>
      <c r="I1199" s="27" t="s">
        <v>149</v>
      </c>
      <c r="J1199" s="33">
        <v>22.0</v>
      </c>
      <c r="K1199" s="33">
        <v>21.0</v>
      </c>
      <c r="L1199" s="66">
        <v>43.0</v>
      </c>
      <c r="M1199" s="27" t="s">
        <v>1930</v>
      </c>
      <c r="N1199" s="27">
        <v>21.5</v>
      </c>
      <c r="O1199" s="27"/>
      <c r="P1199" s="27">
        <v>21.5</v>
      </c>
      <c r="Q1199" s="27"/>
      <c r="R1199" s="27">
        <v>21.0</v>
      </c>
      <c r="S1199" s="27"/>
      <c r="T1199" s="27">
        <v>21.5</v>
      </c>
      <c r="U1199" s="27"/>
      <c r="V1199" s="27">
        <v>21.0</v>
      </c>
      <c r="W1199" s="27"/>
      <c r="X1199" s="27">
        <v>21.0</v>
      </c>
      <c r="Y1199" s="27"/>
      <c r="Z1199" s="27">
        <v>21.0</v>
      </c>
      <c r="AA1199" s="27"/>
      <c r="AB1199" s="27">
        <v>21.5</v>
      </c>
      <c r="AC1199" s="27"/>
      <c r="AD1199" s="27">
        <v>21.5</v>
      </c>
      <c r="AE1199" s="27"/>
      <c r="AF1199" s="27" t="s">
        <v>1091</v>
      </c>
      <c r="AG1199" s="27" t="s">
        <v>1091</v>
      </c>
      <c r="AH1199" s="27">
        <v>105.0</v>
      </c>
      <c r="AI1199" s="27">
        <v>203.0</v>
      </c>
      <c r="AJ1199" s="27">
        <v>0.0</v>
      </c>
      <c r="AK1199" s="27" t="b">
        <v>1</v>
      </c>
      <c r="AL1199" s="27">
        <v>100.0</v>
      </c>
      <c r="AM1199" s="27" t="s">
        <v>129</v>
      </c>
      <c r="AN1199" s="27" t="s">
        <v>405</v>
      </c>
      <c r="AO1199" s="27"/>
    </row>
    <row r="1200">
      <c r="A1200" s="200">
        <v>44859.02510291667</v>
      </c>
      <c r="B1200" s="19" t="s">
        <v>109</v>
      </c>
      <c r="C1200" s="21" t="s">
        <v>375</v>
      </c>
      <c r="D1200" s="62">
        <v>6.0</v>
      </c>
      <c r="E1200" s="27">
        <v>1.0</v>
      </c>
      <c r="F1200" s="27" t="s">
        <v>1900</v>
      </c>
      <c r="G1200" s="201" t="s">
        <v>57</v>
      </c>
      <c r="H1200" s="27" t="s">
        <v>178</v>
      </c>
      <c r="I1200" s="27"/>
      <c r="J1200" s="33">
        <v>-10.0</v>
      </c>
      <c r="K1200" s="33">
        <v>-5.5</v>
      </c>
      <c r="L1200" s="66">
        <v>43.0</v>
      </c>
      <c r="M1200" s="27" t="s">
        <v>1901</v>
      </c>
      <c r="N1200" s="27">
        <v>-5.5</v>
      </c>
      <c r="O1200" s="27"/>
      <c r="P1200" s="27">
        <v>-5.0</v>
      </c>
      <c r="Q1200" s="27"/>
      <c r="R1200" s="27">
        <v>-5.0</v>
      </c>
      <c r="S1200" s="27"/>
      <c r="T1200" s="27">
        <v>-5.5</v>
      </c>
      <c r="U1200" s="27"/>
      <c r="V1200" s="27">
        <v>-5.5</v>
      </c>
      <c r="W1200" s="27"/>
      <c r="X1200" s="27">
        <v>-5.5</v>
      </c>
      <c r="Y1200" s="27"/>
      <c r="Z1200" s="27">
        <v>-5.5</v>
      </c>
      <c r="AA1200" s="27"/>
      <c r="AB1200" s="27">
        <v>-5.5</v>
      </c>
      <c r="AC1200" s="27"/>
      <c r="AD1200" s="27">
        <v>-5.5</v>
      </c>
      <c r="AE1200" s="27"/>
      <c r="AF1200" s="27" t="s">
        <v>1091</v>
      </c>
      <c r="AG1200" s="27" t="s">
        <v>1091</v>
      </c>
      <c r="AH1200" s="27">
        <v>234.0</v>
      </c>
      <c r="AI1200" s="27">
        <v>132.0</v>
      </c>
      <c r="AJ1200" s="27">
        <v>2.0</v>
      </c>
      <c r="AK1200" s="27" t="b">
        <v>1</v>
      </c>
      <c r="AL1200" s="27">
        <v>100.0</v>
      </c>
      <c r="AM1200" s="27" t="s">
        <v>188</v>
      </c>
      <c r="AN1200" s="27" t="s">
        <v>404</v>
      </c>
      <c r="AO1200" s="27"/>
    </row>
    <row r="1201">
      <c r="A1201" s="200">
        <v>44859.02510291667</v>
      </c>
      <c r="B1201" s="19" t="s">
        <v>109</v>
      </c>
      <c r="C1201" s="21" t="s">
        <v>292</v>
      </c>
      <c r="D1201" s="62">
        <v>4.0</v>
      </c>
      <c r="E1201" s="27">
        <v>3.0</v>
      </c>
      <c r="F1201" s="27" t="s">
        <v>1936</v>
      </c>
      <c r="G1201" s="201" t="s">
        <v>57</v>
      </c>
      <c r="H1201" s="27" t="s">
        <v>154</v>
      </c>
      <c r="I1201" s="27"/>
      <c r="J1201" s="33">
        <v>-7.0</v>
      </c>
      <c r="K1201" s="33">
        <v>-6.5</v>
      </c>
      <c r="L1201" s="66">
        <v>51.0</v>
      </c>
      <c r="M1201" s="27" t="s">
        <v>1307</v>
      </c>
      <c r="N1201" s="27">
        <v>-6.5</v>
      </c>
      <c r="O1201" s="27"/>
      <c r="P1201" s="27">
        <v>-6.5</v>
      </c>
      <c r="Q1201" s="27"/>
      <c r="R1201" s="27">
        <v>-6.5</v>
      </c>
      <c r="S1201" s="27"/>
      <c r="T1201" s="27">
        <v>-6.0</v>
      </c>
      <c r="U1201" s="27"/>
      <c r="V1201" s="27">
        <v>-6.5</v>
      </c>
      <c r="W1201" s="27"/>
      <c r="X1201" s="27">
        <v>-5.5</v>
      </c>
      <c r="Y1201" s="27"/>
      <c r="Z1201" s="27">
        <v>-6.5</v>
      </c>
      <c r="AA1201" s="27"/>
      <c r="AB1201" s="27">
        <v>-6.0</v>
      </c>
      <c r="AC1201" s="27"/>
      <c r="AD1201" s="27">
        <v>-6.0</v>
      </c>
      <c r="AE1201" s="27"/>
      <c r="AF1201" s="27" t="s">
        <v>1091</v>
      </c>
      <c r="AG1201" s="27" t="s">
        <v>1091</v>
      </c>
      <c r="AH1201" s="27">
        <v>189.0</v>
      </c>
      <c r="AI1201" s="27">
        <v>133.0</v>
      </c>
      <c r="AJ1201" s="27">
        <v>2.0</v>
      </c>
      <c r="AK1201" s="27" t="b">
        <v>0</v>
      </c>
      <c r="AL1201" s="27">
        <v>100.0</v>
      </c>
      <c r="AM1201" s="27" t="s">
        <v>193</v>
      </c>
      <c r="AN1201" s="27" t="s">
        <v>405</v>
      </c>
      <c r="AO1201" s="27"/>
    </row>
    <row r="1202">
      <c r="A1202" s="200">
        <v>44859.02510291667</v>
      </c>
      <c r="B1202" s="19" t="s">
        <v>109</v>
      </c>
      <c r="C1202" s="21" t="s">
        <v>328</v>
      </c>
      <c r="D1202" s="62">
        <v>2.0</v>
      </c>
      <c r="E1202" s="27">
        <v>5.0</v>
      </c>
      <c r="F1202" s="27" t="s">
        <v>1924</v>
      </c>
      <c r="G1202" s="201" t="s">
        <v>57</v>
      </c>
      <c r="H1202" s="27" t="s">
        <v>138</v>
      </c>
      <c r="I1202" s="27"/>
      <c r="J1202" s="33">
        <v>3.0</v>
      </c>
      <c r="K1202" s="33">
        <v>3.0</v>
      </c>
      <c r="L1202" s="66">
        <v>52.0</v>
      </c>
      <c r="M1202" s="27" t="s">
        <v>1755</v>
      </c>
      <c r="N1202" s="27">
        <v>3.0</v>
      </c>
      <c r="O1202" s="27"/>
      <c r="P1202" s="27">
        <v>3.0</v>
      </c>
      <c r="Q1202" s="27"/>
      <c r="R1202" s="27">
        <v>3.0</v>
      </c>
      <c r="S1202" s="27"/>
      <c r="T1202" s="27">
        <v>3.0</v>
      </c>
      <c r="U1202" s="27"/>
      <c r="V1202" s="27">
        <v>3.0</v>
      </c>
      <c r="W1202" s="27"/>
      <c r="X1202" s="27">
        <v>3.0</v>
      </c>
      <c r="Y1202" s="27"/>
      <c r="Z1202" s="27">
        <v>3.0</v>
      </c>
      <c r="AA1202" s="27"/>
      <c r="AB1202" s="27">
        <v>3.0</v>
      </c>
      <c r="AC1202" s="27"/>
      <c r="AD1202" s="27">
        <v>3.0</v>
      </c>
      <c r="AE1202" s="27"/>
      <c r="AF1202" s="27" t="s">
        <v>1091</v>
      </c>
      <c r="AG1202" s="27" t="s">
        <v>1091</v>
      </c>
      <c r="AH1202" s="27">
        <v>175.0</v>
      </c>
      <c r="AI1202" s="27">
        <v>196.0</v>
      </c>
      <c r="AJ1202" s="27">
        <v>2.0</v>
      </c>
      <c r="AK1202" s="27" t="b">
        <v>1</v>
      </c>
      <c r="AL1202" s="27">
        <v>100.0</v>
      </c>
      <c r="AM1202" s="27" t="s">
        <v>191</v>
      </c>
      <c r="AN1202" s="27" t="s">
        <v>404</v>
      </c>
      <c r="AO1202" s="27"/>
    </row>
    <row r="1203">
      <c r="A1203" s="200">
        <v>44859.02510291667</v>
      </c>
      <c r="B1203" s="19" t="s">
        <v>109</v>
      </c>
      <c r="C1203" s="21" t="s">
        <v>360</v>
      </c>
      <c r="D1203" s="62">
        <v>6.0</v>
      </c>
      <c r="E1203" s="27">
        <v>2.0</v>
      </c>
      <c r="F1203" s="27" t="s">
        <v>1937</v>
      </c>
      <c r="G1203" s="201" t="s">
        <v>57</v>
      </c>
      <c r="H1203" s="27" t="s">
        <v>103</v>
      </c>
      <c r="I1203" s="27"/>
      <c r="J1203" s="33">
        <v>-2.5</v>
      </c>
      <c r="K1203" s="33">
        <v>-1.0</v>
      </c>
      <c r="L1203" s="66">
        <v>64.0</v>
      </c>
      <c r="M1203" s="27" t="s">
        <v>1938</v>
      </c>
      <c r="N1203" s="27">
        <v>1.0</v>
      </c>
      <c r="O1203" s="27"/>
      <c r="P1203" s="27">
        <v>0.0</v>
      </c>
      <c r="Q1203" s="27"/>
      <c r="R1203" s="27">
        <v>-1.0</v>
      </c>
      <c r="S1203" s="27"/>
      <c r="T1203" s="27">
        <v>0.0</v>
      </c>
      <c r="U1203" s="27"/>
      <c r="V1203" s="27">
        <v>1.0</v>
      </c>
      <c r="W1203" s="27"/>
      <c r="X1203" s="27">
        <v>-1.0</v>
      </c>
      <c r="Y1203" s="27"/>
      <c r="Z1203" s="27">
        <v>-1.0</v>
      </c>
      <c r="AA1203" s="27" t="s">
        <v>1091</v>
      </c>
      <c r="AB1203" s="27" t="s">
        <v>1091</v>
      </c>
      <c r="AC1203" s="27" t="s">
        <v>1091</v>
      </c>
      <c r="AD1203" s="27" t="s">
        <v>1091</v>
      </c>
      <c r="AE1203" s="27" t="s">
        <v>1091</v>
      </c>
      <c r="AF1203" s="27" t="s">
        <v>1091</v>
      </c>
      <c r="AG1203" s="27" t="s">
        <v>1091</v>
      </c>
      <c r="AH1203" s="27">
        <v>281.0</v>
      </c>
      <c r="AI1203" s="27">
        <v>169.0</v>
      </c>
      <c r="AJ1203" s="27">
        <v>2.0</v>
      </c>
      <c r="AK1203" s="27" t="b">
        <v>0</v>
      </c>
      <c r="AL1203" s="27">
        <v>100.0</v>
      </c>
      <c r="AM1203" s="27" t="s">
        <v>192</v>
      </c>
      <c r="AN1203" s="27" t="s">
        <v>404</v>
      </c>
      <c r="AO1203" s="27"/>
    </row>
    <row r="1204">
      <c r="A1204" s="200">
        <v>44859.02510291667</v>
      </c>
      <c r="B1204" s="19" t="s">
        <v>109</v>
      </c>
      <c r="C1204" s="21" t="s">
        <v>339</v>
      </c>
      <c r="D1204" s="62">
        <v>4.0</v>
      </c>
      <c r="E1204" s="27">
        <v>4.0</v>
      </c>
      <c r="F1204" s="27" t="s">
        <v>1905</v>
      </c>
      <c r="G1204" s="201" t="s">
        <v>57</v>
      </c>
      <c r="H1204" s="27" t="s">
        <v>178</v>
      </c>
      <c r="I1204" s="27"/>
      <c r="J1204" s="33">
        <v>6.0</v>
      </c>
      <c r="K1204" s="33">
        <v>7.0</v>
      </c>
      <c r="L1204" s="66">
        <v>55.0</v>
      </c>
      <c r="M1204" s="27" t="s">
        <v>1906</v>
      </c>
      <c r="N1204" s="27">
        <v>7.0</v>
      </c>
      <c r="O1204" s="27"/>
      <c r="P1204" s="27">
        <v>7.0</v>
      </c>
      <c r="Q1204" s="27"/>
      <c r="R1204" s="27">
        <v>7.0</v>
      </c>
      <c r="S1204" s="27"/>
      <c r="T1204" s="27">
        <v>7.0</v>
      </c>
      <c r="U1204" s="27"/>
      <c r="V1204" s="27">
        <v>7.0</v>
      </c>
      <c r="W1204" s="27"/>
      <c r="X1204" s="27">
        <v>7.0</v>
      </c>
      <c r="Y1204" s="27"/>
      <c r="Z1204" s="27">
        <v>7.5</v>
      </c>
      <c r="AA1204" s="27"/>
      <c r="AB1204" s="27">
        <v>7.0</v>
      </c>
      <c r="AC1204" s="27"/>
      <c r="AD1204" s="27">
        <v>7.0</v>
      </c>
      <c r="AE1204" s="27"/>
      <c r="AF1204" s="27" t="s">
        <v>1091</v>
      </c>
      <c r="AG1204" s="27" t="s">
        <v>1091</v>
      </c>
      <c r="AH1204" s="27">
        <v>277.0</v>
      </c>
      <c r="AI1204" s="27">
        <v>249.0</v>
      </c>
      <c r="AJ1204" s="27">
        <v>2.0</v>
      </c>
      <c r="AK1204" s="27" t="b">
        <v>1</v>
      </c>
      <c r="AL1204" s="27">
        <v>100.0</v>
      </c>
      <c r="AM1204" s="27" t="s">
        <v>389</v>
      </c>
      <c r="AN1204" s="27" t="s">
        <v>405</v>
      </c>
      <c r="AO1204" s="27"/>
    </row>
    <row r="1205">
      <c r="A1205" s="200">
        <v>44859.02510291667</v>
      </c>
      <c r="B1205" s="19" t="s">
        <v>109</v>
      </c>
      <c r="C1205" s="21" t="s">
        <v>400</v>
      </c>
      <c r="D1205" s="62">
        <v>4.0</v>
      </c>
      <c r="E1205" s="27">
        <v>3.0</v>
      </c>
      <c r="F1205" s="27" t="s">
        <v>1916</v>
      </c>
      <c r="G1205" s="201" t="s">
        <v>57</v>
      </c>
      <c r="H1205" s="27" t="s">
        <v>59</v>
      </c>
      <c r="I1205" s="27"/>
      <c r="J1205" s="33">
        <v>-24.5</v>
      </c>
      <c r="K1205" s="33">
        <v>-25.0</v>
      </c>
      <c r="L1205" s="66">
        <v>46.0</v>
      </c>
      <c r="M1205" s="27" t="s">
        <v>1917</v>
      </c>
      <c r="N1205" s="27">
        <v>-26.5</v>
      </c>
      <c r="O1205" s="27"/>
      <c r="P1205" s="27">
        <v>-26.0</v>
      </c>
      <c r="Q1205" s="27"/>
      <c r="R1205" s="27">
        <v>-26.0</v>
      </c>
      <c r="S1205" s="27"/>
      <c r="T1205" s="27">
        <v>-25.0</v>
      </c>
      <c r="U1205" s="27"/>
      <c r="V1205" s="27">
        <v>-26.0</v>
      </c>
      <c r="W1205" s="27"/>
      <c r="X1205" s="27">
        <v>-26.0</v>
      </c>
      <c r="Y1205" s="27"/>
      <c r="Z1205" s="27">
        <v>-26.5</v>
      </c>
      <c r="AA1205" s="27"/>
      <c r="AB1205" s="27">
        <v>-25.0</v>
      </c>
      <c r="AC1205" s="27"/>
      <c r="AD1205" s="27">
        <v>-25.0</v>
      </c>
      <c r="AE1205" s="27"/>
      <c r="AF1205" s="27" t="s">
        <v>1091</v>
      </c>
      <c r="AG1205" s="27" t="s">
        <v>1091</v>
      </c>
      <c r="AH1205" s="27">
        <v>186.0</v>
      </c>
      <c r="AI1205" s="27">
        <v>153.0</v>
      </c>
      <c r="AJ1205" s="27">
        <v>2.0</v>
      </c>
      <c r="AK1205" s="27" t="b">
        <v>1</v>
      </c>
      <c r="AL1205" s="27">
        <v>100.0</v>
      </c>
      <c r="AM1205" s="27" t="s">
        <v>187</v>
      </c>
      <c r="AN1205" s="27" t="s">
        <v>404</v>
      </c>
      <c r="AO1205" s="27"/>
    </row>
    <row r="1206">
      <c r="A1206" s="200">
        <v>44859.02510291667</v>
      </c>
      <c r="B1206" s="19" t="s">
        <v>109</v>
      </c>
      <c r="C1206" s="21" t="s">
        <v>344</v>
      </c>
      <c r="D1206" s="62">
        <v>5.0</v>
      </c>
      <c r="E1206" s="27">
        <v>3.0</v>
      </c>
      <c r="F1206" s="27" t="s">
        <v>1909</v>
      </c>
      <c r="G1206" s="201" t="s">
        <v>57</v>
      </c>
      <c r="H1206" s="27" t="s">
        <v>178</v>
      </c>
      <c r="I1206" s="27"/>
      <c r="J1206" s="33">
        <v>7.0</v>
      </c>
      <c r="K1206" s="33">
        <v>7.5</v>
      </c>
      <c r="L1206" s="66">
        <v>56.5</v>
      </c>
      <c r="M1206" s="27" t="s">
        <v>1696</v>
      </c>
      <c r="N1206" s="27">
        <v>7.0</v>
      </c>
      <c r="O1206" s="27"/>
      <c r="P1206" s="27">
        <v>7.5</v>
      </c>
      <c r="Q1206" s="27"/>
      <c r="R1206" s="27">
        <v>7.0</v>
      </c>
      <c r="S1206" s="27"/>
      <c r="T1206" s="27">
        <v>7.5</v>
      </c>
      <c r="U1206" s="27"/>
      <c r="V1206" s="27">
        <v>7.0</v>
      </c>
      <c r="W1206" s="27"/>
      <c r="X1206" s="27">
        <v>7.0</v>
      </c>
      <c r="Y1206" s="27"/>
      <c r="Z1206" s="27">
        <v>7.5</v>
      </c>
      <c r="AA1206" s="27"/>
      <c r="AB1206" s="27">
        <v>7.5</v>
      </c>
      <c r="AC1206" s="27"/>
      <c r="AD1206" s="27" t="s">
        <v>1091</v>
      </c>
      <c r="AE1206" s="27" t="s">
        <v>1091</v>
      </c>
      <c r="AF1206" s="27" t="s">
        <v>1091</v>
      </c>
      <c r="AG1206" s="27" t="s">
        <v>1091</v>
      </c>
      <c r="AH1206" s="27">
        <v>247.0</v>
      </c>
      <c r="AI1206" s="27">
        <v>198.0</v>
      </c>
      <c r="AJ1206" s="27">
        <v>2.0</v>
      </c>
      <c r="AK1206" s="27" t="b">
        <v>0</v>
      </c>
      <c r="AL1206" s="27">
        <v>100.0</v>
      </c>
      <c r="AM1206" s="27" t="s">
        <v>190</v>
      </c>
      <c r="AN1206" s="27" t="s">
        <v>405</v>
      </c>
      <c r="AO1206" s="27"/>
    </row>
    <row r="1207">
      <c r="A1207" s="200">
        <v>44859.02510291667</v>
      </c>
      <c r="B1207" s="19"/>
      <c r="C1207" s="21"/>
      <c r="D1207" s="62"/>
      <c r="E1207" s="27"/>
      <c r="F1207" s="27"/>
      <c r="G1207" s="201"/>
      <c r="H1207" s="27"/>
      <c r="I1207" s="27"/>
      <c r="J1207" s="33"/>
      <c r="K1207" s="33"/>
      <c r="L1207" s="66"/>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t="e">
        <v>#N/A</v>
      </c>
      <c r="AN1207" s="27" t="e">
        <v>#N/A</v>
      </c>
      <c r="AO1207" s="27"/>
    </row>
    <row r="1208">
      <c r="A1208" s="200">
        <v>44859.02510291667</v>
      </c>
      <c r="B1208" s="19" t="s">
        <v>144</v>
      </c>
      <c r="C1208" s="21" t="s">
        <v>346</v>
      </c>
      <c r="D1208" s="62">
        <v>4.0</v>
      </c>
      <c r="E1208" s="27">
        <v>3.0</v>
      </c>
      <c r="F1208" s="27"/>
      <c r="G1208" s="201"/>
      <c r="H1208" s="27"/>
      <c r="I1208" s="27" t="s">
        <v>66</v>
      </c>
      <c r="J1208" s="33"/>
      <c r="K1208" s="33"/>
      <c r="L1208" s="66"/>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v>220.0</v>
      </c>
      <c r="AI1208" s="27">
        <v>197.0</v>
      </c>
      <c r="AJ1208" s="27">
        <v>0.0</v>
      </c>
      <c r="AK1208" s="27" t="b">
        <v>1</v>
      </c>
      <c r="AL1208" s="27">
        <v>59.0</v>
      </c>
      <c r="AM1208" s="27" t="s">
        <v>192</v>
      </c>
      <c r="AN1208" s="27" t="s">
        <v>404</v>
      </c>
      <c r="AO1208" s="27"/>
    </row>
    <row r="1209">
      <c r="A1209" s="200">
        <v>44859.02510291667</v>
      </c>
      <c r="B1209" s="19" t="s">
        <v>144</v>
      </c>
      <c r="C1209" s="21" t="s">
        <v>300</v>
      </c>
      <c r="D1209" s="62">
        <v>6.0</v>
      </c>
      <c r="E1209" s="27">
        <v>1.0</v>
      </c>
      <c r="F1209" s="27"/>
      <c r="G1209" s="201"/>
      <c r="H1209" s="27"/>
      <c r="I1209" s="27" t="s">
        <v>159</v>
      </c>
      <c r="J1209" s="33"/>
      <c r="K1209" s="33"/>
      <c r="L1209" s="66"/>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v>231.0</v>
      </c>
      <c r="AI1209" s="27">
        <v>205.0</v>
      </c>
      <c r="AJ1209" s="27">
        <v>0.0</v>
      </c>
      <c r="AK1209" s="27" t="b">
        <v>1</v>
      </c>
      <c r="AL1209" s="27">
        <v>59.0</v>
      </c>
      <c r="AM1209" s="27" t="s">
        <v>193</v>
      </c>
      <c r="AN1209" s="27" t="s">
        <v>405</v>
      </c>
      <c r="AO1209" s="27"/>
    </row>
    <row r="1210">
      <c r="A1210" s="200">
        <v>44859.02510291667</v>
      </c>
      <c r="B1210" s="19" t="s">
        <v>144</v>
      </c>
      <c r="C1210" s="21" t="s">
        <v>321</v>
      </c>
      <c r="D1210" s="62">
        <v>6.0</v>
      </c>
      <c r="E1210" s="27">
        <v>1.0</v>
      </c>
      <c r="F1210" s="27"/>
      <c r="G1210" s="201"/>
      <c r="H1210" s="27"/>
      <c r="I1210" s="27" t="s">
        <v>58</v>
      </c>
      <c r="J1210" s="33"/>
      <c r="K1210" s="33"/>
      <c r="L1210" s="66"/>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v>182.0</v>
      </c>
      <c r="AI1210" s="27">
        <v>62.0</v>
      </c>
      <c r="AJ1210" s="27">
        <v>0.0</v>
      </c>
      <c r="AK1210" s="27" t="b">
        <v>1</v>
      </c>
      <c r="AL1210" s="27">
        <v>59.0</v>
      </c>
      <c r="AM1210" s="27" t="s">
        <v>188</v>
      </c>
      <c r="AN1210" s="27" t="s">
        <v>404</v>
      </c>
      <c r="AO1210" s="27"/>
    </row>
    <row r="1211">
      <c r="A1211" s="200">
        <v>44859.02510291667</v>
      </c>
      <c r="B1211" s="19" t="s">
        <v>144</v>
      </c>
      <c r="C1211" s="21" t="s">
        <v>342</v>
      </c>
      <c r="D1211" s="62">
        <v>1.0</v>
      </c>
      <c r="E1211" s="27">
        <v>6.0</v>
      </c>
      <c r="F1211" s="27" t="s">
        <v>1912</v>
      </c>
      <c r="G1211" s="201" t="s">
        <v>57</v>
      </c>
      <c r="H1211" s="27" t="s">
        <v>59</v>
      </c>
      <c r="I1211" s="27"/>
      <c r="J1211" s="33">
        <v>23.0</v>
      </c>
      <c r="K1211" s="33">
        <v>23.0</v>
      </c>
      <c r="L1211" s="66">
        <v>47.5</v>
      </c>
      <c r="M1211" s="27" t="s">
        <v>1913</v>
      </c>
      <c r="N1211" s="27">
        <v>22.5</v>
      </c>
      <c r="O1211" s="27"/>
      <c r="P1211" s="27">
        <v>23.0</v>
      </c>
      <c r="Q1211" s="27"/>
      <c r="R1211" s="27">
        <v>23.0</v>
      </c>
      <c r="S1211" s="27"/>
      <c r="T1211" s="27">
        <v>23.0</v>
      </c>
      <c r="U1211" s="27"/>
      <c r="V1211" s="27">
        <v>23.0</v>
      </c>
      <c r="W1211" s="27"/>
      <c r="X1211" s="27">
        <v>23.0</v>
      </c>
      <c r="Y1211" s="27"/>
      <c r="Z1211" s="27">
        <v>23.0</v>
      </c>
      <c r="AA1211" s="27"/>
      <c r="AB1211" s="27">
        <v>23.0</v>
      </c>
      <c r="AC1211" s="27"/>
      <c r="AD1211" s="27">
        <v>23.0</v>
      </c>
      <c r="AE1211" s="27" t="s">
        <v>1091</v>
      </c>
      <c r="AF1211" s="27" t="s">
        <v>1091</v>
      </c>
      <c r="AG1211" s="27" t="s">
        <v>1091</v>
      </c>
      <c r="AH1211" s="27">
        <v>96.0</v>
      </c>
      <c r="AI1211" s="27">
        <v>271.0</v>
      </c>
      <c r="AJ1211" s="27">
        <v>2.0</v>
      </c>
      <c r="AK1211" s="27" t="b">
        <v>1</v>
      </c>
      <c r="AL1211" s="27">
        <v>100.0</v>
      </c>
      <c r="AM1211" s="27" t="s">
        <v>191</v>
      </c>
      <c r="AN1211" s="27" t="s">
        <v>404</v>
      </c>
      <c r="AO1211" s="27"/>
    </row>
    <row r="1212">
      <c r="A1212" s="200">
        <v>44859.02510291667</v>
      </c>
      <c r="B1212" s="19" t="s">
        <v>144</v>
      </c>
      <c r="C1212" s="21" t="s">
        <v>325</v>
      </c>
      <c r="D1212" s="62">
        <v>5.0</v>
      </c>
      <c r="E1212" s="27">
        <v>3.0</v>
      </c>
      <c r="F1212" s="27" t="s">
        <v>1939</v>
      </c>
      <c r="G1212" s="201" t="s">
        <v>57</v>
      </c>
      <c r="H1212" s="27" t="s">
        <v>148</v>
      </c>
      <c r="I1212" s="27"/>
      <c r="J1212" s="33">
        <v>5.0</v>
      </c>
      <c r="K1212" s="33">
        <v>5.5</v>
      </c>
      <c r="L1212" s="66">
        <v>63.5</v>
      </c>
      <c r="M1212" s="27" t="s">
        <v>1708</v>
      </c>
      <c r="N1212" s="27">
        <v>5.5</v>
      </c>
      <c r="O1212" s="27"/>
      <c r="P1212" s="27">
        <v>5.5</v>
      </c>
      <c r="Q1212" s="27"/>
      <c r="R1212" s="27">
        <v>5.5</v>
      </c>
      <c r="S1212" s="27"/>
      <c r="T1212" s="27">
        <v>5.5</v>
      </c>
      <c r="U1212" s="27"/>
      <c r="V1212" s="27">
        <v>5.5</v>
      </c>
      <c r="W1212" s="27"/>
      <c r="X1212" s="27">
        <v>6.0</v>
      </c>
      <c r="Y1212" s="27"/>
      <c r="Z1212" s="27">
        <v>5.5</v>
      </c>
      <c r="AA1212" s="27"/>
      <c r="AB1212" s="27">
        <v>5.5</v>
      </c>
      <c r="AC1212" s="27"/>
      <c r="AD1212" s="27">
        <v>5.5</v>
      </c>
      <c r="AE1212" s="27"/>
      <c r="AF1212" s="27" t="s">
        <v>1091</v>
      </c>
      <c r="AG1212" s="27" t="s">
        <v>1091</v>
      </c>
      <c r="AH1212" s="27">
        <v>266.0</v>
      </c>
      <c r="AI1212" s="27">
        <v>185.0</v>
      </c>
      <c r="AJ1212" s="27">
        <v>2.0</v>
      </c>
      <c r="AK1212" s="27" t="b">
        <v>0</v>
      </c>
      <c r="AL1212" s="27">
        <v>100.0</v>
      </c>
      <c r="AM1212" s="27" t="s">
        <v>389</v>
      </c>
      <c r="AN1212" s="27" t="s">
        <v>405</v>
      </c>
      <c r="AO1212" s="27"/>
    </row>
    <row r="1213">
      <c r="A1213" s="200">
        <v>44859.02510291667</v>
      </c>
      <c r="B1213" s="19" t="s">
        <v>144</v>
      </c>
      <c r="C1213" s="21" t="s">
        <v>345</v>
      </c>
      <c r="D1213" s="62">
        <v>3.0</v>
      </c>
      <c r="E1213" s="27">
        <v>4.0</v>
      </c>
      <c r="F1213" s="27" t="s">
        <v>1904</v>
      </c>
      <c r="G1213" s="201" t="s">
        <v>57</v>
      </c>
      <c r="H1213" s="27" t="s">
        <v>178</v>
      </c>
      <c r="I1213" s="27"/>
      <c r="J1213" s="33">
        <v>-13.0</v>
      </c>
      <c r="K1213" s="33">
        <v>-9.5</v>
      </c>
      <c r="L1213" s="66">
        <v>40.0</v>
      </c>
      <c r="M1213" s="27" t="s">
        <v>1584</v>
      </c>
      <c r="N1213" s="27">
        <v>-9.5</v>
      </c>
      <c r="O1213" s="27"/>
      <c r="P1213" s="27">
        <v>-9.5</v>
      </c>
      <c r="Q1213" s="27"/>
      <c r="R1213" s="27">
        <v>-9.5</v>
      </c>
      <c r="S1213" s="27"/>
      <c r="T1213" s="27">
        <v>-9.5</v>
      </c>
      <c r="U1213" s="27"/>
      <c r="V1213" s="27">
        <v>-9.5</v>
      </c>
      <c r="W1213" s="27"/>
      <c r="X1213" s="27">
        <v>-9.5</v>
      </c>
      <c r="Y1213" s="27"/>
      <c r="Z1213" s="27">
        <v>-9.5</v>
      </c>
      <c r="AA1213" s="27" t="s">
        <v>1091</v>
      </c>
      <c r="AB1213" s="27">
        <v>-9.5</v>
      </c>
      <c r="AC1213" s="27" t="s">
        <v>1091</v>
      </c>
      <c r="AD1213" s="27">
        <v>-9.5</v>
      </c>
      <c r="AE1213" s="27" t="s">
        <v>1091</v>
      </c>
      <c r="AF1213" s="27" t="s">
        <v>1091</v>
      </c>
      <c r="AG1213" s="27" t="s">
        <v>1091</v>
      </c>
      <c r="AH1213" s="27">
        <v>176.0</v>
      </c>
      <c r="AI1213" s="27">
        <v>165.0</v>
      </c>
      <c r="AJ1213" s="27">
        <v>2.0</v>
      </c>
      <c r="AK1213" s="27" t="b">
        <v>1</v>
      </c>
      <c r="AL1213" s="27">
        <v>100.0</v>
      </c>
      <c r="AM1213" s="27" t="s">
        <v>129</v>
      </c>
      <c r="AN1213" s="27" t="s">
        <v>405</v>
      </c>
      <c r="AO1213" s="27"/>
    </row>
    <row r="1214">
      <c r="A1214" s="200">
        <v>44859.02510291667</v>
      </c>
      <c r="B1214" s="19" t="s">
        <v>144</v>
      </c>
      <c r="C1214" s="21" t="s">
        <v>338</v>
      </c>
      <c r="D1214" s="62">
        <v>4.0</v>
      </c>
      <c r="E1214" s="27">
        <v>3.0</v>
      </c>
      <c r="F1214" s="27" t="s">
        <v>1940</v>
      </c>
      <c r="G1214" s="201" t="s">
        <v>57</v>
      </c>
      <c r="H1214" s="27" t="s">
        <v>148</v>
      </c>
      <c r="I1214" s="27"/>
      <c r="J1214" s="33" t="s">
        <v>1091</v>
      </c>
      <c r="K1214" s="33" t="s">
        <v>1091</v>
      </c>
      <c r="L1214" s="26" t="s">
        <v>1091</v>
      </c>
      <c r="M1214" s="27" t="s">
        <v>1091</v>
      </c>
      <c r="N1214" s="27" t="s">
        <v>1091</v>
      </c>
      <c r="O1214" s="27" t="s">
        <v>1091</v>
      </c>
      <c r="P1214" s="27" t="s">
        <v>1091</v>
      </c>
      <c r="Q1214" s="27" t="s">
        <v>1091</v>
      </c>
      <c r="R1214" s="27" t="s">
        <v>1091</v>
      </c>
      <c r="S1214" s="27" t="s">
        <v>1091</v>
      </c>
      <c r="T1214" s="27" t="s">
        <v>1091</v>
      </c>
      <c r="U1214" s="27" t="s">
        <v>1091</v>
      </c>
      <c r="V1214" s="27" t="s">
        <v>1091</v>
      </c>
      <c r="W1214" s="27" t="s">
        <v>1091</v>
      </c>
      <c r="X1214" s="27" t="s">
        <v>1091</v>
      </c>
      <c r="Y1214" s="27" t="s">
        <v>1091</v>
      </c>
      <c r="Z1214" s="27" t="s">
        <v>1091</v>
      </c>
      <c r="AA1214" s="27" t="s">
        <v>1091</v>
      </c>
      <c r="AB1214" s="27" t="s">
        <v>1091</v>
      </c>
      <c r="AC1214" s="27" t="s">
        <v>1091</v>
      </c>
      <c r="AD1214" s="27" t="s">
        <v>1091</v>
      </c>
      <c r="AE1214" s="27" t="s">
        <v>1091</v>
      </c>
      <c r="AF1214" s="27" t="s">
        <v>1091</v>
      </c>
      <c r="AG1214" s="27" t="s">
        <v>1091</v>
      </c>
      <c r="AH1214" s="27">
        <v>175.0</v>
      </c>
      <c r="AI1214" s="27">
        <v>153.0</v>
      </c>
      <c r="AJ1214" s="27">
        <v>2.0</v>
      </c>
      <c r="AK1214" s="27" t="b">
        <v>1</v>
      </c>
      <c r="AL1214" s="27">
        <v>100.0</v>
      </c>
      <c r="AM1214" s="27" t="s">
        <v>189</v>
      </c>
      <c r="AN1214" s="27" t="s">
        <v>405</v>
      </c>
      <c r="AO1214" s="27"/>
    </row>
    <row r="1215">
      <c r="A1215" s="200">
        <v>44859.02510291667</v>
      </c>
      <c r="B1215" s="19" t="s">
        <v>144</v>
      </c>
      <c r="C1215" s="21" t="s">
        <v>371</v>
      </c>
      <c r="D1215" s="62">
        <v>3.0</v>
      </c>
      <c r="E1215" s="27">
        <v>4.0</v>
      </c>
      <c r="F1215" s="27" t="s">
        <v>1908</v>
      </c>
      <c r="G1215" s="201" t="s">
        <v>57</v>
      </c>
      <c r="H1215" s="27" t="s">
        <v>178</v>
      </c>
      <c r="I1215" s="27"/>
      <c r="J1215" s="33">
        <v>4.5</v>
      </c>
      <c r="K1215" s="33">
        <v>5.0</v>
      </c>
      <c r="L1215" s="66">
        <v>65.5</v>
      </c>
      <c r="M1215" s="27" t="s">
        <v>1163</v>
      </c>
      <c r="N1215" s="27">
        <v>5.5</v>
      </c>
      <c r="O1215" s="27"/>
      <c r="P1215" s="27">
        <v>5.0</v>
      </c>
      <c r="Q1215" s="27"/>
      <c r="R1215" s="27">
        <v>5.0</v>
      </c>
      <c r="S1215" s="27"/>
      <c r="T1215" s="27">
        <v>5.0</v>
      </c>
      <c r="U1215" s="27"/>
      <c r="V1215" s="27">
        <v>5.0</v>
      </c>
      <c r="W1215" s="27"/>
      <c r="X1215" s="27">
        <v>5.0</v>
      </c>
      <c r="Y1215" s="27"/>
      <c r="Z1215" s="27">
        <v>5.5</v>
      </c>
      <c r="AA1215" s="27"/>
      <c r="AB1215" s="27">
        <v>5.0</v>
      </c>
      <c r="AC1215" s="27"/>
      <c r="AD1215" s="27">
        <v>5.0</v>
      </c>
      <c r="AE1215" s="27"/>
      <c r="AF1215" s="27" t="s">
        <v>1091</v>
      </c>
      <c r="AG1215" s="27" t="s">
        <v>1091</v>
      </c>
      <c r="AH1215" s="27">
        <v>244.0</v>
      </c>
      <c r="AI1215" s="27">
        <v>236.0</v>
      </c>
      <c r="AJ1215" s="27">
        <v>2.0</v>
      </c>
      <c r="AK1215" s="27" t="b">
        <v>1</v>
      </c>
      <c r="AL1215" s="27">
        <v>100.0</v>
      </c>
      <c r="AM1215" s="27" t="s">
        <v>187</v>
      </c>
      <c r="AN1215" s="27" t="s">
        <v>404</v>
      </c>
      <c r="AO1215" s="27"/>
    </row>
    <row r="1216">
      <c r="A1216" s="200">
        <v>44859.02510291667</v>
      </c>
      <c r="B1216" s="19" t="s">
        <v>144</v>
      </c>
      <c r="C1216" s="21" t="s">
        <v>357</v>
      </c>
      <c r="D1216" s="62">
        <v>3.0</v>
      </c>
      <c r="E1216" s="27">
        <v>4.0</v>
      </c>
      <c r="F1216" s="27" t="s">
        <v>1941</v>
      </c>
      <c r="G1216" s="201" t="s">
        <v>57</v>
      </c>
      <c r="H1216" s="27"/>
      <c r="I1216" s="27"/>
      <c r="J1216" s="33">
        <v>-9.5</v>
      </c>
      <c r="K1216" s="33">
        <v>-10.0</v>
      </c>
      <c r="L1216" s="66">
        <v>58.5</v>
      </c>
      <c r="M1216" s="27" t="s">
        <v>1208</v>
      </c>
      <c r="N1216" s="27">
        <v>-10.0</v>
      </c>
      <c r="O1216" s="27"/>
      <c r="P1216" s="27">
        <v>-10.0</v>
      </c>
      <c r="Q1216" s="27"/>
      <c r="R1216" s="27">
        <v>-10.0</v>
      </c>
      <c r="S1216" s="27"/>
      <c r="T1216" s="27">
        <v>-10.0</v>
      </c>
      <c r="U1216" s="27"/>
      <c r="V1216" s="27">
        <v>-10.0</v>
      </c>
      <c r="W1216" s="27"/>
      <c r="X1216" s="27">
        <v>-10.0</v>
      </c>
      <c r="Y1216" s="27"/>
      <c r="Z1216" s="27">
        <v>-10.0</v>
      </c>
      <c r="AA1216" s="27"/>
      <c r="AB1216" s="27">
        <v>-10.0</v>
      </c>
      <c r="AC1216" s="27"/>
      <c r="AD1216" s="27">
        <v>-10.0</v>
      </c>
      <c r="AE1216" s="27"/>
      <c r="AF1216" s="27" t="s">
        <v>1091</v>
      </c>
      <c r="AG1216" s="27" t="s">
        <v>1091</v>
      </c>
      <c r="AH1216" s="27">
        <v>205.0</v>
      </c>
      <c r="AI1216" s="27">
        <v>168.0</v>
      </c>
      <c r="AJ1216" s="27">
        <v>2.0</v>
      </c>
      <c r="AK1216" s="27" t="b">
        <v>1</v>
      </c>
      <c r="AL1216" s="27">
        <v>100.0</v>
      </c>
      <c r="AM1216" s="27" t="s">
        <v>186</v>
      </c>
      <c r="AN1216" s="27" t="s">
        <v>404</v>
      </c>
      <c r="AO1216" s="27"/>
    </row>
    <row r="1217">
      <c r="A1217" s="200">
        <v>44859.02510291667</v>
      </c>
      <c r="B1217" s="19" t="s">
        <v>144</v>
      </c>
      <c r="C1217" s="21" t="s">
        <v>359</v>
      </c>
      <c r="D1217" s="62">
        <v>3.0</v>
      </c>
      <c r="E1217" s="27">
        <v>5.0</v>
      </c>
      <c r="F1217" s="27" t="s">
        <v>1933</v>
      </c>
      <c r="G1217" s="201" t="s">
        <v>57</v>
      </c>
      <c r="H1217" s="27" t="s">
        <v>141</v>
      </c>
      <c r="I1217" s="27"/>
      <c r="J1217" s="33">
        <v>-20.0</v>
      </c>
      <c r="K1217" s="33">
        <v>-15.5</v>
      </c>
      <c r="L1217" s="66">
        <v>65.0</v>
      </c>
      <c r="M1217" s="27" t="s">
        <v>1717</v>
      </c>
      <c r="N1217" s="27">
        <v>-15.5</v>
      </c>
      <c r="O1217" s="27"/>
      <c r="P1217" s="27">
        <v>-16.0</v>
      </c>
      <c r="Q1217" s="27"/>
      <c r="R1217" s="27">
        <v>-16.0</v>
      </c>
      <c r="S1217" s="27"/>
      <c r="T1217" s="27">
        <v>-15.5</v>
      </c>
      <c r="U1217" s="27"/>
      <c r="V1217" s="27">
        <v>-16.0</v>
      </c>
      <c r="W1217" s="27"/>
      <c r="X1217" s="27">
        <v>-16.0</v>
      </c>
      <c r="Y1217" s="27"/>
      <c r="Z1217" s="27">
        <v>-15.5</v>
      </c>
      <c r="AA1217" s="27"/>
      <c r="AB1217" s="27">
        <v>-15.5</v>
      </c>
      <c r="AC1217" s="27"/>
      <c r="AD1217" s="27" t="s">
        <v>1091</v>
      </c>
      <c r="AE1217" s="27" t="s">
        <v>1091</v>
      </c>
      <c r="AF1217" s="27" t="s">
        <v>1091</v>
      </c>
      <c r="AG1217" s="27" t="s">
        <v>1091</v>
      </c>
      <c r="AH1217" s="27">
        <v>227.0</v>
      </c>
      <c r="AI1217" s="27">
        <v>257.0</v>
      </c>
      <c r="AJ1217" s="27">
        <v>2.0</v>
      </c>
      <c r="AK1217" s="27" t="b">
        <v>0</v>
      </c>
      <c r="AL1217" s="27">
        <v>100.0</v>
      </c>
      <c r="AM1217" s="27" t="s">
        <v>190</v>
      </c>
      <c r="AN1217" s="27" t="s">
        <v>405</v>
      </c>
      <c r="AO1217" s="27"/>
    </row>
    <row r="1218">
      <c r="A1218" s="200">
        <v>44859.02510291667</v>
      </c>
      <c r="B1218" s="19"/>
      <c r="C1218" s="21"/>
      <c r="D1218" s="62"/>
      <c r="E1218" s="27"/>
      <c r="F1218" s="27"/>
      <c r="G1218" s="201"/>
      <c r="H1218" s="27"/>
      <c r="I1218" s="27"/>
      <c r="J1218" s="33"/>
      <c r="K1218" s="33"/>
      <c r="L1218" s="66"/>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t="e">
        <v>#N/A</v>
      </c>
      <c r="AN1218" s="27" t="e">
        <v>#N/A</v>
      </c>
      <c r="AO1218" s="27"/>
    </row>
    <row r="1219">
      <c r="A1219" s="200">
        <v>44859.02510291667</v>
      </c>
      <c r="B1219" s="19" t="s">
        <v>166</v>
      </c>
      <c r="C1219" s="21" t="s">
        <v>337</v>
      </c>
      <c r="D1219" s="62">
        <v>3.0</v>
      </c>
      <c r="E1219" s="27">
        <v>4.0</v>
      </c>
      <c r="F1219" s="27"/>
      <c r="G1219" s="201"/>
      <c r="H1219" s="27"/>
      <c r="I1219" s="27" t="s">
        <v>111</v>
      </c>
      <c r="J1219" s="33"/>
      <c r="K1219" s="33"/>
      <c r="L1219" s="66"/>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v>156.0</v>
      </c>
      <c r="AI1219" s="27">
        <v>198.0</v>
      </c>
      <c r="AJ1219" s="27">
        <v>0.0</v>
      </c>
      <c r="AK1219" s="27" t="b">
        <v>1</v>
      </c>
      <c r="AL1219" s="27">
        <v>59.0</v>
      </c>
      <c r="AM1219" s="27" t="s">
        <v>192</v>
      </c>
      <c r="AN1219" s="27" t="s">
        <v>404</v>
      </c>
      <c r="AO1219" s="27"/>
    </row>
    <row r="1220">
      <c r="A1220" s="200">
        <v>44859.02510291667</v>
      </c>
      <c r="B1220" s="19" t="s">
        <v>166</v>
      </c>
      <c r="C1220" s="21" t="s">
        <v>333</v>
      </c>
      <c r="D1220" s="62">
        <v>3.0</v>
      </c>
      <c r="E1220" s="27">
        <v>4.0</v>
      </c>
      <c r="F1220" s="27" t="s">
        <v>1942</v>
      </c>
      <c r="G1220" s="201" t="s">
        <v>57</v>
      </c>
      <c r="H1220" s="27" t="s">
        <v>148</v>
      </c>
      <c r="I1220" s="27"/>
      <c r="J1220" s="33">
        <v>9.5</v>
      </c>
      <c r="K1220" s="33">
        <v>7.5</v>
      </c>
      <c r="L1220" s="66">
        <v>54.0</v>
      </c>
      <c r="M1220" s="27" t="s">
        <v>1943</v>
      </c>
      <c r="N1220" s="27">
        <v>7.5</v>
      </c>
      <c r="O1220" s="27"/>
      <c r="P1220" s="27">
        <v>7.5</v>
      </c>
      <c r="Q1220" s="27"/>
      <c r="R1220" s="27">
        <v>7.5</v>
      </c>
      <c r="S1220" s="27"/>
      <c r="T1220" s="27">
        <v>8.0</v>
      </c>
      <c r="U1220" s="27"/>
      <c r="V1220" s="27">
        <v>7.5</v>
      </c>
      <c r="W1220" s="27"/>
      <c r="X1220" s="27">
        <v>7.5</v>
      </c>
      <c r="Y1220" s="27"/>
      <c r="Z1220" s="27">
        <v>7.5</v>
      </c>
      <c r="AA1220" s="27"/>
      <c r="AB1220" s="27">
        <v>8.0</v>
      </c>
      <c r="AC1220" s="27"/>
      <c r="AD1220" s="27">
        <v>8.0</v>
      </c>
      <c r="AE1220" s="27"/>
      <c r="AF1220" s="27" t="s">
        <v>1091</v>
      </c>
      <c r="AG1220" s="27" t="s">
        <v>1091</v>
      </c>
      <c r="AH1220" s="27">
        <v>163.0</v>
      </c>
      <c r="AI1220" s="27">
        <v>158.0</v>
      </c>
      <c r="AJ1220" s="27">
        <v>2.0</v>
      </c>
      <c r="AK1220" s="27" t="b">
        <v>1</v>
      </c>
      <c r="AL1220" s="27">
        <v>100.0</v>
      </c>
      <c r="AM1220" s="27" t="s">
        <v>191</v>
      </c>
      <c r="AN1220" s="27" t="s">
        <v>404</v>
      </c>
      <c r="AO1220" s="27"/>
    </row>
    <row r="1221">
      <c r="A1221" s="200">
        <v>44859.02510291667</v>
      </c>
      <c r="B1221" s="19" t="s">
        <v>166</v>
      </c>
      <c r="C1221" s="21" t="s">
        <v>370</v>
      </c>
      <c r="D1221" s="62">
        <v>4.0</v>
      </c>
      <c r="E1221" s="27">
        <v>3.0</v>
      </c>
      <c r="F1221" s="27" t="s">
        <v>1931</v>
      </c>
      <c r="G1221" s="201" t="s">
        <v>57</v>
      </c>
      <c r="H1221" s="27" t="s">
        <v>141</v>
      </c>
      <c r="I1221" s="27"/>
      <c r="J1221" s="33">
        <v>1.0</v>
      </c>
      <c r="K1221" s="33">
        <v>1.5</v>
      </c>
      <c r="L1221" s="66">
        <v>55.0</v>
      </c>
      <c r="M1221" s="27" t="s">
        <v>1417</v>
      </c>
      <c r="N1221" s="27">
        <v>1.5</v>
      </c>
      <c r="O1221" s="27"/>
      <c r="P1221" s="27">
        <v>1.5</v>
      </c>
      <c r="Q1221" s="27"/>
      <c r="R1221" s="27">
        <v>1.5</v>
      </c>
      <c r="S1221" s="27"/>
      <c r="T1221" s="27">
        <v>1.5</v>
      </c>
      <c r="U1221" s="27"/>
      <c r="V1221" s="27">
        <v>1.5</v>
      </c>
      <c r="W1221" s="27"/>
      <c r="X1221" s="27">
        <v>1.5</v>
      </c>
      <c r="Y1221" s="27"/>
      <c r="Z1221" s="27" t="s">
        <v>1091</v>
      </c>
      <c r="AA1221" s="27" t="s">
        <v>1091</v>
      </c>
      <c r="AB1221" s="27" t="s">
        <v>1091</v>
      </c>
      <c r="AC1221" s="27" t="s">
        <v>1091</v>
      </c>
      <c r="AD1221" s="27" t="s">
        <v>1091</v>
      </c>
      <c r="AE1221" s="27" t="s">
        <v>1091</v>
      </c>
      <c r="AF1221" s="27" t="s">
        <v>1091</v>
      </c>
      <c r="AG1221" s="27" t="s">
        <v>1091</v>
      </c>
      <c r="AH1221" s="27">
        <v>220.0</v>
      </c>
      <c r="AI1221" s="27">
        <v>181.0</v>
      </c>
      <c r="AJ1221" s="27">
        <v>2.0</v>
      </c>
      <c r="AK1221" s="27" t="b">
        <v>0</v>
      </c>
      <c r="AL1221" s="27">
        <v>100.0</v>
      </c>
      <c r="AM1221" s="27" t="s">
        <v>186</v>
      </c>
      <c r="AN1221" s="27" t="s">
        <v>404</v>
      </c>
      <c r="AO1221" s="27"/>
    </row>
    <row r="1222">
      <c r="A1222" s="200">
        <v>44859.02510291667</v>
      </c>
      <c r="B1222" s="19" t="s">
        <v>166</v>
      </c>
      <c r="C1222" s="21" t="s">
        <v>364</v>
      </c>
      <c r="D1222" s="62">
        <v>5.0</v>
      </c>
      <c r="E1222" s="27">
        <v>3.0</v>
      </c>
      <c r="F1222" s="27" t="s">
        <v>1944</v>
      </c>
      <c r="G1222" s="201" t="s">
        <v>57</v>
      </c>
      <c r="H1222" s="27" t="s">
        <v>116</v>
      </c>
      <c r="I1222" s="27"/>
      <c r="J1222" s="33">
        <v>-1.0</v>
      </c>
      <c r="K1222" s="33">
        <v>-6.5</v>
      </c>
      <c r="L1222" s="66">
        <v>59.0</v>
      </c>
      <c r="M1222" s="27" t="s">
        <v>1945</v>
      </c>
      <c r="N1222" s="27">
        <v>-6.5</v>
      </c>
      <c r="O1222" s="27"/>
      <c r="P1222" s="27">
        <v>-6.0</v>
      </c>
      <c r="Q1222" s="27"/>
      <c r="R1222" s="27">
        <v>-6.5</v>
      </c>
      <c r="S1222" s="27"/>
      <c r="T1222" s="27">
        <v>-6.5</v>
      </c>
      <c r="U1222" s="27"/>
      <c r="V1222" s="27">
        <v>-6.5</v>
      </c>
      <c r="W1222" s="27"/>
      <c r="X1222" s="27">
        <v>-6.5</v>
      </c>
      <c r="Y1222" s="27"/>
      <c r="Z1222" s="27">
        <v>-6.5</v>
      </c>
      <c r="AA1222" s="27"/>
      <c r="AB1222" s="27">
        <v>-6.5</v>
      </c>
      <c r="AC1222" s="27"/>
      <c r="AD1222" s="27">
        <v>-6.5</v>
      </c>
      <c r="AE1222" s="27"/>
      <c r="AF1222" s="27" t="s">
        <v>1091</v>
      </c>
      <c r="AG1222" s="27" t="s">
        <v>1091</v>
      </c>
      <c r="AH1222" s="27">
        <v>291.0</v>
      </c>
      <c r="AI1222" s="27">
        <v>169.0</v>
      </c>
      <c r="AJ1222" s="27">
        <v>2.0</v>
      </c>
      <c r="AK1222" s="27" t="b">
        <v>0</v>
      </c>
      <c r="AL1222" s="27">
        <v>100.0</v>
      </c>
      <c r="AM1222" s="27" t="s">
        <v>187</v>
      </c>
      <c r="AN1222" s="27" t="s">
        <v>404</v>
      </c>
      <c r="AO1222" s="27"/>
    </row>
    <row r="1223">
      <c r="A1223" s="200">
        <v>44859.02510291667</v>
      </c>
      <c r="B1223" s="19" t="s">
        <v>166</v>
      </c>
      <c r="C1223" s="21" t="s">
        <v>351</v>
      </c>
      <c r="D1223" s="62">
        <v>2.0</v>
      </c>
      <c r="E1223" s="27">
        <v>6.0</v>
      </c>
      <c r="F1223" s="27" t="s">
        <v>1946</v>
      </c>
      <c r="G1223" s="201" t="s">
        <v>57</v>
      </c>
      <c r="H1223" s="27" t="s">
        <v>116</v>
      </c>
      <c r="I1223" s="27"/>
      <c r="J1223" s="33">
        <v>4.0</v>
      </c>
      <c r="K1223" s="33">
        <v>6.0</v>
      </c>
      <c r="L1223" s="66">
        <v>45.5</v>
      </c>
      <c r="M1223" s="27" t="s">
        <v>1218</v>
      </c>
      <c r="N1223" s="27">
        <v>6.0</v>
      </c>
      <c r="O1223" s="27"/>
      <c r="P1223" s="27">
        <v>6.0</v>
      </c>
      <c r="Q1223" s="27"/>
      <c r="R1223" s="27">
        <v>6.0</v>
      </c>
      <c r="S1223" s="27"/>
      <c r="T1223" s="27">
        <v>6.0</v>
      </c>
      <c r="U1223" s="27"/>
      <c r="V1223" s="27">
        <v>6.0</v>
      </c>
      <c r="W1223" s="27"/>
      <c r="X1223" s="27">
        <v>6.5</v>
      </c>
      <c r="Y1223" s="27"/>
      <c r="Z1223" s="27">
        <v>6.0</v>
      </c>
      <c r="AA1223" s="27"/>
      <c r="AB1223" s="27">
        <v>6.0</v>
      </c>
      <c r="AC1223" s="27"/>
      <c r="AD1223" s="27">
        <v>6.0</v>
      </c>
      <c r="AE1223" s="27"/>
      <c r="AF1223" s="27" t="s">
        <v>1091</v>
      </c>
      <c r="AG1223" s="27" t="s">
        <v>1091</v>
      </c>
      <c r="AH1223" s="27">
        <v>145.0</v>
      </c>
      <c r="AI1223" s="27">
        <v>276.0</v>
      </c>
      <c r="AJ1223" s="27">
        <v>2.0</v>
      </c>
      <c r="AK1223" s="27" t="b">
        <v>1</v>
      </c>
      <c r="AL1223" s="27">
        <v>100.0</v>
      </c>
      <c r="AM1223" s="27" t="s">
        <v>129</v>
      </c>
      <c r="AN1223" s="27" t="s">
        <v>405</v>
      </c>
      <c r="AO1223" s="27"/>
    </row>
    <row r="1224">
      <c r="A1224" s="200">
        <v>44859.02510291667</v>
      </c>
      <c r="B1224" s="19" t="s">
        <v>166</v>
      </c>
      <c r="C1224" s="21" t="s">
        <v>306</v>
      </c>
      <c r="D1224" s="62">
        <v>4.0</v>
      </c>
      <c r="E1224" s="27">
        <v>3.0</v>
      </c>
      <c r="F1224" s="27" t="s">
        <v>1947</v>
      </c>
      <c r="G1224" s="201" t="s">
        <v>57</v>
      </c>
      <c r="H1224" s="27" t="s">
        <v>116</v>
      </c>
      <c r="I1224" s="27"/>
      <c r="J1224" s="33">
        <v>11.0</v>
      </c>
      <c r="K1224" s="33">
        <v>9.5</v>
      </c>
      <c r="L1224" s="66">
        <v>48.5</v>
      </c>
      <c r="M1224" s="27" t="s">
        <v>1948</v>
      </c>
      <c r="N1224" s="27">
        <v>9.5</v>
      </c>
      <c r="O1224" s="27" t="s">
        <v>1091</v>
      </c>
      <c r="P1224" s="27">
        <v>9.5</v>
      </c>
      <c r="Q1224" s="27" t="s">
        <v>1091</v>
      </c>
      <c r="R1224" s="27">
        <v>12.5</v>
      </c>
      <c r="S1224" s="27" t="s">
        <v>1091</v>
      </c>
      <c r="T1224" s="27">
        <v>9.5</v>
      </c>
      <c r="U1224" s="27" t="s">
        <v>1091</v>
      </c>
      <c r="V1224" s="27">
        <v>9.5</v>
      </c>
      <c r="W1224" s="27" t="s">
        <v>1091</v>
      </c>
      <c r="X1224" s="27">
        <v>9.5</v>
      </c>
      <c r="Y1224" s="27" t="s">
        <v>1091</v>
      </c>
      <c r="Z1224" s="27">
        <v>9.5</v>
      </c>
      <c r="AA1224" s="27" t="s">
        <v>1091</v>
      </c>
      <c r="AB1224" s="27">
        <v>9.5</v>
      </c>
      <c r="AC1224" s="27" t="s">
        <v>1091</v>
      </c>
      <c r="AD1224" s="27">
        <v>9.5</v>
      </c>
      <c r="AE1224" s="27" t="s">
        <v>1091</v>
      </c>
      <c r="AF1224" s="27" t="s">
        <v>1091</v>
      </c>
      <c r="AG1224" s="27" t="s">
        <v>1091</v>
      </c>
      <c r="AH1224" s="27">
        <v>186.0</v>
      </c>
      <c r="AI1224" s="27">
        <v>116.0</v>
      </c>
      <c r="AJ1224" s="27">
        <v>2.0</v>
      </c>
      <c r="AK1224" s="27" t="b">
        <v>1</v>
      </c>
      <c r="AL1224" s="27">
        <v>100.0</v>
      </c>
      <c r="AM1224" s="27" t="s">
        <v>193</v>
      </c>
      <c r="AN1224" s="27" t="s">
        <v>405</v>
      </c>
      <c r="AO1224" s="27"/>
    </row>
    <row r="1225">
      <c r="A1225" s="200">
        <v>44859.02510291667</v>
      </c>
      <c r="B1225" s="19" t="s">
        <v>166</v>
      </c>
      <c r="C1225" s="21" t="s">
        <v>399</v>
      </c>
      <c r="D1225" s="62">
        <v>7.0</v>
      </c>
      <c r="E1225" s="27">
        <v>1.0</v>
      </c>
      <c r="F1225" s="27" t="s">
        <v>1932</v>
      </c>
      <c r="G1225" s="201" t="s">
        <v>57</v>
      </c>
      <c r="H1225" s="27" t="s">
        <v>141</v>
      </c>
      <c r="I1225" s="27"/>
      <c r="J1225" s="33">
        <v>6.5</v>
      </c>
      <c r="K1225" s="33">
        <v>7.0</v>
      </c>
      <c r="L1225" s="66">
        <v>58.0</v>
      </c>
      <c r="M1225" s="27" t="s">
        <v>1314</v>
      </c>
      <c r="N1225" s="27">
        <v>6.5</v>
      </c>
      <c r="O1225" s="27"/>
      <c r="P1225" s="27">
        <v>7.5</v>
      </c>
      <c r="Q1225" s="27"/>
      <c r="R1225" s="27">
        <v>7.0</v>
      </c>
      <c r="S1225" s="27"/>
      <c r="T1225" s="27">
        <v>7.0</v>
      </c>
      <c r="U1225" s="27"/>
      <c r="V1225" s="27">
        <v>7.0</v>
      </c>
      <c r="W1225" s="27"/>
      <c r="X1225" s="27">
        <v>7.0</v>
      </c>
      <c r="Y1225" s="27"/>
      <c r="Z1225" s="27">
        <v>7.0</v>
      </c>
      <c r="AA1225" s="27"/>
      <c r="AB1225" s="27">
        <v>7.0</v>
      </c>
      <c r="AC1225" s="27"/>
      <c r="AD1225" s="27">
        <v>7.0</v>
      </c>
      <c r="AE1225" s="27"/>
      <c r="AF1225" s="27" t="s">
        <v>1091</v>
      </c>
      <c r="AG1225" s="27" t="s">
        <v>1091</v>
      </c>
      <c r="AH1225" s="27">
        <v>249.0</v>
      </c>
      <c r="AI1225" s="27">
        <v>172.0</v>
      </c>
      <c r="AJ1225" s="27">
        <v>2.0</v>
      </c>
      <c r="AK1225" s="27" t="b">
        <v>0</v>
      </c>
      <c r="AL1225" s="27">
        <v>100.0</v>
      </c>
      <c r="AM1225" s="27" t="s">
        <v>190</v>
      </c>
      <c r="AN1225" s="27" t="s">
        <v>405</v>
      </c>
      <c r="AO1225" s="27"/>
    </row>
    <row r="1226">
      <c r="A1226" s="200">
        <v>44859.02510291667</v>
      </c>
      <c r="B1226" s="19" t="s">
        <v>166</v>
      </c>
      <c r="C1226" s="21" t="s">
        <v>327</v>
      </c>
      <c r="D1226" s="62">
        <v>3.0</v>
      </c>
      <c r="E1226" s="27">
        <v>5.0</v>
      </c>
      <c r="F1226" s="27" t="s">
        <v>1934</v>
      </c>
      <c r="G1226" s="201" t="s">
        <v>57</v>
      </c>
      <c r="H1226" s="27" t="s">
        <v>141</v>
      </c>
      <c r="I1226" s="27"/>
      <c r="J1226" s="33">
        <v>1.0</v>
      </c>
      <c r="K1226" s="33">
        <v>3.0</v>
      </c>
      <c r="L1226" s="66">
        <v>48.0</v>
      </c>
      <c r="M1226" s="27" t="s">
        <v>1935</v>
      </c>
      <c r="N1226" s="27">
        <v>3.0</v>
      </c>
      <c r="O1226" s="27"/>
      <c r="P1226" s="27">
        <v>3.0</v>
      </c>
      <c r="Q1226" s="27"/>
      <c r="R1226" s="27">
        <v>3.0</v>
      </c>
      <c r="S1226" s="27"/>
      <c r="T1226" s="27" t="s">
        <v>1091</v>
      </c>
      <c r="U1226" s="27" t="s">
        <v>1091</v>
      </c>
      <c r="V1226" s="27" t="s">
        <v>1091</v>
      </c>
      <c r="W1226" s="27" t="s">
        <v>1091</v>
      </c>
      <c r="X1226" s="27" t="s">
        <v>1091</v>
      </c>
      <c r="Y1226" s="27" t="s">
        <v>1091</v>
      </c>
      <c r="Z1226" s="27" t="s">
        <v>1091</v>
      </c>
      <c r="AA1226" s="27" t="s">
        <v>1091</v>
      </c>
      <c r="AB1226" s="27" t="s">
        <v>1091</v>
      </c>
      <c r="AC1226" s="27" t="s">
        <v>1091</v>
      </c>
      <c r="AD1226" s="27" t="s">
        <v>1091</v>
      </c>
      <c r="AE1226" s="27" t="s">
        <v>1091</v>
      </c>
      <c r="AF1226" s="27" t="s">
        <v>1091</v>
      </c>
      <c r="AG1226" s="27" t="s">
        <v>1091</v>
      </c>
      <c r="AH1226" s="27">
        <v>196.0</v>
      </c>
      <c r="AI1226" s="27">
        <v>245.0</v>
      </c>
      <c r="AJ1226" s="27">
        <v>2.0</v>
      </c>
      <c r="AK1226" s="27" t="b">
        <v>0</v>
      </c>
      <c r="AL1226" s="27">
        <v>100.0</v>
      </c>
      <c r="AM1226" s="27" t="s">
        <v>188</v>
      </c>
      <c r="AN1226" s="27" t="s">
        <v>404</v>
      </c>
      <c r="AO1226" s="27"/>
    </row>
    <row r="1227">
      <c r="A1227" s="200">
        <v>44859.02510291667</v>
      </c>
      <c r="B1227" s="19" t="s">
        <v>166</v>
      </c>
      <c r="C1227" s="21" t="s">
        <v>398</v>
      </c>
      <c r="D1227" s="62">
        <v>3.0</v>
      </c>
      <c r="E1227" s="27">
        <v>4.0</v>
      </c>
      <c r="F1227" s="27" t="s">
        <v>1897</v>
      </c>
      <c r="G1227" s="201" t="s">
        <v>57</v>
      </c>
      <c r="H1227" s="27" t="s">
        <v>131</v>
      </c>
      <c r="I1227" s="27"/>
      <c r="J1227" s="33">
        <v>-7.5</v>
      </c>
      <c r="K1227" s="33">
        <v>-6.5</v>
      </c>
      <c r="L1227" s="66">
        <v>56.0</v>
      </c>
      <c r="M1227" s="27" t="s">
        <v>1898</v>
      </c>
      <c r="N1227" s="27">
        <v>-6.5</v>
      </c>
      <c r="O1227" s="27"/>
      <c r="P1227" s="27">
        <v>-6.5</v>
      </c>
      <c r="Q1227" s="27"/>
      <c r="R1227" s="27">
        <v>-6.5</v>
      </c>
      <c r="S1227" s="27"/>
      <c r="T1227" s="27">
        <v>-6.5</v>
      </c>
      <c r="U1227" s="27"/>
      <c r="V1227" s="27">
        <v>-6.5</v>
      </c>
      <c r="W1227" s="27"/>
      <c r="X1227" s="27">
        <v>-6.5</v>
      </c>
      <c r="Y1227" s="27"/>
      <c r="Z1227" s="27">
        <v>-6.5</v>
      </c>
      <c r="AA1227" s="27"/>
      <c r="AB1227" s="27">
        <v>-6.5</v>
      </c>
      <c r="AC1227" s="27"/>
      <c r="AD1227" s="27">
        <v>-6.5</v>
      </c>
      <c r="AE1227" s="27"/>
      <c r="AF1227" s="27" t="s">
        <v>1091</v>
      </c>
      <c r="AG1227" s="27" t="s">
        <v>1091</v>
      </c>
      <c r="AH1227" s="27">
        <v>229.0</v>
      </c>
      <c r="AI1227" s="27">
        <v>206.0</v>
      </c>
      <c r="AJ1227" s="27">
        <v>2.0</v>
      </c>
      <c r="AK1227" s="27" t="b">
        <v>0</v>
      </c>
      <c r="AL1227" s="27">
        <v>100.0</v>
      </c>
      <c r="AM1227" s="27" t="s">
        <v>389</v>
      </c>
      <c r="AN1227" s="27" t="s">
        <v>405</v>
      </c>
      <c r="AO1227" s="27"/>
    </row>
    <row r="1228">
      <c r="A1228" s="200">
        <v>44859.02510291667</v>
      </c>
      <c r="B1228" s="19" t="s">
        <v>166</v>
      </c>
      <c r="C1228" s="21" t="s">
        <v>334</v>
      </c>
      <c r="D1228" s="62">
        <v>2.0</v>
      </c>
      <c r="E1228" s="27">
        <v>5.0</v>
      </c>
      <c r="F1228" s="27" t="s">
        <v>1949</v>
      </c>
      <c r="G1228" s="201" t="s">
        <v>183</v>
      </c>
      <c r="H1228" s="27" t="s">
        <v>116</v>
      </c>
      <c r="I1228" s="27"/>
      <c r="J1228" s="33" t="s">
        <v>1091</v>
      </c>
      <c r="K1228" s="33" t="s">
        <v>1091</v>
      </c>
      <c r="L1228" s="26" t="s">
        <v>1091</v>
      </c>
      <c r="M1228" s="27" t="s">
        <v>1091</v>
      </c>
      <c r="N1228" s="27" t="s">
        <v>1091</v>
      </c>
      <c r="O1228" s="27" t="s">
        <v>1091</v>
      </c>
      <c r="P1228" s="27" t="s">
        <v>1091</v>
      </c>
      <c r="Q1228" s="27" t="s">
        <v>1091</v>
      </c>
      <c r="R1228" s="27" t="s">
        <v>1091</v>
      </c>
      <c r="S1228" s="27" t="s">
        <v>1091</v>
      </c>
      <c r="T1228" s="27" t="s">
        <v>1091</v>
      </c>
      <c r="U1228" s="27" t="s">
        <v>1091</v>
      </c>
      <c r="V1228" s="27" t="s">
        <v>1091</v>
      </c>
      <c r="W1228" s="27" t="s">
        <v>1091</v>
      </c>
      <c r="X1228" s="27" t="s">
        <v>1091</v>
      </c>
      <c r="Y1228" s="27" t="s">
        <v>1091</v>
      </c>
      <c r="Z1228" s="27" t="s">
        <v>1091</v>
      </c>
      <c r="AA1228" s="27" t="s">
        <v>1091</v>
      </c>
      <c r="AB1228" s="27" t="s">
        <v>1091</v>
      </c>
      <c r="AC1228" s="27" t="s">
        <v>1091</v>
      </c>
      <c r="AD1228" s="27" t="s">
        <v>1091</v>
      </c>
      <c r="AE1228" s="27" t="s">
        <v>1091</v>
      </c>
      <c r="AF1228" s="27" t="s">
        <v>1091</v>
      </c>
      <c r="AG1228" s="27" t="s">
        <v>1091</v>
      </c>
      <c r="AH1228" s="27">
        <v>219.0</v>
      </c>
      <c r="AI1228" s="27">
        <v>275.0</v>
      </c>
      <c r="AJ1228" s="27">
        <v>2.0</v>
      </c>
      <c r="AK1228" s="27" t="b">
        <v>0</v>
      </c>
      <c r="AL1228" s="27">
        <v>100.0</v>
      </c>
      <c r="AM1228" s="27" t="s">
        <v>189</v>
      </c>
      <c r="AN1228" s="27" t="s">
        <v>405</v>
      </c>
      <c r="AO1228" s="27"/>
    </row>
    <row r="1229">
      <c r="A1229" s="200">
        <v>44859.02510291667</v>
      </c>
      <c r="B1229" s="19"/>
      <c r="C1229" s="21"/>
      <c r="D1229" s="62"/>
      <c r="E1229" s="27"/>
      <c r="F1229" s="27"/>
      <c r="G1229" s="201"/>
      <c r="H1229" s="27"/>
      <c r="I1229" s="27"/>
      <c r="J1229" s="33"/>
      <c r="K1229" s="33"/>
      <c r="L1229" s="66"/>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t="e">
        <v>#N/A</v>
      </c>
      <c r="AN1229" s="27" t="e">
        <v>#N/A</v>
      </c>
      <c r="AO1229" s="27"/>
    </row>
    <row r="1230">
      <c r="A1230" s="200">
        <v>44859.02510291667</v>
      </c>
      <c r="B1230" s="19" t="s">
        <v>116</v>
      </c>
      <c r="C1230" s="21" t="s">
        <v>369</v>
      </c>
      <c r="D1230" s="62">
        <v>6.0</v>
      </c>
      <c r="E1230" s="27">
        <v>1.0</v>
      </c>
      <c r="F1230" s="27"/>
      <c r="G1230" s="201"/>
      <c r="H1230" s="27"/>
      <c r="I1230" s="27" t="s">
        <v>93</v>
      </c>
      <c r="J1230" s="33"/>
      <c r="K1230" s="33"/>
      <c r="L1230" s="66"/>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v>283.0</v>
      </c>
      <c r="AI1230" s="27">
        <v>155.0</v>
      </c>
      <c r="AJ1230" s="27">
        <v>0.0</v>
      </c>
      <c r="AK1230" s="27" t="b">
        <v>1</v>
      </c>
      <c r="AL1230" s="27">
        <v>59.0</v>
      </c>
      <c r="AM1230" s="27" t="s">
        <v>191</v>
      </c>
      <c r="AN1230" s="27" t="s">
        <v>404</v>
      </c>
      <c r="AO1230" s="27"/>
    </row>
    <row r="1231">
      <c r="A1231" s="200">
        <v>44859.02510291667</v>
      </c>
      <c r="B1231" s="19" t="s">
        <v>116</v>
      </c>
      <c r="C1231" s="21" t="s">
        <v>313</v>
      </c>
      <c r="D1231" s="62">
        <v>7.0</v>
      </c>
      <c r="E1231" s="27">
        <v>0.0</v>
      </c>
      <c r="F1231" s="27"/>
      <c r="G1231" s="201"/>
      <c r="H1231" s="27"/>
      <c r="I1231" s="27" t="s">
        <v>66</v>
      </c>
      <c r="J1231" s="33"/>
      <c r="K1231" s="33"/>
      <c r="L1231" s="66"/>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v>292.0</v>
      </c>
      <c r="AI1231" s="27">
        <v>64.0</v>
      </c>
      <c r="AJ1231" s="27">
        <v>0.0</v>
      </c>
      <c r="AK1231" s="27" t="b">
        <v>1</v>
      </c>
      <c r="AL1231" s="27">
        <v>59.0</v>
      </c>
      <c r="AM1231" s="27" t="s">
        <v>192</v>
      </c>
      <c r="AN1231" s="27" t="s">
        <v>404</v>
      </c>
      <c r="AO1231" s="27"/>
    </row>
    <row r="1232">
      <c r="A1232" s="200">
        <v>44859.02510291667</v>
      </c>
      <c r="B1232" s="19" t="s">
        <v>116</v>
      </c>
      <c r="C1232" s="21" t="s">
        <v>354</v>
      </c>
      <c r="D1232" s="62">
        <v>6.0</v>
      </c>
      <c r="E1232" s="27">
        <v>1.0</v>
      </c>
      <c r="F1232" s="27" t="s">
        <v>1944</v>
      </c>
      <c r="G1232" s="201" t="s">
        <v>57</v>
      </c>
      <c r="H1232" s="27" t="s">
        <v>166</v>
      </c>
      <c r="I1232" s="27"/>
      <c r="J1232" s="33">
        <v>1.0</v>
      </c>
      <c r="K1232" s="33">
        <v>6.5</v>
      </c>
      <c r="L1232" s="66">
        <v>59.0</v>
      </c>
      <c r="M1232" s="27" t="s">
        <v>1945</v>
      </c>
      <c r="N1232" s="27">
        <v>6.5</v>
      </c>
      <c r="O1232" s="27"/>
      <c r="P1232" s="27">
        <v>6.0</v>
      </c>
      <c r="Q1232" s="27"/>
      <c r="R1232" s="27">
        <v>6.5</v>
      </c>
      <c r="S1232" s="27"/>
      <c r="T1232" s="27">
        <v>6.5</v>
      </c>
      <c r="U1232" s="27"/>
      <c r="V1232" s="27">
        <v>6.5</v>
      </c>
      <c r="W1232" s="27"/>
      <c r="X1232" s="27">
        <v>6.5</v>
      </c>
      <c r="Y1232" s="27"/>
      <c r="Z1232" s="27">
        <v>6.5</v>
      </c>
      <c r="AA1232" s="27"/>
      <c r="AB1232" s="27">
        <v>6.5</v>
      </c>
      <c r="AC1232" s="27"/>
      <c r="AD1232" s="27">
        <v>6.5</v>
      </c>
      <c r="AE1232" s="27"/>
      <c r="AF1232" s="27" t="s">
        <v>1091</v>
      </c>
      <c r="AG1232" s="27" t="s">
        <v>1091</v>
      </c>
      <c r="AH1232" s="27">
        <v>313.0</v>
      </c>
      <c r="AI1232" s="27">
        <v>201.0</v>
      </c>
      <c r="AJ1232" s="27">
        <v>2.0</v>
      </c>
      <c r="AK1232" s="27" t="b">
        <v>1</v>
      </c>
      <c r="AL1232" s="27">
        <v>100.0</v>
      </c>
      <c r="AM1232" s="27" t="s">
        <v>187</v>
      </c>
      <c r="AN1232" s="27" t="s">
        <v>404</v>
      </c>
      <c r="AO1232" s="27"/>
    </row>
    <row r="1233">
      <c r="A1233" s="200">
        <v>44859.02510291667</v>
      </c>
      <c r="B1233" s="19" t="s">
        <v>116</v>
      </c>
      <c r="C1233" s="21" t="s">
        <v>336</v>
      </c>
      <c r="D1233" s="62">
        <v>2.0</v>
      </c>
      <c r="E1233" s="27">
        <v>5.0</v>
      </c>
      <c r="F1233" s="27" t="s">
        <v>1946</v>
      </c>
      <c r="G1233" s="201" t="s">
        <v>57</v>
      </c>
      <c r="H1233" s="27" t="s">
        <v>166</v>
      </c>
      <c r="I1233" s="27"/>
      <c r="J1233" s="33">
        <v>-4.0</v>
      </c>
      <c r="K1233" s="33">
        <v>-6.0</v>
      </c>
      <c r="L1233" s="66">
        <v>45.5</v>
      </c>
      <c r="M1233" s="27" t="s">
        <v>1218</v>
      </c>
      <c r="N1233" s="27">
        <v>-6.0</v>
      </c>
      <c r="O1233" s="27"/>
      <c r="P1233" s="27">
        <v>-6.0</v>
      </c>
      <c r="Q1233" s="27"/>
      <c r="R1233" s="27">
        <v>-6.0</v>
      </c>
      <c r="S1233" s="27"/>
      <c r="T1233" s="27">
        <v>-6.0</v>
      </c>
      <c r="U1233" s="27"/>
      <c r="V1233" s="27">
        <v>-6.0</v>
      </c>
      <c r="W1233" s="27"/>
      <c r="X1233" s="27">
        <v>-6.5</v>
      </c>
      <c r="Y1233" s="27"/>
      <c r="Z1233" s="27">
        <v>-6.0</v>
      </c>
      <c r="AA1233" s="27"/>
      <c r="AB1233" s="27">
        <v>-6.0</v>
      </c>
      <c r="AC1233" s="27"/>
      <c r="AD1233" s="27">
        <v>-6.0</v>
      </c>
      <c r="AE1233" s="27"/>
      <c r="AF1233" s="27" t="s">
        <v>1091</v>
      </c>
      <c r="AG1233" s="27" t="s">
        <v>1091</v>
      </c>
      <c r="AH1233" s="27">
        <v>90.0</v>
      </c>
      <c r="AI1233" s="27">
        <v>208.0</v>
      </c>
      <c r="AJ1233" s="27">
        <v>2.0</v>
      </c>
      <c r="AK1233" s="27" t="b">
        <v>0</v>
      </c>
      <c r="AL1233" s="27">
        <v>100.0</v>
      </c>
      <c r="AM1233" s="27" t="s">
        <v>129</v>
      </c>
      <c r="AN1233" s="27" t="s">
        <v>405</v>
      </c>
      <c r="AO1233" s="27"/>
    </row>
    <row r="1234">
      <c r="A1234" s="200">
        <v>44859.02510291667</v>
      </c>
      <c r="B1234" s="19" t="s">
        <v>116</v>
      </c>
      <c r="C1234" s="21" t="s">
        <v>388</v>
      </c>
      <c r="D1234" s="62">
        <v>5.0</v>
      </c>
      <c r="E1234" s="27">
        <v>2.0</v>
      </c>
      <c r="F1234" s="27" t="s">
        <v>1947</v>
      </c>
      <c r="G1234" s="201" t="s">
        <v>57</v>
      </c>
      <c r="H1234" s="27" t="s">
        <v>166</v>
      </c>
      <c r="I1234" s="27"/>
      <c r="J1234" s="33">
        <v>-11.0</v>
      </c>
      <c r="K1234" s="33">
        <v>-9.5</v>
      </c>
      <c r="L1234" s="66">
        <v>48.5</v>
      </c>
      <c r="M1234" s="27" t="s">
        <v>1948</v>
      </c>
      <c r="N1234" s="27">
        <v>-9.5</v>
      </c>
      <c r="O1234" s="27"/>
      <c r="P1234" s="27">
        <v>-9.5</v>
      </c>
      <c r="Q1234" s="27"/>
      <c r="R1234" s="27">
        <v>-12.5</v>
      </c>
      <c r="S1234" s="27"/>
      <c r="T1234" s="27">
        <v>-9.5</v>
      </c>
      <c r="U1234" s="27"/>
      <c r="V1234" s="27">
        <v>-9.5</v>
      </c>
      <c r="W1234" s="27"/>
      <c r="X1234" s="27">
        <v>-9.5</v>
      </c>
      <c r="Y1234" s="27"/>
      <c r="Z1234" s="27">
        <v>-9.5</v>
      </c>
      <c r="AA1234" s="27"/>
      <c r="AB1234" s="27">
        <v>-9.5</v>
      </c>
      <c r="AC1234" s="27"/>
      <c r="AD1234" s="27">
        <v>-9.5</v>
      </c>
      <c r="AE1234" s="27"/>
      <c r="AF1234" s="27" t="s">
        <v>1091</v>
      </c>
      <c r="AG1234" s="27" t="s">
        <v>1091</v>
      </c>
      <c r="AH1234" s="27">
        <v>271.0</v>
      </c>
      <c r="AI1234" s="27">
        <v>146.0</v>
      </c>
      <c r="AJ1234" s="27">
        <v>2.0</v>
      </c>
      <c r="AK1234" s="27" t="b">
        <v>0</v>
      </c>
      <c r="AL1234" s="27">
        <v>100.0</v>
      </c>
      <c r="AM1234" s="27" t="s">
        <v>193</v>
      </c>
      <c r="AN1234" s="27" t="s">
        <v>405</v>
      </c>
      <c r="AO1234" s="27"/>
    </row>
    <row r="1235">
      <c r="A1235" s="200">
        <v>44859.02510291667</v>
      </c>
      <c r="B1235" s="19" t="s">
        <v>116</v>
      </c>
      <c r="C1235" s="21" t="s">
        <v>329</v>
      </c>
      <c r="D1235" s="62">
        <v>4.0</v>
      </c>
      <c r="E1235" s="27">
        <v>4.0</v>
      </c>
      <c r="F1235" s="27" t="s">
        <v>1950</v>
      </c>
      <c r="G1235" s="201" t="s">
        <v>57</v>
      </c>
      <c r="H1235" s="27" t="s">
        <v>103</v>
      </c>
      <c r="I1235" s="27"/>
      <c r="J1235" s="33">
        <v>-3.0</v>
      </c>
      <c r="K1235" s="33">
        <v>-2.5</v>
      </c>
      <c r="L1235" s="66">
        <v>58.5</v>
      </c>
      <c r="M1235" s="27" t="s">
        <v>1951</v>
      </c>
      <c r="N1235" s="27">
        <v>-2.5</v>
      </c>
      <c r="O1235" s="27"/>
      <c r="P1235" s="27">
        <v>-2.5</v>
      </c>
      <c r="Q1235" s="27"/>
      <c r="R1235" s="27">
        <v>-2.5</v>
      </c>
      <c r="S1235" s="27"/>
      <c r="T1235" s="27">
        <v>-2.5</v>
      </c>
      <c r="U1235" s="27"/>
      <c r="V1235" s="27">
        <v>-2.5</v>
      </c>
      <c r="W1235" s="27"/>
      <c r="X1235" s="27">
        <v>-2.5</v>
      </c>
      <c r="Y1235" s="27"/>
      <c r="Z1235" s="27">
        <v>-2.5</v>
      </c>
      <c r="AA1235" s="27"/>
      <c r="AB1235" s="27">
        <v>-2.5</v>
      </c>
      <c r="AC1235" s="27"/>
      <c r="AD1235" s="27" t="s">
        <v>1091</v>
      </c>
      <c r="AE1235" s="27" t="s">
        <v>1091</v>
      </c>
      <c r="AF1235" s="27" t="s">
        <v>1091</v>
      </c>
      <c r="AG1235" s="27" t="s">
        <v>1091</v>
      </c>
      <c r="AH1235" s="27">
        <v>196.0</v>
      </c>
      <c r="AI1235" s="27">
        <v>225.0</v>
      </c>
      <c r="AJ1235" s="27">
        <v>2.0</v>
      </c>
      <c r="AK1235" s="27" t="b">
        <v>0</v>
      </c>
      <c r="AL1235" s="27">
        <v>100.0</v>
      </c>
      <c r="AM1235" s="27" t="s">
        <v>190</v>
      </c>
      <c r="AN1235" s="27" t="s">
        <v>405</v>
      </c>
      <c r="AO1235" s="27"/>
    </row>
    <row r="1236">
      <c r="A1236" s="200">
        <v>44859.02510291667</v>
      </c>
      <c r="B1236" s="19" t="s">
        <v>116</v>
      </c>
      <c r="C1236" s="21" t="s">
        <v>332</v>
      </c>
      <c r="D1236" s="62">
        <v>3.0</v>
      </c>
      <c r="E1236" s="27">
        <v>4.0</v>
      </c>
      <c r="F1236" s="27" t="s">
        <v>1886</v>
      </c>
      <c r="G1236" s="201" t="s">
        <v>57</v>
      </c>
      <c r="H1236" s="27" t="s">
        <v>53</v>
      </c>
      <c r="I1236" s="27"/>
      <c r="J1236" s="33">
        <v>21.0</v>
      </c>
      <c r="K1236" s="33">
        <v>29.5</v>
      </c>
      <c r="L1236" s="66">
        <v>50.0</v>
      </c>
      <c r="M1236" s="27" t="s">
        <v>1507</v>
      </c>
      <c r="N1236" s="27">
        <v>30.5</v>
      </c>
      <c r="O1236" s="27"/>
      <c r="P1236" s="27">
        <v>30.0</v>
      </c>
      <c r="Q1236" s="27"/>
      <c r="R1236" s="27">
        <v>30.0</v>
      </c>
      <c r="S1236" s="27"/>
      <c r="T1236" s="27">
        <v>29.5</v>
      </c>
      <c r="U1236" s="27"/>
      <c r="V1236" s="27">
        <v>30.0</v>
      </c>
      <c r="W1236" s="27"/>
      <c r="X1236" s="27">
        <v>29.5</v>
      </c>
      <c r="Y1236" s="27"/>
      <c r="Z1236" s="27">
        <v>30.0</v>
      </c>
      <c r="AA1236" s="27"/>
      <c r="AB1236" s="27">
        <v>29.5</v>
      </c>
      <c r="AC1236" s="27"/>
      <c r="AD1236" s="27">
        <v>29.5</v>
      </c>
      <c r="AE1236" s="27"/>
      <c r="AF1236" s="27" t="s">
        <v>1091</v>
      </c>
      <c r="AG1236" s="27" t="s">
        <v>1091</v>
      </c>
      <c r="AH1236" s="27">
        <v>98.0</v>
      </c>
      <c r="AI1236" s="27">
        <v>113.0</v>
      </c>
      <c r="AJ1236" s="27">
        <v>2.0</v>
      </c>
      <c r="AK1236" s="27" t="b">
        <v>0</v>
      </c>
      <c r="AL1236" s="27">
        <v>100.0</v>
      </c>
      <c r="AM1236" s="27" t="s">
        <v>188</v>
      </c>
      <c r="AN1236" s="27" t="s">
        <v>404</v>
      </c>
      <c r="AO1236" s="27"/>
    </row>
    <row r="1237">
      <c r="A1237" s="200">
        <v>44859.02510291667</v>
      </c>
      <c r="B1237" s="19" t="s">
        <v>116</v>
      </c>
      <c r="C1237" s="21" t="s">
        <v>347</v>
      </c>
      <c r="D1237" s="62">
        <v>2.0</v>
      </c>
      <c r="E1237" s="27">
        <v>5.0</v>
      </c>
      <c r="F1237" s="27" t="s">
        <v>1952</v>
      </c>
      <c r="G1237" s="201" t="s">
        <v>57</v>
      </c>
      <c r="H1237" s="27" t="s">
        <v>154</v>
      </c>
      <c r="I1237" s="27"/>
      <c r="J1237" s="33">
        <v>2.5</v>
      </c>
      <c r="K1237" s="33">
        <v>3.0</v>
      </c>
      <c r="L1237" s="66">
        <v>50.5</v>
      </c>
      <c r="M1237" s="27" t="s">
        <v>1953</v>
      </c>
      <c r="N1237" s="27">
        <v>3.0</v>
      </c>
      <c r="O1237" s="27"/>
      <c r="P1237" s="27">
        <v>3.0</v>
      </c>
      <c r="Q1237" s="27"/>
      <c r="R1237" s="27">
        <v>3.0</v>
      </c>
      <c r="S1237" s="27"/>
      <c r="T1237" s="27">
        <v>3.0</v>
      </c>
      <c r="U1237" s="27"/>
      <c r="V1237" s="27">
        <v>3.0</v>
      </c>
      <c r="W1237" s="27"/>
      <c r="X1237" s="27">
        <v>3.0</v>
      </c>
      <c r="Y1237" s="27"/>
      <c r="Z1237" s="27">
        <v>3.0</v>
      </c>
      <c r="AA1237" s="27"/>
      <c r="AB1237" s="27">
        <v>3.0</v>
      </c>
      <c r="AC1237" s="27"/>
      <c r="AD1237" s="27">
        <v>3.0</v>
      </c>
      <c r="AE1237" s="27"/>
      <c r="AF1237" s="27" t="s">
        <v>1091</v>
      </c>
      <c r="AG1237" s="27" t="s">
        <v>1091</v>
      </c>
      <c r="AH1237" s="27">
        <v>160.0</v>
      </c>
      <c r="AI1237" s="27">
        <v>183.0</v>
      </c>
      <c r="AJ1237" s="27">
        <v>2.0</v>
      </c>
      <c r="AK1237" s="27" t="b">
        <v>0</v>
      </c>
      <c r="AL1237" s="27">
        <v>100.0</v>
      </c>
      <c r="AM1237" s="27" t="s">
        <v>389</v>
      </c>
      <c r="AN1237" s="27" t="s">
        <v>405</v>
      </c>
      <c r="AO1237" s="27"/>
    </row>
    <row r="1238">
      <c r="A1238" s="200">
        <v>44859.02510291667</v>
      </c>
      <c r="B1238" s="19" t="s">
        <v>116</v>
      </c>
      <c r="C1238" s="21" t="s">
        <v>348</v>
      </c>
      <c r="D1238" s="62">
        <v>3.0</v>
      </c>
      <c r="E1238" s="27">
        <v>4.0</v>
      </c>
      <c r="F1238" s="27" t="s">
        <v>1889</v>
      </c>
      <c r="G1238" s="201" t="s">
        <v>57</v>
      </c>
      <c r="H1238" s="27" t="s">
        <v>53</v>
      </c>
      <c r="I1238" s="27"/>
      <c r="J1238" s="33">
        <v>-3.5</v>
      </c>
      <c r="K1238" s="33">
        <v>-3.5</v>
      </c>
      <c r="L1238" s="66">
        <v>48.0</v>
      </c>
      <c r="M1238" s="27" t="s">
        <v>1781</v>
      </c>
      <c r="N1238" s="27">
        <v>-3.5</v>
      </c>
      <c r="O1238" s="27"/>
      <c r="P1238" s="27">
        <v>-3.5</v>
      </c>
      <c r="Q1238" s="27"/>
      <c r="R1238" s="27">
        <v>-3.5</v>
      </c>
      <c r="S1238" s="27"/>
      <c r="T1238" s="27">
        <v>-3.5</v>
      </c>
      <c r="U1238" s="27"/>
      <c r="V1238" s="27">
        <v>-3.5</v>
      </c>
      <c r="W1238" s="27"/>
      <c r="X1238" s="27">
        <v>-3.5</v>
      </c>
      <c r="Y1238" s="27"/>
      <c r="Z1238" s="27">
        <v>-3.5</v>
      </c>
      <c r="AA1238" s="27"/>
      <c r="AB1238" s="27">
        <v>-3.5</v>
      </c>
      <c r="AC1238" s="27"/>
      <c r="AD1238" s="27">
        <v>-3.5</v>
      </c>
      <c r="AE1238" s="27"/>
      <c r="AF1238" s="27" t="s">
        <v>1091</v>
      </c>
      <c r="AG1238" s="27" t="s">
        <v>1091</v>
      </c>
      <c r="AH1238" s="27">
        <v>113.0</v>
      </c>
      <c r="AI1238" s="27">
        <v>184.0</v>
      </c>
      <c r="AJ1238" s="27">
        <v>2.0</v>
      </c>
      <c r="AK1238" s="27" t="b">
        <v>1</v>
      </c>
      <c r="AL1238" s="27">
        <v>100.0</v>
      </c>
      <c r="AM1238" s="27" t="s">
        <v>186</v>
      </c>
      <c r="AN1238" s="27" t="s">
        <v>404</v>
      </c>
      <c r="AO1238" s="27"/>
    </row>
    <row r="1239">
      <c r="A1239" s="200">
        <v>44859.02510291667</v>
      </c>
      <c r="B1239" s="19" t="s">
        <v>116</v>
      </c>
      <c r="C1239" s="21" t="s">
        <v>355</v>
      </c>
      <c r="D1239" s="62">
        <v>4.0</v>
      </c>
      <c r="E1239" s="27">
        <v>3.0</v>
      </c>
      <c r="F1239" s="27" t="s">
        <v>1949</v>
      </c>
      <c r="G1239" s="201" t="s">
        <v>183</v>
      </c>
      <c r="H1239" s="27" t="s">
        <v>166</v>
      </c>
      <c r="I1239" s="27"/>
      <c r="J1239" s="33" t="s">
        <v>1091</v>
      </c>
      <c r="K1239" s="33" t="s">
        <v>1091</v>
      </c>
      <c r="L1239" s="26" t="s">
        <v>1091</v>
      </c>
      <c r="M1239" s="27" t="s">
        <v>1091</v>
      </c>
      <c r="N1239" s="27" t="s">
        <v>1091</v>
      </c>
      <c r="O1239" s="27" t="s">
        <v>1091</v>
      </c>
      <c r="P1239" s="27" t="s">
        <v>1091</v>
      </c>
      <c r="Q1239" s="27" t="s">
        <v>1091</v>
      </c>
      <c r="R1239" s="27" t="s">
        <v>1091</v>
      </c>
      <c r="S1239" s="27" t="s">
        <v>1091</v>
      </c>
      <c r="T1239" s="27" t="s">
        <v>1091</v>
      </c>
      <c r="U1239" s="27" t="s">
        <v>1091</v>
      </c>
      <c r="V1239" s="27" t="s">
        <v>1091</v>
      </c>
      <c r="W1239" s="27" t="s">
        <v>1091</v>
      </c>
      <c r="X1239" s="27" t="s">
        <v>1091</v>
      </c>
      <c r="Y1239" s="27" t="s">
        <v>1091</v>
      </c>
      <c r="Z1239" s="27" t="s">
        <v>1091</v>
      </c>
      <c r="AA1239" s="27" t="s">
        <v>1091</v>
      </c>
      <c r="AB1239" s="27" t="s">
        <v>1091</v>
      </c>
      <c r="AC1239" s="27" t="s">
        <v>1091</v>
      </c>
      <c r="AD1239" s="27" t="s">
        <v>1091</v>
      </c>
      <c r="AE1239" s="27" t="s">
        <v>1091</v>
      </c>
      <c r="AF1239" s="27" t="s">
        <v>1091</v>
      </c>
      <c r="AG1239" s="27" t="s">
        <v>1091</v>
      </c>
      <c r="AH1239" s="27">
        <v>210.0</v>
      </c>
      <c r="AI1239" s="27">
        <v>213.0</v>
      </c>
      <c r="AJ1239" s="27">
        <v>2.0</v>
      </c>
      <c r="AK1239" s="27" t="b">
        <v>1</v>
      </c>
      <c r="AL1239" s="27">
        <v>100.0</v>
      </c>
      <c r="AM1239" s="27" t="s">
        <v>189</v>
      </c>
      <c r="AN1239" s="27" t="s">
        <v>405</v>
      </c>
      <c r="AO1239" s="27"/>
    </row>
    <row r="1240">
      <c r="A1240" s="200">
        <v>44859.02510291667</v>
      </c>
      <c r="B1240" s="19"/>
      <c r="C1240" s="21"/>
      <c r="D1240" s="62"/>
      <c r="E1240" s="27"/>
      <c r="F1240" s="27"/>
      <c r="G1240" s="201"/>
      <c r="H1240" s="27"/>
      <c r="I1240" s="27"/>
      <c r="J1240" s="33"/>
      <c r="K1240" s="33"/>
      <c r="L1240" s="66"/>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t="e">
        <v>#N/A</v>
      </c>
      <c r="AN1240" s="27" t="e">
        <v>#N/A</v>
      </c>
      <c r="AO1240" s="27"/>
    </row>
    <row r="1241">
      <c r="A1241" s="200">
        <v>44859.02510291667</v>
      </c>
      <c r="B1241" s="19" t="s">
        <v>148</v>
      </c>
      <c r="C1241" s="21" t="s">
        <v>401</v>
      </c>
      <c r="D1241" s="62">
        <v>1.0</v>
      </c>
      <c r="E1241" s="27">
        <v>6.0</v>
      </c>
      <c r="F1241" s="27"/>
      <c r="G1241" s="201"/>
      <c r="H1241" s="27"/>
      <c r="I1241" s="27" t="s">
        <v>149</v>
      </c>
      <c r="J1241" s="33"/>
      <c r="K1241" s="33"/>
      <c r="L1241" s="66"/>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v>84.0</v>
      </c>
      <c r="AI1241" s="27">
        <v>224.0</v>
      </c>
      <c r="AJ1241" s="27">
        <v>0.0</v>
      </c>
      <c r="AK1241" s="27" t="b">
        <v>1</v>
      </c>
      <c r="AL1241" s="27">
        <v>59.0</v>
      </c>
      <c r="AM1241" s="27" t="s">
        <v>189</v>
      </c>
      <c r="AN1241" s="27" t="s">
        <v>405</v>
      </c>
      <c r="AO1241" s="27"/>
    </row>
    <row r="1242">
      <c r="A1242" s="200">
        <v>44859.02510291667</v>
      </c>
      <c r="B1242" s="19" t="s">
        <v>148</v>
      </c>
      <c r="C1242" s="21" t="s">
        <v>384</v>
      </c>
      <c r="D1242" s="62">
        <v>2.0</v>
      </c>
      <c r="E1242" s="27">
        <v>5.0</v>
      </c>
      <c r="F1242" s="27"/>
      <c r="G1242" s="201"/>
      <c r="H1242" s="27"/>
      <c r="I1242" s="27" t="s">
        <v>82</v>
      </c>
      <c r="J1242" s="33"/>
      <c r="K1242" s="33"/>
      <c r="L1242" s="66"/>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v>134.0</v>
      </c>
      <c r="AI1242" s="27">
        <v>176.0</v>
      </c>
      <c r="AJ1242" s="27">
        <v>0.0</v>
      </c>
      <c r="AK1242" s="27" t="b">
        <v>1</v>
      </c>
      <c r="AL1242" s="27">
        <v>59.0</v>
      </c>
      <c r="AM1242" s="27" t="s">
        <v>186</v>
      </c>
      <c r="AN1242" s="27" t="s">
        <v>404</v>
      </c>
      <c r="AO1242" s="27"/>
    </row>
    <row r="1243">
      <c r="A1243" s="200">
        <v>44859.02510291667</v>
      </c>
      <c r="B1243" s="19" t="s">
        <v>148</v>
      </c>
      <c r="C1243" s="21" t="s">
        <v>326</v>
      </c>
      <c r="D1243" s="62">
        <v>3.0</v>
      </c>
      <c r="E1243" s="27">
        <v>4.0</v>
      </c>
      <c r="F1243" s="27"/>
      <c r="G1243" s="201"/>
      <c r="H1243" s="27"/>
      <c r="I1243" s="27" t="s">
        <v>88</v>
      </c>
      <c r="J1243" s="33"/>
      <c r="K1243" s="33"/>
      <c r="L1243" s="66"/>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v>160.0</v>
      </c>
      <c r="AI1243" s="27">
        <v>106.0</v>
      </c>
      <c r="AJ1243" s="27">
        <v>0.0</v>
      </c>
      <c r="AK1243" s="27" t="b">
        <v>1</v>
      </c>
      <c r="AL1243" s="27">
        <v>59.0</v>
      </c>
      <c r="AM1243" s="27" t="s">
        <v>187</v>
      </c>
      <c r="AN1243" s="27" t="s">
        <v>404</v>
      </c>
      <c r="AO1243" s="27"/>
    </row>
    <row r="1244">
      <c r="A1244" s="200">
        <v>44859.02510291667</v>
      </c>
      <c r="B1244" s="19" t="s">
        <v>148</v>
      </c>
      <c r="C1244" s="21" t="s">
        <v>377</v>
      </c>
      <c r="D1244" s="62">
        <v>6.0</v>
      </c>
      <c r="E1244" s="27">
        <v>2.0</v>
      </c>
      <c r="F1244" s="27" t="s">
        <v>1942</v>
      </c>
      <c r="G1244" s="201" t="s">
        <v>57</v>
      </c>
      <c r="H1244" s="27" t="s">
        <v>166</v>
      </c>
      <c r="I1244" s="27"/>
      <c r="J1244" s="33">
        <v>-9.5</v>
      </c>
      <c r="K1244" s="33">
        <v>-7.5</v>
      </c>
      <c r="L1244" s="66">
        <v>54.0</v>
      </c>
      <c r="M1244" s="27" t="s">
        <v>1943</v>
      </c>
      <c r="N1244" s="27">
        <v>-7.5</v>
      </c>
      <c r="O1244" s="27"/>
      <c r="P1244" s="27">
        <v>-7.5</v>
      </c>
      <c r="Q1244" s="27"/>
      <c r="R1244" s="27">
        <v>-7.5</v>
      </c>
      <c r="S1244" s="27"/>
      <c r="T1244" s="27">
        <v>-8.0</v>
      </c>
      <c r="U1244" s="27"/>
      <c r="V1244" s="27">
        <v>-7.5</v>
      </c>
      <c r="W1244" s="27"/>
      <c r="X1244" s="27">
        <v>-7.5</v>
      </c>
      <c r="Y1244" s="27"/>
      <c r="Z1244" s="27">
        <v>-7.5</v>
      </c>
      <c r="AA1244" s="27"/>
      <c r="AB1244" s="27">
        <v>-8.0</v>
      </c>
      <c r="AC1244" s="27"/>
      <c r="AD1244" s="27">
        <v>-8.0</v>
      </c>
      <c r="AE1244" s="27"/>
      <c r="AF1244" s="27" t="s">
        <v>1091</v>
      </c>
      <c r="AG1244" s="27" t="s">
        <v>1091</v>
      </c>
      <c r="AH1244" s="27">
        <v>323.0</v>
      </c>
      <c r="AI1244" s="27">
        <v>221.0</v>
      </c>
      <c r="AJ1244" s="27">
        <v>2.0</v>
      </c>
      <c r="AK1244" s="27" t="b">
        <v>0</v>
      </c>
      <c r="AL1244" s="27">
        <v>100.0</v>
      </c>
      <c r="AM1244" s="27" t="s">
        <v>191</v>
      </c>
      <c r="AN1244" s="27" t="s">
        <v>404</v>
      </c>
      <c r="AO1244" s="27"/>
    </row>
    <row r="1245">
      <c r="A1245" s="200">
        <v>44859.02510291667</v>
      </c>
      <c r="B1245" s="19" t="s">
        <v>148</v>
      </c>
      <c r="C1245" s="21" t="s">
        <v>387</v>
      </c>
      <c r="D1245" s="62">
        <v>3.0</v>
      </c>
      <c r="E1245" s="27">
        <v>4.0</v>
      </c>
      <c r="F1245" s="27" t="s">
        <v>1954</v>
      </c>
      <c r="G1245" s="201" t="s">
        <v>57</v>
      </c>
      <c r="H1245" s="27" t="s">
        <v>154</v>
      </c>
      <c r="I1245" s="27"/>
      <c r="J1245" s="33">
        <v>-4.0</v>
      </c>
      <c r="K1245" s="33">
        <v>-3.0</v>
      </c>
      <c r="L1245" s="66">
        <v>45.0</v>
      </c>
      <c r="M1245" s="27" t="s">
        <v>1466</v>
      </c>
      <c r="N1245" s="27">
        <v>-3.0</v>
      </c>
      <c r="O1245" s="27"/>
      <c r="P1245" s="27">
        <v>-3.0</v>
      </c>
      <c r="Q1245" s="27"/>
      <c r="R1245" s="27">
        <v>-3.0</v>
      </c>
      <c r="S1245" s="27"/>
      <c r="T1245" s="27">
        <v>-3.0</v>
      </c>
      <c r="U1245" s="27"/>
      <c r="V1245" s="27">
        <v>-3.0</v>
      </c>
      <c r="W1245" s="27"/>
      <c r="X1245" s="27">
        <v>-3.0</v>
      </c>
      <c r="Y1245" s="27"/>
      <c r="Z1245" s="27">
        <v>-3.0</v>
      </c>
      <c r="AA1245" s="27"/>
      <c r="AB1245" s="27">
        <v>-3.0</v>
      </c>
      <c r="AC1245" s="27"/>
      <c r="AD1245" s="27">
        <v>-3.0</v>
      </c>
      <c r="AE1245" s="27"/>
      <c r="AF1245" s="27" t="s">
        <v>1091</v>
      </c>
      <c r="AG1245" s="27" t="s">
        <v>1091</v>
      </c>
      <c r="AH1245" s="27">
        <v>153.0</v>
      </c>
      <c r="AI1245" s="27">
        <v>143.0</v>
      </c>
      <c r="AJ1245" s="27">
        <v>2.0</v>
      </c>
      <c r="AK1245" s="27" t="b">
        <v>1</v>
      </c>
      <c r="AL1245" s="27">
        <v>100.0</v>
      </c>
      <c r="AM1245" s="27" t="s">
        <v>192</v>
      </c>
      <c r="AN1245" s="27" t="s">
        <v>404</v>
      </c>
      <c r="AO1245" s="27"/>
    </row>
    <row r="1246">
      <c r="A1246" s="200">
        <v>44859.02510291667</v>
      </c>
      <c r="B1246" s="19" t="s">
        <v>148</v>
      </c>
      <c r="C1246" s="21" t="s">
        <v>374</v>
      </c>
      <c r="D1246" s="62">
        <v>5.0</v>
      </c>
      <c r="E1246" s="27">
        <v>2.0</v>
      </c>
      <c r="F1246" s="27" t="s">
        <v>1939</v>
      </c>
      <c r="G1246" s="201" t="s">
        <v>57</v>
      </c>
      <c r="H1246" s="27" t="s">
        <v>144</v>
      </c>
      <c r="I1246" s="27"/>
      <c r="J1246" s="33">
        <v>-5.0</v>
      </c>
      <c r="K1246" s="33">
        <v>-5.5</v>
      </c>
      <c r="L1246" s="66">
        <v>63.5</v>
      </c>
      <c r="M1246" s="27" t="s">
        <v>1708</v>
      </c>
      <c r="N1246" s="27">
        <v>-5.5</v>
      </c>
      <c r="O1246" s="27"/>
      <c r="P1246" s="27">
        <v>-5.5</v>
      </c>
      <c r="Q1246" s="27"/>
      <c r="R1246" s="27">
        <v>-5.5</v>
      </c>
      <c r="S1246" s="27"/>
      <c r="T1246" s="27">
        <v>-5.5</v>
      </c>
      <c r="U1246" s="27"/>
      <c r="V1246" s="27">
        <v>-5.5</v>
      </c>
      <c r="W1246" s="27"/>
      <c r="X1246" s="27">
        <v>-6.0</v>
      </c>
      <c r="Y1246" s="27"/>
      <c r="Z1246" s="27">
        <v>-5.5</v>
      </c>
      <c r="AA1246" s="27"/>
      <c r="AB1246" s="27">
        <v>-5.5</v>
      </c>
      <c r="AC1246" s="27"/>
      <c r="AD1246" s="27">
        <v>-5.5</v>
      </c>
      <c r="AE1246" s="27"/>
      <c r="AF1246" s="27" t="s">
        <v>1091</v>
      </c>
      <c r="AG1246" s="27" t="s">
        <v>1091</v>
      </c>
      <c r="AH1246" s="27">
        <v>261.0</v>
      </c>
      <c r="AI1246" s="27">
        <v>120.0</v>
      </c>
      <c r="AJ1246" s="27">
        <v>2.0</v>
      </c>
      <c r="AK1246" s="27" t="b">
        <v>1</v>
      </c>
      <c r="AL1246" s="27">
        <v>100.0</v>
      </c>
      <c r="AM1246" s="27" t="s">
        <v>389</v>
      </c>
      <c r="AN1246" s="27" t="s">
        <v>405</v>
      </c>
      <c r="AO1246" s="27"/>
    </row>
    <row r="1247">
      <c r="A1247" s="200">
        <v>44859.02510291667</v>
      </c>
      <c r="B1247" s="19" t="s">
        <v>148</v>
      </c>
      <c r="C1247" s="21" t="s">
        <v>316</v>
      </c>
      <c r="D1247" s="62">
        <v>5.0</v>
      </c>
      <c r="E1247" s="27">
        <v>2.0</v>
      </c>
      <c r="F1247" s="27" t="s">
        <v>1955</v>
      </c>
      <c r="G1247" s="201" t="s">
        <v>57</v>
      </c>
      <c r="H1247" s="27" t="s">
        <v>103</v>
      </c>
      <c r="I1247" s="27"/>
      <c r="J1247" s="33">
        <v>1.0</v>
      </c>
      <c r="K1247" s="33">
        <v>2.0</v>
      </c>
      <c r="L1247" s="66">
        <v>46.0</v>
      </c>
      <c r="M1247" s="27" t="s">
        <v>1956</v>
      </c>
      <c r="N1247" s="27">
        <v>2.0</v>
      </c>
      <c r="O1247" s="27"/>
      <c r="P1247" s="27">
        <v>2.5</v>
      </c>
      <c r="Q1247" s="27"/>
      <c r="R1247" s="27">
        <v>2.5</v>
      </c>
      <c r="S1247" s="27"/>
      <c r="T1247" s="27">
        <v>2.0</v>
      </c>
      <c r="U1247" s="27"/>
      <c r="V1247" s="27">
        <v>2.5</v>
      </c>
      <c r="W1247" s="27"/>
      <c r="X1247" s="27">
        <v>2.5</v>
      </c>
      <c r="Y1247" s="27"/>
      <c r="Z1247" s="27">
        <v>2.5</v>
      </c>
      <c r="AA1247" s="27"/>
      <c r="AB1247" s="27">
        <v>2.0</v>
      </c>
      <c r="AC1247" s="27"/>
      <c r="AD1247" s="27">
        <v>2.0</v>
      </c>
      <c r="AE1247" s="27"/>
      <c r="AF1247" s="27" t="s">
        <v>1091</v>
      </c>
      <c r="AG1247" s="27" t="s">
        <v>1091</v>
      </c>
      <c r="AH1247" s="27">
        <v>182.0</v>
      </c>
      <c r="AI1247" s="27">
        <v>129.0</v>
      </c>
      <c r="AJ1247" s="27">
        <v>2.0</v>
      </c>
      <c r="AK1247" s="27" t="b">
        <v>1</v>
      </c>
      <c r="AL1247" s="27">
        <v>100.0</v>
      </c>
      <c r="AM1247" s="27" t="s">
        <v>129</v>
      </c>
      <c r="AN1247" s="27" t="s">
        <v>405</v>
      </c>
      <c r="AO1247" s="27"/>
    </row>
    <row r="1248">
      <c r="A1248" s="200">
        <v>44859.02510291667</v>
      </c>
      <c r="B1248" s="19" t="s">
        <v>148</v>
      </c>
      <c r="C1248" s="21" t="s">
        <v>380</v>
      </c>
      <c r="D1248" s="62">
        <v>3.0</v>
      </c>
      <c r="E1248" s="27">
        <v>5.0</v>
      </c>
      <c r="F1248" s="27" t="s">
        <v>1940</v>
      </c>
      <c r="G1248" s="201" t="s">
        <v>57</v>
      </c>
      <c r="H1248" s="27" t="s">
        <v>144</v>
      </c>
      <c r="I1248" s="27"/>
      <c r="J1248" s="33">
        <v>1.0</v>
      </c>
      <c r="K1248" s="33">
        <v>2.5</v>
      </c>
      <c r="L1248" s="66">
        <v>43.5</v>
      </c>
      <c r="M1248" s="27" t="s">
        <v>1957</v>
      </c>
      <c r="N1248" s="27">
        <v>2.5</v>
      </c>
      <c r="O1248" s="27"/>
      <c r="P1248" s="27">
        <v>2.5</v>
      </c>
      <c r="Q1248" s="27"/>
      <c r="R1248" s="27">
        <v>2.5</v>
      </c>
      <c r="S1248" s="27"/>
      <c r="T1248" s="27">
        <v>2.5</v>
      </c>
      <c r="U1248" s="27"/>
      <c r="V1248" s="27">
        <v>2.5</v>
      </c>
      <c r="W1248" s="27"/>
      <c r="X1248" s="27">
        <v>2.5</v>
      </c>
      <c r="Y1248" s="27"/>
      <c r="Z1248" s="27">
        <v>2.5</v>
      </c>
      <c r="AA1248" s="27"/>
      <c r="AB1248" s="27">
        <v>2.5</v>
      </c>
      <c r="AC1248" s="27"/>
      <c r="AD1248" s="27">
        <v>2.5</v>
      </c>
      <c r="AE1248" s="27"/>
      <c r="AF1248" s="27" t="s">
        <v>1091</v>
      </c>
      <c r="AG1248" s="27" t="s">
        <v>1091</v>
      </c>
      <c r="AH1248" s="27">
        <v>173.0</v>
      </c>
      <c r="AI1248" s="27">
        <v>193.0</v>
      </c>
      <c r="AJ1248" s="27">
        <v>2.0</v>
      </c>
      <c r="AK1248" s="27" t="b">
        <v>0</v>
      </c>
      <c r="AL1248" s="27">
        <v>100.0</v>
      </c>
      <c r="AM1248" s="27" t="s">
        <v>193</v>
      </c>
      <c r="AN1248" s="27" t="s">
        <v>405</v>
      </c>
      <c r="AO1248" s="27"/>
    </row>
    <row r="1249">
      <c r="A1249" s="200">
        <v>44859.02510291667</v>
      </c>
      <c r="B1249" s="19" t="s">
        <v>148</v>
      </c>
      <c r="C1249" s="21" t="s">
        <v>381</v>
      </c>
      <c r="D1249" s="62">
        <v>5.0</v>
      </c>
      <c r="E1249" s="27">
        <v>3.0</v>
      </c>
      <c r="F1249" s="27" t="s">
        <v>1891</v>
      </c>
      <c r="G1249" s="201" t="s">
        <v>57</v>
      </c>
      <c r="H1249" s="27" t="s">
        <v>131</v>
      </c>
      <c r="I1249" s="27"/>
      <c r="J1249" s="33">
        <v>2.0</v>
      </c>
      <c r="K1249" s="33">
        <v>1.5</v>
      </c>
      <c r="L1249" s="66">
        <v>51.5</v>
      </c>
      <c r="M1249" s="27" t="s">
        <v>1892</v>
      </c>
      <c r="N1249" s="27">
        <v>1.5</v>
      </c>
      <c r="O1249" s="27"/>
      <c r="P1249" s="27">
        <v>1.5</v>
      </c>
      <c r="Q1249" s="27"/>
      <c r="R1249" s="27">
        <v>1.5</v>
      </c>
      <c r="S1249" s="27"/>
      <c r="T1249" s="27">
        <v>1.5</v>
      </c>
      <c r="U1249" s="27"/>
      <c r="V1249" s="27">
        <v>1.5</v>
      </c>
      <c r="W1249" s="27"/>
      <c r="X1249" s="27">
        <v>1.5</v>
      </c>
      <c r="Y1249" s="27"/>
      <c r="Z1249" s="27">
        <v>1.5</v>
      </c>
      <c r="AA1249" s="27"/>
      <c r="AB1249" s="27">
        <v>1.5</v>
      </c>
      <c r="AC1249" s="27"/>
      <c r="AD1249" s="27">
        <v>1.5</v>
      </c>
      <c r="AE1249" s="27"/>
      <c r="AF1249" s="27" t="s">
        <v>1091</v>
      </c>
      <c r="AG1249" s="27" t="s">
        <v>1091</v>
      </c>
      <c r="AH1249" s="27">
        <v>262.0</v>
      </c>
      <c r="AI1249" s="27">
        <v>204.0</v>
      </c>
      <c r="AJ1249" s="27">
        <v>2.0</v>
      </c>
      <c r="AK1249" s="27" t="b">
        <v>0</v>
      </c>
      <c r="AL1249" s="27">
        <v>100.0</v>
      </c>
      <c r="AM1249" s="27" t="s">
        <v>188</v>
      </c>
      <c r="AN1249" s="27" t="s">
        <v>404</v>
      </c>
      <c r="AO1249" s="27"/>
    </row>
    <row r="1250">
      <c r="A1250" s="200">
        <v>44859.02510291667</v>
      </c>
      <c r="B1250" s="19" t="s">
        <v>148</v>
      </c>
      <c r="C1250" s="21" t="s">
        <v>335</v>
      </c>
      <c r="D1250" s="62">
        <v>4.0</v>
      </c>
      <c r="E1250" s="27">
        <v>4.0</v>
      </c>
      <c r="F1250" s="27" t="s">
        <v>1918</v>
      </c>
      <c r="G1250" s="201" t="s">
        <v>57</v>
      </c>
      <c r="H1250" s="27" t="s">
        <v>59</v>
      </c>
      <c r="I1250" s="27"/>
      <c r="J1250" s="33">
        <v>7.0</v>
      </c>
      <c r="K1250" s="33">
        <v>6.5</v>
      </c>
      <c r="L1250" s="66">
        <v>50.5</v>
      </c>
      <c r="M1250" s="27" t="s">
        <v>1919</v>
      </c>
      <c r="N1250" s="27">
        <v>6.5</v>
      </c>
      <c r="O1250" s="27"/>
      <c r="P1250" s="27">
        <v>6.0</v>
      </c>
      <c r="Q1250" s="27"/>
      <c r="R1250" s="27">
        <v>6.5</v>
      </c>
      <c r="S1250" s="27"/>
      <c r="T1250" s="27">
        <v>6.5</v>
      </c>
      <c r="U1250" s="27"/>
      <c r="V1250" s="27">
        <v>6.5</v>
      </c>
      <c r="W1250" s="27"/>
      <c r="X1250" s="27">
        <v>6.0</v>
      </c>
      <c r="Y1250" s="27"/>
      <c r="Z1250" s="27">
        <v>6.5</v>
      </c>
      <c r="AA1250" s="27"/>
      <c r="AB1250" s="27">
        <v>6.5</v>
      </c>
      <c r="AC1250" s="27"/>
      <c r="AD1250" s="27" t="s">
        <v>1091</v>
      </c>
      <c r="AE1250" s="27" t="s">
        <v>1091</v>
      </c>
      <c r="AF1250" s="27" t="s">
        <v>1091</v>
      </c>
      <c r="AG1250" s="27" t="s">
        <v>1091</v>
      </c>
      <c r="AH1250" s="27">
        <v>211.0</v>
      </c>
      <c r="AI1250" s="27">
        <v>277.0</v>
      </c>
      <c r="AJ1250" s="27">
        <v>2.0</v>
      </c>
      <c r="AK1250" s="27" t="b">
        <v>0</v>
      </c>
      <c r="AL1250" s="27">
        <v>100.0</v>
      </c>
      <c r="AM1250" s="27" t="s">
        <v>190</v>
      </c>
      <c r="AN1250" s="27" t="s">
        <v>405</v>
      </c>
      <c r="AO1250" s="27"/>
    </row>
    <row r="1251">
      <c r="A1251" s="200">
        <v>44859.02510291667</v>
      </c>
      <c r="B1251" s="19"/>
      <c r="C1251" s="21"/>
      <c r="D1251" s="62"/>
      <c r="E1251" s="27"/>
      <c r="F1251" s="27"/>
      <c r="G1251" s="201"/>
      <c r="H1251" s="27"/>
      <c r="I1251" s="27"/>
      <c r="J1251" s="33"/>
      <c r="K1251" s="33"/>
      <c r="L1251" s="66"/>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t="e">
        <v>#N/A</v>
      </c>
      <c r="AN1251" s="27" t="e">
        <v>#N/A</v>
      </c>
      <c r="AO1251" s="27"/>
    </row>
    <row r="1252">
      <c r="A1252" s="200">
        <v>44859.02510291667</v>
      </c>
      <c r="B1252" s="19" t="s">
        <v>103</v>
      </c>
      <c r="C1252" s="21" t="s">
        <v>340</v>
      </c>
      <c r="D1252" s="62">
        <v>4.0</v>
      </c>
      <c r="E1252" s="27">
        <v>3.0</v>
      </c>
      <c r="F1252" s="27"/>
      <c r="G1252" s="201"/>
      <c r="H1252" s="27"/>
      <c r="I1252" s="27" t="s">
        <v>97</v>
      </c>
      <c r="J1252" s="33"/>
      <c r="K1252" s="33"/>
      <c r="L1252" s="66"/>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v>216.0</v>
      </c>
      <c r="AI1252" s="27">
        <v>159.0</v>
      </c>
      <c r="AJ1252" s="27">
        <v>0.0</v>
      </c>
      <c r="AK1252" s="27" t="b">
        <v>1</v>
      </c>
      <c r="AL1252" s="27">
        <v>59.0</v>
      </c>
      <c r="AM1252" s="27" t="s">
        <v>186</v>
      </c>
      <c r="AN1252" s="27" t="s">
        <v>404</v>
      </c>
      <c r="AO1252" s="27"/>
    </row>
    <row r="1253">
      <c r="A1253" s="200">
        <v>44859.02510291667</v>
      </c>
      <c r="B1253" s="19" t="s">
        <v>103</v>
      </c>
      <c r="C1253" s="21" t="s">
        <v>322</v>
      </c>
      <c r="D1253" s="62">
        <v>3.0</v>
      </c>
      <c r="E1253" s="27">
        <v>4.0</v>
      </c>
      <c r="F1253" s="27"/>
      <c r="G1253" s="201"/>
      <c r="H1253" s="27"/>
      <c r="I1253" s="27" t="s">
        <v>93</v>
      </c>
      <c r="J1253" s="33"/>
      <c r="K1253" s="33"/>
      <c r="L1253" s="66"/>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v>221.0</v>
      </c>
      <c r="AI1253" s="27">
        <v>254.0</v>
      </c>
      <c r="AJ1253" s="27">
        <v>0.0</v>
      </c>
      <c r="AK1253" s="27" t="b">
        <v>1</v>
      </c>
      <c r="AL1253" s="27">
        <v>59.0</v>
      </c>
      <c r="AM1253" s="27" t="s">
        <v>191</v>
      </c>
      <c r="AN1253" s="27" t="s">
        <v>404</v>
      </c>
      <c r="AO1253" s="27"/>
    </row>
    <row r="1254">
      <c r="A1254" s="200">
        <v>44859.02510291667</v>
      </c>
      <c r="B1254" s="19" t="s">
        <v>103</v>
      </c>
      <c r="C1254" s="21" t="s">
        <v>358</v>
      </c>
      <c r="D1254" s="62">
        <v>7.0</v>
      </c>
      <c r="E1254" s="27">
        <v>0.0</v>
      </c>
      <c r="F1254" s="27" t="s">
        <v>1911</v>
      </c>
      <c r="G1254" s="201" t="s">
        <v>57</v>
      </c>
      <c r="H1254" s="27" t="s">
        <v>59</v>
      </c>
      <c r="I1254" s="27"/>
      <c r="J1254" s="33">
        <v>-6.0</v>
      </c>
      <c r="K1254" s="33">
        <v>-3.5</v>
      </c>
      <c r="L1254" s="66">
        <v>54.5</v>
      </c>
      <c r="M1254" s="27" t="s">
        <v>1869</v>
      </c>
      <c r="N1254" s="27">
        <v>-3.5</v>
      </c>
      <c r="O1254" s="27"/>
      <c r="P1254" s="27">
        <v>-3.5</v>
      </c>
      <c r="Q1254" s="27"/>
      <c r="R1254" s="27">
        <v>-3.5</v>
      </c>
      <c r="S1254" s="27"/>
      <c r="T1254" s="27">
        <v>-3.5</v>
      </c>
      <c r="U1254" s="27"/>
      <c r="V1254" s="27">
        <v>-3.0</v>
      </c>
      <c r="W1254" s="27"/>
      <c r="X1254" s="27">
        <v>-3.5</v>
      </c>
      <c r="Y1254" s="27"/>
      <c r="Z1254" s="27">
        <v>-3.0</v>
      </c>
      <c r="AA1254" s="27"/>
      <c r="AB1254" s="27">
        <v>-3.5</v>
      </c>
      <c r="AC1254" s="27"/>
      <c r="AD1254" s="27">
        <v>-3.5</v>
      </c>
      <c r="AE1254" s="27"/>
      <c r="AF1254" s="27" t="s">
        <v>1091</v>
      </c>
      <c r="AG1254" s="27" t="s">
        <v>1091</v>
      </c>
      <c r="AH1254" s="27">
        <v>313.0</v>
      </c>
      <c r="AI1254" s="27">
        <v>187.0</v>
      </c>
      <c r="AJ1254" s="27">
        <v>2.0</v>
      </c>
      <c r="AK1254" s="27" t="b">
        <v>1</v>
      </c>
      <c r="AL1254" s="27">
        <v>100.0</v>
      </c>
      <c r="AM1254" s="27" t="s">
        <v>187</v>
      </c>
      <c r="AN1254" s="27" t="s">
        <v>404</v>
      </c>
      <c r="AO1254" s="27"/>
    </row>
    <row r="1255">
      <c r="A1255" s="200">
        <v>44859.02510291667</v>
      </c>
      <c r="B1255" s="19" t="s">
        <v>103</v>
      </c>
      <c r="C1255" s="21" t="s">
        <v>324</v>
      </c>
      <c r="D1255" s="62">
        <v>5.0</v>
      </c>
      <c r="E1255" s="27">
        <v>3.0</v>
      </c>
      <c r="F1255" s="27" t="s">
        <v>1955</v>
      </c>
      <c r="G1255" s="201" t="s">
        <v>57</v>
      </c>
      <c r="H1255" s="27" t="s">
        <v>148</v>
      </c>
      <c r="I1255" s="27"/>
      <c r="J1255" s="33">
        <v>-1.0</v>
      </c>
      <c r="K1255" s="33">
        <v>-2.0</v>
      </c>
      <c r="L1255" s="66">
        <v>46.0</v>
      </c>
      <c r="M1255" s="27" t="s">
        <v>1956</v>
      </c>
      <c r="N1255" s="27">
        <v>-2.0</v>
      </c>
      <c r="O1255" s="27"/>
      <c r="P1255" s="27">
        <v>-2.5</v>
      </c>
      <c r="Q1255" s="27"/>
      <c r="R1255" s="27">
        <v>-2.5</v>
      </c>
      <c r="S1255" s="27"/>
      <c r="T1255" s="27">
        <v>-2.0</v>
      </c>
      <c r="U1255" s="27"/>
      <c r="V1255" s="27">
        <v>-2.5</v>
      </c>
      <c r="W1255" s="27"/>
      <c r="X1255" s="27">
        <v>-2.5</v>
      </c>
      <c r="Y1255" s="27"/>
      <c r="Z1255" s="27">
        <v>-2.5</v>
      </c>
      <c r="AA1255" s="27"/>
      <c r="AB1255" s="27">
        <v>-2.0</v>
      </c>
      <c r="AC1255" s="27"/>
      <c r="AD1255" s="27">
        <v>-2.0</v>
      </c>
      <c r="AE1255" s="27"/>
      <c r="AF1255" s="27" t="s">
        <v>1091</v>
      </c>
      <c r="AG1255" s="27" t="s">
        <v>1091</v>
      </c>
      <c r="AH1255" s="27">
        <v>247.0</v>
      </c>
      <c r="AI1255" s="27">
        <v>134.0</v>
      </c>
      <c r="AJ1255" s="27">
        <v>2.0</v>
      </c>
      <c r="AK1255" s="27" t="b">
        <v>0</v>
      </c>
      <c r="AL1255" s="27">
        <v>100.0</v>
      </c>
      <c r="AM1255" s="27" t="s">
        <v>129</v>
      </c>
      <c r="AN1255" s="27" t="s">
        <v>405</v>
      </c>
      <c r="AO1255" s="27"/>
    </row>
    <row r="1256">
      <c r="A1256" s="200">
        <v>44859.02510291667</v>
      </c>
      <c r="B1256" s="19" t="s">
        <v>103</v>
      </c>
      <c r="C1256" s="21" t="s">
        <v>341</v>
      </c>
      <c r="D1256" s="62">
        <v>6.0</v>
      </c>
      <c r="E1256" s="27">
        <v>2.0</v>
      </c>
      <c r="F1256" s="27" t="s">
        <v>1958</v>
      </c>
      <c r="G1256" s="201" t="s">
        <v>57</v>
      </c>
      <c r="H1256" s="27" t="s">
        <v>154</v>
      </c>
      <c r="I1256" s="27"/>
      <c r="J1256" s="33">
        <v>-13.0</v>
      </c>
      <c r="K1256" s="33">
        <v>-14.0</v>
      </c>
      <c r="L1256" s="66">
        <v>51.0</v>
      </c>
      <c r="M1256" s="27" t="s">
        <v>1879</v>
      </c>
      <c r="N1256" s="27">
        <v>-13.5</v>
      </c>
      <c r="O1256" s="27"/>
      <c r="P1256" s="27">
        <v>-14.0</v>
      </c>
      <c r="Q1256" s="27"/>
      <c r="R1256" s="27">
        <v>-14.0</v>
      </c>
      <c r="S1256" s="27"/>
      <c r="T1256" s="27">
        <v>-13.5</v>
      </c>
      <c r="U1256" s="27"/>
      <c r="V1256" s="27">
        <v>-14.0</v>
      </c>
      <c r="W1256" s="27"/>
      <c r="X1256" s="27">
        <v>-14.0</v>
      </c>
      <c r="Y1256" s="27"/>
      <c r="Z1256" s="27">
        <v>-14.0</v>
      </c>
      <c r="AA1256" s="27"/>
      <c r="AB1256" s="27">
        <v>-13.5</v>
      </c>
      <c r="AC1256" s="27"/>
      <c r="AD1256" s="27">
        <v>-13.5</v>
      </c>
      <c r="AE1256" s="27"/>
      <c r="AF1256" s="27" t="s">
        <v>1091</v>
      </c>
      <c r="AG1256" s="27" t="s">
        <v>1091</v>
      </c>
      <c r="AH1256" s="27">
        <v>273.0</v>
      </c>
      <c r="AI1256" s="27">
        <v>193.0</v>
      </c>
      <c r="AJ1256" s="27">
        <v>2.0</v>
      </c>
      <c r="AK1256" s="27" t="b">
        <v>0</v>
      </c>
      <c r="AL1256" s="27">
        <v>100.0</v>
      </c>
      <c r="AM1256" s="27" t="s">
        <v>188</v>
      </c>
      <c r="AN1256" s="27" t="s">
        <v>404</v>
      </c>
      <c r="AO1256" s="27"/>
    </row>
    <row r="1257">
      <c r="A1257" s="200">
        <v>44859.02510291667</v>
      </c>
      <c r="B1257" s="19" t="s">
        <v>103</v>
      </c>
      <c r="C1257" s="21" t="s">
        <v>373</v>
      </c>
      <c r="D1257" s="62">
        <v>7.0</v>
      </c>
      <c r="E1257" s="27">
        <v>1.0</v>
      </c>
      <c r="F1257" s="27" t="s">
        <v>1937</v>
      </c>
      <c r="G1257" s="201" t="s">
        <v>57</v>
      </c>
      <c r="H1257" s="27" t="s">
        <v>109</v>
      </c>
      <c r="I1257" s="27"/>
      <c r="J1257" s="33">
        <v>2.5</v>
      </c>
      <c r="K1257" s="33">
        <v>1.0</v>
      </c>
      <c r="L1257" s="66">
        <v>64.0</v>
      </c>
      <c r="M1257" s="27" t="s">
        <v>1938</v>
      </c>
      <c r="N1257" s="27">
        <v>-1.0</v>
      </c>
      <c r="O1257" s="27"/>
      <c r="P1257" s="27">
        <v>0.0</v>
      </c>
      <c r="Q1257" s="27"/>
      <c r="R1257" s="27">
        <v>1.0</v>
      </c>
      <c r="S1257" s="27"/>
      <c r="T1257" s="27">
        <v>0.0</v>
      </c>
      <c r="U1257" s="27"/>
      <c r="V1257" s="27">
        <v>-1.0</v>
      </c>
      <c r="W1257" s="27"/>
      <c r="X1257" s="27">
        <v>1.0</v>
      </c>
      <c r="Y1257" s="27"/>
      <c r="Z1257" s="27">
        <v>1.0</v>
      </c>
      <c r="AA1257" s="27" t="s">
        <v>1091</v>
      </c>
      <c r="AB1257" s="27" t="s">
        <v>1091</v>
      </c>
      <c r="AC1257" s="27" t="s">
        <v>1091</v>
      </c>
      <c r="AD1257" s="27" t="s">
        <v>1091</v>
      </c>
      <c r="AE1257" s="27" t="s">
        <v>1091</v>
      </c>
      <c r="AF1257" s="27" t="s">
        <v>1091</v>
      </c>
      <c r="AG1257" s="27" t="s">
        <v>1091</v>
      </c>
      <c r="AH1257" s="27">
        <v>306.0</v>
      </c>
      <c r="AI1257" s="27">
        <v>166.0</v>
      </c>
      <c r="AJ1257" s="27">
        <v>2.0</v>
      </c>
      <c r="AK1257" s="27" t="b">
        <v>1</v>
      </c>
      <c r="AL1257" s="27">
        <v>100.0</v>
      </c>
      <c r="AM1257" s="27" t="s">
        <v>192</v>
      </c>
      <c r="AN1257" s="27" t="s">
        <v>404</v>
      </c>
      <c r="AO1257" s="27"/>
    </row>
    <row r="1258">
      <c r="A1258" s="200">
        <v>44859.02510291667</v>
      </c>
      <c r="B1258" s="19" t="s">
        <v>103</v>
      </c>
      <c r="C1258" s="21" t="s">
        <v>356</v>
      </c>
      <c r="D1258" s="62">
        <v>5.0</v>
      </c>
      <c r="E1258" s="27">
        <v>3.0</v>
      </c>
      <c r="F1258" s="27" t="s">
        <v>1950</v>
      </c>
      <c r="G1258" s="201" t="s">
        <v>57</v>
      </c>
      <c r="H1258" s="27" t="s">
        <v>116</v>
      </c>
      <c r="I1258" s="27"/>
      <c r="J1258" s="33">
        <v>3.0</v>
      </c>
      <c r="K1258" s="33">
        <v>2.5</v>
      </c>
      <c r="L1258" s="66">
        <v>58.5</v>
      </c>
      <c r="M1258" s="27" t="s">
        <v>1951</v>
      </c>
      <c r="N1258" s="27">
        <v>2.5</v>
      </c>
      <c r="O1258" s="27"/>
      <c r="P1258" s="27">
        <v>2.5</v>
      </c>
      <c r="Q1258" s="27"/>
      <c r="R1258" s="27">
        <v>2.5</v>
      </c>
      <c r="S1258" s="27"/>
      <c r="T1258" s="27">
        <v>2.5</v>
      </c>
      <c r="U1258" s="27"/>
      <c r="V1258" s="27">
        <v>2.5</v>
      </c>
      <c r="W1258" s="27"/>
      <c r="X1258" s="27">
        <v>2.5</v>
      </c>
      <c r="Y1258" s="27"/>
      <c r="Z1258" s="27">
        <v>2.5</v>
      </c>
      <c r="AA1258" s="27"/>
      <c r="AB1258" s="27">
        <v>2.5</v>
      </c>
      <c r="AC1258" s="27"/>
      <c r="AD1258" s="27" t="s">
        <v>1091</v>
      </c>
      <c r="AE1258" s="27" t="s">
        <v>1091</v>
      </c>
      <c r="AF1258" s="27" t="s">
        <v>1091</v>
      </c>
      <c r="AG1258" s="27" t="s">
        <v>1091</v>
      </c>
      <c r="AH1258" s="27">
        <v>219.0</v>
      </c>
      <c r="AI1258" s="27">
        <v>245.0</v>
      </c>
      <c r="AJ1258" s="27">
        <v>2.0</v>
      </c>
      <c r="AK1258" s="27" t="b">
        <v>1</v>
      </c>
      <c r="AL1258" s="27">
        <v>100.0</v>
      </c>
      <c r="AM1258" s="27" t="s">
        <v>190</v>
      </c>
      <c r="AN1258" s="27" t="s">
        <v>405</v>
      </c>
      <c r="AO1258" s="27"/>
    </row>
    <row r="1259">
      <c r="A1259" s="200">
        <v>44859.02510291667</v>
      </c>
      <c r="B1259" s="19" t="s">
        <v>103</v>
      </c>
      <c r="C1259" s="21" t="s">
        <v>378</v>
      </c>
      <c r="D1259" s="62">
        <v>4.0</v>
      </c>
      <c r="E1259" s="27">
        <v>3.0</v>
      </c>
      <c r="F1259" s="27" t="s">
        <v>1910</v>
      </c>
      <c r="G1259" s="201" t="s">
        <v>57</v>
      </c>
      <c r="H1259" s="27" t="s">
        <v>178</v>
      </c>
      <c r="I1259" s="27"/>
      <c r="J1259" s="33">
        <v>2.5</v>
      </c>
      <c r="K1259" s="33">
        <v>1.5</v>
      </c>
      <c r="L1259" s="66">
        <v>60.5</v>
      </c>
      <c r="M1259" s="27" t="s">
        <v>1417</v>
      </c>
      <c r="N1259" s="27">
        <v>1.5</v>
      </c>
      <c r="O1259" s="27" t="s">
        <v>1091</v>
      </c>
      <c r="P1259" s="27">
        <v>1.0</v>
      </c>
      <c r="Q1259" s="27" t="s">
        <v>1091</v>
      </c>
      <c r="R1259" s="27">
        <v>1.0</v>
      </c>
      <c r="S1259" s="27" t="s">
        <v>1091</v>
      </c>
      <c r="T1259" s="27">
        <v>1.5</v>
      </c>
      <c r="U1259" s="27" t="s">
        <v>1091</v>
      </c>
      <c r="V1259" s="27">
        <v>1.0</v>
      </c>
      <c r="W1259" s="27" t="s">
        <v>1091</v>
      </c>
      <c r="X1259" s="27">
        <v>1.0</v>
      </c>
      <c r="Y1259" s="27" t="s">
        <v>1091</v>
      </c>
      <c r="Z1259" s="27">
        <v>1.5</v>
      </c>
      <c r="AA1259" s="27" t="s">
        <v>1091</v>
      </c>
      <c r="AB1259" s="27">
        <v>1.5</v>
      </c>
      <c r="AC1259" s="27" t="s">
        <v>1091</v>
      </c>
      <c r="AD1259" s="27">
        <v>1.5</v>
      </c>
      <c r="AE1259" s="27" t="s">
        <v>1091</v>
      </c>
      <c r="AF1259" s="27" t="s">
        <v>1091</v>
      </c>
      <c r="AG1259" s="27" t="s">
        <v>1091</v>
      </c>
      <c r="AH1259" s="27">
        <v>224.0</v>
      </c>
      <c r="AI1259" s="27">
        <v>124.0</v>
      </c>
      <c r="AJ1259" s="27">
        <v>2.0</v>
      </c>
      <c r="AK1259" s="27" t="b">
        <v>0</v>
      </c>
      <c r="AL1259" s="27">
        <v>100.0</v>
      </c>
      <c r="AM1259" s="27" t="s">
        <v>189</v>
      </c>
      <c r="AN1259" s="27" t="s">
        <v>405</v>
      </c>
      <c r="AO1259" s="27"/>
    </row>
    <row r="1260">
      <c r="A1260" s="200">
        <v>44859.02510291667</v>
      </c>
      <c r="B1260" s="19" t="s">
        <v>103</v>
      </c>
      <c r="C1260" s="21" t="s">
        <v>362</v>
      </c>
      <c r="D1260" s="62">
        <v>2.0</v>
      </c>
      <c r="E1260" s="27">
        <v>5.0</v>
      </c>
      <c r="F1260" s="27" t="s">
        <v>1887</v>
      </c>
      <c r="G1260" s="201" t="s">
        <v>57</v>
      </c>
      <c r="H1260" s="27" t="s">
        <v>53</v>
      </c>
      <c r="I1260" s="27"/>
      <c r="J1260" s="33">
        <v>12.5</v>
      </c>
      <c r="K1260" s="33">
        <v>13.5</v>
      </c>
      <c r="L1260" s="66">
        <v>53.5</v>
      </c>
      <c r="M1260" s="27" t="s">
        <v>1888</v>
      </c>
      <c r="N1260" s="27">
        <v>13.5</v>
      </c>
      <c r="O1260" s="27"/>
      <c r="P1260" s="27">
        <v>13.5</v>
      </c>
      <c r="Q1260" s="27"/>
      <c r="R1260" s="27">
        <v>13.5</v>
      </c>
      <c r="S1260" s="27"/>
      <c r="T1260" s="27">
        <v>13.5</v>
      </c>
      <c r="U1260" s="27"/>
      <c r="V1260" s="27">
        <v>13.5</v>
      </c>
      <c r="W1260" s="27"/>
      <c r="X1260" s="27">
        <v>13.5</v>
      </c>
      <c r="Y1260" s="27"/>
      <c r="Z1260" s="27">
        <v>13.5</v>
      </c>
      <c r="AA1260" s="27"/>
      <c r="AB1260" s="27">
        <v>13.5</v>
      </c>
      <c r="AC1260" s="27"/>
      <c r="AD1260" s="27">
        <v>13.5</v>
      </c>
      <c r="AE1260" s="27"/>
      <c r="AF1260" s="27" t="s">
        <v>1091</v>
      </c>
      <c r="AG1260" s="27" t="s">
        <v>1091</v>
      </c>
      <c r="AH1260" s="27">
        <v>104.0</v>
      </c>
      <c r="AI1260" s="27">
        <v>181.0</v>
      </c>
      <c r="AJ1260" s="27">
        <v>2.0</v>
      </c>
      <c r="AK1260" s="27" t="b">
        <v>0</v>
      </c>
      <c r="AL1260" s="27">
        <v>100.0</v>
      </c>
      <c r="AM1260" s="27" t="s">
        <v>389</v>
      </c>
      <c r="AN1260" s="27" t="s">
        <v>405</v>
      </c>
      <c r="AO1260" s="27"/>
    </row>
    <row r="1261">
      <c r="A1261" s="200">
        <v>44859.02510291667</v>
      </c>
      <c r="B1261" s="19" t="s">
        <v>103</v>
      </c>
      <c r="C1261" s="21" t="s">
        <v>361</v>
      </c>
      <c r="D1261" s="62">
        <v>2.0</v>
      </c>
      <c r="E1261" s="27">
        <v>5.0</v>
      </c>
      <c r="F1261" s="27" t="s">
        <v>1920</v>
      </c>
      <c r="G1261" s="201" t="s">
        <v>57</v>
      </c>
      <c r="H1261" s="27" t="s">
        <v>59</v>
      </c>
      <c r="I1261" s="27"/>
      <c r="J1261" s="33">
        <v>-9.5</v>
      </c>
      <c r="K1261" s="33">
        <v>-10.0</v>
      </c>
      <c r="L1261" s="66">
        <v>60.5</v>
      </c>
      <c r="M1261" s="27" t="s">
        <v>1921</v>
      </c>
      <c r="N1261" s="27">
        <v>-10.0</v>
      </c>
      <c r="O1261" s="27"/>
      <c r="P1261" s="27">
        <v>-10.0</v>
      </c>
      <c r="Q1261" s="27"/>
      <c r="R1261" s="27">
        <v>-10.0</v>
      </c>
      <c r="S1261" s="27"/>
      <c r="T1261" s="27">
        <v>-10.0</v>
      </c>
      <c r="U1261" s="27"/>
      <c r="V1261" s="27">
        <v>-10.0</v>
      </c>
      <c r="W1261" s="27"/>
      <c r="X1261" s="27">
        <v>-9.5</v>
      </c>
      <c r="Y1261" s="27"/>
      <c r="Z1261" s="27">
        <v>-10.0</v>
      </c>
      <c r="AA1261" s="27"/>
      <c r="AB1261" s="27">
        <v>-10.0</v>
      </c>
      <c r="AC1261" s="27"/>
      <c r="AD1261" s="27">
        <v>-10.0</v>
      </c>
      <c r="AE1261" s="27"/>
      <c r="AF1261" s="27">
        <v>-10.0</v>
      </c>
      <c r="AG1261" s="27"/>
      <c r="AH1261" s="27">
        <v>196.0</v>
      </c>
      <c r="AI1261" s="27">
        <v>242.0</v>
      </c>
      <c r="AJ1261" s="27">
        <v>2.0</v>
      </c>
      <c r="AK1261" s="27" t="b">
        <v>1</v>
      </c>
      <c r="AL1261" s="27">
        <v>100.0</v>
      </c>
      <c r="AM1261" s="27" t="s">
        <v>193</v>
      </c>
      <c r="AN1261" s="27" t="s">
        <v>405</v>
      </c>
      <c r="AO1261" s="27"/>
    </row>
    <row r="1262">
      <c r="A1262" s="200">
        <v>44859.02510291667</v>
      </c>
      <c r="B1262" s="19"/>
      <c r="C1262" s="21"/>
      <c r="D1262" s="62"/>
      <c r="E1262" s="27"/>
      <c r="F1262" s="27"/>
      <c r="G1262" s="201"/>
      <c r="H1262" s="27"/>
      <c r="I1262" s="27"/>
      <c r="J1262" s="33"/>
      <c r="K1262" s="33"/>
      <c r="L1262" s="66"/>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t="e">
        <v>#N/A</v>
      </c>
      <c r="AN1262" s="27" t="e">
        <v>#N/A</v>
      </c>
      <c r="AO1262" s="27"/>
    </row>
    <row r="1263">
      <c r="A1263" s="200">
        <v>44859.02510291667</v>
      </c>
      <c r="B1263" s="19" t="s">
        <v>154</v>
      </c>
      <c r="C1263" s="21" t="s">
        <v>372</v>
      </c>
      <c r="D1263" s="62">
        <v>5.0</v>
      </c>
      <c r="E1263" s="27">
        <v>2.0</v>
      </c>
      <c r="F1263" s="27"/>
      <c r="G1263" s="201"/>
      <c r="H1263" s="27"/>
      <c r="I1263" s="27" t="s">
        <v>88</v>
      </c>
      <c r="J1263" s="33"/>
      <c r="K1263" s="33"/>
      <c r="L1263" s="66"/>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v>285.0</v>
      </c>
      <c r="AI1263" s="27">
        <v>156.0</v>
      </c>
      <c r="AJ1263" s="27">
        <v>0.0</v>
      </c>
      <c r="AK1263" s="27" t="b">
        <v>0</v>
      </c>
      <c r="AL1263" s="27">
        <v>59.0</v>
      </c>
      <c r="AM1263" s="27" t="s">
        <v>191</v>
      </c>
      <c r="AN1263" s="27" t="s">
        <v>404</v>
      </c>
      <c r="AO1263" s="27"/>
    </row>
    <row r="1264">
      <c r="A1264" s="200">
        <v>44859.02510291667</v>
      </c>
      <c r="B1264" s="19" t="s">
        <v>154</v>
      </c>
      <c r="C1264" s="21" t="s">
        <v>363</v>
      </c>
      <c r="D1264" s="62">
        <v>5.0</v>
      </c>
      <c r="E1264" s="27">
        <v>2.0</v>
      </c>
      <c r="F1264" s="27"/>
      <c r="G1264" s="201"/>
      <c r="H1264" s="27"/>
      <c r="I1264" s="27" t="s">
        <v>82</v>
      </c>
      <c r="J1264" s="33"/>
      <c r="K1264" s="33"/>
      <c r="L1264" s="66"/>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v>192.0</v>
      </c>
      <c r="AI1264" s="27">
        <v>118.0</v>
      </c>
      <c r="AJ1264" s="27">
        <v>0.0</v>
      </c>
      <c r="AK1264" s="27" t="b">
        <v>1</v>
      </c>
      <c r="AL1264" s="27">
        <v>59.0</v>
      </c>
      <c r="AM1264" s="27" t="s">
        <v>186</v>
      </c>
      <c r="AN1264" s="27" t="s">
        <v>404</v>
      </c>
      <c r="AO1264" s="27"/>
    </row>
    <row r="1265">
      <c r="A1265" s="200">
        <v>44859.02510291667</v>
      </c>
      <c r="B1265" s="19" t="s">
        <v>154</v>
      </c>
      <c r="C1265" s="21" t="s">
        <v>383</v>
      </c>
      <c r="D1265" s="62">
        <v>5.0</v>
      </c>
      <c r="E1265" s="27">
        <v>3.0</v>
      </c>
      <c r="F1265" s="27" t="s">
        <v>1922</v>
      </c>
      <c r="G1265" s="201" t="s">
        <v>57</v>
      </c>
      <c r="H1265" s="27" t="s">
        <v>138</v>
      </c>
      <c r="I1265" s="27"/>
      <c r="J1265" s="33">
        <v>-3.5</v>
      </c>
      <c r="K1265" s="33">
        <v>-5.5</v>
      </c>
      <c r="L1265" s="66">
        <v>44.5</v>
      </c>
      <c r="M1265" s="27" t="s">
        <v>1923</v>
      </c>
      <c r="N1265" s="27">
        <v>-5.5</v>
      </c>
      <c r="O1265" s="27"/>
      <c r="P1265" s="27">
        <v>-5.5</v>
      </c>
      <c r="Q1265" s="27"/>
      <c r="R1265" s="27">
        <v>-5.5</v>
      </c>
      <c r="S1265" s="27"/>
      <c r="T1265" s="27">
        <v>-5.5</v>
      </c>
      <c r="U1265" s="27"/>
      <c r="V1265" s="27">
        <v>-5.5</v>
      </c>
      <c r="W1265" s="27"/>
      <c r="X1265" s="27">
        <v>-5.5</v>
      </c>
      <c r="Y1265" s="27"/>
      <c r="Z1265" s="27">
        <v>-5.5</v>
      </c>
      <c r="AA1265" s="27"/>
      <c r="AB1265" s="27">
        <v>-5.5</v>
      </c>
      <c r="AC1265" s="27"/>
      <c r="AD1265" s="27">
        <v>-5.5</v>
      </c>
      <c r="AE1265" s="27"/>
      <c r="AF1265" s="27" t="s">
        <v>1091</v>
      </c>
      <c r="AG1265" s="27" t="s">
        <v>1091</v>
      </c>
      <c r="AH1265" s="27">
        <v>191.0</v>
      </c>
      <c r="AI1265" s="27">
        <v>198.0</v>
      </c>
      <c r="AJ1265" s="27">
        <v>2.0</v>
      </c>
      <c r="AK1265" s="27" t="b">
        <v>1</v>
      </c>
      <c r="AL1265" s="27">
        <v>100.0</v>
      </c>
      <c r="AM1265" s="27" t="s">
        <v>129</v>
      </c>
      <c r="AN1265" s="27" t="s">
        <v>405</v>
      </c>
      <c r="AO1265" s="27"/>
    </row>
    <row r="1266">
      <c r="A1266" s="200">
        <v>44859.02510291667</v>
      </c>
      <c r="B1266" s="19" t="s">
        <v>154</v>
      </c>
      <c r="C1266" s="21" t="s">
        <v>379</v>
      </c>
      <c r="D1266" s="62">
        <v>5.0</v>
      </c>
      <c r="E1266" s="27">
        <v>2.0</v>
      </c>
      <c r="F1266" s="27" t="s">
        <v>1954</v>
      </c>
      <c r="G1266" s="201" t="s">
        <v>57</v>
      </c>
      <c r="H1266" s="27" t="s">
        <v>148</v>
      </c>
      <c r="I1266" s="27"/>
      <c r="J1266" s="33">
        <v>4.0</v>
      </c>
      <c r="K1266" s="33">
        <v>3.0</v>
      </c>
      <c r="L1266" s="66">
        <v>45.0</v>
      </c>
      <c r="M1266" s="27" t="s">
        <v>1466</v>
      </c>
      <c r="N1266" s="27">
        <v>3.0</v>
      </c>
      <c r="O1266" s="27"/>
      <c r="P1266" s="27">
        <v>3.0</v>
      </c>
      <c r="Q1266" s="27"/>
      <c r="R1266" s="27">
        <v>3.0</v>
      </c>
      <c r="S1266" s="27"/>
      <c r="T1266" s="27">
        <v>3.0</v>
      </c>
      <c r="U1266" s="27"/>
      <c r="V1266" s="27">
        <v>3.0</v>
      </c>
      <c r="W1266" s="27"/>
      <c r="X1266" s="27">
        <v>3.0</v>
      </c>
      <c r="Y1266" s="27"/>
      <c r="Z1266" s="27">
        <v>3.0</v>
      </c>
      <c r="AA1266" s="27"/>
      <c r="AB1266" s="27">
        <v>3.0</v>
      </c>
      <c r="AC1266" s="27"/>
      <c r="AD1266" s="27">
        <v>3.0</v>
      </c>
      <c r="AE1266" s="27"/>
      <c r="AF1266" s="27" t="s">
        <v>1091</v>
      </c>
      <c r="AG1266" s="27" t="s">
        <v>1091</v>
      </c>
      <c r="AH1266" s="27">
        <v>232.0</v>
      </c>
      <c r="AI1266" s="27">
        <v>174.0</v>
      </c>
      <c r="AJ1266" s="27">
        <v>2.0</v>
      </c>
      <c r="AK1266" s="27" t="b">
        <v>0</v>
      </c>
      <c r="AL1266" s="27">
        <v>100.0</v>
      </c>
      <c r="AM1266" s="27" t="s">
        <v>192</v>
      </c>
      <c r="AN1266" s="27" t="s">
        <v>404</v>
      </c>
      <c r="AO1266" s="27"/>
    </row>
    <row r="1267">
      <c r="A1267" s="200">
        <v>44859.02510291667</v>
      </c>
      <c r="B1267" s="19" t="s">
        <v>154</v>
      </c>
      <c r="C1267" s="21" t="s">
        <v>352</v>
      </c>
      <c r="D1267" s="62">
        <v>2.0</v>
      </c>
      <c r="E1267" s="27">
        <v>6.0</v>
      </c>
      <c r="F1267" s="27" t="s">
        <v>1936</v>
      </c>
      <c r="G1267" s="201" t="s">
        <v>57</v>
      </c>
      <c r="H1267" s="27" t="s">
        <v>109</v>
      </c>
      <c r="I1267" s="27"/>
      <c r="J1267" s="33">
        <v>7.0</v>
      </c>
      <c r="K1267" s="33">
        <v>6.5</v>
      </c>
      <c r="L1267" s="66">
        <v>51.0</v>
      </c>
      <c r="M1267" s="27" t="s">
        <v>1307</v>
      </c>
      <c r="N1267" s="27">
        <v>6.5</v>
      </c>
      <c r="O1267" s="27"/>
      <c r="P1267" s="27">
        <v>6.5</v>
      </c>
      <c r="Q1267" s="27"/>
      <c r="R1267" s="27">
        <v>6.5</v>
      </c>
      <c r="S1267" s="27"/>
      <c r="T1267" s="27">
        <v>6.0</v>
      </c>
      <c r="U1267" s="27"/>
      <c r="V1267" s="27">
        <v>6.5</v>
      </c>
      <c r="W1267" s="27"/>
      <c r="X1267" s="27">
        <v>5.5</v>
      </c>
      <c r="Y1267" s="27"/>
      <c r="Z1267" s="27">
        <v>6.5</v>
      </c>
      <c r="AA1267" s="27"/>
      <c r="AB1267" s="27">
        <v>6.0</v>
      </c>
      <c r="AC1267" s="27"/>
      <c r="AD1267" s="27">
        <v>6.0</v>
      </c>
      <c r="AE1267" s="27"/>
      <c r="AF1267" s="27" t="s">
        <v>1091</v>
      </c>
      <c r="AG1267" s="27" t="s">
        <v>1091</v>
      </c>
      <c r="AH1267" s="27">
        <v>230.0</v>
      </c>
      <c r="AI1267" s="27">
        <v>249.0</v>
      </c>
      <c r="AJ1267" s="27">
        <v>2.0</v>
      </c>
      <c r="AK1267" s="27" t="b">
        <v>1</v>
      </c>
      <c r="AL1267" s="27">
        <v>100.0</v>
      </c>
      <c r="AM1267" s="27" t="s">
        <v>193</v>
      </c>
      <c r="AN1267" s="27" t="s">
        <v>405</v>
      </c>
      <c r="AO1267" s="27"/>
    </row>
    <row r="1268">
      <c r="A1268" s="200">
        <v>44859.02510291667</v>
      </c>
      <c r="B1268" s="19" t="s">
        <v>154</v>
      </c>
      <c r="C1268" s="21" t="s">
        <v>366</v>
      </c>
      <c r="D1268" s="62">
        <v>4.0</v>
      </c>
      <c r="E1268" s="27">
        <v>4.0</v>
      </c>
      <c r="F1268" s="27" t="s">
        <v>1880</v>
      </c>
      <c r="G1268" s="201" t="s">
        <v>57</v>
      </c>
      <c r="H1268" s="27" t="s">
        <v>53</v>
      </c>
      <c r="I1268" s="27"/>
      <c r="J1268" s="33" t="s">
        <v>1091</v>
      </c>
      <c r="K1268" s="33" t="s">
        <v>1091</v>
      </c>
      <c r="L1268" s="26" t="s">
        <v>1091</v>
      </c>
      <c r="M1268" s="27" t="s">
        <v>1091</v>
      </c>
      <c r="N1268" s="27" t="s">
        <v>1091</v>
      </c>
      <c r="O1268" s="27" t="s">
        <v>1091</v>
      </c>
      <c r="P1268" s="27" t="s">
        <v>1091</v>
      </c>
      <c r="Q1268" s="27" t="s">
        <v>1091</v>
      </c>
      <c r="R1268" s="27" t="s">
        <v>1091</v>
      </c>
      <c r="S1268" s="27" t="s">
        <v>1091</v>
      </c>
      <c r="T1268" s="27" t="s">
        <v>1091</v>
      </c>
      <c r="U1268" s="27" t="s">
        <v>1091</v>
      </c>
      <c r="V1268" s="27" t="s">
        <v>1091</v>
      </c>
      <c r="W1268" s="27" t="s">
        <v>1091</v>
      </c>
      <c r="X1268" s="27" t="s">
        <v>1091</v>
      </c>
      <c r="Y1268" s="27" t="s">
        <v>1091</v>
      </c>
      <c r="Z1268" s="27" t="s">
        <v>1091</v>
      </c>
      <c r="AA1268" s="27" t="s">
        <v>1091</v>
      </c>
      <c r="AB1268" s="27" t="s">
        <v>1091</v>
      </c>
      <c r="AC1268" s="27" t="s">
        <v>1091</v>
      </c>
      <c r="AD1268" s="27" t="s">
        <v>1091</v>
      </c>
      <c r="AE1268" s="27" t="s">
        <v>1091</v>
      </c>
      <c r="AF1268" s="27" t="s">
        <v>1091</v>
      </c>
      <c r="AG1268" s="27" t="s">
        <v>1091</v>
      </c>
      <c r="AH1268" s="27">
        <v>179.0</v>
      </c>
      <c r="AI1268" s="27">
        <v>223.0</v>
      </c>
      <c r="AJ1268" s="27">
        <v>2.0</v>
      </c>
      <c r="AK1268" s="27" t="b">
        <v>1</v>
      </c>
      <c r="AL1268" s="27">
        <v>100.0</v>
      </c>
      <c r="AM1268" s="27" t="s">
        <v>189</v>
      </c>
      <c r="AN1268" s="27" t="s">
        <v>405</v>
      </c>
      <c r="AO1268" s="27"/>
    </row>
    <row r="1269">
      <c r="A1269" s="200">
        <v>44859.02510291667</v>
      </c>
      <c r="B1269" s="19" t="s">
        <v>154</v>
      </c>
      <c r="C1269" s="21" t="s">
        <v>382</v>
      </c>
      <c r="D1269" s="62">
        <v>3.0</v>
      </c>
      <c r="E1269" s="27">
        <v>5.0</v>
      </c>
      <c r="F1269" s="27" t="s">
        <v>1890</v>
      </c>
      <c r="G1269" s="201" t="s">
        <v>57</v>
      </c>
      <c r="H1269" s="27" t="s">
        <v>131</v>
      </c>
      <c r="I1269" s="27"/>
      <c r="J1269" s="33">
        <v>5.0</v>
      </c>
      <c r="K1269" s="33">
        <v>7.0</v>
      </c>
      <c r="L1269" s="66">
        <v>44.0</v>
      </c>
      <c r="M1269" s="27" t="s">
        <v>1595</v>
      </c>
      <c r="N1269" s="27">
        <v>7.0</v>
      </c>
      <c r="O1269" s="27"/>
      <c r="P1269" s="27">
        <v>6.5</v>
      </c>
      <c r="Q1269" s="27"/>
      <c r="R1269" s="27">
        <v>7.0</v>
      </c>
      <c r="S1269" s="27"/>
      <c r="T1269" s="27">
        <v>7.0</v>
      </c>
      <c r="U1269" s="27"/>
      <c r="V1269" s="27">
        <v>7.0</v>
      </c>
      <c r="W1269" s="27"/>
      <c r="X1269" s="27">
        <v>7.0</v>
      </c>
      <c r="Y1269" s="27"/>
      <c r="Z1269" s="27">
        <v>7.0</v>
      </c>
      <c r="AA1269" s="27"/>
      <c r="AB1269" s="27" t="s">
        <v>1091</v>
      </c>
      <c r="AC1269" s="27" t="s">
        <v>1091</v>
      </c>
      <c r="AD1269" s="27" t="s">
        <v>1091</v>
      </c>
      <c r="AE1269" s="27" t="s">
        <v>1091</v>
      </c>
      <c r="AF1269" s="27" t="s">
        <v>1091</v>
      </c>
      <c r="AG1269" s="27" t="s">
        <v>1091</v>
      </c>
      <c r="AH1269" s="27">
        <v>166.0</v>
      </c>
      <c r="AI1269" s="27">
        <v>228.0</v>
      </c>
      <c r="AJ1269" s="27">
        <v>2.0</v>
      </c>
      <c r="AK1269" s="27" t="b">
        <v>0</v>
      </c>
      <c r="AL1269" s="27">
        <v>100.0</v>
      </c>
      <c r="AM1269" s="27" t="s">
        <v>190</v>
      </c>
      <c r="AN1269" s="27" t="s">
        <v>405</v>
      </c>
      <c r="AO1269" s="27"/>
    </row>
    <row r="1270">
      <c r="A1270" s="200">
        <v>44859.02510291667</v>
      </c>
      <c r="B1270" s="19" t="s">
        <v>154</v>
      </c>
      <c r="C1270" s="21" t="s">
        <v>368</v>
      </c>
      <c r="D1270" s="62">
        <v>1.0</v>
      </c>
      <c r="E1270" s="27">
        <v>6.0</v>
      </c>
      <c r="F1270" s="27" t="s">
        <v>1958</v>
      </c>
      <c r="G1270" s="201" t="s">
        <v>57</v>
      </c>
      <c r="H1270" s="27" t="s">
        <v>103</v>
      </c>
      <c r="I1270" s="27"/>
      <c r="J1270" s="33">
        <v>13.0</v>
      </c>
      <c r="K1270" s="33">
        <v>14.0</v>
      </c>
      <c r="L1270" s="66">
        <v>51.0</v>
      </c>
      <c r="M1270" s="27" t="s">
        <v>1879</v>
      </c>
      <c r="N1270" s="27">
        <v>13.5</v>
      </c>
      <c r="O1270" s="27"/>
      <c r="P1270" s="27">
        <v>14.0</v>
      </c>
      <c r="Q1270" s="27"/>
      <c r="R1270" s="27">
        <v>14.0</v>
      </c>
      <c r="S1270" s="27"/>
      <c r="T1270" s="27">
        <v>13.5</v>
      </c>
      <c r="U1270" s="27"/>
      <c r="V1270" s="27">
        <v>14.0</v>
      </c>
      <c r="W1270" s="27"/>
      <c r="X1270" s="27">
        <v>14.0</v>
      </c>
      <c r="Y1270" s="27"/>
      <c r="Z1270" s="27">
        <v>14.0</v>
      </c>
      <c r="AA1270" s="27"/>
      <c r="AB1270" s="27">
        <v>13.5</v>
      </c>
      <c r="AC1270" s="27"/>
      <c r="AD1270" s="27">
        <v>13.5</v>
      </c>
      <c r="AE1270" s="27"/>
      <c r="AF1270" s="27" t="s">
        <v>1091</v>
      </c>
      <c r="AG1270" s="27" t="s">
        <v>1091</v>
      </c>
      <c r="AH1270" s="27">
        <v>130.0</v>
      </c>
      <c r="AI1270" s="27">
        <v>197.0</v>
      </c>
      <c r="AJ1270" s="27">
        <v>2.0</v>
      </c>
      <c r="AK1270" s="27" t="b">
        <v>1</v>
      </c>
      <c r="AL1270" s="27">
        <v>100.0</v>
      </c>
      <c r="AM1270" s="27" t="s">
        <v>188</v>
      </c>
      <c r="AN1270" s="27" t="s">
        <v>404</v>
      </c>
      <c r="AO1270" s="27"/>
    </row>
    <row r="1271">
      <c r="A1271" s="200">
        <v>44859.02510291667</v>
      </c>
      <c r="B1271" s="19" t="s">
        <v>154</v>
      </c>
      <c r="C1271" s="21" t="s">
        <v>330</v>
      </c>
      <c r="D1271" s="62">
        <v>4.0</v>
      </c>
      <c r="E1271" s="27">
        <v>3.0</v>
      </c>
      <c r="F1271" s="27" t="s">
        <v>1952</v>
      </c>
      <c r="G1271" s="201" t="s">
        <v>57</v>
      </c>
      <c r="H1271" s="27" t="s">
        <v>116</v>
      </c>
      <c r="I1271" s="27"/>
      <c r="J1271" s="33">
        <v>-2.5</v>
      </c>
      <c r="K1271" s="33">
        <v>-3.0</v>
      </c>
      <c r="L1271" s="66">
        <v>50.5</v>
      </c>
      <c r="M1271" s="27" t="s">
        <v>1953</v>
      </c>
      <c r="N1271" s="27">
        <v>-3.0</v>
      </c>
      <c r="O1271" s="27"/>
      <c r="P1271" s="27">
        <v>-3.0</v>
      </c>
      <c r="Q1271" s="27"/>
      <c r="R1271" s="27">
        <v>-3.0</v>
      </c>
      <c r="S1271" s="27"/>
      <c r="T1271" s="27">
        <v>-3.0</v>
      </c>
      <c r="U1271" s="27"/>
      <c r="V1271" s="27">
        <v>-3.0</v>
      </c>
      <c r="W1271" s="27"/>
      <c r="X1271" s="27">
        <v>-3.0</v>
      </c>
      <c r="Y1271" s="27"/>
      <c r="Z1271" s="27">
        <v>-3.0</v>
      </c>
      <c r="AA1271" s="27"/>
      <c r="AB1271" s="27">
        <v>-3.0</v>
      </c>
      <c r="AC1271" s="27"/>
      <c r="AD1271" s="27">
        <v>-3.0</v>
      </c>
      <c r="AE1271" s="27"/>
      <c r="AF1271" s="27" t="s">
        <v>1091</v>
      </c>
      <c r="AG1271" s="27" t="s">
        <v>1091</v>
      </c>
      <c r="AH1271" s="27">
        <v>226.0</v>
      </c>
      <c r="AI1271" s="27">
        <v>222.0</v>
      </c>
      <c r="AJ1271" s="27">
        <v>2.0</v>
      </c>
      <c r="AK1271" s="27" t="b">
        <v>1</v>
      </c>
      <c r="AL1271" s="27">
        <v>100.0</v>
      </c>
      <c r="AM1271" s="27" t="s">
        <v>389</v>
      </c>
      <c r="AN1271" s="27" t="s">
        <v>405</v>
      </c>
      <c r="AO1271" s="27"/>
    </row>
    <row r="1272">
      <c r="A1272" s="200">
        <v>44866.02510496527</v>
      </c>
      <c r="B1272" s="19" t="s">
        <v>53</v>
      </c>
      <c r="C1272" s="21" t="s">
        <v>176</v>
      </c>
      <c r="D1272" s="62">
        <v>5.0</v>
      </c>
      <c r="E1272" s="27">
        <v>3.0</v>
      </c>
      <c r="F1272" s="27"/>
      <c r="G1272" s="201"/>
      <c r="H1272" s="27"/>
      <c r="I1272" s="27" t="s">
        <v>105</v>
      </c>
      <c r="J1272" s="33"/>
      <c r="K1272" s="33"/>
      <c r="L1272" s="66"/>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v>256.0</v>
      </c>
      <c r="AI1272" s="27">
        <v>275.0</v>
      </c>
      <c r="AJ1272" s="27">
        <v>0.0</v>
      </c>
      <c r="AK1272" s="27" t="b">
        <v>0</v>
      </c>
      <c r="AL1272" s="27">
        <v>59.0</v>
      </c>
      <c r="AM1272" s="27" t="s">
        <v>190</v>
      </c>
      <c r="AN1272" s="27" t="s">
        <v>405</v>
      </c>
      <c r="AO1272" s="27"/>
    </row>
    <row r="1273">
      <c r="A1273" s="200">
        <v>44866.02510496527</v>
      </c>
      <c r="B1273" s="19" t="s">
        <v>53</v>
      </c>
      <c r="C1273" s="21" t="s">
        <v>120</v>
      </c>
      <c r="D1273" s="62">
        <v>2.0</v>
      </c>
      <c r="E1273" s="27">
        <v>7.0</v>
      </c>
      <c r="F1273" s="27" t="s">
        <v>1959</v>
      </c>
      <c r="G1273" s="201" t="s">
        <v>57</v>
      </c>
      <c r="H1273" s="27" t="s">
        <v>141</v>
      </c>
      <c r="I1273" s="27"/>
      <c r="J1273" s="33">
        <v>24.5</v>
      </c>
      <c r="K1273" s="33">
        <v>24.5</v>
      </c>
      <c r="L1273" s="66">
        <v>44.5</v>
      </c>
      <c r="M1273" s="27" t="s">
        <v>1960</v>
      </c>
      <c r="N1273" s="27">
        <v>24.5</v>
      </c>
      <c r="O1273" s="27"/>
      <c r="P1273" s="27">
        <v>24.5</v>
      </c>
      <c r="Q1273" s="27"/>
      <c r="R1273" s="27">
        <v>24.5</v>
      </c>
      <c r="S1273" s="27"/>
      <c r="T1273" s="27">
        <v>25.0</v>
      </c>
      <c r="U1273" s="27"/>
      <c r="V1273" s="27">
        <v>24.5</v>
      </c>
      <c r="W1273" s="27"/>
      <c r="X1273" s="27">
        <v>24.5</v>
      </c>
      <c r="Y1273" s="27"/>
      <c r="Z1273" s="27">
        <v>24.5</v>
      </c>
      <c r="AA1273" s="27"/>
      <c r="AB1273" s="27">
        <v>25.0</v>
      </c>
      <c r="AC1273" s="27"/>
      <c r="AD1273" s="27">
        <v>25.0</v>
      </c>
      <c r="AE1273" s="27"/>
      <c r="AF1273" s="27" t="s">
        <v>1091</v>
      </c>
      <c r="AG1273" s="27" t="s">
        <v>1091</v>
      </c>
      <c r="AH1273" s="27">
        <v>187.0</v>
      </c>
      <c r="AI1273" s="27">
        <v>262.0</v>
      </c>
      <c r="AJ1273" s="27">
        <v>2.0</v>
      </c>
      <c r="AK1273" s="27" t="b">
        <v>0</v>
      </c>
      <c r="AL1273" s="27">
        <v>100.0</v>
      </c>
      <c r="AM1273" s="27" t="s">
        <v>129</v>
      </c>
      <c r="AN1273" s="27" t="s">
        <v>405</v>
      </c>
      <c r="AO1273" s="27"/>
    </row>
    <row r="1274">
      <c r="A1274" s="200">
        <v>44866.02510496527</v>
      </c>
      <c r="B1274" s="19" t="s">
        <v>53</v>
      </c>
      <c r="C1274" s="21" t="s">
        <v>181</v>
      </c>
      <c r="D1274" s="62">
        <v>4.0</v>
      </c>
      <c r="E1274" s="27">
        <v>5.0</v>
      </c>
      <c r="F1274" s="27" t="s">
        <v>1961</v>
      </c>
      <c r="G1274" s="201" t="s">
        <v>57</v>
      </c>
      <c r="H1274" s="27" t="s">
        <v>103</v>
      </c>
      <c r="I1274" s="27"/>
      <c r="J1274" s="33">
        <v>4.0</v>
      </c>
      <c r="K1274" s="33">
        <v>5.0</v>
      </c>
      <c r="L1274" s="66">
        <v>48.0</v>
      </c>
      <c r="M1274" s="27" t="s">
        <v>1962</v>
      </c>
      <c r="N1274" s="27">
        <v>5.5</v>
      </c>
      <c r="O1274" s="27"/>
      <c r="P1274" s="27">
        <v>5.0</v>
      </c>
      <c r="Q1274" s="27"/>
      <c r="R1274" s="27">
        <v>5.0</v>
      </c>
      <c r="S1274" s="27"/>
      <c r="T1274" s="27">
        <v>5.0</v>
      </c>
      <c r="U1274" s="27"/>
      <c r="V1274" s="27">
        <v>5.0</v>
      </c>
      <c r="W1274" s="27"/>
      <c r="X1274" s="27">
        <v>5.0</v>
      </c>
      <c r="Y1274" s="27"/>
      <c r="Z1274" s="27">
        <v>5.0</v>
      </c>
      <c r="AA1274" s="27"/>
      <c r="AB1274" s="27">
        <v>5.0</v>
      </c>
      <c r="AC1274" s="27"/>
      <c r="AD1274" s="27">
        <v>5.0</v>
      </c>
      <c r="AE1274" s="27"/>
      <c r="AF1274" s="27" t="s">
        <v>1091</v>
      </c>
      <c r="AG1274" s="27" t="s">
        <v>1091</v>
      </c>
      <c r="AH1274" s="27">
        <v>253.0</v>
      </c>
      <c r="AI1274" s="27">
        <v>231.0</v>
      </c>
      <c r="AJ1274" s="27">
        <v>2.0</v>
      </c>
      <c r="AK1274" s="27" t="b">
        <v>0</v>
      </c>
      <c r="AL1274" s="27">
        <v>100.0</v>
      </c>
      <c r="AM1274" s="27" t="s">
        <v>189</v>
      </c>
      <c r="AN1274" s="27" t="s">
        <v>405</v>
      </c>
      <c r="AO1274" s="27"/>
    </row>
    <row r="1275">
      <c r="A1275" s="200">
        <v>44866.02510496527</v>
      </c>
      <c r="B1275" s="19" t="s">
        <v>53</v>
      </c>
      <c r="C1275" s="21" t="s">
        <v>173</v>
      </c>
      <c r="D1275" s="62">
        <v>4.0</v>
      </c>
      <c r="E1275" s="27">
        <v>4.0</v>
      </c>
      <c r="F1275" s="27" t="s">
        <v>1963</v>
      </c>
      <c r="G1275" s="201" t="s">
        <v>57</v>
      </c>
      <c r="H1275" s="27" t="s">
        <v>154</v>
      </c>
      <c r="I1275" s="27"/>
      <c r="J1275" s="33">
        <v>6.0</v>
      </c>
      <c r="K1275" s="33">
        <v>5.0</v>
      </c>
      <c r="L1275" s="66">
        <v>47.0</v>
      </c>
      <c r="M1275" s="27" t="s">
        <v>1964</v>
      </c>
      <c r="N1275" s="27">
        <v>5.0</v>
      </c>
      <c r="O1275" s="27"/>
      <c r="P1275" s="27">
        <v>5.0</v>
      </c>
      <c r="Q1275" s="27"/>
      <c r="R1275" s="27">
        <v>5.0</v>
      </c>
      <c r="S1275" s="27"/>
      <c r="T1275" s="27">
        <v>5.0</v>
      </c>
      <c r="U1275" s="27"/>
      <c r="V1275" s="27">
        <v>5.0</v>
      </c>
      <c r="W1275" s="27"/>
      <c r="X1275" s="27">
        <v>5.0</v>
      </c>
      <c r="Y1275" s="27"/>
      <c r="Z1275" s="27">
        <v>5.0</v>
      </c>
      <c r="AA1275" s="27"/>
      <c r="AB1275" s="27">
        <v>5.0</v>
      </c>
      <c r="AC1275" s="27"/>
      <c r="AD1275" s="27">
        <v>5.0</v>
      </c>
      <c r="AE1275" s="27"/>
      <c r="AF1275" s="27" t="s">
        <v>1091</v>
      </c>
      <c r="AG1275" s="27" t="s">
        <v>1091</v>
      </c>
      <c r="AH1275" s="27">
        <v>191.0</v>
      </c>
      <c r="AI1275" s="27">
        <v>172.0</v>
      </c>
      <c r="AJ1275" s="27">
        <v>2.0</v>
      </c>
      <c r="AK1275" s="27" t="b">
        <v>0</v>
      </c>
      <c r="AL1275" s="27">
        <v>100.0</v>
      </c>
      <c r="AM1275" s="27" t="s">
        <v>192</v>
      </c>
      <c r="AN1275" s="27" t="s">
        <v>404</v>
      </c>
      <c r="AO1275" s="27"/>
    </row>
    <row r="1276">
      <c r="A1276" s="200">
        <v>44866.02510496527</v>
      </c>
      <c r="B1276" s="19" t="s">
        <v>53</v>
      </c>
      <c r="C1276" s="21" t="s">
        <v>54</v>
      </c>
      <c r="D1276" s="62">
        <v>7.0</v>
      </c>
      <c r="E1276" s="27">
        <v>1.0</v>
      </c>
      <c r="F1276" s="27" t="s">
        <v>1965</v>
      </c>
      <c r="G1276" s="201" t="s">
        <v>57</v>
      </c>
      <c r="H1276" s="27" t="s">
        <v>166</v>
      </c>
      <c r="I1276" s="27"/>
      <c r="J1276" s="33">
        <v>-13.5</v>
      </c>
      <c r="K1276" s="33">
        <v>-17.0</v>
      </c>
      <c r="L1276" s="66">
        <v>58.0</v>
      </c>
      <c r="M1276" s="27" t="s">
        <v>1966</v>
      </c>
      <c r="N1276" s="27">
        <v>-17.5</v>
      </c>
      <c r="O1276" s="27"/>
      <c r="P1276" s="27">
        <v>-17.0</v>
      </c>
      <c r="Q1276" s="27"/>
      <c r="R1276" s="27">
        <v>-17.0</v>
      </c>
      <c r="S1276" s="27"/>
      <c r="T1276" s="27">
        <v>-17.0</v>
      </c>
      <c r="U1276" s="27"/>
      <c r="V1276" s="27">
        <v>-17.0</v>
      </c>
      <c r="W1276" s="27"/>
      <c r="X1276" s="27">
        <v>-17.5</v>
      </c>
      <c r="Y1276" s="27"/>
      <c r="Z1276" s="27">
        <v>-17.0</v>
      </c>
      <c r="AA1276" s="27"/>
      <c r="AB1276" s="27">
        <v>-17.0</v>
      </c>
      <c r="AC1276" s="27"/>
      <c r="AD1276" s="27">
        <v>-17.0</v>
      </c>
      <c r="AE1276" s="27"/>
      <c r="AF1276" s="27" t="s">
        <v>1091</v>
      </c>
      <c r="AG1276" s="27" t="s">
        <v>1091</v>
      </c>
      <c r="AH1276" s="27">
        <v>339.0</v>
      </c>
      <c r="AI1276" s="27">
        <v>227.0</v>
      </c>
      <c r="AJ1276" s="27">
        <v>2.0</v>
      </c>
      <c r="AK1276" s="27" t="b">
        <v>1</v>
      </c>
      <c r="AL1276" s="27">
        <v>100.0</v>
      </c>
      <c r="AM1276" s="27" t="s">
        <v>191</v>
      </c>
      <c r="AN1276" s="27" t="s">
        <v>404</v>
      </c>
      <c r="AO1276" s="27"/>
    </row>
    <row r="1277">
      <c r="A1277" s="200">
        <v>44866.02510496527</v>
      </c>
      <c r="B1277" s="19" t="s">
        <v>53</v>
      </c>
      <c r="C1277" s="21" t="s">
        <v>195</v>
      </c>
      <c r="D1277" s="62">
        <v>3.0</v>
      </c>
      <c r="E1277" s="27">
        <v>5.0</v>
      </c>
      <c r="F1277" s="27" t="s">
        <v>1967</v>
      </c>
      <c r="G1277" s="201" t="s">
        <v>57</v>
      </c>
      <c r="H1277" s="27" t="s">
        <v>141</v>
      </c>
      <c r="I1277" s="27"/>
      <c r="J1277" s="33">
        <v>3.0</v>
      </c>
      <c r="K1277" s="33">
        <v>2.5</v>
      </c>
      <c r="L1277" s="66">
        <v>66.0</v>
      </c>
      <c r="M1277" s="27" t="s">
        <v>1957</v>
      </c>
      <c r="N1277" s="27">
        <v>2.5</v>
      </c>
      <c r="O1277" s="27"/>
      <c r="P1277" s="27">
        <v>2.5</v>
      </c>
      <c r="Q1277" s="27"/>
      <c r="R1277" s="27">
        <v>2.5</v>
      </c>
      <c r="S1277" s="27"/>
      <c r="T1277" s="27">
        <v>2.5</v>
      </c>
      <c r="U1277" s="27"/>
      <c r="V1277" s="27">
        <v>2.5</v>
      </c>
      <c r="W1277" s="27"/>
      <c r="X1277" s="27">
        <v>2.5</v>
      </c>
      <c r="Y1277" s="27"/>
      <c r="Z1277" s="27">
        <v>2.5</v>
      </c>
      <c r="AA1277" s="27"/>
      <c r="AB1277" s="27">
        <v>2.5</v>
      </c>
      <c r="AC1277" s="27"/>
      <c r="AD1277" s="27">
        <v>2.5</v>
      </c>
      <c r="AE1277" s="27"/>
      <c r="AF1277" s="27" t="s">
        <v>1091</v>
      </c>
      <c r="AG1277" s="27" t="s">
        <v>1091</v>
      </c>
      <c r="AH1277" s="27">
        <v>259.0</v>
      </c>
      <c r="AI1277" s="27">
        <v>272.0</v>
      </c>
      <c r="AJ1277" s="27">
        <v>2.0</v>
      </c>
      <c r="AK1277" s="27" t="b">
        <v>0</v>
      </c>
      <c r="AL1277" s="27">
        <v>100.0</v>
      </c>
      <c r="AM1277" s="27" t="s">
        <v>389</v>
      </c>
      <c r="AN1277" s="27" t="s">
        <v>405</v>
      </c>
      <c r="AO1277" s="27"/>
    </row>
    <row r="1278">
      <c r="A1278" s="200">
        <v>44866.02510496527</v>
      </c>
      <c r="B1278" s="19" t="s">
        <v>53</v>
      </c>
      <c r="C1278" s="21" t="s">
        <v>170</v>
      </c>
      <c r="D1278" s="62">
        <v>3.0</v>
      </c>
      <c r="E1278" s="27">
        <v>5.0</v>
      </c>
      <c r="F1278" s="27" t="s">
        <v>1968</v>
      </c>
      <c r="G1278" s="201" t="s">
        <v>57</v>
      </c>
      <c r="H1278" s="27" t="s">
        <v>103</v>
      </c>
      <c r="I1278" s="27"/>
      <c r="J1278" s="33">
        <v>3.5</v>
      </c>
      <c r="K1278" s="33">
        <v>3.5</v>
      </c>
      <c r="L1278" s="66">
        <v>55.5</v>
      </c>
      <c r="M1278" s="27" t="s">
        <v>1409</v>
      </c>
      <c r="N1278" s="27">
        <v>3.5</v>
      </c>
      <c r="O1278" s="27"/>
      <c r="P1278" s="27">
        <v>4.0</v>
      </c>
      <c r="Q1278" s="27"/>
      <c r="R1278" s="27">
        <v>3.5</v>
      </c>
      <c r="S1278" s="27"/>
      <c r="T1278" s="27">
        <v>3.5</v>
      </c>
      <c r="U1278" s="27"/>
      <c r="V1278" s="27">
        <v>3.5</v>
      </c>
      <c r="W1278" s="27"/>
      <c r="X1278" s="27">
        <v>3.5</v>
      </c>
      <c r="Y1278" s="27"/>
      <c r="Z1278" s="27">
        <v>4.0</v>
      </c>
      <c r="AA1278" s="27"/>
      <c r="AB1278" s="27">
        <v>3.5</v>
      </c>
      <c r="AC1278" s="27"/>
      <c r="AD1278" s="27">
        <v>3.5</v>
      </c>
      <c r="AE1278" s="27"/>
      <c r="AF1278" s="27" t="s">
        <v>1091</v>
      </c>
      <c r="AG1278" s="27" t="s">
        <v>1091</v>
      </c>
      <c r="AH1278" s="27">
        <v>197.0</v>
      </c>
      <c r="AI1278" s="27">
        <v>216.0</v>
      </c>
      <c r="AJ1278" s="27">
        <v>2.0</v>
      </c>
      <c r="AK1278" s="27" t="b">
        <v>0</v>
      </c>
      <c r="AL1278" s="27">
        <v>100.0</v>
      </c>
      <c r="AM1278" s="27" t="s">
        <v>193</v>
      </c>
      <c r="AN1278" s="27" t="s">
        <v>405</v>
      </c>
      <c r="AO1278" s="27"/>
    </row>
    <row r="1279">
      <c r="A1279" s="200">
        <v>44866.02510496527</v>
      </c>
      <c r="B1279" s="19" t="s">
        <v>53</v>
      </c>
      <c r="C1279" s="21" t="s">
        <v>168</v>
      </c>
      <c r="D1279" s="62">
        <v>8.0</v>
      </c>
      <c r="E1279" s="27">
        <v>0.0</v>
      </c>
      <c r="F1279" s="27" t="s">
        <v>1969</v>
      </c>
      <c r="G1279" s="201" t="s">
        <v>57</v>
      </c>
      <c r="H1279" s="27" t="s">
        <v>109</v>
      </c>
      <c r="I1279" s="27"/>
      <c r="J1279" s="33">
        <v>-13.0</v>
      </c>
      <c r="K1279" s="33">
        <v>-15.5</v>
      </c>
      <c r="L1279" s="66">
        <v>60.5</v>
      </c>
      <c r="M1279" s="27" t="s">
        <v>1970</v>
      </c>
      <c r="N1279" s="27">
        <v>-15.5</v>
      </c>
      <c r="O1279" s="27"/>
      <c r="P1279" s="27">
        <v>-15.5</v>
      </c>
      <c r="Q1279" s="27"/>
      <c r="R1279" s="27">
        <v>-15.5</v>
      </c>
      <c r="S1279" s="27"/>
      <c r="T1279" s="27">
        <v>-15.5</v>
      </c>
      <c r="U1279" s="27"/>
      <c r="V1279" s="27">
        <v>-15.5</v>
      </c>
      <c r="W1279" s="27"/>
      <c r="X1279" s="27">
        <v>-15.5</v>
      </c>
      <c r="Y1279" s="27"/>
      <c r="Z1279" s="27">
        <v>-15.5</v>
      </c>
      <c r="AA1279" s="27"/>
      <c r="AB1279" s="27">
        <v>-15.5</v>
      </c>
      <c r="AC1279" s="27"/>
      <c r="AD1279" s="27">
        <v>-15.5</v>
      </c>
      <c r="AE1279" s="27"/>
      <c r="AF1279" s="27" t="s">
        <v>1091</v>
      </c>
      <c r="AG1279" s="27" t="s">
        <v>1091</v>
      </c>
      <c r="AH1279" s="27">
        <v>391.0</v>
      </c>
      <c r="AI1279" s="27">
        <v>135.0</v>
      </c>
      <c r="AJ1279" s="27">
        <v>2.0</v>
      </c>
      <c r="AK1279" s="27" t="b">
        <v>1</v>
      </c>
      <c r="AL1279" s="27">
        <v>100.0</v>
      </c>
      <c r="AM1279" s="27" t="s">
        <v>188</v>
      </c>
      <c r="AN1279" s="27" t="s">
        <v>404</v>
      </c>
      <c r="AO1279" s="27"/>
    </row>
    <row r="1280">
      <c r="A1280" s="200">
        <v>44866.02510496527</v>
      </c>
      <c r="B1280" s="19" t="s">
        <v>53</v>
      </c>
      <c r="C1280" s="21" t="s">
        <v>184</v>
      </c>
      <c r="D1280" s="62">
        <v>5.0</v>
      </c>
      <c r="E1280" s="27">
        <v>3.0</v>
      </c>
      <c r="F1280" s="27" t="s">
        <v>1971</v>
      </c>
      <c r="G1280" s="201" t="s">
        <v>57</v>
      </c>
      <c r="H1280" s="27" t="s">
        <v>148</v>
      </c>
      <c r="I1280" s="27"/>
      <c r="J1280" s="33">
        <v>-3.5</v>
      </c>
      <c r="K1280" s="33">
        <v>-1.5</v>
      </c>
      <c r="L1280" s="66">
        <v>55.5</v>
      </c>
      <c r="M1280" s="27" t="s">
        <v>1972</v>
      </c>
      <c r="N1280" s="27">
        <v>-1.5</v>
      </c>
      <c r="O1280" s="27"/>
      <c r="P1280" s="27">
        <v>-1.5</v>
      </c>
      <c r="Q1280" s="27"/>
      <c r="R1280" s="27">
        <v>-1.5</v>
      </c>
      <c r="S1280" s="27"/>
      <c r="T1280" s="27">
        <v>-1.5</v>
      </c>
      <c r="U1280" s="27"/>
      <c r="V1280" s="27">
        <v>-1.5</v>
      </c>
      <c r="W1280" s="27"/>
      <c r="X1280" s="27">
        <v>-1.5</v>
      </c>
      <c r="Y1280" s="27"/>
      <c r="Z1280" s="27">
        <v>-1.5</v>
      </c>
      <c r="AA1280" s="27"/>
      <c r="AB1280" s="27">
        <v>-1.5</v>
      </c>
      <c r="AC1280" s="27"/>
      <c r="AD1280" s="27" t="s">
        <v>1091</v>
      </c>
      <c r="AE1280" s="27" t="s">
        <v>1091</v>
      </c>
      <c r="AF1280" s="27" t="s">
        <v>1091</v>
      </c>
      <c r="AG1280" s="27" t="s">
        <v>1091</v>
      </c>
      <c r="AH1280" s="27">
        <v>264.0</v>
      </c>
      <c r="AI1280" s="27">
        <v>230.0</v>
      </c>
      <c r="AJ1280" s="27">
        <v>2.0</v>
      </c>
      <c r="AK1280" s="27" t="b">
        <v>0</v>
      </c>
      <c r="AL1280" s="27">
        <v>100.0</v>
      </c>
      <c r="AM1280" s="27" t="s">
        <v>187</v>
      </c>
      <c r="AN1280" s="27" t="s">
        <v>404</v>
      </c>
      <c r="AO1280" s="27"/>
    </row>
    <row r="1281">
      <c r="A1281" s="200">
        <v>44866.02510496527</v>
      </c>
      <c r="B1281" s="19" t="s">
        <v>53</v>
      </c>
      <c r="C1281" s="21" t="s">
        <v>155</v>
      </c>
      <c r="D1281" s="62">
        <v>3.0</v>
      </c>
      <c r="E1281" s="27">
        <v>5.0</v>
      </c>
      <c r="F1281" s="27" t="s">
        <v>1973</v>
      </c>
      <c r="G1281" s="201" t="s">
        <v>183</v>
      </c>
      <c r="H1281" s="27" t="s">
        <v>144</v>
      </c>
      <c r="I1281" s="27"/>
      <c r="J1281" s="33">
        <v>2.5</v>
      </c>
      <c r="K1281" s="33">
        <v>2.5</v>
      </c>
      <c r="L1281" s="66">
        <v>47.5</v>
      </c>
      <c r="M1281" s="27" t="s">
        <v>1974</v>
      </c>
      <c r="N1281" s="27">
        <v>2.5</v>
      </c>
      <c r="O1281" s="27"/>
      <c r="P1281" s="27">
        <v>2.0</v>
      </c>
      <c r="Q1281" s="27"/>
      <c r="R1281" s="27">
        <v>2.0</v>
      </c>
      <c r="S1281" s="27"/>
      <c r="T1281" s="27">
        <v>2.5</v>
      </c>
      <c r="U1281" s="27"/>
      <c r="V1281" s="27">
        <v>2.0</v>
      </c>
      <c r="W1281" s="27"/>
      <c r="X1281" s="27">
        <v>2.5</v>
      </c>
      <c r="Y1281" s="27"/>
      <c r="Z1281" s="27">
        <v>2.0</v>
      </c>
      <c r="AA1281" s="27"/>
      <c r="AB1281" s="27">
        <v>2.5</v>
      </c>
      <c r="AC1281" s="27"/>
      <c r="AD1281" s="27">
        <v>2.5</v>
      </c>
      <c r="AE1281" s="27"/>
      <c r="AF1281" s="27" t="s">
        <v>1091</v>
      </c>
      <c r="AG1281" s="27" t="s">
        <v>1091</v>
      </c>
      <c r="AH1281" s="27">
        <v>135.0</v>
      </c>
      <c r="AI1281" s="27">
        <v>172.0</v>
      </c>
      <c r="AJ1281" s="27">
        <v>2.0</v>
      </c>
      <c r="AK1281" s="27" t="b">
        <v>0</v>
      </c>
      <c r="AL1281" s="27">
        <v>100.0</v>
      </c>
      <c r="AM1281" s="27" t="s">
        <v>186</v>
      </c>
      <c r="AN1281" s="27" t="s">
        <v>404</v>
      </c>
      <c r="AO1281" s="27"/>
    </row>
    <row r="1282">
      <c r="A1282" s="200">
        <v>44866.02510496527</v>
      </c>
      <c r="B1282" s="19"/>
      <c r="C1282" s="21"/>
      <c r="D1282" s="62"/>
      <c r="E1282" s="27"/>
      <c r="F1282" s="27"/>
      <c r="G1282" s="201"/>
      <c r="H1282" s="27"/>
      <c r="I1282" s="27"/>
      <c r="J1282" s="33"/>
      <c r="K1282" s="33"/>
      <c r="L1282" s="66"/>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t="e">
        <v>#N/A</v>
      </c>
      <c r="AN1282" s="27" t="e">
        <v>#N/A</v>
      </c>
      <c r="AO1282" s="27"/>
    </row>
    <row r="1283">
      <c r="A1283" s="200">
        <v>44866.02510496527</v>
      </c>
      <c r="B1283" s="19" t="s">
        <v>131</v>
      </c>
      <c r="C1283" s="21" t="s">
        <v>197</v>
      </c>
      <c r="D1283" s="62">
        <v>4.0</v>
      </c>
      <c r="E1283" s="27">
        <v>4.0</v>
      </c>
      <c r="F1283" s="27"/>
      <c r="G1283" s="201"/>
      <c r="H1283" s="27"/>
      <c r="I1283" s="27" t="s">
        <v>101</v>
      </c>
      <c r="J1283" s="33"/>
      <c r="K1283" s="33"/>
      <c r="L1283" s="66"/>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v>254.0</v>
      </c>
      <c r="AI1283" s="27">
        <v>175.0</v>
      </c>
      <c r="AJ1283" s="27">
        <v>0.0</v>
      </c>
      <c r="AK1283" s="27" t="b">
        <v>1</v>
      </c>
      <c r="AL1283" s="27">
        <v>59.0</v>
      </c>
      <c r="AM1283" s="27" t="s">
        <v>188</v>
      </c>
      <c r="AN1283" s="27" t="s">
        <v>404</v>
      </c>
      <c r="AO1283" s="27"/>
    </row>
    <row r="1284">
      <c r="A1284" s="200">
        <v>44866.02510496527</v>
      </c>
      <c r="B1284" s="19" t="s">
        <v>131</v>
      </c>
      <c r="C1284" s="21" t="s">
        <v>206</v>
      </c>
      <c r="D1284" s="62">
        <v>8.0</v>
      </c>
      <c r="E1284" s="27">
        <v>0.0</v>
      </c>
      <c r="F1284" s="27"/>
      <c r="G1284" s="201"/>
      <c r="H1284" s="27"/>
      <c r="I1284" s="27" t="s">
        <v>70</v>
      </c>
      <c r="J1284" s="33"/>
      <c r="K1284" s="33"/>
      <c r="L1284" s="66"/>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v>297.0</v>
      </c>
      <c r="AI1284" s="27">
        <v>159.0</v>
      </c>
      <c r="AJ1284" s="27">
        <v>0.0</v>
      </c>
      <c r="AK1284" s="27" t="b">
        <v>1</v>
      </c>
      <c r="AL1284" s="27">
        <v>59.0</v>
      </c>
      <c r="AM1284" s="27" t="s">
        <v>186</v>
      </c>
      <c r="AN1284" s="27" t="s">
        <v>404</v>
      </c>
      <c r="AO1284" s="27"/>
    </row>
    <row r="1285">
      <c r="A1285" s="200">
        <v>44866.02510496527</v>
      </c>
      <c r="B1285" s="19" t="s">
        <v>131</v>
      </c>
      <c r="C1285" s="21" t="s">
        <v>199</v>
      </c>
      <c r="D1285" s="62">
        <v>2.0</v>
      </c>
      <c r="E1285" s="27">
        <v>6.0</v>
      </c>
      <c r="F1285" s="27"/>
      <c r="G1285" s="201"/>
      <c r="H1285" s="27"/>
      <c r="I1285" s="27" t="s">
        <v>149</v>
      </c>
      <c r="J1285" s="33"/>
      <c r="K1285" s="33"/>
      <c r="L1285" s="66"/>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v>180.0</v>
      </c>
      <c r="AI1285" s="27">
        <v>301.0</v>
      </c>
      <c r="AJ1285" s="27">
        <v>0.0</v>
      </c>
      <c r="AK1285" s="27" t="b">
        <v>1</v>
      </c>
      <c r="AL1285" s="27">
        <v>59.0</v>
      </c>
      <c r="AM1285" s="27" t="s">
        <v>193</v>
      </c>
      <c r="AN1285" s="27" t="s">
        <v>405</v>
      </c>
      <c r="AO1285" s="27"/>
    </row>
    <row r="1286">
      <c r="A1286" s="200">
        <v>44866.02510496527</v>
      </c>
      <c r="B1286" s="19" t="s">
        <v>131</v>
      </c>
      <c r="C1286" s="21" t="s">
        <v>217</v>
      </c>
      <c r="D1286" s="62">
        <v>5.0</v>
      </c>
      <c r="E1286" s="27">
        <v>3.0</v>
      </c>
      <c r="F1286" s="27"/>
      <c r="G1286" s="201"/>
      <c r="H1286" s="27"/>
      <c r="I1286" s="27" t="s">
        <v>88</v>
      </c>
      <c r="J1286" s="33"/>
      <c r="K1286" s="33"/>
      <c r="L1286" s="66"/>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v>304.0</v>
      </c>
      <c r="AI1286" s="27">
        <v>245.0</v>
      </c>
      <c r="AJ1286" s="27">
        <v>0.0</v>
      </c>
      <c r="AK1286" s="27" t="b">
        <v>1</v>
      </c>
      <c r="AL1286" s="27">
        <v>59.0</v>
      </c>
      <c r="AM1286" s="27" t="s">
        <v>187</v>
      </c>
      <c r="AN1286" s="27" t="s">
        <v>404</v>
      </c>
      <c r="AO1286" s="27"/>
    </row>
    <row r="1287">
      <c r="A1287" s="200">
        <v>44866.02510496527</v>
      </c>
      <c r="B1287" s="19" t="s">
        <v>131</v>
      </c>
      <c r="C1287" s="21" t="s">
        <v>219</v>
      </c>
      <c r="D1287" s="62">
        <v>4.0</v>
      </c>
      <c r="E1287" s="27">
        <v>4.0</v>
      </c>
      <c r="F1287" s="27" t="s">
        <v>1975</v>
      </c>
      <c r="G1287" s="201" t="s">
        <v>57</v>
      </c>
      <c r="H1287" s="27" t="s">
        <v>144</v>
      </c>
      <c r="I1287" s="27"/>
      <c r="J1287" s="33">
        <v>8.0</v>
      </c>
      <c r="K1287" s="33">
        <v>8.5</v>
      </c>
      <c r="L1287" s="66">
        <v>40.5</v>
      </c>
      <c r="M1287" s="27" t="s">
        <v>1976</v>
      </c>
      <c r="N1287" s="27">
        <v>8.5</v>
      </c>
      <c r="O1287" s="27"/>
      <c r="P1287" s="27">
        <v>8.5</v>
      </c>
      <c r="Q1287" s="27"/>
      <c r="R1287" s="27">
        <v>8.5</v>
      </c>
      <c r="S1287" s="27"/>
      <c r="T1287" s="27">
        <v>8.5</v>
      </c>
      <c r="U1287" s="27"/>
      <c r="V1287" s="27">
        <v>8.5</v>
      </c>
      <c r="W1287" s="27"/>
      <c r="X1287" s="27">
        <v>8.5</v>
      </c>
      <c r="Y1287" s="27"/>
      <c r="Z1287" s="27">
        <v>8.5</v>
      </c>
      <c r="AA1287" s="27"/>
      <c r="AB1287" s="27">
        <v>8.5</v>
      </c>
      <c r="AC1287" s="27"/>
      <c r="AD1287" s="27">
        <v>8.5</v>
      </c>
      <c r="AE1287" s="27"/>
      <c r="AF1287" s="27" t="s">
        <v>1091</v>
      </c>
      <c r="AG1287" s="27" t="s">
        <v>1091</v>
      </c>
      <c r="AH1287" s="27">
        <v>162.0</v>
      </c>
      <c r="AI1287" s="27">
        <v>182.0</v>
      </c>
      <c r="AJ1287" s="27">
        <v>2.0</v>
      </c>
      <c r="AK1287" s="27" t="b">
        <v>1</v>
      </c>
      <c r="AL1287" s="27">
        <v>100.0</v>
      </c>
      <c r="AM1287" s="27" t="s">
        <v>129</v>
      </c>
      <c r="AN1287" s="27" t="s">
        <v>405</v>
      </c>
      <c r="AO1287" s="27"/>
    </row>
    <row r="1288">
      <c r="A1288" s="200">
        <v>44866.02510496527</v>
      </c>
      <c r="B1288" s="19" t="s">
        <v>131</v>
      </c>
      <c r="C1288" s="21" t="s">
        <v>214</v>
      </c>
      <c r="D1288" s="62">
        <v>8.0</v>
      </c>
      <c r="E1288" s="27">
        <v>0.0</v>
      </c>
      <c r="F1288" s="27" t="s">
        <v>1977</v>
      </c>
      <c r="G1288" s="201" t="s">
        <v>57</v>
      </c>
      <c r="H1288" s="27" t="s">
        <v>59</v>
      </c>
      <c r="I1288" s="27"/>
      <c r="J1288" s="33">
        <v>-3.5</v>
      </c>
      <c r="K1288" s="33">
        <v>-12.5</v>
      </c>
      <c r="L1288" s="66">
        <v>63.5</v>
      </c>
      <c r="M1288" s="27" t="s">
        <v>1411</v>
      </c>
      <c r="N1288" s="27">
        <v>-12.5</v>
      </c>
      <c r="O1288" s="27"/>
      <c r="P1288" s="27">
        <v>-12.5</v>
      </c>
      <c r="Q1288" s="27"/>
      <c r="R1288" s="27">
        <v>-12.5</v>
      </c>
      <c r="S1288" s="27"/>
      <c r="T1288" s="27">
        <v>-12.5</v>
      </c>
      <c r="U1288" s="27"/>
      <c r="V1288" s="27">
        <v>-12.5</v>
      </c>
      <c r="W1288" s="27"/>
      <c r="X1288" s="27">
        <v>-13.0</v>
      </c>
      <c r="Y1288" s="27"/>
      <c r="Z1288" s="27">
        <v>-12.5</v>
      </c>
      <c r="AA1288" s="27"/>
      <c r="AB1288" s="27">
        <v>-12.5</v>
      </c>
      <c r="AC1288" s="27"/>
      <c r="AD1288" s="27">
        <v>-12.5</v>
      </c>
      <c r="AE1288" s="27"/>
      <c r="AF1288" s="27" t="s">
        <v>1091</v>
      </c>
      <c r="AG1288" s="27" t="s">
        <v>1091</v>
      </c>
      <c r="AH1288" s="27">
        <v>395.0</v>
      </c>
      <c r="AI1288" s="27">
        <v>168.0</v>
      </c>
      <c r="AJ1288" s="27">
        <v>2.0</v>
      </c>
      <c r="AK1288" s="27" t="b">
        <v>1</v>
      </c>
      <c r="AL1288" s="27">
        <v>100.0</v>
      </c>
      <c r="AM1288" s="27" t="s">
        <v>192</v>
      </c>
      <c r="AN1288" s="27" t="s">
        <v>404</v>
      </c>
      <c r="AO1288" s="27"/>
    </row>
    <row r="1289">
      <c r="A1289" s="200">
        <v>44866.02510496527</v>
      </c>
      <c r="B1289" s="19" t="s">
        <v>131</v>
      </c>
      <c r="C1289" s="21" t="s">
        <v>204</v>
      </c>
      <c r="D1289" s="62">
        <v>5.0</v>
      </c>
      <c r="E1289" s="27">
        <v>4.0</v>
      </c>
      <c r="F1289" s="27" t="s">
        <v>1978</v>
      </c>
      <c r="G1289" s="201" t="s">
        <v>57</v>
      </c>
      <c r="H1289" s="27" t="s">
        <v>178</v>
      </c>
      <c r="I1289" s="27"/>
      <c r="J1289" s="33">
        <v>9.5</v>
      </c>
      <c r="K1289" s="33">
        <v>10.5</v>
      </c>
      <c r="L1289" s="66">
        <v>68.5</v>
      </c>
      <c r="M1289" s="27" t="s">
        <v>1208</v>
      </c>
      <c r="N1289" s="27">
        <v>10.5</v>
      </c>
      <c r="O1289" s="27"/>
      <c r="P1289" s="27">
        <v>10.0</v>
      </c>
      <c r="Q1289" s="27"/>
      <c r="R1289" s="27">
        <v>10.0</v>
      </c>
      <c r="S1289" s="27"/>
      <c r="T1289" s="27">
        <v>10.5</v>
      </c>
      <c r="U1289" s="27"/>
      <c r="V1289" s="27">
        <v>10.0</v>
      </c>
      <c r="W1289" s="27"/>
      <c r="X1289" s="27">
        <v>10.0</v>
      </c>
      <c r="Y1289" s="27"/>
      <c r="Z1289" s="27">
        <v>10.5</v>
      </c>
      <c r="AA1289" s="27"/>
      <c r="AB1289" s="27">
        <v>10.5</v>
      </c>
      <c r="AC1289" s="27"/>
      <c r="AD1289" s="27">
        <v>10.5</v>
      </c>
      <c r="AE1289" s="27"/>
      <c r="AF1289" s="27" t="s">
        <v>1091</v>
      </c>
      <c r="AG1289" s="27" t="s">
        <v>1091</v>
      </c>
      <c r="AH1289" s="27">
        <v>320.0</v>
      </c>
      <c r="AI1289" s="27">
        <v>289.0</v>
      </c>
      <c r="AJ1289" s="27">
        <v>2.0</v>
      </c>
      <c r="AK1289" s="27" t="b">
        <v>1</v>
      </c>
      <c r="AL1289" s="27">
        <v>100.0</v>
      </c>
      <c r="AM1289" s="27" t="s">
        <v>189</v>
      </c>
      <c r="AN1289" s="27" t="s">
        <v>405</v>
      </c>
      <c r="AO1289" s="27"/>
    </row>
    <row r="1290">
      <c r="A1290" s="200">
        <v>44866.02510496527</v>
      </c>
      <c r="B1290" s="19" t="s">
        <v>131</v>
      </c>
      <c r="C1290" s="21" t="s">
        <v>208</v>
      </c>
      <c r="D1290" s="62">
        <v>4.0</v>
      </c>
      <c r="E1290" s="27">
        <v>5.0</v>
      </c>
      <c r="F1290" s="27" t="s">
        <v>1979</v>
      </c>
      <c r="G1290" s="201" t="s">
        <v>57</v>
      </c>
      <c r="H1290" s="27" t="s">
        <v>141</v>
      </c>
      <c r="I1290" s="27"/>
      <c r="J1290" s="33">
        <v>-9.0</v>
      </c>
      <c r="K1290" s="33">
        <v>-8.5</v>
      </c>
      <c r="L1290" s="66">
        <v>47.5</v>
      </c>
      <c r="M1290" s="27" t="s">
        <v>1980</v>
      </c>
      <c r="N1290" s="27">
        <v>-8.5</v>
      </c>
      <c r="O1290" s="27"/>
      <c r="P1290" s="27">
        <v>-8.5</v>
      </c>
      <c r="Q1290" s="27"/>
      <c r="R1290" s="27">
        <v>-8.5</v>
      </c>
      <c r="S1290" s="27"/>
      <c r="T1290" s="27">
        <v>-8.5</v>
      </c>
      <c r="U1290" s="27"/>
      <c r="V1290" s="27">
        <v>-8.5</v>
      </c>
      <c r="W1290" s="27"/>
      <c r="X1290" s="27">
        <v>-8.5</v>
      </c>
      <c r="Y1290" s="27"/>
      <c r="Z1290" s="27">
        <v>-8.5</v>
      </c>
      <c r="AA1290" s="27"/>
      <c r="AB1290" s="27" t="s">
        <v>1091</v>
      </c>
      <c r="AC1290" s="27" t="s">
        <v>1091</v>
      </c>
      <c r="AD1290" s="27" t="s">
        <v>1091</v>
      </c>
      <c r="AE1290" s="27" t="s">
        <v>1091</v>
      </c>
      <c r="AF1290" s="27" t="s">
        <v>1091</v>
      </c>
      <c r="AG1290" s="27" t="s">
        <v>1091</v>
      </c>
      <c r="AH1290" s="27">
        <v>175.0</v>
      </c>
      <c r="AI1290" s="27">
        <v>193.0</v>
      </c>
      <c r="AJ1290" s="27">
        <v>2.0</v>
      </c>
      <c r="AK1290" s="27" t="b">
        <v>0</v>
      </c>
      <c r="AL1290" s="27">
        <v>100.0</v>
      </c>
      <c r="AM1290" s="27" t="s">
        <v>190</v>
      </c>
      <c r="AN1290" s="27" t="s">
        <v>405</v>
      </c>
      <c r="AO1290" s="27"/>
    </row>
    <row r="1291">
      <c r="A1291" s="200">
        <v>44866.02510496527</v>
      </c>
      <c r="B1291" s="19" t="s">
        <v>131</v>
      </c>
      <c r="C1291" s="21" t="s">
        <v>210</v>
      </c>
      <c r="D1291" s="62">
        <v>1.0</v>
      </c>
      <c r="E1291" s="27">
        <v>7.0</v>
      </c>
      <c r="F1291" s="27" t="s">
        <v>1981</v>
      </c>
      <c r="G1291" s="201" t="s">
        <v>57</v>
      </c>
      <c r="H1291" s="27" t="s">
        <v>154</v>
      </c>
      <c r="I1291" s="27"/>
      <c r="J1291" s="33">
        <v>18.0</v>
      </c>
      <c r="K1291" s="33">
        <v>17.5</v>
      </c>
      <c r="L1291" s="66">
        <v>61.0</v>
      </c>
      <c r="M1291" s="27" t="s">
        <v>1982</v>
      </c>
      <c r="N1291" s="27">
        <v>17.5</v>
      </c>
      <c r="O1291" s="27"/>
      <c r="P1291" s="27">
        <v>17.5</v>
      </c>
      <c r="Q1291" s="27"/>
      <c r="R1291" s="27">
        <v>17.5</v>
      </c>
      <c r="S1291" s="27"/>
      <c r="T1291" s="27">
        <v>17.5</v>
      </c>
      <c r="U1291" s="27"/>
      <c r="V1291" s="27">
        <v>17.5</v>
      </c>
      <c r="W1291" s="27"/>
      <c r="X1291" s="27">
        <v>17.5</v>
      </c>
      <c r="Y1291" s="27"/>
      <c r="Z1291" s="27">
        <v>17.5</v>
      </c>
      <c r="AA1291" s="27"/>
      <c r="AB1291" s="27">
        <v>17.5</v>
      </c>
      <c r="AC1291" s="27"/>
      <c r="AD1291" s="27">
        <v>17.5</v>
      </c>
      <c r="AE1291" s="27"/>
      <c r="AF1291" s="27" t="s">
        <v>1091</v>
      </c>
      <c r="AG1291" s="27" t="s">
        <v>1091</v>
      </c>
      <c r="AH1291" s="27">
        <v>204.0</v>
      </c>
      <c r="AI1291" s="27">
        <v>305.0</v>
      </c>
      <c r="AJ1291" s="27">
        <v>2.0</v>
      </c>
      <c r="AK1291" s="27" t="b">
        <v>0</v>
      </c>
      <c r="AL1291" s="27">
        <v>100.0</v>
      </c>
      <c r="AM1291" s="27" t="s">
        <v>389</v>
      </c>
      <c r="AN1291" s="27" t="s">
        <v>405</v>
      </c>
      <c r="AO1291" s="27"/>
    </row>
    <row r="1292">
      <c r="A1292" s="200">
        <v>44866.02510496527</v>
      </c>
      <c r="B1292" s="19" t="s">
        <v>131</v>
      </c>
      <c r="C1292" s="21" t="s">
        <v>222</v>
      </c>
      <c r="D1292" s="62">
        <v>4.0</v>
      </c>
      <c r="E1292" s="27">
        <v>4.0</v>
      </c>
      <c r="F1292" s="27" t="s">
        <v>1983</v>
      </c>
      <c r="G1292" s="201" t="s">
        <v>57</v>
      </c>
      <c r="H1292" s="27" t="s">
        <v>154</v>
      </c>
      <c r="I1292" s="27"/>
      <c r="J1292" s="33">
        <v>7.0</v>
      </c>
      <c r="K1292" s="33">
        <v>8.0</v>
      </c>
      <c r="L1292" s="66">
        <v>55.5</v>
      </c>
      <c r="M1292" s="27" t="s">
        <v>1984</v>
      </c>
      <c r="N1292" s="27">
        <v>8.5</v>
      </c>
      <c r="O1292" s="27"/>
      <c r="P1292" s="27">
        <v>7.5</v>
      </c>
      <c r="Q1292" s="27"/>
      <c r="R1292" s="27">
        <v>7.5</v>
      </c>
      <c r="S1292" s="27"/>
      <c r="T1292" s="27">
        <v>8.0</v>
      </c>
      <c r="U1292" s="27"/>
      <c r="V1292" s="27">
        <v>7.5</v>
      </c>
      <c r="W1292" s="27"/>
      <c r="X1292" s="27">
        <v>7.5</v>
      </c>
      <c r="Y1292" s="27"/>
      <c r="Z1292" s="27">
        <v>7.5</v>
      </c>
      <c r="AA1292" s="27"/>
      <c r="AB1292" s="27">
        <v>8.0</v>
      </c>
      <c r="AC1292" s="27"/>
      <c r="AD1292" s="27">
        <v>8.0</v>
      </c>
      <c r="AE1292" s="27"/>
      <c r="AF1292" s="27" t="s">
        <v>1091</v>
      </c>
      <c r="AG1292" s="27" t="s">
        <v>1091</v>
      </c>
      <c r="AH1292" s="27">
        <v>189.0</v>
      </c>
      <c r="AI1292" s="27">
        <v>166.0</v>
      </c>
      <c r="AJ1292" s="27">
        <v>2.0</v>
      </c>
      <c r="AK1292" s="27" t="b">
        <v>0</v>
      </c>
      <c r="AL1292" s="27">
        <v>100.0</v>
      </c>
      <c r="AM1292" s="27" t="s">
        <v>191</v>
      </c>
      <c r="AN1292" s="27" t="s">
        <v>404</v>
      </c>
      <c r="AO1292" s="27"/>
    </row>
    <row r="1293">
      <c r="A1293" s="200">
        <v>44866.02510496527</v>
      </c>
      <c r="B1293" s="19"/>
      <c r="C1293" s="21"/>
      <c r="D1293" s="62"/>
      <c r="E1293" s="27"/>
      <c r="F1293" s="27"/>
      <c r="G1293" s="201"/>
      <c r="H1293" s="27"/>
      <c r="I1293" s="27"/>
      <c r="J1293" s="33"/>
      <c r="K1293" s="33"/>
      <c r="L1293" s="66"/>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t="e">
        <v>#N/A</v>
      </c>
      <c r="AN1293" s="27" t="e">
        <v>#N/A</v>
      </c>
      <c r="AO1293" s="27"/>
    </row>
    <row r="1294">
      <c r="A1294" s="200">
        <v>44866.02510496527</v>
      </c>
      <c r="B1294" s="19" t="s">
        <v>178</v>
      </c>
      <c r="C1294" s="21" t="s">
        <v>269</v>
      </c>
      <c r="D1294" s="62">
        <v>5.0</v>
      </c>
      <c r="E1294" s="27">
        <v>3.0</v>
      </c>
      <c r="F1294" s="27"/>
      <c r="G1294" s="201"/>
      <c r="H1294" s="27"/>
      <c r="I1294" s="27" t="s">
        <v>105</v>
      </c>
      <c r="J1294" s="33"/>
      <c r="K1294" s="33"/>
      <c r="L1294" s="66"/>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v>254.0</v>
      </c>
      <c r="AI1294" s="27">
        <v>183.0</v>
      </c>
      <c r="AJ1294" s="27">
        <v>0.0</v>
      </c>
      <c r="AK1294" s="27" t="b">
        <v>1</v>
      </c>
      <c r="AL1294" s="27">
        <v>59.0</v>
      </c>
      <c r="AM1294" s="27" t="s">
        <v>192</v>
      </c>
      <c r="AN1294" s="27" t="s">
        <v>404</v>
      </c>
      <c r="AO1294" s="27"/>
    </row>
    <row r="1295">
      <c r="A1295" s="200">
        <v>44866.02510496527</v>
      </c>
      <c r="B1295" s="19" t="s">
        <v>178</v>
      </c>
      <c r="C1295" s="21" t="s">
        <v>263</v>
      </c>
      <c r="D1295" s="62">
        <v>2.0</v>
      </c>
      <c r="E1295" s="27">
        <v>6.0</v>
      </c>
      <c r="F1295" s="27"/>
      <c r="G1295" s="201"/>
      <c r="H1295" s="27"/>
      <c r="I1295" s="27" t="s">
        <v>126</v>
      </c>
      <c r="J1295" s="33"/>
      <c r="K1295" s="33"/>
      <c r="L1295" s="66"/>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v>134.0</v>
      </c>
      <c r="AI1295" s="27">
        <v>199.0</v>
      </c>
      <c r="AJ1295" s="27">
        <v>0.0</v>
      </c>
      <c r="AK1295" s="27" t="b">
        <v>1</v>
      </c>
      <c r="AL1295" s="27">
        <v>59.0</v>
      </c>
      <c r="AM1295" s="27" t="s">
        <v>129</v>
      </c>
      <c r="AN1295" s="27" t="s">
        <v>405</v>
      </c>
      <c r="AO1295" s="27"/>
    </row>
    <row r="1296">
      <c r="A1296" s="200">
        <v>44866.02510496527</v>
      </c>
      <c r="B1296" s="19" t="s">
        <v>178</v>
      </c>
      <c r="C1296" s="21" t="s">
        <v>257</v>
      </c>
      <c r="D1296" s="62">
        <v>5.0</v>
      </c>
      <c r="E1296" s="27">
        <v>3.0</v>
      </c>
      <c r="F1296" s="27"/>
      <c r="G1296" s="201"/>
      <c r="H1296" s="27"/>
      <c r="I1296" s="27" t="s">
        <v>133</v>
      </c>
      <c r="J1296" s="33"/>
      <c r="K1296" s="33"/>
      <c r="L1296" s="66"/>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v>295.0</v>
      </c>
      <c r="AI1296" s="27">
        <v>243.0</v>
      </c>
      <c r="AJ1296" s="27">
        <v>0.0</v>
      </c>
      <c r="AK1296" s="27" t="b">
        <v>1</v>
      </c>
      <c r="AL1296" s="27">
        <v>59.0</v>
      </c>
      <c r="AM1296" s="27" t="s">
        <v>193</v>
      </c>
      <c r="AN1296" s="27" t="s">
        <v>405</v>
      </c>
      <c r="AO1296" s="27"/>
    </row>
    <row r="1297">
      <c r="A1297" s="200">
        <v>44866.02510496527</v>
      </c>
      <c r="B1297" s="19" t="s">
        <v>178</v>
      </c>
      <c r="C1297" s="21" t="s">
        <v>267</v>
      </c>
      <c r="D1297" s="62">
        <v>7.0</v>
      </c>
      <c r="E1297" s="27">
        <v>1.0</v>
      </c>
      <c r="F1297" s="27"/>
      <c r="G1297" s="201"/>
      <c r="H1297" s="27"/>
      <c r="I1297" s="27" t="s">
        <v>119</v>
      </c>
      <c r="J1297" s="33"/>
      <c r="K1297" s="33"/>
      <c r="L1297" s="66"/>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v>269.0</v>
      </c>
      <c r="AI1297" s="27">
        <v>139.0</v>
      </c>
      <c r="AJ1297" s="27">
        <v>0.0</v>
      </c>
      <c r="AK1297" s="27" t="b">
        <v>1</v>
      </c>
      <c r="AL1297" s="27">
        <v>59.0</v>
      </c>
      <c r="AM1297" s="27" t="s">
        <v>389</v>
      </c>
      <c r="AN1297" s="27" t="s">
        <v>405</v>
      </c>
      <c r="AO1297" s="27"/>
    </row>
    <row r="1298">
      <c r="A1298" s="200">
        <v>44866.02510496527</v>
      </c>
      <c r="B1298" s="19" t="s">
        <v>178</v>
      </c>
      <c r="C1298" s="21" t="s">
        <v>261</v>
      </c>
      <c r="D1298" s="62">
        <v>7.0</v>
      </c>
      <c r="E1298" s="27">
        <v>1.0</v>
      </c>
      <c r="F1298" s="27" t="s">
        <v>1985</v>
      </c>
      <c r="G1298" s="201" t="s">
        <v>57</v>
      </c>
      <c r="H1298" s="27" t="s">
        <v>138</v>
      </c>
      <c r="I1298" s="27"/>
      <c r="J1298" s="33">
        <v>-14.5</v>
      </c>
      <c r="K1298" s="33">
        <v>-16.5</v>
      </c>
      <c r="L1298" s="66">
        <v>64.5</v>
      </c>
      <c r="M1298" s="27" t="s">
        <v>1986</v>
      </c>
      <c r="N1298" s="27">
        <v>-16.5</v>
      </c>
      <c r="O1298" s="27"/>
      <c r="P1298" s="27">
        <v>-16.5</v>
      </c>
      <c r="Q1298" s="27"/>
      <c r="R1298" s="27">
        <v>-16.5</v>
      </c>
      <c r="S1298" s="27"/>
      <c r="T1298" s="27">
        <v>-16.5</v>
      </c>
      <c r="U1298" s="27"/>
      <c r="V1298" s="27">
        <v>-16.5</v>
      </c>
      <c r="W1298" s="27"/>
      <c r="X1298" s="27">
        <v>-16.5</v>
      </c>
      <c r="Y1298" s="27"/>
      <c r="Z1298" s="27">
        <v>-16.5</v>
      </c>
      <c r="AA1298" s="27"/>
      <c r="AB1298" s="27">
        <v>-16.5</v>
      </c>
      <c r="AC1298" s="27"/>
      <c r="AD1298" s="27">
        <v>-16.5</v>
      </c>
      <c r="AE1298" s="27"/>
      <c r="AF1298" s="27" t="s">
        <v>1091</v>
      </c>
      <c r="AG1298" s="27" t="s">
        <v>1091</v>
      </c>
      <c r="AH1298" s="27">
        <v>317.0</v>
      </c>
      <c r="AI1298" s="27">
        <v>194.0</v>
      </c>
      <c r="AJ1298" s="27">
        <v>2.0</v>
      </c>
      <c r="AK1298" s="27" t="b">
        <v>1</v>
      </c>
      <c r="AL1298" s="27">
        <v>100.0</v>
      </c>
      <c r="AM1298" s="27" t="s">
        <v>191</v>
      </c>
      <c r="AN1298" s="27" t="s">
        <v>404</v>
      </c>
      <c r="AO1298" s="27"/>
    </row>
    <row r="1299">
      <c r="A1299" s="200">
        <v>44866.02510496527</v>
      </c>
      <c r="B1299" s="19" t="s">
        <v>178</v>
      </c>
      <c r="C1299" s="21" t="s">
        <v>272</v>
      </c>
      <c r="D1299" s="62">
        <v>4.0</v>
      </c>
      <c r="E1299" s="27">
        <v>4.0</v>
      </c>
      <c r="F1299" s="27" t="s">
        <v>1987</v>
      </c>
      <c r="G1299" s="201" t="s">
        <v>57</v>
      </c>
      <c r="H1299" s="27" t="s">
        <v>154</v>
      </c>
      <c r="I1299" s="27"/>
      <c r="J1299" s="33">
        <v>-1.0</v>
      </c>
      <c r="K1299" s="33">
        <v>-2.5</v>
      </c>
      <c r="L1299" s="66">
        <v>61.5</v>
      </c>
      <c r="M1299" s="27" t="s">
        <v>1988</v>
      </c>
      <c r="N1299" s="27">
        <v>-2.5</v>
      </c>
      <c r="O1299" s="27"/>
      <c r="P1299" s="27">
        <v>-2.5</v>
      </c>
      <c r="Q1299" s="27"/>
      <c r="R1299" s="27">
        <v>-2.5</v>
      </c>
      <c r="S1299" s="27"/>
      <c r="T1299" s="27">
        <v>-2.5</v>
      </c>
      <c r="U1299" s="27"/>
      <c r="V1299" s="27">
        <v>-2.5</v>
      </c>
      <c r="W1299" s="27"/>
      <c r="X1299" s="27">
        <v>-2.5</v>
      </c>
      <c r="Y1299" s="27"/>
      <c r="Z1299" s="27">
        <v>-2.5</v>
      </c>
      <c r="AA1299" s="27"/>
      <c r="AB1299" s="27">
        <v>-2.5</v>
      </c>
      <c r="AC1299" s="27"/>
      <c r="AD1299" s="27">
        <v>-2.5</v>
      </c>
      <c r="AE1299" s="27"/>
      <c r="AF1299" s="27" t="s">
        <v>1091</v>
      </c>
      <c r="AG1299" s="27" t="s">
        <v>1091</v>
      </c>
      <c r="AH1299" s="27">
        <v>271.0</v>
      </c>
      <c r="AI1299" s="27">
        <v>234.0</v>
      </c>
      <c r="AJ1299" s="27">
        <v>2.0</v>
      </c>
      <c r="AK1299" s="27" t="b">
        <v>1</v>
      </c>
      <c r="AL1299" s="27">
        <v>100.0</v>
      </c>
      <c r="AM1299" s="27" t="s">
        <v>187</v>
      </c>
      <c r="AN1299" s="27" t="s">
        <v>404</v>
      </c>
      <c r="AO1299" s="27"/>
    </row>
    <row r="1300">
      <c r="A1300" s="200">
        <v>44866.02510496527</v>
      </c>
      <c r="B1300" s="19" t="s">
        <v>178</v>
      </c>
      <c r="C1300" s="21" t="s">
        <v>259</v>
      </c>
      <c r="D1300" s="62">
        <v>6.0</v>
      </c>
      <c r="E1300" s="27">
        <v>2.0</v>
      </c>
      <c r="F1300" s="27" t="s">
        <v>1989</v>
      </c>
      <c r="G1300" s="201" t="s">
        <v>57</v>
      </c>
      <c r="H1300" s="27" t="s">
        <v>141</v>
      </c>
      <c r="I1300" s="27"/>
      <c r="J1300" s="33">
        <v>-6.5</v>
      </c>
      <c r="K1300" s="33">
        <v>-4.0</v>
      </c>
      <c r="L1300" s="66">
        <v>62.5</v>
      </c>
      <c r="M1300" s="27" t="s">
        <v>1990</v>
      </c>
      <c r="N1300" s="27">
        <v>-4.5</v>
      </c>
      <c r="O1300" s="27"/>
      <c r="P1300" s="27">
        <v>-4.0</v>
      </c>
      <c r="Q1300" s="27"/>
      <c r="R1300" s="27">
        <v>-4.0</v>
      </c>
      <c r="S1300" s="27"/>
      <c r="T1300" s="27">
        <v>-4.0</v>
      </c>
      <c r="U1300" s="27"/>
      <c r="V1300" s="27">
        <v>-4.0</v>
      </c>
      <c r="W1300" s="27"/>
      <c r="X1300" s="27">
        <v>-4.0</v>
      </c>
      <c r="Y1300" s="27"/>
      <c r="Z1300" s="27">
        <v>-4.0</v>
      </c>
      <c r="AA1300" s="27"/>
      <c r="AB1300" s="27">
        <v>-4.0</v>
      </c>
      <c r="AC1300" s="27"/>
      <c r="AD1300" s="27">
        <v>-4.0</v>
      </c>
      <c r="AE1300" s="27"/>
      <c r="AF1300" s="27" t="s">
        <v>1091</v>
      </c>
      <c r="AG1300" s="27" t="s">
        <v>1091</v>
      </c>
      <c r="AH1300" s="27">
        <v>311.0</v>
      </c>
      <c r="AI1300" s="27">
        <v>216.0</v>
      </c>
      <c r="AJ1300" s="27">
        <v>2.0</v>
      </c>
      <c r="AK1300" s="27" t="b">
        <v>0</v>
      </c>
      <c r="AL1300" s="27">
        <v>100.0</v>
      </c>
      <c r="AM1300" s="27" t="s">
        <v>186</v>
      </c>
      <c r="AN1300" s="27" t="s">
        <v>404</v>
      </c>
      <c r="AO1300" s="27"/>
    </row>
    <row r="1301">
      <c r="A1301" s="200">
        <v>44866.02510496527</v>
      </c>
      <c r="B1301" s="19" t="s">
        <v>178</v>
      </c>
      <c r="C1301" s="21" t="s">
        <v>271</v>
      </c>
      <c r="D1301" s="62">
        <v>5.0</v>
      </c>
      <c r="E1301" s="27">
        <v>4.0</v>
      </c>
      <c r="F1301" s="27" t="s">
        <v>1978</v>
      </c>
      <c r="G1301" s="201" t="s">
        <v>57</v>
      </c>
      <c r="H1301" s="27" t="s">
        <v>131</v>
      </c>
      <c r="I1301" s="27"/>
      <c r="J1301" s="33">
        <v>-9.5</v>
      </c>
      <c r="K1301" s="33">
        <v>-10.5</v>
      </c>
      <c r="L1301" s="66">
        <v>68.5</v>
      </c>
      <c r="M1301" s="27" t="s">
        <v>1208</v>
      </c>
      <c r="N1301" s="27">
        <v>-10.5</v>
      </c>
      <c r="O1301" s="27"/>
      <c r="P1301" s="27">
        <v>-10.0</v>
      </c>
      <c r="Q1301" s="27"/>
      <c r="R1301" s="27">
        <v>-10.0</v>
      </c>
      <c r="S1301" s="27"/>
      <c r="T1301" s="27">
        <v>-10.5</v>
      </c>
      <c r="U1301" s="27"/>
      <c r="V1301" s="27">
        <v>-10.0</v>
      </c>
      <c r="W1301" s="27"/>
      <c r="X1301" s="27">
        <v>-10.0</v>
      </c>
      <c r="Y1301" s="27"/>
      <c r="Z1301" s="27">
        <v>-10.5</v>
      </c>
      <c r="AA1301" s="27"/>
      <c r="AB1301" s="27">
        <v>-10.5</v>
      </c>
      <c r="AC1301" s="27"/>
      <c r="AD1301" s="27">
        <v>-10.5</v>
      </c>
      <c r="AE1301" s="27"/>
      <c r="AF1301" s="27" t="s">
        <v>1091</v>
      </c>
      <c r="AG1301" s="27" t="s">
        <v>1091</v>
      </c>
      <c r="AH1301" s="27">
        <v>313.0</v>
      </c>
      <c r="AI1301" s="27">
        <v>216.0</v>
      </c>
      <c r="AJ1301" s="27">
        <v>2.0</v>
      </c>
      <c r="AK1301" s="27" t="b">
        <v>0</v>
      </c>
      <c r="AL1301" s="27">
        <v>100.0</v>
      </c>
      <c r="AM1301" s="27" t="s">
        <v>189</v>
      </c>
      <c r="AN1301" s="27" t="s">
        <v>405</v>
      </c>
      <c r="AO1301" s="27"/>
    </row>
    <row r="1302">
      <c r="A1302" s="200">
        <v>44866.02510496527</v>
      </c>
      <c r="B1302" s="19" t="s">
        <v>178</v>
      </c>
      <c r="C1302" s="21" t="s">
        <v>240</v>
      </c>
      <c r="D1302" s="62">
        <v>5.0</v>
      </c>
      <c r="E1302" s="27">
        <v>3.0</v>
      </c>
      <c r="F1302" s="27" t="s">
        <v>1991</v>
      </c>
      <c r="G1302" s="201" t="s">
        <v>57</v>
      </c>
      <c r="H1302" s="27" t="s">
        <v>141</v>
      </c>
      <c r="I1302" s="27"/>
      <c r="J1302" s="33">
        <v>-13.5</v>
      </c>
      <c r="K1302" s="33">
        <v>-14.0</v>
      </c>
      <c r="L1302" s="66">
        <v>41.0</v>
      </c>
      <c r="M1302" s="27" t="s">
        <v>1992</v>
      </c>
      <c r="N1302" s="27">
        <v>-14.0</v>
      </c>
      <c r="O1302" s="27"/>
      <c r="P1302" s="27">
        <v>-14.5</v>
      </c>
      <c r="Q1302" s="27"/>
      <c r="R1302" s="27">
        <v>-14.5</v>
      </c>
      <c r="S1302" s="27"/>
      <c r="T1302" s="27" t="s">
        <v>1091</v>
      </c>
      <c r="U1302" s="27" t="s">
        <v>1091</v>
      </c>
      <c r="V1302" s="27" t="s">
        <v>1091</v>
      </c>
      <c r="W1302" s="27" t="s">
        <v>1091</v>
      </c>
      <c r="X1302" s="27" t="s">
        <v>1091</v>
      </c>
      <c r="Y1302" s="27" t="s">
        <v>1091</v>
      </c>
      <c r="Z1302" s="27" t="s">
        <v>1091</v>
      </c>
      <c r="AA1302" s="27" t="s">
        <v>1091</v>
      </c>
      <c r="AB1302" s="27" t="s">
        <v>1091</v>
      </c>
      <c r="AC1302" s="27" t="s">
        <v>1091</v>
      </c>
      <c r="AD1302" s="27" t="s">
        <v>1091</v>
      </c>
      <c r="AE1302" s="27" t="s">
        <v>1091</v>
      </c>
      <c r="AF1302" s="27" t="s">
        <v>1091</v>
      </c>
      <c r="AG1302" s="27" t="s">
        <v>1091</v>
      </c>
      <c r="AH1302" s="27">
        <v>255.0</v>
      </c>
      <c r="AI1302" s="27">
        <v>115.0</v>
      </c>
      <c r="AJ1302" s="27">
        <v>2.0</v>
      </c>
      <c r="AK1302" s="27" t="b">
        <v>0</v>
      </c>
      <c r="AL1302" s="27">
        <v>100.0</v>
      </c>
      <c r="AM1302" s="27" t="s">
        <v>188</v>
      </c>
      <c r="AN1302" s="27" t="s">
        <v>404</v>
      </c>
      <c r="AO1302" s="27"/>
    </row>
    <row r="1303">
      <c r="A1303" s="200">
        <v>44866.02510496527</v>
      </c>
      <c r="B1303" s="19" t="s">
        <v>178</v>
      </c>
      <c r="C1303" s="21" t="s">
        <v>265</v>
      </c>
      <c r="D1303" s="62">
        <v>6.0</v>
      </c>
      <c r="E1303" s="27">
        <v>3.0</v>
      </c>
      <c r="F1303" s="27" t="s">
        <v>1993</v>
      </c>
      <c r="G1303" s="201" t="s">
        <v>57</v>
      </c>
      <c r="H1303" s="27" t="s">
        <v>103</v>
      </c>
      <c r="I1303" s="27"/>
      <c r="J1303" s="33">
        <v>-11.0</v>
      </c>
      <c r="K1303" s="33">
        <v>-7.0</v>
      </c>
      <c r="L1303" s="66">
        <v>58.0</v>
      </c>
      <c r="M1303" s="27" t="s">
        <v>1994</v>
      </c>
      <c r="N1303" s="27">
        <v>-7.0</v>
      </c>
      <c r="O1303" s="27"/>
      <c r="P1303" s="27">
        <v>-7.0</v>
      </c>
      <c r="Q1303" s="27"/>
      <c r="R1303" s="27">
        <v>-7.0</v>
      </c>
      <c r="S1303" s="27"/>
      <c r="T1303" s="27">
        <v>-7.0</v>
      </c>
      <c r="U1303" s="27"/>
      <c r="V1303" s="27">
        <v>-7.0</v>
      </c>
      <c r="W1303" s="27"/>
      <c r="X1303" s="27">
        <v>-7.0</v>
      </c>
      <c r="Y1303" s="27"/>
      <c r="Z1303" s="27">
        <v>-7.0</v>
      </c>
      <c r="AA1303" s="27"/>
      <c r="AB1303" s="27">
        <v>-7.0</v>
      </c>
      <c r="AC1303" s="27"/>
      <c r="AD1303" s="27" t="s">
        <v>1091</v>
      </c>
      <c r="AE1303" s="27" t="s">
        <v>1091</v>
      </c>
      <c r="AF1303" s="27" t="s">
        <v>1091</v>
      </c>
      <c r="AG1303" s="27" t="s">
        <v>1091</v>
      </c>
      <c r="AH1303" s="27">
        <v>323.0</v>
      </c>
      <c r="AI1303" s="27">
        <v>242.0</v>
      </c>
      <c r="AJ1303" s="27">
        <v>2.0</v>
      </c>
      <c r="AK1303" s="27" t="b">
        <v>0</v>
      </c>
      <c r="AL1303" s="27">
        <v>100.0</v>
      </c>
      <c r="AM1303" s="27" t="s">
        <v>190</v>
      </c>
      <c r="AN1303" s="27" t="s">
        <v>405</v>
      </c>
      <c r="AO1303" s="27"/>
    </row>
    <row r="1304">
      <c r="A1304" s="200">
        <v>44866.02510496527</v>
      </c>
      <c r="B1304" s="19"/>
      <c r="C1304" s="21"/>
      <c r="D1304" s="62"/>
      <c r="E1304" s="27"/>
      <c r="F1304" s="27"/>
      <c r="G1304" s="201"/>
      <c r="H1304" s="27"/>
      <c r="I1304" s="27"/>
      <c r="J1304" s="33"/>
      <c r="K1304" s="33"/>
      <c r="L1304" s="66"/>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t="e">
        <v>#N/A</v>
      </c>
      <c r="AN1304" s="27" t="e">
        <v>#N/A</v>
      </c>
      <c r="AO1304" s="27"/>
    </row>
    <row r="1305">
      <c r="A1305" s="200">
        <v>44866.02510496527</v>
      </c>
      <c r="B1305" s="19" t="s">
        <v>59</v>
      </c>
      <c r="C1305" s="21" t="s">
        <v>274</v>
      </c>
      <c r="D1305" s="62">
        <v>6.0</v>
      </c>
      <c r="E1305" s="27">
        <v>2.0</v>
      </c>
      <c r="F1305" s="27"/>
      <c r="G1305" s="201"/>
      <c r="H1305" s="27"/>
      <c r="I1305" s="27" t="s">
        <v>82</v>
      </c>
      <c r="J1305" s="33"/>
      <c r="K1305" s="33"/>
      <c r="L1305" s="66"/>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v>261.0</v>
      </c>
      <c r="AI1305" s="27">
        <v>182.0</v>
      </c>
      <c r="AJ1305" s="27">
        <v>0.0</v>
      </c>
      <c r="AK1305" s="27" t="b">
        <v>1</v>
      </c>
      <c r="AL1305" s="27">
        <v>59.0</v>
      </c>
      <c r="AM1305" s="27" t="s">
        <v>191</v>
      </c>
      <c r="AN1305" s="27" t="s">
        <v>404</v>
      </c>
      <c r="AO1305" s="27"/>
    </row>
    <row r="1306">
      <c r="A1306" s="200">
        <v>44866.02510496527</v>
      </c>
      <c r="B1306" s="19" t="s">
        <v>59</v>
      </c>
      <c r="C1306" s="21" t="s">
        <v>279</v>
      </c>
      <c r="D1306" s="62">
        <v>4.0</v>
      </c>
      <c r="E1306" s="27">
        <v>4.0</v>
      </c>
      <c r="F1306" s="27"/>
      <c r="G1306" s="201"/>
      <c r="H1306" s="27"/>
      <c r="I1306" s="27" t="s">
        <v>126</v>
      </c>
      <c r="J1306" s="33"/>
      <c r="K1306" s="33"/>
      <c r="L1306" s="66"/>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v>224.0</v>
      </c>
      <c r="AI1306" s="27">
        <v>238.0</v>
      </c>
      <c r="AJ1306" s="27">
        <v>0.0</v>
      </c>
      <c r="AK1306" s="27" t="b">
        <v>1</v>
      </c>
      <c r="AL1306" s="27">
        <v>59.0</v>
      </c>
      <c r="AM1306" s="27" t="s">
        <v>129</v>
      </c>
      <c r="AN1306" s="27" t="s">
        <v>405</v>
      </c>
      <c r="AO1306" s="27"/>
    </row>
    <row r="1307">
      <c r="A1307" s="200">
        <v>44866.02510496527</v>
      </c>
      <c r="B1307" s="19" t="s">
        <v>59</v>
      </c>
      <c r="C1307" s="21" t="s">
        <v>285</v>
      </c>
      <c r="D1307" s="62">
        <v>2.0</v>
      </c>
      <c r="E1307" s="27">
        <v>6.0</v>
      </c>
      <c r="F1307" s="27"/>
      <c r="G1307" s="201"/>
      <c r="H1307" s="27"/>
      <c r="I1307" s="27" t="s">
        <v>119</v>
      </c>
      <c r="J1307" s="33"/>
      <c r="K1307" s="33"/>
      <c r="L1307" s="66"/>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v>202.0</v>
      </c>
      <c r="AI1307" s="27">
        <v>239.0</v>
      </c>
      <c r="AJ1307" s="27">
        <v>0.0</v>
      </c>
      <c r="AK1307" s="27" t="b">
        <v>1</v>
      </c>
      <c r="AL1307" s="27">
        <v>59.0</v>
      </c>
      <c r="AM1307" s="27" t="s">
        <v>190</v>
      </c>
      <c r="AN1307" s="27" t="s">
        <v>405</v>
      </c>
      <c r="AO1307" s="27"/>
    </row>
    <row r="1308">
      <c r="A1308" s="200">
        <v>44866.02510496527</v>
      </c>
      <c r="B1308" s="19" t="s">
        <v>59</v>
      </c>
      <c r="C1308" s="21" t="s">
        <v>284</v>
      </c>
      <c r="D1308" s="62">
        <v>8.0</v>
      </c>
      <c r="E1308" s="27">
        <v>0.0</v>
      </c>
      <c r="F1308" s="27" t="s">
        <v>1995</v>
      </c>
      <c r="G1308" s="201" t="s">
        <v>57</v>
      </c>
      <c r="H1308" s="27" t="s">
        <v>138</v>
      </c>
      <c r="I1308" s="27"/>
      <c r="J1308" s="33">
        <v>-10.0</v>
      </c>
      <c r="K1308" s="33">
        <v>-21.5</v>
      </c>
      <c r="L1308" s="66">
        <v>54.0</v>
      </c>
      <c r="M1308" s="27" t="s">
        <v>1996</v>
      </c>
      <c r="N1308" s="27">
        <v>-22.5</v>
      </c>
      <c r="O1308" s="27"/>
      <c r="P1308" s="27">
        <v>-22.0</v>
      </c>
      <c r="Q1308" s="27"/>
      <c r="R1308" s="27">
        <v>-21.5</v>
      </c>
      <c r="S1308" s="27"/>
      <c r="T1308" s="27">
        <v>-21.5</v>
      </c>
      <c r="U1308" s="27"/>
      <c r="V1308" s="27">
        <v>-21.5</v>
      </c>
      <c r="W1308" s="27"/>
      <c r="X1308" s="27">
        <v>-21.5</v>
      </c>
      <c r="Y1308" s="27"/>
      <c r="Z1308" s="27">
        <v>-22.0</v>
      </c>
      <c r="AA1308" s="27"/>
      <c r="AB1308" s="27">
        <v>-21.5</v>
      </c>
      <c r="AC1308" s="27"/>
      <c r="AD1308" s="27">
        <v>-21.5</v>
      </c>
      <c r="AE1308" s="27"/>
      <c r="AF1308" s="27" t="s">
        <v>1091</v>
      </c>
      <c r="AG1308" s="27" t="s">
        <v>1091</v>
      </c>
      <c r="AH1308" s="27">
        <v>328.0</v>
      </c>
      <c r="AI1308" s="27">
        <v>92.0</v>
      </c>
      <c r="AJ1308" s="27">
        <v>2.0</v>
      </c>
      <c r="AK1308" s="27" t="b">
        <v>1</v>
      </c>
      <c r="AL1308" s="27">
        <v>100.0</v>
      </c>
      <c r="AM1308" s="27" t="s">
        <v>188</v>
      </c>
      <c r="AN1308" s="27" t="s">
        <v>404</v>
      </c>
      <c r="AO1308" s="27"/>
    </row>
    <row r="1309">
      <c r="A1309" s="200">
        <v>44866.02510496527</v>
      </c>
      <c r="B1309" s="19" t="s">
        <v>59</v>
      </c>
      <c r="C1309" s="21" t="s">
        <v>283</v>
      </c>
      <c r="D1309" s="62">
        <v>5.0</v>
      </c>
      <c r="E1309" s="27">
        <v>3.0</v>
      </c>
      <c r="F1309" s="27" t="s">
        <v>1977</v>
      </c>
      <c r="G1309" s="201" t="s">
        <v>57</v>
      </c>
      <c r="H1309" s="27" t="s">
        <v>131</v>
      </c>
      <c r="I1309" s="27"/>
      <c r="J1309" s="33">
        <v>3.5</v>
      </c>
      <c r="K1309" s="33">
        <v>12.5</v>
      </c>
      <c r="L1309" s="66">
        <v>63.5</v>
      </c>
      <c r="M1309" s="27" t="s">
        <v>1411</v>
      </c>
      <c r="N1309" s="27">
        <v>12.5</v>
      </c>
      <c r="O1309" s="27"/>
      <c r="P1309" s="27">
        <v>12.5</v>
      </c>
      <c r="Q1309" s="27"/>
      <c r="R1309" s="27">
        <v>12.5</v>
      </c>
      <c r="S1309" s="27"/>
      <c r="T1309" s="27">
        <v>12.5</v>
      </c>
      <c r="U1309" s="27"/>
      <c r="V1309" s="27">
        <v>12.5</v>
      </c>
      <c r="W1309" s="27"/>
      <c r="X1309" s="27">
        <v>13.0</v>
      </c>
      <c r="Y1309" s="27"/>
      <c r="Z1309" s="27">
        <v>12.5</v>
      </c>
      <c r="AA1309" s="27"/>
      <c r="AB1309" s="27">
        <v>12.5</v>
      </c>
      <c r="AC1309" s="27"/>
      <c r="AD1309" s="27">
        <v>12.5</v>
      </c>
      <c r="AE1309" s="27"/>
      <c r="AF1309" s="27" t="s">
        <v>1091</v>
      </c>
      <c r="AG1309" s="27" t="s">
        <v>1091</v>
      </c>
      <c r="AH1309" s="27">
        <v>191.0</v>
      </c>
      <c r="AI1309" s="27">
        <v>159.0</v>
      </c>
      <c r="AJ1309" s="27">
        <v>2.0</v>
      </c>
      <c r="AK1309" s="27" t="b">
        <v>0</v>
      </c>
      <c r="AL1309" s="27">
        <v>100.0</v>
      </c>
      <c r="AM1309" s="27" t="s">
        <v>192</v>
      </c>
      <c r="AN1309" s="27" t="s">
        <v>404</v>
      </c>
      <c r="AO1309" s="27"/>
    </row>
    <row r="1310">
      <c r="A1310" s="200">
        <v>44866.02510496527</v>
      </c>
      <c r="B1310" s="19" t="s">
        <v>59</v>
      </c>
      <c r="C1310" s="21" t="s">
        <v>277</v>
      </c>
      <c r="D1310" s="62">
        <v>5.0</v>
      </c>
      <c r="E1310" s="27">
        <v>3.0</v>
      </c>
      <c r="F1310" s="27" t="s">
        <v>1997</v>
      </c>
      <c r="G1310" s="201" t="s">
        <v>57</v>
      </c>
      <c r="H1310" s="27"/>
      <c r="I1310" s="27"/>
      <c r="J1310" s="33" t="s">
        <v>1091</v>
      </c>
      <c r="K1310" s="33" t="s">
        <v>1091</v>
      </c>
      <c r="L1310" s="26" t="s">
        <v>1091</v>
      </c>
      <c r="M1310" s="27" t="s">
        <v>1091</v>
      </c>
      <c r="N1310" s="27" t="s">
        <v>1091</v>
      </c>
      <c r="O1310" s="27" t="s">
        <v>1091</v>
      </c>
      <c r="P1310" s="27" t="s">
        <v>1091</v>
      </c>
      <c r="Q1310" s="27" t="s">
        <v>1091</v>
      </c>
      <c r="R1310" s="27" t="s">
        <v>1091</v>
      </c>
      <c r="S1310" s="27" t="s">
        <v>1091</v>
      </c>
      <c r="T1310" s="27" t="s">
        <v>1091</v>
      </c>
      <c r="U1310" s="27" t="s">
        <v>1091</v>
      </c>
      <c r="V1310" s="27" t="s">
        <v>1091</v>
      </c>
      <c r="W1310" s="27" t="s">
        <v>1091</v>
      </c>
      <c r="X1310" s="27" t="s">
        <v>1091</v>
      </c>
      <c r="Y1310" s="27" t="s">
        <v>1091</v>
      </c>
      <c r="Z1310" s="27" t="s">
        <v>1091</v>
      </c>
      <c r="AA1310" s="27" t="s">
        <v>1091</v>
      </c>
      <c r="AB1310" s="27" t="s">
        <v>1091</v>
      </c>
      <c r="AC1310" s="27" t="s">
        <v>1091</v>
      </c>
      <c r="AD1310" s="27" t="s">
        <v>1091</v>
      </c>
      <c r="AE1310" s="27" t="s">
        <v>1091</v>
      </c>
      <c r="AF1310" s="27" t="s">
        <v>1091</v>
      </c>
      <c r="AG1310" s="27" t="s">
        <v>1091</v>
      </c>
      <c r="AH1310" s="27">
        <v>295.0</v>
      </c>
      <c r="AI1310" s="27">
        <v>193.0</v>
      </c>
      <c r="AJ1310" s="27">
        <v>2.0</v>
      </c>
      <c r="AK1310" s="27" t="b">
        <v>0</v>
      </c>
      <c r="AL1310" s="27">
        <v>100.0</v>
      </c>
      <c r="AM1310" s="27" t="s">
        <v>193</v>
      </c>
      <c r="AN1310" s="27" t="s">
        <v>405</v>
      </c>
      <c r="AO1310" s="27"/>
    </row>
    <row r="1311">
      <c r="A1311" s="200">
        <v>44866.02510496527</v>
      </c>
      <c r="B1311" s="19" t="s">
        <v>59</v>
      </c>
      <c r="C1311" s="21" t="s">
        <v>291</v>
      </c>
      <c r="D1311" s="62">
        <v>6.0</v>
      </c>
      <c r="E1311" s="27">
        <v>2.0</v>
      </c>
      <c r="F1311" s="27" t="s">
        <v>1998</v>
      </c>
      <c r="G1311" s="201" t="s">
        <v>57</v>
      </c>
      <c r="H1311" s="27" t="s">
        <v>116</v>
      </c>
      <c r="I1311" s="27"/>
      <c r="J1311" s="33">
        <v>-3.0</v>
      </c>
      <c r="K1311" s="33">
        <v>-1.5</v>
      </c>
      <c r="L1311" s="66">
        <v>56.0</v>
      </c>
      <c r="M1311" s="27" t="s">
        <v>1124</v>
      </c>
      <c r="N1311" s="27">
        <v>-1.5</v>
      </c>
      <c r="O1311" s="27"/>
      <c r="P1311" s="27">
        <v>-1.5</v>
      </c>
      <c r="Q1311" s="27"/>
      <c r="R1311" s="27">
        <v>-1.5</v>
      </c>
      <c r="S1311" s="27"/>
      <c r="T1311" s="27">
        <v>-1.5</v>
      </c>
      <c r="U1311" s="27"/>
      <c r="V1311" s="27">
        <v>-1.5</v>
      </c>
      <c r="W1311" s="27"/>
      <c r="X1311" s="27">
        <v>-1.5</v>
      </c>
      <c r="Y1311" s="27"/>
      <c r="Z1311" s="27">
        <v>-1.5</v>
      </c>
      <c r="AA1311" s="27"/>
      <c r="AB1311" s="27">
        <v>-1.5</v>
      </c>
      <c r="AC1311" s="27"/>
      <c r="AD1311" s="27">
        <v>-1.5</v>
      </c>
      <c r="AE1311" s="27"/>
      <c r="AF1311" s="27" t="s">
        <v>1091</v>
      </c>
      <c r="AG1311" s="27" t="s">
        <v>1091</v>
      </c>
      <c r="AH1311" s="27">
        <v>248.0</v>
      </c>
      <c r="AI1311" s="27">
        <v>138.0</v>
      </c>
      <c r="AJ1311" s="27">
        <v>2.0</v>
      </c>
      <c r="AK1311" s="27" t="b">
        <v>1</v>
      </c>
      <c r="AL1311" s="27">
        <v>100.0</v>
      </c>
      <c r="AM1311" s="27" t="s">
        <v>187</v>
      </c>
      <c r="AN1311" s="27" t="s">
        <v>404</v>
      </c>
      <c r="AO1311" s="27"/>
    </row>
    <row r="1312">
      <c r="A1312" s="200">
        <v>44866.02510496527</v>
      </c>
      <c r="B1312" s="19" t="s">
        <v>59</v>
      </c>
      <c r="C1312" s="21" t="s">
        <v>281</v>
      </c>
      <c r="D1312" s="62">
        <v>4.0</v>
      </c>
      <c r="E1312" s="27">
        <v>5.0</v>
      </c>
      <c r="F1312" s="27" t="s">
        <v>1999</v>
      </c>
      <c r="G1312" s="201" t="s">
        <v>57</v>
      </c>
      <c r="H1312" s="27" t="s">
        <v>59</v>
      </c>
      <c r="I1312" s="27"/>
      <c r="J1312" s="33">
        <v>7.5</v>
      </c>
      <c r="K1312" s="33">
        <v>8.5</v>
      </c>
      <c r="L1312" s="66">
        <v>44.5</v>
      </c>
      <c r="M1312" s="27" t="s">
        <v>2000</v>
      </c>
      <c r="N1312" s="27">
        <v>8.5</v>
      </c>
      <c r="O1312" s="27"/>
      <c r="P1312" s="27">
        <v>8.5</v>
      </c>
      <c r="Q1312" s="27"/>
      <c r="R1312" s="27">
        <v>8.5</v>
      </c>
      <c r="S1312" s="27"/>
      <c r="T1312" s="27">
        <v>8.5</v>
      </c>
      <c r="U1312" s="27"/>
      <c r="V1312" s="27">
        <v>8.5</v>
      </c>
      <c r="W1312" s="27"/>
      <c r="X1312" s="27">
        <v>8.0</v>
      </c>
      <c r="Y1312" s="27"/>
      <c r="Z1312" s="27">
        <v>8.5</v>
      </c>
      <c r="AA1312" s="27"/>
      <c r="AB1312" s="27">
        <v>8.5</v>
      </c>
      <c r="AC1312" s="27"/>
      <c r="AD1312" s="27">
        <v>8.5</v>
      </c>
      <c r="AE1312" s="27"/>
      <c r="AF1312" s="27" t="s">
        <v>1091</v>
      </c>
      <c r="AG1312" s="27" t="s">
        <v>1091</v>
      </c>
      <c r="AH1312" s="27">
        <v>158.0</v>
      </c>
      <c r="AI1312" s="27">
        <v>236.0</v>
      </c>
      <c r="AJ1312" s="27">
        <v>2.0</v>
      </c>
      <c r="AK1312" s="27" t="b">
        <v>1</v>
      </c>
      <c r="AL1312" s="27">
        <v>100.0</v>
      </c>
      <c r="AM1312" s="27" t="s">
        <v>389</v>
      </c>
      <c r="AN1312" s="27" t="s">
        <v>405</v>
      </c>
      <c r="AO1312" s="27"/>
    </row>
    <row r="1313">
      <c r="A1313" s="200">
        <v>44866.02510496527</v>
      </c>
      <c r="B1313" s="19" t="s">
        <v>59</v>
      </c>
      <c r="C1313" s="21" t="s">
        <v>289</v>
      </c>
      <c r="D1313" s="62">
        <v>2.0</v>
      </c>
      <c r="E1313" s="27">
        <v>6.0</v>
      </c>
      <c r="F1313" s="27" t="s">
        <v>1999</v>
      </c>
      <c r="G1313" s="201" t="s">
        <v>57</v>
      </c>
      <c r="H1313" s="27" t="s">
        <v>59</v>
      </c>
      <c r="I1313" s="27"/>
      <c r="J1313" s="33">
        <v>-7.5</v>
      </c>
      <c r="K1313" s="33">
        <v>-8.5</v>
      </c>
      <c r="L1313" s="66">
        <v>44.5</v>
      </c>
      <c r="M1313" s="27" t="s">
        <v>2000</v>
      </c>
      <c r="N1313" s="27">
        <v>-8.5</v>
      </c>
      <c r="O1313" s="27"/>
      <c r="P1313" s="27">
        <v>-8.5</v>
      </c>
      <c r="Q1313" s="27"/>
      <c r="R1313" s="27">
        <v>-8.5</v>
      </c>
      <c r="S1313" s="27"/>
      <c r="T1313" s="27">
        <v>-8.5</v>
      </c>
      <c r="U1313" s="27"/>
      <c r="V1313" s="27">
        <v>-8.5</v>
      </c>
      <c r="W1313" s="27"/>
      <c r="X1313" s="27">
        <v>-8.0</v>
      </c>
      <c r="Y1313" s="27"/>
      <c r="Z1313" s="27">
        <v>-8.5</v>
      </c>
      <c r="AA1313" s="27"/>
      <c r="AB1313" s="27">
        <v>-8.5</v>
      </c>
      <c r="AC1313" s="27"/>
      <c r="AD1313" s="27">
        <v>-8.5</v>
      </c>
      <c r="AE1313" s="27"/>
      <c r="AF1313" s="27" t="s">
        <v>1091</v>
      </c>
      <c r="AG1313" s="27" t="s">
        <v>1091</v>
      </c>
      <c r="AH1313" s="27">
        <v>138.0</v>
      </c>
      <c r="AI1313" s="27">
        <v>230.0</v>
      </c>
      <c r="AJ1313" s="27">
        <v>2.0</v>
      </c>
      <c r="AK1313" s="27" t="b">
        <v>0</v>
      </c>
      <c r="AL1313" s="27">
        <v>100.0</v>
      </c>
      <c r="AM1313" s="27" t="s">
        <v>186</v>
      </c>
      <c r="AN1313" s="27" t="s">
        <v>404</v>
      </c>
      <c r="AO1313" s="27"/>
    </row>
    <row r="1314">
      <c r="A1314" s="200">
        <v>44866.02510496527</v>
      </c>
      <c r="B1314" s="19" t="s">
        <v>59</v>
      </c>
      <c r="C1314" s="21" t="s">
        <v>275</v>
      </c>
      <c r="D1314" s="62">
        <v>4.0</v>
      </c>
      <c r="E1314" s="27">
        <v>4.0</v>
      </c>
      <c r="F1314" s="27" t="s">
        <v>2001</v>
      </c>
      <c r="G1314" s="201" t="s">
        <v>183</v>
      </c>
      <c r="H1314" s="27" t="s">
        <v>166</v>
      </c>
      <c r="I1314" s="27"/>
      <c r="J1314" s="33" t="s">
        <v>1091</v>
      </c>
      <c r="K1314" s="33" t="s">
        <v>1091</v>
      </c>
      <c r="L1314" s="26" t="s">
        <v>1091</v>
      </c>
      <c r="M1314" s="27" t="s">
        <v>1091</v>
      </c>
      <c r="N1314" s="27" t="s">
        <v>1091</v>
      </c>
      <c r="O1314" s="27" t="s">
        <v>1091</v>
      </c>
      <c r="P1314" s="27" t="s">
        <v>1091</v>
      </c>
      <c r="Q1314" s="27" t="s">
        <v>1091</v>
      </c>
      <c r="R1314" s="27" t="s">
        <v>1091</v>
      </c>
      <c r="S1314" s="27" t="s">
        <v>1091</v>
      </c>
      <c r="T1314" s="27" t="s">
        <v>1091</v>
      </c>
      <c r="U1314" s="27" t="s">
        <v>1091</v>
      </c>
      <c r="V1314" s="27" t="s">
        <v>1091</v>
      </c>
      <c r="W1314" s="27" t="s">
        <v>1091</v>
      </c>
      <c r="X1314" s="27" t="s">
        <v>1091</v>
      </c>
      <c r="Y1314" s="27" t="s">
        <v>1091</v>
      </c>
      <c r="Z1314" s="27" t="s">
        <v>1091</v>
      </c>
      <c r="AA1314" s="27" t="s">
        <v>1091</v>
      </c>
      <c r="AB1314" s="27" t="s">
        <v>1091</v>
      </c>
      <c r="AC1314" s="27" t="s">
        <v>1091</v>
      </c>
      <c r="AD1314" s="27" t="s">
        <v>1091</v>
      </c>
      <c r="AE1314" s="27" t="s">
        <v>1091</v>
      </c>
      <c r="AF1314" s="27" t="s">
        <v>1091</v>
      </c>
      <c r="AG1314" s="27" t="s">
        <v>1091</v>
      </c>
      <c r="AH1314" s="27">
        <v>169.0</v>
      </c>
      <c r="AI1314" s="27">
        <v>270.0</v>
      </c>
      <c r="AJ1314" s="27">
        <v>2.0</v>
      </c>
      <c r="AK1314" s="27" t="b">
        <v>0</v>
      </c>
      <c r="AL1314" s="27">
        <v>100.0</v>
      </c>
      <c r="AM1314" s="27" t="s">
        <v>189</v>
      </c>
      <c r="AN1314" s="27" t="s">
        <v>405</v>
      </c>
      <c r="AO1314" s="27"/>
    </row>
    <row r="1315">
      <c r="A1315" s="200">
        <v>44866.02510496527</v>
      </c>
      <c r="B1315" s="19"/>
      <c r="C1315" s="21"/>
      <c r="D1315" s="62"/>
      <c r="E1315" s="27"/>
      <c r="F1315" s="27"/>
      <c r="G1315" s="201"/>
      <c r="H1315" s="27"/>
      <c r="I1315" s="27"/>
      <c r="J1315" s="33"/>
      <c r="K1315" s="33"/>
      <c r="L1315" s="66"/>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t="e">
        <v>#N/A</v>
      </c>
      <c r="AN1315" s="27" t="e">
        <v>#N/A</v>
      </c>
      <c r="AO1315" s="27"/>
    </row>
    <row r="1316">
      <c r="A1316" s="200">
        <v>44866.02510496527</v>
      </c>
      <c r="B1316" s="19" t="s">
        <v>138</v>
      </c>
      <c r="C1316" s="21" t="s">
        <v>304</v>
      </c>
      <c r="D1316" s="62">
        <v>3.0</v>
      </c>
      <c r="E1316" s="27">
        <v>5.0</v>
      </c>
      <c r="F1316" s="27"/>
      <c r="G1316" s="201"/>
      <c r="H1316" s="27"/>
      <c r="I1316" s="27" t="s">
        <v>126</v>
      </c>
      <c r="J1316" s="33"/>
      <c r="K1316" s="33"/>
      <c r="L1316" s="66"/>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v>153.0</v>
      </c>
      <c r="AI1316" s="27">
        <v>250.0</v>
      </c>
      <c r="AJ1316" s="27">
        <v>0.0</v>
      </c>
      <c r="AK1316" s="27" t="b">
        <v>1</v>
      </c>
      <c r="AL1316" s="27">
        <v>59.0</v>
      </c>
      <c r="AM1316" s="27" t="s">
        <v>129</v>
      </c>
      <c r="AN1316" s="27" t="s">
        <v>405</v>
      </c>
      <c r="AO1316" s="27"/>
    </row>
    <row r="1317">
      <c r="A1317" s="200">
        <v>44866.02510496527</v>
      </c>
      <c r="B1317" s="19" t="s">
        <v>138</v>
      </c>
      <c r="C1317" s="21" t="s">
        <v>309</v>
      </c>
      <c r="D1317" s="62">
        <v>3.0</v>
      </c>
      <c r="E1317" s="27">
        <v>5.0</v>
      </c>
      <c r="F1317" s="27"/>
      <c r="G1317" s="201"/>
      <c r="H1317" s="27"/>
      <c r="I1317" s="27" t="s">
        <v>111</v>
      </c>
      <c r="J1317" s="33"/>
      <c r="K1317" s="33"/>
      <c r="L1317" s="66"/>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v>213.0</v>
      </c>
      <c r="AI1317" s="27">
        <v>293.0</v>
      </c>
      <c r="AJ1317" s="27">
        <v>0.0</v>
      </c>
      <c r="AK1317" s="27" t="b">
        <v>1</v>
      </c>
      <c r="AL1317" s="27">
        <v>59.0</v>
      </c>
      <c r="AM1317" s="27" t="s">
        <v>187</v>
      </c>
      <c r="AN1317" s="27" t="s">
        <v>404</v>
      </c>
      <c r="AO1317" s="27"/>
    </row>
    <row r="1318">
      <c r="A1318" s="200">
        <v>44866.02510496527</v>
      </c>
      <c r="B1318" s="19" t="s">
        <v>138</v>
      </c>
      <c r="C1318" s="21" t="s">
        <v>296</v>
      </c>
      <c r="D1318" s="62">
        <v>6.0</v>
      </c>
      <c r="E1318" s="27">
        <v>2.0</v>
      </c>
      <c r="F1318" s="27"/>
      <c r="G1318" s="201"/>
      <c r="H1318" s="27"/>
      <c r="I1318" s="27" t="s">
        <v>1044</v>
      </c>
      <c r="J1318" s="33"/>
      <c r="K1318" s="33"/>
      <c r="L1318" s="66"/>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v>285.0</v>
      </c>
      <c r="AI1318" s="27">
        <v>235.0</v>
      </c>
      <c r="AJ1318" s="27">
        <v>0.0</v>
      </c>
      <c r="AK1318" s="27" t="b">
        <v>1</v>
      </c>
      <c r="AL1318" s="27">
        <v>59.0</v>
      </c>
      <c r="AM1318" s="27" t="s">
        <v>189</v>
      </c>
      <c r="AN1318" s="27" t="s">
        <v>405</v>
      </c>
      <c r="AO1318" s="27"/>
    </row>
    <row r="1319">
      <c r="A1319" s="200">
        <v>44866.02510496527</v>
      </c>
      <c r="B1319" s="19" t="s">
        <v>138</v>
      </c>
      <c r="C1319" s="21" t="s">
        <v>298</v>
      </c>
      <c r="D1319" s="62">
        <v>2.0</v>
      </c>
      <c r="E1319" s="27">
        <v>6.0</v>
      </c>
      <c r="F1319" s="27"/>
      <c r="G1319" s="201"/>
      <c r="H1319" s="27"/>
      <c r="I1319" s="27" t="s">
        <v>119</v>
      </c>
      <c r="J1319" s="33"/>
      <c r="K1319" s="33"/>
      <c r="L1319" s="66"/>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v>246.0</v>
      </c>
      <c r="AI1319" s="27">
        <v>264.0</v>
      </c>
      <c r="AJ1319" s="27">
        <v>0.0</v>
      </c>
      <c r="AK1319" s="27" t="b">
        <v>1</v>
      </c>
      <c r="AL1319" s="27">
        <v>59.0</v>
      </c>
      <c r="AM1319" s="27" t="s">
        <v>190</v>
      </c>
      <c r="AN1319" s="27" t="s">
        <v>405</v>
      </c>
      <c r="AO1319" s="27"/>
    </row>
    <row r="1320">
      <c r="A1320" s="200">
        <v>44866.02510496527</v>
      </c>
      <c r="B1320" s="19" t="s">
        <v>138</v>
      </c>
      <c r="C1320" s="21" t="s">
        <v>311</v>
      </c>
      <c r="D1320" s="62">
        <v>3.0</v>
      </c>
      <c r="E1320" s="27">
        <v>5.0</v>
      </c>
      <c r="F1320" s="27" t="s">
        <v>1985</v>
      </c>
      <c r="G1320" s="201" t="s">
        <v>57</v>
      </c>
      <c r="H1320" s="27" t="s">
        <v>178</v>
      </c>
      <c r="I1320" s="27"/>
      <c r="J1320" s="33">
        <v>14.5</v>
      </c>
      <c r="K1320" s="33">
        <v>16.5</v>
      </c>
      <c r="L1320" s="66">
        <v>64.5</v>
      </c>
      <c r="M1320" s="27" t="s">
        <v>1986</v>
      </c>
      <c r="N1320" s="27">
        <v>16.5</v>
      </c>
      <c r="O1320" s="27"/>
      <c r="P1320" s="27">
        <v>16.5</v>
      </c>
      <c r="Q1320" s="27"/>
      <c r="R1320" s="27">
        <v>16.5</v>
      </c>
      <c r="S1320" s="27"/>
      <c r="T1320" s="27">
        <v>16.5</v>
      </c>
      <c r="U1320" s="27"/>
      <c r="V1320" s="27">
        <v>16.5</v>
      </c>
      <c r="W1320" s="27"/>
      <c r="X1320" s="27">
        <v>16.5</v>
      </c>
      <c r="Y1320" s="27"/>
      <c r="Z1320" s="27">
        <v>16.5</v>
      </c>
      <c r="AA1320" s="27"/>
      <c r="AB1320" s="27">
        <v>16.5</v>
      </c>
      <c r="AC1320" s="27"/>
      <c r="AD1320" s="27">
        <v>16.5</v>
      </c>
      <c r="AE1320" s="27"/>
      <c r="AF1320" s="27" t="s">
        <v>1091</v>
      </c>
      <c r="AG1320" s="27" t="s">
        <v>1091</v>
      </c>
      <c r="AH1320" s="27">
        <v>189.0</v>
      </c>
      <c r="AI1320" s="27">
        <v>230.0</v>
      </c>
      <c r="AJ1320" s="27">
        <v>2.0</v>
      </c>
      <c r="AK1320" s="27" t="b">
        <v>0</v>
      </c>
      <c r="AL1320" s="27">
        <v>100.0</v>
      </c>
      <c r="AM1320" s="27" t="s">
        <v>191</v>
      </c>
      <c r="AN1320" s="27" t="s">
        <v>404</v>
      </c>
      <c r="AO1320" s="27"/>
    </row>
    <row r="1321">
      <c r="A1321" s="200">
        <v>44866.02510496527</v>
      </c>
      <c r="B1321" s="19" t="s">
        <v>138</v>
      </c>
      <c r="C1321" s="21" t="s">
        <v>294</v>
      </c>
      <c r="D1321" s="62">
        <v>3.0</v>
      </c>
      <c r="E1321" s="27">
        <v>5.0</v>
      </c>
      <c r="F1321" s="27" t="s">
        <v>1995</v>
      </c>
      <c r="G1321" s="201" t="s">
        <v>57</v>
      </c>
      <c r="H1321" s="27" t="s">
        <v>59</v>
      </c>
      <c r="I1321" s="27"/>
      <c r="J1321" s="33">
        <v>10.0</v>
      </c>
      <c r="K1321" s="33">
        <v>21.5</v>
      </c>
      <c r="L1321" s="66">
        <v>54.0</v>
      </c>
      <c r="M1321" s="27" t="s">
        <v>1996</v>
      </c>
      <c r="N1321" s="27">
        <v>22.5</v>
      </c>
      <c r="O1321" s="27"/>
      <c r="P1321" s="27">
        <v>22.0</v>
      </c>
      <c r="Q1321" s="27"/>
      <c r="R1321" s="27">
        <v>21.5</v>
      </c>
      <c r="S1321" s="27"/>
      <c r="T1321" s="27">
        <v>21.5</v>
      </c>
      <c r="U1321" s="27"/>
      <c r="V1321" s="27">
        <v>21.5</v>
      </c>
      <c r="W1321" s="27"/>
      <c r="X1321" s="27">
        <v>21.5</v>
      </c>
      <c r="Y1321" s="27"/>
      <c r="Z1321" s="27">
        <v>22.0</v>
      </c>
      <c r="AA1321" s="27"/>
      <c r="AB1321" s="27">
        <v>21.5</v>
      </c>
      <c r="AC1321" s="27"/>
      <c r="AD1321" s="27">
        <v>21.5</v>
      </c>
      <c r="AE1321" s="27"/>
      <c r="AF1321" s="27" t="s">
        <v>1091</v>
      </c>
      <c r="AG1321" s="27" t="s">
        <v>1091</v>
      </c>
      <c r="AH1321" s="27">
        <v>196.0</v>
      </c>
      <c r="AI1321" s="27">
        <v>219.0</v>
      </c>
      <c r="AJ1321" s="27">
        <v>2.0</v>
      </c>
      <c r="AK1321" s="27" t="b">
        <v>0</v>
      </c>
      <c r="AL1321" s="27">
        <v>100.0</v>
      </c>
      <c r="AM1321" s="27" t="s">
        <v>188</v>
      </c>
      <c r="AN1321" s="27" t="s">
        <v>404</v>
      </c>
      <c r="AO1321" s="27"/>
    </row>
    <row r="1322">
      <c r="A1322" s="200">
        <v>44866.02510496527</v>
      </c>
      <c r="B1322" s="19" t="s">
        <v>138</v>
      </c>
      <c r="C1322" s="21" t="s">
        <v>302</v>
      </c>
      <c r="D1322" s="62">
        <v>6.0</v>
      </c>
      <c r="E1322" s="27">
        <v>2.0</v>
      </c>
      <c r="F1322" s="27" t="s">
        <v>2002</v>
      </c>
      <c r="G1322" s="201" t="s">
        <v>57</v>
      </c>
      <c r="H1322" s="27" t="s">
        <v>154</v>
      </c>
      <c r="I1322" s="27"/>
      <c r="J1322" s="33">
        <v>-10.0</v>
      </c>
      <c r="K1322" s="33">
        <v>-12.5</v>
      </c>
      <c r="L1322" s="66">
        <v>55.5</v>
      </c>
      <c r="M1322" s="27" t="s">
        <v>2003</v>
      </c>
      <c r="N1322" s="27">
        <v>-12.5</v>
      </c>
      <c r="O1322" s="27"/>
      <c r="P1322" s="27">
        <v>-12.5</v>
      </c>
      <c r="Q1322" s="27"/>
      <c r="R1322" s="27">
        <v>-12.5</v>
      </c>
      <c r="S1322" s="27"/>
      <c r="T1322" s="27">
        <v>-12.5</v>
      </c>
      <c r="U1322" s="27"/>
      <c r="V1322" s="27">
        <v>-12.5</v>
      </c>
      <c r="W1322" s="27"/>
      <c r="X1322" s="27">
        <v>-12.5</v>
      </c>
      <c r="Y1322" s="27"/>
      <c r="Z1322" s="27">
        <v>-12.5</v>
      </c>
      <c r="AA1322" s="27"/>
      <c r="AB1322" s="27">
        <v>-12.5</v>
      </c>
      <c r="AC1322" s="27"/>
      <c r="AD1322" s="27">
        <v>-12.5</v>
      </c>
      <c r="AE1322" s="27"/>
      <c r="AF1322" s="27" t="s">
        <v>1091</v>
      </c>
      <c r="AG1322" s="27" t="s">
        <v>1091</v>
      </c>
      <c r="AH1322" s="27">
        <v>253.0</v>
      </c>
      <c r="AI1322" s="27">
        <v>141.0</v>
      </c>
      <c r="AJ1322" s="27">
        <v>2.0</v>
      </c>
      <c r="AK1322" s="27" t="b">
        <v>1</v>
      </c>
      <c r="AL1322" s="27">
        <v>100.0</v>
      </c>
      <c r="AM1322" s="27" t="s">
        <v>193</v>
      </c>
      <c r="AN1322" s="27" t="s">
        <v>405</v>
      </c>
      <c r="AO1322" s="27"/>
    </row>
    <row r="1323">
      <c r="A1323" s="200">
        <v>44866.02510496527</v>
      </c>
      <c r="B1323" s="19" t="s">
        <v>138</v>
      </c>
      <c r="C1323" s="21" t="s">
        <v>282</v>
      </c>
      <c r="D1323" s="62">
        <v>6.0</v>
      </c>
      <c r="E1323" s="27">
        <v>2.0</v>
      </c>
      <c r="F1323" s="27" t="s">
        <v>2004</v>
      </c>
      <c r="G1323" s="201" t="s">
        <v>57</v>
      </c>
      <c r="H1323" s="27" t="s">
        <v>148</v>
      </c>
      <c r="I1323" s="27"/>
      <c r="J1323" s="33">
        <v>2.5</v>
      </c>
      <c r="K1323" s="33">
        <v>-1.0</v>
      </c>
      <c r="L1323" s="66">
        <v>55.5</v>
      </c>
      <c r="M1323" s="27" t="s">
        <v>2005</v>
      </c>
      <c r="N1323" s="27">
        <v>1.0</v>
      </c>
      <c r="O1323" s="27"/>
      <c r="P1323" s="27">
        <v>0.0</v>
      </c>
      <c r="Q1323" s="27"/>
      <c r="R1323" s="27">
        <v>1.0</v>
      </c>
      <c r="S1323" s="27"/>
      <c r="T1323" s="27">
        <v>-1.0</v>
      </c>
      <c r="U1323" s="27"/>
      <c r="V1323" s="27">
        <v>1.0</v>
      </c>
      <c r="W1323" s="27"/>
      <c r="X1323" s="27">
        <v>0.0</v>
      </c>
      <c r="Y1323" s="27"/>
      <c r="Z1323" s="27">
        <v>1.0</v>
      </c>
      <c r="AA1323" s="27"/>
      <c r="AB1323" s="27">
        <v>-1.0</v>
      </c>
      <c r="AC1323" s="27"/>
      <c r="AD1323" s="27">
        <v>-1.0</v>
      </c>
      <c r="AE1323" s="27"/>
      <c r="AF1323" s="27" t="s">
        <v>1091</v>
      </c>
      <c r="AG1323" s="27" t="s">
        <v>1091</v>
      </c>
      <c r="AH1323" s="27">
        <v>279.0</v>
      </c>
      <c r="AI1323" s="27">
        <v>179.0</v>
      </c>
      <c r="AJ1323" s="27">
        <v>2.0</v>
      </c>
      <c r="AK1323" s="27" t="b">
        <v>0</v>
      </c>
      <c r="AL1323" s="27">
        <v>100.0</v>
      </c>
      <c r="AM1323" s="27" t="s">
        <v>389</v>
      </c>
      <c r="AN1323" s="27" t="s">
        <v>405</v>
      </c>
      <c r="AO1323" s="27"/>
    </row>
    <row r="1324">
      <c r="A1324" s="200">
        <v>44866.02510496527</v>
      </c>
      <c r="B1324" s="19" t="s">
        <v>138</v>
      </c>
      <c r="C1324" s="21" t="s">
        <v>303</v>
      </c>
      <c r="D1324" s="62">
        <v>5.0</v>
      </c>
      <c r="E1324" s="27">
        <v>3.0</v>
      </c>
      <c r="F1324" s="27" t="s">
        <v>2006</v>
      </c>
      <c r="G1324" s="201" t="s">
        <v>57</v>
      </c>
      <c r="H1324" s="27" t="s">
        <v>166</v>
      </c>
      <c r="I1324" s="27"/>
      <c r="J1324" s="33">
        <v>-4.5</v>
      </c>
      <c r="K1324" s="33">
        <v>-4.0</v>
      </c>
      <c r="L1324" s="66">
        <v>61.0</v>
      </c>
      <c r="M1324" s="27" t="s">
        <v>2007</v>
      </c>
      <c r="N1324" s="27">
        <v>-4.0</v>
      </c>
      <c r="O1324" s="27"/>
      <c r="P1324" s="27">
        <v>-4.0</v>
      </c>
      <c r="Q1324" s="27"/>
      <c r="R1324" s="27">
        <v>-4.0</v>
      </c>
      <c r="S1324" s="27"/>
      <c r="T1324" s="27">
        <v>-4.0</v>
      </c>
      <c r="U1324" s="27"/>
      <c r="V1324" s="27">
        <v>-4.0</v>
      </c>
      <c r="W1324" s="27"/>
      <c r="X1324" s="27">
        <v>-4.0</v>
      </c>
      <c r="Y1324" s="27"/>
      <c r="Z1324" s="27">
        <v>-4.0</v>
      </c>
      <c r="AA1324" s="27"/>
      <c r="AB1324" s="27">
        <v>-4.0</v>
      </c>
      <c r="AC1324" s="27"/>
      <c r="AD1324" s="27">
        <v>-4.0</v>
      </c>
      <c r="AE1324" s="27"/>
      <c r="AF1324" s="27" t="s">
        <v>1091</v>
      </c>
      <c r="AG1324" s="27" t="s">
        <v>1091</v>
      </c>
      <c r="AH1324" s="27">
        <v>270.0</v>
      </c>
      <c r="AI1324" s="27">
        <v>255.0</v>
      </c>
      <c r="AJ1324" s="27">
        <v>2.0</v>
      </c>
      <c r="AK1324" s="27" t="b">
        <v>0</v>
      </c>
      <c r="AL1324" s="27">
        <v>100.0</v>
      </c>
      <c r="AM1324" s="27" t="s">
        <v>192</v>
      </c>
      <c r="AN1324" s="27" t="s">
        <v>404</v>
      </c>
      <c r="AO1324" s="27"/>
    </row>
    <row r="1325">
      <c r="A1325" s="200">
        <v>44866.02510496527</v>
      </c>
      <c r="B1325" s="19" t="s">
        <v>138</v>
      </c>
      <c r="C1325" s="21" t="s">
        <v>308</v>
      </c>
      <c r="D1325" s="62">
        <v>6.0</v>
      </c>
      <c r="E1325" s="27">
        <v>2.0</v>
      </c>
      <c r="F1325" s="27" t="s">
        <v>2008</v>
      </c>
      <c r="G1325" s="201" t="s">
        <v>57</v>
      </c>
      <c r="H1325" s="27" t="s">
        <v>109</v>
      </c>
      <c r="I1325" s="27"/>
      <c r="J1325" s="33">
        <v>1.0</v>
      </c>
      <c r="K1325" s="33">
        <v>-3.0</v>
      </c>
      <c r="L1325" s="66">
        <v>46.0</v>
      </c>
      <c r="M1325" s="27" t="s">
        <v>2009</v>
      </c>
      <c r="N1325" s="27">
        <v>-3.0</v>
      </c>
      <c r="O1325" s="27"/>
      <c r="P1325" s="27">
        <v>-3.0</v>
      </c>
      <c r="Q1325" s="27"/>
      <c r="R1325" s="27">
        <v>-3.0</v>
      </c>
      <c r="S1325" s="27"/>
      <c r="T1325" s="27">
        <v>-3.0</v>
      </c>
      <c r="U1325" s="27"/>
      <c r="V1325" s="27">
        <v>-3.0</v>
      </c>
      <c r="W1325" s="27"/>
      <c r="X1325" s="27">
        <v>-3.0</v>
      </c>
      <c r="Y1325" s="27"/>
      <c r="Z1325" s="27">
        <v>-3.0</v>
      </c>
      <c r="AA1325" s="27"/>
      <c r="AB1325" s="27">
        <v>-3.0</v>
      </c>
      <c r="AC1325" s="27"/>
      <c r="AD1325" s="27">
        <v>-3.0</v>
      </c>
      <c r="AE1325" s="27"/>
      <c r="AF1325" s="27" t="s">
        <v>1091</v>
      </c>
      <c r="AG1325" s="27" t="s">
        <v>1091</v>
      </c>
      <c r="AH1325" s="27">
        <v>261.0</v>
      </c>
      <c r="AI1325" s="27">
        <v>147.0</v>
      </c>
      <c r="AJ1325" s="27">
        <v>2.0</v>
      </c>
      <c r="AK1325" s="27" t="b">
        <v>0</v>
      </c>
      <c r="AL1325" s="27">
        <v>100.0</v>
      </c>
      <c r="AM1325" s="27" t="s">
        <v>186</v>
      </c>
      <c r="AN1325" s="27" t="s">
        <v>404</v>
      </c>
      <c r="AO1325" s="27"/>
    </row>
    <row r="1326">
      <c r="A1326" s="200">
        <v>44866.02510496527</v>
      </c>
      <c r="B1326" s="19"/>
      <c r="C1326" s="21"/>
      <c r="D1326" s="62"/>
      <c r="E1326" s="27"/>
      <c r="F1326" s="27"/>
      <c r="G1326" s="201"/>
      <c r="H1326" s="27"/>
      <c r="I1326" s="27"/>
      <c r="J1326" s="33"/>
      <c r="K1326" s="33"/>
      <c r="L1326" s="66"/>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t="e">
        <v>#N/A</v>
      </c>
      <c r="AN1326" s="27" t="e">
        <v>#N/A</v>
      </c>
      <c r="AO1326" s="27"/>
    </row>
    <row r="1327">
      <c r="A1327" s="200">
        <v>44866.02510496527</v>
      </c>
      <c r="B1327" s="19" t="s">
        <v>141</v>
      </c>
      <c r="C1327" s="21" t="s">
        <v>287</v>
      </c>
      <c r="D1327" s="62">
        <v>7.0</v>
      </c>
      <c r="E1327" s="27">
        <v>1.0</v>
      </c>
      <c r="F1327" s="27"/>
      <c r="G1327" s="201"/>
      <c r="H1327" s="27"/>
      <c r="I1327" s="27" t="s">
        <v>82</v>
      </c>
      <c r="J1327" s="33"/>
      <c r="K1327" s="33"/>
      <c r="L1327" s="66"/>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v>345.0</v>
      </c>
      <c r="AI1327" s="27">
        <v>133.0</v>
      </c>
      <c r="AJ1327" s="27">
        <v>0.0</v>
      </c>
      <c r="AK1327" s="27" t="b">
        <v>1</v>
      </c>
      <c r="AL1327" s="27">
        <v>59.0</v>
      </c>
      <c r="AM1327" s="27" t="s">
        <v>192</v>
      </c>
      <c r="AN1327" s="27" t="s">
        <v>404</v>
      </c>
      <c r="AO1327" s="27"/>
    </row>
    <row r="1328">
      <c r="A1328" s="200">
        <v>44866.02510496527</v>
      </c>
      <c r="B1328" s="19" t="s">
        <v>141</v>
      </c>
      <c r="C1328" s="21" t="s">
        <v>318</v>
      </c>
      <c r="D1328" s="62">
        <v>6.0</v>
      </c>
      <c r="E1328" s="27">
        <v>2.0</v>
      </c>
      <c r="F1328" s="27"/>
      <c r="G1328" s="201"/>
      <c r="H1328" s="27"/>
      <c r="I1328" s="27" t="s">
        <v>133</v>
      </c>
      <c r="J1328" s="33"/>
      <c r="K1328" s="33"/>
      <c r="L1328" s="66"/>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v>180.0</v>
      </c>
      <c r="AI1328" s="27">
        <v>141.0</v>
      </c>
      <c r="AJ1328" s="27">
        <v>0.0</v>
      </c>
      <c r="AK1328" s="27" t="b">
        <v>1</v>
      </c>
      <c r="AL1328" s="27">
        <v>59.0</v>
      </c>
      <c r="AM1328" s="27" t="s">
        <v>193</v>
      </c>
      <c r="AN1328" s="27" t="s">
        <v>405</v>
      </c>
      <c r="AO1328" s="27"/>
    </row>
    <row r="1329">
      <c r="A1329" s="200">
        <v>44866.02510496527</v>
      </c>
      <c r="B1329" s="19" t="s">
        <v>141</v>
      </c>
      <c r="C1329" s="21" t="s">
        <v>349</v>
      </c>
      <c r="D1329" s="62">
        <v>5.0</v>
      </c>
      <c r="E1329" s="27">
        <v>2.0</v>
      </c>
      <c r="F1329" s="27" t="s">
        <v>1959</v>
      </c>
      <c r="G1329" s="201" t="s">
        <v>57</v>
      </c>
      <c r="H1329" s="27" t="s">
        <v>53</v>
      </c>
      <c r="I1329" s="27"/>
      <c r="J1329" s="33">
        <v>-24.5</v>
      </c>
      <c r="K1329" s="33">
        <v>-24.5</v>
      </c>
      <c r="L1329" s="66">
        <v>44.5</v>
      </c>
      <c r="M1329" s="27" t="s">
        <v>1960</v>
      </c>
      <c r="N1329" s="27">
        <v>-24.5</v>
      </c>
      <c r="O1329" s="27"/>
      <c r="P1329" s="27">
        <v>-24.5</v>
      </c>
      <c r="Q1329" s="27"/>
      <c r="R1329" s="27">
        <v>-24.5</v>
      </c>
      <c r="S1329" s="27"/>
      <c r="T1329" s="27">
        <v>-25.0</v>
      </c>
      <c r="U1329" s="27"/>
      <c r="V1329" s="27">
        <v>-24.5</v>
      </c>
      <c r="W1329" s="27"/>
      <c r="X1329" s="27">
        <v>-24.5</v>
      </c>
      <c r="Y1329" s="27"/>
      <c r="Z1329" s="27">
        <v>-24.5</v>
      </c>
      <c r="AA1329" s="27"/>
      <c r="AB1329" s="27">
        <v>-25.0</v>
      </c>
      <c r="AC1329" s="27"/>
      <c r="AD1329" s="27">
        <v>-25.0</v>
      </c>
      <c r="AE1329" s="27"/>
      <c r="AF1329" s="27" t="s">
        <v>1091</v>
      </c>
      <c r="AG1329" s="27" t="s">
        <v>1091</v>
      </c>
      <c r="AH1329" s="27">
        <v>189.0</v>
      </c>
      <c r="AI1329" s="27">
        <v>115.0</v>
      </c>
      <c r="AJ1329" s="27">
        <v>2.0</v>
      </c>
      <c r="AK1329" s="27" t="b">
        <v>1</v>
      </c>
      <c r="AL1329" s="27">
        <v>100.0</v>
      </c>
      <c r="AM1329" s="27" t="s">
        <v>129</v>
      </c>
      <c r="AN1329" s="27" t="s">
        <v>405</v>
      </c>
      <c r="AO1329" s="27"/>
    </row>
    <row r="1330">
      <c r="A1330" s="200">
        <v>44866.02510496527</v>
      </c>
      <c r="B1330" s="19" t="s">
        <v>141</v>
      </c>
      <c r="C1330" s="21" t="s">
        <v>353</v>
      </c>
      <c r="D1330" s="62">
        <v>5.0</v>
      </c>
      <c r="E1330" s="27">
        <v>3.0</v>
      </c>
      <c r="F1330" s="27" t="s">
        <v>1989</v>
      </c>
      <c r="G1330" s="201" t="s">
        <v>57</v>
      </c>
      <c r="H1330" s="27" t="s">
        <v>178</v>
      </c>
      <c r="I1330" s="27"/>
      <c r="J1330" s="33">
        <v>6.5</v>
      </c>
      <c r="K1330" s="33">
        <v>4.0</v>
      </c>
      <c r="L1330" s="66">
        <v>62.5</v>
      </c>
      <c r="M1330" s="27" t="s">
        <v>1990</v>
      </c>
      <c r="N1330" s="27">
        <v>4.5</v>
      </c>
      <c r="O1330" s="27"/>
      <c r="P1330" s="27">
        <v>4.0</v>
      </c>
      <c r="Q1330" s="27"/>
      <c r="R1330" s="27">
        <v>4.0</v>
      </c>
      <c r="S1330" s="27"/>
      <c r="T1330" s="27">
        <v>4.0</v>
      </c>
      <c r="U1330" s="27"/>
      <c r="V1330" s="27">
        <v>4.0</v>
      </c>
      <c r="W1330" s="27"/>
      <c r="X1330" s="27">
        <v>4.0</v>
      </c>
      <c r="Y1330" s="27"/>
      <c r="Z1330" s="27">
        <v>4.0</v>
      </c>
      <c r="AA1330" s="27"/>
      <c r="AB1330" s="27">
        <v>4.0</v>
      </c>
      <c r="AC1330" s="27"/>
      <c r="AD1330" s="27">
        <v>4.0</v>
      </c>
      <c r="AE1330" s="27"/>
      <c r="AF1330" s="27" t="s">
        <v>1091</v>
      </c>
      <c r="AG1330" s="27" t="s">
        <v>1091</v>
      </c>
      <c r="AH1330" s="27">
        <v>238.0</v>
      </c>
      <c r="AI1330" s="27">
        <v>165.0</v>
      </c>
      <c r="AJ1330" s="27">
        <v>2.0</v>
      </c>
      <c r="AK1330" s="27" t="b">
        <v>1</v>
      </c>
      <c r="AL1330" s="27">
        <v>100.0</v>
      </c>
      <c r="AM1330" s="27" t="s">
        <v>186</v>
      </c>
      <c r="AN1330" s="27" t="s">
        <v>404</v>
      </c>
      <c r="AO1330" s="27"/>
    </row>
    <row r="1331">
      <c r="A1331" s="200">
        <v>44866.02510496527</v>
      </c>
      <c r="B1331" s="19" t="s">
        <v>141</v>
      </c>
      <c r="C1331" s="21" t="s">
        <v>314</v>
      </c>
      <c r="D1331" s="62">
        <v>4.0</v>
      </c>
      <c r="E1331" s="27">
        <v>4.0</v>
      </c>
      <c r="F1331" s="27" t="s">
        <v>1967</v>
      </c>
      <c r="G1331" s="201" t="s">
        <v>57</v>
      </c>
      <c r="H1331" s="27" t="s">
        <v>53</v>
      </c>
      <c r="I1331" s="27"/>
      <c r="J1331" s="33">
        <v>-3.0</v>
      </c>
      <c r="K1331" s="33">
        <v>-2.5</v>
      </c>
      <c r="L1331" s="66">
        <v>66.0</v>
      </c>
      <c r="M1331" s="27" t="s">
        <v>1957</v>
      </c>
      <c r="N1331" s="27">
        <v>-2.5</v>
      </c>
      <c r="O1331" s="27"/>
      <c r="P1331" s="27">
        <v>-2.5</v>
      </c>
      <c r="Q1331" s="27"/>
      <c r="R1331" s="27">
        <v>-2.5</v>
      </c>
      <c r="S1331" s="27"/>
      <c r="T1331" s="27">
        <v>-2.5</v>
      </c>
      <c r="U1331" s="27"/>
      <c r="V1331" s="27">
        <v>-2.5</v>
      </c>
      <c r="W1331" s="27"/>
      <c r="X1331" s="27">
        <v>-2.5</v>
      </c>
      <c r="Y1331" s="27"/>
      <c r="Z1331" s="27">
        <v>-2.5</v>
      </c>
      <c r="AA1331" s="27"/>
      <c r="AB1331" s="27">
        <v>-2.5</v>
      </c>
      <c r="AC1331" s="27"/>
      <c r="AD1331" s="27">
        <v>-2.5</v>
      </c>
      <c r="AE1331" s="27"/>
      <c r="AF1331" s="27" t="s">
        <v>1091</v>
      </c>
      <c r="AG1331" s="27" t="s">
        <v>1091</v>
      </c>
      <c r="AH1331" s="27">
        <v>285.0</v>
      </c>
      <c r="AI1331" s="27">
        <v>240.0</v>
      </c>
      <c r="AJ1331" s="27">
        <v>2.0</v>
      </c>
      <c r="AK1331" s="27" t="b">
        <v>1</v>
      </c>
      <c r="AL1331" s="27">
        <v>100.0</v>
      </c>
      <c r="AM1331" s="27" t="s">
        <v>389</v>
      </c>
      <c r="AN1331" s="27" t="s">
        <v>405</v>
      </c>
      <c r="AO1331" s="27"/>
    </row>
    <row r="1332">
      <c r="A1332" s="200">
        <v>44866.02510496527</v>
      </c>
      <c r="B1332" s="19" t="s">
        <v>141</v>
      </c>
      <c r="C1332" s="21" t="s">
        <v>365</v>
      </c>
      <c r="D1332" s="62">
        <v>3.0</v>
      </c>
      <c r="E1332" s="27">
        <v>5.0</v>
      </c>
      <c r="F1332" s="27" t="s">
        <v>2010</v>
      </c>
      <c r="G1332" s="201" t="s">
        <v>57</v>
      </c>
      <c r="H1332" s="27" t="s">
        <v>144</v>
      </c>
      <c r="I1332" s="27"/>
      <c r="J1332" s="33">
        <v>6.5</v>
      </c>
      <c r="K1332" s="33">
        <v>8.0</v>
      </c>
      <c r="L1332" s="66">
        <v>50.5</v>
      </c>
      <c r="M1332" s="27" t="s">
        <v>2011</v>
      </c>
      <c r="N1332" s="27">
        <v>7.5</v>
      </c>
      <c r="O1332" s="27"/>
      <c r="P1332" s="27">
        <v>8.0</v>
      </c>
      <c r="Q1332" s="27"/>
      <c r="R1332" s="27">
        <v>8.0</v>
      </c>
      <c r="S1332" s="27"/>
      <c r="T1332" s="27">
        <v>8.0</v>
      </c>
      <c r="U1332" s="27"/>
      <c r="V1332" s="27">
        <v>8.0</v>
      </c>
      <c r="W1332" s="27"/>
      <c r="X1332" s="27">
        <v>7.5</v>
      </c>
      <c r="Y1332" s="27"/>
      <c r="Z1332" s="27">
        <v>7.5</v>
      </c>
      <c r="AA1332" s="27"/>
      <c r="AB1332" s="27">
        <v>8.0</v>
      </c>
      <c r="AC1332" s="27"/>
      <c r="AD1332" s="27">
        <v>8.0</v>
      </c>
      <c r="AE1332" s="27"/>
      <c r="AF1332" s="27" t="s">
        <v>1091</v>
      </c>
      <c r="AG1332" s="27" t="s">
        <v>1091</v>
      </c>
      <c r="AH1332" s="27">
        <v>217.0</v>
      </c>
      <c r="AI1332" s="27">
        <v>245.0</v>
      </c>
      <c r="AJ1332" s="27">
        <v>2.0</v>
      </c>
      <c r="AK1332" s="27" t="b">
        <v>0</v>
      </c>
      <c r="AL1332" s="27">
        <v>100.0</v>
      </c>
      <c r="AM1332" s="27" t="s">
        <v>188</v>
      </c>
      <c r="AN1332" s="27" t="s">
        <v>404</v>
      </c>
      <c r="AO1332" s="27"/>
    </row>
    <row r="1333">
      <c r="A1333" s="200">
        <v>44866.02510496527</v>
      </c>
      <c r="B1333" s="19" t="s">
        <v>141</v>
      </c>
      <c r="C1333" s="21" t="s">
        <v>386</v>
      </c>
      <c r="D1333" s="62">
        <v>4.0</v>
      </c>
      <c r="E1333" s="27">
        <v>4.0</v>
      </c>
      <c r="F1333" s="27" t="s">
        <v>1991</v>
      </c>
      <c r="G1333" s="201" t="s">
        <v>57</v>
      </c>
      <c r="H1333" s="27" t="s">
        <v>178</v>
      </c>
      <c r="I1333" s="27"/>
      <c r="J1333" s="33">
        <v>13.5</v>
      </c>
      <c r="K1333" s="33">
        <v>14.0</v>
      </c>
      <c r="L1333" s="66">
        <v>41.0</v>
      </c>
      <c r="M1333" s="27" t="s">
        <v>1992</v>
      </c>
      <c r="N1333" s="27">
        <v>14.0</v>
      </c>
      <c r="O1333" s="27"/>
      <c r="P1333" s="27">
        <v>14.5</v>
      </c>
      <c r="Q1333" s="27"/>
      <c r="R1333" s="27">
        <v>14.5</v>
      </c>
      <c r="S1333" s="27"/>
      <c r="T1333" s="27" t="s">
        <v>1091</v>
      </c>
      <c r="U1333" s="27" t="s">
        <v>1091</v>
      </c>
      <c r="V1333" s="27" t="s">
        <v>1091</v>
      </c>
      <c r="W1333" s="27" t="s">
        <v>1091</v>
      </c>
      <c r="X1333" s="27" t="s">
        <v>1091</v>
      </c>
      <c r="Y1333" s="27" t="s">
        <v>1091</v>
      </c>
      <c r="Z1333" s="27" t="s">
        <v>1091</v>
      </c>
      <c r="AA1333" s="27" t="s">
        <v>1091</v>
      </c>
      <c r="AB1333" s="27" t="s">
        <v>1091</v>
      </c>
      <c r="AC1333" s="27" t="s">
        <v>1091</v>
      </c>
      <c r="AD1333" s="27" t="s">
        <v>1091</v>
      </c>
      <c r="AE1333" s="27" t="s">
        <v>1091</v>
      </c>
      <c r="AF1333" s="27" t="s">
        <v>1091</v>
      </c>
      <c r="AG1333" s="27" t="s">
        <v>1091</v>
      </c>
      <c r="AH1333" s="27">
        <v>161.0</v>
      </c>
      <c r="AI1333" s="27">
        <v>180.0</v>
      </c>
      <c r="AJ1333" s="27">
        <v>2.0</v>
      </c>
      <c r="AK1333" s="27" t="b">
        <v>1</v>
      </c>
      <c r="AL1333" s="27">
        <v>100.0</v>
      </c>
      <c r="AM1333" s="27" t="s">
        <v>191</v>
      </c>
      <c r="AN1333" s="27" t="s">
        <v>404</v>
      </c>
      <c r="AO1333" s="27"/>
    </row>
    <row r="1334">
      <c r="A1334" s="200">
        <v>44866.02510496527</v>
      </c>
      <c r="B1334" s="19" t="s">
        <v>141</v>
      </c>
      <c r="C1334" s="21" t="s">
        <v>317</v>
      </c>
      <c r="D1334" s="62">
        <v>2.0</v>
      </c>
      <c r="E1334" s="27">
        <v>7.0</v>
      </c>
      <c r="F1334" s="27" t="s">
        <v>2012</v>
      </c>
      <c r="G1334" s="201" t="s">
        <v>57</v>
      </c>
      <c r="H1334" s="27" t="s">
        <v>116</v>
      </c>
      <c r="I1334" s="27"/>
      <c r="J1334" s="33">
        <v>16.5</v>
      </c>
      <c r="K1334" s="33">
        <v>16.5</v>
      </c>
      <c r="L1334" s="66">
        <v>60.5</v>
      </c>
      <c r="M1334" s="27" t="s">
        <v>1795</v>
      </c>
      <c r="N1334" s="27">
        <v>16.5</v>
      </c>
      <c r="O1334" s="27"/>
      <c r="P1334" s="27">
        <v>16.5</v>
      </c>
      <c r="Q1334" s="27"/>
      <c r="R1334" s="27">
        <v>16.5</v>
      </c>
      <c r="S1334" s="27"/>
      <c r="T1334" s="27">
        <v>17.0</v>
      </c>
      <c r="U1334" s="27"/>
      <c r="V1334" s="27">
        <v>16.5</v>
      </c>
      <c r="W1334" s="27"/>
      <c r="X1334" s="27">
        <v>16.5</v>
      </c>
      <c r="Y1334" s="27"/>
      <c r="Z1334" s="27">
        <v>16.5</v>
      </c>
      <c r="AA1334" s="27"/>
      <c r="AB1334" s="27">
        <v>17.0</v>
      </c>
      <c r="AC1334" s="27"/>
      <c r="AD1334" s="27">
        <v>17.0</v>
      </c>
      <c r="AE1334" s="27"/>
      <c r="AF1334" s="27" t="s">
        <v>1091</v>
      </c>
      <c r="AG1334" s="27" t="s">
        <v>1091</v>
      </c>
      <c r="AH1334" s="27">
        <v>246.0</v>
      </c>
      <c r="AI1334" s="27">
        <v>369.0</v>
      </c>
      <c r="AJ1334" s="27">
        <v>2.0</v>
      </c>
      <c r="AK1334" s="27" t="b">
        <v>1</v>
      </c>
      <c r="AL1334" s="27">
        <v>100.0</v>
      </c>
      <c r="AM1334" s="27" t="s">
        <v>189</v>
      </c>
      <c r="AN1334" s="27" t="s">
        <v>405</v>
      </c>
      <c r="AO1334" s="27"/>
    </row>
    <row r="1335">
      <c r="A1335" s="200">
        <v>44866.02510496527</v>
      </c>
      <c r="B1335" s="19" t="s">
        <v>141</v>
      </c>
      <c r="C1335" s="21" t="s">
        <v>323</v>
      </c>
      <c r="D1335" s="62">
        <v>1.0</v>
      </c>
      <c r="E1335" s="27">
        <v>8.0</v>
      </c>
      <c r="F1335" s="27" t="s">
        <v>1979</v>
      </c>
      <c r="G1335" s="201" t="s">
        <v>57</v>
      </c>
      <c r="H1335" s="27" t="s">
        <v>131</v>
      </c>
      <c r="I1335" s="27"/>
      <c r="J1335" s="33">
        <v>9.0</v>
      </c>
      <c r="K1335" s="33">
        <v>8.5</v>
      </c>
      <c r="L1335" s="66">
        <v>47.5</v>
      </c>
      <c r="M1335" s="27" t="s">
        <v>1980</v>
      </c>
      <c r="N1335" s="27">
        <v>8.5</v>
      </c>
      <c r="O1335" s="27"/>
      <c r="P1335" s="27">
        <v>8.5</v>
      </c>
      <c r="Q1335" s="27"/>
      <c r="R1335" s="27">
        <v>8.5</v>
      </c>
      <c r="S1335" s="27"/>
      <c r="T1335" s="27">
        <v>8.5</v>
      </c>
      <c r="U1335" s="27"/>
      <c r="V1335" s="27">
        <v>8.5</v>
      </c>
      <c r="W1335" s="27"/>
      <c r="X1335" s="27">
        <v>8.5</v>
      </c>
      <c r="Y1335" s="27"/>
      <c r="Z1335" s="27">
        <v>8.5</v>
      </c>
      <c r="AA1335" s="27"/>
      <c r="AB1335" s="27" t="s">
        <v>1091</v>
      </c>
      <c r="AC1335" s="27" t="s">
        <v>1091</v>
      </c>
      <c r="AD1335" s="27" t="s">
        <v>1091</v>
      </c>
      <c r="AE1335" s="27" t="s">
        <v>1091</v>
      </c>
      <c r="AF1335" s="27" t="s">
        <v>1091</v>
      </c>
      <c r="AG1335" s="27" t="s">
        <v>1091</v>
      </c>
      <c r="AH1335" s="27">
        <v>167.0</v>
      </c>
      <c r="AI1335" s="27">
        <v>333.0</v>
      </c>
      <c r="AJ1335" s="27">
        <v>2.0</v>
      </c>
      <c r="AK1335" s="27" t="b">
        <v>1</v>
      </c>
      <c r="AL1335" s="27">
        <v>100.0</v>
      </c>
      <c r="AM1335" s="27" t="s">
        <v>190</v>
      </c>
      <c r="AN1335" s="27" t="s">
        <v>405</v>
      </c>
      <c r="AO1335" s="27"/>
    </row>
    <row r="1336">
      <c r="A1336" s="200">
        <v>44866.02510496527</v>
      </c>
      <c r="B1336" s="19" t="s">
        <v>141</v>
      </c>
      <c r="C1336" s="21" t="s">
        <v>393</v>
      </c>
      <c r="D1336" s="62">
        <v>4.0</v>
      </c>
      <c r="E1336" s="27">
        <v>5.0</v>
      </c>
      <c r="F1336" s="27" t="s">
        <v>2013</v>
      </c>
      <c r="G1336" s="201" t="s">
        <v>57</v>
      </c>
      <c r="H1336" s="27" t="s">
        <v>144</v>
      </c>
      <c r="I1336" s="27"/>
      <c r="J1336" s="33">
        <v>-4.5</v>
      </c>
      <c r="K1336" s="33">
        <v>-3.0</v>
      </c>
      <c r="L1336" s="66">
        <v>62.0</v>
      </c>
      <c r="M1336" s="27" t="s">
        <v>2014</v>
      </c>
      <c r="N1336" s="27">
        <v>-3.0</v>
      </c>
      <c r="O1336" s="27"/>
      <c r="P1336" s="27">
        <v>-3.0</v>
      </c>
      <c r="Q1336" s="27"/>
      <c r="R1336" s="27">
        <v>-3.0</v>
      </c>
      <c r="S1336" s="27"/>
      <c r="T1336" s="27">
        <v>-3.0</v>
      </c>
      <c r="U1336" s="27"/>
      <c r="V1336" s="27">
        <v>-3.0</v>
      </c>
      <c r="W1336" s="27"/>
      <c r="X1336" s="27">
        <v>-3.0</v>
      </c>
      <c r="Y1336" s="27"/>
      <c r="Z1336" s="27">
        <v>-3.0</v>
      </c>
      <c r="AA1336" s="27"/>
      <c r="AB1336" s="27">
        <v>-3.0</v>
      </c>
      <c r="AC1336" s="27"/>
      <c r="AD1336" s="27">
        <v>-3.0</v>
      </c>
      <c r="AE1336" s="27"/>
      <c r="AF1336" s="27" t="s">
        <v>1091</v>
      </c>
      <c r="AG1336" s="27" t="s">
        <v>1091</v>
      </c>
      <c r="AH1336" s="27">
        <v>265.0</v>
      </c>
      <c r="AI1336" s="27">
        <v>280.0</v>
      </c>
      <c r="AJ1336" s="27">
        <v>2.0</v>
      </c>
      <c r="AK1336" s="27" t="b">
        <v>1</v>
      </c>
      <c r="AL1336" s="27">
        <v>100.0</v>
      </c>
      <c r="AM1336" s="27" t="s">
        <v>187</v>
      </c>
      <c r="AN1336" s="27" t="s">
        <v>404</v>
      </c>
      <c r="AO1336" s="27"/>
    </row>
    <row r="1337">
      <c r="A1337" s="200">
        <v>44866.02510496527</v>
      </c>
      <c r="B1337" s="19"/>
      <c r="C1337" s="21"/>
      <c r="D1337" s="62"/>
      <c r="E1337" s="27"/>
      <c r="F1337" s="27"/>
      <c r="G1337" s="201"/>
      <c r="H1337" s="27"/>
      <c r="I1337" s="27"/>
      <c r="J1337" s="33"/>
      <c r="K1337" s="33"/>
      <c r="L1337" s="66"/>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t="e">
        <v>#N/A</v>
      </c>
      <c r="AN1337" s="27" t="e">
        <v>#N/A</v>
      </c>
      <c r="AO1337" s="27"/>
    </row>
    <row r="1338">
      <c r="A1338" s="200">
        <v>44866.02510496527</v>
      </c>
      <c r="B1338" s="19" t="s">
        <v>109</v>
      </c>
      <c r="C1338" s="21" t="s">
        <v>360</v>
      </c>
      <c r="D1338" s="62">
        <v>6.0</v>
      </c>
      <c r="E1338" s="27">
        <v>2.0</v>
      </c>
      <c r="F1338" s="27"/>
      <c r="G1338" s="201"/>
      <c r="H1338" s="27"/>
      <c r="I1338" s="27" t="s">
        <v>82</v>
      </c>
      <c r="J1338" s="33"/>
      <c r="K1338" s="33"/>
      <c r="L1338" s="66"/>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v>281.0</v>
      </c>
      <c r="AI1338" s="27">
        <v>169.0</v>
      </c>
      <c r="AJ1338" s="27">
        <v>0.0</v>
      </c>
      <c r="AK1338" s="27" t="b">
        <v>1</v>
      </c>
      <c r="AL1338" s="27">
        <v>59.0</v>
      </c>
      <c r="AM1338" s="27" t="s">
        <v>192</v>
      </c>
      <c r="AN1338" s="27" t="s">
        <v>404</v>
      </c>
      <c r="AO1338" s="27"/>
    </row>
    <row r="1339">
      <c r="A1339" s="200">
        <v>44866.02510496527</v>
      </c>
      <c r="B1339" s="19" t="s">
        <v>109</v>
      </c>
      <c r="C1339" s="21" t="s">
        <v>339</v>
      </c>
      <c r="D1339" s="62">
        <v>4.0</v>
      </c>
      <c r="E1339" s="27">
        <v>4.0</v>
      </c>
      <c r="F1339" s="27"/>
      <c r="G1339" s="201"/>
      <c r="H1339" s="27"/>
      <c r="I1339" s="27" t="s">
        <v>105</v>
      </c>
      <c r="J1339" s="33"/>
      <c r="K1339" s="33"/>
      <c r="L1339" s="66"/>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v>277.0</v>
      </c>
      <c r="AI1339" s="27">
        <v>249.0</v>
      </c>
      <c r="AJ1339" s="27">
        <v>0.0</v>
      </c>
      <c r="AK1339" s="27" t="b">
        <v>1</v>
      </c>
      <c r="AL1339" s="27">
        <v>59.0</v>
      </c>
      <c r="AM1339" s="27" t="s">
        <v>389</v>
      </c>
      <c r="AN1339" s="27" t="s">
        <v>405</v>
      </c>
      <c r="AO1339" s="27"/>
    </row>
    <row r="1340">
      <c r="A1340" s="200">
        <v>44866.02510496527</v>
      </c>
      <c r="B1340" s="19" t="s">
        <v>109</v>
      </c>
      <c r="C1340" s="21" t="s">
        <v>344</v>
      </c>
      <c r="D1340" s="62">
        <v>5.0</v>
      </c>
      <c r="E1340" s="27">
        <v>3.0</v>
      </c>
      <c r="F1340" s="27"/>
      <c r="G1340" s="201"/>
      <c r="H1340" s="27"/>
      <c r="I1340" s="27" t="s">
        <v>105</v>
      </c>
      <c r="J1340" s="33"/>
      <c r="K1340" s="33"/>
      <c r="L1340" s="66"/>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v>247.0</v>
      </c>
      <c r="AI1340" s="27">
        <v>198.0</v>
      </c>
      <c r="AJ1340" s="27">
        <v>0.0</v>
      </c>
      <c r="AK1340" s="27" t="b">
        <v>1</v>
      </c>
      <c r="AL1340" s="27">
        <v>59.0</v>
      </c>
      <c r="AM1340" s="27" t="s">
        <v>190</v>
      </c>
      <c r="AN1340" s="27" t="s">
        <v>405</v>
      </c>
      <c r="AO1340" s="27"/>
    </row>
    <row r="1341">
      <c r="A1341" s="200">
        <v>44866.02510496527</v>
      </c>
      <c r="B1341" s="19" t="s">
        <v>109</v>
      </c>
      <c r="C1341" s="21" t="s">
        <v>343</v>
      </c>
      <c r="D1341" s="62">
        <v>4.0</v>
      </c>
      <c r="E1341" s="27">
        <v>4.0</v>
      </c>
      <c r="F1341" s="27" t="s">
        <v>2015</v>
      </c>
      <c r="G1341" s="201" t="s">
        <v>57</v>
      </c>
      <c r="H1341" s="27" t="s">
        <v>154</v>
      </c>
      <c r="I1341" s="27"/>
      <c r="J1341" s="33">
        <v>1.5</v>
      </c>
      <c r="K1341" s="33">
        <v>1.5</v>
      </c>
      <c r="L1341" s="66">
        <v>52.0</v>
      </c>
      <c r="M1341" s="27" t="s">
        <v>2016</v>
      </c>
      <c r="N1341" s="27">
        <v>1.5</v>
      </c>
      <c r="O1341" s="27"/>
      <c r="P1341" s="27">
        <v>2.0</v>
      </c>
      <c r="Q1341" s="27"/>
      <c r="R1341" s="27">
        <v>1.5</v>
      </c>
      <c r="S1341" s="27"/>
      <c r="T1341" s="27">
        <v>1.5</v>
      </c>
      <c r="U1341" s="27"/>
      <c r="V1341" s="27">
        <v>1.5</v>
      </c>
      <c r="W1341" s="27"/>
      <c r="X1341" s="27">
        <v>1.0</v>
      </c>
      <c r="Y1341" s="27"/>
      <c r="Z1341" s="27">
        <v>1.5</v>
      </c>
      <c r="AA1341" s="27"/>
      <c r="AB1341" s="27">
        <v>1.5</v>
      </c>
      <c r="AC1341" s="27"/>
      <c r="AD1341" s="27">
        <v>1.5</v>
      </c>
      <c r="AE1341" s="27"/>
      <c r="AF1341" s="27" t="s">
        <v>1091</v>
      </c>
      <c r="AG1341" s="27" t="s">
        <v>1091</v>
      </c>
      <c r="AH1341" s="27">
        <v>220.0</v>
      </c>
      <c r="AI1341" s="27">
        <v>234.0</v>
      </c>
      <c r="AJ1341" s="27">
        <v>2.0</v>
      </c>
      <c r="AK1341" s="27" t="b">
        <v>1</v>
      </c>
      <c r="AL1341" s="27">
        <v>100.0</v>
      </c>
      <c r="AM1341" s="27" t="s">
        <v>189</v>
      </c>
      <c r="AN1341" s="27" t="s">
        <v>405</v>
      </c>
      <c r="AO1341" s="27"/>
    </row>
    <row r="1342">
      <c r="A1342" s="200">
        <v>44866.02510496527</v>
      </c>
      <c r="B1342" s="19" t="s">
        <v>109</v>
      </c>
      <c r="C1342" s="21" t="s">
        <v>367</v>
      </c>
      <c r="D1342" s="62">
        <v>7.0</v>
      </c>
      <c r="E1342" s="27">
        <v>1.0</v>
      </c>
      <c r="F1342" s="27" t="s">
        <v>2017</v>
      </c>
      <c r="G1342" s="201" t="s">
        <v>57</v>
      </c>
      <c r="H1342" s="27" t="s">
        <v>166</v>
      </c>
      <c r="I1342" s="27"/>
      <c r="J1342" s="33">
        <v>-1.0</v>
      </c>
      <c r="K1342" s="33">
        <v>-3.5</v>
      </c>
      <c r="L1342" s="66">
        <v>64.5</v>
      </c>
      <c r="M1342" s="27" t="s">
        <v>2018</v>
      </c>
      <c r="N1342" s="27">
        <v>-3.5</v>
      </c>
      <c r="O1342" s="27"/>
      <c r="P1342" s="27">
        <v>-3.5</v>
      </c>
      <c r="Q1342" s="27"/>
      <c r="R1342" s="27">
        <v>-3.5</v>
      </c>
      <c r="S1342" s="27"/>
      <c r="T1342" s="27">
        <v>-3.5</v>
      </c>
      <c r="U1342" s="27"/>
      <c r="V1342" s="27">
        <v>-3.5</v>
      </c>
      <c r="W1342" s="27"/>
      <c r="X1342" s="27">
        <v>-3.5</v>
      </c>
      <c r="Y1342" s="27"/>
      <c r="Z1342" s="27">
        <v>-3.5</v>
      </c>
      <c r="AA1342" s="27"/>
      <c r="AB1342" s="27">
        <v>-3.5</v>
      </c>
      <c r="AC1342" s="27"/>
      <c r="AD1342" s="27">
        <v>-3.5</v>
      </c>
      <c r="AE1342" s="27"/>
      <c r="AF1342" s="27" t="s">
        <v>1091</v>
      </c>
      <c r="AG1342" s="27" t="s">
        <v>1091</v>
      </c>
      <c r="AH1342" s="27">
        <v>334.0</v>
      </c>
      <c r="AI1342" s="27">
        <v>251.0</v>
      </c>
      <c r="AJ1342" s="27">
        <v>2.0</v>
      </c>
      <c r="AK1342" s="27" t="b">
        <v>1</v>
      </c>
      <c r="AL1342" s="27">
        <v>100.0</v>
      </c>
      <c r="AM1342" s="27" t="s">
        <v>186</v>
      </c>
      <c r="AN1342" s="27" t="s">
        <v>404</v>
      </c>
      <c r="AO1342" s="27"/>
    </row>
    <row r="1343">
      <c r="A1343" s="200">
        <v>44866.02510496527</v>
      </c>
      <c r="B1343" s="19" t="s">
        <v>109</v>
      </c>
      <c r="C1343" s="21" t="s">
        <v>328</v>
      </c>
      <c r="D1343" s="62">
        <v>3.0</v>
      </c>
      <c r="E1343" s="27">
        <v>5.0</v>
      </c>
      <c r="F1343" s="27" t="s">
        <v>2019</v>
      </c>
      <c r="G1343" s="201" t="s">
        <v>57</v>
      </c>
      <c r="H1343" s="27" t="s">
        <v>144</v>
      </c>
      <c r="I1343" s="27"/>
      <c r="J1343" s="33">
        <v>-11.0</v>
      </c>
      <c r="K1343" s="33">
        <v>-13.0</v>
      </c>
      <c r="L1343" s="66">
        <v>47.5</v>
      </c>
      <c r="M1343" s="27" t="s">
        <v>2020</v>
      </c>
      <c r="N1343" s="27">
        <v>-13.5</v>
      </c>
      <c r="O1343" s="27"/>
      <c r="P1343" s="27">
        <v>-13.0</v>
      </c>
      <c r="Q1343" s="27"/>
      <c r="R1343" s="27">
        <v>-13.5</v>
      </c>
      <c r="S1343" s="27"/>
      <c r="T1343" s="27">
        <v>-13.0</v>
      </c>
      <c r="U1343" s="27"/>
      <c r="V1343" s="27">
        <v>-13.5</v>
      </c>
      <c r="W1343" s="27"/>
      <c r="X1343" s="27">
        <v>-13.0</v>
      </c>
      <c r="Y1343" s="27"/>
      <c r="Z1343" s="27">
        <v>-13.0</v>
      </c>
      <c r="AA1343" s="27"/>
      <c r="AB1343" s="27">
        <v>-13.0</v>
      </c>
      <c r="AC1343" s="27"/>
      <c r="AD1343" s="27">
        <v>-13.0</v>
      </c>
      <c r="AE1343" s="27"/>
      <c r="AF1343" s="27" t="s">
        <v>1091</v>
      </c>
      <c r="AG1343" s="27" t="s">
        <v>1091</v>
      </c>
      <c r="AH1343" s="27">
        <v>217.0</v>
      </c>
      <c r="AI1343" s="27">
        <v>230.0</v>
      </c>
      <c r="AJ1343" s="27">
        <v>2.0</v>
      </c>
      <c r="AK1343" s="27" t="b">
        <v>1</v>
      </c>
      <c r="AL1343" s="27">
        <v>100.0</v>
      </c>
      <c r="AM1343" s="27" t="s">
        <v>191</v>
      </c>
      <c r="AN1343" s="27" t="s">
        <v>404</v>
      </c>
      <c r="AO1343" s="27"/>
    </row>
    <row r="1344">
      <c r="A1344" s="200">
        <v>44866.02510496527</v>
      </c>
      <c r="B1344" s="19" t="s">
        <v>109</v>
      </c>
      <c r="C1344" s="21" t="s">
        <v>394</v>
      </c>
      <c r="D1344" s="62">
        <v>3.0</v>
      </c>
      <c r="E1344" s="27">
        <v>5.0</v>
      </c>
      <c r="F1344" s="27" t="s">
        <v>2021</v>
      </c>
      <c r="G1344" s="201" t="s">
        <v>57</v>
      </c>
      <c r="H1344" s="27" t="s">
        <v>148</v>
      </c>
      <c r="I1344" s="27"/>
      <c r="J1344" s="33">
        <v>-3.0</v>
      </c>
      <c r="K1344" s="33">
        <v>-2.5</v>
      </c>
      <c r="L1344" s="66">
        <v>38.5</v>
      </c>
      <c r="M1344" s="27" t="s">
        <v>1957</v>
      </c>
      <c r="N1344" s="27">
        <v>-2.5</v>
      </c>
      <c r="O1344" s="27"/>
      <c r="P1344" s="27">
        <v>-2.5</v>
      </c>
      <c r="Q1344" s="27"/>
      <c r="R1344" s="27">
        <v>-2.5</v>
      </c>
      <c r="S1344" s="27"/>
      <c r="T1344" s="27">
        <v>-2.5</v>
      </c>
      <c r="U1344" s="27"/>
      <c r="V1344" s="27">
        <v>-2.5</v>
      </c>
      <c r="W1344" s="27"/>
      <c r="X1344" s="27">
        <v>-2.5</v>
      </c>
      <c r="Y1344" s="27"/>
      <c r="Z1344" s="27">
        <v>-2.5</v>
      </c>
      <c r="AA1344" s="27"/>
      <c r="AB1344" s="27">
        <v>-2.5</v>
      </c>
      <c r="AC1344" s="27"/>
      <c r="AD1344" s="27">
        <v>-2.5</v>
      </c>
      <c r="AE1344" s="27"/>
      <c r="AF1344" s="27" t="s">
        <v>1091</v>
      </c>
      <c r="AG1344" s="27" t="s">
        <v>1091</v>
      </c>
      <c r="AH1344" s="27">
        <v>128.0</v>
      </c>
      <c r="AI1344" s="27">
        <v>216.0</v>
      </c>
      <c r="AJ1344" s="27">
        <v>2.0</v>
      </c>
      <c r="AK1344" s="27" t="b">
        <v>0</v>
      </c>
      <c r="AL1344" s="27">
        <v>100.0</v>
      </c>
      <c r="AM1344" s="27" t="s">
        <v>129</v>
      </c>
      <c r="AN1344" s="27" t="s">
        <v>405</v>
      </c>
      <c r="AO1344" s="27"/>
    </row>
    <row r="1345">
      <c r="A1345" s="200">
        <v>44866.02510496527</v>
      </c>
      <c r="B1345" s="19" t="s">
        <v>109</v>
      </c>
      <c r="C1345" s="21" t="s">
        <v>375</v>
      </c>
      <c r="D1345" s="62">
        <v>6.0</v>
      </c>
      <c r="E1345" s="27">
        <v>2.0</v>
      </c>
      <c r="F1345" s="27" t="s">
        <v>1969</v>
      </c>
      <c r="G1345" s="201" t="s">
        <v>57</v>
      </c>
      <c r="H1345" s="27" t="s">
        <v>53</v>
      </c>
      <c r="I1345" s="27"/>
      <c r="J1345" s="33">
        <v>13.0</v>
      </c>
      <c r="K1345" s="33">
        <v>15.5</v>
      </c>
      <c r="L1345" s="66">
        <v>60.5</v>
      </c>
      <c r="M1345" s="27" t="s">
        <v>1970</v>
      </c>
      <c r="N1345" s="27">
        <v>15.5</v>
      </c>
      <c r="O1345" s="27"/>
      <c r="P1345" s="27">
        <v>15.5</v>
      </c>
      <c r="Q1345" s="27"/>
      <c r="R1345" s="27">
        <v>15.5</v>
      </c>
      <c r="S1345" s="27"/>
      <c r="T1345" s="27">
        <v>15.5</v>
      </c>
      <c r="U1345" s="27"/>
      <c r="V1345" s="27">
        <v>15.5</v>
      </c>
      <c r="W1345" s="27"/>
      <c r="X1345" s="27">
        <v>15.5</v>
      </c>
      <c r="Y1345" s="27"/>
      <c r="Z1345" s="27">
        <v>15.5</v>
      </c>
      <c r="AA1345" s="27"/>
      <c r="AB1345" s="27">
        <v>15.5</v>
      </c>
      <c r="AC1345" s="27"/>
      <c r="AD1345" s="27">
        <v>15.5</v>
      </c>
      <c r="AE1345" s="27"/>
      <c r="AF1345" s="27" t="s">
        <v>1091</v>
      </c>
      <c r="AG1345" s="27" t="s">
        <v>1091</v>
      </c>
      <c r="AH1345" s="27">
        <v>265.0</v>
      </c>
      <c r="AI1345" s="27">
        <v>176.0</v>
      </c>
      <c r="AJ1345" s="27">
        <v>2.0</v>
      </c>
      <c r="AK1345" s="27" t="b">
        <v>0</v>
      </c>
      <c r="AL1345" s="27">
        <v>100.0</v>
      </c>
      <c r="AM1345" s="27" t="s">
        <v>188</v>
      </c>
      <c r="AN1345" s="27" t="s">
        <v>404</v>
      </c>
      <c r="AO1345" s="27"/>
    </row>
    <row r="1346">
      <c r="A1346" s="200">
        <v>44866.02510496527</v>
      </c>
      <c r="B1346" s="19" t="s">
        <v>109</v>
      </c>
      <c r="C1346" s="21" t="s">
        <v>400</v>
      </c>
      <c r="D1346" s="62">
        <v>5.0</v>
      </c>
      <c r="E1346" s="27">
        <v>3.0</v>
      </c>
      <c r="F1346" s="27" t="s">
        <v>2008</v>
      </c>
      <c r="G1346" s="201" t="s">
        <v>57</v>
      </c>
      <c r="H1346" s="27" t="s">
        <v>138</v>
      </c>
      <c r="I1346" s="27"/>
      <c r="J1346" s="33">
        <v>-1.0</v>
      </c>
      <c r="K1346" s="33">
        <v>3.0</v>
      </c>
      <c r="L1346" s="66">
        <v>46.0</v>
      </c>
      <c r="M1346" s="27" t="s">
        <v>2009</v>
      </c>
      <c r="N1346" s="27">
        <v>3.0</v>
      </c>
      <c r="O1346" s="27"/>
      <c r="P1346" s="27">
        <v>3.0</v>
      </c>
      <c r="Q1346" s="27"/>
      <c r="R1346" s="27">
        <v>3.0</v>
      </c>
      <c r="S1346" s="27"/>
      <c r="T1346" s="27">
        <v>3.0</v>
      </c>
      <c r="U1346" s="27"/>
      <c r="V1346" s="27">
        <v>3.0</v>
      </c>
      <c r="W1346" s="27"/>
      <c r="X1346" s="27">
        <v>3.0</v>
      </c>
      <c r="Y1346" s="27"/>
      <c r="Z1346" s="27">
        <v>3.0</v>
      </c>
      <c r="AA1346" s="27"/>
      <c r="AB1346" s="27">
        <v>3.0</v>
      </c>
      <c r="AC1346" s="27"/>
      <c r="AD1346" s="27">
        <v>3.0</v>
      </c>
      <c r="AE1346" s="27"/>
      <c r="AF1346" s="27" t="s">
        <v>1091</v>
      </c>
      <c r="AG1346" s="27" t="s">
        <v>1091</v>
      </c>
      <c r="AH1346" s="27">
        <v>227.0</v>
      </c>
      <c r="AI1346" s="27">
        <v>177.0</v>
      </c>
      <c r="AJ1346" s="27">
        <v>2.0</v>
      </c>
      <c r="AK1346" s="27" t="b">
        <v>1</v>
      </c>
      <c r="AL1346" s="27">
        <v>100.0</v>
      </c>
      <c r="AM1346" s="27" t="s">
        <v>187</v>
      </c>
      <c r="AN1346" s="27" t="s">
        <v>404</v>
      </c>
      <c r="AO1346" s="27"/>
    </row>
    <row r="1347">
      <c r="A1347" s="200">
        <v>44866.02510496527</v>
      </c>
      <c r="B1347" s="19" t="s">
        <v>109</v>
      </c>
      <c r="C1347" s="21" t="s">
        <v>292</v>
      </c>
      <c r="D1347" s="62">
        <v>4.0</v>
      </c>
      <c r="E1347" s="27">
        <v>4.0</v>
      </c>
      <c r="F1347" s="27" t="s">
        <v>2022</v>
      </c>
      <c r="G1347" s="201" t="s">
        <v>57</v>
      </c>
      <c r="H1347" s="27" t="s">
        <v>144</v>
      </c>
      <c r="I1347" s="27"/>
      <c r="J1347" s="33">
        <v>-1.5</v>
      </c>
      <c r="K1347" s="33">
        <v>1.0</v>
      </c>
      <c r="L1347" s="66">
        <v>43.5</v>
      </c>
      <c r="M1347" s="27" t="s">
        <v>1179</v>
      </c>
      <c r="N1347" s="27">
        <v>1.0</v>
      </c>
      <c r="O1347" s="27"/>
      <c r="P1347" s="27">
        <v>1.0</v>
      </c>
      <c r="Q1347" s="27"/>
      <c r="R1347" s="27">
        <v>1.0</v>
      </c>
      <c r="S1347" s="27"/>
      <c r="T1347" s="27">
        <v>1.0</v>
      </c>
      <c r="U1347" s="27"/>
      <c r="V1347" s="27">
        <v>1.0</v>
      </c>
      <c r="W1347" s="27"/>
      <c r="X1347" s="27">
        <v>1.0</v>
      </c>
      <c r="Y1347" s="27"/>
      <c r="Z1347" s="27">
        <v>1.0</v>
      </c>
      <c r="AA1347" s="27"/>
      <c r="AB1347" s="27">
        <v>1.0</v>
      </c>
      <c r="AC1347" s="27"/>
      <c r="AD1347" s="27">
        <v>1.0</v>
      </c>
      <c r="AE1347" s="27"/>
      <c r="AF1347" s="27" t="s">
        <v>1091</v>
      </c>
      <c r="AG1347" s="27" t="s">
        <v>1091</v>
      </c>
      <c r="AH1347" s="27">
        <v>213.0</v>
      </c>
      <c r="AI1347" s="27">
        <v>172.0</v>
      </c>
      <c r="AJ1347" s="27">
        <v>2.0</v>
      </c>
      <c r="AK1347" s="27" t="b">
        <v>1</v>
      </c>
      <c r="AL1347" s="27">
        <v>100.0</v>
      </c>
      <c r="AM1347" s="27" t="s">
        <v>193</v>
      </c>
      <c r="AN1347" s="27" t="s">
        <v>405</v>
      </c>
      <c r="AO1347" s="27"/>
    </row>
    <row r="1348">
      <c r="A1348" s="200">
        <v>44866.02510496527</v>
      </c>
      <c r="B1348" s="19"/>
      <c r="C1348" s="21"/>
      <c r="D1348" s="62"/>
      <c r="E1348" s="27"/>
      <c r="F1348" s="27"/>
      <c r="G1348" s="201"/>
      <c r="H1348" s="27"/>
      <c r="I1348" s="27"/>
      <c r="J1348" s="33"/>
      <c r="K1348" s="33"/>
      <c r="L1348" s="66"/>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t="e">
        <v>#N/A</v>
      </c>
      <c r="AN1348" s="27" t="e">
        <v>#N/A</v>
      </c>
      <c r="AO1348" s="27"/>
    </row>
    <row r="1349">
      <c r="A1349" s="200">
        <v>44866.02510496527</v>
      </c>
      <c r="B1349" s="19" t="s">
        <v>144</v>
      </c>
      <c r="C1349" s="21" t="s">
        <v>359</v>
      </c>
      <c r="D1349" s="62">
        <v>3.0</v>
      </c>
      <c r="E1349" s="27">
        <v>5.0</v>
      </c>
      <c r="F1349" s="27"/>
      <c r="G1349" s="201"/>
      <c r="H1349" s="27"/>
      <c r="I1349" s="27" t="s">
        <v>119</v>
      </c>
      <c r="J1349" s="33"/>
      <c r="K1349" s="33"/>
      <c r="L1349" s="66"/>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v>227.0</v>
      </c>
      <c r="AI1349" s="27">
        <v>257.0</v>
      </c>
      <c r="AJ1349" s="27">
        <v>0.0</v>
      </c>
      <c r="AK1349" s="27" t="b">
        <v>1</v>
      </c>
      <c r="AL1349" s="27">
        <v>59.0</v>
      </c>
      <c r="AM1349" s="27" t="s">
        <v>190</v>
      </c>
      <c r="AN1349" s="27" t="s">
        <v>405</v>
      </c>
      <c r="AO1349" s="27"/>
    </row>
    <row r="1350">
      <c r="A1350" s="200">
        <v>44866.02510496527</v>
      </c>
      <c r="B1350" s="19" t="s">
        <v>144</v>
      </c>
      <c r="C1350" s="21" t="s">
        <v>345</v>
      </c>
      <c r="D1350" s="62">
        <v>4.0</v>
      </c>
      <c r="E1350" s="27">
        <v>4.0</v>
      </c>
      <c r="F1350" s="27" t="s">
        <v>1975</v>
      </c>
      <c r="G1350" s="201" t="s">
        <v>57</v>
      </c>
      <c r="H1350" s="27" t="s">
        <v>131</v>
      </c>
      <c r="I1350" s="27"/>
      <c r="J1350" s="33">
        <v>-8.0</v>
      </c>
      <c r="K1350" s="33">
        <v>-8.5</v>
      </c>
      <c r="L1350" s="66">
        <v>40.5</v>
      </c>
      <c r="M1350" s="27" t="s">
        <v>1976</v>
      </c>
      <c r="N1350" s="27">
        <v>-8.5</v>
      </c>
      <c r="O1350" s="27"/>
      <c r="P1350" s="27">
        <v>-8.5</v>
      </c>
      <c r="Q1350" s="27"/>
      <c r="R1350" s="27">
        <v>-8.5</v>
      </c>
      <c r="S1350" s="27"/>
      <c r="T1350" s="27">
        <v>-8.5</v>
      </c>
      <c r="U1350" s="27"/>
      <c r="V1350" s="27">
        <v>-8.5</v>
      </c>
      <c r="W1350" s="27"/>
      <c r="X1350" s="27">
        <v>-8.5</v>
      </c>
      <c r="Y1350" s="27"/>
      <c r="Z1350" s="27">
        <v>-8.5</v>
      </c>
      <c r="AA1350" s="27"/>
      <c r="AB1350" s="27">
        <v>-8.5</v>
      </c>
      <c r="AC1350" s="27"/>
      <c r="AD1350" s="27">
        <v>-8.5</v>
      </c>
      <c r="AE1350" s="27"/>
      <c r="AF1350" s="27" t="s">
        <v>1091</v>
      </c>
      <c r="AG1350" s="27" t="s">
        <v>1091</v>
      </c>
      <c r="AH1350" s="27">
        <v>208.0</v>
      </c>
      <c r="AI1350" s="27">
        <v>193.0</v>
      </c>
      <c r="AJ1350" s="27">
        <v>2.0</v>
      </c>
      <c r="AK1350" s="27" t="b">
        <v>0</v>
      </c>
      <c r="AL1350" s="27">
        <v>100.0</v>
      </c>
      <c r="AM1350" s="27" t="s">
        <v>129</v>
      </c>
      <c r="AN1350" s="27" t="s">
        <v>405</v>
      </c>
      <c r="AO1350" s="27"/>
    </row>
    <row r="1351">
      <c r="A1351" s="200">
        <v>44866.02510496527</v>
      </c>
      <c r="B1351" s="19" t="s">
        <v>144</v>
      </c>
      <c r="C1351" s="21" t="s">
        <v>342</v>
      </c>
      <c r="D1351" s="62">
        <v>1.0</v>
      </c>
      <c r="E1351" s="27">
        <v>7.0</v>
      </c>
      <c r="F1351" s="27" t="s">
        <v>2019</v>
      </c>
      <c r="G1351" s="201" t="s">
        <v>57</v>
      </c>
      <c r="H1351" s="27" t="s">
        <v>109</v>
      </c>
      <c r="I1351" s="27"/>
      <c r="J1351" s="33">
        <v>11.0</v>
      </c>
      <c r="K1351" s="33">
        <v>13.0</v>
      </c>
      <c r="L1351" s="66">
        <v>47.5</v>
      </c>
      <c r="M1351" s="27" t="s">
        <v>2020</v>
      </c>
      <c r="N1351" s="27">
        <v>13.5</v>
      </c>
      <c r="O1351" s="27"/>
      <c r="P1351" s="27">
        <v>13.0</v>
      </c>
      <c r="Q1351" s="27"/>
      <c r="R1351" s="27">
        <v>13.5</v>
      </c>
      <c r="S1351" s="27"/>
      <c r="T1351" s="27">
        <v>13.0</v>
      </c>
      <c r="U1351" s="27"/>
      <c r="V1351" s="27">
        <v>13.5</v>
      </c>
      <c r="W1351" s="27"/>
      <c r="X1351" s="27">
        <v>13.0</v>
      </c>
      <c r="Y1351" s="27"/>
      <c r="Z1351" s="27">
        <v>13.0</v>
      </c>
      <c r="AA1351" s="27"/>
      <c r="AB1351" s="27">
        <v>13.0</v>
      </c>
      <c r="AC1351" s="27"/>
      <c r="AD1351" s="27">
        <v>13.0</v>
      </c>
      <c r="AE1351" s="27"/>
      <c r="AF1351" s="27" t="s">
        <v>1091</v>
      </c>
      <c r="AG1351" s="27" t="s">
        <v>1091</v>
      </c>
      <c r="AH1351" s="27">
        <v>130.0</v>
      </c>
      <c r="AI1351" s="27">
        <v>313.0</v>
      </c>
      <c r="AJ1351" s="27">
        <v>2.0</v>
      </c>
      <c r="AK1351" s="27" t="b">
        <v>0</v>
      </c>
      <c r="AL1351" s="27">
        <v>100.0</v>
      </c>
      <c r="AM1351" s="27" t="s">
        <v>191</v>
      </c>
      <c r="AN1351" s="27" t="s">
        <v>404</v>
      </c>
      <c r="AO1351" s="27"/>
    </row>
    <row r="1352">
      <c r="A1352" s="200">
        <v>44866.02510496527</v>
      </c>
      <c r="B1352" s="19" t="s">
        <v>144</v>
      </c>
      <c r="C1352" s="21" t="s">
        <v>300</v>
      </c>
      <c r="D1352" s="62">
        <v>7.0</v>
      </c>
      <c r="E1352" s="27">
        <v>1.0</v>
      </c>
      <c r="F1352" s="27" t="s">
        <v>2023</v>
      </c>
      <c r="G1352" s="201" t="s">
        <v>57</v>
      </c>
      <c r="H1352" s="27" t="s">
        <v>166</v>
      </c>
      <c r="I1352" s="27"/>
      <c r="J1352" s="33">
        <v>2.5</v>
      </c>
      <c r="K1352" s="33">
        <v>2.0</v>
      </c>
      <c r="L1352" s="66">
        <v>55.5</v>
      </c>
      <c r="M1352" s="27" t="s">
        <v>1845</v>
      </c>
      <c r="N1352" s="27">
        <v>2.5</v>
      </c>
      <c r="O1352" s="27"/>
      <c r="P1352" s="27">
        <v>2.0</v>
      </c>
      <c r="Q1352" s="27"/>
      <c r="R1352" s="27">
        <v>2.0</v>
      </c>
      <c r="S1352" s="27"/>
      <c r="T1352" s="27">
        <v>2.0</v>
      </c>
      <c r="U1352" s="27"/>
      <c r="V1352" s="27">
        <v>2.0</v>
      </c>
      <c r="W1352" s="27"/>
      <c r="X1352" s="27">
        <v>2.5</v>
      </c>
      <c r="Y1352" s="27"/>
      <c r="Z1352" s="27">
        <v>2.5</v>
      </c>
      <c r="AA1352" s="27"/>
      <c r="AB1352" s="27">
        <v>2.0</v>
      </c>
      <c r="AC1352" s="27"/>
      <c r="AD1352" s="27">
        <v>2.0</v>
      </c>
      <c r="AE1352" s="27"/>
      <c r="AF1352" s="27" t="s">
        <v>1091</v>
      </c>
      <c r="AG1352" s="27" t="s">
        <v>1091</v>
      </c>
      <c r="AH1352" s="27">
        <v>255.0</v>
      </c>
      <c r="AI1352" s="27">
        <v>218.0</v>
      </c>
      <c r="AJ1352" s="27">
        <v>2.0</v>
      </c>
      <c r="AK1352" s="27" t="b">
        <v>0</v>
      </c>
      <c r="AL1352" s="27">
        <v>100.0</v>
      </c>
      <c r="AM1352" s="27" t="s">
        <v>193</v>
      </c>
      <c r="AN1352" s="27" t="s">
        <v>405</v>
      </c>
      <c r="AO1352" s="27"/>
    </row>
    <row r="1353">
      <c r="A1353" s="200">
        <v>44866.02510496527</v>
      </c>
      <c r="B1353" s="19" t="s">
        <v>144</v>
      </c>
      <c r="C1353" s="21" t="s">
        <v>346</v>
      </c>
      <c r="D1353" s="62">
        <v>4.0</v>
      </c>
      <c r="E1353" s="27">
        <v>4.0</v>
      </c>
      <c r="F1353" s="27" t="s">
        <v>2024</v>
      </c>
      <c r="G1353" s="201" t="s">
        <v>57</v>
      </c>
      <c r="H1353" s="27" t="s">
        <v>116</v>
      </c>
      <c r="I1353" s="27"/>
      <c r="J1353" s="33">
        <v>17.0</v>
      </c>
      <c r="K1353" s="33">
        <v>22.5</v>
      </c>
      <c r="L1353" s="66">
        <v>56.5</v>
      </c>
      <c r="M1353" s="27" t="s">
        <v>1874</v>
      </c>
      <c r="N1353" s="27">
        <v>22.5</v>
      </c>
      <c r="O1353" s="27"/>
      <c r="P1353" s="27">
        <v>22.5</v>
      </c>
      <c r="Q1353" s="27"/>
      <c r="R1353" s="27">
        <v>22.5</v>
      </c>
      <c r="S1353" s="27"/>
      <c r="T1353" s="27">
        <v>22.0</v>
      </c>
      <c r="U1353" s="27"/>
      <c r="V1353" s="27">
        <v>22.5</v>
      </c>
      <c r="W1353" s="27"/>
      <c r="X1353" s="27">
        <v>22.5</v>
      </c>
      <c r="Y1353" s="27"/>
      <c r="Z1353" s="27">
        <v>22.5</v>
      </c>
      <c r="AA1353" s="27"/>
      <c r="AB1353" s="27">
        <v>22.0</v>
      </c>
      <c r="AC1353" s="27"/>
      <c r="AD1353" s="27">
        <v>22.0</v>
      </c>
      <c r="AE1353" s="27"/>
      <c r="AF1353" s="27" t="s">
        <v>1091</v>
      </c>
      <c r="AG1353" s="27" t="s">
        <v>1091</v>
      </c>
      <c r="AH1353" s="27">
        <v>240.0</v>
      </c>
      <c r="AI1353" s="27">
        <v>239.0</v>
      </c>
      <c r="AJ1353" s="27">
        <v>2.0</v>
      </c>
      <c r="AK1353" s="27" t="b">
        <v>0</v>
      </c>
      <c r="AL1353" s="27">
        <v>100.0</v>
      </c>
      <c r="AM1353" s="27" t="s">
        <v>192</v>
      </c>
      <c r="AN1353" s="27" t="s">
        <v>404</v>
      </c>
      <c r="AO1353" s="27"/>
    </row>
    <row r="1354">
      <c r="A1354" s="200">
        <v>44866.02510496527</v>
      </c>
      <c r="B1354" s="19" t="s">
        <v>144</v>
      </c>
      <c r="C1354" s="21" t="s">
        <v>321</v>
      </c>
      <c r="D1354" s="62">
        <v>7.0</v>
      </c>
      <c r="E1354" s="27">
        <v>1.0</v>
      </c>
      <c r="F1354" s="27" t="s">
        <v>2010</v>
      </c>
      <c r="G1354" s="201" t="s">
        <v>57</v>
      </c>
      <c r="H1354" s="27" t="s">
        <v>141</v>
      </c>
      <c r="I1354" s="27"/>
      <c r="J1354" s="33">
        <v>-6.5</v>
      </c>
      <c r="K1354" s="33">
        <v>-8.0</v>
      </c>
      <c r="L1354" s="66">
        <v>50.5</v>
      </c>
      <c r="M1354" s="27" t="s">
        <v>2011</v>
      </c>
      <c r="N1354" s="27">
        <v>-7.5</v>
      </c>
      <c r="O1354" s="27"/>
      <c r="P1354" s="27">
        <v>-8.0</v>
      </c>
      <c r="Q1354" s="27"/>
      <c r="R1354" s="27">
        <v>-8.0</v>
      </c>
      <c r="S1354" s="27"/>
      <c r="T1354" s="27">
        <v>-8.0</v>
      </c>
      <c r="U1354" s="27"/>
      <c r="V1354" s="27">
        <v>-8.0</v>
      </c>
      <c r="W1354" s="27"/>
      <c r="X1354" s="27">
        <v>-7.5</v>
      </c>
      <c r="Y1354" s="27"/>
      <c r="Z1354" s="27">
        <v>-7.5</v>
      </c>
      <c r="AA1354" s="27"/>
      <c r="AB1354" s="27">
        <v>-8.0</v>
      </c>
      <c r="AC1354" s="27"/>
      <c r="AD1354" s="27">
        <v>-8.0</v>
      </c>
      <c r="AE1354" s="27"/>
      <c r="AF1354" s="27" t="s">
        <v>1091</v>
      </c>
      <c r="AG1354" s="27" t="s">
        <v>1091</v>
      </c>
      <c r="AH1354" s="27">
        <v>208.0</v>
      </c>
      <c r="AI1354" s="27">
        <v>71.0</v>
      </c>
      <c r="AJ1354" s="27">
        <v>2.0</v>
      </c>
      <c r="AK1354" s="27" t="b">
        <v>1</v>
      </c>
      <c r="AL1354" s="27">
        <v>100.0</v>
      </c>
      <c r="AM1354" s="27" t="s">
        <v>188</v>
      </c>
      <c r="AN1354" s="27" t="s">
        <v>404</v>
      </c>
      <c r="AO1354" s="27"/>
    </row>
    <row r="1355">
      <c r="A1355" s="200">
        <v>44866.02510496527</v>
      </c>
      <c r="B1355" s="19" t="s">
        <v>144</v>
      </c>
      <c r="C1355" s="21" t="s">
        <v>371</v>
      </c>
      <c r="D1355" s="62">
        <v>3.0</v>
      </c>
      <c r="E1355" s="27">
        <v>5.0</v>
      </c>
      <c r="F1355" s="27" t="s">
        <v>2025</v>
      </c>
      <c r="G1355" s="201" t="s">
        <v>57</v>
      </c>
      <c r="H1355" s="27" t="s">
        <v>103</v>
      </c>
      <c r="I1355" s="27"/>
      <c r="J1355" s="33">
        <v>7.5</v>
      </c>
      <c r="K1355" s="33">
        <v>7.5</v>
      </c>
      <c r="L1355" s="66">
        <v>69.5</v>
      </c>
      <c r="M1355" s="27" t="s">
        <v>1500</v>
      </c>
      <c r="N1355" s="27">
        <v>7.5</v>
      </c>
      <c r="O1355" s="27"/>
      <c r="P1355" s="27">
        <v>7.5</v>
      </c>
      <c r="Q1355" s="27"/>
      <c r="R1355" s="27">
        <v>7.5</v>
      </c>
      <c r="S1355" s="27"/>
      <c r="T1355" s="27">
        <v>7.5</v>
      </c>
      <c r="U1355" s="27"/>
      <c r="V1355" s="27">
        <v>7.5</v>
      </c>
      <c r="W1355" s="27"/>
      <c r="X1355" s="27">
        <v>7.0</v>
      </c>
      <c r="Y1355" s="27"/>
      <c r="Z1355" s="27">
        <v>7.5</v>
      </c>
      <c r="AA1355" s="27"/>
      <c r="AB1355" s="27">
        <v>7.5</v>
      </c>
      <c r="AC1355" s="27"/>
      <c r="AD1355" s="27">
        <v>7.5</v>
      </c>
      <c r="AE1355" s="27"/>
      <c r="AF1355" s="27" t="s">
        <v>1091</v>
      </c>
      <c r="AG1355" s="27" t="s">
        <v>1091</v>
      </c>
      <c r="AH1355" s="27">
        <v>275.0</v>
      </c>
      <c r="AI1355" s="27">
        <v>277.0</v>
      </c>
      <c r="AJ1355" s="27">
        <v>2.0</v>
      </c>
      <c r="AK1355" s="27" t="b">
        <v>1</v>
      </c>
      <c r="AL1355" s="27">
        <v>100.0</v>
      </c>
      <c r="AM1355" s="27" t="s">
        <v>187</v>
      </c>
      <c r="AN1355" s="27" t="s">
        <v>404</v>
      </c>
      <c r="AO1355" s="27"/>
    </row>
    <row r="1356">
      <c r="A1356" s="200">
        <v>44866.02510496527</v>
      </c>
      <c r="B1356" s="19" t="s">
        <v>144</v>
      </c>
      <c r="C1356" s="21" t="s">
        <v>325</v>
      </c>
      <c r="D1356" s="62">
        <v>6.0</v>
      </c>
      <c r="E1356" s="27">
        <v>3.0</v>
      </c>
      <c r="F1356" s="27" t="s">
        <v>2013</v>
      </c>
      <c r="G1356" s="201" t="s">
        <v>57</v>
      </c>
      <c r="H1356" s="27" t="s">
        <v>141</v>
      </c>
      <c r="I1356" s="27"/>
      <c r="J1356" s="33">
        <v>4.5</v>
      </c>
      <c r="K1356" s="33">
        <v>3.0</v>
      </c>
      <c r="L1356" s="66">
        <v>62.0</v>
      </c>
      <c r="M1356" s="27" t="s">
        <v>2014</v>
      </c>
      <c r="N1356" s="27">
        <v>3.0</v>
      </c>
      <c r="O1356" s="27"/>
      <c r="P1356" s="27">
        <v>3.0</v>
      </c>
      <c r="Q1356" s="27"/>
      <c r="R1356" s="27">
        <v>3.0</v>
      </c>
      <c r="S1356" s="27"/>
      <c r="T1356" s="27">
        <v>3.0</v>
      </c>
      <c r="U1356" s="27"/>
      <c r="V1356" s="27">
        <v>3.0</v>
      </c>
      <c r="W1356" s="27"/>
      <c r="X1356" s="27">
        <v>3.0</v>
      </c>
      <c r="Y1356" s="27"/>
      <c r="Z1356" s="27">
        <v>3.0</v>
      </c>
      <c r="AA1356" s="27"/>
      <c r="AB1356" s="27">
        <v>3.0</v>
      </c>
      <c r="AC1356" s="27"/>
      <c r="AD1356" s="27">
        <v>3.0</v>
      </c>
      <c r="AE1356" s="27"/>
      <c r="AF1356" s="27" t="s">
        <v>1091</v>
      </c>
      <c r="AG1356" s="27" t="s">
        <v>1091</v>
      </c>
      <c r="AH1356" s="27">
        <v>293.0</v>
      </c>
      <c r="AI1356" s="27">
        <v>209.0</v>
      </c>
      <c r="AJ1356" s="27">
        <v>2.0</v>
      </c>
      <c r="AK1356" s="27" t="b">
        <v>0</v>
      </c>
      <c r="AL1356" s="27">
        <v>100.0</v>
      </c>
      <c r="AM1356" s="27" t="s">
        <v>389</v>
      </c>
      <c r="AN1356" s="27" t="s">
        <v>405</v>
      </c>
      <c r="AO1356" s="27"/>
    </row>
    <row r="1357">
      <c r="A1357" s="200">
        <v>44866.02510496527</v>
      </c>
      <c r="B1357" s="19" t="s">
        <v>144</v>
      </c>
      <c r="C1357" s="21" t="s">
        <v>338</v>
      </c>
      <c r="D1357" s="62">
        <v>5.0</v>
      </c>
      <c r="E1357" s="27">
        <v>3.0</v>
      </c>
      <c r="F1357" s="27" t="s">
        <v>2022</v>
      </c>
      <c r="G1357" s="201" t="s">
        <v>57</v>
      </c>
      <c r="H1357" s="27" t="s">
        <v>109</v>
      </c>
      <c r="I1357" s="27"/>
      <c r="J1357" s="33">
        <v>1.5</v>
      </c>
      <c r="K1357" s="33">
        <v>-1.0</v>
      </c>
      <c r="L1357" s="66">
        <v>43.5</v>
      </c>
      <c r="M1357" s="27" t="s">
        <v>1179</v>
      </c>
      <c r="N1357" s="27">
        <v>-1.0</v>
      </c>
      <c r="O1357" s="27"/>
      <c r="P1357" s="27">
        <v>-1.0</v>
      </c>
      <c r="Q1357" s="27"/>
      <c r="R1357" s="27">
        <v>-1.0</v>
      </c>
      <c r="S1357" s="27"/>
      <c r="T1357" s="27">
        <v>-1.0</v>
      </c>
      <c r="U1357" s="27"/>
      <c r="V1357" s="27">
        <v>-1.0</v>
      </c>
      <c r="W1357" s="27"/>
      <c r="X1357" s="27">
        <v>-1.0</v>
      </c>
      <c r="Y1357" s="27"/>
      <c r="Z1357" s="27">
        <v>-1.0</v>
      </c>
      <c r="AA1357" s="27"/>
      <c r="AB1357" s="27">
        <v>-1.0</v>
      </c>
      <c r="AC1357" s="27"/>
      <c r="AD1357" s="27">
        <v>-1.0</v>
      </c>
      <c r="AE1357" s="27"/>
      <c r="AF1357" s="27" t="s">
        <v>1091</v>
      </c>
      <c r="AG1357" s="27" t="s">
        <v>1091</v>
      </c>
      <c r="AH1357" s="27">
        <v>214.0</v>
      </c>
      <c r="AI1357" s="27">
        <v>177.0</v>
      </c>
      <c r="AJ1357" s="27">
        <v>2.0</v>
      </c>
      <c r="AK1357" s="27" t="b">
        <v>0</v>
      </c>
      <c r="AL1357" s="27">
        <v>100.0</v>
      </c>
      <c r="AM1357" s="27" t="s">
        <v>189</v>
      </c>
      <c r="AN1357" s="27" t="s">
        <v>405</v>
      </c>
      <c r="AO1357" s="27"/>
    </row>
    <row r="1358">
      <c r="A1358" s="200">
        <v>44866.02510496527</v>
      </c>
      <c r="B1358" s="19" t="s">
        <v>144</v>
      </c>
      <c r="C1358" s="21" t="s">
        <v>357</v>
      </c>
      <c r="D1358" s="62">
        <v>4.0</v>
      </c>
      <c r="E1358" s="27">
        <v>4.0</v>
      </c>
      <c r="F1358" s="27" t="s">
        <v>1973</v>
      </c>
      <c r="G1358" s="201" t="s">
        <v>183</v>
      </c>
      <c r="H1358" s="27" t="s">
        <v>53</v>
      </c>
      <c r="I1358" s="27"/>
      <c r="J1358" s="33">
        <v>-2.5</v>
      </c>
      <c r="K1358" s="33">
        <v>-2.5</v>
      </c>
      <c r="L1358" s="66">
        <v>47.5</v>
      </c>
      <c r="M1358" s="27" t="s">
        <v>1974</v>
      </c>
      <c r="N1358" s="27">
        <v>-2.5</v>
      </c>
      <c r="O1358" s="27"/>
      <c r="P1358" s="27">
        <v>-2.0</v>
      </c>
      <c r="Q1358" s="27"/>
      <c r="R1358" s="27">
        <v>-2.0</v>
      </c>
      <c r="S1358" s="27"/>
      <c r="T1358" s="27">
        <v>-2.5</v>
      </c>
      <c r="U1358" s="27"/>
      <c r="V1358" s="27">
        <v>-2.0</v>
      </c>
      <c r="W1358" s="27"/>
      <c r="X1358" s="27">
        <v>-2.5</v>
      </c>
      <c r="Y1358" s="27"/>
      <c r="Z1358" s="27">
        <v>-2.0</v>
      </c>
      <c r="AA1358" s="27"/>
      <c r="AB1358" s="27">
        <v>-2.5</v>
      </c>
      <c r="AC1358" s="27"/>
      <c r="AD1358" s="27">
        <v>-2.5</v>
      </c>
      <c r="AE1358" s="27"/>
      <c r="AF1358" s="27" t="s">
        <v>1091</v>
      </c>
      <c r="AG1358" s="27" t="s">
        <v>1091</v>
      </c>
      <c r="AH1358" s="27">
        <v>219.0</v>
      </c>
      <c r="AI1358" s="27">
        <v>180.0</v>
      </c>
      <c r="AJ1358" s="27">
        <v>2.0</v>
      </c>
      <c r="AK1358" s="27" t="b">
        <v>1</v>
      </c>
      <c r="AL1358" s="27">
        <v>100.0</v>
      </c>
      <c r="AM1358" s="27" t="s">
        <v>186</v>
      </c>
      <c r="AN1358" s="27" t="s">
        <v>404</v>
      </c>
      <c r="AO1358" s="27"/>
    </row>
    <row r="1359">
      <c r="A1359" s="200">
        <v>44866.02510496527</v>
      </c>
      <c r="B1359" s="19"/>
      <c r="C1359" s="21"/>
      <c r="D1359" s="62"/>
      <c r="E1359" s="27"/>
      <c r="F1359" s="27"/>
      <c r="G1359" s="201"/>
      <c r="H1359" s="27"/>
      <c r="I1359" s="27"/>
      <c r="J1359" s="33"/>
      <c r="K1359" s="33"/>
      <c r="L1359" s="66"/>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t="e">
        <v>#N/A</v>
      </c>
      <c r="AN1359" s="27" t="e">
        <v>#N/A</v>
      </c>
      <c r="AO1359" s="27"/>
    </row>
    <row r="1360">
      <c r="A1360" s="200">
        <v>44866.02510496527</v>
      </c>
      <c r="B1360" s="19" t="s">
        <v>166</v>
      </c>
      <c r="C1360" s="21" t="s">
        <v>364</v>
      </c>
      <c r="D1360" s="62">
        <v>5.0</v>
      </c>
      <c r="E1360" s="27">
        <v>3.0</v>
      </c>
      <c r="F1360" s="27"/>
      <c r="G1360" s="201"/>
      <c r="H1360" s="27"/>
      <c r="I1360" s="27" t="s">
        <v>88</v>
      </c>
      <c r="J1360" s="33"/>
      <c r="K1360" s="33"/>
      <c r="L1360" s="66"/>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v>291.0</v>
      </c>
      <c r="AI1360" s="27">
        <v>169.0</v>
      </c>
      <c r="AJ1360" s="27">
        <v>0.0</v>
      </c>
      <c r="AK1360" s="27" t="b">
        <v>1</v>
      </c>
      <c r="AL1360" s="27">
        <v>59.0</v>
      </c>
      <c r="AM1360" s="27" t="s">
        <v>187</v>
      </c>
      <c r="AN1360" s="27" t="s">
        <v>404</v>
      </c>
      <c r="AO1360" s="27"/>
    </row>
    <row r="1361">
      <c r="A1361" s="200">
        <v>44866.02510496527</v>
      </c>
      <c r="B1361" s="19" t="s">
        <v>166</v>
      </c>
      <c r="C1361" s="21" t="s">
        <v>399</v>
      </c>
      <c r="D1361" s="62">
        <v>7.0</v>
      </c>
      <c r="E1361" s="27">
        <v>1.0</v>
      </c>
      <c r="F1361" s="27"/>
      <c r="G1361" s="201"/>
      <c r="H1361" s="27"/>
      <c r="I1361" s="27" t="s">
        <v>111</v>
      </c>
      <c r="J1361" s="33"/>
      <c r="K1361" s="33"/>
      <c r="L1361" s="66"/>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v>249.0</v>
      </c>
      <c r="AI1361" s="27">
        <v>172.0</v>
      </c>
      <c r="AJ1361" s="27">
        <v>0.0</v>
      </c>
      <c r="AK1361" s="27" t="b">
        <v>1</v>
      </c>
      <c r="AL1361" s="27">
        <v>59.0</v>
      </c>
      <c r="AM1361" s="27" t="s">
        <v>190</v>
      </c>
      <c r="AN1361" s="27" t="s">
        <v>405</v>
      </c>
      <c r="AO1361" s="27"/>
    </row>
    <row r="1362">
      <c r="A1362" s="200">
        <v>44866.02510496527</v>
      </c>
      <c r="B1362" s="19" t="s">
        <v>166</v>
      </c>
      <c r="C1362" s="21" t="s">
        <v>327</v>
      </c>
      <c r="D1362" s="62">
        <v>3.0</v>
      </c>
      <c r="E1362" s="27">
        <v>5.0</v>
      </c>
      <c r="F1362" s="27"/>
      <c r="G1362" s="201"/>
      <c r="H1362" s="27"/>
      <c r="I1362" s="27" t="s">
        <v>58</v>
      </c>
      <c r="J1362" s="33"/>
      <c r="K1362" s="33"/>
      <c r="L1362" s="66"/>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v>196.0</v>
      </c>
      <c r="AI1362" s="27">
        <v>245.0</v>
      </c>
      <c r="AJ1362" s="27">
        <v>0.0</v>
      </c>
      <c r="AK1362" s="27" t="b">
        <v>1</v>
      </c>
      <c r="AL1362" s="27">
        <v>59.0</v>
      </c>
      <c r="AM1362" s="27" t="s">
        <v>188</v>
      </c>
      <c r="AN1362" s="27" t="s">
        <v>404</v>
      </c>
      <c r="AO1362" s="27"/>
    </row>
    <row r="1363">
      <c r="A1363" s="200">
        <v>44866.02510496527</v>
      </c>
      <c r="B1363" s="19" t="s">
        <v>166</v>
      </c>
      <c r="C1363" s="21" t="s">
        <v>398</v>
      </c>
      <c r="D1363" s="62">
        <v>3.0</v>
      </c>
      <c r="E1363" s="27">
        <v>4.0</v>
      </c>
      <c r="F1363" s="27"/>
      <c r="G1363" s="201"/>
      <c r="H1363" s="27"/>
      <c r="I1363" s="27" t="s">
        <v>66</v>
      </c>
      <c r="J1363" s="33"/>
      <c r="K1363" s="33"/>
      <c r="L1363" s="66"/>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v>229.0</v>
      </c>
      <c r="AI1363" s="27">
        <v>206.0</v>
      </c>
      <c r="AJ1363" s="27">
        <v>0.0</v>
      </c>
      <c r="AK1363" s="27" t="b">
        <v>1</v>
      </c>
      <c r="AL1363" s="27">
        <v>59.0</v>
      </c>
      <c r="AM1363" s="27" t="s">
        <v>389</v>
      </c>
      <c r="AN1363" s="27" t="s">
        <v>405</v>
      </c>
      <c r="AO1363" s="27"/>
    </row>
    <row r="1364">
      <c r="A1364" s="200">
        <v>44866.02510496527</v>
      </c>
      <c r="B1364" s="19" t="s">
        <v>166</v>
      </c>
      <c r="C1364" s="21" t="s">
        <v>351</v>
      </c>
      <c r="D1364" s="62">
        <v>2.0</v>
      </c>
      <c r="E1364" s="27">
        <v>7.0</v>
      </c>
      <c r="F1364" s="27" t="s">
        <v>2026</v>
      </c>
      <c r="G1364" s="201" t="s">
        <v>57</v>
      </c>
      <c r="H1364" s="27" t="s">
        <v>154</v>
      </c>
      <c r="I1364" s="27"/>
      <c r="J1364" s="33">
        <v>10.0</v>
      </c>
      <c r="K1364" s="33">
        <v>11.5</v>
      </c>
      <c r="L1364" s="66">
        <v>49.0</v>
      </c>
      <c r="M1364" s="27" t="s">
        <v>2027</v>
      </c>
      <c r="N1364" s="27">
        <v>11.5</v>
      </c>
      <c r="O1364" s="27"/>
      <c r="P1364" s="27">
        <v>11.0</v>
      </c>
      <c r="Q1364" s="27"/>
      <c r="R1364" s="27">
        <v>11.0</v>
      </c>
      <c r="S1364" s="27"/>
      <c r="T1364" s="27">
        <v>11.5</v>
      </c>
      <c r="U1364" s="27"/>
      <c r="V1364" s="27">
        <v>11.0</v>
      </c>
      <c r="W1364" s="27"/>
      <c r="X1364" s="27">
        <v>10.5</v>
      </c>
      <c r="Y1364" s="27"/>
      <c r="Z1364" s="27">
        <v>11.0</v>
      </c>
      <c r="AA1364" s="27"/>
      <c r="AB1364" s="27">
        <v>11.5</v>
      </c>
      <c r="AC1364" s="27"/>
      <c r="AD1364" s="27">
        <v>11.5</v>
      </c>
      <c r="AE1364" s="27"/>
      <c r="AF1364" s="27" t="s">
        <v>1091</v>
      </c>
      <c r="AG1364" s="27" t="s">
        <v>1091</v>
      </c>
      <c r="AH1364" s="27">
        <v>165.0</v>
      </c>
      <c r="AI1364" s="27">
        <v>303.0</v>
      </c>
      <c r="AJ1364" s="27">
        <v>2.0</v>
      </c>
      <c r="AK1364" s="27" t="b">
        <v>1</v>
      </c>
      <c r="AL1364" s="27">
        <v>100.0</v>
      </c>
      <c r="AM1364" s="27" t="s">
        <v>129</v>
      </c>
      <c r="AN1364" s="27" t="s">
        <v>405</v>
      </c>
      <c r="AO1364" s="27"/>
    </row>
    <row r="1365">
      <c r="A1365" s="200">
        <v>44866.02510496527</v>
      </c>
      <c r="B1365" s="19" t="s">
        <v>166</v>
      </c>
      <c r="C1365" s="21" t="s">
        <v>370</v>
      </c>
      <c r="D1365" s="62">
        <v>4.0</v>
      </c>
      <c r="E1365" s="27">
        <v>4.0</v>
      </c>
      <c r="F1365" s="27" t="s">
        <v>2017</v>
      </c>
      <c r="G1365" s="201" t="s">
        <v>57</v>
      </c>
      <c r="H1365" s="27" t="s">
        <v>109</v>
      </c>
      <c r="I1365" s="27"/>
      <c r="J1365" s="33">
        <v>1.0</v>
      </c>
      <c r="K1365" s="33">
        <v>3.5</v>
      </c>
      <c r="L1365" s="66">
        <v>64.5</v>
      </c>
      <c r="M1365" s="27" t="s">
        <v>2018</v>
      </c>
      <c r="N1365" s="27">
        <v>3.5</v>
      </c>
      <c r="O1365" s="27"/>
      <c r="P1365" s="27">
        <v>3.5</v>
      </c>
      <c r="Q1365" s="27"/>
      <c r="R1365" s="27">
        <v>3.5</v>
      </c>
      <c r="S1365" s="27"/>
      <c r="T1365" s="27">
        <v>3.5</v>
      </c>
      <c r="U1365" s="27"/>
      <c r="V1365" s="27">
        <v>3.5</v>
      </c>
      <c r="W1365" s="27"/>
      <c r="X1365" s="27">
        <v>3.5</v>
      </c>
      <c r="Y1365" s="27"/>
      <c r="Z1365" s="27">
        <v>3.5</v>
      </c>
      <c r="AA1365" s="27"/>
      <c r="AB1365" s="27">
        <v>3.5</v>
      </c>
      <c r="AC1365" s="27"/>
      <c r="AD1365" s="27">
        <v>3.5</v>
      </c>
      <c r="AE1365" s="27"/>
      <c r="AF1365" s="27" t="s">
        <v>1091</v>
      </c>
      <c r="AG1365" s="27" t="s">
        <v>1091</v>
      </c>
      <c r="AH1365" s="27">
        <v>244.0</v>
      </c>
      <c r="AI1365" s="27">
        <v>223.0</v>
      </c>
      <c r="AJ1365" s="27">
        <v>2.0</v>
      </c>
      <c r="AK1365" s="27" t="b">
        <v>0</v>
      </c>
      <c r="AL1365" s="27">
        <v>100.0</v>
      </c>
      <c r="AM1365" s="27" t="s">
        <v>186</v>
      </c>
      <c r="AN1365" s="27" t="s">
        <v>404</v>
      </c>
      <c r="AO1365" s="27"/>
    </row>
    <row r="1366">
      <c r="A1366" s="200">
        <v>44866.02510496527</v>
      </c>
      <c r="B1366" s="19" t="s">
        <v>166</v>
      </c>
      <c r="C1366" s="21" t="s">
        <v>306</v>
      </c>
      <c r="D1366" s="62">
        <v>4.0</v>
      </c>
      <c r="E1366" s="27">
        <v>4.0</v>
      </c>
      <c r="F1366" s="27" t="s">
        <v>2023</v>
      </c>
      <c r="G1366" s="201" t="s">
        <v>57</v>
      </c>
      <c r="H1366" s="27" t="s">
        <v>144</v>
      </c>
      <c r="I1366" s="27"/>
      <c r="J1366" s="33">
        <v>-2.5</v>
      </c>
      <c r="K1366" s="33">
        <v>-2.0</v>
      </c>
      <c r="L1366" s="66">
        <v>55.5</v>
      </c>
      <c r="M1366" s="27" t="s">
        <v>1845</v>
      </c>
      <c r="N1366" s="27">
        <v>-2.5</v>
      </c>
      <c r="O1366" s="27"/>
      <c r="P1366" s="27">
        <v>-2.0</v>
      </c>
      <c r="Q1366" s="27"/>
      <c r="R1366" s="27">
        <v>-2.0</v>
      </c>
      <c r="S1366" s="27"/>
      <c r="T1366" s="27">
        <v>-2.0</v>
      </c>
      <c r="U1366" s="27"/>
      <c r="V1366" s="27">
        <v>-2.0</v>
      </c>
      <c r="W1366" s="27"/>
      <c r="X1366" s="27">
        <v>-2.5</v>
      </c>
      <c r="Y1366" s="27"/>
      <c r="Z1366" s="27">
        <v>-2.5</v>
      </c>
      <c r="AA1366" s="27"/>
      <c r="AB1366" s="27">
        <v>-2.0</v>
      </c>
      <c r="AC1366" s="27"/>
      <c r="AD1366" s="27">
        <v>-2.0</v>
      </c>
      <c r="AE1366" s="27"/>
      <c r="AF1366" s="27" t="s">
        <v>1091</v>
      </c>
      <c r="AG1366" s="27" t="s">
        <v>1091</v>
      </c>
      <c r="AH1366" s="27">
        <v>199.0</v>
      </c>
      <c r="AI1366" s="27">
        <v>140.0</v>
      </c>
      <c r="AJ1366" s="27">
        <v>2.0</v>
      </c>
      <c r="AK1366" s="27" t="b">
        <v>1</v>
      </c>
      <c r="AL1366" s="27">
        <v>100.0</v>
      </c>
      <c r="AM1366" s="27" t="s">
        <v>193</v>
      </c>
      <c r="AN1366" s="27" t="s">
        <v>405</v>
      </c>
      <c r="AO1366" s="27"/>
    </row>
    <row r="1367">
      <c r="A1367" s="200">
        <v>44866.02510496527</v>
      </c>
      <c r="B1367" s="19" t="s">
        <v>166</v>
      </c>
      <c r="C1367" s="21" t="s">
        <v>333</v>
      </c>
      <c r="D1367" s="62">
        <v>3.0</v>
      </c>
      <c r="E1367" s="27">
        <v>5.0</v>
      </c>
      <c r="F1367" s="27" t="s">
        <v>1965</v>
      </c>
      <c r="G1367" s="201" t="s">
        <v>57</v>
      </c>
      <c r="H1367" s="27" t="s">
        <v>53</v>
      </c>
      <c r="I1367" s="27"/>
      <c r="J1367" s="33">
        <v>13.5</v>
      </c>
      <c r="K1367" s="33">
        <v>17.0</v>
      </c>
      <c r="L1367" s="66">
        <v>58.0</v>
      </c>
      <c r="M1367" s="27" t="s">
        <v>1966</v>
      </c>
      <c r="N1367" s="27">
        <v>17.5</v>
      </c>
      <c r="O1367" s="27"/>
      <c r="P1367" s="27">
        <v>17.0</v>
      </c>
      <c r="Q1367" s="27"/>
      <c r="R1367" s="27">
        <v>17.0</v>
      </c>
      <c r="S1367" s="27"/>
      <c r="T1367" s="27">
        <v>17.0</v>
      </c>
      <c r="U1367" s="27"/>
      <c r="V1367" s="27">
        <v>17.0</v>
      </c>
      <c r="W1367" s="27"/>
      <c r="X1367" s="27">
        <v>17.5</v>
      </c>
      <c r="Y1367" s="27"/>
      <c r="Z1367" s="27">
        <v>17.0</v>
      </c>
      <c r="AA1367" s="27"/>
      <c r="AB1367" s="27">
        <v>17.0</v>
      </c>
      <c r="AC1367" s="27"/>
      <c r="AD1367" s="27">
        <v>17.0</v>
      </c>
      <c r="AE1367" s="27"/>
      <c r="AF1367" s="27" t="s">
        <v>1091</v>
      </c>
      <c r="AG1367" s="27" t="s">
        <v>1091</v>
      </c>
      <c r="AH1367" s="27">
        <v>187.0</v>
      </c>
      <c r="AI1367" s="27">
        <v>200.0</v>
      </c>
      <c r="AJ1367" s="27">
        <v>2.0</v>
      </c>
      <c r="AK1367" s="27" t="b">
        <v>0</v>
      </c>
      <c r="AL1367" s="27">
        <v>100.0</v>
      </c>
      <c r="AM1367" s="27" t="s">
        <v>191</v>
      </c>
      <c r="AN1367" s="27" t="s">
        <v>404</v>
      </c>
      <c r="AO1367" s="27"/>
    </row>
    <row r="1368">
      <c r="A1368" s="200">
        <v>44866.02510496527</v>
      </c>
      <c r="B1368" s="19" t="s">
        <v>166</v>
      </c>
      <c r="C1368" s="21" t="s">
        <v>337</v>
      </c>
      <c r="D1368" s="62">
        <v>3.0</v>
      </c>
      <c r="E1368" s="27">
        <v>5.0</v>
      </c>
      <c r="F1368" s="27" t="s">
        <v>2006</v>
      </c>
      <c r="G1368" s="201" t="s">
        <v>57</v>
      </c>
      <c r="H1368" s="27" t="s">
        <v>138</v>
      </c>
      <c r="I1368" s="27"/>
      <c r="J1368" s="33">
        <v>4.5</v>
      </c>
      <c r="K1368" s="33">
        <v>4.0</v>
      </c>
      <c r="L1368" s="66">
        <v>61.0</v>
      </c>
      <c r="M1368" s="27" t="s">
        <v>2007</v>
      </c>
      <c r="N1368" s="27">
        <v>4.0</v>
      </c>
      <c r="O1368" s="27"/>
      <c r="P1368" s="27">
        <v>4.0</v>
      </c>
      <c r="Q1368" s="27"/>
      <c r="R1368" s="27">
        <v>4.0</v>
      </c>
      <c r="S1368" s="27"/>
      <c r="T1368" s="27">
        <v>4.0</v>
      </c>
      <c r="U1368" s="27"/>
      <c r="V1368" s="27">
        <v>4.0</v>
      </c>
      <c r="W1368" s="27"/>
      <c r="X1368" s="27">
        <v>4.0</v>
      </c>
      <c r="Y1368" s="27"/>
      <c r="Z1368" s="27">
        <v>4.0</v>
      </c>
      <c r="AA1368" s="27"/>
      <c r="AB1368" s="27">
        <v>4.0</v>
      </c>
      <c r="AC1368" s="27"/>
      <c r="AD1368" s="27">
        <v>4.0</v>
      </c>
      <c r="AE1368" s="27"/>
      <c r="AF1368" s="27" t="s">
        <v>1091</v>
      </c>
      <c r="AG1368" s="27" t="s">
        <v>1091</v>
      </c>
      <c r="AH1368" s="27">
        <v>183.0</v>
      </c>
      <c r="AI1368" s="27">
        <v>239.0</v>
      </c>
      <c r="AJ1368" s="27">
        <v>2.0</v>
      </c>
      <c r="AK1368" s="27" t="b">
        <v>1</v>
      </c>
      <c r="AL1368" s="27">
        <v>100.0</v>
      </c>
      <c r="AM1368" s="27" t="s">
        <v>192</v>
      </c>
      <c r="AN1368" s="27" t="s">
        <v>404</v>
      </c>
      <c r="AO1368" s="27"/>
    </row>
    <row r="1369">
      <c r="A1369" s="200">
        <v>44866.02510496527</v>
      </c>
      <c r="B1369" s="19" t="s">
        <v>166</v>
      </c>
      <c r="C1369" s="21" t="s">
        <v>334</v>
      </c>
      <c r="D1369" s="62">
        <v>2.0</v>
      </c>
      <c r="E1369" s="27">
        <v>6.0</v>
      </c>
      <c r="F1369" s="27" t="s">
        <v>2001</v>
      </c>
      <c r="G1369" s="201" t="s">
        <v>183</v>
      </c>
      <c r="H1369" s="27" t="s">
        <v>59</v>
      </c>
      <c r="I1369" s="27"/>
      <c r="J1369" s="33">
        <v>-10.0</v>
      </c>
      <c r="K1369" s="33">
        <v>-6.5</v>
      </c>
      <c r="L1369" s="66">
        <v>58.5</v>
      </c>
      <c r="M1369" s="27" t="s">
        <v>2028</v>
      </c>
      <c r="N1369" s="27">
        <v>-6.5</v>
      </c>
      <c r="O1369" s="27"/>
      <c r="P1369" s="27">
        <v>-6.5</v>
      </c>
      <c r="Q1369" s="27"/>
      <c r="R1369" s="27">
        <v>-6.5</v>
      </c>
      <c r="S1369" s="27"/>
      <c r="T1369" s="27">
        <v>-6.5</v>
      </c>
      <c r="U1369" s="27"/>
      <c r="V1369" s="27">
        <v>-6.5</v>
      </c>
      <c r="W1369" s="27"/>
      <c r="X1369" s="27">
        <v>-7.0</v>
      </c>
      <c r="Y1369" s="27"/>
      <c r="Z1369" s="27">
        <v>-6.5</v>
      </c>
      <c r="AA1369" s="27"/>
      <c r="AB1369" s="27">
        <v>-6.5</v>
      </c>
      <c r="AC1369" s="27"/>
      <c r="AD1369" s="27">
        <v>-6.5</v>
      </c>
      <c r="AE1369" s="27"/>
      <c r="AF1369" s="27" t="s">
        <v>1091</v>
      </c>
      <c r="AG1369" s="27" t="s">
        <v>1091</v>
      </c>
      <c r="AH1369" s="27">
        <v>253.0</v>
      </c>
      <c r="AI1369" s="27">
        <v>317.0</v>
      </c>
      <c r="AJ1369" s="27">
        <v>2.0</v>
      </c>
      <c r="AK1369" s="27" t="b">
        <v>1</v>
      </c>
      <c r="AL1369" s="27">
        <v>100.0</v>
      </c>
      <c r="AM1369" s="27" t="s">
        <v>189</v>
      </c>
      <c r="AN1369" s="27" t="s">
        <v>405</v>
      </c>
      <c r="AO1369" s="27"/>
    </row>
    <row r="1370">
      <c r="A1370" s="200">
        <v>44866.02510496527</v>
      </c>
      <c r="B1370" s="19"/>
      <c r="C1370" s="21"/>
      <c r="D1370" s="62"/>
      <c r="E1370" s="27"/>
      <c r="F1370" s="27"/>
      <c r="G1370" s="201"/>
      <c r="H1370" s="27"/>
      <c r="I1370" s="27"/>
      <c r="J1370" s="33"/>
      <c r="K1370" s="33"/>
      <c r="L1370" s="66"/>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t="e">
        <v>#N/A</v>
      </c>
      <c r="AN1370" s="27" t="e">
        <v>#N/A</v>
      </c>
      <c r="AO1370" s="27"/>
    </row>
    <row r="1371">
      <c r="A1371" s="200">
        <v>44866.02510496527</v>
      </c>
      <c r="B1371" s="19" t="s">
        <v>116</v>
      </c>
      <c r="C1371" s="21" t="s">
        <v>329</v>
      </c>
      <c r="D1371" s="62">
        <v>4.0</v>
      </c>
      <c r="E1371" s="27">
        <v>4.0</v>
      </c>
      <c r="F1371" s="27"/>
      <c r="G1371" s="201"/>
      <c r="H1371" s="27"/>
      <c r="I1371" s="27" t="s">
        <v>119</v>
      </c>
      <c r="J1371" s="33"/>
      <c r="K1371" s="33"/>
      <c r="L1371" s="66"/>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v>196.0</v>
      </c>
      <c r="AI1371" s="27">
        <v>225.0</v>
      </c>
      <c r="AJ1371" s="27">
        <v>0.0</v>
      </c>
      <c r="AK1371" s="27" t="b">
        <v>1</v>
      </c>
      <c r="AL1371" s="27">
        <v>59.0</v>
      </c>
      <c r="AM1371" s="27" t="s">
        <v>190</v>
      </c>
      <c r="AN1371" s="27" t="s">
        <v>405</v>
      </c>
      <c r="AO1371" s="27"/>
    </row>
    <row r="1372">
      <c r="A1372" s="200">
        <v>44866.02510496527</v>
      </c>
      <c r="B1372" s="19" t="s">
        <v>116</v>
      </c>
      <c r="C1372" s="21" t="s">
        <v>388</v>
      </c>
      <c r="D1372" s="62">
        <v>5.0</v>
      </c>
      <c r="E1372" s="27">
        <v>2.0</v>
      </c>
      <c r="F1372" s="27"/>
      <c r="G1372" s="201"/>
      <c r="H1372" s="27"/>
      <c r="I1372" s="27" t="s">
        <v>119</v>
      </c>
      <c r="J1372" s="33"/>
      <c r="K1372" s="33"/>
      <c r="L1372" s="66"/>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v>271.0</v>
      </c>
      <c r="AI1372" s="27">
        <v>146.0</v>
      </c>
      <c r="AJ1372" s="27">
        <v>0.0</v>
      </c>
      <c r="AK1372" s="27" t="b">
        <v>1</v>
      </c>
      <c r="AL1372" s="27">
        <v>59.0</v>
      </c>
      <c r="AM1372" s="27" t="s">
        <v>193</v>
      </c>
      <c r="AN1372" s="27" t="s">
        <v>405</v>
      </c>
      <c r="AO1372" s="27"/>
    </row>
    <row r="1373">
      <c r="A1373" s="200">
        <v>44866.02510496527</v>
      </c>
      <c r="B1373" s="19" t="s">
        <v>116</v>
      </c>
      <c r="C1373" s="21" t="s">
        <v>369</v>
      </c>
      <c r="D1373" s="62">
        <v>7.0</v>
      </c>
      <c r="E1373" s="27">
        <v>1.0</v>
      </c>
      <c r="F1373" s="27" t="s">
        <v>2029</v>
      </c>
      <c r="G1373" s="201" t="s">
        <v>57</v>
      </c>
      <c r="H1373" s="27" t="s">
        <v>103</v>
      </c>
      <c r="I1373" s="27"/>
      <c r="J1373" s="33">
        <v>-15.0</v>
      </c>
      <c r="K1373" s="33">
        <v>-15.5</v>
      </c>
      <c r="L1373" s="66">
        <v>76.0</v>
      </c>
      <c r="M1373" s="27" t="s">
        <v>2030</v>
      </c>
      <c r="N1373" s="27">
        <v>-15.5</v>
      </c>
      <c r="O1373" s="27"/>
      <c r="P1373" s="27">
        <v>-15.0</v>
      </c>
      <c r="Q1373" s="27"/>
      <c r="R1373" s="27">
        <v>-15.0</v>
      </c>
      <c r="S1373" s="27"/>
      <c r="T1373" s="27">
        <v>-15.5</v>
      </c>
      <c r="U1373" s="27"/>
      <c r="V1373" s="27">
        <v>-15.0</v>
      </c>
      <c r="W1373" s="27"/>
      <c r="X1373" s="27">
        <v>-15.0</v>
      </c>
      <c r="Y1373" s="27"/>
      <c r="Z1373" s="27">
        <v>-15.0</v>
      </c>
      <c r="AA1373" s="27"/>
      <c r="AB1373" s="27">
        <v>-15.5</v>
      </c>
      <c r="AC1373" s="27"/>
      <c r="AD1373" s="27">
        <v>-15.5</v>
      </c>
      <c r="AE1373" s="27"/>
      <c r="AF1373" s="27" t="s">
        <v>1091</v>
      </c>
      <c r="AG1373" s="27" t="s">
        <v>1091</v>
      </c>
      <c r="AH1373" s="27">
        <v>328.0</v>
      </c>
      <c r="AI1373" s="27">
        <v>192.0</v>
      </c>
      <c r="AJ1373" s="27">
        <v>2.0</v>
      </c>
      <c r="AK1373" s="27" t="b">
        <v>1</v>
      </c>
      <c r="AL1373" s="27">
        <v>100.0</v>
      </c>
      <c r="AM1373" s="27" t="s">
        <v>191</v>
      </c>
      <c r="AN1373" s="27" t="s">
        <v>404</v>
      </c>
      <c r="AO1373" s="27"/>
    </row>
    <row r="1374">
      <c r="A1374" s="200">
        <v>44866.02510496527</v>
      </c>
      <c r="B1374" s="19" t="s">
        <v>116</v>
      </c>
      <c r="C1374" s="21" t="s">
        <v>336</v>
      </c>
      <c r="D1374" s="62">
        <v>2.0</v>
      </c>
      <c r="E1374" s="27">
        <v>6.0</v>
      </c>
      <c r="F1374" s="27" t="s">
        <v>2031</v>
      </c>
      <c r="G1374" s="201" t="s">
        <v>57</v>
      </c>
      <c r="H1374" s="27" t="s">
        <v>148</v>
      </c>
      <c r="I1374" s="27"/>
      <c r="J1374" s="33">
        <v>26.5</v>
      </c>
      <c r="K1374" s="33">
        <v>27.5</v>
      </c>
      <c r="L1374" s="66">
        <v>43.0</v>
      </c>
      <c r="M1374" s="27" t="s">
        <v>1507</v>
      </c>
      <c r="N1374" s="27">
        <v>27.5</v>
      </c>
      <c r="O1374" s="27"/>
      <c r="P1374" s="27">
        <v>27.5</v>
      </c>
      <c r="Q1374" s="27"/>
      <c r="R1374" s="27">
        <v>27.5</v>
      </c>
      <c r="S1374" s="27"/>
      <c r="T1374" s="27">
        <v>27.5</v>
      </c>
      <c r="U1374" s="27"/>
      <c r="V1374" s="27">
        <v>27.5</v>
      </c>
      <c r="W1374" s="27"/>
      <c r="X1374" s="27">
        <v>27.5</v>
      </c>
      <c r="Y1374" s="27"/>
      <c r="Z1374" s="27">
        <v>27.5</v>
      </c>
      <c r="AA1374" s="27"/>
      <c r="AB1374" s="27">
        <v>27.5</v>
      </c>
      <c r="AC1374" s="27"/>
      <c r="AD1374" s="27">
        <v>27.5</v>
      </c>
      <c r="AE1374" s="27"/>
      <c r="AF1374" s="27" t="s">
        <v>1091</v>
      </c>
      <c r="AG1374" s="27" t="s">
        <v>1091</v>
      </c>
      <c r="AH1374" s="27">
        <v>100.0</v>
      </c>
      <c r="AI1374" s="27">
        <v>257.0</v>
      </c>
      <c r="AJ1374" s="27">
        <v>2.0</v>
      </c>
      <c r="AK1374" s="27" t="b">
        <v>0</v>
      </c>
      <c r="AL1374" s="27">
        <v>100.0</v>
      </c>
      <c r="AM1374" s="27" t="s">
        <v>129</v>
      </c>
      <c r="AN1374" s="27" t="s">
        <v>405</v>
      </c>
      <c r="AO1374" s="27"/>
    </row>
    <row r="1375">
      <c r="A1375" s="200">
        <v>44866.02510496527</v>
      </c>
      <c r="B1375" s="19" t="s">
        <v>116</v>
      </c>
      <c r="C1375" s="21" t="s">
        <v>313</v>
      </c>
      <c r="D1375" s="62">
        <v>8.0</v>
      </c>
      <c r="E1375" s="27">
        <v>0.0</v>
      </c>
      <c r="F1375" s="27" t="s">
        <v>2024</v>
      </c>
      <c r="G1375" s="201" t="s">
        <v>57</v>
      </c>
      <c r="H1375" s="27" t="s">
        <v>144</v>
      </c>
      <c r="I1375" s="27"/>
      <c r="J1375" s="33">
        <v>-17.0</v>
      </c>
      <c r="K1375" s="33">
        <v>-22.5</v>
      </c>
      <c r="L1375" s="66">
        <v>56.5</v>
      </c>
      <c r="M1375" s="27" t="s">
        <v>1874</v>
      </c>
      <c r="N1375" s="27">
        <v>-22.5</v>
      </c>
      <c r="O1375" s="27"/>
      <c r="P1375" s="27">
        <v>-22.5</v>
      </c>
      <c r="Q1375" s="27"/>
      <c r="R1375" s="27">
        <v>-22.5</v>
      </c>
      <c r="S1375" s="27"/>
      <c r="T1375" s="27">
        <v>-22.0</v>
      </c>
      <c r="U1375" s="27"/>
      <c r="V1375" s="27">
        <v>-22.5</v>
      </c>
      <c r="W1375" s="27"/>
      <c r="X1375" s="27">
        <v>-22.5</v>
      </c>
      <c r="Y1375" s="27"/>
      <c r="Z1375" s="27">
        <v>-22.5</v>
      </c>
      <c r="AA1375" s="27"/>
      <c r="AB1375" s="27">
        <v>-22.0</v>
      </c>
      <c r="AC1375" s="27"/>
      <c r="AD1375" s="27">
        <v>-22.0</v>
      </c>
      <c r="AE1375" s="27"/>
      <c r="AF1375" s="27" t="s">
        <v>1091</v>
      </c>
      <c r="AG1375" s="27" t="s">
        <v>1091</v>
      </c>
      <c r="AH1375" s="27">
        <v>334.0</v>
      </c>
      <c r="AI1375" s="27">
        <v>84.0</v>
      </c>
      <c r="AJ1375" s="27">
        <v>2.0</v>
      </c>
      <c r="AK1375" s="27" t="b">
        <v>1</v>
      </c>
      <c r="AL1375" s="27">
        <v>100.0</v>
      </c>
      <c r="AM1375" s="27" t="s">
        <v>192</v>
      </c>
      <c r="AN1375" s="27" t="s">
        <v>404</v>
      </c>
      <c r="AO1375" s="27"/>
    </row>
    <row r="1376">
      <c r="A1376" s="200">
        <v>44866.02510496527</v>
      </c>
      <c r="B1376" s="19" t="s">
        <v>116</v>
      </c>
      <c r="C1376" s="21" t="s">
        <v>354</v>
      </c>
      <c r="D1376" s="62">
        <v>6.0</v>
      </c>
      <c r="E1376" s="27">
        <v>2.0</v>
      </c>
      <c r="F1376" s="27" t="s">
        <v>1998</v>
      </c>
      <c r="G1376" s="201" t="s">
        <v>57</v>
      </c>
      <c r="H1376" s="27" t="s">
        <v>59</v>
      </c>
      <c r="I1376" s="27"/>
      <c r="J1376" s="33">
        <v>3.0</v>
      </c>
      <c r="K1376" s="33">
        <v>1.5</v>
      </c>
      <c r="L1376" s="66">
        <v>56.0</v>
      </c>
      <c r="M1376" s="27" t="s">
        <v>1124</v>
      </c>
      <c r="N1376" s="27">
        <v>1.5</v>
      </c>
      <c r="O1376" s="27"/>
      <c r="P1376" s="27">
        <v>1.5</v>
      </c>
      <c r="Q1376" s="27"/>
      <c r="R1376" s="27">
        <v>1.5</v>
      </c>
      <c r="S1376" s="27"/>
      <c r="T1376" s="27">
        <v>1.5</v>
      </c>
      <c r="U1376" s="27"/>
      <c r="V1376" s="27">
        <v>1.5</v>
      </c>
      <c r="W1376" s="27"/>
      <c r="X1376" s="27">
        <v>1.5</v>
      </c>
      <c r="Y1376" s="27"/>
      <c r="Z1376" s="27">
        <v>1.5</v>
      </c>
      <c r="AA1376" s="27"/>
      <c r="AB1376" s="27">
        <v>1.5</v>
      </c>
      <c r="AC1376" s="27"/>
      <c r="AD1376" s="27">
        <v>1.5</v>
      </c>
      <c r="AE1376" s="27"/>
      <c r="AF1376" s="27" t="s">
        <v>1091</v>
      </c>
      <c r="AG1376" s="27" t="s">
        <v>1091</v>
      </c>
      <c r="AH1376" s="27">
        <v>313.0</v>
      </c>
      <c r="AI1376" s="27">
        <v>249.0</v>
      </c>
      <c r="AJ1376" s="27">
        <v>2.0</v>
      </c>
      <c r="AK1376" s="27" t="b">
        <v>0</v>
      </c>
      <c r="AL1376" s="27">
        <v>100.0</v>
      </c>
      <c r="AM1376" s="27" t="s">
        <v>187</v>
      </c>
      <c r="AN1376" s="27" t="s">
        <v>404</v>
      </c>
      <c r="AO1376" s="27"/>
    </row>
    <row r="1377">
      <c r="A1377" s="200">
        <v>44866.02510496527</v>
      </c>
      <c r="B1377" s="19" t="s">
        <v>116</v>
      </c>
      <c r="C1377" s="21" t="s">
        <v>332</v>
      </c>
      <c r="D1377" s="62">
        <v>4.0</v>
      </c>
      <c r="E1377" s="27">
        <v>4.0</v>
      </c>
      <c r="F1377" s="27" t="s">
        <v>2032</v>
      </c>
      <c r="G1377" s="201" t="s">
        <v>57</v>
      </c>
      <c r="H1377" s="27" t="s">
        <v>154</v>
      </c>
      <c r="I1377" s="27"/>
      <c r="J1377" s="33">
        <v>-10.5</v>
      </c>
      <c r="K1377" s="33">
        <v>-11.0</v>
      </c>
      <c r="L1377" s="66">
        <v>36.5</v>
      </c>
      <c r="M1377" s="27" t="s">
        <v>2033</v>
      </c>
      <c r="N1377" s="27">
        <v>-11.5</v>
      </c>
      <c r="O1377" s="27"/>
      <c r="P1377" s="27">
        <v>-11.0</v>
      </c>
      <c r="Q1377" s="27"/>
      <c r="R1377" s="27">
        <v>-11.0</v>
      </c>
      <c r="S1377" s="27"/>
      <c r="T1377" s="27">
        <v>-11.0</v>
      </c>
      <c r="U1377" s="27"/>
      <c r="V1377" s="27">
        <v>-10.5</v>
      </c>
      <c r="W1377" s="27"/>
      <c r="X1377" s="27">
        <v>-11.0</v>
      </c>
      <c r="Y1377" s="27"/>
      <c r="Z1377" s="27">
        <v>-11.5</v>
      </c>
      <c r="AA1377" s="27"/>
      <c r="AB1377" s="27">
        <v>-11.0</v>
      </c>
      <c r="AC1377" s="27"/>
      <c r="AD1377" s="27">
        <v>-11.0</v>
      </c>
      <c r="AE1377" s="27"/>
      <c r="AF1377" s="27" t="s">
        <v>1091</v>
      </c>
      <c r="AG1377" s="27" t="s">
        <v>1091</v>
      </c>
      <c r="AH1377" s="27">
        <v>131.0</v>
      </c>
      <c r="AI1377" s="27">
        <v>126.0</v>
      </c>
      <c r="AJ1377" s="27">
        <v>2.0</v>
      </c>
      <c r="AK1377" s="27" t="b">
        <v>1</v>
      </c>
      <c r="AL1377" s="27">
        <v>100.0</v>
      </c>
      <c r="AM1377" s="27" t="s">
        <v>188</v>
      </c>
      <c r="AN1377" s="27" t="s">
        <v>404</v>
      </c>
      <c r="AO1377" s="27"/>
    </row>
    <row r="1378">
      <c r="A1378" s="200">
        <v>44866.02510496527</v>
      </c>
      <c r="B1378" s="19" t="s">
        <v>116</v>
      </c>
      <c r="C1378" s="21" t="s">
        <v>355</v>
      </c>
      <c r="D1378" s="62">
        <v>4.0</v>
      </c>
      <c r="E1378" s="27">
        <v>4.0</v>
      </c>
      <c r="F1378" s="27" t="s">
        <v>2012</v>
      </c>
      <c r="G1378" s="201" t="s">
        <v>57</v>
      </c>
      <c r="H1378" s="27" t="s">
        <v>141</v>
      </c>
      <c r="I1378" s="27"/>
      <c r="J1378" s="33">
        <v>-16.5</v>
      </c>
      <c r="K1378" s="33">
        <v>-16.5</v>
      </c>
      <c r="L1378" s="66">
        <v>60.5</v>
      </c>
      <c r="M1378" s="27" t="s">
        <v>1795</v>
      </c>
      <c r="N1378" s="27">
        <v>-16.5</v>
      </c>
      <c r="O1378" s="27"/>
      <c r="P1378" s="27">
        <v>-16.5</v>
      </c>
      <c r="Q1378" s="27"/>
      <c r="R1378" s="27">
        <v>-16.5</v>
      </c>
      <c r="S1378" s="27"/>
      <c r="T1378" s="27">
        <v>-17.0</v>
      </c>
      <c r="U1378" s="27"/>
      <c r="V1378" s="27">
        <v>-16.5</v>
      </c>
      <c r="W1378" s="27"/>
      <c r="X1378" s="27">
        <v>-16.5</v>
      </c>
      <c r="Y1378" s="27"/>
      <c r="Z1378" s="27">
        <v>-16.5</v>
      </c>
      <c r="AA1378" s="27"/>
      <c r="AB1378" s="27">
        <v>-17.0</v>
      </c>
      <c r="AC1378" s="27"/>
      <c r="AD1378" s="27">
        <v>-17.0</v>
      </c>
      <c r="AE1378" s="27"/>
      <c r="AF1378" s="27" t="s">
        <v>1091</v>
      </c>
      <c r="AG1378" s="27" t="s">
        <v>1091</v>
      </c>
      <c r="AH1378" s="27">
        <v>233.0</v>
      </c>
      <c r="AI1378" s="27">
        <v>269.0</v>
      </c>
      <c r="AJ1378" s="27">
        <v>2.0</v>
      </c>
      <c r="AK1378" s="27" t="b">
        <v>0</v>
      </c>
      <c r="AL1378" s="27">
        <v>100.0</v>
      </c>
      <c r="AM1378" s="27" t="s">
        <v>189</v>
      </c>
      <c r="AN1378" s="27" t="s">
        <v>405</v>
      </c>
      <c r="AO1378" s="27"/>
    </row>
    <row r="1379">
      <c r="A1379" s="200">
        <v>44866.02510496527</v>
      </c>
      <c r="B1379" s="19" t="s">
        <v>116</v>
      </c>
      <c r="C1379" s="21" t="s">
        <v>348</v>
      </c>
      <c r="D1379" s="62">
        <v>3.0</v>
      </c>
      <c r="E1379" s="27">
        <v>5.0</v>
      </c>
      <c r="F1379" s="27" t="s">
        <v>2034</v>
      </c>
      <c r="G1379" s="201" t="s">
        <v>57</v>
      </c>
      <c r="H1379" s="27" t="s">
        <v>103</v>
      </c>
      <c r="I1379" s="27"/>
      <c r="J1379" s="33">
        <v>20.5</v>
      </c>
      <c r="K1379" s="33">
        <v>23.0</v>
      </c>
      <c r="L1379" s="66">
        <v>48.0</v>
      </c>
      <c r="M1379" s="27" t="s">
        <v>2035</v>
      </c>
      <c r="N1379" s="27">
        <v>23.0</v>
      </c>
      <c r="O1379" s="27"/>
      <c r="P1379" s="27">
        <v>23.5</v>
      </c>
      <c r="Q1379" s="27"/>
      <c r="R1379" s="27">
        <v>23.5</v>
      </c>
      <c r="S1379" s="27"/>
      <c r="T1379" s="27">
        <v>23.0</v>
      </c>
      <c r="U1379" s="27"/>
      <c r="V1379" s="27">
        <v>23.5</v>
      </c>
      <c r="W1379" s="27"/>
      <c r="X1379" s="27">
        <v>23.0</v>
      </c>
      <c r="Y1379" s="27"/>
      <c r="Z1379" s="27">
        <v>23.5</v>
      </c>
      <c r="AA1379" s="27"/>
      <c r="AB1379" s="27">
        <v>23.0</v>
      </c>
      <c r="AC1379" s="27"/>
      <c r="AD1379" s="27">
        <v>23.0</v>
      </c>
      <c r="AE1379" s="27"/>
      <c r="AF1379" s="27" t="s">
        <v>1091</v>
      </c>
      <c r="AG1379" s="27" t="s">
        <v>1091</v>
      </c>
      <c r="AH1379" s="27">
        <v>129.0</v>
      </c>
      <c r="AI1379" s="27">
        <v>225.0</v>
      </c>
      <c r="AJ1379" s="27">
        <v>2.0</v>
      </c>
      <c r="AK1379" s="27" t="b">
        <v>0</v>
      </c>
      <c r="AL1379" s="27">
        <v>100.0</v>
      </c>
      <c r="AM1379" s="27" t="s">
        <v>186</v>
      </c>
      <c r="AN1379" s="27" t="s">
        <v>404</v>
      </c>
      <c r="AO1379" s="27"/>
    </row>
    <row r="1380">
      <c r="A1380" s="200">
        <v>44866.02510496527</v>
      </c>
      <c r="B1380" s="19" t="s">
        <v>116</v>
      </c>
      <c r="C1380" s="21" t="s">
        <v>347</v>
      </c>
      <c r="D1380" s="62">
        <v>3.0</v>
      </c>
      <c r="E1380" s="27">
        <v>5.0</v>
      </c>
      <c r="F1380" s="27" t="s">
        <v>2036</v>
      </c>
      <c r="G1380" s="201" t="s">
        <v>183</v>
      </c>
      <c r="H1380" s="27" t="s">
        <v>103</v>
      </c>
      <c r="I1380" s="27"/>
      <c r="J1380" s="33">
        <v>-14.0</v>
      </c>
      <c r="K1380" s="33">
        <v>-13.5</v>
      </c>
      <c r="L1380" s="66">
        <v>40.0</v>
      </c>
      <c r="M1380" s="27" t="s">
        <v>2037</v>
      </c>
      <c r="N1380" s="27">
        <v>-13.5</v>
      </c>
      <c r="O1380" s="27"/>
      <c r="P1380" s="27">
        <v>-13.5</v>
      </c>
      <c r="Q1380" s="27"/>
      <c r="R1380" s="27">
        <v>-13.5</v>
      </c>
      <c r="S1380" s="27"/>
      <c r="T1380" s="27">
        <v>-13.5</v>
      </c>
      <c r="U1380" s="27"/>
      <c r="V1380" s="27">
        <v>-13.5</v>
      </c>
      <c r="W1380" s="27"/>
      <c r="X1380" s="27">
        <v>-13.5</v>
      </c>
      <c r="Y1380" s="27"/>
      <c r="Z1380" s="27">
        <v>-13.5</v>
      </c>
      <c r="AA1380" s="27"/>
      <c r="AB1380" s="27">
        <v>-13.5</v>
      </c>
      <c r="AC1380" s="27"/>
      <c r="AD1380" s="27">
        <v>-13.5</v>
      </c>
      <c r="AE1380" s="27"/>
      <c r="AF1380" s="27" t="s">
        <v>1091</v>
      </c>
      <c r="AG1380" s="27" t="s">
        <v>1091</v>
      </c>
      <c r="AH1380" s="27">
        <v>187.0</v>
      </c>
      <c r="AI1380" s="27">
        <v>203.0</v>
      </c>
      <c r="AJ1380" s="27">
        <v>2.0</v>
      </c>
      <c r="AK1380" s="27" t="b">
        <v>1</v>
      </c>
      <c r="AL1380" s="27">
        <v>100.0</v>
      </c>
      <c r="AM1380" s="27" t="s">
        <v>389</v>
      </c>
      <c r="AN1380" s="27" t="s">
        <v>405</v>
      </c>
      <c r="AO1380" s="27"/>
    </row>
    <row r="1381">
      <c r="A1381" s="200">
        <v>44866.02510496527</v>
      </c>
      <c r="B1381" s="19"/>
      <c r="C1381" s="21"/>
      <c r="D1381" s="62"/>
      <c r="E1381" s="27"/>
      <c r="F1381" s="27"/>
      <c r="G1381" s="201"/>
      <c r="H1381" s="27"/>
      <c r="I1381" s="27"/>
      <c r="J1381" s="33"/>
      <c r="K1381" s="33"/>
      <c r="L1381" s="66"/>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t="e">
        <v>#N/A</v>
      </c>
      <c r="AN1381" s="27" t="e">
        <v>#N/A</v>
      </c>
      <c r="AO1381" s="27"/>
    </row>
    <row r="1382">
      <c r="A1382" s="200">
        <v>44866.02510496527</v>
      </c>
      <c r="B1382" s="19" t="s">
        <v>148</v>
      </c>
      <c r="C1382" s="21" t="s">
        <v>377</v>
      </c>
      <c r="D1382" s="62">
        <v>6.0</v>
      </c>
      <c r="E1382" s="27">
        <v>2.0</v>
      </c>
      <c r="F1382" s="27"/>
      <c r="G1382" s="201"/>
      <c r="H1382" s="27"/>
      <c r="I1382" s="27" t="s">
        <v>82</v>
      </c>
      <c r="J1382" s="33"/>
      <c r="K1382" s="33"/>
      <c r="L1382" s="66"/>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v>323.0</v>
      </c>
      <c r="AI1382" s="27">
        <v>221.0</v>
      </c>
      <c r="AJ1382" s="27">
        <v>0.0</v>
      </c>
      <c r="AK1382" s="27" t="b">
        <v>1</v>
      </c>
      <c r="AL1382" s="27">
        <v>59.0</v>
      </c>
      <c r="AM1382" s="27" t="s">
        <v>191</v>
      </c>
      <c r="AN1382" s="27" t="s">
        <v>404</v>
      </c>
      <c r="AO1382" s="27"/>
    </row>
    <row r="1383">
      <c r="A1383" s="200">
        <v>44866.02510496527</v>
      </c>
      <c r="B1383" s="19" t="s">
        <v>148</v>
      </c>
      <c r="C1383" s="21" t="s">
        <v>380</v>
      </c>
      <c r="D1383" s="62">
        <v>3.0</v>
      </c>
      <c r="E1383" s="27">
        <v>5.0</v>
      </c>
      <c r="F1383" s="27"/>
      <c r="G1383" s="201"/>
      <c r="H1383" s="27"/>
      <c r="I1383" s="27" t="s">
        <v>149</v>
      </c>
      <c r="J1383" s="33"/>
      <c r="K1383" s="33"/>
      <c r="L1383" s="66"/>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v>173.0</v>
      </c>
      <c r="AI1383" s="27">
        <v>193.0</v>
      </c>
      <c r="AJ1383" s="27">
        <v>0.0</v>
      </c>
      <c r="AK1383" s="27" t="b">
        <v>1</v>
      </c>
      <c r="AL1383" s="27">
        <v>59.0</v>
      </c>
      <c r="AM1383" s="27" t="s">
        <v>193</v>
      </c>
      <c r="AN1383" s="27" t="s">
        <v>405</v>
      </c>
      <c r="AO1383" s="27"/>
    </row>
    <row r="1384">
      <c r="A1384" s="200">
        <v>44866.02510496527</v>
      </c>
      <c r="B1384" s="19" t="s">
        <v>148</v>
      </c>
      <c r="C1384" s="21" t="s">
        <v>381</v>
      </c>
      <c r="D1384" s="62">
        <v>5.0</v>
      </c>
      <c r="E1384" s="27">
        <v>3.0</v>
      </c>
      <c r="F1384" s="27"/>
      <c r="G1384" s="201"/>
      <c r="H1384" s="27"/>
      <c r="I1384" s="27" t="s">
        <v>88</v>
      </c>
      <c r="J1384" s="33"/>
      <c r="K1384" s="33"/>
      <c r="L1384" s="66"/>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v>262.0</v>
      </c>
      <c r="AI1384" s="27">
        <v>204.0</v>
      </c>
      <c r="AJ1384" s="27">
        <v>0.0</v>
      </c>
      <c r="AK1384" s="27" t="b">
        <v>1</v>
      </c>
      <c r="AL1384" s="27">
        <v>59.0</v>
      </c>
      <c r="AM1384" s="27" t="s">
        <v>188</v>
      </c>
      <c r="AN1384" s="27" t="s">
        <v>404</v>
      </c>
      <c r="AO1384" s="27"/>
    </row>
    <row r="1385">
      <c r="A1385" s="200">
        <v>44866.02510496527</v>
      </c>
      <c r="B1385" s="19" t="s">
        <v>148</v>
      </c>
      <c r="C1385" s="21" t="s">
        <v>335</v>
      </c>
      <c r="D1385" s="62">
        <v>4.0</v>
      </c>
      <c r="E1385" s="27">
        <v>4.0</v>
      </c>
      <c r="F1385" s="27"/>
      <c r="G1385" s="201"/>
      <c r="H1385" s="27"/>
      <c r="I1385" s="27" t="s">
        <v>105</v>
      </c>
      <c r="J1385" s="33"/>
      <c r="K1385" s="33"/>
      <c r="L1385" s="66"/>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v>211.0</v>
      </c>
      <c r="AI1385" s="27">
        <v>277.0</v>
      </c>
      <c r="AJ1385" s="27">
        <v>0.0</v>
      </c>
      <c r="AK1385" s="27" t="b">
        <v>1</v>
      </c>
      <c r="AL1385" s="27">
        <v>59.0</v>
      </c>
      <c r="AM1385" s="27" t="s">
        <v>190</v>
      </c>
      <c r="AN1385" s="27" t="s">
        <v>405</v>
      </c>
      <c r="AO1385" s="27"/>
    </row>
    <row r="1386">
      <c r="A1386" s="200">
        <v>44866.02510496527</v>
      </c>
      <c r="B1386" s="19" t="s">
        <v>148</v>
      </c>
      <c r="C1386" s="21" t="s">
        <v>387</v>
      </c>
      <c r="D1386" s="62">
        <v>3.0</v>
      </c>
      <c r="E1386" s="27">
        <v>5.0</v>
      </c>
      <c r="F1386" s="27" t="s">
        <v>2038</v>
      </c>
      <c r="G1386" s="201" t="s">
        <v>57</v>
      </c>
      <c r="H1386" s="27" t="s">
        <v>103</v>
      </c>
      <c r="I1386" s="27"/>
      <c r="J1386" s="33">
        <v>-7.0</v>
      </c>
      <c r="K1386" s="33">
        <v>2.5</v>
      </c>
      <c r="L1386" s="66">
        <v>55.0</v>
      </c>
      <c r="M1386" s="27" t="s">
        <v>1560</v>
      </c>
      <c r="N1386" s="27">
        <v>2.5</v>
      </c>
      <c r="O1386" s="27"/>
      <c r="P1386" s="27">
        <v>2.5</v>
      </c>
      <c r="Q1386" s="27"/>
      <c r="R1386" s="27">
        <v>2.5</v>
      </c>
      <c r="S1386" s="27"/>
      <c r="T1386" s="27">
        <v>2.5</v>
      </c>
      <c r="U1386" s="27"/>
      <c r="V1386" s="27">
        <v>2.5</v>
      </c>
      <c r="W1386" s="27"/>
      <c r="X1386" s="27">
        <v>2.5</v>
      </c>
      <c r="Y1386" s="27"/>
      <c r="Z1386" s="27">
        <v>2.5</v>
      </c>
      <c r="AA1386" s="27"/>
      <c r="AB1386" s="27">
        <v>2.5</v>
      </c>
      <c r="AC1386" s="27"/>
      <c r="AD1386" s="27">
        <v>2.5</v>
      </c>
      <c r="AE1386" s="27"/>
      <c r="AF1386" s="27" t="s">
        <v>1091</v>
      </c>
      <c r="AG1386" s="27" t="s">
        <v>1091</v>
      </c>
      <c r="AH1386" s="27">
        <v>181.0</v>
      </c>
      <c r="AI1386" s="27">
        <v>174.0</v>
      </c>
      <c r="AJ1386" s="27">
        <v>2.0</v>
      </c>
      <c r="AK1386" s="27" t="b">
        <v>1</v>
      </c>
      <c r="AL1386" s="27">
        <v>100.0</v>
      </c>
      <c r="AM1386" s="27" t="s">
        <v>192</v>
      </c>
      <c r="AN1386" s="27" t="s">
        <v>404</v>
      </c>
      <c r="AO1386" s="27"/>
    </row>
    <row r="1387">
      <c r="A1387" s="200">
        <v>44866.02510496527</v>
      </c>
      <c r="B1387" s="19" t="s">
        <v>148</v>
      </c>
      <c r="C1387" s="21" t="s">
        <v>316</v>
      </c>
      <c r="D1387" s="62">
        <v>6.0</v>
      </c>
      <c r="E1387" s="27">
        <v>2.0</v>
      </c>
      <c r="F1387" s="27" t="s">
        <v>2031</v>
      </c>
      <c r="G1387" s="201" t="s">
        <v>57</v>
      </c>
      <c r="H1387" s="27" t="s">
        <v>116</v>
      </c>
      <c r="I1387" s="27"/>
      <c r="J1387" s="33">
        <v>-26.5</v>
      </c>
      <c r="K1387" s="33">
        <v>-27.5</v>
      </c>
      <c r="L1387" s="66">
        <v>43.0</v>
      </c>
      <c r="M1387" s="27" t="s">
        <v>1507</v>
      </c>
      <c r="N1387" s="27">
        <v>-27.5</v>
      </c>
      <c r="O1387" s="27"/>
      <c r="P1387" s="27">
        <v>-27.5</v>
      </c>
      <c r="Q1387" s="27"/>
      <c r="R1387" s="27">
        <v>-27.5</v>
      </c>
      <c r="S1387" s="27"/>
      <c r="T1387" s="27">
        <v>-27.5</v>
      </c>
      <c r="U1387" s="27"/>
      <c r="V1387" s="27">
        <v>-27.5</v>
      </c>
      <c r="W1387" s="27"/>
      <c r="X1387" s="27">
        <v>-27.5</v>
      </c>
      <c r="Y1387" s="27"/>
      <c r="Z1387" s="27">
        <v>-27.5</v>
      </c>
      <c r="AA1387" s="27"/>
      <c r="AB1387" s="27">
        <v>-27.5</v>
      </c>
      <c r="AC1387" s="27"/>
      <c r="AD1387" s="27">
        <v>-27.5</v>
      </c>
      <c r="AE1387" s="27"/>
      <c r="AF1387" s="27" t="s">
        <v>1091</v>
      </c>
      <c r="AG1387" s="27" t="s">
        <v>1091</v>
      </c>
      <c r="AH1387" s="27">
        <v>231.0</v>
      </c>
      <c r="AI1387" s="27">
        <v>139.0</v>
      </c>
      <c r="AJ1387" s="27">
        <v>2.0</v>
      </c>
      <c r="AK1387" s="27" t="b">
        <v>1</v>
      </c>
      <c r="AL1387" s="27">
        <v>100.0</v>
      </c>
      <c r="AM1387" s="27" t="s">
        <v>129</v>
      </c>
      <c r="AN1387" s="27" t="s">
        <v>405</v>
      </c>
      <c r="AO1387" s="27"/>
    </row>
    <row r="1388">
      <c r="A1388" s="200">
        <v>44866.02510496527</v>
      </c>
      <c r="B1388" s="19" t="s">
        <v>148</v>
      </c>
      <c r="C1388" s="21" t="s">
        <v>374</v>
      </c>
      <c r="D1388" s="62">
        <v>6.0</v>
      </c>
      <c r="E1388" s="27">
        <v>2.0</v>
      </c>
      <c r="F1388" s="27" t="s">
        <v>2004</v>
      </c>
      <c r="G1388" s="201" t="s">
        <v>57</v>
      </c>
      <c r="H1388" s="27" t="s">
        <v>138</v>
      </c>
      <c r="I1388" s="27"/>
      <c r="J1388" s="33">
        <v>-2.5</v>
      </c>
      <c r="K1388" s="33">
        <v>1.0</v>
      </c>
      <c r="L1388" s="66">
        <v>55.5</v>
      </c>
      <c r="M1388" s="27" t="s">
        <v>2005</v>
      </c>
      <c r="N1388" s="27">
        <v>-1.0</v>
      </c>
      <c r="O1388" s="27"/>
      <c r="P1388" s="27">
        <v>0.0</v>
      </c>
      <c r="Q1388" s="27"/>
      <c r="R1388" s="27">
        <v>-1.0</v>
      </c>
      <c r="S1388" s="27"/>
      <c r="T1388" s="27">
        <v>1.0</v>
      </c>
      <c r="U1388" s="27"/>
      <c r="V1388" s="27">
        <v>-1.0</v>
      </c>
      <c r="W1388" s="27"/>
      <c r="X1388" s="27">
        <v>0.0</v>
      </c>
      <c r="Y1388" s="27"/>
      <c r="Z1388" s="27">
        <v>-1.0</v>
      </c>
      <c r="AA1388" s="27"/>
      <c r="AB1388" s="27">
        <v>1.0</v>
      </c>
      <c r="AC1388" s="27"/>
      <c r="AD1388" s="27">
        <v>1.0</v>
      </c>
      <c r="AE1388" s="27"/>
      <c r="AF1388" s="27" t="s">
        <v>1091</v>
      </c>
      <c r="AG1388" s="27" t="s">
        <v>1091</v>
      </c>
      <c r="AH1388" s="27">
        <v>286.0</v>
      </c>
      <c r="AI1388" s="27">
        <v>141.0</v>
      </c>
      <c r="AJ1388" s="27">
        <v>2.0</v>
      </c>
      <c r="AK1388" s="27" t="b">
        <v>1</v>
      </c>
      <c r="AL1388" s="27">
        <v>100.0</v>
      </c>
      <c r="AM1388" s="27" t="s">
        <v>389</v>
      </c>
      <c r="AN1388" s="27" t="s">
        <v>405</v>
      </c>
      <c r="AO1388" s="27"/>
    </row>
    <row r="1389">
      <c r="A1389" s="200">
        <v>44866.02510496527</v>
      </c>
      <c r="B1389" s="19" t="s">
        <v>148</v>
      </c>
      <c r="C1389" s="21" t="s">
        <v>401</v>
      </c>
      <c r="D1389" s="62">
        <v>1.0</v>
      </c>
      <c r="E1389" s="27">
        <v>7.0</v>
      </c>
      <c r="F1389" s="27" t="s">
        <v>2021</v>
      </c>
      <c r="G1389" s="201" t="s">
        <v>57</v>
      </c>
      <c r="H1389" s="27" t="s">
        <v>109</v>
      </c>
      <c r="I1389" s="27"/>
      <c r="J1389" s="33">
        <v>3.0</v>
      </c>
      <c r="K1389" s="33">
        <v>2.5</v>
      </c>
      <c r="L1389" s="66">
        <v>38.5</v>
      </c>
      <c r="M1389" s="27" t="s">
        <v>1957</v>
      </c>
      <c r="N1389" s="27">
        <v>2.5</v>
      </c>
      <c r="O1389" s="27"/>
      <c r="P1389" s="27">
        <v>2.5</v>
      </c>
      <c r="Q1389" s="27"/>
      <c r="R1389" s="27">
        <v>2.5</v>
      </c>
      <c r="S1389" s="27"/>
      <c r="T1389" s="27">
        <v>2.5</v>
      </c>
      <c r="U1389" s="27"/>
      <c r="V1389" s="27">
        <v>2.5</v>
      </c>
      <c r="W1389" s="27"/>
      <c r="X1389" s="27">
        <v>2.5</v>
      </c>
      <c r="Y1389" s="27"/>
      <c r="Z1389" s="27">
        <v>2.5</v>
      </c>
      <c r="AA1389" s="27"/>
      <c r="AB1389" s="27">
        <v>2.5</v>
      </c>
      <c r="AC1389" s="27"/>
      <c r="AD1389" s="27">
        <v>2.5</v>
      </c>
      <c r="AE1389" s="27"/>
      <c r="AF1389" s="27" t="s">
        <v>1091</v>
      </c>
      <c r="AG1389" s="27" t="s">
        <v>1091</v>
      </c>
      <c r="AH1389" s="27">
        <v>97.0</v>
      </c>
      <c r="AI1389" s="27">
        <v>247.0</v>
      </c>
      <c r="AJ1389" s="27">
        <v>2.0</v>
      </c>
      <c r="AK1389" s="27" t="b">
        <v>1</v>
      </c>
      <c r="AL1389" s="27">
        <v>100.0</v>
      </c>
      <c r="AM1389" s="27" t="s">
        <v>189</v>
      </c>
      <c r="AN1389" s="27" t="s">
        <v>405</v>
      </c>
      <c r="AO1389" s="27"/>
    </row>
    <row r="1390">
      <c r="A1390" s="200">
        <v>44866.02510496527</v>
      </c>
      <c r="B1390" s="19" t="s">
        <v>148</v>
      </c>
      <c r="C1390" s="21" t="s">
        <v>326</v>
      </c>
      <c r="D1390" s="62">
        <v>3.0</v>
      </c>
      <c r="E1390" s="27">
        <v>5.0</v>
      </c>
      <c r="F1390" s="27" t="s">
        <v>1971</v>
      </c>
      <c r="G1390" s="201" t="s">
        <v>57</v>
      </c>
      <c r="H1390" s="27" t="s">
        <v>53</v>
      </c>
      <c r="I1390" s="27"/>
      <c r="J1390" s="33">
        <v>3.5</v>
      </c>
      <c r="K1390" s="33">
        <v>1.5</v>
      </c>
      <c r="L1390" s="66">
        <v>55.5</v>
      </c>
      <c r="M1390" s="27" t="s">
        <v>1972</v>
      </c>
      <c r="N1390" s="27">
        <v>1.5</v>
      </c>
      <c r="O1390" s="27"/>
      <c r="P1390" s="27">
        <v>1.5</v>
      </c>
      <c r="Q1390" s="27"/>
      <c r="R1390" s="27">
        <v>1.5</v>
      </c>
      <c r="S1390" s="27"/>
      <c r="T1390" s="27">
        <v>1.5</v>
      </c>
      <c r="U1390" s="27"/>
      <c r="V1390" s="27">
        <v>1.5</v>
      </c>
      <c r="W1390" s="27"/>
      <c r="X1390" s="27">
        <v>1.5</v>
      </c>
      <c r="Y1390" s="27"/>
      <c r="Z1390" s="27">
        <v>1.5</v>
      </c>
      <c r="AA1390" s="27"/>
      <c r="AB1390" s="27">
        <v>1.5</v>
      </c>
      <c r="AC1390" s="27"/>
      <c r="AD1390" s="27" t="s">
        <v>1091</v>
      </c>
      <c r="AE1390" s="27" t="s">
        <v>1091</v>
      </c>
      <c r="AF1390" s="27" t="s">
        <v>1091</v>
      </c>
      <c r="AG1390" s="27" t="s">
        <v>1091</v>
      </c>
      <c r="AH1390" s="27">
        <v>173.0</v>
      </c>
      <c r="AI1390" s="27">
        <v>133.0</v>
      </c>
      <c r="AJ1390" s="27">
        <v>2.0</v>
      </c>
      <c r="AK1390" s="27" t="b">
        <v>1</v>
      </c>
      <c r="AL1390" s="27">
        <v>100.0</v>
      </c>
      <c r="AM1390" s="27" t="s">
        <v>187</v>
      </c>
      <c r="AN1390" s="27" t="s">
        <v>404</v>
      </c>
      <c r="AO1390" s="27"/>
    </row>
    <row r="1391">
      <c r="A1391" s="200">
        <v>44866.02510496527</v>
      </c>
      <c r="B1391" s="19" t="s">
        <v>148</v>
      </c>
      <c r="C1391" s="21" t="s">
        <v>384</v>
      </c>
      <c r="D1391" s="62">
        <v>2.0</v>
      </c>
      <c r="E1391" s="27">
        <v>6.0</v>
      </c>
      <c r="F1391" s="27" t="s">
        <v>2039</v>
      </c>
      <c r="G1391" s="201" t="s">
        <v>57</v>
      </c>
      <c r="H1391" s="27" t="s">
        <v>154</v>
      </c>
      <c r="I1391" s="27"/>
      <c r="J1391" s="33">
        <v>13.0</v>
      </c>
      <c r="K1391" s="33">
        <v>14.0</v>
      </c>
      <c r="L1391" s="66">
        <v>40.0</v>
      </c>
      <c r="M1391" s="27" t="s">
        <v>1879</v>
      </c>
      <c r="N1391" s="27">
        <v>14.0</v>
      </c>
      <c r="O1391" s="27"/>
      <c r="P1391" s="27">
        <v>13.5</v>
      </c>
      <c r="Q1391" s="27"/>
      <c r="R1391" s="27">
        <v>13.5</v>
      </c>
      <c r="S1391" s="27"/>
      <c r="T1391" s="27">
        <v>14.0</v>
      </c>
      <c r="U1391" s="27"/>
      <c r="V1391" s="27">
        <v>13.5</v>
      </c>
      <c r="W1391" s="27"/>
      <c r="X1391" s="27">
        <v>13.5</v>
      </c>
      <c r="Y1391" s="27"/>
      <c r="Z1391" s="27">
        <v>14.0</v>
      </c>
      <c r="AA1391" s="27"/>
      <c r="AB1391" s="27">
        <v>14.0</v>
      </c>
      <c r="AC1391" s="27"/>
      <c r="AD1391" s="27">
        <v>14.0</v>
      </c>
      <c r="AE1391" s="27"/>
      <c r="AF1391" s="27" t="s">
        <v>1091</v>
      </c>
      <c r="AG1391" s="27" t="s">
        <v>1091</v>
      </c>
      <c r="AH1391" s="27">
        <v>155.0</v>
      </c>
      <c r="AI1391" s="27">
        <v>198.0</v>
      </c>
      <c r="AJ1391" s="27">
        <v>2.0</v>
      </c>
      <c r="AK1391" s="27" t="b">
        <v>0</v>
      </c>
      <c r="AL1391" s="27">
        <v>100.0</v>
      </c>
      <c r="AM1391" s="27" t="s">
        <v>186</v>
      </c>
      <c r="AN1391" s="27" t="s">
        <v>404</v>
      </c>
      <c r="AO1391" s="27"/>
    </row>
    <row r="1392">
      <c r="A1392" s="200">
        <v>44866.02510496527</v>
      </c>
      <c r="B1392" s="19"/>
      <c r="C1392" s="21"/>
      <c r="D1392" s="62"/>
      <c r="E1392" s="27"/>
      <c r="F1392" s="27"/>
      <c r="G1392" s="201"/>
      <c r="H1392" s="27"/>
      <c r="I1392" s="27"/>
      <c r="J1392" s="33"/>
      <c r="K1392" s="33"/>
      <c r="L1392" s="66"/>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t="e">
        <v>#N/A</v>
      </c>
      <c r="AN1392" s="27" t="e">
        <v>#N/A</v>
      </c>
      <c r="AO1392" s="27"/>
    </row>
    <row r="1393">
      <c r="A1393" s="200">
        <v>44866.02510496527</v>
      </c>
      <c r="B1393" s="19" t="s">
        <v>103</v>
      </c>
      <c r="C1393" s="21" t="s">
        <v>324</v>
      </c>
      <c r="D1393" s="62">
        <v>5.0</v>
      </c>
      <c r="E1393" s="27">
        <v>3.0</v>
      </c>
      <c r="F1393" s="27"/>
      <c r="G1393" s="201"/>
      <c r="H1393" s="27"/>
      <c r="I1393" s="27" t="s">
        <v>66</v>
      </c>
      <c r="J1393" s="33"/>
      <c r="K1393" s="33"/>
      <c r="L1393" s="66"/>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v>247.0</v>
      </c>
      <c r="AI1393" s="27">
        <v>134.0</v>
      </c>
      <c r="AJ1393" s="27">
        <v>0.0</v>
      </c>
      <c r="AK1393" s="27" t="b">
        <v>1</v>
      </c>
      <c r="AL1393" s="27">
        <v>59.0</v>
      </c>
      <c r="AM1393" s="27" t="s">
        <v>129</v>
      </c>
      <c r="AN1393" s="27" t="s">
        <v>405</v>
      </c>
      <c r="AO1393" s="27"/>
    </row>
    <row r="1394">
      <c r="A1394" s="200">
        <v>44866.02510496527</v>
      </c>
      <c r="B1394" s="19" t="s">
        <v>103</v>
      </c>
      <c r="C1394" s="21" t="s">
        <v>341</v>
      </c>
      <c r="D1394" s="62">
        <v>6.0</v>
      </c>
      <c r="E1394" s="27">
        <v>2.0</v>
      </c>
      <c r="F1394" s="27"/>
      <c r="G1394" s="201"/>
      <c r="H1394" s="27"/>
      <c r="I1394" s="27" t="s">
        <v>101</v>
      </c>
      <c r="J1394" s="33"/>
      <c r="K1394" s="33"/>
      <c r="L1394" s="66"/>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v>273.0</v>
      </c>
      <c r="AI1394" s="27">
        <v>193.0</v>
      </c>
      <c r="AJ1394" s="27">
        <v>0.0</v>
      </c>
      <c r="AK1394" s="27" t="b">
        <v>1</v>
      </c>
      <c r="AL1394" s="27">
        <v>59.0</v>
      </c>
      <c r="AM1394" s="27" t="s">
        <v>188</v>
      </c>
      <c r="AN1394" s="27" t="s">
        <v>404</v>
      </c>
      <c r="AO1394" s="27"/>
    </row>
    <row r="1395">
      <c r="A1395" s="200">
        <v>44866.02510496527</v>
      </c>
      <c r="B1395" s="19" t="s">
        <v>103</v>
      </c>
      <c r="C1395" s="21" t="s">
        <v>373</v>
      </c>
      <c r="D1395" s="62">
        <v>8.0</v>
      </c>
      <c r="E1395" s="27">
        <v>1.0</v>
      </c>
      <c r="F1395" s="27" t="s">
        <v>2038</v>
      </c>
      <c r="G1395" s="201" t="s">
        <v>57</v>
      </c>
      <c r="H1395" s="27" t="s">
        <v>148</v>
      </c>
      <c r="I1395" s="27"/>
      <c r="J1395" s="33">
        <v>7.0</v>
      </c>
      <c r="K1395" s="33">
        <v>-2.5</v>
      </c>
      <c r="L1395" s="66">
        <v>55.0</v>
      </c>
      <c r="M1395" s="27" t="s">
        <v>1560</v>
      </c>
      <c r="N1395" s="27">
        <v>-2.5</v>
      </c>
      <c r="O1395" s="27"/>
      <c r="P1395" s="27">
        <v>-2.5</v>
      </c>
      <c r="Q1395" s="27"/>
      <c r="R1395" s="27">
        <v>-2.5</v>
      </c>
      <c r="S1395" s="27"/>
      <c r="T1395" s="27">
        <v>-2.5</v>
      </c>
      <c r="U1395" s="27"/>
      <c r="V1395" s="27">
        <v>-2.5</v>
      </c>
      <c r="W1395" s="27"/>
      <c r="X1395" s="27">
        <v>-2.5</v>
      </c>
      <c r="Y1395" s="27"/>
      <c r="Z1395" s="27">
        <v>-2.5</v>
      </c>
      <c r="AA1395" s="27"/>
      <c r="AB1395" s="27">
        <v>-2.5</v>
      </c>
      <c r="AC1395" s="27"/>
      <c r="AD1395" s="27">
        <v>-2.5</v>
      </c>
      <c r="AE1395" s="27"/>
      <c r="AF1395" s="27" t="s">
        <v>1091</v>
      </c>
      <c r="AG1395" s="27" t="s">
        <v>1091</v>
      </c>
      <c r="AH1395" s="27">
        <v>337.0</v>
      </c>
      <c r="AI1395" s="27">
        <v>194.0</v>
      </c>
      <c r="AJ1395" s="27">
        <v>2.0</v>
      </c>
      <c r="AK1395" s="27" t="b">
        <v>0</v>
      </c>
      <c r="AL1395" s="27">
        <v>100.0</v>
      </c>
      <c r="AM1395" s="27" t="s">
        <v>192</v>
      </c>
      <c r="AN1395" s="27" t="s">
        <v>404</v>
      </c>
      <c r="AO1395" s="27"/>
    </row>
    <row r="1396">
      <c r="A1396" s="200">
        <v>44866.02510496527</v>
      </c>
      <c r="B1396" s="19" t="s">
        <v>103</v>
      </c>
      <c r="C1396" s="21" t="s">
        <v>322</v>
      </c>
      <c r="D1396" s="62">
        <v>3.0</v>
      </c>
      <c r="E1396" s="27">
        <v>5.0</v>
      </c>
      <c r="F1396" s="27" t="s">
        <v>2029</v>
      </c>
      <c r="G1396" s="201" t="s">
        <v>57</v>
      </c>
      <c r="H1396" s="27" t="s">
        <v>116</v>
      </c>
      <c r="I1396" s="27"/>
      <c r="J1396" s="33">
        <v>15.0</v>
      </c>
      <c r="K1396" s="33">
        <v>15.5</v>
      </c>
      <c r="L1396" s="66">
        <v>76.0</v>
      </c>
      <c r="M1396" s="27" t="s">
        <v>2030</v>
      </c>
      <c r="N1396" s="27">
        <v>15.5</v>
      </c>
      <c r="O1396" s="27"/>
      <c r="P1396" s="27">
        <v>15.0</v>
      </c>
      <c r="Q1396" s="27"/>
      <c r="R1396" s="27">
        <v>15.0</v>
      </c>
      <c r="S1396" s="27"/>
      <c r="T1396" s="27">
        <v>15.5</v>
      </c>
      <c r="U1396" s="27"/>
      <c r="V1396" s="27">
        <v>15.0</v>
      </c>
      <c r="W1396" s="27"/>
      <c r="X1396" s="27">
        <v>15.0</v>
      </c>
      <c r="Y1396" s="27"/>
      <c r="Z1396" s="27">
        <v>15.0</v>
      </c>
      <c r="AA1396" s="27"/>
      <c r="AB1396" s="27">
        <v>15.5</v>
      </c>
      <c r="AC1396" s="27"/>
      <c r="AD1396" s="27">
        <v>15.5</v>
      </c>
      <c r="AE1396" s="27"/>
      <c r="AF1396" s="27" t="s">
        <v>1091</v>
      </c>
      <c r="AG1396" s="27" t="s">
        <v>1091</v>
      </c>
      <c r="AH1396" s="27">
        <v>258.0</v>
      </c>
      <c r="AI1396" s="27">
        <v>299.0</v>
      </c>
      <c r="AJ1396" s="27">
        <v>2.0</v>
      </c>
      <c r="AK1396" s="27" t="b">
        <v>0</v>
      </c>
      <c r="AL1396" s="27">
        <v>100.0</v>
      </c>
      <c r="AM1396" s="27" t="s">
        <v>191</v>
      </c>
      <c r="AN1396" s="27" t="s">
        <v>404</v>
      </c>
      <c r="AO1396" s="27"/>
    </row>
    <row r="1397">
      <c r="A1397" s="200">
        <v>44866.02510496527</v>
      </c>
      <c r="B1397" s="19" t="s">
        <v>103</v>
      </c>
      <c r="C1397" s="21" t="s">
        <v>378</v>
      </c>
      <c r="D1397" s="62">
        <v>4.0</v>
      </c>
      <c r="E1397" s="27">
        <v>4.0</v>
      </c>
      <c r="F1397" s="27" t="s">
        <v>1961</v>
      </c>
      <c r="G1397" s="201" t="s">
        <v>57</v>
      </c>
      <c r="H1397" s="27" t="s">
        <v>53</v>
      </c>
      <c r="I1397" s="27"/>
      <c r="J1397" s="33" t="s">
        <v>1091</v>
      </c>
      <c r="K1397" s="33" t="s">
        <v>1091</v>
      </c>
      <c r="L1397" s="26" t="s">
        <v>1091</v>
      </c>
      <c r="M1397" s="27" t="s">
        <v>1091</v>
      </c>
      <c r="N1397" s="27" t="s">
        <v>1091</v>
      </c>
      <c r="O1397" s="27" t="s">
        <v>1091</v>
      </c>
      <c r="P1397" s="27" t="s">
        <v>1091</v>
      </c>
      <c r="Q1397" s="27" t="s">
        <v>1091</v>
      </c>
      <c r="R1397" s="27" t="s">
        <v>1091</v>
      </c>
      <c r="S1397" s="27" t="s">
        <v>1091</v>
      </c>
      <c r="T1397" s="27" t="s">
        <v>1091</v>
      </c>
      <c r="U1397" s="27" t="s">
        <v>1091</v>
      </c>
      <c r="V1397" s="27" t="s">
        <v>1091</v>
      </c>
      <c r="W1397" s="27" t="s">
        <v>1091</v>
      </c>
      <c r="X1397" s="27" t="s">
        <v>1091</v>
      </c>
      <c r="Y1397" s="27" t="s">
        <v>1091</v>
      </c>
      <c r="Z1397" s="27" t="s">
        <v>1091</v>
      </c>
      <c r="AA1397" s="27" t="s">
        <v>1091</v>
      </c>
      <c r="AB1397" s="27" t="s">
        <v>1091</v>
      </c>
      <c r="AC1397" s="27" t="s">
        <v>1091</v>
      </c>
      <c r="AD1397" s="27" t="s">
        <v>1091</v>
      </c>
      <c r="AE1397" s="27" t="s">
        <v>1091</v>
      </c>
      <c r="AF1397" s="27" t="s">
        <v>1091</v>
      </c>
      <c r="AG1397" s="27" t="s">
        <v>1091</v>
      </c>
      <c r="AH1397" s="27">
        <v>241.0</v>
      </c>
      <c r="AI1397" s="27">
        <v>148.0</v>
      </c>
      <c r="AJ1397" s="27">
        <v>2.0</v>
      </c>
      <c r="AK1397" s="27" t="b">
        <v>1</v>
      </c>
      <c r="AL1397" s="27">
        <v>100.0</v>
      </c>
      <c r="AM1397" s="27" t="s">
        <v>189</v>
      </c>
      <c r="AN1397" s="27" t="s">
        <v>405</v>
      </c>
      <c r="AO1397" s="27"/>
    </row>
    <row r="1398">
      <c r="A1398" s="200">
        <v>44866.02510496527</v>
      </c>
      <c r="B1398" s="19" t="s">
        <v>103</v>
      </c>
      <c r="C1398" s="21" t="s">
        <v>361</v>
      </c>
      <c r="D1398" s="62">
        <v>3.0</v>
      </c>
      <c r="E1398" s="27">
        <v>5.0</v>
      </c>
      <c r="F1398" s="27" t="s">
        <v>1968</v>
      </c>
      <c r="G1398" s="201" t="s">
        <v>57</v>
      </c>
      <c r="H1398" s="27" t="s">
        <v>53</v>
      </c>
      <c r="I1398" s="27"/>
      <c r="J1398" s="33">
        <v>-3.5</v>
      </c>
      <c r="K1398" s="33">
        <v>-3.5</v>
      </c>
      <c r="L1398" s="66">
        <v>55.5</v>
      </c>
      <c r="M1398" s="27" t="s">
        <v>1409</v>
      </c>
      <c r="N1398" s="27">
        <v>-3.5</v>
      </c>
      <c r="O1398" s="27"/>
      <c r="P1398" s="27">
        <v>-4.0</v>
      </c>
      <c r="Q1398" s="27"/>
      <c r="R1398" s="27">
        <v>-3.5</v>
      </c>
      <c r="S1398" s="27"/>
      <c r="T1398" s="27">
        <v>-3.5</v>
      </c>
      <c r="U1398" s="27"/>
      <c r="V1398" s="27">
        <v>-3.5</v>
      </c>
      <c r="W1398" s="27"/>
      <c r="X1398" s="27">
        <v>-3.5</v>
      </c>
      <c r="Y1398" s="27"/>
      <c r="Z1398" s="27">
        <v>-4.0</v>
      </c>
      <c r="AA1398" s="27"/>
      <c r="AB1398" s="27">
        <v>-3.5</v>
      </c>
      <c r="AC1398" s="27"/>
      <c r="AD1398" s="27">
        <v>-3.5</v>
      </c>
      <c r="AE1398" s="27"/>
      <c r="AF1398" s="27" t="s">
        <v>1091</v>
      </c>
      <c r="AG1398" s="27" t="s">
        <v>1091</v>
      </c>
      <c r="AH1398" s="27">
        <v>227.0</v>
      </c>
      <c r="AI1398" s="27">
        <v>259.0</v>
      </c>
      <c r="AJ1398" s="27">
        <v>2.0</v>
      </c>
      <c r="AK1398" s="27" t="b">
        <v>1</v>
      </c>
      <c r="AL1398" s="27">
        <v>100.0</v>
      </c>
      <c r="AM1398" s="27" t="s">
        <v>193</v>
      </c>
      <c r="AN1398" s="27" t="s">
        <v>405</v>
      </c>
      <c r="AO1398" s="27"/>
    </row>
    <row r="1399">
      <c r="A1399" s="200">
        <v>44866.02510496527</v>
      </c>
      <c r="B1399" s="19" t="s">
        <v>103</v>
      </c>
      <c r="C1399" s="21" t="s">
        <v>356</v>
      </c>
      <c r="D1399" s="62">
        <v>5.0</v>
      </c>
      <c r="E1399" s="27">
        <v>4.0</v>
      </c>
      <c r="F1399" s="27" t="s">
        <v>1993</v>
      </c>
      <c r="G1399" s="201" t="s">
        <v>57</v>
      </c>
      <c r="H1399" s="27" t="s">
        <v>178</v>
      </c>
      <c r="I1399" s="27"/>
      <c r="J1399" s="33">
        <v>11.0</v>
      </c>
      <c r="K1399" s="33">
        <v>7.0</v>
      </c>
      <c r="L1399" s="66">
        <v>58.0</v>
      </c>
      <c r="M1399" s="27" t="s">
        <v>1994</v>
      </c>
      <c r="N1399" s="27">
        <v>7.0</v>
      </c>
      <c r="O1399" s="27"/>
      <c r="P1399" s="27">
        <v>7.0</v>
      </c>
      <c r="Q1399" s="27"/>
      <c r="R1399" s="27">
        <v>7.0</v>
      </c>
      <c r="S1399" s="27"/>
      <c r="T1399" s="27">
        <v>7.0</v>
      </c>
      <c r="U1399" s="27"/>
      <c r="V1399" s="27">
        <v>7.0</v>
      </c>
      <c r="W1399" s="27"/>
      <c r="X1399" s="27">
        <v>7.0</v>
      </c>
      <c r="Y1399" s="27"/>
      <c r="Z1399" s="27">
        <v>7.0</v>
      </c>
      <c r="AA1399" s="27"/>
      <c r="AB1399" s="27">
        <v>7.0</v>
      </c>
      <c r="AC1399" s="27"/>
      <c r="AD1399" s="27" t="s">
        <v>1091</v>
      </c>
      <c r="AE1399" s="27" t="s">
        <v>1091</v>
      </c>
      <c r="AF1399" s="27" t="s">
        <v>1091</v>
      </c>
      <c r="AG1399" s="27" t="s">
        <v>1091</v>
      </c>
      <c r="AH1399" s="27">
        <v>243.0</v>
      </c>
      <c r="AI1399" s="27">
        <v>272.0</v>
      </c>
      <c r="AJ1399" s="27">
        <v>2.0</v>
      </c>
      <c r="AK1399" s="27" t="b">
        <v>1</v>
      </c>
      <c r="AL1399" s="27">
        <v>100.0</v>
      </c>
      <c r="AM1399" s="27" t="s">
        <v>190</v>
      </c>
      <c r="AN1399" s="27" t="s">
        <v>405</v>
      </c>
      <c r="AO1399" s="27"/>
    </row>
    <row r="1400">
      <c r="A1400" s="200">
        <v>44866.02510496527</v>
      </c>
      <c r="B1400" s="19" t="s">
        <v>103</v>
      </c>
      <c r="C1400" s="21" t="s">
        <v>358</v>
      </c>
      <c r="D1400" s="62">
        <v>8.0</v>
      </c>
      <c r="E1400" s="27">
        <v>0.0</v>
      </c>
      <c r="F1400" s="27" t="s">
        <v>2025</v>
      </c>
      <c r="G1400" s="201" t="s">
        <v>57</v>
      </c>
      <c r="H1400" s="27" t="s">
        <v>144</v>
      </c>
      <c r="I1400" s="27"/>
      <c r="J1400" s="33">
        <v>-7.5</v>
      </c>
      <c r="K1400" s="33">
        <v>-7.5</v>
      </c>
      <c r="L1400" s="66">
        <v>69.5</v>
      </c>
      <c r="M1400" s="27" t="s">
        <v>1500</v>
      </c>
      <c r="N1400" s="27">
        <v>-7.5</v>
      </c>
      <c r="O1400" s="27"/>
      <c r="P1400" s="27">
        <v>-7.5</v>
      </c>
      <c r="Q1400" s="27"/>
      <c r="R1400" s="27">
        <v>-7.5</v>
      </c>
      <c r="S1400" s="27"/>
      <c r="T1400" s="27">
        <v>-7.5</v>
      </c>
      <c r="U1400" s="27"/>
      <c r="V1400" s="27">
        <v>-7.5</v>
      </c>
      <c r="W1400" s="27"/>
      <c r="X1400" s="27">
        <v>-7.0</v>
      </c>
      <c r="Y1400" s="27"/>
      <c r="Z1400" s="27">
        <v>-7.5</v>
      </c>
      <c r="AA1400" s="27"/>
      <c r="AB1400" s="27">
        <v>-7.5</v>
      </c>
      <c r="AC1400" s="27"/>
      <c r="AD1400" s="27">
        <v>-7.5</v>
      </c>
      <c r="AE1400" s="27"/>
      <c r="AF1400" s="27" t="s">
        <v>1091</v>
      </c>
      <c r="AG1400" s="27" t="s">
        <v>1091</v>
      </c>
      <c r="AH1400" s="27">
        <v>354.0</v>
      </c>
      <c r="AI1400" s="27">
        <v>218.0</v>
      </c>
      <c r="AJ1400" s="27">
        <v>2.0</v>
      </c>
      <c r="AK1400" s="27" t="b">
        <v>0</v>
      </c>
      <c r="AL1400" s="27">
        <v>100.0</v>
      </c>
      <c r="AM1400" s="27" t="s">
        <v>187</v>
      </c>
      <c r="AN1400" s="27" t="s">
        <v>404</v>
      </c>
      <c r="AO1400" s="27"/>
    </row>
    <row r="1401">
      <c r="A1401" s="200">
        <v>44866.02510496527</v>
      </c>
      <c r="B1401" s="19" t="s">
        <v>103</v>
      </c>
      <c r="C1401" s="21" t="s">
        <v>340</v>
      </c>
      <c r="D1401" s="62">
        <v>5.0</v>
      </c>
      <c r="E1401" s="27">
        <v>3.0</v>
      </c>
      <c r="F1401" s="27" t="s">
        <v>2034</v>
      </c>
      <c r="G1401" s="201" t="s">
        <v>57</v>
      </c>
      <c r="H1401" s="27" t="s">
        <v>116</v>
      </c>
      <c r="I1401" s="27"/>
      <c r="J1401" s="33">
        <v>-20.5</v>
      </c>
      <c r="K1401" s="33">
        <v>-23.0</v>
      </c>
      <c r="L1401" s="66">
        <v>48.0</v>
      </c>
      <c r="M1401" s="27" t="s">
        <v>2035</v>
      </c>
      <c r="N1401" s="27">
        <v>-23.0</v>
      </c>
      <c r="O1401" s="27"/>
      <c r="P1401" s="27">
        <v>-23.5</v>
      </c>
      <c r="Q1401" s="27"/>
      <c r="R1401" s="27">
        <v>-23.5</v>
      </c>
      <c r="S1401" s="27"/>
      <c r="T1401" s="27">
        <v>-23.0</v>
      </c>
      <c r="U1401" s="27"/>
      <c r="V1401" s="27">
        <v>-23.5</v>
      </c>
      <c r="W1401" s="27"/>
      <c r="X1401" s="27">
        <v>-23.0</v>
      </c>
      <c r="Y1401" s="27"/>
      <c r="Z1401" s="27">
        <v>-23.5</v>
      </c>
      <c r="AA1401" s="27"/>
      <c r="AB1401" s="27">
        <v>-23.0</v>
      </c>
      <c r="AC1401" s="27"/>
      <c r="AD1401" s="27">
        <v>-23.0</v>
      </c>
      <c r="AE1401" s="27"/>
      <c r="AF1401" s="27" t="s">
        <v>1091</v>
      </c>
      <c r="AG1401" s="27" t="s">
        <v>1091</v>
      </c>
      <c r="AH1401" s="27">
        <v>257.0</v>
      </c>
      <c r="AI1401" s="27">
        <v>175.0</v>
      </c>
      <c r="AJ1401" s="27">
        <v>2.0</v>
      </c>
      <c r="AK1401" s="27" t="b">
        <v>1</v>
      </c>
      <c r="AL1401" s="27">
        <v>100.0</v>
      </c>
      <c r="AM1401" s="27" t="s">
        <v>186</v>
      </c>
      <c r="AN1401" s="27" t="s">
        <v>404</v>
      </c>
      <c r="AO1401" s="27"/>
    </row>
    <row r="1402">
      <c r="A1402" s="200">
        <v>44866.02510496527</v>
      </c>
      <c r="B1402" s="19" t="s">
        <v>103</v>
      </c>
      <c r="C1402" s="21" t="s">
        <v>362</v>
      </c>
      <c r="D1402" s="62">
        <v>2.0</v>
      </c>
      <c r="E1402" s="27">
        <v>6.0</v>
      </c>
      <c r="F1402" s="27" t="s">
        <v>2036</v>
      </c>
      <c r="G1402" s="201" t="s">
        <v>183</v>
      </c>
      <c r="H1402" s="27" t="s">
        <v>116</v>
      </c>
      <c r="I1402" s="27"/>
      <c r="J1402" s="33">
        <v>14.0</v>
      </c>
      <c r="K1402" s="33">
        <v>13.5</v>
      </c>
      <c r="L1402" s="66">
        <v>40.0</v>
      </c>
      <c r="M1402" s="27" t="s">
        <v>2037</v>
      </c>
      <c r="N1402" s="27">
        <v>13.5</v>
      </c>
      <c r="O1402" s="27"/>
      <c r="P1402" s="27">
        <v>13.5</v>
      </c>
      <c r="Q1402" s="27"/>
      <c r="R1402" s="27">
        <v>13.5</v>
      </c>
      <c r="S1402" s="27"/>
      <c r="T1402" s="27">
        <v>13.5</v>
      </c>
      <c r="U1402" s="27"/>
      <c r="V1402" s="27">
        <v>13.5</v>
      </c>
      <c r="W1402" s="27"/>
      <c r="X1402" s="27">
        <v>13.5</v>
      </c>
      <c r="Y1402" s="27"/>
      <c r="Z1402" s="27">
        <v>13.5</v>
      </c>
      <c r="AA1402" s="27"/>
      <c r="AB1402" s="27">
        <v>13.5</v>
      </c>
      <c r="AC1402" s="27"/>
      <c r="AD1402" s="27">
        <v>13.5</v>
      </c>
      <c r="AE1402" s="27"/>
      <c r="AF1402" s="27" t="s">
        <v>1091</v>
      </c>
      <c r="AG1402" s="27" t="s">
        <v>1091</v>
      </c>
      <c r="AH1402" s="27">
        <v>124.0</v>
      </c>
      <c r="AI1402" s="27">
        <v>208.0</v>
      </c>
      <c r="AJ1402" s="27">
        <v>2.0</v>
      </c>
      <c r="AK1402" s="27" t="b">
        <v>0</v>
      </c>
      <c r="AL1402" s="27">
        <v>100.0</v>
      </c>
      <c r="AM1402" s="27" t="s">
        <v>389</v>
      </c>
      <c r="AN1402" s="27" t="s">
        <v>405</v>
      </c>
      <c r="AO1402" s="27"/>
    </row>
    <row r="1403">
      <c r="A1403" s="200">
        <v>44866.02510496527</v>
      </c>
      <c r="B1403" s="19"/>
      <c r="C1403" s="21"/>
      <c r="D1403" s="62"/>
      <c r="E1403" s="27"/>
      <c r="F1403" s="27"/>
      <c r="G1403" s="201"/>
      <c r="H1403" s="27"/>
      <c r="I1403" s="27"/>
      <c r="J1403" s="33"/>
      <c r="K1403" s="33"/>
      <c r="L1403" s="66"/>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t="e">
        <v>#N/A</v>
      </c>
      <c r="AN1403" s="27" t="e">
        <v>#N/A</v>
      </c>
      <c r="AO1403" s="27"/>
    </row>
    <row r="1404">
      <c r="A1404" s="200">
        <v>44866.02510496527</v>
      </c>
      <c r="B1404" s="19" t="s">
        <v>154</v>
      </c>
      <c r="C1404" s="21" t="s">
        <v>382</v>
      </c>
      <c r="D1404" s="62">
        <v>3.0</v>
      </c>
      <c r="E1404" s="27">
        <v>5.0</v>
      </c>
      <c r="F1404" s="27"/>
      <c r="G1404" s="201"/>
      <c r="H1404" s="27"/>
      <c r="I1404" s="27" t="s">
        <v>105</v>
      </c>
      <c r="J1404" s="33"/>
      <c r="K1404" s="33"/>
      <c r="L1404" s="66"/>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v>166.0</v>
      </c>
      <c r="AI1404" s="27">
        <v>228.0</v>
      </c>
      <c r="AJ1404" s="27">
        <v>0.0</v>
      </c>
      <c r="AK1404" s="27" t="b">
        <v>1</v>
      </c>
      <c r="AL1404" s="27">
        <v>59.0</v>
      </c>
      <c r="AM1404" s="27" t="s">
        <v>190</v>
      </c>
      <c r="AN1404" s="27" t="s">
        <v>405</v>
      </c>
      <c r="AO1404" s="27"/>
    </row>
    <row r="1405">
      <c r="A1405" s="200">
        <v>44866.02510496527</v>
      </c>
      <c r="B1405" s="19" t="s">
        <v>154</v>
      </c>
      <c r="C1405" s="21" t="s">
        <v>383</v>
      </c>
      <c r="D1405" s="62">
        <v>6.0</v>
      </c>
      <c r="E1405" s="27">
        <v>3.0</v>
      </c>
      <c r="F1405" s="27" t="s">
        <v>2026</v>
      </c>
      <c r="G1405" s="201" t="s">
        <v>57</v>
      </c>
      <c r="H1405" s="27" t="s">
        <v>166</v>
      </c>
      <c r="I1405" s="27"/>
      <c r="J1405" s="33">
        <v>-10.0</v>
      </c>
      <c r="K1405" s="33">
        <v>-11.5</v>
      </c>
      <c r="L1405" s="66">
        <v>49.0</v>
      </c>
      <c r="M1405" s="27" t="s">
        <v>2027</v>
      </c>
      <c r="N1405" s="27">
        <v>-11.5</v>
      </c>
      <c r="O1405" s="27"/>
      <c r="P1405" s="27">
        <v>-11.0</v>
      </c>
      <c r="Q1405" s="27"/>
      <c r="R1405" s="27">
        <v>-11.0</v>
      </c>
      <c r="S1405" s="27"/>
      <c r="T1405" s="27">
        <v>-11.5</v>
      </c>
      <c r="U1405" s="27"/>
      <c r="V1405" s="27">
        <v>-11.0</v>
      </c>
      <c r="W1405" s="27"/>
      <c r="X1405" s="27">
        <v>-10.5</v>
      </c>
      <c r="Y1405" s="27"/>
      <c r="Z1405" s="27">
        <v>-11.0</v>
      </c>
      <c r="AA1405" s="27"/>
      <c r="AB1405" s="27">
        <v>-11.5</v>
      </c>
      <c r="AC1405" s="27"/>
      <c r="AD1405" s="27">
        <v>-11.5</v>
      </c>
      <c r="AE1405" s="27"/>
      <c r="AF1405" s="27" t="s">
        <v>1091</v>
      </c>
      <c r="AG1405" s="27" t="s">
        <v>1091</v>
      </c>
      <c r="AH1405" s="27">
        <v>218.0</v>
      </c>
      <c r="AI1405" s="27">
        <v>218.0</v>
      </c>
      <c r="AJ1405" s="27">
        <v>2.0</v>
      </c>
      <c r="AK1405" s="27" t="b">
        <v>0</v>
      </c>
      <c r="AL1405" s="27">
        <v>100.0</v>
      </c>
      <c r="AM1405" s="27" t="s">
        <v>129</v>
      </c>
      <c r="AN1405" s="27" t="s">
        <v>405</v>
      </c>
      <c r="AO1405" s="27"/>
    </row>
    <row r="1406">
      <c r="A1406" s="200">
        <v>44866.02510496527</v>
      </c>
      <c r="B1406" s="19" t="s">
        <v>154</v>
      </c>
      <c r="C1406" s="21" t="s">
        <v>366</v>
      </c>
      <c r="D1406" s="62">
        <v>4.0</v>
      </c>
      <c r="E1406" s="27">
        <v>5.0</v>
      </c>
      <c r="F1406" s="27" t="s">
        <v>2015</v>
      </c>
      <c r="G1406" s="201" t="s">
        <v>57</v>
      </c>
      <c r="H1406" s="27" t="s">
        <v>109</v>
      </c>
      <c r="I1406" s="27"/>
      <c r="J1406" s="33">
        <v>-1.5</v>
      </c>
      <c r="K1406" s="33">
        <v>-1.5</v>
      </c>
      <c r="L1406" s="66">
        <v>52.0</v>
      </c>
      <c r="M1406" s="27" t="s">
        <v>2016</v>
      </c>
      <c r="N1406" s="27">
        <v>-1.5</v>
      </c>
      <c r="O1406" s="27"/>
      <c r="P1406" s="27">
        <v>-2.0</v>
      </c>
      <c r="Q1406" s="27"/>
      <c r="R1406" s="27">
        <v>-1.5</v>
      </c>
      <c r="S1406" s="27"/>
      <c r="T1406" s="27">
        <v>-1.5</v>
      </c>
      <c r="U1406" s="27"/>
      <c r="V1406" s="27">
        <v>-1.5</v>
      </c>
      <c r="W1406" s="27"/>
      <c r="X1406" s="27">
        <v>-1.0</v>
      </c>
      <c r="Y1406" s="27"/>
      <c r="Z1406" s="27">
        <v>-1.5</v>
      </c>
      <c r="AA1406" s="27"/>
      <c r="AB1406" s="27">
        <v>-1.5</v>
      </c>
      <c r="AC1406" s="27"/>
      <c r="AD1406" s="27">
        <v>-1.5</v>
      </c>
      <c r="AE1406" s="27"/>
      <c r="AF1406" s="27" t="s">
        <v>1091</v>
      </c>
      <c r="AG1406" s="27" t="s">
        <v>1091</v>
      </c>
      <c r="AH1406" s="27">
        <v>192.0</v>
      </c>
      <c r="AI1406" s="27">
        <v>247.0</v>
      </c>
      <c r="AJ1406" s="27">
        <v>2.0</v>
      </c>
      <c r="AK1406" s="27" t="b">
        <v>0</v>
      </c>
      <c r="AL1406" s="27">
        <v>100.0</v>
      </c>
      <c r="AM1406" s="27" t="s">
        <v>189</v>
      </c>
      <c r="AN1406" s="27" t="s">
        <v>405</v>
      </c>
      <c r="AO1406" s="27"/>
    </row>
    <row r="1407">
      <c r="A1407" s="200">
        <v>44866.02510496527</v>
      </c>
      <c r="B1407" s="19" t="s">
        <v>154</v>
      </c>
      <c r="C1407" s="21" t="s">
        <v>320</v>
      </c>
      <c r="D1407" s="62">
        <v>5.0</v>
      </c>
      <c r="E1407" s="27">
        <v>3.0</v>
      </c>
      <c r="F1407" s="27" t="s">
        <v>1987</v>
      </c>
      <c r="G1407" s="201" t="s">
        <v>57</v>
      </c>
      <c r="H1407" s="27" t="s">
        <v>178</v>
      </c>
      <c r="I1407" s="27"/>
      <c r="J1407" s="33">
        <v>1.0</v>
      </c>
      <c r="K1407" s="33">
        <v>2.5</v>
      </c>
      <c r="L1407" s="66">
        <v>61.5</v>
      </c>
      <c r="M1407" s="27" t="s">
        <v>1988</v>
      </c>
      <c r="N1407" s="27">
        <v>2.5</v>
      </c>
      <c r="O1407" s="27"/>
      <c r="P1407" s="27">
        <v>2.5</v>
      </c>
      <c r="Q1407" s="27"/>
      <c r="R1407" s="27">
        <v>2.5</v>
      </c>
      <c r="S1407" s="27"/>
      <c r="T1407" s="27">
        <v>2.5</v>
      </c>
      <c r="U1407" s="27"/>
      <c r="V1407" s="27">
        <v>2.5</v>
      </c>
      <c r="W1407" s="27"/>
      <c r="X1407" s="27">
        <v>2.5</v>
      </c>
      <c r="Y1407" s="27"/>
      <c r="Z1407" s="27">
        <v>2.5</v>
      </c>
      <c r="AA1407" s="27"/>
      <c r="AB1407" s="27">
        <v>2.5</v>
      </c>
      <c r="AC1407" s="27"/>
      <c r="AD1407" s="27">
        <v>2.5</v>
      </c>
      <c r="AE1407" s="27"/>
      <c r="AF1407" s="27" t="s">
        <v>1091</v>
      </c>
      <c r="AG1407" s="27" t="s">
        <v>1091</v>
      </c>
      <c r="AH1407" s="27">
        <v>307.0</v>
      </c>
      <c r="AI1407" s="27">
        <v>186.0</v>
      </c>
      <c r="AJ1407" s="27">
        <v>2.0</v>
      </c>
      <c r="AK1407" s="27" t="b">
        <v>0</v>
      </c>
      <c r="AL1407" s="27">
        <v>100.0</v>
      </c>
      <c r="AM1407" s="27" t="s">
        <v>187</v>
      </c>
      <c r="AN1407" s="27" t="s">
        <v>404</v>
      </c>
      <c r="AO1407" s="27"/>
    </row>
    <row r="1408">
      <c r="A1408" s="200">
        <v>44866.02510496527</v>
      </c>
      <c r="B1408" s="19" t="s">
        <v>154</v>
      </c>
      <c r="C1408" s="21" t="s">
        <v>352</v>
      </c>
      <c r="D1408" s="62">
        <v>2.0</v>
      </c>
      <c r="E1408" s="27">
        <v>7.0</v>
      </c>
      <c r="F1408" s="27" t="s">
        <v>2002</v>
      </c>
      <c r="G1408" s="201" t="s">
        <v>57</v>
      </c>
      <c r="H1408" s="27" t="s">
        <v>138</v>
      </c>
      <c r="I1408" s="27"/>
      <c r="J1408" s="33">
        <v>10.0</v>
      </c>
      <c r="K1408" s="33">
        <v>12.5</v>
      </c>
      <c r="L1408" s="66">
        <v>55.5</v>
      </c>
      <c r="M1408" s="27" t="s">
        <v>2003</v>
      </c>
      <c r="N1408" s="27">
        <v>12.5</v>
      </c>
      <c r="O1408" s="27"/>
      <c r="P1408" s="27">
        <v>12.5</v>
      </c>
      <c r="Q1408" s="27"/>
      <c r="R1408" s="27">
        <v>12.5</v>
      </c>
      <c r="S1408" s="27"/>
      <c r="T1408" s="27">
        <v>12.5</v>
      </c>
      <c r="U1408" s="27"/>
      <c r="V1408" s="27">
        <v>12.5</v>
      </c>
      <c r="W1408" s="27"/>
      <c r="X1408" s="27">
        <v>12.5</v>
      </c>
      <c r="Y1408" s="27"/>
      <c r="Z1408" s="27">
        <v>12.5</v>
      </c>
      <c r="AA1408" s="27"/>
      <c r="AB1408" s="27">
        <v>12.5</v>
      </c>
      <c r="AC1408" s="27"/>
      <c r="AD1408" s="27">
        <v>12.5</v>
      </c>
      <c r="AE1408" s="27"/>
      <c r="AF1408" s="27" t="s">
        <v>1091</v>
      </c>
      <c r="AG1408" s="27" t="s">
        <v>1091</v>
      </c>
      <c r="AH1408" s="27">
        <v>233.0</v>
      </c>
      <c r="AI1408" s="27">
        <v>280.0</v>
      </c>
      <c r="AJ1408" s="27">
        <v>2.0</v>
      </c>
      <c r="AK1408" s="27" t="b">
        <v>0</v>
      </c>
      <c r="AL1408" s="27">
        <v>100.0</v>
      </c>
      <c r="AM1408" s="27" t="s">
        <v>193</v>
      </c>
      <c r="AN1408" s="27" t="s">
        <v>405</v>
      </c>
      <c r="AO1408" s="27"/>
    </row>
    <row r="1409">
      <c r="A1409" s="200">
        <v>44866.02510496527</v>
      </c>
      <c r="B1409" s="19" t="s">
        <v>154</v>
      </c>
      <c r="C1409" s="21" t="s">
        <v>379</v>
      </c>
      <c r="D1409" s="62">
        <v>5.0</v>
      </c>
      <c r="E1409" s="27">
        <v>3.0</v>
      </c>
      <c r="F1409" s="27" t="s">
        <v>1963</v>
      </c>
      <c r="G1409" s="201" t="s">
        <v>57</v>
      </c>
      <c r="H1409" s="27" t="s">
        <v>53</v>
      </c>
      <c r="I1409" s="27"/>
      <c r="J1409" s="33">
        <v>-6.0</v>
      </c>
      <c r="K1409" s="33">
        <v>-5.0</v>
      </c>
      <c r="L1409" s="66">
        <v>47.0</v>
      </c>
      <c r="M1409" s="27" t="s">
        <v>1964</v>
      </c>
      <c r="N1409" s="27">
        <v>-5.0</v>
      </c>
      <c r="O1409" s="27"/>
      <c r="P1409" s="27">
        <v>-5.0</v>
      </c>
      <c r="Q1409" s="27"/>
      <c r="R1409" s="27">
        <v>-5.0</v>
      </c>
      <c r="S1409" s="27"/>
      <c r="T1409" s="27">
        <v>-5.0</v>
      </c>
      <c r="U1409" s="27"/>
      <c r="V1409" s="27">
        <v>-5.0</v>
      </c>
      <c r="W1409" s="27"/>
      <c r="X1409" s="27">
        <v>-5.0</v>
      </c>
      <c r="Y1409" s="27"/>
      <c r="Z1409" s="27">
        <v>-5.0</v>
      </c>
      <c r="AA1409" s="27"/>
      <c r="AB1409" s="27">
        <v>-5.0</v>
      </c>
      <c r="AC1409" s="27"/>
      <c r="AD1409" s="27">
        <v>-5.0</v>
      </c>
      <c r="AE1409" s="27"/>
      <c r="AF1409" s="27" t="s">
        <v>1091</v>
      </c>
      <c r="AG1409" s="27" t="s">
        <v>1091</v>
      </c>
      <c r="AH1409" s="27">
        <v>242.0</v>
      </c>
      <c r="AI1409" s="27">
        <v>197.0</v>
      </c>
      <c r="AJ1409" s="27">
        <v>2.0</v>
      </c>
      <c r="AK1409" s="27" t="b">
        <v>1</v>
      </c>
      <c r="AL1409" s="27">
        <v>100.0</v>
      </c>
      <c r="AM1409" s="27" t="s">
        <v>192</v>
      </c>
      <c r="AN1409" s="27" t="s">
        <v>404</v>
      </c>
      <c r="AO1409" s="27"/>
    </row>
    <row r="1410">
      <c r="A1410" s="200">
        <v>44866.02510496527</v>
      </c>
      <c r="B1410" s="19" t="s">
        <v>154</v>
      </c>
      <c r="C1410" s="21" t="s">
        <v>368</v>
      </c>
      <c r="D1410" s="62">
        <v>1.0</v>
      </c>
      <c r="E1410" s="27">
        <v>7.0</v>
      </c>
      <c r="F1410" s="27" t="s">
        <v>2032</v>
      </c>
      <c r="G1410" s="201" t="s">
        <v>57</v>
      </c>
      <c r="H1410" s="27" t="s">
        <v>116</v>
      </c>
      <c r="I1410" s="27"/>
      <c r="J1410" s="33">
        <v>10.5</v>
      </c>
      <c r="K1410" s="33">
        <v>11.0</v>
      </c>
      <c r="L1410" s="66">
        <v>36.5</v>
      </c>
      <c r="M1410" s="27" t="s">
        <v>2033</v>
      </c>
      <c r="N1410" s="27">
        <v>11.5</v>
      </c>
      <c r="O1410" s="27"/>
      <c r="P1410" s="27">
        <v>11.0</v>
      </c>
      <c r="Q1410" s="27"/>
      <c r="R1410" s="27">
        <v>11.0</v>
      </c>
      <c r="S1410" s="27"/>
      <c r="T1410" s="27">
        <v>11.0</v>
      </c>
      <c r="U1410" s="27"/>
      <c r="V1410" s="27">
        <v>10.5</v>
      </c>
      <c r="W1410" s="27"/>
      <c r="X1410" s="27">
        <v>11.0</v>
      </c>
      <c r="Y1410" s="27"/>
      <c r="Z1410" s="27">
        <v>11.5</v>
      </c>
      <c r="AA1410" s="27"/>
      <c r="AB1410" s="27">
        <v>11.0</v>
      </c>
      <c r="AC1410" s="27"/>
      <c r="AD1410" s="27">
        <v>11.0</v>
      </c>
      <c r="AE1410" s="27"/>
      <c r="AF1410" s="27" t="s">
        <v>1091</v>
      </c>
      <c r="AG1410" s="27" t="s">
        <v>1091</v>
      </c>
      <c r="AH1410" s="27">
        <v>143.0</v>
      </c>
      <c r="AI1410" s="27">
        <v>230.0</v>
      </c>
      <c r="AJ1410" s="27">
        <v>2.0</v>
      </c>
      <c r="AK1410" s="27" t="b">
        <v>0</v>
      </c>
      <c r="AL1410" s="27">
        <v>100.0</v>
      </c>
      <c r="AM1410" s="27" t="s">
        <v>188</v>
      </c>
      <c r="AN1410" s="27" t="s">
        <v>404</v>
      </c>
      <c r="AO1410" s="27"/>
    </row>
    <row r="1411">
      <c r="A1411" s="200">
        <v>44866.02510496527</v>
      </c>
      <c r="B1411" s="19" t="s">
        <v>154</v>
      </c>
      <c r="C1411" s="21" t="s">
        <v>330</v>
      </c>
      <c r="D1411" s="62">
        <v>5.0</v>
      </c>
      <c r="E1411" s="27">
        <v>3.0</v>
      </c>
      <c r="F1411" s="27" t="s">
        <v>1981</v>
      </c>
      <c r="G1411" s="201" t="s">
        <v>57</v>
      </c>
      <c r="H1411" s="27" t="s">
        <v>131</v>
      </c>
      <c r="I1411" s="27"/>
      <c r="J1411" s="33">
        <v>-18.0</v>
      </c>
      <c r="K1411" s="33">
        <v>-17.5</v>
      </c>
      <c r="L1411" s="66">
        <v>61.0</v>
      </c>
      <c r="M1411" s="27" t="s">
        <v>1982</v>
      </c>
      <c r="N1411" s="27">
        <v>-17.5</v>
      </c>
      <c r="O1411" s="27"/>
      <c r="P1411" s="27">
        <v>-17.5</v>
      </c>
      <c r="Q1411" s="27"/>
      <c r="R1411" s="27">
        <v>-17.5</v>
      </c>
      <c r="S1411" s="27"/>
      <c r="T1411" s="27">
        <v>-17.5</v>
      </c>
      <c r="U1411" s="27"/>
      <c r="V1411" s="27">
        <v>-17.5</v>
      </c>
      <c r="W1411" s="27"/>
      <c r="X1411" s="27">
        <v>-17.5</v>
      </c>
      <c r="Y1411" s="27"/>
      <c r="Z1411" s="27">
        <v>-17.5</v>
      </c>
      <c r="AA1411" s="27"/>
      <c r="AB1411" s="27">
        <v>-17.5</v>
      </c>
      <c r="AC1411" s="27"/>
      <c r="AD1411" s="27">
        <v>-17.5</v>
      </c>
      <c r="AE1411" s="27"/>
      <c r="AF1411" s="27" t="s">
        <v>1091</v>
      </c>
      <c r="AG1411" s="27" t="s">
        <v>1091</v>
      </c>
      <c r="AH1411" s="27">
        <v>268.0</v>
      </c>
      <c r="AI1411" s="27">
        <v>249.0</v>
      </c>
      <c r="AJ1411" s="27">
        <v>2.0</v>
      </c>
      <c r="AK1411" s="27" t="b">
        <v>1</v>
      </c>
      <c r="AL1411" s="27">
        <v>100.0</v>
      </c>
      <c r="AM1411" s="27" t="s">
        <v>389</v>
      </c>
      <c r="AN1411" s="27" t="s">
        <v>405</v>
      </c>
      <c r="AO1411" s="27"/>
    </row>
    <row r="1412">
      <c r="A1412" s="200">
        <v>44866.02510496527</v>
      </c>
      <c r="B1412" s="19" t="s">
        <v>154</v>
      </c>
      <c r="C1412" s="21" t="s">
        <v>372</v>
      </c>
      <c r="D1412" s="62">
        <v>6.0</v>
      </c>
      <c r="E1412" s="27">
        <v>2.0</v>
      </c>
      <c r="F1412" s="27" t="s">
        <v>1983</v>
      </c>
      <c r="G1412" s="201" t="s">
        <v>57</v>
      </c>
      <c r="H1412" s="27" t="s">
        <v>131</v>
      </c>
      <c r="I1412" s="27"/>
      <c r="J1412" s="33">
        <v>-7.0</v>
      </c>
      <c r="K1412" s="33">
        <v>-8.0</v>
      </c>
      <c r="L1412" s="66">
        <v>55.5</v>
      </c>
      <c r="M1412" s="27" t="s">
        <v>1984</v>
      </c>
      <c r="N1412" s="27">
        <v>-8.5</v>
      </c>
      <c r="O1412" s="27"/>
      <c r="P1412" s="27">
        <v>-7.5</v>
      </c>
      <c r="Q1412" s="27"/>
      <c r="R1412" s="27">
        <v>-7.5</v>
      </c>
      <c r="S1412" s="27"/>
      <c r="T1412" s="27">
        <v>-8.0</v>
      </c>
      <c r="U1412" s="27"/>
      <c r="V1412" s="27">
        <v>-7.5</v>
      </c>
      <c r="W1412" s="27"/>
      <c r="X1412" s="27">
        <v>-7.5</v>
      </c>
      <c r="Y1412" s="27"/>
      <c r="Z1412" s="27">
        <v>-7.5</v>
      </c>
      <c r="AA1412" s="27"/>
      <c r="AB1412" s="27">
        <v>-8.0</v>
      </c>
      <c r="AC1412" s="27"/>
      <c r="AD1412" s="27">
        <v>-8.0</v>
      </c>
      <c r="AE1412" s="27"/>
      <c r="AF1412" s="27" t="s">
        <v>1091</v>
      </c>
      <c r="AG1412" s="27" t="s">
        <v>1091</v>
      </c>
      <c r="AH1412" s="27">
        <v>306.0</v>
      </c>
      <c r="AI1412" s="27">
        <v>173.0</v>
      </c>
      <c r="AJ1412" s="27">
        <v>2.0</v>
      </c>
      <c r="AK1412" s="27" t="b">
        <v>1</v>
      </c>
      <c r="AL1412" s="27">
        <v>100.0</v>
      </c>
      <c r="AM1412" s="27" t="s">
        <v>191</v>
      </c>
      <c r="AN1412" s="27" t="s">
        <v>404</v>
      </c>
      <c r="AO1412" s="27"/>
    </row>
    <row r="1413">
      <c r="A1413" s="200">
        <v>44873.02510226852</v>
      </c>
      <c r="B1413" s="19" t="s">
        <v>53</v>
      </c>
      <c r="C1413" s="21" t="s">
        <v>120</v>
      </c>
      <c r="D1413" s="62">
        <v>2.0</v>
      </c>
      <c r="E1413" s="27">
        <v>7.0</v>
      </c>
      <c r="F1413" s="27"/>
      <c r="G1413" s="201"/>
      <c r="H1413" s="27"/>
      <c r="I1413" s="27" t="s">
        <v>126</v>
      </c>
      <c r="J1413" s="33"/>
      <c r="K1413" s="33"/>
      <c r="L1413" s="66"/>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v>187.0</v>
      </c>
      <c r="AI1413" s="27">
        <v>262.0</v>
      </c>
      <c r="AJ1413" s="27">
        <v>0.0</v>
      </c>
      <c r="AK1413" s="27" t="b">
        <v>1</v>
      </c>
      <c r="AL1413" s="27">
        <v>59.0</v>
      </c>
      <c r="AM1413" s="27" t="s">
        <v>129</v>
      </c>
      <c r="AN1413" s="27" t="s">
        <v>405</v>
      </c>
      <c r="AO1413" s="27"/>
    </row>
    <row r="1414">
      <c r="A1414" s="200">
        <v>44873.02510226852</v>
      </c>
      <c r="B1414" s="19" t="s">
        <v>53</v>
      </c>
      <c r="C1414" s="21" t="s">
        <v>181</v>
      </c>
      <c r="D1414" s="62">
        <v>4.0</v>
      </c>
      <c r="E1414" s="27">
        <v>5.0</v>
      </c>
      <c r="F1414" s="27"/>
      <c r="G1414" s="201"/>
      <c r="H1414" s="27"/>
      <c r="I1414" s="27" t="s">
        <v>1044</v>
      </c>
      <c r="J1414" s="33"/>
      <c r="K1414" s="33"/>
      <c r="L1414" s="66"/>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v>253.0</v>
      </c>
      <c r="AI1414" s="27">
        <v>231.0</v>
      </c>
      <c r="AJ1414" s="27">
        <v>0.0</v>
      </c>
      <c r="AK1414" s="27" t="b">
        <v>1</v>
      </c>
      <c r="AL1414" s="27">
        <v>59.0</v>
      </c>
      <c r="AM1414" s="27" t="s">
        <v>189</v>
      </c>
      <c r="AN1414" s="27" t="s">
        <v>405</v>
      </c>
      <c r="AO1414" s="27"/>
    </row>
    <row r="1415">
      <c r="A1415" s="200">
        <v>44873.02510226852</v>
      </c>
      <c r="B1415" s="19" t="s">
        <v>53</v>
      </c>
      <c r="C1415" s="21" t="s">
        <v>54</v>
      </c>
      <c r="D1415" s="62">
        <v>8.0</v>
      </c>
      <c r="E1415" s="27">
        <v>1.0</v>
      </c>
      <c r="F1415" s="27" t="s">
        <v>2040</v>
      </c>
      <c r="G1415" s="201" t="s">
        <v>57</v>
      </c>
      <c r="H1415" s="27" t="s">
        <v>144</v>
      </c>
      <c r="I1415" s="27"/>
      <c r="J1415" s="33"/>
      <c r="K1415" s="33"/>
      <c r="L1415" s="66"/>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v>388.0</v>
      </c>
      <c r="AI1415" s="27">
        <v>237.0</v>
      </c>
      <c r="AJ1415" s="27">
        <v>2.0</v>
      </c>
      <c r="AK1415" s="27" t="b">
        <v>1</v>
      </c>
      <c r="AL1415" s="27">
        <v>100.0</v>
      </c>
      <c r="AM1415" s="27" t="s">
        <v>191</v>
      </c>
      <c r="AN1415" s="27" t="s">
        <v>404</v>
      </c>
      <c r="AO1415" s="27"/>
    </row>
    <row r="1416">
      <c r="A1416" s="200">
        <v>44873.02510226852</v>
      </c>
      <c r="B1416" s="19" t="s">
        <v>53</v>
      </c>
      <c r="C1416" s="21" t="s">
        <v>184</v>
      </c>
      <c r="D1416" s="62">
        <v>5.0</v>
      </c>
      <c r="E1416" s="27">
        <v>4.0</v>
      </c>
      <c r="F1416" s="27" t="s">
        <v>2041</v>
      </c>
      <c r="G1416" s="201" t="s">
        <v>57</v>
      </c>
      <c r="H1416" s="27" t="s">
        <v>154</v>
      </c>
      <c r="I1416" s="27"/>
      <c r="J1416" s="33"/>
      <c r="K1416" s="33"/>
      <c r="L1416" s="66"/>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v>299.0</v>
      </c>
      <c r="AI1416" s="27">
        <v>268.0</v>
      </c>
      <c r="AJ1416" s="27">
        <v>2.0</v>
      </c>
      <c r="AK1416" s="27" t="b">
        <v>1</v>
      </c>
      <c r="AL1416" s="27">
        <v>100.0</v>
      </c>
      <c r="AM1416" s="27" t="s">
        <v>187</v>
      </c>
      <c r="AN1416" s="27" t="s">
        <v>404</v>
      </c>
      <c r="AO1416" s="27"/>
    </row>
    <row r="1417">
      <c r="A1417" s="200">
        <v>44873.02510226852</v>
      </c>
      <c r="B1417" s="19" t="s">
        <v>53</v>
      </c>
      <c r="C1417" s="21" t="s">
        <v>170</v>
      </c>
      <c r="D1417" s="62">
        <v>3.0</v>
      </c>
      <c r="E1417" s="27">
        <v>6.0</v>
      </c>
      <c r="F1417" s="27" t="s">
        <v>2042</v>
      </c>
      <c r="G1417" s="201" t="s">
        <v>57</v>
      </c>
      <c r="H1417" s="27" t="s">
        <v>166</v>
      </c>
      <c r="I1417" s="27"/>
      <c r="J1417" s="33"/>
      <c r="K1417" s="33"/>
      <c r="L1417" s="66"/>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v>197.0</v>
      </c>
      <c r="AI1417" s="27">
        <v>228.0</v>
      </c>
      <c r="AJ1417" s="27">
        <v>2.0</v>
      </c>
      <c r="AK1417" s="27" t="b">
        <v>0</v>
      </c>
      <c r="AL1417" s="27">
        <v>100.0</v>
      </c>
      <c r="AM1417" s="27" t="s">
        <v>193</v>
      </c>
      <c r="AN1417" s="27" t="s">
        <v>405</v>
      </c>
      <c r="AO1417" s="27"/>
    </row>
    <row r="1418">
      <c r="A1418" s="200">
        <v>44873.02510226852</v>
      </c>
      <c r="B1418" s="19" t="s">
        <v>53</v>
      </c>
      <c r="C1418" s="21" t="s">
        <v>173</v>
      </c>
      <c r="D1418" s="62">
        <v>4.0</v>
      </c>
      <c r="E1418" s="27">
        <v>5.0</v>
      </c>
      <c r="F1418" s="27" t="s">
        <v>2043</v>
      </c>
      <c r="G1418" s="201" t="s">
        <v>57</v>
      </c>
      <c r="H1418" s="27" t="s">
        <v>59</v>
      </c>
      <c r="I1418" s="27"/>
      <c r="J1418" s="33"/>
      <c r="K1418" s="33"/>
      <c r="L1418" s="66"/>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v>208.0</v>
      </c>
      <c r="AI1418" s="27">
        <v>193.0</v>
      </c>
      <c r="AJ1418" s="27">
        <v>2.0</v>
      </c>
      <c r="AK1418" s="27" t="b">
        <v>0</v>
      </c>
      <c r="AL1418" s="27">
        <v>100.0</v>
      </c>
      <c r="AM1418" s="27" t="s">
        <v>192</v>
      </c>
      <c r="AN1418" s="27" t="s">
        <v>404</v>
      </c>
      <c r="AO1418" s="27"/>
    </row>
    <row r="1419">
      <c r="A1419" s="200">
        <v>44873.02510226852</v>
      </c>
      <c r="B1419" s="19" t="s">
        <v>53</v>
      </c>
      <c r="C1419" s="21" t="s">
        <v>168</v>
      </c>
      <c r="D1419" s="62">
        <v>9.0</v>
      </c>
      <c r="E1419" s="27">
        <v>0.0</v>
      </c>
      <c r="F1419" s="27" t="s">
        <v>2044</v>
      </c>
      <c r="G1419" s="201" t="s">
        <v>57</v>
      </c>
      <c r="H1419" s="27" t="s">
        <v>154</v>
      </c>
      <c r="I1419" s="27"/>
      <c r="J1419" s="33"/>
      <c r="K1419" s="33"/>
      <c r="L1419" s="66"/>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v>412.0</v>
      </c>
      <c r="AI1419" s="27">
        <v>142.0</v>
      </c>
      <c r="AJ1419" s="27">
        <v>2.0</v>
      </c>
      <c r="AK1419" s="27" t="b">
        <v>1</v>
      </c>
      <c r="AL1419" s="27">
        <v>100.0</v>
      </c>
      <c r="AM1419" s="27" t="s">
        <v>188</v>
      </c>
      <c r="AN1419" s="27" t="s">
        <v>404</v>
      </c>
      <c r="AO1419" s="27"/>
    </row>
    <row r="1420">
      <c r="A1420" s="200">
        <v>44873.02510226852</v>
      </c>
      <c r="B1420" s="19" t="s">
        <v>53</v>
      </c>
      <c r="C1420" s="21" t="s">
        <v>155</v>
      </c>
      <c r="D1420" s="62">
        <v>3.0</v>
      </c>
      <c r="E1420" s="27">
        <v>6.0</v>
      </c>
      <c r="F1420" s="27" t="s">
        <v>2045</v>
      </c>
      <c r="G1420" s="201" t="s">
        <v>57</v>
      </c>
      <c r="H1420" s="27" t="s">
        <v>109</v>
      </c>
      <c r="I1420" s="27"/>
      <c r="J1420" s="33"/>
      <c r="K1420" s="33"/>
      <c r="L1420" s="66"/>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v>163.0</v>
      </c>
      <c r="AI1420" s="27">
        <v>203.0</v>
      </c>
      <c r="AJ1420" s="27">
        <v>2.0</v>
      </c>
      <c r="AK1420" s="27" t="b">
        <v>0</v>
      </c>
      <c r="AL1420" s="27">
        <v>100.0</v>
      </c>
      <c r="AM1420" s="27" t="s">
        <v>186</v>
      </c>
      <c r="AN1420" s="27" t="s">
        <v>404</v>
      </c>
      <c r="AO1420" s="27"/>
    </row>
    <row r="1421">
      <c r="A1421" s="200">
        <v>44873.02510226852</v>
      </c>
      <c r="B1421" s="19" t="s">
        <v>53</v>
      </c>
      <c r="C1421" s="21" t="s">
        <v>195</v>
      </c>
      <c r="D1421" s="62">
        <v>3.0</v>
      </c>
      <c r="E1421" s="27">
        <v>6.0</v>
      </c>
      <c r="F1421" s="27" t="s">
        <v>2046</v>
      </c>
      <c r="G1421" s="201" t="s">
        <v>57</v>
      </c>
      <c r="H1421" s="27" t="s">
        <v>178</v>
      </c>
      <c r="I1421" s="27"/>
      <c r="J1421" s="33"/>
      <c r="K1421" s="33"/>
      <c r="L1421" s="66"/>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v>272.0</v>
      </c>
      <c r="AI1421" s="27">
        <v>299.0</v>
      </c>
      <c r="AJ1421" s="27">
        <v>2.0</v>
      </c>
      <c r="AK1421" s="27" t="b">
        <v>0</v>
      </c>
      <c r="AL1421" s="27">
        <v>100.0</v>
      </c>
      <c r="AM1421" s="27" t="s">
        <v>389</v>
      </c>
      <c r="AN1421" s="27" t="s">
        <v>405</v>
      </c>
      <c r="AO1421" s="27"/>
    </row>
    <row r="1422">
      <c r="A1422" s="200">
        <v>44873.02510226852</v>
      </c>
      <c r="B1422" s="19" t="s">
        <v>53</v>
      </c>
      <c r="C1422" s="21" t="s">
        <v>176</v>
      </c>
      <c r="D1422" s="62">
        <v>6.0</v>
      </c>
      <c r="E1422" s="27">
        <v>3.0</v>
      </c>
      <c r="F1422" s="27" t="s">
        <v>2047</v>
      </c>
      <c r="G1422" s="201" t="s">
        <v>57</v>
      </c>
      <c r="H1422" s="27" t="s">
        <v>109</v>
      </c>
      <c r="I1422" s="27"/>
      <c r="J1422" s="33"/>
      <c r="K1422" s="33"/>
      <c r="L1422" s="66"/>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v>301.0</v>
      </c>
      <c r="AI1422" s="27">
        <v>299.0</v>
      </c>
      <c r="AJ1422" s="27">
        <v>2.0</v>
      </c>
      <c r="AK1422" s="27" t="b">
        <v>0</v>
      </c>
      <c r="AL1422" s="27">
        <v>100.0</v>
      </c>
      <c r="AM1422" s="27" t="s">
        <v>190</v>
      </c>
      <c r="AN1422" s="27" t="s">
        <v>405</v>
      </c>
      <c r="AO1422" s="27"/>
    </row>
    <row r="1423">
      <c r="A1423" s="200">
        <v>44873.02510226852</v>
      </c>
      <c r="B1423" s="19"/>
      <c r="C1423" s="21"/>
      <c r="D1423" s="62"/>
      <c r="E1423" s="27"/>
      <c r="F1423" s="27"/>
      <c r="G1423" s="201"/>
      <c r="H1423" s="27"/>
      <c r="I1423" s="27"/>
      <c r="J1423" s="33"/>
      <c r="K1423" s="33"/>
      <c r="L1423" s="66"/>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t="e">
        <v>#N/A</v>
      </c>
      <c r="AN1423" s="27" t="e">
        <v>#N/A</v>
      </c>
      <c r="AO1423" s="27"/>
    </row>
    <row r="1424">
      <c r="A1424" s="200">
        <v>44873.02510226852</v>
      </c>
      <c r="B1424" s="19" t="s">
        <v>131</v>
      </c>
      <c r="C1424" s="21" t="s">
        <v>208</v>
      </c>
      <c r="D1424" s="62">
        <v>4.0</v>
      </c>
      <c r="E1424" s="27">
        <v>5.0</v>
      </c>
      <c r="F1424" s="27"/>
      <c r="G1424" s="201"/>
      <c r="H1424" s="27"/>
      <c r="I1424" s="27" t="s">
        <v>105</v>
      </c>
      <c r="J1424" s="33"/>
      <c r="K1424" s="33"/>
      <c r="L1424" s="66"/>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v>175.0</v>
      </c>
      <c r="AI1424" s="27">
        <v>193.0</v>
      </c>
      <c r="AJ1424" s="27">
        <v>0.0</v>
      </c>
      <c r="AK1424" s="27" t="b">
        <v>0</v>
      </c>
      <c r="AL1424" s="27">
        <v>59.0</v>
      </c>
      <c r="AM1424" s="27" t="s">
        <v>190</v>
      </c>
      <c r="AN1424" s="27" t="s">
        <v>405</v>
      </c>
      <c r="AO1424" s="27"/>
    </row>
    <row r="1425">
      <c r="A1425" s="200">
        <v>44873.02510226852</v>
      </c>
      <c r="B1425" s="19" t="s">
        <v>131</v>
      </c>
      <c r="C1425" s="21" t="s">
        <v>206</v>
      </c>
      <c r="D1425" s="62">
        <v>8.0</v>
      </c>
      <c r="E1425" s="27">
        <v>1.0</v>
      </c>
      <c r="F1425" s="27" t="s">
        <v>2048</v>
      </c>
      <c r="G1425" s="201" t="s">
        <v>57</v>
      </c>
      <c r="H1425" s="27" t="s">
        <v>109</v>
      </c>
      <c r="I1425" s="27"/>
      <c r="J1425" s="33"/>
      <c r="K1425" s="33"/>
      <c r="L1425" s="66"/>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v>311.0</v>
      </c>
      <c r="AI1425" s="27">
        <v>194.0</v>
      </c>
      <c r="AJ1425" s="27">
        <v>2.0</v>
      </c>
      <c r="AK1425" s="27" t="b">
        <v>0</v>
      </c>
      <c r="AL1425" s="27">
        <v>100.0</v>
      </c>
      <c r="AM1425" s="27" t="s">
        <v>186</v>
      </c>
      <c r="AN1425" s="27" t="s">
        <v>404</v>
      </c>
      <c r="AO1425" s="27"/>
    </row>
    <row r="1426">
      <c r="A1426" s="200">
        <v>44873.02510226852</v>
      </c>
      <c r="B1426" s="19" t="s">
        <v>131</v>
      </c>
      <c r="C1426" s="21" t="s">
        <v>219</v>
      </c>
      <c r="D1426" s="62">
        <v>5.0</v>
      </c>
      <c r="E1426" s="27">
        <v>4.0</v>
      </c>
      <c r="F1426" s="27" t="s">
        <v>2049</v>
      </c>
      <c r="G1426" s="201" t="s">
        <v>57</v>
      </c>
      <c r="H1426" s="27" t="s">
        <v>59</v>
      </c>
      <c r="I1426" s="27"/>
      <c r="J1426" s="33"/>
      <c r="K1426" s="33"/>
      <c r="L1426" s="66"/>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v>176.0</v>
      </c>
      <c r="AI1426" s="27">
        <v>192.0</v>
      </c>
      <c r="AJ1426" s="27">
        <v>2.0</v>
      </c>
      <c r="AK1426" s="27" t="b">
        <v>1</v>
      </c>
      <c r="AL1426" s="27">
        <v>100.0</v>
      </c>
      <c r="AM1426" s="27" t="s">
        <v>129</v>
      </c>
      <c r="AN1426" s="27" t="s">
        <v>405</v>
      </c>
      <c r="AO1426" s="27"/>
    </row>
    <row r="1427">
      <c r="A1427" s="200">
        <v>44873.02510226852</v>
      </c>
      <c r="B1427" s="19" t="s">
        <v>131</v>
      </c>
      <c r="C1427" s="21" t="s">
        <v>199</v>
      </c>
      <c r="D1427" s="62">
        <v>3.0</v>
      </c>
      <c r="E1427" s="27">
        <v>6.0</v>
      </c>
      <c r="F1427" s="27" t="s">
        <v>2050</v>
      </c>
      <c r="G1427" s="201" t="s">
        <v>57</v>
      </c>
      <c r="H1427" s="27" t="s">
        <v>148</v>
      </c>
      <c r="I1427" s="27"/>
      <c r="J1427" s="33"/>
      <c r="K1427" s="33"/>
      <c r="L1427" s="66"/>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v>211.0</v>
      </c>
      <c r="AI1427" s="27">
        <v>331.0</v>
      </c>
      <c r="AJ1427" s="27">
        <v>2.0</v>
      </c>
      <c r="AK1427" s="27" t="b">
        <v>0</v>
      </c>
      <c r="AL1427" s="27">
        <v>100.0</v>
      </c>
      <c r="AM1427" s="27" t="s">
        <v>193</v>
      </c>
      <c r="AN1427" s="27" t="s">
        <v>405</v>
      </c>
      <c r="AO1427" s="27"/>
    </row>
    <row r="1428">
      <c r="A1428" s="200">
        <v>44873.02510226852</v>
      </c>
      <c r="B1428" s="19" t="s">
        <v>131</v>
      </c>
      <c r="C1428" s="21" t="s">
        <v>204</v>
      </c>
      <c r="D1428" s="62">
        <v>6.0</v>
      </c>
      <c r="E1428" s="27">
        <v>4.0</v>
      </c>
      <c r="F1428" s="27" t="s">
        <v>2051</v>
      </c>
      <c r="G1428" s="201" t="s">
        <v>57</v>
      </c>
      <c r="H1428" s="27" t="s">
        <v>59</v>
      </c>
      <c r="I1428" s="27"/>
      <c r="J1428" s="33"/>
      <c r="K1428" s="33"/>
      <c r="L1428" s="66"/>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v>372.0</v>
      </c>
      <c r="AI1428" s="27">
        <v>303.0</v>
      </c>
      <c r="AJ1428" s="27">
        <v>2.0</v>
      </c>
      <c r="AK1428" s="27" t="b">
        <v>1</v>
      </c>
      <c r="AL1428" s="27">
        <v>100.0</v>
      </c>
      <c r="AM1428" s="27" t="s">
        <v>189</v>
      </c>
      <c r="AN1428" s="27" t="s">
        <v>405</v>
      </c>
      <c r="AO1428" s="27"/>
    </row>
    <row r="1429">
      <c r="A1429" s="200">
        <v>44873.02510226852</v>
      </c>
      <c r="B1429" s="19" t="s">
        <v>131</v>
      </c>
      <c r="C1429" s="21" t="s">
        <v>222</v>
      </c>
      <c r="D1429" s="62">
        <v>5.0</v>
      </c>
      <c r="E1429" s="27">
        <v>4.0</v>
      </c>
      <c r="F1429" s="27" t="s">
        <v>2052</v>
      </c>
      <c r="G1429" s="201" t="s">
        <v>57</v>
      </c>
      <c r="H1429" s="27" t="s">
        <v>138</v>
      </c>
      <c r="I1429" s="27"/>
      <c r="J1429" s="33"/>
      <c r="K1429" s="33"/>
      <c r="L1429" s="66"/>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v>241.0</v>
      </c>
      <c r="AI1429" s="27">
        <v>180.0</v>
      </c>
      <c r="AJ1429" s="27">
        <v>2.0</v>
      </c>
      <c r="AK1429" s="27" t="b">
        <v>1</v>
      </c>
      <c r="AL1429" s="27">
        <v>100.0</v>
      </c>
      <c r="AM1429" s="27" t="s">
        <v>191</v>
      </c>
      <c r="AN1429" s="27" t="s">
        <v>404</v>
      </c>
      <c r="AO1429" s="27"/>
    </row>
    <row r="1430">
      <c r="A1430" s="200">
        <v>44873.02510226852</v>
      </c>
      <c r="B1430" s="19" t="s">
        <v>131</v>
      </c>
      <c r="C1430" s="21" t="s">
        <v>214</v>
      </c>
      <c r="D1430" s="62">
        <v>8.0</v>
      </c>
      <c r="E1430" s="27">
        <v>1.0</v>
      </c>
      <c r="F1430" s="27" t="s">
        <v>2053</v>
      </c>
      <c r="G1430" s="201" t="s">
        <v>57</v>
      </c>
      <c r="H1430" s="27" t="s">
        <v>116</v>
      </c>
      <c r="I1430" s="27"/>
      <c r="J1430" s="33"/>
      <c r="K1430" s="33"/>
      <c r="L1430" s="66"/>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v>408.0</v>
      </c>
      <c r="AI1430" s="27">
        <v>195.0</v>
      </c>
      <c r="AJ1430" s="27">
        <v>2.0</v>
      </c>
      <c r="AK1430" s="27" t="b">
        <v>0</v>
      </c>
      <c r="AL1430" s="27">
        <v>100.0</v>
      </c>
      <c r="AM1430" s="27" t="s">
        <v>192</v>
      </c>
      <c r="AN1430" s="27" t="s">
        <v>404</v>
      </c>
      <c r="AO1430" s="27"/>
    </row>
    <row r="1431">
      <c r="A1431" s="200">
        <v>44873.02510226852</v>
      </c>
      <c r="B1431" s="19" t="s">
        <v>131</v>
      </c>
      <c r="C1431" s="21" t="s">
        <v>217</v>
      </c>
      <c r="D1431" s="62">
        <v>6.0</v>
      </c>
      <c r="E1431" s="27">
        <v>3.0</v>
      </c>
      <c r="F1431" s="27" t="s">
        <v>2054</v>
      </c>
      <c r="G1431" s="201" t="s">
        <v>57</v>
      </c>
      <c r="H1431" s="27" t="s">
        <v>116</v>
      </c>
      <c r="I1431" s="27"/>
      <c r="J1431" s="33"/>
      <c r="K1431" s="33"/>
      <c r="L1431" s="66"/>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v>341.0</v>
      </c>
      <c r="AI1431" s="27">
        <v>261.0</v>
      </c>
      <c r="AJ1431" s="27">
        <v>2.0</v>
      </c>
      <c r="AK1431" s="27" t="b">
        <v>1</v>
      </c>
      <c r="AL1431" s="27">
        <v>100.0</v>
      </c>
      <c r="AM1431" s="27" t="s">
        <v>187</v>
      </c>
      <c r="AN1431" s="27" t="s">
        <v>404</v>
      </c>
      <c r="AO1431" s="27"/>
    </row>
    <row r="1432">
      <c r="A1432" s="200">
        <v>44873.02510226852</v>
      </c>
      <c r="B1432" s="19" t="s">
        <v>131</v>
      </c>
      <c r="C1432" s="21" t="s">
        <v>210</v>
      </c>
      <c r="D1432" s="62">
        <v>1.0</v>
      </c>
      <c r="E1432" s="27">
        <v>8.0</v>
      </c>
      <c r="F1432" s="27" t="s">
        <v>2055</v>
      </c>
      <c r="G1432" s="201" t="s">
        <v>57</v>
      </c>
      <c r="H1432" s="27" t="s">
        <v>103</v>
      </c>
      <c r="I1432" s="27"/>
      <c r="J1432" s="33"/>
      <c r="K1432" s="33"/>
      <c r="L1432" s="66"/>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v>232.0</v>
      </c>
      <c r="AI1432" s="27">
        <v>359.0</v>
      </c>
      <c r="AJ1432" s="27">
        <v>2.0</v>
      </c>
      <c r="AK1432" s="27" t="b">
        <v>0</v>
      </c>
      <c r="AL1432" s="27">
        <v>100.0</v>
      </c>
      <c r="AM1432" s="27" t="s">
        <v>389</v>
      </c>
      <c r="AN1432" s="27" t="s">
        <v>405</v>
      </c>
      <c r="AO1432" s="27"/>
    </row>
    <row r="1433">
      <c r="A1433" s="200">
        <v>44873.02510226852</v>
      </c>
      <c r="B1433" s="19" t="s">
        <v>131</v>
      </c>
      <c r="C1433" s="21" t="s">
        <v>197</v>
      </c>
      <c r="D1433" s="62">
        <v>5.0</v>
      </c>
      <c r="E1433" s="27">
        <v>4.0</v>
      </c>
      <c r="F1433" s="27" t="s">
        <v>2056</v>
      </c>
      <c r="G1433" s="201" t="s">
        <v>57</v>
      </c>
      <c r="H1433" s="27" t="s">
        <v>103</v>
      </c>
      <c r="I1433" s="27"/>
      <c r="J1433" s="33"/>
      <c r="K1433" s="33"/>
      <c r="L1433" s="66"/>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v>277.0</v>
      </c>
      <c r="AI1433" s="27">
        <v>185.0</v>
      </c>
      <c r="AJ1433" s="27">
        <v>2.0</v>
      </c>
      <c r="AK1433" s="27" t="b">
        <v>0</v>
      </c>
      <c r="AL1433" s="27">
        <v>100.0</v>
      </c>
      <c r="AM1433" s="27" t="s">
        <v>188</v>
      </c>
      <c r="AN1433" s="27" t="s">
        <v>404</v>
      </c>
      <c r="AO1433" s="27"/>
    </row>
    <row r="1434">
      <c r="A1434" s="200">
        <v>44873.02510226852</v>
      </c>
      <c r="B1434" s="19"/>
      <c r="C1434" s="21"/>
      <c r="D1434" s="62"/>
      <c r="E1434" s="27"/>
      <c r="F1434" s="27"/>
      <c r="G1434" s="201"/>
      <c r="H1434" s="27"/>
      <c r="I1434" s="27"/>
      <c r="J1434" s="33"/>
      <c r="K1434" s="33"/>
      <c r="L1434" s="66"/>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t="e">
        <v>#N/A</v>
      </c>
      <c r="AN1434" s="27" t="e">
        <v>#N/A</v>
      </c>
      <c r="AO1434" s="27"/>
    </row>
    <row r="1435">
      <c r="A1435" s="200">
        <v>44873.02510226852</v>
      </c>
      <c r="B1435" s="19" t="s">
        <v>178</v>
      </c>
      <c r="C1435" s="21" t="s">
        <v>265</v>
      </c>
      <c r="D1435" s="62">
        <v>6.0</v>
      </c>
      <c r="E1435" s="27">
        <v>3.0</v>
      </c>
      <c r="F1435" s="27"/>
      <c r="G1435" s="201"/>
      <c r="H1435" s="27"/>
      <c r="I1435" s="27" t="s">
        <v>82</v>
      </c>
      <c r="J1435" s="33"/>
      <c r="K1435" s="33"/>
      <c r="L1435" s="66"/>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v>323.0</v>
      </c>
      <c r="AI1435" s="27">
        <v>242.0</v>
      </c>
      <c r="AJ1435" s="27">
        <v>0.0</v>
      </c>
      <c r="AK1435" s="27" t="b">
        <v>1</v>
      </c>
      <c r="AL1435" s="27">
        <v>59.0</v>
      </c>
      <c r="AM1435" s="27" t="s">
        <v>190</v>
      </c>
      <c r="AN1435" s="27" t="s">
        <v>405</v>
      </c>
      <c r="AO1435" s="27"/>
    </row>
    <row r="1436">
      <c r="A1436" s="200">
        <v>44873.02510226852</v>
      </c>
      <c r="B1436" s="19" t="s">
        <v>178</v>
      </c>
      <c r="C1436" s="21" t="s">
        <v>261</v>
      </c>
      <c r="D1436" s="62">
        <v>8.0</v>
      </c>
      <c r="E1436" s="27">
        <v>1.0</v>
      </c>
      <c r="F1436" s="27" t="s">
        <v>2057</v>
      </c>
      <c r="G1436" s="201" t="s">
        <v>57</v>
      </c>
      <c r="H1436" s="27" t="s">
        <v>109</v>
      </c>
      <c r="I1436" s="27"/>
      <c r="J1436" s="33"/>
      <c r="K1436" s="33"/>
      <c r="L1436" s="66"/>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v>367.0</v>
      </c>
      <c r="AI1436" s="27">
        <v>230.0</v>
      </c>
      <c r="AJ1436" s="27">
        <v>2.0</v>
      </c>
      <c r="AK1436" s="27" t="b">
        <v>0</v>
      </c>
      <c r="AL1436" s="27">
        <v>100.0</v>
      </c>
      <c r="AM1436" s="27" t="s">
        <v>191</v>
      </c>
      <c r="AN1436" s="27" t="s">
        <v>404</v>
      </c>
      <c r="AO1436" s="27"/>
    </row>
    <row r="1437">
      <c r="A1437" s="200">
        <v>44873.02510226852</v>
      </c>
      <c r="B1437" s="19" t="s">
        <v>178</v>
      </c>
      <c r="C1437" s="21" t="s">
        <v>259</v>
      </c>
      <c r="D1437" s="62">
        <v>6.0</v>
      </c>
      <c r="E1437" s="27">
        <v>3.0</v>
      </c>
      <c r="F1437" s="27" t="s">
        <v>2058</v>
      </c>
      <c r="G1437" s="201" t="s">
        <v>57</v>
      </c>
      <c r="H1437" s="27" t="s">
        <v>154</v>
      </c>
      <c r="I1437" s="27"/>
      <c r="J1437" s="33"/>
      <c r="K1437" s="33"/>
      <c r="L1437" s="66"/>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v>332.0</v>
      </c>
      <c r="AI1437" s="27">
        <v>246.0</v>
      </c>
      <c r="AJ1437" s="27">
        <v>2.0</v>
      </c>
      <c r="AK1437" s="27" t="b">
        <v>0</v>
      </c>
      <c r="AL1437" s="27">
        <v>100.0</v>
      </c>
      <c r="AM1437" s="27" t="s">
        <v>186</v>
      </c>
      <c r="AN1437" s="27" t="s">
        <v>404</v>
      </c>
      <c r="AO1437" s="27"/>
    </row>
    <row r="1438">
      <c r="A1438" s="200">
        <v>44873.02510226852</v>
      </c>
      <c r="B1438" s="19" t="s">
        <v>178</v>
      </c>
      <c r="C1438" s="21" t="s">
        <v>257</v>
      </c>
      <c r="D1438" s="62">
        <v>5.0</v>
      </c>
      <c r="E1438" s="27">
        <v>4.0</v>
      </c>
      <c r="F1438" s="27" t="s">
        <v>2059</v>
      </c>
      <c r="G1438" s="201" t="s">
        <v>57</v>
      </c>
      <c r="H1438" s="27" t="s">
        <v>138</v>
      </c>
      <c r="I1438" s="27"/>
      <c r="J1438" s="33"/>
      <c r="K1438" s="33"/>
      <c r="L1438" s="66"/>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v>326.0</v>
      </c>
      <c r="AI1438" s="27">
        <v>281.0</v>
      </c>
      <c r="AJ1438" s="27">
        <v>2.0</v>
      </c>
      <c r="AK1438" s="27" t="b">
        <v>0</v>
      </c>
      <c r="AL1438" s="27">
        <v>100.0</v>
      </c>
      <c r="AM1438" s="27" t="s">
        <v>193</v>
      </c>
      <c r="AN1438" s="27" t="s">
        <v>405</v>
      </c>
      <c r="AO1438" s="27"/>
    </row>
    <row r="1439">
      <c r="A1439" s="200">
        <v>44873.02510226852</v>
      </c>
      <c r="B1439" s="19" t="s">
        <v>178</v>
      </c>
      <c r="C1439" s="21" t="s">
        <v>263</v>
      </c>
      <c r="D1439" s="62">
        <v>2.0</v>
      </c>
      <c r="E1439" s="27">
        <v>7.0</v>
      </c>
      <c r="F1439" s="27" t="s">
        <v>2060</v>
      </c>
      <c r="G1439" s="201" t="s">
        <v>57</v>
      </c>
      <c r="H1439" s="27" t="s">
        <v>138</v>
      </c>
      <c r="I1439" s="27"/>
      <c r="J1439" s="33"/>
      <c r="K1439" s="33"/>
      <c r="L1439" s="66"/>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v>144.0</v>
      </c>
      <c r="AI1439" s="27">
        <v>226.0</v>
      </c>
      <c r="AJ1439" s="27">
        <v>2.0</v>
      </c>
      <c r="AK1439" s="27" t="b">
        <v>0</v>
      </c>
      <c r="AL1439" s="27">
        <v>100.0</v>
      </c>
      <c r="AM1439" s="27" t="s">
        <v>129</v>
      </c>
      <c r="AN1439" s="27" t="s">
        <v>405</v>
      </c>
      <c r="AO1439" s="27"/>
    </row>
    <row r="1440">
      <c r="A1440" s="200">
        <v>44873.02510226852</v>
      </c>
      <c r="B1440" s="19" t="s">
        <v>178</v>
      </c>
      <c r="C1440" s="21" t="s">
        <v>240</v>
      </c>
      <c r="D1440" s="62">
        <v>6.0</v>
      </c>
      <c r="E1440" s="27">
        <v>3.0</v>
      </c>
      <c r="F1440" s="27" t="s">
        <v>2061</v>
      </c>
      <c r="G1440" s="201" t="s">
        <v>57</v>
      </c>
      <c r="H1440" s="27" t="s">
        <v>141</v>
      </c>
      <c r="I1440" s="27"/>
      <c r="J1440" s="33">
        <v>-13.5</v>
      </c>
      <c r="K1440" s="33">
        <v>-14.0</v>
      </c>
      <c r="L1440" s="66">
        <v>41.0</v>
      </c>
      <c r="M1440" s="27" t="s">
        <v>1992</v>
      </c>
      <c r="N1440" s="27">
        <v>-14.0</v>
      </c>
      <c r="O1440" s="27"/>
      <c r="P1440" s="27">
        <v>-14.5</v>
      </c>
      <c r="Q1440" s="27"/>
      <c r="R1440" s="27">
        <v>-14.5</v>
      </c>
      <c r="S1440" s="27"/>
      <c r="T1440" s="27" t="s">
        <v>1091</v>
      </c>
      <c r="U1440" s="27" t="s">
        <v>1091</v>
      </c>
      <c r="V1440" s="27" t="s">
        <v>1091</v>
      </c>
      <c r="W1440" s="27" t="s">
        <v>1091</v>
      </c>
      <c r="X1440" s="27" t="s">
        <v>1091</v>
      </c>
      <c r="Y1440" s="27" t="s">
        <v>1091</v>
      </c>
      <c r="Z1440" s="27" t="s">
        <v>1091</v>
      </c>
      <c r="AA1440" s="27" t="s">
        <v>1091</v>
      </c>
      <c r="AB1440" s="27" t="s">
        <v>1091</v>
      </c>
      <c r="AC1440" s="27" t="s">
        <v>1091</v>
      </c>
      <c r="AD1440" s="27" t="s">
        <v>1091</v>
      </c>
      <c r="AE1440" s="27" t="s">
        <v>1091</v>
      </c>
      <c r="AF1440" s="27" t="s">
        <v>1091</v>
      </c>
      <c r="AG1440" s="27" t="s">
        <v>1091</v>
      </c>
      <c r="AH1440" s="27">
        <v>275.0</v>
      </c>
      <c r="AI1440" s="27">
        <v>128.0</v>
      </c>
      <c r="AJ1440" s="27">
        <v>2.0</v>
      </c>
      <c r="AK1440" s="27" t="b">
        <v>1</v>
      </c>
      <c r="AL1440" s="27">
        <v>100.0</v>
      </c>
      <c r="AM1440" s="27" t="s">
        <v>188</v>
      </c>
      <c r="AN1440" s="27" t="s">
        <v>404</v>
      </c>
      <c r="AO1440" s="27"/>
    </row>
    <row r="1441">
      <c r="A1441" s="200">
        <v>44873.02510226852</v>
      </c>
      <c r="B1441" s="19" t="s">
        <v>178</v>
      </c>
      <c r="C1441" s="21" t="s">
        <v>272</v>
      </c>
      <c r="D1441" s="62">
        <v>4.0</v>
      </c>
      <c r="E1441" s="27">
        <v>5.0</v>
      </c>
      <c r="F1441" s="27" t="s">
        <v>2062</v>
      </c>
      <c r="G1441" s="201" t="s">
        <v>57</v>
      </c>
      <c r="H1441" s="27" t="s">
        <v>103</v>
      </c>
      <c r="I1441" s="27"/>
      <c r="J1441" s="33"/>
      <c r="K1441" s="33"/>
      <c r="L1441" s="66"/>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v>295.0</v>
      </c>
      <c r="AI1441" s="27">
        <v>268.0</v>
      </c>
      <c r="AJ1441" s="27">
        <v>2.0</v>
      </c>
      <c r="AK1441" s="27" t="b">
        <v>1</v>
      </c>
      <c r="AL1441" s="27">
        <v>100.0</v>
      </c>
      <c r="AM1441" s="27" t="s">
        <v>187</v>
      </c>
      <c r="AN1441" s="27" t="s">
        <v>404</v>
      </c>
      <c r="AO1441" s="27"/>
    </row>
    <row r="1442">
      <c r="A1442" s="200">
        <v>44873.02510226852</v>
      </c>
      <c r="B1442" s="19" t="s">
        <v>178</v>
      </c>
      <c r="C1442" s="21" t="s">
        <v>271</v>
      </c>
      <c r="D1442" s="62">
        <v>6.0</v>
      </c>
      <c r="E1442" s="27">
        <v>4.0</v>
      </c>
      <c r="F1442" s="27" t="s">
        <v>2063</v>
      </c>
      <c r="G1442" s="201" t="s">
        <v>57</v>
      </c>
      <c r="H1442" s="27" t="s">
        <v>141</v>
      </c>
      <c r="I1442" s="27"/>
      <c r="J1442" s="33"/>
      <c r="K1442" s="33"/>
      <c r="L1442" s="66"/>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v>372.0</v>
      </c>
      <c r="AI1442" s="27">
        <v>223.0</v>
      </c>
      <c r="AJ1442" s="27">
        <v>2.0</v>
      </c>
      <c r="AK1442" s="27" t="b">
        <v>1</v>
      </c>
      <c r="AL1442" s="27">
        <v>100.0</v>
      </c>
      <c r="AM1442" s="27" t="s">
        <v>189</v>
      </c>
      <c r="AN1442" s="27" t="s">
        <v>405</v>
      </c>
      <c r="AO1442" s="27"/>
    </row>
    <row r="1443">
      <c r="A1443" s="200">
        <v>44873.02510226852</v>
      </c>
      <c r="B1443" s="19" t="s">
        <v>178</v>
      </c>
      <c r="C1443" s="21" t="s">
        <v>267</v>
      </c>
      <c r="D1443" s="62">
        <v>8.0</v>
      </c>
      <c r="E1443" s="27">
        <v>1.0</v>
      </c>
      <c r="F1443" s="27" t="s">
        <v>2046</v>
      </c>
      <c r="G1443" s="201" t="s">
        <v>57</v>
      </c>
      <c r="H1443" s="27" t="s">
        <v>53</v>
      </c>
      <c r="I1443" s="27"/>
      <c r="J1443" s="33"/>
      <c r="K1443" s="33"/>
      <c r="L1443" s="66"/>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v>296.0</v>
      </c>
      <c r="AI1443" s="27">
        <v>152.0</v>
      </c>
      <c r="AJ1443" s="27">
        <v>2.0</v>
      </c>
      <c r="AK1443" s="27" t="b">
        <v>1</v>
      </c>
      <c r="AL1443" s="27">
        <v>100.0</v>
      </c>
      <c r="AM1443" s="27" t="s">
        <v>389</v>
      </c>
      <c r="AN1443" s="27" t="s">
        <v>405</v>
      </c>
      <c r="AO1443" s="27"/>
    </row>
    <row r="1444">
      <c r="A1444" s="200">
        <v>44873.02510226852</v>
      </c>
      <c r="B1444" s="19" t="s">
        <v>178</v>
      </c>
      <c r="C1444" s="21" t="s">
        <v>269</v>
      </c>
      <c r="D1444" s="62">
        <v>6.0</v>
      </c>
      <c r="E1444" s="27">
        <v>3.0</v>
      </c>
      <c r="F1444" s="27" t="s">
        <v>2064</v>
      </c>
      <c r="G1444" s="201" t="s">
        <v>183</v>
      </c>
      <c r="H1444" s="27" t="s">
        <v>166</v>
      </c>
      <c r="I1444" s="27"/>
      <c r="J1444" s="33"/>
      <c r="K1444" s="33"/>
      <c r="L1444" s="66"/>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v>293.0</v>
      </c>
      <c r="AI1444" s="27">
        <v>216.0</v>
      </c>
      <c r="AJ1444" s="27">
        <v>2.0</v>
      </c>
      <c r="AK1444" s="27" t="b">
        <v>1</v>
      </c>
      <c r="AL1444" s="27">
        <v>100.0</v>
      </c>
      <c r="AM1444" s="27" t="s">
        <v>192</v>
      </c>
      <c r="AN1444" s="27" t="s">
        <v>404</v>
      </c>
      <c r="AO1444" s="27"/>
    </row>
    <row r="1445">
      <c r="A1445" s="200">
        <v>44873.02510226852</v>
      </c>
      <c r="B1445" s="19"/>
      <c r="C1445" s="21"/>
      <c r="D1445" s="62"/>
      <c r="E1445" s="27"/>
      <c r="F1445" s="27"/>
      <c r="G1445" s="201"/>
      <c r="H1445" s="27"/>
      <c r="I1445" s="27"/>
      <c r="J1445" s="33"/>
      <c r="K1445" s="33"/>
      <c r="L1445" s="66"/>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t="e">
        <v>#N/A</v>
      </c>
      <c r="AN1445" s="27" t="e">
        <v>#N/A</v>
      </c>
      <c r="AO1445" s="27"/>
    </row>
    <row r="1446">
      <c r="A1446" s="200">
        <v>44873.02510226852</v>
      </c>
      <c r="B1446" s="19" t="s">
        <v>59</v>
      </c>
      <c r="C1446" s="21" t="s">
        <v>284</v>
      </c>
      <c r="D1446" s="62">
        <v>9.0</v>
      </c>
      <c r="E1446" s="27">
        <v>0.0</v>
      </c>
      <c r="F1446" s="27" t="s">
        <v>2065</v>
      </c>
      <c r="G1446" s="201" t="s">
        <v>57</v>
      </c>
      <c r="H1446" s="27" t="s">
        <v>141</v>
      </c>
      <c r="I1446" s="27"/>
      <c r="J1446" s="33"/>
      <c r="K1446" s="33"/>
      <c r="L1446" s="66"/>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v>380.0</v>
      </c>
      <c r="AI1446" s="27">
        <v>109.0</v>
      </c>
      <c r="AJ1446" s="27">
        <v>2.0</v>
      </c>
      <c r="AK1446" s="27" t="b">
        <v>1</v>
      </c>
      <c r="AL1446" s="27">
        <v>100.0</v>
      </c>
      <c r="AM1446" s="27" t="s">
        <v>188</v>
      </c>
      <c r="AN1446" s="27" t="s">
        <v>404</v>
      </c>
      <c r="AO1446" s="27"/>
    </row>
    <row r="1447">
      <c r="A1447" s="200">
        <v>44873.02510226852</v>
      </c>
      <c r="B1447" s="19" t="s">
        <v>59</v>
      </c>
      <c r="C1447" s="21" t="s">
        <v>291</v>
      </c>
      <c r="D1447" s="62">
        <v>6.0</v>
      </c>
      <c r="E1447" s="27">
        <v>3.0</v>
      </c>
      <c r="F1447" s="27" t="s">
        <v>2066</v>
      </c>
      <c r="G1447" s="201" t="s">
        <v>57</v>
      </c>
      <c r="H1447" s="27" t="s">
        <v>166</v>
      </c>
      <c r="I1447" s="27"/>
      <c r="J1447" s="33"/>
      <c r="K1447" s="33"/>
      <c r="L1447" s="66"/>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v>275.0</v>
      </c>
      <c r="AI1447" s="27">
        <v>172.0</v>
      </c>
      <c r="AJ1447" s="27">
        <v>2.0</v>
      </c>
      <c r="AK1447" s="27" t="b">
        <v>0</v>
      </c>
      <c r="AL1447" s="27">
        <v>100.0</v>
      </c>
      <c r="AM1447" s="27" t="s">
        <v>187</v>
      </c>
      <c r="AN1447" s="27" t="s">
        <v>404</v>
      </c>
      <c r="AO1447" s="27"/>
    </row>
    <row r="1448">
      <c r="A1448" s="200">
        <v>44873.02510226852</v>
      </c>
      <c r="B1448" s="19" t="s">
        <v>59</v>
      </c>
      <c r="C1448" s="21" t="s">
        <v>279</v>
      </c>
      <c r="D1448" s="62">
        <v>4.0</v>
      </c>
      <c r="E1448" s="27">
        <v>5.0</v>
      </c>
      <c r="F1448" s="27" t="s">
        <v>2049</v>
      </c>
      <c r="G1448" s="201" t="s">
        <v>57</v>
      </c>
      <c r="H1448" s="27" t="s">
        <v>131</v>
      </c>
      <c r="I1448" s="27"/>
      <c r="J1448" s="33"/>
      <c r="K1448" s="33"/>
      <c r="L1448" s="66"/>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v>234.0</v>
      </c>
      <c r="AI1448" s="27">
        <v>252.0</v>
      </c>
      <c r="AJ1448" s="27">
        <v>2.0</v>
      </c>
      <c r="AK1448" s="27" t="b">
        <v>0</v>
      </c>
      <c r="AL1448" s="27">
        <v>100.0</v>
      </c>
      <c r="AM1448" s="27" t="s">
        <v>129</v>
      </c>
      <c r="AN1448" s="27" t="s">
        <v>405</v>
      </c>
      <c r="AO1448" s="27"/>
    </row>
    <row r="1449">
      <c r="A1449" s="200">
        <v>44873.02510226852</v>
      </c>
      <c r="B1449" s="19" t="s">
        <v>59</v>
      </c>
      <c r="C1449" s="21" t="s">
        <v>275</v>
      </c>
      <c r="D1449" s="62">
        <v>4.0</v>
      </c>
      <c r="E1449" s="27">
        <v>5.0</v>
      </c>
      <c r="F1449" s="27" t="s">
        <v>2051</v>
      </c>
      <c r="G1449" s="201" t="s">
        <v>57</v>
      </c>
      <c r="H1449" s="27" t="s">
        <v>131</v>
      </c>
      <c r="I1449" s="27"/>
      <c r="J1449" s="33"/>
      <c r="K1449" s="33"/>
      <c r="L1449" s="66"/>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v>183.0</v>
      </c>
      <c r="AI1449" s="27">
        <v>322.0</v>
      </c>
      <c r="AJ1449" s="27">
        <v>2.0</v>
      </c>
      <c r="AK1449" s="27" t="b">
        <v>0</v>
      </c>
      <c r="AL1449" s="27">
        <v>100.0</v>
      </c>
      <c r="AM1449" s="27" t="s">
        <v>189</v>
      </c>
      <c r="AN1449" s="27" t="s">
        <v>405</v>
      </c>
      <c r="AO1449" s="27"/>
    </row>
    <row r="1450">
      <c r="A1450" s="200">
        <v>44873.02510226852</v>
      </c>
      <c r="B1450" s="19" t="s">
        <v>59</v>
      </c>
      <c r="C1450" s="21" t="s">
        <v>283</v>
      </c>
      <c r="D1450" s="62">
        <v>6.0</v>
      </c>
      <c r="E1450" s="27">
        <v>3.0</v>
      </c>
      <c r="F1450" s="27" t="s">
        <v>2043</v>
      </c>
      <c r="G1450" s="201" t="s">
        <v>57</v>
      </c>
      <c r="H1450" s="27" t="s">
        <v>53</v>
      </c>
      <c r="I1450" s="27"/>
      <c r="J1450" s="33"/>
      <c r="K1450" s="33"/>
      <c r="L1450" s="66"/>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v>212.0</v>
      </c>
      <c r="AI1450" s="27">
        <v>176.0</v>
      </c>
      <c r="AJ1450" s="27">
        <v>2.0</v>
      </c>
      <c r="AK1450" s="27" t="b">
        <v>1</v>
      </c>
      <c r="AL1450" s="27">
        <v>100.0</v>
      </c>
      <c r="AM1450" s="27" t="s">
        <v>192</v>
      </c>
      <c r="AN1450" s="27" t="s">
        <v>404</v>
      </c>
      <c r="AO1450" s="27"/>
    </row>
    <row r="1451">
      <c r="A1451" s="200">
        <v>44873.02510226852</v>
      </c>
      <c r="B1451" s="19" t="s">
        <v>59</v>
      </c>
      <c r="C1451" s="21" t="s">
        <v>274</v>
      </c>
      <c r="D1451" s="62">
        <v>6.0</v>
      </c>
      <c r="E1451" s="27">
        <v>3.0</v>
      </c>
      <c r="F1451" s="27" t="s">
        <v>2067</v>
      </c>
      <c r="G1451" s="201" t="s">
        <v>57</v>
      </c>
      <c r="H1451" s="27" t="s">
        <v>148</v>
      </c>
      <c r="I1451" s="27"/>
      <c r="J1451" s="33"/>
      <c r="K1451" s="33"/>
      <c r="L1451" s="66"/>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v>282.0</v>
      </c>
      <c r="AI1451" s="27">
        <v>206.0</v>
      </c>
      <c r="AJ1451" s="27">
        <v>2.0</v>
      </c>
      <c r="AK1451" s="27" t="b">
        <v>0</v>
      </c>
      <c r="AL1451" s="27">
        <v>100.0</v>
      </c>
      <c r="AM1451" s="27" t="s">
        <v>191</v>
      </c>
      <c r="AN1451" s="27" t="s">
        <v>404</v>
      </c>
      <c r="AO1451" s="27"/>
    </row>
    <row r="1452">
      <c r="A1452" s="200">
        <v>44873.02510226852</v>
      </c>
      <c r="B1452" s="19" t="s">
        <v>59</v>
      </c>
      <c r="C1452" s="21" t="s">
        <v>289</v>
      </c>
      <c r="D1452" s="62">
        <v>2.0</v>
      </c>
      <c r="E1452" s="27">
        <v>7.0</v>
      </c>
      <c r="F1452" s="27" t="s">
        <v>2068</v>
      </c>
      <c r="G1452" s="201" t="s">
        <v>57</v>
      </c>
      <c r="H1452" s="27"/>
      <c r="I1452" s="27"/>
      <c r="J1452" s="33"/>
      <c r="K1452" s="33"/>
      <c r="L1452" s="66"/>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v>169.0</v>
      </c>
      <c r="AI1452" s="27">
        <v>268.0</v>
      </c>
      <c r="AJ1452" s="27">
        <v>2.0</v>
      </c>
      <c r="AK1452" s="27" t="b">
        <v>1</v>
      </c>
      <c r="AL1452" s="27">
        <v>100.0</v>
      </c>
      <c r="AM1452" s="27" t="s">
        <v>186</v>
      </c>
      <c r="AN1452" s="27" t="s">
        <v>404</v>
      </c>
      <c r="AO1452" s="27"/>
    </row>
    <row r="1453">
      <c r="A1453" s="200">
        <v>44873.02510226852</v>
      </c>
      <c r="B1453" s="19" t="s">
        <v>59</v>
      </c>
      <c r="C1453" s="21" t="s">
        <v>281</v>
      </c>
      <c r="D1453" s="62">
        <v>5.0</v>
      </c>
      <c r="E1453" s="27">
        <v>5.0</v>
      </c>
      <c r="F1453" s="27" t="s">
        <v>2069</v>
      </c>
      <c r="G1453" s="201" t="s">
        <v>57</v>
      </c>
      <c r="H1453" s="27" t="s">
        <v>148</v>
      </c>
      <c r="I1453" s="27"/>
      <c r="J1453" s="33"/>
      <c r="K1453" s="33"/>
      <c r="L1453" s="66"/>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v>185.0</v>
      </c>
      <c r="AI1453" s="27">
        <v>246.0</v>
      </c>
      <c r="AJ1453" s="27">
        <v>2.0</v>
      </c>
      <c r="AK1453" s="27" t="b">
        <v>0</v>
      </c>
      <c r="AL1453" s="27">
        <v>100.0</v>
      </c>
      <c r="AM1453" s="27" t="s">
        <v>389</v>
      </c>
      <c r="AN1453" s="27" t="s">
        <v>405</v>
      </c>
      <c r="AO1453" s="27"/>
    </row>
    <row r="1454">
      <c r="A1454" s="200">
        <v>44873.02510226852</v>
      </c>
      <c r="B1454" s="19" t="s">
        <v>59</v>
      </c>
      <c r="C1454" s="21" t="s">
        <v>277</v>
      </c>
      <c r="D1454" s="62">
        <v>5.0</v>
      </c>
      <c r="E1454" s="27">
        <v>4.0</v>
      </c>
      <c r="F1454" s="27" t="s">
        <v>2070</v>
      </c>
      <c r="G1454" s="201" t="s">
        <v>57</v>
      </c>
      <c r="H1454" s="27" t="s">
        <v>144</v>
      </c>
      <c r="I1454" s="27"/>
      <c r="J1454" s="33"/>
      <c r="K1454" s="33"/>
      <c r="L1454" s="66"/>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v>323.0</v>
      </c>
      <c r="AI1454" s="27">
        <v>228.0</v>
      </c>
      <c r="AJ1454" s="27">
        <v>2.0</v>
      </c>
      <c r="AK1454" s="27" t="b">
        <v>0</v>
      </c>
      <c r="AL1454" s="27">
        <v>100.0</v>
      </c>
      <c r="AM1454" s="27" t="s">
        <v>193</v>
      </c>
      <c r="AN1454" s="27" t="s">
        <v>405</v>
      </c>
      <c r="AO1454" s="27"/>
    </row>
    <row r="1455">
      <c r="A1455" s="200">
        <v>44873.02510226852</v>
      </c>
      <c r="B1455" s="19" t="s">
        <v>59</v>
      </c>
      <c r="C1455" s="21" t="s">
        <v>285</v>
      </c>
      <c r="D1455" s="62">
        <v>3.0</v>
      </c>
      <c r="E1455" s="27">
        <v>6.0</v>
      </c>
      <c r="F1455" s="27" t="s">
        <v>2071</v>
      </c>
      <c r="G1455" s="201" t="s">
        <v>57</v>
      </c>
      <c r="H1455" s="27" t="s">
        <v>138</v>
      </c>
      <c r="I1455" s="27"/>
      <c r="J1455" s="33"/>
      <c r="K1455" s="33"/>
      <c r="L1455" s="66"/>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v>237.0</v>
      </c>
      <c r="AI1455" s="27">
        <v>261.0</v>
      </c>
      <c r="AJ1455" s="27">
        <v>2.0</v>
      </c>
      <c r="AK1455" s="27" t="b">
        <v>0</v>
      </c>
      <c r="AL1455" s="27">
        <v>100.0</v>
      </c>
      <c r="AM1455" s="27" t="s">
        <v>190</v>
      </c>
      <c r="AN1455" s="27" t="s">
        <v>405</v>
      </c>
      <c r="AO1455" s="27"/>
    </row>
    <row r="1456">
      <c r="A1456" s="200">
        <v>44873.02510226852</v>
      </c>
      <c r="B1456" s="19"/>
      <c r="C1456" s="21"/>
      <c r="D1456" s="62"/>
      <c r="E1456" s="27"/>
      <c r="F1456" s="27"/>
      <c r="G1456" s="201"/>
      <c r="H1456" s="27"/>
      <c r="I1456" s="27"/>
      <c r="J1456" s="33"/>
      <c r="K1456" s="33"/>
      <c r="L1456" s="66"/>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t="e">
        <v>#N/A</v>
      </c>
      <c r="AN1456" s="27" t="e">
        <v>#N/A</v>
      </c>
      <c r="AO1456" s="27"/>
    </row>
    <row r="1457">
      <c r="A1457" s="200">
        <v>44873.02510226852</v>
      </c>
      <c r="B1457" s="19" t="s">
        <v>138</v>
      </c>
      <c r="C1457" s="21" t="s">
        <v>309</v>
      </c>
      <c r="D1457" s="62">
        <v>3.0</v>
      </c>
      <c r="E1457" s="27">
        <v>6.0</v>
      </c>
      <c r="F1457" s="27" t="s">
        <v>2072</v>
      </c>
      <c r="G1457" s="201" t="s">
        <v>57</v>
      </c>
      <c r="H1457" s="27" t="s">
        <v>154</v>
      </c>
      <c r="I1457" s="27"/>
      <c r="J1457" s="33"/>
      <c r="K1457" s="33"/>
      <c r="L1457" s="66"/>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v>240.0</v>
      </c>
      <c r="AI1457" s="27">
        <v>331.0</v>
      </c>
      <c r="AJ1457" s="27">
        <v>2.0</v>
      </c>
      <c r="AK1457" s="27" t="b">
        <v>0</v>
      </c>
      <c r="AL1457" s="27">
        <v>100.0</v>
      </c>
      <c r="AM1457" s="27" t="s">
        <v>187</v>
      </c>
      <c r="AN1457" s="27" t="s">
        <v>404</v>
      </c>
      <c r="AO1457" s="27"/>
    </row>
    <row r="1458">
      <c r="A1458" s="200">
        <v>44873.02510226852</v>
      </c>
      <c r="B1458" s="19" t="s">
        <v>138</v>
      </c>
      <c r="C1458" s="21" t="s">
        <v>302</v>
      </c>
      <c r="D1458" s="62">
        <v>7.0</v>
      </c>
      <c r="E1458" s="27">
        <v>2.0</v>
      </c>
      <c r="F1458" s="27" t="s">
        <v>2059</v>
      </c>
      <c r="G1458" s="201" t="s">
        <v>57</v>
      </c>
      <c r="H1458" s="27" t="s">
        <v>178</v>
      </c>
      <c r="I1458" s="27"/>
      <c r="J1458" s="33"/>
      <c r="K1458" s="33"/>
      <c r="L1458" s="66"/>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v>291.0</v>
      </c>
      <c r="AI1458" s="27">
        <v>172.0</v>
      </c>
      <c r="AJ1458" s="27">
        <v>2.0</v>
      </c>
      <c r="AK1458" s="27" t="b">
        <v>1</v>
      </c>
      <c r="AL1458" s="27">
        <v>100.0</v>
      </c>
      <c r="AM1458" s="27" t="s">
        <v>193</v>
      </c>
      <c r="AN1458" s="27" t="s">
        <v>405</v>
      </c>
      <c r="AO1458" s="27"/>
    </row>
    <row r="1459">
      <c r="A1459" s="200">
        <v>44873.02510226852</v>
      </c>
      <c r="B1459" s="19" t="s">
        <v>138</v>
      </c>
      <c r="C1459" s="21" t="s">
        <v>303</v>
      </c>
      <c r="D1459" s="62">
        <v>5.0</v>
      </c>
      <c r="E1459" s="27">
        <v>4.0</v>
      </c>
      <c r="F1459" s="27" t="s">
        <v>2073</v>
      </c>
      <c r="G1459" s="201" t="s">
        <v>57</v>
      </c>
      <c r="H1459" s="27" t="s">
        <v>166</v>
      </c>
      <c r="I1459" s="27"/>
      <c r="J1459" s="33">
        <v>-4.5</v>
      </c>
      <c r="K1459" s="33">
        <v>-4.0</v>
      </c>
      <c r="L1459" s="66">
        <v>61.0</v>
      </c>
      <c r="M1459" s="27" t="s">
        <v>2007</v>
      </c>
      <c r="N1459" s="27">
        <v>-4.0</v>
      </c>
      <c r="O1459" s="27"/>
      <c r="P1459" s="27">
        <v>-4.0</v>
      </c>
      <c r="Q1459" s="27"/>
      <c r="R1459" s="27">
        <v>-4.0</v>
      </c>
      <c r="S1459" s="27"/>
      <c r="T1459" s="27">
        <v>-4.0</v>
      </c>
      <c r="U1459" s="27"/>
      <c r="V1459" s="27">
        <v>-4.0</v>
      </c>
      <c r="W1459" s="27"/>
      <c r="X1459" s="27">
        <v>-4.0</v>
      </c>
      <c r="Y1459" s="27"/>
      <c r="Z1459" s="27">
        <v>-4.0</v>
      </c>
      <c r="AA1459" s="27"/>
      <c r="AB1459" s="27">
        <v>-4.0</v>
      </c>
      <c r="AC1459" s="27"/>
      <c r="AD1459" s="27">
        <v>-4.0</v>
      </c>
      <c r="AE1459" s="27"/>
      <c r="AF1459" s="27" t="s">
        <v>1091</v>
      </c>
      <c r="AG1459" s="27" t="s">
        <v>1091</v>
      </c>
      <c r="AH1459" s="27">
        <v>289.0</v>
      </c>
      <c r="AI1459" s="27">
        <v>276.0</v>
      </c>
      <c r="AJ1459" s="27">
        <v>2.0</v>
      </c>
      <c r="AK1459" s="27" t="b">
        <v>0</v>
      </c>
      <c r="AL1459" s="27">
        <v>100.0</v>
      </c>
      <c r="AM1459" s="27" t="s">
        <v>192</v>
      </c>
      <c r="AN1459" s="27" t="s">
        <v>404</v>
      </c>
      <c r="AO1459" s="27"/>
    </row>
    <row r="1460">
      <c r="A1460" s="200">
        <v>44873.02510226852</v>
      </c>
      <c r="B1460" s="19" t="s">
        <v>138</v>
      </c>
      <c r="C1460" s="21" t="s">
        <v>311</v>
      </c>
      <c r="D1460" s="62">
        <v>3.0</v>
      </c>
      <c r="E1460" s="27">
        <v>6.0</v>
      </c>
      <c r="F1460" s="27" t="s">
        <v>2052</v>
      </c>
      <c r="G1460" s="201" t="s">
        <v>57</v>
      </c>
      <c r="H1460" s="27" t="s">
        <v>131</v>
      </c>
      <c r="I1460" s="27"/>
      <c r="J1460" s="33"/>
      <c r="K1460" s="33"/>
      <c r="L1460" s="66"/>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v>203.0</v>
      </c>
      <c r="AI1460" s="27">
        <v>282.0</v>
      </c>
      <c r="AJ1460" s="27">
        <v>2.0</v>
      </c>
      <c r="AK1460" s="27" t="b">
        <v>0</v>
      </c>
      <c r="AL1460" s="27">
        <v>100.0</v>
      </c>
      <c r="AM1460" s="27" t="s">
        <v>191</v>
      </c>
      <c r="AN1460" s="27" t="s">
        <v>404</v>
      </c>
      <c r="AO1460" s="27"/>
    </row>
    <row r="1461">
      <c r="A1461" s="200">
        <v>44873.02510226852</v>
      </c>
      <c r="B1461" s="19" t="s">
        <v>138</v>
      </c>
      <c r="C1461" s="21" t="s">
        <v>294</v>
      </c>
      <c r="D1461" s="62">
        <v>4.0</v>
      </c>
      <c r="E1461" s="27">
        <v>5.0</v>
      </c>
      <c r="F1461" s="27" t="s">
        <v>2074</v>
      </c>
      <c r="G1461" s="201" t="s">
        <v>57</v>
      </c>
      <c r="H1461" s="27" t="s">
        <v>144</v>
      </c>
      <c r="I1461" s="27"/>
      <c r="J1461" s="33"/>
      <c r="K1461" s="33"/>
      <c r="L1461" s="66"/>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v>219.0</v>
      </c>
      <c r="AI1461" s="27">
        <v>234.0</v>
      </c>
      <c r="AJ1461" s="27">
        <v>2.0</v>
      </c>
      <c r="AK1461" s="27" t="b">
        <v>1</v>
      </c>
      <c r="AL1461" s="27">
        <v>100.0</v>
      </c>
      <c r="AM1461" s="27" t="s">
        <v>188</v>
      </c>
      <c r="AN1461" s="27" t="s">
        <v>404</v>
      </c>
      <c r="AO1461" s="27"/>
    </row>
    <row r="1462">
      <c r="A1462" s="200">
        <v>44873.02510226852</v>
      </c>
      <c r="B1462" s="19" t="s">
        <v>138</v>
      </c>
      <c r="C1462" s="21" t="s">
        <v>282</v>
      </c>
      <c r="D1462" s="62">
        <v>7.0</v>
      </c>
      <c r="E1462" s="27">
        <v>2.0</v>
      </c>
      <c r="F1462" s="27" t="s">
        <v>2075</v>
      </c>
      <c r="G1462" s="201" t="s">
        <v>57</v>
      </c>
      <c r="H1462" s="27" t="s">
        <v>116</v>
      </c>
      <c r="I1462" s="27"/>
      <c r="J1462" s="33"/>
      <c r="K1462" s="33"/>
      <c r="L1462" s="66"/>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v>299.0</v>
      </c>
      <c r="AI1462" s="27">
        <v>189.0</v>
      </c>
      <c r="AJ1462" s="27">
        <v>2.0</v>
      </c>
      <c r="AK1462" s="27" t="b">
        <v>0</v>
      </c>
      <c r="AL1462" s="27">
        <v>100.0</v>
      </c>
      <c r="AM1462" s="27" t="s">
        <v>389</v>
      </c>
      <c r="AN1462" s="27" t="s">
        <v>405</v>
      </c>
      <c r="AO1462" s="27"/>
    </row>
    <row r="1463">
      <c r="A1463" s="200">
        <v>44873.02510226852</v>
      </c>
      <c r="B1463" s="19" t="s">
        <v>138</v>
      </c>
      <c r="C1463" s="21" t="s">
        <v>304</v>
      </c>
      <c r="D1463" s="62">
        <v>4.0</v>
      </c>
      <c r="E1463" s="27">
        <v>5.0</v>
      </c>
      <c r="F1463" s="27" t="s">
        <v>2060</v>
      </c>
      <c r="G1463" s="201" t="s">
        <v>57</v>
      </c>
      <c r="H1463" s="27" t="s">
        <v>178</v>
      </c>
      <c r="I1463" s="27"/>
      <c r="J1463" s="33"/>
      <c r="K1463" s="33"/>
      <c r="L1463" s="66"/>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v>180.0</v>
      </c>
      <c r="AI1463" s="27">
        <v>260.0</v>
      </c>
      <c r="AJ1463" s="27">
        <v>2.0</v>
      </c>
      <c r="AK1463" s="27" t="b">
        <v>1</v>
      </c>
      <c r="AL1463" s="27">
        <v>100.0</v>
      </c>
      <c r="AM1463" s="27" t="s">
        <v>129</v>
      </c>
      <c r="AN1463" s="27" t="s">
        <v>405</v>
      </c>
      <c r="AO1463" s="27"/>
    </row>
    <row r="1464">
      <c r="A1464" s="200">
        <v>44873.02510226852</v>
      </c>
      <c r="B1464" s="19" t="s">
        <v>138</v>
      </c>
      <c r="C1464" s="21" t="s">
        <v>308</v>
      </c>
      <c r="D1464" s="62">
        <v>6.0</v>
      </c>
      <c r="E1464" s="27">
        <v>3.0</v>
      </c>
      <c r="F1464" s="27" t="s">
        <v>2076</v>
      </c>
      <c r="G1464" s="201" t="s">
        <v>57</v>
      </c>
      <c r="H1464" s="27" t="s">
        <v>166</v>
      </c>
      <c r="I1464" s="27"/>
      <c r="J1464" s="33"/>
      <c r="K1464" s="33"/>
      <c r="L1464" s="66"/>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v>270.0</v>
      </c>
      <c r="AI1464" s="27">
        <v>166.0</v>
      </c>
      <c r="AJ1464" s="27">
        <v>2.0</v>
      </c>
      <c r="AK1464" s="27" t="b">
        <v>1</v>
      </c>
      <c r="AL1464" s="27">
        <v>100.0</v>
      </c>
      <c r="AM1464" s="27" t="s">
        <v>186</v>
      </c>
      <c r="AN1464" s="27" t="s">
        <v>404</v>
      </c>
      <c r="AO1464" s="27"/>
    </row>
    <row r="1465">
      <c r="A1465" s="200">
        <v>44873.02510226852</v>
      </c>
      <c r="B1465" s="19" t="s">
        <v>138</v>
      </c>
      <c r="C1465" s="21" t="s">
        <v>298</v>
      </c>
      <c r="D1465" s="62">
        <v>2.0</v>
      </c>
      <c r="E1465" s="27">
        <v>7.0</v>
      </c>
      <c r="F1465" s="27" t="s">
        <v>2071</v>
      </c>
      <c r="G1465" s="201" t="s">
        <v>57</v>
      </c>
      <c r="H1465" s="27" t="s">
        <v>59</v>
      </c>
      <c r="I1465" s="27"/>
      <c r="J1465" s="33"/>
      <c r="K1465" s="33"/>
      <c r="L1465" s="66"/>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v>268.0</v>
      </c>
      <c r="AI1465" s="27">
        <v>299.0</v>
      </c>
      <c r="AJ1465" s="27">
        <v>2.0</v>
      </c>
      <c r="AK1465" s="27" t="b">
        <v>1</v>
      </c>
      <c r="AL1465" s="27">
        <v>100.0</v>
      </c>
      <c r="AM1465" s="27" t="s">
        <v>190</v>
      </c>
      <c r="AN1465" s="27" t="s">
        <v>405</v>
      </c>
      <c r="AO1465" s="27"/>
    </row>
    <row r="1466">
      <c r="A1466" s="200">
        <v>44873.02510226852</v>
      </c>
      <c r="B1466" s="19" t="s">
        <v>138</v>
      </c>
      <c r="C1466" s="21" t="s">
        <v>296</v>
      </c>
      <c r="D1466" s="62">
        <v>7.0</v>
      </c>
      <c r="E1466" s="27">
        <v>2.0</v>
      </c>
      <c r="F1466" s="27" t="s">
        <v>2077</v>
      </c>
      <c r="G1466" s="201" t="s">
        <v>183</v>
      </c>
      <c r="H1466" s="27" t="s">
        <v>103</v>
      </c>
      <c r="I1466" s="27"/>
      <c r="J1466" s="33"/>
      <c r="K1466" s="33"/>
      <c r="L1466" s="66"/>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v>329.0</v>
      </c>
      <c r="AI1466" s="27">
        <v>273.0</v>
      </c>
      <c r="AJ1466" s="27">
        <v>2.0</v>
      </c>
      <c r="AK1466" s="27" t="b">
        <v>1</v>
      </c>
      <c r="AL1466" s="27">
        <v>100.0</v>
      </c>
      <c r="AM1466" s="27" t="s">
        <v>189</v>
      </c>
      <c r="AN1466" s="27" t="s">
        <v>405</v>
      </c>
      <c r="AO1466" s="27"/>
    </row>
    <row r="1467">
      <c r="A1467" s="200">
        <v>44873.02510226852</v>
      </c>
      <c r="B1467" s="19"/>
      <c r="C1467" s="21"/>
      <c r="D1467" s="62"/>
      <c r="E1467" s="27"/>
      <c r="F1467" s="27"/>
      <c r="G1467" s="201"/>
      <c r="H1467" s="27"/>
      <c r="I1467" s="27"/>
      <c r="J1467" s="33"/>
      <c r="K1467" s="33"/>
      <c r="L1467" s="66"/>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t="e">
        <v>#N/A</v>
      </c>
      <c r="AN1467" s="27" t="e">
        <v>#N/A</v>
      </c>
      <c r="AO1467" s="27"/>
    </row>
    <row r="1468">
      <c r="A1468" s="200">
        <v>44873.02510226852</v>
      </c>
      <c r="B1468" s="19" t="s">
        <v>141</v>
      </c>
      <c r="C1468" s="21" t="s">
        <v>323</v>
      </c>
      <c r="D1468" s="62">
        <v>1.0</v>
      </c>
      <c r="E1468" s="27">
        <v>8.0</v>
      </c>
      <c r="F1468" s="27"/>
      <c r="G1468" s="201"/>
      <c r="H1468" s="27"/>
      <c r="I1468" s="27" t="s">
        <v>126</v>
      </c>
      <c r="J1468" s="33"/>
      <c r="K1468" s="33"/>
      <c r="L1468" s="66"/>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v>167.0</v>
      </c>
      <c r="AI1468" s="27">
        <v>333.0</v>
      </c>
      <c r="AJ1468" s="27">
        <v>0.0</v>
      </c>
      <c r="AK1468" s="27" t="b">
        <v>1</v>
      </c>
      <c r="AL1468" s="27">
        <v>59.0</v>
      </c>
      <c r="AM1468" s="27" t="s">
        <v>190</v>
      </c>
      <c r="AN1468" s="27" t="s">
        <v>405</v>
      </c>
      <c r="AO1468" s="27"/>
    </row>
    <row r="1469">
      <c r="A1469" s="200">
        <v>44873.02510226852</v>
      </c>
      <c r="B1469" s="19" t="s">
        <v>141</v>
      </c>
      <c r="C1469" s="21" t="s">
        <v>349</v>
      </c>
      <c r="D1469" s="62">
        <v>6.0</v>
      </c>
      <c r="E1469" s="27">
        <v>2.0</v>
      </c>
      <c r="F1469" s="27" t="s">
        <v>2078</v>
      </c>
      <c r="G1469" s="201" t="s">
        <v>57</v>
      </c>
      <c r="H1469" s="27" t="s">
        <v>116</v>
      </c>
      <c r="I1469" s="27"/>
      <c r="J1469" s="33"/>
      <c r="K1469" s="33"/>
      <c r="L1469" s="66"/>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v>217.0</v>
      </c>
      <c r="AI1469" s="27">
        <v>131.0</v>
      </c>
      <c r="AJ1469" s="27">
        <v>2.0</v>
      </c>
      <c r="AK1469" s="27" t="b">
        <v>0</v>
      </c>
      <c r="AL1469" s="27">
        <v>100.0</v>
      </c>
      <c r="AM1469" s="27" t="s">
        <v>129</v>
      </c>
      <c r="AN1469" s="27" t="s">
        <v>405</v>
      </c>
      <c r="AO1469" s="27"/>
    </row>
    <row r="1470">
      <c r="A1470" s="200">
        <v>44873.02510226852</v>
      </c>
      <c r="B1470" s="19" t="s">
        <v>141</v>
      </c>
      <c r="C1470" s="21" t="s">
        <v>386</v>
      </c>
      <c r="D1470" s="62">
        <v>4.0</v>
      </c>
      <c r="E1470" s="27">
        <v>5.0</v>
      </c>
      <c r="F1470" s="27" t="s">
        <v>2065</v>
      </c>
      <c r="G1470" s="201" t="s">
        <v>57</v>
      </c>
      <c r="H1470" s="27" t="s">
        <v>59</v>
      </c>
      <c r="I1470" s="27"/>
      <c r="J1470" s="33"/>
      <c r="K1470" s="33"/>
      <c r="L1470" s="66"/>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v>178.0</v>
      </c>
      <c r="AI1470" s="27">
        <v>232.0</v>
      </c>
      <c r="AJ1470" s="27">
        <v>2.0</v>
      </c>
      <c r="AK1470" s="27" t="b">
        <v>0</v>
      </c>
      <c r="AL1470" s="27">
        <v>100.0</v>
      </c>
      <c r="AM1470" s="27" t="s">
        <v>191</v>
      </c>
      <c r="AN1470" s="27" t="s">
        <v>404</v>
      </c>
      <c r="AO1470" s="27"/>
    </row>
    <row r="1471">
      <c r="A1471" s="200">
        <v>44873.02510226852</v>
      </c>
      <c r="B1471" s="19" t="s">
        <v>141</v>
      </c>
      <c r="C1471" s="21" t="s">
        <v>314</v>
      </c>
      <c r="D1471" s="62">
        <v>5.0</v>
      </c>
      <c r="E1471" s="27">
        <v>4.0</v>
      </c>
      <c r="F1471" s="27" t="s">
        <v>2079</v>
      </c>
      <c r="G1471" s="201" t="s">
        <v>57</v>
      </c>
      <c r="H1471" s="27" t="s">
        <v>154</v>
      </c>
      <c r="I1471" s="27"/>
      <c r="J1471" s="33"/>
      <c r="K1471" s="33"/>
      <c r="L1471" s="66"/>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v>362.0</v>
      </c>
      <c r="AI1471" s="27">
        <v>303.0</v>
      </c>
      <c r="AJ1471" s="27">
        <v>2.0</v>
      </c>
      <c r="AK1471" s="27" t="b">
        <v>1</v>
      </c>
      <c r="AL1471" s="27">
        <v>100.0</v>
      </c>
      <c r="AM1471" s="27" t="s">
        <v>389</v>
      </c>
      <c r="AN1471" s="27" t="s">
        <v>405</v>
      </c>
      <c r="AO1471" s="27"/>
    </row>
    <row r="1472">
      <c r="A1472" s="200">
        <v>44873.02510226852</v>
      </c>
      <c r="B1472" s="19" t="s">
        <v>141</v>
      </c>
      <c r="C1472" s="21" t="s">
        <v>353</v>
      </c>
      <c r="D1472" s="62">
        <v>6.0</v>
      </c>
      <c r="E1472" s="27">
        <v>3.0</v>
      </c>
      <c r="F1472" s="27" t="s">
        <v>2080</v>
      </c>
      <c r="G1472" s="201" t="s">
        <v>57</v>
      </c>
      <c r="H1472" s="27" t="s">
        <v>116</v>
      </c>
      <c r="I1472" s="27"/>
      <c r="J1472" s="33"/>
      <c r="K1472" s="33"/>
      <c r="L1472" s="66"/>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v>272.0</v>
      </c>
      <c r="AI1472" s="27">
        <v>175.0</v>
      </c>
      <c r="AJ1472" s="27">
        <v>2.0</v>
      </c>
      <c r="AK1472" s="27" t="b">
        <v>1</v>
      </c>
      <c r="AL1472" s="27">
        <v>100.0</v>
      </c>
      <c r="AM1472" s="27" t="s">
        <v>186</v>
      </c>
      <c r="AN1472" s="27" t="s">
        <v>404</v>
      </c>
      <c r="AO1472" s="27"/>
    </row>
    <row r="1473">
      <c r="A1473" s="200">
        <v>44873.02510226852</v>
      </c>
      <c r="B1473" s="19" t="s">
        <v>141</v>
      </c>
      <c r="C1473" s="21" t="s">
        <v>393</v>
      </c>
      <c r="D1473" s="62">
        <v>5.0</v>
      </c>
      <c r="E1473" s="27">
        <v>5.0</v>
      </c>
      <c r="F1473" s="27" t="s">
        <v>2081</v>
      </c>
      <c r="G1473" s="201" t="s">
        <v>57</v>
      </c>
      <c r="H1473" s="27" t="s">
        <v>148</v>
      </c>
      <c r="I1473" s="27"/>
      <c r="J1473" s="33"/>
      <c r="K1473" s="33"/>
      <c r="L1473" s="66"/>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v>296.0</v>
      </c>
      <c r="AI1473" s="27">
        <v>308.0</v>
      </c>
      <c r="AJ1473" s="27">
        <v>2.0</v>
      </c>
      <c r="AK1473" s="27" t="b">
        <v>0</v>
      </c>
      <c r="AL1473" s="27">
        <v>100.0</v>
      </c>
      <c r="AM1473" s="27" t="s">
        <v>187</v>
      </c>
      <c r="AN1473" s="27" t="s">
        <v>404</v>
      </c>
      <c r="AO1473" s="27"/>
    </row>
    <row r="1474">
      <c r="A1474" s="200">
        <v>44873.02510226852</v>
      </c>
      <c r="B1474" s="19" t="s">
        <v>141</v>
      </c>
      <c r="C1474" s="21" t="s">
        <v>318</v>
      </c>
      <c r="D1474" s="62">
        <v>7.0</v>
      </c>
      <c r="E1474" s="27">
        <v>2.0</v>
      </c>
      <c r="F1474" s="27" t="s">
        <v>2082</v>
      </c>
      <c r="G1474" s="201" t="s">
        <v>57</v>
      </c>
      <c r="H1474" s="27" t="s">
        <v>109</v>
      </c>
      <c r="I1474" s="27"/>
      <c r="J1474" s="33"/>
      <c r="K1474" s="33"/>
      <c r="L1474" s="66"/>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v>203.0</v>
      </c>
      <c r="AI1474" s="27">
        <v>158.0</v>
      </c>
      <c r="AJ1474" s="27">
        <v>2.0</v>
      </c>
      <c r="AK1474" s="27" t="b">
        <v>1</v>
      </c>
      <c r="AL1474" s="27">
        <v>100.0</v>
      </c>
      <c r="AM1474" s="27" t="s">
        <v>193</v>
      </c>
      <c r="AN1474" s="27" t="s">
        <v>405</v>
      </c>
      <c r="AO1474" s="27"/>
    </row>
    <row r="1475">
      <c r="A1475" s="200">
        <v>44873.02510226852</v>
      </c>
      <c r="B1475" s="19" t="s">
        <v>141</v>
      </c>
      <c r="C1475" s="21" t="s">
        <v>365</v>
      </c>
      <c r="D1475" s="62">
        <v>3.0</v>
      </c>
      <c r="E1475" s="27">
        <v>6.0</v>
      </c>
      <c r="F1475" s="27" t="s">
        <v>2061</v>
      </c>
      <c r="G1475" s="201" t="s">
        <v>57</v>
      </c>
      <c r="H1475" s="27" t="s">
        <v>178</v>
      </c>
      <c r="I1475" s="27"/>
      <c r="J1475" s="33"/>
      <c r="K1475" s="33"/>
      <c r="L1475" s="66"/>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v>230.0</v>
      </c>
      <c r="AI1475" s="27">
        <v>265.0</v>
      </c>
      <c r="AJ1475" s="27">
        <v>2.0</v>
      </c>
      <c r="AK1475" s="27" t="b">
        <v>0</v>
      </c>
      <c r="AL1475" s="27">
        <v>100.0</v>
      </c>
      <c r="AM1475" s="27" t="s">
        <v>188</v>
      </c>
      <c r="AN1475" s="27" t="s">
        <v>404</v>
      </c>
      <c r="AO1475" s="27"/>
    </row>
    <row r="1476">
      <c r="A1476" s="200">
        <v>44873.02510226852</v>
      </c>
      <c r="B1476" s="19" t="s">
        <v>141</v>
      </c>
      <c r="C1476" s="21" t="s">
        <v>317</v>
      </c>
      <c r="D1476" s="62">
        <v>2.0</v>
      </c>
      <c r="E1476" s="27">
        <v>8.0</v>
      </c>
      <c r="F1476" s="27" t="s">
        <v>2063</v>
      </c>
      <c r="G1476" s="201" t="s">
        <v>57</v>
      </c>
      <c r="H1476" s="27" t="s">
        <v>178</v>
      </c>
      <c r="I1476" s="27"/>
      <c r="J1476" s="33"/>
      <c r="K1476" s="33"/>
      <c r="L1476" s="66"/>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v>253.0</v>
      </c>
      <c r="AI1476" s="27">
        <v>428.0</v>
      </c>
      <c r="AJ1476" s="27">
        <v>2.0</v>
      </c>
      <c r="AK1476" s="27" t="b">
        <v>0</v>
      </c>
      <c r="AL1476" s="27">
        <v>100.0</v>
      </c>
      <c r="AM1476" s="27" t="s">
        <v>189</v>
      </c>
      <c r="AN1476" s="27" t="s">
        <v>405</v>
      </c>
      <c r="AO1476" s="27"/>
    </row>
    <row r="1477">
      <c r="A1477" s="200">
        <v>44873.02510226852</v>
      </c>
      <c r="B1477" s="19" t="s">
        <v>141</v>
      </c>
      <c r="C1477" s="21" t="s">
        <v>287</v>
      </c>
      <c r="D1477" s="62">
        <v>7.0</v>
      </c>
      <c r="E1477" s="27">
        <v>2.0</v>
      </c>
      <c r="F1477" s="27" t="s">
        <v>2083</v>
      </c>
      <c r="G1477" s="201" t="s">
        <v>183</v>
      </c>
      <c r="H1477" s="27" t="s">
        <v>109</v>
      </c>
      <c r="I1477" s="27"/>
      <c r="J1477" s="33"/>
      <c r="K1477" s="33"/>
      <c r="L1477" s="66"/>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v>376.0</v>
      </c>
      <c r="AI1477" s="27">
        <v>165.0</v>
      </c>
      <c r="AJ1477" s="27">
        <v>2.0</v>
      </c>
      <c r="AK1477" s="27" t="b">
        <v>1</v>
      </c>
      <c r="AL1477" s="27">
        <v>100.0</v>
      </c>
      <c r="AM1477" s="27" t="s">
        <v>192</v>
      </c>
      <c r="AN1477" s="27" t="s">
        <v>404</v>
      </c>
      <c r="AO1477" s="27"/>
    </row>
    <row r="1478">
      <c r="A1478" s="200">
        <v>44873.02510226852</v>
      </c>
      <c r="B1478" s="19"/>
      <c r="C1478" s="21"/>
      <c r="D1478" s="62"/>
      <c r="E1478" s="27"/>
      <c r="F1478" s="27"/>
      <c r="G1478" s="201"/>
      <c r="H1478" s="27"/>
      <c r="I1478" s="27"/>
      <c r="J1478" s="33"/>
      <c r="K1478" s="33"/>
      <c r="L1478" s="66"/>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t="e">
        <v>#N/A</v>
      </c>
      <c r="AN1478" s="27" t="e">
        <v>#N/A</v>
      </c>
      <c r="AO1478" s="27"/>
    </row>
    <row r="1479">
      <c r="A1479" s="200">
        <v>44873.02510226852</v>
      </c>
      <c r="B1479" s="19" t="s">
        <v>109</v>
      </c>
      <c r="C1479" s="21" t="s">
        <v>394</v>
      </c>
      <c r="D1479" s="62">
        <v>3.0</v>
      </c>
      <c r="E1479" s="27">
        <v>5.0</v>
      </c>
      <c r="F1479" s="27"/>
      <c r="G1479" s="201"/>
      <c r="H1479" s="27"/>
      <c r="I1479" s="27" t="s">
        <v>2084</v>
      </c>
      <c r="J1479" s="33"/>
      <c r="K1479" s="33"/>
      <c r="L1479" s="66"/>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v>128.0</v>
      </c>
      <c r="AI1479" s="27">
        <v>216.0</v>
      </c>
      <c r="AJ1479" s="27">
        <v>0.0</v>
      </c>
      <c r="AK1479" s="27" t="b">
        <v>1</v>
      </c>
      <c r="AL1479" s="27">
        <v>59.0</v>
      </c>
      <c r="AM1479" s="27" t="s">
        <v>129</v>
      </c>
      <c r="AN1479" s="27" t="s">
        <v>405</v>
      </c>
      <c r="AO1479" s="27"/>
    </row>
    <row r="1480">
      <c r="A1480" s="200">
        <v>44873.02510226852</v>
      </c>
      <c r="B1480" s="19" t="s">
        <v>109</v>
      </c>
      <c r="C1480" s="21" t="s">
        <v>328</v>
      </c>
      <c r="D1480" s="62">
        <v>3.0</v>
      </c>
      <c r="E1480" s="27">
        <v>6.0</v>
      </c>
      <c r="F1480" s="27" t="s">
        <v>2057</v>
      </c>
      <c r="G1480" s="201" t="s">
        <v>57</v>
      </c>
      <c r="H1480" s="27" t="s">
        <v>178</v>
      </c>
      <c r="I1480" s="27"/>
      <c r="J1480" s="33"/>
      <c r="K1480" s="33"/>
      <c r="L1480" s="66"/>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v>253.0</v>
      </c>
      <c r="AI1480" s="27">
        <v>280.0</v>
      </c>
      <c r="AJ1480" s="27">
        <v>2.0</v>
      </c>
      <c r="AK1480" s="27" t="b">
        <v>1</v>
      </c>
      <c r="AL1480" s="27">
        <v>100.0</v>
      </c>
      <c r="AM1480" s="27" t="s">
        <v>191</v>
      </c>
      <c r="AN1480" s="27" t="s">
        <v>404</v>
      </c>
      <c r="AO1480" s="27"/>
    </row>
    <row r="1481">
      <c r="A1481" s="200">
        <v>44873.02510226852</v>
      </c>
      <c r="B1481" s="19" t="s">
        <v>109</v>
      </c>
      <c r="C1481" s="21" t="s">
        <v>400</v>
      </c>
      <c r="D1481" s="62">
        <v>6.0</v>
      </c>
      <c r="E1481" s="27">
        <v>3.0</v>
      </c>
      <c r="F1481" s="27" t="s">
        <v>2048</v>
      </c>
      <c r="G1481" s="201" t="s">
        <v>57</v>
      </c>
      <c r="H1481" s="27" t="s">
        <v>131</v>
      </c>
      <c r="I1481" s="27"/>
      <c r="J1481" s="33"/>
      <c r="K1481" s="33"/>
      <c r="L1481" s="66"/>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v>262.0</v>
      </c>
      <c r="AI1481" s="27">
        <v>191.0</v>
      </c>
      <c r="AJ1481" s="27">
        <v>2.0</v>
      </c>
      <c r="AK1481" s="27" t="b">
        <v>1</v>
      </c>
      <c r="AL1481" s="27">
        <v>100.0</v>
      </c>
      <c r="AM1481" s="27" t="s">
        <v>187</v>
      </c>
      <c r="AN1481" s="27" t="s">
        <v>404</v>
      </c>
      <c r="AO1481" s="27"/>
    </row>
    <row r="1482">
      <c r="A1482" s="200">
        <v>44873.02510226852</v>
      </c>
      <c r="B1482" s="19" t="s">
        <v>109</v>
      </c>
      <c r="C1482" s="21" t="s">
        <v>292</v>
      </c>
      <c r="D1482" s="62">
        <v>4.0</v>
      </c>
      <c r="E1482" s="27">
        <v>5.0</v>
      </c>
      <c r="F1482" s="27" t="s">
        <v>2082</v>
      </c>
      <c r="G1482" s="201" t="s">
        <v>57</v>
      </c>
      <c r="H1482" s="27" t="s">
        <v>141</v>
      </c>
      <c r="I1482" s="27"/>
      <c r="J1482" s="33"/>
      <c r="K1482" s="33"/>
      <c r="L1482" s="66"/>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v>230.0</v>
      </c>
      <c r="AI1482" s="27">
        <v>195.0</v>
      </c>
      <c r="AJ1482" s="27">
        <v>2.0</v>
      </c>
      <c r="AK1482" s="27" t="b">
        <v>0</v>
      </c>
      <c r="AL1482" s="27">
        <v>100.0</v>
      </c>
      <c r="AM1482" s="27" t="s">
        <v>193</v>
      </c>
      <c r="AN1482" s="27" t="s">
        <v>405</v>
      </c>
      <c r="AO1482" s="27"/>
    </row>
    <row r="1483">
      <c r="A1483" s="200">
        <v>44873.02510226852</v>
      </c>
      <c r="B1483" s="19" t="s">
        <v>109</v>
      </c>
      <c r="C1483" s="21" t="s">
        <v>339</v>
      </c>
      <c r="D1483" s="62">
        <v>4.0</v>
      </c>
      <c r="E1483" s="27">
        <v>5.0</v>
      </c>
      <c r="F1483" s="27" t="s">
        <v>2085</v>
      </c>
      <c r="G1483" s="201" t="s">
        <v>57</v>
      </c>
      <c r="H1483" s="27" t="s">
        <v>148</v>
      </c>
      <c r="I1483" s="27"/>
      <c r="J1483" s="33"/>
      <c r="K1483" s="33"/>
      <c r="L1483" s="66"/>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v>305.0</v>
      </c>
      <c r="AI1483" s="27">
        <v>284.0</v>
      </c>
      <c r="AJ1483" s="27">
        <v>2.0</v>
      </c>
      <c r="AK1483" s="27" t="b">
        <v>0</v>
      </c>
      <c r="AL1483" s="27">
        <v>100.0</v>
      </c>
      <c r="AM1483" s="27" t="s">
        <v>389</v>
      </c>
      <c r="AN1483" s="27" t="s">
        <v>405</v>
      </c>
      <c r="AO1483" s="27"/>
    </row>
    <row r="1484">
      <c r="A1484" s="200">
        <v>44873.02510226852</v>
      </c>
      <c r="B1484" s="19" t="s">
        <v>109</v>
      </c>
      <c r="C1484" s="21" t="s">
        <v>375</v>
      </c>
      <c r="D1484" s="62">
        <v>7.0</v>
      </c>
      <c r="E1484" s="27">
        <v>2.0</v>
      </c>
      <c r="F1484" s="27" t="s">
        <v>2086</v>
      </c>
      <c r="G1484" s="201" t="s">
        <v>57</v>
      </c>
      <c r="H1484" s="27" t="s">
        <v>166</v>
      </c>
      <c r="I1484" s="27"/>
      <c r="J1484" s="33"/>
      <c r="K1484" s="33"/>
      <c r="L1484" s="66"/>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v>310.0</v>
      </c>
      <c r="AI1484" s="27">
        <v>190.0</v>
      </c>
      <c r="AJ1484" s="27">
        <v>2.0</v>
      </c>
      <c r="AK1484" s="27" t="b">
        <v>1</v>
      </c>
      <c r="AL1484" s="27">
        <v>100.0</v>
      </c>
      <c r="AM1484" s="27" t="s">
        <v>188</v>
      </c>
      <c r="AN1484" s="27" t="s">
        <v>404</v>
      </c>
      <c r="AO1484" s="27"/>
    </row>
    <row r="1485">
      <c r="A1485" s="200">
        <v>44873.02510226852</v>
      </c>
      <c r="B1485" s="19" t="s">
        <v>109</v>
      </c>
      <c r="C1485" s="21" t="s">
        <v>343</v>
      </c>
      <c r="D1485" s="62">
        <v>4.0</v>
      </c>
      <c r="E1485" s="27">
        <v>5.0</v>
      </c>
      <c r="F1485" s="27" t="s">
        <v>2087</v>
      </c>
      <c r="G1485" s="201" t="s">
        <v>57</v>
      </c>
      <c r="H1485" s="27" t="s">
        <v>166</v>
      </c>
      <c r="I1485" s="27"/>
      <c r="J1485" s="33"/>
      <c r="K1485" s="33"/>
      <c r="L1485" s="66"/>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v>244.0</v>
      </c>
      <c r="AI1485" s="27">
        <v>274.0</v>
      </c>
      <c r="AJ1485" s="27">
        <v>2.0</v>
      </c>
      <c r="AK1485" s="27" t="b">
        <v>0</v>
      </c>
      <c r="AL1485" s="27">
        <v>100.0</v>
      </c>
      <c r="AM1485" s="27" t="s">
        <v>189</v>
      </c>
      <c r="AN1485" s="27" t="s">
        <v>405</v>
      </c>
      <c r="AO1485" s="27"/>
    </row>
    <row r="1486">
      <c r="A1486" s="200">
        <v>44873.02510226852</v>
      </c>
      <c r="B1486" s="19" t="s">
        <v>109</v>
      </c>
      <c r="C1486" s="21" t="s">
        <v>367</v>
      </c>
      <c r="D1486" s="62">
        <v>8.0</v>
      </c>
      <c r="E1486" s="27">
        <v>1.0</v>
      </c>
      <c r="F1486" s="27" t="s">
        <v>2045</v>
      </c>
      <c r="G1486" s="201" t="s">
        <v>57</v>
      </c>
      <c r="H1486" s="27" t="s">
        <v>53</v>
      </c>
      <c r="I1486" s="27"/>
      <c r="J1486" s="33"/>
      <c r="K1486" s="33"/>
      <c r="L1486" s="66"/>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v>365.0</v>
      </c>
      <c r="AI1486" s="27">
        <v>279.0</v>
      </c>
      <c r="AJ1486" s="27">
        <v>2.0</v>
      </c>
      <c r="AK1486" s="27" t="b">
        <v>1</v>
      </c>
      <c r="AL1486" s="27">
        <v>100.0</v>
      </c>
      <c r="AM1486" s="27" t="s">
        <v>186</v>
      </c>
      <c r="AN1486" s="27" t="s">
        <v>404</v>
      </c>
      <c r="AO1486" s="27"/>
    </row>
    <row r="1487">
      <c r="A1487" s="200">
        <v>44873.02510226852</v>
      </c>
      <c r="B1487" s="19" t="s">
        <v>109</v>
      </c>
      <c r="C1487" s="21" t="s">
        <v>344</v>
      </c>
      <c r="D1487" s="62">
        <v>5.0</v>
      </c>
      <c r="E1487" s="27">
        <v>4.0</v>
      </c>
      <c r="F1487" s="27" t="s">
        <v>2047</v>
      </c>
      <c r="G1487" s="201" t="s">
        <v>57</v>
      </c>
      <c r="H1487" s="27" t="s">
        <v>53</v>
      </c>
      <c r="I1487" s="27"/>
      <c r="J1487" s="33"/>
      <c r="K1487" s="33"/>
      <c r="L1487" s="66"/>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v>271.0</v>
      </c>
      <c r="AI1487" s="27">
        <v>243.0</v>
      </c>
      <c r="AJ1487" s="27">
        <v>2.0</v>
      </c>
      <c r="AK1487" s="27" t="b">
        <v>1</v>
      </c>
      <c r="AL1487" s="27">
        <v>100.0</v>
      </c>
      <c r="AM1487" s="27" t="s">
        <v>190</v>
      </c>
      <c r="AN1487" s="27" t="s">
        <v>405</v>
      </c>
      <c r="AO1487" s="27"/>
    </row>
    <row r="1488">
      <c r="A1488" s="200">
        <v>44873.02510226852</v>
      </c>
      <c r="B1488" s="19" t="s">
        <v>109</v>
      </c>
      <c r="C1488" s="21" t="s">
        <v>360</v>
      </c>
      <c r="D1488" s="62">
        <v>7.0</v>
      </c>
      <c r="E1488" s="27">
        <v>2.0</v>
      </c>
      <c r="F1488" s="27" t="s">
        <v>2083</v>
      </c>
      <c r="G1488" s="201" t="s">
        <v>183</v>
      </c>
      <c r="H1488" s="27" t="s">
        <v>141</v>
      </c>
      <c r="I1488" s="27"/>
      <c r="J1488" s="33"/>
      <c r="K1488" s="33"/>
      <c r="L1488" s="66"/>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v>313.0</v>
      </c>
      <c r="AI1488" s="27">
        <v>200.0</v>
      </c>
      <c r="AJ1488" s="27">
        <v>2.0</v>
      </c>
      <c r="AK1488" s="27" t="b">
        <v>0</v>
      </c>
      <c r="AL1488" s="27">
        <v>100.0</v>
      </c>
      <c r="AM1488" s="27" t="s">
        <v>192</v>
      </c>
      <c r="AN1488" s="27" t="s">
        <v>404</v>
      </c>
      <c r="AO1488" s="27"/>
    </row>
    <row r="1489">
      <c r="A1489" s="200">
        <v>44873.02510226852</v>
      </c>
      <c r="B1489" s="19"/>
      <c r="C1489" s="21"/>
      <c r="D1489" s="62"/>
      <c r="E1489" s="27"/>
      <c r="F1489" s="27"/>
      <c r="G1489" s="201"/>
      <c r="H1489" s="27"/>
      <c r="I1489" s="27"/>
      <c r="J1489" s="33"/>
      <c r="K1489" s="33"/>
      <c r="L1489" s="66"/>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t="e">
        <v>#N/A</v>
      </c>
      <c r="AN1489" s="27" t="e">
        <v>#N/A</v>
      </c>
      <c r="AO1489" s="27"/>
    </row>
    <row r="1490">
      <c r="A1490" s="200">
        <v>44873.02510226852</v>
      </c>
      <c r="B1490" s="19" t="s">
        <v>144</v>
      </c>
      <c r="C1490" s="21" t="s">
        <v>325</v>
      </c>
      <c r="D1490" s="62">
        <v>6.0</v>
      </c>
      <c r="E1490" s="27">
        <v>3.0</v>
      </c>
      <c r="F1490" s="27"/>
      <c r="G1490" s="201"/>
      <c r="H1490" s="27"/>
      <c r="I1490" s="27" t="s">
        <v>105</v>
      </c>
      <c r="J1490" s="33"/>
      <c r="K1490" s="33"/>
      <c r="L1490" s="66"/>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v>293.0</v>
      </c>
      <c r="AI1490" s="27">
        <v>209.0</v>
      </c>
      <c r="AJ1490" s="27">
        <v>0.0</v>
      </c>
      <c r="AK1490" s="27" t="b">
        <v>1</v>
      </c>
      <c r="AL1490" s="27">
        <v>59.0</v>
      </c>
      <c r="AM1490" s="27" t="s">
        <v>389</v>
      </c>
      <c r="AN1490" s="27" t="s">
        <v>405</v>
      </c>
      <c r="AO1490" s="27"/>
    </row>
    <row r="1491">
      <c r="A1491" s="200">
        <v>44873.02510226852</v>
      </c>
      <c r="B1491" s="19" t="s">
        <v>144</v>
      </c>
      <c r="C1491" s="21" t="s">
        <v>345</v>
      </c>
      <c r="D1491" s="62">
        <v>5.0</v>
      </c>
      <c r="E1491" s="27">
        <v>4.0</v>
      </c>
      <c r="F1491" s="27" t="s">
        <v>2088</v>
      </c>
      <c r="G1491" s="201" t="s">
        <v>57</v>
      </c>
      <c r="H1491" s="27" t="s">
        <v>166</v>
      </c>
      <c r="I1491" s="27"/>
      <c r="J1491" s="33"/>
      <c r="K1491" s="33"/>
      <c r="L1491" s="66"/>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v>263.0</v>
      </c>
      <c r="AI1491" s="27">
        <v>206.0</v>
      </c>
      <c r="AJ1491" s="27">
        <v>2.0</v>
      </c>
      <c r="AK1491" s="27" t="b">
        <v>0</v>
      </c>
      <c r="AL1491" s="27">
        <v>100.0</v>
      </c>
      <c r="AM1491" s="27" t="s">
        <v>129</v>
      </c>
      <c r="AN1491" s="27" t="s">
        <v>405</v>
      </c>
      <c r="AO1491" s="27"/>
    </row>
    <row r="1492">
      <c r="A1492" s="200">
        <v>44873.02510226852</v>
      </c>
      <c r="B1492" s="19" t="s">
        <v>144</v>
      </c>
      <c r="C1492" s="21" t="s">
        <v>357</v>
      </c>
      <c r="D1492" s="62">
        <v>4.0</v>
      </c>
      <c r="E1492" s="27">
        <v>5.0</v>
      </c>
      <c r="F1492" s="27" t="s">
        <v>2089</v>
      </c>
      <c r="G1492" s="201" t="s">
        <v>57</v>
      </c>
      <c r="H1492" s="27" t="s">
        <v>103</v>
      </c>
      <c r="I1492" s="27"/>
      <c r="J1492" s="33"/>
      <c r="K1492" s="33"/>
      <c r="L1492" s="66"/>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v>222.0</v>
      </c>
      <c r="AI1492" s="27">
        <v>225.0</v>
      </c>
      <c r="AJ1492" s="27">
        <v>2.0</v>
      </c>
      <c r="AK1492" s="27" t="b">
        <v>0</v>
      </c>
      <c r="AL1492" s="27">
        <v>100.0</v>
      </c>
      <c r="AM1492" s="27" t="s">
        <v>186</v>
      </c>
      <c r="AN1492" s="27" t="s">
        <v>404</v>
      </c>
      <c r="AO1492" s="27"/>
    </row>
    <row r="1493">
      <c r="A1493" s="200">
        <v>44873.02510226852</v>
      </c>
      <c r="B1493" s="19" t="s">
        <v>144</v>
      </c>
      <c r="C1493" s="21" t="s">
        <v>321</v>
      </c>
      <c r="D1493" s="62">
        <v>7.0</v>
      </c>
      <c r="E1493" s="27">
        <v>2.0</v>
      </c>
      <c r="F1493" s="27" t="s">
        <v>2074</v>
      </c>
      <c r="G1493" s="201" t="s">
        <v>57</v>
      </c>
      <c r="H1493" s="27" t="s">
        <v>138</v>
      </c>
      <c r="I1493" s="27"/>
      <c r="J1493" s="33"/>
      <c r="K1493" s="33"/>
      <c r="L1493" s="66"/>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v>223.0</v>
      </c>
      <c r="AI1493" s="27">
        <v>94.0</v>
      </c>
      <c r="AJ1493" s="27">
        <v>2.0</v>
      </c>
      <c r="AK1493" s="27" t="b">
        <v>0</v>
      </c>
      <c r="AL1493" s="27">
        <v>100.0</v>
      </c>
      <c r="AM1493" s="27" t="s">
        <v>188</v>
      </c>
      <c r="AN1493" s="27" t="s">
        <v>404</v>
      </c>
      <c r="AO1493" s="27"/>
    </row>
    <row r="1494">
      <c r="A1494" s="200">
        <v>44873.02510226852</v>
      </c>
      <c r="B1494" s="19" t="s">
        <v>144</v>
      </c>
      <c r="C1494" s="21" t="s">
        <v>342</v>
      </c>
      <c r="D1494" s="62">
        <v>1.0</v>
      </c>
      <c r="E1494" s="27">
        <v>8.0</v>
      </c>
      <c r="F1494" s="27" t="s">
        <v>2040</v>
      </c>
      <c r="G1494" s="201" t="s">
        <v>57</v>
      </c>
      <c r="H1494" s="27" t="s">
        <v>53</v>
      </c>
      <c r="I1494" s="27"/>
      <c r="J1494" s="33"/>
      <c r="K1494" s="33"/>
      <c r="L1494" s="66"/>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v>140.0</v>
      </c>
      <c r="AI1494" s="27">
        <v>362.0</v>
      </c>
      <c r="AJ1494" s="27">
        <v>2.0</v>
      </c>
      <c r="AK1494" s="27" t="b">
        <v>0</v>
      </c>
      <c r="AL1494" s="27">
        <v>100.0</v>
      </c>
      <c r="AM1494" s="27" t="s">
        <v>191</v>
      </c>
      <c r="AN1494" s="27" t="s">
        <v>404</v>
      </c>
      <c r="AO1494" s="27"/>
    </row>
    <row r="1495">
      <c r="A1495" s="200">
        <v>44873.02510226852</v>
      </c>
      <c r="B1495" s="19" t="s">
        <v>144</v>
      </c>
      <c r="C1495" s="21" t="s">
        <v>371</v>
      </c>
      <c r="D1495" s="62">
        <v>3.0</v>
      </c>
      <c r="E1495" s="27">
        <v>6.0</v>
      </c>
      <c r="F1495" s="27" t="s">
        <v>2090</v>
      </c>
      <c r="G1495" s="201" t="s">
        <v>57</v>
      </c>
      <c r="H1495" s="27" t="s">
        <v>148</v>
      </c>
      <c r="I1495" s="27"/>
      <c r="J1495" s="33"/>
      <c r="K1495" s="33"/>
      <c r="L1495" s="66"/>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v>289.0</v>
      </c>
      <c r="AI1495" s="27">
        <v>308.0</v>
      </c>
      <c r="AJ1495" s="27">
        <v>2.0</v>
      </c>
      <c r="AK1495" s="27" t="b">
        <v>1</v>
      </c>
      <c r="AL1495" s="27">
        <v>100.0</v>
      </c>
      <c r="AM1495" s="27" t="s">
        <v>187</v>
      </c>
      <c r="AN1495" s="27" t="s">
        <v>404</v>
      </c>
      <c r="AO1495" s="27"/>
    </row>
    <row r="1496">
      <c r="A1496" s="200">
        <v>44873.02510226852</v>
      </c>
      <c r="B1496" s="19" t="s">
        <v>144</v>
      </c>
      <c r="C1496" s="21" t="s">
        <v>338</v>
      </c>
      <c r="D1496" s="62">
        <v>5.0</v>
      </c>
      <c r="E1496" s="27">
        <v>4.0</v>
      </c>
      <c r="F1496" s="27" t="s">
        <v>2091</v>
      </c>
      <c r="G1496" s="201" t="s">
        <v>57</v>
      </c>
      <c r="H1496" s="27" t="s">
        <v>103</v>
      </c>
      <c r="I1496" s="27"/>
      <c r="J1496" s="33"/>
      <c r="K1496" s="33"/>
      <c r="L1496" s="66"/>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v>228.0</v>
      </c>
      <c r="AI1496" s="27">
        <v>219.0</v>
      </c>
      <c r="AJ1496" s="27">
        <v>2.0</v>
      </c>
      <c r="AK1496" s="27" t="b">
        <v>0</v>
      </c>
      <c r="AL1496" s="27">
        <v>100.0</v>
      </c>
      <c r="AM1496" s="27" t="s">
        <v>189</v>
      </c>
      <c r="AN1496" s="27" t="s">
        <v>405</v>
      </c>
      <c r="AO1496" s="27"/>
    </row>
    <row r="1497">
      <c r="A1497" s="200">
        <v>44873.02510226852</v>
      </c>
      <c r="B1497" s="19" t="s">
        <v>144</v>
      </c>
      <c r="C1497" s="21" t="s">
        <v>346</v>
      </c>
      <c r="D1497" s="62">
        <v>5.0</v>
      </c>
      <c r="E1497" s="27">
        <v>4.0</v>
      </c>
      <c r="F1497" s="27" t="s">
        <v>2092</v>
      </c>
      <c r="G1497" s="201" t="s">
        <v>57</v>
      </c>
      <c r="H1497" s="27" t="s">
        <v>148</v>
      </c>
      <c r="I1497" s="27"/>
      <c r="J1497" s="33"/>
      <c r="K1497" s="33"/>
      <c r="L1497" s="66"/>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v>281.0</v>
      </c>
      <c r="AI1497" s="27">
        <v>263.0</v>
      </c>
      <c r="AJ1497" s="27">
        <v>2.0</v>
      </c>
      <c r="AK1497" s="27" t="b">
        <v>1</v>
      </c>
      <c r="AL1497" s="27">
        <v>100.0</v>
      </c>
      <c r="AM1497" s="27" t="s">
        <v>192</v>
      </c>
      <c r="AN1497" s="27" t="s">
        <v>404</v>
      </c>
      <c r="AO1497" s="27"/>
    </row>
    <row r="1498">
      <c r="A1498" s="200">
        <v>44873.02510226852</v>
      </c>
      <c r="B1498" s="19" t="s">
        <v>144</v>
      </c>
      <c r="C1498" s="21" t="s">
        <v>300</v>
      </c>
      <c r="D1498" s="62">
        <v>8.0</v>
      </c>
      <c r="E1498" s="27">
        <v>1.0</v>
      </c>
      <c r="F1498" s="27" t="s">
        <v>2070</v>
      </c>
      <c r="G1498" s="201" t="s">
        <v>57</v>
      </c>
      <c r="H1498" s="27" t="s">
        <v>59</v>
      </c>
      <c r="I1498" s="27"/>
      <c r="J1498" s="33"/>
      <c r="K1498" s="33"/>
      <c r="L1498" s="66"/>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v>290.0</v>
      </c>
      <c r="AI1498" s="27">
        <v>246.0</v>
      </c>
      <c r="AJ1498" s="27">
        <v>2.0</v>
      </c>
      <c r="AK1498" s="27" t="b">
        <v>1</v>
      </c>
      <c r="AL1498" s="27">
        <v>100.0</v>
      </c>
      <c r="AM1498" s="27" t="s">
        <v>193</v>
      </c>
      <c r="AN1498" s="27" t="s">
        <v>405</v>
      </c>
      <c r="AO1498" s="27"/>
    </row>
    <row r="1499">
      <c r="A1499" s="200">
        <v>44873.02510226852</v>
      </c>
      <c r="B1499" s="19" t="s">
        <v>144</v>
      </c>
      <c r="C1499" s="21" t="s">
        <v>359</v>
      </c>
      <c r="D1499" s="62">
        <v>3.0</v>
      </c>
      <c r="E1499" s="27">
        <v>6.0</v>
      </c>
      <c r="F1499" s="27" t="s">
        <v>2093</v>
      </c>
      <c r="G1499" s="201" t="s">
        <v>57</v>
      </c>
      <c r="H1499" s="27" t="s">
        <v>116</v>
      </c>
      <c r="I1499" s="27"/>
      <c r="J1499" s="33"/>
      <c r="K1499" s="33"/>
      <c r="L1499" s="66"/>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v>247.0</v>
      </c>
      <c r="AI1499" s="27">
        <v>284.0</v>
      </c>
      <c r="AJ1499" s="27">
        <v>2.0</v>
      </c>
      <c r="AK1499" s="27" t="b">
        <v>1</v>
      </c>
      <c r="AL1499" s="27">
        <v>100.0</v>
      </c>
      <c r="AM1499" s="27" t="s">
        <v>190</v>
      </c>
      <c r="AN1499" s="27" t="s">
        <v>405</v>
      </c>
      <c r="AO1499" s="27"/>
    </row>
    <row r="1500">
      <c r="A1500" s="200">
        <v>44873.02510226852</v>
      </c>
      <c r="B1500" s="19"/>
      <c r="C1500" s="21"/>
      <c r="D1500" s="62"/>
      <c r="E1500" s="27"/>
      <c r="F1500" s="27"/>
      <c r="G1500" s="201"/>
      <c r="H1500" s="27"/>
      <c r="I1500" s="27"/>
      <c r="J1500" s="33"/>
      <c r="K1500" s="33"/>
      <c r="L1500" s="66"/>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t="e">
        <v>#N/A</v>
      </c>
      <c r="AN1500" s="27" t="e">
        <v>#N/A</v>
      </c>
      <c r="AO1500" s="27"/>
    </row>
    <row r="1501">
      <c r="A1501" s="200">
        <v>44873.02510226852</v>
      </c>
      <c r="B1501" s="19" t="s">
        <v>166</v>
      </c>
      <c r="C1501" s="21" t="s">
        <v>333</v>
      </c>
      <c r="D1501" s="62">
        <v>3.0</v>
      </c>
      <c r="E1501" s="27">
        <v>6.0</v>
      </c>
      <c r="F1501" s="27" t="s">
        <v>2094</v>
      </c>
      <c r="G1501" s="201" t="s">
        <v>57</v>
      </c>
      <c r="H1501" s="27" t="s">
        <v>116</v>
      </c>
      <c r="I1501" s="27"/>
      <c r="J1501" s="33"/>
      <c r="K1501" s="33"/>
      <c r="L1501" s="66"/>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v>222.0</v>
      </c>
      <c r="AI1501" s="27">
        <v>241.0</v>
      </c>
      <c r="AJ1501" s="27">
        <v>2.0</v>
      </c>
      <c r="AK1501" s="27" t="b">
        <v>1</v>
      </c>
      <c r="AL1501" s="27">
        <v>100.0</v>
      </c>
      <c r="AM1501" s="27" t="s">
        <v>191</v>
      </c>
      <c r="AN1501" s="27" t="s">
        <v>404</v>
      </c>
      <c r="AO1501" s="27"/>
    </row>
    <row r="1502">
      <c r="A1502" s="200">
        <v>44873.02510226852</v>
      </c>
      <c r="B1502" s="19" t="s">
        <v>166</v>
      </c>
      <c r="C1502" s="21" t="s">
        <v>351</v>
      </c>
      <c r="D1502" s="62">
        <v>2.0</v>
      </c>
      <c r="E1502" s="27">
        <v>8.0</v>
      </c>
      <c r="F1502" s="27" t="s">
        <v>2088</v>
      </c>
      <c r="G1502" s="201" t="s">
        <v>57</v>
      </c>
      <c r="H1502" s="27" t="s">
        <v>144</v>
      </c>
      <c r="I1502" s="27"/>
      <c r="J1502" s="33"/>
      <c r="K1502" s="33"/>
      <c r="L1502" s="66"/>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v>178.0</v>
      </c>
      <c r="AI1502" s="27">
        <v>358.0</v>
      </c>
      <c r="AJ1502" s="27">
        <v>2.0</v>
      </c>
      <c r="AK1502" s="27" t="b">
        <v>1</v>
      </c>
      <c r="AL1502" s="27">
        <v>100.0</v>
      </c>
      <c r="AM1502" s="27" t="s">
        <v>129</v>
      </c>
      <c r="AN1502" s="27" t="s">
        <v>405</v>
      </c>
      <c r="AO1502" s="27"/>
    </row>
    <row r="1503">
      <c r="A1503" s="200">
        <v>44873.02510226852</v>
      </c>
      <c r="B1503" s="19" t="s">
        <v>166</v>
      </c>
      <c r="C1503" s="21" t="s">
        <v>364</v>
      </c>
      <c r="D1503" s="62">
        <v>6.0</v>
      </c>
      <c r="E1503" s="27">
        <v>3.0</v>
      </c>
      <c r="F1503" s="27" t="s">
        <v>2066</v>
      </c>
      <c r="G1503" s="201" t="s">
        <v>57</v>
      </c>
      <c r="H1503" s="27" t="s">
        <v>59</v>
      </c>
      <c r="I1503" s="27"/>
      <c r="J1503" s="33"/>
      <c r="K1503" s="33"/>
      <c r="L1503" s="66"/>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v>325.0</v>
      </c>
      <c r="AI1503" s="27">
        <v>196.0</v>
      </c>
      <c r="AJ1503" s="27">
        <v>2.0</v>
      </c>
      <c r="AK1503" s="27" t="b">
        <v>1</v>
      </c>
      <c r="AL1503" s="27">
        <v>100.0</v>
      </c>
      <c r="AM1503" s="27" t="s">
        <v>187</v>
      </c>
      <c r="AN1503" s="27" t="s">
        <v>404</v>
      </c>
      <c r="AO1503" s="27"/>
    </row>
    <row r="1504">
      <c r="A1504" s="200">
        <v>44873.02510226852</v>
      </c>
      <c r="B1504" s="19" t="s">
        <v>166</v>
      </c>
      <c r="C1504" s="21" t="s">
        <v>399</v>
      </c>
      <c r="D1504" s="62">
        <v>8.0</v>
      </c>
      <c r="E1504" s="27">
        <v>1.0</v>
      </c>
      <c r="F1504" s="27" t="s">
        <v>2073</v>
      </c>
      <c r="G1504" s="201" t="s">
        <v>57</v>
      </c>
      <c r="H1504" s="27" t="s">
        <v>138</v>
      </c>
      <c r="I1504" s="27"/>
      <c r="J1504" s="33"/>
      <c r="K1504" s="33"/>
      <c r="L1504" s="66"/>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v>270.0</v>
      </c>
      <c r="AI1504" s="27">
        <v>191.0</v>
      </c>
      <c r="AJ1504" s="27">
        <v>2.0</v>
      </c>
      <c r="AK1504" s="27" t="b">
        <v>1</v>
      </c>
      <c r="AL1504" s="27">
        <v>100.0</v>
      </c>
      <c r="AM1504" s="27" t="s">
        <v>190</v>
      </c>
      <c r="AN1504" s="27" t="s">
        <v>405</v>
      </c>
      <c r="AO1504" s="27"/>
    </row>
    <row r="1505">
      <c r="A1505" s="200">
        <v>44873.02510226852</v>
      </c>
      <c r="B1505" s="19" t="s">
        <v>166</v>
      </c>
      <c r="C1505" s="21" t="s">
        <v>327</v>
      </c>
      <c r="D1505" s="62">
        <v>3.0</v>
      </c>
      <c r="E1505" s="27">
        <v>6.0</v>
      </c>
      <c r="F1505" s="27" t="s">
        <v>2086</v>
      </c>
      <c r="G1505" s="201" t="s">
        <v>57</v>
      </c>
      <c r="H1505" s="27" t="s">
        <v>109</v>
      </c>
      <c r="I1505" s="27"/>
      <c r="J1505" s="33"/>
      <c r="K1505" s="33"/>
      <c r="L1505" s="66"/>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v>210.0</v>
      </c>
      <c r="AI1505" s="27">
        <v>290.0</v>
      </c>
      <c r="AJ1505" s="27">
        <v>2.0</v>
      </c>
      <c r="AK1505" s="27" t="b">
        <v>0</v>
      </c>
      <c r="AL1505" s="27">
        <v>100.0</v>
      </c>
      <c r="AM1505" s="27" t="s">
        <v>188</v>
      </c>
      <c r="AN1505" s="27" t="s">
        <v>404</v>
      </c>
      <c r="AO1505" s="27"/>
    </row>
    <row r="1506">
      <c r="A1506" s="200">
        <v>44873.02510226852</v>
      </c>
      <c r="B1506" s="19" t="s">
        <v>166</v>
      </c>
      <c r="C1506" s="21" t="s">
        <v>370</v>
      </c>
      <c r="D1506" s="62">
        <v>5.0</v>
      </c>
      <c r="E1506" s="27">
        <v>4.0</v>
      </c>
      <c r="F1506" s="27" t="s">
        <v>2076</v>
      </c>
      <c r="G1506" s="201" t="s">
        <v>57</v>
      </c>
      <c r="H1506" s="27" t="s">
        <v>138</v>
      </c>
      <c r="I1506" s="27"/>
      <c r="J1506" s="33"/>
      <c r="K1506" s="33"/>
      <c r="L1506" s="66"/>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v>263.0</v>
      </c>
      <c r="AI1506" s="27">
        <v>232.0</v>
      </c>
      <c r="AJ1506" s="27">
        <v>2.0</v>
      </c>
      <c r="AK1506" s="27" t="b">
        <v>0</v>
      </c>
      <c r="AL1506" s="27">
        <v>100.0</v>
      </c>
      <c r="AM1506" s="27" t="s">
        <v>186</v>
      </c>
      <c r="AN1506" s="27" t="s">
        <v>404</v>
      </c>
      <c r="AO1506" s="27"/>
    </row>
    <row r="1507">
      <c r="A1507" s="200">
        <v>44873.02510226852</v>
      </c>
      <c r="B1507" s="19" t="s">
        <v>166</v>
      </c>
      <c r="C1507" s="21" t="s">
        <v>334</v>
      </c>
      <c r="D1507" s="62">
        <v>3.0</v>
      </c>
      <c r="E1507" s="27">
        <v>6.0</v>
      </c>
      <c r="F1507" s="27" t="s">
        <v>2087</v>
      </c>
      <c r="G1507" s="201" t="s">
        <v>57</v>
      </c>
      <c r="H1507" s="27" t="s">
        <v>109</v>
      </c>
      <c r="I1507" s="27"/>
      <c r="J1507" s="33"/>
      <c r="K1507" s="33"/>
      <c r="L1507" s="66"/>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v>293.0</v>
      </c>
      <c r="AI1507" s="27">
        <v>341.0</v>
      </c>
      <c r="AJ1507" s="27">
        <v>2.0</v>
      </c>
      <c r="AK1507" s="27" t="b">
        <v>1</v>
      </c>
      <c r="AL1507" s="27">
        <v>100.0</v>
      </c>
      <c r="AM1507" s="27" t="s">
        <v>189</v>
      </c>
      <c r="AN1507" s="27" t="s">
        <v>405</v>
      </c>
      <c r="AO1507" s="27"/>
    </row>
    <row r="1508">
      <c r="A1508" s="200">
        <v>44873.02510226852</v>
      </c>
      <c r="B1508" s="19" t="s">
        <v>166</v>
      </c>
      <c r="C1508" s="21" t="s">
        <v>306</v>
      </c>
      <c r="D1508" s="62">
        <v>5.0</v>
      </c>
      <c r="E1508" s="27">
        <v>4.0</v>
      </c>
      <c r="F1508" s="27" t="s">
        <v>2042</v>
      </c>
      <c r="G1508" s="201" t="s">
        <v>57</v>
      </c>
      <c r="H1508" s="27" t="s">
        <v>53</v>
      </c>
      <c r="I1508" s="27"/>
      <c r="J1508" s="33"/>
      <c r="K1508" s="33"/>
      <c r="L1508" s="66"/>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v>211.0</v>
      </c>
      <c r="AI1508" s="27">
        <v>140.0</v>
      </c>
      <c r="AJ1508" s="27">
        <v>2.0</v>
      </c>
      <c r="AK1508" s="27" t="b">
        <v>1</v>
      </c>
      <c r="AL1508" s="27">
        <v>100.0</v>
      </c>
      <c r="AM1508" s="27" t="s">
        <v>193</v>
      </c>
      <c r="AN1508" s="27" t="s">
        <v>405</v>
      </c>
      <c r="AO1508" s="27"/>
    </row>
    <row r="1509">
      <c r="A1509" s="200">
        <v>44873.02510226852</v>
      </c>
      <c r="B1509" s="19" t="s">
        <v>166</v>
      </c>
      <c r="C1509" s="21" t="s">
        <v>398</v>
      </c>
      <c r="D1509" s="62">
        <v>3.0</v>
      </c>
      <c r="E1509" s="27">
        <v>5.0</v>
      </c>
      <c r="F1509" s="27" t="s">
        <v>2095</v>
      </c>
      <c r="G1509" s="201" t="s">
        <v>57</v>
      </c>
      <c r="H1509" s="27" t="s">
        <v>103</v>
      </c>
      <c r="I1509" s="27"/>
      <c r="J1509" s="33"/>
      <c r="K1509" s="33"/>
      <c r="L1509" s="66"/>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v>236.0</v>
      </c>
      <c r="AI1509" s="27">
        <v>219.0</v>
      </c>
      <c r="AJ1509" s="27">
        <v>2.0</v>
      </c>
      <c r="AK1509" s="27" t="b">
        <v>1</v>
      </c>
      <c r="AL1509" s="27">
        <v>100.0</v>
      </c>
      <c r="AM1509" s="27" t="s">
        <v>389</v>
      </c>
      <c r="AN1509" s="27" t="s">
        <v>405</v>
      </c>
      <c r="AO1509" s="27"/>
    </row>
    <row r="1510">
      <c r="A1510" s="200">
        <v>44873.02510226852</v>
      </c>
      <c r="B1510" s="19" t="s">
        <v>166</v>
      </c>
      <c r="C1510" s="21" t="s">
        <v>337</v>
      </c>
      <c r="D1510" s="62">
        <v>3.0</v>
      </c>
      <c r="E1510" s="27">
        <v>6.0</v>
      </c>
      <c r="F1510" s="27" t="s">
        <v>2064</v>
      </c>
      <c r="G1510" s="201" t="s">
        <v>183</v>
      </c>
      <c r="H1510" s="27" t="s">
        <v>178</v>
      </c>
      <c r="I1510" s="27"/>
      <c r="J1510" s="33"/>
      <c r="K1510" s="33"/>
      <c r="L1510" s="66"/>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v>216.0</v>
      </c>
      <c r="AI1510" s="27">
        <v>278.0</v>
      </c>
      <c r="AJ1510" s="27">
        <v>2.0</v>
      </c>
      <c r="AK1510" s="27" t="b">
        <v>0</v>
      </c>
      <c r="AL1510" s="27">
        <v>100.0</v>
      </c>
      <c r="AM1510" s="27" t="s">
        <v>192</v>
      </c>
      <c r="AN1510" s="27" t="s">
        <v>404</v>
      </c>
      <c r="AO1510" s="27"/>
    </row>
    <row r="1511">
      <c r="A1511" s="200">
        <v>44873.02510226852</v>
      </c>
      <c r="B1511" s="19"/>
      <c r="C1511" s="21"/>
      <c r="D1511" s="62"/>
      <c r="E1511" s="27"/>
      <c r="F1511" s="27"/>
      <c r="G1511" s="201"/>
      <c r="H1511" s="27"/>
      <c r="I1511" s="27"/>
      <c r="J1511" s="33"/>
      <c r="K1511" s="33"/>
      <c r="L1511" s="66"/>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t="e">
        <v>#N/A</v>
      </c>
      <c r="AN1511" s="27" t="e">
        <v>#N/A</v>
      </c>
      <c r="AO1511" s="27"/>
    </row>
    <row r="1512">
      <c r="A1512" s="200">
        <v>44873.02510226852</v>
      </c>
      <c r="B1512" s="19" t="s">
        <v>116</v>
      </c>
      <c r="C1512" s="21" t="s">
        <v>336</v>
      </c>
      <c r="D1512" s="62">
        <v>2.0</v>
      </c>
      <c r="E1512" s="27">
        <v>7.0</v>
      </c>
      <c r="F1512" s="27" t="s">
        <v>2078</v>
      </c>
      <c r="G1512" s="201" t="s">
        <v>57</v>
      </c>
      <c r="H1512" s="27" t="s">
        <v>141</v>
      </c>
      <c r="I1512" s="27"/>
      <c r="J1512" s="33"/>
      <c r="K1512" s="33"/>
      <c r="L1512" s="66"/>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v>116.0</v>
      </c>
      <c r="AI1512" s="27">
        <v>285.0</v>
      </c>
      <c r="AJ1512" s="27">
        <v>2.0</v>
      </c>
      <c r="AK1512" s="27" t="b">
        <v>1</v>
      </c>
      <c r="AL1512" s="27">
        <v>100.0</v>
      </c>
      <c r="AM1512" s="27" t="s">
        <v>129</v>
      </c>
      <c r="AN1512" s="27" t="s">
        <v>405</v>
      </c>
      <c r="AO1512" s="27"/>
    </row>
    <row r="1513">
      <c r="A1513" s="200">
        <v>44873.02510226852</v>
      </c>
      <c r="B1513" s="19" t="s">
        <v>116</v>
      </c>
      <c r="C1513" s="21" t="s">
        <v>369</v>
      </c>
      <c r="D1513" s="62">
        <v>8.0</v>
      </c>
      <c r="E1513" s="27">
        <v>1.0</v>
      </c>
      <c r="F1513" s="27" t="s">
        <v>2094</v>
      </c>
      <c r="G1513" s="201" t="s">
        <v>57</v>
      </c>
      <c r="H1513" s="27" t="s">
        <v>166</v>
      </c>
      <c r="I1513" s="27"/>
      <c r="J1513" s="33"/>
      <c r="K1513" s="33"/>
      <c r="L1513" s="66"/>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v>369.0</v>
      </c>
      <c r="AI1513" s="27">
        <v>227.0</v>
      </c>
      <c r="AJ1513" s="27">
        <v>2.0</v>
      </c>
      <c r="AK1513" s="27" t="b">
        <v>0</v>
      </c>
      <c r="AL1513" s="27">
        <v>100.0</v>
      </c>
      <c r="AM1513" s="27" t="s">
        <v>191</v>
      </c>
      <c r="AN1513" s="27" t="s">
        <v>404</v>
      </c>
      <c r="AO1513" s="27"/>
    </row>
    <row r="1514">
      <c r="A1514" s="200">
        <v>44873.02510226852</v>
      </c>
      <c r="B1514" s="19" t="s">
        <v>116</v>
      </c>
      <c r="C1514" s="21" t="s">
        <v>388</v>
      </c>
      <c r="D1514" s="62">
        <v>5.0</v>
      </c>
      <c r="E1514" s="27">
        <v>3.0</v>
      </c>
      <c r="F1514" s="27" t="s">
        <v>2080</v>
      </c>
      <c r="G1514" s="201" t="s">
        <v>57</v>
      </c>
      <c r="H1514" s="27" t="s">
        <v>141</v>
      </c>
      <c r="I1514" s="27"/>
      <c r="J1514" s="33"/>
      <c r="K1514" s="33"/>
      <c r="L1514" s="66"/>
      <c r="M1514" s="27"/>
      <c r="N1514" s="27"/>
      <c r="O1514" s="27"/>
      <c r="P1514" s="27"/>
      <c r="Q1514" s="27"/>
      <c r="R1514" s="27"/>
      <c r="S1514" s="27"/>
      <c r="T1514" s="27"/>
      <c r="U1514" s="27"/>
      <c r="V1514" s="27"/>
      <c r="W1514" s="27"/>
      <c r="X1514" s="27"/>
      <c r="Y1514" s="27"/>
      <c r="Z1514" s="27"/>
      <c r="AA1514" s="27"/>
      <c r="AB1514" s="27"/>
      <c r="AC1514" s="27"/>
      <c r="AD1514" s="27"/>
      <c r="AE1514" s="27"/>
      <c r="AF1514" s="27"/>
      <c r="AG1514" s="27"/>
      <c r="AH1514" s="27">
        <v>281.0</v>
      </c>
      <c r="AI1514" s="27">
        <v>180.0</v>
      </c>
      <c r="AJ1514" s="27">
        <v>2.0</v>
      </c>
      <c r="AK1514" s="27" t="b">
        <v>0</v>
      </c>
      <c r="AL1514" s="27">
        <v>100.0</v>
      </c>
      <c r="AM1514" s="27" t="s">
        <v>193</v>
      </c>
      <c r="AN1514" s="27" t="s">
        <v>405</v>
      </c>
      <c r="AO1514" s="27"/>
    </row>
    <row r="1515">
      <c r="A1515" s="200">
        <v>44873.02510226852</v>
      </c>
      <c r="B1515" s="19" t="s">
        <v>116</v>
      </c>
      <c r="C1515" s="21" t="s">
        <v>313</v>
      </c>
      <c r="D1515" s="62">
        <v>9.0</v>
      </c>
      <c r="E1515" s="27">
        <v>0.0</v>
      </c>
      <c r="F1515" s="27" t="s">
        <v>2053</v>
      </c>
      <c r="G1515" s="201" t="s">
        <v>57</v>
      </c>
      <c r="H1515" s="27" t="s">
        <v>131</v>
      </c>
      <c r="I1515" s="27"/>
      <c r="J1515" s="33"/>
      <c r="K1515" s="33"/>
      <c r="L1515" s="66"/>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v>361.0</v>
      </c>
      <c r="AI1515" s="27">
        <v>97.0</v>
      </c>
      <c r="AJ1515" s="27">
        <v>2.0</v>
      </c>
      <c r="AK1515" s="27" t="b">
        <v>1</v>
      </c>
      <c r="AL1515" s="27">
        <v>100.0</v>
      </c>
      <c r="AM1515" s="27" t="s">
        <v>192</v>
      </c>
      <c r="AN1515" s="27" t="s">
        <v>404</v>
      </c>
      <c r="AO1515" s="27"/>
    </row>
    <row r="1516">
      <c r="A1516" s="200">
        <v>44873.02510226852</v>
      </c>
      <c r="B1516" s="19" t="s">
        <v>116</v>
      </c>
      <c r="C1516" s="21" t="s">
        <v>347</v>
      </c>
      <c r="D1516" s="62">
        <v>3.0</v>
      </c>
      <c r="E1516" s="27">
        <v>6.0</v>
      </c>
      <c r="F1516" s="27" t="s">
        <v>2075</v>
      </c>
      <c r="G1516" s="201" t="s">
        <v>57</v>
      </c>
      <c r="H1516" s="27" t="s">
        <v>138</v>
      </c>
      <c r="I1516" s="27"/>
      <c r="J1516" s="33"/>
      <c r="K1516" s="33"/>
      <c r="L1516" s="66"/>
      <c r="M1516" s="27"/>
      <c r="N1516" s="27"/>
      <c r="O1516" s="27"/>
      <c r="P1516" s="27"/>
      <c r="Q1516" s="27"/>
      <c r="R1516" s="27"/>
      <c r="S1516" s="27"/>
      <c r="T1516" s="27"/>
      <c r="U1516" s="27"/>
      <c r="V1516" s="27"/>
      <c r="W1516" s="27"/>
      <c r="X1516" s="27"/>
      <c r="Y1516" s="27"/>
      <c r="Z1516" s="27"/>
      <c r="AA1516" s="27"/>
      <c r="AB1516" s="27"/>
      <c r="AC1516" s="27"/>
      <c r="AD1516" s="27"/>
      <c r="AE1516" s="27"/>
      <c r="AF1516" s="27"/>
      <c r="AG1516" s="27"/>
      <c r="AH1516" s="27">
        <v>197.0</v>
      </c>
      <c r="AI1516" s="27">
        <v>223.0</v>
      </c>
      <c r="AJ1516" s="27">
        <v>2.0</v>
      </c>
      <c r="AK1516" s="27" t="b">
        <v>1</v>
      </c>
      <c r="AL1516" s="27">
        <v>100.0</v>
      </c>
      <c r="AM1516" s="27" t="s">
        <v>389</v>
      </c>
      <c r="AN1516" s="27" t="s">
        <v>405</v>
      </c>
      <c r="AO1516" s="27"/>
    </row>
    <row r="1517">
      <c r="A1517" s="200">
        <v>44873.02510226852</v>
      </c>
      <c r="B1517" s="19" t="s">
        <v>116</v>
      </c>
      <c r="C1517" s="21" t="s">
        <v>354</v>
      </c>
      <c r="D1517" s="62">
        <v>6.0</v>
      </c>
      <c r="E1517" s="27">
        <v>3.0</v>
      </c>
      <c r="F1517" s="27" t="s">
        <v>2054</v>
      </c>
      <c r="G1517" s="201" t="s">
        <v>57</v>
      </c>
      <c r="H1517" s="27" t="s">
        <v>131</v>
      </c>
      <c r="I1517" s="27"/>
      <c r="J1517" s="33"/>
      <c r="K1517" s="33"/>
      <c r="L1517" s="66"/>
      <c r="M1517" s="27"/>
      <c r="N1517" s="27"/>
      <c r="O1517" s="27"/>
      <c r="P1517" s="27"/>
      <c r="Q1517" s="27"/>
      <c r="R1517" s="27"/>
      <c r="S1517" s="27"/>
      <c r="T1517" s="27"/>
      <c r="U1517" s="27"/>
      <c r="V1517" s="27"/>
      <c r="W1517" s="27"/>
      <c r="X1517" s="27"/>
      <c r="Y1517" s="27"/>
      <c r="Z1517" s="27"/>
      <c r="AA1517" s="27"/>
      <c r="AB1517" s="27"/>
      <c r="AC1517" s="27"/>
      <c r="AD1517" s="27"/>
      <c r="AE1517" s="27"/>
      <c r="AF1517" s="27"/>
      <c r="AG1517" s="27"/>
      <c r="AH1517" s="27">
        <v>329.0</v>
      </c>
      <c r="AI1517" s="27">
        <v>286.0</v>
      </c>
      <c r="AJ1517" s="27">
        <v>2.0</v>
      </c>
      <c r="AK1517" s="27" t="b">
        <v>0</v>
      </c>
      <c r="AL1517" s="27">
        <v>100.0</v>
      </c>
      <c r="AM1517" s="27" t="s">
        <v>187</v>
      </c>
      <c r="AN1517" s="27" t="s">
        <v>404</v>
      </c>
      <c r="AO1517" s="27"/>
    </row>
    <row r="1518">
      <c r="A1518" s="200">
        <v>44873.02510226852</v>
      </c>
      <c r="B1518" s="19" t="s">
        <v>116</v>
      </c>
      <c r="C1518" s="21" t="s">
        <v>348</v>
      </c>
      <c r="D1518" s="62">
        <v>4.0</v>
      </c>
      <c r="E1518" s="27">
        <v>5.0</v>
      </c>
      <c r="F1518" s="27" t="s">
        <v>2096</v>
      </c>
      <c r="G1518" s="201" t="s">
        <v>57</v>
      </c>
      <c r="H1518" s="27" t="s">
        <v>148</v>
      </c>
      <c r="I1518" s="27"/>
      <c r="J1518" s="33"/>
      <c r="K1518" s="33"/>
      <c r="L1518" s="66"/>
      <c r="M1518" s="27"/>
      <c r="N1518" s="27"/>
      <c r="O1518" s="27"/>
      <c r="P1518" s="27"/>
      <c r="Q1518" s="27"/>
      <c r="R1518" s="27"/>
      <c r="S1518" s="27"/>
      <c r="T1518" s="27"/>
      <c r="U1518" s="27"/>
      <c r="V1518" s="27"/>
      <c r="W1518" s="27"/>
      <c r="X1518" s="27"/>
      <c r="Y1518" s="27"/>
      <c r="Z1518" s="27"/>
      <c r="AA1518" s="27"/>
      <c r="AB1518" s="27"/>
      <c r="AC1518" s="27"/>
      <c r="AD1518" s="27"/>
      <c r="AE1518" s="27"/>
      <c r="AF1518" s="27"/>
      <c r="AG1518" s="27"/>
      <c r="AH1518" s="27">
        <v>157.0</v>
      </c>
      <c r="AI1518" s="27">
        <v>252.0</v>
      </c>
      <c r="AJ1518" s="27">
        <v>2.0</v>
      </c>
      <c r="AK1518" s="27" t="b">
        <v>1</v>
      </c>
      <c r="AL1518" s="27">
        <v>100.0</v>
      </c>
      <c r="AM1518" s="27" t="s">
        <v>186</v>
      </c>
      <c r="AN1518" s="27" t="s">
        <v>404</v>
      </c>
      <c r="AO1518" s="27"/>
    </row>
    <row r="1519">
      <c r="A1519" s="200">
        <v>44873.02510226852</v>
      </c>
      <c r="B1519" s="19" t="s">
        <v>116</v>
      </c>
      <c r="C1519" s="21" t="s">
        <v>332</v>
      </c>
      <c r="D1519" s="62">
        <v>5.0</v>
      </c>
      <c r="E1519" s="27">
        <v>4.0</v>
      </c>
      <c r="F1519" s="27" t="s">
        <v>2097</v>
      </c>
      <c r="G1519" s="201" t="s">
        <v>57</v>
      </c>
      <c r="H1519" s="27" t="s">
        <v>148</v>
      </c>
      <c r="I1519" s="27"/>
      <c r="J1519" s="33"/>
      <c r="K1519" s="33"/>
      <c r="L1519" s="66"/>
      <c r="M1519" s="27"/>
      <c r="N1519" s="27"/>
      <c r="O1519" s="27"/>
      <c r="P1519" s="27"/>
      <c r="Q1519" s="27"/>
      <c r="R1519" s="27"/>
      <c r="S1519" s="27"/>
      <c r="T1519" s="27"/>
      <c r="U1519" s="27"/>
      <c r="V1519" s="27"/>
      <c r="W1519" s="27"/>
      <c r="X1519" s="27"/>
      <c r="Y1519" s="27"/>
      <c r="Z1519" s="27"/>
      <c r="AA1519" s="27"/>
      <c r="AB1519" s="27"/>
      <c r="AC1519" s="27"/>
      <c r="AD1519" s="27"/>
      <c r="AE1519" s="27"/>
      <c r="AF1519" s="27"/>
      <c r="AG1519" s="27"/>
      <c r="AH1519" s="27">
        <v>155.0</v>
      </c>
      <c r="AI1519" s="27">
        <v>129.0</v>
      </c>
      <c r="AJ1519" s="27">
        <v>2.0</v>
      </c>
      <c r="AK1519" s="27" t="b">
        <v>0</v>
      </c>
      <c r="AL1519" s="27">
        <v>100.0</v>
      </c>
      <c r="AM1519" s="27" t="s">
        <v>188</v>
      </c>
      <c r="AN1519" s="27" t="s">
        <v>404</v>
      </c>
      <c r="AO1519" s="27"/>
    </row>
    <row r="1520">
      <c r="A1520" s="200">
        <v>44873.02510226852</v>
      </c>
      <c r="B1520" s="19" t="s">
        <v>116</v>
      </c>
      <c r="C1520" s="21" t="s">
        <v>355</v>
      </c>
      <c r="D1520" s="62">
        <v>5.0</v>
      </c>
      <c r="E1520" s="27">
        <v>4.0</v>
      </c>
      <c r="F1520" s="27" t="s">
        <v>2098</v>
      </c>
      <c r="G1520" s="201" t="s">
        <v>57</v>
      </c>
      <c r="H1520" s="27" t="s">
        <v>154</v>
      </c>
      <c r="I1520" s="27"/>
      <c r="J1520" s="33"/>
      <c r="K1520" s="33"/>
      <c r="L1520" s="66"/>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v>270.0</v>
      </c>
      <c r="AI1520" s="27">
        <v>299.0</v>
      </c>
      <c r="AJ1520" s="27">
        <v>2.0</v>
      </c>
      <c r="AK1520" s="27" t="b">
        <v>1</v>
      </c>
      <c r="AL1520" s="27">
        <v>100.0</v>
      </c>
      <c r="AM1520" s="27" t="s">
        <v>189</v>
      </c>
      <c r="AN1520" s="27" t="s">
        <v>405</v>
      </c>
      <c r="AO1520" s="27"/>
    </row>
    <row r="1521">
      <c r="A1521" s="200">
        <v>44873.02510226852</v>
      </c>
      <c r="B1521" s="19" t="s">
        <v>116</v>
      </c>
      <c r="C1521" s="21" t="s">
        <v>329</v>
      </c>
      <c r="D1521" s="62">
        <v>5.0</v>
      </c>
      <c r="E1521" s="27">
        <v>4.0</v>
      </c>
      <c r="F1521" s="27" t="s">
        <v>2093</v>
      </c>
      <c r="G1521" s="201" t="s">
        <v>57</v>
      </c>
      <c r="H1521" s="27" t="s">
        <v>144</v>
      </c>
      <c r="I1521" s="27"/>
      <c r="J1521" s="33"/>
      <c r="K1521" s="33"/>
      <c r="L1521" s="66"/>
      <c r="M1521" s="27"/>
      <c r="N1521" s="27"/>
      <c r="O1521" s="27"/>
      <c r="P1521" s="27"/>
      <c r="Q1521" s="27"/>
      <c r="R1521" s="27"/>
      <c r="S1521" s="27"/>
      <c r="T1521" s="27"/>
      <c r="U1521" s="27"/>
      <c r="V1521" s="27"/>
      <c r="W1521" s="27"/>
      <c r="X1521" s="27"/>
      <c r="Y1521" s="27"/>
      <c r="Z1521" s="27"/>
      <c r="AA1521" s="27"/>
      <c r="AB1521" s="27"/>
      <c r="AC1521" s="27"/>
      <c r="AD1521" s="27"/>
      <c r="AE1521" s="27"/>
      <c r="AF1521" s="27"/>
      <c r="AG1521" s="27"/>
      <c r="AH1521" s="27">
        <v>223.0</v>
      </c>
      <c r="AI1521" s="27">
        <v>245.0</v>
      </c>
      <c r="AJ1521" s="27">
        <v>2.0</v>
      </c>
      <c r="AK1521" s="27" t="b">
        <v>0</v>
      </c>
      <c r="AL1521" s="27">
        <v>100.0</v>
      </c>
      <c r="AM1521" s="27" t="s">
        <v>190</v>
      </c>
      <c r="AN1521" s="27" t="s">
        <v>405</v>
      </c>
      <c r="AO1521" s="27"/>
    </row>
    <row r="1522">
      <c r="A1522" s="200">
        <v>44873.02510226852</v>
      </c>
      <c r="B1522" s="19"/>
      <c r="C1522" s="21"/>
      <c r="D1522" s="62"/>
      <c r="E1522" s="27"/>
      <c r="F1522" s="27"/>
      <c r="G1522" s="201"/>
      <c r="H1522" s="27"/>
      <c r="I1522" s="27"/>
      <c r="J1522" s="33"/>
      <c r="K1522" s="33"/>
      <c r="L1522" s="66"/>
      <c r="M1522" s="27"/>
      <c r="N1522" s="27"/>
      <c r="O1522" s="27"/>
      <c r="P1522" s="27"/>
      <c r="Q1522" s="27"/>
      <c r="R1522" s="27"/>
      <c r="S1522" s="27"/>
      <c r="T1522" s="27"/>
      <c r="U1522" s="27"/>
      <c r="V1522" s="27"/>
      <c r="W1522" s="27"/>
      <c r="X1522" s="27"/>
      <c r="Y1522" s="27"/>
      <c r="Z1522" s="27"/>
      <c r="AA1522" s="27"/>
      <c r="AB1522" s="27"/>
      <c r="AC1522" s="27"/>
      <c r="AD1522" s="27"/>
      <c r="AE1522" s="27"/>
      <c r="AF1522" s="27"/>
      <c r="AG1522" s="27"/>
      <c r="AH1522" s="27"/>
      <c r="AI1522" s="27"/>
      <c r="AJ1522" s="27"/>
      <c r="AK1522" s="27"/>
      <c r="AL1522" s="27"/>
      <c r="AM1522" s="27" t="e">
        <v>#N/A</v>
      </c>
      <c r="AN1522" s="27" t="e">
        <v>#N/A</v>
      </c>
      <c r="AO1522" s="27"/>
    </row>
    <row r="1523">
      <c r="A1523" s="200">
        <v>44873.02510226852</v>
      </c>
      <c r="B1523" s="19" t="s">
        <v>148</v>
      </c>
      <c r="C1523" s="21" t="s">
        <v>316</v>
      </c>
      <c r="D1523" s="62">
        <v>6.0</v>
      </c>
      <c r="E1523" s="27">
        <v>3.0</v>
      </c>
      <c r="F1523" s="27" t="s">
        <v>2081</v>
      </c>
      <c r="G1523" s="201" t="s">
        <v>57</v>
      </c>
      <c r="H1523" s="27" t="s">
        <v>141</v>
      </c>
      <c r="I1523" s="27"/>
      <c r="J1523" s="33"/>
      <c r="K1523" s="33"/>
      <c r="L1523" s="66"/>
      <c r="M1523" s="27"/>
      <c r="N1523" s="27"/>
      <c r="O1523" s="27"/>
      <c r="P1523" s="27"/>
      <c r="Q1523" s="27"/>
      <c r="R1523" s="27"/>
      <c r="S1523" s="27"/>
      <c r="T1523" s="27"/>
      <c r="U1523" s="27"/>
      <c r="V1523" s="27"/>
      <c r="W1523" s="27"/>
      <c r="X1523" s="27"/>
      <c r="Y1523" s="27"/>
      <c r="Z1523" s="27"/>
      <c r="AA1523" s="27"/>
      <c r="AB1523" s="27"/>
      <c r="AC1523" s="27"/>
      <c r="AD1523" s="27"/>
      <c r="AE1523" s="27"/>
      <c r="AF1523" s="27"/>
      <c r="AG1523" s="27"/>
      <c r="AH1523" s="27">
        <v>259.0</v>
      </c>
      <c r="AI1523" s="27">
        <v>170.0</v>
      </c>
      <c r="AJ1523" s="27">
        <v>2.0</v>
      </c>
      <c r="AK1523" s="27" t="b">
        <v>1</v>
      </c>
      <c r="AL1523" s="27">
        <v>100.0</v>
      </c>
      <c r="AM1523" s="27" t="s">
        <v>129</v>
      </c>
      <c r="AN1523" s="27" t="s">
        <v>405</v>
      </c>
      <c r="AO1523" s="27"/>
    </row>
    <row r="1524">
      <c r="A1524" s="200">
        <v>44873.02510226852</v>
      </c>
      <c r="B1524" s="19" t="s">
        <v>148</v>
      </c>
      <c r="C1524" s="21" t="s">
        <v>380</v>
      </c>
      <c r="D1524" s="62">
        <v>3.0</v>
      </c>
      <c r="E1524" s="27">
        <v>6.0</v>
      </c>
      <c r="F1524" s="27" t="s">
        <v>2050</v>
      </c>
      <c r="G1524" s="201" t="s">
        <v>57</v>
      </c>
      <c r="H1524" s="27" t="s">
        <v>131</v>
      </c>
      <c r="I1524" s="27"/>
      <c r="J1524" s="33"/>
      <c r="K1524" s="33"/>
      <c r="L1524" s="66"/>
      <c r="M1524" s="27"/>
      <c r="N1524" s="27"/>
      <c r="O1524" s="27"/>
      <c r="P1524" s="27"/>
      <c r="Q1524" s="27"/>
      <c r="R1524" s="27"/>
      <c r="S1524" s="27"/>
      <c r="T1524" s="27"/>
      <c r="U1524" s="27"/>
      <c r="V1524" s="27"/>
      <c r="W1524" s="27"/>
      <c r="X1524" s="27"/>
      <c r="Y1524" s="27"/>
      <c r="Z1524" s="27"/>
      <c r="AA1524" s="27"/>
      <c r="AB1524" s="27"/>
      <c r="AC1524" s="27"/>
      <c r="AD1524" s="27"/>
      <c r="AE1524" s="27"/>
      <c r="AF1524" s="27"/>
      <c r="AG1524" s="27"/>
      <c r="AH1524" s="27">
        <v>203.0</v>
      </c>
      <c r="AI1524" s="27">
        <v>224.0</v>
      </c>
      <c r="AJ1524" s="27">
        <v>2.0</v>
      </c>
      <c r="AK1524" s="27" t="b">
        <v>1</v>
      </c>
      <c r="AL1524" s="27">
        <v>100.0</v>
      </c>
      <c r="AM1524" s="27" t="s">
        <v>193</v>
      </c>
      <c r="AN1524" s="27" t="s">
        <v>405</v>
      </c>
      <c r="AO1524" s="27"/>
    </row>
    <row r="1525">
      <c r="A1525" s="200">
        <v>44873.02510226852</v>
      </c>
      <c r="B1525" s="19" t="s">
        <v>148</v>
      </c>
      <c r="C1525" s="21" t="s">
        <v>374</v>
      </c>
      <c r="D1525" s="62">
        <v>7.0</v>
      </c>
      <c r="E1525" s="27">
        <v>2.0</v>
      </c>
      <c r="F1525" s="27" t="s">
        <v>2085</v>
      </c>
      <c r="G1525" s="201" t="s">
        <v>57</v>
      </c>
      <c r="H1525" s="27" t="s">
        <v>109</v>
      </c>
      <c r="I1525" s="27"/>
      <c r="J1525" s="33"/>
      <c r="K1525" s="33"/>
      <c r="L1525" s="66"/>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v>321.0</v>
      </c>
      <c r="AI1525" s="27">
        <v>169.0</v>
      </c>
      <c r="AJ1525" s="27">
        <v>2.0</v>
      </c>
      <c r="AK1525" s="27" t="b">
        <v>1</v>
      </c>
      <c r="AL1525" s="27">
        <v>100.0</v>
      </c>
      <c r="AM1525" s="27" t="s">
        <v>389</v>
      </c>
      <c r="AN1525" s="27" t="s">
        <v>405</v>
      </c>
      <c r="AO1525" s="27"/>
    </row>
    <row r="1526">
      <c r="A1526" s="200">
        <v>44873.02510226852</v>
      </c>
      <c r="B1526" s="19" t="s">
        <v>148</v>
      </c>
      <c r="C1526" s="21" t="s">
        <v>326</v>
      </c>
      <c r="D1526" s="62">
        <v>4.0</v>
      </c>
      <c r="E1526" s="27">
        <v>5.0</v>
      </c>
      <c r="F1526" s="27" t="s">
        <v>2090</v>
      </c>
      <c r="G1526" s="201" t="s">
        <v>57</v>
      </c>
      <c r="H1526" s="27" t="s">
        <v>144</v>
      </c>
      <c r="I1526" s="27"/>
      <c r="J1526" s="33"/>
      <c r="K1526" s="33"/>
      <c r="L1526" s="66"/>
      <c r="M1526" s="27"/>
      <c r="N1526" s="27"/>
      <c r="O1526" s="27"/>
      <c r="P1526" s="27"/>
      <c r="Q1526" s="27"/>
      <c r="R1526" s="27"/>
      <c r="S1526" s="27"/>
      <c r="T1526" s="27"/>
      <c r="U1526" s="27"/>
      <c r="V1526" s="27"/>
      <c r="W1526" s="27"/>
      <c r="X1526" s="27"/>
      <c r="Y1526" s="27"/>
      <c r="Z1526" s="27"/>
      <c r="AA1526" s="27"/>
      <c r="AB1526" s="27"/>
      <c r="AC1526" s="27"/>
      <c r="AD1526" s="27"/>
      <c r="AE1526" s="27"/>
      <c r="AF1526" s="27"/>
      <c r="AG1526" s="27"/>
      <c r="AH1526" s="27">
        <v>204.0</v>
      </c>
      <c r="AI1526" s="27">
        <v>147.0</v>
      </c>
      <c r="AJ1526" s="27">
        <v>2.0</v>
      </c>
      <c r="AK1526" s="27" t="b">
        <v>0</v>
      </c>
      <c r="AL1526" s="27">
        <v>100.0</v>
      </c>
      <c r="AM1526" s="27" t="s">
        <v>187</v>
      </c>
      <c r="AN1526" s="27" t="s">
        <v>404</v>
      </c>
      <c r="AO1526" s="27"/>
    </row>
    <row r="1527">
      <c r="A1527" s="200">
        <v>44873.02510226852</v>
      </c>
      <c r="B1527" s="19" t="s">
        <v>148</v>
      </c>
      <c r="C1527" s="21" t="s">
        <v>384</v>
      </c>
      <c r="D1527" s="62">
        <v>2.0</v>
      </c>
      <c r="E1527" s="27">
        <v>7.0</v>
      </c>
      <c r="F1527" s="27" t="s">
        <v>2096</v>
      </c>
      <c r="G1527" s="201" t="s">
        <v>57</v>
      </c>
      <c r="H1527" s="27" t="s">
        <v>116</v>
      </c>
      <c r="I1527" s="27"/>
      <c r="J1527" s="33"/>
      <c r="K1527" s="33"/>
      <c r="L1527" s="66"/>
      <c r="M1527" s="27"/>
      <c r="N1527" s="27"/>
      <c r="O1527" s="27"/>
      <c r="P1527" s="27"/>
      <c r="Q1527" s="27"/>
      <c r="R1527" s="27"/>
      <c r="S1527" s="27"/>
      <c r="T1527" s="27"/>
      <c r="U1527" s="27"/>
      <c r="V1527" s="27"/>
      <c r="W1527" s="27"/>
      <c r="X1527" s="27"/>
      <c r="Y1527" s="27"/>
      <c r="Z1527" s="27"/>
      <c r="AA1527" s="27"/>
      <c r="AB1527" s="27"/>
      <c r="AC1527" s="27"/>
      <c r="AD1527" s="27"/>
      <c r="AE1527" s="27"/>
      <c r="AF1527" s="27"/>
      <c r="AG1527" s="27"/>
      <c r="AH1527" s="27">
        <v>182.0</v>
      </c>
      <c r="AI1527" s="27">
        <v>226.0</v>
      </c>
      <c r="AJ1527" s="27">
        <v>2.0</v>
      </c>
      <c r="AK1527" s="27" t="b">
        <v>0</v>
      </c>
      <c r="AL1527" s="27">
        <v>100.0</v>
      </c>
      <c r="AM1527" s="27" t="s">
        <v>186</v>
      </c>
      <c r="AN1527" s="27" t="s">
        <v>404</v>
      </c>
      <c r="AO1527" s="27"/>
    </row>
    <row r="1528">
      <c r="A1528" s="200">
        <v>44873.02510226852</v>
      </c>
      <c r="B1528" s="19" t="s">
        <v>148</v>
      </c>
      <c r="C1528" s="21" t="s">
        <v>387</v>
      </c>
      <c r="D1528" s="62">
        <v>3.0</v>
      </c>
      <c r="E1528" s="27">
        <v>6.0</v>
      </c>
      <c r="F1528" s="27" t="s">
        <v>2092</v>
      </c>
      <c r="G1528" s="201" t="s">
        <v>57</v>
      </c>
      <c r="H1528" s="27" t="s">
        <v>144</v>
      </c>
      <c r="I1528" s="27"/>
      <c r="J1528" s="33"/>
      <c r="K1528" s="33"/>
      <c r="L1528" s="66"/>
      <c r="M1528" s="27"/>
      <c r="N1528" s="27"/>
      <c r="O1528" s="27"/>
      <c r="P1528" s="27"/>
      <c r="Q1528" s="27"/>
      <c r="R1528" s="27"/>
      <c r="S1528" s="27"/>
      <c r="T1528" s="27"/>
      <c r="U1528" s="27"/>
      <c r="V1528" s="27"/>
      <c r="W1528" s="27"/>
      <c r="X1528" s="27"/>
      <c r="Y1528" s="27"/>
      <c r="Z1528" s="27"/>
      <c r="AA1528" s="27"/>
      <c r="AB1528" s="27"/>
      <c r="AC1528" s="27"/>
      <c r="AD1528" s="27"/>
      <c r="AE1528" s="27"/>
      <c r="AF1528" s="27"/>
      <c r="AG1528" s="27"/>
      <c r="AH1528" s="27">
        <v>205.0</v>
      </c>
      <c r="AI1528" s="27">
        <v>215.0</v>
      </c>
      <c r="AJ1528" s="27">
        <v>2.0</v>
      </c>
      <c r="AK1528" s="27" t="b">
        <v>0</v>
      </c>
      <c r="AL1528" s="27">
        <v>100.0</v>
      </c>
      <c r="AM1528" s="27" t="s">
        <v>192</v>
      </c>
      <c r="AN1528" s="27" t="s">
        <v>404</v>
      </c>
      <c r="AO1528" s="27"/>
    </row>
    <row r="1529">
      <c r="A1529" s="200">
        <v>44873.02510226852</v>
      </c>
      <c r="B1529" s="19" t="s">
        <v>148</v>
      </c>
      <c r="C1529" s="21" t="s">
        <v>381</v>
      </c>
      <c r="D1529" s="62">
        <v>5.0</v>
      </c>
      <c r="E1529" s="27">
        <v>4.0</v>
      </c>
      <c r="F1529" s="27" t="s">
        <v>2097</v>
      </c>
      <c r="G1529" s="201" t="s">
        <v>57</v>
      </c>
      <c r="H1529" s="27" t="s">
        <v>116</v>
      </c>
      <c r="I1529" s="27"/>
      <c r="J1529" s="33"/>
      <c r="K1529" s="33"/>
      <c r="L1529" s="66"/>
      <c r="M1529" s="27"/>
      <c r="N1529" s="27"/>
      <c r="O1529" s="27"/>
      <c r="P1529" s="27"/>
      <c r="Q1529" s="27"/>
      <c r="R1529" s="27"/>
      <c r="S1529" s="27"/>
      <c r="T1529" s="27"/>
      <c r="U1529" s="27"/>
      <c r="V1529" s="27"/>
      <c r="W1529" s="27"/>
      <c r="X1529" s="27"/>
      <c r="Y1529" s="27"/>
      <c r="Z1529" s="27"/>
      <c r="AA1529" s="27"/>
      <c r="AB1529" s="27"/>
      <c r="AC1529" s="27"/>
      <c r="AD1529" s="27"/>
      <c r="AE1529" s="27"/>
      <c r="AF1529" s="27"/>
      <c r="AG1529" s="27"/>
      <c r="AH1529" s="27">
        <v>265.0</v>
      </c>
      <c r="AI1529" s="27">
        <v>228.0</v>
      </c>
      <c r="AJ1529" s="27">
        <v>2.0</v>
      </c>
      <c r="AK1529" s="27" t="b">
        <v>1</v>
      </c>
      <c r="AL1529" s="27">
        <v>100.0</v>
      </c>
      <c r="AM1529" s="27" t="s">
        <v>188</v>
      </c>
      <c r="AN1529" s="27" t="s">
        <v>404</v>
      </c>
      <c r="AO1529" s="27"/>
    </row>
    <row r="1530">
      <c r="A1530" s="200">
        <v>44873.02510226852</v>
      </c>
      <c r="B1530" s="19" t="s">
        <v>148</v>
      </c>
      <c r="C1530" s="21" t="s">
        <v>377</v>
      </c>
      <c r="D1530" s="62">
        <v>7.0</v>
      </c>
      <c r="E1530" s="27">
        <v>2.0</v>
      </c>
      <c r="F1530" s="27" t="s">
        <v>2067</v>
      </c>
      <c r="G1530" s="201" t="s">
        <v>57</v>
      </c>
      <c r="H1530" s="27" t="s">
        <v>59</v>
      </c>
      <c r="I1530" s="27"/>
      <c r="J1530" s="33"/>
      <c r="K1530" s="33"/>
      <c r="L1530" s="66"/>
      <c r="M1530" s="27"/>
      <c r="N1530" s="27"/>
      <c r="O1530" s="27"/>
      <c r="P1530" s="27"/>
      <c r="Q1530" s="27"/>
      <c r="R1530" s="27"/>
      <c r="S1530" s="27"/>
      <c r="T1530" s="27"/>
      <c r="U1530" s="27"/>
      <c r="V1530" s="27"/>
      <c r="W1530" s="27"/>
      <c r="X1530" s="27"/>
      <c r="Y1530" s="27"/>
      <c r="Z1530" s="27"/>
      <c r="AA1530" s="27"/>
      <c r="AB1530" s="27"/>
      <c r="AC1530" s="27"/>
      <c r="AD1530" s="27"/>
      <c r="AE1530" s="27"/>
      <c r="AF1530" s="27"/>
      <c r="AG1530" s="27"/>
      <c r="AH1530" s="27">
        <v>347.0</v>
      </c>
      <c r="AI1530" s="27">
        <v>242.0</v>
      </c>
      <c r="AJ1530" s="27">
        <v>2.0</v>
      </c>
      <c r="AK1530" s="27" t="b">
        <v>1</v>
      </c>
      <c r="AL1530" s="27">
        <v>100.0</v>
      </c>
      <c r="AM1530" s="27" t="s">
        <v>191</v>
      </c>
      <c r="AN1530" s="27" t="s">
        <v>404</v>
      </c>
      <c r="AO1530" s="27"/>
    </row>
    <row r="1531">
      <c r="A1531" s="200">
        <v>44873.02510226852</v>
      </c>
      <c r="B1531" s="19" t="s">
        <v>148</v>
      </c>
      <c r="C1531" s="21" t="s">
        <v>401</v>
      </c>
      <c r="D1531" s="62">
        <v>1.0</v>
      </c>
      <c r="E1531" s="27">
        <v>8.0</v>
      </c>
      <c r="F1531" s="27" t="s">
        <v>2069</v>
      </c>
      <c r="G1531" s="201" t="s">
        <v>57</v>
      </c>
      <c r="H1531" s="27" t="s">
        <v>59</v>
      </c>
      <c r="I1531" s="27"/>
      <c r="J1531" s="33"/>
      <c r="K1531" s="33"/>
      <c r="L1531" s="66"/>
      <c r="M1531" s="27"/>
      <c r="N1531" s="27"/>
      <c r="O1531" s="27"/>
      <c r="P1531" s="27"/>
      <c r="Q1531" s="27"/>
      <c r="R1531" s="27"/>
      <c r="S1531" s="27"/>
      <c r="T1531" s="27"/>
      <c r="U1531" s="27"/>
      <c r="V1531" s="27"/>
      <c r="W1531" s="27"/>
      <c r="X1531" s="27"/>
      <c r="Y1531" s="27"/>
      <c r="Z1531" s="27"/>
      <c r="AA1531" s="27"/>
      <c r="AB1531" s="27"/>
      <c r="AC1531" s="27"/>
      <c r="AD1531" s="27"/>
      <c r="AE1531" s="27"/>
      <c r="AF1531" s="27"/>
      <c r="AG1531" s="27"/>
      <c r="AH1531" s="27">
        <v>107.0</v>
      </c>
      <c r="AI1531" s="27">
        <v>274.0</v>
      </c>
      <c r="AJ1531" s="27">
        <v>2.0</v>
      </c>
      <c r="AK1531" s="27" t="b">
        <v>1</v>
      </c>
      <c r="AL1531" s="27">
        <v>100.0</v>
      </c>
      <c r="AM1531" s="27" t="s">
        <v>189</v>
      </c>
      <c r="AN1531" s="27" t="s">
        <v>405</v>
      </c>
      <c r="AO1531" s="27"/>
    </row>
    <row r="1532">
      <c r="A1532" s="200">
        <v>44873.02510226852</v>
      </c>
      <c r="B1532" s="19" t="s">
        <v>148</v>
      </c>
      <c r="C1532" s="21" t="s">
        <v>335</v>
      </c>
      <c r="D1532" s="62">
        <v>5.0</v>
      </c>
      <c r="E1532" s="27">
        <v>4.0</v>
      </c>
      <c r="F1532" s="27" t="s">
        <v>2099</v>
      </c>
      <c r="G1532" s="201" t="s">
        <v>57</v>
      </c>
      <c r="H1532" s="27" t="s">
        <v>154</v>
      </c>
      <c r="I1532" s="27"/>
      <c r="J1532" s="33"/>
      <c r="K1532" s="33"/>
      <c r="L1532" s="66"/>
      <c r="M1532" s="27"/>
      <c r="N1532" s="27"/>
      <c r="O1532" s="27"/>
      <c r="P1532" s="27"/>
      <c r="Q1532" s="27"/>
      <c r="R1532" s="27"/>
      <c r="S1532" s="27"/>
      <c r="T1532" s="27"/>
      <c r="U1532" s="27"/>
      <c r="V1532" s="27"/>
      <c r="W1532" s="27"/>
      <c r="X1532" s="27"/>
      <c r="Y1532" s="27"/>
      <c r="Z1532" s="27"/>
      <c r="AA1532" s="27"/>
      <c r="AB1532" s="27"/>
      <c r="AC1532" s="27"/>
      <c r="AD1532" s="27"/>
      <c r="AE1532" s="27"/>
      <c r="AF1532" s="27"/>
      <c r="AG1532" s="27"/>
      <c r="AH1532" s="27">
        <v>224.0</v>
      </c>
      <c r="AI1532" s="27">
        <v>286.0</v>
      </c>
      <c r="AJ1532" s="27">
        <v>2.0</v>
      </c>
      <c r="AK1532" s="27" t="b">
        <v>0</v>
      </c>
      <c r="AL1532" s="27">
        <v>100.0</v>
      </c>
      <c r="AM1532" s="27" t="s">
        <v>190</v>
      </c>
      <c r="AN1532" s="27" t="s">
        <v>405</v>
      </c>
      <c r="AO1532" s="27"/>
    </row>
    <row r="1533">
      <c r="A1533" s="200">
        <v>44873.02510226852</v>
      </c>
      <c r="B1533" s="19"/>
      <c r="C1533" s="21"/>
      <c r="D1533" s="62"/>
      <c r="E1533" s="27"/>
      <c r="F1533" s="27"/>
      <c r="G1533" s="201"/>
      <c r="H1533" s="27"/>
      <c r="I1533" s="27"/>
      <c r="J1533" s="33"/>
      <c r="K1533" s="33"/>
      <c r="L1533" s="66"/>
      <c r="M1533" s="27"/>
      <c r="N1533" s="27"/>
      <c r="O1533" s="27"/>
      <c r="P1533" s="27"/>
      <c r="Q1533" s="27"/>
      <c r="R1533" s="27"/>
      <c r="S1533" s="27"/>
      <c r="T1533" s="27"/>
      <c r="U1533" s="27"/>
      <c r="V1533" s="27"/>
      <c r="W1533" s="27"/>
      <c r="X1533" s="27"/>
      <c r="Y1533" s="27"/>
      <c r="Z1533" s="27"/>
      <c r="AA1533" s="27"/>
      <c r="AB1533" s="27"/>
      <c r="AC1533" s="27"/>
      <c r="AD1533" s="27"/>
      <c r="AE1533" s="27"/>
      <c r="AF1533" s="27"/>
      <c r="AG1533" s="27"/>
      <c r="AH1533" s="27"/>
      <c r="AI1533" s="27"/>
      <c r="AJ1533" s="27"/>
      <c r="AK1533" s="27"/>
      <c r="AL1533" s="27"/>
      <c r="AM1533" s="27" t="e">
        <v>#N/A</v>
      </c>
      <c r="AN1533" s="27" t="e">
        <v>#N/A</v>
      </c>
      <c r="AO1533" s="27"/>
    </row>
    <row r="1534">
      <c r="A1534" s="200">
        <v>44873.02510226852</v>
      </c>
      <c r="B1534" s="19" t="s">
        <v>103</v>
      </c>
      <c r="C1534" s="21" t="s">
        <v>373</v>
      </c>
      <c r="D1534" s="62">
        <v>8.0</v>
      </c>
      <c r="E1534" s="27">
        <v>1.0</v>
      </c>
      <c r="F1534" s="27"/>
      <c r="G1534" s="201"/>
      <c r="H1534" s="27"/>
      <c r="I1534" s="27" t="s">
        <v>66</v>
      </c>
      <c r="J1534" s="33"/>
      <c r="K1534" s="33"/>
      <c r="L1534" s="66"/>
      <c r="M1534" s="27"/>
      <c r="N1534" s="27"/>
      <c r="O1534" s="27"/>
      <c r="P1534" s="27"/>
      <c r="Q1534" s="27"/>
      <c r="R1534" s="27"/>
      <c r="S1534" s="27"/>
      <c r="T1534" s="27"/>
      <c r="U1534" s="27"/>
      <c r="V1534" s="27"/>
      <c r="W1534" s="27"/>
      <c r="X1534" s="27"/>
      <c r="Y1534" s="27"/>
      <c r="Z1534" s="27"/>
      <c r="AA1534" s="27"/>
      <c r="AB1534" s="27"/>
      <c r="AC1534" s="27"/>
      <c r="AD1534" s="27"/>
      <c r="AE1534" s="27"/>
      <c r="AF1534" s="27"/>
      <c r="AG1534" s="27"/>
      <c r="AH1534" s="27">
        <v>337.0</v>
      </c>
      <c r="AI1534" s="27">
        <v>194.0</v>
      </c>
      <c r="AJ1534" s="27">
        <v>0.0</v>
      </c>
      <c r="AK1534" s="27" t="b">
        <v>1</v>
      </c>
      <c r="AL1534" s="27">
        <v>59.0</v>
      </c>
      <c r="AM1534" s="27" t="s">
        <v>192</v>
      </c>
      <c r="AN1534" s="27" t="s">
        <v>404</v>
      </c>
      <c r="AO1534" s="27"/>
    </row>
    <row r="1535">
      <c r="A1535" s="200">
        <v>44873.02510226852</v>
      </c>
      <c r="B1535" s="19" t="s">
        <v>103</v>
      </c>
      <c r="C1535" s="21" t="s">
        <v>356</v>
      </c>
      <c r="D1535" s="62">
        <v>5.0</v>
      </c>
      <c r="E1535" s="27">
        <v>4.0</v>
      </c>
      <c r="F1535" s="27"/>
      <c r="G1535" s="201"/>
      <c r="H1535" s="27"/>
      <c r="I1535" s="27" t="s">
        <v>126</v>
      </c>
      <c r="J1535" s="33"/>
      <c r="K1535" s="33"/>
      <c r="L1535" s="66"/>
      <c r="M1535" s="27"/>
      <c r="N1535" s="27"/>
      <c r="O1535" s="27"/>
      <c r="P1535" s="27"/>
      <c r="Q1535" s="27"/>
      <c r="R1535" s="27"/>
      <c r="S1535" s="27"/>
      <c r="T1535" s="27"/>
      <c r="U1535" s="27"/>
      <c r="V1535" s="27"/>
      <c r="W1535" s="27"/>
      <c r="X1535" s="27"/>
      <c r="Y1535" s="27"/>
      <c r="Z1535" s="27"/>
      <c r="AA1535" s="27"/>
      <c r="AB1535" s="27"/>
      <c r="AC1535" s="27"/>
      <c r="AD1535" s="27"/>
      <c r="AE1535" s="27"/>
      <c r="AF1535" s="27"/>
      <c r="AG1535" s="27"/>
      <c r="AH1535" s="27">
        <v>243.0</v>
      </c>
      <c r="AI1535" s="27">
        <v>272.0</v>
      </c>
      <c r="AJ1535" s="27">
        <v>0.0</v>
      </c>
      <c r="AK1535" s="27" t="b">
        <v>1</v>
      </c>
      <c r="AL1535" s="27">
        <v>59.0</v>
      </c>
      <c r="AM1535" s="27" t="s">
        <v>190</v>
      </c>
      <c r="AN1535" s="27" t="s">
        <v>405</v>
      </c>
      <c r="AO1535" s="27"/>
    </row>
    <row r="1536">
      <c r="A1536" s="200">
        <v>44873.02510226852</v>
      </c>
      <c r="B1536" s="19" t="s">
        <v>103</v>
      </c>
      <c r="C1536" s="21" t="s">
        <v>340</v>
      </c>
      <c r="D1536" s="62">
        <v>6.0</v>
      </c>
      <c r="E1536" s="27">
        <v>3.0</v>
      </c>
      <c r="F1536" s="27" t="s">
        <v>2089</v>
      </c>
      <c r="G1536" s="201" t="s">
        <v>57</v>
      </c>
      <c r="H1536" s="27" t="s">
        <v>144</v>
      </c>
      <c r="I1536" s="27"/>
      <c r="J1536" s="33"/>
      <c r="K1536" s="33"/>
      <c r="L1536" s="66"/>
      <c r="M1536" s="27"/>
      <c r="N1536" s="27"/>
      <c r="O1536" s="27"/>
      <c r="P1536" s="27"/>
      <c r="Q1536" s="27"/>
      <c r="R1536" s="27"/>
      <c r="S1536" s="27"/>
      <c r="T1536" s="27"/>
      <c r="U1536" s="27"/>
      <c r="V1536" s="27"/>
      <c r="W1536" s="27"/>
      <c r="X1536" s="27"/>
      <c r="Y1536" s="27"/>
      <c r="Z1536" s="27"/>
      <c r="AA1536" s="27"/>
      <c r="AB1536" s="27"/>
      <c r="AC1536" s="27"/>
      <c r="AD1536" s="27"/>
      <c r="AE1536" s="27"/>
      <c r="AF1536" s="27"/>
      <c r="AG1536" s="27"/>
      <c r="AH1536" s="27">
        <v>302.0</v>
      </c>
      <c r="AI1536" s="27">
        <v>178.0</v>
      </c>
      <c r="AJ1536" s="27">
        <v>2.0</v>
      </c>
      <c r="AK1536" s="27" t="b">
        <v>1</v>
      </c>
      <c r="AL1536" s="27">
        <v>100.0</v>
      </c>
      <c r="AM1536" s="27" t="s">
        <v>186</v>
      </c>
      <c r="AN1536" s="27" t="s">
        <v>404</v>
      </c>
      <c r="AO1536" s="27"/>
    </row>
    <row r="1537">
      <c r="A1537" s="200">
        <v>44873.02510226852</v>
      </c>
      <c r="B1537" s="19" t="s">
        <v>103</v>
      </c>
      <c r="C1537" s="21" t="s">
        <v>322</v>
      </c>
      <c r="D1537" s="62">
        <v>3.0</v>
      </c>
      <c r="E1537" s="27">
        <v>6.0</v>
      </c>
      <c r="F1537" s="27" t="s">
        <v>2100</v>
      </c>
      <c r="G1537" s="201" t="s">
        <v>57</v>
      </c>
      <c r="H1537" s="27" t="s">
        <v>154</v>
      </c>
      <c r="I1537" s="27"/>
      <c r="J1537" s="33"/>
      <c r="K1537" s="33"/>
      <c r="L1537" s="66"/>
      <c r="M1537" s="27"/>
      <c r="N1537" s="27"/>
      <c r="O1537" s="27"/>
      <c r="P1537" s="27"/>
      <c r="Q1537" s="27"/>
      <c r="R1537" s="27"/>
      <c r="S1537" s="27"/>
      <c r="T1537" s="27"/>
      <c r="U1537" s="27"/>
      <c r="V1537" s="27"/>
      <c r="W1537" s="27"/>
      <c r="X1537" s="27"/>
      <c r="Y1537" s="27"/>
      <c r="Z1537" s="27"/>
      <c r="AA1537" s="27"/>
      <c r="AB1537" s="27"/>
      <c r="AC1537" s="27"/>
      <c r="AD1537" s="27"/>
      <c r="AE1537" s="27"/>
      <c r="AF1537" s="27"/>
      <c r="AG1537" s="27"/>
      <c r="AH1537" s="27">
        <v>278.0</v>
      </c>
      <c r="AI1537" s="27">
        <v>344.0</v>
      </c>
      <c r="AJ1537" s="27">
        <v>2.0</v>
      </c>
      <c r="AK1537" s="27" t="b">
        <v>1</v>
      </c>
      <c r="AL1537" s="27">
        <v>100.0</v>
      </c>
      <c r="AM1537" s="27" t="s">
        <v>191</v>
      </c>
      <c r="AN1537" s="27" t="s">
        <v>404</v>
      </c>
      <c r="AO1537" s="27"/>
    </row>
    <row r="1538">
      <c r="A1538" s="200">
        <v>44873.02510226852</v>
      </c>
      <c r="B1538" s="19" t="s">
        <v>103</v>
      </c>
      <c r="C1538" s="21" t="s">
        <v>361</v>
      </c>
      <c r="D1538" s="62">
        <v>4.0</v>
      </c>
      <c r="E1538" s="27">
        <v>5.0</v>
      </c>
      <c r="F1538" s="27" t="s">
        <v>2091</v>
      </c>
      <c r="G1538" s="201" t="s">
        <v>57</v>
      </c>
      <c r="H1538" s="27" t="s">
        <v>144</v>
      </c>
      <c r="I1538" s="27"/>
      <c r="J1538" s="33"/>
      <c r="K1538" s="33"/>
      <c r="L1538" s="66"/>
      <c r="M1538" s="27"/>
      <c r="N1538" s="27"/>
      <c r="O1538" s="27"/>
      <c r="P1538" s="27"/>
      <c r="Q1538" s="27"/>
      <c r="R1538" s="27"/>
      <c r="S1538" s="27"/>
      <c r="T1538" s="27"/>
      <c r="U1538" s="27"/>
      <c r="V1538" s="27"/>
      <c r="W1538" s="27"/>
      <c r="X1538" s="27"/>
      <c r="Y1538" s="27"/>
      <c r="Z1538" s="27"/>
      <c r="AA1538" s="27"/>
      <c r="AB1538" s="27"/>
      <c r="AC1538" s="27"/>
      <c r="AD1538" s="27"/>
      <c r="AE1538" s="27"/>
      <c r="AF1538" s="27"/>
      <c r="AG1538" s="27"/>
      <c r="AH1538" s="27">
        <v>269.0</v>
      </c>
      <c r="AI1538" s="27">
        <v>273.0</v>
      </c>
      <c r="AJ1538" s="27">
        <v>2.0</v>
      </c>
      <c r="AK1538" s="27" t="b">
        <v>1</v>
      </c>
      <c r="AL1538" s="27">
        <v>100.0</v>
      </c>
      <c r="AM1538" s="27" t="s">
        <v>193</v>
      </c>
      <c r="AN1538" s="27" t="s">
        <v>405</v>
      </c>
      <c r="AO1538" s="27"/>
    </row>
    <row r="1539">
      <c r="A1539" s="200">
        <v>44873.02510226852</v>
      </c>
      <c r="B1539" s="19" t="s">
        <v>103</v>
      </c>
      <c r="C1539" s="21" t="s">
        <v>362</v>
      </c>
      <c r="D1539" s="62">
        <v>3.0</v>
      </c>
      <c r="E1539" s="27">
        <v>6.0</v>
      </c>
      <c r="F1539" s="27" t="s">
        <v>2055</v>
      </c>
      <c r="G1539" s="201" t="s">
        <v>57</v>
      </c>
      <c r="H1539" s="27" t="s">
        <v>131</v>
      </c>
      <c r="I1539" s="27"/>
      <c r="J1539" s="33"/>
      <c r="K1539" s="33"/>
      <c r="L1539" s="66"/>
      <c r="M1539" s="27"/>
      <c r="N1539" s="27"/>
      <c r="O1539" s="27"/>
      <c r="P1539" s="27"/>
      <c r="Q1539" s="27"/>
      <c r="R1539" s="27"/>
      <c r="S1539" s="27"/>
      <c r="T1539" s="27"/>
      <c r="U1539" s="27"/>
      <c r="V1539" s="27"/>
      <c r="W1539" s="27"/>
      <c r="X1539" s="27"/>
      <c r="Y1539" s="27"/>
      <c r="Z1539" s="27"/>
      <c r="AA1539" s="27"/>
      <c r="AB1539" s="27"/>
      <c r="AC1539" s="27"/>
      <c r="AD1539" s="27"/>
      <c r="AE1539" s="27"/>
      <c r="AF1539" s="27"/>
      <c r="AG1539" s="27"/>
      <c r="AH1539" s="27">
        <v>178.0</v>
      </c>
      <c r="AI1539" s="27">
        <v>236.0</v>
      </c>
      <c r="AJ1539" s="27">
        <v>2.0</v>
      </c>
      <c r="AK1539" s="27" t="b">
        <v>1</v>
      </c>
      <c r="AL1539" s="27">
        <v>100.0</v>
      </c>
      <c r="AM1539" s="27" t="s">
        <v>389</v>
      </c>
      <c r="AN1539" s="27" t="s">
        <v>405</v>
      </c>
      <c r="AO1539" s="27"/>
    </row>
    <row r="1540">
      <c r="A1540" s="200">
        <v>44873.02510226852</v>
      </c>
      <c r="B1540" s="19" t="s">
        <v>103</v>
      </c>
      <c r="C1540" s="21" t="s">
        <v>358</v>
      </c>
      <c r="D1540" s="62">
        <v>9.0</v>
      </c>
      <c r="E1540" s="27">
        <v>0.0</v>
      </c>
      <c r="F1540" s="27" t="s">
        <v>2062</v>
      </c>
      <c r="G1540" s="201" t="s">
        <v>57</v>
      </c>
      <c r="H1540" s="27" t="s">
        <v>178</v>
      </c>
      <c r="I1540" s="27"/>
      <c r="J1540" s="33"/>
      <c r="K1540" s="33"/>
      <c r="L1540" s="66"/>
      <c r="M1540" s="27"/>
      <c r="N1540" s="27"/>
      <c r="O1540" s="27"/>
      <c r="P1540" s="27"/>
      <c r="Q1540" s="27"/>
      <c r="R1540" s="27"/>
      <c r="S1540" s="27"/>
      <c r="T1540" s="27"/>
      <c r="U1540" s="27"/>
      <c r="V1540" s="27"/>
      <c r="W1540" s="27"/>
      <c r="X1540" s="27"/>
      <c r="Y1540" s="27"/>
      <c r="Z1540" s="27"/>
      <c r="AA1540" s="27"/>
      <c r="AB1540" s="27"/>
      <c r="AC1540" s="27"/>
      <c r="AD1540" s="27"/>
      <c r="AE1540" s="27"/>
      <c r="AF1540" s="27"/>
      <c r="AG1540" s="27"/>
      <c r="AH1540" s="27">
        <v>388.0</v>
      </c>
      <c r="AI1540" s="27">
        <v>242.0</v>
      </c>
      <c r="AJ1540" s="27">
        <v>2.0</v>
      </c>
      <c r="AK1540" s="27" t="b">
        <v>0</v>
      </c>
      <c r="AL1540" s="27">
        <v>100.0</v>
      </c>
      <c r="AM1540" s="27" t="s">
        <v>187</v>
      </c>
      <c r="AN1540" s="27" t="s">
        <v>404</v>
      </c>
      <c r="AO1540" s="27"/>
    </row>
    <row r="1541">
      <c r="A1541" s="200">
        <v>44873.02510226852</v>
      </c>
      <c r="B1541" s="19" t="s">
        <v>103</v>
      </c>
      <c r="C1541" s="21" t="s">
        <v>341</v>
      </c>
      <c r="D1541" s="62">
        <v>6.0</v>
      </c>
      <c r="E1541" s="27">
        <v>3.0</v>
      </c>
      <c r="F1541" s="27" t="s">
        <v>2056</v>
      </c>
      <c r="G1541" s="201" t="s">
        <v>57</v>
      </c>
      <c r="H1541" s="27" t="s">
        <v>131</v>
      </c>
      <c r="I1541" s="27"/>
      <c r="J1541" s="33"/>
      <c r="K1541" s="33"/>
      <c r="L1541" s="66"/>
      <c r="M1541" s="27"/>
      <c r="N1541" s="27"/>
      <c r="O1541" s="27"/>
      <c r="P1541" s="27"/>
      <c r="Q1541" s="27"/>
      <c r="R1541" s="27"/>
      <c r="S1541" s="27"/>
      <c r="T1541" s="27"/>
      <c r="U1541" s="27"/>
      <c r="V1541" s="27"/>
      <c r="W1541" s="27"/>
      <c r="X1541" s="27"/>
      <c r="Y1541" s="27"/>
      <c r="Z1541" s="27"/>
      <c r="AA1541" s="27"/>
      <c r="AB1541" s="27"/>
      <c r="AC1541" s="27"/>
      <c r="AD1541" s="27"/>
      <c r="AE1541" s="27"/>
      <c r="AF1541" s="27"/>
      <c r="AG1541" s="27"/>
      <c r="AH1541" s="27">
        <v>283.0</v>
      </c>
      <c r="AI1541" s="27">
        <v>216.0</v>
      </c>
      <c r="AJ1541" s="27">
        <v>2.0</v>
      </c>
      <c r="AK1541" s="27" t="b">
        <v>1</v>
      </c>
      <c r="AL1541" s="27">
        <v>100.0</v>
      </c>
      <c r="AM1541" s="27" t="s">
        <v>188</v>
      </c>
      <c r="AN1541" s="27" t="s">
        <v>404</v>
      </c>
      <c r="AO1541" s="27"/>
    </row>
    <row r="1542">
      <c r="A1542" s="200">
        <v>44873.02510226852</v>
      </c>
      <c r="B1542" s="19" t="s">
        <v>103</v>
      </c>
      <c r="C1542" s="21" t="s">
        <v>324</v>
      </c>
      <c r="D1542" s="62">
        <v>6.0</v>
      </c>
      <c r="E1542" s="27">
        <v>3.0</v>
      </c>
      <c r="F1542" s="27" t="s">
        <v>2095</v>
      </c>
      <c r="G1542" s="201" t="s">
        <v>57</v>
      </c>
      <c r="H1542" s="27" t="s">
        <v>166</v>
      </c>
      <c r="I1542" s="27"/>
      <c r="J1542" s="33"/>
      <c r="K1542" s="33"/>
      <c r="L1542" s="66"/>
      <c r="M1542" s="27"/>
      <c r="N1542" s="27"/>
      <c r="O1542" s="27"/>
      <c r="P1542" s="27"/>
      <c r="Q1542" s="27"/>
      <c r="R1542" s="27"/>
      <c r="S1542" s="27"/>
      <c r="T1542" s="27"/>
      <c r="U1542" s="27"/>
      <c r="V1542" s="27"/>
      <c r="W1542" s="27"/>
      <c r="X1542" s="27"/>
      <c r="Y1542" s="27"/>
      <c r="Z1542" s="27"/>
      <c r="AA1542" s="27"/>
      <c r="AB1542" s="27"/>
      <c r="AC1542" s="27"/>
      <c r="AD1542" s="27"/>
      <c r="AE1542" s="27"/>
      <c r="AF1542" s="27"/>
      <c r="AG1542" s="27"/>
      <c r="AH1542" s="27">
        <v>260.0</v>
      </c>
      <c r="AI1542" s="27">
        <v>141.0</v>
      </c>
      <c r="AJ1542" s="27">
        <v>2.0</v>
      </c>
      <c r="AK1542" s="27" t="b">
        <v>0</v>
      </c>
      <c r="AL1542" s="27">
        <v>100.0</v>
      </c>
      <c r="AM1542" s="27" t="s">
        <v>129</v>
      </c>
      <c r="AN1542" s="27" t="s">
        <v>405</v>
      </c>
      <c r="AO1542" s="27"/>
    </row>
    <row r="1543">
      <c r="A1543" s="200">
        <v>44873.02510226852</v>
      </c>
      <c r="B1543" s="19" t="s">
        <v>103</v>
      </c>
      <c r="C1543" s="21" t="s">
        <v>378</v>
      </c>
      <c r="D1543" s="62">
        <v>4.0</v>
      </c>
      <c r="E1543" s="27">
        <v>5.0</v>
      </c>
      <c r="F1543" s="27" t="s">
        <v>2077</v>
      </c>
      <c r="G1543" s="201" t="s">
        <v>183</v>
      </c>
      <c r="H1543" s="27" t="s">
        <v>138</v>
      </c>
      <c r="I1543" s="27"/>
      <c r="J1543" s="33"/>
      <c r="K1543" s="33"/>
      <c r="L1543" s="66"/>
      <c r="M1543" s="27"/>
      <c r="N1543" s="27"/>
      <c r="O1543" s="27"/>
      <c r="P1543" s="27"/>
      <c r="Q1543" s="27"/>
      <c r="R1543" s="27"/>
      <c r="S1543" s="27"/>
      <c r="T1543" s="27"/>
      <c r="U1543" s="27"/>
      <c r="V1543" s="27"/>
      <c r="W1543" s="27"/>
      <c r="X1543" s="27"/>
      <c r="Y1543" s="27"/>
      <c r="Z1543" s="27"/>
      <c r="AA1543" s="27"/>
      <c r="AB1543" s="27"/>
      <c r="AC1543" s="27"/>
      <c r="AD1543" s="27"/>
      <c r="AE1543" s="27"/>
      <c r="AF1543" s="27"/>
      <c r="AG1543" s="27"/>
      <c r="AH1543" s="27">
        <v>279.0</v>
      </c>
      <c r="AI1543" s="27">
        <v>192.0</v>
      </c>
      <c r="AJ1543" s="27">
        <v>2.0</v>
      </c>
      <c r="AK1543" s="27" t="b">
        <v>0</v>
      </c>
      <c r="AL1543" s="27">
        <v>100.0</v>
      </c>
      <c r="AM1543" s="27" t="s">
        <v>189</v>
      </c>
      <c r="AN1543" s="27" t="s">
        <v>405</v>
      </c>
      <c r="AO1543" s="27"/>
    </row>
    <row r="1544">
      <c r="A1544" s="200">
        <v>44873.02510226852</v>
      </c>
      <c r="B1544" s="19"/>
      <c r="C1544" s="21"/>
      <c r="D1544" s="62"/>
      <c r="E1544" s="27"/>
      <c r="F1544" s="27"/>
      <c r="G1544" s="201"/>
      <c r="H1544" s="27"/>
      <c r="I1544" s="27"/>
      <c r="J1544" s="33"/>
      <c r="K1544" s="33"/>
      <c r="L1544" s="66"/>
      <c r="M1544" s="27"/>
      <c r="N1544" s="27"/>
      <c r="O1544" s="27"/>
      <c r="P1544" s="27"/>
      <c r="Q1544" s="27"/>
      <c r="R1544" s="27"/>
      <c r="S1544" s="27"/>
      <c r="T1544" s="27"/>
      <c r="U1544" s="27"/>
      <c r="V1544" s="27"/>
      <c r="W1544" s="27"/>
      <c r="X1544" s="27"/>
      <c r="Y1544" s="27"/>
      <c r="Z1544" s="27"/>
      <c r="AA1544" s="27"/>
      <c r="AB1544" s="27"/>
      <c r="AC1544" s="27"/>
      <c r="AD1544" s="27"/>
      <c r="AE1544" s="27"/>
      <c r="AF1544" s="27"/>
      <c r="AG1544" s="27"/>
      <c r="AH1544" s="27"/>
      <c r="AI1544" s="27"/>
      <c r="AJ1544" s="27"/>
      <c r="AK1544" s="27"/>
      <c r="AL1544" s="27"/>
      <c r="AM1544" s="27" t="e">
        <v>#N/A</v>
      </c>
      <c r="AN1544" s="27" t="e">
        <v>#N/A</v>
      </c>
      <c r="AO1544" s="27"/>
    </row>
    <row r="1545">
      <c r="A1545" s="200">
        <v>44873.02510226852</v>
      </c>
      <c r="B1545" s="19" t="s">
        <v>154</v>
      </c>
      <c r="C1545" s="21" t="s">
        <v>383</v>
      </c>
      <c r="D1545" s="62">
        <v>6.0</v>
      </c>
      <c r="E1545" s="27">
        <v>3.0</v>
      </c>
      <c r="F1545" s="27"/>
      <c r="G1545" s="201"/>
      <c r="H1545" s="27"/>
      <c r="I1545" s="27" t="s">
        <v>126</v>
      </c>
      <c r="J1545" s="33"/>
      <c r="K1545" s="33"/>
      <c r="L1545" s="66"/>
      <c r="M1545" s="27"/>
      <c r="N1545" s="27"/>
      <c r="O1545" s="27"/>
      <c r="P1545" s="27"/>
      <c r="Q1545" s="27"/>
      <c r="R1545" s="27"/>
      <c r="S1545" s="27"/>
      <c r="T1545" s="27"/>
      <c r="U1545" s="27"/>
      <c r="V1545" s="27"/>
      <c r="W1545" s="27"/>
      <c r="X1545" s="27"/>
      <c r="Y1545" s="27"/>
      <c r="Z1545" s="27"/>
      <c r="AA1545" s="27"/>
      <c r="AB1545" s="27"/>
      <c r="AC1545" s="27"/>
      <c r="AD1545" s="27"/>
      <c r="AE1545" s="27"/>
      <c r="AF1545" s="27"/>
      <c r="AG1545" s="27"/>
      <c r="AH1545" s="27">
        <v>218.0</v>
      </c>
      <c r="AI1545" s="27">
        <v>218.0</v>
      </c>
      <c r="AJ1545" s="27">
        <v>0.0</v>
      </c>
      <c r="AK1545" s="27" t="b">
        <v>1</v>
      </c>
      <c r="AL1545" s="27">
        <v>59.0</v>
      </c>
      <c r="AM1545" s="27" t="s">
        <v>129</v>
      </c>
      <c r="AN1545" s="27" t="s">
        <v>405</v>
      </c>
      <c r="AO1545" s="27"/>
    </row>
    <row r="1546">
      <c r="A1546" s="200">
        <v>44873.02510226852</v>
      </c>
      <c r="B1546" s="19" t="s">
        <v>154</v>
      </c>
      <c r="C1546" s="21" t="s">
        <v>352</v>
      </c>
      <c r="D1546" s="62">
        <v>2.0</v>
      </c>
      <c r="E1546" s="27">
        <v>7.0</v>
      </c>
      <c r="F1546" s="27"/>
      <c r="G1546" s="201"/>
      <c r="H1546" s="27"/>
      <c r="I1546" s="27" t="s">
        <v>149</v>
      </c>
      <c r="J1546" s="33"/>
      <c r="K1546" s="33"/>
      <c r="L1546" s="66"/>
      <c r="M1546" s="27"/>
      <c r="N1546" s="27"/>
      <c r="O1546" s="27"/>
      <c r="P1546" s="27"/>
      <c r="Q1546" s="27"/>
      <c r="R1546" s="27"/>
      <c r="S1546" s="27"/>
      <c r="T1546" s="27"/>
      <c r="U1546" s="27"/>
      <c r="V1546" s="27"/>
      <c r="W1546" s="27"/>
      <c r="X1546" s="27"/>
      <c r="Y1546" s="27"/>
      <c r="Z1546" s="27"/>
      <c r="AA1546" s="27"/>
      <c r="AB1546" s="27"/>
      <c r="AC1546" s="27"/>
      <c r="AD1546" s="27"/>
      <c r="AE1546" s="27"/>
      <c r="AF1546" s="27"/>
      <c r="AG1546" s="27"/>
      <c r="AH1546" s="27">
        <v>233.0</v>
      </c>
      <c r="AI1546" s="27">
        <v>280.0</v>
      </c>
      <c r="AJ1546" s="27">
        <v>0.0</v>
      </c>
      <c r="AK1546" s="27" t="b">
        <v>1</v>
      </c>
      <c r="AL1546" s="27">
        <v>59.0</v>
      </c>
      <c r="AM1546" s="27" t="s">
        <v>193</v>
      </c>
      <c r="AN1546" s="27" t="s">
        <v>405</v>
      </c>
      <c r="AO1546" s="27"/>
    </row>
    <row r="1547">
      <c r="A1547" s="200">
        <v>44873.02510226852</v>
      </c>
      <c r="B1547" s="19" t="s">
        <v>154</v>
      </c>
      <c r="C1547" s="21" t="s">
        <v>363</v>
      </c>
      <c r="D1547" s="62">
        <v>7.0</v>
      </c>
      <c r="E1547" s="27">
        <v>2.0</v>
      </c>
      <c r="F1547" s="27" t="s">
        <v>2058</v>
      </c>
      <c r="G1547" s="201" t="s">
        <v>57</v>
      </c>
      <c r="H1547" s="27" t="s">
        <v>178</v>
      </c>
      <c r="I1547" s="27"/>
      <c r="J1547" s="33"/>
      <c r="K1547" s="33"/>
      <c r="L1547" s="66"/>
      <c r="M1547" s="27"/>
      <c r="N1547" s="27"/>
      <c r="O1547" s="27"/>
      <c r="P1547" s="27"/>
      <c r="Q1547" s="27"/>
      <c r="R1547" s="27"/>
      <c r="S1547" s="27"/>
      <c r="T1547" s="27"/>
      <c r="U1547" s="27"/>
      <c r="V1547" s="27"/>
      <c r="W1547" s="27"/>
      <c r="X1547" s="27"/>
      <c r="Y1547" s="27"/>
      <c r="Z1547" s="27"/>
      <c r="AA1547" s="27"/>
      <c r="AB1547" s="27"/>
      <c r="AC1547" s="27"/>
      <c r="AD1547" s="27"/>
      <c r="AE1547" s="27"/>
      <c r="AF1547" s="27"/>
      <c r="AG1547" s="27"/>
      <c r="AH1547" s="27">
        <v>244.0</v>
      </c>
      <c r="AI1547" s="27">
        <v>160.0</v>
      </c>
      <c r="AJ1547" s="27">
        <v>2.0</v>
      </c>
      <c r="AK1547" s="27" t="b">
        <v>1</v>
      </c>
      <c r="AL1547" s="27">
        <v>100.0</v>
      </c>
      <c r="AM1547" s="27" t="s">
        <v>186</v>
      </c>
      <c r="AN1547" s="27" t="s">
        <v>404</v>
      </c>
      <c r="AO1547" s="27"/>
    </row>
    <row r="1548">
      <c r="A1548" s="200">
        <v>44873.02510226852</v>
      </c>
      <c r="B1548" s="19" t="s">
        <v>154</v>
      </c>
      <c r="C1548" s="21" t="s">
        <v>379</v>
      </c>
      <c r="D1548" s="62">
        <v>6.0</v>
      </c>
      <c r="E1548" s="27">
        <v>3.0</v>
      </c>
      <c r="F1548" s="27" t="s">
        <v>2072</v>
      </c>
      <c r="G1548" s="201" t="s">
        <v>57</v>
      </c>
      <c r="H1548" s="27" t="s">
        <v>138</v>
      </c>
      <c r="I1548" s="27"/>
      <c r="J1548" s="33"/>
      <c r="K1548" s="33"/>
      <c r="L1548" s="66"/>
      <c r="M1548" s="27"/>
      <c r="N1548" s="27"/>
      <c r="O1548" s="27"/>
      <c r="P1548" s="27"/>
      <c r="Q1548" s="27"/>
      <c r="R1548" s="27"/>
      <c r="S1548" s="27"/>
      <c r="T1548" s="27"/>
      <c r="U1548" s="27"/>
      <c r="V1548" s="27"/>
      <c r="W1548" s="27"/>
      <c r="X1548" s="27"/>
      <c r="Y1548" s="27"/>
      <c r="Z1548" s="27"/>
      <c r="AA1548" s="27"/>
      <c r="AB1548" s="27"/>
      <c r="AC1548" s="27"/>
      <c r="AD1548" s="27"/>
      <c r="AE1548" s="27"/>
      <c r="AF1548" s="27"/>
      <c r="AG1548" s="27"/>
      <c r="AH1548" s="27">
        <v>280.0</v>
      </c>
      <c r="AI1548" s="27">
        <v>224.0</v>
      </c>
      <c r="AJ1548" s="27">
        <v>2.0</v>
      </c>
      <c r="AK1548" s="27" t="b">
        <v>1</v>
      </c>
      <c r="AL1548" s="27">
        <v>100.0</v>
      </c>
      <c r="AM1548" s="27" t="s">
        <v>192</v>
      </c>
      <c r="AN1548" s="27" t="s">
        <v>404</v>
      </c>
      <c r="AO1548" s="27"/>
    </row>
    <row r="1549">
      <c r="A1549" s="200">
        <v>44873.02510226852</v>
      </c>
      <c r="B1549" s="19" t="s">
        <v>154</v>
      </c>
      <c r="C1549" s="21" t="s">
        <v>372</v>
      </c>
      <c r="D1549" s="62">
        <v>7.0</v>
      </c>
      <c r="E1549" s="27">
        <v>2.0</v>
      </c>
      <c r="F1549" s="27" t="s">
        <v>2100</v>
      </c>
      <c r="G1549" s="201" t="s">
        <v>57</v>
      </c>
      <c r="H1549" s="27" t="s">
        <v>103</v>
      </c>
      <c r="I1549" s="27"/>
      <c r="J1549" s="33"/>
      <c r="K1549" s="33"/>
      <c r="L1549" s="66"/>
      <c r="M1549" s="27"/>
      <c r="N1549" s="27"/>
      <c r="O1549" s="27"/>
      <c r="P1549" s="27"/>
      <c r="Q1549" s="27"/>
      <c r="R1549" s="27"/>
      <c r="S1549" s="27"/>
      <c r="T1549" s="27"/>
      <c r="U1549" s="27"/>
      <c r="V1549" s="27"/>
      <c r="W1549" s="27"/>
      <c r="X1549" s="27"/>
      <c r="Y1549" s="27"/>
      <c r="Z1549" s="27"/>
      <c r="AA1549" s="27"/>
      <c r="AB1549" s="27"/>
      <c r="AC1549" s="27"/>
      <c r="AD1549" s="27"/>
      <c r="AE1549" s="27"/>
      <c r="AF1549" s="27"/>
      <c r="AG1549" s="27"/>
      <c r="AH1549" s="27">
        <v>351.0</v>
      </c>
      <c r="AI1549" s="27">
        <v>193.0</v>
      </c>
      <c r="AJ1549" s="27">
        <v>2.0</v>
      </c>
      <c r="AK1549" s="27" t="b">
        <v>0</v>
      </c>
      <c r="AL1549" s="27">
        <v>100.0</v>
      </c>
      <c r="AM1549" s="27" t="s">
        <v>191</v>
      </c>
      <c r="AN1549" s="27" t="s">
        <v>404</v>
      </c>
      <c r="AO1549" s="27"/>
    </row>
    <row r="1550">
      <c r="A1550" s="200">
        <v>44873.02510226852</v>
      </c>
      <c r="B1550" s="19" t="s">
        <v>154</v>
      </c>
      <c r="C1550" s="21" t="s">
        <v>330</v>
      </c>
      <c r="D1550" s="62">
        <v>5.0</v>
      </c>
      <c r="E1550" s="27">
        <v>4.0</v>
      </c>
      <c r="F1550" s="27" t="s">
        <v>2079</v>
      </c>
      <c r="G1550" s="201" t="s">
        <v>57</v>
      </c>
      <c r="H1550" s="27" t="s">
        <v>141</v>
      </c>
      <c r="I1550" s="27"/>
      <c r="J1550" s="33"/>
      <c r="K1550" s="33"/>
      <c r="L1550" s="66"/>
      <c r="M1550" s="27"/>
      <c r="N1550" s="27"/>
      <c r="O1550" s="27"/>
      <c r="P1550" s="27"/>
      <c r="Q1550" s="27"/>
      <c r="R1550" s="27"/>
      <c r="S1550" s="27"/>
      <c r="T1550" s="27"/>
      <c r="U1550" s="27"/>
      <c r="V1550" s="27"/>
      <c r="W1550" s="27"/>
      <c r="X1550" s="27"/>
      <c r="Y1550" s="27"/>
      <c r="Z1550" s="27"/>
      <c r="AA1550" s="27"/>
      <c r="AB1550" s="27"/>
      <c r="AC1550" s="27"/>
      <c r="AD1550" s="27"/>
      <c r="AE1550" s="27"/>
      <c r="AF1550" s="27"/>
      <c r="AG1550" s="27"/>
      <c r="AH1550" s="27">
        <v>331.0</v>
      </c>
      <c r="AI1550" s="27">
        <v>326.0</v>
      </c>
      <c r="AJ1550" s="27">
        <v>2.0</v>
      </c>
      <c r="AK1550" s="27" t="b">
        <v>0</v>
      </c>
      <c r="AL1550" s="27">
        <v>100.0</v>
      </c>
      <c r="AM1550" s="27" t="s">
        <v>389</v>
      </c>
      <c r="AN1550" s="27" t="s">
        <v>405</v>
      </c>
      <c r="AO1550" s="27"/>
    </row>
    <row r="1551">
      <c r="A1551" s="200">
        <v>44873.02510226852</v>
      </c>
      <c r="B1551" s="19" t="s">
        <v>154</v>
      </c>
      <c r="C1551" s="21" t="s">
        <v>320</v>
      </c>
      <c r="D1551" s="62">
        <v>6.0</v>
      </c>
      <c r="E1551" s="27">
        <v>3.0</v>
      </c>
      <c r="F1551" s="27" t="s">
        <v>2041</v>
      </c>
      <c r="G1551" s="201" t="s">
        <v>57</v>
      </c>
      <c r="H1551" s="27" t="s">
        <v>53</v>
      </c>
      <c r="I1551" s="27"/>
      <c r="J1551" s="33"/>
      <c r="K1551" s="33"/>
      <c r="L1551" s="66"/>
      <c r="M1551" s="27"/>
      <c r="N1551" s="27"/>
      <c r="O1551" s="27"/>
      <c r="P1551" s="27"/>
      <c r="Q1551" s="27"/>
      <c r="R1551" s="27"/>
      <c r="S1551" s="27"/>
      <c r="T1551" s="27"/>
      <c r="U1551" s="27"/>
      <c r="V1551" s="27"/>
      <c r="W1551" s="27"/>
      <c r="X1551" s="27"/>
      <c r="Y1551" s="27"/>
      <c r="Z1551" s="27"/>
      <c r="AA1551" s="27"/>
      <c r="AB1551" s="27"/>
      <c r="AC1551" s="27"/>
      <c r="AD1551" s="27"/>
      <c r="AE1551" s="27"/>
      <c r="AF1551" s="27"/>
      <c r="AG1551" s="27"/>
      <c r="AH1551" s="27">
        <v>345.0</v>
      </c>
      <c r="AI1551" s="27">
        <v>221.0</v>
      </c>
      <c r="AJ1551" s="27">
        <v>2.0</v>
      </c>
      <c r="AK1551" s="27" t="b">
        <v>0</v>
      </c>
      <c r="AL1551" s="27">
        <v>100.0</v>
      </c>
      <c r="AM1551" s="27" t="s">
        <v>187</v>
      </c>
      <c r="AN1551" s="27" t="s">
        <v>404</v>
      </c>
      <c r="AO1551" s="27"/>
    </row>
    <row r="1552">
      <c r="A1552" s="200">
        <v>44873.02510226852</v>
      </c>
      <c r="B1552" s="19" t="s">
        <v>154</v>
      </c>
      <c r="C1552" s="21" t="s">
        <v>368</v>
      </c>
      <c r="D1552" s="62">
        <v>1.0</v>
      </c>
      <c r="E1552" s="27">
        <v>8.0</v>
      </c>
      <c r="F1552" s="27" t="s">
        <v>2044</v>
      </c>
      <c r="G1552" s="201" t="s">
        <v>57</v>
      </c>
      <c r="H1552" s="27" t="s">
        <v>53</v>
      </c>
      <c r="I1552" s="27"/>
      <c r="J1552" s="33"/>
      <c r="K1552" s="33"/>
      <c r="L1552" s="66"/>
      <c r="M1552" s="27"/>
      <c r="N1552" s="27"/>
      <c r="O1552" s="27"/>
      <c r="P1552" s="27"/>
      <c r="Q1552" s="27"/>
      <c r="R1552" s="27"/>
      <c r="S1552" s="27"/>
      <c r="T1552" s="27"/>
      <c r="U1552" s="27"/>
      <c r="V1552" s="27"/>
      <c r="W1552" s="27"/>
      <c r="X1552" s="27"/>
      <c r="Y1552" s="27"/>
      <c r="Z1552" s="27"/>
      <c r="AA1552" s="27"/>
      <c r="AB1552" s="27"/>
      <c r="AC1552" s="27"/>
      <c r="AD1552" s="27"/>
      <c r="AE1552" s="27"/>
      <c r="AF1552" s="27"/>
      <c r="AG1552" s="27"/>
      <c r="AH1552" s="27">
        <v>150.0</v>
      </c>
      <c r="AI1552" s="27">
        <v>251.0</v>
      </c>
      <c r="AJ1552" s="27">
        <v>2.0</v>
      </c>
      <c r="AK1552" s="27" t="b">
        <v>0</v>
      </c>
      <c r="AL1552" s="27">
        <v>100.0</v>
      </c>
      <c r="AM1552" s="27" t="s">
        <v>188</v>
      </c>
      <c r="AN1552" s="27" t="s">
        <v>404</v>
      </c>
      <c r="AO1552" s="27"/>
    </row>
    <row r="1553">
      <c r="A1553" s="200">
        <v>44873.02510226852</v>
      </c>
      <c r="B1553" s="19" t="s">
        <v>154</v>
      </c>
      <c r="C1553" s="21" t="s">
        <v>366</v>
      </c>
      <c r="D1553" s="62">
        <v>4.0</v>
      </c>
      <c r="E1553" s="27">
        <v>6.0</v>
      </c>
      <c r="F1553" s="27" t="s">
        <v>2098</v>
      </c>
      <c r="G1553" s="201" t="s">
        <v>57</v>
      </c>
      <c r="H1553" s="27" t="s">
        <v>116</v>
      </c>
      <c r="I1553" s="27"/>
      <c r="J1553" s="33"/>
      <c r="K1553" s="33"/>
      <c r="L1553" s="66"/>
      <c r="M1553" s="27"/>
      <c r="N1553" s="27"/>
      <c r="O1553" s="27"/>
      <c r="P1553" s="27"/>
      <c r="Q1553" s="27"/>
      <c r="R1553" s="27"/>
      <c r="S1553" s="27"/>
      <c r="T1553" s="27"/>
      <c r="U1553" s="27"/>
      <c r="V1553" s="27"/>
      <c r="W1553" s="27"/>
      <c r="X1553" s="27"/>
      <c r="Y1553" s="27"/>
      <c r="Z1553" s="27"/>
      <c r="AA1553" s="27"/>
      <c r="AB1553" s="27"/>
      <c r="AC1553" s="27"/>
      <c r="AD1553" s="27"/>
      <c r="AE1553" s="27"/>
      <c r="AF1553" s="27"/>
      <c r="AG1553" s="27"/>
      <c r="AH1553" s="27">
        <v>222.0</v>
      </c>
      <c r="AI1553" s="27">
        <v>284.0</v>
      </c>
      <c r="AJ1553" s="27">
        <v>2.0</v>
      </c>
      <c r="AK1553" s="27" t="b">
        <v>0</v>
      </c>
      <c r="AL1553" s="27">
        <v>100.0</v>
      </c>
      <c r="AM1553" s="27" t="s">
        <v>189</v>
      </c>
      <c r="AN1553" s="27" t="s">
        <v>405</v>
      </c>
      <c r="AO1553" s="27"/>
    </row>
    <row r="1554">
      <c r="A1554" s="200">
        <v>44880.02511055555</v>
      </c>
      <c r="B1554" s="19" t="s">
        <v>53</v>
      </c>
      <c r="C1554" s="21" t="s">
        <v>120</v>
      </c>
      <c r="D1554" s="62">
        <v>2.0</v>
      </c>
      <c r="E1554" s="27">
        <v>8.0</v>
      </c>
      <c r="F1554" s="27" t="s">
        <v>2101</v>
      </c>
      <c r="G1554" s="201" t="s">
        <v>57</v>
      </c>
      <c r="H1554" s="27" t="s">
        <v>148</v>
      </c>
      <c r="I1554" s="27"/>
      <c r="J1554" s="33"/>
      <c r="K1554" s="33"/>
      <c r="L1554" s="66"/>
      <c r="M1554" s="27"/>
      <c r="N1554" s="27"/>
      <c r="O1554" s="27"/>
      <c r="P1554" s="27"/>
      <c r="Q1554" s="27"/>
      <c r="R1554" s="27"/>
      <c r="S1554" s="27"/>
      <c r="T1554" s="27"/>
      <c r="U1554" s="27"/>
      <c r="V1554" s="27"/>
      <c r="W1554" s="27"/>
      <c r="X1554" s="27"/>
      <c r="Y1554" s="27"/>
      <c r="Z1554" s="27"/>
      <c r="AA1554" s="27"/>
      <c r="AB1554" s="27"/>
      <c r="AC1554" s="27"/>
      <c r="AD1554" s="27"/>
      <c r="AE1554" s="27"/>
      <c r="AF1554" s="27"/>
      <c r="AG1554" s="27"/>
      <c r="AH1554" s="27">
        <v>190.0</v>
      </c>
      <c r="AI1554" s="27">
        <v>303.0</v>
      </c>
      <c r="AJ1554" s="27">
        <v>2.0</v>
      </c>
      <c r="AK1554" s="27" t="b">
        <v>0</v>
      </c>
      <c r="AL1554" s="27">
        <v>100.0</v>
      </c>
      <c r="AM1554" s="27" t="s">
        <v>129</v>
      </c>
      <c r="AN1554" s="27" t="s">
        <v>405</v>
      </c>
      <c r="AO1554" s="27"/>
    </row>
    <row r="1555">
      <c r="A1555" s="200">
        <v>44880.02511055555</v>
      </c>
      <c r="B1555" s="19" t="s">
        <v>53</v>
      </c>
      <c r="C1555" s="21" t="s">
        <v>54</v>
      </c>
      <c r="D1555" s="62">
        <v>8.0</v>
      </c>
      <c r="E1555" s="27">
        <v>2.0</v>
      </c>
      <c r="F1555" s="27" t="s">
        <v>2102</v>
      </c>
      <c r="G1555" s="201" t="s">
        <v>57</v>
      </c>
      <c r="H1555" s="27" t="s">
        <v>148</v>
      </c>
      <c r="I1555" s="27"/>
      <c r="J1555" s="33"/>
      <c r="K1555" s="33"/>
      <c r="L1555" s="66"/>
      <c r="M1555" s="27"/>
      <c r="N1555" s="27"/>
      <c r="O1555" s="27"/>
      <c r="P1555" s="27"/>
      <c r="Q1555" s="27"/>
      <c r="R1555" s="27"/>
      <c r="S1555" s="27"/>
      <c r="T1555" s="27"/>
      <c r="U1555" s="27"/>
      <c r="V1555" s="27"/>
      <c r="W1555" s="27"/>
      <c r="X1555" s="27"/>
      <c r="Y1555" s="27"/>
      <c r="Z1555" s="27"/>
      <c r="AA1555" s="27"/>
      <c r="AB1555" s="27"/>
      <c r="AC1555" s="27"/>
      <c r="AD1555" s="27"/>
      <c r="AE1555" s="27"/>
      <c r="AF1555" s="27"/>
      <c r="AG1555" s="27"/>
      <c r="AH1555" s="27">
        <v>422.0</v>
      </c>
      <c r="AI1555" s="27">
        <v>274.0</v>
      </c>
      <c r="AJ1555" s="27">
        <v>2.0</v>
      </c>
      <c r="AK1555" s="27" t="b">
        <v>1</v>
      </c>
      <c r="AL1555" s="27">
        <v>100.0</v>
      </c>
      <c r="AM1555" s="27" t="s">
        <v>191</v>
      </c>
      <c r="AN1555" s="27" t="s">
        <v>404</v>
      </c>
      <c r="AO1555" s="27"/>
    </row>
    <row r="1556">
      <c r="A1556" s="200">
        <v>44880.02511055555</v>
      </c>
      <c r="B1556" s="19" t="s">
        <v>53</v>
      </c>
      <c r="C1556" s="21" t="s">
        <v>181</v>
      </c>
      <c r="D1556" s="62">
        <v>5.0</v>
      </c>
      <c r="E1556" s="27">
        <v>5.0</v>
      </c>
      <c r="F1556" s="27" t="s">
        <v>2103</v>
      </c>
      <c r="G1556" s="201" t="s">
        <v>57</v>
      </c>
      <c r="H1556" s="27" t="s">
        <v>59</v>
      </c>
      <c r="I1556" s="27"/>
      <c r="J1556" s="33"/>
      <c r="K1556" s="33"/>
      <c r="L1556" s="66"/>
      <c r="M1556" s="27"/>
      <c r="N1556" s="27"/>
      <c r="O1556" s="27"/>
      <c r="P1556" s="27"/>
      <c r="Q1556" s="27"/>
      <c r="R1556" s="27"/>
      <c r="S1556" s="27"/>
      <c r="T1556" s="27"/>
      <c r="U1556" s="27"/>
      <c r="V1556" s="27"/>
      <c r="W1556" s="27"/>
      <c r="X1556" s="27"/>
      <c r="Y1556" s="27"/>
      <c r="Z1556" s="27"/>
      <c r="AA1556" s="27"/>
      <c r="AB1556" s="27"/>
      <c r="AC1556" s="27"/>
      <c r="AD1556" s="27"/>
      <c r="AE1556" s="27"/>
      <c r="AF1556" s="27"/>
      <c r="AG1556" s="27"/>
      <c r="AH1556" s="27">
        <v>305.0</v>
      </c>
      <c r="AI1556" s="27">
        <v>238.0</v>
      </c>
      <c r="AJ1556" s="27">
        <v>2.0</v>
      </c>
      <c r="AK1556" s="27" t="b">
        <v>1</v>
      </c>
      <c r="AL1556" s="27">
        <v>100.0</v>
      </c>
      <c r="AM1556" s="27" t="s">
        <v>189</v>
      </c>
      <c r="AN1556" s="27" t="s">
        <v>405</v>
      </c>
      <c r="AO1556" s="27"/>
    </row>
    <row r="1557">
      <c r="A1557" s="200">
        <v>44880.02511055555</v>
      </c>
      <c r="B1557" s="19" t="s">
        <v>53</v>
      </c>
      <c r="C1557" s="21" t="s">
        <v>170</v>
      </c>
      <c r="D1557" s="62">
        <v>3.0</v>
      </c>
      <c r="E1557" s="27">
        <v>7.0</v>
      </c>
      <c r="F1557" s="27" t="s">
        <v>2104</v>
      </c>
      <c r="G1557" s="201" t="s">
        <v>57</v>
      </c>
      <c r="H1557" s="27" t="s">
        <v>116</v>
      </c>
      <c r="I1557" s="27"/>
      <c r="J1557" s="33"/>
      <c r="K1557" s="33"/>
      <c r="L1557" s="66"/>
      <c r="M1557" s="27"/>
      <c r="N1557" s="27"/>
      <c r="O1557" s="27"/>
      <c r="P1557" s="27"/>
      <c r="Q1557" s="27"/>
      <c r="R1557" s="27"/>
      <c r="S1557" s="27"/>
      <c r="T1557" s="27"/>
      <c r="U1557" s="27"/>
      <c r="V1557" s="27"/>
      <c r="W1557" s="27"/>
      <c r="X1557" s="27"/>
      <c r="Y1557" s="27"/>
      <c r="Z1557" s="27"/>
      <c r="AA1557" s="27"/>
      <c r="AB1557" s="27"/>
      <c r="AC1557" s="27"/>
      <c r="AD1557" s="27"/>
      <c r="AE1557" s="27"/>
      <c r="AF1557" s="27"/>
      <c r="AG1557" s="27"/>
      <c r="AH1557" s="27">
        <v>200.0</v>
      </c>
      <c r="AI1557" s="27">
        <v>265.0</v>
      </c>
      <c r="AJ1557" s="27">
        <v>2.0</v>
      </c>
      <c r="AK1557" s="27" t="b">
        <v>0</v>
      </c>
      <c r="AL1557" s="27">
        <v>100.0</v>
      </c>
      <c r="AM1557" s="27" t="s">
        <v>193</v>
      </c>
      <c r="AN1557" s="27" t="s">
        <v>405</v>
      </c>
      <c r="AO1557" s="27"/>
    </row>
    <row r="1558">
      <c r="A1558" s="200">
        <v>44880.02511055555</v>
      </c>
      <c r="B1558" s="19" t="s">
        <v>53</v>
      </c>
      <c r="C1558" s="21" t="s">
        <v>173</v>
      </c>
      <c r="D1558" s="62">
        <v>4.0</v>
      </c>
      <c r="E1558" s="27">
        <v>6.0</v>
      </c>
      <c r="F1558" s="27" t="s">
        <v>2105</v>
      </c>
      <c r="G1558" s="201" t="s">
        <v>57</v>
      </c>
      <c r="H1558" s="27" t="s">
        <v>131</v>
      </c>
      <c r="I1558" s="27"/>
      <c r="J1558" s="33"/>
      <c r="K1558" s="33"/>
      <c r="L1558" s="66"/>
      <c r="M1558" s="27"/>
      <c r="N1558" s="27"/>
      <c r="O1558" s="27"/>
      <c r="P1558" s="27"/>
      <c r="Q1558" s="27"/>
      <c r="R1558" s="27"/>
      <c r="S1558" s="27"/>
      <c r="T1558" s="27"/>
      <c r="U1558" s="27"/>
      <c r="V1558" s="27"/>
      <c r="W1558" s="27"/>
      <c r="X1558" s="27"/>
      <c r="Y1558" s="27"/>
      <c r="Z1558" s="27"/>
      <c r="AA1558" s="27"/>
      <c r="AB1558" s="27"/>
      <c r="AC1558" s="27"/>
      <c r="AD1558" s="27"/>
      <c r="AE1558" s="27"/>
      <c r="AF1558" s="27"/>
      <c r="AG1558" s="27"/>
      <c r="AH1558" s="27">
        <v>232.0</v>
      </c>
      <c r="AI1558" s="27">
        <v>259.0</v>
      </c>
      <c r="AJ1558" s="27">
        <v>2.0</v>
      </c>
      <c r="AK1558" s="27" t="b">
        <v>0</v>
      </c>
      <c r="AL1558" s="27">
        <v>100.0</v>
      </c>
      <c r="AM1558" s="27" t="s">
        <v>192</v>
      </c>
      <c r="AN1558" s="27" t="s">
        <v>404</v>
      </c>
      <c r="AO1558" s="27"/>
    </row>
    <row r="1559">
      <c r="A1559" s="200">
        <v>44880.02511055555</v>
      </c>
      <c r="B1559" s="19" t="s">
        <v>53</v>
      </c>
      <c r="C1559" s="21" t="s">
        <v>184</v>
      </c>
      <c r="D1559" s="62">
        <v>5.0</v>
      </c>
      <c r="E1559" s="27">
        <v>5.0</v>
      </c>
      <c r="F1559" s="27" t="s">
        <v>2106</v>
      </c>
      <c r="G1559" s="201" t="s">
        <v>57</v>
      </c>
      <c r="H1559" s="27" t="s">
        <v>144</v>
      </c>
      <c r="I1559" s="27"/>
      <c r="J1559" s="33"/>
      <c r="K1559" s="33"/>
      <c r="L1559" s="66"/>
      <c r="M1559" s="27"/>
      <c r="N1559" s="27"/>
      <c r="O1559" s="27"/>
      <c r="P1559" s="27"/>
      <c r="Q1559" s="27"/>
      <c r="R1559" s="27"/>
      <c r="S1559" s="27"/>
      <c r="T1559" s="27"/>
      <c r="U1559" s="27"/>
      <c r="V1559" s="27"/>
      <c r="W1559" s="27"/>
      <c r="X1559" s="27"/>
      <c r="Y1559" s="27"/>
      <c r="Z1559" s="27"/>
      <c r="AA1559" s="27"/>
      <c r="AB1559" s="27"/>
      <c r="AC1559" s="27"/>
      <c r="AD1559" s="27"/>
      <c r="AE1559" s="27"/>
      <c r="AF1559" s="27"/>
      <c r="AG1559" s="27"/>
      <c r="AH1559" s="27">
        <v>319.0</v>
      </c>
      <c r="AI1559" s="27">
        <v>291.0</v>
      </c>
      <c r="AJ1559" s="27">
        <v>2.0</v>
      </c>
      <c r="AK1559" s="27" t="b">
        <v>1</v>
      </c>
      <c r="AL1559" s="27">
        <v>100.0</v>
      </c>
      <c r="AM1559" s="27" t="s">
        <v>187</v>
      </c>
      <c r="AN1559" s="27" t="s">
        <v>404</v>
      </c>
      <c r="AO1559" s="27"/>
    </row>
    <row r="1560">
      <c r="A1560" s="200">
        <v>44880.02511055555</v>
      </c>
      <c r="B1560" s="19" t="s">
        <v>53</v>
      </c>
      <c r="C1560" s="21" t="s">
        <v>168</v>
      </c>
      <c r="D1560" s="62">
        <v>10.0</v>
      </c>
      <c r="E1560" s="27">
        <v>0.0</v>
      </c>
      <c r="F1560" s="27" t="s">
        <v>2107</v>
      </c>
      <c r="G1560" s="201" t="s">
        <v>57</v>
      </c>
      <c r="H1560" s="27" t="s">
        <v>166</v>
      </c>
      <c r="I1560" s="27"/>
      <c r="J1560" s="33"/>
      <c r="K1560" s="33"/>
      <c r="L1560" s="66"/>
      <c r="M1560" s="27"/>
      <c r="N1560" s="27"/>
      <c r="O1560" s="27"/>
      <c r="P1560" s="27"/>
      <c r="Q1560" s="27"/>
      <c r="R1560" s="27"/>
      <c r="S1560" s="27"/>
      <c r="T1560" s="27"/>
      <c r="U1560" s="27"/>
      <c r="V1560" s="27"/>
      <c r="W1560" s="27"/>
      <c r="X1560" s="27"/>
      <c r="Y1560" s="27"/>
      <c r="Z1560" s="27"/>
      <c r="AA1560" s="27"/>
      <c r="AB1560" s="27"/>
      <c r="AC1560" s="27"/>
      <c r="AD1560" s="27"/>
      <c r="AE1560" s="27"/>
      <c r="AF1560" s="27"/>
      <c r="AG1560" s="27"/>
      <c r="AH1560" s="27">
        <v>468.0</v>
      </c>
      <c r="AI1560" s="27">
        <v>156.0</v>
      </c>
      <c r="AJ1560" s="27">
        <v>2.0</v>
      </c>
      <c r="AK1560" s="27" t="b">
        <v>1</v>
      </c>
      <c r="AL1560" s="27">
        <v>100.0</v>
      </c>
      <c r="AM1560" s="27" t="s">
        <v>188</v>
      </c>
      <c r="AN1560" s="27" t="s">
        <v>404</v>
      </c>
      <c r="AO1560" s="27"/>
    </row>
    <row r="1561">
      <c r="A1561" s="200">
        <v>44880.02511055555</v>
      </c>
      <c r="B1561" s="19" t="s">
        <v>53</v>
      </c>
      <c r="C1561" s="21" t="s">
        <v>155</v>
      </c>
      <c r="D1561" s="62">
        <v>3.0</v>
      </c>
      <c r="E1561" s="27">
        <v>7.0</v>
      </c>
      <c r="F1561" s="27" t="s">
        <v>2108</v>
      </c>
      <c r="G1561" s="201" t="s">
        <v>57</v>
      </c>
      <c r="H1561" s="27" t="s">
        <v>166</v>
      </c>
      <c r="I1561" s="27"/>
      <c r="J1561" s="33"/>
      <c r="K1561" s="33"/>
      <c r="L1561" s="66"/>
      <c r="M1561" s="27"/>
      <c r="N1561" s="27"/>
      <c r="O1561" s="27"/>
      <c r="P1561" s="27"/>
      <c r="Q1561" s="27"/>
      <c r="R1561" s="27"/>
      <c r="S1561" s="27"/>
      <c r="T1561" s="27"/>
      <c r="U1561" s="27"/>
      <c r="V1561" s="27"/>
      <c r="W1561" s="27"/>
      <c r="X1561" s="27"/>
      <c r="Y1561" s="27"/>
      <c r="Z1561" s="27"/>
      <c r="AA1561" s="27"/>
      <c r="AB1561" s="27"/>
      <c r="AC1561" s="27"/>
      <c r="AD1561" s="27"/>
      <c r="AE1561" s="27"/>
      <c r="AF1561" s="27"/>
      <c r="AG1561" s="27"/>
      <c r="AH1561" s="27">
        <v>170.0</v>
      </c>
      <c r="AI1561" s="27">
        <v>240.0</v>
      </c>
      <c r="AJ1561" s="27">
        <v>2.0</v>
      </c>
      <c r="AK1561" s="27" t="b">
        <v>0</v>
      </c>
      <c r="AL1561" s="27">
        <v>100.0</v>
      </c>
      <c r="AM1561" s="27" t="s">
        <v>186</v>
      </c>
      <c r="AN1561" s="27" t="s">
        <v>404</v>
      </c>
      <c r="AO1561" s="27"/>
    </row>
    <row r="1562">
      <c r="A1562" s="200">
        <v>44880.02511055555</v>
      </c>
      <c r="B1562" s="19" t="s">
        <v>53</v>
      </c>
      <c r="C1562" s="21" t="s">
        <v>195</v>
      </c>
      <c r="D1562" s="62">
        <v>3.0</v>
      </c>
      <c r="E1562" s="27">
        <v>7.0</v>
      </c>
      <c r="F1562" s="27" t="s">
        <v>2109</v>
      </c>
      <c r="G1562" s="201" t="s">
        <v>57</v>
      </c>
      <c r="H1562" s="27" t="s">
        <v>109</v>
      </c>
      <c r="I1562" s="27"/>
      <c r="J1562" s="33"/>
      <c r="K1562" s="33"/>
      <c r="L1562" s="66"/>
      <c r="M1562" s="27"/>
      <c r="N1562" s="27"/>
      <c r="O1562" s="27"/>
      <c r="P1562" s="27"/>
      <c r="Q1562" s="27"/>
      <c r="R1562" s="27"/>
      <c r="S1562" s="27"/>
      <c r="T1562" s="27"/>
      <c r="U1562" s="27"/>
      <c r="V1562" s="27"/>
      <c r="W1562" s="27"/>
      <c r="X1562" s="27"/>
      <c r="Y1562" s="27"/>
      <c r="Z1562" s="27"/>
      <c r="AA1562" s="27"/>
      <c r="AB1562" s="27"/>
      <c r="AC1562" s="27"/>
      <c r="AD1562" s="27"/>
      <c r="AE1562" s="27"/>
      <c r="AF1562" s="27"/>
      <c r="AG1562" s="27"/>
      <c r="AH1562" s="27">
        <v>282.0</v>
      </c>
      <c r="AI1562" s="27">
        <v>325.0</v>
      </c>
      <c r="AJ1562" s="27">
        <v>2.0</v>
      </c>
      <c r="AK1562" s="27" t="b">
        <v>0</v>
      </c>
      <c r="AL1562" s="27">
        <v>100.0</v>
      </c>
      <c r="AM1562" s="27" t="s">
        <v>389</v>
      </c>
      <c r="AN1562" s="27" t="s">
        <v>405</v>
      </c>
      <c r="AO1562" s="27"/>
    </row>
    <row r="1563">
      <c r="A1563" s="200">
        <v>44880.02511055555</v>
      </c>
      <c r="B1563" s="19" t="s">
        <v>53</v>
      </c>
      <c r="C1563" s="21" t="s">
        <v>176</v>
      </c>
      <c r="D1563" s="62">
        <v>7.0</v>
      </c>
      <c r="E1563" s="27">
        <v>3.0</v>
      </c>
      <c r="F1563" s="27" t="s">
        <v>2110</v>
      </c>
      <c r="G1563" s="201" t="s">
        <v>57</v>
      </c>
      <c r="H1563" s="27" t="s">
        <v>131</v>
      </c>
      <c r="I1563" s="27"/>
      <c r="J1563" s="33"/>
      <c r="K1563" s="33"/>
      <c r="L1563" s="66"/>
      <c r="M1563" s="27"/>
      <c r="N1563" s="27"/>
      <c r="O1563" s="27"/>
      <c r="P1563" s="27"/>
      <c r="Q1563" s="27"/>
      <c r="R1563" s="27"/>
      <c r="S1563" s="27"/>
      <c r="T1563" s="27"/>
      <c r="U1563" s="27"/>
      <c r="V1563" s="27"/>
      <c r="W1563" s="27"/>
      <c r="X1563" s="27"/>
      <c r="Y1563" s="27"/>
      <c r="Z1563" s="27"/>
      <c r="AA1563" s="27"/>
      <c r="AB1563" s="27"/>
      <c r="AC1563" s="27"/>
      <c r="AD1563" s="27"/>
      <c r="AE1563" s="27"/>
      <c r="AF1563" s="27"/>
      <c r="AG1563" s="27"/>
      <c r="AH1563" s="27">
        <v>338.0</v>
      </c>
      <c r="AI1563" s="27">
        <v>320.0</v>
      </c>
      <c r="AJ1563" s="27">
        <v>2.0</v>
      </c>
      <c r="AK1563" s="27" t="b">
        <v>0</v>
      </c>
      <c r="AL1563" s="27">
        <v>100.0</v>
      </c>
      <c r="AM1563" s="27" t="s">
        <v>190</v>
      </c>
      <c r="AN1563" s="27" t="s">
        <v>405</v>
      </c>
      <c r="AO1563" s="27"/>
    </row>
    <row r="1564">
      <c r="A1564" s="200">
        <v>44880.02511055555</v>
      </c>
      <c r="B1564" s="19"/>
      <c r="C1564" s="21"/>
      <c r="D1564" s="62"/>
      <c r="E1564" s="27"/>
      <c r="F1564" s="27"/>
      <c r="G1564" s="201"/>
      <c r="H1564" s="27"/>
      <c r="I1564" s="27"/>
      <c r="J1564" s="33"/>
      <c r="K1564" s="33"/>
      <c r="L1564" s="66"/>
      <c r="M1564" s="27"/>
      <c r="N1564" s="27"/>
      <c r="O1564" s="27"/>
      <c r="P1564" s="27"/>
      <c r="Q1564" s="27"/>
      <c r="R1564" s="27"/>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t="e">
        <v>#N/A</v>
      </c>
      <c r="AN1564" s="27" t="e">
        <v>#N/A</v>
      </c>
      <c r="AO1564" s="27"/>
    </row>
    <row r="1565">
      <c r="A1565" s="200">
        <v>44880.02511055555</v>
      </c>
      <c r="B1565" s="19" t="s">
        <v>131</v>
      </c>
      <c r="C1565" s="21" t="s">
        <v>219</v>
      </c>
      <c r="D1565" s="62">
        <v>6.0</v>
      </c>
      <c r="E1565" s="27">
        <v>4.0</v>
      </c>
      <c r="F1565" s="27" t="s">
        <v>2111</v>
      </c>
      <c r="G1565" s="201" t="s">
        <v>57</v>
      </c>
      <c r="H1565" s="27" t="s">
        <v>141</v>
      </c>
      <c r="I1565" s="27"/>
      <c r="J1565" s="33"/>
      <c r="K1565" s="33"/>
      <c r="L1565" s="66"/>
      <c r="M1565" s="27"/>
      <c r="N1565" s="27"/>
      <c r="O1565" s="27"/>
      <c r="P1565" s="27"/>
      <c r="Q1565" s="27"/>
      <c r="R1565" s="27"/>
      <c r="S1565" s="27"/>
      <c r="T1565" s="27"/>
      <c r="U1565" s="27"/>
      <c r="V1565" s="27"/>
      <c r="W1565" s="27"/>
      <c r="X1565" s="27"/>
      <c r="Y1565" s="27"/>
      <c r="Z1565" s="27"/>
      <c r="AA1565" s="27"/>
      <c r="AB1565" s="27"/>
      <c r="AC1565" s="27"/>
      <c r="AD1565" s="27"/>
      <c r="AE1565" s="27"/>
      <c r="AF1565" s="27"/>
      <c r="AG1565" s="27"/>
      <c r="AH1565" s="27">
        <v>219.0</v>
      </c>
      <c r="AI1565" s="27">
        <v>219.0</v>
      </c>
      <c r="AJ1565" s="27">
        <v>2.0</v>
      </c>
      <c r="AK1565" s="27" t="b">
        <v>0</v>
      </c>
      <c r="AL1565" s="27">
        <v>100.0</v>
      </c>
      <c r="AM1565" s="27" t="s">
        <v>129</v>
      </c>
      <c r="AN1565" s="27" t="s">
        <v>405</v>
      </c>
      <c r="AO1565" s="27"/>
    </row>
    <row r="1566">
      <c r="A1566" s="200">
        <v>44880.02511055555</v>
      </c>
      <c r="B1566" s="19" t="s">
        <v>131</v>
      </c>
      <c r="C1566" s="21" t="s">
        <v>217</v>
      </c>
      <c r="D1566" s="62">
        <v>6.0</v>
      </c>
      <c r="E1566" s="27">
        <v>4.0</v>
      </c>
      <c r="F1566" s="27" t="s">
        <v>2112</v>
      </c>
      <c r="G1566" s="201" t="s">
        <v>57</v>
      </c>
      <c r="H1566" s="27" t="s">
        <v>178</v>
      </c>
      <c r="I1566" s="27"/>
      <c r="J1566" s="33"/>
      <c r="K1566" s="33"/>
      <c r="L1566" s="66"/>
      <c r="M1566" s="27"/>
      <c r="N1566" s="27"/>
      <c r="O1566" s="27"/>
      <c r="P1566" s="27"/>
      <c r="Q1566" s="27"/>
      <c r="R1566" s="27"/>
      <c r="S1566" s="27"/>
      <c r="T1566" s="27"/>
      <c r="U1566" s="27"/>
      <c r="V1566" s="27"/>
      <c r="W1566" s="27"/>
      <c r="X1566" s="27"/>
      <c r="Y1566" s="27"/>
      <c r="Z1566" s="27"/>
      <c r="AA1566" s="27"/>
      <c r="AB1566" s="27"/>
      <c r="AC1566" s="27"/>
      <c r="AD1566" s="27"/>
      <c r="AE1566" s="27"/>
      <c r="AF1566" s="27"/>
      <c r="AG1566" s="27"/>
      <c r="AH1566" s="27">
        <v>369.0</v>
      </c>
      <c r="AI1566" s="27">
        <v>304.0</v>
      </c>
      <c r="AJ1566" s="27">
        <v>2.0</v>
      </c>
      <c r="AK1566" s="27" t="b">
        <v>0</v>
      </c>
      <c r="AL1566" s="27">
        <v>100.0</v>
      </c>
      <c r="AM1566" s="27" t="s">
        <v>187</v>
      </c>
      <c r="AN1566" s="27" t="s">
        <v>404</v>
      </c>
      <c r="AO1566" s="27"/>
    </row>
    <row r="1567">
      <c r="A1567" s="200">
        <v>44880.02511055555</v>
      </c>
      <c r="B1567" s="19" t="s">
        <v>131</v>
      </c>
      <c r="C1567" s="21" t="s">
        <v>222</v>
      </c>
      <c r="D1567" s="62">
        <v>6.0</v>
      </c>
      <c r="E1567" s="27">
        <v>4.0</v>
      </c>
      <c r="F1567" s="27" t="s">
        <v>2113</v>
      </c>
      <c r="G1567" s="201" t="s">
        <v>57</v>
      </c>
      <c r="H1567" s="27" t="s">
        <v>109</v>
      </c>
      <c r="I1567" s="27"/>
      <c r="J1567" s="33"/>
      <c r="K1567" s="33"/>
      <c r="L1567" s="66"/>
      <c r="M1567" s="27"/>
      <c r="N1567" s="27"/>
      <c r="O1567" s="27"/>
      <c r="P1567" s="27"/>
      <c r="Q1567" s="27"/>
      <c r="R1567" s="27"/>
      <c r="S1567" s="27"/>
      <c r="T1567" s="27"/>
      <c r="U1567" s="27"/>
      <c r="V1567" s="27"/>
      <c r="W1567" s="27"/>
      <c r="X1567" s="27"/>
      <c r="Y1567" s="27"/>
      <c r="Z1567" s="27"/>
      <c r="AA1567" s="27"/>
      <c r="AB1567" s="27"/>
      <c r="AC1567" s="27"/>
      <c r="AD1567" s="27"/>
      <c r="AE1567" s="27"/>
      <c r="AF1567" s="27"/>
      <c r="AG1567" s="27"/>
      <c r="AH1567" s="27">
        <v>269.0</v>
      </c>
      <c r="AI1567" s="27">
        <v>198.0</v>
      </c>
      <c r="AJ1567" s="27">
        <v>2.0</v>
      </c>
      <c r="AK1567" s="27" t="b">
        <v>0</v>
      </c>
      <c r="AL1567" s="27">
        <v>100.0</v>
      </c>
      <c r="AM1567" s="27" t="s">
        <v>191</v>
      </c>
      <c r="AN1567" s="27" t="s">
        <v>404</v>
      </c>
      <c r="AO1567" s="27"/>
    </row>
    <row r="1568">
      <c r="A1568" s="200">
        <v>44880.02511055555</v>
      </c>
      <c r="B1568" s="19" t="s">
        <v>131</v>
      </c>
      <c r="C1568" s="21" t="s">
        <v>197</v>
      </c>
      <c r="D1568" s="62">
        <v>5.0</v>
      </c>
      <c r="E1568" s="27">
        <v>5.0</v>
      </c>
      <c r="F1568" s="27" t="s">
        <v>2114</v>
      </c>
      <c r="G1568" s="201" t="s">
        <v>57</v>
      </c>
      <c r="H1568" s="27" t="s">
        <v>116</v>
      </c>
      <c r="I1568" s="27"/>
      <c r="J1568" s="33"/>
      <c r="K1568" s="33"/>
      <c r="L1568" s="66"/>
      <c r="M1568" s="27"/>
      <c r="N1568" s="27"/>
      <c r="O1568" s="27"/>
      <c r="P1568" s="27"/>
      <c r="Q1568" s="27"/>
      <c r="R1568" s="27"/>
      <c r="S1568" s="27"/>
      <c r="T1568" s="27"/>
      <c r="U1568" s="27"/>
      <c r="V1568" s="27"/>
      <c r="W1568" s="27"/>
      <c r="X1568" s="27"/>
      <c r="Y1568" s="27"/>
      <c r="Z1568" s="27"/>
      <c r="AA1568" s="27"/>
      <c r="AB1568" s="27"/>
      <c r="AC1568" s="27"/>
      <c r="AD1568" s="27"/>
      <c r="AE1568" s="27"/>
      <c r="AF1568" s="27"/>
      <c r="AG1568" s="27"/>
      <c r="AH1568" s="27">
        <v>287.0</v>
      </c>
      <c r="AI1568" s="27">
        <v>209.0</v>
      </c>
      <c r="AJ1568" s="27">
        <v>2.0</v>
      </c>
      <c r="AK1568" s="27" t="b">
        <v>0</v>
      </c>
      <c r="AL1568" s="27">
        <v>100.0</v>
      </c>
      <c r="AM1568" s="27" t="s">
        <v>188</v>
      </c>
      <c r="AN1568" s="27" t="s">
        <v>404</v>
      </c>
      <c r="AO1568" s="27"/>
    </row>
    <row r="1569">
      <c r="A1569" s="200">
        <v>44880.02511055555</v>
      </c>
      <c r="B1569" s="19" t="s">
        <v>131</v>
      </c>
      <c r="C1569" s="21" t="s">
        <v>206</v>
      </c>
      <c r="D1569" s="62">
        <v>9.0</v>
      </c>
      <c r="E1569" s="27">
        <v>1.0</v>
      </c>
      <c r="F1569" s="27" t="s">
        <v>2115</v>
      </c>
      <c r="G1569" s="201" t="s">
        <v>57</v>
      </c>
      <c r="H1569" s="27" t="s">
        <v>141</v>
      </c>
      <c r="I1569" s="27"/>
      <c r="J1569" s="33"/>
      <c r="K1569" s="33"/>
      <c r="L1569" s="66"/>
      <c r="M1569" s="27"/>
      <c r="N1569" s="27"/>
      <c r="O1569" s="27"/>
      <c r="P1569" s="27"/>
      <c r="Q1569" s="27"/>
      <c r="R1569" s="27"/>
      <c r="S1569" s="27"/>
      <c r="T1569" s="27"/>
      <c r="U1569" s="27"/>
      <c r="V1569" s="27"/>
      <c r="W1569" s="27"/>
      <c r="X1569" s="27"/>
      <c r="Y1569" s="27"/>
      <c r="Z1569" s="27"/>
      <c r="AA1569" s="27"/>
      <c r="AB1569" s="27"/>
      <c r="AC1569" s="27"/>
      <c r="AD1569" s="27"/>
      <c r="AE1569" s="27"/>
      <c r="AF1569" s="27"/>
      <c r="AG1569" s="27"/>
      <c r="AH1569" s="27">
        <v>342.0</v>
      </c>
      <c r="AI1569" s="27">
        <v>210.0</v>
      </c>
      <c r="AJ1569" s="27">
        <v>2.0</v>
      </c>
      <c r="AK1569" s="27" t="b">
        <v>1</v>
      </c>
      <c r="AL1569" s="27">
        <v>100.0</v>
      </c>
      <c r="AM1569" s="27" t="s">
        <v>186</v>
      </c>
      <c r="AN1569" s="27" t="s">
        <v>404</v>
      </c>
      <c r="AO1569" s="27"/>
    </row>
    <row r="1570">
      <c r="A1570" s="200">
        <v>44880.02511055555</v>
      </c>
      <c r="B1570" s="19" t="s">
        <v>131</v>
      </c>
      <c r="C1570" s="21" t="s">
        <v>204</v>
      </c>
      <c r="D1570" s="62">
        <v>6.0</v>
      </c>
      <c r="E1570" s="27">
        <v>5.0</v>
      </c>
      <c r="F1570" s="27" t="s">
        <v>2116</v>
      </c>
      <c r="G1570" s="201" t="s">
        <v>57</v>
      </c>
      <c r="H1570" s="27" t="s">
        <v>103</v>
      </c>
      <c r="I1570" s="27"/>
      <c r="J1570" s="33"/>
      <c r="K1570" s="33"/>
      <c r="L1570" s="66"/>
      <c r="M1570" s="27"/>
      <c r="N1570" s="27"/>
      <c r="O1570" s="27"/>
      <c r="P1570" s="27"/>
      <c r="Q1570" s="27"/>
      <c r="R1570" s="27"/>
      <c r="S1570" s="27"/>
      <c r="T1570" s="27"/>
      <c r="U1570" s="27"/>
      <c r="V1570" s="27"/>
      <c r="W1570" s="27"/>
      <c r="X1570" s="27"/>
      <c r="Y1570" s="27"/>
      <c r="Z1570" s="27"/>
      <c r="AA1570" s="27"/>
      <c r="AB1570" s="27"/>
      <c r="AC1570" s="27"/>
      <c r="AD1570" s="27"/>
      <c r="AE1570" s="27"/>
      <c r="AF1570" s="27"/>
      <c r="AG1570" s="27"/>
      <c r="AH1570" s="27">
        <v>393.0</v>
      </c>
      <c r="AI1570" s="27">
        <v>344.0</v>
      </c>
      <c r="AJ1570" s="27">
        <v>2.0</v>
      </c>
      <c r="AK1570" s="27" t="b">
        <v>0</v>
      </c>
      <c r="AL1570" s="27">
        <v>100.0</v>
      </c>
      <c r="AM1570" s="27" t="s">
        <v>189</v>
      </c>
      <c r="AN1570" s="27" t="s">
        <v>405</v>
      </c>
      <c r="AO1570" s="27"/>
    </row>
    <row r="1571">
      <c r="A1571" s="200">
        <v>44880.02511055555</v>
      </c>
      <c r="B1571" s="19" t="s">
        <v>131</v>
      </c>
      <c r="C1571" s="21" t="s">
        <v>199</v>
      </c>
      <c r="D1571" s="62">
        <v>4.0</v>
      </c>
      <c r="E1571" s="27">
        <v>6.0</v>
      </c>
      <c r="F1571" s="27" t="s">
        <v>2117</v>
      </c>
      <c r="G1571" s="201" t="s">
        <v>57</v>
      </c>
      <c r="H1571" s="27" t="s">
        <v>103</v>
      </c>
      <c r="I1571" s="27"/>
      <c r="J1571" s="33"/>
      <c r="K1571" s="33"/>
      <c r="L1571" s="66"/>
      <c r="M1571" s="27"/>
      <c r="N1571" s="27"/>
      <c r="O1571" s="27"/>
      <c r="P1571" s="27"/>
      <c r="Q1571" s="27"/>
      <c r="R1571" s="27"/>
      <c r="S1571" s="27"/>
      <c r="T1571" s="27"/>
      <c r="U1571" s="27"/>
      <c r="V1571" s="27"/>
      <c r="W1571" s="27"/>
      <c r="X1571" s="27"/>
      <c r="Y1571" s="27"/>
      <c r="Z1571" s="27"/>
      <c r="AA1571" s="27"/>
      <c r="AB1571" s="27"/>
      <c r="AC1571" s="27"/>
      <c r="AD1571" s="27"/>
      <c r="AE1571" s="27"/>
      <c r="AF1571" s="27"/>
      <c r="AG1571" s="27"/>
      <c r="AH1571" s="27">
        <v>242.0</v>
      </c>
      <c r="AI1571" s="27">
        <v>359.0</v>
      </c>
      <c r="AJ1571" s="27">
        <v>2.0</v>
      </c>
      <c r="AK1571" s="27" t="b">
        <v>0</v>
      </c>
      <c r="AL1571" s="27">
        <v>100.0</v>
      </c>
      <c r="AM1571" s="27" t="s">
        <v>193</v>
      </c>
      <c r="AN1571" s="27" t="s">
        <v>405</v>
      </c>
      <c r="AO1571" s="27"/>
    </row>
    <row r="1572">
      <c r="A1572" s="200">
        <v>44880.02511055555</v>
      </c>
      <c r="B1572" s="19" t="s">
        <v>131</v>
      </c>
      <c r="C1572" s="21" t="s">
        <v>214</v>
      </c>
      <c r="D1572" s="62">
        <v>9.0</v>
      </c>
      <c r="E1572" s="27">
        <v>1.0</v>
      </c>
      <c r="F1572" s="27" t="s">
        <v>2105</v>
      </c>
      <c r="G1572" s="201" t="s">
        <v>57</v>
      </c>
      <c r="H1572" s="27" t="s">
        <v>53</v>
      </c>
      <c r="I1572" s="27"/>
      <c r="J1572" s="33"/>
      <c r="K1572" s="33"/>
      <c r="L1572" s="66"/>
      <c r="M1572" s="27"/>
      <c r="N1572" s="27"/>
      <c r="O1572" s="27"/>
      <c r="P1572" s="27"/>
      <c r="Q1572" s="27"/>
      <c r="R1572" s="27"/>
      <c r="S1572" s="27"/>
      <c r="T1572" s="27"/>
      <c r="U1572" s="27"/>
      <c r="V1572" s="27"/>
      <c r="W1572" s="27"/>
      <c r="X1572" s="27"/>
      <c r="Y1572" s="27"/>
      <c r="Z1572" s="27"/>
      <c r="AA1572" s="27"/>
      <c r="AB1572" s="27"/>
      <c r="AC1572" s="27"/>
      <c r="AD1572" s="27"/>
      <c r="AE1572" s="27"/>
      <c r="AF1572" s="27"/>
      <c r="AG1572" s="27"/>
      <c r="AH1572" s="27">
        <v>474.0</v>
      </c>
      <c r="AI1572" s="27">
        <v>219.0</v>
      </c>
      <c r="AJ1572" s="27">
        <v>2.0</v>
      </c>
      <c r="AK1572" s="27" t="b">
        <v>1</v>
      </c>
      <c r="AL1572" s="27">
        <v>100.0</v>
      </c>
      <c r="AM1572" s="27" t="s">
        <v>192</v>
      </c>
      <c r="AN1572" s="27" t="s">
        <v>404</v>
      </c>
      <c r="AO1572" s="27"/>
    </row>
    <row r="1573">
      <c r="A1573" s="200">
        <v>44880.02511055555</v>
      </c>
      <c r="B1573" s="19" t="s">
        <v>131</v>
      </c>
      <c r="C1573" s="21" t="s">
        <v>210</v>
      </c>
      <c r="D1573" s="62">
        <v>1.0</v>
      </c>
      <c r="E1573" s="27">
        <v>9.0</v>
      </c>
      <c r="F1573" s="27" t="s">
        <v>2118</v>
      </c>
      <c r="G1573" s="201" t="s">
        <v>57</v>
      </c>
      <c r="H1573" s="27" t="s">
        <v>141</v>
      </c>
      <c r="I1573" s="27"/>
      <c r="J1573" s="33"/>
      <c r="K1573" s="33"/>
      <c r="L1573" s="66"/>
      <c r="M1573" s="27"/>
      <c r="N1573" s="27"/>
      <c r="O1573" s="27"/>
      <c r="P1573" s="27"/>
      <c r="Q1573" s="27"/>
      <c r="R1573" s="27"/>
      <c r="S1573" s="27"/>
      <c r="T1573" s="27"/>
      <c r="U1573" s="27"/>
      <c r="V1573" s="27"/>
      <c r="W1573" s="27"/>
      <c r="X1573" s="27"/>
      <c r="Y1573" s="27"/>
      <c r="Z1573" s="27"/>
      <c r="AA1573" s="27"/>
      <c r="AB1573" s="27"/>
      <c r="AC1573" s="27"/>
      <c r="AD1573" s="27"/>
      <c r="AE1573" s="27"/>
      <c r="AF1573" s="27"/>
      <c r="AG1573" s="27"/>
      <c r="AH1573" s="27">
        <v>255.0</v>
      </c>
      <c r="AI1573" s="27">
        <v>400.0</v>
      </c>
      <c r="AJ1573" s="27">
        <v>2.0</v>
      </c>
      <c r="AK1573" s="27" t="b">
        <v>1</v>
      </c>
      <c r="AL1573" s="27">
        <v>100.0</v>
      </c>
      <c r="AM1573" s="27" t="s">
        <v>389</v>
      </c>
      <c r="AN1573" s="27" t="s">
        <v>405</v>
      </c>
      <c r="AO1573" s="27"/>
    </row>
    <row r="1574">
      <c r="A1574" s="200">
        <v>44880.02511055555</v>
      </c>
      <c r="B1574" s="19" t="s">
        <v>131</v>
      </c>
      <c r="C1574" s="21" t="s">
        <v>208</v>
      </c>
      <c r="D1574" s="62">
        <v>4.0</v>
      </c>
      <c r="E1574" s="27">
        <v>6.0</v>
      </c>
      <c r="F1574" s="27" t="s">
        <v>2110</v>
      </c>
      <c r="G1574" s="201" t="s">
        <v>57</v>
      </c>
      <c r="H1574" s="27" t="s">
        <v>53</v>
      </c>
      <c r="I1574" s="27"/>
      <c r="J1574" s="33"/>
      <c r="K1574" s="33"/>
      <c r="L1574" s="66"/>
      <c r="M1574" s="27"/>
      <c r="N1574" s="27"/>
      <c r="O1574" s="27"/>
      <c r="P1574" s="27"/>
      <c r="Q1574" s="27"/>
      <c r="R1574" s="27"/>
      <c r="S1574" s="27"/>
      <c r="T1574" s="27"/>
      <c r="U1574" s="27"/>
      <c r="V1574" s="27"/>
      <c r="W1574" s="27"/>
      <c r="X1574" s="27"/>
      <c r="Y1574" s="27"/>
      <c r="Z1574" s="27"/>
      <c r="AA1574" s="27"/>
      <c r="AB1574" s="27"/>
      <c r="AC1574" s="27"/>
      <c r="AD1574" s="27"/>
      <c r="AE1574" s="27"/>
      <c r="AF1574" s="27"/>
      <c r="AG1574" s="27"/>
      <c r="AH1574" s="27">
        <v>196.0</v>
      </c>
      <c r="AI1574" s="27">
        <v>230.0</v>
      </c>
      <c r="AJ1574" s="27">
        <v>2.0</v>
      </c>
      <c r="AK1574" s="27" t="b">
        <v>1</v>
      </c>
      <c r="AL1574" s="27">
        <v>100.0</v>
      </c>
      <c r="AM1574" s="27" t="s">
        <v>190</v>
      </c>
      <c r="AN1574" s="27" t="s">
        <v>405</v>
      </c>
      <c r="AO1574" s="27"/>
    </row>
    <row r="1575">
      <c r="A1575" s="200">
        <v>44880.02511055555</v>
      </c>
      <c r="B1575" s="19"/>
      <c r="C1575" s="21"/>
      <c r="D1575" s="62"/>
      <c r="E1575" s="27"/>
      <c r="F1575" s="27"/>
      <c r="G1575" s="201"/>
      <c r="H1575" s="27"/>
      <c r="I1575" s="27"/>
      <c r="J1575" s="33"/>
      <c r="K1575" s="33"/>
      <c r="L1575" s="66"/>
      <c r="M1575" s="27"/>
      <c r="N1575" s="27"/>
      <c r="O1575" s="27"/>
      <c r="P1575" s="27"/>
      <c r="Q1575" s="27"/>
      <c r="R1575" s="27"/>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t="e">
        <v>#N/A</v>
      </c>
      <c r="AN1575" s="27" t="e">
        <v>#N/A</v>
      </c>
      <c r="AO1575" s="27"/>
    </row>
    <row r="1576">
      <c r="A1576" s="200">
        <v>44880.02511055555</v>
      </c>
      <c r="B1576" s="19" t="s">
        <v>178</v>
      </c>
      <c r="C1576" s="21" t="s">
        <v>261</v>
      </c>
      <c r="D1576" s="62">
        <v>8.0</v>
      </c>
      <c r="E1576" s="27">
        <v>2.0</v>
      </c>
      <c r="F1576" s="27" t="s">
        <v>2119</v>
      </c>
      <c r="G1576" s="201" t="s">
        <v>57</v>
      </c>
      <c r="H1576" s="27" t="s">
        <v>103</v>
      </c>
      <c r="I1576" s="27"/>
      <c r="J1576" s="33"/>
      <c r="K1576" s="33"/>
      <c r="L1576" s="66"/>
      <c r="M1576" s="27"/>
      <c r="N1576" s="27"/>
      <c r="O1576" s="27"/>
      <c r="P1576" s="27"/>
      <c r="Q1576" s="27"/>
      <c r="R1576" s="27"/>
      <c r="S1576" s="27"/>
      <c r="T1576" s="27"/>
      <c r="U1576" s="27"/>
      <c r="V1576" s="27"/>
      <c r="W1576" s="27"/>
      <c r="X1576" s="27"/>
      <c r="Y1576" s="27"/>
      <c r="Z1576" s="27"/>
      <c r="AA1576" s="27"/>
      <c r="AB1576" s="27"/>
      <c r="AC1576" s="27"/>
      <c r="AD1576" s="27"/>
      <c r="AE1576" s="27"/>
      <c r="AF1576" s="27"/>
      <c r="AG1576" s="27"/>
      <c r="AH1576" s="27">
        <v>395.0</v>
      </c>
      <c r="AI1576" s="27">
        <v>264.0</v>
      </c>
      <c r="AJ1576" s="27">
        <v>2.0</v>
      </c>
      <c r="AK1576" s="27" t="b">
        <v>0</v>
      </c>
      <c r="AL1576" s="27">
        <v>100.0</v>
      </c>
      <c r="AM1576" s="27" t="s">
        <v>191</v>
      </c>
      <c r="AN1576" s="27" t="s">
        <v>404</v>
      </c>
      <c r="AO1576" s="27"/>
    </row>
    <row r="1577">
      <c r="A1577" s="200">
        <v>44880.02511055555</v>
      </c>
      <c r="B1577" s="19" t="s">
        <v>178</v>
      </c>
      <c r="C1577" s="21" t="s">
        <v>259</v>
      </c>
      <c r="D1577" s="62">
        <v>6.0</v>
      </c>
      <c r="E1577" s="27">
        <v>4.0</v>
      </c>
      <c r="F1577" s="27" t="s">
        <v>2120</v>
      </c>
      <c r="G1577" s="201" t="s">
        <v>57</v>
      </c>
      <c r="H1577" s="27" t="s">
        <v>109</v>
      </c>
      <c r="I1577" s="27"/>
      <c r="J1577" s="33"/>
      <c r="K1577" s="33"/>
      <c r="L1577" s="66"/>
      <c r="M1577" s="27"/>
      <c r="N1577" s="27"/>
      <c r="O1577" s="27"/>
      <c r="P1577" s="27"/>
      <c r="Q1577" s="27"/>
      <c r="R1577" s="27"/>
      <c r="S1577" s="27"/>
      <c r="T1577" s="27"/>
      <c r="U1577" s="27"/>
      <c r="V1577" s="27"/>
      <c r="W1577" s="27"/>
      <c r="X1577" s="27"/>
      <c r="Y1577" s="27"/>
      <c r="Z1577" s="27"/>
      <c r="AA1577" s="27"/>
      <c r="AB1577" s="27"/>
      <c r="AC1577" s="27"/>
      <c r="AD1577" s="27"/>
      <c r="AE1577" s="27"/>
      <c r="AF1577" s="27"/>
      <c r="AG1577" s="27"/>
      <c r="AH1577" s="27">
        <v>366.0</v>
      </c>
      <c r="AI1577" s="27">
        <v>282.0</v>
      </c>
      <c r="AJ1577" s="27">
        <v>2.0</v>
      </c>
      <c r="AK1577" s="27" t="b">
        <v>1</v>
      </c>
      <c r="AL1577" s="27">
        <v>100.0</v>
      </c>
      <c r="AM1577" s="27" t="s">
        <v>186</v>
      </c>
      <c r="AN1577" s="27" t="s">
        <v>404</v>
      </c>
      <c r="AO1577" s="27"/>
    </row>
    <row r="1578">
      <c r="A1578" s="200">
        <v>44880.02511055555</v>
      </c>
      <c r="B1578" s="19" t="s">
        <v>178</v>
      </c>
      <c r="C1578" s="21" t="s">
        <v>272</v>
      </c>
      <c r="D1578" s="62">
        <v>5.0</v>
      </c>
      <c r="E1578" s="27">
        <v>5.0</v>
      </c>
      <c r="F1578" s="27" t="s">
        <v>2112</v>
      </c>
      <c r="G1578" s="201" t="s">
        <v>57</v>
      </c>
      <c r="H1578" s="27" t="s">
        <v>131</v>
      </c>
      <c r="I1578" s="27"/>
      <c r="J1578" s="33"/>
      <c r="K1578" s="33"/>
      <c r="L1578" s="66"/>
      <c r="M1578" s="27"/>
      <c r="N1578" s="27"/>
      <c r="O1578" s="27"/>
      <c r="P1578" s="27"/>
      <c r="Q1578" s="27"/>
      <c r="R1578" s="27"/>
      <c r="S1578" s="27"/>
      <c r="T1578" s="27"/>
      <c r="U1578" s="27"/>
      <c r="V1578" s="27"/>
      <c r="W1578" s="27"/>
      <c r="X1578" s="27"/>
      <c r="Y1578" s="27"/>
      <c r="Z1578" s="27"/>
      <c r="AA1578" s="27"/>
      <c r="AB1578" s="27"/>
      <c r="AC1578" s="27"/>
      <c r="AD1578" s="27"/>
      <c r="AE1578" s="27"/>
      <c r="AF1578" s="27"/>
      <c r="AG1578" s="27"/>
      <c r="AH1578" s="27">
        <v>338.0</v>
      </c>
      <c r="AI1578" s="27">
        <v>296.0</v>
      </c>
      <c r="AJ1578" s="27">
        <v>2.0</v>
      </c>
      <c r="AK1578" s="27" t="b">
        <v>1</v>
      </c>
      <c r="AL1578" s="27">
        <v>100.0</v>
      </c>
      <c r="AM1578" s="27" t="s">
        <v>187</v>
      </c>
      <c r="AN1578" s="27" t="s">
        <v>404</v>
      </c>
      <c r="AO1578" s="27"/>
    </row>
    <row r="1579">
      <c r="A1579" s="200">
        <v>44880.02511055555</v>
      </c>
      <c r="B1579" s="19" t="s">
        <v>178</v>
      </c>
      <c r="C1579" s="21" t="s">
        <v>269</v>
      </c>
      <c r="D1579" s="62">
        <v>6.0</v>
      </c>
      <c r="E1579" s="27">
        <v>4.0</v>
      </c>
      <c r="F1579" s="27" t="s">
        <v>2121</v>
      </c>
      <c r="G1579" s="201" t="s">
        <v>57</v>
      </c>
      <c r="H1579" s="27" t="s">
        <v>116</v>
      </c>
      <c r="I1579" s="27"/>
      <c r="J1579" s="33"/>
      <c r="K1579" s="33"/>
      <c r="L1579" s="66"/>
      <c r="M1579" s="27"/>
      <c r="N1579" s="27"/>
      <c r="O1579" s="27"/>
      <c r="P1579" s="27"/>
      <c r="Q1579" s="27"/>
      <c r="R1579" s="27"/>
      <c r="S1579" s="27"/>
      <c r="T1579" s="27"/>
      <c r="U1579" s="27"/>
      <c r="V1579" s="27"/>
      <c r="W1579" s="27"/>
      <c r="X1579" s="27"/>
      <c r="Y1579" s="27"/>
      <c r="Z1579" s="27"/>
      <c r="AA1579" s="27"/>
      <c r="AB1579" s="27"/>
      <c r="AC1579" s="27"/>
      <c r="AD1579" s="27"/>
      <c r="AE1579" s="27"/>
      <c r="AF1579" s="27"/>
      <c r="AG1579" s="27"/>
      <c r="AH1579" s="27">
        <v>312.0</v>
      </c>
      <c r="AI1579" s="27">
        <v>261.0</v>
      </c>
      <c r="AJ1579" s="27">
        <v>2.0</v>
      </c>
      <c r="AK1579" s="27" t="b">
        <v>0</v>
      </c>
      <c r="AL1579" s="27">
        <v>100.0</v>
      </c>
      <c r="AM1579" s="27" t="s">
        <v>192</v>
      </c>
      <c r="AN1579" s="27" t="s">
        <v>404</v>
      </c>
      <c r="AO1579" s="27"/>
    </row>
    <row r="1580">
      <c r="A1580" s="200">
        <v>44880.02511055555</v>
      </c>
      <c r="B1580" s="19" t="s">
        <v>178</v>
      </c>
      <c r="C1580" s="21" t="s">
        <v>267</v>
      </c>
      <c r="D1580" s="62">
        <v>8.0</v>
      </c>
      <c r="E1580" s="27">
        <v>2.0</v>
      </c>
      <c r="F1580" s="27" t="s">
        <v>2122</v>
      </c>
      <c r="G1580" s="201" t="s">
        <v>57</v>
      </c>
      <c r="H1580" s="27" t="s">
        <v>148</v>
      </c>
      <c r="I1580" s="27"/>
      <c r="J1580" s="33"/>
      <c r="K1580" s="33"/>
      <c r="L1580" s="66"/>
      <c r="M1580" s="27"/>
      <c r="N1580" s="27"/>
      <c r="O1580" s="27"/>
      <c r="P1580" s="27"/>
      <c r="Q1580" s="27"/>
      <c r="R1580" s="27"/>
      <c r="S1580" s="27"/>
      <c r="T1580" s="27"/>
      <c r="U1580" s="27"/>
      <c r="V1580" s="27"/>
      <c r="W1580" s="27"/>
      <c r="X1580" s="27"/>
      <c r="Y1580" s="27"/>
      <c r="Z1580" s="27"/>
      <c r="AA1580" s="27"/>
      <c r="AB1580" s="27"/>
      <c r="AC1580" s="27"/>
      <c r="AD1580" s="27"/>
      <c r="AE1580" s="27"/>
      <c r="AF1580" s="27"/>
      <c r="AG1580" s="27"/>
      <c r="AH1580" s="27">
        <v>327.0</v>
      </c>
      <c r="AI1580" s="27">
        <v>190.0</v>
      </c>
      <c r="AJ1580" s="27">
        <v>2.0</v>
      </c>
      <c r="AK1580" s="27" t="b">
        <v>0</v>
      </c>
      <c r="AL1580" s="27">
        <v>100.0</v>
      </c>
      <c r="AM1580" s="27" t="s">
        <v>389</v>
      </c>
      <c r="AN1580" s="27" t="s">
        <v>405</v>
      </c>
      <c r="AO1580" s="27"/>
    </row>
    <row r="1581">
      <c r="A1581" s="200">
        <v>44880.02511055555</v>
      </c>
      <c r="B1581" s="19" t="s">
        <v>178</v>
      </c>
      <c r="C1581" s="21" t="s">
        <v>240</v>
      </c>
      <c r="D1581" s="62">
        <v>7.0</v>
      </c>
      <c r="E1581" s="27">
        <v>3.0</v>
      </c>
      <c r="F1581" s="27" t="s">
        <v>2123</v>
      </c>
      <c r="G1581" s="201" t="s">
        <v>57</v>
      </c>
      <c r="H1581" s="27" t="s">
        <v>154</v>
      </c>
      <c r="I1581" s="27"/>
      <c r="J1581" s="33"/>
      <c r="K1581" s="33"/>
      <c r="L1581" s="66"/>
      <c r="M1581" s="27"/>
      <c r="N1581" s="27"/>
      <c r="O1581" s="27"/>
      <c r="P1581" s="27"/>
      <c r="Q1581" s="27"/>
      <c r="R1581" s="27"/>
      <c r="S1581" s="27"/>
      <c r="T1581" s="27"/>
      <c r="U1581" s="27"/>
      <c r="V1581" s="27"/>
      <c r="W1581" s="27"/>
      <c r="X1581" s="27"/>
      <c r="Y1581" s="27"/>
      <c r="Z1581" s="27"/>
      <c r="AA1581" s="27"/>
      <c r="AB1581" s="27"/>
      <c r="AC1581" s="27"/>
      <c r="AD1581" s="27"/>
      <c r="AE1581" s="27"/>
      <c r="AF1581" s="27"/>
      <c r="AG1581" s="27"/>
      <c r="AH1581" s="27">
        <v>306.0</v>
      </c>
      <c r="AI1581" s="27">
        <v>131.0</v>
      </c>
      <c r="AJ1581" s="27">
        <v>2.0</v>
      </c>
      <c r="AK1581" s="27" t="b">
        <v>1</v>
      </c>
      <c r="AL1581" s="27">
        <v>100.0</v>
      </c>
      <c r="AM1581" s="27" t="s">
        <v>188</v>
      </c>
      <c r="AN1581" s="27" t="s">
        <v>404</v>
      </c>
      <c r="AO1581" s="27"/>
    </row>
    <row r="1582">
      <c r="A1582" s="200">
        <v>44880.02511055555</v>
      </c>
      <c r="B1582" s="19" t="s">
        <v>178</v>
      </c>
      <c r="C1582" s="21" t="s">
        <v>263</v>
      </c>
      <c r="D1582" s="62">
        <v>2.0</v>
      </c>
      <c r="E1582" s="27">
        <v>8.0</v>
      </c>
      <c r="F1582" s="27" t="s">
        <v>2124</v>
      </c>
      <c r="G1582" s="201" t="s">
        <v>57</v>
      </c>
      <c r="H1582" s="27" t="s">
        <v>103</v>
      </c>
      <c r="I1582" s="27"/>
      <c r="J1582" s="33"/>
      <c r="K1582" s="33"/>
      <c r="L1582" s="66"/>
      <c r="M1582" s="27"/>
      <c r="N1582" s="27"/>
      <c r="O1582" s="27"/>
      <c r="P1582" s="27"/>
      <c r="Q1582" s="27"/>
      <c r="R1582" s="27"/>
      <c r="S1582" s="27"/>
      <c r="T1582" s="27"/>
      <c r="U1582" s="27"/>
      <c r="V1582" s="27"/>
      <c r="W1582" s="27"/>
      <c r="X1582" s="27"/>
      <c r="Y1582" s="27"/>
      <c r="Z1582" s="27"/>
      <c r="AA1582" s="27"/>
      <c r="AB1582" s="27"/>
      <c r="AC1582" s="27"/>
      <c r="AD1582" s="27"/>
      <c r="AE1582" s="27"/>
      <c r="AF1582" s="27"/>
      <c r="AG1582" s="27"/>
      <c r="AH1582" s="27">
        <v>147.0</v>
      </c>
      <c r="AI1582" s="27">
        <v>261.0</v>
      </c>
      <c r="AJ1582" s="27">
        <v>2.0</v>
      </c>
      <c r="AK1582" s="27" t="b">
        <v>0</v>
      </c>
      <c r="AL1582" s="27">
        <v>100.0</v>
      </c>
      <c r="AM1582" s="27" t="s">
        <v>129</v>
      </c>
      <c r="AN1582" s="27" t="s">
        <v>405</v>
      </c>
      <c r="AO1582" s="27"/>
    </row>
    <row r="1583">
      <c r="A1583" s="200">
        <v>44880.02511055555</v>
      </c>
      <c r="B1583" s="19" t="s">
        <v>178</v>
      </c>
      <c r="C1583" s="21" t="s">
        <v>271</v>
      </c>
      <c r="D1583" s="62">
        <v>7.0</v>
      </c>
      <c r="E1583" s="27">
        <v>4.0</v>
      </c>
      <c r="F1583" s="27" t="s">
        <v>2125</v>
      </c>
      <c r="G1583" s="201" t="s">
        <v>57</v>
      </c>
      <c r="H1583" s="27" t="s">
        <v>116</v>
      </c>
      <c r="I1583" s="27"/>
      <c r="J1583" s="33"/>
      <c r="K1583" s="33"/>
      <c r="L1583" s="66"/>
      <c r="M1583" s="27"/>
      <c r="N1583" s="27"/>
      <c r="O1583" s="27"/>
      <c r="P1583" s="27"/>
      <c r="Q1583" s="27"/>
      <c r="R1583" s="27"/>
      <c r="S1583" s="27"/>
      <c r="T1583" s="27"/>
      <c r="U1583" s="27"/>
      <c r="V1583" s="27"/>
      <c r="W1583" s="27"/>
      <c r="X1583" s="27"/>
      <c r="Y1583" s="27"/>
      <c r="Z1583" s="27"/>
      <c r="AA1583" s="27"/>
      <c r="AB1583" s="27"/>
      <c r="AC1583" s="27"/>
      <c r="AD1583" s="27"/>
      <c r="AE1583" s="27"/>
      <c r="AF1583" s="27"/>
      <c r="AG1583" s="27"/>
      <c r="AH1583" s="27">
        <v>417.0</v>
      </c>
      <c r="AI1583" s="27">
        <v>233.0</v>
      </c>
      <c r="AJ1583" s="27">
        <v>2.0</v>
      </c>
      <c r="AK1583" s="27" t="b">
        <v>1</v>
      </c>
      <c r="AL1583" s="27">
        <v>100.0</v>
      </c>
      <c r="AM1583" s="27" t="s">
        <v>189</v>
      </c>
      <c r="AN1583" s="27" t="s">
        <v>405</v>
      </c>
      <c r="AO1583" s="27"/>
    </row>
    <row r="1584">
      <c r="A1584" s="200">
        <v>44880.02511055555</v>
      </c>
      <c r="B1584" s="19" t="s">
        <v>178</v>
      </c>
      <c r="C1584" s="21" t="s">
        <v>257</v>
      </c>
      <c r="D1584" s="62">
        <v>5.0</v>
      </c>
      <c r="E1584" s="27">
        <v>5.0</v>
      </c>
      <c r="F1584" s="27" t="s">
        <v>2126</v>
      </c>
      <c r="G1584" s="201" t="s">
        <v>57</v>
      </c>
      <c r="H1584" s="27" t="s">
        <v>109</v>
      </c>
      <c r="I1584" s="27"/>
      <c r="J1584" s="33"/>
      <c r="K1584" s="33"/>
      <c r="L1584" s="66"/>
      <c r="M1584" s="27"/>
      <c r="N1584" s="27"/>
      <c r="O1584" s="27"/>
      <c r="P1584" s="27"/>
      <c r="Q1584" s="27"/>
      <c r="R1584" s="27"/>
      <c r="S1584" s="27"/>
      <c r="T1584" s="27"/>
      <c r="U1584" s="27"/>
      <c r="V1584" s="27"/>
      <c r="W1584" s="27"/>
      <c r="X1584" s="27"/>
      <c r="Y1584" s="27"/>
      <c r="Z1584" s="27"/>
      <c r="AA1584" s="27"/>
      <c r="AB1584" s="27"/>
      <c r="AC1584" s="27"/>
      <c r="AD1584" s="27"/>
      <c r="AE1584" s="27"/>
      <c r="AF1584" s="27"/>
      <c r="AG1584" s="27"/>
      <c r="AH1584" s="27">
        <v>343.0</v>
      </c>
      <c r="AI1584" s="27">
        <v>317.0</v>
      </c>
      <c r="AJ1584" s="27">
        <v>2.0</v>
      </c>
      <c r="AK1584" s="27" t="b">
        <v>1</v>
      </c>
      <c r="AL1584" s="27">
        <v>100.0</v>
      </c>
      <c r="AM1584" s="27" t="s">
        <v>193</v>
      </c>
      <c r="AN1584" s="27" t="s">
        <v>405</v>
      </c>
      <c r="AO1584" s="27"/>
    </row>
    <row r="1585">
      <c r="A1585" s="200">
        <v>44880.02511055555</v>
      </c>
      <c r="B1585" s="19" t="s">
        <v>178</v>
      </c>
      <c r="C1585" s="21" t="s">
        <v>265</v>
      </c>
      <c r="D1585" s="62">
        <v>7.0</v>
      </c>
      <c r="E1585" s="27">
        <v>3.0</v>
      </c>
      <c r="F1585" s="27" t="s">
        <v>2127</v>
      </c>
      <c r="G1585" s="201" t="s">
        <v>57</v>
      </c>
      <c r="H1585" s="27" t="s">
        <v>116</v>
      </c>
      <c r="I1585" s="27"/>
      <c r="J1585" s="33"/>
      <c r="K1585" s="33"/>
      <c r="L1585" s="66"/>
      <c r="M1585" s="27"/>
      <c r="N1585" s="27"/>
      <c r="O1585" s="27"/>
      <c r="P1585" s="27"/>
      <c r="Q1585" s="27"/>
      <c r="R1585" s="27"/>
      <c r="S1585" s="27"/>
      <c r="T1585" s="27"/>
      <c r="U1585" s="27"/>
      <c r="V1585" s="27"/>
      <c r="W1585" s="27"/>
      <c r="X1585" s="27"/>
      <c r="Y1585" s="27"/>
      <c r="Z1585" s="27"/>
      <c r="AA1585" s="27"/>
      <c r="AB1585" s="27"/>
      <c r="AC1585" s="27"/>
      <c r="AD1585" s="27"/>
      <c r="AE1585" s="27"/>
      <c r="AF1585" s="27"/>
      <c r="AG1585" s="27"/>
      <c r="AH1585" s="27">
        <v>351.0</v>
      </c>
      <c r="AI1585" s="27">
        <v>263.0</v>
      </c>
      <c r="AJ1585" s="27">
        <v>2.0</v>
      </c>
      <c r="AK1585" s="27" t="b">
        <v>0</v>
      </c>
      <c r="AL1585" s="27">
        <v>100.0</v>
      </c>
      <c r="AM1585" s="27" t="s">
        <v>190</v>
      </c>
      <c r="AN1585" s="27" t="s">
        <v>405</v>
      </c>
      <c r="AO1585" s="27"/>
    </row>
    <row r="1586">
      <c r="A1586" s="200">
        <v>44880.02511055555</v>
      </c>
      <c r="B1586" s="19"/>
      <c r="C1586" s="21"/>
      <c r="D1586" s="62"/>
      <c r="E1586" s="27"/>
      <c r="F1586" s="27"/>
      <c r="G1586" s="201"/>
      <c r="H1586" s="27"/>
      <c r="I1586" s="27"/>
      <c r="J1586" s="33"/>
      <c r="K1586" s="33"/>
      <c r="L1586" s="66"/>
      <c r="M1586" s="27"/>
      <c r="N1586" s="27"/>
      <c r="O1586" s="27"/>
      <c r="P1586" s="27"/>
      <c r="Q1586" s="27"/>
      <c r="R1586" s="27"/>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t="e">
        <v>#N/A</v>
      </c>
      <c r="AN1586" s="27" t="e">
        <v>#N/A</v>
      </c>
      <c r="AO1586" s="27"/>
    </row>
    <row r="1587">
      <c r="A1587" s="200">
        <v>44880.02511055555</v>
      </c>
      <c r="B1587" s="19" t="s">
        <v>59</v>
      </c>
      <c r="C1587" s="21" t="s">
        <v>274</v>
      </c>
      <c r="D1587" s="62">
        <v>7.0</v>
      </c>
      <c r="E1587" s="27">
        <v>3.0</v>
      </c>
      <c r="F1587" s="27" t="s">
        <v>2128</v>
      </c>
      <c r="G1587" s="201" t="s">
        <v>57</v>
      </c>
      <c r="H1587" s="27" t="s">
        <v>166</v>
      </c>
      <c r="I1587" s="27"/>
      <c r="J1587" s="33"/>
      <c r="K1587" s="33"/>
      <c r="L1587" s="66"/>
      <c r="M1587" s="27"/>
      <c r="N1587" s="27"/>
      <c r="O1587" s="27"/>
      <c r="P1587" s="27"/>
      <c r="Q1587" s="27"/>
      <c r="R1587" s="27"/>
      <c r="S1587" s="27"/>
      <c r="T1587" s="27"/>
      <c r="U1587" s="27"/>
      <c r="V1587" s="27"/>
      <c r="W1587" s="27"/>
      <c r="X1587" s="27"/>
      <c r="Y1587" s="27"/>
      <c r="Z1587" s="27"/>
      <c r="AA1587" s="27"/>
      <c r="AB1587" s="27"/>
      <c r="AC1587" s="27"/>
      <c r="AD1587" s="27"/>
      <c r="AE1587" s="27"/>
      <c r="AF1587" s="27"/>
      <c r="AG1587" s="27"/>
      <c r="AH1587" s="27">
        <v>320.0</v>
      </c>
      <c r="AI1587" s="27">
        <v>216.0</v>
      </c>
      <c r="AJ1587" s="27">
        <v>2.0</v>
      </c>
      <c r="AK1587" s="27" t="b">
        <v>0</v>
      </c>
      <c r="AL1587" s="27">
        <v>100.0</v>
      </c>
      <c r="AM1587" s="27" t="s">
        <v>191</v>
      </c>
      <c r="AN1587" s="27" t="s">
        <v>404</v>
      </c>
      <c r="AO1587" s="27"/>
    </row>
    <row r="1588">
      <c r="A1588" s="200">
        <v>44880.02511055555</v>
      </c>
      <c r="B1588" s="19" t="s">
        <v>59</v>
      </c>
      <c r="C1588" s="21" t="s">
        <v>275</v>
      </c>
      <c r="D1588" s="62">
        <v>4.0</v>
      </c>
      <c r="E1588" s="27">
        <v>6.0</v>
      </c>
      <c r="F1588" s="27" t="s">
        <v>2103</v>
      </c>
      <c r="G1588" s="201" t="s">
        <v>57</v>
      </c>
      <c r="H1588" s="27" t="s">
        <v>53</v>
      </c>
      <c r="I1588" s="27"/>
      <c r="J1588" s="33"/>
      <c r="K1588" s="33"/>
      <c r="L1588" s="66"/>
      <c r="M1588" s="27"/>
      <c r="N1588" s="27"/>
      <c r="O1588" s="27"/>
      <c r="P1588" s="27"/>
      <c r="Q1588" s="27"/>
      <c r="R1588" s="27"/>
      <c r="S1588" s="27"/>
      <c r="T1588" s="27"/>
      <c r="U1588" s="27"/>
      <c r="V1588" s="27"/>
      <c r="W1588" s="27"/>
      <c r="X1588" s="27"/>
      <c r="Y1588" s="27"/>
      <c r="Z1588" s="27"/>
      <c r="AA1588" s="27"/>
      <c r="AB1588" s="27"/>
      <c r="AC1588" s="27"/>
      <c r="AD1588" s="27"/>
      <c r="AE1588" s="27"/>
      <c r="AF1588" s="27"/>
      <c r="AG1588" s="27"/>
      <c r="AH1588" s="27">
        <v>190.0</v>
      </c>
      <c r="AI1588" s="27">
        <v>374.0</v>
      </c>
      <c r="AJ1588" s="27">
        <v>2.0</v>
      </c>
      <c r="AK1588" s="27" t="b">
        <v>0</v>
      </c>
      <c r="AL1588" s="27">
        <v>100.0</v>
      </c>
      <c r="AM1588" s="27" t="s">
        <v>189</v>
      </c>
      <c r="AN1588" s="27" t="s">
        <v>405</v>
      </c>
      <c r="AO1588" s="27"/>
    </row>
    <row r="1589">
      <c r="A1589" s="200">
        <v>44880.02511055555</v>
      </c>
      <c r="B1589" s="19" t="s">
        <v>59</v>
      </c>
      <c r="C1589" s="21" t="s">
        <v>291</v>
      </c>
      <c r="D1589" s="62">
        <v>7.0</v>
      </c>
      <c r="E1589" s="27">
        <v>3.0</v>
      </c>
      <c r="F1589" s="27" t="s">
        <v>2129</v>
      </c>
      <c r="G1589" s="201" t="s">
        <v>57</v>
      </c>
      <c r="H1589" s="27" t="s">
        <v>154</v>
      </c>
      <c r="I1589" s="27"/>
      <c r="J1589" s="33"/>
      <c r="K1589" s="33"/>
      <c r="L1589" s="66"/>
      <c r="M1589" s="27"/>
      <c r="N1589" s="27"/>
      <c r="O1589" s="27"/>
      <c r="P1589" s="27"/>
      <c r="Q1589" s="27"/>
      <c r="R1589" s="27"/>
      <c r="S1589" s="27"/>
      <c r="T1589" s="27"/>
      <c r="U1589" s="27"/>
      <c r="V1589" s="27"/>
      <c r="W1589" s="27"/>
      <c r="X1589" s="27"/>
      <c r="Y1589" s="27"/>
      <c r="Z1589" s="27"/>
      <c r="AA1589" s="27"/>
      <c r="AB1589" s="27"/>
      <c r="AC1589" s="27"/>
      <c r="AD1589" s="27"/>
      <c r="AE1589" s="27"/>
      <c r="AF1589" s="27"/>
      <c r="AG1589" s="27"/>
      <c r="AH1589" s="27">
        <v>306.0</v>
      </c>
      <c r="AI1589" s="27">
        <v>175.0</v>
      </c>
      <c r="AJ1589" s="27">
        <v>2.0</v>
      </c>
      <c r="AK1589" s="27" t="b">
        <v>1</v>
      </c>
      <c r="AL1589" s="27">
        <v>100.0</v>
      </c>
      <c r="AM1589" s="27" t="s">
        <v>187</v>
      </c>
      <c r="AN1589" s="27" t="s">
        <v>404</v>
      </c>
      <c r="AO1589" s="27"/>
    </row>
    <row r="1590">
      <c r="A1590" s="200">
        <v>44880.02511055555</v>
      </c>
      <c r="B1590" s="19" t="s">
        <v>59</v>
      </c>
      <c r="C1590" s="21" t="s">
        <v>289</v>
      </c>
      <c r="D1590" s="62">
        <v>3.0</v>
      </c>
      <c r="E1590" s="27">
        <v>7.0</v>
      </c>
      <c r="F1590" s="27" t="s">
        <v>2130</v>
      </c>
      <c r="G1590" s="201" t="s">
        <v>57</v>
      </c>
      <c r="H1590" s="27" t="s">
        <v>154</v>
      </c>
      <c r="I1590" s="27"/>
      <c r="J1590" s="33"/>
      <c r="K1590" s="33"/>
      <c r="L1590" s="66"/>
      <c r="M1590" s="27"/>
      <c r="N1590" s="27"/>
      <c r="O1590" s="27"/>
      <c r="P1590" s="27"/>
      <c r="Q1590" s="27"/>
      <c r="R1590" s="27"/>
      <c r="S1590" s="27"/>
      <c r="T1590" s="27"/>
      <c r="U1590" s="27"/>
      <c r="V1590" s="27"/>
      <c r="W1590" s="27"/>
      <c r="X1590" s="27"/>
      <c r="Y1590" s="27"/>
      <c r="Z1590" s="27"/>
      <c r="AA1590" s="27"/>
      <c r="AB1590" s="27"/>
      <c r="AC1590" s="27"/>
      <c r="AD1590" s="27"/>
      <c r="AE1590" s="27"/>
      <c r="AF1590" s="27"/>
      <c r="AG1590" s="27"/>
      <c r="AH1590" s="27">
        <v>190.0</v>
      </c>
      <c r="AI1590" s="27">
        <v>288.0</v>
      </c>
      <c r="AJ1590" s="27">
        <v>2.0</v>
      </c>
      <c r="AK1590" s="27" t="b">
        <v>0</v>
      </c>
      <c r="AL1590" s="27">
        <v>100.0</v>
      </c>
      <c r="AM1590" s="27" t="s">
        <v>186</v>
      </c>
      <c r="AN1590" s="27" t="s">
        <v>404</v>
      </c>
      <c r="AO1590" s="27"/>
    </row>
    <row r="1591">
      <c r="A1591" s="200">
        <v>44880.02511055555</v>
      </c>
      <c r="B1591" s="19" t="s">
        <v>59</v>
      </c>
      <c r="C1591" s="21" t="s">
        <v>277</v>
      </c>
      <c r="D1591" s="62">
        <v>5.0</v>
      </c>
      <c r="E1591" s="27">
        <v>5.0</v>
      </c>
      <c r="F1591" s="27" t="s">
        <v>2131</v>
      </c>
      <c r="G1591" s="201" t="s">
        <v>57</v>
      </c>
      <c r="H1591" s="27" t="s">
        <v>166</v>
      </c>
      <c r="I1591" s="27"/>
      <c r="J1591" s="33"/>
      <c r="K1591" s="33"/>
      <c r="L1591" s="66"/>
      <c r="M1591" s="27"/>
      <c r="N1591" s="27"/>
      <c r="O1591" s="27"/>
      <c r="P1591" s="27"/>
      <c r="Q1591" s="27"/>
      <c r="R1591" s="27"/>
      <c r="S1591" s="27"/>
      <c r="T1591" s="27"/>
      <c r="U1591" s="27"/>
      <c r="V1591" s="27"/>
      <c r="W1591" s="27"/>
      <c r="X1591" s="27"/>
      <c r="Y1591" s="27"/>
      <c r="Z1591" s="27"/>
      <c r="AA1591" s="27"/>
      <c r="AB1591" s="27"/>
      <c r="AC1591" s="27"/>
      <c r="AD1591" s="27"/>
      <c r="AE1591" s="27"/>
      <c r="AF1591" s="27"/>
      <c r="AG1591" s="27"/>
      <c r="AH1591" s="27">
        <v>344.0</v>
      </c>
      <c r="AI1591" s="27">
        <v>256.0</v>
      </c>
      <c r="AJ1591" s="27">
        <v>2.0</v>
      </c>
      <c r="AK1591" s="27" t="b">
        <v>0</v>
      </c>
      <c r="AL1591" s="27">
        <v>100.0</v>
      </c>
      <c r="AM1591" s="27" t="s">
        <v>193</v>
      </c>
      <c r="AN1591" s="27" t="s">
        <v>405</v>
      </c>
      <c r="AO1591" s="27"/>
    </row>
    <row r="1592">
      <c r="A1592" s="200">
        <v>44880.02511055555</v>
      </c>
      <c r="B1592" s="19" t="s">
        <v>59</v>
      </c>
      <c r="C1592" s="21" t="s">
        <v>284</v>
      </c>
      <c r="D1592" s="62">
        <v>10.0</v>
      </c>
      <c r="E1592" s="27">
        <v>0.0</v>
      </c>
      <c r="F1592" s="27" t="s">
        <v>2132</v>
      </c>
      <c r="G1592" s="201" t="s">
        <v>57</v>
      </c>
      <c r="H1592" s="27" t="s">
        <v>141</v>
      </c>
      <c r="I1592" s="27"/>
      <c r="J1592" s="33"/>
      <c r="K1592" s="33"/>
      <c r="L1592" s="66"/>
      <c r="M1592" s="27"/>
      <c r="N1592" s="27"/>
      <c r="O1592" s="27"/>
      <c r="P1592" s="27"/>
      <c r="Q1592" s="27"/>
      <c r="R1592" s="27"/>
      <c r="S1592" s="27"/>
      <c r="T1592" s="27"/>
      <c r="U1592" s="27"/>
      <c r="V1592" s="27"/>
      <c r="W1592" s="27"/>
      <c r="X1592" s="27"/>
      <c r="Y1592" s="27"/>
      <c r="Z1592" s="27"/>
      <c r="AA1592" s="27"/>
      <c r="AB1592" s="27"/>
      <c r="AC1592" s="27"/>
      <c r="AD1592" s="27"/>
      <c r="AE1592" s="27"/>
      <c r="AF1592" s="27"/>
      <c r="AG1592" s="27"/>
      <c r="AH1592" s="27">
        <v>414.0</v>
      </c>
      <c r="AI1592" s="27">
        <v>112.0</v>
      </c>
      <c r="AJ1592" s="27">
        <v>2.0</v>
      </c>
      <c r="AK1592" s="27" t="b">
        <v>0</v>
      </c>
      <c r="AL1592" s="27">
        <v>100.0</v>
      </c>
      <c r="AM1592" s="27" t="s">
        <v>188</v>
      </c>
      <c r="AN1592" s="27" t="s">
        <v>404</v>
      </c>
      <c r="AO1592" s="27"/>
    </row>
    <row r="1593">
      <c r="A1593" s="200">
        <v>44880.02511055555</v>
      </c>
      <c r="B1593" s="19" t="s">
        <v>59</v>
      </c>
      <c r="C1593" s="21" t="s">
        <v>281</v>
      </c>
      <c r="D1593" s="62">
        <v>6.0</v>
      </c>
      <c r="E1593" s="27">
        <v>5.0</v>
      </c>
      <c r="F1593" s="27" t="s">
        <v>2133</v>
      </c>
      <c r="G1593" s="201" t="s">
        <v>57</v>
      </c>
      <c r="H1593" s="27" t="s">
        <v>166</v>
      </c>
      <c r="I1593" s="27"/>
      <c r="J1593" s="33"/>
      <c r="K1593" s="33"/>
      <c r="L1593" s="66"/>
      <c r="M1593" s="27"/>
      <c r="N1593" s="27"/>
      <c r="O1593" s="27"/>
      <c r="P1593" s="27"/>
      <c r="Q1593" s="27"/>
      <c r="R1593" s="27"/>
      <c r="S1593" s="27"/>
      <c r="T1593" s="27"/>
      <c r="U1593" s="27"/>
      <c r="V1593" s="27"/>
      <c r="W1593" s="27"/>
      <c r="X1593" s="27"/>
      <c r="Y1593" s="27"/>
      <c r="Z1593" s="27"/>
      <c r="AA1593" s="27"/>
      <c r="AB1593" s="27"/>
      <c r="AC1593" s="27"/>
      <c r="AD1593" s="27"/>
      <c r="AE1593" s="27"/>
      <c r="AF1593" s="27"/>
      <c r="AG1593" s="27"/>
      <c r="AH1593" s="27">
        <v>221.0</v>
      </c>
      <c r="AI1593" s="27">
        <v>279.0</v>
      </c>
      <c r="AJ1593" s="27">
        <v>2.0</v>
      </c>
      <c r="AK1593" s="27" t="b">
        <v>0</v>
      </c>
      <c r="AL1593" s="27">
        <v>100.0</v>
      </c>
      <c r="AM1593" s="27" t="s">
        <v>389</v>
      </c>
      <c r="AN1593" s="27" t="s">
        <v>405</v>
      </c>
      <c r="AO1593" s="27"/>
    </row>
    <row r="1594">
      <c r="A1594" s="200">
        <v>44880.02511055555</v>
      </c>
      <c r="B1594" s="19" t="s">
        <v>59</v>
      </c>
      <c r="C1594" s="21" t="s">
        <v>283</v>
      </c>
      <c r="D1594" s="62">
        <v>6.0</v>
      </c>
      <c r="E1594" s="27">
        <v>4.0</v>
      </c>
      <c r="F1594" s="27" t="s">
        <v>2134</v>
      </c>
      <c r="G1594" s="201" t="s">
        <v>57</v>
      </c>
      <c r="H1594" s="27" t="s">
        <v>138</v>
      </c>
      <c r="I1594" s="27"/>
      <c r="J1594" s="33"/>
      <c r="K1594" s="33"/>
      <c r="L1594" s="66"/>
      <c r="M1594" s="27"/>
      <c r="N1594" s="27"/>
      <c r="O1594" s="27"/>
      <c r="P1594" s="27"/>
      <c r="Q1594" s="27"/>
      <c r="R1594" s="27"/>
      <c r="S1594" s="27"/>
      <c r="T1594" s="27"/>
      <c r="U1594" s="27"/>
      <c r="V1594" s="27"/>
      <c r="W1594" s="27"/>
      <c r="X1594" s="27"/>
      <c r="Y1594" s="27"/>
      <c r="Z1594" s="27"/>
      <c r="AA1594" s="27"/>
      <c r="AB1594" s="27"/>
      <c r="AC1594" s="27"/>
      <c r="AD1594" s="27"/>
      <c r="AE1594" s="27"/>
      <c r="AF1594" s="27"/>
      <c r="AG1594" s="27"/>
      <c r="AH1594" s="27">
        <v>233.0</v>
      </c>
      <c r="AI1594" s="27">
        <v>200.0</v>
      </c>
      <c r="AJ1594" s="27">
        <v>2.0</v>
      </c>
      <c r="AK1594" s="27" t="b">
        <v>1</v>
      </c>
      <c r="AL1594" s="27">
        <v>100.0</v>
      </c>
      <c r="AM1594" s="27" t="s">
        <v>192</v>
      </c>
      <c r="AN1594" s="27" t="s">
        <v>404</v>
      </c>
      <c r="AO1594" s="27"/>
    </row>
    <row r="1595">
      <c r="A1595" s="200">
        <v>44880.02511055555</v>
      </c>
      <c r="B1595" s="19" t="s">
        <v>59</v>
      </c>
      <c r="C1595" s="21" t="s">
        <v>279</v>
      </c>
      <c r="D1595" s="62">
        <v>4.0</v>
      </c>
      <c r="E1595" s="27">
        <v>6.0</v>
      </c>
      <c r="F1595" s="27" t="s">
        <v>2135</v>
      </c>
      <c r="G1595" s="201" t="s">
        <v>57</v>
      </c>
      <c r="H1595" s="27" t="s">
        <v>144</v>
      </c>
      <c r="I1595" s="27"/>
      <c r="J1595" s="33"/>
      <c r="K1595" s="33"/>
      <c r="L1595" s="66"/>
      <c r="M1595" s="27"/>
      <c r="N1595" s="27"/>
      <c r="O1595" s="27"/>
      <c r="P1595" s="27"/>
      <c r="Q1595" s="27"/>
      <c r="R1595" s="27"/>
      <c r="S1595" s="27"/>
      <c r="T1595" s="27"/>
      <c r="U1595" s="27"/>
      <c r="V1595" s="27"/>
      <c r="W1595" s="27"/>
      <c r="X1595" s="27"/>
      <c r="Y1595" s="27"/>
      <c r="Z1595" s="27"/>
      <c r="AA1595" s="27"/>
      <c r="AB1595" s="27"/>
      <c r="AC1595" s="27"/>
      <c r="AD1595" s="27"/>
      <c r="AE1595" s="27"/>
      <c r="AF1595" s="27"/>
      <c r="AG1595" s="27"/>
      <c r="AH1595" s="27">
        <v>264.0</v>
      </c>
      <c r="AI1595" s="27">
        <v>289.0</v>
      </c>
      <c r="AJ1595" s="27">
        <v>2.0</v>
      </c>
      <c r="AK1595" s="27" t="b">
        <v>1</v>
      </c>
      <c r="AL1595" s="27">
        <v>100.0</v>
      </c>
      <c r="AM1595" s="27" t="s">
        <v>129</v>
      </c>
      <c r="AN1595" s="27" t="s">
        <v>405</v>
      </c>
      <c r="AO1595" s="27"/>
    </row>
    <row r="1596">
      <c r="A1596" s="200">
        <v>44880.02511055555</v>
      </c>
      <c r="B1596" s="19" t="s">
        <v>59</v>
      </c>
      <c r="C1596" s="21" t="s">
        <v>285</v>
      </c>
      <c r="D1596" s="62">
        <v>4.0</v>
      </c>
      <c r="E1596" s="27">
        <v>6.0</v>
      </c>
      <c r="F1596" s="27" t="s">
        <v>2136</v>
      </c>
      <c r="G1596" s="201" t="s">
        <v>57</v>
      </c>
      <c r="H1596" s="27" t="s">
        <v>109</v>
      </c>
      <c r="I1596" s="27"/>
      <c r="J1596" s="33"/>
      <c r="K1596" s="33"/>
      <c r="L1596" s="66"/>
      <c r="M1596" s="27"/>
      <c r="N1596" s="27"/>
      <c r="O1596" s="27"/>
      <c r="P1596" s="27"/>
      <c r="Q1596" s="27"/>
      <c r="R1596" s="27"/>
      <c r="S1596" s="27"/>
      <c r="T1596" s="27"/>
      <c r="U1596" s="27"/>
      <c r="V1596" s="27"/>
      <c r="W1596" s="27"/>
      <c r="X1596" s="27"/>
      <c r="Y1596" s="27"/>
      <c r="Z1596" s="27"/>
      <c r="AA1596" s="27"/>
      <c r="AB1596" s="27"/>
      <c r="AC1596" s="27"/>
      <c r="AD1596" s="27"/>
      <c r="AE1596" s="27"/>
      <c r="AF1596" s="27"/>
      <c r="AG1596" s="27"/>
      <c r="AH1596" s="27">
        <v>268.0</v>
      </c>
      <c r="AI1596" s="27">
        <v>288.0</v>
      </c>
      <c r="AJ1596" s="27">
        <v>2.0</v>
      </c>
      <c r="AK1596" s="27" t="b">
        <v>0</v>
      </c>
      <c r="AL1596" s="27">
        <v>100.0</v>
      </c>
      <c r="AM1596" s="27" t="s">
        <v>190</v>
      </c>
      <c r="AN1596" s="27" t="s">
        <v>405</v>
      </c>
      <c r="AO1596" s="27"/>
    </row>
    <row r="1597">
      <c r="A1597" s="200">
        <v>44880.02511055555</v>
      </c>
      <c r="B1597" s="19"/>
      <c r="C1597" s="21"/>
      <c r="D1597" s="62"/>
      <c r="E1597" s="27"/>
      <c r="F1597" s="27"/>
      <c r="G1597" s="201"/>
      <c r="H1597" s="27"/>
      <c r="I1597" s="27"/>
      <c r="J1597" s="33"/>
      <c r="K1597" s="33"/>
      <c r="L1597" s="66"/>
      <c r="M1597" s="27"/>
      <c r="N1597" s="27"/>
      <c r="O1597" s="27"/>
      <c r="P1597" s="27"/>
      <c r="Q1597" s="27"/>
      <c r="R1597" s="27"/>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t="e">
        <v>#N/A</v>
      </c>
      <c r="AN1597" s="27" t="e">
        <v>#N/A</v>
      </c>
      <c r="AO1597" s="27"/>
    </row>
    <row r="1598">
      <c r="A1598" s="200">
        <v>44880.02511055555</v>
      </c>
      <c r="B1598" s="19" t="s">
        <v>138</v>
      </c>
      <c r="C1598" s="21" t="s">
        <v>304</v>
      </c>
      <c r="D1598" s="62">
        <v>5.0</v>
      </c>
      <c r="E1598" s="27">
        <v>5.0</v>
      </c>
      <c r="F1598" s="27" t="s">
        <v>2137</v>
      </c>
      <c r="G1598" s="201" t="s">
        <v>57</v>
      </c>
      <c r="H1598" s="27" t="s">
        <v>166</v>
      </c>
      <c r="I1598" s="27"/>
      <c r="J1598" s="33"/>
      <c r="K1598" s="33"/>
      <c r="L1598" s="66"/>
      <c r="M1598" s="27"/>
      <c r="N1598" s="27"/>
      <c r="O1598" s="27"/>
      <c r="P1598" s="27"/>
      <c r="Q1598" s="27"/>
      <c r="R1598" s="27"/>
      <c r="S1598" s="27"/>
      <c r="T1598" s="27"/>
      <c r="U1598" s="27"/>
      <c r="V1598" s="27"/>
      <c r="W1598" s="27"/>
      <c r="X1598" s="27"/>
      <c r="Y1598" s="27"/>
      <c r="Z1598" s="27"/>
      <c r="AA1598" s="27"/>
      <c r="AB1598" s="27"/>
      <c r="AC1598" s="27"/>
      <c r="AD1598" s="27"/>
      <c r="AE1598" s="27"/>
      <c r="AF1598" s="27"/>
      <c r="AG1598" s="27"/>
      <c r="AH1598" s="27">
        <v>221.0</v>
      </c>
      <c r="AI1598" s="27">
        <v>294.0</v>
      </c>
      <c r="AJ1598" s="27">
        <v>2.0</v>
      </c>
      <c r="AK1598" s="27" t="b">
        <v>1</v>
      </c>
      <c r="AL1598" s="27">
        <v>100.0</v>
      </c>
      <c r="AM1598" s="27" t="s">
        <v>129</v>
      </c>
      <c r="AN1598" s="27" t="s">
        <v>405</v>
      </c>
      <c r="AO1598" s="27"/>
    </row>
    <row r="1599">
      <c r="A1599" s="200">
        <v>44880.02511055555</v>
      </c>
      <c r="B1599" s="19" t="s">
        <v>138</v>
      </c>
      <c r="C1599" s="21" t="s">
        <v>311</v>
      </c>
      <c r="D1599" s="62">
        <v>3.0</v>
      </c>
      <c r="E1599" s="27">
        <v>7.0</v>
      </c>
      <c r="F1599" s="27" t="s">
        <v>2138</v>
      </c>
      <c r="G1599" s="201" t="s">
        <v>57</v>
      </c>
      <c r="H1599" s="27" t="s">
        <v>154</v>
      </c>
      <c r="I1599" s="27"/>
      <c r="J1599" s="33"/>
      <c r="K1599" s="33"/>
      <c r="L1599" s="66"/>
      <c r="M1599" s="27"/>
      <c r="N1599" s="27"/>
      <c r="O1599" s="27"/>
      <c r="P1599" s="27"/>
      <c r="Q1599" s="27"/>
      <c r="R1599" s="27"/>
      <c r="S1599" s="27"/>
      <c r="T1599" s="27"/>
      <c r="U1599" s="27"/>
      <c r="V1599" s="27"/>
      <c r="W1599" s="27"/>
      <c r="X1599" s="27"/>
      <c r="Y1599" s="27"/>
      <c r="Z1599" s="27"/>
      <c r="AA1599" s="27"/>
      <c r="AB1599" s="27"/>
      <c r="AC1599" s="27"/>
      <c r="AD1599" s="27"/>
      <c r="AE1599" s="27"/>
      <c r="AF1599" s="27"/>
      <c r="AG1599" s="27"/>
      <c r="AH1599" s="27">
        <v>210.0</v>
      </c>
      <c r="AI1599" s="27">
        <v>324.0</v>
      </c>
      <c r="AJ1599" s="27">
        <v>2.0</v>
      </c>
      <c r="AK1599" s="27" t="b">
        <v>1</v>
      </c>
      <c r="AL1599" s="27">
        <v>100.0</v>
      </c>
      <c r="AM1599" s="27" t="s">
        <v>191</v>
      </c>
      <c r="AN1599" s="27" t="s">
        <v>404</v>
      </c>
      <c r="AO1599" s="27"/>
    </row>
    <row r="1600">
      <c r="A1600" s="200">
        <v>44880.02511055555</v>
      </c>
      <c r="B1600" s="19" t="s">
        <v>138</v>
      </c>
      <c r="C1600" s="21" t="s">
        <v>308</v>
      </c>
      <c r="D1600" s="62">
        <v>6.0</v>
      </c>
      <c r="E1600" s="27">
        <v>4.0</v>
      </c>
      <c r="F1600" s="27" t="s">
        <v>2139</v>
      </c>
      <c r="G1600" s="201" t="s">
        <v>57</v>
      </c>
      <c r="H1600" s="27" t="s">
        <v>103</v>
      </c>
      <c r="I1600" s="27"/>
      <c r="J1600" s="33"/>
      <c r="K1600" s="33"/>
      <c r="L1600" s="66"/>
      <c r="M1600" s="27"/>
      <c r="N1600" s="27"/>
      <c r="O1600" s="27"/>
      <c r="P1600" s="27"/>
      <c r="Q1600" s="27"/>
      <c r="R1600" s="27"/>
      <c r="S1600" s="27"/>
      <c r="T1600" s="27"/>
      <c r="U1600" s="27"/>
      <c r="V1600" s="27"/>
      <c r="W1600" s="27"/>
      <c r="X1600" s="27"/>
      <c r="Y1600" s="27"/>
      <c r="Z1600" s="27"/>
      <c r="AA1600" s="27"/>
      <c r="AB1600" s="27"/>
      <c r="AC1600" s="27"/>
      <c r="AD1600" s="27"/>
      <c r="AE1600" s="27"/>
      <c r="AF1600" s="27"/>
      <c r="AG1600" s="27"/>
      <c r="AH1600" s="27">
        <v>273.0</v>
      </c>
      <c r="AI1600" s="27">
        <v>204.0</v>
      </c>
      <c r="AJ1600" s="27">
        <v>2.0</v>
      </c>
      <c r="AK1600" s="27" t="b">
        <v>0</v>
      </c>
      <c r="AL1600" s="27">
        <v>100.0</v>
      </c>
      <c r="AM1600" s="27" t="s">
        <v>186</v>
      </c>
      <c r="AN1600" s="27" t="s">
        <v>404</v>
      </c>
      <c r="AO1600" s="27"/>
    </row>
    <row r="1601">
      <c r="A1601" s="200">
        <v>44880.02511055555</v>
      </c>
      <c r="B1601" s="19" t="s">
        <v>138</v>
      </c>
      <c r="C1601" s="21" t="s">
        <v>302</v>
      </c>
      <c r="D1601" s="62">
        <v>8.0</v>
      </c>
      <c r="E1601" s="27">
        <v>2.0</v>
      </c>
      <c r="F1601" s="27" t="s">
        <v>2140</v>
      </c>
      <c r="G1601" s="201" t="s">
        <v>57</v>
      </c>
      <c r="H1601" s="27" t="s">
        <v>148</v>
      </c>
      <c r="I1601" s="27"/>
      <c r="J1601" s="33"/>
      <c r="K1601" s="33"/>
      <c r="L1601" s="66"/>
      <c r="M1601" s="27"/>
      <c r="N1601" s="27"/>
      <c r="O1601" s="27"/>
      <c r="P1601" s="27"/>
      <c r="Q1601" s="27"/>
      <c r="R1601" s="27"/>
      <c r="S1601" s="27"/>
      <c r="T1601" s="27"/>
      <c r="U1601" s="27"/>
      <c r="V1601" s="27"/>
      <c r="W1601" s="27"/>
      <c r="X1601" s="27"/>
      <c r="Y1601" s="27"/>
      <c r="Z1601" s="27"/>
      <c r="AA1601" s="27"/>
      <c r="AB1601" s="27"/>
      <c r="AC1601" s="27"/>
      <c r="AD1601" s="27"/>
      <c r="AE1601" s="27"/>
      <c r="AF1601" s="27"/>
      <c r="AG1601" s="27"/>
      <c r="AH1601" s="27">
        <v>329.0</v>
      </c>
      <c r="AI1601" s="27">
        <v>193.0</v>
      </c>
      <c r="AJ1601" s="27">
        <v>2.0</v>
      </c>
      <c r="AK1601" s="27" t="b">
        <v>0</v>
      </c>
      <c r="AL1601" s="27">
        <v>100.0</v>
      </c>
      <c r="AM1601" s="27" t="s">
        <v>193</v>
      </c>
      <c r="AN1601" s="27" t="s">
        <v>405</v>
      </c>
      <c r="AO1601" s="27"/>
    </row>
    <row r="1602">
      <c r="A1602" s="200">
        <v>44880.02511055555</v>
      </c>
      <c r="B1602" s="19" t="s">
        <v>138</v>
      </c>
      <c r="C1602" s="21" t="s">
        <v>296</v>
      </c>
      <c r="D1602" s="62">
        <v>8.0</v>
      </c>
      <c r="E1602" s="27">
        <v>2.0</v>
      </c>
      <c r="F1602" s="27" t="s">
        <v>2141</v>
      </c>
      <c r="G1602" s="201" t="s">
        <v>57</v>
      </c>
      <c r="H1602" s="27" t="s">
        <v>166</v>
      </c>
      <c r="I1602" s="27"/>
      <c r="J1602" s="33"/>
      <c r="K1602" s="33"/>
      <c r="L1602" s="66"/>
      <c r="M1602" s="27"/>
      <c r="N1602" s="27"/>
      <c r="O1602" s="27"/>
      <c r="P1602" s="27"/>
      <c r="Q1602" s="27"/>
      <c r="R1602" s="27"/>
      <c r="S1602" s="27"/>
      <c r="T1602" s="27"/>
      <c r="U1602" s="27"/>
      <c r="V1602" s="27"/>
      <c r="W1602" s="27"/>
      <c r="X1602" s="27"/>
      <c r="Y1602" s="27"/>
      <c r="Z1602" s="27"/>
      <c r="AA1602" s="27"/>
      <c r="AB1602" s="27"/>
      <c r="AC1602" s="27"/>
      <c r="AD1602" s="27"/>
      <c r="AE1602" s="27"/>
      <c r="AF1602" s="27"/>
      <c r="AG1602" s="27"/>
      <c r="AH1602" s="27">
        <v>380.0</v>
      </c>
      <c r="AI1602" s="27">
        <v>280.0</v>
      </c>
      <c r="AJ1602" s="27">
        <v>2.0</v>
      </c>
      <c r="AK1602" s="27" t="b">
        <v>1</v>
      </c>
      <c r="AL1602" s="27">
        <v>100.0</v>
      </c>
      <c r="AM1602" s="27" t="s">
        <v>189</v>
      </c>
      <c r="AN1602" s="27" t="s">
        <v>405</v>
      </c>
      <c r="AO1602" s="27"/>
    </row>
    <row r="1603">
      <c r="A1603" s="200">
        <v>44880.02511055555</v>
      </c>
      <c r="B1603" s="19" t="s">
        <v>138</v>
      </c>
      <c r="C1603" s="21" t="s">
        <v>294</v>
      </c>
      <c r="D1603" s="62">
        <v>5.0</v>
      </c>
      <c r="E1603" s="27">
        <v>5.0</v>
      </c>
      <c r="F1603" s="27" t="s">
        <v>2142</v>
      </c>
      <c r="G1603" s="201" t="s">
        <v>57</v>
      </c>
      <c r="H1603" s="27" t="s">
        <v>141</v>
      </c>
      <c r="I1603" s="27"/>
      <c r="J1603" s="33"/>
      <c r="K1603" s="33"/>
      <c r="L1603" s="66"/>
      <c r="M1603" s="27"/>
      <c r="N1603" s="27"/>
      <c r="O1603" s="27"/>
      <c r="P1603" s="27"/>
      <c r="Q1603" s="27"/>
      <c r="R1603" s="27"/>
      <c r="S1603" s="27"/>
      <c r="T1603" s="27"/>
      <c r="U1603" s="27"/>
      <c r="V1603" s="27"/>
      <c r="W1603" s="27"/>
      <c r="X1603" s="27"/>
      <c r="Y1603" s="27"/>
      <c r="Z1603" s="27"/>
      <c r="AA1603" s="27"/>
      <c r="AB1603" s="27"/>
      <c r="AC1603" s="27"/>
      <c r="AD1603" s="27"/>
      <c r="AE1603" s="27"/>
      <c r="AF1603" s="27"/>
      <c r="AG1603" s="27"/>
      <c r="AH1603" s="27">
        <v>246.0</v>
      </c>
      <c r="AI1603" s="27">
        <v>255.0</v>
      </c>
      <c r="AJ1603" s="27">
        <v>2.0</v>
      </c>
      <c r="AK1603" s="27" t="b">
        <v>1</v>
      </c>
      <c r="AL1603" s="27">
        <v>100.0</v>
      </c>
      <c r="AM1603" s="27" t="s">
        <v>188</v>
      </c>
      <c r="AN1603" s="27" t="s">
        <v>404</v>
      </c>
      <c r="AO1603" s="27"/>
    </row>
    <row r="1604">
      <c r="A1604" s="200">
        <v>44880.02511055555</v>
      </c>
      <c r="B1604" s="19" t="s">
        <v>138</v>
      </c>
      <c r="C1604" s="21" t="s">
        <v>303</v>
      </c>
      <c r="D1604" s="62">
        <v>5.0</v>
      </c>
      <c r="E1604" s="27">
        <v>5.0</v>
      </c>
      <c r="F1604" s="27" t="s">
        <v>2143</v>
      </c>
      <c r="G1604" s="201" t="s">
        <v>57</v>
      </c>
      <c r="H1604" s="27" t="s">
        <v>109</v>
      </c>
      <c r="I1604" s="27"/>
      <c r="J1604" s="33"/>
      <c r="K1604" s="33"/>
      <c r="L1604" s="66"/>
      <c r="M1604" s="27"/>
      <c r="N1604" s="27"/>
      <c r="O1604" s="27"/>
      <c r="P1604" s="27"/>
      <c r="Q1604" s="27"/>
      <c r="R1604" s="27"/>
      <c r="S1604" s="27"/>
      <c r="T1604" s="27"/>
      <c r="U1604" s="27"/>
      <c r="V1604" s="27"/>
      <c r="W1604" s="27"/>
      <c r="X1604" s="27"/>
      <c r="Y1604" s="27"/>
      <c r="Z1604" s="27"/>
      <c r="AA1604" s="27"/>
      <c r="AB1604" s="27"/>
      <c r="AC1604" s="27"/>
      <c r="AD1604" s="27"/>
      <c r="AE1604" s="27"/>
      <c r="AF1604" s="27"/>
      <c r="AG1604" s="27"/>
      <c r="AH1604" s="27">
        <v>299.0</v>
      </c>
      <c r="AI1604" s="27">
        <v>289.0</v>
      </c>
      <c r="AJ1604" s="27">
        <v>2.0</v>
      </c>
      <c r="AK1604" s="27" t="b">
        <v>1</v>
      </c>
      <c r="AL1604" s="27">
        <v>100.0</v>
      </c>
      <c r="AM1604" s="27" t="s">
        <v>192</v>
      </c>
      <c r="AN1604" s="27" t="s">
        <v>404</v>
      </c>
      <c r="AO1604" s="27"/>
    </row>
    <row r="1605">
      <c r="A1605" s="200">
        <v>44880.02511055555</v>
      </c>
      <c r="B1605" s="19" t="s">
        <v>138</v>
      </c>
      <c r="C1605" s="21" t="s">
        <v>309</v>
      </c>
      <c r="D1605" s="62">
        <v>4.0</v>
      </c>
      <c r="E1605" s="27">
        <v>6.0</v>
      </c>
      <c r="F1605" s="27" t="s">
        <v>2134</v>
      </c>
      <c r="G1605" s="201" t="s">
        <v>57</v>
      </c>
      <c r="H1605" s="27" t="s">
        <v>59</v>
      </c>
      <c r="I1605" s="27"/>
      <c r="J1605" s="33"/>
      <c r="K1605" s="33"/>
      <c r="L1605" s="66"/>
      <c r="M1605" s="27"/>
      <c r="N1605" s="27"/>
      <c r="O1605" s="27"/>
      <c r="P1605" s="27"/>
      <c r="Q1605" s="27"/>
      <c r="R1605" s="27"/>
      <c r="S1605" s="27"/>
      <c r="T1605" s="27"/>
      <c r="U1605" s="27"/>
      <c r="V1605" s="27"/>
      <c r="W1605" s="27"/>
      <c r="X1605" s="27"/>
      <c r="Y1605" s="27"/>
      <c r="Z1605" s="27"/>
      <c r="AA1605" s="27"/>
      <c r="AB1605" s="27"/>
      <c r="AC1605" s="27"/>
      <c r="AD1605" s="27"/>
      <c r="AE1605" s="27"/>
      <c r="AF1605" s="27"/>
      <c r="AG1605" s="27"/>
      <c r="AH1605" s="27">
        <v>264.0</v>
      </c>
      <c r="AI1605" s="27">
        <v>352.0</v>
      </c>
      <c r="AJ1605" s="27">
        <v>2.0</v>
      </c>
      <c r="AK1605" s="27" t="b">
        <v>0</v>
      </c>
      <c r="AL1605" s="27">
        <v>100.0</v>
      </c>
      <c r="AM1605" s="27" t="s">
        <v>187</v>
      </c>
      <c r="AN1605" s="27" t="s">
        <v>404</v>
      </c>
      <c r="AO1605" s="27"/>
    </row>
    <row r="1606">
      <c r="A1606" s="200">
        <v>44880.02511055555</v>
      </c>
      <c r="B1606" s="19" t="s">
        <v>138</v>
      </c>
      <c r="C1606" s="21" t="s">
        <v>282</v>
      </c>
      <c r="D1606" s="62">
        <v>8.0</v>
      </c>
      <c r="E1606" s="27">
        <v>2.0</v>
      </c>
      <c r="F1606" s="27" t="s">
        <v>2144</v>
      </c>
      <c r="G1606" s="201" t="s">
        <v>57</v>
      </c>
      <c r="H1606" s="27" t="s">
        <v>144</v>
      </c>
      <c r="I1606" s="27"/>
      <c r="J1606" s="33"/>
      <c r="K1606" s="33"/>
      <c r="L1606" s="66"/>
      <c r="M1606" s="27"/>
      <c r="N1606" s="27"/>
      <c r="O1606" s="27"/>
      <c r="P1606" s="27"/>
      <c r="Q1606" s="27"/>
      <c r="R1606" s="27"/>
      <c r="S1606" s="27"/>
      <c r="T1606" s="27"/>
      <c r="U1606" s="27"/>
      <c r="V1606" s="27"/>
      <c r="W1606" s="27"/>
      <c r="X1606" s="27"/>
      <c r="Y1606" s="27"/>
      <c r="Z1606" s="27"/>
      <c r="AA1606" s="27"/>
      <c r="AB1606" s="27"/>
      <c r="AC1606" s="27"/>
      <c r="AD1606" s="27"/>
      <c r="AE1606" s="27"/>
      <c r="AF1606" s="27"/>
      <c r="AG1606" s="27"/>
      <c r="AH1606" s="27">
        <v>326.0</v>
      </c>
      <c r="AI1606" s="27">
        <v>214.0</v>
      </c>
      <c r="AJ1606" s="27">
        <v>2.0</v>
      </c>
      <c r="AK1606" s="27" t="b">
        <v>1</v>
      </c>
      <c r="AL1606" s="27">
        <v>100.0</v>
      </c>
      <c r="AM1606" s="27" t="s">
        <v>389</v>
      </c>
      <c r="AN1606" s="27" t="s">
        <v>405</v>
      </c>
      <c r="AO1606" s="27"/>
    </row>
    <row r="1607">
      <c r="A1607" s="200">
        <v>44880.02511055555</v>
      </c>
      <c r="B1607" s="19" t="s">
        <v>138</v>
      </c>
      <c r="C1607" s="21" t="s">
        <v>298</v>
      </c>
      <c r="D1607" s="62">
        <v>3.0</v>
      </c>
      <c r="E1607" s="27">
        <v>7.0</v>
      </c>
      <c r="F1607" s="27" t="s">
        <v>2145</v>
      </c>
      <c r="G1607" s="201" t="s">
        <v>57</v>
      </c>
      <c r="H1607" s="27" t="s">
        <v>154</v>
      </c>
      <c r="I1607" s="27"/>
      <c r="J1607" s="33"/>
      <c r="K1607" s="33"/>
      <c r="L1607" s="66"/>
      <c r="M1607" s="27"/>
      <c r="N1607" s="27"/>
      <c r="O1607" s="27"/>
      <c r="P1607" s="27"/>
      <c r="Q1607" s="27"/>
      <c r="R1607" s="27"/>
      <c r="S1607" s="27"/>
      <c r="T1607" s="27"/>
      <c r="U1607" s="27"/>
      <c r="V1607" s="27"/>
      <c r="W1607" s="27"/>
      <c r="X1607" s="27"/>
      <c r="Y1607" s="27"/>
      <c r="Z1607" s="27"/>
      <c r="AA1607" s="27"/>
      <c r="AB1607" s="27"/>
      <c r="AC1607" s="27"/>
      <c r="AD1607" s="27"/>
      <c r="AE1607" s="27"/>
      <c r="AF1607" s="27"/>
      <c r="AG1607" s="27"/>
      <c r="AH1607" s="27">
        <v>292.0</v>
      </c>
      <c r="AI1607" s="27">
        <v>320.0</v>
      </c>
      <c r="AJ1607" s="27">
        <v>2.0</v>
      </c>
      <c r="AK1607" s="27" t="b">
        <v>1</v>
      </c>
      <c r="AL1607" s="27">
        <v>100.0</v>
      </c>
      <c r="AM1607" s="27" t="s">
        <v>190</v>
      </c>
      <c r="AN1607" s="27" t="s">
        <v>405</v>
      </c>
      <c r="AO1607" s="27"/>
    </row>
    <row r="1608">
      <c r="A1608" s="200">
        <v>44880.02511055555</v>
      </c>
      <c r="B1608" s="19"/>
      <c r="C1608" s="21"/>
      <c r="D1608" s="62"/>
      <c r="E1608" s="27"/>
      <c r="F1608" s="27"/>
      <c r="G1608" s="201"/>
      <c r="H1608" s="27"/>
      <c r="I1608" s="27"/>
      <c r="J1608" s="33"/>
      <c r="K1608" s="33"/>
      <c r="L1608" s="66"/>
      <c r="M1608" s="27"/>
      <c r="N1608" s="27"/>
      <c r="O1608" s="27"/>
      <c r="P1608" s="27"/>
      <c r="Q1608" s="27"/>
      <c r="R1608" s="27"/>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t="e">
        <v>#N/A</v>
      </c>
      <c r="AN1608" s="27" t="e">
        <v>#N/A</v>
      </c>
      <c r="AO1608" s="27"/>
    </row>
    <row r="1609">
      <c r="A1609" s="200">
        <v>44880.02511055555</v>
      </c>
      <c r="B1609" s="19" t="s">
        <v>141</v>
      </c>
      <c r="C1609" s="21" t="s">
        <v>393</v>
      </c>
      <c r="D1609" s="62">
        <v>5.0</v>
      </c>
      <c r="E1609" s="27">
        <v>5.0</v>
      </c>
      <c r="F1609" s="27"/>
      <c r="G1609" s="201"/>
      <c r="H1609" s="27"/>
      <c r="I1609" s="27" t="s">
        <v>156</v>
      </c>
      <c r="J1609" s="33"/>
      <c r="K1609" s="33"/>
      <c r="L1609" s="66"/>
      <c r="M1609" s="27"/>
      <c r="N1609" s="27"/>
      <c r="O1609" s="27"/>
      <c r="P1609" s="27"/>
      <c r="Q1609" s="27"/>
      <c r="R1609" s="27"/>
      <c r="S1609" s="27"/>
      <c r="T1609" s="27"/>
      <c r="U1609" s="27"/>
      <c r="V1609" s="27"/>
      <c r="W1609" s="27"/>
      <c r="X1609" s="27"/>
      <c r="Y1609" s="27"/>
      <c r="Z1609" s="27"/>
      <c r="AA1609" s="27"/>
      <c r="AB1609" s="27"/>
      <c r="AC1609" s="27"/>
      <c r="AD1609" s="27"/>
      <c r="AE1609" s="27"/>
      <c r="AF1609" s="27"/>
      <c r="AG1609" s="27"/>
      <c r="AH1609" s="27">
        <v>296.0</v>
      </c>
      <c r="AI1609" s="27">
        <v>308.0</v>
      </c>
      <c r="AJ1609" s="27">
        <v>0.0</v>
      </c>
      <c r="AK1609" s="27" t="b">
        <v>0</v>
      </c>
      <c r="AL1609" s="27">
        <v>59.0</v>
      </c>
      <c r="AM1609" s="27" t="s">
        <v>187</v>
      </c>
      <c r="AN1609" s="27" t="s">
        <v>404</v>
      </c>
      <c r="AO1609" s="27"/>
    </row>
    <row r="1610">
      <c r="A1610" s="200">
        <v>44880.02511055555</v>
      </c>
      <c r="B1610" s="19" t="s">
        <v>141</v>
      </c>
      <c r="C1610" s="21" t="s">
        <v>349</v>
      </c>
      <c r="D1610" s="62">
        <v>6.0</v>
      </c>
      <c r="E1610" s="27">
        <v>3.0</v>
      </c>
      <c r="F1610" s="27" t="s">
        <v>2111</v>
      </c>
      <c r="G1610" s="201" t="s">
        <v>57</v>
      </c>
      <c r="H1610" s="27" t="s">
        <v>131</v>
      </c>
      <c r="I1610" s="27"/>
      <c r="J1610" s="33"/>
      <c r="K1610" s="33"/>
      <c r="L1610" s="66"/>
      <c r="M1610" s="27"/>
      <c r="N1610" s="27"/>
      <c r="O1610" s="27"/>
      <c r="P1610" s="27"/>
      <c r="Q1610" s="27"/>
      <c r="R1610" s="27"/>
      <c r="S1610" s="27"/>
      <c r="T1610" s="27"/>
      <c r="U1610" s="27"/>
      <c r="V1610" s="27"/>
      <c r="W1610" s="27"/>
      <c r="X1610" s="27"/>
      <c r="Y1610" s="27"/>
      <c r="Z1610" s="27"/>
      <c r="AA1610" s="27"/>
      <c r="AB1610" s="27"/>
      <c r="AC1610" s="27"/>
      <c r="AD1610" s="27"/>
      <c r="AE1610" s="27"/>
      <c r="AF1610" s="27"/>
      <c r="AG1610" s="27"/>
      <c r="AH1610" s="27">
        <v>244.0</v>
      </c>
      <c r="AI1610" s="27">
        <v>174.0</v>
      </c>
      <c r="AJ1610" s="27">
        <v>2.0</v>
      </c>
      <c r="AK1610" s="27" t="b">
        <v>1</v>
      </c>
      <c r="AL1610" s="27">
        <v>100.0</v>
      </c>
      <c r="AM1610" s="27" t="s">
        <v>129</v>
      </c>
      <c r="AN1610" s="27" t="s">
        <v>405</v>
      </c>
      <c r="AO1610" s="27"/>
    </row>
    <row r="1611">
      <c r="A1611" s="200">
        <v>44880.02511055555</v>
      </c>
      <c r="B1611" s="19" t="s">
        <v>141</v>
      </c>
      <c r="C1611" s="21" t="s">
        <v>287</v>
      </c>
      <c r="D1611" s="62">
        <v>8.0</v>
      </c>
      <c r="E1611" s="27">
        <v>2.0</v>
      </c>
      <c r="F1611" s="27" t="s">
        <v>2146</v>
      </c>
      <c r="G1611" s="201" t="s">
        <v>57</v>
      </c>
      <c r="H1611" s="27" t="s">
        <v>103</v>
      </c>
      <c r="I1611" s="27"/>
      <c r="J1611" s="33"/>
      <c r="K1611" s="33"/>
      <c r="L1611" s="66"/>
      <c r="M1611" s="27"/>
      <c r="N1611" s="27"/>
      <c r="O1611" s="27"/>
      <c r="P1611" s="27"/>
      <c r="Q1611" s="27"/>
      <c r="R1611" s="27"/>
      <c r="S1611" s="27"/>
      <c r="T1611" s="27"/>
      <c r="U1611" s="27"/>
      <c r="V1611" s="27"/>
      <c r="W1611" s="27"/>
      <c r="X1611" s="27"/>
      <c r="Y1611" s="27"/>
      <c r="Z1611" s="27"/>
      <c r="AA1611" s="27"/>
      <c r="AB1611" s="27"/>
      <c r="AC1611" s="27"/>
      <c r="AD1611" s="27"/>
      <c r="AE1611" s="27"/>
      <c r="AF1611" s="27"/>
      <c r="AG1611" s="27"/>
      <c r="AH1611" s="27">
        <v>406.0</v>
      </c>
      <c r="AI1611" s="27">
        <v>189.0</v>
      </c>
      <c r="AJ1611" s="27">
        <v>2.0</v>
      </c>
      <c r="AK1611" s="27" t="b">
        <v>1</v>
      </c>
      <c r="AL1611" s="27">
        <v>100.0</v>
      </c>
      <c r="AM1611" s="27" t="s">
        <v>192</v>
      </c>
      <c r="AN1611" s="27" t="s">
        <v>404</v>
      </c>
      <c r="AO1611" s="27"/>
    </row>
    <row r="1612">
      <c r="A1612" s="200">
        <v>44880.02511055555</v>
      </c>
      <c r="B1612" s="19" t="s">
        <v>141</v>
      </c>
      <c r="C1612" s="21" t="s">
        <v>353</v>
      </c>
      <c r="D1612" s="62">
        <v>6.0</v>
      </c>
      <c r="E1612" s="27">
        <v>4.0</v>
      </c>
      <c r="F1612" s="27" t="s">
        <v>2115</v>
      </c>
      <c r="G1612" s="201" t="s">
        <v>57</v>
      </c>
      <c r="H1612" s="27" t="s">
        <v>131</v>
      </c>
      <c r="I1612" s="27"/>
      <c r="J1612" s="33"/>
      <c r="K1612" s="33"/>
      <c r="L1612" s="66"/>
      <c r="M1612" s="27"/>
      <c r="N1612" s="27"/>
      <c r="O1612" s="27"/>
      <c r="P1612" s="27"/>
      <c r="Q1612" s="27"/>
      <c r="R1612" s="27"/>
      <c r="S1612" s="27"/>
      <c r="T1612" s="27"/>
      <c r="U1612" s="27"/>
      <c r="V1612" s="27"/>
      <c r="W1612" s="27"/>
      <c r="X1612" s="27"/>
      <c r="Y1612" s="27"/>
      <c r="Z1612" s="27"/>
      <c r="AA1612" s="27"/>
      <c r="AB1612" s="27"/>
      <c r="AC1612" s="27"/>
      <c r="AD1612" s="27"/>
      <c r="AE1612" s="27"/>
      <c r="AF1612" s="27"/>
      <c r="AG1612" s="27"/>
      <c r="AH1612" s="27">
        <v>288.0</v>
      </c>
      <c r="AI1612" s="27">
        <v>206.0</v>
      </c>
      <c r="AJ1612" s="27">
        <v>2.0</v>
      </c>
      <c r="AK1612" s="27" t="b">
        <v>0</v>
      </c>
      <c r="AL1612" s="27">
        <v>100.0</v>
      </c>
      <c r="AM1612" s="27" t="s">
        <v>186</v>
      </c>
      <c r="AN1612" s="27" t="s">
        <v>404</v>
      </c>
      <c r="AO1612" s="27"/>
    </row>
    <row r="1613">
      <c r="A1613" s="200">
        <v>44880.02511055555</v>
      </c>
      <c r="B1613" s="19" t="s">
        <v>141</v>
      </c>
      <c r="C1613" s="21" t="s">
        <v>365</v>
      </c>
      <c r="D1613" s="62">
        <v>3.0</v>
      </c>
      <c r="E1613" s="27">
        <v>7.0</v>
      </c>
      <c r="F1613" s="27" t="s">
        <v>2132</v>
      </c>
      <c r="G1613" s="201" t="s">
        <v>57</v>
      </c>
      <c r="H1613" s="27" t="s">
        <v>59</v>
      </c>
      <c r="I1613" s="27"/>
      <c r="J1613" s="33"/>
      <c r="K1613" s="33"/>
      <c r="L1613" s="66"/>
      <c r="M1613" s="27"/>
      <c r="N1613" s="27"/>
      <c r="O1613" s="27"/>
      <c r="P1613" s="27"/>
      <c r="Q1613" s="27"/>
      <c r="R1613" s="27"/>
      <c r="S1613" s="27"/>
      <c r="T1613" s="27"/>
      <c r="U1613" s="27"/>
      <c r="V1613" s="27"/>
      <c r="W1613" s="27"/>
      <c r="X1613" s="27"/>
      <c r="Y1613" s="27"/>
      <c r="Z1613" s="27"/>
      <c r="AA1613" s="27"/>
      <c r="AB1613" s="27"/>
      <c r="AC1613" s="27"/>
      <c r="AD1613" s="27"/>
      <c r="AE1613" s="27"/>
      <c r="AF1613" s="27"/>
      <c r="AG1613" s="27"/>
      <c r="AH1613" s="27">
        <v>233.0</v>
      </c>
      <c r="AI1613" s="27">
        <v>299.0</v>
      </c>
      <c r="AJ1613" s="27">
        <v>2.0</v>
      </c>
      <c r="AK1613" s="27" t="b">
        <v>1</v>
      </c>
      <c r="AL1613" s="27">
        <v>100.0</v>
      </c>
      <c r="AM1613" s="27" t="s">
        <v>188</v>
      </c>
      <c r="AN1613" s="27" t="s">
        <v>404</v>
      </c>
      <c r="AO1613" s="27"/>
    </row>
    <row r="1614">
      <c r="A1614" s="200">
        <v>44880.02511055555</v>
      </c>
      <c r="B1614" s="19" t="s">
        <v>141</v>
      </c>
      <c r="C1614" s="21" t="s">
        <v>318</v>
      </c>
      <c r="D1614" s="62">
        <v>8.0</v>
      </c>
      <c r="E1614" s="27">
        <v>2.0</v>
      </c>
      <c r="F1614" s="27" t="s">
        <v>2147</v>
      </c>
      <c r="G1614" s="201" t="s">
        <v>57</v>
      </c>
      <c r="H1614" s="27" t="s">
        <v>166</v>
      </c>
      <c r="I1614" s="27"/>
      <c r="J1614" s="33"/>
      <c r="K1614" s="33"/>
      <c r="L1614" s="66"/>
      <c r="M1614" s="27"/>
      <c r="N1614" s="27"/>
      <c r="O1614" s="27"/>
      <c r="P1614" s="27"/>
      <c r="Q1614" s="27"/>
      <c r="R1614" s="27"/>
      <c r="S1614" s="27"/>
      <c r="T1614" s="27"/>
      <c r="U1614" s="27"/>
      <c r="V1614" s="27"/>
      <c r="W1614" s="27"/>
      <c r="X1614" s="27"/>
      <c r="Y1614" s="27"/>
      <c r="Z1614" s="27"/>
      <c r="AA1614" s="27"/>
      <c r="AB1614" s="27"/>
      <c r="AC1614" s="27"/>
      <c r="AD1614" s="27"/>
      <c r="AE1614" s="27"/>
      <c r="AF1614" s="27"/>
      <c r="AG1614" s="27"/>
      <c r="AH1614" s="27">
        <v>213.0</v>
      </c>
      <c r="AI1614" s="27">
        <v>167.0</v>
      </c>
      <c r="AJ1614" s="27">
        <v>2.0</v>
      </c>
      <c r="AK1614" s="27" t="b">
        <v>0</v>
      </c>
      <c r="AL1614" s="27">
        <v>100.0</v>
      </c>
      <c r="AM1614" s="27" t="s">
        <v>193</v>
      </c>
      <c r="AN1614" s="27" t="s">
        <v>405</v>
      </c>
      <c r="AO1614" s="27"/>
    </row>
    <row r="1615">
      <c r="A1615" s="200">
        <v>44880.02511055555</v>
      </c>
      <c r="B1615" s="19" t="s">
        <v>141</v>
      </c>
      <c r="C1615" s="21" t="s">
        <v>317</v>
      </c>
      <c r="D1615" s="62">
        <v>2.0</v>
      </c>
      <c r="E1615" s="27">
        <v>9.0</v>
      </c>
      <c r="F1615" s="27" t="s">
        <v>2148</v>
      </c>
      <c r="G1615" s="201" t="s">
        <v>57</v>
      </c>
      <c r="H1615" s="27" t="s">
        <v>109</v>
      </c>
      <c r="I1615" s="27"/>
      <c r="J1615" s="33"/>
      <c r="K1615" s="33"/>
      <c r="L1615" s="66"/>
      <c r="M1615" s="27"/>
      <c r="N1615" s="27"/>
      <c r="O1615" s="27"/>
      <c r="P1615" s="27"/>
      <c r="Q1615" s="27"/>
      <c r="R1615" s="27"/>
      <c r="S1615" s="27"/>
      <c r="T1615" s="27"/>
      <c r="U1615" s="27"/>
      <c r="V1615" s="27"/>
      <c r="W1615" s="27"/>
      <c r="X1615" s="27"/>
      <c r="Y1615" s="27"/>
      <c r="Z1615" s="27"/>
      <c r="AA1615" s="27"/>
      <c r="AB1615" s="27"/>
      <c r="AC1615" s="27"/>
      <c r="AD1615" s="27"/>
      <c r="AE1615" s="27"/>
      <c r="AF1615" s="27"/>
      <c r="AG1615" s="27"/>
      <c r="AH1615" s="27">
        <v>267.0</v>
      </c>
      <c r="AI1615" s="27">
        <v>452.0</v>
      </c>
      <c r="AJ1615" s="27">
        <v>2.0</v>
      </c>
      <c r="AK1615" s="27" t="b">
        <v>0</v>
      </c>
      <c r="AL1615" s="27">
        <v>100.0</v>
      </c>
      <c r="AM1615" s="27" t="s">
        <v>189</v>
      </c>
      <c r="AN1615" s="27" t="s">
        <v>405</v>
      </c>
      <c r="AO1615" s="27"/>
    </row>
    <row r="1616">
      <c r="A1616" s="200">
        <v>44880.02511055555</v>
      </c>
      <c r="B1616" s="19" t="s">
        <v>141</v>
      </c>
      <c r="C1616" s="21" t="s">
        <v>386</v>
      </c>
      <c r="D1616" s="62">
        <v>4.0</v>
      </c>
      <c r="E1616" s="27">
        <v>6.0</v>
      </c>
      <c r="F1616" s="27" t="s">
        <v>2142</v>
      </c>
      <c r="G1616" s="201" t="s">
        <v>57</v>
      </c>
      <c r="H1616" s="27" t="s">
        <v>138</v>
      </c>
      <c r="I1616" s="27"/>
      <c r="J1616" s="33"/>
      <c r="K1616" s="33"/>
      <c r="L1616" s="66"/>
      <c r="M1616" s="27"/>
      <c r="N1616" s="27"/>
      <c r="O1616" s="27"/>
      <c r="P1616" s="27"/>
      <c r="Q1616" s="27"/>
      <c r="R1616" s="27"/>
      <c r="S1616" s="27"/>
      <c r="T1616" s="27"/>
      <c r="U1616" s="27"/>
      <c r="V1616" s="27"/>
      <c r="W1616" s="27"/>
      <c r="X1616" s="27"/>
      <c r="Y1616" s="27"/>
      <c r="Z1616" s="27"/>
      <c r="AA1616" s="27"/>
      <c r="AB1616" s="27"/>
      <c r="AC1616" s="27"/>
      <c r="AD1616" s="27"/>
      <c r="AE1616" s="27"/>
      <c r="AF1616" s="27"/>
      <c r="AG1616" s="27"/>
      <c r="AH1616" s="27">
        <v>199.0</v>
      </c>
      <c r="AI1616" s="27">
        <v>259.0</v>
      </c>
      <c r="AJ1616" s="27">
        <v>2.0</v>
      </c>
      <c r="AK1616" s="27" t="b">
        <v>0</v>
      </c>
      <c r="AL1616" s="27">
        <v>100.0</v>
      </c>
      <c r="AM1616" s="27" t="s">
        <v>191</v>
      </c>
      <c r="AN1616" s="27" t="s">
        <v>404</v>
      </c>
      <c r="AO1616" s="27"/>
    </row>
    <row r="1617">
      <c r="A1617" s="200">
        <v>44880.02511055555</v>
      </c>
      <c r="B1617" s="19" t="s">
        <v>141</v>
      </c>
      <c r="C1617" s="21" t="s">
        <v>314</v>
      </c>
      <c r="D1617" s="62">
        <v>6.0</v>
      </c>
      <c r="E1617" s="27">
        <v>4.0</v>
      </c>
      <c r="F1617" s="27" t="s">
        <v>2118</v>
      </c>
      <c r="G1617" s="201" t="s">
        <v>57</v>
      </c>
      <c r="H1617" s="27" t="s">
        <v>131</v>
      </c>
      <c r="I1617" s="27"/>
      <c r="J1617" s="33"/>
      <c r="K1617" s="33"/>
      <c r="L1617" s="66"/>
      <c r="M1617" s="27"/>
      <c r="N1617" s="27"/>
      <c r="O1617" s="27"/>
      <c r="P1617" s="27"/>
      <c r="Q1617" s="27"/>
      <c r="R1617" s="27"/>
      <c r="S1617" s="27"/>
      <c r="T1617" s="27"/>
      <c r="U1617" s="27"/>
      <c r="V1617" s="27"/>
      <c r="W1617" s="27"/>
      <c r="X1617" s="27"/>
      <c r="Y1617" s="27"/>
      <c r="Z1617" s="27"/>
      <c r="AA1617" s="27"/>
      <c r="AB1617" s="27"/>
      <c r="AC1617" s="27"/>
      <c r="AD1617" s="27"/>
      <c r="AE1617" s="27"/>
      <c r="AF1617" s="27"/>
      <c r="AG1617" s="27"/>
      <c r="AH1617" s="27">
        <v>403.0</v>
      </c>
      <c r="AI1617" s="27">
        <v>326.0</v>
      </c>
      <c r="AJ1617" s="27">
        <v>2.0</v>
      </c>
      <c r="AK1617" s="27" t="b">
        <v>0</v>
      </c>
      <c r="AL1617" s="27">
        <v>100.0</v>
      </c>
      <c r="AM1617" s="27" t="s">
        <v>389</v>
      </c>
      <c r="AN1617" s="27" t="s">
        <v>405</v>
      </c>
      <c r="AO1617" s="27"/>
    </row>
    <row r="1618">
      <c r="A1618" s="200">
        <v>44880.02511055555</v>
      </c>
      <c r="B1618" s="19" t="s">
        <v>141</v>
      </c>
      <c r="C1618" s="21" t="s">
        <v>323</v>
      </c>
      <c r="D1618" s="62">
        <v>1.0</v>
      </c>
      <c r="E1618" s="27">
        <v>9.0</v>
      </c>
      <c r="F1618" s="27" t="s">
        <v>2149</v>
      </c>
      <c r="G1618" s="201" t="s">
        <v>57</v>
      </c>
      <c r="H1618" s="27" t="s">
        <v>103</v>
      </c>
      <c r="I1618" s="27"/>
      <c r="J1618" s="33"/>
      <c r="K1618" s="33"/>
      <c r="L1618" s="66"/>
      <c r="M1618" s="27"/>
      <c r="N1618" s="27"/>
      <c r="O1618" s="27"/>
      <c r="P1618" s="27"/>
      <c r="Q1618" s="27"/>
      <c r="R1618" s="27"/>
      <c r="S1618" s="27"/>
      <c r="T1618" s="27"/>
      <c r="U1618" s="27"/>
      <c r="V1618" s="27"/>
      <c r="W1618" s="27"/>
      <c r="X1618" s="27"/>
      <c r="Y1618" s="27"/>
      <c r="Z1618" s="27"/>
      <c r="AA1618" s="27"/>
      <c r="AB1618" s="27"/>
      <c r="AC1618" s="27"/>
      <c r="AD1618" s="27"/>
      <c r="AE1618" s="27"/>
      <c r="AF1618" s="27"/>
      <c r="AG1618" s="27"/>
      <c r="AH1618" s="27">
        <v>195.0</v>
      </c>
      <c r="AI1618" s="27">
        <v>367.0</v>
      </c>
      <c r="AJ1618" s="27">
        <v>2.0</v>
      </c>
      <c r="AK1618" s="27" t="b">
        <v>1</v>
      </c>
      <c r="AL1618" s="27">
        <v>100.0</v>
      </c>
      <c r="AM1618" s="27" t="s">
        <v>190</v>
      </c>
      <c r="AN1618" s="27" t="s">
        <v>405</v>
      </c>
      <c r="AO1618" s="27"/>
    </row>
    <row r="1619">
      <c r="A1619" s="200">
        <v>44880.02511055555</v>
      </c>
      <c r="B1619" s="19"/>
      <c r="C1619" s="21"/>
      <c r="D1619" s="62"/>
      <c r="E1619" s="27"/>
      <c r="F1619" s="27"/>
      <c r="G1619" s="201"/>
      <c r="H1619" s="27"/>
      <c r="I1619" s="27"/>
      <c r="J1619" s="33"/>
      <c r="K1619" s="33"/>
      <c r="L1619" s="66"/>
      <c r="M1619" s="27"/>
      <c r="N1619" s="27"/>
      <c r="O1619" s="27"/>
      <c r="P1619" s="27"/>
      <c r="Q1619" s="27"/>
      <c r="R1619" s="27"/>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t="e">
        <v>#N/A</v>
      </c>
      <c r="AN1619" s="27" t="e">
        <v>#N/A</v>
      </c>
      <c r="AO1619" s="27"/>
    </row>
    <row r="1620">
      <c r="A1620" s="200">
        <v>44880.02511055555</v>
      </c>
      <c r="B1620" s="19" t="s">
        <v>109</v>
      </c>
      <c r="C1620" s="21" t="s">
        <v>367</v>
      </c>
      <c r="D1620" s="62">
        <v>9.0</v>
      </c>
      <c r="E1620" s="27">
        <v>1.0</v>
      </c>
      <c r="F1620" s="27" t="s">
        <v>2120</v>
      </c>
      <c r="G1620" s="201" t="s">
        <v>57</v>
      </c>
      <c r="H1620" s="27" t="s">
        <v>178</v>
      </c>
      <c r="I1620" s="27"/>
      <c r="J1620" s="33"/>
      <c r="K1620" s="33"/>
      <c r="L1620" s="66"/>
      <c r="M1620" s="27"/>
      <c r="N1620" s="27"/>
      <c r="O1620" s="27"/>
      <c r="P1620" s="27"/>
      <c r="Q1620" s="27"/>
      <c r="R1620" s="27"/>
      <c r="S1620" s="27"/>
      <c r="T1620" s="27"/>
      <c r="U1620" s="27"/>
      <c r="V1620" s="27"/>
      <c r="W1620" s="27"/>
      <c r="X1620" s="27"/>
      <c r="Y1620" s="27"/>
      <c r="Z1620" s="27"/>
      <c r="AA1620" s="27"/>
      <c r="AB1620" s="27"/>
      <c r="AC1620" s="27"/>
      <c r="AD1620" s="27"/>
      <c r="AE1620" s="27"/>
      <c r="AF1620" s="27"/>
      <c r="AG1620" s="27"/>
      <c r="AH1620" s="27">
        <v>401.0</v>
      </c>
      <c r="AI1620" s="27">
        <v>313.0</v>
      </c>
      <c r="AJ1620" s="27">
        <v>2.0</v>
      </c>
      <c r="AK1620" s="27" t="b">
        <v>0</v>
      </c>
      <c r="AL1620" s="27">
        <v>100.0</v>
      </c>
      <c r="AM1620" s="27" t="s">
        <v>186</v>
      </c>
      <c r="AN1620" s="27" t="s">
        <v>404</v>
      </c>
      <c r="AO1620" s="27"/>
    </row>
    <row r="1621">
      <c r="A1621" s="200">
        <v>44880.02511055555</v>
      </c>
      <c r="B1621" s="19" t="s">
        <v>109</v>
      </c>
      <c r="C1621" s="21" t="s">
        <v>328</v>
      </c>
      <c r="D1621" s="62">
        <v>3.0</v>
      </c>
      <c r="E1621" s="27">
        <v>7.0</v>
      </c>
      <c r="F1621" s="27" t="s">
        <v>2113</v>
      </c>
      <c r="G1621" s="201" t="s">
        <v>57</v>
      </c>
      <c r="H1621" s="27" t="s">
        <v>131</v>
      </c>
      <c r="I1621" s="27"/>
      <c r="J1621" s="33"/>
      <c r="K1621" s="33"/>
      <c r="L1621" s="66"/>
      <c r="M1621" s="27"/>
      <c r="N1621" s="27"/>
      <c r="O1621" s="27"/>
      <c r="P1621" s="27"/>
      <c r="Q1621" s="27"/>
      <c r="R1621" s="27"/>
      <c r="S1621" s="27"/>
      <c r="T1621" s="27"/>
      <c r="U1621" s="27"/>
      <c r="V1621" s="27"/>
      <c r="W1621" s="27"/>
      <c r="X1621" s="27"/>
      <c r="Y1621" s="27"/>
      <c r="Z1621" s="27"/>
      <c r="AA1621" s="27"/>
      <c r="AB1621" s="27"/>
      <c r="AC1621" s="27"/>
      <c r="AD1621" s="27"/>
      <c r="AE1621" s="27"/>
      <c r="AF1621" s="27"/>
      <c r="AG1621" s="27"/>
      <c r="AH1621" s="27">
        <v>271.0</v>
      </c>
      <c r="AI1621" s="27">
        <v>308.0</v>
      </c>
      <c r="AJ1621" s="27">
        <v>2.0</v>
      </c>
      <c r="AK1621" s="27" t="b">
        <v>1</v>
      </c>
      <c r="AL1621" s="27">
        <v>100.0</v>
      </c>
      <c r="AM1621" s="27" t="s">
        <v>191</v>
      </c>
      <c r="AN1621" s="27" t="s">
        <v>404</v>
      </c>
      <c r="AO1621" s="27"/>
    </row>
    <row r="1622">
      <c r="A1622" s="200">
        <v>44880.02511055555</v>
      </c>
      <c r="B1622" s="19" t="s">
        <v>109</v>
      </c>
      <c r="C1622" s="21" t="s">
        <v>375</v>
      </c>
      <c r="D1622" s="62">
        <v>8.0</v>
      </c>
      <c r="E1622" s="27">
        <v>2.0</v>
      </c>
      <c r="F1622" s="27" t="s">
        <v>2150</v>
      </c>
      <c r="G1622" s="201" t="s">
        <v>57</v>
      </c>
      <c r="H1622" s="27" t="s">
        <v>103</v>
      </c>
      <c r="I1622" s="27"/>
      <c r="J1622" s="33"/>
      <c r="K1622" s="33"/>
      <c r="L1622" s="66"/>
      <c r="M1622" s="27"/>
      <c r="N1622" s="27"/>
      <c r="O1622" s="27"/>
      <c r="P1622" s="27"/>
      <c r="Q1622" s="27"/>
      <c r="R1622" s="27"/>
      <c r="S1622" s="27"/>
      <c r="T1622" s="27"/>
      <c r="U1622" s="27"/>
      <c r="V1622" s="27"/>
      <c r="W1622" s="27"/>
      <c r="X1622" s="27"/>
      <c r="Y1622" s="27"/>
      <c r="Z1622" s="27"/>
      <c r="AA1622" s="27"/>
      <c r="AB1622" s="27"/>
      <c r="AC1622" s="27"/>
      <c r="AD1622" s="27"/>
      <c r="AE1622" s="27"/>
      <c r="AF1622" s="27"/>
      <c r="AG1622" s="27"/>
      <c r="AH1622" s="27">
        <v>340.0</v>
      </c>
      <c r="AI1622" s="27">
        <v>190.0</v>
      </c>
      <c r="AJ1622" s="27">
        <v>2.0</v>
      </c>
      <c r="AK1622" s="27" t="b">
        <v>1</v>
      </c>
      <c r="AL1622" s="27">
        <v>100.0</v>
      </c>
      <c r="AM1622" s="27" t="s">
        <v>188</v>
      </c>
      <c r="AN1622" s="27" t="s">
        <v>404</v>
      </c>
      <c r="AO1622" s="27"/>
    </row>
    <row r="1623">
      <c r="A1623" s="200">
        <v>44880.02511055555</v>
      </c>
      <c r="B1623" s="19" t="s">
        <v>109</v>
      </c>
      <c r="C1623" s="21" t="s">
        <v>343</v>
      </c>
      <c r="D1623" s="62">
        <v>5.0</v>
      </c>
      <c r="E1623" s="27">
        <v>5.0</v>
      </c>
      <c r="F1623" s="27" t="s">
        <v>2148</v>
      </c>
      <c r="G1623" s="201" t="s">
        <v>57</v>
      </c>
      <c r="H1623" s="27" t="s">
        <v>141</v>
      </c>
      <c r="I1623" s="27"/>
      <c r="J1623" s="33"/>
      <c r="K1623" s="33"/>
      <c r="L1623" s="66"/>
      <c r="M1623" s="27"/>
      <c r="N1623" s="27"/>
      <c r="O1623" s="27"/>
      <c r="P1623" s="27"/>
      <c r="Q1623" s="27"/>
      <c r="R1623" s="27"/>
      <c r="S1623" s="27"/>
      <c r="T1623" s="27"/>
      <c r="U1623" s="27"/>
      <c r="V1623" s="27"/>
      <c r="W1623" s="27"/>
      <c r="X1623" s="27"/>
      <c r="Y1623" s="27"/>
      <c r="Z1623" s="27"/>
      <c r="AA1623" s="27"/>
      <c r="AB1623" s="27"/>
      <c r="AC1623" s="27"/>
      <c r="AD1623" s="27"/>
      <c r="AE1623" s="27"/>
      <c r="AF1623" s="27"/>
      <c r="AG1623" s="27"/>
      <c r="AH1623" s="27">
        <v>268.0</v>
      </c>
      <c r="AI1623" s="27">
        <v>288.0</v>
      </c>
      <c r="AJ1623" s="27">
        <v>2.0</v>
      </c>
      <c r="AK1623" s="27" t="b">
        <v>1</v>
      </c>
      <c r="AL1623" s="27">
        <v>100.0</v>
      </c>
      <c r="AM1623" s="27" t="s">
        <v>189</v>
      </c>
      <c r="AN1623" s="27" t="s">
        <v>405</v>
      </c>
      <c r="AO1623" s="27"/>
    </row>
    <row r="1624">
      <c r="A1624" s="200">
        <v>44880.02511055555</v>
      </c>
      <c r="B1624" s="19" t="s">
        <v>109</v>
      </c>
      <c r="C1624" s="21" t="s">
        <v>394</v>
      </c>
      <c r="D1624" s="62">
        <v>4.0</v>
      </c>
      <c r="E1624" s="27">
        <v>5.0</v>
      </c>
      <c r="F1624" s="27" t="s">
        <v>2151</v>
      </c>
      <c r="G1624" s="201" t="s">
        <v>57</v>
      </c>
      <c r="H1624" s="27"/>
      <c r="I1624" s="27"/>
      <c r="J1624" s="33"/>
      <c r="K1624" s="33"/>
      <c r="L1624" s="66"/>
      <c r="M1624" s="27"/>
      <c r="N1624" s="27"/>
      <c r="O1624" s="27"/>
      <c r="P1624" s="27"/>
      <c r="Q1624" s="27"/>
      <c r="R1624" s="27"/>
      <c r="S1624" s="27"/>
      <c r="T1624" s="27"/>
      <c r="U1624" s="27"/>
      <c r="V1624" s="27"/>
      <c r="W1624" s="27"/>
      <c r="X1624" s="27"/>
      <c r="Y1624" s="27"/>
      <c r="Z1624" s="27"/>
      <c r="AA1624" s="27"/>
      <c r="AB1624" s="27"/>
      <c r="AC1624" s="27"/>
      <c r="AD1624" s="27"/>
      <c r="AE1624" s="27"/>
      <c r="AF1624" s="27"/>
      <c r="AG1624" s="27"/>
      <c r="AH1624" s="27">
        <v>179.0</v>
      </c>
      <c r="AI1624" s="27">
        <v>230.0</v>
      </c>
      <c r="AJ1624" s="27">
        <v>2.0</v>
      </c>
      <c r="AK1624" s="27" t="b">
        <v>0</v>
      </c>
      <c r="AL1624" s="27">
        <v>100.0</v>
      </c>
      <c r="AM1624" s="27" t="s">
        <v>129</v>
      </c>
      <c r="AN1624" s="27" t="s">
        <v>405</v>
      </c>
      <c r="AO1624" s="27"/>
    </row>
    <row r="1625">
      <c r="A1625" s="200">
        <v>44880.02511055555</v>
      </c>
      <c r="B1625" s="19" t="s">
        <v>109</v>
      </c>
      <c r="C1625" s="21" t="s">
        <v>400</v>
      </c>
      <c r="D1625" s="62">
        <v>7.0</v>
      </c>
      <c r="E1625" s="27">
        <v>3.0</v>
      </c>
      <c r="F1625" s="27" t="s">
        <v>2152</v>
      </c>
      <c r="G1625" s="201" t="s">
        <v>57</v>
      </c>
      <c r="H1625" s="27" t="s">
        <v>116</v>
      </c>
      <c r="I1625" s="27"/>
      <c r="J1625" s="33"/>
      <c r="K1625" s="33"/>
      <c r="L1625" s="66"/>
      <c r="M1625" s="27"/>
      <c r="N1625" s="27"/>
      <c r="O1625" s="27"/>
      <c r="P1625" s="27"/>
      <c r="Q1625" s="27"/>
      <c r="R1625" s="27"/>
      <c r="S1625" s="27"/>
      <c r="T1625" s="27"/>
      <c r="U1625" s="27"/>
      <c r="V1625" s="27"/>
      <c r="W1625" s="27"/>
      <c r="X1625" s="27"/>
      <c r="Y1625" s="27"/>
      <c r="Z1625" s="27"/>
      <c r="AA1625" s="27"/>
      <c r="AB1625" s="27"/>
      <c r="AC1625" s="27"/>
      <c r="AD1625" s="27"/>
      <c r="AE1625" s="27"/>
      <c r="AF1625" s="27"/>
      <c r="AG1625" s="27"/>
      <c r="AH1625" s="27">
        <v>297.0</v>
      </c>
      <c r="AI1625" s="27">
        <v>223.0</v>
      </c>
      <c r="AJ1625" s="27">
        <v>2.0</v>
      </c>
      <c r="AK1625" s="27" t="b">
        <v>1</v>
      </c>
      <c r="AL1625" s="27">
        <v>100.0</v>
      </c>
      <c r="AM1625" s="27" t="s">
        <v>187</v>
      </c>
      <c r="AN1625" s="27" t="s">
        <v>404</v>
      </c>
      <c r="AO1625" s="27"/>
    </row>
    <row r="1626">
      <c r="A1626" s="200">
        <v>44880.02511055555</v>
      </c>
      <c r="B1626" s="19" t="s">
        <v>109</v>
      </c>
      <c r="C1626" s="21" t="s">
        <v>360</v>
      </c>
      <c r="D1626" s="62">
        <v>8.0</v>
      </c>
      <c r="E1626" s="27">
        <v>2.0</v>
      </c>
      <c r="F1626" s="27" t="s">
        <v>2143</v>
      </c>
      <c r="G1626" s="201" t="s">
        <v>57</v>
      </c>
      <c r="H1626" s="27" t="s">
        <v>138</v>
      </c>
      <c r="I1626" s="27"/>
      <c r="J1626" s="33"/>
      <c r="K1626" s="33"/>
      <c r="L1626" s="66"/>
      <c r="M1626" s="27"/>
      <c r="N1626" s="27"/>
      <c r="O1626" s="27"/>
      <c r="P1626" s="27"/>
      <c r="Q1626" s="27"/>
      <c r="R1626" s="27"/>
      <c r="S1626" s="27"/>
      <c r="T1626" s="27"/>
      <c r="U1626" s="27"/>
      <c r="V1626" s="27"/>
      <c r="W1626" s="27"/>
      <c r="X1626" s="27"/>
      <c r="Y1626" s="27"/>
      <c r="Z1626" s="27"/>
      <c r="AA1626" s="27"/>
      <c r="AB1626" s="27"/>
      <c r="AC1626" s="27"/>
      <c r="AD1626" s="27"/>
      <c r="AE1626" s="27"/>
      <c r="AF1626" s="27"/>
      <c r="AG1626" s="27"/>
      <c r="AH1626" s="27">
        <v>326.0</v>
      </c>
      <c r="AI1626" s="27">
        <v>210.0</v>
      </c>
      <c r="AJ1626" s="27">
        <v>2.0</v>
      </c>
      <c r="AK1626" s="27" t="b">
        <v>0</v>
      </c>
      <c r="AL1626" s="27">
        <v>100.0</v>
      </c>
      <c r="AM1626" s="27" t="s">
        <v>192</v>
      </c>
      <c r="AN1626" s="27" t="s">
        <v>404</v>
      </c>
      <c r="AO1626" s="27"/>
    </row>
    <row r="1627">
      <c r="A1627" s="200">
        <v>44880.02511055555</v>
      </c>
      <c r="B1627" s="19" t="s">
        <v>109</v>
      </c>
      <c r="C1627" s="21" t="s">
        <v>339</v>
      </c>
      <c r="D1627" s="62">
        <v>5.0</v>
      </c>
      <c r="E1627" s="27">
        <v>5.0</v>
      </c>
      <c r="F1627" s="27" t="s">
        <v>2109</v>
      </c>
      <c r="G1627" s="201" t="s">
        <v>57</v>
      </c>
      <c r="H1627" s="27" t="s">
        <v>53</v>
      </c>
      <c r="I1627" s="27"/>
      <c r="J1627" s="33"/>
      <c r="K1627" s="33"/>
      <c r="L1627" s="66"/>
      <c r="M1627" s="27"/>
      <c r="N1627" s="27"/>
      <c r="O1627" s="27"/>
      <c r="P1627" s="27"/>
      <c r="Q1627" s="27"/>
      <c r="R1627" s="27"/>
      <c r="S1627" s="27"/>
      <c r="T1627" s="27"/>
      <c r="U1627" s="27"/>
      <c r="V1627" s="27"/>
      <c r="W1627" s="27"/>
      <c r="X1627" s="27"/>
      <c r="Y1627" s="27"/>
      <c r="Z1627" s="27"/>
      <c r="AA1627" s="27"/>
      <c r="AB1627" s="27"/>
      <c r="AC1627" s="27"/>
      <c r="AD1627" s="27"/>
      <c r="AE1627" s="27"/>
      <c r="AF1627" s="27"/>
      <c r="AG1627" s="27"/>
      <c r="AH1627" s="27">
        <v>331.0</v>
      </c>
      <c r="AI1627" s="27">
        <v>294.0</v>
      </c>
      <c r="AJ1627" s="27">
        <v>2.0</v>
      </c>
      <c r="AK1627" s="27" t="b">
        <v>1</v>
      </c>
      <c r="AL1627" s="27">
        <v>100.0</v>
      </c>
      <c r="AM1627" s="27" t="s">
        <v>389</v>
      </c>
      <c r="AN1627" s="27" t="s">
        <v>405</v>
      </c>
      <c r="AO1627" s="27"/>
    </row>
    <row r="1628">
      <c r="A1628" s="200">
        <v>44880.02511055555</v>
      </c>
      <c r="B1628" s="19" t="s">
        <v>109</v>
      </c>
      <c r="C1628" s="21" t="s">
        <v>292</v>
      </c>
      <c r="D1628" s="62">
        <v>5.0</v>
      </c>
      <c r="E1628" s="27">
        <v>5.0</v>
      </c>
      <c r="F1628" s="27" t="s">
        <v>2126</v>
      </c>
      <c r="G1628" s="201" t="s">
        <v>57</v>
      </c>
      <c r="H1628" s="27" t="s">
        <v>178</v>
      </c>
      <c r="I1628" s="27"/>
      <c r="J1628" s="33"/>
      <c r="K1628" s="33"/>
      <c r="L1628" s="66"/>
      <c r="M1628" s="27"/>
      <c r="N1628" s="27"/>
      <c r="O1628" s="27"/>
      <c r="P1628" s="27"/>
      <c r="Q1628" s="27"/>
      <c r="R1628" s="27"/>
      <c r="S1628" s="27"/>
      <c r="T1628" s="27"/>
      <c r="U1628" s="27"/>
      <c r="V1628" s="27"/>
      <c r="W1628" s="27"/>
      <c r="X1628" s="27"/>
      <c r="Y1628" s="27"/>
      <c r="Z1628" s="27"/>
      <c r="AA1628" s="27"/>
      <c r="AB1628" s="27"/>
      <c r="AC1628" s="27"/>
      <c r="AD1628" s="27"/>
      <c r="AE1628" s="27"/>
      <c r="AF1628" s="27"/>
      <c r="AG1628" s="27"/>
      <c r="AH1628" s="27">
        <v>266.0</v>
      </c>
      <c r="AI1628" s="27">
        <v>212.0</v>
      </c>
      <c r="AJ1628" s="27">
        <v>2.0</v>
      </c>
      <c r="AK1628" s="27" t="b">
        <v>0</v>
      </c>
      <c r="AL1628" s="27">
        <v>100.0</v>
      </c>
      <c r="AM1628" s="27" t="s">
        <v>193</v>
      </c>
      <c r="AN1628" s="27" t="s">
        <v>405</v>
      </c>
      <c r="AO1628" s="27"/>
    </row>
    <row r="1629">
      <c r="A1629" s="200">
        <v>44880.02511055555</v>
      </c>
      <c r="B1629" s="19" t="s">
        <v>109</v>
      </c>
      <c r="C1629" s="21" t="s">
        <v>344</v>
      </c>
      <c r="D1629" s="62">
        <v>5.0</v>
      </c>
      <c r="E1629" s="27">
        <v>5.0</v>
      </c>
      <c r="F1629" s="27" t="s">
        <v>2136</v>
      </c>
      <c r="G1629" s="201" t="s">
        <v>57</v>
      </c>
      <c r="H1629" s="27" t="s">
        <v>59</v>
      </c>
      <c r="I1629" s="27"/>
      <c r="J1629" s="33"/>
      <c r="K1629" s="33"/>
      <c r="L1629" s="66"/>
      <c r="M1629" s="27"/>
      <c r="N1629" s="27"/>
      <c r="O1629" s="27"/>
      <c r="P1629" s="27"/>
      <c r="Q1629" s="27"/>
      <c r="R1629" s="27"/>
      <c r="S1629" s="27"/>
      <c r="T1629" s="27"/>
      <c r="U1629" s="27"/>
      <c r="V1629" s="27"/>
      <c r="W1629" s="27"/>
      <c r="X1629" s="27"/>
      <c r="Y1629" s="27"/>
      <c r="Z1629" s="27"/>
      <c r="AA1629" s="27"/>
      <c r="AB1629" s="27"/>
      <c r="AC1629" s="27"/>
      <c r="AD1629" s="27"/>
      <c r="AE1629" s="27"/>
      <c r="AF1629" s="27"/>
      <c r="AG1629" s="27"/>
      <c r="AH1629" s="27">
        <v>298.0</v>
      </c>
      <c r="AI1629" s="27">
        <v>274.0</v>
      </c>
      <c r="AJ1629" s="27">
        <v>2.0</v>
      </c>
      <c r="AK1629" s="27" t="b">
        <v>1</v>
      </c>
      <c r="AL1629" s="27">
        <v>100.0</v>
      </c>
      <c r="AM1629" s="27" t="s">
        <v>190</v>
      </c>
      <c r="AN1629" s="27" t="s">
        <v>405</v>
      </c>
      <c r="AO1629" s="27"/>
    </row>
    <row r="1630">
      <c r="A1630" s="200">
        <v>44880.02511055555</v>
      </c>
      <c r="B1630" s="19"/>
      <c r="C1630" s="21"/>
      <c r="D1630" s="62"/>
      <c r="E1630" s="27"/>
      <c r="F1630" s="27"/>
      <c r="G1630" s="201"/>
      <c r="H1630" s="27"/>
      <c r="I1630" s="27"/>
      <c r="J1630" s="33"/>
      <c r="K1630" s="33"/>
      <c r="L1630" s="66"/>
      <c r="M1630" s="27"/>
      <c r="N1630" s="27"/>
      <c r="O1630" s="27"/>
      <c r="P1630" s="27"/>
      <c r="Q1630" s="27"/>
      <c r="R1630" s="27"/>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t="e">
        <v>#N/A</v>
      </c>
      <c r="AN1630" s="27" t="e">
        <v>#N/A</v>
      </c>
      <c r="AO1630" s="27"/>
    </row>
    <row r="1631">
      <c r="A1631" s="200">
        <v>44880.02511055555</v>
      </c>
      <c r="B1631" s="19" t="s">
        <v>144</v>
      </c>
      <c r="C1631" s="21" t="s">
        <v>338</v>
      </c>
      <c r="D1631" s="62">
        <v>5.0</v>
      </c>
      <c r="E1631" s="27">
        <v>5.0</v>
      </c>
      <c r="F1631" s="27" t="s">
        <v>2153</v>
      </c>
      <c r="G1631" s="201" t="s">
        <v>57</v>
      </c>
      <c r="H1631" s="27" t="s">
        <v>144</v>
      </c>
      <c r="I1631" s="27"/>
      <c r="J1631" s="33"/>
      <c r="K1631" s="33"/>
      <c r="L1631" s="66"/>
      <c r="M1631" s="27"/>
      <c r="N1631" s="27"/>
      <c r="O1631" s="27"/>
      <c r="P1631" s="27"/>
      <c r="Q1631" s="27"/>
      <c r="R1631" s="27"/>
      <c r="S1631" s="27"/>
      <c r="T1631" s="27"/>
      <c r="U1631" s="27"/>
      <c r="V1631" s="27"/>
      <c r="W1631" s="27"/>
      <c r="X1631" s="27"/>
      <c r="Y1631" s="27"/>
      <c r="Z1631" s="27"/>
      <c r="AA1631" s="27"/>
      <c r="AB1631" s="27"/>
      <c r="AC1631" s="27"/>
      <c r="AD1631" s="27"/>
      <c r="AE1631" s="27"/>
      <c r="AF1631" s="27"/>
      <c r="AG1631" s="27"/>
      <c r="AH1631" s="27">
        <v>251.0</v>
      </c>
      <c r="AI1631" s="27">
        <v>245.0</v>
      </c>
      <c r="AJ1631" s="27">
        <v>2.0</v>
      </c>
      <c r="AK1631" s="27" t="b">
        <v>0</v>
      </c>
      <c r="AL1631" s="27">
        <v>100.0</v>
      </c>
      <c r="AM1631" s="27" t="s">
        <v>189</v>
      </c>
      <c r="AN1631" s="27" t="s">
        <v>405</v>
      </c>
      <c r="AO1631" s="27"/>
    </row>
    <row r="1632">
      <c r="A1632" s="200">
        <v>44880.02511055555</v>
      </c>
      <c r="B1632" s="19" t="s">
        <v>144</v>
      </c>
      <c r="C1632" s="21" t="s">
        <v>300</v>
      </c>
      <c r="D1632" s="62">
        <v>9.0</v>
      </c>
      <c r="E1632" s="27">
        <v>1.0</v>
      </c>
      <c r="F1632" s="27" t="s">
        <v>2153</v>
      </c>
      <c r="G1632" s="201" t="s">
        <v>57</v>
      </c>
      <c r="H1632" s="27" t="s">
        <v>144</v>
      </c>
      <c r="I1632" s="27"/>
      <c r="J1632" s="33"/>
      <c r="K1632" s="33"/>
      <c r="L1632" s="66"/>
      <c r="M1632" s="27"/>
      <c r="N1632" s="27"/>
      <c r="O1632" s="27"/>
      <c r="P1632" s="27"/>
      <c r="Q1632" s="27"/>
      <c r="R1632" s="27"/>
      <c r="S1632" s="27"/>
      <c r="T1632" s="27"/>
      <c r="U1632" s="27"/>
      <c r="V1632" s="27"/>
      <c r="W1632" s="27"/>
      <c r="X1632" s="27"/>
      <c r="Y1632" s="27"/>
      <c r="Z1632" s="27"/>
      <c r="AA1632" s="27"/>
      <c r="AB1632" s="27"/>
      <c r="AC1632" s="27"/>
      <c r="AD1632" s="27"/>
      <c r="AE1632" s="27"/>
      <c r="AF1632" s="27"/>
      <c r="AG1632" s="27"/>
      <c r="AH1632" s="27">
        <v>316.0</v>
      </c>
      <c r="AI1632" s="27">
        <v>269.0</v>
      </c>
      <c r="AJ1632" s="27">
        <v>2.0</v>
      </c>
      <c r="AK1632" s="27" t="b">
        <v>1</v>
      </c>
      <c r="AL1632" s="27">
        <v>100.0</v>
      </c>
      <c r="AM1632" s="27" t="s">
        <v>193</v>
      </c>
      <c r="AN1632" s="27" t="s">
        <v>405</v>
      </c>
      <c r="AO1632" s="27"/>
    </row>
    <row r="1633">
      <c r="A1633" s="200">
        <v>44880.02511055555</v>
      </c>
      <c r="B1633" s="19" t="s">
        <v>144</v>
      </c>
      <c r="C1633" s="21" t="s">
        <v>346</v>
      </c>
      <c r="D1633" s="62">
        <v>6.0</v>
      </c>
      <c r="E1633" s="27">
        <v>4.0</v>
      </c>
      <c r="F1633" s="27" t="s">
        <v>2154</v>
      </c>
      <c r="G1633" s="201" t="s">
        <v>57</v>
      </c>
      <c r="H1633" s="27" t="s">
        <v>154</v>
      </c>
      <c r="I1633" s="27"/>
      <c r="J1633" s="33"/>
      <c r="K1633" s="33"/>
      <c r="L1633" s="66"/>
      <c r="M1633" s="27"/>
      <c r="N1633" s="27"/>
      <c r="O1633" s="27"/>
      <c r="P1633" s="27"/>
      <c r="Q1633" s="27"/>
      <c r="R1633" s="27"/>
      <c r="S1633" s="27"/>
      <c r="T1633" s="27"/>
      <c r="U1633" s="27"/>
      <c r="V1633" s="27"/>
      <c r="W1633" s="27"/>
      <c r="X1633" s="27"/>
      <c r="Y1633" s="27"/>
      <c r="Z1633" s="27"/>
      <c r="AA1633" s="27"/>
      <c r="AB1633" s="27"/>
      <c r="AC1633" s="27"/>
      <c r="AD1633" s="27"/>
      <c r="AE1633" s="27"/>
      <c r="AF1633" s="27"/>
      <c r="AG1633" s="27"/>
      <c r="AH1633" s="27">
        <v>319.0</v>
      </c>
      <c r="AI1633" s="27">
        <v>269.0</v>
      </c>
      <c r="AJ1633" s="27">
        <v>2.0</v>
      </c>
      <c r="AK1633" s="27" t="b">
        <v>1</v>
      </c>
      <c r="AL1633" s="27">
        <v>100.0</v>
      </c>
      <c r="AM1633" s="27" t="s">
        <v>192</v>
      </c>
      <c r="AN1633" s="27" t="s">
        <v>404</v>
      </c>
      <c r="AO1633" s="27"/>
    </row>
    <row r="1634">
      <c r="A1634" s="200">
        <v>44880.02511055555</v>
      </c>
      <c r="B1634" s="19" t="s">
        <v>144</v>
      </c>
      <c r="C1634" s="21" t="s">
        <v>357</v>
      </c>
      <c r="D1634" s="62">
        <v>5.0</v>
      </c>
      <c r="E1634" s="27">
        <v>5.0</v>
      </c>
      <c r="F1634" s="27" t="s">
        <v>2155</v>
      </c>
      <c r="G1634" s="201" t="s">
        <v>57</v>
      </c>
      <c r="H1634" s="27" t="s">
        <v>116</v>
      </c>
      <c r="I1634" s="27"/>
      <c r="J1634" s="33"/>
      <c r="K1634" s="33"/>
      <c r="L1634" s="66"/>
      <c r="M1634" s="27"/>
      <c r="N1634" s="27"/>
      <c r="O1634" s="27"/>
      <c r="P1634" s="27"/>
      <c r="Q1634" s="27"/>
      <c r="R1634" s="27"/>
      <c r="S1634" s="27"/>
      <c r="T1634" s="27"/>
      <c r="U1634" s="27"/>
      <c r="V1634" s="27"/>
      <c r="W1634" s="27"/>
      <c r="X1634" s="27"/>
      <c r="Y1634" s="27"/>
      <c r="Z1634" s="27"/>
      <c r="AA1634" s="27"/>
      <c r="AB1634" s="27"/>
      <c r="AC1634" s="27"/>
      <c r="AD1634" s="27"/>
      <c r="AE1634" s="27"/>
      <c r="AF1634" s="27"/>
      <c r="AG1634" s="27"/>
      <c r="AH1634" s="27">
        <v>257.0</v>
      </c>
      <c r="AI1634" s="27">
        <v>239.0</v>
      </c>
      <c r="AJ1634" s="27">
        <v>2.0</v>
      </c>
      <c r="AK1634" s="27" t="b">
        <v>1</v>
      </c>
      <c r="AL1634" s="27">
        <v>100.0</v>
      </c>
      <c r="AM1634" s="27" t="s">
        <v>186</v>
      </c>
      <c r="AN1634" s="27" t="s">
        <v>404</v>
      </c>
      <c r="AO1634" s="27"/>
    </row>
    <row r="1635">
      <c r="A1635" s="200">
        <v>44880.02511055555</v>
      </c>
      <c r="B1635" s="19" t="s">
        <v>144</v>
      </c>
      <c r="C1635" s="21" t="s">
        <v>321</v>
      </c>
      <c r="D1635" s="62">
        <v>7.0</v>
      </c>
      <c r="E1635" s="27">
        <v>3.0</v>
      </c>
      <c r="F1635" s="27" t="s">
        <v>2156</v>
      </c>
      <c r="G1635" s="201" t="s">
        <v>57</v>
      </c>
      <c r="H1635" s="27" t="s">
        <v>148</v>
      </c>
      <c r="I1635" s="27"/>
      <c r="J1635" s="33"/>
      <c r="K1635" s="33"/>
      <c r="L1635" s="66"/>
      <c r="M1635" s="27"/>
      <c r="N1635" s="27"/>
      <c r="O1635" s="27"/>
      <c r="P1635" s="27"/>
      <c r="Q1635" s="27"/>
      <c r="R1635" s="27"/>
      <c r="S1635" s="27"/>
      <c r="T1635" s="27"/>
      <c r="U1635" s="27"/>
      <c r="V1635" s="27"/>
      <c r="W1635" s="27"/>
      <c r="X1635" s="27"/>
      <c r="Y1635" s="27"/>
      <c r="Z1635" s="27"/>
      <c r="AA1635" s="27"/>
      <c r="AB1635" s="27"/>
      <c r="AC1635" s="27"/>
      <c r="AD1635" s="27"/>
      <c r="AE1635" s="27"/>
      <c r="AF1635" s="27"/>
      <c r="AG1635" s="27"/>
      <c r="AH1635" s="27">
        <v>247.0</v>
      </c>
      <c r="AI1635" s="27">
        <v>125.0</v>
      </c>
      <c r="AJ1635" s="27">
        <v>2.0</v>
      </c>
      <c r="AK1635" s="27" t="b">
        <v>0</v>
      </c>
      <c r="AL1635" s="27">
        <v>100.0</v>
      </c>
      <c r="AM1635" s="27" t="s">
        <v>188</v>
      </c>
      <c r="AN1635" s="27" t="s">
        <v>404</v>
      </c>
      <c r="AO1635" s="27"/>
    </row>
    <row r="1636">
      <c r="A1636" s="200">
        <v>44880.02511055555</v>
      </c>
      <c r="B1636" s="19" t="s">
        <v>144</v>
      </c>
      <c r="C1636" s="21" t="s">
        <v>371</v>
      </c>
      <c r="D1636" s="62">
        <v>4.0</v>
      </c>
      <c r="E1636" s="27">
        <v>6.0</v>
      </c>
      <c r="F1636" s="27" t="s">
        <v>2106</v>
      </c>
      <c r="G1636" s="201" t="s">
        <v>57</v>
      </c>
      <c r="H1636" s="27" t="s">
        <v>53</v>
      </c>
      <c r="I1636" s="27"/>
      <c r="J1636" s="33"/>
      <c r="K1636" s="33"/>
      <c r="L1636" s="66"/>
      <c r="M1636" s="27"/>
      <c r="N1636" s="27"/>
      <c r="O1636" s="27"/>
      <c r="P1636" s="27"/>
      <c r="Q1636" s="27"/>
      <c r="R1636" s="27"/>
      <c r="S1636" s="27"/>
      <c r="T1636" s="27"/>
      <c r="U1636" s="27"/>
      <c r="V1636" s="27"/>
      <c r="W1636" s="27"/>
      <c r="X1636" s="27"/>
      <c r="Y1636" s="27"/>
      <c r="Z1636" s="27"/>
      <c r="AA1636" s="27"/>
      <c r="AB1636" s="27"/>
      <c r="AC1636" s="27"/>
      <c r="AD1636" s="27"/>
      <c r="AE1636" s="27"/>
      <c r="AF1636" s="27"/>
      <c r="AG1636" s="27"/>
      <c r="AH1636" s="27">
        <v>312.0</v>
      </c>
      <c r="AI1636" s="27">
        <v>328.0</v>
      </c>
      <c r="AJ1636" s="27">
        <v>2.0</v>
      </c>
      <c r="AK1636" s="27" t="b">
        <v>0</v>
      </c>
      <c r="AL1636" s="27">
        <v>100.0</v>
      </c>
      <c r="AM1636" s="27" t="s">
        <v>187</v>
      </c>
      <c r="AN1636" s="27" t="s">
        <v>404</v>
      </c>
      <c r="AO1636" s="27"/>
    </row>
    <row r="1637">
      <c r="A1637" s="200">
        <v>44880.02511055555</v>
      </c>
      <c r="B1637" s="19" t="s">
        <v>144</v>
      </c>
      <c r="C1637" s="21" t="s">
        <v>345</v>
      </c>
      <c r="D1637" s="62">
        <v>6.0</v>
      </c>
      <c r="E1637" s="27">
        <v>4.0</v>
      </c>
      <c r="F1637" s="27" t="s">
        <v>2135</v>
      </c>
      <c r="G1637" s="201" t="s">
        <v>57</v>
      </c>
      <c r="H1637" s="27" t="s">
        <v>59</v>
      </c>
      <c r="I1637" s="27"/>
      <c r="J1637" s="33"/>
      <c r="K1637" s="33"/>
      <c r="L1637" s="66"/>
      <c r="M1637" s="27"/>
      <c r="N1637" s="27"/>
      <c r="O1637" s="27"/>
      <c r="P1637" s="27"/>
      <c r="Q1637" s="27"/>
      <c r="R1637" s="27"/>
      <c r="S1637" s="27"/>
      <c r="T1637" s="27"/>
      <c r="U1637" s="27"/>
      <c r="V1637" s="27"/>
      <c r="W1637" s="27"/>
      <c r="X1637" s="27"/>
      <c r="Y1637" s="27"/>
      <c r="Z1637" s="27"/>
      <c r="AA1637" s="27"/>
      <c r="AB1637" s="27"/>
      <c r="AC1637" s="27"/>
      <c r="AD1637" s="27"/>
      <c r="AE1637" s="27"/>
      <c r="AF1637" s="27"/>
      <c r="AG1637" s="27"/>
      <c r="AH1637" s="27">
        <v>300.0</v>
      </c>
      <c r="AI1637" s="27">
        <v>236.0</v>
      </c>
      <c r="AJ1637" s="27">
        <v>2.0</v>
      </c>
      <c r="AK1637" s="27" t="b">
        <v>0</v>
      </c>
      <c r="AL1637" s="27">
        <v>100.0</v>
      </c>
      <c r="AM1637" s="27" t="s">
        <v>129</v>
      </c>
      <c r="AN1637" s="27" t="s">
        <v>405</v>
      </c>
      <c r="AO1637" s="27"/>
    </row>
    <row r="1638">
      <c r="A1638" s="200">
        <v>44880.02511055555</v>
      </c>
      <c r="B1638" s="19" t="s">
        <v>144</v>
      </c>
      <c r="C1638" s="21" t="s">
        <v>342</v>
      </c>
      <c r="D1638" s="62">
        <v>1.0</v>
      </c>
      <c r="E1638" s="27">
        <v>9.0</v>
      </c>
      <c r="F1638" s="27" t="s">
        <v>2157</v>
      </c>
      <c r="G1638" s="201" t="s">
        <v>57</v>
      </c>
      <c r="H1638" s="27" t="s">
        <v>116</v>
      </c>
      <c r="I1638" s="27"/>
      <c r="J1638" s="33"/>
      <c r="K1638" s="33"/>
      <c r="L1638" s="66"/>
      <c r="M1638" s="27"/>
      <c r="N1638" s="27"/>
      <c r="O1638" s="27"/>
      <c r="P1638" s="27"/>
      <c r="Q1638" s="27"/>
      <c r="R1638" s="27"/>
      <c r="S1638" s="27"/>
      <c r="T1638" s="27"/>
      <c r="U1638" s="27"/>
      <c r="V1638" s="27"/>
      <c r="W1638" s="27"/>
      <c r="X1638" s="27"/>
      <c r="Y1638" s="27"/>
      <c r="Z1638" s="27"/>
      <c r="AA1638" s="27"/>
      <c r="AB1638" s="27"/>
      <c r="AC1638" s="27"/>
      <c r="AD1638" s="27"/>
      <c r="AE1638" s="27"/>
      <c r="AF1638" s="27"/>
      <c r="AG1638" s="27"/>
      <c r="AH1638" s="27">
        <v>157.0</v>
      </c>
      <c r="AI1638" s="27">
        <v>417.0</v>
      </c>
      <c r="AJ1638" s="27">
        <v>2.0</v>
      </c>
      <c r="AK1638" s="27" t="b">
        <v>1</v>
      </c>
      <c r="AL1638" s="27">
        <v>100.0</v>
      </c>
      <c r="AM1638" s="27" t="s">
        <v>191</v>
      </c>
      <c r="AN1638" s="27" t="s">
        <v>404</v>
      </c>
      <c r="AO1638" s="27"/>
    </row>
    <row r="1639">
      <c r="A1639" s="200">
        <v>44880.02511055555</v>
      </c>
      <c r="B1639" s="19" t="s">
        <v>144</v>
      </c>
      <c r="C1639" s="21" t="s">
        <v>325</v>
      </c>
      <c r="D1639" s="62">
        <v>6.0</v>
      </c>
      <c r="E1639" s="27">
        <v>4.0</v>
      </c>
      <c r="F1639" s="27" t="s">
        <v>2144</v>
      </c>
      <c r="G1639" s="201" t="s">
        <v>57</v>
      </c>
      <c r="H1639" s="27" t="s">
        <v>138</v>
      </c>
      <c r="I1639" s="27"/>
      <c r="J1639" s="33"/>
      <c r="K1639" s="33"/>
      <c r="L1639" s="66"/>
      <c r="M1639" s="27"/>
      <c r="N1639" s="27"/>
      <c r="O1639" s="27"/>
      <c r="P1639" s="27"/>
      <c r="Q1639" s="27"/>
      <c r="R1639" s="27"/>
      <c r="S1639" s="27"/>
      <c r="T1639" s="27"/>
      <c r="U1639" s="27"/>
      <c r="V1639" s="27"/>
      <c r="W1639" s="27"/>
      <c r="X1639" s="27"/>
      <c r="Y1639" s="27"/>
      <c r="Z1639" s="27"/>
      <c r="AA1639" s="27"/>
      <c r="AB1639" s="27"/>
      <c r="AC1639" s="27"/>
      <c r="AD1639" s="27"/>
      <c r="AE1639" s="27"/>
      <c r="AF1639" s="27"/>
      <c r="AG1639" s="27"/>
      <c r="AH1639" s="27">
        <v>318.0</v>
      </c>
      <c r="AI1639" s="27">
        <v>236.0</v>
      </c>
      <c r="AJ1639" s="27">
        <v>2.0</v>
      </c>
      <c r="AK1639" s="27" t="b">
        <v>0</v>
      </c>
      <c r="AL1639" s="27">
        <v>100.0</v>
      </c>
      <c r="AM1639" s="27" t="s">
        <v>389</v>
      </c>
      <c r="AN1639" s="27" t="s">
        <v>405</v>
      </c>
      <c r="AO1639" s="27"/>
    </row>
    <row r="1640">
      <c r="A1640" s="200">
        <v>44880.02511055555</v>
      </c>
      <c r="B1640" s="19" t="s">
        <v>144</v>
      </c>
      <c r="C1640" s="21" t="s">
        <v>359</v>
      </c>
      <c r="D1640" s="62">
        <v>4.0</v>
      </c>
      <c r="E1640" s="27">
        <v>6.0</v>
      </c>
      <c r="F1640" s="27" t="s">
        <v>2158</v>
      </c>
      <c r="G1640" s="201" t="s">
        <v>57</v>
      </c>
      <c r="H1640" s="27" t="s">
        <v>148</v>
      </c>
      <c r="I1640" s="27"/>
      <c r="J1640" s="33"/>
      <c r="K1640" s="33"/>
      <c r="L1640" s="66"/>
      <c r="M1640" s="27"/>
      <c r="N1640" s="27"/>
      <c r="O1640" s="27"/>
      <c r="P1640" s="27"/>
      <c r="Q1640" s="27"/>
      <c r="R1640" s="27"/>
      <c r="S1640" s="27"/>
      <c r="T1640" s="27"/>
      <c r="U1640" s="27"/>
      <c r="V1640" s="27"/>
      <c r="W1640" s="27"/>
      <c r="X1640" s="27"/>
      <c r="Y1640" s="27"/>
      <c r="Z1640" s="27"/>
      <c r="AA1640" s="27"/>
      <c r="AB1640" s="27"/>
      <c r="AC1640" s="27"/>
      <c r="AD1640" s="27"/>
      <c r="AE1640" s="27"/>
      <c r="AF1640" s="27"/>
      <c r="AG1640" s="27"/>
      <c r="AH1640" s="27">
        <v>287.0</v>
      </c>
      <c r="AI1640" s="27">
        <v>290.0</v>
      </c>
      <c r="AJ1640" s="27">
        <v>2.0</v>
      </c>
      <c r="AK1640" s="27" t="b">
        <v>1</v>
      </c>
      <c r="AL1640" s="27">
        <v>100.0</v>
      </c>
      <c r="AM1640" s="27" t="s">
        <v>190</v>
      </c>
      <c r="AN1640" s="27" t="s">
        <v>405</v>
      </c>
      <c r="AO1640" s="27"/>
    </row>
    <row r="1641">
      <c r="A1641" s="200">
        <v>44880.02511055555</v>
      </c>
      <c r="B1641" s="19"/>
      <c r="C1641" s="21"/>
      <c r="D1641" s="62"/>
      <c r="E1641" s="27"/>
      <c r="F1641" s="27"/>
      <c r="G1641" s="201"/>
      <c r="H1641" s="27"/>
      <c r="I1641" s="27"/>
      <c r="J1641" s="33"/>
      <c r="K1641" s="33"/>
      <c r="L1641" s="66"/>
      <c r="M1641" s="27"/>
      <c r="N1641" s="27"/>
      <c r="O1641" s="27"/>
      <c r="P1641" s="27"/>
      <c r="Q1641" s="27"/>
      <c r="R1641" s="27"/>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t="e">
        <v>#N/A</v>
      </c>
      <c r="AN1641" s="27" t="e">
        <v>#N/A</v>
      </c>
      <c r="AO1641" s="27"/>
    </row>
    <row r="1642">
      <c r="A1642" s="200">
        <v>44880.02511055555</v>
      </c>
      <c r="B1642" s="19" t="s">
        <v>166</v>
      </c>
      <c r="C1642" s="21" t="s">
        <v>351</v>
      </c>
      <c r="D1642" s="62">
        <v>2.0</v>
      </c>
      <c r="E1642" s="27">
        <v>9.0</v>
      </c>
      <c r="F1642" s="27" t="s">
        <v>2137</v>
      </c>
      <c r="G1642" s="201" t="s">
        <v>57</v>
      </c>
      <c r="H1642" s="27" t="s">
        <v>138</v>
      </c>
      <c r="I1642" s="27"/>
      <c r="J1642" s="33"/>
      <c r="K1642" s="33"/>
      <c r="L1642" s="66"/>
      <c r="M1642" s="27"/>
      <c r="N1642" s="27"/>
      <c r="O1642" s="27"/>
      <c r="P1642" s="27"/>
      <c r="Q1642" s="27"/>
      <c r="R1642" s="27"/>
      <c r="S1642" s="27"/>
      <c r="T1642" s="27"/>
      <c r="U1642" s="27"/>
      <c r="V1642" s="27"/>
      <c r="W1642" s="27"/>
      <c r="X1642" s="27"/>
      <c r="Y1642" s="27"/>
      <c r="Z1642" s="27"/>
      <c r="AA1642" s="27"/>
      <c r="AB1642" s="27"/>
      <c r="AC1642" s="27"/>
      <c r="AD1642" s="27"/>
      <c r="AE1642" s="27"/>
      <c r="AF1642" s="27"/>
      <c r="AG1642" s="27"/>
      <c r="AH1642" s="27">
        <v>212.0</v>
      </c>
      <c r="AI1642" s="27">
        <v>399.0</v>
      </c>
      <c r="AJ1642" s="27">
        <v>2.0</v>
      </c>
      <c r="AK1642" s="27" t="b">
        <v>0</v>
      </c>
      <c r="AL1642" s="27">
        <v>100.0</v>
      </c>
      <c r="AM1642" s="27" t="s">
        <v>129</v>
      </c>
      <c r="AN1642" s="27" t="s">
        <v>405</v>
      </c>
      <c r="AO1642" s="27"/>
    </row>
    <row r="1643">
      <c r="A1643" s="200">
        <v>44880.02511055555</v>
      </c>
      <c r="B1643" s="19" t="s">
        <v>166</v>
      </c>
      <c r="C1643" s="21" t="s">
        <v>333</v>
      </c>
      <c r="D1643" s="62">
        <v>3.0</v>
      </c>
      <c r="E1643" s="27">
        <v>7.0</v>
      </c>
      <c r="F1643" s="27" t="s">
        <v>2128</v>
      </c>
      <c r="G1643" s="201" t="s">
        <v>57</v>
      </c>
      <c r="H1643" s="27" t="s">
        <v>59</v>
      </c>
      <c r="I1643" s="27"/>
      <c r="J1643" s="33"/>
      <c r="K1643" s="33"/>
      <c r="L1643" s="66"/>
      <c r="M1643" s="27"/>
      <c r="N1643" s="27"/>
      <c r="O1643" s="27"/>
      <c r="P1643" s="27"/>
      <c r="Q1643" s="27"/>
      <c r="R1643" s="27"/>
      <c r="S1643" s="27"/>
      <c r="T1643" s="27"/>
      <c r="U1643" s="27"/>
      <c r="V1643" s="27"/>
      <c r="W1643" s="27"/>
      <c r="X1643" s="27"/>
      <c r="Y1643" s="27"/>
      <c r="Z1643" s="27"/>
      <c r="AA1643" s="27"/>
      <c r="AB1643" s="27"/>
      <c r="AC1643" s="27"/>
      <c r="AD1643" s="27"/>
      <c r="AE1643" s="27"/>
      <c r="AF1643" s="27"/>
      <c r="AG1643" s="27"/>
      <c r="AH1643" s="27">
        <v>232.0</v>
      </c>
      <c r="AI1643" s="27">
        <v>279.0</v>
      </c>
      <c r="AJ1643" s="27">
        <v>2.0</v>
      </c>
      <c r="AK1643" s="27" t="b">
        <v>1</v>
      </c>
      <c r="AL1643" s="27">
        <v>100.0</v>
      </c>
      <c r="AM1643" s="27" t="s">
        <v>191</v>
      </c>
      <c r="AN1643" s="27" t="s">
        <v>404</v>
      </c>
      <c r="AO1643" s="27"/>
    </row>
    <row r="1644">
      <c r="A1644" s="200">
        <v>44880.02511055555</v>
      </c>
      <c r="B1644" s="19" t="s">
        <v>166</v>
      </c>
      <c r="C1644" s="21" t="s">
        <v>337</v>
      </c>
      <c r="D1644" s="62">
        <v>4.0</v>
      </c>
      <c r="E1644" s="27">
        <v>6.0</v>
      </c>
      <c r="F1644" s="27" t="s">
        <v>2159</v>
      </c>
      <c r="G1644" s="201" t="s">
        <v>57</v>
      </c>
      <c r="H1644" s="27" t="s">
        <v>148</v>
      </c>
      <c r="I1644" s="27"/>
      <c r="J1644" s="33"/>
      <c r="K1644" s="33"/>
      <c r="L1644" s="66"/>
      <c r="M1644" s="27"/>
      <c r="N1644" s="27"/>
      <c r="O1644" s="27"/>
      <c r="P1644" s="27"/>
      <c r="Q1644" s="27"/>
      <c r="R1644" s="27"/>
      <c r="S1644" s="27"/>
      <c r="T1644" s="27"/>
      <c r="U1644" s="27"/>
      <c r="V1644" s="27"/>
      <c r="W1644" s="27"/>
      <c r="X1644" s="27"/>
      <c r="Y1644" s="27"/>
      <c r="Z1644" s="27"/>
      <c r="AA1644" s="27"/>
      <c r="AB1644" s="27"/>
      <c r="AC1644" s="27"/>
      <c r="AD1644" s="27"/>
      <c r="AE1644" s="27"/>
      <c r="AF1644" s="27"/>
      <c r="AG1644" s="27"/>
      <c r="AH1644" s="27">
        <v>229.0</v>
      </c>
      <c r="AI1644" s="27">
        <v>288.0</v>
      </c>
      <c r="AJ1644" s="27">
        <v>2.0</v>
      </c>
      <c r="AK1644" s="27" t="b">
        <v>1</v>
      </c>
      <c r="AL1644" s="27">
        <v>100.0</v>
      </c>
      <c r="AM1644" s="27" t="s">
        <v>192</v>
      </c>
      <c r="AN1644" s="27" t="s">
        <v>404</v>
      </c>
      <c r="AO1644" s="27"/>
    </row>
    <row r="1645">
      <c r="A1645" s="200">
        <v>44880.02511055555</v>
      </c>
      <c r="B1645" s="19" t="s">
        <v>166</v>
      </c>
      <c r="C1645" s="21" t="s">
        <v>364</v>
      </c>
      <c r="D1645" s="62">
        <v>6.0</v>
      </c>
      <c r="E1645" s="27">
        <v>4.0</v>
      </c>
      <c r="F1645" s="27" t="s">
        <v>2160</v>
      </c>
      <c r="G1645" s="201" t="s">
        <v>57</v>
      </c>
      <c r="H1645" s="27" t="s">
        <v>103</v>
      </c>
      <c r="I1645" s="27"/>
      <c r="J1645" s="33"/>
      <c r="K1645" s="33"/>
      <c r="L1645" s="66"/>
      <c r="M1645" s="27"/>
      <c r="N1645" s="27"/>
      <c r="O1645" s="27"/>
      <c r="P1645" s="27"/>
      <c r="Q1645" s="27"/>
      <c r="R1645" s="27"/>
      <c r="S1645" s="27"/>
      <c r="T1645" s="27"/>
      <c r="U1645" s="27"/>
      <c r="V1645" s="27"/>
      <c r="W1645" s="27"/>
      <c r="X1645" s="27"/>
      <c r="Y1645" s="27"/>
      <c r="Z1645" s="27"/>
      <c r="AA1645" s="27"/>
      <c r="AB1645" s="27"/>
      <c r="AC1645" s="27"/>
      <c r="AD1645" s="27"/>
      <c r="AE1645" s="27"/>
      <c r="AF1645" s="27"/>
      <c r="AG1645" s="27"/>
      <c r="AH1645" s="27">
        <v>335.0</v>
      </c>
      <c r="AI1645" s="27">
        <v>213.0</v>
      </c>
      <c r="AJ1645" s="27">
        <v>2.0</v>
      </c>
      <c r="AK1645" s="27" t="b">
        <v>0</v>
      </c>
      <c r="AL1645" s="27">
        <v>100.0</v>
      </c>
      <c r="AM1645" s="27" t="s">
        <v>187</v>
      </c>
      <c r="AN1645" s="27" t="s">
        <v>404</v>
      </c>
      <c r="AO1645" s="27"/>
    </row>
    <row r="1646">
      <c r="A1646" s="200">
        <v>44880.02511055555</v>
      </c>
      <c r="B1646" s="19" t="s">
        <v>166</v>
      </c>
      <c r="C1646" s="21" t="s">
        <v>306</v>
      </c>
      <c r="D1646" s="62">
        <v>6.0</v>
      </c>
      <c r="E1646" s="27">
        <v>4.0</v>
      </c>
      <c r="F1646" s="27" t="s">
        <v>2131</v>
      </c>
      <c r="G1646" s="201" t="s">
        <v>57</v>
      </c>
      <c r="H1646" s="27" t="s">
        <v>59</v>
      </c>
      <c r="I1646" s="27"/>
      <c r="J1646" s="33"/>
      <c r="K1646" s="33"/>
      <c r="L1646" s="66"/>
      <c r="M1646" s="27"/>
      <c r="N1646" s="27"/>
      <c r="O1646" s="27"/>
      <c r="P1646" s="27"/>
      <c r="Q1646" s="27"/>
      <c r="R1646" s="27"/>
      <c r="S1646" s="27"/>
      <c r="T1646" s="27"/>
      <c r="U1646" s="27"/>
      <c r="V1646" s="27"/>
      <c r="W1646" s="27"/>
      <c r="X1646" s="27"/>
      <c r="Y1646" s="27"/>
      <c r="Z1646" s="27"/>
      <c r="AA1646" s="27"/>
      <c r="AB1646" s="27"/>
      <c r="AC1646" s="27"/>
      <c r="AD1646" s="27"/>
      <c r="AE1646" s="27"/>
      <c r="AF1646" s="27"/>
      <c r="AG1646" s="27"/>
      <c r="AH1646" s="27">
        <v>239.0</v>
      </c>
      <c r="AI1646" s="27">
        <v>161.0</v>
      </c>
      <c r="AJ1646" s="27">
        <v>2.0</v>
      </c>
      <c r="AK1646" s="27" t="b">
        <v>1</v>
      </c>
      <c r="AL1646" s="27">
        <v>100.0</v>
      </c>
      <c r="AM1646" s="27" t="s">
        <v>193</v>
      </c>
      <c r="AN1646" s="27" t="s">
        <v>405</v>
      </c>
      <c r="AO1646" s="27"/>
    </row>
    <row r="1647">
      <c r="A1647" s="200">
        <v>44880.02511055555</v>
      </c>
      <c r="B1647" s="19" t="s">
        <v>166</v>
      </c>
      <c r="C1647" s="21" t="s">
        <v>398</v>
      </c>
      <c r="D1647" s="62">
        <v>3.0</v>
      </c>
      <c r="E1647" s="27">
        <v>6.0</v>
      </c>
      <c r="F1647" s="27" t="s">
        <v>2147</v>
      </c>
      <c r="G1647" s="201" t="s">
        <v>57</v>
      </c>
      <c r="H1647" s="27" t="s">
        <v>141</v>
      </c>
      <c r="I1647" s="27"/>
      <c r="J1647" s="33"/>
      <c r="K1647" s="33"/>
      <c r="L1647" s="66"/>
      <c r="M1647" s="27"/>
      <c r="N1647" s="27"/>
      <c r="O1647" s="27"/>
      <c r="P1647" s="27"/>
      <c r="Q1647" s="27"/>
      <c r="R1647" s="27"/>
      <c r="S1647" s="27"/>
      <c r="T1647" s="27"/>
      <c r="U1647" s="27"/>
      <c r="V1647" s="27"/>
      <c r="W1647" s="27"/>
      <c r="X1647" s="27"/>
      <c r="Y1647" s="27"/>
      <c r="Z1647" s="27"/>
      <c r="AA1647" s="27"/>
      <c r="AB1647" s="27"/>
      <c r="AC1647" s="27"/>
      <c r="AD1647" s="27"/>
      <c r="AE1647" s="27"/>
      <c r="AF1647" s="27"/>
      <c r="AG1647" s="27"/>
      <c r="AH1647" s="27">
        <v>245.0</v>
      </c>
      <c r="AI1647" s="27">
        <v>229.0</v>
      </c>
      <c r="AJ1647" s="27">
        <v>2.0</v>
      </c>
      <c r="AK1647" s="27" t="b">
        <v>1</v>
      </c>
      <c r="AL1647" s="27">
        <v>100.0</v>
      </c>
      <c r="AM1647" s="27" t="s">
        <v>389</v>
      </c>
      <c r="AN1647" s="27" t="s">
        <v>405</v>
      </c>
      <c r="AO1647" s="27"/>
    </row>
    <row r="1648">
      <c r="A1648" s="200">
        <v>44880.02511055555</v>
      </c>
      <c r="B1648" s="19" t="s">
        <v>166</v>
      </c>
      <c r="C1648" s="21" t="s">
        <v>334</v>
      </c>
      <c r="D1648" s="62">
        <v>3.0</v>
      </c>
      <c r="E1648" s="27">
        <v>7.0</v>
      </c>
      <c r="F1648" s="27" t="s">
        <v>2141</v>
      </c>
      <c r="G1648" s="201" t="s">
        <v>57</v>
      </c>
      <c r="H1648" s="27" t="s">
        <v>138</v>
      </c>
      <c r="I1648" s="27"/>
      <c r="J1648" s="33"/>
      <c r="K1648" s="33"/>
      <c r="L1648" s="66"/>
      <c r="M1648" s="27"/>
      <c r="N1648" s="27"/>
      <c r="O1648" s="27"/>
      <c r="P1648" s="27"/>
      <c r="Q1648" s="27"/>
      <c r="R1648" s="27"/>
      <c r="S1648" s="27"/>
      <c r="T1648" s="27"/>
      <c r="U1648" s="27"/>
      <c r="V1648" s="27"/>
      <c r="W1648" s="27"/>
      <c r="X1648" s="27"/>
      <c r="Y1648" s="27"/>
      <c r="Z1648" s="27"/>
      <c r="AA1648" s="27"/>
      <c r="AB1648" s="27"/>
      <c r="AC1648" s="27"/>
      <c r="AD1648" s="27"/>
      <c r="AE1648" s="27"/>
      <c r="AF1648" s="27"/>
      <c r="AG1648" s="27"/>
      <c r="AH1648" s="27">
        <v>300.0</v>
      </c>
      <c r="AI1648" s="27">
        <v>392.0</v>
      </c>
      <c r="AJ1648" s="27">
        <v>2.0</v>
      </c>
      <c r="AK1648" s="27" t="b">
        <v>0</v>
      </c>
      <c r="AL1648" s="27">
        <v>100.0</v>
      </c>
      <c r="AM1648" s="27" t="s">
        <v>189</v>
      </c>
      <c r="AN1648" s="27" t="s">
        <v>405</v>
      </c>
      <c r="AO1648" s="27"/>
    </row>
    <row r="1649">
      <c r="A1649" s="200">
        <v>44880.02511055555</v>
      </c>
      <c r="B1649" s="19" t="s">
        <v>166</v>
      </c>
      <c r="C1649" s="21" t="s">
        <v>399</v>
      </c>
      <c r="D1649" s="62">
        <v>8.0</v>
      </c>
      <c r="E1649" s="27">
        <v>2.0</v>
      </c>
      <c r="F1649" s="27" t="s">
        <v>2133</v>
      </c>
      <c r="G1649" s="201" t="s">
        <v>57</v>
      </c>
      <c r="H1649" s="27" t="s">
        <v>59</v>
      </c>
      <c r="I1649" s="27"/>
      <c r="J1649" s="33"/>
      <c r="K1649" s="33"/>
      <c r="L1649" s="66"/>
      <c r="M1649" s="27"/>
      <c r="N1649" s="27"/>
      <c r="O1649" s="27"/>
      <c r="P1649" s="27"/>
      <c r="Q1649" s="27"/>
      <c r="R1649" s="27"/>
      <c r="S1649" s="27"/>
      <c r="T1649" s="27"/>
      <c r="U1649" s="27"/>
      <c r="V1649" s="27"/>
      <c r="W1649" s="27"/>
      <c r="X1649" s="27"/>
      <c r="Y1649" s="27"/>
      <c r="Z1649" s="27"/>
      <c r="AA1649" s="27"/>
      <c r="AB1649" s="27"/>
      <c r="AC1649" s="27"/>
      <c r="AD1649" s="27"/>
      <c r="AE1649" s="27"/>
      <c r="AF1649" s="27"/>
      <c r="AG1649" s="27"/>
      <c r="AH1649" s="27">
        <v>303.0</v>
      </c>
      <c r="AI1649" s="27">
        <v>227.0</v>
      </c>
      <c r="AJ1649" s="27">
        <v>2.0</v>
      </c>
      <c r="AK1649" s="27" t="b">
        <v>1</v>
      </c>
      <c r="AL1649" s="27">
        <v>100.0</v>
      </c>
      <c r="AM1649" s="27" t="s">
        <v>190</v>
      </c>
      <c r="AN1649" s="27" t="s">
        <v>405</v>
      </c>
      <c r="AO1649" s="27"/>
    </row>
    <row r="1650">
      <c r="A1650" s="200">
        <v>44880.02511055555</v>
      </c>
      <c r="B1650" s="19" t="s">
        <v>166</v>
      </c>
      <c r="C1650" s="21" t="s">
        <v>327</v>
      </c>
      <c r="D1650" s="62">
        <v>3.0</v>
      </c>
      <c r="E1650" s="27">
        <v>7.0</v>
      </c>
      <c r="F1650" s="27" t="s">
        <v>2107</v>
      </c>
      <c r="G1650" s="201" t="s">
        <v>57</v>
      </c>
      <c r="H1650" s="27" t="s">
        <v>53</v>
      </c>
      <c r="I1650" s="27"/>
      <c r="J1650" s="33"/>
      <c r="K1650" s="33"/>
      <c r="L1650" s="66"/>
      <c r="M1650" s="27"/>
      <c r="N1650" s="27"/>
      <c r="O1650" s="27"/>
      <c r="P1650" s="27"/>
      <c r="Q1650" s="27"/>
      <c r="R1650" s="27"/>
      <c r="S1650" s="27"/>
      <c r="T1650" s="27"/>
      <c r="U1650" s="27"/>
      <c r="V1650" s="27"/>
      <c r="W1650" s="27"/>
      <c r="X1650" s="27"/>
      <c r="Y1650" s="27"/>
      <c r="Z1650" s="27"/>
      <c r="AA1650" s="27"/>
      <c r="AB1650" s="27"/>
      <c r="AC1650" s="27"/>
      <c r="AD1650" s="27"/>
      <c r="AE1650" s="27"/>
      <c r="AF1650" s="27"/>
      <c r="AG1650" s="27"/>
      <c r="AH1650" s="27">
        <v>224.0</v>
      </c>
      <c r="AI1650" s="27">
        <v>346.0</v>
      </c>
      <c r="AJ1650" s="27">
        <v>2.0</v>
      </c>
      <c r="AK1650" s="27" t="b">
        <v>0</v>
      </c>
      <c r="AL1650" s="27">
        <v>100.0</v>
      </c>
      <c r="AM1650" s="27" t="s">
        <v>188</v>
      </c>
      <c r="AN1650" s="27" t="s">
        <v>404</v>
      </c>
      <c r="AO1650" s="27"/>
    </row>
    <row r="1651">
      <c r="A1651" s="200">
        <v>44880.02511055555</v>
      </c>
      <c r="B1651" s="19" t="s">
        <v>166</v>
      </c>
      <c r="C1651" s="21" t="s">
        <v>370</v>
      </c>
      <c r="D1651" s="62">
        <v>6.0</v>
      </c>
      <c r="E1651" s="27">
        <v>4.0</v>
      </c>
      <c r="F1651" s="27" t="s">
        <v>2108</v>
      </c>
      <c r="G1651" s="201" t="s">
        <v>57</v>
      </c>
      <c r="H1651" s="27" t="s">
        <v>53</v>
      </c>
      <c r="I1651" s="27"/>
      <c r="J1651" s="33"/>
      <c r="K1651" s="33"/>
      <c r="L1651" s="66"/>
      <c r="M1651" s="27"/>
      <c r="N1651" s="27"/>
      <c r="O1651" s="27"/>
      <c r="P1651" s="27"/>
      <c r="Q1651" s="27"/>
      <c r="R1651" s="27"/>
      <c r="S1651" s="27"/>
      <c r="T1651" s="27"/>
      <c r="U1651" s="27"/>
      <c r="V1651" s="27"/>
      <c r="W1651" s="27"/>
      <c r="X1651" s="27"/>
      <c r="Y1651" s="27"/>
      <c r="Z1651" s="27"/>
      <c r="AA1651" s="27"/>
      <c r="AB1651" s="27"/>
      <c r="AC1651" s="27"/>
      <c r="AD1651" s="27"/>
      <c r="AE1651" s="27"/>
      <c r="AF1651" s="27"/>
      <c r="AG1651" s="27"/>
      <c r="AH1651" s="27">
        <v>300.0</v>
      </c>
      <c r="AI1651" s="27">
        <v>239.0</v>
      </c>
      <c r="AJ1651" s="27">
        <v>2.0</v>
      </c>
      <c r="AK1651" s="27" t="b">
        <v>1</v>
      </c>
      <c r="AL1651" s="27">
        <v>100.0</v>
      </c>
      <c r="AM1651" s="27" t="s">
        <v>186</v>
      </c>
      <c r="AN1651" s="27" t="s">
        <v>404</v>
      </c>
      <c r="AO1651" s="27"/>
    </row>
    <row r="1652">
      <c r="A1652" s="200">
        <v>44880.02511055555</v>
      </c>
      <c r="B1652" s="19"/>
      <c r="C1652" s="21"/>
      <c r="D1652" s="62"/>
      <c r="E1652" s="27"/>
      <c r="F1652" s="27"/>
      <c r="G1652" s="201"/>
      <c r="H1652" s="27"/>
      <c r="I1652" s="27"/>
      <c r="J1652" s="33"/>
      <c r="K1652" s="33"/>
      <c r="L1652" s="66"/>
      <c r="M1652" s="27"/>
      <c r="N1652" s="27"/>
      <c r="O1652" s="27"/>
      <c r="P1652" s="27"/>
      <c r="Q1652" s="27"/>
      <c r="R1652" s="27"/>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t="e">
        <v>#N/A</v>
      </c>
      <c r="AN1652" s="27" t="e">
        <v>#N/A</v>
      </c>
      <c r="AO1652" s="27"/>
    </row>
    <row r="1653">
      <c r="A1653" s="200">
        <v>44880.02511055555</v>
      </c>
      <c r="B1653" s="19" t="s">
        <v>116</v>
      </c>
      <c r="C1653" s="21" t="s">
        <v>313</v>
      </c>
      <c r="D1653" s="62">
        <v>10.0</v>
      </c>
      <c r="E1653" s="27">
        <v>0.0</v>
      </c>
      <c r="F1653" s="27" t="s">
        <v>2121</v>
      </c>
      <c r="G1653" s="201" t="s">
        <v>57</v>
      </c>
      <c r="H1653" s="27" t="s">
        <v>178</v>
      </c>
      <c r="I1653" s="27"/>
      <c r="J1653" s="33"/>
      <c r="K1653" s="33"/>
      <c r="L1653" s="66"/>
      <c r="M1653" s="27"/>
      <c r="N1653" s="27"/>
      <c r="O1653" s="27"/>
      <c r="P1653" s="27"/>
      <c r="Q1653" s="27"/>
      <c r="R1653" s="27"/>
      <c r="S1653" s="27"/>
      <c r="T1653" s="27"/>
      <c r="U1653" s="27"/>
      <c r="V1653" s="27"/>
      <c r="W1653" s="27"/>
      <c r="X1653" s="27"/>
      <c r="Y1653" s="27"/>
      <c r="Z1653" s="27"/>
      <c r="AA1653" s="27"/>
      <c r="AB1653" s="27"/>
      <c r="AC1653" s="27"/>
      <c r="AD1653" s="27"/>
      <c r="AE1653" s="27"/>
      <c r="AF1653" s="27"/>
      <c r="AG1653" s="27"/>
      <c r="AH1653" s="27">
        <v>406.0</v>
      </c>
      <c r="AI1653" s="27">
        <v>116.0</v>
      </c>
      <c r="AJ1653" s="27">
        <v>2.0</v>
      </c>
      <c r="AK1653" s="27" t="b">
        <v>1</v>
      </c>
      <c r="AL1653" s="27">
        <v>100.0</v>
      </c>
      <c r="AM1653" s="27" t="s">
        <v>192</v>
      </c>
      <c r="AN1653" s="27" t="s">
        <v>404</v>
      </c>
      <c r="AO1653" s="27"/>
    </row>
    <row r="1654">
      <c r="A1654" s="200">
        <v>44880.02511055555</v>
      </c>
      <c r="B1654" s="19" t="s">
        <v>116</v>
      </c>
      <c r="C1654" s="21" t="s">
        <v>336</v>
      </c>
      <c r="D1654" s="62">
        <v>2.0</v>
      </c>
      <c r="E1654" s="27">
        <v>8.0</v>
      </c>
      <c r="F1654" s="27" t="s">
        <v>2161</v>
      </c>
      <c r="G1654" s="201" t="s">
        <v>57</v>
      </c>
      <c r="H1654" s="27" t="s">
        <v>154</v>
      </c>
      <c r="I1654" s="27"/>
      <c r="J1654" s="33"/>
      <c r="K1654" s="33"/>
      <c r="L1654" s="66"/>
      <c r="M1654" s="27"/>
      <c r="N1654" s="27"/>
      <c r="O1654" s="27"/>
      <c r="P1654" s="27"/>
      <c r="Q1654" s="27"/>
      <c r="R1654" s="27"/>
      <c r="S1654" s="27"/>
      <c r="T1654" s="27"/>
      <c r="U1654" s="27"/>
      <c r="V1654" s="27"/>
      <c r="W1654" s="27"/>
      <c r="X1654" s="27"/>
      <c r="Y1654" s="27"/>
      <c r="Z1654" s="27"/>
      <c r="AA1654" s="27"/>
      <c r="AB1654" s="27"/>
      <c r="AC1654" s="27"/>
      <c r="AD1654" s="27"/>
      <c r="AE1654" s="27"/>
      <c r="AF1654" s="27"/>
      <c r="AG1654" s="27"/>
      <c r="AH1654" s="27">
        <v>129.0</v>
      </c>
      <c r="AI1654" s="27">
        <v>299.0</v>
      </c>
      <c r="AJ1654" s="27">
        <v>2.0</v>
      </c>
      <c r="AK1654" s="27" t="b">
        <v>0</v>
      </c>
      <c r="AL1654" s="27">
        <v>100.0</v>
      </c>
      <c r="AM1654" s="27" t="s">
        <v>129</v>
      </c>
      <c r="AN1654" s="27" t="s">
        <v>405</v>
      </c>
      <c r="AO1654" s="27"/>
    </row>
    <row r="1655">
      <c r="A1655" s="200">
        <v>44880.02511055555</v>
      </c>
      <c r="B1655" s="19" t="s">
        <v>116</v>
      </c>
      <c r="C1655" s="21" t="s">
        <v>332</v>
      </c>
      <c r="D1655" s="62">
        <v>6.0</v>
      </c>
      <c r="E1655" s="27">
        <v>4.0</v>
      </c>
      <c r="F1655" s="27" t="s">
        <v>2114</v>
      </c>
      <c r="G1655" s="201" t="s">
        <v>57</v>
      </c>
      <c r="H1655" s="27" t="s">
        <v>131</v>
      </c>
      <c r="I1655" s="27"/>
      <c r="J1655" s="33"/>
      <c r="K1655" s="33"/>
      <c r="L1655" s="66"/>
      <c r="M1655" s="27"/>
      <c r="N1655" s="27"/>
      <c r="O1655" s="27"/>
      <c r="P1655" s="27"/>
      <c r="Q1655" s="27"/>
      <c r="R1655" s="27"/>
      <c r="S1655" s="27"/>
      <c r="T1655" s="27"/>
      <c r="U1655" s="27"/>
      <c r="V1655" s="27"/>
      <c r="W1655" s="27"/>
      <c r="X1655" s="27"/>
      <c r="Y1655" s="27"/>
      <c r="Z1655" s="27"/>
      <c r="AA1655" s="27"/>
      <c r="AB1655" s="27"/>
      <c r="AC1655" s="27"/>
      <c r="AD1655" s="27"/>
      <c r="AE1655" s="27"/>
      <c r="AF1655" s="27"/>
      <c r="AG1655" s="27"/>
      <c r="AH1655" s="27">
        <v>179.0</v>
      </c>
      <c r="AI1655" s="27">
        <v>139.0</v>
      </c>
      <c r="AJ1655" s="27">
        <v>2.0</v>
      </c>
      <c r="AK1655" s="27" t="b">
        <v>1</v>
      </c>
      <c r="AL1655" s="27">
        <v>100.0</v>
      </c>
      <c r="AM1655" s="27" t="s">
        <v>188</v>
      </c>
      <c r="AN1655" s="27" t="s">
        <v>404</v>
      </c>
      <c r="AO1655" s="27"/>
    </row>
    <row r="1656">
      <c r="A1656" s="200">
        <v>44880.02511055555</v>
      </c>
      <c r="B1656" s="19" t="s">
        <v>116</v>
      </c>
      <c r="C1656" s="21" t="s">
        <v>354</v>
      </c>
      <c r="D1656" s="62">
        <v>7.0</v>
      </c>
      <c r="E1656" s="27">
        <v>3.0</v>
      </c>
      <c r="F1656" s="27" t="s">
        <v>2162</v>
      </c>
      <c r="G1656" s="201" t="s">
        <v>57</v>
      </c>
      <c r="H1656" s="27" t="s">
        <v>148</v>
      </c>
      <c r="I1656" s="27"/>
      <c r="J1656" s="33"/>
      <c r="K1656" s="33"/>
      <c r="L1656" s="66"/>
      <c r="M1656" s="27"/>
      <c r="N1656" s="27"/>
      <c r="O1656" s="27"/>
      <c r="P1656" s="27"/>
      <c r="Q1656" s="27"/>
      <c r="R1656" s="27"/>
      <c r="S1656" s="27"/>
      <c r="T1656" s="27"/>
      <c r="U1656" s="27"/>
      <c r="V1656" s="27"/>
      <c r="W1656" s="27"/>
      <c r="X1656" s="27"/>
      <c r="Y1656" s="27"/>
      <c r="Z1656" s="27"/>
      <c r="AA1656" s="27"/>
      <c r="AB1656" s="27"/>
      <c r="AC1656" s="27"/>
      <c r="AD1656" s="27"/>
      <c r="AE1656" s="27"/>
      <c r="AF1656" s="27"/>
      <c r="AG1656" s="27"/>
      <c r="AH1656" s="27">
        <v>349.0</v>
      </c>
      <c r="AI1656" s="27">
        <v>300.0</v>
      </c>
      <c r="AJ1656" s="27">
        <v>2.0</v>
      </c>
      <c r="AK1656" s="27" t="b">
        <v>0</v>
      </c>
      <c r="AL1656" s="27">
        <v>100.0</v>
      </c>
      <c r="AM1656" s="27" t="s">
        <v>187</v>
      </c>
      <c r="AN1656" s="27" t="s">
        <v>404</v>
      </c>
      <c r="AO1656" s="27"/>
    </row>
    <row r="1657">
      <c r="A1657" s="200">
        <v>44880.02511055555</v>
      </c>
      <c r="B1657" s="19" t="s">
        <v>116</v>
      </c>
      <c r="C1657" s="21" t="s">
        <v>348</v>
      </c>
      <c r="D1657" s="62">
        <v>4.0</v>
      </c>
      <c r="E1657" s="27">
        <v>6.0</v>
      </c>
      <c r="F1657" s="27" t="s">
        <v>2155</v>
      </c>
      <c r="G1657" s="201" t="s">
        <v>57</v>
      </c>
      <c r="H1657" s="27" t="s">
        <v>144</v>
      </c>
      <c r="I1657" s="27"/>
      <c r="J1657" s="33"/>
      <c r="K1657" s="33"/>
      <c r="L1657" s="66"/>
      <c r="M1657" s="27"/>
      <c r="N1657" s="27"/>
      <c r="O1657" s="27"/>
      <c r="P1657" s="27"/>
      <c r="Q1657" s="27"/>
      <c r="R1657" s="27"/>
      <c r="S1657" s="27"/>
      <c r="T1657" s="27"/>
      <c r="U1657" s="27"/>
      <c r="V1657" s="27"/>
      <c r="W1657" s="27"/>
      <c r="X1657" s="27"/>
      <c r="Y1657" s="27"/>
      <c r="Z1657" s="27"/>
      <c r="AA1657" s="27"/>
      <c r="AB1657" s="27"/>
      <c r="AC1657" s="27"/>
      <c r="AD1657" s="27"/>
      <c r="AE1657" s="27"/>
      <c r="AF1657" s="27"/>
      <c r="AG1657" s="27"/>
      <c r="AH1657" s="27">
        <v>171.0</v>
      </c>
      <c r="AI1657" s="27">
        <v>287.0</v>
      </c>
      <c r="AJ1657" s="27">
        <v>2.0</v>
      </c>
      <c r="AK1657" s="27" t="b">
        <v>0</v>
      </c>
      <c r="AL1657" s="27">
        <v>100.0</v>
      </c>
      <c r="AM1657" s="27" t="s">
        <v>186</v>
      </c>
      <c r="AN1657" s="27" t="s">
        <v>404</v>
      </c>
      <c r="AO1657" s="27"/>
    </row>
    <row r="1658">
      <c r="A1658" s="200">
        <v>44880.02511055555</v>
      </c>
      <c r="B1658" s="19" t="s">
        <v>116</v>
      </c>
      <c r="C1658" s="21" t="s">
        <v>355</v>
      </c>
      <c r="D1658" s="62">
        <v>5.0</v>
      </c>
      <c r="E1658" s="27">
        <v>5.0</v>
      </c>
      <c r="F1658" s="27" t="s">
        <v>2125</v>
      </c>
      <c r="G1658" s="201" t="s">
        <v>57</v>
      </c>
      <c r="H1658" s="27" t="s">
        <v>178</v>
      </c>
      <c r="I1658" s="27"/>
      <c r="J1658" s="33"/>
      <c r="K1658" s="33"/>
      <c r="L1658" s="66"/>
      <c r="M1658" s="27"/>
      <c r="N1658" s="27"/>
      <c r="O1658" s="27"/>
      <c r="P1658" s="27"/>
      <c r="Q1658" s="27"/>
      <c r="R1658" s="27"/>
      <c r="S1658" s="27"/>
      <c r="T1658" s="27"/>
      <c r="U1658" s="27"/>
      <c r="V1658" s="27"/>
      <c r="W1658" s="27"/>
      <c r="X1658" s="27"/>
      <c r="Y1658" s="27"/>
      <c r="Z1658" s="27"/>
      <c r="AA1658" s="27"/>
      <c r="AB1658" s="27"/>
      <c r="AC1658" s="27"/>
      <c r="AD1658" s="27"/>
      <c r="AE1658" s="27"/>
      <c r="AF1658" s="27"/>
      <c r="AG1658" s="27"/>
      <c r="AH1658" s="27">
        <v>280.0</v>
      </c>
      <c r="AI1658" s="27">
        <v>344.0</v>
      </c>
      <c r="AJ1658" s="27">
        <v>2.0</v>
      </c>
      <c r="AK1658" s="27" t="b">
        <v>0</v>
      </c>
      <c r="AL1658" s="27">
        <v>100.0</v>
      </c>
      <c r="AM1658" s="27" t="s">
        <v>189</v>
      </c>
      <c r="AN1658" s="27" t="s">
        <v>405</v>
      </c>
      <c r="AO1658" s="27"/>
    </row>
    <row r="1659">
      <c r="A1659" s="200">
        <v>44880.02511055555</v>
      </c>
      <c r="B1659" s="19" t="s">
        <v>116</v>
      </c>
      <c r="C1659" s="21" t="s">
        <v>388</v>
      </c>
      <c r="D1659" s="62">
        <v>6.0</v>
      </c>
      <c r="E1659" s="27">
        <v>3.0</v>
      </c>
      <c r="F1659" s="27" t="s">
        <v>2104</v>
      </c>
      <c r="G1659" s="201" t="s">
        <v>57</v>
      </c>
      <c r="H1659" s="27" t="s">
        <v>53</v>
      </c>
      <c r="I1659" s="27"/>
      <c r="J1659" s="33"/>
      <c r="K1659" s="33"/>
      <c r="L1659" s="66"/>
      <c r="M1659" s="27"/>
      <c r="N1659" s="27"/>
      <c r="O1659" s="27"/>
      <c r="P1659" s="27"/>
      <c r="Q1659" s="27"/>
      <c r="R1659" s="27"/>
      <c r="S1659" s="27"/>
      <c r="T1659" s="27"/>
      <c r="U1659" s="27"/>
      <c r="V1659" s="27"/>
      <c r="W1659" s="27"/>
      <c r="X1659" s="27"/>
      <c r="Y1659" s="27"/>
      <c r="Z1659" s="27"/>
      <c r="AA1659" s="27"/>
      <c r="AB1659" s="27"/>
      <c r="AC1659" s="27"/>
      <c r="AD1659" s="27"/>
      <c r="AE1659" s="27"/>
      <c r="AF1659" s="27"/>
      <c r="AG1659" s="27"/>
      <c r="AH1659" s="27">
        <v>318.0</v>
      </c>
      <c r="AI1659" s="27">
        <v>183.0</v>
      </c>
      <c r="AJ1659" s="27">
        <v>2.0</v>
      </c>
      <c r="AK1659" s="27" t="b">
        <v>1</v>
      </c>
      <c r="AL1659" s="27">
        <v>100.0</v>
      </c>
      <c r="AM1659" s="27" t="s">
        <v>193</v>
      </c>
      <c r="AN1659" s="27" t="s">
        <v>405</v>
      </c>
      <c r="AO1659" s="27"/>
    </row>
    <row r="1660">
      <c r="A1660" s="200">
        <v>44880.02511055555</v>
      </c>
      <c r="B1660" s="19" t="s">
        <v>116</v>
      </c>
      <c r="C1660" s="21" t="s">
        <v>347</v>
      </c>
      <c r="D1660" s="62">
        <v>3.0</v>
      </c>
      <c r="E1660" s="27">
        <v>7.0</v>
      </c>
      <c r="F1660" s="27" t="s">
        <v>2152</v>
      </c>
      <c r="G1660" s="201" t="s">
        <v>57</v>
      </c>
      <c r="H1660" s="27" t="s">
        <v>109</v>
      </c>
      <c r="I1660" s="27"/>
      <c r="J1660" s="33"/>
      <c r="K1660" s="33"/>
      <c r="L1660" s="66"/>
      <c r="M1660" s="27"/>
      <c r="N1660" s="27"/>
      <c r="O1660" s="27"/>
      <c r="P1660" s="27"/>
      <c r="Q1660" s="27"/>
      <c r="R1660" s="27"/>
      <c r="S1660" s="27"/>
      <c r="T1660" s="27"/>
      <c r="U1660" s="27"/>
      <c r="V1660" s="27"/>
      <c r="W1660" s="27"/>
      <c r="X1660" s="27"/>
      <c r="Y1660" s="27"/>
      <c r="Z1660" s="27"/>
      <c r="AA1660" s="27"/>
      <c r="AB1660" s="27"/>
      <c r="AC1660" s="27"/>
      <c r="AD1660" s="27"/>
      <c r="AE1660" s="27"/>
      <c r="AF1660" s="27"/>
      <c r="AG1660" s="27"/>
      <c r="AH1660" s="27">
        <v>229.0</v>
      </c>
      <c r="AI1660" s="27">
        <v>258.0</v>
      </c>
      <c r="AJ1660" s="27">
        <v>2.0</v>
      </c>
      <c r="AK1660" s="27" t="b">
        <v>0</v>
      </c>
      <c r="AL1660" s="27">
        <v>100.0</v>
      </c>
      <c r="AM1660" s="27" t="s">
        <v>389</v>
      </c>
      <c r="AN1660" s="27" t="s">
        <v>405</v>
      </c>
      <c r="AO1660" s="27"/>
    </row>
    <row r="1661">
      <c r="A1661" s="200">
        <v>44880.02511055555</v>
      </c>
      <c r="B1661" s="19" t="s">
        <v>116</v>
      </c>
      <c r="C1661" s="21" t="s">
        <v>369</v>
      </c>
      <c r="D1661" s="62">
        <v>9.0</v>
      </c>
      <c r="E1661" s="27">
        <v>1.0</v>
      </c>
      <c r="F1661" s="27" t="s">
        <v>2157</v>
      </c>
      <c r="G1661" s="201" t="s">
        <v>57</v>
      </c>
      <c r="H1661" s="27" t="s">
        <v>144</v>
      </c>
      <c r="I1661" s="27"/>
      <c r="J1661" s="33"/>
      <c r="K1661" s="33"/>
      <c r="L1661" s="66"/>
      <c r="M1661" s="27"/>
      <c r="N1661" s="27"/>
      <c r="O1661" s="27"/>
      <c r="P1661" s="27"/>
      <c r="Q1661" s="27"/>
      <c r="R1661" s="27"/>
      <c r="S1661" s="27"/>
      <c r="T1661" s="27"/>
      <c r="U1661" s="27"/>
      <c r="V1661" s="27"/>
      <c r="W1661" s="27"/>
      <c r="X1661" s="27"/>
      <c r="Y1661" s="27"/>
      <c r="Z1661" s="27"/>
      <c r="AA1661" s="27"/>
      <c r="AB1661" s="27"/>
      <c r="AC1661" s="27"/>
      <c r="AD1661" s="27"/>
      <c r="AE1661" s="27"/>
      <c r="AF1661" s="27"/>
      <c r="AG1661" s="27"/>
      <c r="AH1661" s="27">
        <v>424.0</v>
      </c>
      <c r="AI1661" s="27">
        <v>244.0</v>
      </c>
      <c r="AJ1661" s="27">
        <v>2.0</v>
      </c>
      <c r="AK1661" s="27" t="b">
        <v>0</v>
      </c>
      <c r="AL1661" s="27">
        <v>100.0</v>
      </c>
      <c r="AM1661" s="27" t="s">
        <v>191</v>
      </c>
      <c r="AN1661" s="27" t="s">
        <v>404</v>
      </c>
      <c r="AO1661" s="27"/>
    </row>
    <row r="1662">
      <c r="A1662" s="200">
        <v>44880.02511055555</v>
      </c>
      <c r="B1662" s="19" t="s">
        <v>116</v>
      </c>
      <c r="C1662" s="21" t="s">
        <v>329</v>
      </c>
      <c r="D1662" s="62">
        <v>5.0</v>
      </c>
      <c r="E1662" s="27">
        <v>5.0</v>
      </c>
      <c r="F1662" s="27" t="s">
        <v>2127</v>
      </c>
      <c r="G1662" s="201" t="s">
        <v>57</v>
      </c>
      <c r="H1662" s="27" t="s">
        <v>178</v>
      </c>
      <c r="I1662" s="27"/>
      <c r="J1662" s="33"/>
      <c r="K1662" s="33"/>
      <c r="L1662" s="66"/>
      <c r="M1662" s="27"/>
      <c r="N1662" s="27"/>
      <c r="O1662" s="27"/>
      <c r="P1662" s="27"/>
      <c r="Q1662" s="27"/>
      <c r="R1662" s="27"/>
      <c r="S1662" s="27"/>
      <c r="T1662" s="27"/>
      <c r="U1662" s="27"/>
      <c r="V1662" s="27"/>
      <c r="W1662" s="27"/>
      <c r="X1662" s="27"/>
      <c r="Y1662" s="27"/>
      <c r="Z1662" s="27"/>
      <c r="AA1662" s="27"/>
      <c r="AB1662" s="27"/>
      <c r="AC1662" s="27"/>
      <c r="AD1662" s="27"/>
      <c r="AE1662" s="27"/>
      <c r="AF1662" s="27"/>
      <c r="AG1662" s="27"/>
      <c r="AH1662" s="27">
        <v>244.0</v>
      </c>
      <c r="AI1662" s="27">
        <v>273.0</v>
      </c>
      <c r="AJ1662" s="27">
        <v>2.0</v>
      </c>
      <c r="AK1662" s="27" t="b">
        <v>1</v>
      </c>
      <c r="AL1662" s="27">
        <v>100.0</v>
      </c>
      <c r="AM1662" s="27" t="s">
        <v>190</v>
      </c>
      <c r="AN1662" s="27" t="s">
        <v>405</v>
      </c>
      <c r="AO1662" s="27"/>
    </row>
    <row r="1663">
      <c r="A1663" s="200">
        <v>44880.02511055555</v>
      </c>
      <c r="B1663" s="19"/>
      <c r="C1663" s="21"/>
      <c r="D1663" s="62"/>
      <c r="E1663" s="27"/>
      <c r="F1663" s="27"/>
      <c r="G1663" s="201"/>
      <c r="H1663" s="27"/>
      <c r="I1663" s="27"/>
      <c r="J1663" s="33"/>
      <c r="K1663" s="33"/>
      <c r="L1663" s="66"/>
      <c r="M1663" s="27"/>
      <c r="N1663" s="27"/>
      <c r="O1663" s="27"/>
      <c r="P1663" s="27"/>
      <c r="Q1663" s="27"/>
      <c r="R1663" s="27"/>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t="e">
        <v>#N/A</v>
      </c>
      <c r="AN1663" s="27" t="e">
        <v>#N/A</v>
      </c>
      <c r="AO1663" s="27"/>
    </row>
    <row r="1664">
      <c r="A1664" s="200">
        <v>44880.02511055555</v>
      </c>
      <c r="B1664" s="19" t="s">
        <v>148</v>
      </c>
      <c r="C1664" s="21" t="s">
        <v>316</v>
      </c>
      <c r="D1664" s="62">
        <v>7.0</v>
      </c>
      <c r="E1664" s="27">
        <v>3.0</v>
      </c>
      <c r="F1664" s="27" t="s">
        <v>2101</v>
      </c>
      <c r="G1664" s="201" t="s">
        <v>57</v>
      </c>
      <c r="H1664" s="27" t="s">
        <v>53</v>
      </c>
      <c r="I1664" s="27"/>
      <c r="J1664" s="33"/>
      <c r="K1664" s="33"/>
      <c r="L1664" s="66"/>
      <c r="M1664" s="27"/>
      <c r="N1664" s="27"/>
      <c r="O1664" s="27"/>
      <c r="P1664" s="27"/>
      <c r="Q1664" s="27"/>
      <c r="R1664" s="27"/>
      <c r="S1664" s="27"/>
      <c r="T1664" s="27"/>
      <c r="U1664" s="27"/>
      <c r="V1664" s="27"/>
      <c r="W1664" s="27"/>
      <c r="X1664" s="27"/>
      <c r="Y1664" s="27"/>
      <c r="Z1664" s="27"/>
      <c r="AA1664" s="27"/>
      <c r="AB1664" s="27"/>
      <c r="AC1664" s="27"/>
      <c r="AD1664" s="27"/>
      <c r="AE1664" s="27"/>
      <c r="AF1664" s="27"/>
      <c r="AG1664" s="27"/>
      <c r="AH1664" s="27">
        <v>300.0</v>
      </c>
      <c r="AI1664" s="27">
        <v>173.0</v>
      </c>
      <c r="AJ1664" s="27">
        <v>2.0</v>
      </c>
      <c r="AK1664" s="27" t="b">
        <v>1</v>
      </c>
      <c r="AL1664" s="27">
        <v>100.0</v>
      </c>
      <c r="AM1664" s="27" t="s">
        <v>129</v>
      </c>
      <c r="AN1664" s="27" t="s">
        <v>405</v>
      </c>
      <c r="AO1664" s="27"/>
    </row>
    <row r="1665">
      <c r="A1665" s="200">
        <v>44880.02511055555</v>
      </c>
      <c r="B1665" s="19" t="s">
        <v>148</v>
      </c>
      <c r="C1665" s="21" t="s">
        <v>387</v>
      </c>
      <c r="D1665" s="62">
        <v>3.0</v>
      </c>
      <c r="E1665" s="27">
        <v>7.0</v>
      </c>
      <c r="F1665" s="27" t="s">
        <v>2159</v>
      </c>
      <c r="G1665" s="201" t="s">
        <v>57</v>
      </c>
      <c r="H1665" s="27" t="s">
        <v>166</v>
      </c>
      <c r="I1665" s="27"/>
      <c r="J1665" s="33"/>
      <c r="K1665" s="33"/>
      <c r="L1665" s="66"/>
      <c r="M1665" s="27"/>
      <c r="N1665" s="27"/>
      <c r="O1665" s="27"/>
      <c r="P1665" s="27"/>
      <c r="Q1665" s="27"/>
      <c r="R1665" s="27"/>
      <c r="S1665" s="27"/>
      <c r="T1665" s="27"/>
      <c r="U1665" s="27"/>
      <c r="V1665" s="27"/>
      <c r="W1665" s="27"/>
      <c r="X1665" s="27"/>
      <c r="Y1665" s="27"/>
      <c r="Z1665" s="27"/>
      <c r="AA1665" s="27"/>
      <c r="AB1665" s="27"/>
      <c r="AC1665" s="27"/>
      <c r="AD1665" s="27"/>
      <c r="AE1665" s="27"/>
      <c r="AF1665" s="27"/>
      <c r="AG1665" s="27"/>
      <c r="AH1665" s="27">
        <v>215.0</v>
      </c>
      <c r="AI1665" s="27">
        <v>228.0</v>
      </c>
      <c r="AJ1665" s="27">
        <v>2.0</v>
      </c>
      <c r="AK1665" s="27" t="b">
        <v>0</v>
      </c>
      <c r="AL1665" s="27">
        <v>100.0</v>
      </c>
      <c r="AM1665" s="27" t="s">
        <v>192</v>
      </c>
      <c r="AN1665" s="27" t="s">
        <v>404</v>
      </c>
      <c r="AO1665" s="27"/>
    </row>
    <row r="1666">
      <c r="A1666" s="200">
        <v>44880.02511055555</v>
      </c>
      <c r="B1666" s="19" t="s">
        <v>148</v>
      </c>
      <c r="C1666" s="21" t="s">
        <v>377</v>
      </c>
      <c r="D1666" s="62">
        <v>8.0</v>
      </c>
      <c r="E1666" s="27">
        <v>2.0</v>
      </c>
      <c r="F1666" s="27" t="s">
        <v>2102</v>
      </c>
      <c r="G1666" s="201" t="s">
        <v>57</v>
      </c>
      <c r="H1666" s="27" t="s">
        <v>53</v>
      </c>
      <c r="I1666" s="27"/>
      <c r="J1666" s="33"/>
      <c r="K1666" s="33"/>
      <c r="L1666" s="66"/>
      <c r="M1666" s="27"/>
      <c r="N1666" s="27"/>
      <c r="O1666" s="27"/>
      <c r="P1666" s="27"/>
      <c r="Q1666" s="27"/>
      <c r="R1666" s="27"/>
      <c r="S1666" s="27"/>
      <c r="T1666" s="27"/>
      <c r="U1666" s="27"/>
      <c r="V1666" s="27"/>
      <c r="W1666" s="27"/>
      <c r="X1666" s="27"/>
      <c r="Y1666" s="27"/>
      <c r="Z1666" s="27"/>
      <c r="AA1666" s="27"/>
      <c r="AB1666" s="27"/>
      <c r="AC1666" s="27"/>
      <c r="AD1666" s="27"/>
      <c r="AE1666" s="27"/>
      <c r="AF1666" s="27"/>
      <c r="AG1666" s="27"/>
      <c r="AH1666" s="27">
        <v>384.0</v>
      </c>
      <c r="AI1666" s="27">
        <v>276.0</v>
      </c>
      <c r="AJ1666" s="27">
        <v>2.0</v>
      </c>
      <c r="AK1666" s="27" t="b">
        <v>0</v>
      </c>
      <c r="AL1666" s="27">
        <v>100.0</v>
      </c>
      <c r="AM1666" s="27" t="s">
        <v>191</v>
      </c>
      <c r="AN1666" s="27" t="s">
        <v>404</v>
      </c>
      <c r="AO1666" s="27"/>
    </row>
    <row r="1667">
      <c r="A1667" s="200">
        <v>44880.02511055555</v>
      </c>
      <c r="B1667" s="19" t="s">
        <v>148</v>
      </c>
      <c r="C1667" s="21" t="s">
        <v>380</v>
      </c>
      <c r="D1667" s="62">
        <v>3.0</v>
      </c>
      <c r="E1667" s="27">
        <v>7.0</v>
      </c>
      <c r="F1667" s="27" t="s">
        <v>2140</v>
      </c>
      <c r="G1667" s="201" t="s">
        <v>57</v>
      </c>
      <c r="H1667" s="27" t="s">
        <v>138</v>
      </c>
      <c r="I1667" s="27"/>
      <c r="J1667" s="33"/>
      <c r="K1667" s="33"/>
      <c r="L1667" s="66"/>
      <c r="M1667" s="27"/>
      <c r="N1667" s="27"/>
      <c r="O1667" s="27"/>
      <c r="P1667" s="27"/>
      <c r="Q1667" s="27"/>
      <c r="R1667" s="27"/>
      <c r="S1667" s="27"/>
      <c r="T1667" s="27"/>
      <c r="U1667" s="27"/>
      <c r="V1667" s="27"/>
      <c r="W1667" s="27"/>
      <c r="X1667" s="27"/>
      <c r="Y1667" s="27"/>
      <c r="Z1667" s="27"/>
      <c r="AA1667" s="27"/>
      <c r="AB1667" s="27"/>
      <c r="AC1667" s="27"/>
      <c r="AD1667" s="27"/>
      <c r="AE1667" s="27"/>
      <c r="AF1667" s="27"/>
      <c r="AG1667" s="27"/>
      <c r="AH1667" s="27">
        <v>224.0</v>
      </c>
      <c r="AI1667" s="27">
        <v>262.0</v>
      </c>
      <c r="AJ1667" s="27">
        <v>2.0</v>
      </c>
      <c r="AK1667" s="27" t="b">
        <v>1</v>
      </c>
      <c r="AL1667" s="27">
        <v>100.0</v>
      </c>
      <c r="AM1667" s="27" t="s">
        <v>193</v>
      </c>
      <c r="AN1667" s="27" t="s">
        <v>405</v>
      </c>
      <c r="AO1667" s="27"/>
    </row>
    <row r="1668">
      <c r="A1668" s="200">
        <v>44880.02511055555</v>
      </c>
      <c r="B1668" s="19" t="s">
        <v>148</v>
      </c>
      <c r="C1668" s="21" t="s">
        <v>374</v>
      </c>
      <c r="D1668" s="62">
        <v>8.0</v>
      </c>
      <c r="E1668" s="27">
        <v>2.0</v>
      </c>
      <c r="F1668" s="27" t="s">
        <v>2122</v>
      </c>
      <c r="G1668" s="201" t="s">
        <v>57</v>
      </c>
      <c r="H1668" s="27" t="s">
        <v>178</v>
      </c>
      <c r="I1668" s="27"/>
      <c r="J1668" s="33"/>
      <c r="K1668" s="33"/>
      <c r="L1668" s="66"/>
      <c r="M1668" s="27"/>
      <c r="N1668" s="27"/>
      <c r="O1668" s="27"/>
      <c r="P1668" s="27"/>
      <c r="Q1668" s="27"/>
      <c r="R1668" s="27"/>
      <c r="S1668" s="27"/>
      <c r="T1668" s="27"/>
      <c r="U1668" s="27"/>
      <c r="V1668" s="27"/>
      <c r="W1668" s="27"/>
      <c r="X1668" s="27"/>
      <c r="Y1668" s="27"/>
      <c r="Z1668" s="27"/>
      <c r="AA1668" s="27"/>
      <c r="AB1668" s="27"/>
      <c r="AC1668" s="27"/>
      <c r="AD1668" s="27"/>
      <c r="AE1668" s="27"/>
      <c r="AF1668" s="27"/>
      <c r="AG1668" s="27"/>
      <c r="AH1668" s="27">
        <v>359.0</v>
      </c>
      <c r="AI1668" s="27">
        <v>200.0</v>
      </c>
      <c r="AJ1668" s="27">
        <v>2.0</v>
      </c>
      <c r="AK1668" s="27" t="b">
        <v>1</v>
      </c>
      <c r="AL1668" s="27">
        <v>100.0</v>
      </c>
      <c r="AM1668" s="27" t="s">
        <v>389</v>
      </c>
      <c r="AN1668" s="27" t="s">
        <v>405</v>
      </c>
      <c r="AO1668" s="27"/>
    </row>
    <row r="1669">
      <c r="A1669" s="200">
        <v>44880.02511055555</v>
      </c>
      <c r="B1669" s="19" t="s">
        <v>148</v>
      </c>
      <c r="C1669" s="21" t="s">
        <v>326</v>
      </c>
      <c r="D1669" s="62">
        <v>4.0</v>
      </c>
      <c r="E1669" s="27">
        <v>6.0</v>
      </c>
      <c r="F1669" s="27" t="s">
        <v>2162</v>
      </c>
      <c r="G1669" s="201" t="s">
        <v>57</v>
      </c>
      <c r="H1669" s="27" t="s">
        <v>116</v>
      </c>
      <c r="I1669" s="27"/>
      <c r="J1669" s="33"/>
      <c r="K1669" s="33"/>
      <c r="L1669" s="66"/>
      <c r="M1669" s="27"/>
      <c r="N1669" s="27"/>
      <c r="O1669" s="27"/>
      <c r="P1669" s="27"/>
      <c r="Q1669" s="27"/>
      <c r="R1669" s="27"/>
      <c r="S1669" s="27"/>
      <c r="T1669" s="27"/>
      <c r="U1669" s="27"/>
      <c r="V1669" s="27"/>
      <c r="W1669" s="27"/>
      <c r="X1669" s="27"/>
      <c r="Y1669" s="27"/>
      <c r="Z1669" s="27"/>
      <c r="AA1669" s="27"/>
      <c r="AB1669" s="27"/>
      <c r="AC1669" s="27"/>
      <c r="AD1669" s="27"/>
      <c r="AE1669" s="27"/>
      <c r="AF1669" s="27"/>
      <c r="AG1669" s="27"/>
      <c r="AH1669" s="27">
        <v>218.0</v>
      </c>
      <c r="AI1669" s="27">
        <v>167.0</v>
      </c>
      <c r="AJ1669" s="27">
        <v>2.0</v>
      </c>
      <c r="AK1669" s="27" t="b">
        <v>1</v>
      </c>
      <c r="AL1669" s="27">
        <v>100.0</v>
      </c>
      <c r="AM1669" s="27" t="s">
        <v>187</v>
      </c>
      <c r="AN1669" s="27" t="s">
        <v>404</v>
      </c>
      <c r="AO1669" s="27"/>
    </row>
    <row r="1670">
      <c r="A1670" s="200">
        <v>44880.02511055555</v>
      </c>
      <c r="B1670" s="19" t="s">
        <v>148</v>
      </c>
      <c r="C1670" s="21" t="s">
        <v>401</v>
      </c>
      <c r="D1670" s="62">
        <v>1.0</v>
      </c>
      <c r="E1670" s="27">
        <v>9.0</v>
      </c>
      <c r="F1670" s="27" t="s">
        <v>2163</v>
      </c>
      <c r="G1670" s="201" t="s">
        <v>57</v>
      </c>
      <c r="H1670" s="27" t="s">
        <v>154</v>
      </c>
      <c r="I1670" s="27"/>
      <c r="J1670" s="33"/>
      <c r="K1670" s="33"/>
      <c r="L1670" s="66"/>
      <c r="M1670" s="27"/>
      <c r="N1670" s="27"/>
      <c r="O1670" s="27"/>
      <c r="P1670" s="27"/>
      <c r="Q1670" s="27"/>
      <c r="R1670" s="27"/>
      <c r="S1670" s="27"/>
      <c r="T1670" s="27"/>
      <c r="U1670" s="27"/>
      <c r="V1670" s="27"/>
      <c r="W1670" s="27"/>
      <c r="X1670" s="27"/>
      <c r="Y1670" s="27"/>
      <c r="Z1670" s="27"/>
      <c r="AA1670" s="27"/>
      <c r="AB1670" s="27"/>
      <c r="AC1670" s="27"/>
      <c r="AD1670" s="27"/>
      <c r="AE1670" s="27"/>
      <c r="AF1670" s="27"/>
      <c r="AG1670" s="27"/>
      <c r="AH1670" s="27">
        <v>140.0</v>
      </c>
      <c r="AI1670" s="27">
        <v>309.0</v>
      </c>
      <c r="AJ1670" s="27">
        <v>2.0</v>
      </c>
      <c r="AK1670" s="27" t="b">
        <v>0</v>
      </c>
      <c r="AL1670" s="27">
        <v>100.0</v>
      </c>
      <c r="AM1670" s="27" t="s">
        <v>189</v>
      </c>
      <c r="AN1670" s="27" t="s">
        <v>405</v>
      </c>
      <c r="AO1670" s="27"/>
    </row>
    <row r="1671">
      <c r="A1671" s="200">
        <v>44880.02511055555</v>
      </c>
      <c r="B1671" s="19" t="s">
        <v>148</v>
      </c>
      <c r="C1671" s="21" t="s">
        <v>381</v>
      </c>
      <c r="D1671" s="62">
        <v>6.0</v>
      </c>
      <c r="E1671" s="27">
        <v>4.0</v>
      </c>
      <c r="F1671" s="27" t="s">
        <v>2156</v>
      </c>
      <c r="G1671" s="201" t="s">
        <v>57</v>
      </c>
      <c r="H1671" s="27" t="s">
        <v>144</v>
      </c>
      <c r="I1671" s="27"/>
      <c r="J1671" s="33"/>
      <c r="K1671" s="33"/>
      <c r="L1671" s="66"/>
      <c r="M1671" s="27"/>
      <c r="N1671" s="27"/>
      <c r="O1671" s="27"/>
      <c r="P1671" s="27"/>
      <c r="Q1671" s="27"/>
      <c r="R1671" s="27"/>
      <c r="S1671" s="27"/>
      <c r="T1671" s="27"/>
      <c r="U1671" s="27"/>
      <c r="V1671" s="27"/>
      <c r="W1671" s="27"/>
      <c r="X1671" s="27"/>
      <c r="Y1671" s="27"/>
      <c r="Z1671" s="27"/>
      <c r="AA1671" s="27"/>
      <c r="AB1671" s="27"/>
      <c r="AC1671" s="27"/>
      <c r="AD1671" s="27"/>
      <c r="AE1671" s="27"/>
      <c r="AF1671" s="27"/>
      <c r="AG1671" s="27"/>
      <c r="AH1671" s="27">
        <v>296.0</v>
      </c>
      <c r="AI1671" s="27">
        <v>252.0</v>
      </c>
      <c r="AJ1671" s="27">
        <v>2.0</v>
      </c>
      <c r="AK1671" s="27" t="b">
        <v>1</v>
      </c>
      <c r="AL1671" s="27">
        <v>100.0</v>
      </c>
      <c r="AM1671" s="27" t="s">
        <v>188</v>
      </c>
      <c r="AN1671" s="27" t="s">
        <v>404</v>
      </c>
      <c r="AO1671" s="27"/>
    </row>
    <row r="1672">
      <c r="A1672" s="200">
        <v>44880.02511055555</v>
      </c>
      <c r="B1672" s="19" t="s">
        <v>148</v>
      </c>
      <c r="C1672" s="21" t="s">
        <v>384</v>
      </c>
      <c r="D1672" s="62">
        <v>2.0</v>
      </c>
      <c r="E1672" s="27">
        <v>8.0</v>
      </c>
      <c r="F1672" s="27" t="s">
        <v>2164</v>
      </c>
      <c r="G1672" s="201" t="s">
        <v>57</v>
      </c>
      <c r="H1672" s="27"/>
      <c r="I1672" s="27"/>
      <c r="J1672" s="33"/>
      <c r="K1672" s="33"/>
      <c r="L1672" s="66"/>
      <c r="M1672" s="27"/>
      <c r="N1672" s="27"/>
      <c r="O1672" s="27"/>
      <c r="P1672" s="27"/>
      <c r="Q1672" s="27"/>
      <c r="R1672" s="27"/>
      <c r="S1672" s="27"/>
      <c r="T1672" s="27"/>
      <c r="U1672" s="27"/>
      <c r="V1672" s="27"/>
      <c r="W1672" s="27"/>
      <c r="X1672" s="27"/>
      <c r="Y1672" s="27"/>
      <c r="Z1672" s="27"/>
      <c r="AA1672" s="27"/>
      <c r="AB1672" s="27"/>
      <c r="AC1672" s="27"/>
      <c r="AD1672" s="27"/>
      <c r="AE1672" s="27"/>
      <c r="AF1672" s="27"/>
      <c r="AG1672" s="27"/>
      <c r="AH1672" s="27">
        <v>189.0</v>
      </c>
      <c r="AI1672" s="27">
        <v>250.0</v>
      </c>
      <c r="AJ1672" s="27">
        <v>2.0</v>
      </c>
      <c r="AK1672" s="27" t="b">
        <v>0</v>
      </c>
      <c r="AL1672" s="27">
        <v>100.0</v>
      </c>
      <c r="AM1672" s="27" t="s">
        <v>186</v>
      </c>
      <c r="AN1672" s="27" t="s">
        <v>404</v>
      </c>
      <c r="AO1672" s="27"/>
    </row>
    <row r="1673">
      <c r="A1673" s="200">
        <v>44880.02511055555</v>
      </c>
      <c r="B1673" s="19" t="s">
        <v>148</v>
      </c>
      <c r="C1673" s="21" t="s">
        <v>335</v>
      </c>
      <c r="D1673" s="62">
        <v>5.0</v>
      </c>
      <c r="E1673" s="27">
        <v>5.0</v>
      </c>
      <c r="F1673" s="27" t="s">
        <v>2158</v>
      </c>
      <c r="G1673" s="201" t="s">
        <v>57</v>
      </c>
      <c r="H1673" s="27" t="s">
        <v>144</v>
      </c>
      <c r="I1673" s="27"/>
      <c r="J1673" s="33"/>
      <c r="K1673" s="33"/>
      <c r="L1673" s="66"/>
      <c r="M1673" s="27"/>
      <c r="N1673" s="27"/>
      <c r="O1673" s="27"/>
      <c r="P1673" s="27"/>
      <c r="Q1673" s="27"/>
      <c r="R1673" s="27"/>
      <c r="S1673" s="27"/>
      <c r="T1673" s="27"/>
      <c r="U1673" s="27"/>
      <c r="V1673" s="27"/>
      <c r="W1673" s="27"/>
      <c r="X1673" s="27"/>
      <c r="Y1673" s="27"/>
      <c r="Z1673" s="27"/>
      <c r="AA1673" s="27"/>
      <c r="AB1673" s="27"/>
      <c r="AC1673" s="27"/>
      <c r="AD1673" s="27"/>
      <c r="AE1673" s="27"/>
      <c r="AF1673" s="27"/>
      <c r="AG1673" s="27"/>
      <c r="AH1673" s="27">
        <v>230.0</v>
      </c>
      <c r="AI1673" s="27">
        <v>326.0</v>
      </c>
      <c r="AJ1673" s="27">
        <v>2.0</v>
      </c>
      <c r="AK1673" s="27" t="b">
        <v>0</v>
      </c>
      <c r="AL1673" s="27">
        <v>100.0</v>
      </c>
      <c r="AM1673" s="27" t="s">
        <v>190</v>
      </c>
      <c r="AN1673" s="27" t="s">
        <v>405</v>
      </c>
      <c r="AO1673" s="27"/>
    </row>
    <row r="1674">
      <c r="A1674" s="200">
        <v>44880.02511055555</v>
      </c>
      <c r="B1674" s="19"/>
      <c r="C1674" s="21"/>
      <c r="D1674" s="62"/>
      <c r="E1674" s="27"/>
      <c r="F1674" s="27"/>
      <c r="G1674" s="201"/>
      <c r="H1674" s="27"/>
      <c r="I1674" s="27"/>
      <c r="J1674" s="33"/>
      <c r="K1674" s="33"/>
      <c r="L1674" s="66"/>
      <c r="M1674" s="27"/>
      <c r="N1674" s="27"/>
      <c r="O1674" s="27"/>
      <c r="P1674" s="27"/>
      <c r="Q1674" s="27"/>
      <c r="R1674" s="27"/>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t="e">
        <v>#N/A</v>
      </c>
      <c r="AN1674" s="27" t="e">
        <v>#N/A</v>
      </c>
      <c r="AO1674" s="27"/>
    </row>
    <row r="1675">
      <c r="A1675" s="200">
        <v>44880.02511055555</v>
      </c>
      <c r="B1675" s="19" t="s">
        <v>103</v>
      </c>
      <c r="C1675" s="21" t="s">
        <v>322</v>
      </c>
      <c r="D1675" s="62">
        <v>4.0</v>
      </c>
      <c r="E1675" s="27">
        <v>6.0</v>
      </c>
      <c r="F1675" s="27" t="s">
        <v>2119</v>
      </c>
      <c r="G1675" s="201" t="s">
        <v>57</v>
      </c>
      <c r="H1675" s="27" t="s">
        <v>178</v>
      </c>
      <c r="I1675" s="27"/>
      <c r="J1675" s="33"/>
      <c r="K1675" s="33"/>
      <c r="L1675" s="66"/>
      <c r="M1675" s="27"/>
      <c r="N1675" s="27"/>
      <c r="O1675" s="27"/>
      <c r="P1675" s="27"/>
      <c r="Q1675" s="27"/>
      <c r="R1675" s="27"/>
      <c r="S1675" s="27"/>
      <c r="T1675" s="27"/>
      <c r="U1675" s="27"/>
      <c r="V1675" s="27"/>
      <c r="W1675" s="27"/>
      <c r="X1675" s="27"/>
      <c r="Y1675" s="27"/>
      <c r="Z1675" s="27"/>
      <c r="AA1675" s="27"/>
      <c r="AB1675" s="27"/>
      <c r="AC1675" s="27"/>
      <c r="AD1675" s="27"/>
      <c r="AE1675" s="27"/>
      <c r="AF1675" s="27"/>
      <c r="AG1675" s="27"/>
      <c r="AH1675" s="27">
        <v>312.0</v>
      </c>
      <c r="AI1675" s="27">
        <v>372.0</v>
      </c>
      <c r="AJ1675" s="27">
        <v>2.0</v>
      </c>
      <c r="AK1675" s="27" t="b">
        <v>1</v>
      </c>
      <c r="AL1675" s="27">
        <v>100.0</v>
      </c>
      <c r="AM1675" s="27" t="s">
        <v>191</v>
      </c>
      <c r="AN1675" s="27" t="s">
        <v>404</v>
      </c>
      <c r="AO1675" s="27"/>
    </row>
    <row r="1676">
      <c r="A1676" s="200">
        <v>44880.02511055555</v>
      </c>
      <c r="B1676" s="19" t="s">
        <v>103</v>
      </c>
      <c r="C1676" s="21" t="s">
        <v>340</v>
      </c>
      <c r="D1676" s="62">
        <v>7.0</v>
      </c>
      <c r="E1676" s="27">
        <v>3.0</v>
      </c>
      <c r="F1676" s="27" t="s">
        <v>2139</v>
      </c>
      <c r="G1676" s="201" t="s">
        <v>57</v>
      </c>
      <c r="H1676" s="27" t="s">
        <v>138</v>
      </c>
      <c r="I1676" s="27"/>
      <c r="J1676" s="33"/>
      <c r="K1676" s="33"/>
      <c r="L1676" s="66"/>
      <c r="M1676" s="27"/>
      <c r="N1676" s="27"/>
      <c r="O1676" s="27"/>
      <c r="P1676" s="27"/>
      <c r="Q1676" s="27"/>
      <c r="R1676" s="27"/>
      <c r="S1676" s="27"/>
      <c r="T1676" s="27"/>
      <c r="U1676" s="27"/>
      <c r="V1676" s="27"/>
      <c r="W1676" s="27"/>
      <c r="X1676" s="27"/>
      <c r="Y1676" s="27"/>
      <c r="Z1676" s="27"/>
      <c r="AA1676" s="27"/>
      <c r="AB1676" s="27"/>
      <c r="AC1676" s="27"/>
      <c r="AD1676" s="27"/>
      <c r="AE1676" s="27"/>
      <c r="AF1676" s="27"/>
      <c r="AG1676" s="27"/>
      <c r="AH1676" s="27">
        <v>340.0</v>
      </c>
      <c r="AI1676" s="27">
        <v>181.0</v>
      </c>
      <c r="AJ1676" s="27">
        <v>2.0</v>
      </c>
      <c r="AK1676" s="27" t="b">
        <v>1</v>
      </c>
      <c r="AL1676" s="27">
        <v>100.0</v>
      </c>
      <c r="AM1676" s="27" t="s">
        <v>186</v>
      </c>
      <c r="AN1676" s="27" t="s">
        <v>404</v>
      </c>
      <c r="AO1676" s="27"/>
    </row>
    <row r="1677">
      <c r="A1677" s="200">
        <v>44880.02511055555</v>
      </c>
      <c r="B1677" s="19" t="s">
        <v>103</v>
      </c>
      <c r="C1677" s="21" t="s">
        <v>358</v>
      </c>
      <c r="D1677" s="62">
        <v>10.0</v>
      </c>
      <c r="E1677" s="27">
        <v>0.0</v>
      </c>
      <c r="F1677" s="27" t="s">
        <v>2160</v>
      </c>
      <c r="G1677" s="201" t="s">
        <v>57</v>
      </c>
      <c r="H1677" s="27" t="s">
        <v>166</v>
      </c>
      <c r="I1677" s="27"/>
      <c r="J1677" s="33"/>
      <c r="K1677" s="33"/>
      <c r="L1677" s="66"/>
      <c r="M1677" s="27"/>
      <c r="N1677" s="27"/>
      <c r="O1677" s="27"/>
      <c r="P1677" s="27"/>
      <c r="Q1677" s="27"/>
      <c r="R1677" s="27"/>
      <c r="S1677" s="27"/>
      <c r="T1677" s="27"/>
      <c r="U1677" s="27"/>
      <c r="V1677" s="27"/>
      <c r="W1677" s="27"/>
      <c r="X1677" s="27"/>
      <c r="Y1677" s="27"/>
      <c r="Z1677" s="27"/>
      <c r="AA1677" s="27"/>
      <c r="AB1677" s="27"/>
      <c r="AC1677" s="27"/>
      <c r="AD1677" s="27"/>
      <c r="AE1677" s="27"/>
      <c r="AF1677" s="27"/>
      <c r="AG1677" s="27"/>
      <c r="AH1677" s="27">
        <v>405.0</v>
      </c>
      <c r="AI1677" s="27">
        <v>252.0</v>
      </c>
      <c r="AJ1677" s="27">
        <v>2.0</v>
      </c>
      <c r="AK1677" s="27" t="b">
        <v>1</v>
      </c>
      <c r="AL1677" s="27">
        <v>100.0</v>
      </c>
      <c r="AM1677" s="27" t="s">
        <v>187</v>
      </c>
      <c r="AN1677" s="27" t="s">
        <v>404</v>
      </c>
      <c r="AO1677" s="27"/>
    </row>
    <row r="1678">
      <c r="A1678" s="200">
        <v>44880.02511055555</v>
      </c>
      <c r="B1678" s="19" t="s">
        <v>103</v>
      </c>
      <c r="C1678" s="21" t="s">
        <v>373</v>
      </c>
      <c r="D1678" s="62">
        <v>8.0</v>
      </c>
      <c r="E1678" s="27">
        <v>2.0</v>
      </c>
      <c r="F1678" s="27" t="s">
        <v>2146</v>
      </c>
      <c r="G1678" s="201" t="s">
        <v>57</v>
      </c>
      <c r="H1678" s="27" t="s">
        <v>141</v>
      </c>
      <c r="I1678" s="27"/>
      <c r="J1678" s="33"/>
      <c r="K1678" s="33"/>
      <c r="L1678" s="66"/>
      <c r="M1678" s="27"/>
      <c r="N1678" s="27"/>
      <c r="O1678" s="27"/>
      <c r="P1678" s="27"/>
      <c r="Q1678" s="27"/>
      <c r="R1678" s="27"/>
      <c r="S1678" s="27"/>
      <c r="T1678" s="27"/>
      <c r="U1678" s="27"/>
      <c r="V1678" s="27"/>
      <c r="W1678" s="27"/>
      <c r="X1678" s="27"/>
      <c r="Y1678" s="27"/>
      <c r="Z1678" s="27"/>
      <c r="AA1678" s="27"/>
      <c r="AB1678" s="27"/>
      <c r="AC1678" s="27"/>
      <c r="AD1678" s="27"/>
      <c r="AE1678" s="27"/>
      <c r="AF1678" s="27"/>
      <c r="AG1678" s="27"/>
      <c r="AH1678" s="27">
        <v>361.0</v>
      </c>
      <c r="AI1678" s="27">
        <v>224.0</v>
      </c>
      <c r="AJ1678" s="27">
        <v>2.0</v>
      </c>
      <c r="AK1678" s="27" t="b">
        <v>0</v>
      </c>
      <c r="AL1678" s="27">
        <v>100.0</v>
      </c>
      <c r="AM1678" s="27" t="s">
        <v>192</v>
      </c>
      <c r="AN1678" s="27" t="s">
        <v>404</v>
      </c>
      <c r="AO1678" s="27"/>
    </row>
    <row r="1679">
      <c r="A1679" s="200">
        <v>44880.02511055555</v>
      </c>
      <c r="B1679" s="19" t="s">
        <v>103</v>
      </c>
      <c r="C1679" s="21" t="s">
        <v>341</v>
      </c>
      <c r="D1679" s="62">
        <v>6.0</v>
      </c>
      <c r="E1679" s="27">
        <v>4.0</v>
      </c>
      <c r="F1679" s="27" t="s">
        <v>2150</v>
      </c>
      <c r="G1679" s="201" t="s">
        <v>57</v>
      </c>
      <c r="H1679" s="27" t="s">
        <v>109</v>
      </c>
      <c r="I1679" s="27"/>
      <c r="J1679" s="33"/>
      <c r="K1679" s="33"/>
      <c r="L1679" s="66"/>
      <c r="M1679" s="27"/>
      <c r="N1679" s="27"/>
      <c r="O1679" s="27"/>
      <c r="P1679" s="27"/>
      <c r="Q1679" s="27"/>
      <c r="R1679" s="27"/>
      <c r="S1679" s="27"/>
      <c r="T1679" s="27"/>
      <c r="U1679" s="27"/>
      <c r="V1679" s="27"/>
      <c r="W1679" s="27"/>
      <c r="X1679" s="27"/>
      <c r="Y1679" s="27"/>
      <c r="Z1679" s="27"/>
      <c r="AA1679" s="27"/>
      <c r="AB1679" s="27"/>
      <c r="AC1679" s="27"/>
      <c r="AD1679" s="27"/>
      <c r="AE1679" s="27"/>
      <c r="AF1679" s="27"/>
      <c r="AG1679" s="27"/>
      <c r="AH1679" s="27">
        <v>283.0</v>
      </c>
      <c r="AI1679" s="27">
        <v>246.0</v>
      </c>
      <c r="AJ1679" s="27">
        <v>2.0</v>
      </c>
      <c r="AK1679" s="27" t="b">
        <v>0</v>
      </c>
      <c r="AL1679" s="27">
        <v>100.0</v>
      </c>
      <c r="AM1679" s="27" t="s">
        <v>188</v>
      </c>
      <c r="AN1679" s="27" t="s">
        <v>404</v>
      </c>
      <c r="AO1679" s="27"/>
    </row>
    <row r="1680">
      <c r="A1680" s="200">
        <v>44880.02511055555</v>
      </c>
      <c r="B1680" s="19" t="s">
        <v>103</v>
      </c>
      <c r="C1680" s="21" t="s">
        <v>324</v>
      </c>
      <c r="D1680" s="62">
        <v>7.0</v>
      </c>
      <c r="E1680" s="27">
        <v>3.0</v>
      </c>
      <c r="F1680" s="27" t="s">
        <v>2124</v>
      </c>
      <c r="G1680" s="201" t="s">
        <v>57</v>
      </c>
      <c r="H1680" s="27" t="s">
        <v>178</v>
      </c>
      <c r="I1680" s="27"/>
      <c r="J1680" s="33"/>
      <c r="K1680" s="33"/>
      <c r="L1680" s="66"/>
      <c r="M1680" s="27"/>
      <c r="N1680" s="27"/>
      <c r="O1680" s="27"/>
      <c r="P1680" s="27"/>
      <c r="Q1680" s="27"/>
      <c r="R1680" s="27"/>
      <c r="S1680" s="27"/>
      <c r="T1680" s="27"/>
      <c r="U1680" s="27"/>
      <c r="V1680" s="27"/>
      <c r="W1680" s="27"/>
      <c r="X1680" s="27"/>
      <c r="Y1680" s="27"/>
      <c r="Z1680" s="27"/>
      <c r="AA1680" s="27"/>
      <c r="AB1680" s="27"/>
      <c r="AC1680" s="27"/>
      <c r="AD1680" s="27"/>
      <c r="AE1680" s="27"/>
      <c r="AF1680" s="27"/>
      <c r="AG1680" s="27"/>
      <c r="AH1680" s="27">
        <v>295.0</v>
      </c>
      <c r="AI1680" s="27">
        <v>144.0</v>
      </c>
      <c r="AJ1680" s="27">
        <v>2.0</v>
      </c>
      <c r="AK1680" s="27" t="b">
        <v>1</v>
      </c>
      <c r="AL1680" s="27">
        <v>100.0</v>
      </c>
      <c r="AM1680" s="27" t="s">
        <v>129</v>
      </c>
      <c r="AN1680" s="27" t="s">
        <v>405</v>
      </c>
      <c r="AO1680" s="27"/>
    </row>
    <row r="1681">
      <c r="A1681" s="200">
        <v>44880.02511055555</v>
      </c>
      <c r="B1681" s="19" t="s">
        <v>103</v>
      </c>
      <c r="C1681" s="21" t="s">
        <v>378</v>
      </c>
      <c r="D1681" s="62">
        <v>5.0</v>
      </c>
      <c r="E1681" s="27">
        <v>5.0</v>
      </c>
      <c r="F1681" s="27" t="s">
        <v>2116</v>
      </c>
      <c r="G1681" s="201" t="s">
        <v>57</v>
      </c>
      <c r="H1681" s="27" t="s">
        <v>131</v>
      </c>
      <c r="I1681" s="27"/>
      <c r="J1681" s="33"/>
      <c r="K1681" s="33"/>
      <c r="L1681" s="66"/>
      <c r="M1681" s="27"/>
      <c r="N1681" s="27"/>
      <c r="O1681" s="27"/>
      <c r="P1681" s="27"/>
      <c r="Q1681" s="27"/>
      <c r="R1681" s="27"/>
      <c r="S1681" s="27"/>
      <c r="T1681" s="27"/>
      <c r="U1681" s="27"/>
      <c r="V1681" s="27"/>
      <c r="W1681" s="27"/>
      <c r="X1681" s="27"/>
      <c r="Y1681" s="27"/>
      <c r="Z1681" s="27"/>
      <c r="AA1681" s="27"/>
      <c r="AB1681" s="27"/>
      <c r="AC1681" s="27"/>
      <c r="AD1681" s="27"/>
      <c r="AE1681" s="27"/>
      <c r="AF1681" s="27"/>
      <c r="AG1681" s="27"/>
      <c r="AH1681" s="27">
        <v>320.0</v>
      </c>
      <c r="AI1681" s="27">
        <v>213.0</v>
      </c>
      <c r="AJ1681" s="27">
        <v>2.0</v>
      </c>
      <c r="AK1681" s="27" t="b">
        <v>1</v>
      </c>
      <c r="AL1681" s="27">
        <v>100.0</v>
      </c>
      <c r="AM1681" s="27" t="s">
        <v>189</v>
      </c>
      <c r="AN1681" s="27" t="s">
        <v>405</v>
      </c>
      <c r="AO1681" s="27"/>
    </row>
    <row r="1682">
      <c r="A1682" s="200">
        <v>44880.02511055555</v>
      </c>
      <c r="B1682" s="19" t="s">
        <v>103</v>
      </c>
      <c r="C1682" s="21" t="s">
        <v>362</v>
      </c>
      <c r="D1682" s="62">
        <v>3.0</v>
      </c>
      <c r="E1682" s="27">
        <v>7.0</v>
      </c>
      <c r="F1682" s="27" t="s">
        <v>2165</v>
      </c>
      <c r="G1682" s="201" t="s">
        <v>57</v>
      </c>
      <c r="H1682" s="27" t="s">
        <v>154</v>
      </c>
      <c r="I1682" s="27"/>
      <c r="J1682" s="33"/>
      <c r="K1682" s="33"/>
      <c r="L1682" s="66"/>
      <c r="M1682" s="27"/>
      <c r="N1682" s="27"/>
      <c r="O1682" s="27"/>
      <c r="P1682" s="27"/>
      <c r="Q1682" s="27"/>
      <c r="R1682" s="27"/>
      <c r="S1682" s="27"/>
      <c r="T1682" s="27"/>
      <c r="U1682" s="27"/>
      <c r="V1682" s="27"/>
      <c r="W1682" s="27"/>
      <c r="X1682" s="27"/>
      <c r="Y1682" s="27"/>
      <c r="Z1682" s="27"/>
      <c r="AA1682" s="27"/>
      <c r="AB1682" s="27"/>
      <c r="AC1682" s="27"/>
      <c r="AD1682" s="27"/>
      <c r="AE1682" s="27"/>
      <c r="AF1682" s="27"/>
      <c r="AG1682" s="27"/>
      <c r="AH1682" s="27">
        <v>214.0</v>
      </c>
      <c r="AI1682" s="27">
        <v>279.0</v>
      </c>
      <c r="AJ1682" s="27">
        <v>2.0</v>
      </c>
      <c r="AK1682" s="27" t="b">
        <v>0</v>
      </c>
      <c r="AL1682" s="27">
        <v>100.0</v>
      </c>
      <c r="AM1682" s="27" t="s">
        <v>389</v>
      </c>
      <c r="AN1682" s="27" t="s">
        <v>405</v>
      </c>
      <c r="AO1682" s="27"/>
    </row>
    <row r="1683">
      <c r="A1683" s="200">
        <v>44880.02511055555</v>
      </c>
      <c r="B1683" s="19" t="s">
        <v>103</v>
      </c>
      <c r="C1683" s="21" t="s">
        <v>361</v>
      </c>
      <c r="D1683" s="62">
        <v>4.0</v>
      </c>
      <c r="E1683" s="27">
        <v>6.0</v>
      </c>
      <c r="F1683" s="27" t="s">
        <v>2117</v>
      </c>
      <c r="G1683" s="201" t="s">
        <v>57</v>
      </c>
      <c r="H1683" s="27" t="s">
        <v>131</v>
      </c>
      <c r="I1683" s="27"/>
      <c r="J1683" s="33"/>
      <c r="K1683" s="33"/>
      <c r="L1683" s="66"/>
      <c r="M1683" s="27"/>
      <c r="N1683" s="27"/>
      <c r="O1683" s="27"/>
      <c r="P1683" s="27"/>
      <c r="Q1683" s="27"/>
      <c r="R1683" s="27"/>
      <c r="S1683" s="27"/>
      <c r="T1683" s="27"/>
      <c r="U1683" s="27"/>
      <c r="V1683" s="27"/>
      <c r="W1683" s="27"/>
      <c r="X1683" s="27"/>
      <c r="Y1683" s="27"/>
      <c r="Z1683" s="27"/>
      <c r="AA1683" s="27"/>
      <c r="AB1683" s="27"/>
      <c r="AC1683" s="27"/>
      <c r="AD1683" s="27"/>
      <c r="AE1683" s="27"/>
      <c r="AF1683" s="27"/>
      <c r="AG1683" s="27"/>
      <c r="AH1683" s="27">
        <v>297.0</v>
      </c>
      <c r="AI1683" s="27">
        <v>304.0</v>
      </c>
      <c r="AJ1683" s="27">
        <v>2.0</v>
      </c>
      <c r="AK1683" s="27" t="b">
        <v>1</v>
      </c>
      <c r="AL1683" s="27">
        <v>100.0</v>
      </c>
      <c r="AM1683" s="27" t="s">
        <v>193</v>
      </c>
      <c r="AN1683" s="27" t="s">
        <v>405</v>
      </c>
      <c r="AO1683" s="27"/>
    </row>
    <row r="1684">
      <c r="A1684" s="200">
        <v>44880.02511055555</v>
      </c>
      <c r="B1684" s="19" t="s">
        <v>103</v>
      </c>
      <c r="C1684" s="21" t="s">
        <v>356</v>
      </c>
      <c r="D1684" s="62">
        <v>6.0</v>
      </c>
      <c r="E1684" s="27">
        <v>4.0</v>
      </c>
      <c r="F1684" s="27" t="s">
        <v>2149</v>
      </c>
      <c r="G1684" s="201" t="s">
        <v>57</v>
      </c>
      <c r="H1684" s="27" t="s">
        <v>141</v>
      </c>
      <c r="I1684" s="27"/>
      <c r="J1684" s="33"/>
      <c r="K1684" s="33"/>
      <c r="L1684" s="66"/>
      <c r="M1684" s="27"/>
      <c r="N1684" s="27"/>
      <c r="O1684" s="27"/>
      <c r="P1684" s="27"/>
      <c r="Q1684" s="27"/>
      <c r="R1684" s="27"/>
      <c r="S1684" s="27"/>
      <c r="T1684" s="27"/>
      <c r="U1684" s="27"/>
      <c r="V1684" s="27"/>
      <c r="W1684" s="27"/>
      <c r="X1684" s="27"/>
      <c r="Y1684" s="27"/>
      <c r="Z1684" s="27"/>
      <c r="AA1684" s="27"/>
      <c r="AB1684" s="27"/>
      <c r="AC1684" s="27"/>
      <c r="AD1684" s="27"/>
      <c r="AE1684" s="27"/>
      <c r="AF1684" s="27"/>
      <c r="AG1684" s="27"/>
      <c r="AH1684" s="27">
        <v>277.0</v>
      </c>
      <c r="AI1684" s="27">
        <v>300.0</v>
      </c>
      <c r="AJ1684" s="27">
        <v>2.0</v>
      </c>
      <c r="AK1684" s="27" t="b">
        <v>0</v>
      </c>
      <c r="AL1684" s="27">
        <v>100.0</v>
      </c>
      <c r="AM1684" s="27" t="s">
        <v>190</v>
      </c>
      <c r="AN1684" s="27" t="s">
        <v>405</v>
      </c>
      <c r="AO1684" s="27"/>
    </row>
    <row r="1685">
      <c r="A1685" s="200">
        <v>44880.02511055555</v>
      </c>
      <c r="B1685" s="19"/>
      <c r="C1685" s="21"/>
      <c r="D1685" s="62"/>
      <c r="E1685" s="27"/>
      <c r="F1685" s="27"/>
      <c r="G1685" s="201"/>
      <c r="H1685" s="27"/>
      <c r="I1685" s="27"/>
      <c r="J1685" s="33"/>
      <c r="K1685" s="33"/>
      <c r="L1685" s="66"/>
      <c r="M1685" s="27"/>
      <c r="N1685" s="27"/>
      <c r="O1685" s="27"/>
      <c r="P1685" s="27"/>
      <c r="Q1685" s="27"/>
      <c r="R1685" s="27"/>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t="e">
        <v>#N/A</v>
      </c>
      <c r="AN1685" s="27" t="e">
        <v>#N/A</v>
      </c>
      <c r="AO1685" s="27"/>
    </row>
    <row r="1686">
      <c r="A1686" s="200">
        <v>44880.02511055555</v>
      </c>
      <c r="B1686" s="19" t="s">
        <v>154</v>
      </c>
      <c r="C1686" s="21" t="s">
        <v>366</v>
      </c>
      <c r="D1686" s="62">
        <v>4.0</v>
      </c>
      <c r="E1686" s="27">
        <v>6.0</v>
      </c>
      <c r="F1686" s="27"/>
      <c r="G1686" s="201"/>
      <c r="H1686" s="27"/>
      <c r="I1686" s="27" t="s">
        <v>133</v>
      </c>
      <c r="J1686" s="33"/>
      <c r="K1686" s="33"/>
      <c r="L1686" s="66"/>
      <c r="M1686" s="27"/>
      <c r="N1686" s="27"/>
      <c r="O1686" s="27"/>
      <c r="P1686" s="27"/>
      <c r="Q1686" s="27"/>
      <c r="R1686" s="27"/>
      <c r="S1686" s="27"/>
      <c r="T1686" s="27"/>
      <c r="U1686" s="27"/>
      <c r="V1686" s="27"/>
      <c r="W1686" s="27"/>
      <c r="X1686" s="27"/>
      <c r="Y1686" s="27"/>
      <c r="Z1686" s="27"/>
      <c r="AA1686" s="27"/>
      <c r="AB1686" s="27"/>
      <c r="AC1686" s="27"/>
      <c r="AD1686" s="27"/>
      <c r="AE1686" s="27"/>
      <c r="AF1686" s="27"/>
      <c r="AG1686" s="27"/>
      <c r="AH1686" s="27">
        <v>222.0</v>
      </c>
      <c r="AI1686" s="27">
        <v>284.0</v>
      </c>
      <c r="AJ1686" s="27">
        <v>0.0</v>
      </c>
      <c r="AK1686" s="27" t="b">
        <v>1</v>
      </c>
      <c r="AL1686" s="27">
        <v>59.0</v>
      </c>
      <c r="AM1686" s="27" t="s">
        <v>189</v>
      </c>
      <c r="AN1686" s="27" t="s">
        <v>405</v>
      </c>
      <c r="AO1686" s="27"/>
    </row>
    <row r="1687">
      <c r="A1687" s="200">
        <v>44880.02511055555</v>
      </c>
      <c r="B1687" s="19" t="s">
        <v>154</v>
      </c>
      <c r="C1687" s="21" t="s">
        <v>372</v>
      </c>
      <c r="D1687" s="62">
        <v>8.0</v>
      </c>
      <c r="E1687" s="27">
        <v>2.0</v>
      </c>
      <c r="F1687" s="27" t="s">
        <v>2138</v>
      </c>
      <c r="G1687" s="201" t="s">
        <v>57</v>
      </c>
      <c r="H1687" s="27" t="s">
        <v>138</v>
      </c>
      <c r="I1687" s="27"/>
      <c r="J1687" s="33"/>
      <c r="K1687" s="33"/>
      <c r="L1687" s="66"/>
      <c r="M1687" s="27"/>
      <c r="N1687" s="27"/>
      <c r="O1687" s="27"/>
      <c r="P1687" s="27"/>
      <c r="Q1687" s="27"/>
      <c r="R1687" s="27"/>
      <c r="S1687" s="27"/>
      <c r="T1687" s="27"/>
      <c r="U1687" s="27"/>
      <c r="V1687" s="27"/>
      <c r="W1687" s="27"/>
      <c r="X1687" s="27"/>
      <c r="Y1687" s="27"/>
      <c r="Z1687" s="27"/>
      <c r="AA1687" s="27"/>
      <c r="AB1687" s="27"/>
      <c r="AC1687" s="27"/>
      <c r="AD1687" s="27"/>
      <c r="AE1687" s="27"/>
      <c r="AF1687" s="27"/>
      <c r="AG1687" s="27"/>
      <c r="AH1687" s="27">
        <v>393.0</v>
      </c>
      <c r="AI1687" s="27">
        <v>200.0</v>
      </c>
      <c r="AJ1687" s="27">
        <v>2.0</v>
      </c>
      <c r="AK1687" s="27" t="b">
        <v>0</v>
      </c>
      <c r="AL1687" s="27">
        <v>100.0</v>
      </c>
      <c r="AM1687" s="27" t="s">
        <v>191</v>
      </c>
      <c r="AN1687" s="27" t="s">
        <v>404</v>
      </c>
      <c r="AO1687" s="27"/>
    </row>
    <row r="1688">
      <c r="A1688" s="200">
        <v>44880.02511055555</v>
      </c>
      <c r="B1688" s="19" t="s">
        <v>154</v>
      </c>
      <c r="C1688" s="21" t="s">
        <v>383</v>
      </c>
      <c r="D1688" s="62">
        <v>7.0</v>
      </c>
      <c r="E1688" s="27">
        <v>3.0</v>
      </c>
      <c r="F1688" s="27" t="s">
        <v>2161</v>
      </c>
      <c r="G1688" s="201" t="s">
        <v>57</v>
      </c>
      <c r="H1688" s="27" t="s">
        <v>116</v>
      </c>
      <c r="I1688" s="27"/>
      <c r="J1688" s="33"/>
      <c r="K1688" s="33"/>
      <c r="L1688" s="66"/>
      <c r="M1688" s="27"/>
      <c r="N1688" s="27"/>
      <c r="O1688" s="27"/>
      <c r="P1688" s="27"/>
      <c r="Q1688" s="27"/>
      <c r="R1688" s="27"/>
      <c r="S1688" s="27"/>
      <c r="T1688" s="27"/>
      <c r="U1688" s="27"/>
      <c r="V1688" s="27"/>
      <c r="W1688" s="27"/>
      <c r="X1688" s="27"/>
      <c r="Y1688" s="27"/>
      <c r="Z1688" s="27"/>
      <c r="AA1688" s="27"/>
      <c r="AB1688" s="27"/>
      <c r="AC1688" s="27"/>
      <c r="AD1688" s="27"/>
      <c r="AE1688" s="27"/>
      <c r="AF1688" s="27"/>
      <c r="AG1688" s="27"/>
      <c r="AH1688" s="27">
        <v>232.0</v>
      </c>
      <c r="AI1688" s="27">
        <v>231.0</v>
      </c>
      <c r="AJ1688" s="27">
        <v>2.0</v>
      </c>
      <c r="AK1688" s="27" t="b">
        <v>1</v>
      </c>
      <c r="AL1688" s="27">
        <v>100.0</v>
      </c>
      <c r="AM1688" s="27" t="s">
        <v>129</v>
      </c>
      <c r="AN1688" s="27" t="s">
        <v>405</v>
      </c>
      <c r="AO1688" s="27"/>
    </row>
    <row r="1689">
      <c r="A1689" s="200">
        <v>44880.02511055555</v>
      </c>
      <c r="B1689" s="19" t="s">
        <v>154</v>
      </c>
      <c r="C1689" s="21" t="s">
        <v>320</v>
      </c>
      <c r="D1689" s="62">
        <v>6.0</v>
      </c>
      <c r="E1689" s="27">
        <v>4.0</v>
      </c>
      <c r="F1689" s="27" t="s">
        <v>2129</v>
      </c>
      <c r="G1689" s="201" t="s">
        <v>57</v>
      </c>
      <c r="H1689" s="27" t="s">
        <v>59</v>
      </c>
      <c r="I1689" s="27"/>
      <c r="J1689" s="33"/>
      <c r="K1689" s="33"/>
      <c r="L1689" s="66"/>
      <c r="M1689" s="27"/>
      <c r="N1689" s="27"/>
      <c r="O1689" s="27"/>
      <c r="P1689" s="27"/>
      <c r="Q1689" s="27"/>
      <c r="R1689" s="27"/>
      <c r="S1689" s="27"/>
      <c r="T1689" s="27"/>
      <c r="U1689" s="27"/>
      <c r="V1689" s="27"/>
      <c r="W1689" s="27"/>
      <c r="X1689" s="27"/>
      <c r="Y1689" s="27"/>
      <c r="Z1689" s="27"/>
      <c r="AA1689" s="27"/>
      <c r="AB1689" s="27"/>
      <c r="AC1689" s="27"/>
      <c r="AD1689" s="27"/>
      <c r="AE1689" s="27"/>
      <c r="AF1689" s="27"/>
      <c r="AG1689" s="27"/>
      <c r="AH1689" s="27">
        <v>348.0</v>
      </c>
      <c r="AI1689" s="27">
        <v>252.0</v>
      </c>
      <c r="AJ1689" s="27">
        <v>2.0</v>
      </c>
      <c r="AK1689" s="27" t="b">
        <v>0</v>
      </c>
      <c r="AL1689" s="27">
        <v>100.0</v>
      </c>
      <c r="AM1689" s="27" t="s">
        <v>187</v>
      </c>
      <c r="AN1689" s="27" t="s">
        <v>404</v>
      </c>
      <c r="AO1689" s="27"/>
    </row>
    <row r="1690">
      <c r="A1690" s="200">
        <v>44880.02511055555</v>
      </c>
      <c r="B1690" s="19" t="s">
        <v>154</v>
      </c>
      <c r="C1690" s="21" t="s">
        <v>379</v>
      </c>
      <c r="D1690" s="62">
        <v>6.0</v>
      </c>
      <c r="E1690" s="27">
        <v>4.0</v>
      </c>
      <c r="F1690" s="27" t="s">
        <v>2154</v>
      </c>
      <c r="G1690" s="201" t="s">
        <v>57</v>
      </c>
      <c r="H1690" s="27" t="s">
        <v>144</v>
      </c>
      <c r="I1690" s="27"/>
      <c r="J1690" s="33"/>
      <c r="K1690" s="33"/>
      <c r="L1690" s="66"/>
      <c r="M1690" s="27"/>
      <c r="N1690" s="27"/>
      <c r="O1690" s="27"/>
      <c r="P1690" s="27"/>
      <c r="Q1690" s="27"/>
      <c r="R1690" s="27"/>
      <c r="S1690" s="27"/>
      <c r="T1690" s="27"/>
      <c r="U1690" s="27"/>
      <c r="V1690" s="27"/>
      <c r="W1690" s="27"/>
      <c r="X1690" s="27"/>
      <c r="Y1690" s="27"/>
      <c r="Z1690" s="27"/>
      <c r="AA1690" s="27"/>
      <c r="AB1690" s="27"/>
      <c r="AC1690" s="27"/>
      <c r="AD1690" s="27"/>
      <c r="AE1690" s="27"/>
      <c r="AF1690" s="27"/>
      <c r="AG1690" s="27"/>
      <c r="AH1690" s="27">
        <v>286.0</v>
      </c>
      <c r="AI1690" s="27">
        <v>262.0</v>
      </c>
      <c r="AJ1690" s="27">
        <v>2.0</v>
      </c>
      <c r="AK1690" s="27" t="b">
        <v>0</v>
      </c>
      <c r="AL1690" s="27">
        <v>100.0</v>
      </c>
      <c r="AM1690" s="27" t="s">
        <v>192</v>
      </c>
      <c r="AN1690" s="27" t="s">
        <v>404</v>
      </c>
      <c r="AO1690" s="27"/>
    </row>
    <row r="1691">
      <c r="A1691" s="200">
        <v>44880.02511055555</v>
      </c>
      <c r="B1691" s="19" t="s">
        <v>154</v>
      </c>
      <c r="C1691" s="21" t="s">
        <v>363</v>
      </c>
      <c r="D1691" s="62">
        <v>7.0</v>
      </c>
      <c r="E1691" s="27">
        <v>3.0</v>
      </c>
      <c r="F1691" s="27" t="s">
        <v>2130</v>
      </c>
      <c r="G1691" s="201" t="s">
        <v>57</v>
      </c>
      <c r="H1691" s="27" t="s">
        <v>59</v>
      </c>
      <c r="I1691" s="27"/>
      <c r="J1691" s="33"/>
      <c r="K1691" s="33"/>
      <c r="L1691" s="66"/>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v>264.0</v>
      </c>
      <c r="AI1691" s="27">
        <v>181.0</v>
      </c>
      <c r="AJ1691" s="27">
        <v>2.0</v>
      </c>
      <c r="AK1691" s="27" t="b">
        <v>1</v>
      </c>
      <c r="AL1691" s="27">
        <v>100.0</v>
      </c>
      <c r="AM1691" s="27" t="s">
        <v>186</v>
      </c>
      <c r="AN1691" s="27" t="s">
        <v>404</v>
      </c>
      <c r="AO1691" s="27"/>
    </row>
    <row r="1692">
      <c r="A1692" s="200">
        <v>44880.02511055555</v>
      </c>
      <c r="B1692" s="19" t="s">
        <v>154</v>
      </c>
      <c r="C1692" s="21" t="s">
        <v>352</v>
      </c>
      <c r="D1692" s="62">
        <v>3.0</v>
      </c>
      <c r="E1692" s="27">
        <v>7.0</v>
      </c>
      <c r="F1692" s="27" t="s">
        <v>2163</v>
      </c>
      <c r="G1692" s="201" t="s">
        <v>57</v>
      </c>
      <c r="H1692" s="27" t="s">
        <v>148</v>
      </c>
      <c r="I1692" s="27"/>
      <c r="J1692" s="33"/>
      <c r="K1692" s="33"/>
      <c r="L1692" s="66"/>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v>268.0</v>
      </c>
      <c r="AI1692" s="27">
        <v>313.0</v>
      </c>
      <c r="AJ1692" s="27">
        <v>2.0</v>
      </c>
      <c r="AK1692" s="27" t="b">
        <v>1</v>
      </c>
      <c r="AL1692" s="27">
        <v>100.0</v>
      </c>
      <c r="AM1692" s="27" t="s">
        <v>193</v>
      </c>
      <c r="AN1692" s="27" t="s">
        <v>405</v>
      </c>
      <c r="AO1692" s="27"/>
    </row>
    <row r="1693">
      <c r="A1693" s="200">
        <v>44880.02511055555</v>
      </c>
      <c r="B1693" s="19" t="s">
        <v>154</v>
      </c>
      <c r="C1693" s="21" t="s">
        <v>368</v>
      </c>
      <c r="D1693" s="62">
        <v>1.0</v>
      </c>
      <c r="E1693" s="27">
        <v>9.0</v>
      </c>
      <c r="F1693" s="27" t="s">
        <v>2123</v>
      </c>
      <c r="G1693" s="201" t="s">
        <v>57</v>
      </c>
      <c r="H1693" s="27" t="s">
        <v>178</v>
      </c>
      <c r="I1693" s="27"/>
      <c r="J1693" s="33"/>
      <c r="K1693" s="33"/>
      <c r="L1693" s="66"/>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v>153.0</v>
      </c>
      <c r="AI1693" s="27">
        <v>282.0</v>
      </c>
      <c r="AJ1693" s="27">
        <v>2.0</v>
      </c>
      <c r="AK1693" s="27" t="b">
        <v>0</v>
      </c>
      <c r="AL1693" s="27">
        <v>100.0</v>
      </c>
      <c r="AM1693" s="27" t="s">
        <v>188</v>
      </c>
      <c r="AN1693" s="27" t="s">
        <v>404</v>
      </c>
      <c r="AO1693" s="27"/>
    </row>
    <row r="1694">
      <c r="A1694" s="200">
        <v>44880.02511055555</v>
      </c>
      <c r="B1694" s="19" t="s">
        <v>154</v>
      </c>
      <c r="C1694" s="21" t="s">
        <v>330</v>
      </c>
      <c r="D1694" s="62">
        <v>6.0</v>
      </c>
      <c r="E1694" s="27">
        <v>4.0</v>
      </c>
      <c r="F1694" s="27" t="s">
        <v>2165</v>
      </c>
      <c r="G1694" s="201" t="s">
        <v>57</v>
      </c>
      <c r="H1694" s="27" t="s">
        <v>103</v>
      </c>
      <c r="I1694" s="27"/>
      <c r="J1694" s="33"/>
      <c r="K1694" s="33"/>
      <c r="L1694" s="66"/>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v>374.0</v>
      </c>
      <c r="AI1694" s="27">
        <v>362.0</v>
      </c>
      <c r="AJ1694" s="27">
        <v>2.0</v>
      </c>
      <c r="AK1694" s="27" t="b">
        <v>1</v>
      </c>
      <c r="AL1694" s="27">
        <v>100.0</v>
      </c>
      <c r="AM1694" s="27" t="s">
        <v>389</v>
      </c>
      <c r="AN1694" s="27" t="s">
        <v>405</v>
      </c>
      <c r="AO1694" s="27"/>
    </row>
    <row r="1695">
      <c r="A1695" s="200">
        <v>44887.02510271991</v>
      </c>
      <c r="B1695" s="19" t="s">
        <v>53</v>
      </c>
      <c r="C1695" s="21" t="s">
        <v>155</v>
      </c>
      <c r="D1695" s="62">
        <v>3.0</v>
      </c>
      <c r="E1695" s="27">
        <v>7.0</v>
      </c>
      <c r="F1695" s="27" t="s">
        <v>2166</v>
      </c>
      <c r="G1695" s="201" t="s">
        <v>161</v>
      </c>
      <c r="H1695" s="27" t="s">
        <v>144</v>
      </c>
      <c r="I1695" s="27" t="s">
        <v>2167</v>
      </c>
      <c r="J1695" s="33"/>
      <c r="K1695" s="33"/>
      <c r="L1695" s="66"/>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v>170.0</v>
      </c>
      <c r="AI1695" s="27">
        <v>240.0</v>
      </c>
      <c r="AJ1695" s="27">
        <v>0.0</v>
      </c>
      <c r="AK1695" s="27" t="b">
        <v>1</v>
      </c>
      <c r="AL1695" s="27">
        <v>59.0</v>
      </c>
      <c r="AM1695" s="27" t="s">
        <v>186</v>
      </c>
      <c r="AN1695" s="27" t="s">
        <v>404</v>
      </c>
      <c r="AO1695" s="27"/>
    </row>
    <row r="1696">
      <c r="A1696" s="200">
        <v>44887.02510271991</v>
      </c>
      <c r="B1696" s="19" t="s">
        <v>53</v>
      </c>
      <c r="C1696" s="21" t="s">
        <v>120</v>
      </c>
      <c r="D1696" s="62">
        <v>2.0</v>
      </c>
      <c r="E1696" s="27">
        <v>9.0</v>
      </c>
      <c r="F1696" s="27" t="s">
        <v>2168</v>
      </c>
      <c r="G1696" s="201" t="s">
        <v>57</v>
      </c>
      <c r="H1696" s="27" t="s">
        <v>144</v>
      </c>
      <c r="I1696" s="27"/>
      <c r="J1696" s="33"/>
      <c r="K1696" s="33"/>
      <c r="L1696" s="66"/>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v>204.0</v>
      </c>
      <c r="AI1696" s="27">
        <v>344.0</v>
      </c>
      <c r="AJ1696" s="27">
        <v>2.0</v>
      </c>
      <c r="AK1696" s="27" t="b">
        <v>1</v>
      </c>
      <c r="AL1696" s="27">
        <v>100.0</v>
      </c>
      <c r="AM1696" s="27" t="s">
        <v>129</v>
      </c>
      <c r="AN1696" s="27" t="s">
        <v>405</v>
      </c>
      <c r="AO1696" s="27"/>
    </row>
    <row r="1697">
      <c r="A1697" s="200">
        <v>44887.02510271991</v>
      </c>
      <c r="B1697" s="19" t="s">
        <v>53</v>
      </c>
      <c r="C1697" s="21" t="s">
        <v>54</v>
      </c>
      <c r="D1697" s="62">
        <v>9.0</v>
      </c>
      <c r="E1697" s="27">
        <v>2.0</v>
      </c>
      <c r="F1697" s="27" t="s">
        <v>2169</v>
      </c>
      <c r="G1697" s="201" t="s">
        <v>57</v>
      </c>
      <c r="H1697" s="27" t="s">
        <v>154</v>
      </c>
      <c r="I1697" s="27"/>
      <c r="J1697" s="33"/>
      <c r="K1697" s="33"/>
      <c r="L1697" s="66"/>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v>442.0</v>
      </c>
      <c r="AI1697" s="27">
        <v>291.0</v>
      </c>
      <c r="AJ1697" s="27">
        <v>2.0</v>
      </c>
      <c r="AK1697" s="27" t="b">
        <v>1</v>
      </c>
      <c r="AL1697" s="27">
        <v>100.0</v>
      </c>
      <c r="AM1697" s="27" t="s">
        <v>191</v>
      </c>
      <c r="AN1697" s="27" t="s">
        <v>404</v>
      </c>
      <c r="AO1697" s="27"/>
    </row>
    <row r="1698">
      <c r="A1698" s="200">
        <v>44887.02510271991</v>
      </c>
      <c r="B1698" s="19" t="s">
        <v>53</v>
      </c>
      <c r="C1698" s="21" t="s">
        <v>184</v>
      </c>
      <c r="D1698" s="62">
        <v>6.0</v>
      </c>
      <c r="E1698" s="27">
        <v>5.0</v>
      </c>
      <c r="F1698" s="27" t="s">
        <v>2170</v>
      </c>
      <c r="G1698" s="201" t="s">
        <v>57</v>
      </c>
      <c r="H1698" s="27" t="s">
        <v>116</v>
      </c>
      <c r="I1698" s="27"/>
      <c r="J1698" s="33"/>
      <c r="K1698" s="33"/>
      <c r="L1698" s="66"/>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v>347.0</v>
      </c>
      <c r="AI1698" s="27">
        <v>304.0</v>
      </c>
      <c r="AJ1698" s="27">
        <v>2.0</v>
      </c>
      <c r="AK1698" s="27" t="b">
        <v>0</v>
      </c>
      <c r="AL1698" s="27">
        <v>100.0</v>
      </c>
      <c r="AM1698" s="27" t="s">
        <v>187</v>
      </c>
      <c r="AN1698" s="27" t="s">
        <v>404</v>
      </c>
      <c r="AO1698" s="27"/>
    </row>
    <row r="1699">
      <c r="A1699" s="200">
        <v>44887.02510271991</v>
      </c>
      <c r="B1699" s="19" t="s">
        <v>53</v>
      </c>
      <c r="C1699" s="21" t="s">
        <v>173</v>
      </c>
      <c r="D1699" s="62">
        <v>5.0</v>
      </c>
      <c r="E1699" s="27">
        <v>6.0</v>
      </c>
      <c r="F1699" s="27" t="s">
        <v>2171</v>
      </c>
      <c r="G1699" s="201" t="s">
        <v>57</v>
      </c>
      <c r="H1699" s="27" t="s">
        <v>109</v>
      </c>
      <c r="I1699" s="27"/>
      <c r="J1699" s="33"/>
      <c r="K1699" s="33"/>
      <c r="L1699" s="66"/>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v>277.0</v>
      </c>
      <c r="AI1699" s="27">
        <v>273.0</v>
      </c>
      <c r="AJ1699" s="27">
        <v>2.0</v>
      </c>
      <c r="AK1699" s="27" t="b">
        <v>0</v>
      </c>
      <c r="AL1699" s="27">
        <v>100.0</v>
      </c>
      <c r="AM1699" s="27" t="s">
        <v>192</v>
      </c>
      <c r="AN1699" s="27" t="s">
        <v>404</v>
      </c>
      <c r="AO1699" s="27"/>
    </row>
    <row r="1700">
      <c r="A1700" s="200">
        <v>44887.02510271991</v>
      </c>
      <c r="B1700" s="19" t="s">
        <v>53</v>
      </c>
      <c r="C1700" s="21" t="s">
        <v>168</v>
      </c>
      <c r="D1700" s="62">
        <v>11.0</v>
      </c>
      <c r="E1700" s="27">
        <v>0.0</v>
      </c>
      <c r="F1700" s="27" t="s">
        <v>2172</v>
      </c>
      <c r="G1700" s="201" t="s">
        <v>57</v>
      </c>
      <c r="H1700" s="27" t="s">
        <v>103</v>
      </c>
      <c r="I1700" s="27"/>
      <c r="J1700" s="33"/>
      <c r="K1700" s="33"/>
      <c r="L1700" s="66"/>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v>511.0</v>
      </c>
      <c r="AI1700" s="27">
        <v>186.0</v>
      </c>
      <c r="AJ1700" s="27">
        <v>2.0</v>
      </c>
      <c r="AK1700" s="27" t="b">
        <v>0</v>
      </c>
      <c r="AL1700" s="27">
        <v>100.0</v>
      </c>
      <c r="AM1700" s="27" t="s">
        <v>188</v>
      </c>
      <c r="AN1700" s="27" t="s">
        <v>404</v>
      </c>
      <c r="AO1700" s="27"/>
    </row>
    <row r="1701">
      <c r="A1701" s="200">
        <v>44887.02510271991</v>
      </c>
      <c r="B1701" s="19" t="s">
        <v>53</v>
      </c>
      <c r="C1701" s="21" t="s">
        <v>181</v>
      </c>
      <c r="D1701" s="62">
        <v>5.0</v>
      </c>
      <c r="E1701" s="27">
        <v>6.0</v>
      </c>
      <c r="F1701" s="27" t="s">
        <v>2173</v>
      </c>
      <c r="G1701" s="201" t="s">
        <v>57</v>
      </c>
      <c r="H1701" s="27" t="s">
        <v>109</v>
      </c>
      <c r="I1701" s="27"/>
      <c r="J1701" s="33"/>
      <c r="K1701" s="33"/>
      <c r="L1701" s="66"/>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v>326.0</v>
      </c>
      <c r="AI1701" s="27">
        <v>287.0</v>
      </c>
      <c r="AJ1701" s="27">
        <v>2.0</v>
      </c>
      <c r="AK1701" s="27" t="b">
        <v>1</v>
      </c>
      <c r="AL1701" s="27">
        <v>100.0</v>
      </c>
      <c r="AM1701" s="27" t="s">
        <v>189</v>
      </c>
      <c r="AN1701" s="27" t="s">
        <v>405</v>
      </c>
      <c r="AO1701" s="27"/>
    </row>
    <row r="1702">
      <c r="A1702" s="200">
        <v>44887.02510271991</v>
      </c>
      <c r="B1702" s="19" t="s">
        <v>53</v>
      </c>
      <c r="C1702" s="21" t="s">
        <v>170</v>
      </c>
      <c r="D1702" s="62">
        <v>3.0</v>
      </c>
      <c r="E1702" s="27">
        <v>8.0</v>
      </c>
      <c r="F1702" s="27" t="s">
        <v>2174</v>
      </c>
      <c r="G1702" s="201" t="s">
        <v>57</v>
      </c>
      <c r="H1702" s="27" t="s">
        <v>59</v>
      </c>
      <c r="I1702" s="27"/>
      <c r="J1702" s="33"/>
      <c r="K1702" s="33"/>
      <c r="L1702" s="66"/>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v>214.0</v>
      </c>
      <c r="AI1702" s="27">
        <v>292.0</v>
      </c>
      <c r="AJ1702" s="27">
        <v>2.0</v>
      </c>
      <c r="AK1702" s="27" t="b">
        <v>0</v>
      </c>
      <c r="AL1702" s="27">
        <v>100.0</v>
      </c>
      <c r="AM1702" s="27" t="s">
        <v>193</v>
      </c>
      <c r="AN1702" s="27" t="s">
        <v>405</v>
      </c>
      <c r="AO1702" s="27"/>
    </row>
    <row r="1703">
      <c r="A1703" s="200">
        <v>44887.02510271991</v>
      </c>
      <c r="B1703" s="19" t="s">
        <v>53</v>
      </c>
      <c r="C1703" s="21" t="s">
        <v>195</v>
      </c>
      <c r="D1703" s="62">
        <v>4.0</v>
      </c>
      <c r="E1703" s="27">
        <v>7.0</v>
      </c>
      <c r="F1703" s="27" t="s">
        <v>2175</v>
      </c>
      <c r="G1703" s="201" t="s">
        <v>57</v>
      </c>
      <c r="H1703" s="27" t="s">
        <v>131</v>
      </c>
      <c r="I1703" s="27"/>
      <c r="J1703" s="33"/>
      <c r="K1703" s="33"/>
      <c r="L1703" s="66"/>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v>330.0</v>
      </c>
      <c r="AI1703" s="27">
        <v>367.0</v>
      </c>
      <c r="AJ1703" s="27">
        <v>2.0</v>
      </c>
      <c r="AK1703" s="27" t="b">
        <v>1</v>
      </c>
      <c r="AL1703" s="27">
        <v>100.0</v>
      </c>
      <c r="AM1703" s="27" t="s">
        <v>389</v>
      </c>
      <c r="AN1703" s="27" t="s">
        <v>405</v>
      </c>
      <c r="AO1703" s="27"/>
    </row>
    <row r="1704">
      <c r="A1704" s="200">
        <v>44887.02510271991</v>
      </c>
      <c r="B1704" s="19" t="s">
        <v>53</v>
      </c>
      <c r="C1704" s="21" t="s">
        <v>176</v>
      </c>
      <c r="D1704" s="62">
        <v>8.0</v>
      </c>
      <c r="E1704" s="27">
        <v>3.0</v>
      </c>
      <c r="F1704" s="27" t="s">
        <v>2176</v>
      </c>
      <c r="G1704" s="201" t="s">
        <v>57</v>
      </c>
      <c r="H1704" s="27" t="s">
        <v>116</v>
      </c>
      <c r="I1704" s="27"/>
      <c r="J1704" s="33"/>
      <c r="K1704" s="33"/>
      <c r="L1704" s="66"/>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v>370.0</v>
      </c>
      <c r="AI1704" s="27">
        <v>338.0</v>
      </c>
      <c r="AJ1704" s="27">
        <v>2.0</v>
      </c>
      <c r="AK1704" s="27" t="b">
        <v>0</v>
      </c>
      <c r="AL1704" s="27">
        <v>100.0</v>
      </c>
      <c r="AM1704" s="27" t="s">
        <v>190</v>
      </c>
      <c r="AN1704" s="27" t="s">
        <v>405</v>
      </c>
      <c r="AO1704" s="27"/>
    </row>
    <row r="1705">
      <c r="A1705" s="200">
        <v>44887.02510271991</v>
      </c>
      <c r="B1705" s="19"/>
      <c r="C1705" s="21"/>
      <c r="D1705" s="62"/>
      <c r="E1705" s="27"/>
      <c r="F1705" s="27"/>
      <c r="G1705" s="201"/>
      <c r="H1705" s="27"/>
      <c r="I1705" s="27"/>
      <c r="J1705" s="33"/>
      <c r="K1705" s="33"/>
      <c r="L1705" s="66"/>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t="e">
        <v>#N/A</v>
      </c>
      <c r="AN1705" s="27" t="e">
        <v>#N/A</v>
      </c>
      <c r="AO1705" s="27"/>
    </row>
    <row r="1706">
      <c r="A1706" s="200">
        <v>44887.02510271991</v>
      </c>
      <c r="B1706" s="19" t="s">
        <v>131</v>
      </c>
      <c r="C1706" s="21" t="s">
        <v>204</v>
      </c>
      <c r="D1706" s="62">
        <v>6.0</v>
      </c>
      <c r="E1706" s="27">
        <v>5.0</v>
      </c>
      <c r="F1706" s="27"/>
      <c r="G1706" s="201"/>
      <c r="H1706" s="27"/>
      <c r="I1706" s="27" t="s">
        <v>133</v>
      </c>
      <c r="J1706" s="33"/>
      <c r="K1706" s="33"/>
      <c r="L1706" s="66"/>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v>393.0</v>
      </c>
      <c r="AI1706" s="27">
        <v>344.0</v>
      </c>
      <c r="AJ1706" s="27">
        <v>0.0</v>
      </c>
      <c r="AK1706" s="27" t="b">
        <v>1</v>
      </c>
      <c r="AL1706" s="27">
        <v>59.0</v>
      </c>
      <c r="AM1706" s="27" t="s">
        <v>189</v>
      </c>
      <c r="AN1706" s="27" t="s">
        <v>405</v>
      </c>
      <c r="AO1706" s="27"/>
    </row>
    <row r="1707">
      <c r="A1707" s="200">
        <v>44887.02510271991</v>
      </c>
      <c r="B1707" s="19" t="s">
        <v>131</v>
      </c>
      <c r="C1707" s="21" t="s">
        <v>214</v>
      </c>
      <c r="D1707" s="62">
        <v>9.0</v>
      </c>
      <c r="E1707" s="27">
        <v>2.0</v>
      </c>
      <c r="F1707" s="27" t="s">
        <v>2177</v>
      </c>
      <c r="G1707" s="201" t="s">
        <v>57</v>
      </c>
      <c r="H1707" s="27" t="s">
        <v>154</v>
      </c>
      <c r="I1707" s="27"/>
      <c r="J1707" s="33"/>
      <c r="K1707" s="33"/>
      <c r="L1707" s="66"/>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v>512.0</v>
      </c>
      <c r="AI1707" s="27">
        <v>282.0</v>
      </c>
      <c r="AJ1707" s="27">
        <v>2.0</v>
      </c>
      <c r="AK1707" s="27" t="b">
        <v>1</v>
      </c>
      <c r="AL1707" s="27">
        <v>100.0</v>
      </c>
      <c r="AM1707" s="27" t="s">
        <v>192</v>
      </c>
      <c r="AN1707" s="27" t="s">
        <v>404</v>
      </c>
      <c r="AO1707" s="27"/>
    </row>
    <row r="1708">
      <c r="A1708" s="200">
        <v>44887.02510271991</v>
      </c>
      <c r="B1708" s="19" t="s">
        <v>131</v>
      </c>
      <c r="C1708" s="21" t="s">
        <v>206</v>
      </c>
      <c r="D1708" s="62">
        <v>10.0</v>
      </c>
      <c r="E1708" s="27">
        <v>1.0</v>
      </c>
      <c r="F1708" s="27" t="s">
        <v>2178</v>
      </c>
      <c r="G1708" s="201" t="s">
        <v>57</v>
      </c>
      <c r="H1708" s="27" t="s">
        <v>144</v>
      </c>
      <c r="I1708" s="27"/>
      <c r="J1708" s="33"/>
      <c r="K1708" s="33"/>
      <c r="L1708" s="66"/>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v>382.0</v>
      </c>
      <c r="AI1708" s="27">
        <v>220.0</v>
      </c>
      <c r="AJ1708" s="27">
        <v>2.0</v>
      </c>
      <c r="AK1708" s="27" t="b">
        <v>1</v>
      </c>
      <c r="AL1708" s="27">
        <v>100.0</v>
      </c>
      <c r="AM1708" s="27" t="s">
        <v>186</v>
      </c>
      <c r="AN1708" s="27" t="s">
        <v>404</v>
      </c>
      <c r="AO1708" s="27"/>
    </row>
    <row r="1709">
      <c r="A1709" s="200">
        <v>44887.02510271991</v>
      </c>
      <c r="B1709" s="19" t="s">
        <v>131</v>
      </c>
      <c r="C1709" s="21" t="s">
        <v>217</v>
      </c>
      <c r="D1709" s="62">
        <v>6.0</v>
      </c>
      <c r="E1709" s="27">
        <v>5.0</v>
      </c>
      <c r="F1709" s="27" t="s">
        <v>2179</v>
      </c>
      <c r="G1709" s="201" t="s">
        <v>57</v>
      </c>
      <c r="H1709" s="27" t="s">
        <v>166</v>
      </c>
      <c r="I1709" s="27"/>
      <c r="J1709" s="33"/>
      <c r="K1709" s="33"/>
      <c r="L1709" s="66"/>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v>383.0</v>
      </c>
      <c r="AI1709" s="27">
        <v>359.0</v>
      </c>
      <c r="AJ1709" s="27">
        <v>2.0</v>
      </c>
      <c r="AK1709" s="27" t="b">
        <v>1</v>
      </c>
      <c r="AL1709" s="27">
        <v>100.0</v>
      </c>
      <c r="AM1709" s="27" t="s">
        <v>187</v>
      </c>
      <c r="AN1709" s="27" t="s">
        <v>404</v>
      </c>
      <c r="AO1709" s="27"/>
    </row>
    <row r="1710">
      <c r="A1710" s="200">
        <v>44887.02510271991</v>
      </c>
      <c r="B1710" s="19" t="s">
        <v>131</v>
      </c>
      <c r="C1710" s="21" t="s">
        <v>199</v>
      </c>
      <c r="D1710" s="62">
        <v>4.0</v>
      </c>
      <c r="E1710" s="27">
        <v>7.0</v>
      </c>
      <c r="F1710" s="27" t="s">
        <v>2180</v>
      </c>
      <c r="G1710" s="201" t="s">
        <v>57</v>
      </c>
      <c r="H1710" s="27" t="s">
        <v>141</v>
      </c>
      <c r="I1710" s="27"/>
      <c r="J1710" s="33"/>
      <c r="K1710" s="33"/>
      <c r="L1710" s="66"/>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v>258.0</v>
      </c>
      <c r="AI1710" s="27">
        <v>393.0</v>
      </c>
      <c r="AJ1710" s="27">
        <v>2.0</v>
      </c>
      <c r="AK1710" s="27" t="b">
        <v>1</v>
      </c>
      <c r="AL1710" s="27">
        <v>100.0</v>
      </c>
      <c r="AM1710" s="27" t="s">
        <v>193</v>
      </c>
      <c r="AN1710" s="27" t="s">
        <v>405</v>
      </c>
      <c r="AO1710" s="27"/>
    </row>
    <row r="1711">
      <c r="A1711" s="200">
        <v>44887.02510271991</v>
      </c>
      <c r="B1711" s="19" t="s">
        <v>131</v>
      </c>
      <c r="C1711" s="21" t="s">
        <v>222</v>
      </c>
      <c r="D1711" s="62">
        <v>7.0</v>
      </c>
      <c r="E1711" s="27">
        <v>4.0</v>
      </c>
      <c r="F1711" s="27" t="s">
        <v>2181</v>
      </c>
      <c r="G1711" s="201" t="s">
        <v>57</v>
      </c>
      <c r="H1711" s="27" t="s">
        <v>103</v>
      </c>
      <c r="I1711" s="27"/>
      <c r="J1711" s="33"/>
      <c r="K1711" s="33"/>
      <c r="L1711" s="66"/>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v>300.0</v>
      </c>
      <c r="AI1711" s="27">
        <v>218.0</v>
      </c>
      <c r="AJ1711" s="27">
        <v>2.0</v>
      </c>
      <c r="AK1711" s="27" t="b">
        <v>1</v>
      </c>
      <c r="AL1711" s="27">
        <v>100.0</v>
      </c>
      <c r="AM1711" s="27" t="s">
        <v>191</v>
      </c>
      <c r="AN1711" s="27" t="s">
        <v>404</v>
      </c>
      <c r="AO1711" s="27"/>
    </row>
    <row r="1712">
      <c r="A1712" s="200">
        <v>44887.02510271991</v>
      </c>
      <c r="B1712" s="19" t="s">
        <v>131</v>
      </c>
      <c r="C1712" s="21" t="s">
        <v>197</v>
      </c>
      <c r="D1712" s="62">
        <v>6.0</v>
      </c>
      <c r="E1712" s="27">
        <v>5.0</v>
      </c>
      <c r="F1712" s="27" t="s">
        <v>2182</v>
      </c>
      <c r="G1712" s="201" t="s">
        <v>57</v>
      </c>
      <c r="H1712" s="27" t="s">
        <v>141</v>
      </c>
      <c r="I1712" s="27"/>
      <c r="J1712" s="33"/>
      <c r="K1712" s="33"/>
      <c r="L1712" s="66"/>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v>302.0</v>
      </c>
      <c r="AI1712" s="27">
        <v>223.0</v>
      </c>
      <c r="AJ1712" s="27">
        <v>2.0</v>
      </c>
      <c r="AK1712" s="27" t="b">
        <v>1</v>
      </c>
      <c r="AL1712" s="27">
        <v>100.0</v>
      </c>
      <c r="AM1712" s="27" t="s">
        <v>188</v>
      </c>
      <c r="AN1712" s="27" t="s">
        <v>404</v>
      </c>
      <c r="AO1712" s="27"/>
    </row>
    <row r="1713">
      <c r="A1713" s="200">
        <v>44887.02510271991</v>
      </c>
      <c r="B1713" s="19" t="s">
        <v>131</v>
      </c>
      <c r="C1713" s="21" t="s">
        <v>210</v>
      </c>
      <c r="D1713" s="62">
        <v>1.0</v>
      </c>
      <c r="E1713" s="27">
        <v>10.0</v>
      </c>
      <c r="F1713" s="27" t="s">
        <v>2175</v>
      </c>
      <c r="G1713" s="201" t="s">
        <v>57</v>
      </c>
      <c r="H1713" s="27" t="s">
        <v>53</v>
      </c>
      <c r="I1713" s="27"/>
      <c r="J1713" s="33"/>
      <c r="K1713" s="33"/>
      <c r="L1713" s="66"/>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v>297.0</v>
      </c>
      <c r="AI1713" s="27">
        <v>448.0</v>
      </c>
      <c r="AJ1713" s="27">
        <v>2.0</v>
      </c>
      <c r="AK1713" s="27" t="b">
        <v>0</v>
      </c>
      <c r="AL1713" s="27">
        <v>100.0</v>
      </c>
      <c r="AM1713" s="27" t="s">
        <v>389</v>
      </c>
      <c r="AN1713" s="27" t="s">
        <v>405</v>
      </c>
      <c r="AO1713" s="27"/>
    </row>
    <row r="1714">
      <c r="A1714" s="200">
        <v>44887.02510271991</v>
      </c>
      <c r="B1714" s="19" t="s">
        <v>131</v>
      </c>
      <c r="C1714" s="21" t="s">
        <v>219</v>
      </c>
      <c r="D1714" s="62">
        <v>7.0</v>
      </c>
      <c r="E1714" s="27">
        <v>4.0</v>
      </c>
      <c r="F1714" s="27" t="s">
        <v>2183</v>
      </c>
      <c r="G1714" s="201" t="s">
        <v>57</v>
      </c>
      <c r="H1714" s="27" t="s">
        <v>178</v>
      </c>
      <c r="I1714" s="27"/>
      <c r="J1714" s="33"/>
      <c r="K1714" s="33"/>
      <c r="L1714" s="66"/>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v>253.0</v>
      </c>
      <c r="AI1714" s="27">
        <v>229.0</v>
      </c>
      <c r="AJ1714" s="27">
        <v>2.0</v>
      </c>
      <c r="AK1714" s="27" t="b">
        <v>1</v>
      </c>
      <c r="AL1714" s="27">
        <v>100.0</v>
      </c>
      <c r="AM1714" s="27" t="s">
        <v>129</v>
      </c>
      <c r="AN1714" s="27" t="s">
        <v>405</v>
      </c>
      <c r="AO1714" s="27"/>
    </row>
    <row r="1715">
      <c r="A1715" s="200">
        <v>44887.02510271991</v>
      </c>
      <c r="B1715" s="19" t="s">
        <v>131</v>
      </c>
      <c r="C1715" s="21" t="s">
        <v>208</v>
      </c>
      <c r="D1715" s="62">
        <v>5.0</v>
      </c>
      <c r="E1715" s="27">
        <v>6.0</v>
      </c>
      <c r="F1715" s="27" t="s">
        <v>2184</v>
      </c>
      <c r="G1715" s="201" t="s">
        <v>57</v>
      </c>
      <c r="H1715" s="27" t="s">
        <v>138</v>
      </c>
      <c r="I1715" s="27"/>
      <c r="J1715" s="33"/>
      <c r="K1715" s="33"/>
      <c r="L1715" s="66"/>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v>225.0</v>
      </c>
      <c r="AI1715" s="27">
        <v>253.0</v>
      </c>
      <c r="AJ1715" s="27">
        <v>2.0</v>
      </c>
      <c r="AK1715" s="27" t="b">
        <v>0</v>
      </c>
      <c r="AL1715" s="27">
        <v>100.0</v>
      </c>
      <c r="AM1715" s="27" t="s">
        <v>190</v>
      </c>
      <c r="AN1715" s="27" t="s">
        <v>405</v>
      </c>
      <c r="AO1715" s="27"/>
    </row>
    <row r="1716">
      <c r="A1716" s="200">
        <v>44887.02510271991</v>
      </c>
      <c r="B1716" s="19"/>
      <c r="C1716" s="21"/>
      <c r="D1716" s="62"/>
      <c r="E1716" s="27"/>
      <c r="F1716" s="27"/>
      <c r="G1716" s="201"/>
      <c r="H1716" s="27"/>
      <c r="I1716" s="27"/>
      <c r="J1716" s="33"/>
      <c r="K1716" s="33"/>
      <c r="L1716" s="66"/>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t="e">
        <v>#N/A</v>
      </c>
      <c r="AN1716" s="27" t="e">
        <v>#N/A</v>
      </c>
      <c r="AO1716" s="27"/>
    </row>
    <row r="1717">
      <c r="A1717" s="200">
        <v>44887.02510271991</v>
      </c>
      <c r="B1717" s="19" t="s">
        <v>178</v>
      </c>
      <c r="C1717" s="21" t="s">
        <v>261</v>
      </c>
      <c r="D1717" s="62">
        <v>8.0</v>
      </c>
      <c r="E1717" s="27">
        <v>3.0</v>
      </c>
      <c r="F1717" s="27" t="s">
        <v>2185</v>
      </c>
      <c r="G1717" s="201" t="s">
        <v>57</v>
      </c>
      <c r="H1717" s="27" t="s">
        <v>116</v>
      </c>
      <c r="I1717" s="27"/>
      <c r="J1717" s="33"/>
      <c r="K1717" s="33"/>
      <c r="L1717" s="66"/>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v>440.0</v>
      </c>
      <c r="AI1717" s="27">
        <v>312.0</v>
      </c>
      <c r="AJ1717" s="27">
        <v>2.0</v>
      </c>
      <c r="AK1717" s="27" t="b">
        <v>0</v>
      </c>
      <c r="AL1717" s="27">
        <v>100.0</v>
      </c>
      <c r="AM1717" s="27" t="s">
        <v>191</v>
      </c>
      <c r="AN1717" s="27" t="s">
        <v>404</v>
      </c>
      <c r="AO1717" s="27"/>
    </row>
    <row r="1718">
      <c r="A1718" s="200">
        <v>44887.02510271991</v>
      </c>
      <c r="B1718" s="19" t="s">
        <v>178</v>
      </c>
      <c r="C1718" s="21" t="s">
        <v>259</v>
      </c>
      <c r="D1718" s="62">
        <v>7.0</v>
      </c>
      <c r="E1718" s="27">
        <v>4.0</v>
      </c>
      <c r="F1718" s="27" t="s">
        <v>2186</v>
      </c>
      <c r="G1718" s="201" t="s">
        <v>57</v>
      </c>
      <c r="H1718" s="27" t="s">
        <v>138</v>
      </c>
      <c r="I1718" s="27"/>
      <c r="J1718" s="33"/>
      <c r="K1718" s="33"/>
      <c r="L1718" s="66"/>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v>411.0</v>
      </c>
      <c r="AI1718" s="27">
        <v>317.0</v>
      </c>
      <c r="AJ1718" s="27">
        <v>2.0</v>
      </c>
      <c r="AK1718" s="27" t="b">
        <v>1</v>
      </c>
      <c r="AL1718" s="27">
        <v>100.0</v>
      </c>
      <c r="AM1718" s="27" t="s">
        <v>186</v>
      </c>
      <c r="AN1718" s="27" t="s">
        <v>404</v>
      </c>
      <c r="AO1718" s="27"/>
    </row>
    <row r="1719">
      <c r="A1719" s="200">
        <v>44887.02510271991</v>
      </c>
      <c r="B1719" s="19" t="s">
        <v>178</v>
      </c>
      <c r="C1719" s="21" t="s">
        <v>272</v>
      </c>
      <c r="D1719" s="62">
        <v>6.0</v>
      </c>
      <c r="E1719" s="27">
        <v>5.0</v>
      </c>
      <c r="F1719" s="27" t="s">
        <v>2187</v>
      </c>
      <c r="G1719" s="201" t="s">
        <v>57</v>
      </c>
      <c r="H1719" s="27" t="s">
        <v>148</v>
      </c>
      <c r="I1719" s="27"/>
      <c r="J1719" s="33"/>
      <c r="K1719" s="33"/>
      <c r="L1719" s="66"/>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v>352.0</v>
      </c>
      <c r="AI1719" s="27">
        <v>306.0</v>
      </c>
      <c r="AJ1719" s="27">
        <v>2.0</v>
      </c>
      <c r="AK1719" s="27" t="b">
        <v>0</v>
      </c>
      <c r="AL1719" s="27">
        <v>100.0</v>
      </c>
      <c r="AM1719" s="27" t="s">
        <v>187</v>
      </c>
      <c r="AN1719" s="27" t="s">
        <v>404</v>
      </c>
      <c r="AO1719" s="27"/>
    </row>
    <row r="1720">
      <c r="A1720" s="200">
        <v>44887.02510271991</v>
      </c>
      <c r="B1720" s="19" t="s">
        <v>178</v>
      </c>
      <c r="C1720" s="21" t="s">
        <v>257</v>
      </c>
      <c r="D1720" s="62">
        <v>5.0</v>
      </c>
      <c r="E1720" s="27">
        <v>6.0</v>
      </c>
      <c r="F1720" s="27" t="s">
        <v>2188</v>
      </c>
      <c r="G1720" s="201" t="s">
        <v>57</v>
      </c>
      <c r="H1720" s="27" t="s">
        <v>166</v>
      </c>
      <c r="I1720" s="27"/>
      <c r="J1720" s="33"/>
      <c r="K1720" s="33"/>
      <c r="L1720" s="66"/>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v>353.0</v>
      </c>
      <c r="AI1720" s="27">
        <v>340.0</v>
      </c>
      <c r="AJ1720" s="27">
        <v>2.0</v>
      </c>
      <c r="AK1720" s="27" t="b">
        <v>1</v>
      </c>
      <c r="AL1720" s="27">
        <v>100.0</v>
      </c>
      <c r="AM1720" s="27" t="s">
        <v>193</v>
      </c>
      <c r="AN1720" s="27" t="s">
        <v>405</v>
      </c>
      <c r="AO1720" s="27"/>
    </row>
    <row r="1721">
      <c r="A1721" s="200">
        <v>44887.02510271991</v>
      </c>
      <c r="B1721" s="19" t="s">
        <v>178</v>
      </c>
      <c r="C1721" s="21" t="s">
        <v>271</v>
      </c>
      <c r="D1721" s="62">
        <v>7.0</v>
      </c>
      <c r="E1721" s="27">
        <v>5.0</v>
      </c>
      <c r="F1721" s="27" t="s">
        <v>2189</v>
      </c>
      <c r="G1721" s="201" t="s">
        <v>57</v>
      </c>
      <c r="H1721" s="27" t="s">
        <v>166</v>
      </c>
      <c r="I1721" s="27"/>
      <c r="J1721" s="33"/>
      <c r="K1721" s="33"/>
      <c r="L1721" s="66"/>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v>434.0</v>
      </c>
      <c r="AI1721" s="27">
        <v>274.0</v>
      </c>
      <c r="AJ1721" s="27">
        <v>2.0</v>
      </c>
      <c r="AK1721" s="27" t="b">
        <v>1</v>
      </c>
      <c r="AL1721" s="27">
        <v>100.0</v>
      </c>
      <c r="AM1721" s="27" t="s">
        <v>189</v>
      </c>
      <c r="AN1721" s="27" t="s">
        <v>405</v>
      </c>
      <c r="AO1721" s="27"/>
    </row>
    <row r="1722">
      <c r="A1722" s="200">
        <v>44887.02510271991</v>
      </c>
      <c r="B1722" s="19" t="s">
        <v>178</v>
      </c>
      <c r="C1722" s="21" t="s">
        <v>240</v>
      </c>
      <c r="D1722" s="62">
        <v>7.0</v>
      </c>
      <c r="E1722" s="27">
        <v>4.0</v>
      </c>
      <c r="F1722" s="27" t="s">
        <v>2190</v>
      </c>
      <c r="G1722" s="201" t="s">
        <v>57</v>
      </c>
      <c r="H1722" s="27" t="s">
        <v>116</v>
      </c>
      <c r="I1722" s="27"/>
      <c r="J1722" s="33"/>
      <c r="K1722" s="33"/>
      <c r="L1722" s="66"/>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v>316.0</v>
      </c>
      <c r="AI1722" s="27">
        <v>144.0</v>
      </c>
      <c r="AJ1722" s="27">
        <v>2.0</v>
      </c>
      <c r="AK1722" s="27" t="b">
        <v>1</v>
      </c>
      <c r="AL1722" s="27">
        <v>100.0</v>
      </c>
      <c r="AM1722" s="27" t="s">
        <v>188</v>
      </c>
      <c r="AN1722" s="27" t="s">
        <v>404</v>
      </c>
      <c r="AO1722" s="27"/>
    </row>
    <row r="1723">
      <c r="A1723" s="200">
        <v>44887.02510271991</v>
      </c>
      <c r="B1723" s="19" t="s">
        <v>178</v>
      </c>
      <c r="C1723" s="21" t="s">
        <v>269</v>
      </c>
      <c r="D1723" s="62">
        <v>7.0</v>
      </c>
      <c r="E1723" s="27">
        <v>4.0</v>
      </c>
      <c r="F1723" s="27" t="s">
        <v>2191</v>
      </c>
      <c r="G1723" s="201" t="s">
        <v>57</v>
      </c>
      <c r="H1723" s="27"/>
      <c r="I1723" s="27"/>
      <c r="J1723" s="33"/>
      <c r="K1723" s="33"/>
      <c r="L1723" s="66"/>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v>368.0</v>
      </c>
      <c r="AI1723" s="27">
        <v>268.0</v>
      </c>
      <c r="AJ1723" s="27">
        <v>2.0</v>
      </c>
      <c r="AK1723" s="27" t="b">
        <v>0</v>
      </c>
      <c r="AL1723" s="27">
        <v>100.0</v>
      </c>
      <c r="AM1723" s="27" t="s">
        <v>192</v>
      </c>
      <c r="AN1723" s="27" t="s">
        <v>404</v>
      </c>
      <c r="AO1723" s="27"/>
    </row>
    <row r="1724">
      <c r="A1724" s="200">
        <v>44887.02510271991</v>
      </c>
      <c r="B1724" s="19" t="s">
        <v>178</v>
      </c>
      <c r="C1724" s="21" t="s">
        <v>263</v>
      </c>
      <c r="D1724" s="62">
        <v>2.0</v>
      </c>
      <c r="E1724" s="27">
        <v>9.0</v>
      </c>
      <c r="F1724" s="27" t="s">
        <v>2183</v>
      </c>
      <c r="G1724" s="201" t="s">
        <v>57</v>
      </c>
      <c r="H1724" s="27" t="s">
        <v>131</v>
      </c>
      <c r="I1724" s="27"/>
      <c r="J1724" s="33"/>
      <c r="K1724" s="33"/>
      <c r="L1724" s="66"/>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v>157.0</v>
      </c>
      <c r="AI1724" s="27">
        <v>295.0</v>
      </c>
      <c r="AJ1724" s="27">
        <v>2.0</v>
      </c>
      <c r="AK1724" s="27" t="b">
        <v>0</v>
      </c>
      <c r="AL1724" s="27">
        <v>100.0</v>
      </c>
      <c r="AM1724" s="27" t="s">
        <v>129</v>
      </c>
      <c r="AN1724" s="27" t="s">
        <v>405</v>
      </c>
      <c r="AO1724" s="27"/>
    </row>
    <row r="1725">
      <c r="A1725" s="200">
        <v>44887.02510271991</v>
      </c>
      <c r="B1725" s="19" t="s">
        <v>178</v>
      </c>
      <c r="C1725" s="21" t="s">
        <v>267</v>
      </c>
      <c r="D1725" s="62">
        <v>9.0</v>
      </c>
      <c r="E1725" s="27">
        <v>2.0</v>
      </c>
      <c r="F1725" s="27" t="s">
        <v>2192</v>
      </c>
      <c r="G1725" s="201" t="s">
        <v>57</v>
      </c>
      <c r="H1725" s="27" t="s">
        <v>141</v>
      </c>
      <c r="I1725" s="27"/>
      <c r="J1725" s="33"/>
      <c r="K1725" s="33"/>
      <c r="L1725" s="66"/>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v>386.0</v>
      </c>
      <c r="AI1725" s="27">
        <v>214.0</v>
      </c>
      <c r="AJ1725" s="27">
        <v>2.0</v>
      </c>
      <c r="AK1725" s="27" t="b">
        <v>0</v>
      </c>
      <c r="AL1725" s="27">
        <v>100.0</v>
      </c>
      <c r="AM1725" s="27" t="s">
        <v>389</v>
      </c>
      <c r="AN1725" s="27" t="s">
        <v>405</v>
      </c>
      <c r="AO1725" s="27"/>
    </row>
    <row r="1726">
      <c r="A1726" s="200">
        <v>44887.02510271991</v>
      </c>
      <c r="B1726" s="19" t="s">
        <v>178</v>
      </c>
      <c r="C1726" s="21" t="s">
        <v>265</v>
      </c>
      <c r="D1726" s="62">
        <v>7.0</v>
      </c>
      <c r="E1726" s="27">
        <v>4.0</v>
      </c>
      <c r="F1726" s="27" t="s">
        <v>2193</v>
      </c>
      <c r="G1726" s="201" t="s">
        <v>57</v>
      </c>
      <c r="H1726" s="27" t="s">
        <v>148</v>
      </c>
      <c r="I1726" s="27"/>
      <c r="J1726" s="33"/>
      <c r="K1726" s="33"/>
      <c r="L1726" s="66"/>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v>386.0</v>
      </c>
      <c r="AI1726" s="27">
        <v>305.0</v>
      </c>
      <c r="AJ1726" s="27">
        <v>2.0</v>
      </c>
      <c r="AK1726" s="27" t="b">
        <v>1</v>
      </c>
      <c r="AL1726" s="27">
        <v>100.0</v>
      </c>
      <c r="AM1726" s="27" t="s">
        <v>190</v>
      </c>
      <c r="AN1726" s="27" t="s">
        <v>405</v>
      </c>
      <c r="AO1726" s="27"/>
    </row>
    <row r="1727">
      <c r="A1727" s="200">
        <v>44887.02510271991</v>
      </c>
      <c r="B1727" s="19"/>
      <c r="C1727" s="21"/>
      <c r="D1727" s="62"/>
      <c r="E1727" s="27"/>
      <c r="F1727" s="27"/>
      <c r="G1727" s="201"/>
      <c r="H1727" s="27"/>
      <c r="I1727" s="27"/>
      <c r="J1727" s="33"/>
      <c r="K1727" s="33"/>
      <c r="L1727" s="66"/>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t="e">
        <v>#N/A</v>
      </c>
      <c r="AN1727" s="27" t="e">
        <v>#N/A</v>
      </c>
      <c r="AO1727" s="27"/>
    </row>
    <row r="1728">
      <c r="A1728" s="200">
        <v>44887.02510271991</v>
      </c>
      <c r="B1728" s="19" t="s">
        <v>59</v>
      </c>
      <c r="C1728" s="21" t="s">
        <v>279</v>
      </c>
      <c r="D1728" s="62">
        <v>4.0</v>
      </c>
      <c r="E1728" s="27">
        <v>7.0</v>
      </c>
      <c r="F1728" s="27" t="s">
        <v>2194</v>
      </c>
      <c r="G1728" s="201" t="s">
        <v>57</v>
      </c>
      <c r="H1728" s="27" t="s">
        <v>166</v>
      </c>
      <c r="I1728" s="27"/>
      <c r="J1728" s="33"/>
      <c r="K1728" s="33"/>
      <c r="L1728" s="66"/>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v>289.0</v>
      </c>
      <c r="AI1728" s="27">
        <v>320.0</v>
      </c>
      <c r="AJ1728" s="27">
        <v>2.0</v>
      </c>
      <c r="AK1728" s="27" t="b">
        <v>1</v>
      </c>
      <c r="AL1728" s="27">
        <v>100.0</v>
      </c>
      <c r="AM1728" s="27" t="s">
        <v>129</v>
      </c>
      <c r="AN1728" s="27" t="s">
        <v>405</v>
      </c>
      <c r="AO1728" s="27"/>
    </row>
    <row r="1729">
      <c r="A1729" s="200">
        <v>44887.02510271991</v>
      </c>
      <c r="B1729" s="19" t="s">
        <v>59</v>
      </c>
      <c r="C1729" s="21" t="s">
        <v>275</v>
      </c>
      <c r="D1729" s="62">
        <v>4.0</v>
      </c>
      <c r="E1729" s="27">
        <v>7.0</v>
      </c>
      <c r="F1729" s="27" t="s">
        <v>2195</v>
      </c>
      <c r="G1729" s="201" t="s">
        <v>57</v>
      </c>
      <c r="H1729" s="27" t="s">
        <v>154</v>
      </c>
      <c r="I1729" s="27"/>
      <c r="J1729" s="33"/>
      <c r="K1729" s="33"/>
      <c r="L1729" s="66"/>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v>196.0</v>
      </c>
      <c r="AI1729" s="27">
        <v>414.0</v>
      </c>
      <c r="AJ1729" s="27">
        <v>2.0</v>
      </c>
      <c r="AK1729" s="27" t="b">
        <v>0</v>
      </c>
      <c r="AL1729" s="27">
        <v>100.0</v>
      </c>
      <c r="AM1729" s="27" t="s">
        <v>189</v>
      </c>
      <c r="AN1729" s="27" t="s">
        <v>405</v>
      </c>
      <c r="AO1729" s="27"/>
    </row>
    <row r="1730">
      <c r="A1730" s="200">
        <v>44887.02510271991</v>
      </c>
      <c r="B1730" s="19" t="s">
        <v>59</v>
      </c>
      <c r="C1730" s="21" t="s">
        <v>283</v>
      </c>
      <c r="D1730" s="62">
        <v>6.0</v>
      </c>
      <c r="E1730" s="27">
        <v>5.0</v>
      </c>
      <c r="F1730" s="27" t="s">
        <v>2196</v>
      </c>
      <c r="G1730" s="201" t="s">
        <v>57</v>
      </c>
      <c r="H1730" s="27" t="s">
        <v>116</v>
      </c>
      <c r="I1730" s="27"/>
      <c r="J1730" s="33"/>
      <c r="K1730" s="33"/>
      <c r="L1730" s="66"/>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v>239.0</v>
      </c>
      <c r="AI1730" s="27">
        <v>216.0</v>
      </c>
      <c r="AJ1730" s="27">
        <v>2.0</v>
      </c>
      <c r="AK1730" s="27" t="b">
        <v>0</v>
      </c>
      <c r="AL1730" s="27">
        <v>100.0</v>
      </c>
      <c r="AM1730" s="27" t="s">
        <v>192</v>
      </c>
      <c r="AN1730" s="27" t="s">
        <v>404</v>
      </c>
      <c r="AO1730" s="27"/>
    </row>
    <row r="1731">
      <c r="A1731" s="200">
        <v>44887.02510271991</v>
      </c>
      <c r="B1731" s="19" t="s">
        <v>59</v>
      </c>
      <c r="C1731" s="21" t="s">
        <v>289</v>
      </c>
      <c r="D1731" s="62">
        <v>3.0</v>
      </c>
      <c r="E1731" s="27">
        <v>8.0</v>
      </c>
      <c r="F1731" s="27" t="s">
        <v>2197</v>
      </c>
      <c r="G1731" s="201" t="s">
        <v>57</v>
      </c>
      <c r="H1731" s="27" t="s">
        <v>109</v>
      </c>
      <c r="I1731" s="27"/>
      <c r="J1731" s="33"/>
      <c r="K1731" s="33"/>
      <c r="L1731" s="66"/>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v>190.0</v>
      </c>
      <c r="AI1731" s="27">
        <v>332.0</v>
      </c>
      <c r="AJ1731" s="27">
        <v>2.0</v>
      </c>
      <c r="AK1731" s="27" t="b">
        <v>0</v>
      </c>
      <c r="AL1731" s="27">
        <v>100.0</v>
      </c>
      <c r="AM1731" s="27" t="s">
        <v>186</v>
      </c>
      <c r="AN1731" s="27" t="s">
        <v>404</v>
      </c>
      <c r="AO1731" s="27"/>
    </row>
    <row r="1732">
      <c r="A1732" s="200">
        <v>44887.02510271991</v>
      </c>
      <c r="B1732" s="19" t="s">
        <v>59</v>
      </c>
      <c r="C1732" s="21" t="s">
        <v>277</v>
      </c>
      <c r="D1732" s="62">
        <v>6.0</v>
      </c>
      <c r="E1732" s="27">
        <v>5.0</v>
      </c>
      <c r="F1732" s="27" t="s">
        <v>2174</v>
      </c>
      <c r="G1732" s="201" t="s">
        <v>57</v>
      </c>
      <c r="H1732" s="27" t="s">
        <v>53</v>
      </c>
      <c r="I1732" s="27"/>
      <c r="J1732" s="33"/>
      <c r="K1732" s="33"/>
      <c r="L1732" s="66"/>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v>371.0</v>
      </c>
      <c r="AI1732" s="27">
        <v>270.0</v>
      </c>
      <c r="AJ1732" s="27">
        <v>2.0</v>
      </c>
      <c r="AK1732" s="27" t="b">
        <v>1</v>
      </c>
      <c r="AL1732" s="27">
        <v>100.0</v>
      </c>
      <c r="AM1732" s="27" t="s">
        <v>193</v>
      </c>
      <c r="AN1732" s="27" t="s">
        <v>405</v>
      </c>
      <c r="AO1732" s="27"/>
    </row>
    <row r="1733">
      <c r="A1733" s="200">
        <v>44887.02510271991</v>
      </c>
      <c r="B1733" s="19" t="s">
        <v>59</v>
      </c>
      <c r="C1733" s="21" t="s">
        <v>291</v>
      </c>
      <c r="D1733" s="62">
        <v>8.0</v>
      </c>
      <c r="E1733" s="27">
        <v>3.0</v>
      </c>
      <c r="F1733" s="27" t="s">
        <v>2198</v>
      </c>
      <c r="G1733" s="201" t="s">
        <v>57</v>
      </c>
      <c r="H1733" s="27" t="s">
        <v>144</v>
      </c>
      <c r="I1733" s="27"/>
      <c r="J1733" s="33"/>
      <c r="K1733" s="33"/>
      <c r="L1733" s="66"/>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v>354.0</v>
      </c>
      <c r="AI1733" s="27">
        <v>206.0</v>
      </c>
      <c r="AJ1733" s="27">
        <v>2.0</v>
      </c>
      <c r="AK1733" s="27" t="b">
        <v>0</v>
      </c>
      <c r="AL1733" s="27">
        <v>100.0</v>
      </c>
      <c r="AM1733" s="27" t="s">
        <v>187</v>
      </c>
      <c r="AN1733" s="27" t="s">
        <v>404</v>
      </c>
      <c r="AO1733" s="27"/>
    </row>
    <row r="1734">
      <c r="A1734" s="200">
        <v>44887.02510271991</v>
      </c>
      <c r="B1734" s="19" t="s">
        <v>59</v>
      </c>
      <c r="C1734" s="21" t="s">
        <v>274</v>
      </c>
      <c r="D1734" s="62">
        <v>8.0</v>
      </c>
      <c r="E1734" s="27">
        <v>3.0</v>
      </c>
      <c r="F1734" s="27" t="s">
        <v>2199</v>
      </c>
      <c r="G1734" s="201" t="s">
        <v>57</v>
      </c>
      <c r="H1734" s="27" t="s">
        <v>109</v>
      </c>
      <c r="I1734" s="27"/>
      <c r="J1734" s="33"/>
      <c r="K1734" s="33"/>
      <c r="L1734" s="66"/>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v>351.0</v>
      </c>
      <c r="AI1734" s="27">
        <v>223.0</v>
      </c>
      <c r="AJ1734" s="27">
        <v>2.0</v>
      </c>
      <c r="AK1734" s="27" t="b">
        <v>1</v>
      </c>
      <c r="AL1734" s="27">
        <v>100.0</v>
      </c>
      <c r="AM1734" s="27" t="s">
        <v>191</v>
      </c>
      <c r="AN1734" s="27" t="s">
        <v>404</v>
      </c>
      <c r="AO1734" s="27"/>
    </row>
    <row r="1735">
      <c r="A1735" s="200">
        <v>44887.02510271991</v>
      </c>
      <c r="B1735" s="19" t="s">
        <v>59</v>
      </c>
      <c r="C1735" s="21" t="s">
        <v>284</v>
      </c>
      <c r="D1735" s="62">
        <v>11.0</v>
      </c>
      <c r="E1735" s="27">
        <v>0.0</v>
      </c>
      <c r="F1735" s="27" t="s">
        <v>2200</v>
      </c>
      <c r="G1735" s="201" t="s">
        <v>57</v>
      </c>
      <c r="H1735" s="27" t="s">
        <v>144</v>
      </c>
      <c r="I1735" s="27"/>
      <c r="J1735" s="33"/>
      <c r="K1735" s="33"/>
      <c r="L1735" s="66"/>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v>433.0</v>
      </c>
      <c r="AI1735" s="27">
        <v>129.0</v>
      </c>
      <c r="AJ1735" s="27">
        <v>2.0</v>
      </c>
      <c r="AK1735" s="27" t="b">
        <v>0</v>
      </c>
      <c r="AL1735" s="27">
        <v>100.0</v>
      </c>
      <c r="AM1735" s="27" t="s">
        <v>188</v>
      </c>
      <c r="AN1735" s="27" t="s">
        <v>404</v>
      </c>
      <c r="AO1735" s="27"/>
    </row>
    <row r="1736">
      <c r="A1736" s="200">
        <v>44887.02510271991</v>
      </c>
      <c r="B1736" s="19" t="s">
        <v>59</v>
      </c>
      <c r="C1736" s="21" t="s">
        <v>281</v>
      </c>
      <c r="D1736" s="62">
        <v>6.0</v>
      </c>
      <c r="E1736" s="27">
        <v>6.0</v>
      </c>
      <c r="F1736" s="27" t="s">
        <v>2201</v>
      </c>
      <c r="G1736" s="201" t="s">
        <v>57</v>
      </c>
      <c r="H1736" s="27" t="s">
        <v>166</v>
      </c>
      <c r="I1736" s="27"/>
      <c r="J1736" s="33"/>
      <c r="K1736" s="33"/>
      <c r="L1736" s="66"/>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v>238.0</v>
      </c>
      <c r="AI1736" s="27">
        <v>313.0</v>
      </c>
      <c r="AJ1736" s="27">
        <v>2.0</v>
      </c>
      <c r="AK1736" s="27" t="b">
        <v>0</v>
      </c>
      <c r="AL1736" s="27">
        <v>100.0</v>
      </c>
      <c r="AM1736" s="27" t="s">
        <v>389</v>
      </c>
      <c r="AN1736" s="27" t="s">
        <v>405</v>
      </c>
      <c r="AO1736" s="27"/>
    </row>
    <row r="1737">
      <c r="A1737" s="200">
        <v>44887.02510271991</v>
      </c>
      <c r="B1737" s="19" t="s">
        <v>59</v>
      </c>
      <c r="C1737" s="21" t="s">
        <v>285</v>
      </c>
      <c r="D1737" s="62">
        <v>4.0</v>
      </c>
      <c r="E1737" s="27">
        <v>7.0</v>
      </c>
      <c r="F1737" s="27" t="s">
        <v>2202</v>
      </c>
      <c r="G1737" s="201" t="s">
        <v>57</v>
      </c>
      <c r="H1737" s="27" t="s">
        <v>154</v>
      </c>
      <c r="I1737" s="27"/>
      <c r="J1737" s="33"/>
      <c r="K1737" s="33"/>
      <c r="L1737" s="66"/>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v>278.0</v>
      </c>
      <c r="AI1737" s="27">
        <v>300.0</v>
      </c>
      <c r="AJ1737" s="27">
        <v>2.0</v>
      </c>
      <c r="AK1737" s="27" t="b">
        <v>0</v>
      </c>
      <c r="AL1737" s="27">
        <v>100.0</v>
      </c>
      <c r="AM1737" s="27" t="s">
        <v>190</v>
      </c>
      <c r="AN1737" s="27" t="s">
        <v>405</v>
      </c>
      <c r="AO1737" s="27"/>
    </row>
    <row r="1738">
      <c r="A1738" s="200">
        <v>44887.02510271991</v>
      </c>
      <c r="B1738" s="19"/>
      <c r="C1738" s="21"/>
      <c r="D1738" s="62"/>
      <c r="E1738" s="27"/>
      <c r="F1738" s="27"/>
      <c r="G1738" s="201"/>
      <c r="H1738" s="27"/>
      <c r="I1738" s="27"/>
      <c r="J1738" s="33"/>
      <c r="K1738" s="33"/>
      <c r="L1738" s="66"/>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t="e">
        <v>#N/A</v>
      </c>
      <c r="AN1738" s="27" t="e">
        <v>#N/A</v>
      </c>
      <c r="AO1738" s="27"/>
    </row>
    <row r="1739">
      <c r="A1739" s="200">
        <v>44887.02510271991</v>
      </c>
      <c r="B1739" s="19" t="s">
        <v>138</v>
      </c>
      <c r="C1739" s="21" t="s">
        <v>304</v>
      </c>
      <c r="D1739" s="62">
        <v>6.0</v>
      </c>
      <c r="E1739" s="27">
        <v>5.0</v>
      </c>
      <c r="F1739" s="27" t="s">
        <v>2203</v>
      </c>
      <c r="G1739" s="201" t="s">
        <v>57</v>
      </c>
      <c r="H1739" s="27" t="s">
        <v>141</v>
      </c>
      <c r="I1739" s="27"/>
      <c r="J1739" s="33"/>
      <c r="K1739" s="33"/>
      <c r="L1739" s="66"/>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v>256.0</v>
      </c>
      <c r="AI1739" s="27">
        <v>325.0</v>
      </c>
      <c r="AJ1739" s="27">
        <v>2.0</v>
      </c>
      <c r="AK1739" s="27" t="b">
        <v>0</v>
      </c>
      <c r="AL1739" s="27">
        <v>100.0</v>
      </c>
      <c r="AM1739" s="27" t="s">
        <v>129</v>
      </c>
      <c r="AN1739" s="27" t="s">
        <v>405</v>
      </c>
      <c r="AO1739" s="27"/>
    </row>
    <row r="1740">
      <c r="A1740" s="200">
        <v>44887.02510271991</v>
      </c>
      <c r="B1740" s="19" t="s">
        <v>138</v>
      </c>
      <c r="C1740" s="21" t="s">
        <v>308</v>
      </c>
      <c r="D1740" s="62">
        <v>6.0</v>
      </c>
      <c r="E1740" s="27">
        <v>5.0</v>
      </c>
      <c r="F1740" s="27" t="s">
        <v>2186</v>
      </c>
      <c r="G1740" s="201" t="s">
        <v>57</v>
      </c>
      <c r="H1740" s="27" t="s">
        <v>178</v>
      </c>
      <c r="I1740" s="27"/>
      <c r="J1740" s="33"/>
      <c r="K1740" s="33"/>
      <c r="L1740" s="66"/>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v>308.0</v>
      </c>
      <c r="AI1740" s="27">
        <v>249.0</v>
      </c>
      <c r="AJ1740" s="27">
        <v>2.0</v>
      </c>
      <c r="AK1740" s="27" t="b">
        <v>0</v>
      </c>
      <c r="AL1740" s="27">
        <v>100.0</v>
      </c>
      <c r="AM1740" s="27" t="s">
        <v>186</v>
      </c>
      <c r="AN1740" s="27" t="s">
        <v>404</v>
      </c>
      <c r="AO1740" s="27"/>
    </row>
    <row r="1741">
      <c r="A1741" s="200">
        <v>44887.02510271991</v>
      </c>
      <c r="B1741" s="19" t="s">
        <v>138</v>
      </c>
      <c r="C1741" s="21" t="s">
        <v>303</v>
      </c>
      <c r="D1741" s="62">
        <v>6.0</v>
      </c>
      <c r="E1741" s="27">
        <v>5.0</v>
      </c>
      <c r="F1741" s="27" t="s">
        <v>2204</v>
      </c>
      <c r="G1741" s="201" t="s">
        <v>57</v>
      </c>
      <c r="H1741" s="27" t="s">
        <v>103</v>
      </c>
      <c r="I1741" s="27"/>
      <c r="J1741" s="33"/>
      <c r="K1741" s="33"/>
      <c r="L1741" s="66"/>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v>341.0</v>
      </c>
      <c r="AI1741" s="27">
        <v>316.0</v>
      </c>
      <c r="AJ1741" s="27">
        <v>2.0</v>
      </c>
      <c r="AK1741" s="27" t="b">
        <v>1</v>
      </c>
      <c r="AL1741" s="27">
        <v>100.0</v>
      </c>
      <c r="AM1741" s="27" t="s">
        <v>192</v>
      </c>
      <c r="AN1741" s="27" t="s">
        <v>404</v>
      </c>
      <c r="AO1741" s="27"/>
    </row>
    <row r="1742">
      <c r="A1742" s="200">
        <v>44887.02510271991</v>
      </c>
      <c r="B1742" s="19" t="s">
        <v>138</v>
      </c>
      <c r="C1742" s="21" t="s">
        <v>311</v>
      </c>
      <c r="D1742" s="62">
        <v>3.0</v>
      </c>
      <c r="E1742" s="27">
        <v>8.0</v>
      </c>
      <c r="F1742" s="27" t="s">
        <v>2205</v>
      </c>
      <c r="G1742" s="201" t="s">
        <v>57</v>
      </c>
      <c r="H1742" s="27" t="s">
        <v>166</v>
      </c>
      <c r="I1742" s="27"/>
      <c r="J1742" s="33"/>
      <c r="K1742" s="33"/>
      <c r="L1742" s="66"/>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v>230.0</v>
      </c>
      <c r="AI1742" s="27">
        <v>351.0</v>
      </c>
      <c r="AJ1742" s="27">
        <v>2.0</v>
      </c>
      <c r="AK1742" s="27" t="b">
        <v>1</v>
      </c>
      <c r="AL1742" s="27">
        <v>100.0</v>
      </c>
      <c r="AM1742" s="27" t="s">
        <v>191</v>
      </c>
      <c r="AN1742" s="27" t="s">
        <v>404</v>
      </c>
      <c r="AO1742" s="27"/>
    </row>
    <row r="1743">
      <c r="A1743" s="200">
        <v>44887.02510271991</v>
      </c>
      <c r="B1743" s="19" t="s">
        <v>138</v>
      </c>
      <c r="C1743" s="21" t="s">
        <v>282</v>
      </c>
      <c r="D1743" s="62">
        <v>9.0</v>
      </c>
      <c r="E1743" s="27">
        <v>2.0</v>
      </c>
      <c r="F1743" s="27" t="s">
        <v>2206</v>
      </c>
      <c r="G1743" s="201" t="s">
        <v>57</v>
      </c>
      <c r="H1743" s="27" t="s">
        <v>103</v>
      </c>
      <c r="I1743" s="27"/>
      <c r="J1743" s="33"/>
      <c r="K1743" s="33"/>
      <c r="L1743" s="66"/>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v>349.0</v>
      </c>
      <c r="AI1743" s="27">
        <v>217.0</v>
      </c>
      <c r="AJ1743" s="27">
        <v>2.0</v>
      </c>
      <c r="AK1743" s="27" t="b">
        <v>0</v>
      </c>
      <c r="AL1743" s="27">
        <v>100.0</v>
      </c>
      <c r="AM1743" s="27" t="s">
        <v>389</v>
      </c>
      <c r="AN1743" s="27" t="s">
        <v>405</v>
      </c>
      <c r="AO1743" s="27"/>
    </row>
    <row r="1744">
      <c r="A1744" s="200">
        <v>44887.02510271991</v>
      </c>
      <c r="B1744" s="19" t="s">
        <v>138</v>
      </c>
      <c r="C1744" s="21" t="s">
        <v>302</v>
      </c>
      <c r="D1744" s="62">
        <v>9.0</v>
      </c>
      <c r="E1744" s="27">
        <v>2.0</v>
      </c>
      <c r="F1744" s="27" t="s">
        <v>2207</v>
      </c>
      <c r="G1744" s="201" t="s">
        <v>57</v>
      </c>
      <c r="H1744" s="27" t="s">
        <v>144</v>
      </c>
      <c r="I1744" s="27"/>
      <c r="J1744" s="33"/>
      <c r="K1744" s="33"/>
      <c r="L1744" s="66"/>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v>356.0</v>
      </c>
      <c r="AI1744" s="27">
        <v>213.0</v>
      </c>
      <c r="AJ1744" s="27">
        <v>2.0</v>
      </c>
      <c r="AK1744" s="27" t="b">
        <v>1</v>
      </c>
      <c r="AL1744" s="27">
        <v>100.0</v>
      </c>
      <c r="AM1744" s="27" t="s">
        <v>193</v>
      </c>
      <c r="AN1744" s="27" t="s">
        <v>405</v>
      </c>
      <c r="AO1744" s="27"/>
    </row>
    <row r="1745">
      <c r="A1745" s="200">
        <v>44887.02510271991</v>
      </c>
      <c r="B1745" s="19" t="s">
        <v>138</v>
      </c>
      <c r="C1745" s="21" t="s">
        <v>296</v>
      </c>
      <c r="D1745" s="62">
        <v>9.0</v>
      </c>
      <c r="E1745" s="27">
        <v>2.0</v>
      </c>
      <c r="F1745" s="27" t="s">
        <v>2208</v>
      </c>
      <c r="G1745" s="201" t="s">
        <v>57</v>
      </c>
      <c r="H1745" s="27" t="s">
        <v>116</v>
      </c>
      <c r="I1745" s="27"/>
      <c r="J1745" s="33"/>
      <c r="K1745" s="33"/>
      <c r="L1745" s="66"/>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v>421.0</v>
      </c>
      <c r="AI1745" s="27">
        <v>287.0</v>
      </c>
      <c r="AJ1745" s="27">
        <v>2.0</v>
      </c>
      <c r="AK1745" s="27" t="b">
        <v>1</v>
      </c>
      <c r="AL1745" s="27">
        <v>100.0</v>
      </c>
      <c r="AM1745" s="27" t="s">
        <v>189</v>
      </c>
      <c r="AN1745" s="27" t="s">
        <v>405</v>
      </c>
      <c r="AO1745" s="27"/>
    </row>
    <row r="1746">
      <c r="A1746" s="200">
        <v>44887.02510271991</v>
      </c>
      <c r="B1746" s="19" t="s">
        <v>138</v>
      </c>
      <c r="C1746" s="21" t="s">
        <v>309</v>
      </c>
      <c r="D1746" s="62">
        <v>5.0</v>
      </c>
      <c r="E1746" s="27">
        <v>6.0</v>
      </c>
      <c r="F1746" s="27" t="s">
        <v>2209</v>
      </c>
      <c r="G1746" s="201" t="s">
        <v>57</v>
      </c>
      <c r="H1746" s="27" t="s">
        <v>144</v>
      </c>
      <c r="I1746" s="27"/>
      <c r="J1746" s="33"/>
      <c r="K1746" s="33"/>
      <c r="L1746" s="66"/>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v>295.0</v>
      </c>
      <c r="AI1746" s="27">
        <v>376.0</v>
      </c>
      <c r="AJ1746" s="27">
        <v>2.0</v>
      </c>
      <c r="AK1746" s="27" t="b">
        <v>1</v>
      </c>
      <c r="AL1746" s="27">
        <v>100.0</v>
      </c>
      <c r="AM1746" s="27" t="s">
        <v>187</v>
      </c>
      <c r="AN1746" s="27" t="s">
        <v>404</v>
      </c>
      <c r="AO1746" s="27"/>
    </row>
    <row r="1747">
      <c r="A1747" s="200">
        <v>44887.02510271991</v>
      </c>
      <c r="B1747" s="19" t="s">
        <v>138</v>
      </c>
      <c r="C1747" s="21" t="s">
        <v>298</v>
      </c>
      <c r="D1747" s="62">
        <v>3.0</v>
      </c>
      <c r="E1747" s="27">
        <v>8.0</v>
      </c>
      <c r="F1747" s="27" t="s">
        <v>2184</v>
      </c>
      <c r="G1747" s="201" t="s">
        <v>57</v>
      </c>
      <c r="H1747" s="27" t="s">
        <v>131</v>
      </c>
      <c r="I1747" s="27"/>
      <c r="J1747" s="33"/>
      <c r="K1747" s="33"/>
      <c r="L1747" s="66"/>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v>315.0</v>
      </c>
      <c r="AI1747" s="27">
        <v>349.0</v>
      </c>
      <c r="AJ1747" s="27">
        <v>2.0</v>
      </c>
      <c r="AK1747" s="27" t="b">
        <v>1</v>
      </c>
      <c r="AL1747" s="27">
        <v>100.0</v>
      </c>
      <c r="AM1747" s="27" t="s">
        <v>190</v>
      </c>
      <c r="AN1747" s="27" t="s">
        <v>405</v>
      </c>
      <c r="AO1747" s="27"/>
    </row>
    <row r="1748">
      <c r="A1748" s="200">
        <v>44887.02510271991</v>
      </c>
      <c r="B1748" s="19" t="s">
        <v>138</v>
      </c>
      <c r="C1748" s="21" t="s">
        <v>294</v>
      </c>
      <c r="D1748" s="62">
        <v>5.0</v>
      </c>
      <c r="E1748" s="27">
        <v>6.0</v>
      </c>
      <c r="F1748" s="27" t="s">
        <v>2210</v>
      </c>
      <c r="G1748" s="201" t="s">
        <v>183</v>
      </c>
      <c r="H1748" s="27" t="s">
        <v>166</v>
      </c>
      <c r="I1748" s="27"/>
      <c r="J1748" s="33"/>
      <c r="K1748" s="33"/>
      <c r="L1748" s="66"/>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v>277.0</v>
      </c>
      <c r="AI1748" s="27">
        <v>294.0</v>
      </c>
      <c r="AJ1748" s="27">
        <v>2.0</v>
      </c>
      <c r="AK1748" s="27" t="b">
        <v>1</v>
      </c>
      <c r="AL1748" s="27">
        <v>100.0</v>
      </c>
      <c r="AM1748" s="27" t="s">
        <v>188</v>
      </c>
      <c r="AN1748" s="27" t="s">
        <v>404</v>
      </c>
      <c r="AO1748" s="27"/>
    </row>
    <row r="1749">
      <c r="A1749" s="200">
        <v>44887.02510271991</v>
      </c>
      <c r="B1749" s="19"/>
      <c r="C1749" s="21"/>
      <c r="D1749" s="62"/>
      <c r="E1749" s="27"/>
      <c r="F1749" s="27"/>
      <c r="G1749" s="201"/>
      <c r="H1749" s="27"/>
      <c r="I1749" s="27"/>
      <c r="J1749" s="33"/>
      <c r="K1749" s="33"/>
      <c r="L1749" s="66"/>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t="e">
        <v>#N/A</v>
      </c>
      <c r="AN1749" s="27" t="e">
        <v>#N/A</v>
      </c>
      <c r="AO1749" s="27"/>
    </row>
    <row r="1750">
      <c r="A1750" s="200">
        <v>44887.02510271991</v>
      </c>
      <c r="B1750" s="19" t="s">
        <v>141</v>
      </c>
      <c r="C1750" s="21" t="s">
        <v>323</v>
      </c>
      <c r="D1750" s="62">
        <v>1.0</v>
      </c>
      <c r="E1750" s="27">
        <v>9.0</v>
      </c>
      <c r="F1750" s="27"/>
      <c r="G1750" s="201"/>
      <c r="H1750" s="27"/>
      <c r="I1750" s="27" t="s">
        <v>149</v>
      </c>
      <c r="J1750" s="33"/>
      <c r="K1750" s="33"/>
      <c r="L1750" s="66"/>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v>195.0</v>
      </c>
      <c r="AI1750" s="27">
        <v>367.0</v>
      </c>
      <c r="AJ1750" s="27">
        <v>0.0</v>
      </c>
      <c r="AK1750" s="27" t="b">
        <v>1</v>
      </c>
      <c r="AL1750" s="27">
        <v>59.0</v>
      </c>
      <c r="AM1750" s="27" t="s">
        <v>190</v>
      </c>
      <c r="AN1750" s="27" t="s">
        <v>405</v>
      </c>
      <c r="AO1750" s="27"/>
    </row>
    <row r="1751">
      <c r="A1751" s="200">
        <v>44887.02510271991</v>
      </c>
      <c r="B1751" s="19" t="s">
        <v>141</v>
      </c>
      <c r="C1751" s="21" t="s">
        <v>349</v>
      </c>
      <c r="D1751" s="62">
        <v>6.0</v>
      </c>
      <c r="E1751" s="27">
        <v>4.0</v>
      </c>
      <c r="F1751" s="27" t="s">
        <v>2203</v>
      </c>
      <c r="G1751" s="201" t="s">
        <v>57</v>
      </c>
      <c r="H1751" s="27" t="s">
        <v>138</v>
      </c>
      <c r="I1751" s="27"/>
      <c r="J1751" s="33"/>
      <c r="K1751" s="33"/>
      <c r="L1751" s="66"/>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v>275.0</v>
      </c>
      <c r="AI1751" s="27">
        <v>209.0</v>
      </c>
      <c r="AJ1751" s="27">
        <v>2.0</v>
      </c>
      <c r="AK1751" s="27" t="b">
        <v>1</v>
      </c>
      <c r="AL1751" s="27">
        <v>100.0</v>
      </c>
      <c r="AM1751" s="27" t="s">
        <v>129</v>
      </c>
      <c r="AN1751" s="27" t="s">
        <v>405</v>
      </c>
      <c r="AO1751" s="27"/>
    </row>
    <row r="1752">
      <c r="A1752" s="200">
        <v>44887.02510271991</v>
      </c>
      <c r="B1752" s="19" t="s">
        <v>141</v>
      </c>
      <c r="C1752" s="21" t="s">
        <v>393</v>
      </c>
      <c r="D1752" s="62">
        <v>6.0</v>
      </c>
      <c r="E1752" s="27">
        <v>5.0</v>
      </c>
      <c r="F1752" s="27" t="s">
        <v>2211</v>
      </c>
      <c r="G1752" s="201" t="s">
        <v>57</v>
      </c>
      <c r="H1752" s="27"/>
      <c r="I1752" s="27"/>
      <c r="J1752" s="33"/>
      <c r="K1752" s="33"/>
      <c r="L1752" s="66"/>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v>348.0</v>
      </c>
      <c r="AI1752" s="27">
        <v>334.0</v>
      </c>
      <c r="AJ1752" s="27">
        <v>2.0</v>
      </c>
      <c r="AK1752" s="27" t="b">
        <v>0</v>
      </c>
      <c r="AL1752" s="27">
        <v>100.0</v>
      </c>
      <c r="AM1752" s="27" t="s">
        <v>187</v>
      </c>
      <c r="AN1752" s="27" t="s">
        <v>404</v>
      </c>
      <c r="AO1752" s="27"/>
    </row>
    <row r="1753">
      <c r="A1753" s="200">
        <v>44887.02510271991</v>
      </c>
      <c r="B1753" s="19" t="s">
        <v>141</v>
      </c>
      <c r="C1753" s="21" t="s">
        <v>386</v>
      </c>
      <c r="D1753" s="62">
        <v>4.0</v>
      </c>
      <c r="E1753" s="27">
        <v>7.0</v>
      </c>
      <c r="F1753" s="27" t="s">
        <v>2212</v>
      </c>
      <c r="G1753" s="201" t="s">
        <v>57</v>
      </c>
      <c r="H1753" s="27" t="s">
        <v>109</v>
      </c>
      <c r="I1753" s="27"/>
      <c r="J1753" s="33"/>
      <c r="K1753" s="33"/>
      <c r="L1753" s="66"/>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v>209.0</v>
      </c>
      <c r="AI1753" s="27">
        <v>314.0</v>
      </c>
      <c r="AJ1753" s="27">
        <v>2.0</v>
      </c>
      <c r="AK1753" s="27" t="b">
        <v>0</v>
      </c>
      <c r="AL1753" s="27">
        <v>100.0</v>
      </c>
      <c r="AM1753" s="27" t="s">
        <v>191</v>
      </c>
      <c r="AN1753" s="27" t="s">
        <v>404</v>
      </c>
      <c r="AO1753" s="27"/>
    </row>
    <row r="1754">
      <c r="A1754" s="200">
        <v>44887.02510271991</v>
      </c>
      <c r="B1754" s="19" t="s">
        <v>141</v>
      </c>
      <c r="C1754" s="21" t="s">
        <v>353</v>
      </c>
      <c r="D1754" s="62">
        <v>7.0</v>
      </c>
      <c r="E1754" s="27">
        <v>4.0</v>
      </c>
      <c r="F1754" s="27" t="s">
        <v>2213</v>
      </c>
      <c r="G1754" s="201" t="s">
        <v>57</v>
      </c>
      <c r="H1754" s="27" t="s">
        <v>154</v>
      </c>
      <c r="I1754" s="27"/>
      <c r="J1754" s="33"/>
      <c r="K1754" s="33"/>
      <c r="L1754" s="66"/>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v>313.0</v>
      </c>
      <c r="AI1754" s="27">
        <v>216.0</v>
      </c>
      <c r="AJ1754" s="27">
        <v>2.0</v>
      </c>
      <c r="AK1754" s="27" t="b">
        <v>1</v>
      </c>
      <c r="AL1754" s="27">
        <v>100.0</v>
      </c>
      <c r="AM1754" s="27" t="s">
        <v>186</v>
      </c>
      <c r="AN1754" s="27" t="s">
        <v>404</v>
      </c>
      <c r="AO1754" s="27"/>
    </row>
    <row r="1755">
      <c r="A1755" s="200">
        <v>44887.02510271991</v>
      </c>
      <c r="B1755" s="19" t="s">
        <v>141</v>
      </c>
      <c r="C1755" s="21" t="s">
        <v>318</v>
      </c>
      <c r="D1755" s="62">
        <v>9.0</v>
      </c>
      <c r="E1755" s="27">
        <v>2.0</v>
      </c>
      <c r="F1755" s="27" t="s">
        <v>2180</v>
      </c>
      <c r="G1755" s="201" t="s">
        <v>57</v>
      </c>
      <c r="H1755" s="27" t="s">
        <v>131</v>
      </c>
      <c r="I1755" s="27"/>
      <c r="J1755" s="33"/>
      <c r="K1755" s="33"/>
      <c r="L1755" s="66"/>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v>247.0</v>
      </c>
      <c r="AI1755" s="27">
        <v>183.0</v>
      </c>
      <c r="AJ1755" s="27">
        <v>2.0</v>
      </c>
      <c r="AK1755" s="27" t="b">
        <v>0</v>
      </c>
      <c r="AL1755" s="27">
        <v>100.0</v>
      </c>
      <c r="AM1755" s="27" t="s">
        <v>193</v>
      </c>
      <c r="AN1755" s="27" t="s">
        <v>405</v>
      </c>
      <c r="AO1755" s="27"/>
    </row>
    <row r="1756">
      <c r="A1756" s="200">
        <v>44887.02510271991</v>
      </c>
      <c r="B1756" s="19" t="s">
        <v>141</v>
      </c>
      <c r="C1756" s="21" t="s">
        <v>317</v>
      </c>
      <c r="D1756" s="62">
        <v>3.0</v>
      </c>
      <c r="E1756" s="27">
        <v>9.0</v>
      </c>
      <c r="F1756" s="27" t="s">
        <v>2214</v>
      </c>
      <c r="G1756" s="201" t="s">
        <v>57</v>
      </c>
      <c r="H1756" s="27" t="s">
        <v>166</v>
      </c>
      <c r="I1756" s="27"/>
      <c r="J1756" s="33"/>
      <c r="K1756" s="33"/>
      <c r="L1756" s="66"/>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v>293.0</v>
      </c>
      <c r="AI1756" s="27">
        <v>473.0</v>
      </c>
      <c r="AJ1756" s="27">
        <v>2.0</v>
      </c>
      <c r="AK1756" s="27" t="b">
        <v>0</v>
      </c>
      <c r="AL1756" s="27">
        <v>100.0</v>
      </c>
      <c r="AM1756" s="27" t="s">
        <v>189</v>
      </c>
      <c r="AN1756" s="27" t="s">
        <v>405</v>
      </c>
      <c r="AO1756" s="27"/>
    </row>
    <row r="1757">
      <c r="A1757" s="200">
        <v>44887.02510271991</v>
      </c>
      <c r="B1757" s="19" t="s">
        <v>141</v>
      </c>
      <c r="C1757" s="21" t="s">
        <v>365</v>
      </c>
      <c r="D1757" s="62">
        <v>3.0</v>
      </c>
      <c r="E1757" s="27">
        <v>8.0</v>
      </c>
      <c r="F1757" s="27" t="s">
        <v>2182</v>
      </c>
      <c r="G1757" s="201" t="s">
        <v>57</v>
      </c>
      <c r="H1757" s="27" t="s">
        <v>131</v>
      </c>
      <c r="I1757" s="27"/>
      <c r="J1757" s="33"/>
      <c r="K1757" s="33"/>
      <c r="L1757" s="66"/>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v>247.0</v>
      </c>
      <c r="AI1757" s="27">
        <v>314.0</v>
      </c>
      <c r="AJ1757" s="27">
        <v>2.0</v>
      </c>
      <c r="AK1757" s="27" t="b">
        <v>0</v>
      </c>
      <c r="AL1757" s="27">
        <v>100.0</v>
      </c>
      <c r="AM1757" s="27" t="s">
        <v>188</v>
      </c>
      <c r="AN1757" s="27" t="s">
        <v>404</v>
      </c>
      <c r="AO1757" s="27"/>
    </row>
    <row r="1758">
      <c r="A1758" s="200">
        <v>44887.02510271991</v>
      </c>
      <c r="B1758" s="19" t="s">
        <v>141</v>
      </c>
      <c r="C1758" s="21" t="s">
        <v>287</v>
      </c>
      <c r="D1758" s="62">
        <v>9.0</v>
      </c>
      <c r="E1758" s="27">
        <v>2.0</v>
      </c>
      <c r="F1758" s="27" t="s">
        <v>2215</v>
      </c>
      <c r="G1758" s="201" t="s">
        <v>57</v>
      </c>
      <c r="H1758" s="27"/>
      <c r="I1758" s="27"/>
      <c r="J1758" s="33"/>
      <c r="K1758" s="33"/>
      <c r="L1758" s="66"/>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v>440.0</v>
      </c>
      <c r="AI1758" s="27">
        <v>189.0</v>
      </c>
      <c r="AJ1758" s="27">
        <v>2.0</v>
      </c>
      <c r="AK1758" s="27" t="b">
        <v>0</v>
      </c>
      <c r="AL1758" s="27">
        <v>100.0</v>
      </c>
      <c r="AM1758" s="27" t="s">
        <v>192</v>
      </c>
      <c r="AN1758" s="27" t="s">
        <v>404</v>
      </c>
      <c r="AO1758" s="27"/>
    </row>
    <row r="1759">
      <c r="A1759" s="200">
        <v>44887.02510271991</v>
      </c>
      <c r="B1759" s="19" t="s">
        <v>141</v>
      </c>
      <c r="C1759" s="21" t="s">
        <v>314</v>
      </c>
      <c r="D1759" s="62">
        <v>6.0</v>
      </c>
      <c r="E1759" s="27">
        <v>5.0</v>
      </c>
      <c r="F1759" s="27" t="s">
        <v>2192</v>
      </c>
      <c r="G1759" s="201" t="s">
        <v>57</v>
      </c>
      <c r="H1759" s="27" t="s">
        <v>178</v>
      </c>
      <c r="I1759" s="27"/>
      <c r="J1759" s="33"/>
      <c r="K1759" s="33"/>
      <c r="L1759" s="66"/>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v>427.0</v>
      </c>
      <c r="AI1759" s="27">
        <v>385.0</v>
      </c>
      <c r="AJ1759" s="27">
        <v>2.0</v>
      </c>
      <c r="AK1759" s="27" t="b">
        <v>1</v>
      </c>
      <c r="AL1759" s="27">
        <v>100.0</v>
      </c>
      <c r="AM1759" s="27" t="s">
        <v>389</v>
      </c>
      <c r="AN1759" s="27" t="s">
        <v>405</v>
      </c>
      <c r="AO1759" s="27"/>
    </row>
    <row r="1760">
      <c r="A1760" s="200">
        <v>44887.02510271991</v>
      </c>
      <c r="B1760" s="19"/>
      <c r="C1760" s="21"/>
      <c r="D1760" s="62"/>
      <c r="E1760" s="27"/>
      <c r="F1760" s="27"/>
      <c r="G1760" s="201"/>
      <c r="H1760" s="27"/>
      <c r="I1760" s="27"/>
      <c r="J1760" s="33"/>
      <c r="K1760" s="33"/>
      <c r="L1760" s="66"/>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t="e">
        <v>#N/A</v>
      </c>
      <c r="AN1760" s="27" t="e">
        <v>#N/A</v>
      </c>
      <c r="AO1760" s="27"/>
    </row>
    <row r="1761">
      <c r="A1761" s="200">
        <v>44887.02510271991</v>
      </c>
      <c r="B1761" s="19" t="s">
        <v>109</v>
      </c>
      <c r="C1761" s="21" t="s">
        <v>344</v>
      </c>
      <c r="D1761" s="62">
        <v>5.0</v>
      </c>
      <c r="E1761" s="27">
        <v>5.0</v>
      </c>
      <c r="F1761" s="27"/>
      <c r="G1761" s="201"/>
      <c r="H1761" s="27"/>
      <c r="I1761" s="27" t="s">
        <v>133</v>
      </c>
      <c r="J1761" s="33"/>
      <c r="K1761" s="33"/>
      <c r="L1761" s="66"/>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v>298.0</v>
      </c>
      <c r="AI1761" s="27">
        <v>274.0</v>
      </c>
      <c r="AJ1761" s="27">
        <v>0.0</v>
      </c>
      <c r="AK1761" s="27" t="b">
        <v>0</v>
      </c>
      <c r="AL1761" s="27">
        <v>59.0</v>
      </c>
      <c r="AM1761" s="27" t="s">
        <v>190</v>
      </c>
      <c r="AN1761" s="27" t="s">
        <v>405</v>
      </c>
      <c r="AO1761" s="27"/>
    </row>
    <row r="1762">
      <c r="A1762" s="200">
        <v>44887.02510271991</v>
      </c>
      <c r="B1762" s="19" t="s">
        <v>109</v>
      </c>
      <c r="C1762" s="21" t="s">
        <v>360</v>
      </c>
      <c r="D1762" s="62">
        <v>9.0</v>
      </c>
      <c r="E1762" s="27">
        <v>2.0</v>
      </c>
      <c r="F1762" s="27" t="s">
        <v>2216</v>
      </c>
      <c r="G1762" s="201" t="s">
        <v>57</v>
      </c>
      <c r="H1762" s="27" t="s">
        <v>103</v>
      </c>
      <c r="I1762" s="27"/>
      <c r="J1762" s="33"/>
      <c r="K1762" s="33"/>
      <c r="L1762" s="66"/>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v>367.0</v>
      </c>
      <c r="AI1762" s="27">
        <v>220.0</v>
      </c>
      <c r="AJ1762" s="27">
        <v>2.0</v>
      </c>
      <c r="AK1762" s="27" t="b">
        <v>0</v>
      </c>
      <c r="AL1762" s="27">
        <v>100.0</v>
      </c>
      <c r="AM1762" s="27" t="s">
        <v>192</v>
      </c>
      <c r="AN1762" s="27" t="s">
        <v>404</v>
      </c>
      <c r="AO1762" s="27"/>
    </row>
    <row r="1763">
      <c r="A1763" s="200">
        <v>44887.02510271991</v>
      </c>
      <c r="B1763" s="19" t="s">
        <v>109</v>
      </c>
      <c r="C1763" s="21" t="s">
        <v>394</v>
      </c>
      <c r="D1763" s="62">
        <v>4.0</v>
      </c>
      <c r="E1763" s="27">
        <v>6.0</v>
      </c>
      <c r="F1763" s="27" t="s">
        <v>2171</v>
      </c>
      <c r="G1763" s="201" t="s">
        <v>57</v>
      </c>
      <c r="H1763" s="27" t="s">
        <v>53</v>
      </c>
      <c r="I1763" s="27"/>
      <c r="J1763" s="33"/>
      <c r="K1763" s="33"/>
      <c r="L1763" s="66"/>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v>193.0</v>
      </c>
      <c r="AI1763" s="27">
        <v>275.0</v>
      </c>
      <c r="AJ1763" s="27">
        <v>2.0</v>
      </c>
      <c r="AK1763" s="27" t="b">
        <v>1</v>
      </c>
      <c r="AL1763" s="27">
        <v>100.0</v>
      </c>
      <c r="AM1763" s="27" t="s">
        <v>129</v>
      </c>
      <c r="AN1763" s="27" t="s">
        <v>405</v>
      </c>
      <c r="AO1763" s="27"/>
    </row>
    <row r="1764">
      <c r="A1764" s="200">
        <v>44887.02510271991</v>
      </c>
      <c r="B1764" s="19" t="s">
        <v>109</v>
      </c>
      <c r="C1764" s="21" t="s">
        <v>367</v>
      </c>
      <c r="D1764" s="62">
        <v>9.0</v>
      </c>
      <c r="E1764" s="27">
        <v>2.0</v>
      </c>
      <c r="F1764" s="27" t="s">
        <v>2217</v>
      </c>
      <c r="G1764" s="201" t="s">
        <v>57</v>
      </c>
      <c r="H1764" s="27" t="s">
        <v>116</v>
      </c>
      <c r="I1764" s="27"/>
      <c r="J1764" s="33"/>
      <c r="K1764" s="33"/>
      <c r="L1764" s="66"/>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v>418.0</v>
      </c>
      <c r="AI1764" s="27">
        <v>334.0</v>
      </c>
      <c r="AJ1764" s="27">
        <v>2.0</v>
      </c>
      <c r="AK1764" s="27" t="b">
        <v>0</v>
      </c>
      <c r="AL1764" s="27">
        <v>100.0</v>
      </c>
      <c r="AM1764" s="27" t="s">
        <v>186</v>
      </c>
      <c r="AN1764" s="27" t="s">
        <v>404</v>
      </c>
      <c r="AO1764" s="27"/>
    </row>
    <row r="1765">
      <c r="A1765" s="200">
        <v>44887.02510271991</v>
      </c>
      <c r="B1765" s="19" t="s">
        <v>109</v>
      </c>
      <c r="C1765" s="21" t="s">
        <v>375</v>
      </c>
      <c r="D1765" s="62">
        <v>9.0</v>
      </c>
      <c r="E1765" s="27">
        <v>2.0</v>
      </c>
      <c r="F1765" s="27" t="s">
        <v>2212</v>
      </c>
      <c r="G1765" s="201" t="s">
        <v>57</v>
      </c>
      <c r="H1765" s="27" t="s">
        <v>141</v>
      </c>
      <c r="I1765" s="27"/>
      <c r="J1765" s="33"/>
      <c r="K1765" s="33"/>
      <c r="L1765" s="66"/>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v>395.0</v>
      </c>
      <c r="AI1765" s="27">
        <v>200.0</v>
      </c>
      <c r="AJ1765" s="27">
        <v>2.0</v>
      </c>
      <c r="AK1765" s="27" t="b">
        <v>1</v>
      </c>
      <c r="AL1765" s="27">
        <v>100.0</v>
      </c>
      <c r="AM1765" s="27" t="s">
        <v>188</v>
      </c>
      <c r="AN1765" s="27" t="s">
        <v>404</v>
      </c>
      <c r="AO1765" s="27"/>
    </row>
    <row r="1766">
      <c r="A1766" s="200">
        <v>44887.02510271991</v>
      </c>
      <c r="B1766" s="19" t="s">
        <v>109</v>
      </c>
      <c r="C1766" s="21" t="s">
        <v>343</v>
      </c>
      <c r="D1766" s="62">
        <v>6.0</v>
      </c>
      <c r="E1766" s="27">
        <v>5.0</v>
      </c>
      <c r="F1766" s="27" t="s">
        <v>2173</v>
      </c>
      <c r="G1766" s="201" t="s">
        <v>57</v>
      </c>
      <c r="H1766" s="27" t="s">
        <v>53</v>
      </c>
      <c r="I1766" s="27"/>
      <c r="J1766" s="33"/>
      <c r="K1766" s="33"/>
      <c r="L1766" s="66"/>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v>317.0</v>
      </c>
      <c r="AI1766" s="27">
        <v>309.0</v>
      </c>
      <c r="AJ1766" s="27">
        <v>2.0</v>
      </c>
      <c r="AK1766" s="27" t="b">
        <v>0</v>
      </c>
      <c r="AL1766" s="27">
        <v>100.0</v>
      </c>
      <c r="AM1766" s="27" t="s">
        <v>189</v>
      </c>
      <c r="AN1766" s="27" t="s">
        <v>405</v>
      </c>
      <c r="AO1766" s="27"/>
    </row>
    <row r="1767">
      <c r="A1767" s="200">
        <v>44887.02510271991</v>
      </c>
      <c r="B1767" s="19" t="s">
        <v>109</v>
      </c>
      <c r="C1767" s="21" t="s">
        <v>400</v>
      </c>
      <c r="D1767" s="62">
        <v>8.0</v>
      </c>
      <c r="E1767" s="27">
        <v>3.0</v>
      </c>
      <c r="F1767" s="27" t="s">
        <v>2197</v>
      </c>
      <c r="G1767" s="201" t="s">
        <v>57</v>
      </c>
      <c r="H1767" s="27" t="s">
        <v>59</v>
      </c>
      <c r="I1767" s="27"/>
      <c r="J1767" s="33"/>
      <c r="K1767" s="33"/>
      <c r="L1767" s="66"/>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v>341.0</v>
      </c>
      <c r="AI1767" s="27">
        <v>223.0</v>
      </c>
      <c r="AJ1767" s="27">
        <v>2.0</v>
      </c>
      <c r="AK1767" s="27" t="b">
        <v>1</v>
      </c>
      <c r="AL1767" s="27">
        <v>100.0</v>
      </c>
      <c r="AM1767" s="27" t="s">
        <v>187</v>
      </c>
      <c r="AN1767" s="27" t="s">
        <v>404</v>
      </c>
      <c r="AO1767" s="27"/>
    </row>
    <row r="1768">
      <c r="A1768" s="200">
        <v>44887.02510271991</v>
      </c>
      <c r="B1768" s="19" t="s">
        <v>109</v>
      </c>
      <c r="C1768" s="21" t="s">
        <v>328</v>
      </c>
      <c r="D1768" s="62">
        <v>3.0</v>
      </c>
      <c r="E1768" s="27">
        <v>8.0</v>
      </c>
      <c r="F1768" s="27" t="s">
        <v>2199</v>
      </c>
      <c r="G1768" s="201" t="s">
        <v>57</v>
      </c>
      <c r="H1768" s="27" t="s">
        <v>59</v>
      </c>
      <c r="I1768" s="27"/>
      <c r="J1768" s="33"/>
      <c r="K1768" s="33"/>
      <c r="L1768" s="66"/>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v>278.0</v>
      </c>
      <c r="AI1768" s="27">
        <v>339.0</v>
      </c>
      <c r="AJ1768" s="27">
        <v>2.0</v>
      </c>
      <c r="AK1768" s="27" t="b">
        <v>0</v>
      </c>
      <c r="AL1768" s="27">
        <v>100.0</v>
      </c>
      <c r="AM1768" s="27" t="s">
        <v>191</v>
      </c>
      <c r="AN1768" s="27" t="s">
        <v>404</v>
      </c>
      <c r="AO1768" s="27"/>
    </row>
    <row r="1769">
      <c r="A1769" s="200">
        <v>44887.02510271991</v>
      </c>
      <c r="B1769" s="19" t="s">
        <v>109</v>
      </c>
      <c r="C1769" s="21" t="s">
        <v>339</v>
      </c>
      <c r="D1769" s="62">
        <v>6.0</v>
      </c>
      <c r="E1769" s="27">
        <v>5.0</v>
      </c>
      <c r="F1769" s="27" t="s">
        <v>2218</v>
      </c>
      <c r="G1769" s="201" t="s">
        <v>57</v>
      </c>
      <c r="H1769" s="27"/>
      <c r="I1769" s="27"/>
      <c r="J1769" s="33"/>
      <c r="K1769" s="33"/>
      <c r="L1769" s="66"/>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v>390.0</v>
      </c>
      <c r="AI1769" s="27">
        <v>294.0</v>
      </c>
      <c r="AJ1769" s="27">
        <v>2.0</v>
      </c>
      <c r="AK1769" s="27" t="b">
        <v>0</v>
      </c>
      <c r="AL1769" s="27">
        <v>100.0</v>
      </c>
      <c r="AM1769" s="27" t="s">
        <v>389</v>
      </c>
      <c r="AN1769" s="27" t="s">
        <v>405</v>
      </c>
      <c r="AO1769" s="27"/>
    </row>
    <row r="1770">
      <c r="A1770" s="200">
        <v>44887.02510271991</v>
      </c>
      <c r="B1770" s="19" t="s">
        <v>109</v>
      </c>
      <c r="C1770" s="21" t="s">
        <v>292</v>
      </c>
      <c r="D1770" s="62">
        <v>5.0</v>
      </c>
      <c r="E1770" s="27">
        <v>6.0</v>
      </c>
      <c r="F1770" s="27" t="s">
        <v>2219</v>
      </c>
      <c r="G1770" s="201" t="s">
        <v>57</v>
      </c>
      <c r="H1770" s="27" t="s">
        <v>103</v>
      </c>
      <c r="I1770" s="27"/>
      <c r="J1770" s="33"/>
      <c r="K1770" s="33"/>
      <c r="L1770" s="66"/>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v>283.0</v>
      </c>
      <c r="AI1770" s="27">
        <v>261.0</v>
      </c>
      <c r="AJ1770" s="27">
        <v>2.0</v>
      </c>
      <c r="AK1770" s="27" t="b">
        <v>1</v>
      </c>
      <c r="AL1770" s="27">
        <v>100.0</v>
      </c>
      <c r="AM1770" s="27" t="s">
        <v>193</v>
      </c>
      <c r="AN1770" s="27" t="s">
        <v>405</v>
      </c>
      <c r="AO1770" s="27"/>
    </row>
    <row r="1771">
      <c r="A1771" s="200">
        <v>44887.02510271991</v>
      </c>
      <c r="B1771" s="19"/>
      <c r="C1771" s="21"/>
      <c r="D1771" s="62"/>
      <c r="E1771" s="27"/>
      <c r="F1771" s="27"/>
      <c r="G1771" s="201"/>
      <c r="H1771" s="27"/>
      <c r="I1771" s="27"/>
      <c r="J1771" s="33"/>
      <c r="K1771" s="33"/>
      <c r="L1771" s="66"/>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t="e">
        <v>#N/A</v>
      </c>
      <c r="AN1771" s="27" t="e">
        <v>#N/A</v>
      </c>
      <c r="AO1771" s="27"/>
    </row>
    <row r="1772">
      <c r="A1772" s="200">
        <v>44887.02510271991</v>
      </c>
      <c r="B1772" s="19" t="s">
        <v>144</v>
      </c>
      <c r="C1772" s="21" t="s">
        <v>300</v>
      </c>
      <c r="D1772" s="62">
        <v>9.0</v>
      </c>
      <c r="E1772" s="27">
        <v>1.0</v>
      </c>
      <c r="F1772" s="27" t="s">
        <v>2166</v>
      </c>
      <c r="G1772" s="201" t="s">
        <v>161</v>
      </c>
      <c r="H1772" s="27" t="s">
        <v>53</v>
      </c>
      <c r="I1772" s="27" t="s">
        <v>119</v>
      </c>
      <c r="J1772" s="33"/>
      <c r="K1772" s="33"/>
      <c r="L1772" s="66"/>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v>316.0</v>
      </c>
      <c r="AI1772" s="27">
        <v>269.0</v>
      </c>
      <c r="AJ1772" s="27">
        <v>0.0</v>
      </c>
      <c r="AK1772" s="27" t="b">
        <v>0</v>
      </c>
      <c r="AL1772" s="27">
        <v>59.0</v>
      </c>
      <c r="AM1772" s="27" t="s">
        <v>193</v>
      </c>
      <c r="AN1772" s="27" t="s">
        <v>405</v>
      </c>
      <c r="AO1772" s="27"/>
    </row>
    <row r="1773">
      <c r="A1773" s="200">
        <v>44887.02510271991</v>
      </c>
      <c r="B1773" s="19" t="s">
        <v>144</v>
      </c>
      <c r="C1773" s="21" t="s">
        <v>345</v>
      </c>
      <c r="D1773" s="62">
        <v>7.0</v>
      </c>
      <c r="E1773" s="27">
        <v>4.0</v>
      </c>
      <c r="F1773" s="27" t="s">
        <v>2168</v>
      </c>
      <c r="G1773" s="201" t="s">
        <v>57</v>
      </c>
      <c r="H1773" s="27" t="s">
        <v>53</v>
      </c>
      <c r="I1773" s="27"/>
      <c r="J1773" s="33"/>
      <c r="K1773" s="33"/>
      <c r="L1773" s="66"/>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v>341.0</v>
      </c>
      <c r="AI1773" s="27">
        <v>250.0</v>
      </c>
      <c r="AJ1773" s="27">
        <v>2.0</v>
      </c>
      <c r="AK1773" s="27" t="b">
        <v>0</v>
      </c>
      <c r="AL1773" s="27">
        <v>100.0</v>
      </c>
      <c r="AM1773" s="27" t="s">
        <v>129</v>
      </c>
      <c r="AN1773" s="27" t="s">
        <v>405</v>
      </c>
      <c r="AO1773" s="27"/>
    </row>
    <row r="1774">
      <c r="A1774" s="200">
        <v>44887.02510271991</v>
      </c>
      <c r="B1774" s="19" t="s">
        <v>144</v>
      </c>
      <c r="C1774" s="21" t="s">
        <v>342</v>
      </c>
      <c r="D1774" s="62">
        <v>1.0</v>
      </c>
      <c r="E1774" s="27">
        <v>10.0</v>
      </c>
      <c r="F1774" s="27" t="s">
        <v>2220</v>
      </c>
      <c r="G1774" s="201" t="s">
        <v>57</v>
      </c>
      <c r="H1774" s="27" t="s">
        <v>148</v>
      </c>
      <c r="I1774" s="27"/>
      <c r="J1774" s="33"/>
      <c r="K1774" s="33"/>
      <c r="L1774" s="66"/>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v>164.0</v>
      </c>
      <c r="AI1774" s="27">
        <v>471.0</v>
      </c>
      <c r="AJ1774" s="27">
        <v>2.0</v>
      </c>
      <c r="AK1774" s="27" t="b">
        <v>1</v>
      </c>
      <c r="AL1774" s="27">
        <v>100.0</v>
      </c>
      <c r="AM1774" s="27" t="s">
        <v>191</v>
      </c>
      <c r="AN1774" s="27" t="s">
        <v>404</v>
      </c>
      <c r="AO1774" s="27"/>
    </row>
    <row r="1775">
      <c r="A1775" s="200">
        <v>44887.02510271991</v>
      </c>
      <c r="B1775" s="19" t="s">
        <v>144</v>
      </c>
      <c r="C1775" s="21" t="s">
        <v>338</v>
      </c>
      <c r="D1775" s="62">
        <v>5.0</v>
      </c>
      <c r="E1775" s="27">
        <v>6.0</v>
      </c>
      <c r="F1775" s="27" t="s">
        <v>2207</v>
      </c>
      <c r="G1775" s="201" t="s">
        <v>57</v>
      </c>
      <c r="H1775" s="27" t="s">
        <v>138</v>
      </c>
      <c r="I1775" s="27"/>
      <c r="J1775" s="33"/>
      <c r="K1775" s="33"/>
      <c r="L1775" s="66"/>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v>271.0</v>
      </c>
      <c r="AI1775" s="27">
        <v>272.0</v>
      </c>
      <c r="AJ1775" s="27">
        <v>2.0</v>
      </c>
      <c r="AK1775" s="27" t="b">
        <v>0</v>
      </c>
      <c r="AL1775" s="27">
        <v>100.0</v>
      </c>
      <c r="AM1775" s="27" t="s">
        <v>189</v>
      </c>
      <c r="AN1775" s="27" t="s">
        <v>405</v>
      </c>
      <c r="AO1775" s="27"/>
    </row>
    <row r="1776">
      <c r="A1776" s="200">
        <v>44887.02510271991</v>
      </c>
      <c r="B1776" s="19" t="s">
        <v>144</v>
      </c>
      <c r="C1776" s="21" t="s">
        <v>357</v>
      </c>
      <c r="D1776" s="62">
        <v>5.0</v>
      </c>
      <c r="E1776" s="27">
        <v>6.0</v>
      </c>
      <c r="F1776" s="27" t="s">
        <v>2178</v>
      </c>
      <c r="G1776" s="201" t="s">
        <v>57</v>
      </c>
      <c r="H1776" s="27" t="s">
        <v>131</v>
      </c>
      <c r="I1776" s="27"/>
      <c r="J1776" s="33"/>
      <c r="K1776" s="33"/>
      <c r="L1776" s="66"/>
      <c r="M1776" s="27"/>
      <c r="N1776" s="27"/>
      <c r="O1776" s="27"/>
      <c r="P1776" s="27"/>
      <c r="Q1776" s="27"/>
      <c r="R1776" s="27"/>
      <c r="S1776" s="27"/>
      <c r="T1776" s="27"/>
      <c r="U1776" s="27"/>
      <c r="V1776" s="27"/>
      <c r="W1776" s="27"/>
      <c r="X1776" s="27"/>
      <c r="Y1776" s="27"/>
      <c r="Z1776" s="27"/>
      <c r="AA1776" s="27"/>
      <c r="AB1776" s="27"/>
      <c r="AC1776" s="27"/>
      <c r="AD1776" s="27"/>
      <c r="AE1776" s="27"/>
      <c r="AF1776" s="27"/>
      <c r="AG1776" s="27"/>
      <c r="AH1776" s="27">
        <v>267.0</v>
      </c>
      <c r="AI1776" s="27">
        <v>279.0</v>
      </c>
      <c r="AJ1776" s="27">
        <v>2.0</v>
      </c>
      <c r="AK1776" s="27" t="b">
        <v>0</v>
      </c>
      <c r="AL1776" s="27">
        <v>100.0</v>
      </c>
      <c r="AM1776" s="27" t="s">
        <v>186</v>
      </c>
      <c r="AN1776" s="27" t="s">
        <v>404</v>
      </c>
      <c r="AO1776" s="27"/>
    </row>
    <row r="1777">
      <c r="A1777" s="200">
        <v>44887.02510271991</v>
      </c>
      <c r="B1777" s="19" t="s">
        <v>144</v>
      </c>
      <c r="C1777" s="21" t="s">
        <v>371</v>
      </c>
      <c r="D1777" s="62">
        <v>4.0</v>
      </c>
      <c r="E1777" s="27">
        <v>7.0</v>
      </c>
      <c r="F1777" s="27" t="s">
        <v>2198</v>
      </c>
      <c r="G1777" s="201" t="s">
        <v>57</v>
      </c>
      <c r="H1777" s="27" t="s">
        <v>59</v>
      </c>
      <c r="I1777" s="27"/>
      <c r="J1777" s="33"/>
      <c r="K1777" s="33"/>
      <c r="L1777" s="66"/>
      <c r="M1777" s="27"/>
      <c r="N1777" s="27"/>
      <c r="O1777" s="27"/>
      <c r="P1777" s="27"/>
      <c r="Q1777" s="27"/>
      <c r="R1777" s="27"/>
      <c r="S1777" s="27"/>
      <c r="T1777" s="27"/>
      <c r="U1777" s="27"/>
      <c r="V1777" s="27"/>
      <c r="W1777" s="27"/>
      <c r="X1777" s="27"/>
      <c r="Y1777" s="27"/>
      <c r="Z1777" s="27"/>
      <c r="AA1777" s="27"/>
      <c r="AB1777" s="27"/>
      <c r="AC1777" s="27"/>
      <c r="AD1777" s="27"/>
      <c r="AE1777" s="27"/>
      <c r="AF1777" s="27"/>
      <c r="AG1777" s="27"/>
      <c r="AH1777" s="27">
        <v>343.0</v>
      </c>
      <c r="AI1777" s="27">
        <v>376.0</v>
      </c>
      <c r="AJ1777" s="27">
        <v>2.0</v>
      </c>
      <c r="AK1777" s="27" t="b">
        <v>1</v>
      </c>
      <c r="AL1777" s="27">
        <v>100.0</v>
      </c>
      <c r="AM1777" s="27" t="s">
        <v>187</v>
      </c>
      <c r="AN1777" s="27" t="s">
        <v>404</v>
      </c>
      <c r="AO1777" s="27"/>
    </row>
    <row r="1778">
      <c r="A1778" s="200">
        <v>44887.02510271991</v>
      </c>
      <c r="B1778" s="19" t="s">
        <v>144</v>
      </c>
      <c r="C1778" s="21" t="s">
        <v>325</v>
      </c>
      <c r="D1778" s="62">
        <v>6.0</v>
      </c>
      <c r="E1778" s="27">
        <v>5.0</v>
      </c>
      <c r="F1778" s="27" t="s">
        <v>2221</v>
      </c>
      <c r="G1778" s="201" t="s">
        <v>57</v>
      </c>
      <c r="H1778" s="27" t="s">
        <v>154</v>
      </c>
      <c r="I1778" s="27"/>
      <c r="J1778" s="33"/>
      <c r="K1778" s="33"/>
      <c r="L1778" s="66"/>
      <c r="M1778" s="27"/>
      <c r="N1778" s="27"/>
      <c r="O1778" s="27"/>
      <c r="P1778" s="27"/>
      <c r="Q1778" s="27"/>
      <c r="R1778" s="27"/>
      <c r="S1778" s="27"/>
      <c r="T1778" s="27"/>
      <c r="U1778" s="27"/>
      <c r="V1778" s="27"/>
      <c r="W1778" s="27"/>
      <c r="X1778" s="27"/>
      <c r="Y1778" s="27"/>
      <c r="Z1778" s="27"/>
      <c r="AA1778" s="27"/>
      <c r="AB1778" s="27"/>
      <c r="AC1778" s="27"/>
      <c r="AD1778" s="27"/>
      <c r="AE1778" s="27"/>
      <c r="AF1778" s="27"/>
      <c r="AG1778" s="27"/>
      <c r="AH1778" s="27">
        <v>321.0</v>
      </c>
      <c r="AI1778" s="27">
        <v>278.0</v>
      </c>
      <c r="AJ1778" s="27">
        <v>2.0</v>
      </c>
      <c r="AK1778" s="27" t="b">
        <v>0</v>
      </c>
      <c r="AL1778" s="27">
        <v>100.0</v>
      </c>
      <c r="AM1778" s="27" t="s">
        <v>389</v>
      </c>
      <c r="AN1778" s="27" t="s">
        <v>405</v>
      </c>
      <c r="AO1778" s="27"/>
    </row>
    <row r="1779">
      <c r="A1779" s="200">
        <v>44887.02510271991</v>
      </c>
      <c r="B1779" s="19" t="s">
        <v>144</v>
      </c>
      <c r="C1779" s="21" t="s">
        <v>321</v>
      </c>
      <c r="D1779" s="62">
        <v>7.0</v>
      </c>
      <c r="E1779" s="27">
        <v>4.0</v>
      </c>
      <c r="F1779" s="27" t="s">
        <v>2200</v>
      </c>
      <c r="G1779" s="201" t="s">
        <v>57</v>
      </c>
      <c r="H1779" s="27" t="s">
        <v>59</v>
      </c>
      <c r="I1779" s="27"/>
      <c r="J1779" s="33"/>
      <c r="K1779" s="33"/>
      <c r="L1779" s="66"/>
      <c r="M1779" s="27"/>
      <c r="N1779" s="27"/>
      <c r="O1779" s="27"/>
      <c r="P1779" s="27"/>
      <c r="Q1779" s="27"/>
      <c r="R1779" s="27"/>
      <c r="S1779" s="27"/>
      <c r="T1779" s="27"/>
      <c r="U1779" s="27"/>
      <c r="V1779" s="27"/>
      <c r="W1779" s="27"/>
      <c r="X1779" s="27"/>
      <c r="Y1779" s="27"/>
      <c r="Z1779" s="27"/>
      <c r="AA1779" s="27"/>
      <c r="AB1779" s="27"/>
      <c r="AC1779" s="27"/>
      <c r="AD1779" s="27"/>
      <c r="AE1779" s="27"/>
      <c r="AF1779" s="27"/>
      <c r="AG1779" s="27"/>
      <c r="AH1779" s="27">
        <v>264.0</v>
      </c>
      <c r="AI1779" s="27">
        <v>144.0</v>
      </c>
      <c r="AJ1779" s="27">
        <v>2.0</v>
      </c>
      <c r="AK1779" s="27" t="b">
        <v>1</v>
      </c>
      <c r="AL1779" s="27">
        <v>100.0</v>
      </c>
      <c r="AM1779" s="27" t="s">
        <v>188</v>
      </c>
      <c r="AN1779" s="27" t="s">
        <v>404</v>
      </c>
      <c r="AO1779" s="27"/>
    </row>
    <row r="1780">
      <c r="A1780" s="200">
        <v>44887.02510271991</v>
      </c>
      <c r="B1780" s="19" t="s">
        <v>144</v>
      </c>
      <c r="C1780" s="21" t="s">
        <v>346</v>
      </c>
      <c r="D1780" s="62">
        <v>6.0</v>
      </c>
      <c r="E1780" s="27">
        <v>5.0</v>
      </c>
      <c r="F1780" s="27" t="s">
        <v>2209</v>
      </c>
      <c r="G1780" s="201" t="s">
        <v>57</v>
      </c>
      <c r="H1780" s="27" t="s">
        <v>138</v>
      </c>
      <c r="I1780" s="27"/>
      <c r="J1780" s="33"/>
      <c r="K1780" s="33"/>
      <c r="L1780" s="66"/>
      <c r="M1780" s="27"/>
      <c r="N1780" s="27"/>
      <c r="O1780" s="27"/>
      <c r="P1780" s="27"/>
      <c r="Q1780" s="27"/>
      <c r="R1780" s="27"/>
      <c r="S1780" s="27"/>
      <c r="T1780" s="27"/>
      <c r="U1780" s="27"/>
      <c r="V1780" s="27"/>
      <c r="W1780" s="27"/>
      <c r="X1780" s="27"/>
      <c r="Y1780" s="27"/>
      <c r="Z1780" s="27"/>
      <c r="AA1780" s="27"/>
      <c r="AB1780" s="27"/>
      <c r="AC1780" s="27"/>
      <c r="AD1780" s="27"/>
      <c r="AE1780" s="27"/>
      <c r="AF1780" s="27"/>
      <c r="AG1780" s="27"/>
      <c r="AH1780" s="27">
        <v>343.0</v>
      </c>
      <c r="AI1780" s="27">
        <v>300.0</v>
      </c>
      <c r="AJ1780" s="27">
        <v>2.0</v>
      </c>
      <c r="AK1780" s="27" t="b">
        <v>0</v>
      </c>
      <c r="AL1780" s="27">
        <v>100.0</v>
      </c>
      <c r="AM1780" s="27" t="s">
        <v>192</v>
      </c>
      <c r="AN1780" s="27" t="s">
        <v>404</v>
      </c>
      <c r="AO1780" s="27"/>
    </row>
    <row r="1781">
      <c r="A1781" s="200">
        <v>44887.02510271991</v>
      </c>
      <c r="B1781" s="19" t="s">
        <v>144</v>
      </c>
      <c r="C1781" s="21" t="s">
        <v>359</v>
      </c>
      <c r="D1781" s="62">
        <v>4.0</v>
      </c>
      <c r="E1781" s="27">
        <v>7.0</v>
      </c>
      <c r="F1781" s="27" t="s">
        <v>2222</v>
      </c>
      <c r="G1781" s="201" t="s">
        <v>57</v>
      </c>
      <c r="H1781" s="27" t="s">
        <v>103</v>
      </c>
      <c r="I1781" s="27"/>
      <c r="J1781" s="33"/>
      <c r="K1781" s="33"/>
      <c r="L1781" s="66"/>
      <c r="M1781" s="27"/>
      <c r="N1781" s="27"/>
      <c r="O1781" s="27"/>
      <c r="P1781" s="27"/>
      <c r="Q1781" s="27"/>
      <c r="R1781" s="27"/>
      <c r="S1781" s="27"/>
      <c r="T1781" s="27"/>
      <c r="U1781" s="27"/>
      <c r="V1781" s="27"/>
      <c r="W1781" s="27"/>
      <c r="X1781" s="27"/>
      <c r="Y1781" s="27"/>
      <c r="Z1781" s="27"/>
      <c r="AA1781" s="27"/>
      <c r="AB1781" s="27"/>
      <c r="AC1781" s="27"/>
      <c r="AD1781" s="27"/>
      <c r="AE1781" s="27"/>
      <c r="AF1781" s="27"/>
      <c r="AG1781" s="27"/>
      <c r="AH1781" s="27">
        <v>311.0</v>
      </c>
      <c r="AI1781" s="27">
        <v>321.0</v>
      </c>
      <c r="AJ1781" s="27">
        <v>2.0</v>
      </c>
      <c r="AK1781" s="27" t="b">
        <v>1</v>
      </c>
      <c r="AL1781" s="27">
        <v>100.0</v>
      </c>
      <c r="AM1781" s="27" t="s">
        <v>190</v>
      </c>
      <c r="AN1781" s="27" t="s">
        <v>405</v>
      </c>
      <c r="AO1781" s="27"/>
    </row>
    <row r="1782">
      <c r="A1782" s="200">
        <v>44887.02510271991</v>
      </c>
      <c r="B1782" s="19"/>
      <c r="C1782" s="21"/>
      <c r="D1782" s="62"/>
      <c r="E1782" s="27"/>
      <c r="F1782" s="27"/>
      <c r="G1782" s="201"/>
      <c r="H1782" s="27"/>
      <c r="I1782" s="27"/>
      <c r="J1782" s="33"/>
      <c r="K1782" s="33"/>
      <c r="L1782" s="66"/>
      <c r="M1782" s="27"/>
      <c r="N1782" s="27"/>
      <c r="O1782" s="27"/>
      <c r="P1782" s="27"/>
      <c r="Q1782" s="27"/>
      <c r="R1782" s="27"/>
      <c r="S1782" s="27"/>
      <c r="T1782" s="27"/>
      <c r="U1782" s="27"/>
      <c r="V1782" s="27"/>
      <c r="W1782" s="27"/>
      <c r="X1782" s="27"/>
      <c r="Y1782" s="27"/>
      <c r="Z1782" s="27"/>
      <c r="AA1782" s="27"/>
      <c r="AB1782" s="27"/>
      <c r="AC1782" s="27"/>
      <c r="AD1782" s="27"/>
      <c r="AE1782" s="27"/>
      <c r="AF1782" s="27"/>
      <c r="AG1782" s="27"/>
      <c r="AH1782" s="27"/>
      <c r="AI1782" s="27"/>
      <c r="AJ1782" s="27"/>
      <c r="AK1782" s="27"/>
      <c r="AL1782" s="27"/>
      <c r="AM1782" s="27" t="e">
        <v>#N/A</v>
      </c>
      <c r="AN1782" s="27" t="e">
        <v>#N/A</v>
      </c>
      <c r="AO1782" s="27"/>
    </row>
    <row r="1783">
      <c r="A1783" s="200">
        <v>44887.02510271991</v>
      </c>
      <c r="B1783" s="19" t="s">
        <v>166</v>
      </c>
      <c r="C1783" s="21" t="s">
        <v>351</v>
      </c>
      <c r="D1783" s="62">
        <v>3.0</v>
      </c>
      <c r="E1783" s="27">
        <v>9.0</v>
      </c>
      <c r="F1783" s="27" t="s">
        <v>2194</v>
      </c>
      <c r="G1783" s="201" t="s">
        <v>57</v>
      </c>
      <c r="H1783" s="27" t="s">
        <v>59</v>
      </c>
      <c r="I1783" s="27"/>
      <c r="J1783" s="33"/>
      <c r="K1783" s="33"/>
      <c r="L1783" s="66"/>
      <c r="M1783" s="27"/>
      <c r="N1783" s="27"/>
      <c r="O1783" s="27"/>
      <c r="P1783" s="27"/>
      <c r="Q1783" s="27"/>
      <c r="R1783" s="27"/>
      <c r="S1783" s="27"/>
      <c r="T1783" s="27"/>
      <c r="U1783" s="27"/>
      <c r="V1783" s="27"/>
      <c r="W1783" s="27"/>
      <c r="X1783" s="27"/>
      <c r="Y1783" s="27"/>
      <c r="Z1783" s="27"/>
      <c r="AA1783" s="27"/>
      <c r="AB1783" s="27"/>
      <c r="AC1783" s="27"/>
      <c r="AD1783" s="27"/>
      <c r="AE1783" s="27"/>
      <c r="AF1783" s="27"/>
      <c r="AG1783" s="27"/>
      <c r="AH1783" s="27">
        <v>243.0</v>
      </c>
      <c r="AI1783" s="27">
        <v>424.0</v>
      </c>
      <c r="AJ1783" s="27">
        <v>2.0</v>
      </c>
      <c r="AK1783" s="27" t="b">
        <v>0</v>
      </c>
      <c r="AL1783" s="27">
        <v>100.0</v>
      </c>
      <c r="AM1783" s="27" t="s">
        <v>129</v>
      </c>
      <c r="AN1783" s="27" t="s">
        <v>405</v>
      </c>
      <c r="AO1783" s="27"/>
    </row>
    <row r="1784">
      <c r="A1784" s="200">
        <v>44887.02510271991</v>
      </c>
      <c r="B1784" s="19" t="s">
        <v>166</v>
      </c>
      <c r="C1784" s="21" t="s">
        <v>306</v>
      </c>
      <c r="D1784" s="62">
        <v>7.0</v>
      </c>
      <c r="E1784" s="27">
        <v>4.0</v>
      </c>
      <c r="F1784" s="27" t="s">
        <v>2188</v>
      </c>
      <c r="G1784" s="201" t="s">
        <v>57</v>
      </c>
      <c r="H1784" s="27" t="s">
        <v>178</v>
      </c>
      <c r="I1784" s="27"/>
      <c r="J1784" s="33"/>
      <c r="K1784" s="33"/>
      <c r="L1784" s="66"/>
      <c r="M1784" s="27"/>
      <c r="N1784" s="27"/>
      <c r="O1784" s="27"/>
      <c r="P1784" s="27"/>
      <c r="Q1784" s="27"/>
      <c r="R1784" s="27"/>
      <c r="S1784" s="27"/>
      <c r="T1784" s="27"/>
      <c r="U1784" s="27"/>
      <c r="V1784" s="27"/>
      <c r="W1784" s="27"/>
      <c r="X1784" s="27"/>
      <c r="Y1784" s="27"/>
      <c r="Z1784" s="27"/>
      <c r="AA1784" s="27"/>
      <c r="AB1784" s="27"/>
      <c r="AC1784" s="27"/>
      <c r="AD1784" s="27"/>
      <c r="AE1784" s="27"/>
      <c r="AF1784" s="27"/>
      <c r="AG1784" s="27"/>
      <c r="AH1784" s="27">
        <v>262.0</v>
      </c>
      <c r="AI1784" s="27">
        <v>171.0</v>
      </c>
      <c r="AJ1784" s="27">
        <v>2.0</v>
      </c>
      <c r="AK1784" s="27" t="b">
        <v>0</v>
      </c>
      <c r="AL1784" s="27">
        <v>100.0</v>
      </c>
      <c r="AM1784" s="27" t="s">
        <v>193</v>
      </c>
      <c r="AN1784" s="27" t="s">
        <v>405</v>
      </c>
      <c r="AO1784" s="27"/>
    </row>
    <row r="1785">
      <c r="A1785" s="200">
        <v>44887.02510271991</v>
      </c>
      <c r="B1785" s="19" t="s">
        <v>166</v>
      </c>
      <c r="C1785" s="21" t="s">
        <v>333</v>
      </c>
      <c r="D1785" s="62">
        <v>4.0</v>
      </c>
      <c r="E1785" s="27">
        <v>7.0</v>
      </c>
      <c r="F1785" s="27" t="s">
        <v>2205</v>
      </c>
      <c r="G1785" s="201" t="s">
        <v>57</v>
      </c>
      <c r="H1785" s="27" t="s">
        <v>138</v>
      </c>
      <c r="I1785" s="27"/>
      <c r="J1785" s="33"/>
      <c r="K1785" s="33"/>
      <c r="L1785" s="66"/>
      <c r="M1785" s="27"/>
      <c r="N1785" s="27"/>
      <c r="O1785" s="27"/>
      <c r="P1785" s="27"/>
      <c r="Q1785" s="27"/>
      <c r="R1785" s="27"/>
      <c r="S1785" s="27"/>
      <c r="T1785" s="27"/>
      <c r="U1785" s="27"/>
      <c r="V1785" s="27"/>
      <c r="W1785" s="27"/>
      <c r="X1785" s="27"/>
      <c r="Y1785" s="27"/>
      <c r="Z1785" s="27"/>
      <c r="AA1785" s="27"/>
      <c r="AB1785" s="27"/>
      <c r="AC1785" s="27"/>
      <c r="AD1785" s="27"/>
      <c r="AE1785" s="27"/>
      <c r="AF1785" s="27"/>
      <c r="AG1785" s="27"/>
      <c r="AH1785" s="27">
        <v>259.0</v>
      </c>
      <c r="AI1785" s="27">
        <v>299.0</v>
      </c>
      <c r="AJ1785" s="27">
        <v>2.0</v>
      </c>
      <c r="AK1785" s="27" t="b">
        <v>0</v>
      </c>
      <c r="AL1785" s="27">
        <v>100.0</v>
      </c>
      <c r="AM1785" s="27" t="s">
        <v>191</v>
      </c>
      <c r="AN1785" s="27" t="s">
        <v>404</v>
      </c>
      <c r="AO1785" s="27"/>
    </row>
    <row r="1786">
      <c r="A1786" s="200">
        <v>44887.02510271991</v>
      </c>
      <c r="B1786" s="19" t="s">
        <v>166</v>
      </c>
      <c r="C1786" s="21" t="s">
        <v>337</v>
      </c>
      <c r="D1786" s="62">
        <v>5.0</v>
      </c>
      <c r="E1786" s="27">
        <v>6.0</v>
      </c>
      <c r="F1786" s="27" t="s">
        <v>2189</v>
      </c>
      <c r="G1786" s="201" t="s">
        <v>57</v>
      </c>
      <c r="H1786" s="27" t="s">
        <v>178</v>
      </c>
      <c r="I1786" s="27"/>
      <c r="J1786" s="33"/>
      <c r="K1786" s="33"/>
      <c r="L1786" s="66"/>
      <c r="M1786" s="27"/>
      <c r="N1786" s="27"/>
      <c r="O1786" s="27"/>
      <c r="P1786" s="27"/>
      <c r="Q1786" s="27"/>
      <c r="R1786" s="27"/>
      <c r="S1786" s="27"/>
      <c r="T1786" s="27"/>
      <c r="U1786" s="27"/>
      <c r="V1786" s="27"/>
      <c r="W1786" s="27"/>
      <c r="X1786" s="27"/>
      <c r="Y1786" s="27"/>
      <c r="Z1786" s="27"/>
      <c r="AA1786" s="27"/>
      <c r="AB1786" s="27"/>
      <c r="AC1786" s="27"/>
      <c r="AD1786" s="27"/>
      <c r="AE1786" s="27"/>
      <c r="AF1786" s="27"/>
      <c r="AG1786" s="27"/>
      <c r="AH1786" s="27">
        <v>270.0</v>
      </c>
      <c r="AI1786" s="27">
        <v>305.0</v>
      </c>
      <c r="AJ1786" s="27">
        <v>2.0</v>
      </c>
      <c r="AK1786" s="27" t="b">
        <v>0</v>
      </c>
      <c r="AL1786" s="27">
        <v>100.0</v>
      </c>
      <c r="AM1786" s="27" t="s">
        <v>192</v>
      </c>
      <c r="AN1786" s="27" t="s">
        <v>404</v>
      </c>
      <c r="AO1786" s="27"/>
    </row>
    <row r="1787">
      <c r="A1787" s="200">
        <v>44887.02510271991</v>
      </c>
      <c r="B1787" s="19" t="s">
        <v>166</v>
      </c>
      <c r="C1787" s="21" t="s">
        <v>364</v>
      </c>
      <c r="D1787" s="62">
        <v>7.0</v>
      </c>
      <c r="E1787" s="27">
        <v>4.0</v>
      </c>
      <c r="F1787" s="27" t="s">
        <v>2179</v>
      </c>
      <c r="G1787" s="201" t="s">
        <v>57</v>
      </c>
      <c r="H1787" s="27" t="s">
        <v>131</v>
      </c>
      <c r="I1787" s="27"/>
      <c r="J1787" s="33"/>
      <c r="K1787" s="33"/>
      <c r="L1787" s="66"/>
      <c r="M1787" s="27"/>
      <c r="N1787" s="27"/>
      <c r="O1787" s="27"/>
      <c r="P1787" s="27"/>
      <c r="Q1787" s="27"/>
      <c r="R1787" s="27"/>
      <c r="S1787" s="27"/>
      <c r="T1787" s="27"/>
      <c r="U1787" s="27"/>
      <c r="V1787" s="27"/>
      <c r="W1787" s="27"/>
      <c r="X1787" s="27"/>
      <c r="Y1787" s="27"/>
      <c r="Z1787" s="27"/>
      <c r="AA1787" s="27"/>
      <c r="AB1787" s="27"/>
      <c r="AC1787" s="27"/>
      <c r="AD1787" s="27"/>
      <c r="AE1787" s="27"/>
      <c r="AF1787" s="27"/>
      <c r="AG1787" s="27"/>
      <c r="AH1787" s="27">
        <v>390.0</v>
      </c>
      <c r="AI1787" s="27">
        <v>227.0</v>
      </c>
      <c r="AJ1787" s="27">
        <v>2.0</v>
      </c>
      <c r="AK1787" s="27" t="b">
        <v>0</v>
      </c>
      <c r="AL1787" s="27">
        <v>100.0</v>
      </c>
      <c r="AM1787" s="27" t="s">
        <v>187</v>
      </c>
      <c r="AN1787" s="27" t="s">
        <v>404</v>
      </c>
      <c r="AO1787" s="27"/>
    </row>
    <row r="1788">
      <c r="A1788" s="200">
        <v>44887.02510271991</v>
      </c>
      <c r="B1788" s="19" t="s">
        <v>166</v>
      </c>
      <c r="C1788" s="21" t="s">
        <v>334</v>
      </c>
      <c r="D1788" s="62">
        <v>3.0</v>
      </c>
      <c r="E1788" s="27">
        <v>8.0</v>
      </c>
      <c r="F1788" s="27" t="s">
        <v>2214</v>
      </c>
      <c r="G1788" s="201" t="s">
        <v>57</v>
      </c>
      <c r="H1788" s="27" t="s">
        <v>141</v>
      </c>
      <c r="I1788" s="27"/>
      <c r="J1788" s="33"/>
      <c r="K1788" s="33"/>
      <c r="L1788" s="66"/>
      <c r="M1788" s="27"/>
      <c r="N1788" s="27"/>
      <c r="O1788" s="27"/>
      <c r="P1788" s="27"/>
      <c r="Q1788" s="27"/>
      <c r="R1788" s="27"/>
      <c r="S1788" s="27"/>
      <c r="T1788" s="27"/>
      <c r="U1788" s="27"/>
      <c r="V1788" s="27"/>
      <c r="W1788" s="27"/>
      <c r="X1788" s="27"/>
      <c r="Y1788" s="27"/>
      <c r="Z1788" s="27"/>
      <c r="AA1788" s="27"/>
      <c r="AB1788" s="27"/>
      <c r="AC1788" s="27"/>
      <c r="AD1788" s="27"/>
      <c r="AE1788" s="27"/>
      <c r="AF1788" s="27"/>
      <c r="AG1788" s="27"/>
      <c r="AH1788" s="27">
        <v>321.0</v>
      </c>
      <c r="AI1788" s="27">
        <v>418.0</v>
      </c>
      <c r="AJ1788" s="27">
        <v>2.0</v>
      </c>
      <c r="AK1788" s="27" t="b">
        <v>1</v>
      </c>
      <c r="AL1788" s="27">
        <v>100.0</v>
      </c>
      <c r="AM1788" s="27" t="s">
        <v>189</v>
      </c>
      <c r="AN1788" s="27" t="s">
        <v>405</v>
      </c>
      <c r="AO1788" s="27"/>
    </row>
    <row r="1789">
      <c r="A1789" s="200">
        <v>44887.02510271991</v>
      </c>
      <c r="B1789" s="19" t="s">
        <v>166</v>
      </c>
      <c r="C1789" s="21" t="s">
        <v>370</v>
      </c>
      <c r="D1789" s="62">
        <v>7.0</v>
      </c>
      <c r="E1789" s="27">
        <v>4.0</v>
      </c>
      <c r="F1789" s="27" t="s">
        <v>2223</v>
      </c>
      <c r="G1789" s="201" t="s">
        <v>57</v>
      </c>
      <c r="H1789" s="27"/>
      <c r="I1789" s="27"/>
      <c r="J1789" s="33"/>
      <c r="K1789" s="33"/>
      <c r="L1789" s="66"/>
      <c r="M1789" s="27"/>
      <c r="N1789" s="27"/>
      <c r="O1789" s="27"/>
      <c r="P1789" s="27"/>
      <c r="Q1789" s="27"/>
      <c r="R1789" s="27"/>
      <c r="S1789" s="27"/>
      <c r="T1789" s="27"/>
      <c r="U1789" s="27"/>
      <c r="V1789" s="27"/>
      <c r="W1789" s="27"/>
      <c r="X1789" s="27"/>
      <c r="Y1789" s="27"/>
      <c r="Z1789" s="27"/>
      <c r="AA1789" s="27"/>
      <c r="AB1789" s="27"/>
      <c r="AC1789" s="27"/>
      <c r="AD1789" s="27"/>
      <c r="AE1789" s="27"/>
      <c r="AF1789" s="27"/>
      <c r="AG1789" s="27"/>
      <c r="AH1789" s="27">
        <v>328.0</v>
      </c>
      <c r="AI1789" s="27">
        <v>265.0</v>
      </c>
      <c r="AJ1789" s="27">
        <v>2.0</v>
      </c>
      <c r="AK1789" s="27" t="b">
        <v>1</v>
      </c>
      <c r="AL1789" s="27">
        <v>100.0</v>
      </c>
      <c r="AM1789" s="27" t="s">
        <v>186</v>
      </c>
      <c r="AN1789" s="27" t="s">
        <v>404</v>
      </c>
      <c r="AO1789" s="27"/>
    </row>
    <row r="1790">
      <c r="A1790" s="200">
        <v>44887.02510271991</v>
      </c>
      <c r="B1790" s="19" t="s">
        <v>166</v>
      </c>
      <c r="C1790" s="21" t="s">
        <v>398</v>
      </c>
      <c r="D1790" s="62">
        <v>4.0</v>
      </c>
      <c r="E1790" s="27">
        <v>6.0</v>
      </c>
      <c r="F1790" s="27" t="s">
        <v>2201</v>
      </c>
      <c r="G1790" s="201" t="s">
        <v>57</v>
      </c>
      <c r="H1790" s="27" t="s">
        <v>59</v>
      </c>
      <c r="I1790" s="27"/>
      <c r="J1790" s="33"/>
      <c r="K1790" s="33"/>
      <c r="L1790" s="66"/>
      <c r="M1790" s="27"/>
      <c r="N1790" s="27"/>
      <c r="O1790" s="27"/>
      <c r="P1790" s="27"/>
      <c r="Q1790" s="27"/>
      <c r="R1790" s="27"/>
      <c r="S1790" s="27"/>
      <c r="T1790" s="27"/>
      <c r="U1790" s="27"/>
      <c r="V1790" s="27"/>
      <c r="W1790" s="27"/>
      <c r="X1790" s="27"/>
      <c r="Y1790" s="27"/>
      <c r="Z1790" s="27"/>
      <c r="AA1790" s="27"/>
      <c r="AB1790" s="27"/>
      <c r="AC1790" s="27"/>
      <c r="AD1790" s="27"/>
      <c r="AE1790" s="27"/>
      <c r="AF1790" s="27"/>
      <c r="AG1790" s="27"/>
      <c r="AH1790" s="27">
        <v>279.0</v>
      </c>
      <c r="AI1790" s="27">
        <v>246.0</v>
      </c>
      <c r="AJ1790" s="27">
        <v>2.0</v>
      </c>
      <c r="AK1790" s="27" t="b">
        <v>1</v>
      </c>
      <c r="AL1790" s="27">
        <v>100.0</v>
      </c>
      <c r="AM1790" s="27" t="s">
        <v>389</v>
      </c>
      <c r="AN1790" s="27" t="s">
        <v>405</v>
      </c>
      <c r="AO1790" s="27"/>
    </row>
    <row r="1791">
      <c r="A1791" s="200">
        <v>44887.02510271991</v>
      </c>
      <c r="B1791" s="19" t="s">
        <v>166</v>
      </c>
      <c r="C1791" s="21" t="s">
        <v>399</v>
      </c>
      <c r="D1791" s="62">
        <v>8.0</v>
      </c>
      <c r="E1791" s="27">
        <v>3.0</v>
      </c>
      <c r="F1791" s="27" t="s">
        <v>2224</v>
      </c>
      <c r="G1791" s="201" t="s">
        <v>57</v>
      </c>
      <c r="H1791" s="27" t="s">
        <v>148</v>
      </c>
      <c r="I1791" s="27"/>
      <c r="J1791" s="33"/>
      <c r="K1791" s="33"/>
      <c r="L1791" s="66"/>
      <c r="M1791" s="27"/>
      <c r="N1791" s="27"/>
      <c r="O1791" s="27"/>
      <c r="P1791" s="27"/>
      <c r="Q1791" s="27"/>
      <c r="R1791" s="27"/>
      <c r="S1791" s="27"/>
      <c r="T1791" s="27"/>
      <c r="U1791" s="27"/>
      <c r="V1791" s="27"/>
      <c r="W1791" s="27"/>
      <c r="X1791" s="27"/>
      <c r="Y1791" s="27"/>
      <c r="Z1791" s="27"/>
      <c r="AA1791" s="27"/>
      <c r="AB1791" s="27"/>
      <c r="AC1791" s="27"/>
      <c r="AD1791" s="27"/>
      <c r="AE1791" s="27"/>
      <c r="AF1791" s="27"/>
      <c r="AG1791" s="27"/>
      <c r="AH1791" s="27">
        <v>325.0</v>
      </c>
      <c r="AI1791" s="27">
        <v>250.0</v>
      </c>
      <c r="AJ1791" s="27">
        <v>2.0</v>
      </c>
      <c r="AK1791" s="27" t="b">
        <v>1</v>
      </c>
      <c r="AL1791" s="27">
        <v>100.0</v>
      </c>
      <c r="AM1791" s="27" t="s">
        <v>190</v>
      </c>
      <c r="AN1791" s="27" t="s">
        <v>405</v>
      </c>
      <c r="AO1791" s="27"/>
    </row>
    <row r="1792">
      <c r="A1792" s="200">
        <v>44887.02510271991</v>
      </c>
      <c r="B1792" s="19" t="s">
        <v>166</v>
      </c>
      <c r="C1792" s="21" t="s">
        <v>327</v>
      </c>
      <c r="D1792" s="62">
        <v>4.0</v>
      </c>
      <c r="E1792" s="27">
        <v>7.0</v>
      </c>
      <c r="F1792" s="27" t="s">
        <v>2210</v>
      </c>
      <c r="G1792" s="201" t="s">
        <v>183</v>
      </c>
      <c r="H1792" s="27" t="s">
        <v>138</v>
      </c>
      <c r="I1792" s="27"/>
      <c r="J1792" s="33"/>
      <c r="K1792" s="33"/>
      <c r="L1792" s="66"/>
      <c r="M1792" s="27"/>
      <c r="N1792" s="27"/>
      <c r="O1792" s="27"/>
      <c r="P1792" s="27"/>
      <c r="Q1792" s="27"/>
      <c r="R1792" s="27"/>
      <c r="S1792" s="27"/>
      <c r="T1792" s="27"/>
      <c r="U1792" s="27"/>
      <c r="V1792" s="27"/>
      <c r="W1792" s="27"/>
      <c r="X1792" s="27"/>
      <c r="Y1792" s="27"/>
      <c r="Z1792" s="27"/>
      <c r="AA1792" s="27"/>
      <c r="AB1792" s="27"/>
      <c r="AC1792" s="27"/>
      <c r="AD1792" s="27"/>
      <c r="AE1792" s="27"/>
      <c r="AF1792" s="27"/>
      <c r="AG1792" s="27"/>
      <c r="AH1792" s="27">
        <v>263.0</v>
      </c>
      <c r="AI1792" s="27">
        <v>377.0</v>
      </c>
      <c r="AJ1792" s="27">
        <v>2.0</v>
      </c>
      <c r="AK1792" s="27" t="b">
        <v>0</v>
      </c>
      <c r="AL1792" s="27">
        <v>100.0</v>
      </c>
      <c r="AM1792" s="27" t="s">
        <v>188</v>
      </c>
      <c r="AN1792" s="27" t="s">
        <v>404</v>
      </c>
      <c r="AO1792" s="27"/>
    </row>
    <row r="1793">
      <c r="A1793" s="200">
        <v>44887.02510271991</v>
      </c>
      <c r="B1793" s="19"/>
      <c r="C1793" s="21"/>
      <c r="D1793" s="62"/>
      <c r="E1793" s="27"/>
      <c r="F1793" s="27"/>
      <c r="G1793" s="201"/>
      <c r="H1793" s="27"/>
      <c r="I1793" s="27"/>
      <c r="J1793" s="33"/>
      <c r="K1793" s="33"/>
      <c r="L1793" s="66"/>
      <c r="M1793" s="27"/>
      <c r="N1793" s="27"/>
      <c r="O1793" s="27"/>
      <c r="P1793" s="27"/>
      <c r="Q1793" s="27"/>
      <c r="R1793" s="27"/>
      <c r="S1793" s="27"/>
      <c r="T1793" s="27"/>
      <c r="U1793" s="27"/>
      <c r="V1793" s="27"/>
      <c r="W1793" s="27"/>
      <c r="X1793" s="27"/>
      <c r="Y1793" s="27"/>
      <c r="Z1793" s="27"/>
      <c r="AA1793" s="27"/>
      <c r="AB1793" s="27"/>
      <c r="AC1793" s="27"/>
      <c r="AD1793" s="27"/>
      <c r="AE1793" s="27"/>
      <c r="AF1793" s="27"/>
      <c r="AG1793" s="27"/>
      <c r="AH1793" s="27"/>
      <c r="AI1793" s="27"/>
      <c r="AJ1793" s="27"/>
      <c r="AK1793" s="27"/>
      <c r="AL1793" s="27"/>
      <c r="AM1793" s="27" t="e">
        <v>#N/A</v>
      </c>
      <c r="AN1793" s="27" t="e">
        <v>#N/A</v>
      </c>
      <c r="AO1793" s="27"/>
    </row>
    <row r="1794">
      <c r="A1794" s="200">
        <v>44887.02510271991</v>
      </c>
      <c r="B1794" s="19" t="s">
        <v>116</v>
      </c>
      <c r="C1794" s="21" t="s">
        <v>336</v>
      </c>
      <c r="D1794" s="62">
        <v>2.0</v>
      </c>
      <c r="E1794" s="27">
        <v>9.0</v>
      </c>
      <c r="F1794" s="27" t="s">
        <v>2225</v>
      </c>
      <c r="G1794" s="201" t="s">
        <v>57</v>
      </c>
      <c r="H1794" s="27" t="s">
        <v>103</v>
      </c>
      <c r="I1794" s="27"/>
      <c r="J1794" s="33"/>
      <c r="K1794" s="33"/>
      <c r="L1794" s="66"/>
      <c r="M1794" s="27"/>
      <c r="N1794" s="27"/>
      <c r="O1794" s="27"/>
      <c r="P1794" s="27"/>
      <c r="Q1794" s="27"/>
      <c r="R1794" s="27"/>
      <c r="S1794" s="27"/>
      <c r="T1794" s="27"/>
      <c r="U1794" s="27"/>
      <c r="V1794" s="27"/>
      <c r="W1794" s="27"/>
      <c r="X1794" s="27"/>
      <c r="Y1794" s="27"/>
      <c r="Z1794" s="27"/>
      <c r="AA1794" s="27"/>
      <c r="AB1794" s="27"/>
      <c r="AC1794" s="27"/>
      <c r="AD1794" s="27"/>
      <c r="AE1794" s="27"/>
      <c r="AF1794" s="27"/>
      <c r="AG1794" s="27"/>
      <c r="AH1794" s="27">
        <v>141.0</v>
      </c>
      <c r="AI1794" s="27">
        <v>323.0</v>
      </c>
      <c r="AJ1794" s="27">
        <v>2.0</v>
      </c>
      <c r="AK1794" s="27" t="b">
        <v>0</v>
      </c>
      <c r="AL1794" s="27">
        <v>100.0</v>
      </c>
      <c r="AM1794" s="27" t="s">
        <v>129</v>
      </c>
      <c r="AN1794" s="27" t="s">
        <v>405</v>
      </c>
      <c r="AO1794" s="27"/>
    </row>
    <row r="1795">
      <c r="A1795" s="200">
        <v>44887.02510271991</v>
      </c>
      <c r="B1795" s="19" t="s">
        <v>116</v>
      </c>
      <c r="C1795" s="21" t="s">
        <v>369</v>
      </c>
      <c r="D1795" s="62">
        <v>10.0</v>
      </c>
      <c r="E1795" s="27">
        <v>1.0</v>
      </c>
      <c r="F1795" s="27" t="s">
        <v>2185</v>
      </c>
      <c r="G1795" s="201" t="s">
        <v>57</v>
      </c>
      <c r="H1795" s="27" t="s">
        <v>178</v>
      </c>
      <c r="I1795" s="27"/>
      <c r="J1795" s="33"/>
      <c r="K1795" s="33"/>
      <c r="L1795" s="66"/>
      <c r="M1795" s="27"/>
      <c r="N1795" s="27"/>
      <c r="O1795" s="27"/>
      <c r="P1795" s="27"/>
      <c r="Q1795" s="27"/>
      <c r="R1795" s="27"/>
      <c r="S1795" s="27"/>
      <c r="T1795" s="27"/>
      <c r="U1795" s="27"/>
      <c r="V1795" s="27"/>
      <c r="W1795" s="27"/>
      <c r="X1795" s="27"/>
      <c r="Y1795" s="27"/>
      <c r="Z1795" s="27"/>
      <c r="AA1795" s="27"/>
      <c r="AB1795" s="27"/>
      <c r="AC1795" s="27"/>
      <c r="AD1795" s="27"/>
      <c r="AE1795" s="27"/>
      <c r="AF1795" s="27"/>
      <c r="AG1795" s="27"/>
      <c r="AH1795" s="27">
        <v>472.0</v>
      </c>
      <c r="AI1795" s="27">
        <v>289.0</v>
      </c>
      <c r="AJ1795" s="27">
        <v>2.0</v>
      </c>
      <c r="AK1795" s="27" t="b">
        <v>1</v>
      </c>
      <c r="AL1795" s="27">
        <v>100.0</v>
      </c>
      <c r="AM1795" s="27" t="s">
        <v>191</v>
      </c>
      <c r="AN1795" s="27" t="s">
        <v>404</v>
      </c>
      <c r="AO1795" s="27"/>
    </row>
    <row r="1796">
      <c r="A1796" s="200">
        <v>44887.02510271991</v>
      </c>
      <c r="B1796" s="19" t="s">
        <v>116</v>
      </c>
      <c r="C1796" s="21" t="s">
        <v>354</v>
      </c>
      <c r="D1796" s="62">
        <v>7.0</v>
      </c>
      <c r="E1796" s="27">
        <v>4.0</v>
      </c>
      <c r="F1796" s="27" t="s">
        <v>2170</v>
      </c>
      <c r="G1796" s="201" t="s">
        <v>57</v>
      </c>
      <c r="H1796" s="27" t="s">
        <v>53</v>
      </c>
      <c r="I1796" s="27"/>
      <c r="J1796" s="33"/>
      <c r="K1796" s="33"/>
      <c r="L1796" s="66"/>
      <c r="M1796" s="27"/>
      <c r="N1796" s="27"/>
      <c r="O1796" s="27"/>
      <c r="P1796" s="27"/>
      <c r="Q1796" s="27"/>
      <c r="R1796" s="27"/>
      <c r="S1796" s="27"/>
      <c r="T1796" s="27"/>
      <c r="U1796" s="27"/>
      <c r="V1796" s="27"/>
      <c r="W1796" s="27"/>
      <c r="X1796" s="27"/>
      <c r="Y1796" s="27"/>
      <c r="Z1796" s="27"/>
      <c r="AA1796" s="27"/>
      <c r="AB1796" s="27"/>
      <c r="AC1796" s="27"/>
      <c r="AD1796" s="27"/>
      <c r="AE1796" s="27"/>
      <c r="AF1796" s="27"/>
      <c r="AG1796" s="27"/>
      <c r="AH1796" s="27">
        <v>362.0</v>
      </c>
      <c r="AI1796" s="27">
        <v>328.0</v>
      </c>
      <c r="AJ1796" s="27">
        <v>2.0</v>
      </c>
      <c r="AK1796" s="27" t="b">
        <v>1</v>
      </c>
      <c r="AL1796" s="27">
        <v>100.0</v>
      </c>
      <c r="AM1796" s="27" t="s">
        <v>187</v>
      </c>
      <c r="AN1796" s="27" t="s">
        <v>404</v>
      </c>
      <c r="AO1796" s="27"/>
    </row>
    <row r="1797">
      <c r="A1797" s="200">
        <v>44887.02510271991</v>
      </c>
      <c r="B1797" s="19" t="s">
        <v>116</v>
      </c>
      <c r="C1797" s="21" t="s">
        <v>348</v>
      </c>
      <c r="D1797" s="62">
        <v>5.0</v>
      </c>
      <c r="E1797" s="27">
        <v>6.0</v>
      </c>
      <c r="F1797" s="27" t="s">
        <v>2217</v>
      </c>
      <c r="G1797" s="201" t="s">
        <v>57</v>
      </c>
      <c r="H1797" s="27" t="s">
        <v>109</v>
      </c>
      <c r="I1797" s="27"/>
      <c r="J1797" s="33"/>
      <c r="K1797" s="33"/>
      <c r="L1797" s="66"/>
      <c r="M1797" s="27"/>
      <c r="N1797" s="27"/>
      <c r="O1797" s="27"/>
      <c r="P1797" s="27"/>
      <c r="Q1797" s="27"/>
      <c r="R1797" s="27"/>
      <c r="S1797" s="27"/>
      <c r="T1797" s="27"/>
      <c r="U1797" s="27"/>
      <c r="V1797" s="27"/>
      <c r="W1797" s="27"/>
      <c r="X1797" s="27"/>
      <c r="Y1797" s="27"/>
      <c r="Z1797" s="27"/>
      <c r="AA1797" s="27"/>
      <c r="AB1797" s="27"/>
      <c r="AC1797" s="27"/>
      <c r="AD1797" s="27"/>
      <c r="AE1797" s="27"/>
      <c r="AF1797" s="27"/>
      <c r="AG1797" s="27"/>
      <c r="AH1797" s="27">
        <v>192.0</v>
      </c>
      <c r="AI1797" s="27">
        <v>304.0</v>
      </c>
      <c r="AJ1797" s="27">
        <v>2.0</v>
      </c>
      <c r="AK1797" s="27" t="b">
        <v>1</v>
      </c>
      <c r="AL1797" s="27">
        <v>100.0</v>
      </c>
      <c r="AM1797" s="27" t="s">
        <v>186</v>
      </c>
      <c r="AN1797" s="27" t="s">
        <v>404</v>
      </c>
      <c r="AO1797" s="27"/>
    </row>
    <row r="1798">
      <c r="A1798" s="200">
        <v>44887.02510271991</v>
      </c>
      <c r="B1798" s="19" t="s">
        <v>116</v>
      </c>
      <c r="C1798" s="21" t="s">
        <v>332</v>
      </c>
      <c r="D1798" s="62">
        <v>7.0</v>
      </c>
      <c r="E1798" s="27">
        <v>4.0</v>
      </c>
      <c r="F1798" s="27" t="s">
        <v>2190</v>
      </c>
      <c r="G1798" s="201" t="s">
        <v>57</v>
      </c>
      <c r="H1798" s="27" t="s">
        <v>178</v>
      </c>
      <c r="I1798" s="27"/>
      <c r="J1798" s="33"/>
      <c r="K1798" s="33"/>
      <c r="L1798" s="66"/>
      <c r="M1798" s="27"/>
      <c r="N1798" s="27"/>
      <c r="O1798" s="27"/>
      <c r="P1798" s="27"/>
      <c r="Q1798" s="27"/>
      <c r="R1798" s="27"/>
      <c r="S1798" s="27"/>
      <c r="T1798" s="27"/>
      <c r="U1798" s="27"/>
      <c r="V1798" s="27"/>
      <c r="W1798" s="27"/>
      <c r="X1798" s="27"/>
      <c r="Y1798" s="27"/>
      <c r="Z1798" s="27"/>
      <c r="AA1798" s="27"/>
      <c r="AB1798" s="27"/>
      <c r="AC1798" s="27"/>
      <c r="AD1798" s="27"/>
      <c r="AE1798" s="27"/>
      <c r="AF1798" s="27"/>
      <c r="AG1798" s="27"/>
      <c r="AH1798" s="27">
        <v>192.0</v>
      </c>
      <c r="AI1798" s="27">
        <v>149.0</v>
      </c>
      <c r="AJ1798" s="27">
        <v>2.0</v>
      </c>
      <c r="AK1798" s="27" t="b">
        <v>0</v>
      </c>
      <c r="AL1798" s="27">
        <v>100.0</v>
      </c>
      <c r="AM1798" s="27" t="s">
        <v>188</v>
      </c>
      <c r="AN1798" s="27" t="s">
        <v>404</v>
      </c>
      <c r="AO1798" s="27"/>
    </row>
    <row r="1799">
      <c r="A1799" s="200">
        <v>44887.02510271991</v>
      </c>
      <c r="B1799" s="19" t="s">
        <v>116</v>
      </c>
      <c r="C1799" s="21" t="s">
        <v>313</v>
      </c>
      <c r="D1799" s="62">
        <v>11.0</v>
      </c>
      <c r="E1799" s="27">
        <v>0.0</v>
      </c>
      <c r="F1799" s="27" t="s">
        <v>2196</v>
      </c>
      <c r="G1799" s="201" t="s">
        <v>57</v>
      </c>
      <c r="H1799" s="27" t="s">
        <v>59</v>
      </c>
      <c r="I1799" s="27"/>
      <c r="J1799" s="33"/>
      <c r="K1799" s="33"/>
      <c r="L1799" s="66"/>
      <c r="M1799" s="27"/>
      <c r="N1799" s="27"/>
      <c r="O1799" s="27"/>
      <c r="P1799" s="27"/>
      <c r="Q1799" s="27"/>
      <c r="R1799" s="27"/>
      <c r="S1799" s="27"/>
      <c r="T1799" s="27"/>
      <c r="U1799" s="27"/>
      <c r="V1799" s="27"/>
      <c r="W1799" s="27"/>
      <c r="X1799" s="27"/>
      <c r="Y1799" s="27"/>
      <c r="Z1799" s="27"/>
      <c r="AA1799" s="27"/>
      <c r="AB1799" s="27"/>
      <c r="AC1799" s="27"/>
      <c r="AD1799" s="27"/>
      <c r="AE1799" s="27"/>
      <c r="AF1799" s="27"/>
      <c r="AG1799" s="27"/>
      <c r="AH1799" s="27">
        <v>422.0</v>
      </c>
      <c r="AI1799" s="27">
        <v>122.0</v>
      </c>
      <c r="AJ1799" s="27">
        <v>2.0</v>
      </c>
      <c r="AK1799" s="27" t="b">
        <v>1</v>
      </c>
      <c r="AL1799" s="27">
        <v>100.0</v>
      </c>
      <c r="AM1799" s="27" t="s">
        <v>192</v>
      </c>
      <c r="AN1799" s="27" t="s">
        <v>404</v>
      </c>
      <c r="AO1799" s="27"/>
    </row>
    <row r="1800">
      <c r="A1800" s="200">
        <v>44887.02510271991</v>
      </c>
      <c r="B1800" s="19" t="s">
        <v>116</v>
      </c>
      <c r="C1800" s="21" t="s">
        <v>388</v>
      </c>
      <c r="D1800" s="62">
        <v>7.0</v>
      </c>
      <c r="E1800" s="27">
        <v>3.0</v>
      </c>
      <c r="F1800" s="27" t="s">
        <v>2226</v>
      </c>
      <c r="G1800" s="201" t="s">
        <v>57</v>
      </c>
      <c r="H1800" s="27" t="s">
        <v>103</v>
      </c>
      <c r="I1800" s="27"/>
      <c r="J1800" s="33"/>
      <c r="K1800" s="33"/>
      <c r="L1800" s="66"/>
      <c r="M1800" s="27"/>
      <c r="N1800" s="27"/>
      <c r="O1800" s="27"/>
      <c r="P1800" s="27"/>
      <c r="Q1800" s="27"/>
      <c r="R1800" s="27"/>
      <c r="S1800" s="27"/>
      <c r="T1800" s="27"/>
      <c r="U1800" s="27"/>
      <c r="V1800" s="27"/>
      <c r="W1800" s="27"/>
      <c r="X1800" s="27"/>
      <c r="Y1800" s="27"/>
      <c r="Z1800" s="27"/>
      <c r="AA1800" s="27"/>
      <c r="AB1800" s="27"/>
      <c r="AC1800" s="27"/>
      <c r="AD1800" s="27"/>
      <c r="AE1800" s="27"/>
      <c r="AF1800" s="27"/>
      <c r="AG1800" s="27"/>
      <c r="AH1800" s="27">
        <v>360.0</v>
      </c>
      <c r="AI1800" s="27">
        <v>223.0</v>
      </c>
      <c r="AJ1800" s="27">
        <v>2.0</v>
      </c>
      <c r="AK1800" s="27" t="b">
        <v>1</v>
      </c>
      <c r="AL1800" s="27">
        <v>100.0</v>
      </c>
      <c r="AM1800" s="27" t="s">
        <v>193</v>
      </c>
      <c r="AN1800" s="27" t="s">
        <v>405</v>
      </c>
      <c r="AO1800" s="27"/>
    </row>
    <row r="1801">
      <c r="A1801" s="200">
        <v>44887.02510271991</v>
      </c>
      <c r="B1801" s="19" t="s">
        <v>116</v>
      </c>
      <c r="C1801" s="21" t="s">
        <v>355</v>
      </c>
      <c r="D1801" s="62">
        <v>5.0</v>
      </c>
      <c r="E1801" s="27">
        <v>6.0</v>
      </c>
      <c r="F1801" s="27" t="s">
        <v>2208</v>
      </c>
      <c r="G1801" s="201" t="s">
        <v>57</v>
      </c>
      <c r="H1801" s="27" t="s">
        <v>138</v>
      </c>
      <c r="I1801" s="27"/>
      <c r="J1801" s="33"/>
      <c r="K1801" s="33"/>
      <c r="L1801" s="66"/>
      <c r="M1801" s="27"/>
      <c r="N1801" s="27"/>
      <c r="O1801" s="27"/>
      <c r="P1801" s="27"/>
      <c r="Q1801" s="27"/>
      <c r="R1801" s="27"/>
      <c r="S1801" s="27"/>
      <c r="T1801" s="27"/>
      <c r="U1801" s="27"/>
      <c r="V1801" s="27"/>
      <c r="W1801" s="27"/>
      <c r="X1801" s="27"/>
      <c r="Y1801" s="27"/>
      <c r="Z1801" s="27"/>
      <c r="AA1801" s="27"/>
      <c r="AB1801" s="27"/>
      <c r="AC1801" s="27"/>
      <c r="AD1801" s="27"/>
      <c r="AE1801" s="27"/>
      <c r="AF1801" s="27"/>
      <c r="AG1801" s="27"/>
      <c r="AH1801" s="27">
        <v>287.0</v>
      </c>
      <c r="AI1801" s="27">
        <v>385.0</v>
      </c>
      <c r="AJ1801" s="27">
        <v>2.0</v>
      </c>
      <c r="AK1801" s="27" t="b">
        <v>0</v>
      </c>
      <c r="AL1801" s="27">
        <v>100.0</v>
      </c>
      <c r="AM1801" s="27" t="s">
        <v>189</v>
      </c>
      <c r="AN1801" s="27" t="s">
        <v>405</v>
      </c>
      <c r="AO1801" s="27"/>
    </row>
    <row r="1802">
      <c r="A1802" s="200">
        <v>44887.02510271991</v>
      </c>
      <c r="B1802" s="19" t="s">
        <v>116</v>
      </c>
      <c r="C1802" s="21" t="s">
        <v>347</v>
      </c>
      <c r="D1802" s="62">
        <v>4.0</v>
      </c>
      <c r="E1802" s="27">
        <v>7.0</v>
      </c>
      <c r="F1802" s="27" t="s">
        <v>2227</v>
      </c>
      <c r="G1802" s="201" t="s">
        <v>57</v>
      </c>
      <c r="H1802" s="27" t="s">
        <v>148</v>
      </c>
      <c r="I1802" s="27"/>
      <c r="J1802" s="33"/>
      <c r="K1802" s="33"/>
      <c r="L1802" s="66"/>
      <c r="M1802" s="27"/>
      <c r="N1802" s="27"/>
      <c r="O1802" s="27"/>
      <c r="P1802" s="27"/>
      <c r="Q1802" s="27"/>
      <c r="R1802" s="27"/>
      <c r="S1802" s="27"/>
      <c r="T1802" s="27"/>
      <c r="U1802" s="27"/>
      <c r="V1802" s="27"/>
      <c r="W1802" s="27"/>
      <c r="X1802" s="27"/>
      <c r="Y1802" s="27"/>
      <c r="Z1802" s="27"/>
      <c r="AA1802" s="27"/>
      <c r="AB1802" s="27"/>
      <c r="AC1802" s="27"/>
      <c r="AD1802" s="27"/>
      <c r="AE1802" s="27"/>
      <c r="AF1802" s="27"/>
      <c r="AG1802" s="27"/>
      <c r="AH1802" s="27">
        <v>246.0</v>
      </c>
      <c r="AI1802" s="27">
        <v>272.0</v>
      </c>
      <c r="AJ1802" s="27">
        <v>2.0</v>
      </c>
      <c r="AK1802" s="27" t="b">
        <v>0</v>
      </c>
      <c r="AL1802" s="27">
        <v>100.0</v>
      </c>
      <c r="AM1802" s="27" t="s">
        <v>389</v>
      </c>
      <c r="AN1802" s="27" t="s">
        <v>405</v>
      </c>
      <c r="AO1802" s="27"/>
    </row>
    <row r="1803">
      <c r="A1803" s="200">
        <v>44887.02510271991</v>
      </c>
      <c r="B1803" s="19" t="s">
        <v>116</v>
      </c>
      <c r="C1803" s="21" t="s">
        <v>329</v>
      </c>
      <c r="D1803" s="62">
        <v>5.0</v>
      </c>
      <c r="E1803" s="27">
        <v>6.0</v>
      </c>
      <c r="F1803" s="27" t="s">
        <v>2176</v>
      </c>
      <c r="G1803" s="201" t="s">
        <v>57</v>
      </c>
      <c r="H1803" s="27" t="s">
        <v>53</v>
      </c>
      <c r="I1803" s="27"/>
      <c r="J1803" s="33"/>
      <c r="K1803" s="33"/>
      <c r="L1803" s="66"/>
      <c r="M1803" s="27"/>
      <c r="N1803" s="27"/>
      <c r="O1803" s="27"/>
      <c r="P1803" s="27"/>
      <c r="Q1803" s="27"/>
      <c r="R1803" s="27"/>
      <c r="S1803" s="27"/>
      <c r="T1803" s="27"/>
      <c r="U1803" s="27"/>
      <c r="V1803" s="27"/>
      <c r="W1803" s="27"/>
      <c r="X1803" s="27"/>
      <c r="Y1803" s="27"/>
      <c r="Z1803" s="27"/>
      <c r="AA1803" s="27"/>
      <c r="AB1803" s="27"/>
      <c r="AC1803" s="27"/>
      <c r="AD1803" s="27"/>
      <c r="AE1803" s="27"/>
      <c r="AF1803" s="27"/>
      <c r="AG1803" s="27"/>
      <c r="AH1803" s="27">
        <v>262.0</v>
      </c>
      <c r="AI1803" s="27">
        <v>305.0</v>
      </c>
      <c r="AJ1803" s="27">
        <v>2.0</v>
      </c>
      <c r="AK1803" s="27" t="b">
        <v>1</v>
      </c>
      <c r="AL1803" s="27">
        <v>100.0</v>
      </c>
      <c r="AM1803" s="27" t="s">
        <v>190</v>
      </c>
      <c r="AN1803" s="27" t="s">
        <v>405</v>
      </c>
      <c r="AO1803" s="27"/>
    </row>
    <row r="1804">
      <c r="A1804" s="200">
        <v>44887.02510271991</v>
      </c>
      <c r="B1804" s="19"/>
      <c r="C1804" s="21"/>
      <c r="D1804" s="62"/>
      <c r="E1804" s="27"/>
      <c r="F1804" s="27"/>
      <c r="G1804" s="201"/>
      <c r="H1804" s="27"/>
      <c r="I1804" s="27"/>
      <c r="J1804" s="33"/>
      <c r="K1804" s="33"/>
      <c r="L1804" s="66"/>
      <c r="M1804" s="27"/>
      <c r="N1804" s="27"/>
      <c r="O1804" s="27"/>
      <c r="P1804" s="27"/>
      <c r="Q1804" s="27"/>
      <c r="R1804" s="27"/>
      <c r="S1804" s="27"/>
      <c r="T1804" s="27"/>
      <c r="U1804" s="27"/>
      <c r="V1804" s="27"/>
      <c r="W1804" s="27"/>
      <c r="X1804" s="27"/>
      <c r="Y1804" s="27"/>
      <c r="Z1804" s="27"/>
      <c r="AA1804" s="27"/>
      <c r="AB1804" s="27"/>
      <c r="AC1804" s="27"/>
      <c r="AD1804" s="27"/>
      <c r="AE1804" s="27"/>
      <c r="AF1804" s="27"/>
      <c r="AG1804" s="27"/>
      <c r="AH1804" s="27"/>
      <c r="AI1804" s="27"/>
      <c r="AJ1804" s="27"/>
      <c r="AK1804" s="27"/>
      <c r="AL1804" s="27"/>
      <c r="AM1804" s="27" t="e">
        <v>#N/A</v>
      </c>
      <c r="AN1804" s="27" t="e">
        <v>#N/A</v>
      </c>
      <c r="AO1804" s="27"/>
    </row>
    <row r="1805">
      <c r="A1805" s="200">
        <v>44887.02510271991</v>
      </c>
      <c r="B1805" s="19" t="s">
        <v>148</v>
      </c>
      <c r="C1805" s="21" t="s">
        <v>377</v>
      </c>
      <c r="D1805" s="62">
        <v>9.0</v>
      </c>
      <c r="E1805" s="27">
        <v>2.0</v>
      </c>
      <c r="F1805" s="27" t="s">
        <v>2220</v>
      </c>
      <c r="G1805" s="201" t="s">
        <v>57</v>
      </c>
      <c r="H1805" s="27" t="s">
        <v>144</v>
      </c>
      <c r="I1805" s="27"/>
      <c r="J1805" s="33"/>
      <c r="K1805" s="33"/>
      <c r="L1805" s="66"/>
      <c r="M1805" s="27"/>
      <c r="N1805" s="27"/>
      <c r="O1805" s="27"/>
      <c r="P1805" s="27"/>
      <c r="Q1805" s="27"/>
      <c r="R1805" s="27"/>
      <c r="S1805" s="27"/>
      <c r="T1805" s="27"/>
      <c r="U1805" s="27"/>
      <c r="V1805" s="27"/>
      <c r="W1805" s="27"/>
      <c r="X1805" s="27"/>
      <c r="Y1805" s="27"/>
      <c r="Z1805" s="27"/>
      <c r="AA1805" s="27"/>
      <c r="AB1805" s="27"/>
      <c r="AC1805" s="27"/>
      <c r="AD1805" s="27"/>
      <c r="AE1805" s="27"/>
      <c r="AF1805" s="27"/>
      <c r="AG1805" s="27"/>
      <c r="AH1805" s="27">
        <v>438.0</v>
      </c>
      <c r="AI1805" s="27">
        <v>283.0</v>
      </c>
      <c r="AJ1805" s="27">
        <v>2.0</v>
      </c>
      <c r="AK1805" s="27" t="b">
        <v>0</v>
      </c>
      <c r="AL1805" s="27">
        <v>100.0</v>
      </c>
      <c r="AM1805" s="27" t="s">
        <v>191</v>
      </c>
      <c r="AN1805" s="27" t="s">
        <v>404</v>
      </c>
      <c r="AO1805" s="27"/>
    </row>
    <row r="1806">
      <c r="A1806" s="200">
        <v>44887.02510271991</v>
      </c>
      <c r="B1806" s="19" t="s">
        <v>148</v>
      </c>
      <c r="C1806" s="21" t="s">
        <v>316</v>
      </c>
      <c r="D1806" s="62">
        <v>8.0</v>
      </c>
      <c r="E1806" s="27">
        <v>3.0</v>
      </c>
      <c r="F1806" s="27" t="s">
        <v>2228</v>
      </c>
      <c r="G1806" s="201" t="s">
        <v>57</v>
      </c>
      <c r="H1806" s="27" t="s">
        <v>154</v>
      </c>
      <c r="I1806" s="27"/>
      <c r="J1806" s="33"/>
      <c r="K1806" s="33"/>
      <c r="L1806" s="66"/>
      <c r="M1806" s="27"/>
      <c r="N1806" s="27"/>
      <c r="O1806" s="27"/>
      <c r="P1806" s="27"/>
      <c r="Q1806" s="27"/>
      <c r="R1806" s="27"/>
      <c r="S1806" s="27"/>
      <c r="T1806" s="27"/>
      <c r="U1806" s="27"/>
      <c r="V1806" s="27"/>
      <c r="W1806" s="27"/>
      <c r="X1806" s="27"/>
      <c r="Y1806" s="27"/>
      <c r="Z1806" s="27"/>
      <c r="AA1806" s="27"/>
      <c r="AB1806" s="27"/>
      <c r="AC1806" s="27"/>
      <c r="AD1806" s="27"/>
      <c r="AE1806" s="27"/>
      <c r="AF1806" s="27"/>
      <c r="AG1806" s="27"/>
      <c r="AH1806" s="27">
        <v>320.0</v>
      </c>
      <c r="AI1806" s="27">
        <v>190.0</v>
      </c>
      <c r="AJ1806" s="27">
        <v>2.0</v>
      </c>
      <c r="AK1806" s="27" t="b">
        <v>1</v>
      </c>
      <c r="AL1806" s="27">
        <v>100.0</v>
      </c>
      <c r="AM1806" s="27" t="s">
        <v>129</v>
      </c>
      <c r="AN1806" s="27" t="s">
        <v>405</v>
      </c>
      <c r="AO1806" s="27"/>
    </row>
    <row r="1807">
      <c r="A1807" s="200">
        <v>44887.02510271991</v>
      </c>
      <c r="B1807" s="19" t="s">
        <v>148</v>
      </c>
      <c r="C1807" s="21" t="s">
        <v>326</v>
      </c>
      <c r="D1807" s="62">
        <v>4.0</v>
      </c>
      <c r="E1807" s="27">
        <v>7.0</v>
      </c>
      <c r="F1807" s="27" t="s">
        <v>2187</v>
      </c>
      <c r="G1807" s="201" t="s">
        <v>57</v>
      </c>
      <c r="H1807" s="27" t="s">
        <v>178</v>
      </c>
      <c r="I1807" s="27"/>
      <c r="J1807" s="33"/>
      <c r="K1807" s="33"/>
      <c r="L1807" s="66"/>
      <c r="M1807" s="27"/>
      <c r="N1807" s="27"/>
      <c r="O1807" s="27"/>
      <c r="P1807" s="27"/>
      <c r="Q1807" s="27"/>
      <c r="R1807" s="27"/>
      <c r="S1807" s="27"/>
      <c r="T1807" s="27"/>
      <c r="U1807" s="27"/>
      <c r="V1807" s="27"/>
      <c r="W1807" s="27"/>
      <c r="X1807" s="27"/>
      <c r="Y1807" s="27"/>
      <c r="Z1807" s="27"/>
      <c r="AA1807" s="27"/>
      <c r="AB1807" s="27"/>
      <c r="AC1807" s="27"/>
      <c r="AD1807" s="27"/>
      <c r="AE1807" s="27"/>
      <c r="AF1807" s="27"/>
      <c r="AG1807" s="27"/>
      <c r="AH1807" s="27">
        <v>228.0</v>
      </c>
      <c r="AI1807" s="27">
        <v>181.0</v>
      </c>
      <c r="AJ1807" s="27">
        <v>2.0</v>
      </c>
      <c r="AK1807" s="27" t="b">
        <v>1</v>
      </c>
      <c r="AL1807" s="27">
        <v>100.0</v>
      </c>
      <c r="AM1807" s="27" t="s">
        <v>187</v>
      </c>
      <c r="AN1807" s="27" t="s">
        <v>404</v>
      </c>
      <c r="AO1807" s="27"/>
    </row>
    <row r="1808">
      <c r="A1808" s="200">
        <v>44887.02510271991</v>
      </c>
      <c r="B1808" s="19" t="s">
        <v>148</v>
      </c>
      <c r="C1808" s="21" t="s">
        <v>380</v>
      </c>
      <c r="D1808" s="62">
        <v>4.0</v>
      </c>
      <c r="E1808" s="27">
        <v>7.0</v>
      </c>
      <c r="F1808" s="27" t="s">
        <v>2229</v>
      </c>
      <c r="G1808" s="201" t="s">
        <v>57</v>
      </c>
      <c r="H1808" s="27" t="s">
        <v>154</v>
      </c>
      <c r="I1808" s="27"/>
      <c r="J1808" s="33"/>
      <c r="K1808" s="33"/>
      <c r="L1808" s="66"/>
      <c r="M1808" s="27"/>
      <c r="N1808" s="27"/>
      <c r="O1808" s="27"/>
      <c r="P1808" s="27"/>
      <c r="Q1808" s="27"/>
      <c r="R1808" s="27"/>
      <c r="S1808" s="27"/>
      <c r="T1808" s="27"/>
      <c r="U1808" s="27"/>
      <c r="V1808" s="27"/>
      <c r="W1808" s="27"/>
      <c r="X1808" s="27"/>
      <c r="Y1808" s="27"/>
      <c r="Z1808" s="27"/>
      <c r="AA1808" s="27"/>
      <c r="AB1808" s="27"/>
      <c r="AC1808" s="27"/>
      <c r="AD1808" s="27"/>
      <c r="AE1808" s="27"/>
      <c r="AF1808" s="27"/>
      <c r="AG1808" s="27"/>
      <c r="AH1808" s="27">
        <v>240.0</v>
      </c>
      <c r="AI1808" s="27">
        <v>275.0</v>
      </c>
      <c r="AJ1808" s="27">
        <v>2.0</v>
      </c>
      <c r="AK1808" s="27" t="b">
        <v>0</v>
      </c>
      <c r="AL1808" s="27">
        <v>100.0</v>
      </c>
      <c r="AM1808" s="27" t="s">
        <v>193</v>
      </c>
      <c r="AN1808" s="27" t="s">
        <v>405</v>
      </c>
      <c r="AO1808" s="27"/>
    </row>
    <row r="1809">
      <c r="A1809" s="200">
        <v>44887.02510271991</v>
      </c>
      <c r="B1809" s="19" t="s">
        <v>148</v>
      </c>
      <c r="C1809" s="21" t="s">
        <v>384</v>
      </c>
      <c r="D1809" s="62">
        <v>3.0</v>
      </c>
      <c r="E1809" s="27">
        <v>8.0</v>
      </c>
      <c r="F1809" s="27" t="s">
        <v>2224</v>
      </c>
      <c r="G1809" s="201" t="s">
        <v>57</v>
      </c>
      <c r="H1809" s="27" t="s">
        <v>166</v>
      </c>
      <c r="I1809" s="27"/>
      <c r="J1809" s="33"/>
      <c r="K1809" s="33"/>
      <c r="L1809" s="66"/>
      <c r="M1809" s="27"/>
      <c r="N1809" s="27"/>
      <c r="O1809" s="27"/>
      <c r="P1809" s="27"/>
      <c r="Q1809" s="27"/>
      <c r="R1809" s="27"/>
      <c r="S1809" s="27"/>
      <c r="T1809" s="27"/>
      <c r="U1809" s="27"/>
      <c r="V1809" s="27"/>
      <c r="W1809" s="27"/>
      <c r="X1809" s="27"/>
      <c r="Y1809" s="27"/>
      <c r="Z1809" s="27"/>
      <c r="AA1809" s="27"/>
      <c r="AB1809" s="27"/>
      <c r="AC1809" s="27"/>
      <c r="AD1809" s="27"/>
      <c r="AE1809" s="27"/>
      <c r="AF1809" s="27"/>
      <c r="AG1809" s="27"/>
      <c r="AH1809" s="27">
        <v>212.0</v>
      </c>
      <c r="AI1809" s="27">
        <v>272.0</v>
      </c>
      <c r="AJ1809" s="27">
        <v>2.0</v>
      </c>
      <c r="AK1809" s="27" t="b">
        <v>0</v>
      </c>
      <c r="AL1809" s="27">
        <v>100.0</v>
      </c>
      <c r="AM1809" s="27" t="s">
        <v>186</v>
      </c>
      <c r="AN1809" s="27" t="s">
        <v>404</v>
      </c>
      <c r="AO1809" s="27"/>
    </row>
    <row r="1810">
      <c r="A1810" s="200">
        <v>44887.02510271991</v>
      </c>
      <c r="B1810" s="19" t="s">
        <v>148</v>
      </c>
      <c r="C1810" s="21" t="s">
        <v>381</v>
      </c>
      <c r="D1810" s="62">
        <v>7.0</v>
      </c>
      <c r="E1810" s="27">
        <v>4.0</v>
      </c>
      <c r="F1810" s="27" t="s">
        <v>2230</v>
      </c>
      <c r="G1810" s="201" t="s">
        <v>57</v>
      </c>
      <c r="H1810" s="27" t="s">
        <v>154</v>
      </c>
      <c r="I1810" s="27"/>
      <c r="J1810" s="33"/>
      <c r="K1810" s="33"/>
      <c r="L1810" s="66"/>
      <c r="M1810" s="27"/>
      <c r="N1810" s="27"/>
      <c r="O1810" s="27"/>
      <c r="P1810" s="27"/>
      <c r="Q1810" s="27"/>
      <c r="R1810" s="27"/>
      <c r="S1810" s="27"/>
      <c r="T1810" s="27"/>
      <c r="U1810" s="27"/>
      <c r="V1810" s="27"/>
      <c r="W1810" s="27"/>
      <c r="X1810" s="27"/>
      <c r="Y1810" s="27"/>
      <c r="Z1810" s="27"/>
      <c r="AA1810" s="27"/>
      <c r="AB1810" s="27"/>
      <c r="AC1810" s="27"/>
      <c r="AD1810" s="27"/>
      <c r="AE1810" s="27"/>
      <c r="AF1810" s="27"/>
      <c r="AG1810" s="27"/>
      <c r="AH1810" s="27">
        <v>313.0</v>
      </c>
      <c r="AI1810" s="27">
        <v>261.0</v>
      </c>
      <c r="AJ1810" s="27">
        <v>2.0</v>
      </c>
      <c r="AK1810" s="27" t="b">
        <v>1</v>
      </c>
      <c r="AL1810" s="27">
        <v>100.0</v>
      </c>
      <c r="AM1810" s="27" t="s">
        <v>188</v>
      </c>
      <c r="AN1810" s="27" t="s">
        <v>404</v>
      </c>
      <c r="AO1810" s="27"/>
    </row>
    <row r="1811">
      <c r="A1811" s="200">
        <v>44887.02510271991</v>
      </c>
      <c r="B1811" s="19" t="s">
        <v>148</v>
      </c>
      <c r="C1811" s="21" t="s">
        <v>387</v>
      </c>
      <c r="D1811" s="62">
        <v>4.0</v>
      </c>
      <c r="E1811" s="27">
        <v>7.0</v>
      </c>
      <c r="F1811" s="27" t="s">
        <v>2231</v>
      </c>
      <c r="G1811" s="201" t="s">
        <v>57</v>
      </c>
      <c r="H1811" s="27" t="s">
        <v>148</v>
      </c>
      <c r="I1811" s="27"/>
      <c r="J1811" s="33"/>
      <c r="K1811" s="33"/>
      <c r="L1811" s="66"/>
      <c r="M1811" s="27"/>
      <c r="N1811" s="27"/>
      <c r="O1811" s="27"/>
      <c r="P1811" s="27"/>
      <c r="Q1811" s="27"/>
      <c r="R1811" s="27"/>
      <c r="S1811" s="27"/>
      <c r="T1811" s="27"/>
      <c r="U1811" s="27"/>
      <c r="V1811" s="27"/>
      <c r="W1811" s="27"/>
      <c r="X1811" s="27"/>
      <c r="Y1811" s="27"/>
      <c r="Z1811" s="27"/>
      <c r="AA1811" s="27"/>
      <c r="AB1811" s="27"/>
      <c r="AC1811" s="27"/>
      <c r="AD1811" s="27"/>
      <c r="AE1811" s="27"/>
      <c r="AF1811" s="27"/>
      <c r="AG1811" s="27"/>
      <c r="AH1811" s="27">
        <v>235.0</v>
      </c>
      <c r="AI1811" s="27">
        <v>231.0</v>
      </c>
      <c r="AJ1811" s="27">
        <v>2.0</v>
      </c>
      <c r="AK1811" s="27" t="b">
        <v>0</v>
      </c>
      <c r="AL1811" s="27">
        <v>100.0</v>
      </c>
      <c r="AM1811" s="27" t="s">
        <v>192</v>
      </c>
      <c r="AN1811" s="27" t="s">
        <v>404</v>
      </c>
      <c r="AO1811" s="27"/>
    </row>
    <row r="1812">
      <c r="A1812" s="200">
        <v>44887.02510271991</v>
      </c>
      <c r="B1812" s="19" t="s">
        <v>148</v>
      </c>
      <c r="C1812" s="21" t="s">
        <v>401</v>
      </c>
      <c r="D1812" s="62">
        <v>1.0</v>
      </c>
      <c r="E1812" s="27">
        <v>10.0</v>
      </c>
      <c r="F1812" s="27" t="s">
        <v>2231</v>
      </c>
      <c r="G1812" s="201" t="s">
        <v>57</v>
      </c>
      <c r="H1812" s="27" t="s">
        <v>148</v>
      </c>
      <c r="I1812" s="27"/>
      <c r="J1812" s="33"/>
      <c r="K1812" s="33"/>
      <c r="L1812" s="66"/>
      <c r="M1812" s="27"/>
      <c r="N1812" s="27"/>
      <c r="O1812" s="27"/>
      <c r="P1812" s="27"/>
      <c r="Q1812" s="27"/>
      <c r="R1812" s="27"/>
      <c r="S1812" s="27"/>
      <c r="T1812" s="27"/>
      <c r="U1812" s="27"/>
      <c r="V1812" s="27"/>
      <c r="W1812" s="27"/>
      <c r="X1812" s="27"/>
      <c r="Y1812" s="27"/>
      <c r="Z1812" s="27"/>
      <c r="AA1812" s="27"/>
      <c r="AB1812" s="27"/>
      <c r="AC1812" s="27"/>
      <c r="AD1812" s="27"/>
      <c r="AE1812" s="27"/>
      <c r="AF1812" s="27"/>
      <c r="AG1812" s="27"/>
      <c r="AH1812" s="27">
        <v>143.0</v>
      </c>
      <c r="AI1812" s="27">
        <v>329.0</v>
      </c>
      <c r="AJ1812" s="27">
        <v>2.0</v>
      </c>
      <c r="AK1812" s="27" t="b">
        <v>1</v>
      </c>
      <c r="AL1812" s="27">
        <v>100.0</v>
      </c>
      <c r="AM1812" s="27" t="s">
        <v>189</v>
      </c>
      <c r="AN1812" s="27" t="s">
        <v>405</v>
      </c>
      <c r="AO1812" s="27"/>
    </row>
    <row r="1813">
      <c r="A1813" s="200">
        <v>44887.02510271991</v>
      </c>
      <c r="B1813" s="19" t="s">
        <v>148</v>
      </c>
      <c r="C1813" s="21" t="s">
        <v>374</v>
      </c>
      <c r="D1813" s="62">
        <v>8.0</v>
      </c>
      <c r="E1813" s="27">
        <v>3.0</v>
      </c>
      <c r="F1813" s="27" t="s">
        <v>2227</v>
      </c>
      <c r="G1813" s="201" t="s">
        <v>57</v>
      </c>
      <c r="H1813" s="27" t="s">
        <v>116</v>
      </c>
      <c r="I1813" s="27"/>
      <c r="J1813" s="33"/>
      <c r="K1813" s="33"/>
      <c r="L1813" s="66"/>
      <c r="M1813" s="27"/>
      <c r="N1813" s="27"/>
      <c r="O1813" s="27"/>
      <c r="P1813" s="27"/>
      <c r="Q1813" s="27"/>
      <c r="R1813" s="27"/>
      <c r="S1813" s="27"/>
      <c r="T1813" s="27"/>
      <c r="U1813" s="27"/>
      <c r="V1813" s="27"/>
      <c r="W1813" s="27"/>
      <c r="X1813" s="27"/>
      <c r="Y1813" s="27"/>
      <c r="Z1813" s="27"/>
      <c r="AA1813" s="27"/>
      <c r="AB1813" s="27"/>
      <c r="AC1813" s="27"/>
      <c r="AD1813" s="27"/>
      <c r="AE1813" s="27"/>
      <c r="AF1813" s="27"/>
      <c r="AG1813" s="27"/>
      <c r="AH1813" s="27">
        <v>373.0</v>
      </c>
      <c r="AI1813" s="27">
        <v>217.0</v>
      </c>
      <c r="AJ1813" s="27">
        <v>2.0</v>
      </c>
      <c r="AK1813" s="27" t="b">
        <v>1</v>
      </c>
      <c r="AL1813" s="27">
        <v>100.0</v>
      </c>
      <c r="AM1813" s="27" t="s">
        <v>389</v>
      </c>
      <c r="AN1813" s="27" t="s">
        <v>405</v>
      </c>
      <c r="AO1813" s="27"/>
    </row>
    <row r="1814">
      <c r="A1814" s="200">
        <v>44887.02510271991</v>
      </c>
      <c r="B1814" s="19" t="s">
        <v>148</v>
      </c>
      <c r="C1814" s="21" t="s">
        <v>335</v>
      </c>
      <c r="D1814" s="62">
        <v>6.0</v>
      </c>
      <c r="E1814" s="27">
        <v>5.0</v>
      </c>
      <c r="F1814" s="27" t="s">
        <v>2193</v>
      </c>
      <c r="G1814" s="201" t="s">
        <v>57</v>
      </c>
      <c r="H1814" s="27" t="s">
        <v>178</v>
      </c>
      <c r="I1814" s="27"/>
      <c r="J1814" s="33"/>
      <c r="K1814" s="33"/>
      <c r="L1814" s="66"/>
      <c r="M1814" s="27"/>
      <c r="N1814" s="27"/>
      <c r="O1814" s="27"/>
      <c r="P1814" s="27"/>
      <c r="Q1814" s="27"/>
      <c r="R1814" s="27"/>
      <c r="S1814" s="27"/>
      <c r="T1814" s="27"/>
      <c r="U1814" s="27"/>
      <c r="V1814" s="27"/>
      <c r="W1814" s="27"/>
      <c r="X1814" s="27"/>
      <c r="Y1814" s="27"/>
      <c r="Z1814" s="27"/>
      <c r="AA1814" s="27"/>
      <c r="AB1814" s="27"/>
      <c r="AC1814" s="27"/>
      <c r="AD1814" s="27"/>
      <c r="AE1814" s="27"/>
      <c r="AF1814" s="27"/>
      <c r="AG1814" s="27"/>
      <c r="AH1814" s="27">
        <v>272.0</v>
      </c>
      <c r="AI1814" s="27">
        <v>361.0</v>
      </c>
      <c r="AJ1814" s="27">
        <v>2.0</v>
      </c>
      <c r="AK1814" s="27" t="b">
        <v>0</v>
      </c>
      <c r="AL1814" s="27">
        <v>100.0</v>
      </c>
      <c r="AM1814" s="27" t="s">
        <v>190</v>
      </c>
      <c r="AN1814" s="27" t="s">
        <v>405</v>
      </c>
      <c r="AO1814" s="27"/>
    </row>
    <row r="1815">
      <c r="A1815" s="200">
        <v>44887.02510271991</v>
      </c>
      <c r="B1815" s="19"/>
      <c r="C1815" s="21"/>
      <c r="D1815" s="62"/>
      <c r="E1815" s="27"/>
      <c r="F1815" s="27"/>
      <c r="G1815" s="201"/>
      <c r="H1815" s="27"/>
      <c r="I1815" s="27"/>
      <c r="J1815" s="33"/>
      <c r="K1815" s="33"/>
      <c r="L1815" s="66"/>
      <c r="M1815" s="27"/>
      <c r="N1815" s="27"/>
      <c r="O1815" s="27"/>
      <c r="P1815" s="27"/>
      <c r="Q1815" s="27"/>
      <c r="R1815" s="27"/>
      <c r="S1815" s="27"/>
      <c r="T1815" s="27"/>
      <c r="U1815" s="27"/>
      <c r="V1815" s="27"/>
      <c r="W1815" s="27"/>
      <c r="X1815" s="27"/>
      <c r="Y1815" s="27"/>
      <c r="Z1815" s="27"/>
      <c r="AA1815" s="27"/>
      <c r="AB1815" s="27"/>
      <c r="AC1815" s="27"/>
      <c r="AD1815" s="27"/>
      <c r="AE1815" s="27"/>
      <c r="AF1815" s="27"/>
      <c r="AG1815" s="27"/>
      <c r="AH1815" s="27"/>
      <c r="AI1815" s="27"/>
      <c r="AJ1815" s="27"/>
      <c r="AK1815" s="27"/>
      <c r="AL1815" s="27"/>
      <c r="AM1815" s="27" t="e">
        <v>#N/A</v>
      </c>
      <c r="AN1815" s="27" t="e">
        <v>#N/A</v>
      </c>
      <c r="AO1815" s="27"/>
    </row>
    <row r="1816">
      <c r="A1816" s="200">
        <v>44887.02510271991</v>
      </c>
      <c r="B1816" s="19" t="s">
        <v>103</v>
      </c>
      <c r="C1816" s="21" t="s">
        <v>378</v>
      </c>
      <c r="D1816" s="62">
        <v>5.0</v>
      </c>
      <c r="E1816" s="27">
        <v>6.0</v>
      </c>
      <c r="F1816" s="27" t="s">
        <v>2216</v>
      </c>
      <c r="G1816" s="201" t="s">
        <v>57</v>
      </c>
      <c r="H1816" s="27" t="s">
        <v>109</v>
      </c>
      <c r="I1816" s="27"/>
      <c r="J1816" s="33"/>
      <c r="K1816" s="33"/>
      <c r="L1816" s="66"/>
      <c r="M1816" s="27"/>
      <c r="N1816" s="27"/>
      <c r="O1816" s="27"/>
      <c r="P1816" s="27"/>
      <c r="Q1816" s="27"/>
      <c r="R1816" s="27"/>
      <c r="S1816" s="27"/>
      <c r="T1816" s="27"/>
      <c r="U1816" s="27"/>
      <c r="V1816" s="27"/>
      <c r="W1816" s="27"/>
      <c r="X1816" s="27"/>
      <c r="Y1816" s="27"/>
      <c r="Z1816" s="27"/>
      <c r="AA1816" s="27"/>
      <c r="AB1816" s="27"/>
      <c r="AC1816" s="27"/>
      <c r="AD1816" s="27"/>
      <c r="AE1816" s="27"/>
      <c r="AF1816" s="27"/>
      <c r="AG1816" s="27"/>
      <c r="AH1816" s="27">
        <v>330.0</v>
      </c>
      <c r="AI1816" s="27">
        <v>254.0</v>
      </c>
      <c r="AJ1816" s="27">
        <v>2.0</v>
      </c>
      <c r="AK1816" s="27" t="b">
        <v>1</v>
      </c>
      <c r="AL1816" s="27">
        <v>100.0</v>
      </c>
      <c r="AM1816" s="27" t="s">
        <v>189</v>
      </c>
      <c r="AN1816" s="27" t="s">
        <v>405</v>
      </c>
      <c r="AO1816" s="27"/>
    </row>
    <row r="1817">
      <c r="A1817" s="200">
        <v>44887.02510271991</v>
      </c>
      <c r="B1817" s="19" t="s">
        <v>103</v>
      </c>
      <c r="C1817" s="21" t="s">
        <v>324</v>
      </c>
      <c r="D1817" s="62">
        <v>8.0</v>
      </c>
      <c r="E1817" s="27">
        <v>3.0</v>
      </c>
      <c r="F1817" s="27" t="s">
        <v>2225</v>
      </c>
      <c r="G1817" s="201" t="s">
        <v>57</v>
      </c>
      <c r="H1817" s="27" t="s">
        <v>116</v>
      </c>
      <c r="I1817" s="27"/>
      <c r="J1817" s="33"/>
      <c r="K1817" s="33"/>
      <c r="L1817" s="66"/>
      <c r="M1817" s="27"/>
      <c r="N1817" s="27"/>
      <c r="O1817" s="27"/>
      <c r="P1817" s="27"/>
      <c r="Q1817" s="27"/>
      <c r="R1817" s="27"/>
      <c r="S1817" s="27"/>
      <c r="T1817" s="27"/>
      <c r="U1817" s="27"/>
      <c r="V1817" s="27"/>
      <c r="W1817" s="27"/>
      <c r="X1817" s="27"/>
      <c r="Y1817" s="27"/>
      <c r="Z1817" s="27"/>
      <c r="AA1817" s="27"/>
      <c r="AB1817" s="27"/>
      <c r="AC1817" s="27"/>
      <c r="AD1817" s="27"/>
      <c r="AE1817" s="27"/>
      <c r="AF1817" s="27"/>
      <c r="AG1817" s="27"/>
      <c r="AH1817" s="27">
        <v>319.0</v>
      </c>
      <c r="AI1817" s="27">
        <v>156.0</v>
      </c>
      <c r="AJ1817" s="27">
        <v>2.0</v>
      </c>
      <c r="AK1817" s="27" t="b">
        <v>1</v>
      </c>
      <c r="AL1817" s="27">
        <v>100.0</v>
      </c>
      <c r="AM1817" s="27" t="s">
        <v>129</v>
      </c>
      <c r="AN1817" s="27" t="s">
        <v>405</v>
      </c>
      <c r="AO1817" s="27"/>
    </row>
    <row r="1818">
      <c r="A1818" s="200">
        <v>44887.02510271991</v>
      </c>
      <c r="B1818" s="19" t="s">
        <v>103</v>
      </c>
      <c r="C1818" s="21" t="s">
        <v>373</v>
      </c>
      <c r="D1818" s="62">
        <v>8.0</v>
      </c>
      <c r="E1818" s="27">
        <v>3.0</v>
      </c>
      <c r="F1818" s="27" t="s">
        <v>2204</v>
      </c>
      <c r="G1818" s="201" t="s">
        <v>57</v>
      </c>
      <c r="H1818" s="27" t="s">
        <v>138</v>
      </c>
      <c r="I1818" s="27"/>
      <c r="J1818" s="33"/>
      <c r="K1818" s="33"/>
      <c r="L1818" s="66"/>
      <c r="M1818" s="27"/>
      <c r="N1818" s="27"/>
      <c r="O1818" s="27"/>
      <c r="P1818" s="27"/>
      <c r="Q1818" s="27"/>
      <c r="R1818" s="27"/>
      <c r="S1818" s="27"/>
      <c r="T1818" s="27"/>
      <c r="U1818" s="27"/>
      <c r="V1818" s="27"/>
      <c r="W1818" s="27"/>
      <c r="X1818" s="27"/>
      <c r="Y1818" s="27"/>
      <c r="Z1818" s="27"/>
      <c r="AA1818" s="27"/>
      <c r="AB1818" s="27"/>
      <c r="AC1818" s="27"/>
      <c r="AD1818" s="27"/>
      <c r="AE1818" s="27"/>
      <c r="AF1818" s="27"/>
      <c r="AG1818" s="27"/>
      <c r="AH1818" s="27">
        <v>388.0</v>
      </c>
      <c r="AI1818" s="27">
        <v>266.0</v>
      </c>
      <c r="AJ1818" s="27">
        <v>2.0</v>
      </c>
      <c r="AK1818" s="27" t="b">
        <v>0</v>
      </c>
      <c r="AL1818" s="27">
        <v>100.0</v>
      </c>
      <c r="AM1818" s="27" t="s">
        <v>192</v>
      </c>
      <c r="AN1818" s="27" t="s">
        <v>404</v>
      </c>
      <c r="AO1818" s="27"/>
    </row>
    <row r="1819">
      <c r="A1819" s="200">
        <v>44887.02510271991</v>
      </c>
      <c r="B1819" s="19" t="s">
        <v>103</v>
      </c>
      <c r="C1819" s="21" t="s">
        <v>341</v>
      </c>
      <c r="D1819" s="62">
        <v>6.0</v>
      </c>
      <c r="E1819" s="27">
        <v>5.0</v>
      </c>
      <c r="F1819" s="27" t="s">
        <v>2172</v>
      </c>
      <c r="G1819" s="201" t="s">
        <v>57</v>
      </c>
      <c r="H1819" s="27" t="s">
        <v>53</v>
      </c>
      <c r="I1819" s="27"/>
      <c r="J1819" s="33"/>
      <c r="K1819" s="33"/>
      <c r="L1819" s="66"/>
      <c r="M1819" s="27"/>
      <c r="N1819" s="27"/>
      <c r="O1819" s="27"/>
      <c r="P1819" s="27"/>
      <c r="Q1819" s="27"/>
      <c r="R1819" s="27"/>
      <c r="S1819" s="27"/>
      <c r="T1819" s="27"/>
      <c r="U1819" s="27"/>
      <c r="V1819" s="27"/>
      <c r="W1819" s="27"/>
      <c r="X1819" s="27"/>
      <c r="Y1819" s="27"/>
      <c r="Z1819" s="27"/>
      <c r="AA1819" s="27"/>
      <c r="AB1819" s="27"/>
      <c r="AC1819" s="27"/>
      <c r="AD1819" s="27"/>
      <c r="AE1819" s="27"/>
      <c r="AF1819" s="27"/>
      <c r="AG1819" s="27"/>
      <c r="AH1819" s="27">
        <v>313.0</v>
      </c>
      <c r="AI1819" s="27">
        <v>289.0</v>
      </c>
      <c r="AJ1819" s="27">
        <v>2.0</v>
      </c>
      <c r="AK1819" s="27" t="b">
        <v>1</v>
      </c>
      <c r="AL1819" s="27">
        <v>100.0</v>
      </c>
      <c r="AM1819" s="27" t="s">
        <v>188</v>
      </c>
      <c r="AN1819" s="27" t="s">
        <v>404</v>
      </c>
      <c r="AO1819" s="27"/>
    </row>
    <row r="1820">
      <c r="A1820" s="200">
        <v>44887.02510271991</v>
      </c>
      <c r="B1820" s="19" t="s">
        <v>103</v>
      </c>
      <c r="C1820" s="21" t="s">
        <v>362</v>
      </c>
      <c r="D1820" s="62">
        <v>3.0</v>
      </c>
      <c r="E1820" s="27">
        <v>8.0</v>
      </c>
      <c r="F1820" s="27" t="s">
        <v>2206</v>
      </c>
      <c r="G1820" s="201" t="s">
        <v>57</v>
      </c>
      <c r="H1820" s="27" t="s">
        <v>138</v>
      </c>
      <c r="I1820" s="27"/>
      <c r="J1820" s="33"/>
      <c r="K1820" s="33"/>
      <c r="L1820" s="66"/>
      <c r="M1820" s="27"/>
      <c r="N1820" s="27"/>
      <c r="O1820" s="27"/>
      <c r="P1820" s="27"/>
      <c r="Q1820" s="27"/>
      <c r="R1820" s="27"/>
      <c r="S1820" s="27"/>
      <c r="T1820" s="27"/>
      <c r="U1820" s="27"/>
      <c r="V1820" s="27"/>
      <c r="W1820" s="27"/>
      <c r="X1820" s="27"/>
      <c r="Y1820" s="27"/>
      <c r="Z1820" s="27"/>
      <c r="AA1820" s="27"/>
      <c r="AB1820" s="27"/>
      <c r="AC1820" s="27"/>
      <c r="AD1820" s="27"/>
      <c r="AE1820" s="27"/>
      <c r="AF1820" s="27"/>
      <c r="AG1820" s="27"/>
      <c r="AH1820" s="27">
        <v>217.0</v>
      </c>
      <c r="AI1820" s="27">
        <v>302.0</v>
      </c>
      <c r="AJ1820" s="27">
        <v>2.0</v>
      </c>
      <c r="AK1820" s="27" t="b">
        <v>1</v>
      </c>
      <c r="AL1820" s="27">
        <v>100.0</v>
      </c>
      <c r="AM1820" s="27" t="s">
        <v>389</v>
      </c>
      <c r="AN1820" s="27" t="s">
        <v>405</v>
      </c>
      <c r="AO1820" s="27"/>
    </row>
    <row r="1821">
      <c r="A1821" s="200">
        <v>44887.02510271991</v>
      </c>
      <c r="B1821" s="19" t="s">
        <v>103</v>
      </c>
      <c r="C1821" s="21" t="s">
        <v>322</v>
      </c>
      <c r="D1821" s="62">
        <v>4.0</v>
      </c>
      <c r="E1821" s="27">
        <v>7.0</v>
      </c>
      <c r="F1821" s="27" t="s">
        <v>2181</v>
      </c>
      <c r="G1821" s="201" t="s">
        <v>57</v>
      </c>
      <c r="H1821" s="27" t="s">
        <v>131</v>
      </c>
      <c r="I1821" s="27"/>
      <c r="J1821" s="33"/>
      <c r="K1821" s="33"/>
      <c r="L1821" s="66"/>
      <c r="M1821" s="27"/>
      <c r="N1821" s="27"/>
      <c r="O1821" s="27"/>
      <c r="P1821" s="27"/>
      <c r="Q1821" s="27"/>
      <c r="R1821" s="27"/>
      <c r="S1821" s="27"/>
      <c r="T1821" s="27"/>
      <c r="U1821" s="27"/>
      <c r="V1821" s="27"/>
      <c r="W1821" s="27"/>
      <c r="X1821" s="27"/>
      <c r="Y1821" s="27"/>
      <c r="Z1821" s="27"/>
      <c r="AA1821" s="27"/>
      <c r="AB1821" s="27"/>
      <c r="AC1821" s="27"/>
      <c r="AD1821" s="27"/>
      <c r="AE1821" s="27"/>
      <c r="AF1821" s="27"/>
      <c r="AG1821" s="27"/>
      <c r="AH1821" s="27">
        <v>332.0</v>
      </c>
      <c r="AI1821" s="27">
        <v>403.0</v>
      </c>
      <c r="AJ1821" s="27">
        <v>2.0</v>
      </c>
      <c r="AK1821" s="27" t="b">
        <v>0</v>
      </c>
      <c r="AL1821" s="27">
        <v>100.0</v>
      </c>
      <c r="AM1821" s="27" t="s">
        <v>191</v>
      </c>
      <c r="AN1821" s="27" t="s">
        <v>404</v>
      </c>
      <c r="AO1821" s="27"/>
    </row>
    <row r="1822">
      <c r="A1822" s="200">
        <v>44887.02510271991</v>
      </c>
      <c r="B1822" s="19" t="s">
        <v>103</v>
      </c>
      <c r="C1822" s="21" t="s">
        <v>361</v>
      </c>
      <c r="D1822" s="62">
        <v>4.0</v>
      </c>
      <c r="E1822" s="27">
        <v>7.0</v>
      </c>
      <c r="F1822" s="27" t="s">
        <v>2226</v>
      </c>
      <c r="G1822" s="201" t="s">
        <v>57</v>
      </c>
      <c r="H1822" s="27" t="s">
        <v>116</v>
      </c>
      <c r="I1822" s="27"/>
      <c r="J1822" s="33"/>
      <c r="K1822" s="33"/>
      <c r="L1822" s="66"/>
      <c r="M1822" s="27"/>
      <c r="N1822" s="27"/>
      <c r="O1822" s="27"/>
      <c r="P1822" s="27"/>
      <c r="Q1822" s="27"/>
      <c r="R1822" s="27"/>
      <c r="S1822" s="27"/>
      <c r="T1822" s="27"/>
      <c r="U1822" s="27"/>
      <c r="V1822" s="27"/>
      <c r="W1822" s="27"/>
      <c r="X1822" s="27"/>
      <c r="Y1822" s="27"/>
      <c r="Z1822" s="27"/>
      <c r="AA1822" s="27"/>
      <c r="AB1822" s="27"/>
      <c r="AC1822" s="27"/>
      <c r="AD1822" s="27"/>
      <c r="AE1822" s="27"/>
      <c r="AF1822" s="27"/>
      <c r="AG1822" s="27"/>
      <c r="AH1822" s="27">
        <v>337.0</v>
      </c>
      <c r="AI1822" s="27">
        <v>346.0</v>
      </c>
      <c r="AJ1822" s="27">
        <v>2.0</v>
      </c>
      <c r="AK1822" s="27" t="b">
        <v>0</v>
      </c>
      <c r="AL1822" s="27">
        <v>100.0</v>
      </c>
      <c r="AM1822" s="27" t="s">
        <v>193</v>
      </c>
      <c r="AN1822" s="27" t="s">
        <v>405</v>
      </c>
      <c r="AO1822" s="27"/>
    </row>
    <row r="1823">
      <c r="A1823" s="200">
        <v>44887.02510271991</v>
      </c>
      <c r="B1823" s="19" t="s">
        <v>103</v>
      </c>
      <c r="C1823" s="21" t="s">
        <v>340</v>
      </c>
      <c r="D1823" s="62">
        <v>8.0</v>
      </c>
      <c r="E1823" s="27">
        <v>3.0</v>
      </c>
      <c r="F1823" s="27" t="s">
        <v>2219</v>
      </c>
      <c r="G1823" s="201" t="s">
        <v>57</v>
      </c>
      <c r="H1823" s="27" t="s">
        <v>109</v>
      </c>
      <c r="I1823" s="27"/>
      <c r="J1823" s="33"/>
      <c r="K1823" s="33"/>
      <c r="L1823" s="66"/>
      <c r="M1823" s="27"/>
      <c r="N1823" s="27"/>
      <c r="O1823" s="27"/>
      <c r="P1823" s="27"/>
      <c r="Q1823" s="27"/>
      <c r="R1823" s="27"/>
      <c r="S1823" s="27"/>
      <c r="T1823" s="27"/>
      <c r="U1823" s="27"/>
      <c r="V1823" s="27"/>
      <c r="W1823" s="27"/>
      <c r="X1823" s="27"/>
      <c r="Y1823" s="27"/>
      <c r="Z1823" s="27"/>
      <c r="AA1823" s="27"/>
      <c r="AB1823" s="27"/>
      <c r="AC1823" s="27"/>
      <c r="AD1823" s="27"/>
      <c r="AE1823" s="27"/>
      <c r="AF1823" s="27"/>
      <c r="AG1823" s="27"/>
      <c r="AH1823" s="27">
        <v>389.0</v>
      </c>
      <c r="AI1823" s="27">
        <v>198.0</v>
      </c>
      <c r="AJ1823" s="27">
        <v>2.0</v>
      </c>
      <c r="AK1823" s="27" t="b">
        <v>0</v>
      </c>
      <c r="AL1823" s="27">
        <v>100.0</v>
      </c>
      <c r="AM1823" s="27" t="s">
        <v>186</v>
      </c>
      <c r="AN1823" s="27" t="s">
        <v>404</v>
      </c>
      <c r="AO1823" s="27"/>
    </row>
    <row r="1824">
      <c r="A1824" s="200">
        <v>44887.02510271991</v>
      </c>
      <c r="B1824" s="19" t="s">
        <v>103</v>
      </c>
      <c r="C1824" s="21" t="s">
        <v>358</v>
      </c>
      <c r="D1824" s="62">
        <v>11.0</v>
      </c>
      <c r="E1824" s="27">
        <v>0.0</v>
      </c>
      <c r="F1824" s="27" t="s">
        <v>2232</v>
      </c>
      <c r="G1824" s="201" t="s">
        <v>57</v>
      </c>
      <c r="H1824" s="27" t="s">
        <v>154</v>
      </c>
      <c r="I1824" s="27"/>
      <c r="J1824" s="33"/>
      <c r="K1824" s="33"/>
      <c r="L1824" s="66"/>
      <c r="M1824" s="27"/>
      <c r="N1824" s="27"/>
      <c r="O1824" s="27"/>
      <c r="P1824" s="27"/>
      <c r="Q1824" s="27"/>
      <c r="R1824" s="27"/>
      <c r="S1824" s="27"/>
      <c r="T1824" s="27"/>
      <c r="U1824" s="27"/>
      <c r="V1824" s="27"/>
      <c r="W1824" s="27"/>
      <c r="X1824" s="27"/>
      <c r="Y1824" s="27"/>
      <c r="Z1824" s="27"/>
      <c r="AA1824" s="27"/>
      <c r="AB1824" s="27"/>
      <c r="AC1824" s="27"/>
      <c r="AD1824" s="27"/>
      <c r="AE1824" s="27"/>
      <c r="AF1824" s="27"/>
      <c r="AG1824" s="27"/>
      <c r="AH1824" s="27">
        <v>434.0</v>
      </c>
      <c r="AI1824" s="27">
        <v>280.0</v>
      </c>
      <c r="AJ1824" s="27">
        <v>2.0</v>
      </c>
      <c r="AK1824" s="27" t="b">
        <v>1</v>
      </c>
      <c r="AL1824" s="27">
        <v>100.0</v>
      </c>
      <c r="AM1824" s="27" t="s">
        <v>187</v>
      </c>
      <c r="AN1824" s="27" t="s">
        <v>404</v>
      </c>
      <c r="AO1824" s="27"/>
    </row>
    <row r="1825">
      <c r="A1825" s="200">
        <v>44887.02510271991</v>
      </c>
      <c r="B1825" s="19" t="s">
        <v>103</v>
      </c>
      <c r="C1825" s="21" t="s">
        <v>356</v>
      </c>
      <c r="D1825" s="62">
        <v>7.0</v>
      </c>
      <c r="E1825" s="27">
        <v>4.0</v>
      </c>
      <c r="F1825" s="27" t="s">
        <v>2222</v>
      </c>
      <c r="G1825" s="201" t="s">
        <v>57</v>
      </c>
      <c r="H1825" s="27" t="s">
        <v>144</v>
      </c>
      <c r="I1825" s="27"/>
      <c r="J1825" s="33"/>
      <c r="K1825" s="33"/>
      <c r="L1825" s="66"/>
      <c r="M1825" s="27"/>
      <c r="N1825" s="27"/>
      <c r="O1825" s="27"/>
      <c r="P1825" s="27"/>
      <c r="Q1825" s="27"/>
      <c r="R1825" s="27"/>
      <c r="S1825" s="27"/>
      <c r="T1825" s="27"/>
      <c r="U1825" s="27"/>
      <c r="V1825" s="27"/>
      <c r="W1825" s="27"/>
      <c r="X1825" s="27"/>
      <c r="Y1825" s="27"/>
      <c r="Z1825" s="27"/>
      <c r="AA1825" s="27"/>
      <c r="AB1825" s="27"/>
      <c r="AC1825" s="27"/>
      <c r="AD1825" s="27"/>
      <c r="AE1825" s="27"/>
      <c r="AF1825" s="27"/>
      <c r="AG1825" s="27"/>
      <c r="AH1825" s="27">
        <v>308.0</v>
      </c>
      <c r="AI1825" s="27">
        <v>324.0</v>
      </c>
      <c r="AJ1825" s="27">
        <v>2.0</v>
      </c>
      <c r="AK1825" s="27" t="b">
        <v>0</v>
      </c>
      <c r="AL1825" s="27">
        <v>100.0</v>
      </c>
      <c r="AM1825" s="27" t="s">
        <v>190</v>
      </c>
      <c r="AN1825" s="27" t="s">
        <v>405</v>
      </c>
      <c r="AO1825" s="27"/>
    </row>
    <row r="1826">
      <c r="A1826" s="200">
        <v>44887.02510271991</v>
      </c>
      <c r="B1826" s="19"/>
      <c r="C1826" s="21"/>
      <c r="D1826" s="62"/>
      <c r="E1826" s="27"/>
      <c r="F1826" s="27"/>
      <c r="G1826" s="201"/>
      <c r="H1826" s="27"/>
      <c r="I1826" s="27"/>
      <c r="J1826" s="33"/>
      <c r="K1826" s="33"/>
      <c r="L1826" s="66"/>
      <c r="M1826" s="27"/>
      <c r="N1826" s="27"/>
      <c r="O1826" s="27"/>
      <c r="P1826" s="27"/>
      <c r="Q1826" s="27"/>
      <c r="R1826" s="27"/>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t="e">
        <v>#N/A</v>
      </c>
      <c r="AN1826" s="27" t="e">
        <v>#N/A</v>
      </c>
      <c r="AO1826" s="27"/>
    </row>
    <row r="1827">
      <c r="A1827" s="200">
        <v>44887.02510271991</v>
      </c>
      <c r="B1827" s="19" t="s">
        <v>154</v>
      </c>
      <c r="C1827" s="21" t="s">
        <v>372</v>
      </c>
      <c r="D1827" s="62">
        <v>8.0</v>
      </c>
      <c r="E1827" s="27">
        <v>3.0</v>
      </c>
      <c r="F1827" s="27" t="s">
        <v>2169</v>
      </c>
      <c r="G1827" s="201" t="s">
        <v>57</v>
      </c>
      <c r="H1827" s="27" t="s">
        <v>53</v>
      </c>
      <c r="I1827" s="27"/>
      <c r="J1827" s="33"/>
      <c r="K1827" s="33"/>
      <c r="L1827" s="66"/>
      <c r="M1827" s="27"/>
      <c r="N1827" s="27"/>
      <c r="O1827" s="27"/>
      <c r="P1827" s="27"/>
      <c r="Q1827" s="27"/>
      <c r="R1827" s="27"/>
      <c r="S1827" s="27"/>
      <c r="T1827" s="27"/>
      <c r="U1827" s="27"/>
      <c r="V1827" s="27"/>
      <c r="W1827" s="27"/>
      <c r="X1827" s="27"/>
      <c r="Y1827" s="27"/>
      <c r="Z1827" s="27"/>
      <c r="AA1827" s="27"/>
      <c r="AB1827" s="27"/>
      <c r="AC1827" s="27"/>
      <c r="AD1827" s="27"/>
      <c r="AE1827" s="27"/>
      <c r="AF1827" s="27"/>
      <c r="AG1827" s="27"/>
      <c r="AH1827" s="27">
        <v>410.0</v>
      </c>
      <c r="AI1827" s="27">
        <v>220.0</v>
      </c>
      <c r="AJ1827" s="27">
        <v>2.0</v>
      </c>
      <c r="AK1827" s="27" t="b">
        <v>0</v>
      </c>
      <c r="AL1827" s="27">
        <v>100.0</v>
      </c>
      <c r="AM1827" s="27" t="s">
        <v>191</v>
      </c>
      <c r="AN1827" s="27" t="s">
        <v>404</v>
      </c>
      <c r="AO1827" s="27"/>
    </row>
    <row r="1828">
      <c r="A1828" s="200">
        <v>44887.02510271991</v>
      </c>
      <c r="B1828" s="19" t="s">
        <v>154</v>
      </c>
      <c r="C1828" s="21" t="s">
        <v>379</v>
      </c>
      <c r="D1828" s="62">
        <v>7.0</v>
      </c>
      <c r="E1828" s="27">
        <v>4.0</v>
      </c>
      <c r="F1828" s="27" t="s">
        <v>2177</v>
      </c>
      <c r="G1828" s="201" t="s">
        <v>57</v>
      </c>
      <c r="H1828" s="27" t="s">
        <v>131</v>
      </c>
      <c r="I1828" s="27"/>
      <c r="J1828" s="33"/>
      <c r="K1828" s="33"/>
      <c r="L1828" s="66"/>
      <c r="M1828" s="27"/>
      <c r="N1828" s="27"/>
      <c r="O1828" s="27"/>
      <c r="P1828" s="27"/>
      <c r="Q1828" s="27"/>
      <c r="R1828" s="27"/>
      <c r="S1828" s="27"/>
      <c r="T1828" s="27"/>
      <c r="U1828" s="27"/>
      <c r="V1828" s="27"/>
      <c r="W1828" s="27"/>
      <c r="X1828" s="27"/>
      <c r="Y1828" s="27"/>
      <c r="Z1828" s="27"/>
      <c r="AA1828" s="27"/>
      <c r="AB1828" s="27"/>
      <c r="AC1828" s="27"/>
      <c r="AD1828" s="27"/>
      <c r="AE1828" s="27"/>
      <c r="AF1828" s="27"/>
      <c r="AG1828" s="27"/>
      <c r="AH1828" s="27">
        <v>349.0</v>
      </c>
      <c r="AI1828" s="27">
        <v>300.0</v>
      </c>
      <c r="AJ1828" s="27">
        <v>2.0</v>
      </c>
      <c r="AK1828" s="27" t="b">
        <v>0</v>
      </c>
      <c r="AL1828" s="27">
        <v>100.0</v>
      </c>
      <c r="AM1828" s="27" t="s">
        <v>192</v>
      </c>
      <c r="AN1828" s="27" t="s">
        <v>404</v>
      </c>
      <c r="AO1828" s="27"/>
    </row>
    <row r="1829">
      <c r="A1829" s="200">
        <v>44887.02510271991</v>
      </c>
      <c r="B1829" s="19" t="s">
        <v>154</v>
      </c>
      <c r="C1829" s="21" t="s">
        <v>383</v>
      </c>
      <c r="D1829" s="62">
        <v>7.0</v>
      </c>
      <c r="E1829" s="27">
        <v>4.0</v>
      </c>
      <c r="F1829" s="27" t="s">
        <v>2228</v>
      </c>
      <c r="G1829" s="201" t="s">
        <v>57</v>
      </c>
      <c r="H1829" s="27" t="s">
        <v>148</v>
      </c>
      <c r="I1829" s="27"/>
      <c r="J1829" s="33"/>
      <c r="K1829" s="33"/>
      <c r="L1829" s="66"/>
      <c r="M1829" s="27"/>
      <c r="N1829" s="27"/>
      <c r="O1829" s="27"/>
      <c r="P1829" s="27"/>
      <c r="Q1829" s="27"/>
      <c r="R1829" s="27"/>
      <c r="S1829" s="27"/>
      <c r="T1829" s="27"/>
      <c r="U1829" s="27"/>
      <c r="V1829" s="27"/>
      <c r="W1829" s="27"/>
      <c r="X1829" s="27"/>
      <c r="Y1829" s="27"/>
      <c r="Z1829" s="27"/>
      <c r="AA1829" s="27"/>
      <c r="AB1829" s="27"/>
      <c r="AC1829" s="27"/>
      <c r="AD1829" s="27"/>
      <c r="AE1829" s="27"/>
      <c r="AF1829" s="27"/>
      <c r="AG1829" s="27"/>
      <c r="AH1829" s="27">
        <v>249.0</v>
      </c>
      <c r="AI1829" s="27">
        <v>251.0</v>
      </c>
      <c r="AJ1829" s="27">
        <v>2.0</v>
      </c>
      <c r="AK1829" s="27" t="b">
        <v>0</v>
      </c>
      <c r="AL1829" s="27">
        <v>100.0</v>
      </c>
      <c r="AM1829" s="27" t="s">
        <v>129</v>
      </c>
      <c r="AN1829" s="27" t="s">
        <v>405</v>
      </c>
      <c r="AO1829" s="27"/>
    </row>
    <row r="1830">
      <c r="A1830" s="200">
        <v>44887.02510271991</v>
      </c>
      <c r="B1830" s="19" t="s">
        <v>154</v>
      </c>
      <c r="C1830" s="21" t="s">
        <v>352</v>
      </c>
      <c r="D1830" s="62">
        <v>3.0</v>
      </c>
      <c r="E1830" s="27">
        <v>8.0</v>
      </c>
      <c r="F1830" s="27" t="s">
        <v>2229</v>
      </c>
      <c r="G1830" s="201" t="s">
        <v>57</v>
      </c>
      <c r="H1830" s="27" t="s">
        <v>148</v>
      </c>
      <c r="I1830" s="27"/>
      <c r="J1830" s="33"/>
      <c r="K1830" s="33"/>
      <c r="L1830" s="66"/>
      <c r="M1830" s="27"/>
      <c r="N1830" s="27"/>
      <c r="O1830" s="27"/>
      <c r="P1830" s="27"/>
      <c r="Q1830" s="27"/>
      <c r="R1830" s="27"/>
      <c r="S1830" s="27"/>
      <c r="T1830" s="27"/>
      <c r="U1830" s="27"/>
      <c r="V1830" s="27"/>
      <c r="W1830" s="27"/>
      <c r="X1830" s="27"/>
      <c r="Y1830" s="27"/>
      <c r="Z1830" s="27"/>
      <c r="AA1830" s="27"/>
      <c r="AB1830" s="27"/>
      <c r="AC1830" s="27"/>
      <c r="AD1830" s="27"/>
      <c r="AE1830" s="27"/>
      <c r="AF1830" s="27"/>
      <c r="AG1830" s="27"/>
      <c r="AH1830" s="27">
        <v>281.0</v>
      </c>
      <c r="AI1830" s="27">
        <v>329.0</v>
      </c>
      <c r="AJ1830" s="27">
        <v>2.0</v>
      </c>
      <c r="AK1830" s="27" t="b">
        <v>1</v>
      </c>
      <c r="AL1830" s="27">
        <v>100.0</v>
      </c>
      <c r="AM1830" s="27" t="s">
        <v>193</v>
      </c>
      <c r="AN1830" s="27" t="s">
        <v>405</v>
      </c>
      <c r="AO1830" s="27"/>
    </row>
    <row r="1831">
      <c r="A1831" s="200">
        <v>44887.02510271991</v>
      </c>
      <c r="B1831" s="19" t="s">
        <v>154</v>
      </c>
      <c r="C1831" s="21" t="s">
        <v>366</v>
      </c>
      <c r="D1831" s="62">
        <v>5.0</v>
      </c>
      <c r="E1831" s="27">
        <v>6.0</v>
      </c>
      <c r="F1831" s="27" t="s">
        <v>2195</v>
      </c>
      <c r="G1831" s="201" t="s">
        <v>57</v>
      </c>
      <c r="H1831" s="27" t="s">
        <v>59</v>
      </c>
      <c r="I1831" s="27"/>
      <c r="J1831" s="33"/>
      <c r="K1831" s="33"/>
      <c r="L1831" s="66"/>
      <c r="M1831" s="27"/>
      <c r="N1831" s="27"/>
      <c r="O1831" s="27"/>
      <c r="P1831" s="27"/>
      <c r="Q1831" s="27"/>
      <c r="R1831" s="27"/>
      <c r="S1831" s="27"/>
      <c r="T1831" s="27"/>
      <c r="U1831" s="27"/>
      <c r="V1831" s="27"/>
      <c r="W1831" s="27"/>
      <c r="X1831" s="27"/>
      <c r="Y1831" s="27"/>
      <c r="Z1831" s="27"/>
      <c r="AA1831" s="27"/>
      <c r="AB1831" s="27"/>
      <c r="AC1831" s="27"/>
      <c r="AD1831" s="27"/>
      <c r="AE1831" s="27"/>
      <c r="AF1831" s="27"/>
      <c r="AG1831" s="27"/>
      <c r="AH1831" s="27">
        <v>262.0</v>
      </c>
      <c r="AI1831" s="27">
        <v>290.0</v>
      </c>
      <c r="AJ1831" s="27">
        <v>2.0</v>
      </c>
      <c r="AK1831" s="27" t="b">
        <v>1</v>
      </c>
      <c r="AL1831" s="27">
        <v>100.0</v>
      </c>
      <c r="AM1831" s="27" t="s">
        <v>189</v>
      </c>
      <c r="AN1831" s="27" t="s">
        <v>405</v>
      </c>
      <c r="AO1831" s="27"/>
    </row>
    <row r="1832">
      <c r="A1832" s="200">
        <v>44887.02510271991</v>
      </c>
      <c r="B1832" s="19" t="s">
        <v>154</v>
      </c>
      <c r="C1832" s="21" t="s">
        <v>363</v>
      </c>
      <c r="D1832" s="62">
        <v>7.0</v>
      </c>
      <c r="E1832" s="27">
        <v>4.0</v>
      </c>
      <c r="F1832" s="27" t="s">
        <v>2213</v>
      </c>
      <c r="G1832" s="201" t="s">
        <v>57</v>
      </c>
      <c r="H1832" s="27" t="s">
        <v>141</v>
      </c>
      <c r="I1832" s="27"/>
      <c r="J1832" s="33"/>
      <c r="K1832" s="33"/>
      <c r="L1832" s="66"/>
      <c r="M1832" s="27"/>
      <c r="N1832" s="27"/>
      <c r="O1832" s="27"/>
      <c r="P1832" s="27"/>
      <c r="Q1832" s="27"/>
      <c r="R1832" s="27"/>
      <c r="S1832" s="27"/>
      <c r="T1832" s="27"/>
      <c r="U1832" s="27"/>
      <c r="V1832" s="27"/>
      <c r="W1832" s="27"/>
      <c r="X1832" s="27"/>
      <c r="Y1832" s="27"/>
      <c r="Z1832" s="27"/>
      <c r="AA1832" s="27"/>
      <c r="AB1832" s="27"/>
      <c r="AC1832" s="27"/>
      <c r="AD1832" s="27"/>
      <c r="AE1832" s="27"/>
      <c r="AF1832" s="27"/>
      <c r="AG1832" s="27"/>
      <c r="AH1832" s="27">
        <v>274.0</v>
      </c>
      <c r="AI1832" s="27">
        <v>206.0</v>
      </c>
      <c r="AJ1832" s="27">
        <v>2.0</v>
      </c>
      <c r="AK1832" s="27" t="b">
        <v>0</v>
      </c>
      <c r="AL1832" s="27">
        <v>100.0</v>
      </c>
      <c r="AM1832" s="27" t="s">
        <v>186</v>
      </c>
      <c r="AN1832" s="27" t="s">
        <v>404</v>
      </c>
      <c r="AO1832" s="27"/>
    </row>
    <row r="1833">
      <c r="A1833" s="200">
        <v>44887.02510271991</v>
      </c>
      <c r="B1833" s="19" t="s">
        <v>154</v>
      </c>
      <c r="C1833" s="21" t="s">
        <v>330</v>
      </c>
      <c r="D1833" s="62">
        <v>7.0</v>
      </c>
      <c r="E1833" s="27">
        <v>4.0</v>
      </c>
      <c r="F1833" s="27" t="s">
        <v>2221</v>
      </c>
      <c r="G1833" s="201" t="s">
        <v>57</v>
      </c>
      <c r="H1833" s="27" t="s">
        <v>144</v>
      </c>
      <c r="I1833" s="27"/>
      <c r="J1833" s="33"/>
      <c r="K1833" s="33"/>
      <c r="L1833" s="66"/>
      <c r="M1833" s="27"/>
      <c r="N1833" s="27"/>
      <c r="O1833" s="27"/>
      <c r="P1833" s="27"/>
      <c r="Q1833" s="27"/>
      <c r="R1833" s="27"/>
      <c r="S1833" s="27"/>
      <c r="T1833" s="27"/>
      <c r="U1833" s="27"/>
      <c r="V1833" s="27"/>
      <c r="W1833" s="27"/>
      <c r="X1833" s="27"/>
      <c r="Y1833" s="27"/>
      <c r="Z1833" s="27"/>
      <c r="AA1833" s="27"/>
      <c r="AB1833" s="27"/>
      <c r="AC1833" s="27"/>
      <c r="AD1833" s="27"/>
      <c r="AE1833" s="27"/>
      <c r="AF1833" s="27"/>
      <c r="AG1833" s="27"/>
      <c r="AH1833" s="27">
        <v>416.0</v>
      </c>
      <c r="AI1833" s="27">
        <v>365.0</v>
      </c>
      <c r="AJ1833" s="27">
        <v>2.0</v>
      </c>
      <c r="AK1833" s="27" t="b">
        <v>1</v>
      </c>
      <c r="AL1833" s="27">
        <v>100.0</v>
      </c>
      <c r="AM1833" s="27" t="s">
        <v>389</v>
      </c>
      <c r="AN1833" s="27" t="s">
        <v>405</v>
      </c>
      <c r="AO1833" s="27"/>
    </row>
    <row r="1834">
      <c r="A1834" s="200">
        <v>44887.02510271991</v>
      </c>
      <c r="B1834" s="19" t="s">
        <v>154</v>
      </c>
      <c r="C1834" s="21" t="s">
        <v>320</v>
      </c>
      <c r="D1834" s="62">
        <v>6.0</v>
      </c>
      <c r="E1834" s="27">
        <v>5.0</v>
      </c>
      <c r="F1834" s="27" t="s">
        <v>2232</v>
      </c>
      <c r="G1834" s="201" t="s">
        <v>57</v>
      </c>
      <c r="H1834" s="27" t="s">
        <v>103</v>
      </c>
      <c r="I1834" s="27"/>
      <c r="J1834" s="33"/>
      <c r="K1834" s="33"/>
      <c r="L1834" s="66"/>
      <c r="M1834" s="27"/>
      <c r="N1834" s="27"/>
      <c r="O1834" s="27"/>
      <c r="P1834" s="27"/>
      <c r="Q1834" s="27"/>
      <c r="R1834" s="27"/>
      <c r="S1834" s="27"/>
      <c r="T1834" s="27"/>
      <c r="U1834" s="27"/>
      <c r="V1834" s="27"/>
      <c r="W1834" s="27"/>
      <c r="X1834" s="27"/>
      <c r="Y1834" s="27"/>
      <c r="Z1834" s="27"/>
      <c r="AA1834" s="27"/>
      <c r="AB1834" s="27"/>
      <c r="AC1834" s="27"/>
      <c r="AD1834" s="27"/>
      <c r="AE1834" s="27"/>
      <c r="AF1834" s="27"/>
      <c r="AG1834" s="27"/>
      <c r="AH1834" s="27">
        <v>376.0</v>
      </c>
      <c r="AI1834" s="27">
        <v>281.0</v>
      </c>
      <c r="AJ1834" s="27">
        <v>2.0</v>
      </c>
      <c r="AK1834" s="27" t="b">
        <v>0</v>
      </c>
      <c r="AL1834" s="27">
        <v>100.0</v>
      </c>
      <c r="AM1834" s="27" t="s">
        <v>187</v>
      </c>
      <c r="AN1834" s="27" t="s">
        <v>404</v>
      </c>
      <c r="AO1834" s="27"/>
    </row>
    <row r="1835">
      <c r="A1835" s="200">
        <v>44887.02510271991</v>
      </c>
      <c r="B1835" s="19" t="s">
        <v>154</v>
      </c>
      <c r="C1835" s="21" t="s">
        <v>368</v>
      </c>
      <c r="D1835" s="62">
        <v>1.0</v>
      </c>
      <c r="E1835" s="27">
        <v>10.0</v>
      </c>
      <c r="F1835" s="27" t="s">
        <v>2230</v>
      </c>
      <c r="G1835" s="201" t="s">
        <v>57</v>
      </c>
      <c r="H1835" s="27" t="s">
        <v>148</v>
      </c>
      <c r="I1835" s="27"/>
      <c r="J1835" s="33"/>
      <c r="K1835" s="33"/>
      <c r="L1835" s="66"/>
      <c r="M1835" s="27"/>
      <c r="N1835" s="27"/>
      <c r="O1835" s="27"/>
      <c r="P1835" s="27"/>
      <c r="Q1835" s="27"/>
      <c r="R1835" s="27"/>
      <c r="S1835" s="27"/>
      <c r="T1835" s="27"/>
      <c r="U1835" s="27"/>
      <c r="V1835" s="27"/>
      <c r="W1835" s="27"/>
      <c r="X1835" s="27"/>
      <c r="Y1835" s="27"/>
      <c r="Z1835" s="27"/>
      <c r="AA1835" s="27"/>
      <c r="AB1835" s="27"/>
      <c r="AC1835" s="27"/>
      <c r="AD1835" s="27"/>
      <c r="AE1835" s="27"/>
      <c r="AF1835" s="27"/>
      <c r="AG1835" s="27"/>
      <c r="AH1835" s="27">
        <v>162.0</v>
      </c>
      <c r="AI1835" s="27">
        <v>299.0</v>
      </c>
      <c r="AJ1835" s="27">
        <v>2.0</v>
      </c>
      <c r="AK1835" s="27" t="b">
        <v>0</v>
      </c>
      <c r="AL1835" s="27">
        <v>100.0</v>
      </c>
      <c r="AM1835" s="27" t="s">
        <v>188</v>
      </c>
      <c r="AN1835" s="27" t="s">
        <v>404</v>
      </c>
      <c r="AO1835" s="27"/>
    </row>
    <row r="1836">
      <c r="A1836" s="200">
        <v>44894.02510262732</v>
      </c>
      <c r="B1836" s="19" t="s">
        <v>53</v>
      </c>
      <c r="C1836" s="21" t="s">
        <v>54</v>
      </c>
      <c r="D1836" s="62">
        <v>9.0</v>
      </c>
      <c r="E1836" s="27">
        <v>3.0</v>
      </c>
      <c r="F1836" s="27" t="s">
        <v>56</v>
      </c>
      <c r="G1836" s="201" t="s">
        <v>57</v>
      </c>
      <c r="H1836" s="27" t="s">
        <v>59</v>
      </c>
      <c r="I1836" s="27" t="s">
        <v>58</v>
      </c>
      <c r="J1836" s="33"/>
      <c r="K1836" s="33"/>
      <c r="L1836" s="66"/>
      <c r="M1836" s="27"/>
      <c r="N1836" s="27"/>
      <c r="O1836" s="27"/>
      <c r="P1836" s="27"/>
      <c r="Q1836" s="27"/>
      <c r="R1836" s="27"/>
      <c r="S1836" s="27"/>
      <c r="T1836" s="27"/>
      <c r="U1836" s="27"/>
      <c r="V1836" s="27"/>
      <c r="W1836" s="27"/>
      <c r="X1836" s="27"/>
      <c r="Y1836" s="27"/>
      <c r="Z1836" s="27"/>
      <c r="AA1836" s="27"/>
      <c r="AB1836" s="27"/>
      <c r="AC1836" s="27"/>
      <c r="AD1836" s="27"/>
      <c r="AE1836" s="27"/>
      <c r="AF1836" s="27"/>
      <c r="AG1836" s="27"/>
      <c r="AH1836" s="27">
        <v>442.0</v>
      </c>
      <c r="AI1836" s="27">
        <v>291.0</v>
      </c>
      <c r="AJ1836" s="27">
        <v>0.0</v>
      </c>
      <c r="AK1836" s="27" t="b">
        <v>0</v>
      </c>
      <c r="AL1836" s="27">
        <v>7.18333333333333</v>
      </c>
      <c r="AM1836" s="27" t="s">
        <v>191</v>
      </c>
      <c r="AN1836" s="27" t="s">
        <v>404</v>
      </c>
      <c r="AO1836" s="27"/>
    </row>
    <row r="1837">
      <c r="A1837" s="200">
        <v>44894.02510262732</v>
      </c>
      <c r="B1837" s="19" t="s">
        <v>53</v>
      </c>
      <c r="C1837" s="21" t="s">
        <v>120</v>
      </c>
      <c r="D1837" s="62">
        <v>2.0</v>
      </c>
      <c r="E1837" s="27">
        <v>10.0</v>
      </c>
      <c r="F1837" s="27" t="s">
        <v>123</v>
      </c>
      <c r="G1837" s="201" t="s">
        <v>57</v>
      </c>
      <c r="H1837" s="27" t="s">
        <v>59</v>
      </c>
      <c r="I1837" s="27" t="s">
        <v>129</v>
      </c>
      <c r="J1837" s="33"/>
      <c r="K1837" s="33"/>
      <c r="L1837" s="66"/>
      <c r="M1837" s="27"/>
      <c r="N1837" s="27"/>
      <c r="O1837" s="27"/>
      <c r="P1837" s="27"/>
      <c r="Q1837" s="27"/>
      <c r="R1837" s="27"/>
      <c r="S1837" s="27"/>
      <c r="T1837" s="27"/>
      <c r="U1837" s="27"/>
      <c r="V1837" s="27"/>
      <c r="W1837" s="27"/>
      <c r="X1837" s="27"/>
      <c r="Y1837" s="27"/>
      <c r="Z1837" s="27"/>
      <c r="AA1837" s="27"/>
      <c r="AB1837" s="27"/>
      <c r="AC1837" s="27"/>
      <c r="AD1837" s="27"/>
      <c r="AE1837" s="27"/>
      <c r="AF1837" s="27"/>
      <c r="AG1837" s="27"/>
      <c r="AH1837" s="27">
        <v>204.0</v>
      </c>
      <c r="AI1837" s="27">
        <v>344.0</v>
      </c>
      <c r="AJ1837" s="27">
        <v>0.0</v>
      </c>
      <c r="AK1837" s="27" t="b">
        <v>1</v>
      </c>
      <c r="AL1837" s="27">
        <v>40.46666666666667</v>
      </c>
      <c r="AM1837" s="27" t="s">
        <v>129</v>
      </c>
      <c r="AN1837" s="27" t="s">
        <v>405</v>
      </c>
      <c r="AO1837" s="27"/>
    </row>
    <row r="1838">
      <c r="A1838" s="200">
        <v>44894.02510262732</v>
      </c>
      <c r="B1838" s="19" t="s">
        <v>53</v>
      </c>
      <c r="C1838" s="21" t="s">
        <v>155</v>
      </c>
      <c r="D1838" s="62">
        <v>3.0</v>
      </c>
      <c r="E1838" s="27">
        <v>7.0</v>
      </c>
      <c r="F1838" s="27" t="s">
        <v>158</v>
      </c>
      <c r="G1838" s="201" t="s">
        <v>161</v>
      </c>
      <c r="H1838" s="27" t="s">
        <v>148</v>
      </c>
      <c r="I1838" s="27" t="s">
        <v>162</v>
      </c>
      <c r="J1838" s="33"/>
      <c r="K1838" s="33"/>
      <c r="L1838" s="66"/>
      <c r="M1838" s="27"/>
      <c r="N1838" s="27"/>
      <c r="O1838" s="27"/>
      <c r="P1838" s="27"/>
      <c r="Q1838" s="27"/>
      <c r="R1838" s="27"/>
      <c r="S1838" s="27"/>
      <c r="T1838" s="27"/>
      <c r="U1838" s="27"/>
      <c r="V1838" s="27"/>
      <c r="W1838" s="27"/>
      <c r="X1838" s="27"/>
      <c r="Y1838" s="27"/>
      <c r="Z1838" s="27"/>
      <c r="AA1838" s="27"/>
      <c r="AB1838" s="27"/>
      <c r="AC1838" s="27"/>
      <c r="AD1838" s="27"/>
      <c r="AE1838" s="27"/>
      <c r="AF1838" s="27"/>
      <c r="AG1838" s="27"/>
      <c r="AH1838" s="27">
        <v>170.0</v>
      </c>
      <c r="AI1838" s="27">
        <v>240.0</v>
      </c>
      <c r="AJ1838" s="27">
        <v>0.0</v>
      </c>
      <c r="AK1838" s="27" t="b">
        <v>1</v>
      </c>
      <c r="AL1838" s="27">
        <v>59.0</v>
      </c>
      <c r="AM1838" s="27" t="s">
        <v>186</v>
      </c>
      <c r="AN1838" s="27" t="s">
        <v>404</v>
      </c>
      <c r="AO1838" s="27"/>
    </row>
    <row r="1839">
      <c r="A1839" s="200">
        <v>44894.02510262732</v>
      </c>
      <c r="B1839" s="19" t="s">
        <v>53</v>
      </c>
      <c r="C1839" s="21" t="s">
        <v>168</v>
      </c>
      <c r="D1839" s="62">
        <v>11.0</v>
      </c>
      <c r="E1839" s="27">
        <v>1.0</v>
      </c>
      <c r="F1839" s="27" t="s">
        <v>169</v>
      </c>
      <c r="G1839" s="201" t="s">
        <v>57</v>
      </c>
      <c r="H1839" s="27" t="s">
        <v>59</v>
      </c>
      <c r="I1839" s="27"/>
      <c r="J1839" s="33"/>
      <c r="K1839" s="33"/>
      <c r="L1839" s="66"/>
      <c r="M1839" s="27"/>
      <c r="N1839" s="27"/>
      <c r="O1839" s="27"/>
      <c r="P1839" s="27"/>
      <c r="Q1839" s="27"/>
      <c r="R1839" s="27"/>
      <c r="S1839" s="27"/>
      <c r="T1839" s="27"/>
      <c r="U1839" s="27"/>
      <c r="V1839" s="27"/>
      <c r="W1839" s="27"/>
      <c r="X1839" s="27"/>
      <c r="Y1839" s="27"/>
      <c r="Z1839" s="27"/>
      <c r="AA1839" s="27"/>
      <c r="AB1839" s="27"/>
      <c r="AC1839" s="27"/>
      <c r="AD1839" s="27"/>
      <c r="AE1839" s="27"/>
      <c r="AF1839" s="27"/>
      <c r="AG1839" s="27"/>
      <c r="AH1839" s="27">
        <v>534.0</v>
      </c>
      <c r="AI1839" s="27">
        <v>231.0</v>
      </c>
      <c r="AJ1839" s="27">
        <v>2.0</v>
      </c>
      <c r="AK1839" s="27" t="b">
        <v>0</v>
      </c>
      <c r="AL1839" s="27">
        <v>100.0</v>
      </c>
      <c r="AM1839" s="27" t="s">
        <v>188</v>
      </c>
      <c r="AN1839" s="27" t="s">
        <v>404</v>
      </c>
      <c r="AO1839" s="27"/>
    </row>
    <row r="1840">
      <c r="A1840" s="200">
        <v>44894.02510262732</v>
      </c>
      <c r="B1840" s="19" t="s">
        <v>53</v>
      </c>
      <c r="C1840" s="21" t="s">
        <v>170</v>
      </c>
      <c r="D1840" s="62">
        <v>3.0</v>
      </c>
      <c r="E1840" s="27">
        <v>9.0</v>
      </c>
      <c r="F1840" s="27" t="s">
        <v>171</v>
      </c>
      <c r="G1840" s="201" t="s">
        <v>57</v>
      </c>
      <c r="H1840" s="27" t="s">
        <v>138</v>
      </c>
      <c r="I1840" s="27"/>
      <c r="J1840" s="33"/>
      <c r="K1840" s="33"/>
      <c r="L1840" s="66"/>
      <c r="M1840" s="27"/>
      <c r="N1840" s="27"/>
      <c r="O1840" s="27"/>
      <c r="P1840" s="27"/>
      <c r="Q1840" s="27"/>
      <c r="R1840" s="27"/>
      <c r="S1840" s="27"/>
      <c r="T1840" s="27"/>
      <c r="U1840" s="27"/>
      <c r="V1840" s="27"/>
      <c r="W1840" s="27"/>
      <c r="X1840" s="27"/>
      <c r="Y1840" s="27"/>
      <c r="Z1840" s="27"/>
      <c r="AA1840" s="27"/>
      <c r="AB1840" s="27"/>
      <c r="AC1840" s="27"/>
      <c r="AD1840" s="27"/>
      <c r="AE1840" s="27"/>
      <c r="AF1840" s="27"/>
      <c r="AG1840" s="27"/>
      <c r="AH1840" s="27">
        <v>234.0</v>
      </c>
      <c r="AI1840" s="27">
        <v>319.0</v>
      </c>
      <c r="AJ1840" s="27">
        <v>2.0</v>
      </c>
      <c r="AK1840" s="27" t="b">
        <v>1</v>
      </c>
      <c r="AL1840" s="27">
        <v>100.0</v>
      </c>
      <c r="AM1840" s="27" t="s">
        <v>193</v>
      </c>
      <c r="AN1840" s="27" t="s">
        <v>405</v>
      </c>
      <c r="AO1840" s="27"/>
    </row>
    <row r="1841">
      <c r="A1841" s="200">
        <v>44894.02510262732</v>
      </c>
      <c r="B1841" s="19" t="s">
        <v>53</v>
      </c>
      <c r="C1841" s="21" t="s">
        <v>173</v>
      </c>
      <c r="D1841" s="62">
        <v>6.0</v>
      </c>
      <c r="E1841" s="27">
        <v>6.0</v>
      </c>
      <c r="F1841" s="27" t="s">
        <v>174</v>
      </c>
      <c r="G1841" s="201" t="s">
        <v>57</v>
      </c>
      <c r="H1841" s="27" t="s">
        <v>138</v>
      </c>
      <c r="I1841" s="27"/>
      <c r="J1841" s="33"/>
      <c r="K1841" s="33"/>
      <c r="L1841" s="66"/>
      <c r="M1841" s="27"/>
      <c r="N1841" s="27"/>
      <c r="O1841" s="27"/>
      <c r="P1841" s="27"/>
      <c r="Q1841" s="27"/>
      <c r="R1841" s="27"/>
      <c r="S1841" s="27"/>
      <c r="T1841" s="27"/>
      <c r="U1841" s="27"/>
      <c r="V1841" s="27"/>
      <c r="W1841" s="27"/>
      <c r="X1841" s="27"/>
      <c r="Y1841" s="27"/>
      <c r="Z1841" s="27"/>
      <c r="AA1841" s="27"/>
      <c r="AB1841" s="27"/>
      <c r="AC1841" s="27"/>
      <c r="AD1841" s="27"/>
      <c r="AE1841" s="27"/>
      <c r="AF1841" s="27"/>
      <c r="AG1841" s="27"/>
      <c r="AH1841" s="27">
        <v>306.0</v>
      </c>
      <c r="AI1841" s="27">
        <v>300.0</v>
      </c>
      <c r="AJ1841" s="27">
        <v>2.0</v>
      </c>
      <c r="AK1841" s="27" t="b">
        <v>0</v>
      </c>
      <c r="AL1841" s="27">
        <v>100.0</v>
      </c>
      <c r="AM1841" s="27" t="s">
        <v>192</v>
      </c>
      <c r="AN1841" s="27" t="s">
        <v>404</v>
      </c>
      <c r="AO1841" s="27"/>
    </row>
    <row r="1842">
      <c r="A1842" s="200">
        <v>44894.02510262732</v>
      </c>
      <c r="B1842" s="19" t="s">
        <v>53</v>
      </c>
      <c r="C1842" s="21" t="s">
        <v>176</v>
      </c>
      <c r="D1842" s="62">
        <v>9.0</v>
      </c>
      <c r="E1842" s="27">
        <v>3.0</v>
      </c>
      <c r="F1842" s="27" t="s">
        <v>177</v>
      </c>
      <c r="G1842" s="201" t="s">
        <v>57</v>
      </c>
      <c r="H1842" s="27" t="s">
        <v>148</v>
      </c>
      <c r="I1842" s="27"/>
      <c r="J1842" s="33"/>
      <c r="K1842" s="33"/>
      <c r="L1842" s="66"/>
      <c r="M1842" s="27"/>
      <c r="N1842" s="27"/>
      <c r="O1842" s="27"/>
      <c r="P1842" s="27"/>
      <c r="Q1842" s="27"/>
      <c r="R1842" s="27"/>
      <c r="S1842" s="27"/>
      <c r="T1842" s="27"/>
      <c r="U1842" s="27"/>
      <c r="V1842" s="27"/>
      <c r="W1842" s="27"/>
      <c r="X1842" s="27"/>
      <c r="Y1842" s="27"/>
      <c r="Z1842" s="27"/>
      <c r="AA1842" s="27"/>
      <c r="AB1842" s="27"/>
      <c r="AC1842" s="27"/>
      <c r="AD1842" s="27"/>
      <c r="AE1842" s="27"/>
      <c r="AF1842" s="27"/>
      <c r="AG1842" s="27"/>
      <c r="AH1842" s="27">
        <v>408.0</v>
      </c>
      <c r="AI1842" s="27">
        <v>352.0</v>
      </c>
      <c r="AJ1842" s="27">
        <v>2.0</v>
      </c>
      <c r="AK1842" s="27" t="b">
        <v>0</v>
      </c>
      <c r="AL1842" s="27">
        <v>100.0</v>
      </c>
      <c r="AM1842" s="27" t="s">
        <v>190</v>
      </c>
      <c r="AN1842" s="27" t="s">
        <v>405</v>
      </c>
      <c r="AO1842" s="27"/>
    </row>
    <row r="1843">
      <c r="A1843" s="200">
        <v>44894.02510262732</v>
      </c>
      <c r="B1843" s="19" t="s">
        <v>53</v>
      </c>
      <c r="C1843" s="21" t="s">
        <v>181</v>
      </c>
      <c r="D1843" s="62">
        <v>5.0</v>
      </c>
      <c r="E1843" s="27">
        <v>7.0</v>
      </c>
      <c r="F1843" s="27" t="s">
        <v>182</v>
      </c>
      <c r="G1843" s="201" t="s">
        <v>183</v>
      </c>
      <c r="H1843" s="27" t="s">
        <v>178</v>
      </c>
      <c r="I1843" s="27"/>
      <c r="J1843" s="33"/>
      <c r="K1843" s="33"/>
      <c r="L1843" s="66"/>
      <c r="M1843" s="27"/>
      <c r="N1843" s="27"/>
      <c r="O1843" s="27"/>
      <c r="P1843" s="27"/>
      <c r="Q1843" s="27"/>
      <c r="R1843" s="27"/>
      <c r="S1843" s="27"/>
      <c r="T1843" s="27"/>
      <c r="U1843" s="27"/>
      <c r="V1843" s="27"/>
      <c r="W1843" s="27"/>
      <c r="X1843" s="27"/>
      <c r="Y1843" s="27"/>
      <c r="Z1843" s="27"/>
      <c r="AA1843" s="27"/>
      <c r="AB1843" s="27"/>
      <c r="AC1843" s="27"/>
      <c r="AD1843" s="27"/>
      <c r="AE1843" s="27"/>
      <c r="AF1843" s="27"/>
      <c r="AG1843" s="27"/>
      <c r="AH1843" s="27">
        <v>357.0</v>
      </c>
      <c r="AI1843" s="27">
        <v>319.0</v>
      </c>
      <c r="AJ1843" s="27">
        <v>2.0</v>
      </c>
      <c r="AK1843" s="27" t="b">
        <v>0</v>
      </c>
      <c r="AL1843" s="27">
        <v>100.0</v>
      </c>
      <c r="AM1843" s="27" t="s">
        <v>189</v>
      </c>
      <c r="AN1843" s="27" t="s">
        <v>405</v>
      </c>
      <c r="AO1843" s="27"/>
    </row>
    <row r="1844">
      <c r="A1844" s="200">
        <v>44894.02510262732</v>
      </c>
      <c r="B1844" s="19" t="s">
        <v>53</v>
      </c>
      <c r="C1844" s="21" t="s">
        <v>184</v>
      </c>
      <c r="D1844" s="62">
        <v>5.0</v>
      </c>
      <c r="E1844" s="27">
        <v>7.0</v>
      </c>
      <c r="F1844" s="27" t="s">
        <v>185</v>
      </c>
      <c r="G1844" s="201" t="s">
        <v>183</v>
      </c>
      <c r="H1844" s="27" t="s">
        <v>178</v>
      </c>
      <c r="I1844" s="27" t="s">
        <v>88</v>
      </c>
      <c r="J1844" s="33"/>
      <c r="K1844" s="33"/>
      <c r="L1844" s="66"/>
      <c r="M1844" s="27"/>
      <c r="N1844" s="27"/>
      <c r="O1844" s="27"/>
      <c r="P1844" s="27"/>
      <c r="Q1844" s="27"/>
      <c r="R1844" s="27"/>
      <c r="S1844" s="27"/>
      <c r="T1844" s="27"/>
      <c r="U1844" s="27"/>
      <c r="V1844" s="27"/>
      <c r="W1844" s="27"/>
      <c r="X1844" s="27"/>
      <c r="Y1844" s="27"/>
      <c r="Z1844" s="27"/>
      <c r="AA1844" s="27"/>
      <c r="AB1844" s="27"/>
      <c r="AC1844" s="27"/>
      <c r="AD1844" s="27"/>
      <c r="AE1844" s="27"/>
      <c r="AF1844" s="27"/>
      <c r="AG1844" s="27"/>
      <c r="AH1844" s="27">
        <v>347.0</v>
      </c>
      <c r="AI1844" s="27">
        <v>304.0</v>
      </c>
      <c r="AJ1844" s="27">
        <v>3.0</v>
      </c>
      <c r="AK1844" s="27" t="b">
        <v>0</v>
      </c>
      <c r="AL1844" s="27">
        <v>100.0</v>
      </c>
      <c r="AM1844" s="27" t="s">
        <v>187</v>
      </c>
      <c r="AN1844" s="27" t="s">
        <v>404</v>
      </c>
      <c r="AO1844" s="27"/>
    </row>
    <row r="1845">
      <c r="A1845" s="200">
        <v>44894.02510262732</v>
      </c>
      <c r="B1845" s="19" t="s">
        <v>53</v>
      </c>
      <c r="C1845" s="21" t="s">
        <v>195</v>
      </c>
      <c r="D1845" s="62">
        <v>5.0</v>
      </c>
      <c r="E1845" s="27">
        <v>7.0</v>
      </c>
      <c r="F1845" s="27" t="s">
        <v>196</v>
      </c>
      <c r="G1845" s="201" t="s">
        <v>183</v>
      </c>
      <c r="H1845" s="27" t="s">
        <v>154</v>
      </c>
      <c r="I1845" s="27" t="s">
        <v>119</v>
      </c>
      <c r="J1845" s="33"/>
      <c r="K1845" s="33"/>
      <c r="L1845" s="66"/>
      <c r="M1845" s="27"/>
      <c r="N1845" s="27"/>
      <c r="O1845" s="27"/>
      <c r="P1845" s="27"/>
      <c r="Q1845" s="27"/>
      <c r="R1845" s="27"/>
      <c r="S1845" s="27"/>
      <c r="T1845" s="27"/>
      <c r="U1845" s="27"/>
      <c r="V1845" s="27"/>
      <c r="W1845" s="27"/>
      <c r="X1845" s="27"/>
      <c r="Y1845" s="27"/>
      <c r="Z1845" s="27"/>
      <c r="AA1845" s="27"/>
      <c r="AB1845" s="27"/>
      <c r="AC1845" s="27"/>
      <c r="AD1845" s="27"/>
      <c r="AE1845" s="27"/>
      <c r="AF1845" s="27"/>
      <c r="AG1845" s="27"/>
      <c r="AH1845" s="27">
        <v>330.0</v>
      </c>
      <c r="AI1845" s="27">
        <v>367.0</v>
      </c>
      <c r="AJ1845" s="27">
        <v>3.0</v>
      </c>
      <c r="AK1845" s="27" t="b">
        <v>0</v>
      </c>
      <c r="AL1845" s="27">
        <v>100.0</v>
      </c>
      <c r="AM1845" s="27" t="s">
        <v>389</v>
      </c>
      <c r="AN1845" s="27" t="s">
        <v>405</v>
      </c>
      <c r="AO1845" s="27"/>
    </row>
    <row r="1846">
      <c r="A1846" s="200">
        <v>44894.02510262732</v>
      </c>
      <c r="B1846" s="19"/>
      <c r="C1846" s="21"/>
      <c r="D1846" s="62"/>
      <c r="E1846" s="27"/>
      <c r="F1846" s="27"/>
      <c r="G1846" s="201"/>
      <c r="H1846" s="27"/>
      <c r="I1846" s="27"/>
      <c r="J1846" s="33"/>
      <c r="K1846" s="33"/>
      <c r="L1846" s="66"/>
      <c r="M1846" s="27"/>
      <c r="N1846" s="27"/>
      <c r="O1846" s="27"/>
      <c r="P1846" s="27"/>
      <c r="Q1846" s="27"/>
      <c r="R1846" s="27"/>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t="e">
        <v>#N/A</v>
      </c>
      <c r="AN1846" s="27" t="e">
        <v>#N/A</v>
      </c>
      <c r="AO1846" s="27"/>
    </row>
    <row r="1847">
      <c r="A1847" s="200">
        <v>44894.02510262732</v>
      </c>
      <c r="B1847" s="19" t="s">
        <v>131</v>
      </c>
      <c r="C1847" s="21" t="s">
        <v>197</v>
      </c>
      <c r="D1847" s="62">
        <v>6.0</v>
      </c>
      <c r="E1847" s="27">
        <v>6.0</v>
      </c>
      <c r="F1847" s="27" t="s">
        <v>198</v>
      </c>
      <c r="G1847" s="201" t="s">
        <v>57</v>
      </c>
      <c r="H1847" s="27" t="s">
        <v>178</v>
      </c>
      <c r="I1847" s="27" t="s">
        <v>82</v>
      </c>
      <c r="J1847" s="33"/>
      <c r="K1847" s="33"/>
      <c r="L1847" s="66"/>
      <c r="M1847" s="27"/>
      <c r="N1847" s="27"/>
      <c r="O1847" s="27"/>
      <c r="P1847" s="27"/>
      <c r="Q1847" s="27"/>
      <c r="R1847" s="27"/>
      <c r="S1847" s="27"/>
      <c r="T1847" s="27"/>
      <c r="U1847" s="27"/>
      <c r="V1847" s="27"/>
      <c r="W1847" s="27"/>
      <c r="X1847" s="27"/>
      <c r="Y1847" s="27"/>
      <c r="Z1847" s="27"/>
      <c r="AA1847" s="27"/>
      <c r="AB1847" s="27"/>
      <c r="AC1847" s="27"/>
      <c r="AD1847" s="27"/>
      <c r="AE1847" s="27"/>
      <c r="AF1847" s="27"/>
      <c r="AG1847" s="27"/>
      <c r="AH1847" s="27">
        <v>302.0</v>
      </c>
      <c r="AI1847" s="27">
        <v>223.0</v>
      </c>
      <c r="AJ1847" s="27">
        <v>0.0</v>
      </c>
      <c r="AK1847" s="27" t="b">
        <v>0</v>
      </c>
      <c r="AL1847" s="27">
        <v>0.29999999999999716</v>
      </c>
      <c r="AM1847" s="27" t="s">
        <v>188</v>
      </c>
      <c r="AN1847" s="27" t="s">
        <v>404</v>
      </c>
      <c r="AO1847" s="27"/>
    </row>
    <row r="1848">
      <c r="A1848" s="200">
        <v>44894.02510262732</v>
      </c>
      <c r="B1848" s="19" t="s">
        <v>131</v>
      </c>
      <c r="C1848" s="21" t="s">
        <v>199</v>
      </c>
      <c r="D1848" s="62">
        <v>4.0</v>
      </c>
      <c r="E1848" s="27">
        <v>8.0</v>
      </c>
      <c r="F1848" s="27" t="s">
        <v>200</v>
      </c>
      <c r="G1848" s="201" t="s">
        <v>57</v>
      </c>
      <c r="H1848" s="27" t="s">
        <v>144</v>
      </c>
      <c r="I1848" s="27" t="s">
        <v>133</v>
      </c>
      <c r="J1848" s="33"/>
      <c r="K1848" s="33"/>
      <c r="L1848" s="66"/>
      <c r="M1848" s="27"/>
      <c r="N1848" s="27"/>
      <c r="O1848" s="27"/>
      <c r="P1848" s="27"/>
      <c r="Q1848" s="27"/>
      <c r="R1848" s="27"/>
      <c r="S1848" s="27"/>
      <c r="T1848" s="27"/>
      <c r="U1848" s="27"/>
      <c r="V1848" s="27"/>
      <c r="W1848" s="27"/>
      <c r="X1848" s="27"/>
      <c r="Y1848" s="27"/>
      <c r="Z1848" s="27"/>
      <c r="AA1848" s="27"/>
      <c r="AB1848" s="27"/>
      <c r="AC1848" s="27"/>
      <c r="AD1848" s="27"/>
      <c r="AE1848" s="27"/>
      <c r="AF1848" s="27"/>
      <c r="AG1848" s="27"/>
      <c r="AH1848" s="27">
        <v>258.0</v>
      </c>
      <c r="AI1848" s="27">
        <v>393.0</v>
      </c>
      <c r="AJ1848" s="27">
        <v>0.0</v>
      </c>
      <c r="AK1848" s="27" t="b">
        <v>1</v>
      </c>
      <c r="AL1848" s="27">
        <v>18.6</v>
      </c>
      <c r="AM1848" s="27" t="s">
        <v>193</v>
      </c>
      <c r="AN1848" s="27" t="s">
        <v>405</v>
      </c>
      <c r="AO1848" s="27"/>
    </row>
    <row r="1849">
      <c r="A1849" s="200">
        <v>44894.02510262732</v>
      </c>
      <c r="B1849" s="19" t="s">
        <v>131</v>
      </c>
      <c r="C1849" s="21" t="s">
        <v>204</v>
      </c>
      <c r="D1849" s="62">
        <v>7.0</v>
      </c>
      <c r="E1849" s="27">
        <v>5.0</v>
      </c>
      <c r="F1849" s="27" t="s">
        <v>205</v>
      </c>
      <c r="G1849" s="201" t="s">
        <v>57</v>
      </c>
      <c r="H1849" s="27" t="s">
        <v>116</v>
      </c>
      <c r="I1849" s="27"/>
      <c r="J1849" s="33"/>
      <c r="K1849" s="33"/>
      <c r="L1849" s="66"/>
      <c r="M1849" s="27"/>
      <c r="N1849" s="27"/>
      <c r="O1849" s="27"/>
      <c r="P1849" s="27"/>
      <c r="Q1849" s="27"/>
      <c r="R1849" s="27"/>
      <c r="S1849" s="27"/>
      <c r="T1849" s="27"/>
      <c r="U1849" s="27"/>
      <c r="V1849" s="27"/>
      <c r="W1849" s="27"/>
      <c r="X1849" s="27"/>
      <c r="Y1849" s="27"/>
      <c r="Z1849" s="27"/>
      <c r="AA1849" s="27"/>
      <c r="AB1849" s="27"/>
      <c r="AC1849" s="27"/>
      <c r="AD1849" s="27"/>
      <c r="AE1849" s="27"/>
      <c r="AF1849" s="27"/>
      <c r="AG1849" s="27"/>
      <c r="AH1849" s="27">
        <v>414.0</v>
      </c>
      <c r="AI1849" s="27">
        <v>361.0</v>
      </c>
      <c r="AJ1849" s="27">
        <v>2.0</v>
      </c>
      <c r="AK1849" s="27" t="b">
        <v>1</v>
      </c>
      <c r="AL1849" s="27">
        <v>100.0</v>
      </c>
      <c r="AM1849" s="27" t="s">
        <v>189</v>
      </c>
      <c r="AN1849" s="27" t="s">
        <v>405</v>
      </c>
      <c r="AO1849" s="27"/>
    </row>
    <row r="1850">
      <c r="A1850" s="200">
        <v>44894.02510262732</v>
      </c>
      <c r="B1850" s="19" t="s">
        <v>131</v>
      </c>
      <c r="C1850" s="21" t="s">
        <v>206</v>
      </c>
      <c r="D1850" s="62">
        <v>10.0</v>
      </c>
      <c r="E1850" s="27">
        <v>2.0</v>
      </c>
      <c r="F1850" s="27" t="s">
        <v>207</v>
      </c>
      <c r="G1850" s="201" t="s">
        <v>57</v>
      </c>
      <c r="H1850" s="27" t="s">
        <v>154</v>
      </c>
      <c r="I1850" s="27"/>
      <c r="J1850" s="33"/>
      <c r="K1850" s="33"/>
      <c r="L1850" s="66"/>
      <c r="M1850" s="27"/>
      <c r="N1850" s="27"/>
      <c r="O1850" s="27"/>
      <c r="P1850" s="27"/>
      <c r="Q1850" s="27"/>
      <c r="R1850" s="27"/>
      <c r="S1850" s="27"/>
      <c r="T1850" s="27"/>
      <c r="U1850" s="27"/>
      <c r="V1850" s="27"/>
      <c r="W1850" s="27"/>
      <c r="X1850" s="27"/>
      <c r="Y1850" s="27"/>
      <c r="Z1850" s="27"/>
      <c r="AA1850" s="27"/>
      <c r="AB1850" s="27"/>
      <c r="AC1850" s="27"/>
      <c r="AD1850" s="27"/>
      <c r="AE1850" s="27"/>
      <c r="AF1850" s="27"/>
      <c r="AG1850" s="27"/>
      <c r="AH1850" s="27">
        <v>412.0</v>
      </c>
      <c r="AI1850" s="27">
        <v>251.0</v>
      </c>
      <c r="AJ1850" s="27">
        <v>2.0</v>
      </c>
      <c r="AK1850" s="27" t="b">
        <v>1</v>
      </c>
      <c r="AL1850" s="27">
        <v>100.0</v>
      </c>
      <c r="AM1850" s="27" t="s">
        <v>186</v>
      </c>
      <c r="AN1850" s="27" t="s">
        <v>404</v>
      </c>
      <c r="AO1850" s="27"/>
    </row>
    <row r="1851">
      <c r="A1851" s="200">
        <v>44894.02510262732</v>
      </c>
      <c r="B1851" s="19" t="s">
        <v>131</v>
      </c>
      <c r="C1851" s="21" t="s">
        <v>208</v>
      </c>
      <c r="D1851" s="62">
        <v>6.0</v>
      </c>
      <c r="E1851" s="27">
        <v>6.0</v>
      </c>
      <c r="F1851" s="27" t="s">
        <v>209</v>
      </c>
      <c r="G1851" s="201" t="s">
        <v>57</v>
      </c>
      <c r="H1851" s="27" t="s">
        <v>116</v>
      </c>
      <c r="I1851" s="27"/>
      <c r="J1851" s="33"/>
      <c r="K1851" s="33"/>
      <c r="L1851" s="66"/>
      <c r="M1851" s="27"/>
      <c r="N1851" s="27"/>
      <c r="O1851" s="27"/>
      <c r="P1851" s="27"/>
      <c r="Q1851" s="27"/>
      <c r="R1851" s="27"/>
      <c r="S1851" s="27"/>
      <c r="T1851" s="27"/>
      <c r="U1851" s="27"/>
      <c r="V1851" s="27"/>
      <c r="W1851" s="27"/>
      <c r="X1851" s="27"/>
      <c r="Y1851" s="27"/>
      <c r="Z1851" s="27"/>
      <c r="AA1851" s="27"/>
      <c r="AB1851" s="27"/>
      <c r="AC1851" s="27"/>
      <c r="AD1851" s="27"/>
      <c r="AE1851" s="27"/>
      <c r="AF1851" s="27"/>
      <c r="AG1851" s="27"/>
      <c r="AH1851" s="27">
        <v>243.0</v>
      </c>
      <c r="AI1851" s="27">
        <v>270.0</v>
      </c>
      <c r="AJ1851" s="27">
        <v>2.0</v>
      </c>
      <c r="AK1851" s="27" t="b">
        <v>1</v>
      </c>
      <c r="AL1851" s="27">
        <v>100.0</v>
      </c>
      <c r="AM1851" s="27" t="s">
        <v>190</v>
      </c>
      <c r="AN1851" s="27" t="s">
        <v>405</v>
      </c>
      <c r="AO1851" s="27"/>
    </row>
    <row r="1852">
      <c r="A1852" s="200">
        <v>44894.02510262732</v>
      </c>
      <c r="B1852" s="19" t="s">
        <v>131</v>
      </c>
      <c r="C1852" s="21" t="s">
        <v>210</v>
      </c>
      <c r="D1852" s="62">
        <v>1.0</v>
      </c>
      <c r="E1852" s="27">
        <v>11.0</v>
      </c>
      <c r="F1852" s="27" t="s">
        <v>211</v>
      </c>
      <c r="G1852" s="201" t="s">
        <v>57</v>
      </c>
      <c r="H1852" s="27" t="s">
        <v>148</v>
      </c>
      <c r="I1852" s="27" t="s">
        <v>105</v>
      </c>
      <c r="J1852" s="33"/>
      <c r="K1852" s="33"/>
      <c r="L1852" s="66"/>
      <c r="M1852" s="27"/>
      <c r="N1852" s="27"/>
      <c r="O1852" s="27"/>
      <c r="P1852" s="27"/>
      <c r="Q1852" s="27"/>
      <c r="R1852" s="27"/>
      <c r="S1852" s="27"/>
      <c r="T1852" s="27"/>
      <c r="U1852" s="27"/>
      <c r="V1852" s="27"/>
      <c r="W1852" s="27"/>
      <c r="X1852" s="27"/>
      <c r="Y1852" s="27"/>
      <c r="Z1852" s="27"/>
      <c r="AA1852" s="27"/>
      <c r="AB1852" s="27"/>
      <c r="AC1852" s="27"/>
      <c r="AD1852" s="27"/>
      <c r="AE1852" s="27"/>
      <c r="AF1852" s="27"/>
      <c r="AG1852" s="27"/>
      <c r="AH1852" s="27">
        <v>297.0</v>
      </c>
      <c r="AI1852" s="27">
        <v>448.0</v>
      </c>
      <c r="AJ1852" s="27">
        <v>3.0</v>
      </c>
      <c r="AK1852" s="27" t="b">
        <v>0</v>
      </c>
      <c r="AL1852" s="27">
        <v>100.0</v>
      </c>
      <c r="AM1852" s="27" t="s">
        <v>389</v>
      </c>
      <c r="AN1852" s="27" t="s">
        <v>405</v>
      </c>
      <c r="AO1852" s="27"/>
    </row>
    <row r="1853">
      <c r="A1853" s="200">
        <v>44894.02510262732</v>
      </c>
      <c r="B1853" s="19" t="s">
        <v>131</v>
      </c>
      <c r="C1853" s="21" t="s">
        <v>214</v>
      </c>
      <c r="D1853" s="62">
        <v>10.0</v>
      </c>
      <c r="E1853" s="27">
        <v>2.0</v>
      </c>
      <c r="F1853" s="27" t="s">
        <v>215</v>
      </c>
      <c r="G1853" s="201" t="s">
        <v>57</v>
      </c>
      <c r="H1853" s="27" t="s">
        <v>138</v>
      </c>
      <c r="I1853" s="27" t="s">
        <v>111</v>
      </c>
      <c r="J1853" s="33"/>
      <c r="K1853" s="33"/>
      <c r="L1853" s="66"/>
      <c r="M1853" s="27"/>
      <c r="N1853" s="27"/>
      <c r="O1853" s="27"/>
      <c r="P1853" s="27"/>
      <c r="Q1853" s="27"/>
      <c r="R1853" s="27"/>
      <c r="S1853" s="27"/>
      <c r="T1853" s="27"/>
      <c r="U1853" s="27"/>
      <c r="V1853" s="27"/>
      <c r="W1853" s="27"/>
      <c r="X1853" s="27"/>
      <c r="Y1853" s="27"/>
      <c r="Z1853" s="27"/>
      <c r="AA1853" s="27"/>
      <c r="AB1853" s="27"/>
      <c r="AC1853" s="27"/>
      <c r="AD1853" s="27"/>
      <c r="AE1853" s="27"/>
      <c r="AF1853" s="27"/>
      <c r="AG1853" s="27"/>
      <c r="AH1853" s="27">
        <v>512.0</v>
      </c>
      <c r="AI1853" s="27">
        <v>282.0</v>
      </c>
      <c r="AJ1853" s="27">
        <v>3.0</v>
      </c>
      <c r="AK1853" s="27" t="b">
        <v>0</v>
      </c>
      <c r="AL1853" s="27">
        <v>100.0</v>
      </c>
      <c r="AM1853" s="27" t="s">
        <v>192</v>
      </c>
      <c r="AN1853" s="27" t="s">
        <v>404</v>
      </c>
      <c r="AO1853" s="27"/>
    </row>
    <row r="1854">
      <c r="A1854" s="200">
        <v>44894.02510262732</v>
      </c>
      <c r="B1854" s="19" t="s">
        <v>131</v>
      </c>
      <c r="C1854" s="21" t="s">
        <v>217</v>
      </c>
      <c r="D1854" s="62">
        <v>6.0</v>
      </c>
      <c r="E1854" s="27">
        <v>6.0</v>
      </c>
      <c r="F1854" s="27" t="s">
        <v>218</v>
      </c>
      <c r="G1854" s="201" t="s">
        <v>57</v>
      </c>
      <c r="H1854" s="27" t="s">
        <v>59</v>
      </c>
      <c r="I1854" s="27" t="s">
        <v>74</v>
      </c>
      <c r="J1854" s="33"/>
      <c r="K1854" s="33"/>
      <c r="L1854" s="66"/>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v>383.0</v>
      </c>
      <c r="AI1854" s="27">
        <v>359.0</v>
      </c>
      <c r="AJ1854" s="27">
        <v>3.0</v>
      </c>
      <c r="AK1854" s="27" t="b">
        <v>0</v>
      </c>
      <c r="AL1854" s="27">
        <v>100.0</v>
      </c>
      <c r="AM1854" s="27" t="s">
        <v>187</v>
      </c>
      <c r="AN1854" s="27" t="s">
        <v>404</v>
      </c>
      <c r="AO1854" s="27"/>
    </row>
    <row r="1855">
      <c r="A1855" s="200">
        <v>44894.02510262732</v>
      </c>
      <c r="B1855" s="19" t="s">
        <v>131</v>
      </c>
      <c r="C1855" s="21" t="s">
        <v>219</v>
      </c>
      <c r="D1855" s="62">
        <v>7.0</v>
      </c>
      <c r="E1855" s="27">
        <v>5.0</v>
      </c>
      <c r="F1855" s="27" t="s">
        <v>220</v>
      </c>
      <c r="G1855" s="201" t="s">
        <v>57</v>
      </c>
      <c r="H1855" s="27" t="s">
        <v>103</v>
      </c>
      <c r="I1855" s="27" t="s">
        <v>126</v>
      </c>
      <c r="J1855" s="33"/>
      <c r="K1855" s="33"/>
      <c r="L1855" s="66"/>
      <c r="M1855" s="27"/>
      <c r="N1855" s="27"/>
      <c r="O1855" s="27"/>
      <c r="P1855" s="27"/>
      <c r="Q1855" s="27"/>
      <c r="R1855" s="27"/>
      <c r="S1855" s="27"/>
      <c r="T1855" s="27"/>
      <c r="U1855" s="27"/>
      <c r="V1855" s="27"/>
      <c r="W1855" s="27"/>
      <c r="X1855" s="27"/>
      <c r="Y1855" s="27"/>
      <c r="Z1855" s="27"/>
      <c r="AA1855" s="27"/>
      <c r="AB1855" s="27"/>
      <c r="AC1855" s="27"/>
      <c r="AD1855" s="27"/>
      <c r="AE1855" s="27"/>
      <c r="AF1855" s="27"/>
      <c r="AG1855" s="27"/>
      <c r="AH1855" s="27">
        <v>253.0</v>
      </c>
      <c r="AI1855" s="27">
        <v>229.0</v>
      </c>
      <c r="AJ1855" s="27">
        <v>3.0</v>
      </c>
      <c r="AK1855" s="27" t="b">
        <v>1</v>
      </c>
      <c r="AL1855" s="27">
        <v>100.0</v>
      </c>
      <c r="AM1855" s="27" t="s">
        <v>129</v>
      </c>
      <c r="AN1855" s="27" t="s">
        <v>405</v>
      </c>
      <c r="AO1855" s="27"/>
    </row>
    <row r="1856">
      <c r="A1856" s="200">
        <v>44894.02510262732</v>
      </c>
      <c r="B1856" s="19" t="s">
        <v>131</v>
      </c>
      <c r="C1856" s="21" t="s">
        <v>222</v>
      </c>
      <c r="D1856" s="62">
        <v>7.0</v>
      </c>
      <c r="E1856" s="27">
        <v>5.0</v>
      </c>
      <c r="F1856" s="27" t="s">
        <v>223</v>
      </c>
      <c r="G1856" s="201" t="s">
        <v>57</v>
      </c>
      <c r="H1856" s="27" t="s">
        <v>148</v>
      </c>
      <c r="I1856" s="27" t="s">
        <v>82</v>
      </c>
      <c r="J1856" s="33"/>
      <c r="K1856" s="33"/>
      <c r="L1856" s="66"/>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v>300.0</v>
      </c>
      <c r="AI1856" s="27">
        <v>218.0</v>
      </c>
      <c r="AJ1856" s="27">
        <v>3.0</v>
      </c>
      <c r="AK1856" s="27" t="b">
        <v>0</v>
      </c>
      <c r="AL1856" s="27">
        <v>100.0</v>
      </c>
      <c r="AM1856" s="27" t="s">
        <v>191</v>
      </c>
      <c r="AN1856" s="27" t="s">
        <v>404</v>
      </c>
      <c r="AO1856" s="27"/>
    </row>
    <row r="1857">
      <c r="A1857" s="200">
        <v>44894.02510262732</v>
      </c>
      <c r="B1857" s="19"/>
      <c r="C1857" s="21"/>
      <c r="D1857" s="62"/>
      <c r="E1857" s="27"/>
      <c r="F1857" s="27"/>
      <c r="G1857" s="201"/>
      <c r="H1857" s="27"/>
      <c r="I1857" s="27"/>
      <c r="J1857" s="33"/>
      <c r="K1857" s="33"/>
      <c r="L1857" s="66"/>
      <c r="M1857" s="27"/>
      <c r="N1857" s="27"/>
      <c r="O1857" s="27"/>
      <c r="P1857" s="27"/>
      <c r="Q1857" s="27"/>
      <c r="R1857" s="27"/>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t="e">
        <v>#N/A</v>
      </c>
      <c r="AN1857" s="27" t="e">
        <v>#N/A</v>
      </c>
      <c r="AO1857" s="27"/>
    </row>
    <row r="1858">
      <c r="A1858" s="200">
        <v>44894.02510262732</v>
      </c>
      <c r="B1858" s="19" t="s">
        <v>178</v>
      </c>
      <c r="C1858" s="21" t="s">
        <v>240</v>
      </c>
      <c r="D1858" s="62">
        <v>8.0</v>
      </c>
      <c r="E1858" s="27">
        <v>4.0</v>
      </c>
      <c r="F1858" s="27" t="s">
        <v>198</v>
      </c>
      <c r="G1858" s="201" t="s">
        <v>57</v>
      </c>
      <c r="H1858" s="27" t="s">
        <v>131</v>
      </c>
      <c r="I1858" s="27" t="s">
        <v>82</v>
      </c>
      <c r="J1858" s="33"/>
      <c r="K1858" s="33"/>
      <c r="L1858" s="66"/>
      <c r="M1858" s="27"/>
      <c r="N1858" s="27"/>
      <c r="O1858" s="27"/>
      <c r="P1858" s="27"/>
      <c r="Q1858" s="27"/>
      <c r="R1858" s="27"/>
      <c r="S1858" s="27"/>
      <c r="T1858" s="27"/>
      <c r="U1858" s="27"/>
      <c r="V1858" s="27"/>
      <c r="W1858" s="27"/>
      <c r="X1858" s="27"/>
      <c r="Y1858" s="27"/>
      <c r="Z1858" s="27"/>
      <c r="AA1858" s="27"/>
      <c r="AB1858" s="27"/>
      <c r="AC1858" s="27"/>
      <c r="AD1858" s="27"/>
      <c r="AE1858" s="27"/>
      <c r="AF1858" s="27"/>
      <c r="AG1858" s="27"/>
      <c r="AH1858" s="27">
        <v>316.0</v>
      </c>
      <c r="AI1858" s="27">
        <v>144.0</v>
      </c>
      <c r="AJ1858" s="27">
        <v>0.0</v>
      </c>
      <c r="AK1858" s="27" t="b">
        <v>1</v>
      </c>
      <c r="AL1858" s="27">
        <v>0.29999999999999716</v>
      </c>
      <c r="AM1858" s="27" t="s">
        <v>188</v>
      </c>
      <c r="AN1858" s="27" t="s">
        <v>404</v>
      </c>
      <c r="AO1858" s="27"/>
    </row>
    <row r="1859">
      <c r="A1859" s="200">
        <v>44894.02510262732</v>
      </c>
      <c r="B1859" s="19" t="s">
        <v>178</v>
      </c>
      <c r="C1859" s="21" t="s">
        <v>257</v>
      </c>
      <c r="D1859" s="62">
        <v>6.0</v>
      </c>
      <c r="E1859" s="27">
        <v>6.0</v>
      </c>
      <c r="F1859" s="27" t="s">
        <v>258</v>
      </c>
      <c r="G1859" s="201" t="s">
        <v>57</v>
      </c>
      <c r="H1859" s="27" t="s">
        <v>59</v>
      </c>
      <c r="I1859" s="27" t="s">
        <v>133</v>
      </c>
      <c r="J1859" s="33"/>
      <c r="K1859" s="33"/>
      <c r="L1859" s="66"/>
      <c r="M1859" s="27"/>
      <c r="N1859" s="27"/>
      <c r="O1859" s="27"/>
      <c r="P1859" s="27"/>
      <c r="Q1859" s="27"/>
      <c r="R1859" s="27"/>
      <c r="S1859" s="27"/>
      <c r="T1859" s="27"/>
      <c r="U1859" s="27"/>
      <c r="V1859" s="27"/>
      <c r="W1859" s="27"/>
      <c r="X1859" s="27"/>
      <c r="Y1859" s="27"/>
      <c r="Z1859" s="27"/>
      <c r="AA1859" s="27"/>
      <c r="AB1859" s="27"/>
      <c r="AC1859" s="27"/>
      <c r="AD1859" s="27"/>
      <c r="AE1859" s="27"/>
      <c r="AF1859" s="27"/>
      <c r="AG1859" s="27"/>
      <c r="AH1859" s="27">
        <v>353.0</v>
      </c>
      <c r="AI1859" s="27">
        <v>340.0</v>
      </c>
      <c r="AJ1859" s="27">
        <v>0.0</v>
      </c>
      <c r="AK1859" s="27" t="b">
        <v>1</v>
      </c>
      <c r="AL1859" s="27">
        <v>39.6</v>
      </c>
      <c r="AM1859" s="27" t="s">
        <v>193</v>
      </c>
      <c r="AN1859" s="27" t="s">
        <v>405</v>
      </c>
      <c r="AO1859" s="27"/>
    </row>
    <row r="1860">
      <c r="A1860" s="200">
        <v>44894.02510262732</v>
      </c>
      <c r="B1860" s="19" t="s">
        <v>178</v>
      </c>
      <c r="C1860" s="21" t="s">
        <v>259</v>
      </c>
      <c r="D1860" s="62">
        <v>7.0</v>
      </c>
      <c r="E1860" s="27">
        <v>5.0</v>
      </c>
      <c r="F1860" s="27" t="s">
        <v>260</v>
      </c>
      <c r="G1860" s="201" t="s">
        <v>57</v>
      </c>
      <c r="H1860" s="27"/>
      <c r="I1860" s="27"/>
      <c r="J1860" s="33"/>
      <c r="K1860" s="33"/>
      <c r="L1860" s="66"/>
      <c r="M1860" s="27"/>
      <c r="N1860" s="27"/>
      <c r="O1860" s="27"/>
      <c r="P1860" s="27"/>
      <c r="Q1860" s="27"/>
      <c r="R1860" s="27"/>
      <c r="S1860" s="27"/>
      <c r="T1860" s="27"/>
      <c r="U1860" s="27"/>
      <c r="V1860" s="27"/>
      <c r="W1860" s="27"/>
      <c r="X1860" s="27"/>
      <c r="Y1860" s="27"/>
      <c r="Z1860" s="27"/>
      <c r="AA1860" s="27"/>
      <c r="AB1860" s="27"/>
      <c r="AC1860" s="27"/>
      <c r="AD1860" s="27"/>
      <c r="AE1860" s="27"/>
      <c r="AF1860" s="27"/>
      <c r="AG1860" s="27"/>
      <c r="AH1860" s="27">
        <v>442.0</v>
      </c>
      <c r="AI1860" s="27">
        <v>351.0</v>
      </c>
      <c r="AJ1860" s="27">
        <v>2.0</v>
      </c>
      <c r="AK1860" s="27" t="b">
        <v>1</v>
      </c>
      <c r="AL1860" s="27">
        <v>100.0</v>
      </c>
      <c r="AM1860" s="27" t="s">
        <v>186</v>
      </c>
      <c r="AN1860" s="27" t="s">
        <v>404</v>
      </c>
      <c r="AO1860" s="27"/>
    </row>
    <row r="1861">
      <c r="A1861" s="200">
        <v>44894.02510262732</v>
      </c>
      <c r="B1861" s="19" t="s">
        <v>178</v>
      </c>
      <c r="C1861" s="21" t="s">
        <v>261</v>
      </c>
      <c r="D1861" s="62">
        <v>9.0</v>
      </c>
      <c r="E1861" s="27">
        <v>3.0</v>
      </c>
      <c r="F1861" s="27" t="s">
        <v>262</v>
      </c>
      <c r="G1861" s="201" t="s">
        <v>57</v>
      </c>
      <c r="H1861" s="27" t="s">
        <v>166</v>
      </c>
      <c r="I1861" s="27"/>
      <c r="J1861" s="33"/>
      <c r="K1861" s="33"/>
      <c r="L1861" s="66"/>
      <c r="M1861" s="27"/>
      <c r="N1861" s="27"/>
      <c r="O1861" s="27"/>
      <c r="P1861" s="27"/>
      <c r="Q1861" s="27"/>
      <c r="R1861" s="27"/>
      <c r="S1861" s="27"/>
      <c r="T1861" s="27"/>
      <c r="U1861" s="27"/>
      <c r="V1861" s="27"/>
      <c r="W1861" s="27"/>
      <c r="X1861" s="27"/>
      <c r="Y1861" s="27"/>
      <c r="Z1861" s="27"/>
      <c r="AA1861" s="27"/>
      <c r="AB1861" s="27"/>
      <c r="AC1861" s="27"/>
      <c r="AD1861" s="27"/>
      <c r="AE1861" s="27"/>
      <c r="AF1861" s="27"/>
      <c r="AG1861" s="27"/>
      <c r="AH1861" s="27">
        <v>475.0</v>
      </c>
      <c r="AI1861" s="27">
        <v>340.0</v>
      </c>
      <c r="AJ1861" s="27">
        <v>2.0</v>
      </c>
      <c r="AK1861" s="27" t="b">
        <v>1</v>
      </c>
      <c r="AL1861" s="27">
        <v>100.0</v>
      </c>
      <c r="AM1861" s="27" t="s">
        <v>191</v>
      </c>
      <c r="AN1861" s="27" t="s">
        <v>404</v>
      </c>
      <c r="AO1861" s="27"/>
    </row>
    <row r="1862">
      <c r="A1862" s="200">
        <v>44894.02510262732</v>
      </c>
      <c r="B1862" s="19" t="s">
        <v>178</v>
      </c>
      <c r="C1862" s="21" t="s">
        <v>263</v>
      </c>
      <c r="D1862" s="62">
        <v>2.0</v>
      </c>
      <c r="E1862" s="27">
        <v>10.0</v>
      </c>
      <c r="F1862" s="27" t="s">
        <v>264</v>
      </c>
      <c r="G1862" s="201" t="s">
        <v>57</v>
      </c>
      <c r="H1862" s="27" t="s">
        <v>116</v>
      </c>
      <c r="I1862" s="27"/>
      <c r="J1862" s="33"/>
      <c r="K1862" s="33"/>
      <c r="L1862" s="66"/>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v>157.0</v>
      </c>
      <c r="AI1862" s="27">
        <v>312.0</v>
      </c>
      <c r="AJ1862" s="27">
        <v>2.0</v>
      </c>
      <c r="AK1862" s="27" t="b">
        <v>0</v>
      </c>
      <c r="AL1862" s="27">
        <v>100.0</v>
      </c>
      <c r="AM1862" s="27" t="s">
        <v>129</v>
      </c>
      <c r="AN1862" s="27" t="s">
        <v>405</v>
      </c>
      <c r="AO1862" s="27"/>
    </row>
    <row r="1863">
      <c r="A1863" s="200">
        <v>44894.02510262732</v>
      </c>
      <c r="B1863" s="19" t="s">
        <v>178</v>
      </c>
      <c r="C1863" s="21" t="s">
        <v>265</v>
      </c>
      <c r="D1863" s="62">
        <v>7.0</v>
      </c>
      <c r="E1863" s="27">
        <v>5.0</v>
      </c>
      <c r="F1863" s="27" t="s">
        <v>266</v>
      </c>
      <c r="G1863" s="201" t="s">
        <v>57</v>
      </c>
      <c r="H1863" s="27" t="s">
        <v>154</v>
      </c>
      <c r="I1863" s="27"/>
      <c r="J1863" s="33"/>
      <c r="K1863" s="33"/>
      <c r="L1863" s="66"/>
      <c r="M1863" s="27"/>
      <c r="N1863" s="27"/>
      <c r="O1863" s="27"/>
      <c r="P1863" s="27"/>
      <c r="Q1863" s="27"/>
      <c r="R1863" s="27"/>
      <c r="S1863" s="27"/>
      <c r="T1863" s="27"/>
      <c r="U1863" s="27"/>
      <c r="V1863" s="27"/>
      <c r="W1863" s="27"/>
      <c r="X1863" s="27"/>
      <c r="Y1863" s="27"/>
      <c r="Z1863" s="27"/>
      <c r="AA1863" s="27"/>
      <c r="AB1863" s="27"/>
      <c r="AC1863" s="27"/>
      <c r="AD1863" s="27"/>
      <c r="AE1863" s="27"/>
      <c r="AF1863" s="27"/>
      <c r="AG1863" s="27"/>
      <c r="AH1863" s="27">
        <v>400.0</v>
      </c>
      <c r="AI1863" s="27">
        <v>325.0</v>
      </c>
      <c r="AJ1863" s="27">
        <v>2.0</v>
      </c>
      <c r="AK1863" s="27" t="b">
        <v>1</v>
      </c>
      <c r="AL1863" s="27">
        <v>100.0</v>
      </c>
      <c r="AM1863" s="27" t="s">
        <v>190</v>
      </c>
      <c r="AN1863" s="27" t="s">
        <v>405</v>
      </c>
      <c r="AO1863" s="27"/>
    </row>
    <row r="1864">
      <c r="A1864" s="200">
        <v>44894.02510262732</v>
      </c>
      <c r="B1864" s="19" t="s">
        <v>178</v>
      </c>
      <c r="C1864" s="21" t="s">
        <v>267</v>
      </c>
      <c r="D1864" s="62">
        <v>10.0</v>
      </c>
      <c r="E1864" s="27">
        <v>2.0</v>
      </c>
      <c r="F1864" s="27" t="s">
        <v>268</v>
      </c>
      <c r="G1864" s="201" t="s">
        <v>57</v>
      </c>
      <c r="H1864" s="27" t="s">
        <v>138</v>
      </c>
      <c r="I1864" s="27"/>
      <c r="J1864" s="33"/>
      <c r="K1864" s="33"/>
      <c r="L1864" s="66"/>
      <c r="M1864" s="27"/>
      <c r="N1864" s="27"/>
      <c r="O1864" s="27"/>
      <c r="P1864" s="27"/>
      <c r="Q1864" s="27"/>
      <c r="R1864" s="27"/>
      <c r="S1864" s="27"/>
      <c r="T1864" s="27"/>
      <c r="U1864" s="27"/>
      <c r="V1864" s="27"/>
      <c r="W1864" s="27"/>
      <c r="X1864" s="27"/>
      <c r="Y1864" s="27"/>
      <c r="Z1864" s="27"/>
      <c r="AA1864" s="27"/>
      <c r="AB1864" s="27"/>
      <c r="AC1864" s="27"/>
      <c r="AD1864" s="27"/>
      <c r="AE1864" s="27"/>
      <c r="AF1864" s="27"/>
      <c r="AG1864" s="27"/>
      <c r="AH1864" s="27">
        <v>413.0</v>
      </c>
      <c r="AI1864" s="27">
        <v>238.0</v>
      </c>
      <c r="AJ1864" s="27">
        <v>2.0</v>
      </c>
      <c r="AK1864" s="27" t="b">
        <v>0</v>
      </c>
      <c r="AL1864" s="27">
        <v>100.0</v>
      </c>
      <c r="AM1864" s="27" t="s">
        <v>389</v>
      </c>
      <c r="AN1864" s="27" t="s">
        <v>405</v>
      </c>
      <c r="AO1864" s="27"/>
    </row>
    <row r="1865">
      <c r="A1865" s="200">
        <v>44894.02510262732</v>
      </c>
      <c r="B1865" s="19" t="s">
        <v>178</v>
      </c>
      <c r="C1865" s="21" t="s">
        <v>269</v>
      </c>
      <c r="D1865" s="62">
        <v>8.0</v>
      </c>
      <c r="E1865" s="27">
        <v>4.0</v>
      </c>
      <c r="F1865" s="27" t="s">
        <v>270</v>
      </c>
      <c r="G1865" s="201" t="s">
        <v>57</v>
      </c>
      <c r="H1865" s="27" t="s">
        <v>103</v>
      </c>
      <c r="I1865" s="27"/>
      <c r="J1865" s="33"/>
      <c r="K1865" s="33"/>
      <c r="L1865" s="66"/>
      <c r="M1865" s="27"/>
      <c r="N1865" s="27"/>
      <c r="O1865" s="27"/>
      <c r="P1865" s="27"/>
      <c r="Q1865" s="27"/>
      <c r="R1865" s="27"/>
      <c r="S1865" s="27"/>
      <c r="T1865" s="27"/>
      <c r="U1865" s="27"/>
      <c r="V1865" s="27"/>
      <c r="W1865" s="27"/>
      <c r="X1865" s="27"/>
      <c r="Y1865" s="27"/>
      <c r="Z1865" s="27"/>
      <c r="AA1865" s="27"/>
      <c r="AB1865" s="27"/>
      <c r="AC1865" s="27"/>
      <c r="AD1865" s="27"/>
      <c r="AE1865" s="27"/>
      <c r="AF1865" s="27"/>
      <c r="AG1865" s="27"/>
      <c r="AH1865" s="27">
        <v>392.0</v>
      </c>
      <c r="AI1865" s="27">
        <v>290.0</v>
      </c>
      <c r="AJ1865" s="27">
        <v>2.0</v>
      </c>
      <c r="AK1865" s="27" t="b">
        <v>1</v>
      </c>
      <c r="AL1865" s="27">
        <v>100.0</v>
      </c>
      <c r="AM1865" s="27" t="s">
        <v>192</v>
      </c>
      <c r="AN1865" s="27" t="s">
        <v>404</v>
      </c>
      <c r="AO1865" s="27"/>
    </row>
    <row r="1866">
      <c r="A1866" s="200">
        <v>44894.02510262732</v>
      </c>
      <c r="B1866" s="19" t="s">
        <v>178</v>
      </c>
      <c r="C1866" s="21" t="s">
        <v>271</v>
      </c>
      <c r="D1866" s="62">
        <v>8.0</v>
      </c>
      <c r="E1866" s="27">
        <v>5.0</v>
      </c>
      <c r="F1866" s="27" t="s">
        <v>182</v>
      </c>
      <c r="G1866" s="201" t="s">
        <v>183</v>
      </c>
      <c r="H1866" s="27" t="s">
        <v>53</v>
      </c>
      <c r="I1866" s="27"/>
      <c r="J1866" s="33"/>
      <c r="K1866" s="33"/>
      <c r="L1866" s="66"/>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v>466.0</v>
      </c>
      <c r="AI1866" s="27">
        <v>305.0</v>
      </c>
      <c r="AJ1866" s="27">
        <v>2.0</v>
      </c>
      <c r="AK1866" s="27" t="b">
        <v>1</v>
      </c>
      <c r="AL1866" s="27">
        <v>100.0</v>
      </c>
      <c r="AM1866" s="27" t="s">
        <v>189</v>
      </c>
      <c r="AN1866" s="27" t="s">
        <v>405</v>
      </c>
      <c r="AO1866" s="27"/>
    </row>
    <row r="1867">
      <c r="A1867" s="200">
        <v>44894.02510262732</v>
      </c>
      <c r="B1867" s="19" t="s">
        <v>178</v>
      </c>
      <c r="C1867" s="21" t="s">
        <v>272</v>
      </c>
      <c r="D1867" s="62">
        <v>7.0</v>
      </c>
      <c r="E1867" s="27">
        <v>5.0</v>
      </c>
      <c r="F1867" s="27" t="s">
        <v>273</v>
      </c>
      <c r="G1867" s="201" t="s">
        <v>183</v>
      </c>
      <c r="H1867" s="27" t="s">
        <v>53</v>
      </c>
      <c r="I1867" s="27" t="s">
        <v>88</v>
      </c>
      <c r="J1867" s="33"/>
      <c r="K1867" s="33"/>
      <c r="L1867" s="66"/>
      <c r="M1867" s="27"/>
      <c r="N1867" s="27"/>
      <c r="O1867" s="27"/>
      <c r="P1867" s="27"/>
      <c r="Q1867" s="27"/>
      <c r="R1867" s="27"/>
      <c r="S1867" s="27"/>
      <c r="T1867" s="27"/>
      <c r="U1867" s="27"/>
      <c r="V1867" s="27"/>
      <c r="W1867" s="27"/>
      <c r="X1867" s="27"/>
      <c r="Y1867" s="27"/>
      <c r="Z1867" s="27"/>
      <c r="AA1867" s="27"/>
      <c r="AB1867" s="27"/>
      <c r="AC1867" s="27"/>
      <c r="AD1867" s="27"/>
      <c r="AE1867" s="27"/>
      <c r="AF1867" s="27"/>
      <c r="AG1867" s="27"/>
      <c r="AH1867" s="27">
        <v>352.0</v>
      </c>
      <c r="AI1867" s="27">
        <v>306.0</v>
      </c>
      <c r="AJ1867" s="27">
        <v>3.0</v>
      </c>
      <c r="AK1867" s="27" t="b">
        <v>1</v>
      </c>
      <c r="AL1867" s="27">
        <v>100.0</v>
      </c>
      <c r="AM1867" s="27" t="s">
        <v>187</v>
      </c>
      <c r="AN1867" s="27" t="s">
        <v>404</v>
      </c>
      <c r="AO1867" s="27"/>
    </row>
    <row r="1868">
      <c r="A1868" s="200">
        <v>44894.02510262732</v>
      </c>
      <c r="B1868" s="19"/>
      <c r="C1868" s="21"/>
      <c r="D1868" s="62"/>
      <c r="E1868" s="27"/>
      <c r="F1868" s="27"/>
      <c r="G1868" s="201"/>
      <c r="H1868" s="27"/>
      <c r="I1868" s="27"/>
      <c r="J1868" s="33"/>
      <c r="K1868" s="33"/>
      <c r="L1868" s="66"/>
      <c r="M1868" s="27"/>
      <c r="N1868" s="27"/>
      <c r="O1868" s="27"/>
      <c r="P1868" s="27"/>
      <c r="Q1868" s="27"/>
      <c r="R1868" s="27"/>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t="e">
        <v>#N/A</v>
      </c>
      <c r="AN1868" s="27" t="e">
        <v>#N/A</v>
      </c>
      <c r="AO1868" s="27"/>
    </row>
    <row r="1869">
      <c r="A1869" s="200">
        <v>44894.02510262732</v>
      </c>
      <c r="B1869" s="19" t="s">
        <v>59</v>
      </c>
      <c r="C1869" s="21" t="s">
        <v>274</v>
      </c>
      <c r="D1869" s="62">
        <v>9.0</v>
      </c>
      <c r="E1869" s="27">
        <v>3.0</v>
      </c>
      <c r="F1869" s="27" t="s">
        <v>56</v>
      </c>
      <c r="G1869" s="201" t="s">
        <v>183</v>
      </c>
      <c r="H1869" s="27" t="s">
        <v>53</v>
      </c>
      <c r="I1869" s="27" t="s">
        <v>58</v>
      </c>
      <c r="J1869" s="33"/>
      <c r="K1869" s="33"/>
      <c r="L1869" s="66"/>
      <c r="M1869" s="27"/>
      <c r="N1869" s="27"/>
      <c r="O1869" s="27"/>
      <c r="P1869" s="27"/>
      <c r="Q1869" s="27"/>
      <c r="R1869" s="27"/>
      <c r="S1869" s="27"/>
      <c r="T1869" s="27"/>
      <c r="U1869" s="27"/>
      <c r="V1869" s="27"/>
      <c r="W1869" s="27"/>
      <c r="X1869" s="27"/>
      <c r="Y1869" s="27"/>
      <c r="Z1869" s="27"/>
      <c r="AA1869" s="27"/>
      <c r="AB1869" s="27"/>
      <c r="AC1869" s="27"/>
      <c r="AD1869" s="27"/>
      <c r="AE1869" s="27"/>
      <c r="AF1869" s="27"/>
      <c r="AG1869" s="27"/>
      <c r="AH1869" s="27">
        <v>351.0</v>
      </c>
      <c r="AI1869" s="27">
        <v>223.0</v>
      </c>
      <c r="AJ1869" s="27">
        <v>0.0</v>
      </c>
      <c r="AK1869" s="27" t="b">
        <v>1</v>
      </c>
      <c r="AL1869" s="27">
        <v>7.18333333333333</v>
      </c>
      <c r="AM1869" s="27" t="s">
        <v>191</v>
      </c>
      <c r="AN1869" s="27" t="s">
        <v>404</v>
      </c>
      <c r="AO1869" s="27"/>
    </row>
    <row r="1870">
      <c r="A1870" s="200">
        <v>44894.02510262732</v>
      </c>
      <c r="B1870" s="19" t="s">
        <v>59</v>
      </c>
      <c r="C1870" s="21" t="s">
        <v>275</v>
      </c>
      <c r="D1870" s="62">
        <v>4.0</v>
      </c>
      <c r="E1870" s="27">
        <v>8.0</v>
      </c>
      <c r="F1870" s="27" t="s">
        <v>276</v>
      </c>
      <c r="G1870" s="201" t="s">
        <v>183</v>
      </c>
      <c r="H1870" s="27" t="s">
        <v>109</v>
      </c>
      <c r="I1870" s="27"/>
      <c r="J1870" s="33"/>
      <c r="K1870" s="33"/>
      <c r="L1870" s="66"/>
      <c r="M1870" s="27"/>
      <c r="N1870" s="27"/>
      <c r="O1870" s="27"/>
      <c r="P1870" s="27"/>
      <c r="Q1870" s="27"/>
      <c r="R1870" s="27"/>
      <c r="S1870" s="27"/>
      <c r="T1870" s="27"/>
      <c r="U1870" s="27"/>
      <c r="V1870" s="27"/>
      <c r="W1870" s="27"/>
      <c r="X1870" s="27"/>
      <c r="Y1870" s="27"/>
      <c r="Z1870" s="27"/>
      <c r="AA1870" s="27"/>
      <c r="AB1870" s="27"/>
      <c r="AC1870" s="27"/>
      <c r="AD1870" s="27"/>
      <c r="AE1870" s="27"/>
      <c r="AF1870" s="27"/>
      <c r="AG1870" s="27"/>
      <c r="AH1870" s="27">
        <v>196.0</v>
      </c>
      <c r="AI1870" s="27">
        <v>414.0</v>
      </c>
      <c r="AJ1870" s="27">
        <v>0.0</v>
      </c>
      <c r="AK1870" s="27" t="b">
        <v>0</v>
      </c>
      <c r="AL1870" s="27">
        <v>36.93333333333334</v>
      </c>
      <c r="AM1870" s="27" t="s">
        <v>189</v>
      </c>
      <c r="AN1870" s="27" t="s">
        <v>405</v>
      </c>
      <c r="AO1870" s="27"/>
    </row>
    <row r="1871">
      <c r="A1871" s="200">
        <v>44894.02510262732</v>
      </c>
      <c r="B1871" s="19" t="s">
        <v>59</v>
      </c>
      <c r="C1871" s="21" t="s">
        <v>277</v>
      </c>
      <c r="D1871" s="62">
        <v>6.0</v>
      </c>
      <c r="E1871" s="27">
        <v>6.0</v>
      </c>
      <c r="F1871" s="27" t="s">
        <v>278</v>
      </c>
      <c r="G1871" s="201" t="s">
        <v>183</v>
      </c>
      <c r="H1871" s="27" t="s">
        <v>178</v>
      </c>
      <c r="I1871" s="27" t="s">
        <v>133</v>
      </c>
      <c r="J1871" s="33"/>
      <c r="K1871" s="33"/>
      <c r="L1871" s="66"/>
      <c r="M1871" s="27"/>
      <c r="N1871" s="27"/>
      <c r="O1871" s="27"/>
      <c r="P1871" s="27"/>
      <c r="Q1871" s="27"/>
      <c r="R1871" s="27"/>
      <c r="S1871" s="27"/>
      <c r="T1871" s="27"/>
      <c r="U1871" s="27"/>
      <c r="V1871" s="27"/>
      <c r="W1871" s="27"/>
      <c r="X1871" s="27"/>
      <c r="Y1871" s="27"/>
      <c r="Z1871" s="27"/>
      <c r="AA1871" s="27"/>
      <c r="AB1871" s="27"/>
      <c r="AC1871" s="27"/>
      <c r="AD1871" s="27"/>
      <c r="AE1871" s="27"/>
      <c r="AF1871" s="27"/>
      <c r="AG1871" s="27"/>
      <c r="AH1871" s="27">
        <v>371.0</v>
      </c>
      <c r="AI1871" s="27">
        <v>270.0</v>
      </c>
      <c r="AJ1871" s="27">
        <v>0.0</v>
      </c>
      <c r="AK1871" s="27" t="b">
        <v>0</v>
      </c>
      <c r="AL1871" s="27">
        <v>39.6</v>
      </c>
      <c r="AM1871" s="27" t="s">
        <v>193</v>
      </c>
      <c r="AN1871" s="27" t="s">
        <v>405</v>
      </c>
      <c r="AO1871" s="27"/>
    </row>
    <row r="1872">
      <c r="A1872" s="200">
        <v>44894.02510262732</v>
      </c>
      <c r="B1872" s="19" t="s">
        <v>59</v>
      </c>
      <c r="C1872" s="21" t="s">
        <v>279</v>
      </c>
      <c r="D1872" s="62">
        <v>5.0</v>
      </c>
      <c r="E1872" s="27">
        <v>7.0</v>
      </c>
      <c r="F1872" s="27" t="s">
        <v>280</v>
      </c>
      <c r="G1872" s="201" t="s">
        <v>183</v>
      </c>
      <c r="H1872" s="27" t="s">
        <v>53</v>
      </c>
      <c r="I1872" s="27" t="s">
        <v>129</v>
      </c>
      <c r="J1872" s="33"/>
      <c r="K1872" s="33"/>
      <c r="L1872" s="66"/>
      <c r="M1872" s="27"/>
      <c r="N1872" s="27"/>
      <c r="O1872" s="27"/>
      <c r="P1872" s="27"/>
      <c r="Q1872" s="27"/>
      <c r="R1872" s="27"/>
      <c r="S1872" s="27"/>
      <c r="T1872" s="27"/>
      <c r="U1872" s="27"/>
      <c r="V1872" s="27"/>
      <c r="W1872" s="27"/>
      <c r="X1872" s="27"/>
      <c r="Y1872" s="27"/>
      <c r="Z1872" s="27"/>
      <c r="AA1872" s="27"/>
      <c r="AB1872" s="27"/>
      <c r="AC1872" s="27"/>
      <c r="AD1872" s="27"/>
      <c r="AE1872" s="27"/>
      <c r="AF1872" s="27"/>
      <c r="AG1872" s="27"/>
      <c r="AH1872" s="27">
        <v>289.0</v>
      </c>
      <c r="AI1872" s="27">
        <v>320.0</v>
      </c>
      <c r="AJ1872" s="27">
        <v>0.0</v>
      </c>
      <c r="AK1872" s="27" t="b">
        <v>0</v>
      </c>
      <c r="AL1872" s="27">
        <v>40.46666666666667</v>
      </c>
      <c r="AM1872" s="27" t="s">
        <v>129</v>
      </c>
      <c r="AN1872" s="27" t="s">
        <v>405</v>
      </c>
      <c r="AO1872" s="27"/>
    </row>
    <row r="1873">
      <c r="A1873" s="200">
        <v>44894.02510262732</v>
      </c>
      <c r="B1873" s="19" t="s">
        <v>59</v>
      </c>
      <c r="C1873" s="21" t="s">
        <v>281</v>
      </c>
      <c r="D1873" s="62">
        <v>6.0</v>
      </c>
      <c r="E1873" s="27">
        <v>6.0</v>
      </c>
      <c r="F1873" s="27"/>
      <c r="G1873" s="201"/>
      <c r="H1873" s="27"/>
      <c r="I1873" s="27"/>
      <c r="J1873" s="33"/>
      <c r="K1873" s="33"/>
      <c r="L1873" s="66"/>
      <c r="M1873" s="27"/>
      <c r="N1873" s="27"/>
      <c r="O1873" s="27"/>
      <c r="P1873" s="27"/>
      <c r="Q1873" s="27"/>
      <c r="R1873" s="27"/>
      <c r="S1873" s="27"/>
      <c r="T1873" s="27"/>
      <c r="U1873" s="27"/>
      <c r="V1873" s="27"/>
      <c r="W1873" s="27"/>
      <c r="X1873" s="27"/>
      <c r="Y1873" s="27"/>
      <c r="Z1873" s="27"/>
      <c r="AA1873" s="27"/>
      <c r="AB1873" s="27"/>
      <c r="AC1873" s="27"/>
      <c r="AD1873" s="27"/>
      <c r="AE1873" s="27"/>
      <c r="AF1873" s="27"/>
      <c r="AG1873" s="27"/>
      <c r="AH1873" s="27">
        <v>238.0</v>
      </c>
      <c r="AI1873" s="27">
        <v>313.0</v>
      </c>
      <c r="AJ1873" s="27">
        <v>0.0</v>
      </c>
      <c r="AK1873" s="27" t="b">
        <v>1</v>
      </c>
      <c r="AL1873" s="27">
        <v>59.0</v>
      </c>
      <c r="AM1873" s="27" t="s">
        <v>389</v>
      </c>
      <c r="AN1873" s="27" t="s">
        <v>405</v>
      </c>
      <c r="AO1873" s="27"/>
    </row>
    <row r="1874">
      <c r="A1874" s="200">
        <v>44894.02510262732</v>
      </c>
      <c r="B1874" s="19" t="s">
        <v>59</v>
      </c>
      <c r="C1874" s="21" t="s">
        <v>283</v>
      </c>
      <c r="D1874" s="62">
        <v>7.0</v>
      </c>
      <c r="E1874" s="27">
        <v>5.0</v>
      </c>
      <c r="F1874" s="27"/>
      <c r="G1874" s="201" t="s">
        <v>57</v>
      </c>
      <c r="H1874" s="27" t="s">
        <v>141</v>
      </c>
      <c r="I1874" s="27"/>
      <c r="J1874" s="33"/>
      <c r="K1874" s="33"/>
      <c r="L1874" s="66"/>
      <c r="M1874" s="27"/>
      <c r="N1874" s="27"/>
      <c r="O1874" s="27"/>
      <c r="P1874" s="27"/>
      <c r="Q1874" s="27"/>
      <c r="R1874" s="27"/>
      <c r="S1874" s="27"/>
      <c r="T1874" s="27"/>
      <c r="U1874" s="27"/>
      <c r="V1874" s="27"/>
      <c r="W1874" s="27"/>
      <c r="X1874" s="27"/>
      <c r="Y1874" s="27"/>
      <c r="Z1874" s="27"/>
      <c r="AA1874" s="27"/>
      <c r="AB1874" s="27"/>
      <c r="AC1874" s="27"/>
      <c r="AD1874" s="27"/>
      <c r="AE1874" s="27"/>
      <c r="AF1874" s="27"/>
      <c r="AG1874" s="27"/>
      <c r="AH1874" s="27">
        <v>265.0</v>
      </c>
      <c r="AI1874" s="27">
        <v>229.0</v>
      </c>
      <c r="AJ1874" s="27">
        <v>2.0</v>
      </c>
      <c r="AK1874" s="27" t="b">
        <v>0</v>
      </c>
      <c r="AL1874" s="27">
        <v>100.0</v>
      </c>
      <c r="AM1874" s="27" t="s">
        <v>192</v>
      </c>
      <c r="AN1874" s="27" t="s">
        <v>404</v>
      </c>
      <c r="AO1874" s="27"/>
    </row>
    <row r="1875">
      <c r="A1875" s="200">
        <v>44894.02510262732</v>
      </c>
      <c r="B1875" s="19" t="s">
        <v>59</v>
      </c>
      <c r="C1875" s="21" t="s">
        <v>284</v>
      </c>
      <c r="D1875" s="62">
        <v>12.0</v>
      </c>
      <c r="E1875" s="27">
        <v>0.0</v>
      </c>
      <c r="F1875" s="27" t="s">
        <v>169</v>
      </c>
      <c r="G1875" s="201" t="s">
        <v>57</v>
      </c>
      <c r="H1875" s="27" t="s">
        <v>53</v>
      </c>
      <c r="I1875" s="27"/>
      <c r="J1875" s="33"/>
      <c r="K1875" s="33"/>
      <c r="L1875" s="66"/>
      <c r="M1875" s="27"/>
      <c r="N1875" s="27"/>
      <c r="O1875" s="27"/>
      <c r="P1875" s="27"/>
      <c r="Q1875" s="27"/>
      <c r="R1875" s="27"/>
      <c r="S1875" s="27"/>
      <c r="T1875" s="27"/>
      <c r="U1875" s="27"/>
      <c r="V1875" s="27"/>
      <c r="W1875" s="27"/>
      <c r="X1875" s="27"/>
      <c r="Y1875" s="27"/>
      <c r="Z1875" s="27"/>
      <c r="AA1875" s="27"/>
      <c r="AB1875" s="27"/>
      <c r="AC1875" s="27"/>
      <c r="AD1875" s="27"/>
      <c r="AE1875" s="27"/>
      <c r="AF1875" s="27"/>
      <c r="AG1875" s="27"/>
      <c r="AH1875" s="27">
        <v>478.0</v>
      </c>
      <c r="AI1875" s="27">
        <v>152.0</v>
      </c>
      <c r="AJ1875" s="27">
        <v>2.0</v>
      </c>
      <c r="AK1875" s="27" t="b">
        <v>1</v>
      </c>
      <c r="AL1875" s="27">
        <v>100.0</v>
      </c>
      <c r="AM1875" s="27" t="s">
        <v>188</v>
      </c>
      <c r="AN1875" s="27" t="s">
        <v>404</v>
      </c>
      <c r="AO1875" s="27"/>
    </row>
    <row r="1876">
      <c r="A1876" s="200">
        <v>44894.02510262732</v>
      </c>
      <c r="B1876" s="19" t="s">
        <v>59</v>
      </c>
      <c r="C1876" s="21" t="s">
        <v>285</v>
      </c>
      <c r="D1876" s="62">
        <v>4.0</v>
      </c>
      <c r="E1876" s="27">
        <v>8.0</v>
      </c>
      <c r="F1876" s="27" t="s">
        <v>286</v>
      </c>
      <c r="G1876" s="201" t="s">
        <v>57</v>
      </c>
      <c r="H1876" s="27" t="s">
        <v>103</v>
      </c>
      <c r="I1876" s="27"/>
      <c r="J1876" s="33"/>
      <c r="K1876" s="33"/>
      <c r="L1876" s="66"/>
      <c r="M1876" s="27"/>
      <c r="N1876" s="27"/>
      <c r="O1876" s="27"/>
      <c r="P1876" s="27"/>
      <c r="Q1876" s="27"/>
      <c r="R1876" s="27"/>
      <c r="S1876" s="27"/>
      <c r="T1876" s="27"/>
      <c r="U1876" s="27"/>
      <c r="V1876" s="27"/>
      <c r="W1876" s="27"/>
      <c r="X1876" s="27"/>
      <c r="Y1876" s="27"/>
      <c r="Z1876" s="27"/>
      <c r="AA1876" s="27"/>
      <c r="AB1876" s="27"/>
      <c r="AC1876" s="27"/>
      <c r="AD1876" s="27"/>
      <c r="AE1876" s="27"/>
      <c r="AF1876" s="27"/>
      <c r="AG1876" s="27"/>
      <c r="AH1876" s="27">
        <v>297.0</v>
      </c>
      <c r="AI1876" s="27">
        <v>338.0</v>
      </c>
      <c r="AJ1876" s="27">
        <v>2.0</v>
      </c>
      <c r="AK1876" s="27" t="b">
        <v>0</v>
      </c>
      <c r="AL1876" s="27">
        <v>100.0</v>
      </c>
      <c r="AM1876" s="27" t="s">
        <v>190</v>
      </c>
      <c r="AN1876" s="27" t="s">
        <v>405</v>
      </c>
      <c r="AO1876" s="27"/>
    </row>
    <row r="1877">
      <c r="A1877" s="200">
        <v>44894.02510262732</v>
      </c>
      <c r="B1877" s="19" t="s">
        <v>59</v>
      </c>
      <c r="C1877" s="21" t="s">
        <v>289</v>
      </c>
      <c r="D1877" s="62">
        <v>3.0</v>
      </c>
      <c r="E1877" s="27">
        <v>9.0</v>
      </c>
      <c r="F1877" s="27" t="s">
        <v>290</v>
      </c>
      <c r="G1877" s="201" t="s">
        <v>57</v>
      </c>
      <c r="H1877" s="27" t="s">
        <v>138</v>
      </c>
      <c r="I1877" s="27" t="s">
        <v>115</v>
      </c>
      <c r="J1877" s="33"/>
      <c r="K1877" s="33"/>
      <c r="L1877" s="66"/>
      <c r="M1877" s="27"/>
      <c r="N1877" s="27"/>
      <c r="O1877" s="27"/>
      <c r="P1877" s="27"/>
      <c r="Q1877" s="27"/>
      <c r="R1877" s="27"/>
      <c r="S1877" s="27"/>
      <c r="T1877" s="27"/>
      <c r="U1877" s="27"/>
      <c r="V1877" s="27"/>
      <c r="W1877" s="27"/>
      <c r="X1877" s="27"/>
      <c r="Y1877" s="27"/>
      <c r="Z1877" s="27"/>
      <c r="AA1877" s="27"/>
      <c r="AB1877" s="27"/>
      <c r="AC1877" s="27"/>
      <c r="AD1877" s="27"/>
      <c r="AE1877" s="27"/>
      <c r="AF1877" s="27"/>
      <c r="AG1877" s="27"/>
      <c r="AH1877" s="27">
        <v>190.0</v>
      </c>
      <c r="AI1877" s="27">
        <v>332.0</v>
      </c>
      <c r="AJ1877" s="27">
        <v>3.0</v>
      </c>
      <c r="AK1877" s="27" t="b">
        <v>0</v>
      </c>
      <c r="AL1877" s="27">
        <v>100.0</v>
      </c>
      <c r="AM1877" s="27" t="s">
        <v>186</v>
      </c>
      <c r="AN1877" s="27" t="s">
        <v>404</v>
      </c>
      <c r="AO1877" s="27"/>
    </row>
    <row r="1878">
      <c r="A1878" s="200">
        <v>44894.02510262732</v>
      </c>
      <c r="B1878" s="19" t="s">
        <v>59</v>
      </c>
      <c r="C1878" s="21" t="s">
        <v>291</v>
      </c>
      <c r="D1878" s="62">
        <v>9.0</v>
      </c>
      <c r="E1878" s="27">
        <v>3.0</v>
      </c>
      <c r="F1878" s="27" t="s">
        <v>218</v>
      </c>
      <c r="G1878" s="201" t="s">
        <v>57</v>
      </c>
      <c r="H1878" s="27" t="s">
        <v>131</v>
      </c>
      <c r="I1878" s="27" t="s">
        <v>74</v>
      </c>
      <c r="J1878" s="33"/>
      <c r="K1878" s="33"/>
      <c r="L1878" s="66"/>
      <c r="M1878" s="27"/>
      <c r="N1878" s="27"/>
      <c r="O1878" s="27"/>
      <c r="P1878" s="27"/>
      <c r="Q1878" s="27"/>
      <c r="R1878" s="27"/>
      <c r="S1878" s="27"/>
      <c r="T1878" s="27"/>
      <c r="U1878" s="27"/>
      <c r="V1878" s="27"/>
      <c r="W1878" s="27"/>
      <c r="X1878" s="27"/>
      <c r="Y1878" s="27"/>
      <c r="Z1878" s="27"/>
      <c r="AA1878" s="27"/>
      <c r="AB1878" s="27"/>
      <c r="AC1878" s="27"/>
      <c r="AD1878" s="27"/>
      <c r="AE1878" s="27"/>
      <c r="AF1878" s="27"/>
      <c r="AG1878" s="27"/>
      <c r="AH1878" s="27">
        <v>354.0</v>
      </c>
      <c r="AI1878" s="27">
        <v>206.0</v>
      </c>
      <c r="AJ1878" s="27">
        <v>3.0</v>
      </c>
      <c r="AK1878" s="27" t="b">
        <v>1</v>
      </c>
      <c r="AL1878" s="27">
        <v>100.0</v>
      </c>
      <c r="AM1878" s="27" t="s">
        <v>187</v>
      </c>
      <c r="AN1878" s="27" t="s">
        <v>404</v>
      </c>
      <c r="AO1878" s="27"/>
    </row>
    <row r="1879">
      <c r="A1879" s="200">
        <v>44894.02510262732</v>
      </c>
      <c r="B1879" s="19"/>
      <c r="C1879" s="21"/>
      <c r="D1879" s="62"/>
      <c r="E1879" s="27"/>
      <c r="F1879" s="27"/>
      <c r="G1879" s="201"/>
      <c r="H1879" s="27"/>
      <c r="I1879" s="27"/>
      <c r="J1879" s="33"/>
      <c r="K1879" s="33"/>
      <c r="L1879" s="66"/>
      <c r="M1879" s="27"/>
      <c r="N1879" s="27"/>
      <c r="O1879" s="27"/>
      <c r="P1879" s="27"/>
      <c r="Q1879" s="27"/>
      <c r="R1879" s="27"/>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t="e">
        <v>#N/A</v>
      </c>
      <c r="AN1879" s="27" t="e">
        <v>#N/A</v>
      </c>
      <c r="AO1879" s="27"/>
    </row>
    <row r="1880">
      <c r="A1880" s="200">
        <v>44894.02510262732</v>
      </c>
      <c r="B1880" s="19" t="s">
        <v>138</v>
      </c>
      <c r="C1880" s="21" t="s">
        <v>294</v>
      </c>
      <c r="D1880" s="62">
        <v>5.0</v>
      </c>
      <c r="E1880" s="27">
        <v>7.0</v>
      </c>
      <c r="F1880" s="27" t="s">
        <v>295</v>
      </c>
      <c r="G1880" s="201" t="s">
        <v>57</v>
      </c>
      <c r="H1880" s="27" t="s">
        <v>109</v>
      </c>
      <c r="I1880" s="27" t="s">
        <v>88</v>
      </c>
      <c r="J1880" s="33"/>
      <c r="K1880" s="33"/>
      <c r="L1880" s="66"/>
      <c r="M1880" s="27"/>
      <c r="N1880" s="27"/>
      <c r="O1880" s="27"/>
      <c r="P1880" s="27"/>
      <c r="Q1880" s="27"/>
      <c r="R1880" s="27"/>
      <c r="S1880" s="27"/>
      <c r="T1880" s="27"/>
      <c r="U1880" s="27"/>
      <c r="V1880" s="27"/>
      <c r="W1880" s="27"/>
      <c r="X1880" s="27"/>
      <c r="Y1880" s="27"/>
      <c r="Z1880" s="27"/>
      <c r="AA1880" s="27"/>
      <c r="AB1880" s="27"/>
      <c r="AC1880" s="27"/>
      <c r="AD1880" s="27"/>
      <c r="AE1880" s="27"/>
      <c r="AF1880" s="27"/>
      <c r="AG1880" s="27"/>
      <c r="AH1880" s="27">
        <v>277.0</v>
      </c>
      <c r="AI1880" s="27">
        <v>294.0</v>
      </c>
      <c r="AJ1880" s="27">
        <v>0.0</v>
      </c>
      <c r="AK1880" s="27" t="b">
        <v>1</v>
      </c>
      <c r="AL1880" s="27">
        <v>9.866666666666667</v>
      </c>
      <c r="AM1880" s="27" t="s">
        <v>188</v>
      </c>
      <c r="AN1880" s="27" t="s">
        <v>404</v>
      </c>
      <c r="AO1880" s="27"/>
    </row>
    <row r="1881">
      <c r="A1881" s="200">
        <v>44894.02510262732</v>
      </c>
      <c r="B1881" s="19" t="s">
        <v>138</v>
      </c>
      <c r="C1881" s="21" t="s">
        <v>296</v>
      </c>
      <c r="D1881" s="62">
        <v>10.0</v>
      </c>
      <c r="E1881" s="27">
        <v>2.0</v>
      </c>
      <c r="F1881" s="27" t="s">
        <v>297</v>
      </c>
      <c r="G1881" s="201" t="s">
        <v>57</v>
      </c>
      <c r="H1881" s="27" t="s">
        <v>154</v>
      </c>
      <c r="I1881" s="27"/>
      <c r="J1881" s="33"/>
      <c r="K1881" s="33"/>
      <c r="L1881" s="66"/>
      <c r="M1881" s="27"/>
      <c r="N1881" s="27"/>
      <c r="O1881" s="27"/>
      <c r="P1881" s="27"/>
      <c r="Q1881" s="27"/>
      <c r="R1881" s="27"/>
      <c r="S1881" s="27"/>
      <c r="T1881" s="27"/>
      <c r="U1881" s="27"/>
      <c r="V1881" s="27"/>
      <c r="W1881" s="27"/>
      <c r="X1881" s="27"/>
      <c r="Y1881" s="27"/>
      <c r="Z1881" s="27"/>
      <c r="AA1881" s="27"/>
      <c r="AB1881" s="27"/>
      <c r="AC1881" s="27"/>
      <c r="AD1881" s="27"/>
      <c r="AE1881" s="27"/>
      <c r="AF1881" s="27"/>
      <c r="AG1881" s="27"/>
      <c r="AH1881" s="27">
        <v>421.0</v>
      </c>
      <c r="AI1881" s="27">
        <v>287.0</v>
      </c>
      <c r="AJ1881" s="27">
        <v>2.0</v>
      </c>
      <c r="AK1881" s="27" t="b">
        <v>1</v>
      </c>
      <c r="AL1881" s="27">
        <v>100.0</v>
      </c>
      <c r="AM1881" s="27" t="s">
        <v>189</v>
      </c>
      <c r="AN1881" s="27" t="s">
        <v>405</v>
      </c>
      <c r="AO1881" s="27"/>
    </row>
    <row r="1882">
      <c r="A1882" s="200">
        <v>44894.02510262732</v>
      </c>
      <c r="B1882" s="19" t="s">
        <v>138</v>
      </c>
      <c r="C1882" s="21" t="s">
        <v>298</v>
      </c>
      <c r="D1882" s="62">
        <v>3.0</v>
      </c>
      <c r="E1882" s="27">
        <v>9.0</v>
      </c>
      <c r="F1882" s="27" t="s">
        <v>299</v>
      </c>
      <c r="G1882" s="201" t="s">
        <v>57</v>
      </c>
      <c r="H1882" s="27" t="s">
        <v>141</v>
      </c>
      <c r="I1882" s="27"/>
      <c r="J1882" s="33"/>
      <c r="K1882" s="33"/>
      <c r="L1882" s="66"/>
      <c r="M1882" s="27"/>
      <c r="N1882" s="27"/>
      <c r="O1882" s="27"/>
      <c r="P1882" s="27"/>
      <c r="Q1882" s="27"/>
      <c r="R1882" s="27"/>
      <c r="S1882" s="27"/>
      <c r="T1882" s="27"/>
      <c r="U1882" s="27"/>
      <c r="V1882" s="27"/>
      <c r="W1882" s="27"/>
      <c r="X1882" s="27"/>
      <c r="Y1882" s="27"/>
      <c r="Z1882" s="27"/>
      <c r="AA1882" s="27"/>
      <c r="AB1882" s="27"/>
      <c r="AC1882" s="27"/>
      <c r="AD1882" s="27"/>
      <c r="AE1882" s="27"/>
      <c r="AF1882" s="27"/>
      <c r="AG1882" s="27"/>
      <c r="AH1882" s="27">
        <v>327.0</v>
      </c>
      <c r="AI1882" s="27">
        <v>393.0</v>
      </c>
      <c r="AJ1882" s="27">
        <v>2.0</v>
      </c>
      <c r="AK1882" s="27" t="b">
        <v>0</v>
      </c>
      <c r="AL1882" s="27">
        <v>100.0</v>
      </c>
      <c r="AM1882" s="27" t="s">
        <v>190</v>
      </c>
      <c r="AN1882" s="27" t="s">
        <v>405</v>
      </c>
      <c r="AO1882" s="27"/>
    </row>
    <row r="1883">
      <c r="A1883" s="200">
        <v>44894.02510262732</v>
      </c>
      <c r="B1883" s="19" t="s">
        <v>138</v>
      </c>
      <c r="C1883" s="21" t="s">
        <v>302</v>
      </c>
      <c r="D1883" s="62">
        <v>10.0</v>
      </c>
      <c r="E1883" s="27">
        <v>2.0</v>
      </c>
      <c r="F1883" s="27" t="s">
        <v>171</v>
      </c>
      <c r="G1883" s="201" t="s">
        <v>57</v>
      </c>
      <c r="H1883" s="27" t="s">
        <v>53</v>
      </c>
      <c r="I1883" s="27"/>
      <c r="J1883" s="33"/>
      <c r="K1883" s="33"/>
      <c r="L1883" s="66"/>
      <c r="M1883" s="27"/>
      <c r="N1883" s="27"/>
      <c r="O1883" s="27"/>
      <c r="P1883" s="27"/>
      <c r="Q1883" s="27"/>
      <c r="R1883" s="27"/>
      <c r="S1883" s="27"/>
      <c r="T1883" s="27"/>
      <c r="U1883" s="27"/>
      <c r="V1883" s="27"/>
      <c r="W1883" s="27"/>
      <c r="X1883" s="27"/>
      <c r="Y1883" s="27"/>
      <c r="Z1883" s="27"/>
      <c r="AA1883" s="27"/>
      <c r="AB1883" s="27"/>
      <c r="AC1883" s="27"/>
      <c r="AD1883" s="27"/>
      <c r="AE1883" s="27"/>
      <c r="AF1883" s="27"/>
      <c r="AG1883" s="27"/>
      <c r="AH1883" s="27">
        <v>383.0</v>
      </c>
      <c r="AI1883" s="27">
        <v>233.0</v>
      </c>
      <c r="AJ1883" s="27">
        <v>2.0</v>
      </c>
      <c r="AK1883" s="27" t="b">
        <v>0</v>
      </c>
      <c r="AL1883" s="27">
        <v>100.0</v>
      </c>
      <c r="AM1883" s="27" t="s">
        <v>193</v>
      </c>
      <c r="AN1883" s="27" t="s">
        <v>405</v>
      </c>
      <c r="AO1883" s="27"/>
    </row>
    <row r="1884">
      <c r="A1884" s="200">
        <v>44894.02510262732</v>
      </c>
      <c r="B1884" s="19" t="s">
        <v>138</v>
      </c>
      <c r="C1884" s="21" t="s">
        <v>303</v>
      </c>
      <c r="D1884" s="62">
        <v>6.0</v>
      </c>
      <c r="E1884" s="27">
        <v>6.0</v>
      </c>
      <c r="F1884" s="27" t="s">
        <v>174</v>
      </c>
      <c r="G1884" s="201" t="s">
        <v>57</v>
      </c>
      <c r="H1884" s="27" t="s">
        <v>53</v>
      </c>
      <c r="I1884" s="27"/>
      <c r="J1884" s="33"/>
      <c r="K1884" s="33"/>
      <c r="L1884" s="66"/>
      <c r="M1884" s="27"/>
      <c r="N1884" s="27"/>
      <c r="O1884" s="27"/>
      <c r="P1884" s="27"/>
      <c r="Q1884" s="27"/>
      <c r="R1884" s="27"/>
      <c r="S1884" s="27"/>
      <c r="T1884" s="27"/>
      <c r="U1884" s="27"/>
      <c r="V1884" s="27"/>
      <c r="W1884" s="27"/>
      <c r="X1884" s="27"/>
      <c r="Y1884" s="27"/>
      <c r="Z1884" s="27"/>
      <c r="AA1884" s="27"/>
      <c r="AB1884" s="27"/>
      <c r="AC1884" s="27"/>
      <c r="AD1884" s="27"/>
      <c r="AE1884" s="27"/>
      <c r="AF1884" s="27"/>
      <c r="AG1884" s="27"/>
      <c r="AH1884" s="27">
        <v>368.0</v>
      </c>
      <c r="AI1884" s="27">
        <v>345.0</v>
      </c>
      <c r="AJ1884" s="27">
        <v>2.0</v>
      </c>
      <c r="AK1884" s="27" t="b">
        <v>1</v>
      </c>
      <c r="AL1884" s="27">
        <v>100.0</v>
      </c>
      <c r="AM1884" s="27" t="s">
        <v>192</v>
      </c>
      <c r="AN1884" s="27" t="s">
        <v>404</v>
      </c>
      <c r="AO1884" s="27"/>
    </row>
    <row r="1885">
      <c r="A1885" s="200">
        <v>44894.02510262732</v>
      </c>
      <c r="B1885" s="19" t="s">
        <v>138</v>
      </c>
      <c r="C1885" s="21" t="s">
        <v>304</v>
      </c>
      <c r="D1885" s="62">
        <v>6.0</v>
      </c>
      <c r="E1885" s="27">
        <v>6.0</v>
      </c>
      <c r="F1885" s="27" t="s">
        <v>305</v>
      </c>
      <c r="G1885" s="201" t="s">
        <v>57</v>
      </c>
      <c r="H1885" s="27" t="s">
        <v>148</v>
      </c>
      <c r="I1885" s="27"/>
      <c r="J1885" s="33"/>
      <c r="K1885" s="33"/>
      <c r="L1885" s="66"/>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v>279.0</v>
      </c>
      <c r="AI1885" s="27">
        <v>367.0</v>
      </c>
      <c r="AJ1885" s="27">
        <v>2.0</v>
      </c>
      <c r="AK1885" s="27" t="b">
        <v>0</v>
      </c>
      <c r="AL1885" s="27">
        <v>100.0</v>
      </c>
      <c r="AM1885" s="27" t="s">
        <v>129</v>
      </c>
      <c r="AN1885" s="27" t="s">
        <v>405</v>
      </c>
      <c r="AO1885" s="27"/>
    </row>
    <row r="1886">
      <c r="A1886" s="200">
        <v>44894.02510262732</v>
      </c>
      <c r="B1886" s="19" t="s">
        <v>138</v>
      </c>
      <c r="C1886" s="21" t="s">
        <v>282</v>
      </c>
      <c r="D1886" s="62">
        <v>9.0</v>
      </c>
      <c r="E1886" s="27">
        <v>3.0</v>
      </c>
      <c r="F1886" s="27" t="s">
        <v>268</v>
      </c>
      <c r="G1886" s="201" t="s">
        <v>57</v>
      </c>
      <c r="H1886" s="27" t="s">
        <v>178</v>
      </c>
      <c r="I1886" s="27"/>
      <c r="J1886" s="33"/>
      <c r="K1886" s="33"/>
      <c r="L1886" s="66"/>
      <c r="M1886" s="27"/>
      <c r="N1886" s="27"/>
      <c r="O1886" s="27"/>
      <c r="P1886" s="27"/>
      <c r="Q1886" s="27"/>
      <c r="R1886" s="27"/>
      <c r="S1886" s="27"/>
      <c r="T1886" s="27"/>
      <c r="U1886" s="27"/>
      <c r="V1886" s="27"/>
      <c r="W1886" s="27"/>
      <c r="X1886" s="27"/>
      <c r="Y1886" s="27"/>
      <c r="Z1886" s="27"/>
      <c r="AA1886" s="27"/>
      <c r="AB1886" s="27"/>
      <c r="AC1886" s="27"/>
      <c r="AD1886" s="27"/>
      <c r="AE1886" s="27"/>
      <c r="AF1886" s="27"/>
      <c r="AG1886" s="27"/>
      <c r="AH1886" s="27">
        <v>373.0</v>
      </c>
      <c r="AI1886" s="27">
        <v>244.0</v>
      </c>
      <c r="AJ1886" s="27">
        <v>2.0</v>
      </c>
      <c r="AK1886" s="27" t="b">
        <v>1</v>
      </c>
      <c r="AL1886" s="27">
        <v>100.0</v>
      </c>
      <c r="AM1886" s="27" t="s">
        <v>389</v>
      </c>
      <c r="AN1886" s="27" t="s">
        <v>405</v>
      </c>
      <c r="AO1886" s="27"/>
    </row>
    <row r="1887">
      <c r="A1887" s="200">
        <v>44894.02510262732</v>
      </c>
      <c r="B1887" s="19" t="s">
        <v>138</v>
      </c>
      <c r="C1887" s="21" t="s">
        <v>308</v>
      </c>
      <c r="D1887" s="62">
        <v>7.0</v>
      </c>
      <c r="E1887" s="27">
        <v>5.0</v>
      </c>
      <c r="F1887" s="27" t="s">
        <v>290</v>
      </c>
      <c r="G1887" s="201" t="s">
        <v>57</v>
      </c>
      <c r="H1887" s="27" t="s">
        <v>59</v>
      </c>
      <c r="I1887" s="27" t="s">
        <v>115</v>
      </c>
      <c r="J1887" s="33"/>
      <c r="K1887" s="33"/>
      <c r="L1887" s="66"/>
      <c r="M1887" s="27"/>
      <c r="N1887" s="27"/>
      <c r="O1887" s="27"/>
      <c r="P1887" s="27"/>
      <c r="Q1887" s="27"/>
      <c r="R1887" s="27"/>
      <c r="S1887" s="27"/>
      <c r="T1887" s="27"/>
      <c r="U1887" s="27"/>
      <c r="V1887" s="27"/>
      <c r="W1887" s="27"/>
      <c r="X1887" s="27"/>
      <c r="Y1887" s="27"/>
      <c r="Z1887" s="27"/>
      <c r="AA1887" s="27"/>
      <c r="AB1887" s="27"/>
      <c r="AC1887" s="27"/>
      <c r="AD1887" s="27"/>
      <c r="AE1887" s="27"/>
      <c r="AF1887" s="27"/>
      <c r="AG1887" s="27"/>
      <c r="AH1887" s="27">
        <v>308.0</v>
      </c>
      <c r="AI1887" s="27">
        <v>249.0</v>
      </c>
      <c r="AJ1887" s="27">
        <v>3.0</v>
      </c>
      <c r="AK1887" s="27" t="b">
        <v>1</v>
      </c>
      <c r="AL1887" s="27">
        <v>100.0</v>
      </c>
      <c r="AM1887" s="27" t="s">
        <v>186</v>
      </c>
      <c r="AN1887" s="27" t="s">
        <v>404</v>
      </c>
      <c r="AO1887" s="27"/>
    </row>
    <row r="1888">
      <c r="A1888" s="200">
        <v>44894.02510262732</v>
      </c>
      <c r="B1888" s="19" t="s">
        <v>138</v>
      </c>
      <c r="C1888" s="21" t="s">
        <v>309</v>
      </c>
      <c r="D1888" s="62">
        <v>5.0</v>
      </c>
      <c r="E1888" s="27">
        <v>7.0</v>
      </c>
      <c r="F1888" s="27" t="s">
        <v>310</v>
      </c>
      <c r="G1888" s="201" t="s">
        <v>57</v>
      </c>
      <c r="H1888" s="27" t="s">
        <v>131</v>
      </c>
      <c r="I1888" s="27" t="s">
        <v>111</v>
      </c>
      <c r="J1888" s="33"/>
      <c r="K1888" s="33"/>
      <c r="L1888" s="66"/>
      <c r="M1888" s="27"/>
      <c r="N1888" s="27"/>
      <c r="O1888" s="27"/>
      <c r="P1888" s="27"/>
      <c r="Q1888" s="27"/>
      <c r="R1888" s="27"/>
      <c r="S1888" s="27"/>
      <c r="T1888" s="27"/>
      <c r="U1888" s="27"/>
      <c r="V1888" s="27"/>
      <c r="W1888" s="27"/>
      <c r="X1888" s="27"/>
      <c r="Y1888" s="27"/>
      <c r="Z1888" s="27"/>
      <c r="AA1888" s="27"/>
      <c r="AB1888" s="27"/>
      <c r="AC1888" s="27"/>
      <c r="AD1888" s="27"/>
      <c r="AE1888" s="27"/>
      <c r="AF1888" s="27"/>
      <c r="AG1888" s="27"/>
      <c r="AH1888" s="27">
        <v>295.0</v>
      </c>
      <c r="AI1888" s="27">
        <v>376.0</v>
      </c>
      <c r="AJ1888" s="27">
        <v>3.0</v>
      </c>
      <c r="AK1888" s="27" t="b">
        <v>1</v>
      </c>
      <c r="AL1888" s="27">
        <v>100.0</v>
      </c>
      <c r="AM1888" s="27" t="s">
        <v>187</v>
      </c>
      <c r="AN1888" s="27" t="s">
        <v>404</v>
      </c>
      <c r="AO1888" s="27"/>
    </row>
    <row r="1889">
      <c r="A1889" s="200">
        <v>44894.02510262732</v>
      </c>
      <c r="B1889" s="19" t="s">
        <v>138</v>
      </c>
      <c r="C1889" s="21" t="s">
        <v>311</v>
      </c>
      <c r="D1889" s="62">
        <v>3.0</v>
      </c>
      <c r="E1889" s="27">
        <v>9.0</v>
      </c>
      <c r="F1889" s="27" t="s">
        <v>312</v>
      </c>
      <c r="G1889" s="201" t="s">
        <v>57</v>
      </c>
      <c r="H1889" s="27" t="s">
        <v>141</v>
      </c>
      <c r="I1889" s="27" t="s">
        <v>88</v>
      </c>
      <c r="J1889" s="33"/>
      <c r="K1889" s="33"/>
      <c r="L1889" s="66"/>
      <c r="M1889" s="27"/>
      <c r="N1889" s="27"/>
      <c r="O1889" s="27"/>
      <c r="P1889" s="27"/>
      <c r="Q1889" s="27"/>
      <c r="R1889" s="27"/>
      <c r="S1889" s="27"/>
      <c r="T1889" s="27"/>
      <c r="U1889" s="27"/>
      <c r="V1889" s="27"/>
      <c r="W1889" s="27"/>
      <c r="X1889" s="27"/>
      <c r="Y1889" s="27"/>
      <c r="Z1889" s="27"/>
      <c r="AA1889" s="27"/>
      <c r="AB1889" s="27"/>
      <c r="AC1889" s="27"/>
      <c r="AD1889" s="27"/>
      <c r="AE1889" s="27"/>
      <c r="AF1889" s="27"/>
      <c r="AG1889" s="27"/>
      <c r="AH1889" s="27">
        <v>230.0</v>
      </c>
      <c r="AI1889" s="27">
        <v>351.0</v>
      </c>
      <c r="AJ1889" s="27">
        <v>3.0</v>
      </c>
      <c r="AK1889" s="27" t="b">
        <v>0</v>
      </c>
      <c r="AL1889" s="27">
        <v>100.0</v>
      </c>
      <c r="AM1889" s="27" t="s">
        <v>191</v>
      </c>
      <c r="AN1889" s="27" t="s">
        <v>404</v>
      </c>
      <c r="AO1889" s="27"/>
    </row>
    <row r="1890">
      <c r="A1890" s="200">
        <v>44894.02510262732</v>
      </c>
      <c r="B1890" s="19"/>
      <c r="C1890" s="21"/>
      <c r="D1890" s="62"/>
      <c r="E1890" s="27"/>
      <c r="F1890" s="27"/>
      <c r="G1890" s="201"/>
      <c r="H1890" s="27"/>
      <c r="I1890" s="27"/>
      <c r="J1890" s="33"/>
      <c r="K1890" s="33"/>
      <c r="L1890" s="66"/>
      <c r="M1890" s="27"/>
      <c r="N1890" s="27"/>
      <c r="O1890" s="27"/>
      <c r="P1890" s="27"/>
      <c r="Q1890" s="27"/>
      <c r="R1890" s="27"/>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t="e">
        <v>#N/A</v>
      </c>
      <c r="AN1890" s="27" t="e">
        <v>#N/A</v>
      </c>
      <c r="AO1890" s="27"/>
    </row>
    <row r="1891">
      <c r="A1891" s="200">
        <v>44894.02510262732</v>
      </c>
      <c r="B1891" s="19" t="s">
        <v>141</v>
      </c>
      <c r="C1891" s="21" t="s">
        <v>314</v>
      </c>
      <c r="D1891" s="62">
        <v>7.0</v>
      </c>
      <c r="E1891" s="27">
        <v>5.0</v>
      </c>
      <c r="F1891" s="27" t="s">
        <v>315</v>
      </c>
      <c r="G1891" s="201" t="s">
        <v>57</v>
      </c>
      <c r="H1891" s="27" t="s">
        <v>109</v>
      </c>
      <c r="I1891" s="27" t="s">
        <v>105</v>
      </c>
      <c r="J1891" s="33"/>
      <c r="K1891" s="33"/>
      <c r="L1891" s="66"/>
      <c r="M1891" s="27"/>
      <c r="N1891" s="27"/>
      <c r="O1891" s="27"/>
      <c r="P1891" s="27"/>
      <c r="Q1891" s="27"/>
      <c r="R1891" s="27"/>
      <c r="S1891" s="27"/>
      <c r="T1891" s="27"/>
      <c r="U1891" s="27"/>
      <c r="V1891" s="27"/>
      <c r="W1891" s="27"/>
      <c r="X1891" s="27"/>
      <c r="Y1891" s="27"/>
      <c r="Z1891" s="27"/>
      <c r="AA1891" s="27"/>
      <c r="AB1891" s="27"/>
      <c r="AC1891" s="27"/>
      <c r="AD1891" s="27"/>
      <c r="AE1891" s="27"/>
      <c r="AF1891" s="27"/>
      <c r="AG1891" s="27"/>
      <c r="AH1891" s="27">
        <v>427.0</v>
      </c>
      <c r="AI1891" s="27">
        <v>385.0</v>
      </c>
      <c r="AJ1891" s="27">
        <v>0.0</v>
      </c>
      <c r="AK1891" s="27" t="b">
        <v>1</v>
      </c>
      <c r="AL1891" s="27">
        <v>-0.20000000000000284</v>
      </c>
      <c r="AM1891" s="27" t="s">
        <v>389</v>
      </c>
      <c r="AN1891" s="27" t="s">
        <v>405</v>
      </c>
      <c r="AO1891" s="27"/>
    </row>
    <row r="1892">
      <c r="A1892" s="200">
        <v>44894.02510262732</v>
      </c>
      <c r="B1892" s="19" t="s">
        <v>141</v>
      </c>
      <c r="C1892" s="21" t="s">
        <v>287</v>
      </c>
      <c r="D1892" s="62">
        <v>10.0</v>
      </c>
      <c r="E1892" s="27">
        <v>2.0</v>
      </c>
      <c r="F1892" s="27" t="s">
        <v>288</v>
      </c>
      <c r="G1892" s="201" t="s">
        <v>57</v>
      </c>
      <c r="H1892" s="27" t="s">
        <v>166</v>
      </c>
      <c r="I1892" s="27" t="s">
        <v>66</v>
      </c>
      <c r="J1892" s="33"/>
      <c r="K1892" s="33"/>
      <c r="L1892" s="66"/>
      <c r="M1892" s="27"/>
      <c r="N1892" s="27"/>
      <c r="O1892" s="27"/>
      <c r="P1892" s="27"/>
      <c r="Q1892" s="27"/>
      <c r="R1892" s="27"/>
      <c r="S1892" s="27"/>
      <c r="T1892" s="27"/>
      <c r="U1892" s="27"/>
      <c r="V1892" s="27"/>
      <c r="W1892" s="27"/>
      <c r="X1892" s="27"/>
      <c r="Y1892" s="27"/>
      <c r="Z1892" s="27"/>
      <c r="AA1892" s="27"/>
      <c r="AB1892" s="27"/>
      <c r="AC1892" s="27"/>
      <c r="AD1892" s="27"/>
      <c r="AE1892" s="27"/>
      <c r="AF1892" s="27"/>
      <c r="AG1892" s="27"/>
      <c r="AH1892" s="27">
        <v>440.0</v>
      </c>
      <c r="AI1892" s="27">
        <v>189.0</v>
      </c>
      <c r="AJ1892" s="27">
        <v>0.0</v>
      </c>
      <c r="AK1892" s="27" t="b">
        <v>0</v>
      </c>
      <c r="AL1892" s="27">
        <v>1.06666666666667</v>
      </c>
      <c r="AM1892" s="27" t="s">
        <v>192</v>
      </c>
      <c r="AN1892" s="27" t="s">
        <v>404</v>
      </c>
      <c r="AO1892" s="27"/>
    </row>
    <row r="1893">
      <c r="A1893" s="200">
        <v>44894.02510262732</v>
      </c>
      <c r="B1893" s="19" t="s">
        <v>141</v>
      </c>
      <c r="C1893" s="21" t="s">
        <v>317</v>
      </c>
      <c r="D1893" s="62">
        <v>3.0</v>
      </c>
      <c r="E1893" s="27">
        <v>9.0</v>
      </c>
      <c r="F1893" s="27"/>
      <c r="G1893" s="201"/>
      <c r="H1893" s="27"/>
      <c r="I1893" s="27"/>
      <c r="J1893" s="33"/>
      <c r="K1893" s="33"/>
      <c r="L1893" s="66"/>
      <c r="M1893" s="27"/>
      <c r="N1893" s="27"/>
      <c r="O1893" s="27"/>
      <c r="P1893" s="27"/>
      <c r="Q1893" s="27"/>
      <c r="R1893" s="27"/>
      <c r="S1893" s="27"/>
      <c r="T1893" s="27"/>
      <c r="U1893" s="27"/>
      <c r="V1893" s="27"/>
      <c r="W1893" s="27"/>
      <c r="X1893" s="27"/>
      <c r="Y1893" s="27"/>
      <c r="Z1893" s="27"/>
      <c r="AA1893" s="27"/>
      <c r="AB1893" s="27"/>
      <c r="AC1893" s="27"/>
      <c r="AD1893" s="27"/>
      <c r="AE1893" s="27"/>
      <c r="AF1893" s="27"/>
      <c r="AG1893" s="27"/>
      <c r="AH1893" s="27">
        <v>293.0</v>
      </c>
      <c r="AI1893" s="27">
        <v>473.0</v>
      </c>
      <c r="AJ1893" s="27">
        <v>0.0</v>
      </c>
      <c r="AK1893" s="27" t="b">
        <v>0</v>
      </c>
      <c r="AL1893" s="27">
        <v>59.0</v>
      </c>
      <c r="AM1893" s="27" t="s">
        <v>189</v>
      </c>
      <c r="AN1893" s="27" t="s">
        <v>405</v>
      </c>
      <c r="AO1893" s="27"/>
    </row>
    <row r="1894">
      <c r="A1894" s="200">
        <v>44894.02510262732</v>
      </c>
      <c r="B1894" s="19" t="s">
        <v>141</v>
      </c>
      <c r="C1894" s="21" t="s">
        <v>318</v>
      </c>
      <c r="D1894" s="62">
        <v>10.0</v>
      </c>
      <c r="E1894" s="27">
        <v>2.0</v>
      </c>
      <c r="F1894" s="27" t="s">
        <v>319</v>
      </c>
      <c r="G1894" s="201" t="s">
        <v>57</v>
      </c>
      <c r="H1894" s="27" t="s">
        <v>154</v>
      </c>
      <c r="I1894" s="27"/>
      <c r="J1894" s="33"/>
      <c r="K1894" s="33"/>
      <c r="L1894" s="66"/>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v>295.0</v>
      </c>
      <c r="AI1894" s="27">
        <v>202.0</v>
      </c>
      <c r="AJ1894" s="27">
        <v>2.0</v>
      </c>
      <c r="AK1894" s="27" t="b">
        <v>0</v>
      </c>
      <c r="AL1894" s="27">
        <v>100.0</v>
      </c>
      <c r="AM1894" s="27" t="s">
        <v>193</v>
      </c>
      <c r="AN1894" s="27" t="s">
        <v>405</v>
      </c>
      <c r="AO1894" s="27"/>
    </row>
    <row r="1895">
      <c r="A1895" s="200">
        <v>44894.02510262732</v>
      </c>
      <c r="B1895" s="19" t="s">
        <v>141</v>
      </c>
      <c r="C1895" s="21" t="s">
        <v>349</v>
      </c>
      <c r="D1895" s="62">
        <v>7.0</v>
      </c>
      <c r="E1895" s="27">
        <v>4.0</v>
      </c>
      <c r="F1895" s="27" t="s">
        <v>350</v>
      </c>
      <c r="G1895" s="201" t="s">
        <v>57</v>
      </c>
      <c r="H1895" s="27" t="s">
        <v>166</v>
      </c>
      <c r="I1895" s="27"/>
      <c r="J1895" s="33"/>
      <c r="K1895" s="33"/>
      <c r="L1895" s="66"/>
      <c r="M1895" s="27"/>
      <c r="N1895" s="27"/>
      <c r="O1895" s="27"/>
      <c r="P1895" s="27"/>
      <c r="Q1895" s="27"/>
      <c r="R1895" s="27"/>
      <c r="S1895" s="27"/>
      <c r="T1895" s="27"/>
      <c r="U1895" s="27"/>
      <c r="V1895" s="27"/>
      <c r="W1895" s="27"/>
      <c r="X1895" s="27"/>
      <c r="Y1895" s="27"/>
      <c r="Z1895" s="27"/>
      <c r="AA1895" s="27"/>
      <c r="AB1895" s="27"/>
      <c r="AC1895" s="27"/>
      <c r="AD1895" s="27"/>
      <c r="AE1895" s="27"/>
      <c r="AF1895" s="27"/>
      <c r="AG1895" s="27"/>
      <c r="AH1895" s="27">
        <v>302.0</v>
      </c>
      <c r="AI1895" s="27">
        <v>223.0</v>
      </c>
      <c r="AJ1895" s="27">
        <v>2.0</v>
      </c>
      <c r="AK1895" s="27" t="b">
        <v>0</v>
      </c>
      <c r="AL1895" s="27">
        <v>100.0</v>
      </c>
      <c r="AM1895" s="27" t="s">
        <v>129</v>
      </c>
      <c r="AN1895" s="27" t="s">
        <v>405</v>
      </c>
      <c r="AO1895" s="27"/>
    </row>
    <row r="1896">
      <c r="A1896" s="200">
        <v>44894.02510262732</v>
      </c>
      <c r="B1896" s="19" t="s">
        <v>141</v>
      </c>
      <c r="C1896" s="21" t="s">
        <v>353</v>
      </c>
      <c r="D1896" s="62">
        <v>7.0</v>
      </c>
      <c r="E1896" s="27">
        <v>5.0</v>
      </c>
      <c r="F1896" s="27" t="s">
        <v>376</v>
      </c>
      <c r="G1896" s="201" t="s">
        <v>57</v>
      </c>
      <c r="H1896" s="27" t="s">
        <v>59</v>
      </c>
      <c r="I1896" s="27"/>
      <c r="J1896" s="33"/>
      <c r="K1896" s="33"/>
      <c r="L1896" s="66"/>
      <c r="M1896" s="27"/>
      <c r="N1896" s="27"/>
      <c r="O1896" s="27"/>
      <c r="P1896" s="27"/>
      <c r="Q1896" s="27"/>
      <c r="R1896" s="27"/>
      <c r="S1896" s="27"/>
      <c r="T1896" s="27"/>
      <c r="U1896" s="27"/>
      <c r="V1896" s="27"/>
      <c r="W1896" s="27"/>
      <c r="X1896" s="27"/>
      <c r="Y1896" s="27"/>
      <c r="Z1896" s="27"/>
      <c r="AA1896" s="27"/>
      <c r="AB1896" s="27"/>
      <c r="AC1896" s="27"/>
      <c r="AD1896" s="27"/>
      <c r="AE1896" s="27"/>
      <c r="AF1896" s="27"/>
      <c r="AG1896" s="27"/>
      <c r="AH1896" s="27">
        <v>326.0</v>
      </c>
      <c r="AI1896" s="27">
        <v>242.0</v>
      </c>
      <c r="AJ1896" s="27">
        <v>2.0</v>
      </c>
      <c r="AK1896" s="27" t="b">
        <v>1</v>
      </c>
      <c r="AL1896" s="27">
        <v>100.0</v>
      </c>
      <c r="AM1896" s="27" t="s">
        <v>186</v>
      </c>
      <c r="AN1896" s="27" t="s">
        <v>404</v>
      </c>
      <c r="AO1896" s="27"/>
    </row>
    <row r="1897">
      <c r="A1897" s="200">
        <v>44894.02510262732</v>
      </c>
      <c r="B1897" s="19" t="s">
        <v>141</v>
      </c>
      <c r="C1897" s="21" t="s">
        <v>323</v>
      </c>
      <c r="D1897" s="62">
        <v>2.0</v>
      </c>
      <c r="E1897" s="27">
        <v>9.0</v>
      </c>
      <c r="F1897" s="27" t="s">
        <v>299</v>
      </c>
      <c r="G1897" s="201" t="s">
        <v>57</v>
      </c>
      <c r="H1897" s="27" t="s">
        <v>138</v>
      </c>
      <c r="I1897" s="27"/>
      <c r="J1897" s="33"/>
      <c r="K1897" s="33"/>
      <c r="L1897" s="66"/>
      <c r="M1897" s="27"/>
      <c r="N1897" s="27"/>
      <c r="O1897" s="27"/>
      <c r="P1897" s="27"/>
      <c r="Q1897" s="27"/>
      <c r="R1897" s="27"/>
      <c r="S1897" s="27"/>
      <c r="T1897" s="27"/>
      <c r="U1897" s="27"/>
      <c r="V1897" s="27"/>
      <c r="W1897" s="27"/>
      <c r="X1897" s="27"/>
      <c r="Y1897" s="27"/>
      <c r="Z1897" s="27"/>
      <c r="AA1897" s="27"/>
      <c r="AB1897" s="27"/>
      <c r="AC1897" s="27"/>
      <c r="AD1897" s="27"/>
      <c r="AE1897" s="27"/>
      <c r="AF1897" s="27"/>
      <c r="AG1897" s="27"/>
      <c r="AH1897" s="27">
        <v>239.0</v>
      </c>
      <c r="AI1897" s="27">
        <v>379.0</v>
      </c>
      <c r="AJ1897" s="27">
        <v>2.0</v>
      </c>
      <c r="AK1897" s="27" t="b">
        <v>1</v>
      </c>
      <c r="AL1897" s="27">
        <v>100.0</v>
      </c>
      <c r="AM1897" s="27" t="s">
        <v>190</v>
      </c>
      <c r="AN1897" s="27" t="s">
        <v>405</v>
      </c>
      <c r="AO1897" s="27"/>
    </row>
    <row r="1898">
      <c r="A1898" s="200">
        <v>44894.02510262732</v>
      </c>
      <c r="B1898" s="19" t="s">
        <v>141</v>
      </c>
      <c r="C1898" s="21" t="s">
        <v>386</v>
      </c>
      <c r="D1898" s="62">
        <v>4.0</v>
      </c>
      <c r="E1898" s="27">
        <v>8.0</v>
      </c>
      <c r="F1898" s="27" t="s">
        <v>390</v>
      </c>
      <c r="G1898" s="201" t="s">
        <v>57</v>
      </c>
      <c r="H1898" s="27" t="s">
        <v>103</v>
      </c>
      <c r="I1898" s="27"/>
      <c r="J1898" s="33"/>
      <c r="K1898" s="33"/>
      <c r="L1898" s="66"/>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v>209.0</v>
      </c>
      <c r="AI1898" s="27">
        <v>351.0</v>
      </c>
      <c r="AJ1898" s="27">
        <v>2.0</v>
      </c>
      <c r="AK1898" s="27" t="b">
        <v>1</v>
      </c>
      <c r="AL1898" s="27">
        <v>100.0</v>
      </c>
      <c r="AM1898" s="27" t="s">
        <v>191</v>
      </c>
      <c r="AN1898" s="27" t="s">
        <v>404</v>
      </c>
      <c r="AO1898" s="27"/>
    </row>
    <row r="1899">
      <c r="A1899" s="200">
        <v>44894.02510262732</v>
      </c>
      <c r="B1899" s="19" t="s">
        <v>141</v>
      </c>
      <c r="C1899" s="21" t="s">
        <v>365</v>
      </c>
      <c r="D1899" s="62">
        <v>4.0</v>
      </c>
      <c r="E1899" s="27">
        <v>8.0</v>
      </c>
      <c r="F1899" s="27" t="s">
        <v>391</v>
      </c>
      <c r="G1899" s="201" t="s">
        <v>57</v>
      </c>
      <c r="H1899" s="27" t="s">
        <v>116</v>
      </c>
      <c r="I1899" s="27"/>
      <c r="J1899" s="33"/>
      <c r="K1899" s="33"/>
      <c r="L1899" s="66"/>
      <c r="M1899" s="27"/>
      <c r="N1899" s="27"/>
      <c r="O1899" s="27"/>
      <c r="P1899" s="27"/>
      <c r="Q1899" s="27"/>
      <c r="R1899" s="27"/>
      <c r="S1899" s="27"/>
      <c r="T1899" s="27"/>
      <c r="U1899" s="27"/>
      <c r="V1899" s="27"/>
      <c r="W1899" s="27"/>
      <c r="X1899" s="27"/>
      <c r="Y1899" s="27"/>
      <c r="Z1899" s="27"/>
      <c r="AA1899" s="27"/>
      <c r="AB1899" s="27"/>
      <c r="AC1899" s="27"/>
      <c r="AD1899" s="27"/>
      <c r="AE1899" s="27"/>
      <c r="AF1899" s="27"/>
      <c r="AG1899" s="27"/>
      <c r="AH1899" s="27">
        <v>271.0</v>
      </c>
      <c r="AI1899" s="27">
        <v>331.0</v>
      </c>
      <c r="AJ1899" s="27">
        <v>2.0</v>
      </c>
      <c r="AK1899" s="27" t="b">
        <v>1</v>
      </c>
      <c r="AL1899" s="27">
        <v>100.0</v>
      </c>
      <c r="AM1899" s="27" t="s">
        <v>188</v>
      </c>
      <c r="AN1899" s="27" t="s">
        <v>404</v>
      </c>
      <c r="AO1899" s="27"/>
    </row>
    <row r="1900">
      <c r="A1900" s="200">
        <v>44894.02510262732</v>
      </c>
      <c r="B1900" s="19" t="s">
        <v>141</v>
      </c>
      <c r="C1900" s="21" t="s">
        <v>393</v>
      </c>
      <c r="D1900" s="62">
        <v>7.0</v>
      </c>
      <c r="E1900" s="27">
        <v>5.0</v>
      </c>
      <c r="F1900" s="27" t="s">
        <v>312</v>
      </c>
      <c r="G1900" s="201" t="s">
        <v>57</v>
      </c>
      <c r="H1900" s="27" t="s">
        <v>138</v>
      </c>
      <c r="I1900" s="27" t="s">
        <v>88</v>
      </c>
      <c r="J1900" s="33"/>
      <c r="K1900" s="33"/>
      <c r="L1900" s="66"/>
      <c r="M1900" s="27"/>
      <c r="N1900" s="27"/>
      <c r="O1900" s="27"/>
      <c r="P1900" s="27"/>
      <c r="Q1900" s="27"/>
      <c r="R1900" s="27"/>
      <c r="S1900" s="27"/>
      <c r="T1900" s="27"/>
      <c r="U1900" s="27"/>
      <c r="V1900" s="27"/>
      <c r="W1900" s="27"/>
      <c r="X1900" s="27"/>
      <c r="Y1900" s="27"/>
      <c r="Z1900" s="27"/>
      <c r="AA1900" s="27"/>
      <c r="AB1900" s="27"/>
      <c r="AC1900" s="27"/>
      <c r="AD1900" s="27"/>
      <c r="AE1900" s="27"/>
      <c r="AF1900" s="27"/>
      <c r="AG1900" s="27"/>
      <c r="AH1900" s="27">
        <v>348.0</v>
      </c>
      <c r="AI1900" s="27">
        <v>334.0</v>
      </c>
      <c r="AJ1900" s="27">
        <v>3.0</v>
      </c>
      <c r="AK1900" s="27" t="b">
        <v>1</v>
      </c>
      <c r="AL1900" s="27">
        <v>100.0</v>
      </c>
      <c r="AM1900" s="27" t="s">
        <v>187</v>
      </c>
      <c r="AN1900" s="27" t="s">
        <v>404</v>
      </c>
      <c r="AO1900" s="27"/>
    </row>
    <row r="1901">
      <c r="A1901" s="200">
        <v>44894.02510262732</v>
      </c>
      <c r="B1901" s="19"/>
      <c r="C1901" s="21"/>
      <c r="D1901" s="62"/>
      <c r="E1901" s="27"/>
      <c r="F1901" s="27"/>
      <c r="G1901" s="201"/>
      <c r="H1901" s="27"/>
      <c r="I1901" s="27"/>
      <c r="J1901" s="33"/>
      <c r="K1901" s="33"/>
      <c r="L1901" s="66"/>
      <c r="M1901" s="27"/>
      <c r="N1901" s="27"/>
      <c r="O1901" s="27"/>
      <c r="P1901" s="27"/>
      <c r="Q1901" s="27"/>
      <c r="R1901" s="27"/>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t="e">
        <v>#N/A</v>
      </c>
      <c r="AN1901" s="27" t="e">
        <v>#N/A</v>
      </c>
      <c r="AO1901" s="27"/>
    </row>
    <row r="1902">
      <c r="A1902" s="200">
        <v>44894.02510262732</v>
      </c>
      <c r="B1902" s="19" t="s">
        <v>109</v>
      </c>
      <c r="C1902" s="21" t="s">
        <v>339</v>
      </c>
      <c r="D1902" s="62">
        <v>6.0</v>
      </c>
      <c r="E1902" s="27">
        <v>6.0</v>
      </c>
      <c r="F1902" s="27" t="s">
        <v>315</v>
      </c>
      <c r="G1902" s="201" t="s">
        <v>57</v>
      </c>
      <c r="H1902" s="27" t="s">
        <v>141</v>
      </c>
      <c r="I1902" s="27" t="s">
        <v>105</v>
      </c>
      <c r="J1902" s="33"/>
      <c r="K1902" s="33"/>
      <c r="L1902" s="66"/>
      <c r="M1902" s="27"/>
      <c r="N1902" s="27"/>
      <c r="O1902" s="27"/>
      <c r="P1902" s="27"/>
      <c r="Q1902" s="27"/>
      <c r="R1902" s="27"/>
      <c r="S1902" s="27"/>
      <c r="T1902" s="27"/>
      <c r="U1902" s="27"/>
      <c r="V1902" s="27"/>
      <c r="W1902" s="27"/>
      <c r="X1902" s="27"/>
      <c r="Y1902" s="27"/>
      <c r="Z1902" s="27"/>
      <c r="AA1902" s="27"/>
      <c r="AB1902" s="27"/>
      <c r="AC1902" s="27"/>
      <c r="AD1902" s="27"/>
      <c r="AE1902" s="27"/>
      <c r="AF1902" s="27"/>
      <c r="AG1902" s="27"/>
      <c r="AH1902" s="27">
        <v>390.0</v>
      </c>
      <c r="AI1902" s="27">
        <v>294.0</v>
      </c>
      <c r="AJ1902" s="27">
        <v>0.0</v>
      </c>
      <c r="AK1902" s="27" t="b">
        <v>0</v>
      </c>
      <c r="AL1902" s="27">
        <v>-0.20000000000000284</v>
      </c>
      <c r="AM1902" s="27" t="s">
        <v>389</v>
      </c>
      <c r="AN1902" s="27" t="s">
        <v>405</v>
      </c>
      <c r="AO1902" s="27"/>
    </row>
    <row r="1903">
      <c r="A1903" s="200">
        <v>44894.02510262732</v>
      </c>
      <c r="B1903" s="19" t="s">
        <v>109</v>
      </c>
      <c r="C1903" s="21" t="s">
        <v>375</v>
      </c>
      <c r="D1903" s="62">
        <v>10.0</v>
      </c>
      <c r="E1903" s="27">
        <v>2.0</v>
      </c>
      <c r="F1903" s="27" t="s">
        <v>295</v>
      </c>
      <c r="G1903" s="201" t="s">
        <v>57</v>
      </c>
      <c r="H1903" s="27" t="s">
        <v>138</v>
      </c>
      <c r="I1903" s="27" t="s">
        <v>88</v>
      </c>
      <c r="J1903" s="33"/>
      <c r="K1903" s="33"/>
      <c r="L1903" s="66"/>
      <c r="M1903" s="27"/>
      <c r="N1903" s="27"/>
      <c r="O1903" s="27"/>
      <c r="P1903" s="27"/>
      <c r="Q1903" s="27"/>
      <c r="R1903" s="27"/>
      <c r="S1903" s="27"/>
      <c r="T1903" s="27"/>
      <c r="U1903" s="27"/>
      <c r="V1903" s="27"/>
      <c r="W1903" s="27"/>
      <c r="X1903" s="27"/>
      <c r="Y1903" s="27"/>
      <c r="Z1903" s="27"/>
      <c r="AA1903" s="27"/>
      <c r="AB1903" s="27"/>
      <c r="AC1903" s="27"/>
      <c r="AD1903" s="27"/>
      <c r="AE1903" s="27"/>
      <c r="AF1903" s="27"/>
      <c r="AG1903" s="27"/>
      <c r="AH1903" s="27">
        <v>395.0</v>
      </c>
      <c r="AI1903" s="27">
        <v>200.0</v>
      </c>
      <c r="AJ1903" s="27">
        <v>0.0</v>
      </c>
      <c r="AK1903" s="27" t="b">
        <v>0</v>
      </c>
      <c r="AL1903" s="27">
        <v>9.866666666666667</v>
      </c>
      <c r="AM1903" s="27" t="s">
        <v>188</v>
      </c>
      <c r="AN1903" s="27" t="s">
        <v>404</v>
      </c>
      <c r="AO1903" s="27"/>
    </row>
    <row r="1904">
      <c r="A1904" s="200">
        <v>44894.02510262732</v>
      </c>
      <c r="B1904" s="19" t="s">
        <v>109</v>
      </c>
      <c r="C1904" s="21" t="s">
        <v>292</v>
      </c>
      <c r="D1904" s="62">
        <v>6.0</v>
      </c>
      <c r="E1904" s="27">
        <v>6.0</v>
      </c>
      <c r="F1904" s="27" t="s">
        <v>293</v>
      </c>
      <c r="G1904" s="201" t="s">
        <v>57</v>
      </c>
      <c r="H1904" s="27" t="s">
        <v>148</v>
      </c>
      <c r="I1904" s="27" t="s">
        <v>133</v>
      </c>
      <c r="J1904" s="33"/>
      <c r="K1904" s="33"/>
      <c r="L1904" s="66"/>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v>283.0</v>
      </c>
      <c r="AI1904" s="27">
        <v>261.0</v>
      </c>
      <c r="AJ1904" s="27">
        <v>0.0</v>
      </c>
      <c r="AK1904" s="27" t="b">
        <v>0</v>
      </c>
      <c r="AL1904" s="27">
        <v>26.583333333333336</v>
      </c>
      <c r="AM1904" s="27" t="s">
        <v>193</v>
      </c>
      <c r="AN1904" s="27" t="s">
        <v>405</v>
      </c>
      <c r="AO1904" s="27"/>
    </row>
    <row r="1905">
      <c r="A1905" s="200">
        <v>44894.02510262732</v>
      </c>
      <c r="B1905" s="19" t="s">
        <v>109</v>
      </c>
      <c r="C1905" s="21" t="s">
        <v>343</v>
      </c>
      <c r="D1905" s="62">
        <v>7.0</v>
      </c>
      <c r="E1905" s="27">
        <v>5.0</v>
      </c>
      <c r="F1905" s="27" t="s">
        <v>276</v>
      </c>
      <c r="G1905" s="201" t="s">
        <v>57</v>
      </c>
      <c r="H1905" s="27" t="s">
        <v>59</v>
      </c>
      <c r="I1905" s="27" t="s">
        <v>149</v>
      </c>
      <c r="J1905" s="33"/>
      <c r="K1905" s="33"/>
      <c r="L1905" s="66"/>
      <c r="M1905" s="27"/>
      <c r="N1905" s="27"/>
      <c r="O1905" s="27"/>
      <c r="P1905" s="27"/>
      <c r="Q1905" s="27"/>
      <c r="R1905" s="27"/>
      <c r="S1905" s="27"/>
      <c r="T1905" s="27"/>
      <c r="U1905" s="27"/>
      <c r="V1905" s="27"/>
      <c r="W1905" s="27"/>
      <c r="X1905" s="27"/>
      <c r="Y1905" s="27"/>
      <c r="Z1905" s="27"/>
      <c r="AA1905" s="27"/>
      <c r="AB1905" s="27"/>
      <c r="AC1905" s="27"/>
      <c r="AD1905" s="27"/>
      <c r="AE1905" s="27"/>
      <c r="AF1905" s="27"/>
      <c r="AG1905" s="27"/>
      <c r="AH1905" s="27">
        <v>317.0</v>
      </c>
      <c r="AI1905" s="27">
        <v>309.0</v>
      </c>
      <c r="AJ1905" s="27">
        <v>0.0</v>
      </c>
      <c r="AK1905" s="27" t="b">
        <v>1</v>
      </c>
      <c r="AL1905" s="27">
        <v>36.93333333333334</v>
      </c>
      <c r="AM1905" s="27" t="s">
        <v>189</v>
      </c>
      <c r="AN1905" s="27" t="s">
        <v>405</v>
      </c>
      <c r="AO1905" s="27"/>
    </row>
    <row r="1906">
      <c r="A1906" s="200">
        <v>44894.02510262732</v>
      </c>
      <c r="B1906" s="19" t="s">
        <v>109</v>
      </c>
      <c r="C1906" s="21" t="s">
        <v>394</v>
      </c>
      <c r="D1906" s="62">
        <v>5.0</v>
      </c>
      <c r="E1906" s="27">
        <v>6.0</v>
      </c>
      <c r="F1906" s="27" t="s">
        <v>395</v>
      </c>
      <c r="G1906" s="201" t="s">
        <v>57</v>
      </c>
      <c r="H1906" s="27" t="s">
        <v>166</v>
      </c>
      <c r="I1906" s="27"/>
      <c r="J1906" s="33"/>
      <c r="K1906" s="33"/>
      <c r="L1906" s="66"/>
      <c r="M1906" s="27"/>
      <c r="N1906" s="27"/>
      <c r="O1906" s="27"/>
      <c r="P1906" s="27"/>
      <c r="Q1906" s="27"/>
      <c r="R1906" s="27"/>
      <c r="S1906" s="27"/>
      <c r="T1906" s="27"/>
      <c r="U1906" s="27"/>
      <c r="V1906" s="27"/>
      <c r="W1906" s="27"/>
      <c r="X1906" s="27"/>
      <c r="Y1906" s="27"/>
      <c r="Z1906" s="27"/>
      <c r="AA1906" s="27"/>
      <c r="AB1906" s="27"/>
      <c r="AC1906" s="27"/>
      <c r="AD1906" s="27"/>
      <c r="AE1906" s="27"/>
      <c r="AF1906" s="27"/>
      <c r="AG1906" s="27"/>
      <c r="AH1906" s="27">
        <v>242.0</v>
      </c>
      <c r="AI1906" s="27">
        <v>289.0</v>
      </c>
      <c r="AJ1906" s="27">
        <v>2.0</v>
      </c>
      <c r="AK1906" s="27" t="b">
        <v>0</v>
      </c>
      <c r="AL1906" s="27">
        <v>100.0</v>
      </c>
      <c r="AM1906" s="27" t="s">
        <v>129</v>
      </c>
      <c r="AN1906" s="27" t="s">
        <v>405</v>
      </c>
      <c r="AO1906" s="27"/>
    </row>
    <row r="1907">
      <c r="A1907" s="200">
        <v>44894.02510262732</v>
      </c>
      <c r="B1907" s="19" t="s">
        <v>109</v>
      </c>
      <c r="C1907" s="21" t="s">
        <v>328</v>
      </c>
      <c r="D1907" s="62">
        <v>3.0</v>
      </c>
      <c r="E1907" s="27">
        <v>9.0</v>
      </c>
      <c r="F1907" s="27" t="s">
        <v>397</v>
      </c>
      <c r="G1907" s="201" t="s">
        <v>57</v>
      </c>
      <c r="H1907" s="27" t="s">
        <v>103</v>
      </c>
      <c r="I1907" s="27"/>
      <c r="J1907" s="33"/>
      <c r="K1907" s="33"/>
      <c r="L1907" s="66"/>
      <c r="M1907" s="27"/>
      <c r="N1907" s="27"/>
      <c r="O1907" s="27"/>
      <c r="P1907" s="27"/>
      <c r="Q1907" s="27"/>
      <c r="R1907" s="27"/>
      <c r="S1907" s="27"/>
      <c r="T1907" s="27"/>
      <c r="U1907" s="27"/>
      <c r="V1907" s="27"/>
      <c r="W1907" s="27"/>
      <c r="X1907" s="27"/>
      <c r="Y1907" s="27"/>
      <c r="Z1907" s="27"/>
      <c r="AA1907" s="27"/>
      <c r="AB1907" s="27"/>
      <c r="AC1907" s="27"/>
      <c r="AD1907" s="27"/>
      <c r="AE1907" s="27"/>
      <c r="AF1907" s="27"/>
      <c r="AG1907" s="27"/>
      <c r="AH1907" s="27">
        <v>313.0</v>
      </c>
      <c r="AI1907" s="27">
        <v>377.0</v>
      </c>
      <c r="AJ1907" s="27">
        <v>2.0</v>
      </c>
      <c r="AK1907" s="27" t="b">
        <v>1</v>
      </c>
      <c r="AL1907" s="27">
        <v>100.0</v>
      </c>
      <c r="AM1907" s="27" t="s">
        <v>191</v>
      </c>
      <c r="AN1907" s="27" t="s">
        <v>404</v>
      </c>
      <c r="AO1907" s="27"/>
    </row>
    <row r="1908">
      <c r="A1908" s="200">
        <v>44894.02510262732</v>
      </c>
      <c r="B1908" s="19" t="s">
        <v>109</v>
      </c>
      <c r="C1908" s="21" t="s">
        <v>344</v>
      </c>
      <c r="D1908" s="62">
        <v>5.0</v>
      </c>
      <c r="E1908" s="27">
        <v>6.0</v>
      </c>
      <c r="F1908" s="27" t="s">
        <v>402</v>
      </c>
      <c r="G1908" s="201" t="s">
        <v>183</v>
      </c>
      <c r="H1908" s="27" t="s">
        <v>144</v>
      </c>
      <c r="I1908" s="27"/>
      <c r="J1908" s="33"/>
      <c r="K1908" s="33"/>
      <c r="L1908" s="66"/>
      <c r="M1908" s="27"/>
      <c r="N1908" s="27"/>
      <c r="O1908" s="27"/>
      <c r="P1908" s="27"/>
      <c r="Q1908" s="27"/>
      <c r="R1908" s="27"/>
      <c r="S1908" s="27"/>
      <c r="T1908" s="27"/>
      <c r="U1908" s="27"/>
      <c r="V1908" s="27"/>
      <c r="W1908" s="27"/>
      <c r="X1908" s="27"/>
      <c r="Y1908" s="27"/>
      <c r="Z1908" s="27"/>
      <c r="AA1908" s="27"/>
      <c r="AB1908" s="27"/>
      <c r="AC1908" s="27"/>
      <c r="AD1908" s="27"/>
      <c r="AE1908" s="27"/>
      <c r="AF1908" s="27"/>
      <c r="AG1908" s="27"/>
      <c r="AH1908" s="27">
        <v>325.0</v>
      </c>
      <c r="AI1908" s="27">
        <v>304.0</v>
      </c>
      <c r="AJ1908" s="27">
        <v>2.0</v>
      </c>
      <c r="AK1908" s="27" t="b">
        <v>1</v>
      </c>
      <c r="AL1908" s="27">
        <v>100.0</v>
      </c>
      <c r="AM1908" s="27" t="s">
        <v>190</v>
      </c>
      <c r="AN1908" s="27" t="s">
        <v>405</v>
      </c>
      <c r="AO1908" s="27"/>
    </row>
    <row r="1909">
      <c r="A1909" s="200">
        <v>44894.02510262732</v>
      </c>
      <c r="B1909" s="19" t="s">
        <v>109</v>
      </c>
      <c r="C1909" s="21" t="s">
        <v>367</v>
      </c>
      <c r="D1909" s="62">
        <v>9.0</v>
      </c>
      <c r="E1909" s="27">
        <v>3.0</v>
      </c>
      <c r="F1909" s="27" t="s">
        <v>406</v>
      </c>
      <c r="G1909" s="201" t="s">
        <v>183</v>
      </c>
      <c r="H1909" s="27" t="s">
        <v>154</v>
      </c>
      <c r="I1909" s="27"/>
      <c r="J1909" s="33"/>
      <c r="K1909" s="33"/>
      <c r="L1909" s="66"/>
      <c r="M1909" s="27"/>
      <c r="N1909" s="27"/>
      <c r="O1909" s="27"/>
      <c r="P1909" s="27"/>
      <c r="Q1909" s="27"/>
      <c r="R1909" s="27"/>
      <c r="S1909" s="27"/>
      <c r="T1909" s="27"/>
      <c r="U1909" s="27"/>
      <c r="V1909" s="27"/>
      <c r="W1909" s="27"/>
      <c r="X1909" s="27"/>
      <c r="Y1909" s="27"/>
      <c r="Z1909" s="27"/>
      <c r="AA1909" s="27"/>
      <c r="AB1909" s="27"/>
      <c r="AC1909" s="27"/>
      <c r="AD1909" s="27"/>
      <c r="AE1909" s="27"/>
      <c r="AF1909" s="27"/>
      <c r="AG1909" s="27"/>
      <c r="AH1909" s="27">
        <v>445.0</v>
      </c>
      <c r="AI1909" s="27">
        <v>364.0</v>
      </c>
      <c r="AJ1909" s="27">
        <v>2.0</v>
      </c>
      <c r="AK1909" s="27" t="b">
        <v>1</v>
      </c>
      <c r="AL1909" s="27">
        <v>100.0</v>
      </c>
      <c r="AM1909" s="27" t="s">
        <v>186</v>
      </c>
      <c r="AN1909" s="27" t="s">
        <v>404</v>
      </c>
      <c r="AO1909" s="27"/>
    </row>
    <row r="1910">
      <c r="A1910" s="200">
        <v>44894.02510262732</v>
      </c>
      <c r="B1910" s="19" t="s">
        <v>109</v>
      </c>
      <c r="C1910" s="21" t="s">
        <v>360</v>
      </c>
      <c r="D1910" s="62">
        <v>9.0</v>
      </c>
      <c r="E1910" s="27">
        <v>3.0</v>
      </c>
      <c r="F1910" s="27" t="s">
        <v>407</v>
      </c>
      <c r="G1910" s="201" t="s">
        <v>183</v>
      </c>
      <c r="H1910" s="27" t="s">
        <v>148</v>
      </c>
      <c r="I1910" s="27" t="s">
        <v>82</v>
      </c>
      <c r="J1910" s="33"/>
      <c r="K1910" s="33"/>
      <c r="L1910" s="66"/>
      <c r="M1910" s="27"/>
      <c r="N1910" s="27"/>
      <c r="O1910" s="27"/>
      <c r="P1910" s="27"/>
      <c r="Q1910" s="27"/>
      <c r="R1910" s="27"/>
      <c r="S1910" s="27"/>
      <c r="T1910" s="27"/>
      <c r="U1910" s="27"/>
      <c r="V1910" s="27"/>
      <c r="W1910" s="27"/>
      <c r="X1910" s="27"/>
      <c r="Y1910" s="27"/>
      <c r="Z1910" s="27"/>
      <c r="AA1910" s="27"/>
      <c r="AB1910" s="27"/>
      <c r="AC1910" s="27"/>
      <c r="AD1910" s="27"/>
      <c r="AE1910" s="27"/>
      <c r="AF1910" s="27"/>
      <c r="AG1910" s="27"/>
      <c r="AH1910" s="27">
        <v>367.0</v>
      </c>
      <c r="AI1910" s="27">
        <v>220.0</v>
      </c>
      <c r="AJ1910" s="27">
        <v>3.0</v>
      </c>
      <c r="AK1910" s="27" t="b">
        <v>0</v>
      </c>
      <c r="AL1910" s="27">
        <v>100.0</v>
      </c>
      <c r="AM1910" s="27" t="s">
        <v>192</v>
      </c>
      <c r="AN1910" s="27" t="s">
        <v>404</v>
      </c>
      <c r="AO1910" s="27"/>
    </row>
    <row r="1911">
      <c r="A1911" s="200">
        <v>44894.02510262732</v>
      </c>
      <c r="B1911" s="19" t="s">
        <v>109</v>
      </c>
      <c r="C1911" s="21" t="s">
        <v>400</v>
      </c>
      <c r="D1911" s="62">
        <v>8.0</v>
      </c>
      <c r="E1911" s="27">
        <v>4.0</v>
      </c>
      <c r="F1911" s="27" t="s">
        <v>408</v>
      </c>
      <c r="G1911" s="201" t="s">
        <v>183</v>
      </c>
      <c r="H1911" s="27" t="s">
        <v>116</v>
      </c>
      <c r="I1911" s="27" t="s">
        <v>58</v>
      </c>
      <c r="J1911" s="33"/>
      <c r="K1911" s="33"/>
      <c r="L1911" s="66"/>
      <c r="M1911" s="27"/>
      <c r="N1911" s="27"/>
      <c r="O1911" s="27"/>
      <c r="P1911" s="27"/>
      <c r="Q1911" s="27"/>
      <c r="R1911" s="27"/>
      <c r="S1911" s="27"/>
      <c r="T1911" s="27"/>
      <c r="U1911" s="27"/>
      <c r="V1911" s="27"/>
      <c r="W1911" s="27"/>
      <c r="X1911" s="27"/>
      <c r="Y1911" s="27"/>
      <c r="Z1911" s="27"/>
      <c r="AA1911" s="27"/>
      <c r="AB1911" s="27"/>
      <c r="AC1911" s="27"/>
      <c r="AD1911" s="27"/>
      <c r="AE1911" s="27"/>
      <c r="AF1911" s="27"/>
      <c r="AG1911" s="27"/>
      <c r="AH1911" s="27">
        <v>341.0</v>
      </c>
      <c r="AI1911" s="27">
        <v>223.0</v>
      </c>
      <c r="AJ1911" s="27">
        <v>3.0</v>
      </c>
      <c r="AK1911" s="27" t="b">
        <v>1</v>
      </c>
      <c r="AL1911" s="27">
        <v>100.0</v>
      </c>
      <c r="AM1911" s="27" t="s">
        <v>187</v>
      </c>
      <c r="AN1911" s="27" t="s">
        <v>404</v>
      </c>
      <c r="AO1911" s="27"/>
    </row>
    <row r="1912">
      <c r="A1912" s="200">
        <v>44894.02510262732</v>
      </c>
      <c r="B1912" s="19"/>
      <c r="C1912" s="21"/>
      <c r="D1912" s="62"/>
      <c r="E1912" s="27"/>
      <c r="F1912" s="27"/>
      <c r="G1912" s="201"/>
      <c r="H1912" s="27"/>
      <c r="I1912" s="27"/>
      <c r="J1912" s="33"/>
      <c r="K1912" s="33"/>
      <c r="L1912" s="66"/>
      <c r="M1912" s="27"/>
      <c r="N1912" s="27"/>
      <c r="O1912" s="27"/>
      <c r="P1912" s="27"/>
      <c r="Q1912" s="27"/>
      <c r="R1912" s="27"/>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t="e">
        <v>#N/A</v>
      </c>
      <c r="AN1912" s="27" t="e">
        <v>#N/A</v>
      </c>
      <c r="AO1912" s="27"/>
    </row>
    <row r="1913">
      <c r="A1913" s="200">
        <v>44894.02510262732</v>
      </c>
      <c r="B1913" s="19" t="s">
        <v>144</v>
      </c>
      <c r="C1913" s="21" t="s">
        <v>338</v>
      </c>
      <c r="D1913" s="62">
        <v>6.0</v>
      </c>
      <c r="E1913" s="27">
        <v>6.0</v>
      </c>
      <c r="F1913" s="27" t="s">
        <v>409</v>
      </c>
      <c r="G1913" s="201" t="s">
        <v>183</v>
      </c>
      <c r="H1913" s="27" t="s">
        <v>131</v>
      </c>
      <c r="I1913" s="27" t="s">
        <v>133</v>
      </c>
      <c r="J1913" s="33"/>
      <c r="K1913" s="33"/>
      <c r="L1913" s="66"/>
      <c r="M1913" s="27"/>
      <c r="N1913" s="27"/>
      <c r="O1913" s="27"/>
      <c r="P1913" s="27"/>
      <c r="Q1913" s="27"/>
      <c r="R1913" s="27"/>
      <c r="S1913" s="27"/>
      <c r="T1913" s="27"/>
      <c r="U1913" s="27"/>
      <c r="V1913" s="27"/>
      <c r="W1913" s="27"/>
      <c r="X1913" s="27"/>
      <c r="Y1913" s="27"/>
      <c r="Z1913" s="27"/>
      <c r="AA1913" s="27"/>
      <c r="AB1913" s="27"/>
      <c r="AC1913" s="27"/>
      <c r="AD1913" s="27"/>
      <c r="AE1913" s="27"/>
      <c r="AF1913" s="27"/>
      <c r="AG1913" s="27"/>
      <c r="AH1913" s="27">
        <v>271.0</v>
      </c>
      <c r="AI1913" s="27">
        <v>272.0</v>
      </c>
      <c r="AJ1913" s="27">
        <v>0.0</v>
      </c>
      <c r="AK1913" s="27" t="b">
        <v>0</v>
      </c>
      <c r="AL1913" s="27">
        <v>18.6</v>
      </c>
      <c r="AM1913" s="27" t="s">
        <v>189</v>
      </c>
      <c r="AN1913" s="27" t="s">
        <v>405</v>
      </c>
      <c r="AO1913" s="27"/>
    </row>
    <row r="1914">
      <c r="A1914" s="200">
        <v>44894.02510262732</v>
      </c>
      <c r="B1914" s="19" t="s">
        <v>144</v>
      </c>
      <c r="C1914" s="21" t="s">
        <v>342</v>
      </c>
      <c r="D1914" s="62">
        <v>1.0</v>
      </c>
      <c r="E1914" s="27">
        <v>11.0</v>
      </c>
      <c r="F1914" s="27" t="s">
        <v>392</v>
      </c>
      <c r="G1914" s="201" t="s">
        <v>183</v>
      </c>
      <c r="H1914" s="27" t="s">
        <v>154</v>
      </c>
      <c r="I1914" s="27" t="s">
        <v>93</v>
      </c>
      <c r="J1914" s="33"/>
      <c r="K1914" s="33"/>
      <c r="L1914" s="66"/>
      <c r="M1914" s="27"/>
      <c r="N1914" s="27"/>
      <c r="O1914" s="27"/>
      <c r="P1914" s="27"/>
      <c r="Q1914" s="27"/>
      <c r="R1914" s="27"/>
      <c r="S1914" s="27"/>
      <c r="T1914" s="27"/>
      <c r="U1914" s="27"/>
      <c r="V1914" s="27"/>
      <c r="W1914" s="27"/>
      <c r="X1914" s="27"/>
      <c r="Y1914" s="27"/>
      <c r="Z1914" s="27"/>
      <c r="AA1914" s="27"/>
      <c r="AB1914" s="27"/>
      <c r="AC1914" s="27"/>
      <c r="AD1914" s="27"/>
      <c r="AE1914" s="27"/>
      <c r="AF1914" s="27"/>
      <c r="AG1914" s="27"/>
      <c r="AH1914" s="27">
        <v>164.0</v>
      </c>
      <c r="AI1914" s="27">
        <v>471.0</v>
      </c>
      <c r="AJ1914" s="27">
        <v>0.0</v>
      </c>
      <c r="AK1914" s="27" t="b">
        <v>0</v>
      </c>
      <c r="AL1914" s="27">
        <v>100.0</v>
      </c>
      <c r="AM1914" s="27" t="s">
        <v>191</v>
      </c>
      <c r="AN1914" s="27" t="s">
        <v>404</v>
      </c>
      <c r="AO1914" s="27"/>
    </row>
    <row r="1915">
      <c r="A1915" s="200">
        <v>44894.02510262732</v>
      </c>
      <c r="B1915" s="19" t="s">
        <v>144</v>
      </c>
      <c r="C1915" s="21" t="s">
        <v>321</v>
      </c>
      <c r="D1915" s="62">
        <v>8.0</v>
      </c>
      <c r="E1915" s="27">
        <v>4.0</v>
      </c>
      <c r="F1915" s="27" t="s">
        <v>411</v>
      </c>
      <c r="G1915" s="201" t="s">
        <v>57</v>
      </c>
      <c r="H1915" s="27" t="s">
        <v>154</v>
      </c>
      <c r="I1915" s="27"/>
      <c r="J1915" s="33"/>
      <c r="K1915" s="33"/>
      <c r="L1915" s="66"/>
      <c r="M1915" s="27"/>
      <c r="N1915" s="27"/>
      <c r="O1915" s="27"/>
      <c r="P1915" s="27"/>
      <c r="Q1915" s="27"/>
      <c r="R1915" s="27"/>
      <c r="S1915" s="27"/>
      <c r="T1915" s="27"/>
      <c r="U1915" s="27"/>
      <c r="V1915" s="27"/>
      <c r="W1915" s="27"/>
      <c r="X1915" s="27"/>
      <c r="Y1915" s="27"/>
      <c r="Z1915" s="27"/>
      <c r="AA1915" s="27"/>
      <c r="AB1915" s="27"/>
      <c r="AC1915" s="27"/>
      <c r="AD1915" s="27"/>
      <c r="AE1915" s="27"/>
      <c r="AF1915" s="27"/>
      <c r="AG1915" s="27"/>
      <c r="AH1915" s="27">
        <v>305.0</v>
      </c>
      <c r="AI1915" s="27">
        <v>147.0</v>
      </c>
      <c r="AJ1915" s="27">
        <v>2.0</v>
      </c>
      <c r="AK1915" s="27" t="b">
        <v>1</v>
      </c>
      <c r="AL1915" s="27">
        <v>100.0</v>
      </c>
      <c r="AM1915" s="27" t="s">
        <v>188</v>
      </c>
      <c r="AN1915" s="27" t="s">
        <v>404</v>
      </c>
      <c r="AO1915" s="27"/>
    </row>
    <row r="1916">
      <c r="A1916" s="200">
        <v>44894.02510262732</v>
      </c>
      <c r="B1916" s="19" t="s">
        <v>144</v>
      </c>
      <c r="C1916" s="21" t="s">
        <v>325</v>
      </c>
      <c r="D1916" s="62">
        <v>7.0</v>
      </c>
      <c r="E1916" s="27">
        <v>5.0</v>
      </c>
      <c r="F1916" s="27" t="s">
        <v>412</v>
      </c>
      <c r="G1916" s="201" t="s">
        <v>57</v>
      </c>
      <c r="H1916" s="27" t="s">
        <v>103</v>
      </c>
      <c r="I1916" s="27"/>
      <c r="J1916" s="33"/>
      <c r="K1916" s="33"/>
      <c r="L1916" s="66"/>
      <c r="M1916" s="27"/>
      <c r="N1916" s="27"/>
      <c r="O1916" s="27"/>
      <c r="P1916" s="27"/>
      <c r="Q1916" s="27"/>
      <c r="R1916" s="27"/>
      <c r="S1916" s="27"/>
      <c r="T1916" s="27"/>
      <c r="U1916" s="27"/>
      <c r="V1916" s="27"/>
      <c r="W1916" s="27"/>
      <c r="X1916" s="27"/>
      <c r="Y1916" s="27"/>
      <c r="Z1916" s="27"/>
      <c r="AA1916" s="27"/>
      <c r="AB1916" s="27"/>
      <c r="AC1916" s="27"/>
      <c r="AD1916" s="27"/>
      <c r="AE1916" s="27"/>
      <c r="AF1916" s="27"/>
      <c r="AG1916" s="27"/>
      <c r="AH1916" s="27">
        <v>370.0</v>
      </c>
      <c r="AI1916" s="27">
        <v>324.0</v>
      </c>
      <c r="AJ1916" s="27">
        <v>2.0</v>
      </c>
      <c r="AK1916" s="27" t="b">
        <v>1</v>
      </c>
      <c r="AL1916" s="27">
        <v>100.0</v>
      </c>
      <c r="AM1916" s="27" t="s">
        <v>389</v>
      </c>
      <c r="AN1916" s="27" t="s">
        <v>405</v>
      </c>
      <c r="AO1916" s="27"/>
    </row>
    <row r="1917">
      <c r="A1917" s="200">
        <v>44894.02510262732</v>
      </c>
      <c r="B1917" s="19" t="s">
        <v>144</v>
      </c>
      <c r="C1917" s="21" t="s">
        <v>371</v>
      </c>
      <c r="D1917" s="62">
        <v>5.0</v>
      </c>
      <c r="E1917" s="27">
        <v>7.0</v>
      </c>
      <c r="F1917" s="27" t="s">
        <v>414</v>
      </c>
      <c r="G1917" s="201" t="s">
        <v>57</v>
      </c>
      <c r="H1917" s="27" t="s">
        <v>116</v>
      </c>
      <c r="I1917" s="27"/>
      <c r="J1917" s="33"/>
      <c r="K1917" s="33"/>
      <c r="L1917" s="66"/>
      <c r="M1917" s="27"/>
      <c r="N1917" s="27"/>
      <c r="O1917" s="27"/>
      <c r="P1917" s="27"/>
      <c r="Q1917" s="27"/>
      <c r="R1917" s="27"/>
      <c r="S1917" s="27"/>
      <c r="T1917" s="27"/>
      <c r="U1917" s="27"/>
      <c r="V1917" s="27"/>
      <c r="W1917" s="27"/>
      <c r="X1917" s="27"/>
      <c r="Y1917" s="27"/>
      <c r="Z1917" s="27"/>
      <c r="AA1917" s="27"/>
      <c r="AB1917" s="27"/>
      <c r="AC1917" s="27"/>
      <c r="AD1917" s="27"/>
      <c r="AE1917" s="27"/>
      <c r="AF1917" s="27"/>
      <c r="AG1917" s="27"/>
      <c r="AH1917" s="27">
        <v>367.0</v>
      </c>
      <c r="AI1917" s="27">
        <v>395.0</v>
      </c>
      <c r="AJ1917" s="27">
        <v>2.0</v>
      </c>
      <c r="AK1917" s="27" t="b">
        <v>0</v>
      </c>
      <c r="AL1917" s="27">
        <v>100.0</v>
      </c>
      <c r="AM1917" s="27" t="s">
        <v>187</v>
      </c>
      <c r="AN1917" s="27" t="s">
        <v>404</v>
      </c>
      <c r="AO1917" s="27"/>
    </row>
    <row r="1918">
      <c r="A1918" s="200">
        <v>44894.02510262732</v>
      </c>
      <c r="B1918" s="19" t="s">
        <v>144</v>
      </c>
      <c r="C1918" s="21" t="s">
        <v>300</v>
      </c>
      <c r="D1918" s="62">
        <v>9.0</v>
      </c>
      <c r="E1918" s="27">
        <v>2.0</v>
      </c>
      <c r="F1918" s="27" t="s">
        <v>301</v>
      </c>
      <c r="G1918" s="201" t="s">
        <v>57</v>
      </c>
      <c r="H1918" s="27" t="s">
        <v>116</v>
      </c>
      <c r="I1918" s="27"/>
      <c r="J1918" s="33"/>
      <c r="K1918" s="33"/>
      <c r="L1918" s="66"/>
      <c r="M1918" s="27"/>
      <c r="N1918" s="27"/>
      <c r="O1918" s="27"/>
      <c r="P1918" s="27"/>
      <c r="Q1918" s="27"/>
      <c r="R1918" s="27"/>
      <c r="S1918" s="27"/>
      <c r="T1918" s="27"/>
      <c r="U1918" s="27"/>
      <c r="V1918" s="27"/>
      <c r="W1918" s="27"/>
      <c r="X1918" s="27"/>
      <c r="Y1918" s="27"/>
      <c r="Z1918" s="27"/>
      <c r="AA1918" s="27"/>
      <c r="AB1918" s="27"/>
      <c r="AC1918" s="27"/>
      <c r="AD1918" s="27"/>
      <c r="AE1918" s="27"/>
      <c r="AF1918" s="27"/>
      <c r="AG1918" s="27"/>
      <c r="AH1918" s="27">
        <v>323.0</v>
      </c>
      <c r="AI1918" s="27">
        <v>316.0</v>
      </c>
      <c r="AJ1918" s="27">
        <v>2.0</v>
      </c>
      <c r="AK1918" s="27" t="b">
        <v>0</v>
      </c>
      <c r="AL1918" s="27">
        <v>100.0</v>
      </c>
      <c r="AM1918" s="27" t="s">
        <v>193</v>
      </c>
      <c r="AN1918" s="27" t="s">
        <v>405</v>
      </c>
      <c r="AO1918" s="27"/>
    </row>
    <row r="1919">
      <c r="A1919" s="200">
        <v>44894.02510262732</v>
      </c>
      <c r="B1919" s="19" t="s">
        <v>144</v>
      </c>
      <c r="C1919" s="21" t="s">
        <v>345</v>
      </c>
      <c r="D1919" s="62">
        <v>8.0</v>
      </c>
      <c r="E1919" s="27">
        <v>4.0</v>
      </c>
      <c r="F1919" s="27" t="s">
        <v>413</v>
      </c>
      <c r="G1919" s="201" t="s">
        <v>57</v>
      </c>
      <c r="H1919" s="27" t="s">
        <v>154</v>
      </c>
      <c r="I1919" s="27"/>
      <c r="J1919" s="33"/>
      <c r="K1919" s="33"/>
      <c r="L1919" s="66"/>
      <c r="M1919" s="27"/>
      <c r="N1919" s="27"/>
      <c r="O1919" s="27"/>
      <c r="P1919" s="27"/>
      <c r="Q1919" s="27"/>
      <c r="R1919" s="27"/>
      <c r="S1919" s="27"/>
      <c r="T1919" s="27"/>
      <c r="U1919" s="27"/>
      <c r="V1919" s="27"/>
      <c r="W1919" s="27"/>
      <c r="X1919" s="27"/>
      <c r="Y1919" s="27"/>
      <c r="Z1919" s="27"/>
      <c r="AA1919" s="27"/>
      <c r="AB1919" s="27"/>
      <c r="AC1919" s="27"/>
      <c r="AD1919" s="27"/>
      <c r="AE1919" s="27"/>
      <c r="AF1919" s="27"/>
      <c r="AG1919" s="27"/>
      <c r="AH1919" s="27">
        <v>371.0</v>
      </c>
      <c r="AI1919" s="27">
        <v>250.0</v>
      </c>
      <c r="AJ1919" s="27">
        <v>2.0</v>
      </c>
      <c r="AK1919" s="27" t="b">
        <v>0</v>
      </c>
      <c r="AL1919" s="27">
        <v>100.0</v>
      </c>
      <c r="AM1919" s="27" t="s">
        <v>129</v>
      </c>
      <c r="AN1919" s="27" t="s">
        <v>405</v>
      </c>
      <c r="AO1919" s="27"/>
    </row>
    <row r="1920">
      <c r="A1920" s="200">
        <v>44894.02510262732</v>
      </c>
      <c r="B1920" s="19" t="s">
        <v>144</v>
      </c>
      <c r="C1920" s="21" t="s">
        <v>346</v>
      </c>
      <c r="D1920" s="62">
        <v>6.0</v>
      </c>
      <c r="E1920" s="27">
        <v>6.0</v>
      </c>
      <c r="F1920" s="27" t="s">
        <v>416</v>
      </c>
      <c r="G1920" s="201" t="s">
        <v>57</v>
      </c>
      <c r="H1920" s="27" t="s">
        <v>103</v>
      </c>
      <c r="I1920" s="27"/>
      <c r="J1920" s="33"/>
      <c r="K1920" s="33"/>
      <c r="L1920" s="66"/>
      <c r="M1920" s="27"/>
      <c r="N1920" s="27"/>
      <c r="O1920" s="27"/>
      <c r="P1920" s="27"/>
      <c r="Q1920" s="27"/>
      <c r="R1920" s="27"/>
      <c r="S1920" s="27"/>
      <c r="T1920" s="27"/>
      <c r="U1920" s="27"/>
      <c r="V1920" s="27"/>
      <c r="W1920" s="27"/>
      <c r="X1920" s="27"/>
      <c r="Y1920" s="27"/>
      <c r="Z1920" s="27"/>
      <c r="AA1920" s="27"/>
      <c r="AB1920" s="27"/>
      <c r="AC1920" s="27"/>
      <c r="AD1920" s="27"/>
      <c r="AE1920" s="27"/>
      <c r="AF1920" s="27"/>
      <c r="AG1920" s="27"/>
      <c r="AH1920" s="27">
        <v>381.0</v>
      </c>
      <c r="AI1920" s="27">
        <v>345.0</v>
      </c>
      <c r="AJ1920" s="27">
        <v>2.0</v>
      </c>
      <c r="AK1920" s="27" t="b">
        <v>0</v>
      </c>
      <c r="AL1920" s="27">
        <v>100.0</v>
      </c>
      <c r="AM1920" s="27" t="s">
        <v>192</v>
      </c>
      <c r="AN1920" s="27" t="s">
        <v>404</v>
      </c>
      <c r="AO1920" s="27"/>
    </row>
    <row r="1921">
      <c r="A1921" s="200">
        <v>44894.02510262732</v>
      </c>
      <c r="B1921" s="19" t="s">
        <v>144</v>
      </c>
      <c r="C1921" s="21" t="s">
        <v>359</v>
      </c>
      <c r="D1921" s="62">
        <v>5.0</v>
      </c>
      <c r="E1921" s="27">
        <v>7.0</v>
      </c>
      <c r="F1921" s="27" t="s">
        <v>402</v>
      </c>
      <c r="G1921" s="201" t="s">
        <v>183</v>
      </c>
      <c r="H1921" s="27" t="s">
        <v>109</v>
      </c>
      <c r="I1921" s="27"/>
      <c r="J1921" s="33"/>
      <c r="K1921" s="33"/>
      <c r="L1921" s="66"/>
      <c r="M1921" s="27"/>
      <c r="N1921" s="27"/>
      <c r="O1921" s="27"/>
      <c r="P1921" s="27"/>
      <c r="Q1921" s="27"/>
      <c r="R1921" s="27"/>
      <c r="S1921" s="27"/>
      <c r="T1921" s="27"/>
      <c r="U1921" s="27"/>
      <c r="V1921" s="27"/>
      <c r="W1921" s="27"/>
      <c r="X1921" s="27"/>
      <c r="Y1921" s="27"/>
      <c r="Z1921" s="27"/>
      <c r="AA1921" s="27"/>
      <c r="AB1921" s="27"/>
      <c r="AC1921" s="27"/>
      <c r="AD1921" s="27"/>
      <c r="AE1921" s="27"/>
      <c r="AF1921" s="27"/>
      <c r="AG1921" s="27"/>
      <c r="AH1921" s="27">
        <v>341.0</v>
      </c>
      <c r="AI1921" s="27">
        <v>348.0</v>
      </c>
      <c r="AJ1921" s="27">
        <v>2.0</v>
      </c>
      <c r="AK1921" s="27" t="b">
        <v>0</v>
      </c>
      <c r="AL1921" s="27">
        <v>100.0</v>
      </c>
      <c r="AM1921" s="27" t="s">
        <v>190</v>
      </c>
      <c r="AN1921" s="27" t="s">
        <v>405</v>
      </c>
      <c r="AO1921" s="27"/>
    </row>
    <row r="1922">
      <c r="A1922" s="200">
        <v>44894.02510262732</v>
      </c>
      <c r="B1922" s="19" t="s">
        <v>144</v>
      </c>
      <c r="C1922" s="21" t="s">
        <v>357</v>
      </c>
      <c r="D1922" s="62">
        <v>5.0</v>
      </c>
      <c r="E1922" s="27">
        <v>7.0</v>
      </c>
      <c r="F1922" s="27" t="s">
        <v>417</v>
      </c>
      <c r="G1922" s="201" t="s">
        <v>183</v>
      </c>
      <c r="H1922" s="27" t="s">
        <v>166</v>
      </c>
      <c r="I1922" s="27" t="s">
        <v>97</v>
      </c>
      <c r="J1922" s="33"/>
      <c r="K1922" s="33"/>
      <c r="L1922" s="66"/>
      <c r="M1922" s="27"/>
      <c r="N1922" s="27"/>
      <c r="O1922" s="27"/>
      <c r="P1922" s="27"/>
      <c r="Q1922" s="27"/>
      <c r="R1922" s="27"/>
      <c r="S1922" s="27"/>
      <c r="T1922" s="27"/>
      <c r="U1922" s="27"/>
      <c r="V1922" s="27"/>
      <c r="W1922" s="27"/>
      <c r="X1922" s="27"/>
      <c r="Y1922" s="27"/>
      <c r="Z1922" s="27"/>
      <c r="AA1922" s="27"/>
      <c r="AB1922" s="27"/>
      <c r="AC1922" s="27"/>
      <c r="AD1922" s="27"/>
      <c r="AE1922" s="27"/>
      <c r="AF1922" s="27"/>
      <c r="AG1922" s="27"/>
      <c r="AH1922" s="27">
        <v>267.0</v>
      </c>
      <c r="AI1922" s="27">
        <v>279.0</v>
      </c>
      <c r="AJ1922" s="27">
        <v>3.0</v>
      </c>
      <c r="AK1922" s="27" t="b">
        <v>0</v>
      </c>
      <c r="AL1922" s="27">
        <v>100.0</v>
      </c>
      <c r="AM1922" s="27" t="s">
        <v>186</v>
      </c>
      <c r="AN1922" s="27" t="s">
        <v>404</v>
      </c>
      <c r="AO1922" s="27"/>
    </row>
    <row r="1923">
      <c r="A1923" s="200">
        <v>44894.02510262732</v>
      </c>
      <c r="B1923" s="19"/>
      <c r="C1923" s="21"/>
      <c r="D1923" s="62"/>
      <c r="E1923" s="27"/>
      <c r="F1923" s="27"/>
      <c r="G1923" s="201"/>
      <c r="H1923" s="27"/>
      <c r="I1923" s="27"/>
      <c r="J1923" s="33"/>
      <c r="K1923" s="33"/>
      <c r="L1923" s="66"/>
      <c r="M1923" s="27"/>
      <c r="N1923" s="27"/>
      <c r="O1923" s="27"/>
      <c r="P1923" s="27"/>
      <c r="Q1923" s="27"/>
      <c r="R1923" s="27"/>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t="e">
        <v>#N/A</v>
      </c>
      <c r="AN1923" s="27" t="e">
        <v>#N/A</v>
      </c>
      <c r="AO1923" s="27"/>
    </row>
    <row r="1924">
      <c r="A1924" s="200">
        <v>44894.02510262732</v>
      </c>
      <c r="B1924" s="19" t="s">
        <v>166</v>
      </c>
      <c r="C1924" s="21" t="s">
        <v>337</v>
      </c>
      <c r="D1924" s="62">
        <v>5.0</v>
      </c>
      <c r="E1924" s="27">
        <v>7.0</v>
      </c>
      <c r="F1924" s="27" t="s">
        <v>288</v>
      </c>
      <c r="G1924" s="201" t="s">
        <v>183</v>
      </c>
      <c r="H1924" s="27" t="s">
        <v>141</v>
      </c>
      <c r="I1924" s="27" t="s">
        <v>66</v>
      </c>
      <c r="J1924" s="33"/>
      <c r="K1924" s="33"/>
      <c r="L1924" s="66"/>
      <c r="M1924" s="27"/>
      <c r="N1924" s="27"/>
      <c r="O1924" s="27"/>
      <c r="P1924" s="27"/>
      <c r="Q1924" s="27"/>
      <c r="R1924" s="27"/>
      <c r="S1924" s="27"/>
      <c r="T1924" s="27"/>
      <c r="U1924" s="27"/>
      <c r="V1924" s="27"/>
      <c r="W1924" s="27"/>
      <c r="X1924" s="27"/>
      <c r="Y1924" s="27"/>
      <c r="Z1924" s="27"/>
      <c r="AA1924" s="27"/>
      <c r="AB1924" s="27"/>
      <c r="AC1924" s="27"/>
      <c r="AD1924" s="27"/>
      <c r="AE1924" s="27"/>
      <c r="AF1924" s="27"/>
      <c r="AG1924" s="27"/>
      <c r="AH1924" s="27">
        <v>270.0</v>
      </c>
      <c r="AI1924" s="27">
        <v>305.0</v>
      </c>
      <c r="AJ1924" s="27">
        <v>0.0</v>
      </c>
      <c r="AK1924" s="27" t="b">
        <v>1</v>
      </c>
      <c r="AL1924" s="27">
        <v>1.06666666666667</v>
      </c>
      <c r="AM1924" s="27" t="s">
        <v>192</v>
      </c>
      <c r="AN1924" s="27" t="s">
        <v>404</v>
      </c>
      <c r="AO1924" s="27"/>
    </row>
    <row r="1925">
      <c r="A1925" s="200">
        <v>44894.02510262732</v>
      </c>
      <c r="B1925" s="19" t="s">
        <v>166</v>
      </c>
      <c r="C1925" s="21" t="s">
        <v>334</v>
      </c>
      <c r="D1925" s="62">
        <v>3.0</v>
      </c>
      <c r="E1925" s="27">
        <v>9.0</v>
      </c>
      <c r="F1925" s="27" t="s">
        <v>396</v>
      </c>
      <c r="G1925" s="201" t="s">
        <v>183</v>
      </c>
      <c r="H1925" s="27" t="s">
        <v>103</v>
      </c>
      <c r="I1925" s="27" t="s">
        <v>126</v>
      </c>
      <c r="J1925" s="33"/>
      <c r="K1925" s="33"/>
      <c r="L1925" s="66"/>
      <c r="M1925" s="27"/>
      <c r="N1925" s="27"/>
      <c r="O1925" s="27"/>
      <c r="P1925" s="27"/>
      <c r="Q1925" s="27"/>
      <c r="R1925" s="27"/>
      <c r="S1925" s="27"/>
      <c r="T1925" s="27"/>
      <c r="U1925" s="27"/>
      <c r="V1925" s="27"/>
      <c r="W1925" s="27"/>
      <c r="X1925" s="27"/>
      <c r="Y1925" s="27"/>
      <c r="Z1925" s="27"/>
      <c r="AA1925" s="27"/>
      <c r="AB1925" s="27"/>
      <c r="AC1925" s="27"/>
      <c r="AD1925" s="27"/>
      <c r="AE1925" s="27"/>
      <c r="AF1925" s="27"/>
      <c r="AG1925" s="27"/>
      <c r="AH1925" s="27">
        <v>321.0</v>
      </c>
      <c r="AI1925" s="27">
        <v>418.0</v>
      </c>
      <c r="AJ1925" s="27">
        <v>0.0</v>
      </c>
      <c r="AK1925" s="27" t="b">
        <v>0</v>
      </c>
      <c r="AL1925" s="27">
        <v>1.1499999999999986</v>
      </c>
      <c r="AM1925" s="27" t="s">
        <v>189</v>
      </c>
      <c r="AN1925" s="27" t="s">
        <v>405</v>
      </c>
      <c r="AO1925" s="27"/>
    </row>
    <row r="1926">
      <c r="A1926" s="200">
        <v>44894.02510262732</v>
      </c>
      <c r="B1926" s="19" t="s">
        <v>166</v>
      </c>
      <c r="C1926" s="21" t="s">
        <v>327</v>
      </c>
      <c r="D1926" s="62">
        <v>4.0</v>
      </c>
      <c r="E1926" s="27">
        <v>8.0</v>
      </c>
      <c r="F1926" s="27" t="s">
        <v>418</v>
      </c>
      <c r="G1926" s="201" t="s">
        <v>57</v>
      </c>
      <c r="H1926" s="27" t="s">
        <v>148</v>
      </c>
      <c r="I1926" s="27"/>
      <c r="J1926" s="33"/>
      <c r="K1926" s="33"/>
      <c r="L1926" s="66"/>
      <c r="M1926" s="27"/>
      <c r="N1926" s="27"/>
      <c r="O1926" s="27"/>
      <c r="P1926" s="27"/>
      <c r="Q1926" s="27"/>
      <c r="R1926" s="27"/>
      <c r="S1926" s="27"/>
      <c r="T1926" s="27"/>
      <c r="U1926" s="27"/>
      <c r="V1926" s="27"/>
      <c r="W1926" s="27"/>
      <c r="X1926" s="27"/>
      <c r="Y1926" s="27"/>
      <c r="Z1926" s="27"/>
      <c r="AA1926" s="27"/>
      <c r="AB1926" s="27"/>
      <c r="AC1926" s="27"/>
      <c r="AD1926" s="27"/>
      <c r="AE1926" s="27"/>
      <c r="AF1926" s="27"/>
      <c r="AG1926" s="27"/>
      <c r="AH1926" s="27">
        <v>279.0</v>
      </c>
      <c r="AI1926" s="27">
        <v>407.0</v>
      </c>
      <c r="AJ1926" s="27">
        <v>2.0</v>
      </c>
      <c r="AK1926" s="27" t="b">
        <v>1</v>
      </c>
      <c r="AL1926" s="27">
        <v>100.0</v>
      </c>
      <c r="AM1926" s="27" t="s">
        <v>188</v>
      </c>
      <c r="AN1926" s="27" t="s">
        <v>404</v>
      </c>
      <c r="AO1926" s="27"/>
    </row>
    <row r="1927">
      <c r="A1927" s="200">
        <v>44894.02510262732</v>
      </c>
      <c r="B1927" s="19" t="s">
        <v>166</v>
      </c>
      <c r="C1927" s="21" t="s">
        <v>351</v>
      </c>
      <c r="D1927" s="62">
        <v>3.0</v>
      </c>
      <c r="E1927" s="27">
        <v>10.0</v>
      </c>
      <c r="F1927" s="27" t="s">
        <v>350</v>
      </c>
      <c r="G1927" s="201" t="s">
        <v>57</v>
      </c>
      <c r="H1927" s="27" t="s">
        <v>141</v>
      </c>
      <c r="I1927" s="27"/>
      <c r="J1927" s="33"/>
      <c r="K1927" s="33"/>
      <c r="L1927" s="66"/>
      <c r="M1927" s="27"/>
      <c r="N1927" s="27"/>
      <c r="O1927" s="27"/>
      <c r="P1927" s="27"/>
      <c r="Q1927" s="27"/>
      <c r="R1927" s="27"/>
      <c r="S1927" s="27"/>
      <c r="T1927" s="27"/>
      <c r="U1927" s="27"/>
      <c r="V1927" s="27"/>
      <c r="W1927" s="27"/>
      <c r="X1927" s="27"/>
      <c r="Y1927" s="27"/>
      <c r="Z1927" s="27"/>
      <c r="AA1927" s="27"/>
      <c r="AB1927" s="27"/>
      <c r="AC1927" s="27"/>
      <c r="AD1927" s="27"/>
      <c r="AE1927" s="27"/>
      <c r="AF1927" s="27"/>
      <c r="AG1927" s="27"/>
      <c r="AH1927" s="27">
        <v>257.0</v>
      </c>
      <c r="AI1927" s="27">
        <v>451.0</v>
      </c>
      <c r="AJ1927" s="27">
        <v>2.0</v>
      </c>
      <c r="AK1927" s="27" t="b">
        <v>1</v>
      </c>
      <c r="AL1927" s="27">
        <v>100.0</v>
      </c>
      <c r="AM1927" s="27" t="s">
        <v>129</v>
      </c>
      <c r="AN1927" s="27" t="s">
        <v>405</v>
      </c>
      <c r="AO1927" s="27"/>
    </row>
    <row r="1928">
      <c r="A1928" s="200">
        <v>44894.02510262732</v>
      </c>
      <c r="B1928" s="19" t="s">
        <v>166</v>
      </c>
      <c r="C1928" s="21" t="s">
        <v>399</v>
      </c>
      <c r="D1928" s="62">
        <v>8.0</v>
      </c>
      <c r="E1928" s="27">
        <v>4.0</v>
      </c>
      <c r="F1928" s="27" t="s">
        <v>395</v>
      </c>
      <c r="G1928" s="201" t="s">
        <v>57</v>
      </c>
      <c r="H1928" s="27" t="s">
        <v>109</v>
      </c>
      <c r="I1928" s="27"/>
      <c r="J1928" s="33"/>
      <c r="K1928" s="33"/>
      <c r="L1928" s="66"/>
      <c r="M1928" s="27"/>
      <c r="N1928" s="27"/>
      <c r="O1928" s="27"/>
      <c r="P1928" s="27"/>
      <c r="Q1928" s="27"/>
      <c r="R1928" s="27"/>
      <c r="S1928" s="27"/>
      <c r="T1928" s="27"/>
      <c r="U1928" s="27"/>
      <c r="V1928" s="27"/>
      <c r="W1928" s="27"/>
      <c r="X1928" s="27"/>
      <c r="Y1928" s="27"/>
      <c r="Z1928" s="27"/>
      <c r="AA1928" s="27"/>
      <c r="AB1928" s="27"/>
      <c r="AC1928" s="27"/>
      <c r="AD1928" s="27"/>
      <c r="AE1928" s="27"/>
      <c r="AF1928" s="27"/>
      <c r="AG1928" s="27"/>
      <c r="AH1928" s="27">
        <v>339.0</v>
      </c>
      <c r="AI1928" s="27">
        <v>299.0</v>
      </c>
      <c r="AJ1928" s="27">
        <v>2.0</v>
      </c>
      <c r="AK1928" s="27" t="b">
        <v>1</v>
      </c>
      <c r="AL1928" s="27">
        <v>100.0</v>
      </c>
      <c r="AM1928" s="27" t="s">
        <v>190</v>
      </c>
      <c r="AN1928" s="27" t="s">
        <v>405</v>
      </c>
      <c r="AO1928" s="27"/>
    </row>
    <row r="1929">
      <c r="A1929" s="200">
        <v>44894.02510262732</v>
      </c>
      <c r="B1929" s="19" t="s">
        <v>166</v>
      </c>
      <c r="C1929" s="21" t="s">
        <v>306</v>
      </c>
      <c r="D1929" s="62">
        <v>8.0</v>
      </c>
      <c r="E1929" s="27">
        <v>4.0</v>
      </c>
      <c r="F1929" s="27" t="s">
        <v>307</v>
      </c>
      <c r="G1929" s="201" t="s">
        <v>57</v>
      </c>
      <c r="H1929" s="27" t="s">
        <v>103</v>
      </c>
      <c r="I1929" s="27"/>
      <c r="J1929" s="33"/>
      <c r="K1929" s="33"/>
      <c r="L1929" s="66"/>
      <c r="M1929" s="27"/>
      <c r="N1929" s="27"/>
      <c r="O1929" s="27"/>
      <c r="P1929" s="27"/>
      <c r="Q1929" s="27"/>
      <c r="R1929" s="27"/>
      <c r="S1929" s="27"/>
      <c r="T1929" s="27"/>
      <c r="U1929" s="27"/>
      <c r="V1929" s="27"/>
      <c r="W1929" s="27"/>
      <c r="X1929" s="27"/>
      <c r="Y1929" s="27"/>
      <c r="Z1929" s="27"/>
      <c r="AA1929" s="27"/>
      <c r="AB1929" s="27"/>
      <c r="AC1929" s="27"/>
      <c r="AD1929" s="27"/>
      <c r="AE1929" s="27"/>
      <c r="AF1929" s="27"/>
      <c r="AG1929" s="27"/>
      <c r="AH1929" s="27">
        <v>290.0</v>
      </c>
      <c r="AI1929" s="27">
        <v>194.0</v>
      </c>
      <c r="AJ1929" s="27">
        <v>2.0</v>
      </c>
      <c r="AK1929" s="27" t="b">
        <v>0</v>
      </c>
      <c r="AL1929" s="27">
        <v>100.0</v>
      </c>
      <c r="AM1929" s="27" t="s">
        <v>193</v>
      </c>
      <c r="AN1929" s="27" t="s">
        <v>405</v>
      </c>
      <c r="AO1929" s="27"/>
    </row>
    <row r="1930">
      <c r="A1930" s="200">
        <v>44894.02510262732</v>
      </c>
      <c r="B1930" s="19" t="s">
        <v>166</v>
      </c>
      <c r="C1930" s="21" t="s">
        <v>398</v>
      </c>
      <c r="D1930" s="62">
        <v>5.0</v>
      </c>
      <c r="E1930" s="27">
        <v>6.0</v>
      </c>
      <c r="F1930" s="27" t="s">
        <v>410</v>
      </c>
      <c r="G1930" s="201" t="s">
        <v>57</v>
      </c>
      <c r="H1930" s="27" t="s">
        <v>148</v>
      </c>
      <c r="I1930" s="27"/>
      <c r="J1930" s="33"/>
      <c r="K1930" s="33"/>
      <c r="L1930" s="66"/>
      <c r="M1930" s="27"/>
      <c r="N1930" s="27"/>
      <c r="O1930" s="27"/>
      <c r="P1930" s="27"/>
      <c r="Q1930" s="27"/>
      <c r="R1930" s="27"/>
      <c r="S1930" s="27"/>
      <c r="T1930" s="27"/>
      <c r="U1930" s="27"/>
      <c r="V1930" s="27"/>
      <c r="W1930" s="27"/>
      <c r="X1930" s="27"/>
      <c r="Y1930" s="27"/>
      <c r="Z1930" s="27"/>
      <c r="AA1930" s="27"/>
      <c r="AB1930" s="27"/>
      <c r="AC1930" s="27"/>
      <c r="AD1930" s="27"/>
      <c r="AE1930" s="27"/>
      <c r="AF1930" s="27"/>
      <c r="AG1930" s="27"/>
      <c r="AH1930" s="27">
        <v>323.0</v>
      </c>
      <c r="AI1930" s="27">
        <v>253.0</v>
      </c>
      <c r="AJ1930" s="27">
        <v>2.0</v>
      </c>
      <c r="AK1930" s="27" t="b">
        <v>1</v>
      </c>
      <c r="AL1930" s="27">
        <v>100.0</v>
      </c>
      <c r="AM1930" s="27" t="s">
        <v>389</v>
      </c>
      <c r="AN1930" s="27" t="s">
        <v>405</v>
      </c>
      <c r="AO1930" s="27"/>
    </row>
    <row r="1931">
      <c r="A1931" s="200">
        <v>44894.02510262732</v>
      </c>
      <c r="B1931" s="19" t="s">
        <v>166</v>
      </c>
      <c r="C1931" s="21" t="s">
        <v>333</v>
      </c>
      <c r="D1931" s="62">
        <v>4.0</v>
      </c>
      <c r="E1931" s="27">
        <v>8.0</v>
      </c>
      <c r="F1931" s="27" t="s">
        <v>262</v>
      </c>
      <c r="G1931" s="201" t="s">
        <v>57</v>
      </c>
      <c r="H1931" s="27" t="s">
        <v>178</v>
      </c>
      <c r="I1931" s="27"/>
      <c r="J1931" s="33"/>
      <c r="K1931" s="33"/>
      <c r="L1931" s="66"/>
      <c r="M1931" s="27"/>
      <c r="N1931" s="27"/>
      <c r="O1931" s="27"/>
      <c r="P1931" s="27"/>
      <c r="Q1931" s="27"/>
      <c r="R1931" s="27"/>
      <c r="S1931" s="27"/>
      <c r="T1931" s="27"/>
      <c r="U1931" s="27"/>
      <c r="V1931" s="27"/>
      <c r="W1931" s="27"/>
      <c r="X1931" s="27"/>
      <c r="Y1931" s="27"/>
      <c r="Z1931" s="27"/>
      <c r="AA1931" s="27"/>
      <c r="AB1931" s="27"/>
      <c r="AC1931" s="27"/>
      <c r="AD1931" s="27"/>
      <c r="AE1931" s="27"/>
      <c r="AF1931" s="27"/>
      <c r="AG1931" s="27"/>
      <c r="AH1931" s="27">
        <v>287.0</v>
      </c>
      <c r="AI1931" s="27">
        <v>334.0</v>
      </c>
      <c r="AJ1931" s="27">
        <v>2.0</v>
      </c>
      <c r="AK1931" s="27" t="b">
        <v>0</v>
      </c>
      <c r="AL1931" s="27">
        <v>100.0</v>
      </c>
      <c r="AM1931" s="27" t="s">
        <v>191</v>
      </c>
      <c r="AN1931" s="27" t="s">
        <v>404</v>
      </c>
      <c r="AO1931" s="27"/>
    </row>
    <row r="1932">
      <c r="A1932" s="200">
        <v>44894.02510262732</v>
      </c>
      <c r="B1932" s="19" t="s">
        <v>166</v>
      </c>
      <c r="C1932" s="21" t="s">
        <v>364</v>
      </c>
      <c r="D1932" s="62">
        <v>8.0</v>
      </c>
      <c r="E1932" s="27">
        <v>4.0</v>
      </c>
      <c r="F1932" s="27" t="s">
        <v>419</v>
      </c>
      <c r="G1932" s="201" t="s">
        <v>57</v>
      </c>
      <c r="H1932" s="27" t="s">
        <v>154</v>
      </c>
      <c r="I1932" s="27"/>
      <c r="J1932" s="33"/>
      <c r="K1932" s="33"/>
      <c r="L1932" s="66"/>
      <c r="M1932" s="27"/>
      <c r="N1932" s="27"/>
      <c r="O1932" s="27"/>
      <c r="P1932" s="27"/>
      <c r="Q1932" s="27"/>
      <c r="R1932" s="27"/>
      <c r="S1932" s="27"/>
      <c r="T1932" s="27"/>
      <c r="U1932" s="27"/>
      <c r="V1932" s="27"/>
      <c r="W1932" s="27"/>
      <c r="X1932" s="27"/>
      <c r="Y1932" s="27"/>
      <c r="Z1932" s="27"/>
      <c r="AA1932" s="27"/>
      <c r="AB1932" s="27"/>
      <c r="AC1932" s="27"/>
      <c r="AD1932" s="27"/>
      <c r="AE1932" s="27"/>
      <c r="AF1932" s="27"/>
      <c r="AG1932" s="27"/>
      <c r="AH1932" s="27">
        <v>428.0</v>
      </c>
      <c r="AI1932" s="27">
        <v>254.0</v>
      </c>
      <c r="AJ1932" s="27">
        <v>2.0</v>
      </c>
      <c r="AK1932" s="27" t="b">
        <v>1</v>
      </c>
      <c r="AL1932" s="27">
        <v>100.0</v>
      </c>
      <c r="AM1932" s="27" t="s">
        <v>187</v>
      </c>
      <c r="AN1932" s="27" t="s">
        <v>404</v>
      </c>
      <c r="AO1932" s="27"/>
    </row>
    <row r="1933">
      <c r="A1933" s="200">
        <v>44894.02510262732</v>
      </c>
      <c r="B1933" s="19" t="s">
        <v>166</v>
      </c>
      <c r="C1933" s="21" t="s">
        <v>370</v>
      </c>
      <c r="D1933" s="62">
        <v>8.0</v>
      </c>
      <c r="E1933" s="27">
        <v>4.0</v>
      </c>
      <c r="F1933" s="27" t="s">
        <v>417</v>
      </c>
      <c r="G1933" s="201" t="s">
        <v>183</v>
      </c>
      <c r="H1933" s="27" t="s">
        <v>144</v>
      </c>
      <c r="I1933" s="27" t="s">
        <v>97</v>
      </c>
      <c r="J1933" s="33"/>
      <c r="K1933" s="33"/>
      <c r="L1933" s="66"/>
      <c r="M1933" s="27"/>
      <c r="N1933" s="27"/>
      <c r="O1933" s="27"/>
      <c r="P1933" s="27"/>
      <c r="Q1933" s="27"/>
      <c r="R1933" s="27"/>
      <c r="S1933" s="27"/>
      <c r="T1933" s="27"/>
      <c r="U1933" s="27"/>
      <c r="V1933" s="27"/>
      <c r="W1933" s="27"/>
      <c r="X1933" s="27"/>
      <c r="Y1933" s="27"/>
      <c r="Z1933" s="27"/>
      <c r="AA1933" s="27"/>
      <c r="AB1933" s="27"/>
      <c r="AC1933" s="27"/>
      <c r="AD1933" s="27"/>
      <c r="AE1933" s="27"/>
      <c r="AF1933" s="27"/>
      <c r="AG1933" s="27"/>
      <c r="AH1933" s="27">
        <v>328.0</v>
      </c>
      <c r="AI1933" s="27">
        <v>265.0</v>
      </c>
      <c r="AJ1933" s="27">
        <v>3.0</v>
      </c>
      <c r="AK1933" s="27" t="b">
        <v>1</v>
      </c>
      <c r="AL1933" s="27">
        <v>100.0</v>
      </c>
      <c r="AM1933" s="27" t="s">
        <v>186</v>
      </c>
      <c r="AN1933" s="27" t="s">
        <v>404</v>
      </c>
      <c r="AO1933" s="27"/>
    </row>
    <row r="1934">
      <c r="A1934" s="200">
        <v>44894.02510262732</v>
      </c>
      <c r="B1934" s="19"/>
      <c r="C1934" s="21"/>
      <c r="D1934" s="62"/>
      <c r="E1934" s="27"/>
      <c r="F1934" s="27"/>
      <c r="G1934" s="201"/>
      <c r="H1934" s="27"/>
      <c r="I1934" s="27"/>
      <c r="J1934" s="33"/>
      <c r="K1934" s="33"/>
      <c r="L1934" s="66"/>
      <c r="M1934" s="27"/>
      <c r="N1934" s="27"/>
      <c r="O1934" s="27"/>
      <c r="P1934" s="27"/>
      <c r="Q1934" s="27"/>
      <c r="R1934" s="27"/>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t="e">
        <v>#N/A</v>
      </c>
      <c r="AN1934" s="27" t="e">
        <v>#N/A</v>
      </c>
      <c r="AO1934" s="27"/>
    </row>
    <row r="1935">
      <c r="A1935" s="200">
        <v>44894.02510262732</v>
      </c>
      <c r="B1935" s="19" t="s">
        <v>116</v>
      </c>
      <c r="C1935" s="21" t="s">
        <v>348</v>
      </c>
      <c r="D1935" s="62">
        <v>5.0</v>
      </c>
      <c r="E1935" s="27">
        <v>7.0</v>
      </c>
      <c r="F1935" s="27"/>
      <c r="G1935" s="201"/>
      <c r="H1935" s="27"/>
      <c r="I1935" s="27" t="s">
        <v>82</v>
      </c>
      <c r="J1935" s="33"/>
      <c r="K1935" s="33"/>
      <c r="L1935" s="66"/>
      <c r="M1935" s="27"/>
      <c r="N1935" s="27"/>
      <c r="O1935" s="27"/>
      <c r="P1935" s="27"/>
      <c r="Q1935" s="27"/>
      <c r="R1935" s="27"/>
      <c r="S1935" s="27"/>
      <c r="T1935" s="27"/>
      <c r="U1935" s="27"/>
      <c r="V1935" s="27"/>
      <c r="W1935" s="27"/>
      <c r="X1935" s="27"/>
      <c r="Y1935" s="27"/>
      <c r="Z1935" s="27"/>
      <c r="AA1935" s="27"/>
      <c r="AB1935" s="27"/>
      <c r="AC1935" s="27"/>
      <c r="AD1935" s="27"/>
      <c r="AE1935" s="27"/>
      <c r="AF1935" s="27"/>
      <c r="AG1935" s="27"/>
      <c r="AH1935" s="27">
        <v>206.0</v>
      </c>
      <c r="AI1935" s="27">
        <v>341.0</v>
      </c>
      <c r="AJ1935" s="27">
        <v>0.0</v>
      </c>
      <c r="AK1935" s="27" t="b">
        <v>1</v>
      </c>
      <c r="AL1935" s="27">
        <v>59.0</v>
      </c>
      <c r="AM1935" s="27" t="s">
        <v>186</v>
      </c>
      <c r="AN1935" s="27" t="s">
        <v>404</v>
      </c>
      <c r="AO1935" s="27"/>
    </row>
    <row r="1936">
      <c r="A1936" s="200">
        <v>44894.02510262732</v>
      </c>
      <c r="B1936" s="19" t="s">
        <v>116</v>
      </c>
      <c r="C1936" s="21" t="s">
        <v>313</v>
      </c>
      <c r="D1936" s="62">
        <v>12.0</v>
      </c>
      <c r="E1936" s="27">
        <v>0.0</v>
      </c>
      <c r="F1936" s="27"/>
      <c r="G1936" s="201"/>
      <c r="H1936" s="27"/>
      <c r="I1936" s="27" t="s">
        <v>82</v>
      </c>
      <c r="J1936" s="33"/>
      <c r="K1936" s="33"/>
      <c r="L1936" s="66"/>
      <c r="M1936" s="27"/>
      <c r="N1936" s="27"/>
      <c r="O1936" s="27"/>
      <c r="P1936" s="27"/>
      <c r="Q1936" s="27"/>
      <c r="R1936" s="27"/>
      <c r="S1936" s="27"/>
      <c r="T1936" s="27"/>
      <c r="U1936" s="27"/>
      <c r="V1936" s="27"/>
      <c r="W1936" s="27"/>
      <c r="X1936" s="27"/>
      <c r="Y1936" s="27"/>
      <c r="Z1936" s="27"/>
      <c r="AA1936" s="27"/>
      <c r="AB1936" s="27"/>
      <c r="AC1936" s="27"/>
      <c r="AD1936" s="27"/>
      <c r="AE1936" s="27"/>
      <c r="AF1936" s="27"/>
      <c r="AG1936" s="27"/>
      <c r="AH1936" s="27">
        <v>459.0</v>
      </c>
      <c r="AI1936" s="27">
        <v>136.0</v>
      </c>
      <c r="AJ1936" s="27">
        <v>0.0</v>
      </c>
      <c r="AK1936" s="27" t="b">
        <v>1</v>
      </c>
      <c r="AL1936" s="27">
        <v>59.0</v>
      </c>
      <c r="AM1936" s="27" t="s">
        <v>192</v>
      </c>
      <c r="AN1936" s="27" t="s">
        <v>404</v>
      </c>
      <c r="AO1936" s="27"/>
    </row>
    <row r="1937">
      <c r="A1937" s="200">
        <v>44894.02510262732</v>
      </c>
      <c r="B1937" s="19" t="s">
        <v>116</v>
      </c>
      <c r="C1937" s="21" t="s">
        <v>347</v>
      </c>
      <c r="D1937" s="62">
        <v>4.0</v>
      </c>
      <c r="E1937" s="27">
        <v>7.0</v>
      </c>
      <c r="F1937" s="27"/>
      <c r="G1937" s="201"/>
      <c r="H1937" s="27"/>
      <c r="I1937" s="27"/>
      <c r="J1937" s="33"/>
      <c r="K1937" s="33"/>
      <c r="L1937" s="66"/>
      <c r="M1937" s="27"/>
      <c r="N1937" s="27"/>
      <c r="O1937" s="27"/>
      <c r="P1937" s="27"/>
      <c r="Q1937" s="27"/>
      <c r="R1937" s="27"/>
      <c r="S1937" s="27"/>
      <c r="T1937" s="27"/>
      <c r="U1937" s="27"/>
      <c r="V1937" s="27"/>
      <c r="W1937" s="27"/>
      <c r="X1937" s="27"/>
      <c r="Y1937" s="27"/>
      <c r="Z1937" s="27"/>
      <c r="AA1937" s="27"/>
      <c r="AB1937" s="27"/>
      <c r="AC1937" s="27"/>
      <c r="AD1937" s="27"/>
      <c r="AE1937" s="27"/>
      <c r="AF1937" s="27"/>
      <c r="AG1937" s="27"/>
      <c r="AH1937" s="27">
        <v>246.0</v>
      </c>
      <c r="AI1937" s="27">
        <v>272.0</v>
      </c>
      <c r="AJ1937" s="27">
        <v>0.0</v>
      </c>
      <c r="AK1937" s="27" t="b">
        <v>1</v>
      </c>
      <c r="AL1937" s="27">
        <v>59.0</v>
      </c>
      <c r="AM1937" s="27" t="s">
        <v>389</v>
      </c>
      <c r="AN1937" s="27" t="s">
        <v>405</v>
      </c>
      <c r="AO1937" s="27"/>
    </row>
    <row r="1938">
      <c r="A1938" s="200">
        <v>44894.02510262732</v>
      </c>
      <c r="B1938" s="19" t="s">
        <v>116</v>
      </c>
      <c r="C1938" s="21" t="s">
        <v>355</v>
      </c>
      <c r="D1938" s="62">
        <v>5.0</v>
      </c>
      <c r="E1938" s="27">
        <v>7.0</v>
      </c>
      <c r="F1938" s="27" t="s">
        <v>205</v>
      </c>
      <c r="G1938" s="201" t="s">
        <v>57</v>
      </c>
      <c r="H1938" s="27" t="s">
        <v>131</v>
      </c>
      <c r="I1938" s="27"/>
      <c r="J1938" s="33"/>
      <c r="K1938" s="33"/>
      <c r="L1938" s="66"/>
      <c r="M1938" s="27"/>
      <c r="N1938" s="27"/>
      <c r="O1938" s="27"/>
      <c r="P1938" s="27"/>
      <c r="Q1938" s="27"/>
      <c r="R1938" s="27"/>
      <c r="S1938" s="27"/>
      <c r="T1938" s="27"/>
      <c r="U1938" s="27"/>
      <c r="V1938" s="27"/>
      <c r="W1938" s="27"/>
      <c r="X1938" s="27"/>
      <c r="Y1938" s="27"/>
      <c r="Z1938" s="27"/>
      <c r="AA1938" s="27"/>
      <c r="AB1938" s="27"/>
      <c r="AC1938" s="27"/>
      <c r="AD1938" s="27"/>
      <c r="AE1938" s="27"/>
      <c r="AF1938" s="27"/>
      <c r="AG1938" s="27"/>
      <c r="AH1938" s="27">
        <v>304.0</v>
      </c>
      <c r="AI1938" s="27">
        <v>406.0</v>
      </c>
      <c r="AJ1938" s="27">
        <v>2.0</v>
      </c>
      <c r="AK1938" s="27" t="b">
        <v>0</v>
      </c>
      <c r="AL1938" s="27">
        <v>100.0</v>
      </c>
      <c r="AM1938" s="27" t="s">
        <v>189</v>
      </c>
      <c r="AN1938" s="27" t="s">
        <v>405</v>
      </c>
      <c r="AO1938" s="27"/>
    </row>
    <row r="1939">
      <c r="A1939" s="200">
        <v>44894.02510262732</v>
      </c>
      <c r="B1939" s="19" t="s">
        <v>116</v>
      </c>
      <c r="C1939" s="21" t="s">
        <v>354</v>
      </c>
      <c r="D1939" s="62">
        <v>7.0</v>
      </c>
      <c r="E1939" s="27">
        <v>5.0</v>
      </c>
      <c r="F1939" s="27" t="s">
        <v>414</v>
      </c>
      <c r="G1939" s="201" t="s">
        <v>57</v>
      </c>
      <c r="H1939" s="27" t="s">
        <v>144</v>
      </c>
      <c r="I1939" s="27"/>
      <c r="J1939" s="33"/>
      <c r="K1939" s="33"/>
      <c r="L1939" s="66"/>
      <c r="M1939" s="27"/>
      <c r="N1939" s="27"/>
      <c r="O1939" s="27"/>
      <c r="P1939" s="27"/>
      <c r="Q1939" s="27"/>
      <c r="R1939" s="27"/>
      <c r="S1939" s="27"/>
      <c r="T1939" s="27"/>
      <c r="U1939" s="27"/>
      <c r="V1939" s="27"/>
      <c r="W1939" s="27"/>
      <c r="X1939" s="27"/>
      <c r="Y1939" s="27"/>
      <c r="Z1939" s="27"/>
      <c r="AA1939" s="27"/>
      <c r="AB1939" s="27"/>
      <c r="AC1939" s="27"/>
      <c r="AD1939" s="27"/>
      <c r="AE1939" s="27"/>
      <c r="AF1939" s="27"/>
      <c r="AG1939" s="27"/>
      <c r="AH1939" s="27">
        <v>381.0</v>
      </c>
      <c r="AI1939" s="27">
        <v>352.0</v>
      </c>
      <c r="AJ1939" s="27">
        <v>2.0</v>
      </c>
      <c r="AK1939" s="27" t="b">
        <v>1</v>
      </c>
      <c r="AL1939" s="27">
        <v>100.0</v>
      </c>
      <c r="AM1939" s="27" t="s">
        <v>187</v>
      </c>
      <c r="AN1939" s="27" t="s">
        <v>404</v>
      </c>
      <c r="AO1939" s="27"/>
    </row>
    <row r="1940">
      <c r="A1940" s="200">
        <v>44894.02510262732</v>
      </c>
      <c r="B1940" s="19" t="s">
        <v>116</v>
      </c>
      <c r="C1940" s="21" t="s">
        <v>388</v>
      </c>
      <c r="D1940" s="62">
        <v>8.0</v>
      </c>
      <c r="E1940" s="27">
        <v>3.0</v>
      </c>
      <c r="F1940" s="27" t="s">
        <v>301</v>
      </c>
      <c r="G1940" s="201" t="s">
        <v>57</v>
      </c>
      <c r="H1940" s="27" t="s">
        <v>144</v>
      </c>
      <c r="I1940" s="27"/>
      <c r="J1940" s="33"/>
      <c r="K1940" s="33"/>
      <c r="L1940" s="66"/>
      <c r="M1940" s="27"/>
      <c r="N1940" s="27"/>
      <c r="O1940" s="27"/>
      <c r="P1940" s="27"/>
      <c r="Q1940" s="27"/>
      <c r="R1940" s="27"/>
      <c r="S1940" s="27"/>
      <c r="T1940" s="27"/>
      <c r="U1940" s="27"/>
      <c r="V1940" s="27"/>
      <c r="W1940" s="27"/>
      <c r="X1940" s="27"/>
      <c r="Y1940" s="27"/>
      <c r="Z1940" s="27"/>
      <c r="AA1940" s="27"/>
      <c r="AB1940" s="27"/>
      <c r="AC1940" s="27"/>
      <c r="AD1940" s="27"/>
      <c r="AE1940" s="27"/>
      <c r="AF1940" s="27"/>
      <c r="AG1940" s="27"/>
      <c r="AH1940" s="27">
        <v>407.0</v>
      </c>
      <c r="AI1940" s="27">
        <v>230.0</v>
      </c>
      <c r="AJ1940" s="27">
        <v>2.0</v>
      </c>
      <c r="AK1940" s="27" t="b">
        <v>1</v>
      </c>
      <c r="AL1940" s="27">
        <v>100.0</v>
      </c>
      <c r="AM1940" s="27" t="s">
        <v>193</v>
      </c>
      <c r="AN1940" s="27" t="s">
        <v>405</v>
      </c>
      <c r="AO1940" s="27"/>
    </row>
    <row r="1941">
      <c r="A1941" s="200">
        <v>44894.02510262732</v>
      </c>
      <c r="B1941" s="19" t="s">
        <v>116</v>
      </c>
      <c r="C1941" s="21" t="s">
        <v>332</v>
      </c>
      <c r="D1941" s="62">
        <v>7.0</v>
      </c>
      <c r="E1941" s="27">
        <v>5.0</v>
      </c>
      <c r="F1941" s="27" t="s">
        <v>391</v>
      </c>
      <c r="G1941" s="201" t="s">
        <v>57</v>
      </c>
      <c r="H1941" s="27" t="s">
        <v>141</v>
      </c>
      <c r="I1941" s="27"/>
      <c r="J1941" s="33"/>
      <c r="K1941" s="33"/>
      <c r="L1941" s="66"/>
      <c r="M1941" s="27"/>
      <c r="N1941" s="27"/>
      <c r="O1941" s="27"/>
      <c r="P1941" s="27"/>
      <c r="Q1941" s="27"/>
      <c r="R1941" s="27"/>
      <c r="S1941" s="27"/>
      <c r="T1941" s="27"/>
      <c r="U1941" s="27"/>
      <c r="V1941" s="27"/>
      <c r="W1941" s="27"/>
      <c r="X1941" s="27"/>
      <c r="Y1941" s="27"/>
      <c r="Z1941" s="27"/>
      <c r="AA1941" s="27"/>
      <c r="AB1941" s="27"/>
      <c r="AC1941" s="27"/>
      <c r="AD1941" s="27"/>
      <c r="AE1941" s="27"/>
      <c r="AF1941" s="27"/>
      <c r="AG1941" s="27"/>
      <c r="AH1941" s="27">
        <v>209.0</v>
      </c>
      <c r="AI1941" s="27">
        <v>173.0</v>
      </c>
      <c r="AJ1941" s="27">
        <v>2.0</v>
      </c>
      <c r="AK1941" s="27" t="b">
        <v>0</v>
      </c>
      <c r="AL1941" s="27">
        <v>100.0</v>
      </c>
      <c r="AM1941" s="27" t="s">
        <v>188</v>
      </c>
      <c r="AN1941" s="27" t="s">
        <v>404</v>
      </c>
      <c r="AO1941" s="27"/>
    </row>
    <row r="1942">
      <c r="A1942" s="200">
        <v>44894.02510262732</v>
      </c>
      <c r="B1942" s="19" t="s">
        <v>116</v>
      </c>
      <c r="C1942" s="21" t="s">
        <v>336</v>
      </c>
      <c r="D1942" s="62">
        <v>3.0</v>
      </c>
      <c r="E1942" s="27">
        <v>9.0</v>
      </c>
      <c r="F1942" s="27" t="s">
        <v>264</v>
      </c>
      <c r="G1942" s="201" t="s">
        <v>57</v>
      </c>
      <c r="H1942" s="27" t="s">
        <v>178</v>
      </c>
      <c r="I1942" s="27"/>
      <c r="J1942" s="33"/>
      <c r="K1942" s="33"/>
      <c r="L1942" s="66"/>
      <c r="M1942" s="27"/>
      <c r="N1942" s="27"/>
      <c r="O1942" s="27"/>
      <c r="P1942" s="27"/>
      <c r="Q1942" s="27"/>
      <c r="R1942" s="27"/>
      <c r="S1942" s="27"/>
      <c r="T1942" s="27"/>
      <c r="U1942" s="27"/>
      <c r="V1942" s="27"/>
      <c r="W1942" s="27"/>
      <c r="X1942" s="27"/>
      <c r="Y1942" s="27"/>
      <c r="Z1942" s="27"/>
      <c r="AA1942" s="27"/>
      <c r="AB1942" s="27"/>
      <c r="AC1942" s="27"/>
      <c r="AD1942" s="27"/>
      <c r="AE1942" s="27"/>
      <c r="AF1942" s="27"/>
      <c r="AG1942" s="27"/>
      <c r="AH1942" s="27">
        <v>158.0</v>
      </c>
      <c r="AI1942" s="27">
        <v>323.0</v>
      </c>
      <c r="AJ1942" s="27">
        <v>2.0</v>
      </c>
      <c r="AK1942" s="27" t="b">
        <v>1</v>
      </c>
      <c r="AL1942" s="27">
        <v>100.0</v>
      </c>
      <c r="AM1942" s="27" t="s">
        <v>129</v>
      </c>
      <c r="AN1942" s="27" t="s">
        <v>405</v>
      </c>
      <c r="AO1942" s="27"/>
    </row>
    <row r="1943">
      <c r="A1943" s="200">
        <v>44894.02510262732</v>
      </c>
      <c r="B1943" s="19" t="s">
        <v>116</v>
      </c>
      <c r="C1943" s="21" t="s">
        <v>329</v>
      </c>
      <c r="D1943" s="62">
        <v>5.0</v>
      </c>
      <c r="E1943" s="27">
        <v>7.0</v>
      </c>
      <c r="F1943" s="27" t="s">
        <v>209</v>
      </c>
      <c r="G1943" s="201" t="s">
        <v>57</v>
      </c>
      <c r="H1943" s="27" t="s">
        <v>131</v>
      </c>
      <c r="I1943" s="27"/>
      <c r="J1943" s="33"/>
      <c r="K1943" s="33"/>
      <c r="L1943" s="66"/>
      <c r="M1943" s="27"/>
      <c r="N1943" s="27"/>
      <c r="O1943" s="27"/>
      <c r="P1943" s="27"/>
      <c r="Q1943" s="27"/>
      <c r="R1943" s="27"/>
      <c r="S1943" s="27"/>
      <c r="T1943" s="27"/>
      <c r="U1943" s="27"/>
      <c r="V1943" s="27"/>
      <c r="W1943" s="27"/>
      <c r="X1943" s="27"/>
      <c r="Y1943" s="27"/>
      <c r="Z1943" s="27"/>
      <c r="AA1943" s="27"/>
      <c r="AB1943" s="27"/>
      <c r="AC1943" s="27"/>
      <c r="AD1943" s="27"/>
      <c r="AE1943" s="27"/>
      <c r="AF1943" s="27"/>
      <c r="AG1943" s="27"/>
      <c r="AH1943" s="27">
        <v>279.0</v>
      </c>
      <c r="AI1943" s="27">
        <v>323.0</v>
      </c>
      <c r="AJ1943" s="27">
        <v>2.0</v>
      </c>
      <c r="AK1943" s="27" t="b">
        <v>0</v>
      </c>
      <c r="AL1943" s="27">
        <v>100.0</v>
      </c>
      <c r="AM1943" s="27" t="s">
        <v>190</v>
      </c>
      <c r="AN1943" s="27" t="s">
        <v>405</v>
      </c>
      <c r="AO1943" s="27"/>
    </row>
    <row r="1944">
      <c r="A1944" s="200">
        <v>44894.02510262732</v>
      </c>
      <c r="B1944" s="19" t="s">
        <v>116</v>
      </c>
      <c r="C1944" s="21" t="s">
        <v>369</v>
      </c>
      <c r="D1944" s="62">
        <v>11.0</v>
      </c>
      <c r="E1944" s="27">
        <v>1.0</v>
      </c>
      <c r="F1944" s="27" t="s">
        <v>408</v>
      </c>
      <c r="G1944" s="201" t="s">
        <v>57</v>
      </c>
      <c r="H1944" s="27" t="s">
        <v>109</v>
      </c>
      <c r="I1944" s="27" t="s">
        <v>58</v>
      </c>
      <c r="J1944" s="33"/>
      <c r="K1944" s="33"/>
      <c r="L1944" s="66"/>
      <c r="M1944" s="27"/>
      <c r="N1944" s="27"/>
      <c r="O1944" s="27"/>
      <c r="P1944" s="27"/>
      <c r="Q1944" s="27"/>
      <c r="R1944" s="27"/>
      <c r="S1944" s="27"/>
      <c r="T1944" s="27"/>
      <c r="U1944" s="27"/>
      <c r="V1944" s="27"/>
      <c r="W1944" s="27"/>
      <c r="X1944" s="27"/>
      <c r="Y1944" s="27"/>
      <c r="Z1944" s="27"/>
      <c r="AA1944" s="27"/>
      <c r="AB1944" s="27"/>
      <c r="AC1944" s="27"/>
      <c r="AD1944" s="27"/>
      <c r="AE1944" s="27"/>
      <c r="AF1944" s="27"/>
      <c r="AG1944" s="27"/>
      <c r="AH1944" s="27">
        <v>472.0</v>
      </c>
      <c r="AI1944" s="27">
        <v>289.0</v>
      </c>
      <c r="AJ1944" s="27">
        <v>3.0</v>
      </c>
      <c r="AK1944" s="27" t="b">
        <v>0</v>
      </c>
      <c r="AL1944" s="27">
        <v>100.0</v>
      </c>
      <c r="AM1944" s="27" t="s">
        <v>191</v>
      </c>
      <c r="AN1944" s="27" t="s">
        <v>404</v>
      </c>
      <c r="AO1944" s="27"/>
    </row>
    <row r="1945">
      <c r="A1945" s="200">
        <v>44894.02510262732</v>
      </c>
      <c r="B1945" s="19"/>
      <c r="C1945" s="21"/>
      <c r="D1945" s="62"/>
      <c r="E1945" s="27"/>
      <c r="F1945" s="27"/>
      <c r="G1945" s="201"/>
      <c r="H1945" s="27"/>
      <c r="I1945" s="27"/>
      <c r="J1945" s="33"/>
      <c r="K1945" s="33"/>
      <c r="L1945" s="66"/>
      <c r="M1945" s="27"/>
      <c r="N1945" s="27"/>
      <c r="O1945" s="27"/>
      <c r="P1945" s="27"/>
      <c r="Q1945" s="27"/>
      <c r="R1945" s="27"/>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t="e">
        <v>#N/A</v>
      </c>
      <c r="AN1945" s="27" t="e">
        <v>#N/A</v>
      </c>
      <c r="AO1945" s="27"/>
    </row>
    <row r="1946">
      <c r="A1946" s="200">
        <v>44894.02510262732</v>
      </c>
      <c r="B1946" s="19" t="s">
        <v>148</v>
      </c>
      <c r="C1946" s="21" t="s">
        <v>326</v>
      </c>
      <c r="D1946" s="62">
        <v>4.0</v>
      </c>
      <c r="E1946" s="27">
        <v>8.0</v>
      </c>
      <c r="F1946" s="27" t="s">
        <v>420</v>
      </c>
      <c r="G1946" s="201" t="s">
        <v>57</v>
      </c>
      <c r="H1946" s="27" t="s">
        <v>103</v>
      </c>
      <c r="I1946" s="27" t="s">
        <v>74</v>
      </c>
      <c r="J1946" s="33"/>
      <c r="K1946" s="33"/>
      <c r="L1946" s="66"/>
      <c r="M1946" s="27"/>
      <c r="N1946" s="27"/>
      <c r="O1946" s="27"/>
      <c r="P1946" s="27"/>
      <c r="Q1946" s="27"/>
      <c r="R1946" s="27"/>
      <c r="S1946" s="27"/>
      <c r="T1946" s="27"/>
      <c r="U1946" s="27"/>
      <c r="V1946" s="27"/>
      <c r="W1946" s="27"/>
      <c r="X1946" s="27"/>
      <c r="Y1946" s="27"/>
      <c r="Z1946" s="27"/>
      <c r="AA1946" s="27"/>
      <c r="AB1946" s="27"/>
      <c r="AC1946" s="27"/>
      <c r="AD1946" s="27"/>
      <c r="AE1946" s="27"/>
      <c r="AF1946" s="27"/>
      <c r="AG1946" s="27"/>
      <c r="AH1946" s="27">
        <v>228.0</v>
      </c>
      <c r="AI1946" s="27">
        <v>181.0</v>
      </c>
      <c r="AJ1946" s="27">
        <v>0.0</v>
      </c>
      <c r="AK1946" s="27" t="b">
        <v>0</v>
      </c>
      <c r="AL1946" s="27">
        <v>13.833333333333336</v>
      </c>
      <c r="AM1946" s="27" t="s">
        <v>187</v>
      </c>
      <c r="AN1946" s="27" t="s">
        <v>404</v>
      </c>
      <c r="AO1946" s="27"/>
    </row>
    <row r="1947">
      <c r="A1947" s="200">
        <v>44894.02510262732</v>
      </c>
      <c r="B1947" s="19" t="s">
        <v>148</v>
      </c>
      <c r="C1947" s="21" t="s">
        <v>380</v>
      </c>
      <c r="D1947" s="62">
        <v>4.0</v>
      </c>
      <c r="E1947" s="27">
        <v>8.0</v>
      </c>
      <c r="F1947" s="27" t="s">
        <v>293</v>
      </c>
      <c r="G1947" s="201" t="s">
        <v>57</v>
      </c>
      <c r="H1947" s="27" t="s">
        <v>109</v>
      </c>
      <c r="I1947" s="27" t="s">
        <v>133</v>
      </c>
      <c r="J1947" s="33"/>
      <c r="K1947" s="33"/>
      <c r="L1947" s="66"/>
      <c r="M1947" s="27"/>
      <c r="N1947" s="27"/>
      <c r="O1947" s="27"/>
      <c r="P1947" s="27"/>
      <c r="Q1947" s="27"/>
      <c r="R1947" s="27"/>
      <c r="S1947" s="27"/>
      <c r="T1947" s="27"/>
      <c r="U1947" s="27"/>
      <c r="V1947" s="27"/>
      <c r="W1947" s="27"/>
      <c r="X1947" s="27"/>
      <c r="Y1947" s="27"/>
      <c r="Z1947" s="27"/>
      <c r="AA1947" s="27"/>
      <c r="AB1947" s="27"/>
      <c r="AC1947" s="27"/>
      <c r="AD1947" s="27"/>
      <c r="AE1947" s="27"/>
      <c r="AF1947" s="27"/>
      <c r="AG1947" s="27"/>
      <c r="AH1947" s="27">
        <v>240.0</v>
      </c>
      <c r="AI1947" s="27">
        <v>275.0</v>
      </c>
      <c r="AJ1947" s="27">
        <v>0.0</v>
      </c>
      <c r="AK1947" s="27" t="b">
        <v>1</v>
      </c>
      <c r="AL1947" s="27">
        <v>26.583333333333336</v>
      </c>
      <c r="AM1947" s="27" t="s">
        <v>193</v>
      </c>
      <c r="AN1947" s="27" t="s">
        <v>405</v>
      </c>
      <c r="AO1947" s="27"/>
    </row>
    <row r="1948">
      <c r="A1948" s="200">
        <v>44894.02510262732</v>
      </c>
      <c r="B1948" s="19" t="s">
        <v>148</v>
      </c>
      <c r="C1948" s="21" t="s">
        <v>384</v>
      </c>
      <c r="D1948" s="62">
        <v>3.0</v>
      </c>
      <c r="E1948" s="27">
        <v>8.0</v>
      </c>
      <c r="F1948" s="27" t="s">
        <v>158</v>
      </c>
      <c r="G1948" s="201" t="s">
        <v>161</v>
      </c>
      <c r="H1948" s="27" t="s">
        <v>53</v>
      </c>
      <c r="I1948" s="27" t="s">
        <v>162</v>
      </c>
      <c r="J1948" s="33"/>
      <c r="K1948" s="33"/>
      <c r="L1948" s="66"/>
      <c r="M1948" s="27"/>
      <c r="N1948" s="27"/>
      <c r="O1948" s="27"/>
      <c r="P1948" s="27"/>
      <c r="Q1948" s="27"/>
      <c r="R1948" s="27"/>
      <c r="S1948" s="27"/>
      <c r="T1948" s="27"/>
      <c r="U1948" s="27"/>
      <c r="V1948" s="27"/>
      <c r="W1948" s="27"/>
      <c r="X1948" s="27"/>
      <c r="Y1948" s="27"/>
      <c r="Z1948" s="27"/>
      <c r="AA1948" s="27"/>
      <c r="AB1948" s="27"/>
      <c r="AC1948" s="27"/>
      <c r="AD1948" s="27"/>
      <c r="AE1948" s="27"/>
      <c r="AF1948" s="27"/>
      <c r="AG1948" s="27"/>
      <c r="AH1948" s="27">
        <v>212.0</v>
      </c>
      <c r="AI1948" s="27">
        <v>272.0</v>
      </c>
      <c r="AJ1948" s="27">
        <v>0.0</v>
      </c>
      <c r="AK1948" s="27" t="b">
        <v>0</v>
      </c>
      <c r="AL1948" s="27">
        <v>59.0</v>
      </c>
      <c r="AM1948" s="27" t="s">
        <v>186</v>
      </c>
      <c r="AN1948" s="27" t="s">
        <v>404</v>
      </c>
      <c r="AO1948" s="27"/>
    </row>
    <row r="1949">
      <c r="A1949" s="200">
        <v>44894.02510262732</v>
      </c>
      <c r="B1949" s="19" t="s">
        <v>148</v>
      </c>
      <c r="C1949" s="21" t="s">
        <v>381</v>
      </c>
      <c r="D1949" s="62">
        <v>8.0</v>
      </c>
      <c r="E1949" s="27">
        <v>4.0</v>
      </c>
      <c r="F1949" s="27" t="s">
        <v>418</v>
      </c>
      <c r="G1949" s="201" t="s">
        <v>57</v>
      </c>
      <c r="H1949" s="27" t="s">
        <v>166</v>
      </c>
      <c r="I1949" s="27"/>
      <c r="J1949" s="33"/>
      <c r="K1949" s="33"/>
      <c r="L1949" s="66"/>
      <c r="M1949" s="27"/>
      <c r="N1949" s="27"/>
      <c r="O1949" s="27"/>
      <c r="P1949" s="27"/>
      <c r="Q1949" s="27"/>
      <c r="R1949" s="27"/>
      <c r="S1949" s="27"/>
      <c r="T1949" s="27"/>
      <c r="U1949" s="27"/>
      <c r="V1949" s="27"/>
      <c r="W1949" s="27"/>
      <c r="X1949" s="27"/>
      <c r="Y1949" s="27"/>
      <c r="Z1949" s="27"/>
      <c r="AA1949" s="27"/>
      <c r="AB1949" s="27"/>
      <c r="AC1949" s="27"/>
      <c r="AD1949" s="27"/>
      <c r="AE1949" s="27"/>
      <c r="AF1949" s="27"/>
      <c r="AG1949" s="27"/>
      <c r="AH1949" s="27">
        <v>343.0</v>
      </c>
      <c r="AI1949" s="27">
        <v>277.0</v>
      </c>
      <c r="AJ1949" s="27">
        <v>2.0</v>
      </c>
      <c r="AK1949" s="27" t="b">
        <v>0</v>
      </c>
      <c r="AL1949" s="27">
        <v>100.0</v>
      </c>
      <c r="AM1949" s="27" t="s">
        <v>188</v>
      </c>
      <c r="AN1949" s="27" t="s">
        <v>404</v>
      </c>
      <c r="AO1949" s="27"/>
    </row>
    <row r="1950">
      <c r="A1950" s="200">
        <v>44894.02510262732</v>
      </c>
      <c r="B1950" s="19" t="s">
        <v>148</v>
      </c>
      <c r="C1950" s="21" t="s">
        <v>401</v>
      </c>
      <c r="D1950" s="62">
        <v>1.0</v>
      </c>
      <c r="E1950" s="27">
        <v>11.0</v>
      </c>
      <c r="F1950" s="27" t="s">
        <v>410</v>
      </c>
      <c r="G1950" s="201" t="s">
        <v>57</v>
      </c>
      <c r="H1950" s="27" t="s">
        <v>166</v>
      </c>
      <c r="I1950" s="27"/>
      <c r="J1950" s="33"/>
      <c r="K1950" s="33"/>
      <c r="L1950" s="66"/>
      <c r="M1950" s="27"/>
      <c r="N1950" s="27"/>
      <c r="O1950" s="27"/>
      <c r="P1950" s="27"/>
      <c r="Q1950" s="27"/>
      <c r="R1950" s="27"/>
      <c r="S1950" s="27"/>
      <c r="T1950" s="27"/>
      <c r="U1950" s="27"/>
      <c r="V1950" s="27"/>
      <c r="W1950" s="27"/>
      <c r="X1950" s="27"/>
      <c r="Y1950" s="27"/>
      <c r="Z1950" s="27"/>
      <c r="AA1950" s="27"/>
      <c r="AB1950" s="27"/>
      <c r="AC1950" s="27"/>
      <c r="AD1950" s="27"/>
      <c r="AE1950" s="27"/>
      <c r="AF1950" s="27"/>
      <c r="AG1950" s="27"/>
      <c r="AH1950" s="27">
        <v>150.0</v>
      </c>
      <c r="AI1950" s="27">
        <v>373.0</v>
      </c>
      <c r="AJ1950" s="27">
        <v>2.0</v>
      </c>
      <c r="AK1950" s="27" t="b">
        <v>0</v>
      </c>
      <c r="AL1950" s="27">
        <v>100.0</v>
      </c>
      <c r="AM1950" s="27" t="s">
        <v>189</v>
      </c>
      <c r="AN1950" s="27" t="s">
        <v>405</v>
      </c>
      <c r="AO1950" s="27"/>
    </row>
    <row r="1951">
      <c r="A1951" s="200">
        <v>44894.02510262732</v>
      </c>
      <c r="B1951" s="19" t="s">
        <v>148</v>
      </c>
      <c r="C1951" s="21" t="s">
        <v>316</v>
      </c>
      <c r="D1951" s="62">
        <v>9.0</v>
      </c>
      <c r="E1951" s="27">
        <v>3.0</v>
      </c>
      <c r="F1951" s="27" t="s">
        <v>305</v>
      </c>
      <c r="G1951" s="201" t="s">
        <v>57</v>
      </c>
      <c r="H1951" s="27" t="s">
        <v>138</v>
      </c>
      <c r="I1951" s="27"/>
      <c r="J1951" s="33"/>
      <c r="K1951" s="33"/>
      <c r="L1951" s="66"/>
      <c r="M1951" s="27"/>
      <c r="N1951" s="27"/>
      <c r="O1951" s="27"/>
      <c r="P1951" s="27"/>
      <c r="Q1951" s="27"/>
      <c r="R1951" s="27"/>
      <c r="S1951" s="27"/>
      <c r="T1951" s="27"/>
      <c r="U1951" s="27"/>
      <c r="V1951" s="27"/>
      <c r="W1951" s="27"/>
      <c r="X1951" s="27"/>
      <c r="Y1951" s="27"/>
      <c r="Z1951" s="27"/>
      <c r="AA1951" s="27"/>
      <c r="AB1951" s="27"/>
      <c r="AC1951" s="27"/>
      <c r="AD1951" s="27"/>
      <c r="AE1951" s="27"/>
      <c r="AF1951" s="27"/>
      <c r="AG1951" s="27"/>
      <c r="AH1951" s="27">
        <v>362.0</v>
      </c>
      <c r="AI1951" s="27">
        <v>213.0</v>
      </c>
      <c r="AJ1951" s="27">
        <v>2.0</v>
      </c>
      <c r="AK1951" s="27" t="b">
        <v>1</v>
      </c>
      <c r="AL1951" s="27">
        <v>100.0</v>
      </c>
      <c r="AM1951" s="27" t="s">
        <v>129</v>
      </c>
      <c r="AN1951" s="27" t="s">
        <v>405</v>
      </c>
      <c r="AO1951" s="27"/>
    </row>
    <row r="1952">
      <c r="A1952" s="200">
        <v>44894.02510262732</v>
      </c>
      <c r="B1952" s="19" t="s">
        <v>148</v>
      </c>
      <c r="C1952" s="21" t="s">
        <v>335</v>
      </c>
      <c r="D1952" s="62">
        <v>6.0</v>
      </c>
      <c r="E1952" s="27">
        <v>6.0</v>
      </c>
      <c r="F1952" s="27" t="s">
        <v>177</v>
      </c>
      <c r="G1952" s="201" t="s">
        <v>57</v>
      </c>
      <c r="H1952" s="27" t="s">
        <v>53</v>
      </c>
      <c r="I1952" s="27"/>
      <c r="J1952" s="33"/>
      <c r="K1952" s="33"/>
      <c r="L1952" s="66"/>
      <c r="M1952" s="27"/>
      <c r="N1952" s="27"/>
      <c r="O1952" s="27"/>
      <c r="P1952" s="27"/>
      <c r="Q1952" s="27"/>
      <c r="R1952" s="27"/>
      <c r="S1952" s="27"/>
      <c r="T1952" s="27"/>
      <c r="U1952" s="27"/>
      <c r="V1952" s="27"/>
      <c r="W1952" s="27"/>
      <c r="X1952" s="27"/>
      <c r="Y1952" s="27"/>
      <c r="Z1952" s="27"/>
      <c r="AA1952" s="27"/>
      <c r="AB1952" s="27"/>
      <c r="AC1952" s="27"/>
      <c r="AD1952" s="27"/>
      <c r="AE1952" s="27"/>
      <c r="AF1952" s="27"/>
      <c r="AG1952" s="27"/>
      <c r="AH1952" s="27">
        <v>286.0</v>
      </c>
      <c r="AI1952" s="27">
        <v>399.0</v>
      </c>
      <c r="AJ1952" s="27">
        <v>2.0</v>
      </c>
      <c r="AK1952" s="27" t="b">
        <v>1</v>
      </c>
      <c r="AL1952" s="27">
        <v>100.0</v>
      </c>
      <c r="AM1952" s="27" t="s">
        <v>190</v>
      </c>
      <c r="AN1952" s="27" t="s">
        <v>405</v>
      </c>
      <c r="AO1952" s="27"/>
    </row>
    <row r="1953">
      <c r="A1953" s="200">
        <v>44894.02510262732</v>
      </c>
      <c r="B1953" s="19" t="s">
        <v>148</v>
      </c>
      <c r="C1953" s="21" t="s">
        <v>387</v>
      </c>
      <c r="D1953" s="62">
        <v>5.0</v>
      </c>
      <c r="E1953" s="27">
        <v>7.0</v>
      </c>
      <c r="F1953" s="27" t="s">
        <v>407</v>
      </c>
      <c r="G1953" s="201" t="s">
        <v>57</v>
      </c>
      <c r="H1953" s="27" t="s">
        <v>109</v>
      </c>
      <c r="I1953" s="27" t="s">
        <v>82</v>
      </c>
      <c r="J1953" s="33"/>
      <c r="K1953" s="33"/>
      <c r="L1953" s="66"/>
      <c r="M1953" s="27"/>
      <c r="N1953" s="27"/>
      <c r="O1953" s="27"/>
      <c r="P1953" s="27"/>
      <c r="Q1953" s="27"/>
      <c r="R1953" s="27"/>
      <c r="S1953" s="27"/>
      <c r="T1953" s="27"/>
      <c r="U1953" s="27"/>
      <c r="V1953" s="27"/>
      <c r="W1953" s="27"/>
      <c r="X1953" s="27"/>
      <c r="Y1953" s="27"/>
      <c r="Z1953" s="27"/>
      <c r="AA1953" s="27"/>
      <c r="AB1953" s="27"/>
      <c r="AC1953" s="27"/>
      <c r="AD1953" s="27"/>
      <c r="AE1953" s="27"/>
      <c r="AF1953" s="27"/>
      <c r="AG1953" s="27"/>
      <c r="AH1953" s="27">
        <v>235.0</v>
      </c>
      <c r="AI1953" s="27">
        <v>231.0</v>
      </c>
      <c r="AJ1953" s="27">
        <v>3.0</v>
      </c>
      <c r="AK1953" s="27" t="b">
        <v>1</v>
      </c>
      <c r="AL1953" s="27">
        <v>100.0</v>
      </c>
      <c r="AM1953" s="27" t="s">
        <v>192</v>
      </c>
      <c r="AN1953" s="27" t="s">
        <v>404</v>
      </c>
      <c r="AO1953" s="27"/>
    </row>
    <row r="1954">
      <c r="A1954" s="200">
        <v>44894.02510262732</v>
      </c>
      <c r="B1954" s="19" t="s">
        <v>148</v>
      </c>
      <c r="C1954" s="21" t="s">
        <v>374</v>
      </c>
      <c r="D1954" s="62">
        <v>9.0</v>
      </c>
      <c r="E1954" s="27">
        <v>3.0</v>
      </c>
      <c r="F1954" s="27" t="s">
        <v>211</v>
      </c>
      <c r="G1954" s="201" t="s">
        <v>57</v>
      </c>
      <c r="H1954" s="27" t="s">
        <v>131</v>
      </c>
      <c r="I1954" s="27" t="s">
        <v>105</v>
      </c>
      <c r="J1954" s="33"/>
      <c r="K1954" s="33"/>
      <c r="L1954" s="66"/>
      <c r="M1954" s="27"/>
      <c r="N1954" s="27"/>
      <c r="O1954" s="27"/>
      <c r="P1954" s="27"/>
      <c r="Q1954" s="27"/>
      <c r="R1954" s="27"/>
      <c r="S1954" s="27"/>
      <c r="T1954" s="27"/>
      <c r="U1954" s="27"/>
      <c r="V1954" s="27"/>
      <c r="W1954" s="27"/>
      <c r="X1954" s="27"/>
      <c r="Y1954" s="27"/>
      <c r="Z1954" s="27"/>
      <c r="AA1954" s="27"/>
      <c r="AB1954" s="27"/>
      <c r="AC1954" s="27"/>
      <c r="AD1954" s="27"/>
      <c r="AE1954" s="27"/>
      <c r="AF1954" s="27"/>
      <c r="AG1954" s="27"/>
      <c r="AH1954" s="27">
        <v>373.0</v>
      </c>
      <c r="AI1954" s="27">
        <v>217.0</v>
      </c>
      <c r="AJ1954" s="27">
        <v>3.0</v>
      </c>
      <c r="AK1954" s="27" t="b">
        <v>1</v>
      </c>
      <c r="AL1954" s="27">
        <v>100.0</v>
      </c>
      <c r="AM1954" s="27" t="s">
        <v>389</v>
      </c>
      <c r="AN1954" s="27" t="s">
        <v>405</v>
      </c>
      <c r="AO1954" s="27"/>
    </row>
    <row r="1955">
      <c r="A1955" s="200">
        <v>44894.02510262732</v>
      </c>
      <c r="B1955" s="19" t="s">
        <v>148</v>
      </c>
      <c r="C1955" s="21" t="s">
        <v>377</v>
      </c>
      <c r="D1955" s="62">
        <v>10.0</v>
      </c>
      <c r="E1955" s="27">
        <v>2.0</v>
      </c>
      <c r="F1955" s="27" t="s">
        <v>421</v>
      </c>
      <c r="G1955" s="201" t="s">
        <v>57</v>
      </c>
      <c r="H1955" s="27" t="s">
        <v>131</v>
      </c>
      <c r="I1955" s="27" t="s">
        <v>82</v>
      </c>
      <c r="J1955" s="33"/>
      <c r="K1955" s="33"/>
      <c r="L1955" s="66"/>
      <c r="M1955" s="27"/>
      <c r="N1955" s="27"/>
      <c r="O1955" s="27"/>
      <c r="P1955" s="27"/>
      <c r="Q1955" s="27"/>
      <c r="R1955" s="27"/>
      <c r="S1955" s="27"/>
      <c r="T1955" s="27"/>
      <c r="U1955" s="27"/>
      <c r="V1955" s="27"/>
      <c r="W1955" s="27"/>
      <c r="X1955" s="27"/>
      <c r="Y1955" s="27"/>
      <c r="Z1955" s="27"/>
      <c r="AA1955" s="27"/>
      <c r="AB1955" s="27"/>
      <c r="AC1955" s="27"/>
      <c r="AD1955" s="27"/>
      <c r="AE1955" s="27"/>
      <c r="AF1955" s="27"/>
      <c r="AG1955" s="27"/>
      <c r="AH1955" s="27">
        <v>438.0</v>
      </c>
      <c r="AI1955" s="27">
        <v>283.0</v>
      </c>
      <c r="AJ1955" s="27">
        <v>3.0</v>
      </c>
      <c r="AK1955" s="27" t="b">
        <v>1</v>
      </c>
      <c r="AL1955" s="27">
        <v>100.0</v>
      </c>
      <c r="AM1955" s="27" t="s">
        <v>191</v>
      </c>
      <c r="AN1955" s="27" t="s">
        <v>404</v>
      </c>
      <c r="AO1955" s="27"/>
    </row>
    <row r="1956">
      <c r="A1956" s="200">
        <v>44894.02510262732</v>
      </c>
      <c r="B1956" s="19"/>
      <c r="C1956" s="21"/>
      <c r="D1956" s="62"/>
      <c r="E1956" s="27"/>
      <c r="F1956" s="27"/>
      <c r="G1956" s="201"/>
      <c r="H1956" s="27"/>
      <c r="I1956" s="27"/>
      <c r="J1956" s="33"/>
      <c r="K1956" s="33"/>
      <c r="L1956" s="66"/>
      <c r="M1956" s="27"/>
      <c r="N1956" s="27"/>
      <c r="O1956" s="27"/>
      <c r="P1956" s="27"/>
      <c r="Q1956" s="27"/>
      <c r="R1956" s="27"/>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t="e">
        <v>#N/A</v>
      </c>
      <c r="AN1956" s="27" t="e">
        <v>#N/A</v>
      </c>
      <c r="AO1956" s="27"/>
    </row>
    <row r="1957">
      <c r="A1957" s="200">
        <v>44894.02510262732</v>
      </c>
      <c r="B1957" s="19" t="s">
        <v>103</v>
      </c>
      <c r="C1957" s="21" t="s">
        <v>378</v>
      </c>
      <c r="D1957" s="62">
        <v>6.0</v>
      </c>
      <c r="E1957" s="27">
        <v>6.0</v>
      </c>
      <c r="F1957" s="27" t="s">
        <v>396</v>
      </c>
      <c r="G1957" s="201" t="s">
        <v>57</v>
      </c>
      <c r="H1957" s="27" t="s">
        <v>166</v>
      </c>
      <c r="I1957" s="27" t="s">
        <v>126</v>
      </c>
      <c r="J1957" s="33"/>
      <c r="K1957" s="33"/>
      <c r="L1957" s="66"/>
      <c r="M1957" s="27"/>
      <c r="N1957" s="27"/>
      <c r="O1957" s="27"/>
      <c r="P1957" s="27"/>
      <c r="Q1957" s="27"/>
      <c r="R1957" s="27"/>
      <c r="S1957" s="27"/>
      <c r="T1957" s="27"/>
      <c r="U1957" s="27"/>
      <c r="V1957" s="27"/>
      <c r="W1957" s="27"/>
      <c r="X1957" s="27"/>
      <c r="Y1957" s="27"/>
      <c r="Z1957" s="27"/>
      <c r="AA1957" s="27"/>
      <c r="AB1957" s="27"/>
      <c r="AC1957" s="27"/>
      <c r="AD1957" s="27"/>
      <c r="AE1957" s="27"/>
      <c r="AF1957" s="27"/>
      <c r="AG1957" s="27"/>
      <c r="AH1957" s="27">
        <v>330.0</v>
      </c>
      <c r="AI1957" s="27">
        <v>254.0</v>
      </c>
      <c r="AJ1957" s="27">
        <v>0.0</v>
      </c>
      <c r="AK1957" s="27" t="b">
        <v>1</v>
      </c>
      <c r="AL1957" s="27">
        <v>1.1499999999999986</v>
      </c>
      <c r="AM1957" s="27" t="s">
        <v>189</v>
      </c>
      <c r="AN1957" s="27" t="s">
        <v>405</v>
      </c>
      <c r="AO1957" s="27"/>
    </row>
    <row r="1958">
      <c r="A1958" s="200">
        <v>44894.02510262732</v>
      </c>
      <c r="B1958" s="19" t="s">
        <v>103</v>
      </c>
      <c r="C1958" s="21" t="s">
        <v>358</v>
      </c>
      <c r="D1958" s="62">
        <v>12.0</v>
      </c>
      <c r="E1958" s="27">
        <v>0.0</v>
      </c>
      <c r="F1958" s="27" t="s">
        <v>420</v>
      </c>
      <c r="G1958" s="201" t="s">
        <v>57</v>
      </c>
      <c r="H1958" s="27" t="s">
        <v>148</v>
      </c>
      <c r="I1958" s="27" t="s">
        <v>74</v>
      </c>
      <c r="J1958" s="33"/>
      <c r="K1958" s="33"/>
      <c r="L1958" s="66"/>
      <c r="M1958" s="27"/>
      <c r="N1958" s="27"/>
      <c r="O1958" s="27"/>
      <c r="P1958" s="27"/>
      <c r="Q1958" s="27"/>
      <c r="R1958" s="27"/>
      <c r="S1958" s="27"/>
      <c r="T1958" s="27"/>
      <c r="U1958" s="27"/>
      <c r="V1958" s="27"/>
      <c r="W1958" s="27"/>
      <c r="X1958" s="27"/>
      <c r="Y1958" s="27"/>
      <c r="Z1958" s="27"/>
      <c r="AA1958" s="27"/>
      <c r="AB1958" s="27"/>
      <c r="AC1958" s="27"/>
      <c r="AD1958" s="27"/>
      <c r="AE1958" s="27"/>
      <c r="AF1958" s="27"/>
      <c r="AG1958" s="27"/>
      <c r="AH1958" s="27">
        <v>434.0</v>
      </c>
      <c r="AI1958" s="27">
        <v>280.0</v>
      </c>
      <c r="AJ1958" s="27">
        <v>0.0</v>
      </c>
      <c r="AK1958" s="27" t="b">
        <v>1</v>
      </c>
      <c r="AL1958" s="27">
        <v>13.833333333333336</v>
      </c>
      <c r="AM1958" s="27" t="s">
        <v>187</v>
      </c>
      <c r="AN1958" s="27" t="s">
        <v>404</v>
      </c>
      <c r="AO1958" s="27"/>
    </row>
    <row r="1959">
      <c r="A1959" s="200">
        <v>44894.02510262732</v>
      </c>
      <c r="B1959" s="19" t="s">
        <v>103</v>
      </c>
      <c r="C1959" s="21" t="s">
        <v>362</v>
      </c>
      <c r="D1959" s="62">
        <v>3.0</v>
      </c>
      <c r="E1959" s="27">
        <v>9.0</v>
      </c>
      <c r="F1959" s="27" t="s">
        <v>412</v>
      </c>
      <c r="G1959" s="201" t="s">
        <v>57</v>
      </c>
      <c r="H1959" s="27" t="s">
        <v>144</v>
      </c>
      <c r="I1959" s="27"/>
      <c r="J1959" s="33"/>
      <c r="K1959" s="33"/>
      <c r="L1959" s="66"/>
      <c r="M1959" s="27"/>
      <c r="N1959" s="27"/>
      <c r="O1959" s="27"/>
      <c r="P1959" s="27"/>
      <c r="Q1959" s="27"/>
      <c r="R1959" s="27"/>
      <c r="S1959" s="27"/>
      <c r="T1959" s="27"/>
      <c r="U1959" s="27"/>
      <c r="V1959" s="27"/>
      <c r="W1959" s="27"/>
      <c r="X1959" s="27"/>
      <c r="Y1959" s="27"/>
      <c r="Z1959" s="27"/>
      <c r="AA1959" s="27"/>
      <c r="AB1959" s="27"/>
      <c r="AC1959" s="27"/>
      <c r="AD1959" s="27"/>
      <c r="AE1959" s="27"/>
      <c r="AF1959" s="27"/>
      <c r="AG1959" s="27"/>
      <c r="AH1959" s="27">
        <v>263.0</v>
      </c>
      <c r="AI1959" s="27">
        <v>351.0</v>
      </c>
      <c r="AJ1959" s="27">
        <v>2.0</v>
      </c>
      <c r="AK1959" s="27" t="b">
        <v>0</v>
      </c>
      <c r="AL1959" s="27">
        <v>100.0</v>
      </c>
      <c r="AM1959" s="27" t="s">
        <v>389</v>
      </c>
      <c r="AN1959" s="27" t="s">
        <v>405</v>
      </c>
      <c r="AO1959" s="27"/>
    </row>
    <row r="1960">
      <c r="A1960" s="200">
        <v>44894.02510262732</v>
      </c>
      <c r="B1960" s="19" t="s">
        <v>103</v>
      </c>
      <c r="C1960" s="21" t="s">
        <v>361</v>
      </c>
      <c r="D1960" s="62">
        <v>4.0</v>
      </c>
      <c r="E1960" s="27">
        <v>8.0</v>
      </c>
      <c r="F1960" s="27" t="s">
        <v>307</v>
      </c>
      <c r="G1960" s="201" t="s">
        <v>57</v>
      </c>
      <c r="H1960" s="27" t="s">
        <v>166</v>
      </c>
      <c r="I1960" s="27"/>
      <c r="J1960" s="33"/>
      <c r="K1960" s="33"/>
      <c r="L1960" s="66"/>
      <c r="M1960" s="27"/>
      <c r="N1960" s="27"/>
      <c r="O1960" s="27"/>
      <c r="P1960" s="27"/>
      <c r="Q1960" s="27"/>
      <c r="R1960" s="27"/>
      <c r="S1960" s="27"/>
      <c r="T1960" s="27"/>
      <c r="U1960" s="27"/>
      <c r="V1960" s="27"/>
      <c r="W1960" s="27"/>
      <c r="X1960" s="27"/>
      <c r="Y1960" s="27"/>
      <c r="Z1960" s="27"/>
      <c r="AA1960" s="27"/>
      <c r="AB1960" s="27"/>
      <c r="AC1960" s="27"/>
      <c r="AD1960" s="27"/>
      <c r="AE1960" s="27"/>
      <c r="AF1960" s="27"/>
      <c r="AG1960" s="27"/>
      <c r="AH1960" s="27">
        <v>360.0</v>
      </c>
      <c r="AI1960" s="27">
        <v>374.0</v>
      </c>
      <c r="AJ1960" s="27">
        <v>2.0</v>
      </c>
      <c r="AK1960" s="27" t="b">
        <v>1</v>
      </c>
      <c r="AL1960" s="27">
        <v>100.0</v>
      </c>
      <c r="AM1960" s="27" t="s">
        <v>193</v>
      </c>
      <c r="AN1960" s="27" t="s">
        <v>405</v>
      </c>
      <c r="AO1960" s="27"/>
    </row>
    <row r="1961">
      <c r="A1961" s="200">
        <v>44894.02510262732</v>
      </c>
      <c r="B1961" s="19" t="s">
        <v>103</v>
      </c>
      <c r="C1961" s="21" t="s">
        <v>341</v>
      </c>
      <c r="D1961" s="62">
        <v>7.0</v>
      </c>
      <c r="E1961" s="27">
        <v>5.0</v>
      </c>
      <c r="F1961" s="27" t="s">
        <v>390</v>
      </c>
      <c r="G1961" s="201" t="s">
        <v>57</v>
      </c>
      <c r="H1961" s="27" t="s">
        <v>141</v>
      </c>
      <c r="I1961" s="27"/>
      <c r="J1961" s="33"/>
      <c r="K1961" s="33"/>
      <c r="L1961" s="66"/>
      <c r="M1961" s="27"/>
      <c r="N1961" s="27"/>
      <c r="O1961" s="27"/>
      <c r="P1961" s="27"/>
      <c r="Q1961" s="27"/>
      <c r="R1961" s="27"/>
      <c r="S1961" s="27"/>
      <c r="T1961" s="27"/>
      <c r="U1961" s="27"/>
      <c r="V1961" s="27"/>
      <c r="W1961" s="27"/>
      <c r="X1961" s="27"/>
      <c r="Y1961" s="27"/>
      <c r="Z1961" s="27"/>
      <c r="AA1961" s="27"/>
      <c r="AB1961" s="27"/>
      <c r="AC1961" s="27"/>
      <c r="AD1961" s="27"/>
      <c r="AE1961" s="27"/>
      <c r="AF1961" s="27"/>
      <c r="AG1961" s="27"/>
      <c r="AH1961" s="27">
        <v>350.0</v>
      </c>
      <c r="AI1961" s="27">
        <v>289.0</v>
      </c>
      <c r="AJ1961" s="27">
        <v>2.0</v>
      </c>
      <c r="AK1961" s="27" t="b">
        <v>0</v>
      </c>
      <c r="AL1961" s="27">
        <v>100.0</v>
      </c>
      <c r="AM1961" s="27" t="s">
        <v>188</v>
      </c>
      <c r="AN1961" s="27" t="s">
        <v>404</v>
      </c>
      <c r="AO1961" s="27"/>
    </row>
    <row r="1962">
      <c r="A1962" s="200">
        <v>44894.02510262732</v>
      </c>
      <c r="B1962" s="19" t="s">
        <v>103</v>
      </c>
      <c r="C1962" s="21" t="s">
        <v>340</v>
      </c>
      <c r="D1962" s="62">
        <v>9.0</v>
      </c>
      <c r="E1962" s="27">
        <v>3.0</v>
      </c>
      <c r="F1962" s="27" t="s">
        <v>416</v>
      </c>
      <c r="G1962" s="201" t="s">
        <v>57</v>
      </c>
      <c r="H1962" s="27" t="s">
        <v>144</v>
      </c>
      <c r="I1962" s="27"/>
      <c r="J1962" s="33"/>
      <c r="K1962" s="33"/>
      <c r="L1962" s="66"/>
      <c r="M1962" s="27"/>
      <c r="N1962" s="27"/>
      <c r="O1962" s="27"/>
      <c r="P1962" s="27"/>
      <c r="Q1962" s="27"/>
      <c r="R1962" s="27"/>
      <c r="S1962" s="27"/>
      <c r="T1962" s="27"/>
      <c r="U1962" s="27"/>
      <c r="V1962" s="27"/>
      <c r="W1962" s="27"/>
      <c r="X1962" s="27"/>
      <c r="Y1962" s="27"/>
      <c r="Z1962" s="27"/>
      <c r="AA1962" s="27"/>
      <c r="AB1962" s="27"/>
      <c r="AC1962" s="27"/>
      <c r="AD1962" s="27"/>
      <c r="AE1962" s="27"/>
      <c r="AF1962" s="27"/>
      <c r="AG1962" s="27"/>
      <c r="AH1962" s="27">
        <v>434.0</v>
      </c>
      <c r="AI1962" s="27">
        <v>236.0</v>
      </c>
      <c r="AJ1962" s="27">
        <v>2.0</v>
      </c>
      <c r="AK1962" s="27" t="b">
        <v>1</v>
      </c>
      <c r="AL1962" s="27">
        <v>100.0</v>
      </c>
      <c r="AM1962" s="27" t="s">
        <v>186</v>
      </c>
      <c r="AN1962" s="27" t="s">
        <v>404</v>
      </c>
      <c r="AO1962" s="27"/>
    </row>
    <row r="1963">
      <c r="A1963" s="200">
        <v>44894.02510262732</v>
      </c>
      <c r="B1963" s="19" t="s">
        <v>103</v>
      </c>
      <c r="C1963" s="21" t="s">
        <v>322</v>
      </c>
      <c r="D1963" s="62">
        <v>5.0</v>
      </c>
      <c r="E1963" s="27">
        <v>7.0</v>
      </c>
      <c r="F1963" s="27" t="s">
        <v>397</v>
      </c>
      <c r="G1963" s="201" t="s">
        <v>57</v>
      </c>
      <c r="H1963" s="27" t="s">
        <v>109</v>
      </c>
      <c r="I1963" s="27"/>
      <c r="J1963" s="33"/>
      <c r="K1963" s="33"/>
      <c r="L1963" s="66"/>
      <c r="M1963" s="27"/>
      <c r="N1963" s="27"/>
      <c r="O1963" s="27"/>
      <c r="P1963" s="27"/>
      <c r="Q1963" s="27"/>
      <c r="R1963" s="27"/>
      <c r="S1963" s="27"/>
      <c r="T1963" s="27"/>
      <c r="U1963" s="27"/>
      <c r="V1963" s="27"/>
      <c r="W1963" s="27"/>
      <c r="X1963" s="27"/>
      <c r="Y1963" s="27"/>
      <c r="Z1963" s="27"/>
      <c r="AA1963" s="27"/>
      <c r="AB1963" s="27"/>
      <c r="AC1963" s="27"/>
      <c r="AD1963" s="27"/>
      <c r="AE1963" s="27"/>
      <c r="AF1963" s="27"/>
      <c r="AG1963" s="27"/>
      <c r="AH1963" s="27">
        <v>370.0</v>
      </c>
      <c r="AI1963" s="27">
        <v>438.0</v>
      </c>
      <c r="AJ1963" s="27">
        <v>2.0</v>
      </c>
      <c r="AK1963" s="27" t="b">
        <v>0</v>
      </c>
      <c r="AL1963" s="27">
        <v>100.0</v>
      </c>
      <c r="AM1963" s="27" t="s">
        <v>191</v>
      </c>
      <c r="AN1963" s="27" t="s">
        <v>404</v>
      </c>
      <c r="AO1963" s="27"/>
    </row>
    <row r="1964">
      <c r="A1964" s="200">
        <v>44894.02510262732</v>
      </c>
      <c r="B1964" s="19" t="s">
        <v>103</v>
      </c>
      <c r="C1964" s="21" t="s">
        <v>356</v>
      </c>
      <c r="D1964" s="62">
        <v>8.0</v>
      </c>
      <c r="E1964" s="27">
        <v>4.0</v>
      </c>
      <c r="F1964" s="27" t="s">
        <v>286</v>
      </c>
      <c r="G1964" s="201" t="s">
        <v>57</v>
      </c>
      <c r="H1964" s="27" t="s">
        <v>59</v>
      </c>
      <c r="I1964" s="27"/>
      <c r="J1964" s="33"/>
      <c r="K1964" s="33"/>
      <c r="L1964" s="66"/>
      <c r="M1964" s="27"/>
      <c r="N1964" s="27"/>
      <c r="O1964" s="27"/>
      <c r="P1964" s="27"/>
      <c r="Q1964" s="27"/>
      <c r="R1964" s="27"/>
      <c r="S1964" s="27"/>
      <c r="T1964" s="27"/>
      <c r="U1964" s="27"/>
      <c r="V1964" s="27"/>
      <c r="W1964" s="27"/>
      <c r="X1964" s="27"/>
      <c r="Y1964" s="27"/>
      <c r="Z1964" s="27"/>
      <c r="AA1964" s="27"/>
      <c r="AB1964" s="27"/>
      <c r="AC1964" s="27"/>
      <c r="AD1964" s="27"/>
      <c r="AE1964" s="27"/>
      <c r="AF1964" s="27"/>
      <c r="AG1964" s="27"/>
      <c r="AH1964" s="27">
        <v>346.0</v>
      </c>
      <c r="AI1964" s="27">
        <v>343.0</v>
      </c>
      <c r="AJ1964" s="27">
        <v>2.0</v>
      </c>
      <c r="AK1964" s="27" t="b">
        <v>1</v>
      </c>
      <c r="AL1964" s="27">
        <v>100.0</v>
      </c>
      <c r="AM1964" s="27" t="s">
        <v>190</v>
      </c>
      <c r="AN1964" s="27" t="s">
        <v>405</v>
      </c>
      <c r="AO1964" s="27"/>
    </row>
    <row r="1965">
      <c r="A1965" s="200">
        <v>44894.02510262732</v>
      </c>
      <c r="B1965" s="19" t="s">
        <v>103</v>
      </c>
      <c r="C1965" s="21" t="s">
        <v>373</v>
      </c>
      <c r="D1965" s="62">
        <v>8.0</v>
      </c>
      <c r="E1965" s="27">
        <v>4.0</v>
      </c>
      <c r="F1965" s="27" t="s">
        <v>270</v>
      </c>
      <c r="G1965" s="201" t="s">
        <v>57</v>
      </c>
      <c r="H1965" s="27" t="s">
        <v>178</v>
      </c>
      <c r="I1965" s="27"/>
      <c r="J1965" s="33"/>
      <c r="K1965" s="33"/>
      <c r="L1965" s="66"/>
      <c r="M1965" s="27"/>
      <c r="N1965" s="27"/>
      <c r="O1965" s="27"/>
      <c r="P1965" s="27"/>
      <c r="Q1965" s="27"/>
      <c r="R1965" s="27"/>
      <c r="S1965" s="27"/>
      <c r="T1965" s="27"/>
      <c r="U1965" s="27"/>
      <c r="V1965" s="27"/>
      <c r="W1965" s="27"/>
      <c r="X1965" s="27"/>
      <c r="Y1965" s="27"/>
      <c r="Z1965" s="27"/>
      <c r="AA1965" s="27"/>
      <c r="AB1965" s="27"/>
      <c r="AC1965" s="27"/>
      <c r="AD1965" s="27"/>
      <c r="AE1965" s="27"/>
      <c r="AF1965" s="27"/>
      <c r="AG1965" s="27"/>
      <c r="AH1965" s="27">
        <v>410.0</v>
      </c>
      <c r="AI1965" s="27">
        <v>290.0</v>
      </c>
      <c r="AJ1965" s="27">
        <v>2.0</v>
      </c>
      <c r="AK1965" s="27" t="b">
        <v>0</v>
      </c>
      <c r="AL1965" s="27">
        <v>100.0</v>
      </c>
      <c r="AM1965" s="27" t="s">
        <v>192</v>
      </c>
      <c r="AN1965" s="27" t="s">
        <v>404</v>
      </c>
      <c r="AO1965" s="27"/>
    </row>
    <row r="1966">
      <c r="A1966" s="200">
        <v>44894.02510262732</v>
      </c>
      <c r="B1966" s="19" t="s">
        <v>103</v>
      </c>
      <c r="C1966" s="21" t="s">
        <v>324</v>
      </c>
      <c r="D1966" s="62">
        <v>9.0</v>
      </c>
      <c r="E1966" s="27">
        <v>3.0</v>
      </c>
      <c r="F1966" s="27" t="s">
        <v>385</v>
      </c>
      <c r="G1966" s="201" t="s">
        <v>57</v>
      </c>
      <c r="H1966" s="27" t="s">
        <v>131</v>
      </c>
      <c r="I1966" s="27" t="s">
        <v>126</v>
      </c>
      <c r="J1966" s="33"/>
      <c r="K1966" s="33"/>
      <c r="L1966" s="66"/>
      <c r="M1966" s="27"/>
      <c r="N1966" s="27"/>
      <c r="O1966" s="27"/>
      <c r="P1966" s="27"/>
      <c r="Q1966" s="27"/>
      <c r="R1966" s="27"/>
      <c r="S1966" s="27"/>
      <c r="T1966" s="27"/>
      <c r="U1966" s="27"/>
      <c r="V1966" s="27"/>
      <c r="W1966" s="27"/>
      <c r="X1966" s="27"/>
      <c r="Y1966" s="27"/>
      <c r="Z1966" s="27"/>
      <c r="AA1966" s="27"/>
      <c r="AB1966" s="27"/>
      <c r="AC1966" s="27"/>
      <c r="AD1966" s="27"/>
      <c r="AE1966" s="27"/>
      <c r="AF1966" s="27"/>
      <c r="AG1966" s="27"/>
      <c r="AH1966" s="27">
        <v>319.0</v>
      </c>
      <c r="AI1966" s="27">
        <v>156.0</v>
      </c>
      <c r="AJ1966" s="27">
        <v>3.0</v>
      </c>
      <c r="AK1966" s="27" t="b">
        <v>0</v>
      </c>
      <c r="AL1966" s="27">
        <v>100.0</v>
      </c>
      <c r="AM1966" s="27" t="s">
        <v>129</v>
      </c>
      <c r="AN1966" s="27" t="s">
        <v>405</v>
      </c>
      <c r="AO1966" s="27"/>
    </row>
    <row r="1967">
      <c r="A1967" s="200">
        <v>44894.02510262732</v>
      </c>
      <c r="B1967" s="19"/>
      <c r="C1967" s="21"/>
      <c r="D1967" s="62"/>
      <c r="E1967" s="27"/>
      <c r="F1967" s="27"/>
      <c r="G1967" s="201"/>
      <c r="H1967" s="27"/>
      <c r="I1967" s="27"/>
      <c r="J1967" s="33"/>
      <c r="K1967" s="33"/>
      <c r="L1967" s="66"/>
      <c r="M1967" s="27"/>
      <c r="N1967" s="27"/>
      <c r="O1967" s="27"/>
      <c r="P1967" s="27"/>
      <c r="Q1967" s="27"/>
      <c r="R1967" s="27"/>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t="e">
        <v>#N/A</v>
      </c>
      <c r="AN1967" s="27" t="e">
        <v>#N/A</v>
      </c>
      <c r="AO1967" s="27"/>
    </row>
    <row r="1968">
      <c r="A1968" s="200">
        <v>44894.02510262732</v>
      </c>
      <c r="B1968" s="19" t="s">
        <v>154</v>
      </c>
      <c r="C1968" s="21" t="s">
        <v>372</v>
      </c>
      <c r="D1968" s="62">
        <v>9.0</v>
      </c>
      <c r="E1968" s="27">
        <v>3.0</v>
      </c>
      <c r="F1968" s="27" t="s">
        <v>392</v>
      </c>
      <c r="G1968" s="201" t="s">
        <v>57</v>
      </c>
      <c r="H1968" s="27" t="s">
        <v>144</v>
      </c>
      <c r="I1968" s="27" t="s">
        <v>93</v>
      </c>
      <c r="J1968" s="33"/>
      <c r="K1968" s="33"/>
      <c r="L1968" s="66"/>
      <c r="M1968" s="27"/>
      <c r="N1968" s="27"/>
      <c r="O1968" s="27"/>
      <c r="P1968" s="27"/>
      <c r="Q1968" s="27"/>
      <c r="R1968" s="27"/>
      <c r="S1968" s="27"/>
      <c r="T1968" s="27"/>
      <c r="U1968" s="27"/>
      <c r="V1968" s="27"/>
      <c r="W1968" s="27"/>
      <c r="X1968" s="27"/>
      <c r="Y1968" s="27"/>
      <c r="Z1968" s="27"/>
      <c r="AA1968" s="27"/>
      <c r="AB1968" s="27"/>
      <c r="AC1968" s="27"/>
      <c r="AD1968" s="27"/>
      <c r="AE1968" s="27"/>
      <c r="AF1968" s="27"/>
      <c r="AG1968" s="27"/>
      <c r="AH1968" s="27">
        <v>410.0</v>
      </c>
      <c r="AI1968" s="27">
        <v>220.0</v>
      </c>
      <c r="AJ1968" s="27">
        <v>0.0</v>
      </c>
      <c r="AK1968" s="27" t="b">
        <v>1</v>
      </c>
      <c r="AL1968" s="27">
        <v>100.0</v>
      </c>
      <c r="AM1968" s="27" t="s">
        <v>191</v>
      </c>
      <c r="AN1968" s="27" t="s">
        <v>404</v>
      </c>
      <c r="AO1968" s="27"/>
    </row>
    <row r="1969">
      <c r="A1969" s="200">
        <v>44894.02510262732</v>
      </c>
      <c r="B1969" s="19" t="s">
        <v>154</v>
      </c>
      <c r="C1969" s="21" t="s">
        <v>366</v>
      </c>
      <c r="D1969" s="62">
        <v>5.0</v>
      </c>
      <c r="E1969" s="27">
        <v>7.0</v>
      </c>
      <c r="F1969" s="27" t="s">
        <v>297</v>
      </c>
      <c r="G1969" s="201" t="s">
        <v>57</v>
      </c>
      <c r="H1969" s="27" t="s">
        <v>138</v>
      </c>
      <c r="I1969" s="27"/>
      <c r="J1969" s="33"/>
      <c r="K1969" s="33"/>
      <c r="L1969" s="66"/>
      <c r="M1969" s="27"/>
      <c r="N1969" s="27"/>
      <c r="O1969" s="27"/>
      <c r="P1969" s="27"/>
      <c r="Q1969" s="27"/>
      <c r="R1969" s="27"/>
      <c r="S1969" s="27"/>
      <c r="T1969" s="27"/>
      <c r="U1969" s="27"/>
      <c r="V1969" s="27"/>
      <c r="W1969" s="27"/>
      <c r="X1969" s="27"/>
      <c r="Y1969" s="27"/>
      <c r="Z1969" s="27"/>
      <c r="AA1969" s="27"/>
      <c r="AB1969" s="27"/>
      <c r="AC1969" s="27"/>
      <c r="AD1969" s="27"/>
      <c r="AE1969" s="27"/>
      <c r="AF1969" s="27"/>
      <c r="AG1969" s="27"/>
      <c r="AH1969" s="27">
        <v>262.0</v>
      </c>
      <c r="AI1969" s="27">
        <v>290.0</v>
      </c>
      <c r="AJ1969" s="27">
        <v>2.0</v>
      </c>
      <c r="AK1969" s="27" t="b">
        <v>0</v>
      </c>
      <c r="AL1969" s="27">
        <v>100.0</v>
      </c>
      <c r="AM1969" s="27" t="s">
        <v>189</v>
      </c>
      <c r="AN1969" s="27" t="s">
        <v>405</v>
      </c>
      <c r="AO1969" s="27"/>
    </row>
    <row r="1970">
      <c r="A1970" s="200">
        <v>44894.02510262732</v>
      </c>
      <c r="B1970" s="19" t="s">
        <v>154</v>
      </c>
      <c r="C1970" s="21" t="s">
        <v>352</v>
      </c>
      <c r="D1970" s="62">
        <v>3.0</v>
      </c>
      <c r="E1970" s="27">
        <v>9.0</v>
      </c>
      <c r="F1970" s="27" t="s">
        <v>319</v>
      </c>
      <c r="G1970" s="201" t="s">
        <v>57</v>
      </c>
      <c r="H1970" s="27" t="s">
        <v>141</v>
      </c>
      <c r="I1970" s="27"/>
      <c r="J1970" s="33"/>
      <c r="K1970" s="33"/>
      <c r="L1970" s="66"/>
      <c r="M1970" s="27"/>
      <c r="N1970" s="27"/>
      <c r="O1970" s="27"/>
      <c r="P1970" s="27"/>
      <c r="Q1970" s="27"/>
      <c r="R1970" s="27"/>
      <c r="S1970" s="27"/>
      <c r="T1970" s="27"/>
      <c r="U1970" s="27"/>
      <c r="V1970" s="27"/>
      <c r="W1970" s="27"/>
      <c r="X1970" s="27"/>
      <c r="Y1970" s="27"/>
      <c r="Z1970" s="27"/>
      <c r="AA1970" s="27"/>
      <c r="AB1970" s="27"/>
      <c r="AC1970" s="27"/>
      <c r="AD1970" s="27"/>
      <c r="AE1970" s="27"/>
      <c r="AF1970" s="27"/>
      <c r="AG1970" s="27"/>
      <c r="AH1970" s="27">
        <v>300.0</v>
      </c>
      <c r="AI1970" s="27">
        <v>377.0</v>
      </c>
      <c r="AJ1970" s="27">
        <v>2.0</v>
      </c>
      <c r="AK1970" s="27" t="b">
        <v>1</v>
      </c>
      <c r="AL1970" s="27">
        <v>100.0</v>
      </c>
      <c r="AM1970" s="27" t="s">
        <v>193</v>
      </c>
      <c r="AN1970" s="27" t="s">
        <v>405</v>
      </c>
      <c r="AO1970" s="27"/>
    </row>
    <row r="1971">
      <c r="A1971" s="200">
        <v>44894.02510262732</v>
      </c>
      <c r="B1971" s="19" t="s">
        <v>154</v>
      </c>
      <c r="C1971" s="21" t="s">
        <v>368</v>
      </c>
      <c r="D1971" s="62">
        <v>1.0</v>
      </c>
      <c r="E1971" s="27">
        <v>11.0</v>
      </c>
      <c r="F1971" s="27" t="s">
        <v>411</v>
      </c>
      <c r="G1971" s="201" t="s">
        <v>57</v>
      </c>
      <c r="H1971" s="27" t="s">
        <v>144</v>
      </c>
      <c r="I1971" s="27"/>
      <c r="J1971" s="33"/>
      <c r="K1971" s="33"/>
      <c r="L1971" s="66"/>
      <c r="M1971" s="27"/>
      <c r="N1971" s="27"/>
      <c r="O1971" s="27"/>
      <c r="P1971" s="27"/>
      <c r="Q1971" s="27"/>
      <c r="R1971" s="27"/>
      <c r="S1971" s="27"/>
      <c r="T1971" s="27"/>
      <c r="U1971" s="27"/>
      <c r="V1971" s="27"/>
      <c r="W1971" s="27"/>
      <c r="X1971" s="27"/>
      <c r="Y1971" s="27"/>
      <c r="Z1971" s="27"/>
      <c r="AA1971" s="27"/>
      <c r="AB1971" s="27"/>
      <c r="AC1971" s="27"/>
      <c r="AD1971" s="27"/>
      <c r="AE1971" s="27"/>
      <c r="AF1971" s="27"/>
      <c r="AG1971" s="27"/>
      <c r="AH1971" s="27">
        <v>165.0</v>
      </c>
      <c r="AI1971" s="27">
        <v>340.0</v>
      </c>
      <c r="AJ1971" s="27">
        <v>2.0</v>
      </c>
      <c r="AK1971" s="27" t="b">
        <v>0</v>
      </c>
      <c r="AL1971" s="27">
        <v>100.0</v>
      </c>
      <c r="AM1971" s="27" t="s">
        <v>188</v>
      </c>
      <c r="AN1971" s="27" t="s">
        <v>404</v>
      </c>
      <c r="AO1971" s="27"/>
    </row>
    <row r="1972">
      <c r="A1972" s="200">
        <v>44894.02510262732</v>
      </c>
      <c r="B1972" s="19" t="s">
        <v>154</v>
      </c>
      <c r="C1972" s="21" t="s">
        <v>379</v>
      </c>
      <c r="D1972" s="62">
        <v>8.0</v>
      </c>
      <c r="E1972" s="27">
        <v>4.0</v>
      </c>
      <c r="F1972" s="27" t="s">
        <v>207</v>
      </c>
      <c r="G1972" s="201" t="s">
        <v>57</v>
      </c>
      <c r="H1972" s="27" t="s">
        <v>131</v>
      </c>
      <c r="I1972" s="27"/>
      <c r="J1972" s="33"/>
      <c r="K1972" s="33"/>
      <c r="L1972" s="66"/>
      <c r="M1972" s="27"/>
      <c r="N1972" s="27"/>
      <c r="O1972" s="27"/>
      <c r="P1972" s="27"/>
      <c r="Q1972" s="27"/>
      <c r="R1972" s="27"/>
      <c r="S1972" s="27"/>
      <c r="T1972" s="27"/>
      <c r="U1972" s="27"/>
      <c r="V1972" s="27"/>
      <c r="W1972" s="27"/>
      <c r="X1972" s="27"/>
      <c r="Y1972" s="27"/>
      <c r="Z1972" s="27"/>
      <c r="AA1972" s="27"/>
      <c r="AB1972" s="27"/>
      <c r="AC1972" s="27"/>
      <c r="AD1972" s="27"/>
      <c r="AE1972" s="27"/>
      <c r="AF1972" s="27"/>
      <c r="AG1972" s="27"/>
      <c r="AH1972" s="27">
        <v>380.0</v>
      </c>
      <c r="AI1972" s="27">
        <v>330.0</v>
      </c>
      <c r="AJ1972" s="27">
        <v>2.0</v>
      </c>
      <c r="AK1972" s="27" t="b">
        <v>0</v>
      </c>
      <c r="AL1972" s="27">
        <v>100.0</v>
      </c>
      <c r="AM1972" s="27" t="s">
        <v>192</v>
      </c>
      <c r="AN1972" s="27" t="s">
        <v>404</v>
      </c>
      <c r="AO1972" s="27"/>
    </row>
    <row r="1973">
      <c r="A1973" s="200">
        <v>44894.02510262732</v>
      </c>
      <c r="B1973" s="19" t="s">
        <v>154</v>
      </c>
      <c r="C1973" s="21" t="s">
        <v>383</v>
      </c>
      <c r="D1973" s="62">
        <v>7.0</v>
      </c>
      <c r="E1973" s="27">
        <v>5.0</v>
      </c>
      <c r="F1973" s="27" t="s">
        <v>413</v>
      </c>
      <c r="G1973" s="201" t="s">
        <v>57</v>
      </c>
      <c r="H1973" s="27" t="s">
        <v>144</v>
      </c>
      <c r="I1973" s="27"/>
      <c r="J1973" s="33"/>
      <c r="K1973" s="33"/>
      <c r="L1973" s="66"/>
      <c r="M1973" s="27"/>
      <c r="N1973" s="27"/>
      <c r="O1973" s="27"/>
      <c r="P1973" s="27"/>
      <c r="Q1973" s="27"/>
      <c r="R1973" s="27"/>
      <c r="S1973" s="27"/>
      <c r="T1973" s="27"/>
      <c r="U1973" s="27"/>
      <c r="V1973" s="27"/>
      <c r="W1973" s="27"/>
      <c r="X1973" s="27"/>
      <c r="Y1973" s="27"/>
      <c r="Z1973" s="27"/>
      <c r="AA1973" s="27"/>
      <c r="AB1973" s="27"/>
      <c r="AC1973" s="27"/>
      <c r="AD1973" s="27"/>
      <c r="AE1973" s="27"/>
      <c r="AF1973" s="27"/>
      <c r="AG1973" s="27"/>
      <c r="AH1973" s="27">
        <v>249.0</v>
      </c>
      <c r="AI1973" s="27">
        <v>281.0</v>
      </c>
      <c r="AJ1973" s="27">
        <v>2.0</v>
      </c>
      <c r="AK1973" s="27" t="b">
        <v>1</v>
      </c>
      <c r="AL1973" s="27">
        <v>100.0</v>
      </c>
      <c r="AM1973" s="27" t="s">
        <v>129</v>
      </c>
      <c r="AN1973" s="27" t="s">
        <v>405</v>
      </c>
      <c r="AO1973" s="27"/>
    </row>
    <row r="1974">
      <c r="A1974" s="200">
        <v>44894.02510262732</v>
      </c>
      <c r="B1974" s="19" t="s">
        <v>154</v>
      </c>
      <c r="C1974" s="21" t="s">
        <v>382</v>
      </c>
      <c r="D1974" s="62">
        <v>5.0</v>
      </c>
      <c r="E1974" s="27">
        <v>7.0</v>
      </c>
      <c r="F1974" s="27" t="s">
        <v>266</v>
      </c>
      <c r="G1974" s="201" t="s">
        <v>57</v>
      </c>
      <c r="H1974" s="27" t="s">
        <v>178</v>
      </c>
      <c r="I1974" s="27"/>
      <c r="J1974" s="33"/>
      <c r="K1974" s="33"/>
      <c r="L1974" s="66"/>
      <c r="M1974" s="27"/>
      <c r="N1974" s="27"/>
      <c r="O1974" s="27"/>
      <c r="P1974" s="27"/>
      <c r="Q1974" s="27"/>
      <c r="R1974" s="27"/>
      <c r="S1974" s="27"/>
      <c r="T1974" s="27"/>
      <c r="U1974" s="27"/>
      <c r="V1974" s="27"/>
      <c r="W1974" s="27"/>
      <c r="X1974" s="27"/>
      <c r="Y1974" s="27"/>
      <c r="Z1974" s="27"/>
      <c r="AA1974" s="27"/>
      <c r="AB1974" s="27"/>
      <c r="AC1974" s="27"/>
      <c r="AD1974" s="27"/>
      <c r="AE1974" s="27"/>
      <c r="AF1974" s="27"/>
      <c r="AG1974" s="27"/>
      <c r="AH1974" s="27">
        <v>228.0</v>
      </c>
      <c r="AI1974" s="27">
        <v>289.0</v>
      </c>
      <c r="AJ1974" s="27">
        <v>2.0</v>
      </c>
      <c r="AK1974" s="27" t="b">
        <v>0</v>
      </c>
      <c r="AL1974" s="27">
        <v>100.0</v>
      </c>
      <c r="AM1974" s="27" t="s">
        <v>190</v>
      </c>
      <c r="AN1974" s="27" t="s">
        <v>405</v>
      </c>
      <c r="AO1974" s="27"/>
    </row>
    <row r="1975">
      <c r="A1975" s="200">
        <v>44894.02510262732</v>
      </c>
      <c r="B1975" s="19" t="s">
        <v>154</v>
      </c>
      <c r="C1975" s="21" t="s">
        <v>320</v>
      </c>
      <c r="D1975" s="62">
        <v>6.0</v>
      </c>
      <c r="E1975" s="27">
        <v>6.0</v>
      </c>
      <c r="F1975" s="27" t="s">
        <v>419</v>
      </c>
      <c r="G1975" s="201" t="s">
        <v>57</v>
      </c>
      <c r="H1975" s="27" t="s">
        <v>166</v>
      </c>
      <c r="I1975" s="27"/>
      <c r="J1975" s="33"/>
      <c r="K1975" s="33"/>
      <c r="L1975" s="66"/>
      <c r="M1975" s="27"/>
      <c r="N1975" s="27"/>
      <c r="O1975" s="27"/>
      <c r="P1975" s="27"/>
      <c r="Q1975" s="27"/>
      <c r="R1975" s="27"/>
      <c r="S1975" s="27"/>
      <c r="T1975" s="27"/>
      <c r="U1975" s="27"/>
      <c r="V1975" s="27"/>
      <c r="W1975" s="27"/>
      <c r="X1975" s="27"/>
      <c r="Y1975" s="27"/>
      <c r="Z1975" s="27"/>
      <c r="AA1975" s="27"/>
      <c r="AB1975" s="27"/>
      <c r="AC1975" s="27"/>
      <c r="AD1975" s="27"/>
      <c r="AE1975" s="27"/>
      <c r="AF1975" s="27"/>
      <c r="AG1975" s="27"/>
      <c r="AH1975" s="27">
        <v>403.0</v>
      </c>
      <c r="AI1975" s="27">
        <v>319.0</v>
      </c>
      <c r="AJ1975" s="27">
        <v>2.0</v>
      </c>
      <c r="AK1975" s="27" t="b">
        <v>0</v>
      </c>
      <c r="AL1975" s="27">
        <v>100.0</v>
      </c>
      <c r="AM1975" s="27" t="s">
        <v>187</v>
      </c>
      <c r="AN1975" s="27" t="s">
        <v>404</v>
      </c>
      <c r="AO1975" s="27"/>
    </row>
    <row r="1976">
      <c r="A1976" s="200">
        <v>44894.02510262732</v>
      </c>
      <c r="B1976" s="19" t="s">
        <v>154</v>
      </c>
      <c r="C1976" s="21" t="s">
        <v>363</v>
      </c>
      <c r="D1976" s="62">
        <v>8.0</v>
      </c>
      <c r="E1976" s="27">
        <v>4.0</v>
      </c>
      <c r="F1976" s="27" t="s">
        <v>406</v>
      </c>
      <c r="G1976" s="201" t="s">
        <v>183</v>
      </c>
      <c r="H1976" s="27" t="s">
        <v>109</v>
      </c>
      <c r="I1976" s="27"/>
      <c r="J1976" s="33"/>
      <c r="K1976" s="33"/>
      <c r="L1976" s="66"/>
      <c r="M1976" s="27"/>
      <c r="N1976" s="27"/>
      <c r="O1976" s="27"/>
      <c r="P1976" s="27"/>
      <c r="Q1976" s="27"/>
      <c r="R1976" s="27"/>
      <c r="S1976" s="27"/>
      <c r="T1976" s="27"/>
      <c r="U1976" s="27"/>
      <c r="V1976" s="27"/>
      <c r="W1976" s="27"/>
      <c r="X1976" s="27"/>
      <c r="Y1976" s="27"/>
      <c r="Z1976" s="27"/>
      <c r="AA1976" s="27"/>
      <c r="AB1976" s="27"/>
      <c r="AC1976" s="27"/>
      <c r="AD1976" s="27"/>
      <c r="AE1976" s="27"/>
      <c r="AF1976" s="27"/>
      <c r="AG1976" s="27"/>
      <c r="AH1976" s="27">
        <v>304.0</v>
      </c>
      <c r="AI1976" s="27">
        <v>233.0</v>
      </c>
      <c r="AJ1976" s="27">
        <v>2.0</v>
      </c>
      <c r="AK1976" s="27" t="b">
        <v>0</v>
      </c>
      <c r="AL1976" s="27">
        <v>100.0</v>
      </c>
      <c r="AM1976" s="27" t="s">
        <v>186</v>
      </c>
      <c r="AN1976" s="27" t="s">
        <v>404</v>
      </c>
      <c r="AO1976" s="27"/>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71" max="71" width="13.5"/>
  </cols>
  <sheetData>
    <row r="1">
      <c r="A1" s="190" t="s">
        <v>716</v>
      </c>
      <c r="B1" t="s">
        <v>282</v>
      </c>
      <c r="C1" t="s">
        <v>281</v>
      </c>
      <c r="D1" t="s">
        <v>325</v>
      </c>
      <c r="E1" t="s">
        <v>330</v>
      </c>
      <c r="F1" t="s">
        <v>339</v>
      </c>
      <c r="G1" t="s">
        <v>347</v>
      </c>
      <c r="H1" t="s">
        <v>314</v>
      </c>
      <c r="I1" t="s">
        <v>210</v>
      </c>
      <c r="J1" t="s">
        <v>362</v>
      </c>
      <c r="K1" t="s">
        <v>267</v>
      </c>
      <c r="L1" t="s">
        <v>195</v>
      </c>
      <c r="M1" t="s">
        <v>374</v>
      </c>
      <c r="N1" t="s">
        <v>289</v>
      </c>
      <c r="O1" t="s">
        <v>206</v>
      </c>
      <c r="P1" t="s">
        <v>331</v>
      </c>
      <c r="Q1" t="s">
        <v>340</v>
      </c>
      <c r="R1" t="s">
        <v>348</v>
      </c>
      <c r="S1" t="s">
        <v>353</v>
      </c>
      <c r="T1" t="s">
        <v>357</v>
      </c>
      <c r="U1" t="s">
        <v>363</v>
      </c>
      <c r="V1" t="s">
        <v>367</v>
      </c>
      <c r="W1" t="s">
        <v>370</v>
      </c>
      <c r="X1" t="s">
        <v>308</v>
      </c>
      <c r="Y1" t="s">
        <v>155</v>
      </c>
      <c r="Z1" t="s">
        <v>384</v>
      </c>
      <c r="AA1" t="s">
        <v>259</v>
      </c>
      <c r="AB1" t="s">
        <v>320</v>
      </c>
      <c r="AC1" t="s">
        <v>326</v>
      </c>
      <c r="AD1" t="s">
        <v>217</v>
      </c>
      <c r="AE1" t="s">
        <v>291</v>
      </c>
      <c r="AF1" t="s">
        <v>184</v>
      </c>
      <c r="AG1" t="s">
        <v>354</v>
      </c>
      <c r="AH1" t="s">
        <v>358</v>
      </c>
      <c r="AI1" t="s">
        <v>364</v>
      </c>
      <c r="AJ1" t="s">
        <v>272</v>
      </c>
      <c r="AK1" t="s">
        <v>371</v>
      </c>
      <c r="AL1" t="s">
        <v>321</v>
      </c>
      <c r="AM1" t="s">
        <v>327</v>
      </c>
      <c r="AN1" t="s">
        <v>332</v>
      </c>
      <c r="AO1" t="s">
        <v>341</v>
      </c>
      <c r="AP1" t="s">
        <v>284</v>
      </c>
      <c r="AQ1" t="s">
        <v>294</v>
      </c>
      <c r="AR1" t="s">
        <v>240</v>
      </c>
      <c r="AS1" t="s">
        <v>365</v>
      </c>
      <c r="AT1" t="s">
        <v>368</v>
      </c>
      <c r="AU1" t="s">
        <v>168</v>
      </c>
      <c r="AV1" t="s">
        <v>375</v>
      </c>
      <c r="AW1" t="s">
        <v>381</v>
      </c>
      <c r="AX1" t="s">
        <v>386</v>
      </c>
      <c r="AY1" t="s">
        <v>197</v>
      </c>
      <c r="AZ1" t="s">
        <v>719</v>
      </c>
      <c r="BA1" t="s">
        <v>181</v>
      </c>
      <c r="BB1" t="s">
        <v>334</v>
      </c>
      <c r="BC1" t="s">
        <v>306</v>
      </c>
      <c r="BD1" t="s">
        <v>343</v>
      </c>
      <c r="BE1" t="s">
        <v>204</v>
      </c>
      <c r="BF1" t="s">
        <v>170</v>
      </c>
      <c r="BG1" t="s">
        <v>355</v>
      </c>
      <c r="BH1" s="26" t="s">
        <v>720</v>
      </c>
      <c r="BI1" t="s">
        <v>317</v>
      </c>
      <c r="BJ1" t="s">
        <v>366</v>
      </c>
      <c r="BK1" t="s">
        <v>296</v>
      </c>
      <c r="BL1" t="s">
        <v>271</v>
      </c>
      <c r="BM1" t="s">
        <v>378</v>
      </c>
      <c r="BN1" t="s">
        <v>323</v>
      </c>
      <c r="BO1" t="s">
        <v>329</v>
      </c>
      <c r="BP1" t="s">
        <v>335</v>
      </c>
      <c r="BQ1" t="s">
        <v>344</v>
      </c>
      <c r="BR1" t="s">
        <v>285</v>
      </c>
      <c r="BS1" t="s">
        <v>721</v>
      </c>
      <c r="BT1" t="s">
        <v>359</v>
      </c>
      <c r="BU1" s="26" t="s">
        <v>722</v>
      </c>
      <c r="BV1" t="s">
        <v>298</v>
      </c>
      <c r="BW1" t="s">
        <v>176</v>
      </c>
      <c r="BX1" t="s">
        <v>265</v>
      </c>
      <c r="BY1" t="s">
        <v>382</v>
      </c>
      <c r="BZ1" t="s">
        <v>324</v>
      </c>
      <c r="CA1" t="s">
        <v>316</v>
      </c>
      <c r="CB1" t="s">
        <v>336</v>
      </c>
      <c r="CC1" t="s">
        <v>345</v>
      </c>
      <c r="CD1" t="s">
        <v>725</v>
      </c>
      <c r="CE1" t="s">
        <v>120</v>
      </c>
      <c r="CF1" t="s">
        <v>263</v>
      </c>
      <c r="CG1" t="s">
        <v>219</v>
      </c>
      <c r="CH1" t="s">
        <v>727</v>
      </c>
      <c r="CI1" t="s">
        <v>279</v>
      </c>
      <c r="CJ1" t="s">
        <v>304</v>
      </c>
      <c r="CK1" t="s">
        <v>383</v>
      </c>
      <c r="CL1" t="s">
        <v>322</v>
      </c>
      <c r="CM1" t="s">
        <v>328</v>
      </c>
      <c r="CN1" t="s">
        <v>333</v>
      </c>
      <c r="CO1" t="s">
        <v>342</v>
      </c>
      <c r="CP1" t="s">
        <v>54</v>
      </c>
      <c r="CQ1" t="s">
        <v>274</v>
      </c>
      <c r="CR1" t="s">
        <v>311</v>
      </c>
      <c r="CS1" t="s">
        <v>261</v>
      </c>
      <c r="CT1" t="s">
        <v>369</v>
      </c>
      <c r="CU1" t="s">
        <v>372</v>
      </c>
      <c r="CV1" t="s">
        <v>377</v>
      </c>
      <c r="CW1" t="s">
        <v>222</v>
      </c>
      <c r="CX1" t="s">
        <v>287</v>
      </c>
      <c r="CY1" t="s">
        <v>303</v>
      </c>
      <c r="CZ1" t="s">
        <v>337</v>
      </c>
      <c r="DA1" t="s">
        <v>346</v>
      </c>
      <c r="DB1" t="s">
        <v>313</v>
      </c>
      <c r="DC1" t="s">
        <v>283</v>
      </c>
      <c r="DD1" t="s">
        <v>360</v>
      </c>
      <c r="DE1" t="s">
        <v>269</v>
      </c>
      <c r="DF1" t="s">
        <v>173</v>
      </c>
      <c r="DG1" t="s">
        <v>373</v>
      </c>
      <c r="DH1" t="s">
        <v>379</v>
      </c>
      <c r="DI1" t="s">
        <v>214</v>
      </c>
      <c r="DJ1" s="26" t="s">
        <v>728</v>
      </c>
      <c r="DK1" t="s">
        <v>309</v>
      </c>
      <c r="DL1" t="s">
        <v>277</v>
      </c>
      <c r="DM1" t="s">
        <v>352</v>
      </c>
      <c r="DN1" t="s">
        <v>257</v>
      </c>
      <c r="DO1" t="s">
        <v>361</v>
      </c>
      <c r="DP1" t="s">
        <v>729</v>
      </c>
      <c r="DQ1" t="s">
        <v>199</v>
      </c>
      <c r="DR1" t="s">
        <v>302</v>
      </c>
      <c r="DS1" t="s">
        <v>380</v>
      </c>
      <c r="DT1" t="s">
        <v>318</v>
      </c>
      <c r="DU1" t="s">
        <v>300</v>
      </c>
      <c r="DV1" t="s">
        <v>398</v>
      </c>
      <c r="DW1" t="s">
        <v>393</v>
      </c>
      <c r="DX1" t="s">
        <v>399</v>
      </c>
      <c r="DY1" t="s">
        <v>394</v>
      </c>
      <c r="DZ1" t="s">
        <v>400</v>
      </c>
      <c r="EA1" s="26" t="s">
        <v>731</v>
      </c>
    </row>
    <row r="2">
      <c r="A2" s="191" t="s">
        <v>733</v>
      </c>
      <c r="B2" t="s">
        <v>735</v>
      </c>
      <c r="C2" t="s">
        <v>736</v>
      </c>
      <c r="D2" t="s">
        <v>737</v>
      </c>
      <c r="E2" t="s">
        <v>738</v>
      </c>
      <c r="F2" t="s">
        <v>739</v>
      </c>
      <c r="G2" t="s">
        <v>740</v>
      </c>
      <c r="H2" t="s">
        <v>314</v>
      </c>
      <c r="I2" t="s">
        <v>741</v>
      </c>
      <c r="J2" t="s">
        <v>742</v>
      </c>
      <c r="K2" t="s">
        <v>743</v>
      </c>
      <c r="L2" t="s">
        <v>744</v>
      </c>
      <c r="M2" t="s">
        <v>374</v>
      </c>
      <c r="N2" t="s">
        <v>745</v>
      </c>
      <c r="O2" t="s">
        <v>746</v>
      </c>
      <c r="P2" t="s">
        <v>747</v>
      </c>
      <c r="Q2" t="s">
        <v>748</v>
      </c>
      <c r="R2" t="s">
        <v>749</v>
      </c>
      <c r="S2" t="s">
        <v>750</v>
      </c>
      <c r="T2" s="26" t="s">
        <v>751</v>
      </c>
      <c r="U2" t="s">
        <v>752</v>
      </c>
      <c r="V2" t="s">
        <v>753</v>
      </c>
      <c r="W2" t="s">
        <v>754</v>
      </c>
      <c r="X2" t="s">
        <v>755</v>
      </c>
      <c r="Y2" t="s">
        <v>756</v>
      </c>
      <c r="Z2" t="s">
        <v>757</v>
      </c>
      <c r="AA2" t="s">
        <v>758</v>
      </c>
      <c r="AB2" t="s">
        <v>759</v>
      </c>
      <c r="AC2" t="s">
        <v>760</v>
      </c>
      <c r="AD2" t="s">
        <v>761</v>
      </c>
      <c r="AE2" t="s">
        <v>762</v>
      </c>
      <c r="AF2" s="26" t="s">
        <v>763</v>
      </c>
      <c r="AG2" t="s">
        <v>764</v>
      </c>
      <c r="AH2" t="s">
        <v>358</v>
      </c>
      <c r="AI2" t="s">
        <v>765</v>
      </c>
      <c r="AJ2" t="s">
        <v>766</v>
      </c>
      <c r="AK2" t="s">
        <v>768</v>
      </c>
      <c r="AL2" t="s">
        <v>769</v>
      </c>
      <c r="AM2" s="26" t="s">
        <v>770</v>
      </c>
      <c r="AN2" t="s">
        <v>771</v>
      </c>
      <c r="AO2" t="s">
        <v>772</v>
      </c>
      <c r="AP2" t="s">
        <v>773</v>
      </c>
      <c r="AQ2" t="s">
        <v>774</v>
      </c>
      <c r="AR2" t="s">
        <v>775</v>
      </c>
      <c r="AS2" t="s">
        <v>776</v>
      </c>
      <c r="AT2" s="26" t="s">
        <v>777</v>
      </c>
      <c r="AU2" t="s">
        <v>778</v>
      </c>
      <c r="AV2" t="s">
        <v>779</v>
      </c>
      <c r="AW2" t="s">
        <v>780</v>
      </c>
      <c r="AX2" t="s">
        <v>781</v>
      </c>
      <c r="AY2" s="26" t="s">
        <v>782</v>
      </c>
      <c r="AZ2" t="s">
        <v>783</v>
      </c>
      <c r="BA2" t="s">
        <v>784</v>
      </c>
      <c r="BB2" s="26" t="s">
        <v>785</v>
      </c>
      <c r="BC2" t="s">
        <v>786</v>
      </c>
      <c r="BD2" t="s">
        <v>787</v>
      </c>
      <c r="BE2" t="s">
        <v>788</v>
      </c>
      <c r="BF2" t="s">
        <v>789</v>
      </c>
      <c r="BG2" t="s">
        <v>791</v>
      </c>
      <c r="BH2" t="s">
        <v>792</v>
      </c>
      <c r="BI2" s="26" t="s">
        <v>793</v>
      </c>
      <c r="BJ2" t="s">
        <v>366</v>
      </c>
      <c r="BK2" t="s">
        <v>296</v>
      </c>
      <c r="BL2" t="s">
        <v>794</v>
      </c>
      <c r="BM2" t="s">
        <v>378</v>
      </c>
      <c r="BN2" s="26" t="s">
        <v>795</v>
      </c>
      <c r="BO2" t="s">
        <v>796</v>
      </c>
      <c r="BP2" t="s">
        <v>797</v>
      </c>
      <c r="BQ2" t="s">
        <v>798</v>
      </c>
      <c r="BR2" t="s">
        <v>799</v>
      </c>
      <c r="BS2" t="s">
        <v>356</v>
      </c>
      <c r="BT2" t="s">
        <v>800</v>
      </c>
      <c r="BU2" s="26" t="s">
        <v>801</v>
      </c>
      <c r="BV2" t="s">
        <v>802</v>
      </c>
      <c r="BW2" t="s">
        <v>803</v>
      </c>
      <c r="BX2" t="s">
        <v>804</v>
      </c>
      <c r="BY2" t="s">
        <v>805</v>
      </c>
      <c r="BZ2" t="s">
        <v>806</v>
      </c>
      <c r="CA2" t="s">
        <v>1004</v>
      </c>
      <c r="CB2" t="s">
        <v>808</v>
      </c>
      <c r="CC2" t="s">
        <v>809</v>
      </c>
      <c r="CD2" t="s">
        <v>810</v>
      </c>
      <c r="CE2" t="s">
        <v>811</v>
      </c>
      <c r="CF2" t="s">
        <v>812</v>
      </c>
      <c r="CG2" t="s">
        <v>813</v>
      </c>
      <c r="CH2" t="s">
        <v>814</v>
      </c>
      <c r="CI2" t="s">
        <v>279</v>
      </c>
      <c r="CJ2" t="s">
        <v>815</v>
      </c>
      <c r="CK2" t="s">
        <v>816</v>
      </c>
      <c r="CL2" t="s">
        <v>817</v>
      </c>
      <c r="CM2" t="s">
        <v>818</v>
      </c>
      <c r="CN2" t="s">
        <v>819</v>
      </c>
      <c r="CO2" t="s">
        <v>820</v>
      </c>
      <c r="CP2" t="s">
        <v>821</v>
      </c>
      <c r="CQ2" t="s">
        <v>822</v>
      </c>
      <c r="CR2" t="s">
        <v>823</v>
      </c>
      <c r="CS2" t="s">
        <v>261</v>
      </c>
      <c r="CT2" t="s">
        <v>369</v>
      </c>
      <c r="CU2" t="s">
        <v>824</v>
      </c>
      <c r="CV2" t="s">
        <v>825</v>
      </c>
      <c r="CW2" t="s">
        <v>826</v>
      </c>
      <c r="CX2" t="s">
        <v>827</v>
      </c>
      <c r="CY2" t="s">
        <v>828</v>
      </c>
      <c r="CZ2" t="s">
        <v>829</v>
      </c>
      <c r="DA2" t="s">
        <v>830</v>
      </c>
      <c r="DB2" t="s">
        <v>831</v>
      </c>
      <c r="DC2" t="s">
        <v>832</v>
      </c>
      <c r="DD2" t="s">
        <v>360</v>
      </c>
      <c r="DE2" t="s">
        <v>833</v>
      </c>
      <c r="DF2" t="s">
        <v>834</v>
      </c>
      <c r="DG2" t="s">
        <v>835</v>
      </c>
      <c r="DH2" t="s">
        <v>836</v>
      </c>
      <c r="DI2" t="s">
        <v>837</v>
      </c>
      <c r="DJ2" s="26" t="s">
        <v>838</v>
      </c>
      <c r="DK2" t="s">
        <v>839</v>
      </c>
      <c r="DL2" t="s">
        <v>840</v>
      </c>
      <c r="DM2" s="26" t="s">
        <v>841</v>
      </c>
      <c r="DN2" t="s">
        <v>842</v>
      </c>
      <c r="DO2" t="s">
        <v>843</v>
      </c>
      <c r="DP2" s="26" t="s">
        <v>844</v>
      </c>
      <c r="DQ2" t="s">
        <v>845</v>
      </c>
      <c r="DR2" t="s">
        <v>846</v>
      </c>
      <c r="DS2" t="s">
        <v>847</v>
      </c>
      <c r="DT2" t="s">
        <v>848</v>
      </c>
      <c r="DU2" t="s">
        <v>849</v>
      </c>
      <c r="DV2" t="s">
        <v>850</v>
      </c>
      <c r="DW2" t="s">
        <v>393</v>
      </c>
      <c r="DX2" t="s">
        <v>851</v>
      </c>
      <c r="DY2" t="s">
        <v>852</v>
      </c>
      <c r="DZ2" t="s">
        <v>853</v>
      </c>
      <c r="EA2" t="s">
        <v>854</v>
      </c>
    </row>
    <row r="3">
      <c r="A3" s="191" t="s">
        <v>856</v>
      </c>
      <c r="B3" t="s">
        <v>282</v>
      </c>
      <c r="C3" t="s">
        <v>1006</v>
      </c>
      <c r="D3" t="s">
        <v>325</v>
      </c>
      <c r="E3" t="s">
        <v>330</v>
      </c>
      <c r="F3" t="s">
        <v>339</v>
      </c>
      <c r="G3" t="s">
        <v>347</v>
      </c>
      <c r="H3" t="s">
        <v>1007</v>
      </c>
      <c r="I3" t="s">
        <v>210</v>
      </c>
      <c r="J3" t="s">
        <v>362</v>
      </c>
      <c r="K3" t="s">
        <v>267</v>
      </c>
      <c r="L3" t="s">
        <v>195</v>
      </c>
      <c r="M3" t="s">
        <v>1008</v>
      </c>
      <c r="N3" t="s">
        <v>289</v>
      </c>
      <c r="O3" t="s">
        <v>206</v>
      </c>
      <c r="P3" t="s">
        <v>331</v>
      </c>
      <c r="Q3" t="s">
        <v>340</v>
      </c>
      <c r="R3" t="s">
        <v>348</v>
      </c>
      <c r="S3" t="s">
        <v>353</v>
      </c>
      <c r="T3" s="26" t="s">
        <v>1009</v>
      </c>
      <c r="U3" t="s">
        <v>1010</v>
      </c>
      <c r="V3" t="s">
        <v>367</v>
      </c>
      <c r="W3" t="s">
        <v>370</v>
      </c>
      <c r="X3" t="s">
        <v>308</v>
      </c>
      <c r="Y3" t="s">
        <v>155</v>
      </c>
      <c r="Z3" t="s">
        <v>384</v>
      </c>
      <c r="AA3" t="s">
        <v>259</v>
      </c>
      <c r="AB3" t="s">
        <v>320</v>
      </c>
      <c r="AC3" t="s">
        <v>326</v>
      </c>
      <c r="AD3" t="s">
        <v>217</v>
      </c>
      <c r="AE3" t="s">
        <v>291</v>
      </c>
      <c r="AF3" t="s">
        <v>184</v>
      </c>
      <c r="AG3" t="s">
        <v>354</v>
      </c>
      <c r="AH3" t="s">
        <v>1011</v>
      </c>
      <c r="AI3" t="s">
        <v>364</v>
      </c>
      <c r="AJ3" t="s">
        <v>272</v>
      </c>
      <c r="AK3" t="s">
        <v>371</v>
      </c>
      <c r="AL3" t="s">
        <v>321</v>
      </c>
      <c r="AM3" t="s">
        <v>327</v>
      </c>
      <c r="AN3" t="s">
        <v>332</v>
      </c>
      <c r="AO3" t="s">
        <v>341</v>
      </c>
      <c r="AP3" t="s">
        <v>284</v>
      </c>
      <c r="AQ3" t="s">
        <v>294</v>
      </c>
      <c r="AR3" t="s">
        <v>240</v>
      </c>
      <c r="AS3" t="s">
        <v>365</v>
      </c>
      <c r="AT3" t="s">
        <v>368</v>
      </c>
      <c r="AU3" t="s">
        <v>168</v>
      </c>
      <c r="AV3" t="s">
        <v>375</v>
      </c>
      <c r="AW3" t="s">
        <v>381</v>
      </c>
      <c r="AX3" t="s">
        <v>386</v>
      </c>
      <c r="AY3" t="s">
        <v>197</v>
      </c>
      <c r="AZ3" t="s">
        <v>275</v>
      </c>
      <c r="BA3" t="s">
        <v>181</v>
      </c>
      <c r="BB3" t="s">
        <v>334</v>
      </c>
      <c r="BC3" t="s">
        <v>306</v>
      </c>
      <c r="BD3" t="s">
        <v>1012</v>
      </c>
      <c r="BE3" t="s">
        <v>204</v>
      </c>
      <c r="BF3" t="s">
        <v>170</v>
      </c>
      <c r="BG3" t="s">
        <v>355</v>
      </c>
      <c r="BH3" t="s">
        <v>720</v>
      </c>
      <c r="BI3" t="s">
        <v>1013</v>
      </c>
      <c r="BJ3" t="s">
        <v>366</v>
      </c>
      <c r="BK3" t="s">
        <v>1014</v>
      </c>
      <c r="BL3" t="s">
        <v>271</v>
      </c>
      <c r="BM3" t="s">
        <v>378</v>
      </c>
      <c r="BN3" t="s">
        <v>323</v>
      </c>
      <c r="BO3" t="s">
        <v>329</v>
      </c>
      <c r="BP3" t="s">
        <v>1015</v>
      </c>
      <c r="BQ3" t="s">
        <v>1016</v>
      </c>
      <c r="BR3" t="s">
        <v>285</v>
      </c>
      <c r="BS3" t="s">
        <v>721</v>
      </c>
      <c r="BT3" t="s">
        <v>359</v>
      </c>
      <c r="BU3" s="26" t="s">
        <v>722</v>
      </c>
      <c r="BV3" t="s">
        <v>298</v>
      </c>
      <c r="BW3" t="s">
        <v>176</v>
      </c>
      <c r="BX3" t="s">
        <v>265</v>
      </c>
      <c r="BY3" t="s">
        <v>382</v>
      </c>
      <c r="BZ3" t="s">
        <v>324</v>
      </c>
      <c r="CA3" t="s">
        <v>316</v>
      </c>
      <c r="CB3" t="s">
        <v>336</v>
      </c>
      <c r="CC3" t="s">
        <v>345</v>
      </c>
      <c r="CD3" t="s">
        <v>351</v>
      </c>
      <c r="CE3" t="s">
        <v>120</v>
      </c>
      <c r="CF3" t="s">
        <v>263</v>
      </c>
      <c r="CG3" t="s">
        <v>219</v>
      </c>
      <c r="CH3" t="s">
        <v>727</v>
      </c>
      <c r="CI3" t="s">
        <v>279</v>
      </c>
      <c r="CJ3" t="s">
        <v>304</v>
      </c>
      <c r="CK3" t="s">
        <v>383</v>
      </c>
      <c r="CL3" t="s">
        <v>322</v>
      </c>
      <c r="CM3" t="s">
        <v>328</v>
      </c>
      <c r="CN3" t="s">
        <v>333</v>
      </c>
      <c r="CO3" t="s">
        <v>342</v>
      </c>
      <c r="CP3" t="s">
        <v>54</v>
      </c>
      <c r="CQ3" t="s">
        <v>274</v>
      </c>
      <c r="CR3" t="s">
        <v>311</v>
      </c>
      <c r="CS3" t="s">
        <v>261</v>
      </c>
      <c r="CT3" t="s">
        <v>1017</v>
      </c>
      <c r="CU3" t="s">
        <v>372</v>
      </c>
      <c r="CV3" t="s">
        <v>377</v>
      </c>
      <c r="CW3" t="s">
        <v>222</v>
      </c>
      <c r="CX3" t="s">
        <v>287</v>
      </c>
      <c r="CY3" t="s">
        <v>303</v>
      </c>
      <c r="CZ3" t="s">
        <v>337</v>
      </c>
      <c r="DA3" t="s">
        <v>346</v>
      </c>
      <c r="DB3" t="s">
        <v>313</v>
      </c>
      <c r="DC3" t="s">
        <v>283</v>
      </c>
      <c r="DD3" t="s">
        <v>360</v>
      </c>
      <c r="DE3" t="s">
        <v>269</v>
      </c>
      <c r="DF3" t="s">
        <v>173</v>
      </c>
      <c r="DG3" t="s">
        <v>1018</v>
      </c>
      <c r="DH3" t="s">
        <v>379</v>
      </c>
      <c r="DI3" t="s">
        <v>214</v>
      </c>
      <c r="DJ3" t="s">
        <v>728</v>
      </c>
      <c r="DK3" t="s">
        <v>309</v>
      </c>
      <c r="DL3" t="s">
        <v>277</v>
      </c>
      <c r="DM3" t="s">
        <v>352</v>
      </c>
      <c r="DN3" t="s">
        <v>257</v>
      </c>
      <c r="DO3" t="s">
        <v>361</v>
      </c>
      <c r="DP3" s="26" t="s">
        <v>1020</v>
      </c>
      <c r="DQ3" t="s">
        <v>1021</v>
      </c>
      <c r="DR3" t="s">
        <v>302</v>
      </c>
      <c r="DS3" t="s">
        <v>380</v>
      </c>
      <c r="DT3" t="s">
        <v>318</v>
      </c>
      <c r="DU3" t="s">
        <v>300</v>
      </c>
      <c r="DV3" t="s">
        <v>398</v>
      </c>
      <c r="DW3" t="s">
        <v>393</v>
      </c>
      <c r="DX3" t="s">
        <v>399</v>
      </c>
      <c r="DY3" t="s">
        <v>394</v>
      </c>
      <c r="DZ3" t="s">
        <v>400</v>
      </c>
      <c r="EA3" s="26" t="s">
        <v>1022</v>
      </c>
    </row>
    <row r="4">
      <c r="A4" s="190" t="s">
        <v>927</v>
      </c>
      <c r="B4" t="s">
        <v>282</v>
      </c>
      <c r="C4" t="s">
        <v>281</v>
      </c>
      <c r="D4" t="s">
        <v>325</v>
      </c>
      <c r="E4" t="s">
        <v>330</v>
      </c>
      <c r="F4" t="s">
        <v>339</v>
      </c>
      <c r="G4" t="s">
        <v>347</v>
      </c>
      <c r="H4" t="s">
        <v>314</v>
      </c>
      <c r="I4" t="s">
        <v>210</v>
      </c>
      <c r="J4" t="s">
        <v>362</v>
      </c>
      <c r="K4" t="s">
        <v>267</v>
      </c>
      <c r="L4" t="s">
        <v>195</v>
      </c>
      <c r="M4" t="s">
        <v>374</v>
      </c>
      <c r="N4" t="s">
        <v>289</v>
      </c>
      <c r="O4" t="s">
        <v>206</v>
      </c>
      <c r="P4" t="s">
        <v>331</v>
      </c>
      <c r="Q4" t="s">
        <v>340</v>
      </c>
      <c r="R4" t="s">
        <v>348</v>
      </c>
      <c r="S4" t="s">
        <v>353</v>
      </c>
      <c r="T4" t="s">
        <v>357</v>
      </c>
      <c r="U4" t="s">
        <v>363</v>
      </c>
      <c r="V4" t="s">
        <v>367</v>
      </c>
      <c r="W4" t="s">
        <v>370</v>
      </c>
      <c r="X4" t="s">
        <v>308</v>
      </c>
      <c r="Y4" t="s">
        <v>155</v>
      </c>
      <c r="Z4" t="s">
        <v>384</v>
      </c>
      <c r="AA4" t="s">
        <v>259</v>
      </c>
      <c r="AB4" t="s">
        <v>320</v>
      </c>
      <c r="AC4" t="s">
        <v>326</v>
      </c>
      <c r="AD4" t="s">
        <v>217</v>
      </c>
      <c r="AE4" t="s">
        <v>291</v>
      </c>
      <c r="AF4" t="s">
        <v>184</v>
      </c>
      <c r="AG4" t="s">
        <v>354</v>
      </c>
      <c r="AH4" t="s">
        <v>358</v>
      </c>
      <c r="AI4" t="s">
        <v>364</v>
      </c>
      <c r="AJ4" t="s">
        <v>272</v>
      </c>
      <c r="AK4" t="s">
        <v>371</v>
      </c>
      <c r="AL4" t="s">
        <v>321</v>
      </c>
      <c r="AM4" t="s">
        <v>327</v>
      </c>
      <c r="AN4" t="s">
        <v>332</v>
      </c>
      <c r="AO4" t="s">
        <v>341</v>
      </c>
      <c r="AP4" t="s">
        <v>284</v>
      </c>
      <c r="AQ4" t="s">
        <v>294</v>
      </c>
      <c r="AR4" t="s">
        <v>240</v>
      </c>
      <c r="AS4" t="s">
        <v>365</v>
      </c>
      <c r="AT4" t="s">
        <v>368</v>
      </c>
      <c r="AU4" t="s">
        <v>168</v>
      </c>
      <c r="AV4" t="s">
        <v>375</v>
      </c>
      <c r="AW4" t="s">
        <v>381</v>
      </c>
      <c r="AX4" t="s">
        <v>386</v>
      </c>
      <c r="AY4" t="s">
        <v>197</v>
      </c>
      <c r="AZ4" t="s">
        <v>719</v>
      </c>
      <c r="BA4" t="s">
        <v>181</v>
      </c>
      <c r="BB4" t="s">
        <v>334</v>
      </c>
      <c r="BC4" t="s">
        <v>306</v>
      </c>
      <c r="BD4" s="26" t="s">
        <v>787</v>
      </c>
      <c r="BE4" t="s">
        <v>204</v>
      </c>
      <c r="BF4" t="s">
        <v>170</v>
      </c>
      <c r="BG4" t="s">
        <v>355</v>
      </c>
      <c r="BH4" t="s">
        <v>720</v>
      </c>
      <c r="BI4" t="s">
        <v>317</v>
      </c>
      <c r="BJ4" t="s">
        <v>366</v>
      </c>
      <c r="BK4" t="s">
        <v>296</v>
      </c>
      <c r="BL4" t="s">
        <v>271</v>
      </c>
      <c r="BM4" t="s">
        <v>378</v>
      </c>
      <c r="BN4" t="s">
        <v>323</v>
      </c>
      <c r="BO4" t="s">
        <v>329</v>
      </c>
      <c r="BP4" t="s">
        <v>335</v>
      </c>
      <c r="BQ4" t="s">
        <v>344</v>
      </c>
      <c r="BR4" t="s">
        <v>285</v>
      </c>
      <c r="BS4" t="s">
        <v>721</v>
      </c>
      <c r="BT4" t="s">
        <v>359</v>
      </c>
      <c r="BU4" t="s">
        <v>928</v>
      </c>
      <c r="BV4" t="s">
        <v>298</v>
      </c>
      <c r="BW4" t="s">
        <v>176</v>
      </c>
      <c r="BX4" t="s">
        <v>265</v>
      </c>
      <c r="BY4" t="s">
        <v>382</v>
      </c>
      <c r="BZ4" t="s">
        <v>324</v>
      </c>
      <c r="CA4" t="s">
        <v>316</v>
      </c>
      <c r="CB4" t="s">
        <v>336</v>
      </c>
      <c r="CC4" t="s">
        <v>345</v>
      </c>
      <c r="CD4" t="s">
        <v>351</v>
      </c>
      <c r="CE4" t="s">
        <v>120</v>
      </c>
      <c r="CF4" t="s">
        <v>263</v>
      </c>
      <c r="CG4" t="s">
        <v>219</v>
      </c>
      <c r="CH4" t="s">
        <v>727</v>
      </c>
      <c r="CI4" t="s">
        <v>279</v>
      </c>
      <c r="CJ4" t="s">
        <v>304</v>
      </c>
      <c r="CK4" t="s">
        <v>383</v>
      </c>
      <c r="CL4" t="s">
        <v>322</v>
      </c>
      <c r="CM4" t="s">
        <v>328</v>
      </c>
      <c r="CN4" t="s">
        <v>333</v>
      </c>
      <c r="CO4" t="s">
        <v>342</v>
      </c>
      <c r="CP4" t="s">
        <v>54</v>
      </c>
      <c r="CQ4" t="s">
        <v>274</v>
      </c>
      <c r="CR4" t="s">
        <v>311</v>
      </c>
      <c r="CS4" t="s">
        <v>261</v>
      </c>
      <c r="CT4" t="s">
        <v>369</v>
      </c>
      <c r="CU4" t="s">
        <v>372</v>
      </c>
      <c r="CV4" t="s">
        <v>377</v>
      </c>
      <c r="CW4" t="s">
        <v>222</v>
      </c>
      <c r="CX4" t="s">
        <v>287</v>
      </c>
      <c r="CY4" t="s">
        <v>303</v>
      </c>
      <c r="CZ4" t="s">
        <v>337</v>
      </c>
      <c r="DA4" t="s">
        <v>346</v>
      </c>
      <c r="DB4" t="s">
        <v>313</v>
      </c>
      <c r="DC4" t="s">
        <v>283</v>
      </c>
      <c r="DD4" t="s">
        <v>360</v>
      </c>
      <c r="DE4" t="s">
        <v>269</v>
      </c>
      <c r="DF4" t="s">
        <v>173</v>
      </c>
      <c r="DG4" t="s">
        <v>373</v>
      </c>
      <c r="DH4" t="s">
        <v>379</v>
      </c>
      <c r="DI4" t="s">
        <v>214</v>
      </c>
      <c r="DJ4" t="s">
        <v>387</v>
      </c>
      <c r="DK4" t="s">
        <v>309</v>
      </c>
      <c r="DL4" t="s">
        <v>277</v>
      </c>
      <c r="DM4" t="s">
        <v>352</v>
      </c>
      <c r="DN4" t="s">
        <v>257</v>
      </c>
      <c r="DO4" t="s">
        <v>361</v>
      </c>
      <c r="DP4" s="26" t="s">
        <v>929</v>
      </c>
      <c r="DQ4" t="s">
        <v>930</v>
      </c>
      <c r="DR4" t="s">
        <v>302</v>
      </c>
      <c r="DS4" t="s">
        <v>380</v>
      </c>
      <c r="DT4" t="s">
        <v>318</v>
      </c>
      <c r="DU4" t="s">
        <v>300</v>
      </c>
      <c r="DV4" t="s">
        <v>398</v>
      </c>
      <c r="DW4" t="s">
        <v>393</v>
      </c>
      <c r="DX4" t="s">
        <v>399</v>
      </c>
      <c r="DY4" t="s">
        <v>394</v>
      </c>
      <c r="DZ4" t="s">
        <v>400</v>
      </c>
      <c r="EA4" s="26" t="s">
        <v>731</v>
      </c>
    </row>
    <row r="5">
      <c r="A5" s="190" t="s">
        <v>931</v>
      </c>
      <c r="B5" t="s">
        <v>282</v>
      </c>
      <c r="C5" t="s">
        <v>281</v>
      </c>
      <c r="D5" t="s">
        <v>325</v>
      </c>
      <c r="E5" t="s">
        <v>330</v>
      </c>
      <c r="F5" t="s">
        <v>339</v>
      </c>
      <c r="G5" t="s">
        <v>347</v>
      </c>
      <c r="H5" t="s">
        <v>314</v>
      </c>
      <c r="I5" t="s">
        <v>210</v>
      </c>
      <c r="J5" t="s">
        <v>362</v>
      </c>
      <c r="K5" t="s">
        <v>267</v>
      </c>
      <c r="L5" t="s">
        <v>195</v>
      </c>
      <c r="M5" t="s">
        <v>374</v>
      </c>
      <c r="N5" t="s">
        <v>289</v>
      </c>
      <c r="O5" t="s">
        <v>206</v>
      </c>
      <c r="P5" t="s">
        <v>331</v>
      </c>
      <c r="Q5" t="s">
        <v>340</v>
      </c>
      <c r="R5" t="s">
        <v>348</v>
      </c>
      <c r="S5" t="s">
        <v>353</v>
      </c>
      <c r="T5" t="s">
        <v>357</v>
      </c>
      <c r="U5" t="s">
        <v>363</v>
      </c>
      <c r="V5" t="s">
        <v>367</v>
      </c>
      <c r="W5" t="s">
        <v>370</v>
      </c>
      <c r="X5" t="s">
        <v>308</v>
      </c>
      <c r="Y5" t="s">
        <v>155</v>
      </c>
      <c r="Z5" t="s">
        <v>384</v>
      </c>
      <c r="AA5" t="s">
        <v>259</v>
      </c>
      <c r="AB5" t="s">
        <v>320</v>
      </c>
      <c r="AC5" t="s">
        <v>326</v>
      </c>
      <c r="AD5" t="s">
        <v>217</v>
      </c>
      <c r="AE5" t="s">
        <v>291</v>
      </c>
      <c r="AF5" t="s">
        <v>184</v>
      </c>
      <c r="AG5" t="s">
        <v>354</v>
      </c>
      <c r="AH5" t="s">
        <v>358</v>
      </c>
      <c r="AI5" t="s">
        <v>364</v>
      </c>
      <c r="AJ5" t="s">
        <v>272</v>
      </c>
      <c r="AK5" t="s">
        <v>371</v>
      </c>
      <c r="AL5" t="s">
        <v>321</v>
      </c>
      <c r="AM5" t="s">
        <v>327</v>
      </c>
      <c r="AN5" t="s">
        <v>332</v>
      </c>
      <c r="AO5" t="s">
        <v>341</v>
      </c>
      <c r="AP5" t="s">
        <v>284</v>
      </c>
      <c r="AQ5" t="s">
        <v>294</v>
      </c>
      <c r="AR5" t="s">
        <v>240</v>
      </c>
      <c r="AS5" t="s">
        <v>365</v>
      </c>
      <c r="AT5" t="s">
        <v>368</v>
      </c>
      <c r="AU5" t="s">
        <v>168</v>
      </c>
      <c r="AV5" t="s">
        <v>375</v>
      </c>
      <c r="AW5" t="s">
        <v>381</v>
      </c>
      <c r="AX5" t="s">
        <v>386</v>
      </c>
      <c r="AY5" t="s">
        <v>197</v>
      </c>
      <c r="AZ5" t="s">
        <v>275</v>
      </c>
      <c r="BA5" t="s">
        <v>181</v>
      </c>
      <c r="BB5" t="s">
        <v>334</v>
      </c>
      <c r="BC5" t="s">
        <v>306</v>
      </c>
      <c r="BD5" t="s">
        <v>343</v>
      </c>
      <c r="BE5" t="s">
        <v>204</v>
      </c>
      <c r="BF5" t="s">
        <v>170</v>
      </c>
      <c r="BG5" t="s">
        <v>355</v>
      </c>
      <c r="BH5" t="s">
        <v>338</v>
      </c>
      <c r="BI5" t="s">
        <v>317</v>
      </c>
      <c r="BJ5" t="s">
        <v>366</v>
      </c>
      <c r="BK5" t="s">
        <v>296</v>
      </c>
      <c r="BL5" t="s">
        <v>271</v>
      </c>
      <c r="BM5" t="s">
        <v>378</v>
      </c>
      <c r="BN5" t="s">
        <v>323</v>
      </c>
      <c r="BO5" t="s">
        <v>329</v>
      </c>
      <c r="BP5" t="s">
        <v>335</v>
      </c>
      <c r="BQ5" t="s">
        <v>344</v>
      </c>
      <c r="BR5" t="s">
        <v>285</v>
      </c>
      <c r="BS5" t="s">
        <v>356</v>
      </c>
      <c r="BT5" t="s">
        <v>359</v>
      </c>
      <c r="BU5" s="21" t="s">
        <v>208</v>
      </c>
      <c r="BV5" t="s">
        <v>298</v>
      </c>
      <c r="BW5" t="s">
        <v>176</v>
      </c>
      <c r="BX5" t="s">
        <v>265</v>
      </c>
      <c r="BY5" t="s">
        <v>382</v>
      </c>
      <c r="BZ5" t="s">
        <v>324</v>
      </c>
      <c r="CA5" t="s">
        <v>316</v>
      </c>
      <c r="CB5" t="s">
        <v>336</v>
      </c>
      <c r="CC5" t="s">
        <v>345</v>
      </c>
      <c r="CD5" t="s">
        <v>351</v>
      </c>
      <c r="CE5" t="s">
        <v>120</v>
      </c>
      <c r="CF5" t="s">
        <v>263</v>
      </c>
      <c r="CG5" t="s">
        <v>219</v>
      </c>
      <c r="CH5" t="s">
        <v>349</v>
      </c>
      <c r="CI5" t="s">
        <v>279</v>
      </c>
      <c r="CJ5" t="s">
        <v>304</v>
      </c>
      <c r="CK5" t="s">
        <v>383</v>
      </c>
      <c r="CL5" t="s">
        <v>322</v>
      </c>
      <c r="CM5" t="s">
        <v>328</v>
      </c>
      <c r="CN5" t="s">
        <v>333</v>
      </c>
      <c r="CO5" t="s">
        <v>342</v>
      </c>
      <c r="CP5" t="s">
        <v>54</v>
      </c>
      <c r="CQ5" t="s">
        <v>274</v>
      </c>
      <c r="CR5" t="s">
        <v>311</v>
      </c>
      <c r="CS5" t="s">
        <v>261</v>
      </c>
      <c r="CT5" t="s">
        <v>369</v>
      </c>
      <c r="CU5" t="s">
        <v>372</v>
      </c>
      <c r="CV5" t="s">
        <v>377</v>
      </c>
      <c r="CW5" t="s">
        <v>222</v>
      </c>
      <c r="CX5" t="s">
        <v>287</v>
      </c>
      <c r="CY5" t="s">
        <v>303</v>
      </c>
      <c r="CZ5" t="s">
        <v>337</v>
      </c>
      <c r="DA5" t="s">
        <v>346</v>
      </c>
      <c r="DB5" t="s">
        <v>313</v>
      </c>
      <c r="DC5" t="s">
        <v>283</v>
      </c>
      <c r="DD5" t="s">
        <v>360</v>
      </c>
      <c r="DE5" t="s">
        <v>269</v>
      </c>
      <c r="DF5" t="s">
        <v>173</v>
      </c>
      <c r="DG5" t="s">
        <v>373</v>
      </c>
      <c r="DH5" t="s">
        <v>379</v>
      </c>
      <c r="DI5" t="s">
        <v>214</v>
      </c>
      <c r="DJ5" t="s">
        <v>387</v>
      </c>
      <c r="DK5" t="s">
        <v>309</v>
      </c>
      <c r="DL5" t="s">
        <v>277</v>
      </c>
      <c r="DM5" t="s">
        <v>352</v>
      </c>
      <c r="DN5" t="s">
        <v>257</v>
      </c>
      <c r="DO5" t="s">
        <v>361</v>
      </c>
      <c r="DP5" t="s">
        <v>292</v>
      </c>
      <c r="DQ5" t="s">
        <v>199</v>
      </c>
      <c r="DR5" t="s">
        <v>302</v>
      </c>
      <c r="DS5" t="s">
        <v>380</v>
      </c>
      <c r="DT5" t="s">
        <v>318</v>
      </c>
      <c r="DU5" t="s">
        <v>300</v>
      </c>
      <c r="DV5" t="s">
        <v>398</v>
      </c>
      <c r="DW5" t="s">
        <v>393</v>
      </c>
      <c r="DX5" t="s">
        <v>399</v>
      </c>
      <c r="DY5" t="s">
        <v>394</v>
      </c>
      <c r="DZ5" t="s">
        <v>400</v>
      </c>
      <c r="EA5" t="s">
        <v>401</v>
      </c>
    </row>
    <row r="6">
      <c r="A6" s="190" t="s">
        <v>935</v>
      </c>
      <c r="B6" t="s">
        <v>705</v>
      </c>
      <c r="C6" t="s">
        <v>936</v>
      </c>
      <c r="D6" t="s">
        <v>718</v>
      </c>
      <c r="E6" t="s">
        <v>932</v>
      </c>
      <c r="F6" t="s">
        <v>937</v>
      </c>
      <c r="G6" t="s">
        <v>938</v>
      </c>
      <c r="H6" t="s">
        <v>710</v>
      </c>
      <c r="I6" t="s">
        <v>939</v>
      </c>
      <c r="J6" t="s">
        <v>940</v>
      </c>
      <c r="K6" t="s">
        <v>790</v>
      </c>
      <c r="L6" t="s">
        <v>941</v>
      </c>
      <c r="M6" t="s">
        <v>723</v>
      </c>
      <c r="N6" t="s">
        <v>693</v>
      </c>
      <c r="O6" t="s">
        <v>679</v>
      </c>
      <c r="P6" t="s">
        <v>715</v>
      </c>
      <c r="Q6" t="s">
        <v>690</v>
      </c>
      <c r="R6" t="s">
        <v>942</v>
      </c>
      <c r="S6" t="s">
        <v>713</v>
      </c>
      <c r="T6" t="s">
        <v>673</v>
      </c>
      <c r="U6" t="s">
        <v>943</v>
      </c>
      <c r="V6" t="s">
        <v>944</v>
      </c>
      <c r="W6" t="s">
        <v>893</v>
      </c>
      <c r="X6" t="s">
        <v>945</v>
      </c>
      <c r="Y6" t="s">
        <v>888</v>
      </c>
      <c r="Z6" t="s">
        <v>921</v>
      </c>
      <c r="AA6" t="s">
        <v>946</v>
      </c>
      <c r="AB6" t="s">
        <v>688</v>
      </c>
      <c r="AC6" t="s">
        <v>947</v>
      </c>
      <c r="AD6" t="s">
        <v>948</v>
      </c>
      <c r="AE6" t="s">
        <v>685</v>
      </c>
      <c r="AF6" t="s">
        <v>687</v>
      </c>
      <c r="AG6" t="s">
        <v>949</v>
      </c>
      <c r="AH6" t="s">
        <v>682</v>
      </c>
      <c r="AI6" t="s">
        <v>661</v>
      </c>
      <c r="AJ6" t="s">
        <v>681</v>
      </c>
      <c r="AK6" t="s">
        <v>950</v>
      </c>
      <c r="AL6" t="s">
        <v>702</v>
      </c>
      <c r="AM6" t="s">
        <v>671</v>
      </c>
      <c r="AN6" t="s">
        <v>712</v>
      </c>
      <c r="AO6" t="s">
        <v>866</v>
      </c>
      <c r="AP6" t="s">
        <v>667</v>
      </c>
      <c r="AQ6" t="s">
        <v>951</v>
      </c>
      <c r="AR6" t="s">
        <v>700</v>
      </c>
      <c r="AS6" t="s">
        <v>767</v>
      </c>
      <c r="AT6" t="s">
        <v>952</v>
      </c>
      <c r="AU6" t="s">
        <v>658</v>
      </c>
      <c r="AV6" t="s">
        <v>674</v>
      </c>
      <c r="AW6" t="s">
        <v>933</v>
      </c>
      <c r="AX6" t="s">
        <v>953</v>
      </c>
      <c r="AY6" t="s">
        <v>717</v>
      </c>
      <c r="AZ6" t="s">
        <v>868</v>
      </c>
      <c r="BA6" t="s">
        <v>734</v>
      </c>
      <c r="BB6" t="s">
        <v>954</v>
      </c>
      <c r="BC6" t="s">
        <v>955</v>
      </c>
      <c r="BD6" t="s">
        <v>956</v>
      </c>
      <c r="BE6" t="s">
        <v>957</v>
      </c>
      <c r="BF6" t="s">
        <v>958</v>
      </c>
      <c r="BG6" t="s">
        <v>959</v>
      </c>
      <c r="BH6" t="s">
        <v>960</v>
      </c>
      <c r="BI6" t="s">
        <v>703</v>
      </c>
      <c r="BJ6" t="s">
        <v>961</v>
      </c>
      <c r="BK6" t="s">
        <v>962</v>
      </c>
      <c r="BL6" t="s">
        <v>963</v>
      </c>
      <c r="BM6" t="s">
        <v>965</v>
      </c>
      <c r="BN6" t="s">
        <v>663</v>
      </c>
      <c r="BO6" t="s">
        <v>686</v>
      </c>
      <c r="BP6" t="s">
        <v>694</v>
      </c>
      <c r="BQ6" t="s">
        <v>695</v>
      </c>
      <c r="BR6" t="s">
        <v>701</v>
      </c>
      <c r="BS6" t="s">
        <v>726</v>
      </c>
      <c r="BT6" t="s">
        <v>966</v>
      </c>
      <c r="BU6" t="s">
        <v>967</v>
      </c>
      <c r="BV6" t="s">
        <v>968</v>
      </c>
      <c r="BW6" t="s">
        <v>969</v>
      </c>
      <c r="BX6" t="s">
        <v>970</v>
      </c>
      <c r="BY6" t="s">
        <v>971</v>
      </c>
      <c r="BZ6" t="s">
        <v>660</v>
      </c>
      <c r="CA6" t="s">
        <v>691</v>
      </c>
      <c r="CB6" t="s">
        <v>714</v>
      </c>
      <c r="CC6" t="s">
        <v>926</v>
      </c>
      <c r="CD6" t="s">
        <v>972</v>
      </c>
      <c r="CE6" t="s">
        <v>973</v>
      </c>
      <c r="CF6" t="s">
        <v>974</v>
      </c>
      <c r="CG6" t="s">
        <v>975</v>
      </c>
      <c r="CH6" t="s">
        <v>976</v>
      </c>
      <c r="CI6" t="s">
        <v>977</v>
      </c>
      <c r="CJ6" t="s">
        <v>978</v>
      </c>
      <c r="CK6" t="s">
        <v>979</v>
      </c>
      <c r="CL6" t="s">
        <v>672</v>
      </c>
      <c r="CM6" t="s">
        <v>670</v>
      </c>
      <c r="CN6" t="s">
        <v>699</v>
      </c>
      <c r="CO6" t="s">
        <v>711</v>
      </c>
      <c r="CP6" t="s">
        <v>666</v>
      </c>
      <c r="CQ6" t="s">
        <v>708</v>
      </c>
      <c r="CR6" t="s">
        <v>980</v>
      </c>
      <c r="CS6" t="s">
        <v>732</v>
      </c>
      <c r="CT6" t="s">
        <v>689</v>
      </c>
      <c r="CU6" t="s">
        <v>676</v>
      </c>
      <c r="CV6" t="s">
        <v>706</v>
      </c>
      <c r="CW6" t="s">
        <v>981</v>
      </c>
      <c r="CX6" t="s">
        <v>662</v>
      </c>
      <c r="CY6" t="s">
        <v>675</v>
      </c>
      <c r="CZ6" t="s">
        <v>683</v>
      </c>
      <c r="DA6" t="s">
        <v>697</v>
      </c>
      <c r="DB6" t="s">
        <v>659</v>
      </c>
      <c r="DC6" t="s">
        <v>982</v>
      </c>
      <c r="DD6" t="s">
        <v>678</v>
      </c>
      <c r="DE6" t="s">
        <v>698</v>
      </c>
      <c r="DF6" t="s">
        <v>704</v>
      </c>
      <c r="DG6" t="s">
        <v>692</v>
      </c>
      <c r="DH6" t="s">
        <v>707</v>
      </c>
      <c r="DI6" t="s">
        <v>669</v>
      </c>
      <c r="DJ6" t="s">
        <v>684</v>
      </c>
      <c r="DK6" t="s">
        <v>730</v>
      </c>
      <c r="DL6" t="s">
        <v>668</v>
      </c>
      <c r="DM6" t="s">
        <v>677</v>
      </c>
      <c r="DN6" t="s">
        <v>934</v>
      </c>
      <c r="DO6" t="s">
        <v>964</v>
      </c>
      <c r="DP6" t="s">
        <v>983</v>
      </c>
      <c r="DQ6" t="s">
        <v>984</v>
      </c>
      <c r="DR6" t="s">
        <v>985</v>
      </c>
      <c r="DS6" t="s">
        <v>986</v>
      </c>
      <c r="DT6" t="s">
        <v>987</v>
      </c>
      <c r="DU6" t="s">
        <v>709</v>
      </c>
      <c r="DV6" t="s">
        <v>680</v>
      </c>
      <c r="DW6" t="s">
        <v>696</v>
      </c>
      <c r="DX6" t="s">
        <v>988</v>
      </c>
      <c r="DY6" t="s">
        <v>989</v>
      </c>
      <c r="DZ6" t="s">
        <v>664</v>
      </c>
      <c r="EA6" t="s">
        <v>990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sheetData>
    <row r="1">
      <c r="A1" s="26" t="s">
        <v>229</v>
      </c>
      <c r="B1" s="26" t="s">
        <v>50</v>
      </c>
      <c r="C1" s="26" t="s">
        <v>1024</v>
      </c>
      <c r="D1" s="26" t="s">
        <v>1025</v>
      </c>
    </row>
    <row r="2">
      <c r="A2" t="s">
        <v>282</v>
      </c>
      <c r="B2" t="s">
        <v>389</v>
      </c>
      <c r="C2" s="26">
        <v>3.0</v>
      </c>
      <c r="D2" s="26" t="s">
        <v>1026</v>
      </c>
    </row>
    <row r="3">
      <c r="A3" t="s">
        <v>325</v>
      </c>
      <c r="B3" t="s">
        <v>389</v>
      </c>
      <c r="C3" s="26">
        <v>3.0</v>
      </c>
      <c r="D3" s="26" t="s">
        <v>1026</v>
      </c>
    </row>
    <row r="4">
      <c r="A4" t="s">
        <v>330</v>
      </c>
      <c r="B4" t="s">
        <v>389</v>
      </c>
      <c r="C4" s="26">
        <v>3.0</v>
      </c>
      <c r="D4" s="26" t="s">
        <v>1026</v>
      </c>
    </row>
    <row r="5">
      <c r="A5" t="s">
        <v>339</v>
      </c>
      <c r="B5" t="s">
        <v>389</v>
      </c>
      <c r="C5" s="26">
        <v>3.0</v>
      </c>
      <c r="D5" s="26" t="s">
        <v>1026</v>
      </c>
    </row>
    <row r="6">
      <c r="A6" t="s">
        <v>347</v>
      </c>
      <c r="B6" t="s">
        <v>389</v>
      </c>
      <c r="C6" s="26">
        <v>3.0</v>
      </c>
      <c r="D6" s="26" t="s">
        <v>1026</v>
      </c>
    </row>
    <row r="7">
      <c r="A7" t="s">
        <v>314</v>
      </c>
      <c r="B7" t="s">
        <v>389</v>
      </c>
      <c r="C7" s="26">
        <v>3.0</v>
      </c>
      <c r="D7" s="26" t="s">
        <v>1026</v>
      </c>
    </row>
    <row r="8">
      <c r="A8" t="s">
        <v>210</v>
      </c>
      <c r="B8" t="s">
        <v>389</v>
      </c>
      <c r="C8" s="26">
        <v>3.0</v>
      </c>
      <c r="D8" s="26" t="s">
        <v>1026</v>
      </c>
    </row>
    <row r="9">
      <c r="A9" t="s">
        <v>362</v>
      </c>
      <c r="B9" t="s">
        <v>389</v>
      </c>
      <c r="C9" s="26">
        <v>3.0</v>
      </c>
      <c r="D9" s="26" t="s">
        <v>1026</v>
      </c>
    </row>
    <row r="10">
      <c r="A10" t="s">
        <v>267</v>
      </c>
      <c r="B10" t="s">
        <v>389</v>
      </c>
      <c r="C10" s="26">
        <v>3.0</v>
      </c>
      <c r="D10" s="26" t="s">
        <v>1026</v>
      </c>
    </row>
    <row r="11">
      <c r="A11" t="s">
        <v>195</v>
      </c>
      <c r="B11" t="s">
        <v>389</v>
      </c>
      <c r="C11" s="26">
        <v>3.0</v>
      </c>
      <c r="D11" s="26" t="s">
        <v>1026</v>
      </c>
    </row>
    <row r="12">
      <c r="A12" t="s">
        <v>374</v>
      </c>
      <c r="B12" t="s">
        <v>389</v>
      </c>
      <c r="C12" s="26">
        <v>3.0</v>
      </c>
      <c r="D12" s="26" t="s">
        <v>1026</v>
      </c>
    </row>
    <row r="13">
      <c r="A13" t="s">
        <v>289</v>
      </c>
      <c r="B13" t="s">
        <v>186</v>
      </c>
      <c r="C13" s="26">
        <v>2.0</v>
      </c>
      <c r="D13" s="26" t="s">
        <v>1027</v>
      </c>
    </row>
    <row r="14">
      <c r="A14" t="s">
        <v>206</v>
      </c>
      <c r="B14" t="s">
        <v>186</v>
      </c>
      <c r="C14" s="26">
        <v>2.0</v>
      </c>
      <c r="D14" s="26" t="s">
        <v>1027</v>
      </c>
    </row>
    <row r="15">
      <c r="A15" t="s">
        <v>331</v>
      </c>
      <c r="B15" t="s">
        <v>186</v>
      </c>
      <c r="C15" s="26">
        <v>2.0</v>
      </c>
      <c r="D15" s="26" t="s">
        <v>1027</v>
      </c>
    </row>
    <row r="16">
      <c r="A16" t="s">
        <v>340</v>
      </c>
      <c r="B16" t="s">
        <v>186</v>
      </c>
      <c r="C16" s="26">
        <v>2.0</v>
      </c>
      <c r="D16" s="26" t="s">
        <v>1027</v>
      </c>
    </row>
    <row r="17">
      <c r="A17" t="s">
        <v>348</v>
      </c>
      <c r="B17" t="s">
        <v>186</v>
      </c>
      <c r="C17" s="26">
        <v>2.0</v>
      </c>
      <c r="D17" s="26" t="s">
        <v>1027</v>
      </c>
    </row>
    <row r="18">
      <c r="A18" t="s">
        <v>353</v>
      </c>
      <c r="B18" t="s">
        <v>186</v>
      </c>
      <c r="C18" s="26">
        <v>2.0</v>
      </c>
      <c r="D18" s="26" t="s">
        <v>1027</v>
      </c>
    </row>
    <row r="19">
      <c r="A19" t="s">
        <v>357</v>
      </c>
      <c r="B19" t="s">
        <v>186</v>
      </c>
      <c r="C19" s="26">
        <v>2.0</v>
      </c>
      <c r="D19" s="26" t="s">
        <v>1027</v>
      </c>
    </row>
    <row r="20">
      <c r="A20" t="s">
        <v>363</v>
      </c>
      <c r="B20" t="s">
        <v>186</v>
      </c>
      <c r="C20" s="26">
        <v>2.0</v>
      </c>
      <c r="D20" s="26" t="s">
        <v>1027</v>
      </c>
    </row>
    <row r="21">
      <c r="A21" t="s">
        <v>367</v>
      </c>
      <c r="B21" t="s">
        <v>186</v>
      </c>
      <c r="C21" s="26">
        <v>2.0</v>
      </c>
      <c r="D21" s="26" t="s">
        <v>1027</v>
      </c>
    </row>
    <row r="22">
      <c r="A22" t="s">
        <v>370</v>
      </c>
      <c r="B22" t="s">
        <v>186</v>
      </c>
      <c r="C22" s="26">
        <v>2.0</v>
      </c>
      <c r="D22" s="26" t="s">
        <v>1027</v>
      </c>
    </row>
    <row r="23">
      <c r="A23" t="s">
        <v>308</v>
      </c>
      <c r="B23" t="s">
        <v>186</v>
      </c>
      <c r="C23" s="26">
        <v>2.0</v>
      </c>
      <c r="D23" s="26" t="s">
        <v>1027</v>
      </c>
    </row>
    <row r="24">
      <c r="A24" t="s">
        <v>155</v>
      </c>
      <c r="B24" t="s">
        <v>186</v>
      </c>
      <c r="C24" s="26">
        <v>2.0</v>
      </c>
      <c r="D24" s="26" t="s">
        <v>1027</v>
      </c>
    </row>
    <row r="25">
      <c r="A25" t="s">
        <v>384</v>
      </c>
      <c r="B25" t="s">
        <v>186</v>
      </c>
      <c r="C25" s="26">
        <v>2.0</v>
      </c>
      <c r="D25" s="26" t="s">
        <v>1027</v>
      </c>
    </row>
    <row r="26">
      <c r="A26" t="s">
        <v>259</v>
      </c>
      <c r="B26" t="s">
        <v>186</v>
      </c>
      <c r="C26" s="26">
        <v>2.0</v>
      </c>
      <c r="D26" s="26" t="s">
        <v>1027</v>
      </c>
    </row>
    <row r="27">
      <c r="A27" t="s">
        <v>320</v>
      </c>
      <c r="B27" t="s">
        <v>187</v>
      </c>
      <c r="C27" s="26">
        <v>2.0</v>
      </c>
      <c r="D27" s="26" t="s">
        <v>1027</v>
      </c>
    </row>
    <row r="28">
      <c r="A28" t="s">
        <v>326</v>
      </c>
      <c r="B28" t="s">
        <v>187</v>
      </c>
      <c r="C28" s="26">
        <v>2.0</v>
      </c>
      <c r="D28" s="26" t="s">
        <v>1027</v>
      </c>
    </row>
    <row r="29">
      <c r="A29" t="s">
        <v>217</v>
      </c>
      <c r="B29" t="s">
        <v>187</v>
      </c>
      <c r="C29" s="26">
        <v>2.0</v>
      </c>
      <c r="D29" s="26" t="s">
        <v>1027</v>
      </c>
    </row>
    <row r="30">
      <c r="A30" t="s">
        <v>291</v>
      </c>
      <c r="B30" t="s">
        <v>187</v>
      </c>
      <c r="C30" s="26">
        <v>2.0</v>
      </c>
      <c r="D30" s="26" t="s">
        <v>1027</v>
      </c>
    </row>
    <row r="31">
      <c r="A31" t="s">
        <v>184</v>
      </c>
      <c r="B31" t="s">
        <v>187</v>
      </c>
      <c r="C31" s="26">
        <v>2.0</v>
      </c>
      <c r="D31" s="26" t="s">
        <v>1027</v>
      </c>
    </row>
    <row r="32">
      <c r="A32" t="s">
        <v>354</v>
      </c>
      <c r="B32" t="s">
        <v>187</v>
      </c>
      <c r="C32" s="26">
        <v>2.0</v>
      </c>
      <c r="D32" s="26" t="s">
        <v>1027</v>
      </c>
    </row>
    <row r="33">
      <c r="A33" t="s">
        <v>358</v>
      </c>
      <c r="B33" t="s">
        <v>187</v>
      </c>
      <c r="C33" s="26">
        <v>2.0</v>
      </c>
      <c r="D33" s="26" t="s">
        <v>1027</v>
      </c>
    </row>
    <row r="34">
      <c r="A34" t="s">
        <v>364</v>
      </c>
      <c r="B34" t="s">
        <v>187</v>
      </c>
      <c r="C34" s="26">
        <v>2.0</v>
      </c>
      <c r="D34" s="26" t="s">
        <v>1027</v>
      </c>
    </row>
    <row r="35">
      <c r="A35" t="s">
        <v>272</v>
      </c>
      <c r="B35" t="s">
        <v>187</v>
      </c>
      <c r="C35" s="26">
        <v>2.0</v>
      </c>
      <c r="D35" s="26" t="s">
        <v>1027</v>
      </c>
    </row>
    <row r="36">
      <c r="A36" t="s">
        <v>371</v>
      </c>
      <c r="B36" t="s">
        <v>187</v>
      </c>
      <c r="C36" s="26">
        <v>2.0</v>
      </c>
      <c r="D36" s="26" t="s">
        <v>1027</v>
      </c>
    </row>
    <row r="37">
      <c r="A37" t="s">
        <v>321</v>
      </c>
      <c r="B37" t="s">
        <v>188</v>
      </c>
      <c r="C37" s="26">
        <v>2.0</v>
      </c>
      <c r="D37" s="26" t="s">
        <v>1027</v>
      </c>
    </row>
    <row r="38">
      <c r="A38" t="s">
        <v>327</v>
      </c>
      <c r="B38" t="s">
        <v>188</v>
      </c>
      <c r="C38" s="26">
        <v>2.0</v>
      </c>
      <c r="D38" s="26" t="s">
        <v>1027</v>
      </c>
    </row>
    <row r="39">
      <c r="A39" t="s">
        <v>332</v>
      </c>
      <c r="B39" t="s">
        <v>188</v>
      </c>
      <c r="C39" s="26">
        <v>2.0</v>
      </c>
      <c r="D39" s="26" t="s">
        <v>1027</v>
      </c>
    </row>
    <row r="40">
      <c r="A40" t="s">
        <v>341</v>
      </c>
      <c r="B40" t="s">
        <v>188</v>
      </c>
      <c r="C40" s="26">
        <v>2.0</v>
      </c>
      <c r="D40" s="26" t="s">
        <v>1027</v>
      </c>
    </row>
    <row r="41">
      <c r="A41" t="s">
        <v>284</v>
      </c>
      <c r="B41" t="s">
        <v>188</v>
      </c>
      <c r="C41" s="26">
        <v>2.0</v>
      </c>
      <c r="D41" s="26" t="s">
        <v>1027</v>
      </c>
    </row>
    <row r="42">
      <c r="A42" t="s">
        <v>294</v>
      </c>
      <c r="B42" t="s">
        <v>188</v>
      </c>
      <c r="C42" s="26">
        <v>2.0</v>
      </c>
      <c r="D42" s="26" t="s">
        <v>1027</v>
      </c>
    </row>
    <row r="43">
      <c r="A43" t="s">
        <v>240</v>
      </c>
      <c r="B43" t="s">
        <v>188</v>
      </c>
      <c r="C43" s="26">
        <v>2.0</v>
      </c>
      <c r="D43" s="26" t="s">
        <v>1027</v>
      </c>
    </row>
    <row r="44">
      <c r="A44" t="s">
        <v>365</v>
      </c>
      <c r="B44" t="s">
        <v>188</v>
      </c>
      <c r="C44" s="26">
        <v>2.0</v>
      </c>
      <c r="D44" s="26" t="s">
        <v>1027</v>
      </c>
    </row>
    <row r="45">
      <c r="A45" t="s">
        <v>368</v>
      </c>
      <c r="B45" t="s">
        <v>188</v>
      </c>
      <c r="C45" s="26">
        <v>2.0</v>
      </c>
      <c r="D45" s="26" t="s">
        <v>1027</v>
      </c>
    </row>
    <row r="46">
      <c r="A46" t="s">
        <v>168</v>
      </c>
      <c r="B46" t="s">
        <v>188</v>
      </c>
      <c r="C46" s="26">
        <v>2.0</v>
      </c>
      <c r="D46" s="26" t="s">
        <v>1027</v>
      </c>
    </row>
    <row r="47">
      <c r="A47" t="s">
        <v>375</v>
      </c>
      <c r="B47" t="s">
        <v>188</v>
      </c>
      <c r="C47" s="26">
        <v>2.0</v>
      </c>
      <c r="D47" s="26" t="s">
        <v>1027</v>
      </c>
    </row>
    <row r="48">
      <c r="A48" t="s">
        <v>381</v>
      </c>
      <c r="B48" t="s">
        <v>188</v>
      </c>
      <c r="C48" s="26">
        <v>2.0</v>
      </c>
      <c r="D48" s="26" t="s">
        <v>1027</v>
      </c>
    </row>
    <row r="49">
      <c r="A49" t="s">
        <v>386</v>
      </c>
      <c r="B49" t="s">
        <v>188</v>
      </c>
      <c r="C49" s="26">
        <v>2.0</v>
      </c>
      <c r="D49" s="26" t="s">
        <v>1027</v>
      </c>
    </row>
    <row r="50">
      <c r="A50" t="s">
        <v>197</v>
      </c>
      <c r="B50" t="s">
        <v>188</v>
      </c>
      <c r="C50" s="26">
        <v>2.0</v>
      </c>
      <c r="D50" s="26" t="s">
        <v>1027</v>
      </c>
    </row>
    <row r="51">
      <c r="A51" t="s">
        <v>317</v>
      </c>
      <c r="B51" t="s">
        <v>189</v>
      </c>
      <c r="C51" s="26">
        <v>3.0</v>
      </c>
      <c r="D51" s="26" t="s">
        <v>1026</v>
      </c>
    </row>
    <row r="52">
      <c r="A52" t="s">
        <v>181</v>
      </c>
      <c r="B52" t="s">
        <v>189</v>
      </c>
      <c r="C52" s="26">
        <v>3.0</v>
      </c>
      <c r="D52" s="26" t="s">
        <v>1026</v>
      </c>
    </row>
    <row r="53">
      <c r="A53" t="s">
        <v>275</v>
      </c>
      <c r="B53" t="s">
        <v>189</v>
      </c>
      <c r="C53" s="26">
        <v>3.0</v>
      </c>
      <c r="D53" s="26" t="s">
        <v>1026</v>
      </c>
    </row>
    <row r="54">
      <c r="A54" t="s">
        <v>334</v>
      </c>
      <c r="B54" t="s">
        <v>189</v>
      </c>
      <c r="C54" s="26">
        <v>3.0</v>
      </c>
      <c r="D54" s="26" t="s">
        <v>1026</v>
      </c>
    </row>
    <row r="55">
      <c r="A55" t="s">
        <v>306</v>
      </c>
      <c r="B55" t="s">
        <v>189</v>
      </c>
      <c r="C55" s="26">
        <v>3.0</v>
      </c>
      <c r="D55" s="26" t="s">
        <v>1026</v>
      </c>
    </row>
    <row r="56">
      <c r="A56" t="s">
        <v>343</v>
      </c>
      <c r="B56" t="s">
        <v>189</v>
      </c>
      <c r="C56" s="26">
        <v>3.0</v>
      </c>
      <c r="D56" s="26" t="s">
        <v>1026</v>
      </c>
    </row>
    <row r="57">
      <c r="A57" t="s">
        <v>204</v>
      </c>
      <c r="B57" t="s">
        <v>189</v>
      </c>
      <c r="C57" s="26">
        <v>3.0</v>
      </c>
      <c r="D57" s="26" t="s">
        <v>1026</v>
      </c>
    </row>
    <row r="58">
      <c r="A58" t="s">
        <v>170</v>
      </c>
      <c r="B58" t="s">
        <v>189</v>
      </c>
      <c r="C58" s="26">
        <v>3.0</v>
      </c>
      <c r="D58" s="26" t="s">
        <v>1026</v>
      </c>
    </row>
    <row r="59">
      <c r="A59" t="s">
        <v>355</v>
      </c>
      <c r="B59" t="s">
        <v>189</v>
      </c>
      <c r="C59" s="26">
        <v>3.0</v>
      </c>
      <c r="D59" s="26" t="s">
        <v>1026</v>
      </c>
    </row>
    <row r="60">
      <c r="A60" t="s">
        <v>338</v>
      </c>
      <c r="B60" t="s">
        <v>189</v>
      </c>
      <c r="C60" s="26">
        <v>3.0</v>
      </c>
      <c r="D60" s="26" t="s">
        <v>1026</v>
      </c>
    </row>
    <row r="61">
      <c r="A61" t="s">
        <v>378</v>
      </c>
      <c r="B61" t="s">
        <v>189</v>
      </c>
      <c r="C61" s="26">
        <v>3.0</v>
      </c>
      <c r="D61" s="26" t="s">
        <v>1026</v>
      </c>
    </row>
    <row r="62">
      <c r="A62" t="s">
        <v>366</v>
      </c>
      <c r="B62" t="s">
        <v>189</v>
      </c>
      <c r="C62" s="26">
        <v>3.0</v>
      </c>
      <c r="D62" s="26" t="s">
        <v>1026</v>
      </c>
    </row>
    <row r="63">
      <c r="A63" t="s">
        <v>296</v>
      </c>
      <c r="B63" t="s">
        <v>189</v>
      </c>
      <c r="C63" s="26">
        <v>3.0</v>
      </c>
      <c r="D63" s="26" t="s">
        <v>1026</v>
      </c>
    </row>
    <row r="64">
      <c r="A64" t="s">
        <v>271</v>
      </c>
      <c r="B64" t="s">
        <v>189</v>
      </c>
      <c r="C64" s="26">
        <v>3.0</v>
      </c>
      <c r="D64" s="26" t="s">
        <v>1026</v>
      </c>
    </row>
    <row r="65">
      <c r="A65" t="s">
        <v>398</v>
      </c>
      <c r="B65" t="s">
        <v>194</v>
      </c>
      <c r="C65" s="26">
        <v>3.0</v>
      </c>
      <c r="D65" s="26" t="s">
        <v>1026</v>
      </c>
    </row>
    <row r="66">
      <c r="A66" t="s">
        <v>393</v>
      </c>
      <c r="B66" t="s">
        <v>194</v>
      </c>
      <c r="C66" s="26">
        <v>3.0</v>
      </c>
      <c r="D66" s="26" t="s">
        <v>1026</v>
      </c>
    </row>
    <row r="67">
      <c r="A67" t="s">
        <v>399</v>
      </c>
      <c r="B67" t="s">
        <v>194</v>
      </c>
      <c r="C67" s="26">
        <v>3.0</v>
      </c>
      <c r="D67" s="26" t="s">
        <v>1026</v>
      </c>
    </row>
    <row r="68">
      <c r="A68" t="s">
        <v>394</v>
      </c>
      <c r="B68" t="s">
        <v>194</v>
      </c>
      <c r="C68" s="26">
        <v>3.0</v>
      </c>
      <c r="D68" s="26" t="s">
        <v>1026</v>
      </c>
    </row>
    <row r="69">
      <c r="A69" t="s">
        <v>400</v>
      </c>
      <c r="B69" t="s">
        <v>194</v>
      </c>
      <c r="C69" s="26">
        <v>3.0</v>
      </c>
      <c r="D69" s="26" t="s">
        <v>1026</v>
      </c>
    </row>
    <row r="70">
      <c r="A70" t="s">
        <v>281</v>
      </c>
      <c r="B70" t="s">
        <v>194</v>
      </c>
      <c r="C70" s="26">
        <v>3.0</v>
      </c>
      <c r="D70" s="26" t="s">
        <v>1026</v>
      </c>
    </row>
    <row r="71">
      <c r="A71" t="s">
        <v>401</v>
      </c>
      <c r="B71" t="s">
        <v>194</v>
      </c>
      <c r="C71" s="26">
        <v>3.0</v>
      </c>
      <c r="D71" s="26" t="s">
        <v>1026</v>
      </c>
    </row>
    <row r="72">
      <c r="A72" t="s">
        <v>323</v>
      </c>
      <c r="B72" t="s">
        <v>190</v>
      </c>
      <c r="C72" s="26">
        <v>3.0</v>
      </c>
      <c r="D72" s="26" t="s">
        <v>1026</v>
      </c>
    </row>
    <row r="73">
      <c r="A73" t="s">
        <v>329</v>
      </c>
      <c r="B73" t="s">
        <v>190</v>
      </c>
      <c r="C73" s="26">
        <v>3.0</v>
      </c>
      <c r="D73" s="26" t="s">
        <v>1026</v>
      </c>
    </row>
    <row r="74">
      <c r="A74" t="s">
        <v>335</v>
      </c>
      <c r="B74" t="s">
        <v>190</v>
      </c>
      <c r="C74" s="26">
        <v>3.0</v>
      </c>
      <c r="D74" s="26" t="s">
        <v>1026</v>
      </c>
    </row>
    <row r="75">
      <c r="A75" t="s">
        <v>344</v>
      </c>
      <c r="B75" t="s">
        <v>190</v>
      </c>
      <c r="C75" s="26">
        <v>3.0</v>
      </c>
      <c r="D75" s="26" t="s">
        <v>1026</v>
      </c>
    </row>
    <row r="76">
      <c r="A76" t="s">
        <v>285</v>
      </c>
      <c r="B76" t="s">
        <v>190</v>
      </c>
      <c r="C76" s="26">
        <v>3.0</v>
      </c>
      <c r="D76" s="26" t="s">
        <v>1026</v>
      </c>
    </row>
    <row r="77">
      <c r="A77" t="s">
        <v>356</v>
      </c>
      <c r="B77" t="s">
        <v>190</v>
      </c>
      <c r="C77" s="26">
        <v>3.0</v>
      </c>
      <c r="D77" s="26" t="s">
        <v>1026</v>
      </c>
    </row>
    <row r="78">
      <c r="A78" t="s">
        <v>359</v>
      </c>
      <c r="B78" t="s">
        <v>190</v>
      </c>
      <c r="C78" s="26">
        <v>3.0</v>
      </c>
      <c r="D78" s="26" t="s">
        <v>1026</v>
      </c>
    </row>
    <row r="79">
      <c r="A79" s="66" t="s">
        <v>208</v>
      </c>
      <c r="B79" t="s">
        <v>190</v>
      </c>
      <c r="C79" s="26">
        <v>3.0</v>
      </c>
      <c r="D79" s="26" t="s">
        <v>1026</v>
      </c>
    </row>
    <row r="80">
      <c r="A80" t="s">
        <v>298</v>
      </c>
      <c r="B80" t="s">
        <v>190</v>
      </c>
      <c r="C80" s="26">
        <v>3.0</v>
      </c>
      <c r="D80" s="26" t="s">
        <v>1026</v>
      </c>
    </row>
    <row r="81">
      <c r="A81" t="s">
        <v>176</v>
      </c>
      <c r="B81" t="s">
        <v>190</v>
      </c>
      <c r="C81" s="26">
        <v>3.0</v>
      </c>
      <c r="D81" s="26" t="s">
        <v>1026</v>
      </c>
    </row>
    <row r="82">
      <c r="A82" t="s">
        <v>265</v>
      </c>
      <c r="B82" t="s">
        <v>190</v>
      </c>
      <c r="C82" s="26">
        <v>3.0</v>
      </c>
      <c r="D82" s="26" t="s">
        <v>1026</v>
      </c>
    </row>
    <row r="83">
      <c r="A83" t="s">
        <v>382</v>
      </c>
      <c r="B83" t="s">
        <v>190</v>
      </c>
      <c r="C83" s="26">
        <v>3.0</v>
      </c>
      <c r="D83" s="26" t="s">
        <v>1026</v>
      </c>
    </row>
    <row r="84">
      <c r="A84" t="s">
        <v>324</v>
      </c>
      <c r="B84" t="s">
        <v>129</v>
      </c>
      <c r="C84" s="26">
        <v>3.0</v>
      </c>
      <c r="D84" s="26" t="s">
        <v>1026</v>
      </c>
    </row>
    <row r="85">
      <c r="A85" t="s">
        <v>316</v>
      </c>
      <c r="B85" t="s">
        <v>129</v>
      </c>
      <c r="C85" s="26">
        <v>3.0</v>
      </c>
      <c r="D85" s="26" t="s">
        <v>1026</v>
      </c>
    </row>
    <row r="86">
      <c r="A86" t="s">
        <v>336</v>
      </c>
      <c r="B86" t="s">
        <v>129</v>
      </c>
      <c r="C86" s="26">
        <v>3.0</v>
      </c>
      <c r="D86" s="26" t="s">
        <v>1026</v>
      </c>
    </row>
    <row r="87">
      <c r="A87" t="s">
        <v>345</v>
      </c>
      <c r="B87" t="s">
        <v>129</v>
      </c>
      <c r="C87" s="26">
        <v>3.0</v>
      </c>
      <c r="D87" s="26" t="s">
        <v>1026</v>
      </c>
    </row>
    <row r="88">
      <c r="A88" t="s">
        <v>351</v>
      </c>
      <c r="B88" t="s">
        <v>129</v>
      </c>
      <c r="C88" s="26">
        <v>3.0</v>
      </c>
      <c r="D88" s="26" t="s">
        <v>1026</v>
      </c>
    </row>
    <row r="89">
      <c r="A89" t="s">
        <v>120</v>
      </c>
      <c r="B89" t="s">
        <v>129</v>
      </c>
      <c r="C89" s="26">
        <v>3.0</v>
      </c>
      <c r="D89" s="26" t="s">
        <v>1026</v>
      </c>
    </row>
    <row r="90">
      <c r="A90" t="s">
        <v>263</v>
      </c>
      <c r="B90" t="s">
        <v>129</v>
      </c>
      <c r="C90" s="26">
        <v>3.0</v>
      </c>
      <c r="D90" s="26" t="s">
        <v>1026</v>
      </c>
    </row>
    <row r="91">
      <c r="A91" t="s">
        <v>219</v>
      </c>
      <c r="B91" t="s">
        <v>129</v>
      </c>
      <c r="C91" s="26">
        <v>3.0</v>
      </c>
      <c r="D91" s="26" t="s">
        <v>1026</v>
      </c>
    </row>
    <row r="92">
      <c r="A92" t="s">
        <v>349</v>
      </c>
      <c r="B92" t="s">
        <v>129</v>
      </c>
      <c r="C92" s="26">
        <v>3.0</v>
      </c>
      <c r="D92" s="26" t="s">
        <v>1026</v>
      </c>
    </row>
    <row r="93">
      <c r="A93" t="s">
        <v>279</v>
      </c>
      <c r="B93" t="s">
        <v>129</v>
      </c>
      <c r="C93" s="26">
        <v>3.0</v>
      </c>
      <c r="D93" s="26" t="s">
        <v>1026</v>
      </c>
    </row>
    <row r="94">
      <c r="A94" t="s">
        <v>304</v>
      </c>
      <c r="B94" t="s">
        <v>129</v>
      </c>
      <c r="C94" s="26">
        <v>3.0</v>
      </c>
      <c r="D94" s="26" t="s">
        <v>1026</v>
      </c>
    </row>
    <row r="95">
      <c r="A95" t="s">
        <v>383</v>
      </c>
      <c r="B95" t="s">
        <v>129</v>
      </c>
      <c r="C95" s="26">
        <v>3.0</v>
      </c>
      <c r="D95" s="26" t="s">
        <v>1026</v>
      </c>
    </row>
    <row r="96">
      <c r="A96" t="s">
        <v>322</v>
      </c>
      <c r="B96" t="s">
        <v>191</v>
      </c>
      <c r="C96" s="26">
        <v>1.0</v>
      </c>
      <c r="D96" s="26" t="s">
        <v>1031</v>
      </c>
    </row>
    <row r="97">
      <c r="A97" t="s">
        <v>328</v>
      </c>
      <c r="B97" t="s">
        <v>191</v>
      </c>
      <c r="C97" s="26">
        <v>1.0</v>
      </c>
      <c r="D97" s="26" t="s">
        <v>1031</v>
      </c>
    </row>
    <row r="98">
      <c r="A98" t="s">
        <v>333</v>
      </c>
      <c r="B98" t="s">
        <v>191</v>
      </c>
      <c r="C98" s="26">
        <v>1.0</v>
      </c>
      <c r="D98" s="26" t="s">
        <v>1031</v>
      </c>
    </row>
    <row r="99">
      <c r="A99" t="s">
        <v>342</v>
      </c>
      <c r="B99" t="s">
        <v>191</v>
      </c>
      <c r="C99" s="26">
        <v>1.0</v>
      </c>
      <c r="D99" s="26" t="s">
        <v>1031</v>
      </c>
    </row>
    <row r="100">
      <c r="A100" t="s">
        <v>54</v>
      </c>
      <c r="B100" t="s">
        <v>191</v>
      </c>
      <c r="C100" s="26">
        <v>0.0</v>
      </c>
      <c r="D100" s="26" t="s">
        <v>1032</v>
      </c>
    </row>
    <row r="101">
      <c r="A101" t="s">
        <v>274</v>
      </c>
      <c r="B101" t="s">
        <v>191</v>
      </c>
      <c r="C101" s="26">
        <v>1.0</v>
      </c>
      <c r="D101" s="26" t="s">
        <v>1031</v>
      </c>
    </row>
    <row r="102">
      <c r="A102" t="s">
        <v>311</v>
      </c>
      <c r="B102" t="s">
        <v>191</v>
      </c>
      <c r="C102" s="26">
        <v>1.0</v>
      </c>
      <c r="D102" s="26" t="s">
        <v>1031</v>
      </c>
    </row>
    <row r="103">
      <c r="A103" t="s">
        <v>261</v>
      </c>
      <c r="B103" t="s">
        <v>191</v>
      </c>
      <c r="C103" s="26">
        <v>1.0</v>
      </c>
      <c r="D103" s="26" t="s">
        <v>1031</v>
      </c>
    </row>
    <row r="104">
      <c r="A104" t="s">
        <v>369</v>
      </c>
      <c r="B104" t="s">
        <v>191</v>
      </c>
      <c r="C104" s="26">
        <v>1.0</v>
      </c>
      <c r="D104" s="26" t="s">
        <v>1031</v>
      </c>
    </row>
    <row r="105">
      <c r="A105" t="s">
        <v>372</v>
      </c>
      <c r="B105" t="s">
        <v>191</v>
      </c>
      <c r="C105" s="26">
        <v>1.0</v>
      </c>
      <c r="D105" s="26" t="s">
        <v>1031</v>
      </c>
    </row>
    <row r="106">
      <c r="A106" t="s">
        <v>377</v>
      </c>
      <c r="B106" t="s">
        <v>191</v>
      </c>
      <c r="C106" s="26">
        <v>1.0</v>
      </c>
      <c r="D106" s="26" t="s">
        <v>1031</v>
      </c>
    </row>
    <row r="107">
      <c r="A107" t="s">
        <v>222</v>
      </c>
      <c r="B107" t="s">
        <v>191</v>
      </c>
      <c r="C107" s="26">
        <v>1.0</v>
      </c>
      <c r="D107" s="26" t="s">
        <v>1031</v>
      </c>
    </row>
    <row r="108">
      <c r="A108" t="s">
        <v>287</v>
      </c>
      <c r="B108" t="s">
        <v>192</v>
      </c>
      <c r="C108" s="26">
        <v>2.0</v>
      </c>
      <c r="D108" s="26" t="s">
        <v>1027</v>
      </c>
    </row>
    <row r="109">
      <c r="A109" t="s">
        <v>303</v>
      </c>
      <c r="B109" t="s">
        <v>192</v>
      </c>
      <c r="C109" s="26">
        <v>2.0</v>
      </c>
      <c r="D109" s="26" t="s">
        <v>1027</v>
      </c>
    </row>
    <row r="110">
      <c r="A110" t="s">
        <v>337</v>
      </c>
      <c r="B110" t="s">
        <v>192</v>
      </c>
      <c r="C110" s="26">
        <v>2.0</v>
      </c>
      <c r="D110" s="26" t="s">
        <v>1027</v>
      </c>
    </row>
    <row r="111">
      <c r="A111" t="s">
        <v>346</v>
      </c>
      <c r="B111" t="s">
        <v>192</v>
      </c>
      <c r="C111" s="26">
        <v>2.0</v>
      </c>
      <c r="D111" s="26" t="s">
        <v>1027</v>
      </c>
    </row>
    <row r="112">
      <c r="A112" t="s">
        <v>313</v>
      </c>
      <c r="B112" t="s">
        <v>192</v>
      </c>
      <c r="C112" s="26">
        <v>2.0</v>
      </c>
      <c r="D112" s="26" t="s">
        <v>1027</v>
      </c>
    </row>
    <row r="113">
      <c r="A113" t="s">
        <v>283</v>
      </c>
      <c r="B113" t="s">
        <v>192</v>
      </c>
      <c r="C113" s="26">
        <v>2.0</v>
      </c>
      <c r="D113" s="26" t="s">
        <v>1027</v>
      </c>
    </row>
    <row r="114">
      <c r="A114" t="s">
        <v>360</v>
      </c>
      <c r="B114" t="s">
        <v>192</v>
      </c>
      <c r="C114" s="26">
        <v>2.0</v>
      </c>
      <c r="D114" s="26" t="s">
        <v>1027</v>
      </c>
    </row>
    <row r="115">
      <c r="A115" t="s">
        <v>269</v>
      </c>
      <c r="B115" t="s">
        <v>192</v>
      </c>
      <c r="C115" s="26">
        <v>2.0</v>
      </c>
      <c r="D115" s="26" t="s">
        <v>1027</v>
      </c>
    </row>
    <row r="116">
      <c r="A116" t="s">
        <v>173</v>
      </c>
      <c r="B116" t="s">
        <v>192</v>
      </c>
      <c r="C116" s="26">
        <v>2.0</v>
      </c>
      <c r="D116" s="26" t="s">
        <v>1027</v>
      </c>
    </row>
    <row r="117">
      <c r="A117" t="s">
        <v>373</v>
      </c>
      <c r="B117" t="s">
        <v>192</v>
      </c>
      <c r="C117" s="26">
        <v>2.0</v>
      </c>
      <c r="D117" s="26" t="s">
        <v>1027</v>
      </c>
    </row>
    <row r="118">
      <c r="A118" t="s">
        <v>379</v>
      </c>
      <c r="B118" t="s">
        <v>192</v>
      </c>
      <c r="C118" s="26">
        <v>2.0</v>
      </c>
      <c r="D118" s="26" t="s">
        <v>1027</v>
      </c>
    </row>
    <row r="119">
      <c r="A119" t="s">
        <v>214</v>
      </c>
      <c r="B119" t="s">
        <v>192</v>
      </c>
      <c r="C119" s="26">
        <v>2.0</v>
      </c>
      <c r="D119" s="26" t="s">
        <v>1027</v>
      </c>
    </row>
    <row r="120">
      <c r="A120" t="s">
        <v>387</v>
      </c>
      <c r="B120" t="s">
        <v>192</v>
      </c>
      <c r="C120" s="26">
        <v>2.0</v>
      </c>
      <c r="D120" s="26" t="s">
        <v>1027</v>
      </c>
    </row>
    <row r="121">
      <c r="A121" t="s">
        <v>309</v>
      </c>
      <c r="B121" t="s">
        <v>192</v>
      </c>
      <c r="C121" s="26">
        <v>2.0</v>
      </c>
      <c r="D121" s="26" t="s">
        <v>1027</v>
      </c>
    </row>
    <row r="122">
      <c r="A122" t="s">
        <v>277</v>
      </c>
      <c r="B122" t="s">
        <v>193</v>
      </c>
      <c r="C122" s="26">
        <v>3.0</v>
      </c>
      <c r="D122" s="26" t="s">
        <v>1026</v>
      </c>
    </row>
    <row r="123">
      <c r="A123" t="s">
        <v>352</v>
      </c>
      <c r="B123" t="s">
        <v>193</v>
      </c>
      <c r="C123" s="26">
        <v>3.0</v>
      </c>
      <c r="D123" s="26" t="s">
        <v>1026</v>
      </c>
    </row>
    <row r="124">
      <c r="A124" t="s">
        <v>300</v>
      </c>
      <c r="B124" t="s">
        <v>193</v>
      </c>
      <c r="C124" s="26">
        <v>3.0</v>
      </c>
      <c r="D124" s="26" t="s">
        <v>1026</v>
      </c>
    </row>
    <row r="125">
      <c r="A125" t="s">
        <v>257</v>
      </c>
      <c r="B125" t="s">
        <v>193</v>
      </c>
      <c r="C125" s="26">
        <v>3.0</v>
      </c>
      <c r="D125" s="26" t="s">
        <v>1026</v>
      </c>
    </row>
    <row r="126">
      <c r="A126" t="s">
        <v>361</v>
      </c>
      <c r="B126" t="s">
        <v>193</v>
      </c>
      <c r="C126" s="26">
        <v>3.0</v>
      </c>
      <c r="D126" s="26" t="s">
        <v>1026</v>
      </c>
    </row>
    <row r="127">
      <c r="A127" s="66" t="s">
        <v>388</v>
      </c>
      <c r="B127" t="s">
        <v>193</v>
      </c>
      <c r="C127" s="26">
        <v>3.0</v>
      </c>
      <c r="D127" s="26" t="s">
        <v>1026</v>
      </c>
    </row>
    <row r="128">
      <c r="A128" t="s">
        <v>302</v>
      </c>
      <c r="B128" t="s">
        <v>193</v>
      </c>
      <c r="C128" s="26">
        <v>3.0</v>
      </c>
      <c r="D128" s="26" t="s">
        <v>1026</v>
      </c>
    </row>
    <row r="129">
      <c r="A129" t="s">
        <v>380</v>
      </c>
      <c r="B129" t="s">
        <v>193</v>
      </c>
      <c r="C129" s="26">
        <v>3.0</v>
      </c>
      <c r="D129" s="26" t="s">
        <v>1026</v>
      </c>
    </row>
    <row r="130">
      <c r="A130" t="s">
        <v>318</v>
      </c>
      <c r="B130" t="s">
        <v>193</v>
      </c>
      <c r="C130" s="26">
        <v>3.0</v>
      </c>
      <c r="D130" s="26" t="s">
        <v>1026</v>
      </c>
    </row>
    <row r="131">
      <c r="A131" t="s">
        <v>292</v>
      </c>
      <c r="B131" t="s">
        <v>193</v>
      </c>
      <c r="C131" s="26">
        <v>3.0</v>
      </c>
      <c r="D131" s="26" t="s">
        <v>1026</v>
      </c>
    </row>
    <row r="132">
      <c r="A132" t="s">
        <v>199</v>
      </c>
      <c r="B132" t="s">
        <v>193</v>
      </c>
      <c r="C132" s="26">
        <v>3.0</v>
      </c>
      <c r="D132" s="26" t="s">
        <v>1026</v>
      </c>
    </row>
  </sheetData>
  <autoFilter ref="$A$1:$D$132">
    <sortState ref="A1:D132">
      <sortCondition ref="B1:B132"/>
      <sortCondition ref="A1:A132"/>
    </sortState>
  </autoFilter>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sheetData>
    <row r="1">
      <c r="A1" t="s">
        <v>50</v>
      </c>
      <c r="B1" s="26" t="s">
        <v>1025</v>
      </c>
    </row>
    <row r="2">
      <c r="A2" t="s">
        <v>389</v>
      </c>
      <c r="B2" s="26" t="s">
        <v>1033</v>
      </c>
    </row>
    <row r="3">
      <c r="A3" t="s">
        <v>194</v>
      </c>
      <c r="B3" s="26" t="s">
        <v>1033</v>
      </c>
    </row>
    <row r="4">
      <c r="A4" t="s">
        <v>186</v>
      </c>
      <c r="B4" s="26" t="s">
        <v>1034</v>
      </c>
    </row>
    <row r="5">
      <c r="A5" t="s">
        <v>187</v>
      </c>
      <c r="B5" s="26" t="s">
        <v>1034</v>
      </c>
    </row>
    <row r="6">
      <c r="A6" t="s">
        <v>188</v>
      </c>
      <c r="B6" s="26" t="s">
        <v>1034</v>
      </c>
    </row>
    <row r="7">
      <c r="A7" t="s">
        <v>189</v>
      </c>
      <c r="B7" s="26" t="s">
        <v>1033</v>
      </c>
    </row>
    <row r="8">
      <c r="A8" t="s">
        <v>190</v>
      </c>
      <c r="B8" s="26" t="s">
        <v>1033</v>
      </c>
    </row>
    <row r="9">
      <c r="A9" t="s">
        <v>129</v>
      </c>
      <c r="B9" s="26" t="s">
        <v>1033</v>
      </c>
    </row>
    <row r="10">
      <c r="A10" t="s">
        <v>191</v>
      </c>
      <c r="B10" s="26" t="s">
        <v>1035</v>
      </c>
    </row>
    <row r="11">
      <c r="A11" t="s">
        <v>192</v>
      </c>
      <c r="B11" s="26" t="s">
        <v>1034</v>
      </c>
    </row>
    <row r="12">
      <c r="A12" t="s">
        <v>193</v>
      </c>
      <c r="B12" s="26" t="s">
        <v>1033</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sheetData>
    <row r="1">
      <c r="A1" s="26" t="s">
        <v>11</v>
      </c>
      <c r="B1" s="26" t="s">
        <v>1037</v>
      </c>
    </row>
    <row r="2">
      <c r="A2" s="66" t="s">
        <v>58</v>
      </c>
      <c r="B2" s="66">
        <v>1.0</v>
      </c>
    </row>
    <row r="3">
      <c r="A3" s="66" t="s">
        <v>66</v>
      </c>
      <c r="B3" s="66">
        <v>1.0</v>
      </c>
    </row>
    <row r="4">
      <c r="A4" s="26" t="s">
        <v>70</v>
      </c>
      <c r="B4" s="26">
        <v>1.0</v>
      </c>
    </row>
    <row r="5">
      <c r="A5" s="66" t="s">
        <v>74</v>
      </c>
      <c r="B5" s="26">
        <v>2.0</v>
      </c>
    </row>
    <row r="6">
      <c r="A6" s="26" t="s">
        <v>1038</v>
      </c>
      <c r="B6" s="26">
        <v>2.0</v>
      </c>
    </row>
    <row r="7">
      <c r="A7" s="66" t="s">
        <v>82</v>
      </c>
      <c r="B7" s="66">
        <v>3.0</v>
      </c>
    </row>
    <row r="8">
      <c r="A8" s="66" t="s">
        <v>88</v>
      </c>
      <c r="B8" s="26">
        <v>4.0</v>
      </c>
    </row>
    <row r="9">
      <c r="A9" s="26" t="s">
        <v>1039</v>
      </c>
      <c r="B9" s="26">
        <v>5.0</v>
      </c>
    </row>
    <row r="10">
      <c r="A10" s="66" t="s">
        <v>93</v>
      </c>
      <c r="B10" s="66">
        <v>6.0</v>
      </c>
    </row>
    <row r="11">
      <c r="A11" s="26" t="s">
        <v>1040</v>
      </c>
      <c r="B11" s="66">
        <v>6.0</v>
      </c>
    </row>
    <row r="12">
      <c r="A12" s="66" t="s">
        <v>1041</v>
      </c>
      <c r="B12" s="66">
        <v>7.0</v>
      </c>
    </row>
    <row r="13">
      <c r="A13" s="66" t="s">
        <v>101</v>
      </c>
      <c r="B13" s="66">
        <v>7.0</v>
      </c>
    </row>
    <row r="14">
      <c r="A14" s="26" t="s">
        <v>111</v>
      </c>
      <c r="B14" s="66">
        <v>7.0</v>
      </c>
    </row>
    <row r="15">
      <c r="A15" s="66" t="s">
        <v>105</v>
      </c>
      <c r="B15" s="26">
        <v>7.0</v>
      </c>
    </row>
    <row r="16">
      <c r="A16" s="66" t="s">
        <v>1042</v>
      </c>
      <c r="B16" s="26">
        <v>7.0</v>
      </c>
    </row>
    <row r="17">
      <c r="A17" s="26" t="s">
        <v>1043</v>
      </c>
      <c r="B17" s="26">
        <v>7.0</v>
      </c>
    </row>
    <row r="18">
      <c r="A18" s="26" t="s">
        <v>1044</v>
      </c>
      <c r="B18" s="26">
        <v>7.0</v>
      </c>
    </row>
    <row r="19">
      <c r="A19" s="202" t="s">
        <v>97</v>
      </c>
      <c r="B19" s="26">
        <v>7.0</v>
      </c>
    </row>
    <row r="20">
      <c r="A20" s="66" t="s">
        <v>119</v>
      </c>
      <c r="B20" s="66">
        <v>8.0</v>
      </c>
    </row>
    <row r="21">
      <c r="A21" s="66" t="s">
        <v>115</v>
      </c>
      <c r="B21" s="26">
        <v>8.0</v>
      </c>
    </row>
    <row r="22">
      <c r="A22" s="202" t="s">
        <v>115</v>
      </c>
      <c r="B22" s="26">
        <v>8.0</v>
      </c>
    </row>
    <row r="23">
      <c r="A23" s="202" t="s">
        <v>124</v>
      </c>
      <c r="B23" s="26">
        <v>8.0</v>
      </c>
    </row>
    <row r="24">
      <c r="A24" s="66" t="s">
        <v>126</v>
      </c>
      <c r="B24" s="66">
        <v>9.0</v>
      </c>
    </row>
    <row r="25">
      <c r="A25" s="66" t="s">
        <v>1045</v>
      </c>
      <c r="B25" s="26">
        <v>9.0</v>
      </c>
    </row>
    <row r="26">
      <c r="A26" s="26" t="s">
        <v>133</v>
      </c>
      <c r="B26" s="26">
        <v>10.0</v>
      </c>
    </row>
    <row r="27">
      <c r="A27" s="26" t="s">
        <v>149</v>
      </c>
      <c r="B27" s="26">
        <v>10.0</v>
      </c>
    </row>
    <row r="28">
      <c r="A28" s="66" t="s">
        <v>1046</v>
      </c>
      <c r="B28" s="66">
        <v>10.0</v>
      </c>
    </row>
    <row r="29">
      <c r="A29" s="66" t="s">
        <v>1047</v>
      </c>
      <c r="B29" s="66">
        <v>10.0</v>
      </c>
    </row>
    <row r="30">
      <c r="A30" s="202" t="s">
        <v>1048</v>
      </c>
      <c r="B30" s="26">
        <v>10.0</v>
      </c>
    </row>
    <row r="31">
      <c r="A31" s="66" t="s">
        <v>1049</v>
      </c>
      <c r="B31" s="66">
        <v>99.0</v>
      </c>
    </row>
    <row r="32">
      <c r="A32" s="26" t="s">
        <v>1050</v>
      </c>
      <c r="B32" s="26">
        <v>99.0</v>
      </c>
    </row>
    <row r="33">
      <c r="A33" s="66" t="s">
        <v>1051</v>
      </c>
      <c r="B33" s="66">
        <v>99.0</v>
      </c>
    </row>
    <row r="34">
      <c r="A34" s="66" t="s">
        <v>152</v>
      </c>
      <c r="B34" s="66">
        <v>99.0</v>
      </c>
    </row>
    <row r="35">
      <c r="A35" s="26" t="s">
        <v>1052</v>
      </c>
      <c r="B35" s="26">
        <v>99.0</v>
      </c>
    </row>
    <row r="36">
      <c r="A36" s="66" t="s">
        <v>1053</v>
      </c>
      <c r="B36" s="66">
        <v>999.0</v>
      </c>
    </row>
  </sheetData>
  <autoFilter ref="$A$1:$B$36">
    <sortState ref="A1:B36">
      <sortCondition ref="B1:B36"/>
    </sortState>
  </autoFilter>
  <drawing r:id="rId1"/>
</worksheet>
</file>