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amp; Sources" sheetId="1" state="visible" r:id="rId3"/>
    <sheet name="Layer A — raw data (SOURCED)" sheetId="2" state="visible" r:id="rId4"/>
    <sheet name="Layer B — pod writeups" sheetId="3" state="visible" r:id="rId5"/>
    <sheet name="Dashboard (A+B join)" sheetId="4" state="visible" r:id="rId6"/>
    <sheet name="Import_BradTracker" sheetId="5" state="visible" r:id="rId7"/>
    <sheet name="Draft_Order" sheetId="6" state="visible" r:id="rId8"/>
    <sheet name="Conferences_Needed" sheetId="7" state="visible" r:id="rId9"/>
    <sheet name="Remaining_By_Conf" sheetId="8" state="visible" r:id="rId10"/>
    <sheet name="Following_Me" sheetId="9" state="visible" r:id="rId11"/>
  </sheets>
  <definedNames>
    <definedName function="false" hidden="true" localSheetId="3" name="_xlnm._FilterDatabase" vbProcedure="false">'Dashboard (A+B join)'!$A$1:$Q$1</definedName>
    <definedName function="false" hidden="true" localSheetId="1" name="_xlnm._FilterDatabase" vbProcedure="false">'Layer A — raw data (SOURCED)'!$A$1:$N$139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<sst xmlns="http://schemas.openxmlformats.org/spreadsheetml/2006/main" count="789" uniqueCount="352">
  <si>
    <t xml:space="preserve">NCAA Wins Pool — 2026 Preview Workbook</t>
  </si>
  <si>
    <t xml:space="preserve">Three-layer model (per Annual Rebuild Playbook): A = raw data (numbers) · B = supplemental (pod writeups) · C = governance (source docs). The Layer A tab below is the SOURCED numeric store.</t>
  </si>
  <si>
    <t xml:space="preserve">MEASURE</t>
  </si>
  <si>
    <t xml:space="preserve">SOURCE  (captured 2026-08-03)</t>
  </si>
  <si>
    <t xml:space="preserve">Market win total (O/U)</t>
  </si>
  <si>
    <t xml:space="preserve">SportsBettingDime 2026 CFB win totals — sportsbettingdime.com/college-football/futures/win-totals-best-odds/ (captured 2026-08-03, preseason O/U)</t>
  </si>
  <si>
    <t xml:space="preserve">SP+ rank &amp; rating</t>
  </si>
  <si>
    <t xml:space="preserve">ESPN Bill Connelly 2026 preseason SP+, all 138 FBS — espn.com id 48306284 (captured 2026-08-03, August final-roster refresh)</t>
  </si>
  <si>
    <t xml:space="preserve">Returning production (ovr/off/def)</t>
  </si>
  <si>
    <t xml:space="preserve">ESPN Bill Connelly 2026 returning production — espn.com id 48259759 (captured 2026-08-03)</t>
  </si>
  <si>
    <t xml:space="preserve">TARP net/off/def</t>
  </si>
  <si>
    <t xml:space="preserve">Three Straight (Collin Wilson) 2026 TARP = Transfer Activity + Returning Production. Underlying data: PFF (2025 stats) + 247Sports (portal source/destination); measures end-2025 roster vs 2026 spring roster incl. Jan 2-16 portal window. Off weights OLsnaps40/recyds35/passyds22/rush3; Def weights snaps66/tackles19/stops5/pressures5/PBU5. FBS benchmark: off returned 63%, def 56%. Values here = the 'PR Adjustments' sheet (off modified vs 63%, def vs 56%; Net=Off+Def, pool ±6/±5 scale). FULL-FBS (136) captured 2026-08-04 from the published sheet at projectthreestraight.com/2026-tarp-transfer-activity-returning-production/. See TARP_source_2026.md.</t>
  </si>
  <si>
    <t xml:space="preserve">Collin/Action projected wins</t>
  </si>
  <si>
    <t xml:space="preserve">Collin Wilson's projected wins. PRIMARY SOURCES: projectthreestraight.com (his model output) AND stated by Collin himself on the 2026 BBOC pod (see src_2026/pac12_2026_transcript.txt + Sun Belt pod). Pac-12 + Sun Belt captured; other conferences as pods drop / from projectthreestraight.</t>
  </si>
  <si>
    <t xml:space="preserve">6-Win %</t>
  </si>
  <si>
    <t xml:space="preserve">ESPN 6-Win% — NOT yet published/collected for 2026 (2025-only historically; recheck)</t>
  </si>
  <si>
    <t xml:space="preserve">SOS rank</t>
  </si>
  <si>
    <t xml:space="preserve">SP+ SOS column — pending (not in the captured SP+ article body)</t>
  </si>
  <si>
    <t xml:space="preserve">COVERAGE</t>
  </si>
  <si>
    <t xml:space="preserve">market/SP+/RetProd = full-FBS (138). TARP/Collin = only teams whose 2026 pod has been extracted (Pac-12 12, Sun Belt 14); remainder await pod extraction or an Action full-FBS paste. 6-Win%/SOS/Miles pending.</t>
  </si>
  <si>
    <t xml:space="preserve">Team</t>
  </si>
  <si>
    <t xml:space="preserve">Mkt O/U</t>
  </si>
  <si>
    <t xml:space="preserve">SP+ Rk</t>
  </si>
  <si>
    <t xml:space="preserve">SP+ Rtg</t>
  </si>
  <si>
    <t xml:space="preserve">RetProd%</t>
  </si>
  <si>
    <t xml:space="preserve">Ret Off%</t>
  </si>
  <si>
    <t xml:space="preserve">Ret Def%</t>
  </si>
  <si>
    <t xml:space="preserve">TARP net</t>
  </si>
  <si>
    <t xml:space="preserve">TARP off</t>
  </si>
  <si>
    <t xml:space="preserve">TARP def</t>
  </si>
  <si>
    <t xml:space="preserve">Collin Proj</t>
  </si>
  <si>
    <t xml:space="preserve">Proj−Mkt</t>
  </si>
  <si>
    <t xml:space="preserve">6-Win%</t>
  </si>
  <si>
    <t xml:space="preserve">SOS Rk</t>
  </si>
  <si>
    <t xml:space="preserve">Pool Conf</t>
  </si>
  <si>
    <t xml:space="preserve">Ohio State</t>
  </si>
  <si>
    <t xml:space="preserve">Big Ten</t>
  </si>
  <si>
    <t xml:space="preserve">Oregon</t>
  </si>
  <si>
    <t xml:space="preserve">Notre Dame</t>
  </si>
  <si>
    <t xml:space="preserve">CUSA</t>
  </si>
  <si>
    <t xml:space="preserve">Georgia</t>
  </si>
  <si>
    <t xml:space="preserve">SEC</t>
  </si>
  <si>
    <t xml:space="preserve">Indiana</t>
  </si>
  <si>
    <t xml:space="preserve">Texas</t>
  </si>
  <si>
    <t xml:space="preserve">Texas Tech</t>
  </si>
  <si>
    <t xml:space="preserve">Big 12</t>
  </si>
  <si>
    <t xml:space="preserve">Miami FL</t>
  </si>
  <si>
    <t xml:space="preserve">ACC</t>
  </si>
  <si>
    <t xml:space="preserve">Texas A&amp;M</t>
  </si>
  <si>
    <t xml:space="preserve">LSU</t>
  </si>
  <si>
    <t xml:space="preserve">Alabama</t>
  </si>
  <si>
    <t xml:space="preserve">Oklahoma</t>
  </si>
  <si>
    <t xml:space="preserve">USC</t>
  </si>
  <si>
    <t xml:space="preserve">Michigan</t>
  </si>
  <si>
    <t xml:space="preserve">Tennessee</t>
  </si>
  <si>
    <t xml:space="preserve">Ole Miss</t>
  </si>
  <si>
    <t xml:space="preserve">Penn State</t>
  </si>
  <si>
    <t xml:space="preserve">BYU</t>
  </si>
  <si>
    <t xml:space="preserve">Florida</t>
  </si>
  <si>
    <t xml:space="preserve">Missouri</t>
  </si>
  <si>
    <t xml:space="preserve">Washington</t>
  </si>
  <si>
    <t xml:space="preserve">Iowa</t>
  </si>
  <si>
    <t xml:space="preserve">Clemson</t>
  </si>
  <si>
    <t xml:space="preserve">South Carolina</t>
  </si>
  <si>
    <t xml:space="preserve">Utah</t>
  </si>
  <si>
    <t xml:space="preserve">Auburn</t>
  </si>
  <si>
    <t xml:space="preserve">Louisville</t>
  </si>
  <si>
    <t xml:space="preserve">SMU</t>
  </si>
  <si>
    <t xml:space="preserve">Kansas State</t>
  </si>
  <si>
    <t xml:space="preserve">Arizona</t>
  </si>
  <si>
    <t xml:space="preserve">Vanderbilt</t>
  </si>
  <si>
    <t xml:space="preserve">Virginia Tech</t>
  </si>
  <si>
    <t xml:space="preserve">Illinois</t>
  </si>
  <si>
    <t xml:space="preserve">TCU</t>
  </si>
  <si>
    <t xml:space="preserve">Florida State</t>
  </si>
  <si>
    <t xml:space="preserve">Houston</t>
  </si>
  <si>
    <t xml:space="preserve">Nebraska</t>
  </si>
  <si>
    <t xml:space="preserve">Oklahoma State</t>
  </si>
  <si>
    <t xml:space="preserve">Pac12</t>
  </si>
  <si>
    <t xml:space="preserve">Boise State</t>
  </si>
  <si>
    <t xml:space="preserve">Virginia</t>
  </si>
  <si>
    <t xml:space="preserve">Pittsburgh</t>
  </si>
  <si>
    <t xml:space="preserve">Arizona State</t>
  </si>
  <si>
    <t xml:space="preserve">Georgia Tech</t>
  </si>
  <si>
    <t xml:space="preserve">Duke</t>
  </si>
  <si>
    <t xml:space="preserve">Minnesota</t>
  </si>
  <si>
    <t xml:space="preserve">UCLA</t>
  </si>
  <si>
    <t xml:space="preserve">Arkansas</t>
  </si>
  <si>
    <t xml:space="preserve">NC State</t>
  </si>
  <si>
    <t xml:space="preserve">Northwestern</t>
  </si>
  <si>
    <t xml:space="preserve">Cincinnati</t>
  </si>
  <si>
    <t xml:space="preserve">Baylor</t>
  </si>
  <si>
    <t xml:space="preserve">Mississippi State</t>
  </si>
  <si>
    <t xml:space="preserve">Kentucky</t>
  </si>
  <si>
    <t xml:space="preserve">North Carolina</t>
  </si>
  <si>
    <t xml:space="preserve">Maryland</t>
  </si>
  <si>
    <t xml:space="preserve">California</t>
  </si>
  <si>
    <t xml:space="preserve">Kansas</t>
  </si>
  <si>
    <t xml:space="preserve">Wake Forest</t>
  </si>
  <si>
    <t xml:space="preserve">UNLV</t>
  </si>
  <si>
    <t xml:space="preserve">MWC</t>
  </si>
  <si>
    <t xml:space="preserve">UCF</t>
  </si>
  <si>
    <t xml:space="preserve">Wisconsin</t>
  </si>
  <si>
    <t xml:space="preserve">Rutgers</t>
  </si>
  <si>
    <t xml:space="preserve">Navy</t>
  </si>
  <si>
    <t xml:space="preserve">AAC</t>
  </si>
  <si>
    <t xml:space="preserve">Iowa State</t>
  </si>
  <si>
    <t xml:space="preserve">Colorado</t>
  </si>
  <si>
    <t xml:space="preserve">West Virginia</t>
  </si>
  <si>
    <t xml:space="preserve">Michigan State</t>
  </si>
  <si>
    <t xml:space="preserve">New Mexico</t>
  </si>
  <si>
    <t xml:space="preserve">Syracuse</t>
  </si>
  <si>
    <t xml:space="preserve">Memphis</t>
  </si>
  <si>
    <t xml:space="preserve">San Diego State</t>
  </si>
  <si>
    <t xml:space="preserve">North Dakota State</t>
  </si>
  <si>
    <t xml:space="preserve">UTSA</t>
  </si>
  <si>
    <t xml:space="preserve">Boston College</t>
  </si>
  <si>
    <t xml:space="preserve">Stanford</t>
  </si>
  <si>
    <t xml:space="preserve">East Carolina</t>
  </si>
  <si>
    <t xml:space="preserve">James Madison</t>
  </si>
  <si>
    <t xml:space="preserve">Sun Belt</t>
  </si>
  <si>
    <t xml:space="preserve">Fresno State</t>
  </si>
  <si>
    <t xml:space="preserve">Air Force</t>
  </si>
  <si>
    <t xml:space="preserve">South Florida</t>
  </si>
  <si>
    <t xml:space="preserve">Miami OH</t>
  </si>
  <si>
    <t xml:space="preserve">MAC</t>
  </si>
  <si>
    <t xml:space="preserve">Purdue</t>
  </si>
  <si>
    <t xml:space="preserve">Army</t>
  </si>
  <si>
    <t xml:space="preserve">Hawaii</t>
  </si>
  <si>
    <t xml:space="preserve">Washington State</t>
  </si>
  <si>
    <t xml:space="preserve">Western Kentucky</t>
  </si>
  <si>
    <t xml:space="preserve">Tulane</t>
  </si>
  <si>
    <t xml:space="preserve">Old Dominion</t>
  </si>
  <si>
    <t xml:space="preserve">Texas State</t>
  </si>
  <si>
    <t xml:space="preserve">Troy</t>
  </si>
  <si>
    <t xml:space="preserve">Oregon State</t>
  </si>
  <si>
    <t xml:space="preserve">Marshall</t>
  </si>
  <si>
    <t xml:space="preserve">Liberty</t>
  </si>
  <si>
    <t xml:space="preserve">Florida Atlantic</t>
  </si>
  <si>
    <t xml:space="preserve">Western Michigan</t>
  </si>
  <si>
    <t xml:space="preserve">Tulsa</t>
  </si>
  <si>
    <t xml:space="preserve">Utah State</t>
  </si>
  <si>
    <t xml:space="preserve">Jacksonville State</t>
  </si>
  <si>
    <t xml:space="preserve">Colorado State</t>
  </si>
  <si>
    <t xml:space="preserve">Louisiana Tech</t>
  </si>
  <si>
    <t xml:space="preserve">Arkansas State</t>
  </si>
  <si>
    <t xml:space="preserve">Temple</t>
  </si>
  <si>
    <t xml:space="preserve">Georgia Southern</t>
  </si>
  <si>
    <t xml:space="preserve">Louisiana</t>
  </si>
  <si>
    <t xml:space="preserve">Kennesaw State</t>
  </si>
  <si>
    <t xml:space="preserve">Wyoming</t>
  </si>
  <si>
    <t xml:space="preserve">UConn</t>
  </si>
  <si>
    <t xml:space="preserve">Toledo</t>
  </si>
  <si>
    <t xml:space="preserve">North Texas</t>
  </si>
  <si>
    <t xml:space="preserve">Buffalo</t>
  </si>
  <si>
    <t xml:space="preserve">Appalachian State</t>
  </si>
  <si>
    <t xml:space="preserve">Nevada</t>
  </si>
  <si>
    <t xml:space="preserve">Central Michigan</t>
  </si>
  <si>
    <t xml:space="preserve">Delaware</t>
  </si>
  <si>
    <t xml:space="preserve">Bowling Green</t>
  </si>
  <si>
    <t xml:space="preserve">South Alabama</t>
  </si>
  <si>
    <t xml:space="preserve">Ohio</t>
  </si>
  <si>
    <t xml:space="preserve">FIU</t>
  </si>
  <si>
    <t xml:space="preserve">Coastal Carolina</t>
  </si>
  <si>
    <t xml:space="preserve">Rice</t>
  </si>
  <si>
    <t xml:space="preserve">Eastern Michigan</t>
  </si>
  <si>
    <t xml:space="preserve">San Jose State</t>
  </si>
  <si>
    <t xml:space="preserve">New Mexico State</t>
  </si>
  <si>
    <t xml:space="preserve">UAB</t>
  </si>
  <si>
    <t xml:space="preserve">Northern Illinois</t>
  </si>
  <si>
    <t xml:space="preserve">Missouri State</t>
  </si>
  <si>
    <t xml:space="preserve">Akron</t>
  </si>
  <si>
    <t xml:space="preserve">Kent State</t>
  </si>
  <si>
    <t xml:space="preserve">UTEP</t>
  </si>
  <si>
    <t xml:space="preserve">Sacramento State</t>
  </si>
  <si>
    <t xml:space="preserve">Southern Miss</t>
  </si>
  <si>
    <t xml:space="preserve">ULM</t>
  </si>
  <si>
    <t xml:space="preserve">Georgia State</t>
  </si>
  <si>
    <t xml:space="preserve">Ball State</t>
  </si>
  <si>
    <t xml:space="preserve">Middle Tennessee</t>
  </si>
  <si>
    <t xml:space="preserve">Sam Houston</t>
  </si>
  <si>
    <t xml:space="preserve">UMass</t>
  </si>
  <si>
    <t xml:space="preserve">Charlotte</t>
  </si>
  <si>
    <t xml:space="preserve">QB status</t>
  </si>
  <si>
    <t xml:space="preserve">New HC</t>
  </si>
  <si>
    <t xml:space="preserve">New OC</t>
  </si>
  <si>
    <t xml:space="preserve">New DC</t>
  </si>
  <si>
    <t xml:space="preserve">Host Lean</t>
  </si>
  <si>
    <t xml:space="preserve">Dark Horse</t>
  </si>
  <si>
    <t xml:space="preserve">Fade</t>
  </si>
  <si>
    <t xml:space="preserve">Split</t>
  </si>
  <si>
    <t xml:space="preserve">Variance</t>
  </si>
  <si>
    <t xml:space="preserve">Sched Tag</t>
  </si>
  <si>
    <t xml:space="preserve">Key Avoids/Draws</t>
  </si>
  <si>
    <t xml:space="preserve">Key Injury</t>
  </si>
  <si>
    <t xml:space="preserve">BBOC Notes</t>
  </si>
  <si>
    <t xml:space="preserve">Battle — Malachi Singleton (transfer from Purdue, ex-'MAC legend'/dual-threat) likely QB1 / Tommy Ulatowski (transfer from Kent State) / Henry Hasselbeck [lead: hope is Singleton, may use multiple; the 2024 room bled out — 40+ portal departures]</t>
  </si>
  <si>
    <t xml:space="preserve">Lean Under</t>
  </si>
  <si>
    <t xml:space="preserve">Favorable</t>
  </si>
  <si>
    <t xml:space="preserve">Conducive slate — 4 home wins likely (Maine, Charlotte, Georgia State, ULM), winnables on the road (at Coastal, at South Alabama). Easy West crossover (ULM + at South Alabama). HOSTS JMU + ODU in Boone. Only ~3 games as a double-digit dog.</t>
  </si>
  <si>
    <t xml:space="preserve">Under lean but a soft one (Stuckey ~5.0, right on market, passes; Duck leans under but the schedule is too winnable to fire). Program on the decline — 127th in returning production, 40+ portal losses, lost 9 of top-10 tacklers; hosts are not Dowell Loggins believers (rode the one good LaNorris-Sellers-fueled year at South Carolina). QB unsettled (Singleton the hope). Trench help: RT Poindexter back from injury + LT Manuel (Florida/Arkansas) should steady the tackles; RB room has pop (Jaquez Cross from Ark State, Jaquari Lewis). Pass D was shredded in 2024 and the FCS DB imports don't obviously fix it. Bowl needs a road steal or two.</t>
  </si>
  <si>
    <t xml:space="preserve">[from SEC pod]</t>
  </si>
  <si>
    <t xml:space="preserve">[BBOC pending — covered in SEC pod, not Pac-12.] Edge read: SP+ #47, TARP +6.5 — grades better than its 4.5 market; possible value if underrated as its real-conf self.</t>
  </si>
  <si>
    <t xml:space="preserve">Battle — Trey Owens (transfer from Texas, So, 6-5/225, high ceiling/physical tools, Super-Troopers mustache) — Stuckey's WANT and the projected UPGRADE [incumbent 3-yr starter Jaylen Raynor left for Iowa State; Owens the higher-ceiling swing over Raynor's win-games-lose-games profile]</t>
  </si>
  <si>
    <t xml:space="preserve">Garrett Altman (from Vanderbilt, QB coach — slow-pace/Pavia-style)</t>
  </si>
  <si>
    <t xml:space="preserve">Lean Over</t>
  </si>
  <si>
    <t xml:space="preserve">Y</t>
  </si>
  <si>
    <t xml:space="preserve">Manageable slate — dream East crossover (Coastal + Georgia State). HOSTS Troy in the finale (likely division-decider). Road-heavy winnables (at Southern Miss, at Louisiana, at Coastal, at La Tech) but they're 9-27 SU on the road since 2020.</t>
  </si>
  <si>
    <t xml:space="preserve">Stuckey's West flyer (~11-1 vs Louisiana's 8-1 — the value play). Rare Belt team that RISES in returning production (100th → 82nd); nearly the whole OL back. The upside is the QB swing to Trey Owens (Texas) + new OC Garrett Altman (Vandy QB coach — expect a much SLOWER pace to protect a resetting D, which Duck flags as an unders angle vs Memphis/TCU/Kennesaw early). WR reload needed (Chancy Cobb, 70 catches, back). The DL that was decent graduated; the back-seven that returns (safeties) was BAD and gave up a ton of explosives (110th). Butch Jones' teams win a pile of one-score games (9 in 2 years) + elite special teams — the reason to buy in a coin-flip division. Duck: 'we won't go under.'</t>
  </si>
  <si>
    <t xml:space="preserve">Returning — Maddox Madsen</t>
  </si>
  <si>
    <t xml:space="preserve">Zach Hill</t>
  </si>
  <si>
    <t xml:space="preserve">Terrence Brown</t>
  </si>
  <si>
    <t xml:space="preserve">Neutral</t>
  </si>
  <si>
    <t xml:space="preserve">Full round-robin (plays all 7 other members) — no in-conf avoids. Wk13 FLEX (projected): vs Utah State (may not count). Non-con: @ Oregon, Memphis, @ W. Michigan, South Dakota (FCS).</t>
  </si>
  <si>
    <t xml:space="preserve">Conference anchor by the market. QB Maddox Madsen returns but is flagged hard: ~35 turnover-worthy plays and poor when tied/trailing (54% comp, 7 picks in those spots); over-reliant on the run. Two new coordinators (Hill OC, Brown DC). RBs Dylan Riley &amp; Sire Gaines both ~4.2 yds after contact — best rushing tandem in the league. Collin ~7, below the 7.5 line — the QB downgrade + coordinator turnover is why. Anchor-tier by SP+ (#39) but not a clean over.</t>
  </si>
  <si>
    <t xml:space="preserve">Battle (wide open, no FBS starting experience) — [Trey] Bailey (transfer from Missouri State, wasn't the starter) / Tanner Lopez (freshman) / Jackson (freshman) / Trey Garra-Warren (JUCO All-American, was P4-recruited as a backup — LSU/FSU/Arkansas/Texas Tech interest — chose Coastal to play for Petrino) [lead: unsettled; Beard says all four in the mix; incumbent gone, full reset]</t>
  </si>
  <si>
    <t xml:space="preserve">Ryan Beard (from Missouri State)</t>
  </si>
  <si>
    <t xml:space="preserve">(Bobby Petrino coaching tree — brought both coordinators)</t>
  </si>
  <si>
    <t xml:space="preserve">Hard Under</t>
  </si>
  <si>
    <t xml:space="preserve">Brutal</t>
  </si>
  <si>
    <t xml:space="preserve">3rd-toughest Sun Belt schedule (Duck). Beats Fordham; crushed by West Virginia (Duck fades wk1, -17.5 → played to 22.5); at Delaware (dog), Liberty home. Horrific West draw (Louisiana + Arkansas State). Fade spots at Marshall, at Louisiana, at JMU. Four coin-flips (Georgia Southern home, App State, Georgia State, Ark State).</t>
  </si>
  <si>
    <t xml:space="preserve">A FADE — both under (Stuckey projects 4.2, pays for under 5.5 / under 4.5 plus-money; Duck fades wk1). Full reset under new HC Ryan Beard (the Petrino-tree hire from Missouri State — Stuckey is skeptical of the nepotism-heavy staff and the 'lucked into Jacob Clark' Mizzou run; they didn't bring Clark). No FBS starting experience in a 4-way QB battle, a bad OL (both 2024 tackles left for Duke + Oklahoma State), and skill positions void of talent. The 2024 D was awful (474 yд/gm in conf, 130th in explosives allowed) and now leans on Missouri State DL transfers. Would need to sweep 4 coin-flips + steal one for 5 wins — unlikely. Calabrese's lone silver lining: watch JUCO All-American Trey Garra.</t>
  </si>
  <si>
    <t xml:space="preserve">Battle — Haas Haney (OK St transfer) vs Darius Curry</t>
  </si>
  <si>
    <t xml:space="preserve">Jim Mora Jr.</t>
  </si>
  <si>
    <t xml:space="preserve">Price Tracy</t>
  </si>
  <si>
    <t xml:space="preserve">Full round-robin (plays all 7 other members) — no in-conf avoids. Wk13 FLEX (projected): vs Texas State (may not count). Non-con: Wyoming, Southern Utah, BYU, @ UTSA.</t>
  </si>
  <si>
    <t xml:space="preserve">Bottom of the bucket. New HC Jim Mora Jr. (from UConn) + new OC Price Tracy = full offensive reset; QB battle unsettled. Collin: first six games a 'soul-search,' ceiling ~5 wins, projects ~2.8 — hard under. High variance from the staff/QB turnover.</t>
  </si>
  <si>
    <t xml:space="preserve">Transfer — Christian Martin (from Maryland)</t>
  </si>
  <si>
    <t xml:space="preserve">Full round-robin (plays all 7 other members) — no in-conf avoids. Wk13 FLEX (projected): vs San Diego State (may not count). Non-con: @ USC (Fri opener), Sacramento St, @ San Jose St, Rice.</t>
  </si>
  <si>
    <t xml:space="preserve">HOST SPLIT — Collin very bearish (~4.5, hard under), Duck bullish. New QB Christian Martin (Maryland) replacing EJ Warner. Secondary is a strength (borderline-elite MW last year, ~20 INTs) but turnovers may regress. SP+ (#78) sides with the bearish read against the market. Fade candidate despite the board total.</t>
  </si>
  <si>
    <t xml:space="preserve">Transfer — Max Johnson (transfer, Super-Sr, started at LSU in 2020 then Texas A&amp;M/UNC; journeyman on his last stop, injury-prone) [backups: Turner/Tor Helton — the HC's son — plus Wes Brian, a short-yardage/wildcat runner; 'one play away from a disastrous offense']</t>
  </si>
  <si>
    <t xml:space="preserve">Mike Mutz (from Stephen F. Austin)</t>
  </si>
  <si>
    <t xml:space="preserve">No Play</t>
  </si>
  <si>
    <t xml:space="preserve">2nd-toughest Sun Belt schedule (Duck). Non-con at Clemson, at Jacksonville State, Houston home; brutal East draw. HOSTS JMU + Marshall but goes to ODU. Could be 2-5 before it gets deeper.</t>
  </si>
  <si>
    <t xml:space="preserve">A fade lean (Duck under 5.5 since spring; Stuckey/Calabrese pass, no path to the division). The offense was DECIMATED — all 11 players with 400+ snaps gone (QB JC French to Cincinnati, 3-yr RB Arnold, 3-yr WR Cobb, RT to Michigan State, C to North Texas). 108th in returning production (was top-50). They're rebuilding the O with P4 transfers (didn't pan out) and the D with FCS plug-ins. New DC Mike Mutz (SFA) is a pressure guy for a D that had 9 sacks all of 2024 (dead-last-ish pass rush) — the one real upside. QB is Max Johnson, who 'absolutely cannot stay healthy.' OL/DL maybe the worst aggregate trenches in the Belt. Not a bowl team.</t>
  </si>
  <si>
    <t xml:space="preserve">Returning — Christian Brown (incumbent, steadier option; 13:1 TD:INT in limited 2024 action, the clear best option over Finley — hosts puzzled he didn't play more; battled OL injuries around him) [QB play should be steadier + healthier in 2026]</t>
  </si>
  <si>
    <t xml:space="preserve">Hugh Jackson (returns)</t>
  </si>
  <si>
    <t xml:space="preserve">(new co-DCs, from FCS)</t>
  </si>
  <si>
    <t xml:space="preserve">Winnable slate — opens FCS NC A&amp;T (Duck's over play, 'shred them'); swaps Ole Miss/Memphis/Vandy off the 2024 non-con for Kennesaw, UCF, NIU (much softer). Draws JMU/ODU/Marshall run-heavy fronts that could 'run through them like tissue paper.'</t>
  </si>
  <si>
    <t xml:space="preserve">Year 3 of Dell McGee — Calabrese + Duck lean OVER 3.5 (Stuckey ~3.9, wants to bet the over but the DEFENSE scares him). Coming off a 1-win year, but the OFFENSE should be much better: QB Christian Brown (13:1 in limited time) over Finley, a healthier/upgraded OL, and OC Hugh Jackson back — projects top-20 in pace + improved 3rd-down (81st in 2024). The problem is the defense — 9 new starters, still adding low-level bodies, could be one of the worst run Ds in the league (they lost 13 of top-16 snaps, oddly 7 to P4). Expect shootouts → a lot of Georgia State OVERS early before the market corrects (Duck's angle).</t>
  </si>
  <si>
    <t xml:space="preserve">Battle (4-way, all new) — Camden Coleman (transfer, prev. multi-yr starter at Richmond, dual-threat game-manager) / J.C. Evans (transfer, mobile, had committed to Rich Rod at Jax State) / Matthew Maiden (transfer from Memphis) / Alonza Arrington [lead: hosts split — Evans favored by some, Stuckey + Calabrese think/hope Coleman wins; incumbent Alonzo Barnett left for UCF; Davis Belfort moved to WR]</t>
  </si>
  <si>
    <t xml:space="preserve">Billy Napier</t>
  </si>
  <si>
    <t xml:space="preserve">Cam Akins (from East Tennessee State)</t>
  </si>
  <si>
    <t xml:space="preserve">Robert Bala</t>
  </si>
  <si>
    <t xml:space="preserve">Opens Liberty (~TD fav) + Wagner (cakewalk), then back-to-back roadies at San Diego State + at Old Dominion (the early test); HOSTS Marshall (home/away split matters in the East race). After ODU, arguably favored in every game.</t>
  </si>
  <si>
    <t xml:space="preserve">HOST SPLIT on the total — Calabrese OVER 8.5 (Billy Napier rehab hire, 33 wins in his last 3 Louisiana years, best resources in the league via ~$60M student-fee athletic funding; 2nd-rated G6 portal class; road-grader OL rebuild + deep RB room incl. Nick Herman, a 1,000-yд Drake back), Stuckey UNDER (+125) — downgraded them ~13 pts from year-end after Chesney left for UCLA and stripped the roster: 136th in returning production, 18 of the top-28 offensive+defensive snaps gone to P4/NFL, secondary a question. Duck: wait-and-see, need to see the offense; front-doors the East if they beat ODU + Marshall. 3-1 to win the conference.</t>
  </si>
  <si>
    <t xml:space="preserve">Returning — Walker 'Lunch' Winfield (incumbent, dual-threat/run-first; wasn't the planned 2024 starter but took over midseason and the offense averaged 34 ppg over the last 4 games once they balanced him; must develop as a passer) [ZERO QB depth — 'if Lunch runs and gets hurt, it's over'; the ONLY Sun Belt team with the same HC + both coordinators + QB]</t>
  </si>
  <si>
    <t xml:space="preserve">EASIEST Sun Belt schedule (Duck) — AVOIDS JMU, ODU AND Marshall; dream East draw (Coastal + Georgia State). HOSTS South Alabama, Arkansas State, Troy (huge in the West race); road at Southern Miss, ULM, La Tech. 3 winnable non-cons (Lamar, UAB, Charlotte).</t>
  </si>
  <si>
    <t xml:space="preserve">The West favorite (~8-1, Calabrese's 7-1 pick to win it) — Duck + Calabrese lean OVER 7.5. A 'grown-in-a-lab' develop-your-own roster: 81st in returning production (high for the Belt), 3rd in returning starts. Full offseason for Lunch Winfield + WR Shelton Sampson (a possible star capped by 46% catch rate on inaccurate 2024 QB play) + a big rebuilt OL (6 players back with 25%+ snaps, but most injury-plagued line in the country in 2024). The DEFENSE is the drag — DC Jim Salgado's unit was 100th+ in scoring/total D and returns only 2 starters; leaned on FCS imports (Tito Chikwelu, Broderick Stewart) to fix a 121st pass rush + 85th run D. Desormeaux is poor in one-possession games — situational execution is the swing. Stuckey out on Desormeaux + not sold on Lunch's arm.</t>
  </si>
  <si>
    <t xml:space="preserve">Battle — Trey Kucuk (Kukuk) (incumbent-ish, returning from injury, should be healthy) vs a lean into the run/option [2024 became an option team out of necessity — only 8 passing TD all year; no clear WR talent to throw to, so the new OL-coach OC may just run it]</t>
  </si>
  <si>
    <t xml:space="preserve">(new OC — an offensive-line coach; expect run-heavy)</t>
  </si>
  <si>
    <t xml:space="preserve">Steps UP into the Sun Belt from CUSA (but travel drops from ~5,500 to ~2,050 miles). Tough open (at LSU, at Baylor, Army home, then Louisiana) — a likely 1-3 start. 4-27 SU on the road since 2021; road at Troy, at South Alabama, at Georgia Southern not assured.</t>
  </si>
  <si>
    <t xml:space="preserve">Lean under (both ~market; Duck likes the DK ALT under 6.5 at -166 as value). #1 in the Sun Belt in returning production, but a hollow-looking group: 2024's 8 wins came against a parade of bad teams (Sela, NMSU, USM, UTEP, Sam Houston, an overtime Liberty, backups-vs-Coastal in the bowl) — a Cumby job-saving mirage. The passing attack never materialized under Sonny Cumby (only 8 pass TD); the new OC is an OL coach → likely full run commitment, but the interior OL (RG/RT/C) is a question and there's no WR talent. The D loses 8 of the top-10 tacklers + real star power. A real step up in competition; Duck projects a 1-3 start.</t>
  </si>
  <si>
    <t xml:space="preserve">Returning — Carlos del Rio-Wilson 'CDRW' (incumbent, mobile; went 5-3 when he started AND finished games in 2024; hosts call him possibly the BEST QB in the conference) [backups Zion Turner + Khalil Wilkins limit the drop-off if he's hurt; RB-committee offense, only 119th in pass rate]</t>
  </si>
  <si>
    <t xml:space="preserve">Brad Lambert (2nd stint; former Broyles nominee)</t>
  </si>
  <si>
    <t xml:space="preserve">Non-con at Penn State (+24.5, hang-around spot) then should blast Middle Tennessee + Gardner-Webb (Missouri State a red-ink revenge game). Great WEST draw (South Alabama + ULM). BUT plays BOTH JMU and ODU on the ROAD — must split to reach the tiebreaker.</t>
  </si>
  <si>
    <t xml:space="preserve">Stuckey's + Calabrese's dark-horse to win the East (~10-1; both take a shot; over 7.5). 2024 was a year-zero (Gibson took over after the whole team followed Charles Huff to Southern Miss — 75 new players) and they STILL went 5-7 with a 1-4 one-score record while out-gaining JMU/ULL/App State in losses — easily an 8-win team. Now a senior-laden offense in Gibson yr2, CDRW back, new DC Brad Lambert (a Broyles nominee in his first Marshall stint, elite situational D). 88th in returning production (highest in the East). The 2024 D was horrendous (bottom-10 in explosives allowed) — Donnie Smith (11 sacks) back + portal DL should help. Could be 6-1 before the ODU game.</t>
  </si>
  <si>
    <t xml:space="preserve">[from Big Ten pod]</t>
  </si>
  <si>
    <t xml:space="preserve">[BBOC pending — covered in Big Ten pod, not Pac-12.] Edge read: SP+ #67, low ret prod 46%, TARP -3.5.</t>
  </si>
  <si>
    <t xml:space="preserve">[from Big 12 pod]</t>
  </si>
  <si>
    <t xml:space="preserve">[BBOC pending — covered in Big 12 pod, not Pac-12.] Edge read: SP+ #38 and Net TARP +10.0 (highest in bucket) grade out well — possible pool value if drafters underrate as weak real-conf self.</t>
  </si>
  <si>
    <t xml:space="preserve">Returning backup — Colton 'Heinecke' (played some in 2024 incl. a shaky bowl vs USF; must develop as a passer — 'a mix of the old ODU Heineke throwing it around and Colton Joseph') [incumbent Colton Joseph left for Wisconsin; QB1 is unproven as a passer]</t>
  </si>
  <si>
    <t xml:space="preserve">Cody Cook (internal, ex-WR coach; first-time play-caller)</t>
  </si>
  <si>
    <t xml:space="preserve">Opens Norfolk State; at Virginia Tech (won 3 of last 7 vs Hokies — noise chance); ECU home (sneaky tough); then JMU; downspot at Georgia State after Va Tech. All five remaining road games winnable (Georgia State, App State, La Tech, Coastal, UConn). Weird late UConn trip (has a bye before it).</t>
  </si>
  <si>
    <t xml:space="preserve">Both lean UNDER 7.5 (Stuckey projects 7.4-ish, no bet; Calabrese under). Ricky Rahne has built the culture, but the OFFENSE is the worry: lost QB Colton Joseph (Wisconsin), 3 WRs to P4, and the ENTIRE OL (all five started every game, 7,500+ career FBS snaps) — the 2026 line has ZERO career FBS starts (Elon C Braylan Walker + a JUCO LT). New first-time play-caller Cody Cook (Decker left for Memphis). Fell from 66th → 114th in returning production. Defense returns 8 of top-15 snaps (maybe the best LB group in the Belt) but the havoc creators/turnover luck (25 takeaways, 9th) may regress. 2024's 10 wins were schedule-timed; a real step back likely.</t>
  </si>
  <si>
    <t xml:space="preserve">Unsettled</t>
  </si>
  <si>
    <t xml:space="preserve">Trent Bray</t>
  </si>
  <si>
    <t xml:space="preserve">Full round-robin (plays all 7 other members) — no in-conf avoids. Wk13 FLEX (projected): vs Washington State (may not count). Non-con: @ Houston, Texas Tech, Montana (FCS semifinalist), @ UTEP.</t>
  </si>
  <si>
    <t xml:space="preserve">Bottom-tier anchor. New HC Trent Bray back in a DC-suited role — pod likes him as a defensive play-caller (architect of the 2022 double-digit-win OSU defense) despite flaming out as HC. D-line adds Zunk &amp; McLean; FCS transfer Jeremy Bernard into a potentially good secondary; 5 starters back on D. Offense is the drag — ~90th in returning OL experience, two new tackles. Proud home program, low ceiling. Rebuild year.</t>
  </si>
  <si>
    <t xml:space="preserve">[BBOC pending — covered in Big Ten pod, not Pac-12.] Edge read: market lowest (3.5) but ret prod 58%, TARP +3.0, SP+ #82.</t>
  </si>
  <si>
    <t xml:space="preserve">Returning — Jayden Denegal (health-dep.)</t>
  </si>
  <si>
    <t xml:space="preserve">Demetrius Sumler (promoted)</t>
  </si>
  <si>
    <t xml:space="preserve">Full round-robin (plays all 7 other members) — no in-conf avoids. Wk13 FLEX (projected): vs Fresno State (may not count). Non-con: Portland St, @ UCLA, James Madison, @ Toledo.</t>
  </si>
  <si>
    <t xml:space="preserve">Denegal — repaired shoulder (health is the swing variable)</t>
  </si>
  <si>
    <t xml:space="preserve">Market/SP+ disagree sharply (mkt 6.5 vs SP+ #71). Highest returning production in the bucket (59%). QB Jayden Denegal is a deep-ball arm coming off shoulder surgery; struggles vs cover 2/3. Sumler promoted to DC. QB health is the season's swing variable.</t>
  </si>
  <si>
    <t xml:space="preserve">Returning — Bishop Davenport (incumbent; short/safe profile — 6.38 aDOT, 2.7% big-time-throw, 5% turnover-worthy: poor ratios even for a checkdown passer, doesn't push it deep) [freshman Hollins waiting in the wings — hosts would be MORE interested if Davenport struggles and Hollins takes over; not framed as an open battle]</t>
  </si>
  <si>
    <t xml:space="preserve">Todd Orlando</t>
  </si>
  <si>
    <t xml:space="preserve">3rd-easiest Sun Belt schedule (Duck) — should beat Southeastern Louisiana + winnable home games. Losses at Tulane, Auburn/Kentucky-type non-con, at Marshall, at Louisiana. The question is whether they steal a road game they shouldn't to reach 6-6.</t>
  </si>
  <si>
    <t xml:space="preserve">A FADE — all three effectively under (Stuckey projects ~5.6, right on the number, wants the under; Calabrese under plus-money). Trend line down (10 → 7 → 7 → 4 wins). Major Applewhite hit the panic button — calls his own plays now + hired DC Todd Orlando (a blitz-heavy 'break-glass' hire whose FAU/USF Ds relied on fluky takeaway luck, not a sustainable calling card). Roster got worse basically everywhere (OL, RB, WR, TE, LB, DBs all downgraded; only ~2 assistants retained), no NIL money, and the passing game fell off a cliff post-Gio-Lopez. Red-zone D was horrific (41/43 trips scored on). Real chance of a midseason firing. Calabrese wants Southern Miss to cash his late-season fade tickets against them.</t>
  </si>
  <si>
    <t xml:space="preserve">Battle (unsettled, ~99% new roster) — multi-way incl. Ethan Hampton / Landry Lyle / a returning QB4 from 2024 [no established starter; possibly the most walk-on/replacement OL in the country — protection is the bigger problem than the QB]</t>
  </si>
  <si>
    <t xml:space="preserve">Blake Anderson (per pod; ASR-garbled — flag)</t>
  </si>
  <si>
    <t xml:space="preserve">(a special-teams coach elevated)</t>
  </si>
  <si>
    <t xml:space="preserve">Bad crossover draw (JMU + at ODU). Favored vs Alcorn; likely loses at UConn (wk3). Home games (ULL, JMU, South Alabama, La Tech, Arkansas State) — most winnable is ULM but it's ON THE ROAD. Where are the 4 wins?</t>
  </si>
  <si>
    <t xml:space="preserve">A hard FADE — Stuckey UNDER 3.5 (plus money), Duck already in the app under 3.5. Roster is ~99% new: lost the top-15 defensive snaps (7 to Memphis, 3 to P4), and the entire senior-laden offense from the Charles-Huff year left (Huff's staff/players went to Memphis). [Transcript is ASR-garbled on the coaching picture — it names 'head coach Blake Anderson' for 2026, implying Anderson was elevated as Huff's group departed; flagged, not asserted with confidence.] The DC is an elevated special-teams coach handling total turnover. Most-walk-on OL in the country. No path to 4 wins on the board. Sell.</t>
  </si>
  <si>
    <t xml:space="preserve">Transfer — Malik Murphy</t>
  </si>
  <si>
    <t xml:space="preserve">G.J. Kinne era / McIntyre assoc.</t>
  </si>
  <si>
    <t xml:space="preserve">Brutal (early)</t>
  </si>
  <si>
    <t xml:space="preserve">Full round-robin (plays all 7 other members) — no in-conf avoids. Wk13 FLEX (projected): vs Colorado State (may not count). Non-con gauntlet: @ Texas, UTSA, North Texas, Incarnate Word.</t>
  </si>
  <si>
    <t xml:space="preserve">FLEX-GAME CAVEAT BITES HARDEST: Collin's ~7.5 is explicitly on an 11-GAME schedule; prefers over 6.5 (+130) or the Pac-12 Championship-game bet (+200). Explosive offense is the identity ('when you watch the offense you'd think they win this league'); QB Malik Murphy. Defense is the question and the early schedule is brutal (Houston, Texas Tech, FCS-top-5 Montana). Dark-horse to make the title game.</t>
  </si>
  <si>
    <t xml:space="preserve">Returning (both back) — Goose Crowder (incumbent, injury-prone, health the whole question; sub-7 YPA / &lt;8.5 aDOT in 2024) + Tucker Kilcrease (returning; a bit better) [new veer-and-shoot scheme adds tempo/RPO/motion — can Goose hit the deep shots it needs?]</t>
  </si>
  <si>
    <t xml:space="preserve">(new OC from Tarleton State — veer-and-shoot)</t>
  </si>
  <si>
    <t xml:space="preserve">Should win every conference HOME game (Southern Miss, ULM, La Tech, Georgia Southern). Starts 2-0 then tough road games; hosts Arkansas State in the finale (possible division decider).</t>
  </si>
  <si>
    <t xml:space="preserve">Goose Crowder — durability; hasn't been able to stay healthy</t>
  </si>
  <si>
    <t xml:space="preserve">A pass on the total (Stuckey ~market, no future; Duck projects 7.4-8 but doesn't love them). Contender in a WIDE-OPEN West (Stuckey has the top 5 within a field goal). Goes 19th → 119th in returning production but keeps BOTH QBs. New veer-and-shoot OC (from a high-scoring Tarleton State) with tight splits/slow-mesh RPOs — but the 2024 OL allowed a FBS-worst 59 sacks (injury-riddled; some guys who started at tackle project to 3rd-string now). Lost the top-6 WRs. The 2024 calling-card D graduated most of its front (Donnie Smith-type edge Chris Culliver-... gone; DE Donnie Smith-... ) — leans on DE Donnie Smith? no: keeps DE Donnie Smith equivalents + adds portal, but the DL basically graduated. High variance.</t>
  </si>
  <si>
    <t xml:space="preserve">Battle (unsettled) — Aiden Armenta (returning) / Austin Carlyle (transfer from Houston) / Landon Graves [lead: unsettled — 'doesn't know what they want to be offensively'; QB health is huge]</t>
  </si>
  <si>
    <t xml:space="preserve">Only remotely-competitive 2024 conf games were vs rivals Arkansas State (lost 15 straight to them before) + Louisiana. Slow-pace, ball-control to protect a bad D.</t>
  </si>
  <si>
    <t xml:space="preserve">Fade lean (Duck under; Stuckey pessimistic — 'no money at all' in the program). Brian Vincent's best team but that's a low bar: near-zero offensive explosiveness (scored ≤14 seven times, topped 200 pass yds only twice, 13 red-zone TD all year, ~100th in explosiveness), and RB Bam McReynolds leaving is huge. Unsettled QB battle (Armenta / Houston transfer Austin Carlyle / Graves). Lost 3 more OL starters. Special teams were 'the worst I've ever seen' in 2024 (couldn't hit a 20-yд FG — all the kickers got hurt); brought in 3 kickers, so it can only improve. LB is the lone bright spot. Slow tempo to hide the D. Surprised Vincent is still around.</t>
  </si>
  <si>
    <t xml:space="preserve">Battle — McKay Hillstead vs Grady Brosterhous</t>
  </si>
  <si>
    <t xml:space="preserve">Bronco Mendenhall</t>
  </si>
  <si>
    <t xml:space="preserve">Robert Anae</t>
  </si>
  <si>
    <t xml:space="preserve">Nick Howell</t>
  </si>
  <si>
    <t xml:space="preserve">Full round-robin (plays all 7 other members) — no in-conf avoids. Wk13 FLEX (projected): vs Boise State (may not count). Non-con: Idaho St, @ Washington, @ Utah, Troy.</t>
  </si>
  <si>
    <t xml:space="preserve">Full staff turnover: new HC Bronco Mendenhall, new OC Robert Anae ('polarizing'), Nick Howell on D. QB battle Hillstead vs Brosterhous; last year's engine (Bryson Barnes) gone — he masked a garbage OL (42 sacks / 88 TFL allowed). SP+ near bottom of bucket (#97). Collin leans under 5.5. High variance from staff+QB reset.</t>
  </si>
  <si>
    <t xml:space="preserve">Full round-robin (plays all 7 other members) — no in-conf avoids. Wk13 FLEX (projected): vs Oregon State (may not count). Non-con: @ Washington (Apple Cup), @ Kansas St, Duquesne, Arizona.</t>
  </si>
  <si>
    <t xml:space="preserve">Lowest anchor in the bucket. Discussed only as a 'within-10 coin-flip' opponent the anchors beat, not a contender. Lowest returning production (42%) and lowest Net TARP (-4.0) in the conference. No positive signal from the pod. Forced-replacement lingerer — avoid as an anchor.</t>
  </si>
  <si>
    <t xml:space="preserve">Real Conf</t>
  </si>
  <si>
    <t xml:space="preserve">Mkt</t>
  </si>
  <si>
    <t xml:space="preserve">Collin</t>
  </si>
  <si>
    <t xml:space="preserve">Coaching</t>
  </si>
  <si>
    <t xml:space="preserve">Sched</t>
  </si>
  <si>
    <t xml:space="preserve">Flags</t>
  </si>
  <si>
    <t xml:space="preserve">Notes</t>
  </si>
  <si>
    <t xml:space="preserve">Independent</t>
  </si>
  <si>
    <t xml:space="preserve">draft</t>
  </si>
  <si>
    <t xml:space="preserve">rnd</t>
  </si>
  <si>
    <t xml:space="preserve">pick</t>
  </si>
  <si>
    <t xml:space="preserve">player</t>
  </si>
  <si>
    <t xml:space="preserve">conf</t>
  </si>
  <si>
    <t xml:space="preserve">team</t>
  </si>
  <si>
    <t xml:space="preserve">Pred Wins</t>
  </si>
  <si>
    <t xml:space="preserve">6 wins</t>
  </si>
  <si>
    <t xml:space="preserve">OFF RP</t>
  </si>
  <si>
    <t xml:space="preserve">NET RP</t>
  </si>
  <si>
    <t xml:space="preserve">TARP</t>
  </si>
  <si>
    <t xml:space="preserve">↓ Paste Brad's 2026 DraftTracker picks (or IMPORTRANGE). Filter key = team (col F). One greyed example below.</t>
  </si>
  <si>
    <t xml:space="preserve">(example — delete row)</t>
  </si>
  <si>
    <t xml:space="preserve">DRAFT ORDER + ROSTER — 12 fixed slots. Fill YELLOW when Brad's roster+order finalize. All player-driven tabs reference THIS list — no names hardcoded.</t>
  </si>
  <si>
    <t xml:space="preserve">Your name:</t>
  </si>
  <si>
    <t xml:space="preserve">Mike</t>
  </si>
  <si>
    <t xml:space="preserve">My slot:</t>
  </si>
  <si>
    <t xml:space="preserve">Current round:</t>
  </si>
  <si>
    <t xml:space="preserve">Parity:</t>
  </si>
  <si>
    <t xml:space="preserve">Slot</t>
  </si>
  <si>
    <t xml:space="preserve">Player</t>
  </si>
  <si>
    <t xml:space="preserve"># players:</t>
  </si>
  <si>
    <t xml:space="preserve">Snake gap calc (auto):</t>
  </si>
  <si>
    <t xml:space="preserve">R pick#</t>
  </si>
  <si>
    <t xml:space="preserve">R+1 pick#</t>
  </si>
  <si>
    <t xml:space="preserve">MyR#</t>
  </si>
  <si>
    <t xml:space="preserve">MyR+1#</t>
  </si>
  <si>
    <t xml:space="preserve">In gap?</t>
  </si>
  <si>
    <t xml:space="preserve">CONFERENCES NEEDED — player columns pull from Draft_Order roster. 'NEED' = player hasn't drafted that conf. Auto-updates from Import_BradTracker.</t>
  </si>
  <si>
    <t xml:space="preserve">Conf</t>
  </si>
  <si>
    <t xml:space="preserve">AUTO-REFRESH REMAINING BOARD — teams drop to '—' when picked in Import_BradTracker. Each conf column = available anchors by market O/U (desc). Live depth-countdown.</t>
  </si>
  <si>
    <t xml:space="preserve">O/U</t>
  </si>
  <si>
    <t xml:space="preserve">Status</t>
  </si>
  <si>
    <t xml:space="preserve">OPEN:</t>
  </si>
  <si>
    <t xml:space="preserve">FOLLOWING ME — conferences still needed by players who pick before my NEXT pick (snake-accurate in-gap). Low demand on a scarce conf = PUNT OK; scarce + in-gap demand = GRAB.</t>
  </si>
  <si>
    <t xml:space="preserve">Open Anchors</t>
  </si>
  <si>
    <t xml:space="preserve">Top Anchor (conf)</t>
  </si>
  <si>
    <t xml:space="preserve">In-Gap Demand</t>
  </si>
  <si>
    <t xml:space="preserve">Read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</si>
</sst>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C00000"/>
      <name val="Arial"/>
      <family val="0"/>
      <charset val="1"/>
    </font>
    <font>
      <i val="true"/>
      <sz val="9"/>
      <color rgb="FF909090"/>
      <name val="Arial"/>
      <family val="0"/>
      <charset val="1"/>
    </font>
    <font>
      <b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2E5496"/>
        <bgColor rgb="FF1F3864"/>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09090"/>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5"/>
    </row>
    <row r="5" customFormat="false" ht="15" hidden="false" customHeight="true" outlineLevel="0" collapsed="false">
      <c r="A5" s="6" t="s">
        <v>2</v>
      </c>
      <c r="B5" s="7" t="s">
        <v>3</v>
      </c>
    </row>
    <row r="6" customFormat="false" ht="23.25" hidden="false" customHeight="true" outlineLevel="0" collapsed="false">
      <c r="A6" s="4" t="s">
        <v>4</v>
      </c>
      <c r="B6" s="5" t="s">
        <v>5</v>
      </c>
    </row>
    <row r="7" customFormat="false" ht="15" hidden="false" customHeight="true" outlineLevel="0" collapsed="false">
      <c r="A7" s="4" t="s">
        <v>6</v>
      </c>
      <c r="B7" s="5" t="s">
        <v>7</v>
      </c>
    </row>
    <row r="8" customFormat="false" ht="15" hidden="false" customHeight="true" outlineLevel="0" collapsed="false">
      <c r="A8" s="4" t="s">
        <v>8</v>
      </c>
      <c r="B8" s="5" t="s">
        <v>9</v>
      </c>
    </row>
    <row r="9" customFormat="false" ht="68.25" hidden="false" customHeight="true" outlineLevel="0" collapsed="false">
      <c r="A9" s="4" t="s">
        <v>10</v>
      </c>
      <c r="B9" s="5" t="s">
        <v>11</v>
      </c>
    </row>
    <row r="10" customFormat="false" ht="34.5" hidden="false" customHeight="true" outlineLevel="0" collapsed="false">
      <c r="A10" s="4" t="s">
        <v>12</v>
      </c>
      <c r="B10" s="5" t="s">
        <v>13</v>
      </c>
    </row>
    <row r="11" customFormat="false" ht="15" hidden="false" customHeight="true" outlineLevel="0" collapsed="false">
      <c r="A11" s="4" t="s">
        <v>14</v>
      </c>
      <c r="B11" s="5" t="s">
        <v>15</v>
      </c>
    </row>
    <row r="12" customFormat="false" ht="15" hidden="false" customHeight="true" outlineLevel="0" collapsed="false">
      <c r="A12" s="4" t="s">
        <v>16</v>
      </c>
      <c r="B12" s="5" t="s">
        <v>17</v>
      </c>
    </row>
    <row r="13" customFormat="false" ht="15" hidden="false" customHeight="true" outlineLevel="0" collapsed="false">
      <c r="A13" s="4"/>
      <c r="B13" s="5"/>
    </row>
    <row r="14" customFormat="false" ht="23.25" hidden="false" customHeight="true" outlineLevel="0" collapsed="false">
      <c r="A14" s="6" t="s">
        <v>18</v>
      </c>
      <c r="B14" s="7"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
    <col collapsed="false" customWidth="true" hidden="false" outlineLevel="0" max="3" min="3" style="1" width="8"/>
    <col collapsed="false" customWidth="true" hidden="false" outlineLevel="0" max="4" min="4" style="1" width="9"/>
    <col collapsed="false" customWidth="true" hidden="false" outlineLevel="0" max="5" min="5" style="1" width="10"/>
    <col collapsed="false" customWidth="true" hidden="false" outlineLevel="0" max="10" min="6" style="1" width="9"/>
    <col collapsed="false" customWidth="true" hidden="false" outlineLevel="0" max="11" min="11" style="1" width="11"/>
    <col collapsed="false" customWidth="true" hidden="false" outlineLevel="0" max="12" min="12" style="1" width="10"/>
    <col collapsed="false" customWidth="true" hidden="false" outlineLevel="0" max="14" min="13" style="1" width="8"/>
  </cols>
  <sheetData>
    <row r="1" customFormat="false" ht="23.25" hidden="false" customHeight="true" outlineLevel="0" collapsed="false">
      <c r="A1" s="8" t="s">
        <v>20</v>
      </c>
      <c r="B1" s="8" t="s">
        <v>21</v>
      </c>
      <c r="C1" s="8" t="s">
        <v>22</v>
      </c>
      <c r="D1" s="8" t="s">
        <v>23</v>
      </c>
      <c r="E1" s="8" t="s">
        <v>24</v>
      </c>
      <c r="F1" s="8" t="s">
        <v>25</v>
      </c>
      <c r="G1" s="8" t="s">
        <v>26</v>
      </c>
      <c r="H1" s="8" t="s">
        <v>27</v>
      </c>
      <c r="I1" s="8" t="s">
        <v>28</v>
      </c>
      <c r="J1" s="8" t="s">
        <v>29</v>
      </c>
      <c r="K1" s="8" t="s">
        <v>30</v>
      </c>
      <c r="L1" s="8" t="s">
        <v>31</v>
      </c>
      <c r="M1" s="8" t="s">
        <v>32</v>
      </c>
      <c r="N1" s="8" t="s">
        <v>33</v>
      </c>
      <c r="O1" s="9" t="s">
        <v>34</v>
      </c>
    </row>
    <row r="2" customFormat="false" ht="15" hidden="false" customHeight="true" outlineLevel="0" collapsed="false">
      <c r="A2" s="10" t="s">
        <v>35</v>
      </c>
      <c r="B2" s="11" t="n">
        <v>9.5</v>
      </c>
      <c r="C2" s="11" t="n">
        <v>1</v>
      </c>
      <c r="D2" s="11" t="n">
        <v>31.8</v>
      </c>
      <c r="E2" s="11" t="n">
        <v>60</v>
      </c>
      <c r="F2" s="11" t="n">
        <v>71</v>
      </c>
      <c r="G2" s="11" t="n">
        <v>50</v>
      </c>
      <c r="H2" s="11" t="n">
        <v>10.5</v>
      </c>
      <c r="I2" s="11" t="n">
        <v>6</v>
      </c>
      <c r="J2" s="11" t="n">
        <v>4.5</v>
      </c>
      <c r="K2" s="11"/>
      <c r="L2" s="11" t="str">
        <f aca="false">IF(OR(K2="",B2=""),"",K2-B2)</f>
        <v/>
      </c>
      <c r="M2" s="11"/>
      <c r="N2" s="11"/>
      <c r="O2" s="12" t="s">
        <v>36</v>
      </c>
    </row>
    <row r="3" customFormat="false" ht="15" hidden="false" customHeight="true" outlineLevel="0" collapsed="false">
      <c r="A3" s="10" t="s">
        <v>37</v>
      </c>
      <c r="B3" s="11" t="n">
        <v>10.5</v>
      </c>
      <c r="C3" s="11" t="n">
        <v>2</v>
      </c>
      <c r="D3" s="11" t="n">
        <v>28.3</v>
      </c>
      <c r="E3" s="11" t="n">
        <v>66</v>
      </c>
      <c r="F3" s="11" t="n">
        <v>65</v>
      </c>
      <c r="G3" s="11" t="n">
        <v>66</v>
      </c>
      <c r="H3" s="11" t="n">
        <v>11</v>
      </c>
      <c r="I3" s="11" t="n">
        <v>6</v>
      </c>
      <c r="J3" s="11" t="n">
        <v>5</v>
      </c>
      <c r="K3" s="11"/>
      <c r="L3" s="11" t="str">
        <f aca="false">IF(OR(K3="",B3=""),"",K3-B3)</f>
        <v/>
      </c>
      <c r="M3" s="11"/>
      <c r="N3" s="11"/>
      <c r="O3" s="12" t="s">
        <v>36</v>
      </c>
    </row>
    <row r="4" customFormat="false" ht="15" hidden="false" customHeight="true" outlineLevel="0" collapsed="false">
      <c r="A4" s="10" t="s">
        <v>38</v>
      </c>
      <c r="B4" s="11" t="n">
        <v>11.5</v>
      </c>
      <c r="C4" s="11" t="n">
        <v>3</v>
      </c>
      <c r="D4" s="11" t="n">
        <v>25.8</v>
      </c>
      <c r="E4" s="11" t="n">
        <v>72</v>
      </c>
      <c r="F4" s="11" t="n">
        <v>67</v>
      </c>
      <c r="G4" s="11" t="n">
        <v>77</v>
      </c>
      <c r="H4" s="11" t="n">
        <v>5.5</v>
      </c>
      <c r="I4" s="11" t="n">
        <v>0.5</v>
      </c>
      <c r="J4" s="11" t="n">
        <v>5</v>
      </c>
      <c r="K4" s="11"/>
      <c r="L4" s="11" t="str">
        <f aca="false">IF(OR(K4="",B4=""),"",K4-B4)</f>
        <v/>
      </c>
      <c r="M4" s="11"/>
      <c r="N4" s="11"/>
      <c r="O4" s="12" t="s">
        <v>39</v>
      </c>
    </row>
    <row r="5" customFormat="false" ht="15" hidden="false" customHeight="true" outlineLevel="0" collapsed="false">
      <c r="A5" s="10" t="s">
        <v>40</v>
      </c>
      <c r="B5" s="11" t="n">
        <v>9.5</v>
      </c>
      <c r="C5" s="11" t="n">
        <v>4</v>
      </c>
      <c r="D5" s="11" t="n">
        <v>25.5</v>
      </c>
      <c r="E5" s="11" t="n">
        <v>68</v>
      </c>
      <c r="F5" s="11" t="n">
        <v>63</v>
      </c>
      <c r="G5" s="11" t="n">
        <v>72</v>
      </c>
      <c r="H5" s="11" t="n">
        <v>8</v>
      </c>
      <c r="I5" s="11" t="n">
        <v>3</v>
      </c>
      <c r="J5" s="11" t="n">
        <v>5</v>
      </c>
      <c r="K5" s="11"/>
      <c r="L5" s="11" t="str">
        <f aca="false">IF(OR(K5="",B5=""),"",K5-B5)</f>
        <v/>
      </c>
      <c r="M5" s="11"/>
      <c r="N5" s="11"/>
      <c r="O5" s="12" t="s">
        <v>41</v>
      </c>
    </row>
    <row r="6" customFormat="false" ht="15" hidden="false" customHeight="true" outlineLevel="0" collapsed="false">
      <c r="A6" s="10" t="s">
        <v>42</v>
      </c>
      <c r="B6" s="11" t="n">
        <v>10.5</v>
      </c>
      <c r="C6" s="11" t="n">
        <v>5</v>
      </c>
      <c r="D6" s="11" t="n">
        <v>24.5</v>
      </c>
      <c r="E6" s="11" t="n">
        <v>56</v>
      </c>
      <c r="F6" s="11" t="n">
        <v>54</v>
      </c>
      <c r="G6" s="11" t="n">
        <v>58</v>
      </c>
      <c r="H6" s="11" t="n">
        <v>7.5</v>
      </c>
      <c r="I6" s="11" t="n">
        <v>5</v>
      </c>
      <c r="J6" s="11" t="n">
        <v>2.5</v>
      </c>
      <c r="K6" s="11"/>
      <c r="L6" s="11" t="str">
        <f aca="false">IF(OR(K6="",B6=""),"",K6-B6)</f>
        <v/>
      </c>
      <c r="M6" s="11"/>
      <c r="N6" s="11"/>
      <c r="O6" s="12" t="s">
        <v>36</v>
      </c>
    </row>
    <row r="7" customFormat="false" ht="15" hidden="false" customHeight="true" outlineLevel="0" collapsed="false">
      <c r="A7" s="10" t="s">
        <v>43</v>
      </c>
      <c r="B7" s="11" t="n">
        <v>9.5</v>
      </c>
      <c r="C7" s="11" t="n">
        <v>6</v>
      </c>
      <c r="D7" s="11" t="n">
        <v>23.7</v>
      </c>
      <c r="E7" s="11" t="n">
        <v>68</v>
      </c>
      <c r="F7" s="11" t="n">
        <v>73</v>
      </c>
      <c r="G7" s="11" t="n">
        <v>63</v>
      </c>
      <c r="H7" s="11" t="n">
        <v>10.5</v>
      </c>
      <c r="I7" s="11" t="n">
        <v>6</v>
      </c>
      <c r="J7" s="11" t="n">
        <v>4.5</v>
      </c>
      <c r="K7" s="11"/>
      <c r="L7" s="11" t="str">
        <f aca="false">IF(OR(K7="",B7=""),"",K7-B7)</f>
        <v/>
      </c>
      <c r="M7" s="11"/>
      <c r="N7" s="11"/>
      <c r="O7" s="12" t="s">
        <v>41</v>
      </c>
    </row>
    <row r="8" customFormat="false" ht="15" hidden="false" customHeight="true" outlineLevel="0" collapsed="false">
      <c r="A8" s="10" t="s">
        <v>44</v>
      </c>
      <c r="B8" s="11" t="n">
        <v>10.5</v>
      </c>
      <c r="C8" s="11" t="n">
        <v>7</v>
      </c>
      <c r="D8" s="11" t="n">
        <v>23.1</v>
      </c>
      <c r="E8" s="11" t="n">
        <v>65</v>
      </c>
      <c r="F8" s="11" t="n">
        <v>67</v>
      </c>
      <c r="G8" s="11" t="n">
        <v>64</v>
      </c>
      <c r="H8" s="11" t="n">
        <v>11</v>
      </c>
      <c r="I8" s="11" t="n">
        <v>6</v>
      </c>
      <c r="J8" s="11" t="n">
        <v>5</v>
      </c>
      <c r="K8" s="11"/>
      <c r="L8" s="11" t="str">
        <f aca="false">IF(OR(K8="",B8=""),"",K8-B8)</f>
        <v/>
      </c>
      <c r="M8" s="11"/>
      <c r="N8" s="11"/>
      <c r="O8" s="12" t="s">
        <v>45</v>
      </c>
    </row>
    <row r="9" customFormat="false" ht="15" hidden="false" customHeight="true" outlineLevel="0" collapsed="false">
      <c r="A9" s="10" t="s">
        <v>46</v>
      </c>
      <c r="B9" s="11" t="n">
        <v>10.5</v>
      </c>
      <c r="C9" s="11" t="n">
        <v>8</v>
      </c>
      <c r="D9" s="11" t="n">
        <v>21</v>
      </c>
      <c r="E9" s="11" t="n">
        <v>49</v>
      </c>
      <c r="F9" s="11" t="n">
        <v>48</v>
      </c>
      <c r="G9" s="11" t="n">
        <v>51</v>
      </c>
      <c r="H9" s="11" t="n">
        <v>4.5</v>
      </c>
      <c r="I9" s="11" t="n">
        <v>3</v>
      </c>
      <c r="J9" s="11" t="n">
        <v>1.5</v>
      </c>
      <c r="K9" s="11"/>
      <c r="L9" s="11" t="str">
        <f aca="false">IF(OR(K9="",B9=""),"",K9-B9)</f>
        <v/>
      </c>
      <c r="M9" s="11"/>
      <c r="N9" s="11"/>
      <c r="O9" s="12" t="s">
        <v>47</v>
      </c>
    </row>
    <row r="10" customFormat="false" ht="15" hidden="false" customHeight="true" outlineLevel="0" collapsed="false">
      <c r="A10" s="10" t="s">
        <v>48</v>
      </c>
      <c r="B10" s="11" t="n">
        <v>8.5</v>
      </c>
      <c r="C10" s="11" t="n">
        <v>9</v>
      </c>
      <c r="D10" s="11" t="n">
        <v>20.3</v>
      </c>
      <c r="E10" s="11" t="n">
        <v>65</v>
      </c>
      <c r="F10" s="11" t="n">
        <v>67</v>
      </c>
      <c r="G10" s="11" t="n">
        <v>63</v>
      </c>
      <c r="H10" s="11" t="n">
        <v>8.5</v>
      </c>
      <c r="I10" s="11" t="n">
        <v>3.5</v>
      </c>
      <c r="J10" s="11" t="n">
        <v>5</v>
      </c>
      <c r="K10" s="11"/>
      <c r="L10" s="11" t="str">
        <f aca="false">IF(OR(K10="",B10=""),"",K10-B10)</f>
        <v/>
      </c>
      <c r="M10" s="11"/>
      <c r="N10" s="11"/>
      <c r="O10" s="12" t="s">
        <v>41</v>
      </c>
    </row>
    <row r="11" customFormat="false" ht="15" hidden="false" customHeight="true" outlineLevel="0" collapsed="false">
      <c r="A11" s="10" t="s">
        <v>49</v>
      </c>
      <c r="B11" s="11" t="n">
        <v>8.5</v>
      </c>
      <c r="C11" s="11" t="n">
        <v>10</v>
      </c>
      <c r="D11" s="11" t="n">
        <v>20.2</v>
      </c>
      <c r="E11" s="11" t="n">
        <v>61</v>
      </c>
      <c r="F11" s="11" t="n">
        <v>61</v>
      </c>
      <c r="G11" s="11" t="n">
        <v>60</v>
      </c>
      <c r="H11" s="11" t="n">
        <v>10.5</v>
      </c>
      <c r="I11" s="11" t="n">
        <v>6</v>
      </c>
      <c r="J11" s="11" t="n">
        <v>4.5</v>
      </c>
      <c r="K11" s="11"/>
      <c r="L11" s="11" t="str">
        <f aca="false">IF(OR(K11="",B11=""),"",K11-B11)</f>
        <v/>
      </c>
      <c r="M11" s="11"/>
      <c r="N11" s="11"/>
      <c r="O11" s="12" t="s">
        <v>41</v>
      </c>
    </row>
    <row r="12" customFormat="false" ht="15" hidden="false" customHeight="true" outlineLevel="0" collapsed="false">
      <c r="A12" s="10" t="s">
        <v>50</v>
      </c>
      <c r="B12" s="11" t="n">
        <v>8.5</v>
      </c>
      <c r="C12" s="11" t="n">
        <v>11</v>
      </c>
      <c r="D12" s="11" t="n">
        <v>18.2</v>
      </c>
      <c r="E12" s="11" t="n">
        <v>48</v>
      </c>
      <c r="F12" s="11" t="n">
        <v>35</v>
      </c>
      <c r="G12" s="11" t="n">
        <v>61</v>
      </c>
      <c r="H12" s="11" t="n">
        <v>-2</v>
      </c>
      <c r="I12" s="11" t="n">
        <v>-4</v>
      </c>
      <c r="J12" s="11" t="n">
        <v>2</v>
      </c>
      <c r="K12" s="11"/>
      <c r="L12" s="11" t="str">
        <f aca="false">IF(OR(K12="",B12=""),"",K12-B12)</f>
        <v/>
      </c>
      <c r="M12" s="11"/>
      <c r="N12" s="11"/>
      <c r="O12" s="12" t="s">
        <v>41</v>
      </c>
    </row>
    <row r="13" customFormat="false" ht="15" hidden="false" customHeight="true" outlineLevel="0" collapsed="false">
      <c r="A13" s="10" t="s">
        <v>51</v>
      </c>
      <c r="B13" s="11" t="n">
        <v>7.5</v>
      </c>
      <c r="C13" s="11" t="n">
        <v>12</v>
      </c>
      <c r="D13" s="11" t="n">
        <v>17.2</v>
      </c>
      <c r="E13" s="11" t="n">
        <v>65</v>
      </c>
      <c r="F13" s="11" t="n">
        <v>75</v>
      </c>
      <c r="G13" s="11" t="n">
        <v>55</v>
      </c>
      <c r="H13" s="11" t="n">
        <v>8</v>
      </c>
      <c r="I13" s="11" t="n">
        <v>6</v>
      </c>
      <c r="J13" s="11" t="n">
        <v>2</v>
      </c>
      <c r="K13" s="11"/>
      <c r="L13" s="11" t="str">
        <f aca="false">IF(OR(K13="",B13=""),"",K13-B13)</f>
        <v/>
      </c>
      <c r="M13" s="11"/>
      <c r="N13" s="11"/>
      <c r="O13" s="12" t="s">
        <v>41</v>
      </c>
    </row>
    <row r="14" customFormat="false" ht="15" hidden="false" customHeight="true" outlineLevel="0" collapsed="false">
      <c r="A14" s="10" t="s">
        <v>52</v>
      </c>
      <c r="B14" s="11" t="n">
        <v>8.5</v>
      </c>
      <c r="C14" s="11" t="n">
        <v>13</v>
      </c>
      <c r="D14" s="11" t="n">
        <v>16.8</v>
      </c>
      <c r="E14" s="11" t="n">
        <v>65</v>
      </c>
      <c r="F14" s="11" t="n">
        <v>67</v>
      </c>
      <c r="G14" s="11" t="n">
        <v>64</v>
      </c>
      <c r="H14" s="11" t="n">
        <v>6.5</v>
      </c>
      <c r="I14" s="11" t="n">
        <v>2.5</v>
      </c>
      <c r="J14" s="11" t="n">
        <v>4</v>
      </c>
      <c r="K14" s="11"/>
      <c r="L14" s="11" t="str">
        <f aca="false">IF(OR(K14="",B14=""),"",K14-B14)</f>
        <v/>
      </c>
      <c r="M14" s="11"/>
      <c r="N14" s="11"/>
      <c r="O14" s="12" t="s">
        <v>36</v>
      </c>
    </row>
    <row r="15" customFormat="false" ht="15" hidden="false" customHeight="true" outlineLevel="0" collapsed="false">
      <c r="A15" s="10" t="s">
        <v>53</v>
      </c>
      <c r="B15" s="11" t="n">
        <v>8.5</v>
      </c>
      <c r="C15" s="11" t="n">
        <v>14</v>
      </c>
      <c r="D15" s="11" t="n">
        <v>16.1</v>
      </c>
      <c r="E15" s="11" t="n">
        <v>63</v>
      </c>
      <c r="F15" s="11" t="n">
        <v>72</v>
      </c>
      <c r="G15" s="11" t="n">
        <v>55</v>
      </c>
      <c r="H15" s="11" t="n">
        <v>4.5</v>
      </c>
      <c r="I15" s="11" t="n">
        <v>6</v>
      </c>
      <c r="J15" s="11" t="n">
        <v>-1.5</v>
      </c>
      <c r="K15" s="11"/>
      <c r="L15" s="11" t="str">
        <f aca="false">IF(OR(K15="",B15=""),"",K15-B15)</f>
        <v/>
      </c>
      <c r="M15" s="11"/>
      <c r="N15" s="11"/>
      <c r="O15" s="12" t="s">
        <v>36</v>
      </c>
    </row>
    <row r="16" customFormat="false" ht="15" hidden="false" customHeight="true" outlineLevel="0" collapsed="false">
      <c r="A16" s="10" t="s">
        <v>54</v>
      </c>
      <c r="B16" s="11" t="n">
        <v>7.5</v>
      </c>
      <c r="C16" s="11" t="n">
        <v>15</v>
      </c>
      <c r="D16" s="11" t="n">
        <v>16</v>
      </c>
      <c r="E16" s="11" t="n">
        <v>62</v>
      </c>
      <c r="F16" s="11" t="n">
        <v>58</v>
      </c>
      <c r="G16" s="11" t="n">
        <v>65</v>
      </c>
      <c r="H16" s="11" t="n">
        <v>5</v>
      </c>
      <c r="I16" s="11" t="n">
        <v>0</v>
      </c>
      <c r="J16" s="11" t="n">
        <v>5</v>
      </c>
      <c r="K16" s="11"/>
      <c r="L16" s="11" t="str">
        <f aca="false">IF(OR(K16="",B16=""),"",K16-B16)</f>
        <v/>
      </c>
      <c r="M16" s="11"/>
      <c r="N16" s="11"/>
      <c r="O16" s="12" t="s">
        <v>41</v>
      </c>
    </row>
    <row r="17" customFormat="false" ht="15" hidden="false" customHeight="true" outlineLevel="0" collapsed="false">
      <c r="A17" s="10" t="s">
        <v>55</v>
      </c>
      <c r="B17" s="11" t="n">
        <v>7.5</v>
      </c>
      <c r="C17" s="11" t="n">
        <v>16</v>
      </c>
      <c r="D17" s="11" t="n">
        <v>15.9</v>
      </c>
      <c r="E17" s="11" t="n">
        <v>61</v>
      </c>
      <c r="F17" s="11" t="n">
        <v>61</v>
      </c>
      <c r="G17" s="11" t="n">
        <v>62</v>
      </c>
      <c r="H17" s="11" t="n">
        <v>4.5</v>
      </c>
      <c r="I17" s="11" t="n">
        <v>-0.5</v>
      </c>
      <c r="J17" s="11" t="n">
        <v>5</v>
      </c>
      <c r="K17" s="11"/>
      <c r="L17" s="11" t="str">
        <f aca="false">IF(OR(K17="",B17=""),"",K17-B17)</f>
        <v/>
      </c>
      <c r="M17" s="11"/>
      <c r="N17" s="11"/>
      <c r="O17" s="12" t="s">
        <v>41</v>
      </c>
    </row>
    <row r="18" customFormat="false" ht="15" hidden="false" customHeight="true" outlineLevel="0" collapsed="false">
      <c r="A18" s="10" t="s">
        <v>56</v>
      </c>
      <c r="B18" s="11" t="n">
        <v>8.5</v>
      </c>
      <c r="C18" s="11" t="n">
        <v>17</v>
      </c>
      <c r="D18" s="11" t="n">
        <v>15.7</v>
      </c>
      <c r="E18" s="11" t="n">
        <v>52</v>
      </c>
      <c r="F18" s="11" t="n">
        <v>50</v>
      </c>
      <c r="G18" s="11" t="n">
        <v>53</v>
      </c>
      <c r="H18" s="11" t="n">
        <v>11</v>
      </c>
      <c r="I18" s="11" t="n">
        <v>6</v>
      </c>
      <c r="J18" s="11" t="n">
        <v>5</v>
      </c>
      <c r="K18" s="11"/>
      <c r="L18" s="11" t="str">
        <f aca="false">IF(OR(K18="",B18=""),"",K18-B18)</f>
        <v/>
      </c>
      <c r="M18" s="11"/>
      <c r="N18" s="11"/>
      <c r="O18" s="12" t="s">
        <v>36</v>
      </c>
    </row>
    <row r="19" customFormat="false" ht="15" hidden="false" customHeight="true" outlineLevel="0" collapsed="false">
      <c r="A19" s="10" t="s">
        <v>57</v>
      </c>
      <c r="B19" s="11" t="n">
        <v>8.5</v>
      </c>
      <c r="C19" s="11" t="n">
        <v>18</v>
      </c>
      <c r="D19" s="11" t="n">
        <v>15.5</v>
      </c>
      <c r="E19" s="11" t="n">
        <v>64</v>
      </c>
      <c r="F19" s="11" t="n">
        <v>59</v>
      </c>
      <c r="G19" s="11" t="n">
        <v>69</v>
      </c>
      <c r="H19" s="11" t="n">
        <v>8.5</v>
      </c>
      <c r="I19" s="11" t="n">
        <v>4</v>
      </c>
      <c r="J19" s="11" t="n">
        <v>4.5</v>
      </c>
      <c r="K19" s="11"/>
      <c r="L19" s="11" t="str">
        <f aca="false">IF(OR(K19="",B19=""),"",K19-B19)</f>
        <v/>
      </c>
      <c r="M19" s="11"/>
      <c r="N19" s="11"/>
      <c r="O19" s="12" t="s">
        <v>45</v>
      </c>
    </row>
    <row r="20" customFormat="false" ht="15" hidden="false" customHeight="true" outlineLevel="0" collapsed="false">
      <c r="A20" s="10" t="s">
        <v>58</v>
      </c>
      <c r="B20" s="11" t="n">
        <v>7.5</v>
      </c>
      <c r="C20" s="11" t="n">
        <v>19</v>
      </c>
      <c r="D20" s="11" t="n">
        <v>14.9</v>
      </c>
      <c r="E20" s="11" t="n">
        <v>66</v>
      </c>
      <c r="F20" s="11" t="n">
        <v>55</v>
      </c>
      <c r="G20" s="11" t="n">
        <v>77</v>
      </c>
      <c r="H20" s="11" t="n">
        <v>11</v>
      </c>
      <c r="I20" s="11" t="n">
        <v>6</v>
      </c>
      <c r="J20" s="11" t="n">
        <v>5</v>
      </c>
      <c r="K20" s="11"/>
      <c r="L20" s="11" t="str">
        <f aca="false">IF(OR(K20="",B20=""),"",K20-B20)</f>
        <v/>
      </c>
      <c r="M20" s="11"/>
      <c r="N20" s="11"/>
      <c r="O20" s="12" t="s">
        <v>41</v>
      </c>
    </row>
    <row r="21" customFormat="false" ht="15" hidden="false" customHeight="true" outlineLevel="0" collapsed="false">
      <c r="A21" s="10" t="s">
        <v>59</v>
      </c>
      <c r="B21" s="11" t="n">
        <v>6.5</v>
      </c>
      <c r="C21" s="11" t="n">
        <v>20</v>
      </c>
      <c r="D21" s="11" t="n">
        <v>14.8</v>
      </c>
      <c r="E21" s="11" t="n">
        <v>49</v>
      </c>
      <c r="F21" s="11" t="n">
        <v>59</v>
      </c>
      <c r="G21" s="11" t="n">
        <v>40</v>
      </c>
      <c r="H21" s="11" t="n">
        <v>-1</v>
      </c>
      <c r="I21" s="11" t="n">
        <v>0</v>
      </c>
      <c r="J21" s="11" t="n">
        <v>-1</v>
      </c>
      <c r="K21" s="11"/>
      <c r="L21" s="11" t="str">
        <f aca="false">IF(OR(K21="",B21=""),"",K21-B21)</f>
        <v/>
      </c>
      <c r="M21" s="11"/>
      <c r="N21" s="11"/>
      <c r="O21" s="12" t="s">
        <v>41</v>
      </c>
    </row>
    <row r="22" customFormat="false" ht="15" hidden="false" customHeight="true" outlineLevel="0" collapsed="false">
      <c r="A22" s="10" t="s">
        <v>60</v>
      </c>
      <c r="B22" s="11" t="n">
        <v>7.5</v>
      </c>
      <c r="C22" s="11" t="n">
        <v>21</v>
      </c>
      <c r="D22" s="11" t="n">
        <v>14.5</v>
      </c>
      <c r="E22" s="11" t="n">
        <v>65</v>
      </c>
      <c r="F22" s="11" t="n">
        <v>69</v>
      </c>
      <c r="G22" s="11" t="n">
        <v>61</v>
      </c>
      <c r="H22" s="11" t="n">
        <v>3.5</v>
      </c>
      <c r="I22" s="11" t="n">
        <v>3</v>
      </c>
      <c r="J22" s="11" t="n">
        <v>0.5</v>
      </c>
      <c r="K22" s="11"/>
      <c r="L22" s="11" t="str">
        <f aca="false">IF(OR(K22="",B22=""),"",K22-B22)</f>
        <v/>
      </c>
      <c r="M22" s="11"/>
      <c r="N22" s="11"/>
      <c r="O22" s="12" t="s">
        <v>36</v>
      </c>
    </row>
    <row r="23" customFormat="false" ht="15" hidden="false" customHeight="true" outlineLevel="0" collapsed="false">
      <c r="A23" s="10" t="s">
        <v>61</v>
      </c>
      <c r="B23" s="11" t="n">
        <v>7.5</v>
      </c>
      <c r="C23" s="11" t="n">
        <v>22</v>
      </c>
      <c r="D23" s="11" t="n">
        <v>13.6</v>
      </c>
      <c r="E23" s="11" t="n">
        <v>44</v>
      </c>
      <c r="F23" s="11" t="n">
        <v>48</v>
      </c>
      <c r="G23" s="11" t="n">
        <v>40</v>
      </c>
      <c r="H23" s="11" t="n">
        <v>-3</v>
      </c>
      <c r="I23" s="11" t="n">
        <v>-2</v>
      </c>
      <c r="J23" s="11" t="n">
        <v>-1</v>
      </c>
      <c r="K23" s="11"/>
      <c r="L23" s="11" t="str">
        <f aca="false">IF(OR(K23="",B23=""),"",K23-B23)</f>
        <v/>
      </c>
      <c r="M23" s="11"/>
      <c r="N23" s="11"/>
      <c r="O23" s="12" t="s">
        <v>36</v>
      </c>
    </row>
    <row r="24" customFormat="false" ht="15" hidden="false" customHeight="true" outlineLevel="0" collapsed="false">
      <c r="A24" s="10" t="s">
        <v>62</v>
      </c>
      <c r="B24" s="11" t="n">
        <v>7.5</v>
      </c>
      <c r="C24" s="11" t="n">
        <v>23</v>
      </c>
      <c r="D24" s="11" t="n">
        <v>12.8</v>
      </c>
      <c r="E24" s="11" t="n">
        <v>53</v>
      </c>
      <c r="F24" s="11" t="n">
        <v>46</v>
      </c>
      <c r="G24" s="11" t="n">
        <v>61</v>
      </c>
      <c r="H24" s="11" t="n">
        <v>0</v>
      </c>
      <c r="I24" s="11" t="n">
        <v>-1.5</v>
      </c>
      <c r="J24" s="11" t="n">
        <v>1.5</v>
      </c>
      <c r="K24" s="11"/>
      <c r="L24" s="11" t="str">
        <f aca="false">IF(OR(K24="",B24=""),"",K24-B24)</f>
        <v/>
      </c>
      <c r="M24" s="11"/>
      <c r="N24" s="11"/>
      <c r="O24" s="12" t="s">
        <v>47</v>
      </c>
    </row>
    <row r="25" customFormat="false" ht="15" hidden="false" customHeight="true" outlineLevel="0" collapsed="false">
      <c r="A25" s="10" t="s">
        <v>63</v>
      </c>
      <c r="B25" s="11" t="n">
        <v>6.5</v>
      </c>
      <c r="C25" s="11" t="n">
        <v>24</v>
      </c>
      <c r="D25" s="11" t="n">
        <v>12.1</v>
      </c>
      <c r="E25" s="11" t="n">
        <v>68</v>
      </c>
      <c r="F25" s="11" t="n">
        <v>76</v>
      </c>
      <c r="G25" s="11" t="n">
        <v>61</v>
      </c>
      <c r="H25" s="11" t="n">
        <v>9.5</v>
      </c>
      <c r="I25" s="11" t="n">
        <v>6</v>
      </c>
      <c r="J25" s="11" t="n">
        <v>3.5</v>
      </c>
      <c r="K25" s="11"/>
      <c r="L25" s="11" t="str">
        <f aca="false">IF(OR(K25="",B25=""),"",K25-B25)</f>
        <v/>
      </c>
      <c r="M25" s="11"/>
      <c r="N25" s="11"/>
      <c r="O25" s="12" t="s">
        <v>41</v>
      </c>
    </row>
    <row r="26" customFormat="false" ht="15" hidden="false" customHeight="true" outlineLevel="0" collapsed="false">
      <c r="A26" s="10" t="s">
        <v>64</v>
      </c>
      <c r="B26" s="11" t="n">
        <v>8.5</v>
      </c>
      <c r="C26" s="11" t="n">
        <v>25</v>
      </c>
      <c r="D26" s="11" t="n">
        <v>11.9</v>
      </c>
      <c r="E26" s="11" t="n">
        <v>55</v>
      </c>
      <c r="F26" s="11" t="n">
        <v>55</v>
      </c>
      <c r="G26" s="11" t="n">
        <v>55</v>
      </c>
      <c r="H26" s="11" t="n">
        <v>3</v>
      </c>
      <c r="I26" s="11" t="n">
        <v>2</v>
      </c>
      <c r="J26" s="11" t="n">
        <v>1</v>
      </c>
      <c r="K26" s="11"/>
      <c r="L26" s="11" t="str">
        <f aca="false">IF(OR(K26="",B26=""),"",K26-B26)</f>
        <v/>
      </c>
      <c r="M26" s="11"/>
      <c r="N26" s="11"/>
      <c r="O26" s="12" t="s">
        <v>45</v>
      </c>
    </row>
    <row r="27" customFormat="false" ht="15" hidden="false" customHeight="true" outlineLevel="0" collapsed="false">
      <c r="A27" s="10" t="s">
        <v>65</v>
      </c>
      <c r="B27" s="11" t="n">
        <v>6.5</v>
      </c>
      <c r="C27" s="11" t="n">
        <v>26</v>
      </c>
      <c r="D27" s="11" t="n">
        <v>11.2</v>
      </c>
      <c r="E27" s="11" t="n">
        <v>57</v>
      </c>
      <c r="F27" s="11" t="n">
        <v>56</v>
      </c>
      <c r="G27" s="11" t="n">
        <v>58</v>
      </c>
      <c r="H27" s="11" t="n">
        <v>7</v>
      </c>
      <c r="I27" s="11" t="n">
        <v>6</v>
      </c>
      <c r="J27" s="11" t="n">
        <v>1</v>
      </c>
      <c r="K27" s="11"/>
      <c r="L27" s="11" t="str">
        <f aca="false">IF(OR(K27="",B27=""),"",K27-B27)</f>
        <v/>
      </c>
      <c r="M27" s="11"/>
      <c r="N27" s="11"/>
      <c r="O27" s="12" t="s">
        <v>41</v>
      </c>
    </row>
    <row r="28" customFormat="false" ht="15" hidden="false" customHeight="true" outlineLevel="0" collapsed="false">
      <c r="A28" s="10" t="s">
        <v>66</v>
      </c>
      <c r="B28" s="11" t="n">
        <v>8.5</v>
      </c>
      <c r="C28" s="11" t="n">
        <v>27</v>
      </c>
      <c r="D28" s="11" t="n">
        <v>11</v>
      </c>
      <c r="E28" s="11" t="n">
        <v>53</v>
      </c>
      <c r="F28" s="11" t="n">
        <v>52</v>
      </c>
      <c r="G28" s="11" t="n">
        <v>55</v>
      </c>
      <c r="H28" s="11" t="n">
        <v>0.5</v>
      </c>
      <c r="I28" s="11" t="n">
        <v>-0.5</v>
      </c>
      <c r="J28" s="11" t="n">
        <v>1</v>
      </c>
      <c r="K28" s="11"/>
      <c r="L28" s="11" t="str">
        <f aca="false">IF(OR(K28="",B28=""),"",K28-B28)</f>
        <v/>
      </c>
      <c r="M28" s="11"/>
      <c r="N28" s="11"/>
      <c r="O28" s="12" t="s">
        <v>47</v>
      </c>
    </row>
    <row r="29" customFormat="false" ht="15" hidden="false" customHeight="true" outlineLevel="0" collapsed="false">
      <c r="A29" s="10" t="s">
        <v>67</v>
      </c>
      <c r="B29" s="11" t="n">
        <v>8.5</v>
      </c>
      <c r="C29" s="11" t="n">
        <v>28</v>
      </c>
      <c r="D29" s="11" t="n">
        <v>10.9</v>
      </c>
      <c r="E29" s="11" t="n">
        <v>62</v>
      </c>
      <c r="F29" s="11" t="n">
        <v>66</v>
      </c>
      <c r="G29" s="11" t="n">
        <v>58</v>
      </c>
      <c r="H29" s="11" t="n">
        <v>6</v>
      </c>
      <c r="I29" s="11" t="n">
        <v>4.5</v>
      </c>
      <c r="J29" s="11" t="n">
        <v>1.5</v>
      </c>
      <c r="K29" s="11"/>
      <c r="L29" s="11" t="str">
        <f aca="false">IF(OR(K29="",B29=""),"",K29-B29)</f>
        <v/>
      </c>
      <c r="M29" s="11"/>
      <c r="N29" s="11"/>
      <c r="O29" s="12" t="s">
        <v>47</v>
      </c>
    </row>
    <row r="30" customFormat="false" ht="15" hidden="false" customHeight="true" outlineLevel="0" collapsed="false">
      <c r="A30" s="10" t="s">
        <v>68</v>
      </c>
      <c r="B30" s="11" t="n">
        <v>8.5</v>
      </c>
      <c r="C30" s="11" t="n">
        <v>29</v>
      </c>
      <c r="D30" s="11" t="n">
        <v>10.4</v>
      </c>
      <c r="E30" s="11" t="n">
        <v>58</v>
      </c>
      <c r="F30" s="11" t="n">
        <v>65</v>
      </c>
      <c r="G30" s="11" t="n">
        <v>51</v>
      </c>
      <c r="H30" s="11" t="n">
        <v>5.5</v>
      </c>
      <c r="I30" s="11" t="n">
        <v>3</v>
      </c>
      <c r="J30" s="11" t="n">
        <v>2.5</v>
      </c>
      <c r="K30" s="11"/>
      <c r="L30" s="11" t="str">
        <f aca="false">IF(OR(K30="",B30=""),"",K30-B30)</f>
        <v/>
      </c>
      <c r="M30" s="11"/>
      <c r="N30" s="11"/>
      <c r="O30" s="12" t="s">
        <v>45</v>
      </c>
    </row>
    <row r="31" customFormat="false" ht="15" hidden="false" customHeight="true" outlineLevel="0" collapsed="false">
      <c r="A31" s="10" t="s">
        <v>69</v>
      </c>
      <c r="B31" s="11" t="n">
        <v>7.5</v>
      </c>
      <c r="C31" s="11" t="n">
        <v>30</v>
      </c>
      <c r="D31" s="11" t="n">
        <v>10.2</v>
      </c>
      <c r="E31" s="11" t="n">
        <v>60</v>
      </c>
      <c r="F31" s="11" t="n">
        <v>66</v>
      </c>
      <c r="G31" s="11" t="n">
        <v>55</v>
      </c>
      <c r="H31" s="11" t="n">
        <v>-0.5</v>
      </c>
      <c r="I31" s="11" t="n">
        <v>-0.5</v>
      </c>
      <c r="J31" s="11" t="n">
        <v>0</v>
      </c>
      <c r="K31" s="11"/>
      <c r="L31" s="11" t="str">
        <f aca="false">IF(OR(K31="",B31=""),"",K31-B31)</f>
        <v/>
      </c>
      <c r="M31" s="11"/>
      <c r="N31" s="11"/>
      <c r="O31" s="12" t="s">
        <v>45</v>
      </c>
    </row>
    <row r="32" customFormat="false" ht="15" hidden="false" customHeight="true" outlineLevel="0" collapsed="false">
      <c r="A32" s="10" t="s">
        <v>70</v>
      </c>
      <c r="B32" s="11" t="n">
        <v>5.5</v>
      </c>
      <c r="C32" s="11" t="n">
        <v>31</v>
      </c>
      <c r="D32" s="11" t="n">
        <v>10</v>
      </c>
      <c r="E32" s="11" t="n">
        <v>44</v>
      </c>
      <c r="F32" s="11" t="n">
        <v>38</v>
      </c>
      <c r="G32" s="11" t="n">
        <v>49</v>
      </c>
      <c r="H32" s="11" t="n">
        <v>-3</v>
      </c>
      <c r="I32" s="11" t="n">
        <v>-2</v>
      </c>
      <c r="J32" s="11" t="n">
        <v>-1</v>
      </c>
      <c r="K32" s="11"/>
      <c r="L32" s="11" t="str">
        <f aca="false">IF(OR(K32="",B32=""),"",K32-B32)</f>
        <v/>
      </c>
      <c r="M32" s="11"/>
      <c r="N32" s="11"/>
      <c r="O32" s="12" t="s">
        <v>41</v>
      </c>
    </row>
    <row r="33" customFormat="false" ht="15" hidden="false" customHeight="true" outlineLevel="0" collapsed="false">
      <c r="A33" s="10" t="s">
        <v>71</v>
      </c>
      <c r="B33" s="11" t="n">
        <v>6.5</v>
      </c>
      <c r="C33" s="11" t="n">
        <v>32</v>
      </c>
      <c r="D33" s="11" t="n">
        <v>9.4</v>
      </c>
      <c r="E33" s="11" t="n">
        <v>69</v>
      </c>
      <c r="F33" s="11" t="n">
        <v>71</v>
      </c>
      <c r="G33" s="11" t="n">
        <v>67</v>
      </c>
      <c r="H33" s="11" t="n">
        <v>10</v>
      </c>
      <c r="I33" s="11" t="n">
        <v>6</v>
      </c>
      <c r="J33" s="11" t="n">
        <v>4</v>
      </c>
      <c r="K33" s="11"/>
      <c r="L33" s="11" t="str">
        <f aca="false">IF(OR(K33="",B33=""),"",K33-B33)</f>
        <v/>
      </c>
      <c r="M33" s="11"/>
      <c r="N33" s="11"/>
      <c r="O33" s="12" t="s">
        <v>47</v>
      </c>
    </row>
    <row r="34" customFormat="false" ht="15" hidden="false" customHeight="true" outlineLevel="0" collapsed="false">
      <c r="A34" s="10" t="s">
        <v>72</v>
      </c>
      <c r="B34" s="11" t="n">
        <v>7.5</v>
      </c>
      <c r="C34" s="11" t="n">
        <v>33</v>
      </c>
      <c r="D34" s="11" t="n">
        <v>9.3</v>
      </c>
      <c r="E34" s="11" t="n">
        <v>50</v>
      </c>
      <c r="F34" s="11" t="n">
        <v>52</v>
      </c>
      <c r="G34" s="11" t="n">
        <v>47</v>
      </c>
      <c r="H34" s="11" t="n">
        <v>3</v>
      </c>
      <c r="I34" s="11" t="n">
        <v>4</v>
      </c>
      <c r="J34" s="11" t="n">
        <v>-1</v>
      </c>
      <c r="K34" s="11"/>
      <c r="L34" s="11" t="str">
        <f aca="false">IF(OR(K34="",B34=""),"",K34-B34)</f>
        <v/>
      </c>
      <c r="M34" s="11"/>
      <c r="N34" s="11"/>
      <c r="O34" s="12" t="s">
        <v>36</v>
      </c>
    </row>
    <row r="35" customFormat="false" ht="15" hidden="false" customHeight="true" outlineLevel="0" collapsed="false">
      <c r="A35" s="10" t="s">
        <v>73</v>
      </c>
      <c r="B35" s="11" t="n">
        <v>6.5</v>
      </c>
      <c r="C35" s="11" t="n">
        <v>34</v>
      </c>
      <c r="D35" s="11" t="n">
        <v>9.1</v>
      </c>
      <c r="E35" s="11" t="n">
        <v>51</v>
      </c>
      <c r="F35" s="11" t="n">
        <v>44</v>
      </c>
      <c r="G35" s="11" t="n">
        <v>58</v>
      </c>
      <c r="H35" s="11" t="n">
        <v>-4</v>
      </c>
      <c r="I35" s="11" t="n">
        <v>-3</v>
      </c>
      <c r="J35" s="11" t="n">
        <v>-1</v>
      </c>
      <c r="K35" s="11"/>
      <c r="L35" s="11" t="str">
        <f aca="false">IF(OR(K35="",B35=""),"",K35-B35)</f>
        <v/>
      </c>
      <c r="M35" s="11"/>
      <c r="N35" s="11"/>
      <c r="O35" s="12" t="s">
        <v>45</v>
      </c>
    </row>
    <row r="36" customFormat="false" ht="15" hidden="false" customHeight="true" outlineLevel="0" collapsed="false">
      <c r="A36" s="10" t="s">
        <v>74</v>
      </c>
      <c r="B36" s="11" t="n">
        <v>6.5</v>
      </c>
      <c r="C36" s="11" t="n">
        <v>35</v>
      </c>
      <c r="D36" s="11" t="n">
        <v>8.8</v>
      </c>
      <c r="E36" s="11" t="n">
        <v>57</v>
      </c>
      <c r="F36" s="11" t="n">
        <v>57</v>
      </c>
      <c r="G36" s="11" t="n">
        <v>57</v>
      </c>
      <c r="H36" s="11" t="n">
        <v>6</v>
      </c>
      <c r="I36" s="11" t="n">
        <v>3</v>
      </c>
      <c r="J36" s="11" t="n">
        <v>3</v>
      </c>
      <c r="K36" s="11"/>
      <c r="L36" s="11" t="str">
        <f aca="false">IF(OR(K36="",B36=""),"",K36-B36)</f>
        <v/>
      </c>
      <c r="M36" s="11"/>
      <c r="N36" s="11"/>
      <c r="O36" s="12" t="s">
        <v>47</v>
      </c>
    </row>
    <row r="37" customFormat="false" ht="15" hidden="false" customHeight="true" outlineLevel="0" collapsed="false">
      <c r="A37" s="10" t="s">
        <v>75</v>
      </c>
      <c r="B37" s="11" t="n">
        <v>8.5</v>
      </c>
      <c r="C37" s="11" t="n">
        <v>36</v>
      </c>
      <c r="D37" s="11" t="n">
        <v>8.2</v>
      </c>
      <c r="E37" s="11" t="n">
        <v>65</v>
      </c>
      <c r="F37" s="11" t="n">
        <v>71</v>
      </c>
      <c r="G37" s="11" t="n">
        <v>58</v>
      </c>
      <c r="H37" s="11" t="n">
        <v>7</v>
      </c>
      <c r="I37" s="11" t="n">
        <v>6</v>
      </c>
      <c r="J37" s="11" t="n">
        <v>1</v>
      </c>
      <c r="K37" s="11"/>
      <c r="L37" s="11" t="str">
        <f aca="false">IF(OR(K37="",B37=""),"",K37-B37)</f>
        <v/>
      </c>
      <c r="M37" s="11"/>
      <c r="N37" s="11"/>
      <c r="O37" s="12" t="s">
        <v>45</v>
      </c>
    </row>
    <row r="38" customFormat="false" ht="15" hidden="false" customHeight="true" outlineLevel="0" collapsed="false">
      <c r="A38" s="10" t="s">
        <v>76</v>
      </c>
      <c r="B38" s="11" t="n">
        <v>6.5</v>
      </c>
      <c r="C38" s="11" t="n">
        <v>37</v>
      </c>
      <c r="D38" s="11" t="n">
        <v>7.7</v>
      </c>
      <c r="E38" s="11" t="n">
        <v>69</v>
      </c>
      <c r="F38" s="11" t="n">
        <v>69</v>
      </c>
      <c r="G38" s="11" t="n">
        <v>69</v>
      </c>
      <c r="H38" s="11" t="n">
        <v>11</v>
      </c>
      <c r="I38" s="11" t="n">
        <v>6</v>
      </c>
      <c r="J38" s="11" t="n">
        <v>5</v>
      </c>
      <c r="K38" s="11"/>
      <c r="L38" s="11" t="str">
        <f aca="false">IF(OR(K38="",B38=""),"",K38-B38)</f>
        <v/>
      </c>
      <c r="M38" s="11"/>
      <c r="N38" s="11"/>
      <c r="O38" s="12" t="s">
        <v>36</v>
      </c>
    </row>
    <row r="39" customFormat="false" ht="15" hidden="false" customHeight="true" outlineLevel="0" collapsed="false">
      <c r="A39" s="10" t="s">
        <v>77</v>
      </c>
      <c r="B39" s="11" t="n">
        <v>6.5</v>
      </c>
      <c r="C39" s="11" t="n">
        <v>38</v>
      </c>
      <c r="D39" s="11" t="n">
        <v>7.1</v>
      </c>
      <c r="E39" s="11" t="n">
        <v>58</v>
      </c>
      <c r="F39" s="11" t="n">
        <v>62</v>
      </c>
      <c r="G39" s="11" t="n">
        <v>53</v>
      </c>
      <c r="H39" s="11" t="n">
        <v>10</v>
      </c>
      <c r="I39" s="11" t="n">
        <v>6</v>
      </c>
      <c r="J39" s="11" t="n">
        <v>4</v>
      </c>
      <c r="K39" s="11"/>
      <c r="L39" s="11" t="str">
        <f aca="false">IF(OR(K39="",B39=""),"",K39-B39)</f>
        <v/>
      </c>
      <c r="M39" s="11"/>
      <c r="N39" s="11"/>
      <c r="O39" s="12" t="s">
        <v>78</v>
      </c>
    </row>
    <row r="40" customFormat="false" ht="15" hidden="false" customHeight="true" outlineLevel="0" collapsed="false">
      <c r="A40" s="10" t="s">
        <v>79</v>
      </c>
      <c r="B40" s="11" t="n">
        <v>7.5</v>
      </c>
      <c r="C40" s="11" t="n">
        <v>39</v>
      </c>
      <c r="D40" s="11" t="n">
        <v>6.8</v>
      </c>
      <c r="E40" s="11" t="n">
        <v>57</v>
      </c>
      <c r="F40" s="11" t="n">
        <v>60</v>
      </c>
      <c r="G40" s="11" t="n">
        <v>55</v>
      </c>
      <c r="H40" s="11" t="n">
        <v>-0.5</v>
      </c>
      <c r="I40" s="11" t="n">
        <v>0</v>
      </c>
      <c r="J40" s="11" t="n">
        <v>-0.5</v>
      </c>
      <c r="K40" s="11" t="n">
        <v>7</v>
      </c>
      <c r="L40" s="11" t="n">
        <f aca="false">IF(OR(K40="",B40=""),"",K40-B40)</f>
        <v>-0.5</v>
      </c>
      <c r="M40" s="11"/>
      <c r="N40" s="11"/>
      <c r="O40" s="12" t="s">
        <v>78</v>
      </c>
    </row>
    <row r="41" customFormat="false" ht="15" hidden="false" customHeight="true" outlineLevel="0" collapsed="false">
      <c r="A41" s="10" t="s">
        <v>80</v>
      </c>
      <c r="B41" s="11" t="n">
        <v>7.5</v>
      </c>
      <c r="C41" s="11" t="n">
        <v>40</v>
      </c>
      <c r="D41" s="11" t="n">
        <v>6.6</v>
      </c>
      <c r="E41" s="11" t="n">
        <v>59</v>
      </c>
      <c r="F41" s="11" t="n">
        <v>55</v>
      </c>
      <c r="G41" s="11" t="n">
        <v>62</v>
      </c>
      <c r="H41" s="11" t="n">
        <v>0.5</v>
      </c>
      <c r="I41" s="11" t="n">
        <v>-1.5</v>
      </c>
      <c r="J41" s="11" t="n">
        <v>2</v>
      </c>
      <c r="K41" s="11"/>
      <c r="L41" s="11" t="str">
        <f aca="false">IF(OR(K41="",B41=""),"",K41-B41)</f>
        <v/>
      </c>
      <c r="M41" s="11"/>
      <c r="N41" s="11"/>
      <c r="O41" s="12" t="s">
        <v>47</v>
      </c>
    </row>
    <row r="42" customFormat="false" ht="15" hidden="false" customHeight="true" outlineLevel="0" collapsed="false">
      <c r="A42" s="10" t="s">
        <v>81</v>
      </c>
      <c r="B42" s="11" t="n">
        <v>7.5</v>
      </c>
      <c r="C42" s="11" t="n">
        <v>41</v>
      </c>
      <c r="D42" s="11" t="n">
        <v>6.5</v>
      </c>
      <c r="E42" s="11" t="n">
        <v>58</v>
      </c>
      <c r="F42" s="11" t="n">
        <v>60</v>
      </c>
      <c r="G42" s="11" t="n">
        <v>56</v>
      </c>
      <c r="H42" s="11" t="n">
        <v>-1</v>
      </c>
      <c r="I42" s="11" t="n">
        <v>-1</v>
      </c>
      <c r="J42" s="11" t="n">
        <v>0</v>
      </c>
      <c r="K42" s="11"/>
      <c r="L42" s="11" t="str">
        <f aca="false">IF(OR(K42="",B42=""),"",K42-B42)</f>
        <v/>
      </c>
      <c r="M42" s="11"/>
      <c r="N42" s="11"/>
      <c r="O42" s="12" t="s">
        <v>47</v>
      </c>
    </row>
    <row r="43" customFormat="false" ht="15" hidden="false" customHeight="true" outlineLevel="0" collapsed="false">
      <c r="A43" s="10" t="s">
        <v>82</v>
      </c>
      <c r="B43" s="11" t="n">
        <v>6.5</v>
      </c>
      <c r="C43" s="11" t="n">
        <v>42</v>
      </c>
      <c r="D43" s="11" t="n">
        <v>6.4</v>
      </c>
      <c r="E43" s="11" t="n">
        <v>51</v>
      </c>
      <c r="F43" s="11" t="n">
        <v>53</v>
      </c>
      <c r="G43" s="11" t="n">
        <v>49</v>
      </c>
      <c r="H43" s="11" t="n">
        <v>2</v>
      </c>
      <c r="I43" s="11" t="n">
        <v>2</v>
      </c>
      <c r="J43" s="11" t="n">
        <v>0</v>
      </c>
      <c r="K43" s="11"/>
      <c r="L43" s="11" t="str">
        <f aca="false">IF(OR(K43="",B43=""),"",K43-B43)</f>
        <v/>
      </c>
      <c r="M43" s="11"/>
      <c r="N43" s="11"/>
      <c r="O43" s="12" t="s">
        <v>45</v>
      </c>
    </row>
    <row r="44" customFormat="false" ht="15" hidden="false" customHeight="true" outlineLevel="0" collapsed="false">
      <c r="A44" s="10" t="s">
        <v>83</v>
      </c>
      <c r="B44" s="11" t="n">
        <v>6.5</v>
      </c>
      <c r="C44" s="11" t="n">
        <v>43</v>
      </c>
      <c r="D44" s="11" t="n">
        <v>6</v>
      </c>
      <c r="E44" s="11" t="n">
        <v>49</v>
      </c>
      <c r="F44" s="11" t="n">
        <v>37</v>
      </c>
      <c r="G44" s="11" t="n">
        <v>61</v>
      </c>
      <c r="H44" s="11" t="n">
        <v>0.5</v>
      </c>
      <c r="I44" s="11" t="n">
        <v>-4</v>
      </c>
      <c r="J44" s="11" t="n">
        <v>4.5</v>
      </c>
      <c r="K44" s="11"/>
      <c r="L44" s="11" t="str">
        <f aca="false">IF(OR(K44="",B44=""),"",K44-B44)</f>
        <v/>
      </c>
      <c r="M44" s="11"/>
      <c r="N44" s="11"/>
      <c r="O44" s="12" t="s">
        <v>47</v>
      </c>
    </row>
    <row r="45" customFormat="false" ht="15" hidden="false" customHeight="true" outlineLevel="0" collapsed="false">
      <c r="A45" s="10" t="s">
        <v>84</v>
      </c>
      <c r="B45" s="11" t="n">
        <v>5.5</v>
      </c>
      <c r="C45" s="11" t="n">
        <v>44</v>
      </c>
      <c r="D45" s="11" t="n">
        <v>5.7</v>
      </c>
      <c r="E45" s="11" t="n">
        <v>49</v>
      </c>
      <c r="F45" s="11" t="n">
        <v>48</v>
      </c>
      <c r="G45" s="11" t="n">
        <v>51</v>
      </c>
      <c r="H45" s="11" t="n">
        <v>-3</v>
      </c>
      <c r="I45" s="11" t="n">
        <v>-3</v>
      </c>
      <c r="J45" s="11" t="n">
        <v>0</v>
      </c>
      <c r="K45" s="11"/>
      <c r="L45" s="11" t="str">
        <f aca="false">IF(OR(K45="",B45=""),"",K45-B45)</f>
        <v/>
      </c>
      <c r="M45" s="11"/>
      <c r="N45" s="11"/>
      <c r="O45" s="12" t="s">
        <v>47</v>
      </c>
    </row>
    <row r="46" customFormat="false" ht="15" hidden="false" customHeight="true" outlineLevel="0" collapsed="false">
      <c r="A46" s="10" t="s">
        <v>85</v>
      </c>
      <c r="B46" s="11" t="n">
        <v>6.5</v>
      </c>
      <c r="C46" s="11" t="n">
        <v>45</v>
      </c>
      <c r="D46" s="11" t="n">
        <v>5.2</v>
      </c>
      <c r="E46" s="11" t="n">
        <v>68</v>
      </c>
      <c r="F46" s="11" t="n">
        <v>71</v>
      </c>
      <c r="G46" s="11" t="n">
        <v>65</v>
      </c>
      <c r="H46" s="11" t="n">
        <v>8</v>
      </c>
      <c r="I46" s="11" t="n">
        <v>3.5</v>
      </c>
      <c r="J46" s="11" t="n">
        <v>4.5</v>
      </c>
      <c r="K46" s="11"/>
      <c r="L46" s="11" t="str">
        <f aca="false">IF(OR(K46="",B46=""),"",K46-B46)</f>
        <v/>
      </c>
      <c r="M46" s="11"/>
      <c r="N46" s="11"/>
      <c r="O46" s="12" t="s">
        <v>36</v>
      </c>
    </row>
    <row r="47" customFormat="false" ht="15" hidden="false" customHeight="true" outlineLevel="0" collapsed="false">
      <c r="A47" s="10" t="s">
        <v>86</v>
      </c>
      <c r="B47" s="11" t="n">
        <v>6.5</v>
      </c>
      <c r="C47" s="11" t="n">
        <v>46</v>
      </c>
      <c r="D47" s="11" t="n">
        <v>5.1</v>
      </c>
      <c r="E47" s="11" t="n">
        <v>67</v>
      </c>
      <c r="F47" s="11" t="n">
        <v>73</v>
      </c>
      <c r="G47" s="11" t="n">
        <v>61</v>
      </c>
      <c r="H47" s="11" t="n">
        <v>11</v>
      </c>
      <c r="I47" s="11" t="n">
        <v>6</v>
      </c>
      <c r="J47" s="11" t="n">
        <v>5</v>
      </c>
      <c r="K47" s="11"/>
      <c r="L47" s="11" t="str">
        <f aca="false">IF(OR(K47="",B47=""),"",K47-B47)</f>
        <v/>
      </c>
      <c r="M47" s="11"/>
      <c r="N47" s="11"/>
      <c r="O47" s="12" t="s">
        <v>36</v>
      </c>
    </row>
    <row r="48" customFormat="false" ht="15" hidden="false" customHeight="true" outlineLevel="0" collapsed="false">
      <c r="A48" s="10" t="s">
        <v>87</v>
      </c>
      <c r="B48" s="11" t="n">
        <v>4.5</v>
      </c>
      <c r="C48" s="11" t="n">
        <v>47</v>
      </c>
      <c r="D48" s="11" t="n">
        <v>5</v>
      </c>
      <c r="E48" s="11" t="n">
        <v>55</v>
      </c>
      <c r="F48" s="11" t="n">
        <v>55</v>
      </c>
      <c r="G48" s="11" t="n">
        <v>55</v>
      </c>
      <c r="H48" s="11" t="n">
        <v>6.5</v>
      </c>
      <c r="I48" s="11" t="n">
        <v>3</v>
      </c>
      <c r="J48" s="11" t="n">
        <v>3.5</v>
      </c>
      <c r="K48" s="11"/>
      <c r="L48" s="11" t="str">
        <f aca="false">IF(OR(K48="",B48=""),"",K48-B48)</f>
        <v/>
      </c>
      <c r="M48" s="11"/>
      <c r="N48" s="11"/>
      <c r="O48" s="12" t="s">
        <v>78</v>
      </c>
    </row>
    <row r="49" customFormat="false" ht="15" hidden="false" customHeight="true" outlineLevel="0" collapsed="false">
      <c r="A49" s="10" t="s">
        <v>88</v>
      </c>
      <c r="B49" s="11" t="n">
        <v>7.5</v>
      </c>
      <c r="C49" s="11" t="n">
        <v>48</v>
      </c>
      <c r="D49" s="11" t="n">
        <v>4.9</v>
      </c>
      <c r="E49" s="11" t="n">
        <v>54</v>
      </c>
      <c r="F49" s="11" t="n">
        <v>62</v>
      </c>
      <c r="G49" s="11" t="n">
        <v>46</v>
      </c>
      <c r="H49" s="11" t="n">
        <v>2.5</v>
      </c>
      <c r="I49" s="11" t="n">
        <v>3.5</v>
      </c>
      <c r="J49" s="11" t="n">
        <v>-1</v>
      </c>
      <c r="K49" s="11"/>
      <c r="L49" s="11" t="str">
        <f aca="false">IF(OR(K49="",B49=""),"",K49-B49)</f>
        <v/>
      </c>
      <c r="M49" s="11"/>
      <c r="N49" s="11"/>
      <c r="O49" s="12" t="s">
        <v>47</v>
      </c>
    </row>
    <row r="50" customFormat="false" ht="15" hidden="false" customHeight="true" outlineLevel="0" collapsed="false">
      <c r="A50" s="10" t="s">
        <v>89</v>
      </c>
      <c r="B50" s="11" t="n">
        <v>5.5</v>
      </c>
      <c r="C50" s="11" t="n">
        <v>49</v>
      </c>
      <c r="D50" s="11" t="n">
        <v>4.6</v>
      </c>
      <c r="E50" s="11" t="n">
        <v>57</v>
      </c>
      <c r="F50" s="11" t="n">
        <v>57</v>
      </c>
      <c r="G50" s="11" t="n">
        <v>58</v>
      </c>
      <c r="H50" s="11" t="n">
        <v>3.5</v>
      </c>
      <c r="I50" s="11" t="n">
        <v>2</v>
      </c>
      <c r="J50" s="11" t="n">
        <v>1.5</v>
      </c>
      <c r="K50" s="11"/>
      <c r="L50" s="11" t="str">
        <f aca="false">IF(OR(K50="",B50=""),"",K50-B50)</f>
        <v/>
      </c>
      <c r="M50" s="11"/>
      <c r="N50" s="11"/>
      <c r="O50" s="12" t="s">
        <v>36</v>
      </c>
    </row>
    <row r="51" customFormat="false" ht="15" hidden="false" customHeight="true" outlineLevel="0" collapsed="false">
      <c r="A51" s="10" t="s">
        <v>90</v>
      </c>
      <c r="B51" s="11" t="n">
        <v>5.5</v>
      </c>
      <c r="C51" s="11" t="n">
        <v>50</v>
      </c>
      <c r="D51" s="11" t="n">
        <v>4.5</v>
      </c>
      <c r="E51" s="11" t="n">
        <v>57</v>
      </c>
      <c r="F51" s="11" t="n">
        <v>57</v>
      </c>
      <c r="G51" s="11" t="n">
        <v>56</v>
      </c>
      <c r="H51" s="11" t="n">
        <v>2.5</v>
      </c>
      <c r="I51" s="11" t="n">
        <v>1</v>
      </c>
      <c r="J51" s="11" t="n">
        <v>1.5</v>
      </c>
      <c r="K51" s="11"/>
      <c r="L51" s="11" t="str">
        <f aca="false">IF(OR(K51="",B51=""),"",K51-B51)</f>
        <v/>
      </c>
      <c r="M51" s="11"/>
      <c r="N51" s="11"/>
      <c r="O51" s="12" t="s">
        <v>45</v>
      </c>
    </row>
    <row r="52" customFormat="false" ht="15" hidden="false" customHeight="true" outlineLevel="0" collapsed="false">
      <c r="A52" s="10" t="s">
        <v>91</v>
      </c>
      <c r="B52" s="11" t="n">
        <v>6.5</v>
      </c>
      <c r="C52" s="11" t="n">
        <v>51</v>
      </c>
      <c r="D52" s="11" t="n">
        <v>4.5</v>
      </c>
      <c r="E52" s="11" t="n">
        <v>53</v>
      </c>
      <c r="F52" s="11" t="n">
        <v>44</v>
      </c>
      <c r="G52" s="11" t="n">
        <v>62</v>
      </c>
      <c r="H52" s="11" t="n">
        <v>1.5</v>
      </c>
      <c r="I52" s="11" t="n">
        <v>-0.5</v>
      </c>
      <c r="J52" s="11" t="n">
        <v>2</v>
      </c>
      <c r="K52" s="11"/>
      <c r="L52" s="11" t="str">
        <f aca="false">IF(OR(K52="",B52=""),"",K52-B52)</f>
        <v/>
      </c>
      <c r="M52" s="11"/>
      <c r="N52" s="11"/>
      <c r="O52" s="12" t="s">
        <v>45</v>
      </c>
    </row>
    <row r="53" customFormat="false" ht="15" hidden="false" customHeight="true" outlineLevel="0" collapsed="false">
      <c r="A53" s="10" t="s">
        <v>92</v>
      </c>
      <c r="B53" s="11" t="n">
        <v>4.5</v>
      </c>
      <c r="C53" s="11" t="n">
        <v>52</v>
      </c>
      <c r="D53" s="11" t="n">
        <v>3.9</v>
      </c>
      <c r="E53" s="11" t="n">
        <v>48</v>
      </c>
      <c r="F53" s="11" t="n">
        <v>44</v>
      </c>
      <c r="G53" s="11" t="n">
        <v>52</v>
      </c>
      <c r="H53" s="11" t="n">
        <v>1</v>
      </c>
      <c r="I53" s="11" t="n">
        <v>1.5</v>
      </c>
      <c r="J53" s="11" t="n">
        <v>-0.5</v>
      </c>
      <c r="K53" s="11"/>
      <c r="L53" s="11" t="str">
        <f aca="false">IF(OR(K53="",B53=""),"",K53-B53)</f>
        <v/>
      </c>
      <c r="M53" s="11"/>
      <c r="N53" s="11"/>
      <c r="O53" s="12" t="s">
        <v>41</v>
      </c>
    </row>
    <row r="54" customFormat="false" ht="15" hidden="false" customHeight="true" outlineLevel="0" collapsed="false">
      <c r="A54" s="10" t="s">
        <v>93</v>
      </c>
      <c r="B54" s="11" t="n">
        <v>4.5</v>
      </c>
      <c r="C54" s="11" t="n">
        <v>53</v>
      </c>
      <c r="D54" s="11" t="n">
        <v>3.8</v>
      </c>
      <c r="E54" s="11" t="n">
        <v>46</v>
      </c>
      <c r="F54" s="11" t="n">
        <v>40</v>
      </c>
      <c r="G54" s="11" t="n">
        <v>52</v>
      </c>
      <c r="H54" s="11" t="n">
        <v>-0.5</v>
      </c>
      <c r="I54" s="11" t="n">
        <v>-1</v>
      </c>
      <c r="J54" s="11" t="n">
        <v>0.5</v>
      </c>
      <c r="K54" s="11"/>
      <c r="L54" s="11" t="str">
        <f aca="false">IF(OR(K54="",B54=""),"",K54-B54)</f>
        <v/>
      </c>
      <c r="M54" s="11"/>
      <c r="N54" s="11"/>
      <c r="O54" s="12" t="s">
        <v>41</v>
      </c>
    </row>
    <row r="55" customFormat="false" ht="15" hidden="false" customHeight="true" outlineLevel="0" collapsed="false">
      <c r="A55" s="10" t="s">
        <v>94</v>
      </c>
      <c r="B55" s="11" t="n">
        <v>4.5</v>
      </c>
      <c r="C55" s="11" t="n">
        <v>54</v>
      </c>
      <c r="D55" s="11" t="n">
        <v>3.8</v>
      </c>
      <c r="E55" s="11" t="n">
        <v>44</v>
      </c>
      <c r="F55" s="11" t="n">
        <v>47</v>
      </c>
      <c r="G55" s="11" t="n">
        <v>42</v>
      </c>
      <c r="H55" s="11" t="n">
        <v>-4</v>
      </c>
      <c r="I55" s="11" t="n">
        <v>-3</v>
      </c>
      <c r="J55" s="11" t="n">
        <v>-1</v>
      </c>
      <c r="K55" s="11"/>
      <c r="L55" s="11" t="str">
        <f aca="false">IF(OR(K55="",B55=""),"",K55-B55)</f>
        <v/>
      </c>
      <c r="M55" s="11"/>
      <c r="N55" s="11"/>
      <c r="O55" s="12" t="s">
        <v>47</v>
      </c>
    </row>
    <row r="56" customFormat="false" ht="15" hidden="false" customHeight="true" outlineLevel="0" collapsed="false">
      <c r="A56" s="10" t="s">
        <v>95</v>
      </c>
      <c r="B56" s="11" t="n">
        <v>5.5</v>
      </c>
      <c r="C56" s="11" t="n">
        <v>55</v>
      </c>
      <c r="D56" s="11" t="n">
        <v>3.8</v>
      </c>
      <c r="E56" s="11" t="n">
        <v>71</v>
      </c>
      <c r="F56" s="11" t="n">
        <v>68</v>
      </c>
      <c r="G56" s="11" t="n">
        <v>74</v>
      </c>
      <c r="H56" s="11" t="n">
        <v>10</v>
      </c>
      <c r="I56" s="11" t="n">
        <v>5</v>
      </c>
      <c r="J56" s="11" t="n">
        <v>5</v>
      </c>
      <c r="K56" s="11"/>
      <c r="L56" s="11" t="str">
        <f aca="false">IF(OR(K56="",B56=""),"",K56-B56)</f>
        <v/>
      </c>
      <c r="M56" s="11"/>
      <c r="N56" s="11"/>
      <c r="O56" s="12" t="s">
        <v>36</v>
      </c>
    </row>
    <row r="57" customFormat="false" ht="15" hidden="false" customHeight="true" outlineLevel="0" collapsed="false">
      <c r="A57" s="10" t="s">
        <v>96</v>
      </c>
      <c r="B57" s="11" t="n">
        <v>6.5</v>
      </c>
      <c r="C57" s="11" t="n">
        <v>56</v>
      </c>
      <c r="D57" s="11" t="n">
        <v>3.7</v>
      </c>
      <c r="E57" s="11" t="n">
        <v>58</v>
      </c>
      <c r="F57" s="11" t="n">
        <v>70</v>
      </c>
      <c r="G57" s="11" t="n">
        <v>45</v>
      </c>
      <c r="H57" s="11" t="n">
        <v>4</v>
      </c>
      <c r="I57" s="11" t="n">
        <v>6</v>
      </c>
      <c r="J57" s="11" t="n">
        <v>-2</v>
      </c>
      <c r="K57" s="11"/>
      <c r="L57" s="11" t="str">
        <f aca="false">IF(OR(K57="",B57=""),"",K57-B57)</f>
        <v/>
      </c>
      <c r="M57" s="11"/>
      <c r="N57" s="11"/>
      <c r="O57" s="12" t="s">
        <v>47</v>
      </c>
    </row>
    <row r="58" customFormat="false" ht="15" hidden="false" customHeight="true" outlineLevel="0" collapsed="false">
      <c r="A58" s="10" t="s">
        <v>97</v>
      </c>
      <c r="B58" s="11" t="n">
        <v>5.5</v>
      </c>
      <c r="C58" s="11" t="n">
        <v>57</v>
      </c>
      <c r="D58" s="11" t="n">
        <v>3.7</v>
      </c>
      <c r="E58" s="11" t="n">
        <v>58</v>
      </c>
      <c r="F58" s="11" t="n">
        <v>49</v>
      </c>
      <c r="G58" s="11" t="n">
        <v>67</v>
      </c>
      <c r="H58" s="11" t="n">
        <v>3.5</v>
      </c>
      <c r="I58" s="11" t="n">
        <v>-0.5</v>
      </c>
      <c r="J58" s="11" t="n">
        <v>4</v>
      </c>
      <c r="K58" s="11"/>
      <c r="L58" s="11" t="str">
        <f aca="false">IF(OR(K58="",B58=""),"",K58-B58)</f>
        <v/>
      </c>
      <c r="M58" s="11"/>
      <c r="N58" s="11"/>
      <c r="O58" s="12" t="s">
        <v>45</v>
      </c>
    </row>
    <row r="59" customFormat="false" ht="15" hidden="false" customHeight="true" outlineLevel="0" collapsed="false">
      <c r="A59" s="10" t="s">
        <v>98</v>
      </c>
      <c r="B59" s="11" t="n">
        <v>5.5</v>
      </c>
      <c r="C59" s="11" t="n">
        <v>58</v>
      </c>
      <c r="D59" s="11" t="n">
        <v>3.6</v>
      </c>
      <c r="E59" s="11" t="n">
        <v>53</v>
      </c>
      <c r="F59" s="11" t="n">
        <v>45</v>
      </c>
      <c r="G59" s="11" t="n">
        <v>61</v>
      </c>
      <c r="H59" s="11" t="n">
        <v>-0.5</v>
      </c>
      <c r="I59" s="11" t="n">
        <v>-0.5</v>
      </c>
      <c r="J59" s="11" t="n">
        <v>0</v>
      </c>
      <c r="K59" s="11"/>
      <c r="L59" s="11" t="str">
        <f aca="false">IF(OR(K59="",B59=""),"",K59-B59)</f>
        <v/>
      </c>
      <c r="M59" s="11"/>
      <c r="N59" s="11"/>
      <c r="O59" s="12" t="s">
        <v>47</v>
      </c>
    </row>
    <row r="60" customFormat="false" ht="15" hidden="false" customHeight="true" outlineLevel="0" collapsed="false">
      <c r="A60" s="10" t="s">
        <v>99</v>
      </c>
      <c r="B60" s="11" t="n">
        <v>7.5</v>
      </c>
      <c r="C60" s="11" t="n">
        <v>59</v>
      </c>
      <c r="D60" s="11" t="n">
        <v>2.8</v>
      </c>
      <c r="E60" s="11" t="n">
        <v>40</v>
      </c>
      <c r="F60" s="11" t="n">
        <v>40</v>
      </c>
      <c r="G60" s="11" t="n">
        <v>40</v>
      </c>
      <c r="H60" s="11" t="n">
        <v>-5</v>
      </c>
      <c r="I60" s="11" t="n">
        <v>-3.5</v>
      </c>
      <c r="J60" s="11" t="n">
        <v>-1.5</v>
      </c>
      <c r="K60" s="11"/>
      <c r="L60" s="11" t="str">
        <f aca="false">IF(OR(K60="",B60=""),"",K60-B60)</f>
        <v/>
      </c>
      <c r="M60" s="11"/>
      <c r="N60" s="11"/>
      <c r="O60" s="12" t="s">
        <v>100</v>
      </c>
    </row>
    <row r="61" customFormat="false" ht="15" hidden="false" customHeight="true" outlineLevel="0" collapsed="false">
      <c r="A61" s="10" t="s">
        <v>101</v>
      </c>
      <c r="B61" s="11" t="n">
        <v>5.5</v>
      </c>
      <c r="C61" s="11" t="n">
        <v>60</v>
      </c>
      <c r="D61" s="11" t="n">
        <v>2.3</v>
      </c>
      <c r="E61" s="11" t="n">
        <v>61</v>
      </c>
      <c r="F61" s="11" t="n">
        <v>61</v>
      </c>
      <c r="G61" s="11" t="n">
        <v>60</v>
      </c>
      <c r="H61" s="11" t="n">
        <v>7</v>
      </c>
      <c r="I61" s="11" t="n">
        <v>6</v>
      </c>
      <c r="J61" s="11" t="n">
        <v>1</v>
      </c>
      <c r="K61" s="11"/>
      <c r="L61" s="11" t="str">
        <f aca="false">IF(OR(K61="",B61=""),"",K61-B61)</f>
        <v/>
      </c>
      <c r="M61" s="11"/>
      <c r="N61" s="11"/>
      <c r="O61" s="12" t="s">
        <v>45</v>
      </c>
    </row>
    <row r="62" customFormat="false" ht="15" hidden="false" customHeight="true" outlineLevel="0" collapsed="false">
      <c r="A62" s="10" t="s">
        <v>102</v>
      </c>
      <c r="B62" s="11" t="n">
        <v>6.5</v>
      </c>
      <c r="C62" s="11" t="n">
        <v>61</v>
      </c>
      <c r="D62" s="11" t="n">
        <v>1.8</v>
      </c>
      <c r="E62" s="11" t="n">
        <v>59</v>
      </c>
      <c r="F62" s="11" t="n">
        <v>61</v>
      </c>
      <c r="G62" s="11" t="n">
        <v>57</v>
      </c>
      <c r="H62" s="11" t="n">
        <v>11</v>
      </c>
      <c r="I62" s="11" t="n">
        <v>6</v>
      </c>
      <c r="J62" s="11" t="n">
        <v>5</v>
      </c>
      <c r="K62" s="11"/>
      <c r="L62" s="11" t="str">
        <f aca="false">IF(OR(K62="",B62=""),"",K62-B62)</f>
        <v/>
      </c>
      <c r="M62" s="11"/>
      <c r="N62" s="11"/>
      <c r="O62" s="12" t="s">
        <v>36</v>
      </c>
    </row>
    <row r="63" customFormat="false" ht="15" hidden="false" customHeight="true" outlineLevel="0" collapsed="false">
      <c r="A63" s="10" t="s">
        <v>103</v>
      </c>
      <c r="B63" s="11" t="n">
        <v>4.5</v>
      </c>
      <c r="C63" s="11" t="n">
        <v>62</v>
      </c>
      <c r="D63" s="11" t="n">
        <v>1.8</v>
      </c>
      <c r="E63" s="11" t="n">
        <v>47</v>
      </c>
      <c r="F63" s="11" t="n">
        <v>49</v>
      </c>
      <c r="G63" s="11" t="n">
        <v>46</v>
      </c>
      <c r="H63" s="11" t="n">
        <v>-5.5</v>
      </c>
      <c r="I63" s="11" t="n">
        <v>-3</v>
      </c>
      <c r="J63" s="11" t="n">
        <v>-2.5</v>
      </c>
      <c r="K63" s="11"/>
      <c r="L63" s="11" t="str">
        <f aca="false">IF(OR(K63="",B63=""),"",K63-B63)</f>
        <v/>
      </c>
      <c r="M63" s="11"/>
      <c r="N63" s="11"/>
      <c r="O63" s="12" t="s">
        <v>36</v>
      </c>
    </row>
    <row r="64" customFormat="false" ht="15" hidden="false" customHeight="true" outlineLevel="0" collapsed="false">
      <c r="A64" s="10" t="s">
        <v>104</v>
      </c>
      <c r="B64" s="11" t="n">
        <v>7.5</v>
      </c>
      <c r="C64" s="11" t="n">
        <v>63</v>
      </c>
      <c r="D64" s="11" t="n">
        <v>1.1</v>
      </c>
      <c r="E64" s="11" t="n">
        <v>47</v>
      </c>
      <c r="F64" s="11" t="n">
        <v>33</v>
      </c>
      <c r="G64" s="11" t="n">
        <v>61</v>
      </c>
      <c r="H64" s="11" t="n">
        <v>-2</v>
      </c>
      <c r="I64" s="11" t="n">
        <v>-3.5</v>
      </c>
      <c r="J64" s="11" t="n">
        <v>1.5</v>
      </c>
      <c r="K64" s="11"/>
      <c r="L64" s="11" t="str">
        <f aca="false">IF(OR(K64="",B64=""),"",K64-B64)</f>
        <v/>
      </c>
      <c r="M64" s="11"/>
      <c r="N64" s="11"/>
      <c r="O64" s="12" t="s">
        <v>105</v>
      </c>
    </row>
    <row r="65" customFormat="false" ht="15" hidden="false" customHeight="true" outlineLevel="0" collapsed="false">
      <c r="A65" s="10" t="s">
        <v>106</v>
      </c>
      <c r="B65" s="11" t="n">
        <v>4.5</v>
      </c>
      <c r="C65" s="11" t="n">
        <v>64</v>
      </c>
      <c r="D65" s="11" t="n">
        <v>1</v>
      </c>
      <c r="E65" s="11" t="n">
        <v>45</v>
      </c>
      <c r="F65" s="11" t="n">
        <v>44</v>
      </c>
      <c r="G65" s="11" t="n">
        <v>46</v>
      </c>
      <c r="H65" s="11" t="n">
        <v>-7</v>
      </c>
      <c r="I65" s="11" t="n">
        <v>-6</v>
      </c>
      <c r="J65" s="11" t="n">
        <v>-1</v>
      </c>
      <c r="K65" s="11"/>
      <c r="L65" s="11" t="str">
        <f aca="false">IF(OR(K65="",B65=""),"",K65-B65)</f>
        <v/>
      </c>
      <c r="M65" s="11"/>
      <c r="N65" s="11"/>
      <c r="O65" s="12" t="s">
        <v>45</v>
      </c>
    </row>
    <row r="66" customFormat="false" ht="15" hidden="false" customHeight="true" outlineLevel="0" collapsed="false">
      <c r="A66" s="10" t="s">
        <v>107</v>
      </c>
      <c r="B66" s="11" t="n">
        <v>4.5</v>
      </c>
      <c r="C66" s="11" t="n">
        <v>65</v>
      </c>
      <c r="D66" s="11" t="n">
        <v>0.9</v>
      </c>
      <c r="E66" s="11" t="n">
        <v>55</v>
      </c>
      <c r="F66" s="11" t="n">
        <v>57</v>
      </c>
      <c r="G66" s="11" t="n">
        <v>53</v>
      </c>
      <c r="H66" s="11" t="n">
        <v>11</v>
      </c>
      <c r="I66" s="11" t="n">
        <v>6</v>
      </c>
      <c r="J66" s="11" t="n">
        <v>5</v>
      </c>
      <c r="K66" s="11"/>
      <c r="L66" s="11" t="str">
        <f aca="false">IF(OR(K66="",B66=""),"",K66-B66)</f>
        <v/>
      </c>
      <c r="M66" s="11"/>
      <c r="N66" s="11"/>
      <c r="O66" s="12" t="s">
        <v>45</v>
      </c>
    </row>
    <row r="67" customFormat="false" ht="15" hidden="false" customHeight="true" outlineLevel="0" collapsed="false">
      <c r="A67" s="10" t="s">
        <v>108</v>
      </c>
      <c r="B67" s="11" t="n">
        <v>5.5</v>
      </c>
      <c r="C67" s="11" t="n">
        <v>66</v>
      </c>
      <c r="D67" s="11" t="n">
        <v>0.8</v>
      </c>
      <c r="E67" s="11" t="n">
        <v>52</v>
      </c>
      <c r="F67" s="11" t="n">
        <v>57</v>
      </c>
      <c r="G67" s="11" t="n">
        <v>46</v>
      </c>
      <c r="H67" s="11" t="n">
        <v>3</v>
      </c>
      <c r="I67" s="11" t="n">
        <v>6</v>
      </c>
      <c r="J67" s="11" t="n">
        <v>-3</v>
      </c>
      <c r="K67" s="11"/>
      <c r="L67" s="11" t="str">
        <f aca="false">IF(OR(K67="",B67=""),"",K67-B67)</f>
        <v/>
      </c>
      <c r="M67" s="11"/>
      <c r="N67" s="11"/>
      <c r="O67" s="12" t="s">
        <v>45</v>
      </c>
    </row>
    <row r="68" customFormat="false" ht="15" hidden="false" customHeight="true" outlineLevel="0" collapsed="false">
      <c r="A68" s="10" t="s">
        <v>109</v>
      </c>
      <c r="B68" s="11" t="n">
        <v>4.5</v>
      </c>
      <c r="C68" s="11" t="n">
        <v>67</v>
      </c>
      <c r="D68" s="11" t="n">
        <v>0.4</v>
      </c>
      <c r="E68" s="11" t="n">
        <v>46</v>
      </c>
      <c r="F68" s="11" t="n">
        <v>48</v>
      </c>
      <c r="G68" s="11" t="n">
        <v>45</v>
      </c>
      <c r="H68" s="11" t="n">
        <v>-3.5</v>
      </c>
      <c r="I68" s="11" t="n">
        <v>-1.5</v>
      </c>
      <c r="J68" s="11" t="n">
        <v>-2</v>
      </c>
      <c r="K68" s="11"/>
      <c r="L68" s="11" t="str">
        <f aca="false">IF(OR(K68="",B68=""),"",K68-B68)</f>
        <v/>
      </c>
      <c r="M68" s="11"/>
      <c r="N68" s="11"/>
      <c r="O68" s="12" t="s">
        <v>78</v>
      </c>
    </row>
    <row r="69" customFormat="false" ht="15" hidden="false" customHeight="true" outlineLevel="0" collapsed="false">
      <c r="A69" s="10" t="s">
        <v>110</v>
      </c>
      <c r="B69" s="11" t="n">
        <v>7.5</v>
      </c>
      <c r="C69" s="11" t="n">
        <v>68</v>
      </c>
      <c r="D69" s="11" t="n">
        <v>-0.5</v>
      </c>
      <c r="E69" s="11" t="n">
        <v>63</v>
      </c>
      <c r="F69" s="11" t="n">
        <v>68</v>
      </c>
      <c r="G69" s="11" t="n">
        <v>58</v>
      </c>
      <c r="H69" s="11" t="n">
        <v>-1.5</v>
      </c>
      <c r="I69" s="11" t="n">
        <v>0</v>
      </c>
      <c r="J69" s="11" t="n">
        <v>-1.5</v>
      </c>
      <c r="K69" s="11"/>
      <c r="L69" s="11" t="str">
        <f aca="false">IF(OR(K69="",B69=""),"",K69-B69)</f>
        <v/>
      </c>
      <c r="M69" s="11"/>
      <c r="N69" s="11"/>
      <c r="O69" s="12" t="s">
        <v>100</v>
      </c>
    </row>
    <row r="70" customFormat="false" ht="15" hidden="false" customHeight="true" outlineLevel="0" collapsed="false">
      <c r="A70" s="10" t="s">
        <v>111</v>
      </c>
      <c r="B70" s="11" t="n">
        <v>4.5</v>
      </c>
      <c r="C70" s="11" t="n">
        <v>69</v>
      </c>
      <c r="D70" s="11" t="n">
        <v>-0.7</v>
      </c>
      <c r="E70" s="11" t="n">
        <v>62</v>
      </c>
      <c r="F70" s="11" t="n">
        <v>56</v>
      </c>
      <c r="G70" s="11" t="n">
        <v>67</v>
      </c>
      <c r="H70" s="11" t="n">
        <v>11</v>
      </c>
      <c r="I70" s="11" t="n">
        <v>6</v>
      </c>
      <c r="J70" s="11" t="n">
        <v>5</v>
      </c>
      <c r="K70" s="11"/>
      <c r="L70" s="11" t="str">
        <f aca="false">IF(OR(K70="",B70=""),"",K70-B70)</f>
        <v/>
      </c>
      <c r="M70" s="11"/>
      <c r="N70" s="11"/>
      <c r="O70" s="12" t="s">
        <v>100</v>
      </c>
    </row>
    <row r="71" customFormat="false" ht="15" hidden="false" customHeight="true" outlineLevel="0" collapsed="false">
      <c r="A71" s="10" t="s">
        <v>112</v>
      </c>
      <c r="B71" s="11" t="n">
        <v>7.5</v>
      </c>
      <c r="C71" s="11" t="n">
        <v>70</v>
      </c>
      <c r="D71" s="11" t="n">
        <v>-1.1</v>
      </c>
      <c r="E71" s="11" t="n">
        <v>42</v>
      </c>
      <c r="F71" s="11" t="n">
        <v>44</v>
      </c>
      <c r="G71" s="11" t="n">
        <v>39</v>
      </c>
      <c r="H71" s="11" t="n">
        <v>-6</v>
      </c>
      <c r="I71" s="11" t="n">
        <v>-6</v>
      </c>
      <c r="J71" s="11" t="n">
        <v>0</v>
      </c>
      <c r="K71" s="11"/>
      <c r="L71" s="11" t="str">
        <f aca="false">IF(OR(K71="",B71=""),"",K71-B71)</f>
        <v/>
      </c>
      <c r="M71" s="11"/>
      <c r="N71" s="11"/>
      <c r="O71" s="12" t="s">
        <v>105</v>
      </c>
    </row>
    <row r="72" customFormat="false" ht="15" hidden="false" customHeight="true" outlineLevel="0" collapsed="false">
      <c r="A72" s="10" t="s">
        <v>113</v>
      </c>
      <c r="B72" s="11" t="n">
        <v>6.5</v>
      </c>
      <c r="C72" s="11" t="n">
        <v>71</v>
      </c>
      <c r="D72" s="11" t="n">
        <v>-1.3</v>
      </c>
      <c r="E72" s="11" t="n">
        <v>59</v>
      </c>
      <c r="F72" s="11" t="n">
        <v>76</v>
      </c>
      <c r="G72" s="11" t="n">
        <v>43</v>
      </c>
      <c r="H72" s="11" t="n">
        <v>0</v>
      </c>
      <c r="I72" s="11" t="n">
        <v>2.5</v>
      </c>
      <c r="J72" s="11" t="n">
        <v>-2.5</v>
      </c>
      <c r="K72" s="11"/>
      <c r="L72" s="11" t="str">
        <f aca="false">IF(OR(K72="",B72=""),"",K72-B72)</f>
        <v/>
      </c>
      <c r="M72" s="11"/>
      <c r="N72" s="11"/>
      <c r="O72" s="12" t="s">
        <v>78</v>
      </c>
    </row>
    <row r="73" customFormat="false" ht="15" hidden="false" customHeight="true" outlineLevel="0" collapsed="false">
      <c r="A73" s="10" t="s">
        <v>114</v>
      </c>
      <c r="B73" s="11"/>
      <c r="C73" s="11" t="n">
        <v>72</v>
      </c>
      <c r="D73" s="11" t="n">
        <v>-1.4</v>
      </c>
      <c r="E73" s="11" t="n">
        <v>52</v>
      </c>
      <c r="F73" s="11" t="n">
        <v>45</v>
      </c>
      <c r="G73" s="11" t="n">
        <v>60</v>
      </c>
      <c r="H73" s="11"/>
      <c r="I73" s="11"/>
      <c r="J73" s="11"/>
      <c r="K73" s="11"/>
      <c r="L73" s="11" t="str">
        <f aca="false">IF(OR(K73="",B73=""),"",K73-B73)</f>
        <v/>
      </c>
      <c r="M73" s="11"/>
      <c r="N73" s="11"/>
      <c r="O73" s="12" t="s">
        <v>100</v>
      </c>
    </row>
    <row r="74" customFormat="false" ht="15" hidden="false" customHeight="true" outlineLevel="0" collapsed="false">
      <c r="A74" s="10" t="s">
        <v>115</v>
      </c>
      <c r="B74" s="11" t="n">
        <v>7.5</v>
      </c>
      <c r="C74" s="11" t="n">
        <v>73</v>
      </c>
      <c r="D74" s="11" t="n">
        <v>-1.5</v>
      </c>
      <c r="E74" s="11" t="n">
        <v>54</v>
      </c>
      <c r="F74" s="11" t="n">
        <v>64</v>
      </c>
      <c r="G74" s="11" t="n">
        <v>44</v>
      </c>
      <c r="H74" s="11" t="n">
        <v>3</v>
      </c>
      <c r="I74" s="11" t="n">
        <v>3</v>
      </c>
      <c r="J74" s="11" t="n">
        <v>0</v>
      </c>
      <c r="K74" s="11"/>
      <c r="L74" s="11" t="str">
        <f aca="false">IF(OR(K74="",B74=""),"",K74-B74)</f>
        <v/>
      </c>
      <c r="M74" s="11"/>
      <c r="N74" s="11"/>
      <c r="O74" s="12" t="s">
        <v>105</v>
      </c>
    </row>
    <row r="75" customFormat="false" ht="15" hidden="false" customHeight="true" outlineLevel="0" collapsed="false">
      <c r="A75" s="10" t="s">
        <v>116</v>
      </c>
      <c r="B75" s="11" t="n">
        <v>3.5</v>
      </c>
      <c r="C75" s="11" t="n">
        <v>74</v>
      </c>
      <c r="D75" s="11" t="n">
        <v>-1.5</v>
      </c>
      <c r="E75" s="11" t="n">
        <v>50</v>
      </c>
      <c r="F75" s="11" t="n">
        <v>44</v>
      </c>
      <c r="G75" s="11" t="n">
        <v>57</v>
      </c>
      <c r="H75" s="11" t="n">
        <v>-0.5</v>
      </c>
      <c r="I75" s="11" t="n">
        <v>-3</v>
      </c>
      <c r="J75" s="11" t="n">
        <v>2.5</v>
      </c>
      <c r="K75" s="11"/>
      <c r="L75" s="11" t="str">
        <f aca="false">IF(OR(K75="",B75=""),"",K75-B75)</f>
        <v/>
      </c>
      <c r="M75" s="11"/>
      <c r="N75" s="11"/>
      <c r="O75" s="12" t="s">
        <v>100</v>
      </c>
    </row>
    <row r="76" customFormat="false" ht="15" hidden="false" customHeight="true" outlineLevel="0" collapsed="false">
      <c r="A76" s="10" t="s">
        <v>117</v>
      </c>
      <c r="B76" s="11" t="n">
        <v>3.5</v>
      </c>
      <c r="C76" s="11" t="n">
        <v>75</v>
      </c>
      <c r="D76" s="11" t="n">
        <v>-1.9</v>
      </c>
      <c r="E76" s="11" t="n">
        <v>60</v>
      </c>
      <c r="F76" s="11" t="n">
        <v>58</v>
      </c>
      <c r="G76" s="11" t="n">
        <v>62</v>
      </c>
      <c r="H76" s="11" t="n">
        <v>-3.5</v>
      </c>
      <c r="I76" s="11" t="n">
        <v>-2</v>
      </c>
      <c r="J76" s="11" t="n">
        <v>-1.5</v>
      </c>
      <c r="K76" s="11"/>
      <c r="L76" s="11" t="str">
        <f aca="false">IF(OR(K76="",B76=""),"",K76-B76)</f>
        <v/>
      </c>
      <c r="M76" s="11"/>
      <c r="N76" s="11"/>
      <c r="O76" s="12" t="s">
        <v>47</v>
      </c>
    </row>
    <row r="77" customFormat="false" ht="15" hidden="false" customHeight="true" outlineLevel="0" collapsed="false">
      <c r="A77" s="10" t="s">
        <v>118</v>
      </c>
      <c r="B77" s="11" t="n">
        <v>7.5</v>
      </c>
      <c r="C77" s="11" t="n">
        <v>76</v>
      </c>
      <c r="D77" s="11" t="n">
        <v>-2</v>
      </c>
      <c r="E77" s="11" t="n">
        <v>42</v>
      </c>
      <c r="F77" s="11" t="n">
        <v>33</v>
      </c>
      <c r="G77" s="11" t="n">
        <v>50</v>
      </c>
      <c r="H77" s="11" t="n">
        <v>-8</v>
      </c>
      <c r="I77" s="11" t="n">
        <v>-6</v>
      </c>
      <c r="J77" s="11" t="n">
        <v>-2</v>
      </c>
      <c r="K77" s="11"/>
      <c r="L77" s="11" t="str">
        <f aca="false">IF(OR(K77="",B77=""),"",K77-B77)</f>
        <v/>
      </c>
      <c r="M77" s="11"/>
      <c r="N77" s="11"/>
      <c r="O77" s="12" t="s">
        <v>105</v>
      </c>
    </row>
    <row r="78" customFormat="false" ht="15" hidden="false" customHeight="true" outlineLevel="0" collapsed="false">
      <c r="A78" s="10" t="s">
        <v>119</v>
      </c>
      <c r="B78" s="11" t="n">
        <v>8.5</v>
      </c>
      <c r="C78" s="11" t="n">
        <v>77</v>
      </c>
      <c r="D78" s="11" t="n">
        <v>-2.1</v>
      </c>
      <c r="E78" s="11" t="n">
        <v>30</v>
      </c>
      <c r="F78" s="11" t="n">
        <v>27</v>
      </c>
      <c r="G78" s="11" t="n">
        <v>32</v>
      </c>
      <c r="H78" s="11" t="n">
        <v>-10</v>
      </c>
      <c r="I78" s="11" t="n">
        <v>-6</v>
      </c>
      <c r="J78" s="11" t="n">
        <v>-4</v>
      </c>
      <c r="K78" s="11" t="n">
        <v>8</v>
      </c>
      <c r="L78" s="11" t="n">
        <f aca="false">IF(OR(K78="",B78=""),"",K78-B78)</f>
        <v>-0.5</v>
      </c>
      <c r="M78" s="11"/>
      <c r="N78" s="11"/>
      <c r="O78" s="12" t="s">
        <v>120</v>
      </c>
    </row>
    <row r="79" customFormat="false" ht="15" hidden="false" customHeight="true" outlineLevel="0" collapsed="false">
      <c r="A79" s="10" t="s">
        <v>121</v>
      </c>
      <c r="B79" s="11" t="n">
        <v>6.5</v>
      </c>
      <c r="C79" s="11" t="n">
        <v>78</v>
      </c>
      <c r="D79" s="11" t="n">
        <v>-2.3</v>
      </c>
      <c r="E79" s="11" t="n">
        <v>53</v>
      </c>
      <c r="F79" s="11" t="n">
        <v>52</v>
      </c>
      <c r="G79" s="11" t="n">
        <v>54</v>
      </c>
      <c r="H79" s="11" t="n">
        <v>-3</v>
      </c>
      <c r="I79" s="11" t="n">
        <v>-2</v>
      </c>
      <c r="J79" s="11" t="n">
        <v>-1</v>
      </c>
      <c r="K79" s="11" t="n">
        <v>4.5</v>
      </c>
      <c r="L79" s="11" t="n">
        <f aca="false">IF(OR(K79="",B79=""),"",K79-B79)</f>
        <v>-2</v>
      </c>
      <c r="M79" s="11"/>
      <c r="N79" s="11"/>
      <c r="O79" s="12" t="s">
        <v>78</v>
      </c>
    </row>
    <row r="80" customFormat="false" ht="15" hidden="false" customHeight="true" outlineLevel="0" collapsed="false">
      <c r="A80" s="10" t="s">
        <v>122</v>
      </c>
      <c r="B80" s="11" t="n">
        <v>7.5</v>
      </c>
      <c r="C80" s="11" t="n">
        <v>79</v>
      </c>
      <c r="D80" s="11" t="n">
        <v>-2.4</v>
      </c>
      <c r="E80" s="11" t="n">
        <v>59</v>
      </c>
      <c r="F80" s="11" t="n">
        <v>42</v>
      </c>
      <c r="G80" s="11" t="n">
        <v>75</v>
      </c>
      <c r="H80" s="11" t="n">
        <v>3</v>
      </c>
      <c r="I80" s="11" t="n">
        <v>-1.5</v>
      </c>
      <c r="J80" s="11" t="n">
        <v>4.5</v>
      </c>
      <c r="K80" s="11"/>
      <c r="L80" s="11" t="str">
        <f aca="false">IF(OR(K80="",B80=""),"",K80-B80)</f>
        <v/>
      </c>
      <c r="M80" s="11"/>
      <c r="N80" s="11"/>
      <c r="O80" s="12" t="s">
        <v>100</v>
      </c>
    </row>
    <row r="81" customFormat="false" ht="15" hidden="false" customHeight="true" outlineLevel="0" collapsed="false">
      <c r="A81" s="10" t="s">
        <v>123</v>
      </c>
      <c r="B81" s="11" t="n">
        <v>8.5</v>
      </c>
      <c r="C81" s="11" t="n">
        <v>80</v>
      </c>
      <c r="D81" s="11" t="n">
        <v>-2.8</v>
      </c>
      <c r="E81" s="11" t="n">
        <v>41</v>
      </c>
      <c r="F81" s="11" t="n">
        <v>47</v>
      </c>
      <c r="G81" s="11" t="n">
        <v>36</v>
      </c>
      <c r="H81" s="11" t="n">
        <v>-9</v>
      </c>
      <c r="I81" s="11" t="n">
        <v>-6</v>
      </c>
      <c r="J81" s="11" t="n">
        <v>-3</v>
      </c>
      <c r="K81" s="11"/>
      <c r="L81" s="11" t="str">
        <f aca="false">IF(OR(K81="",B81=""),"",K81-B81)</f>
        <v/>
      </c>
      <c r="M81" s="11"/>
      <c r="N81" s="11"/>
      <c r="O81" s="12" t="s">
        <v>105</v>
      </c>
    </row>
    <row r="82" customFormat="false" ht="15" hidden="false" customHeight="true" outlineLevel="0" collapsed="false">
      <c r="A82" s="10" t="s">
        <v>124</v>
      </c>
      <c r="B82" s="11" t="n">
        <v>7.5</v>
      </c>
      <c r="C82" s="11" t="n">
        <v>81</v>
      </c>
      <c r="D82" s="11" t="n">
        <v>-2.9</v>
      </c>
      <c r="E82" s="11" t="n">
        <v>49</v>
      </c>
      <c r="F82" s="11" t="n">
        <v>45</v>
      </c>
      <c r="G82" s="11" t="n">
        <v>52</v>
      </c>
      <c r="H82" s="11" t="n">
        <v>-1.5</v>
      </c>
      <c r="I82" s="11" t="n">
        <v>-1</v>
      </c>
      <c r="J82" s="11" t="n">
        <v>-0.5</v>
      </c>
      <c r="K82" s="11"/>
      <c r="L82" s="11" t="str">
        <f aca="false">IF(OR(K82="",B82=""),"",K82-B82)</f>
        <v/>
      </c>
      <c r="M82" s="11"/>
      <c r="N82" s="11"/>
      <c r="O82" s="12" t="s">
        <v>125</v>
      </c>
    </row>
    <row r="83" customFormat="false" ht="15" hidden="false" customHeight="true" outlineLevel="0" collapsed="false">
      <c r="A83" s="10" t="s">
        <v>126</v>
      </c>
      <c r="B83" s="11" t="n">
        <v>3.5</v>
      </c>
      <c r="C83" s="11" t="n">
        <v>82</v>
      </c>
      <c r="D83" s="11" t="n">
        <v>-2.9</v>
      </c>
      <c r="E83" s="11" t="n">
        <v>58</v>
      </c>
      <c r="F83" s="11" t="n">
        <v>61</v>
      </c>
      <c r="G83" s="11" t="n">
        <v>55</v>
      </c>
      <c r="H83" s="11" t="n">
        <v>3</v>
      </c>
      <c r="I83" s="11" t="n">
        <v>3</v>
      </c>
      <c r="J83" s="11" t="n">
        <v>0</v>
      </c>
      <c r="K83" s="11"/>
      <c r="L83" s="11" t="str">
        <f aca="false">IF(OR(K83="",B83=""),"",K83-B83)</f>
        <v/>
      </c>
      <c r="M83" s="11"/>
      <c r="N83" s="11"/>
      <c r="O83" s="12" t="s">
        <v>78</v>
      </c>
    </row>
    <row r="84" customFormat="false" ht="15" hidden="false" customHeight="true" outlineLevel="0" collapsed="false">
      <c r="A84" s="10" t="s">
        <v>127</v>
      </c>
      <c r="B84" s="11" t="n">
        <v>7.5</v>
      </c>
      <c r="C84" s="11" t="n">
        <v>83</v>
      </c>
      <c r="D84" s="11" t="n">
        <v>-3</v>
      </c>
      <c r="E84" s="11" t="n">
        <v>50</v>
      </c>
      <c r="F84" s="11" t="n">
        <v>67</v>
      </c>
      <c r="G84" s="11" t="n">
        <v>33</v>
      </c>
      <c r="H84" s="11" t="n">
        <v>-1</v>
      </c>
      <c r="I84" s="11" t="n">
        <v>2</v>
      </c>
      <c r="J84" s="11" t="n">
        <v>-3</v>
      </c>
      <c r="K84" s="11"/>
      <c r="L84" s="11" t="str">
        <f aca="false">IF(OR(K84="",B84=""),"",K84-B84)</f>
        <v/>
      </c>
      <c r="M84" s="11"/>
      <c r="N84" s="11"/>
      <c r="O84" s="12" t="s">
        <v>105</v>
      </c>
    </row>
    <row r="85" customFormat="false" ht="15" hidden="false" customHeight="true" outlineLevel="0" collapsed="false">
      <c r="A85" s="10" t="s">
        <v>128</v>
      </c>
      <c r="B85" s="11" t="n">
        <v>7.5</v>
      </c>
      <c r="C85" s="11" t="n">
        <v>84</v>
      </c>
      <c r="D85" s="11" t="n">
        <v>-3.9</v>
      </c>
      <c r="E85" s="11" t="n">
        <v>45</v>
      </c>
      <c r="F85" s="11" t="n">
        <v>54</v>
      </c>
      <c r="G85" s="11" t="n">
        <v>37</v>
      </c>
      <c r="H85" s="11" t="n">
        <v>-3</v>
      </c>
      <c r="I85" s="11" t="n">
        <v>0</v>
      </c>
      <c r="J85" s="11" t="n">
        <v>-3</v>
      </c>
      <c r="K85" s="11"/>
      <c r="L85" s="11" t="str">
        <f aca="false">IF(OR(K85="",B85=""),"",K85-B85)</f>
        <v/>
      </c>
      <c r="M85" s="11"/>
      <c r="N85" s="11"/>
      <c r="O85" s="12" t="s">
        <v>100</v>
      </c>
    </row>
    <row r="86" customFormat="false" ht="15" hidden="false" customHeight="true" outlineLevel="0" collapsed="false">
      <c r="A86" s="10" t="s">
        <v>129</v>
      </c>
      <c r="B86" s="11" t="n">
        <v>4.5</v>
      </c>
      <c r="C86" s="11" t="n">
        <v>85</v>
      </c>
      <c r="D86" s="11" t="n">
        <v>-5.3</v>
      </c>
      <c r="E86" s="11" t="n">
        <v>42</v>
      </c>
      <c r="F86" s="11" t="n">
        <v>48</v>
      </c>
      <c r="G86" s="11" t="n">
        <v>36</v>
      </c>
      <c r="H86" s="11" t="n">
        <v>-4</v>
      </c>
      <c r="I86" s="11" t="n">
        <v>-1.5</v>
      </c>
      <c r="J86" s="11" t="n">
        <v>-2.5</v>
      </c>
      <c r="K86" s="11" t="n">
        <v>5.1</v>
      </c>
      <c r="L86" s="11" t="n">
        <f aca="false">IF(OR(K86="",B86=""),"",K86-B86)</f>
        <v>0.6</v>
      </c>
      <c r="M86" s="11"/>
      <c r="N86" s="11"/>
      <c r="O86" s="12" t="s">
        <v>78</v>
      </c>
    </row>
    <row r="87" customFormat="false" ht="15" hidden="false" customHeight="true" outlineLevel="0" collapsed="false">
      <c r="A87" s="10" t="s">
        <v>130</v>
      </c>
      <c r="B87" s="11" t="n">
        <v>6.5</v>
      </c>
      <c r="C87" s="11" t="n">
        <v>86</v>
      </c>
      <c r="D87" s="11" t="n">
        <v>-5.3</v>
      </c>
      <c r="E87" s="11" t="n">
        <v>32</v>
      </c>
      <c r="F87" s="11" t="n">
        <v>37</v>
      </c>
      <c r="G87" s="11" t="n">
        <v>26</v>
      </c>
      <c r="H87" s="11" t="n">
        <v>-5</v>
      </c>
      <c r="I87" s="11" t="n">
        <v>-1.5</v>
      </c>
      <c r="J87" s="11" t="n">
        <v>-3.5</v>
      </c>
      <c r="K87" s="11"/>
      <c r="L87" s="11" t="str">
        <f aca="false">IF(OR(K87="",B87=""),"",K87-B87)</f>
        <v/>
      </c>
      <c r="M87" s="11"/>
      <c r="N87" s="11"/>
      <c r="O87" s="12" t="s">
        <v>39</v>
      </c>
    </row>
    <row r="88" customFormat="false" ht="15" hidden="false" customHeight="true" outlineLevel="0" collapsed="false">
      <c r="A88" s="10" t="s">
        <v>131</v>
      </c>
      <c r="B88" s="11" t="n">
        <v>7.5</v>
      </c>
      <c r="C88" s="11" t="n">
        <v>87</v>
      </c>
      <c r="D88" s="11" t="n">
        <v>-5.5</v>
      </c>
      <c r="E88" s="11" t="n">
        <v>40</v>
      </c>
      <c r="F88" s="11" t="n">
        <v>28</v>
      </c>
      <c r="G88" s="11" t="n">
        <v>52</v>
      </c>
      <c r="H88" s="11" t="n">
        <v>-4.5</v>
      </c>
      <c r="I88" s="11" t="n">
        <v>-4</v>
      </c>
      <c r="J88" s="11" t="n">
        <v>-0.5</v>
      </c>
      <c r="K88" s="11"/>
      <c r="L88" s="11" t="str">
        <f aca="false">IF(OR(K88="",B88=""),"",K88-B88)</f>
        <v/>
      </c>
      <c r="M88" s="11"/>
      <c r="N88" s="11"/>
      <c r="O88" s="12" t="s">
        <v>105</v>
      </c>
    </row>
    <row r="89" customFormat="false" ht="15" hidden="false" customHeight="true" outlineLevel="0" collapsed="false">
      <c r="A89" s="10" t="s">
        <v>132</v>
      </c>
      <c r="B89" s="11" t="n">
        <v>7.5</v>
      </c>
      <c r="C89" s="11" t="n">
        <v>88</v>
      </c>
      <c r="D89" s="11" t="n">
        <v>-5.8</v>
      </c>
      <c r="E89" s="11" t="n">
        <v>40</v>
      </c>
      <c r="F89" s="11" t="n">
        <v>23</v>
      </c>
      <c r="G89" s="11" t="n">
        <v>58</v>
      </c>
      <c r="H89" s="11" t="n">
        <v>-3.5</v>
      </c>
      <c r="I89" s="11" t="n">
        <v>-6</v>
      </c>
      <c r="J89" s="11" t="n">
        <v>2.5</v>
      </c>
      <c r="K89" s="11" t="n">
        <v>7.4</v>
      </c>
      <c r="L89" s="11" t="n">
        <f aca="false">IF(OR(K89="",B89=""),"",K89-B89)</f>
        <v>-0.0999999999999996</v>
      </c>
      <c r="M89" s="11"/>
      <c r="N89" s="11"/>
      <c r="O89" s="12" t="s">
        <v>120</v>
      </c>
    </row>
    <row r="90" customFormat="false" ht="15" hidden="false" customHeight="true" outlineLevel="0" collapsed="false">
      <c r="A90" s="10" t="s">
        <v>133</v>
      </c>
      <c r="B90" s="11" t="n">
        <v>6.5</v>
      </c>
      <c r="C90" s="11" t="n">
        <v>89</v>
      </c>
      <c r="D90" s="11" t="n">
        <v>-5.9</v>
      </c>
      <c r="E90" s="11" t="n">
        <v>56</v>
      </c>
      <c r="F90" s="11" t="n">
        <v>70</v>
      </c>
      <c r="G90" s="11" t="n">
        <v>43</v>
      </c>
      <c r="H90" s="11" t="n">
        <v>2</v>
      </c>
      <c r="I90" s="11" t="n">
        <v>2.5</v>
      </c>
      <c r="J90" s="11" t="n">
        <v>-0.5</v>
      </c>
      <c r="K90" s="11" t="n">
        <v>7.5</v>
      </c>
      <c r="L90" s="11" t="n">
        <f aca="false">IF(OR(K90="",B90=""),"",K90-B90)</f>
        <v>1</v>
      </c>
      <c r="M90" s="11"/>
      <c r="N90" s="11"/>
      <c r="O90" s="12" t="s">
        <v>78</v>
      </c>
    </row>
    <row r="91" customFormat="false" ht="15" hidden="false" customHeight="true" outlineLevel="0" collapsed="false">
      <c r="A91" s="10" t="s">
        <v>134</v>
      </c>
      <c r="B91" s="11" t="n">
        <v>6.5</v>
      </c>
      <c r="C91" s="11" t="n">
        <v>90</v>
      </c>
      <c r="D91" s="11" t="n">
        <v>-6</v>
      </c>
      <c r="E91" s="11" t="n">
        <v>39</v>
      </c>
      <c r="F91" s="11" t="n">
        <v>47</v>
      </c>
      <c r="G91" s="11" t="n">
        <v>32</v>
      </c>
      <c r="H91" s="11" t="n">
        <v>-4</v>
      </c>
      <c r="I91" s="11" t="n">
        <v>-0.5</v>
      </c>
      <c r="J91" s="11" t="n">
        <v>-3.5</v>
      </c>
      <c r="K91" s="11" t="n">
        <v>7.4</v>
      </c>
      <c r="L91" s="11" t="n">
        <f aca="false">IF(OR(K91="",B91=""),"",K91-B91)</f>
        <v>0.9</v>
      </c>
      <c r="M91" s="11"/>
      <c r="N91" s="11"/>
      <c r="O91" s="12" t="s">
        <v>120</v>
      </c>
    </row>
    <row r="92" customFormat="false" ht="15" hidden="false" customHeight="true" outlineLevel="0" collapsed="false">
      <c r="A92" s="10" t="s">
        <v>135</v>
      </c>
      <c r="B92" s="11" t="n">
        <v>4.5</v>
      </c>
      <c r="C92" s="11" t="n">
        <v>91</v>
      </c>
      <c r="D92" s="11" t="n">
        <v>-6.3</v>
      </c>
      <c r="E92" s="11" t="n">
        <v>47</v>
      </c>
      <c r="F92" s="11" t="n">
        <v>49</v>
      </c>
      <c r="G92" s="11" t="n">
        <v>44</v>
      </c>
      <c r="H92" s="11" t="n">
        <v>-1</v>
      </c>
      <c r="I92" s="11" t="n">
        <v>-2</v>
      </c>
      <c r="J92" s="11" t="n">
        <v>1</v>
      </c>
      <c r="K92" s="11" t="n">
        <v>3.8</v>
      </c>
      <c r="L92" s="11" t="n">
        <f aca="false">IF(OR(K92="",B92=""),"",K92-B92)</f>
        <v>-0.7</v>
      </c>
      <c r="M92" s="11"/>
      <c r="N92" s="11"/>
      <c r="O92" s="12" t="s">
        <v>78</v>
      </c>
    </row>
    <row r="93" customFormat="false" ht="15" hidden="false" customHeight="true" outlineLevel="0" collapsed="false">
      <c r="A93" s="10" t="s">
        <v>136</v>
      </c>
      <c r="B93" s="11" t="n">
        <v>7.5</v>
      </c>
      <c r="C93" s="11" t="n">
        <v>92</v>
      </c>
      <c r="D93" s="11" t="n">
        <v>-6.4</v>
      </c>
      <c r="E93" s="11" t="n">
        <v>48</v>
      </c>
      <c r="F93" s="11" t="n">
        <v>61</v>
      </c>
      <c r="G93" s="11" t="n">
        <v>36</v>
      </c>
      <c r="H93" s="11" t="n">
        <v>-0.5</v>
      </c>
      <c r="I93" s="11" t="n">
        <v>1.5</v>
      </c>
      <c r="J93" s="11" t="n">
        <v>-2</v>
      </c>
      <c r="K93" s="11" t="n">
        <v>7.6</v>
      </c>
      <c r="L93" s="11" t="n">
        <f aca="false">IF(OR(K93="",B93=""),"",K93-B93)</f>
        <v>0.0999999999999996</v>
      </c>
      <c r="M93" s="11"/>
      <c r="N93" s="11"/>
      <c r="O93" s="12" t="s">
        <v>120</v>
      </c>
    </row>
    <row r="94" customFormat="false" ht="15" hidden="false" customHeight="true" outlineLevel="0" collapsed="false">
      <c r="A94" s="10" t="s">
        <v>137</v>
      </c>
      <c r="B94" s="11" t="n">
        <v>8.5</v>
      </c>
      <c r="C94" s="11" t="n">
        <v>93</v>
      </c>
      <c r="D94" s="11" t="n">
        <v>-6.4</v>
      </c>
      <c r="E94" s="11" t="n">
        <v>57</v>
      </c>
      <c r="F94" s="11" t="n">
        <v>64</v>
      </c>
      <c r="G94" s="11" t="n">
        <v>50</v>
      </c>
      <c r="H94" s="11" t="n">
        <v>1</v>
      </c>
      <c r="I94" s="11" t="n">
        <v>1</v>
      </c>
      <c r="J94" s="11" t="n">
        <v>0</v>
      </c>
      <c r="K94" s="11"/>
      <c r="L94" s="11" t="str">
        <f aca="false">IF(OR(K94="",B94=""),"",K94-B94)</f>
        <v/>
      </c>
      <c r="M94" s="11"/>
      <c r="N94" s="11"/>
      <c r="O94" s="12" t="s">
        <v>39</v>
      </c>
    </row>
    <row r="95" customFormat="false" ht="15" hidden="false" customHeight="true" outlineLevel="0" collapsed="false">
      <c r="A95" s="10" t="s">
        <v>138</v>
      </c>
      <c r="B95" s="11" t="n">
        <v>5.5</v>
      </c>
      <c r="C95" s="11" t="n">
        <v>94</v>
      </c>
      <c r="D95" s="11" t="n">
        <v>-7.1</v>
      </c>
      <c r="E95" s="11" t="n">
        <v>64</v>
      </c>
      <c r="F95" s="11" t="n">
        <v>62</v>
      </c>
      <c r="G95" s="11" t="n">
        <v>65</v>
      </c>
      <c r="H95" s="11" t="n">
        <v>6</v>
      </c>
      <c r="I95" s="11" t="n">
        <v>3</v>
      </c>
      <c r="J95" s="11" t="n">
        <v>3</v>
      </c>
      <c r="K95" s="11"/>
      <c r="L95" s="11" t="str">
        <f aca="false">IF(OR(K95="",B95=""),"",K95-B95)</f>
        <v/>
      </c>
      <c r="M95" s="11"/>
      <c r="N95" s="11"/>
      <c r="O95" s="12" t="s">
        <v>105</v>
      </c>
    </row>
    <row r="96" customFormat="false" ht="15" hidden="false" customHeight="true" outlineLevel="0" collapsed="false">
      <c r="A96" s="10" t="s">
        <v>139</v>
      </c>
      <c r="B96" s="11" t="n">
        <v>7.5</v>
      </c>
      <c r="C96" s="11" t="n">
        <v>95</v>
      </c>
      <c r="D96" s="11" t="n">
        <v>-7.2</v>
      </c>
      <c r="E96" s="11" t="n">
        <v>51</v>
      </c>
      <c r="F96" s="11" t="n">
        <v>60</v>
      </c>
      <c r="G96" s="11" t="n">
        <v>42</v>
      </c>
      <c r="H96" s="11" t="n">
        <v>-1.5</v>
      </c>
      <c r="I96" s="11" t="n">
        <v>1</v>
      </c>
      <c r="J96" s="11" t="n">
        <v>-2.5</v>
      </c>
      <c r="K96" s="11"/>
      <c r="L96" s="11" t="str">
        <f aca="false">IF(OR(K96="",B96=""),"",K96-B96)</f>
        <v/>
      </c>
      <c r="M96" s="11"/>
      <c r="N96" s="11"/>
      <c r="O96" s="12" t="s">
        <v>125</v>
      </c>
    </row>
    <row r="97" customFormat="false" ht="15" hidden="false" customHeight="true" outlineLevel="0" collapsed="false">
      <c r="A97" s="10" t="s">
        <v>140</v>
      </c>
      <c r="B97" s="11" t="n">
        <v>5.5</v>
      </c>
      <c r="C97" s="11" t="n">
        <v>96</v>
      </c>
      <c r="D97" s="11" t="n">
        <v>-7.6</v>
      </c>
      <c r="E97" s="11" t="n">
        <v>62</v>
      </c>
      <c r="F97" s="11" t="n">
        <v>64</v>
      </c>
      <c r="G97" s="11" t="n">
        <v>60</v>
      </c>
      <c r="H97" s="11" t="n">
        <v>2.5</v>
      </c>
      <c r="I97" s="11" t="n">
        <v>0.5</v>
      </c>
      <c r="J97" s="11" t="n">
        <v>2</v>
      </c>
      <c r="K97" s="11"/>
      <c r="L97" s="11" t="str">
        <f aca="false">IF(OR(K97="",B97=""),"",K97-B97)</f>
        <v/>
      </c>
      <c r="M97" s="11"/>
      <c r="N97" s="11"/>
      <c r="O97" s="12" t="s">
        <v>105</v>
      </c>
    </row>
    <row r="98" customFormat="false" ht="15" hidden="false" customHeight="true" outlineLevel="0" collapsed="false">
      <c r="A98" s="10" t="s">
        <v>141</v>
      </c>
      <c r="B98" s="11" t="n">
        <v>4.5</v>
      </c>
      <c r="C98" s="11" t="n">
        <v>97</v>
      </c>
      <c r="D98" s="11" t="n">
        <v>-7.7</v>
      </c>
      <c r="E98" s="11" t="n">
        <v>48</v>
      </c>
      <c r="F98" s="11" t="n">
        <v>40</v>
      </c>
      <c r="G98" s="11" t="n">
        <v>55</v>
      </c>
      <c r="H98" s="11" t="n">
        <v>-3.5</v>
      </c>
      <c r="I98" s="11" t="n">
        <v>-3</v>
      </c>
      <c r="J98" s="11" t="n">
        <v>-0.5</v>
      </c>
      <c r="K98" s="11" t="n">
        <v>4.5</v>
      </c>
      <c r="L98" s="11" t="n">
        <f aca="false">IF(OR(K98="",B98=""),"",K98-B98)</f>
        <v>0</v>
      </c>
      <c r="M98" s="11"/>
      <c r="N98" s="11"/>
      <c r="O98" s="12" t="s">
        <v>78</v>
      </c>
    </row>
    <row r="99" customFormat="false" ht="15" hidden="false" customHeight="true" outlineLevel="0" collapsed="false">
      <c r="A99" s="10" t="s">
        <v>142</v>
      </c>
      <c r="B99" s="11" t="n">
        <v>7.5</v>
      </c>
      <c r="C99" s="11" t="n">
        <v>98</v>
      </c>
      <c r="D99" s="11" t="n">
        <v>-7.7</v>
      </c>
      <c r="E99" s="11" t="n">
        <v>57</v>
      </c>
      <c r="F99" s="11" t="n">
        <v>60</v>
      </c>
      <c r="G99" s="11" t="n">
        <v>54</v>
      </c>
      <c r="H99" s="11" t="n">
        <v>3</v>
      </c>
      <c r="I99" s="11" t="n">
        <v>1.5</v>
      </c>
      <c r="J99" s="11" t="n">
        <v>1.5</v>
      </c>
      <c r="K99" s="11"/>
      <c r="L99" s="11" t="str">
        <f aca="false">IF(OR(K99="",B99=""),"",K99-B99)</f>
        <v/>
      </c>
      <c r="M99" s="11"/>
      <c r="N99" s="11"/>
      <c r="O99" s="12" t="s">
        <v>39</v>
      </c>
    </row>
    <row r="100" customFormat="false" ht="15" hidden="false" customHeight="true" outlineLevel="0" collapsed="false">
      <c r="A100" s="10" t="s">
        <v>143</v>
      </c>
      <c r="B100" s="11" t="n">
        <v>3.5</v>
      </c>
      <c r="C100" s="11" t="n">
        <v>99</v>
      </c>
      <c r="D100" s="11" t="n">
        <v>-8.3</v>
      </c>
      <c r="E100" s="11" t="n">
        <v>46</v>
      </c>
      <c r="F100" s="11" t="n">
        <v>38</v>
      </c>
      <c r="G100" s="11" t="n">
        <v>54</v>
      </c>
      <c r="H100" s="11" t="n">
        <v>3.5</v>
      </c>
      <c r="I100" s="11" t="n">
        <v>3.5</v>
      </c>
      <c r="J100" s="11" t="n">
        <v>0</v>
      </c>
      <c r="K100" s="11" t="n">
        <v>2.8</v>
      </c>
      <c r="L100" s="11" t="n">
        <f aca="false">IF(OR(K100="",B100=""),"",K100-B100)</f>
        <v>-0.7</v>
      </c>
      <c r="M100" s="11"/>
      <c r="N100" s="11"/>
      <c r="O100" s="12" t="s">
        <v>78</v>
      </c>
    </row>
    <row r="101" customFormat="false" ht="15" hidden="false" customHeight="true" outlineLevel="0" collapsed="false">
      <c r="A101" s="10" t="s">
        <v>144</v>
      </c>
      <c r="B101" s="11" t="n">
        <v>5.5</v>
      </c>
      <c r="C101" s="11" t="n">
        <v>100</v>
      </c>
      <c r="D101" s="11" t="n">
        <v>-8.3</v>
      </c>
      <c r="E101" s="11" t="n">
        <v>56</v>
      </c>
      <c r="F101" s="11" t="n">
        <v>64</v>
      </c>
      <c r="G101" s="11" t="n">
        <v>48</v>
      </c>
      <c r="H101" s="11" t="n">
        <v>6</v>
      </c>
      <c r="I101" s="11" t="n">
        <v>4.5</v>
      </c>
      <c r="J101" s="11" t="n">
        <v>1.5</v>
      </c>
      <c r="K101" s="11" t="n">
        <v>5</v>
      </c>
      <c r="L101" s="11" t="n">
        <f aca="false">IF(OR(K101="",B101=""),"",K101-B101)</f>
        <v>-0.5</v>
      </c>
      <c r="M101" s="11"/>
      <c r="N101" s="11"/>
      <c r="O101" s="12" t="s">
        <v>120</v>
      </c>
    </row>
    <row r="102" customFormat="false" ht="15" hidden="false" customHeight="true" outlineLevel="0" collapsed="false">
      <c r="A102" s="10" t="s">
        <v>145</v>
      </c>
      <c r="B102" s="11" t="n">
        <v>6.5</v>
      </c>
      <c r="C102" s="11" t="n">
        <v>101</v>
      </c>
      <c r="D102" s="11" t="n">
        <v>-8.5</v>
      </c>
      <c r="E102" s="11" t="n">
        <v>49</v>
      </c>
      <c r="F102" s="11" t="n">
        <v>52</v>
      </c>
      <c r="G102" s="11" t="n">
        <v>45</v>
      </c>
      <c r="H102" s="11" t="n">
        <v>1.5</v>
      </c>
      <c r="I102" s="11" t="n">
        <v>3.5</v>
      </c>
      <c r="J102" s="11" t="n">
        <v>-2</v>
      </c>
      <c r="K102" s="11" t="n">
        <v>6.5</v>
      </c>
      <c r="L102" s="11" t="n">
        <f aca="false">IF(OR(K102="",B102=""),"",K102-B102)</f>
        <v>0</v>
      </c>
      <c r="M102" s="11"/>
      <c r="N102" s="11"/>
      <c r="O102" s="12" t="s">
        <v>120</v>
      </c>
    </row>
    <row r="103" customFormat="false" ht="15" hidden="false" customHeight="true" outlineLevel="0" collapsed="false">
      <c r="A103" s="10" t="s">
        <v>146</v>
      </c>
      <c r="B103" s="11" t="n">
        <v>5.5</v>
      </c>
      <c r="C103" s="11" t="n">
        <v>102</v>
      </c>
      <c r="D103" s="11" t="n">
        <v>-8.7</v>
      </c>
      <c r="E103" s="11" t="n">
        <v>53</v>
      </c>
      <c r="F103" s="11" t="n">
        <v>62</v>
      </c>
      <c r="G103" s="11" t="n">
        <v>43</v>
      </c>
      <c r="H103" s="11" t="n">
        <v>-1</v>
      </c>
      <c r="I103" s="11" t="n">
        <v>-0.5</v>
      </c>
      <c r="J103" s="11" t="n">
        <v>-0.5</v>
      </c>
      <c r="K103" s="11"/>
      <c r="L103" s="11" t="str">
        <f aca="false">IF(OR(K103="",B103=""),"",K103-B103)</f>
        <v/>
      </c>
      <c r="M103" s="11"/>
      <c r="N103" s="11"/>
      <c r="O103" s="12" t="s">
        <v>105</v>
      </c>
    </row>
    <row r="104" customFormat="false" ht="15" hidden="false" customHeight="true" outlineLevel="0" collapsed="false">
      <c r="A104" s="10" t="s">
        <v>147</v>
      </c>
      <c r="B104" s="11" t="n">
        <v>4.5</v>
      </c>
      <c r="C104" s="11" t="n">
        <v>103</v>
      </c>
      <c r="D104" s="11" t="n">
        <v>-8.9</v>
      </c>
      <c r="E104" s="11" t="n">
        <v>43</v>
      </c>
      <c r="F104" s="11" t="n">
        <v>23</v>
      </c>
      <c r="G104" s="11" t="n">
        <v>62</v>
      </c>
      <c r="H104" s="11" t="n">
        <v>-4.5</v>
      </c>
      <c r="I104" s="11" t="n">
        <v>-5.5</v>
      </c>
      <c r="J104" s="11" t="n">
        <v>1</v>
      </c>
      <c r="K104" s="11" t="n">
        <v>4.2</v>
      </c>
      <c r="L104" s="11" t="n">
        <f aca="false">IF(OR(K104="",B104=""),"",K104-B104)</f>
        <v>-0.3</v>
      </c>
      <c r="M104" s="11"/>
      <c r="N104" s="11"/>
      <c r="O104" s="12" t="s">
        <v>120</v>
      </c>
    </row>
    <row r="105" customFormat="false" ht="15" hidden="false" customHeight="true" outlineLevel="0" collapsed="false">
      <c r="A105" s="10" t="s">
        <v>148</v>
      </c>
      <c r="B105" s="11" t="n">
        <v>7.5</v>
      </c>
      <c r="C105" s="11" t="n">
        <v>104</v>
      </c>
      <c r="D105" s="11" t="n">
        <v>-9.1</v>
      </c>
      <c r="E105" s="11" t="n">
        <v>49</v>
      </c>
      <c r="F105" s="11" t="n">
        <v>63</v>
      </c>
      <c r="G105" s="11" t="n">
        <v>35</v>
      </c>
      <c r="H105" s="11" t="n">
        <v>1.5</v>
      </c>
      <c r="I105" s="11" t="n">
        <v>3.5</v>
      </c>
      <c r="J105" s="11" t="n">
        <v>-2</v>
      </c>
      <c r="K105" s="11" t="n">
        <v>8</v>
      </c>
      <c r="L105" s="11" t="n">
        <f aca="false">IF(OR(K105="",B105=""),"",K105-B105)</f>
        <v>0.5</v>
      </c>
      <c r="M105" s="11"/>
      <c r="N105" s="11"/>
      <c r="O105" s="12" t="s">
        <v>120</v>
      </c>
    </row>
    <row r="106" customFormat="false" ht="15" hidden="false" customHeight="true" outlineLevel="0" collapsed="false">
      <c r="A106" s="10" t="s">
        <v>149</v>
      </c>
      <c r="B106" s="11" t="n">
        <v>6.5</v>
      </c>
      <c r="C106" s="11" t="n">
        <v>105</v>
      </c>
      <c r="D106" s="11" t="n">
        <v>-9.3</v>
      </c>
      <c r="E106" s="11" t="n">
        <v>49</v>
      </c>
      <c r="F106" s="11" t="n">
        <v>42</v>
      </c>
      <c r="G106" s="11" t="n">
        <v>55</v>
      </c>
      <c r="H106" s="11" t="n">
        <v>-4</v>
      </c>
      <c r="I106" s="11" t="n">
        <v>-3</v>
      </c>
      <c r="J106" s="11" t="n">
        <v>-1</v>
      </c>
      <c r="K106" s="11"/>
      <c r="L106" s="11" t="str">
        <f aca="false">IF(OR(K106="",B106=""),"",K106-B106)</f>
        <v/>
      </c>
      <c r="M106" s="11"/>
      <c r="N106" s="11"/>
      <c r="O106" s="12" t="s">
        <v>39</v>
      </c>
    </row>
    <row r="107" customFormat="false" ht="15" hidden="false" customHeight="true" outlineLevel="0" collapsed="false">
      <c r="A107" s="10" t="s">
        <v>150</v>
      </c>
      <c r="B107" s="11" t="n">
        <v>5.5</v>
      </c>
      <c r="C107" s="11" t="n">
        <v>106</v>
      </c>
      <c r="D107" s="11" t="n">
        <v>-9.6</v>
      </c>
      <c r="E107" s="11" t="n">
        <v>40</v>
      </c>
      <c r="F107" s="11" t="n">
        <v>43</v>
      </c>
      <c r="G107" s="11" t="n">
        <v>36</v>
      </c>
      <c r="H107" s="11" t="n">
        <v>-3</v>
      </c>
      <c r="I107" s="11" t="n">
        <v>0</v>
      </c>
      <c r="J107" s="11" t="n">
        <v>-3</v>
      </c>
      <c r="K107" s="11"/>
      <c r="L107" s="11" t="str">
        <f aca="false">IF(OR(K107="",B107=""),"",K107-B107)</f>
        <v/>
      </c>
      <c r="M107" s="11"/>
      <c r="N107" s="11"/>
      <c r="O107" s="12" t="s">
        <v>100</v>
      </c>
    </row>
    <row r="108" customFormat="false" ht="15" hidden="false" customHeight="true" outlineLevel="0" collapsed="false">
      <c r="A108" s="10" t="s">
        <v>151</v>
      </c>
      <c r="B108" s="11" t="n">
        <v>5.5</v>
      </c>
      <c r="C108" s="11" t="n">
        <v>107</v>
      </c>
      <c r="D108" s="11" t="n">
        <v>-11.2</v>
      </c>
      <c r="E108" s="11" t="n">
        <v>31</v>
      </c>
      <c r="F108" s="11" t="n">
        <v>25</v>
      </c>
      <c r="G108" s="11" t="n">
        <v>37</v>
      </c>
      <c r="H108" s="11" t="n">
        <v>-9.5</v>
      </c>
      <c r="I108" s="11" t="n">
        <v>-6</v>
      </c>
      <c r="J108" s="11" t="n">
        <v>-3.5</v>
      </c>
      <c r="K108" s="11"/>
      <c r="L108" s="11" t="str">
        <f aca="false">IF(OR(K108="",B108=""),"",K108-B108)</f>
        <v/>
      </c>
      <c r="M108" s="11"/>
      <c r="N108" s="11"/>
      <c r="O108" s="12" t="s">
        <v>39</v>
      </c>
    </row>
    <row r="109" customFormat="false" ht="15" hidden="false" customHeight="true" outlineLevel="0" collapsed="false">
      <c r="A109" s="10" t="s">
        <v>152</v>
      </c>
      <c r="B109" s="11" t="n">
        <v>7.5</v>
      </c>
      <c r="C109" s="11" t="n">
        <v>108</v>
      </c>
      <c r="D109" s="11" t="n">
        <v>-11.5</v>
      </c>
      <c r="E109" s="11" t="n">
        <v>33</v>
      </c>
      <c r="F109" s="11" t="n">
        <v>42</v>
      </c>
      <c r="G109" s="11" t="n">
        <v>25</v>
      </c>
      <c r="H109" s="11" t="n">
        <v>-9</v>
      </c>
      <c r="I109" s="11" t="n">
        <v>-4.5</v>
      </c>
      <c r="J109" s="11" t="n">
        <v>-4.5</v>
      </c>
      <c r="K109" s="11"/>
      <c r="L109" s="11" t="str">
        <f aca="false">IF(OR(K109="",B109=""),"",K109-B109)</f>
        <v/>
      </c>
      <c r="M109" s="11"/>
      <c r="N109" s="11"/>
      <c r="O109" s="12" t="s">
        <v>125</v>
      </c>
    </row>
    <row r="110" customFormat="false" ht="15" hidden="false" customHeight="true" outlineLevel="0" collapsed="false">
      <c r="A110" s="10" t="s">
        <v>153</v>
      </c>
      <c r="B110" s="11" t="n">
        <v>5.5</v>
      </c>
      <c r="C110" s="11" t="n">
        <v>109</v>
      </c>
      <c r="D110" s="11" t="n">
        <v>-11.8</v>
      </c>
      <c r="E110" s="11" t="n">
        <v>32</v>
      </c>
      <c r="F110" s="11" t="n">
        <v>28</v>
      </c>
      <c r="G110" s="11" t="n">
        <v>35</v>
      </c>
      <c r="H110" s="11" t="n">
        <v>-8</v>
      </c>
      <c r="I110" s="11" t="n">
        <v>-5</v>
      </c>
      <c r="J110" s="11" t="n">
        <v>-3</v>
      </c>
      <c r="K110" s="11"/>
      <c r="L110" s="11" t="str">
        <f aca="false">IF(OR(K110="",B110=""),"",K110-B110)</f>
        <v/>
      </c>
      <c r="M110" s="11"/>
      <c r="N110" s="11"/>
      <c r="O110" s="12" t="s">
        <v>105</v>
      </c>
    </row>
    <row r="111" customFormat="false" ht="15" hidden="false" customHeight="true" outlineLevel="0" collapsed="false">
      <c r="A111" s="10" t="s">
        <v>154</v>
      </c>
      <c r="B111" s="11" t="n">
        <v>5.5</v>
      </c>
      <c r="C111" s="11" t="n">
        <v>110</v>
      </c>
      <c r="D111" s="11" t="n">
        <v>-11.9</v>
      </c>
      <c r="E111" s="11" t="n">
        <v>30</v>
      </c>
      <c r="F111" s="11" t="n">
        <v>26</v>
      </c>
      <c r="G111" s="11" t="n">
        <v>33</v>
      </c>
      <c r="H111" s="11" t="n">
        <v>-7.5</v>
      </c>
      <c r="I111" s="11" t="n">
        <v>-6</v>
      </c>
      <c r="J111" s="11" t="n">
        <v>-1.5</v>
      </c>
      <c r="K111" s="11"/>
      <c r="L111" s="11" t="str">
        <f aca="false">IF(OR(K111="",B111=""),"",K111-B111)</f>
        <v/>
      </c>
      <c r="M111" s="11"/>
      <c r="N111" s="11"/>
      <c r="O111" s="12" t="s">
        <v>125</v>
      </c>
    </row>
    <row r="112" customFormat="false" ht="15" hidden="false" customHeight="true" outlineLevel="0" collapsed="false">
      <c r="A112" s="10" t="s">
        <v>155</v>
      </c>
      <c r="B112" s="11" t="n">
        <v>5.5</v>
      </c>
      <c r="C112" s="11" t="n">
        <v>111</v>
      </c>
      <c r="D112" s="11" t="n">
        <v>-12.1</v>
      </c>
      <c r="E112" s="11" t="n">
        <v>34</v>
      </c>
      <c r="F112" s="11" t="n">
        <v>30</v>
      </c>
      <c r="G112" s="11" t="n">
        <v>39</v>
      </c>
      <c r="H112" s="11" t="n">
        <v>-3</v>
      </c>
      <c r="I112" s="11" t="n">
        <v>-3</v>
      </c>
      <c r="J112" s="11" t="n">
        <v>0</v>
      </c>
      <c r="K112" s="11" t="n">
        <v>5</v>
      </c>
      <c r="L112" s="11" t="n">
        <f aca="false">IF(OR(K112="",B112=""),"",K112-B112)</f>
        <v>-0.5</v>
      </c>
      <c r="M112" s="11"/>
      <c r="N112" s="11"/>
      <c r="O112" s="12" t="s">
        <v>120</v>
      </c>
    </row>
    <row r="113" customFormat="false" ht="15" hidden="false" customHeight="true" outlineLevel="0" collapsed="false">
      <c r="A113" s="10" t="s">
        <v>156</v>
      </c>
      <c r="B113" s="11" t="n">
        <v>4.5</v>
      </c>
      <c r="C113" s="11" t="n">
        <v>112</v>
      </c>
      <c r="D113" s="11" t="n">
        <v>-12.2</v>
      </c>
      <c r="E113" s="11" t="n">
        <v>48</v>
      </c>
      <c r="F113" s="11" t="n">
        <v>57</v>
      </c>
      <c r="G113" s="11" t="n">
        <v>39</v>
      </c>
      <c r="H113" s="11" t="n">
        <v>-3</v>
      </c>
      <c r="I113" s="11" t="n">
        <v>-3</v>
      </c>
      <c r="J113" s="11" t="n">
        <v>0</v>
      </c>
      <c r="K113" s="11"/>
      <c r="L113" s="11" t="str">
        <f aca="false">IF(OR(K113="",B113=""),"",K113-B113)</f>
        <v/>
      </c>
      <c r="M113" s="11"/>
      <c r="N113" s="11"/>
      <c r="O113" s="12" t="s">
        <v>100</v>
      </c>
    </row>
    <row r="114" customFormat="false" ht="15" hidden="false" customHeight="true" outlineLevel="0" collapsed="false">
      <c r="A114" s="10" t="s">
        <v>157</v>
      </c>
      <c r="B114" s="11" t="n">
        <v>6.5</v>
      </c>
      <c r="C114" s="11" t="n">
        <v>113</v>
      </c>
      <c r="D114" s="11" t="n">
        <v>-12.4</v>
      </c>
      <c r="E114" s="11" t="n">
        <v>46</v>
      </c>
      <c r="F114" s="11" t="n">
        <v>62</v>
      </c>
      <c r="G114" s="11" t="n">
        <v>29</v>
      </c>
      <c r="H114" s="11" t="n">
        <v>0.5</v>
      </c>
      <c r="I114" s="11" t="n">
        <v>3</v>
      </c>
      <c r="J114" s="11" t="n">
        <v>-2.5</v>
      </c>
      <c r="K114" s="11"/>
      <c r="L114" s="11" t="str">
        <f aca="false">IF(OR(K114="",B114=""),"",K114-B114)</f>
        <v/>
      </c>
      <c r="M114" s="11"/>
      <c r="N114" s="11"/>
      <c r="O114" s="12" t="s">
        <v>125</v>
      </c>
    </row>
    <row r="115" customFormat="false" ht="15" hidden="false" customHeight="true" outlineLevel="0" collapsed="false">
      <c r="A115" s="10" t="s">
        <v>158</v>
      </c>
      <c r="B115" s="11" t="n">
        <v>6.5</v>
      </c>
      <c r="C115" s="11" t="n">
        <v>114</v>
      </c>
      <c r="D115" s="11" t="n">
        <v>-13</v>
      </c>
      <c r="E115" s="11" t="n">
        <v>62</v>
      </c>
      <c r="F115" s="11" t="n">
        <v>62</v>
      </c>
      <c r="G115" s="11" t="n">
        <v>62</v>
      </c>
      <c r="H115" s="11" t="n">
        <v>-0.5</v>
      </c>
      <c r="I115" s="11" t="n">
        <v>0.5</v>
      </c>
      <c r="J115" s="11" t="n">
        <v>-1</v>
      </c>
      <c r="K115" s="11"/>
      <c r="L115" s="11" t="str">
        <f aca="false">IF(OR(K115="",B115=""),"",K115-B115)</f>
        <v/>
      </c>
      <c r="M115" s="11"/>
      <c r="N115" s="11"/>
      <c r="O115" s="12" t="s">
        <v>39</v>
      </c>
    </row>
    <row r="116" customFormat="false" ht="15" hidden="false" customHeight="true" outlineLevel="0" collapsed="false">
      <c r="A116" s="10" t="s">
        <v>159</v>
      </c>
      <c r="B116" s="11" t="n">
        <v>4.5</v>
      </c>
      <c r="C116" s="11" t="n">
        <v>115</v>
      </c>
      <c r="D116" s="11" t="n">
        <v>-13.3</v>
      </c>
      <c r="E116" s="11" t="n">
        <v>35</v>
      </c>
      <c r="F116" s="11" t="n">
        <v>32</v>
      </c>
      <c r="G116" s="11" t="n">
        <v>38</v>
      </c>
      <c r="H116" s="11" t="n">
        <v>-5.5</v>
      </c>
      <c r="I116" s="11" t="n">
        <v>-4.5</v>
      </c>
      <c r="J116" s="11" t="n">
        <v>-1</v>
      </c>
      <c r="K116" s="11"/>
      <c r="L116" s="11" t="str">
        <f aca="false">IF(OR(K116="",B116=""),"",K116-B116)</f>
        <v/>
      </c>
      <c r="M116" s="11"/>
      <c r="N116" s="11"/>
      <c r="O116" s="12" t="s">
        <v>125</v>
      </c>
    </row>
    <row r="117" customFormat="false" ht="15" hidden="false" customHeight="true" outlineLevel="0" collapsed="false">
      <c r="A117" s="10" t="s">
        <v>160</v>
      </c>
      <c r="B117" s="11" t="n">
        <v>5.5</v>
      </c>
      <c r="C117" s="11" t="n">
        <v>116</v>
      </c>
      <c r="D117" s="11" t="n">
        <v>-13.3</v>
      </c>
      <c r="E117" s="11" t="n">
        <v>44</v>
      </c>
      <c r="F117" s="11" t="n">
        <v>51</v>
      </c>
      <c r="G117" s="11" t="n">
        <v>37</v>
      </c>
      <c r="H117" s="11" t="n">
        <v>1</v>
      </c>
      <c r="I117" s="11" t="n">
        <v>1</v>
      </c>
      <c r="J117" s="11" t="n">
        <v>0</v>
      </c>
      <c r="K117" s="11" t="n">
        <v>5.6</v>
      </c>
      <c r="L117" s="11" t="n">
        <f aca="false">IF(OR(K117="",B117=""),"",K117-B117)</f>
        <v>0.0999999999999996</v>
      </c>
      <c r="M117" s="11"/>
      <c r="N117" s="11"/>
      <c r="O117" s="12" t="s">
        <v>120</v>
      </c>
    </row>
    <row r="118" customFormat="false" ht="15" hidden="false" customHeight="true" outlineLevel="0" collapsed="false">
      <c r="A118" s="10" t="s">
        <v>161</v>
      </c>
      <c r="B118" s="11" t="n">
        <v>6.5</v>
      </c>
      <c r="C118" s="11" t="n">
        <v>117</v>
      </c>
      <c r="D118" s="11" t="n">
        <v>-13.6</v>
      </c>
      <c r="E118" s="11" t="n">
        <v>33</v>
      </c>
      <c r="F118" s="11" t="n">
        <v>18</v>
      </c>
      <c r="G118" s="11" t="n">
        <v>48</v>
      </c>
      <c r="H118" s="11" t="n">
        <v>-2.5</v>
      </c>
      <c r="I118" s="11" t="n">
        <v>-4.5</v>
      </c>
      <c r="J118" s="11" t="n">
        <v>2</v>
      </c>
      <c r="K118" s="11"/>
      <c r="L118" s="11" t="str">
        <f aca="false">IF(OR(K118="",B118=""),"",K118-B118)</f>
        <v/>
      </c>
      <c r="M118" s="11"/>
      <c r="N118" s="11"/>
      <c r="O118" s="12" t="s">
        <v>125</v>
      </c>
    </row>
    <row r="119" customFormat="false" ht="15" hidden="false" customHeight="true" outlineLevel="0" collapsed="false">
      <c r="A119" s="10" t="s">
        <v>162</v>
      </c>
      <c r="B119" s="11" t="n">
        <v>6.5</v>
      </c>
      <c r="C119" s="11" t="n">
        <v>118</v>
      </c>
      <c r="D119" s="11" t="n">
        <v>-13.7</v>
      </c>
      <c r="E119" s="11" t="n">
        <v>47</v>
      </c>
      <c r="F119" s="11" t="n">
        <v>43</v>
      </c>
      <c r="G119" s="11" t="n">
        <v>50</v>
      </c>
      <c r="H119" s="11" t="n">
        <v>4</v>
      </c>
      <c r="I119" s="11" t="n">
        <v>2</v>
      </c>
      <c r="J119" s="11" t="n">
        <v>2</v>
      </c>
      <c r="K119" s="11"/>
      <c r="L119" s="11" t="str">
        <f aca="false">IF(OR(K119="",B119=""),"",K119-B119)</f>
        <v/>
      </c>
      <c r="M119" s="11"/>
      <c r="N119" s="11"/>
      <c r="O119" s="12" t="s">
        <v>39</v>
      </c>
    </row>
    <row r="120" customFormat="false" ht="15" hidden="false" customHeight="true" outlineLevel="0" collapsed="false">
      <c r="A120" s="10" t="s">
        <v>163</v>
      </c>
      <c r="B120" s="11" t="n">
        <v>4.5</v>
      </c>
      <c r="C120" s="11" t="n">
        <v>119</v>
      </c>
      <c r="D120" s="11" t="n">
        <v>-13.8</v>
      </c>
      <c r="E120" s="11" t="n">
        <v>42</v>
      </c>
      <c r="F120" s="11" t="n">
        <v>39</v>
      </c>
      <c r="G120" s="11" t="n">
        <v>44</v>
      </c>
      <c r="H120" s="11" t="n">
        <v>0.5</v>
      </c>
      <c r="I120" s="11" t="n">
        <v>1.5</v>
      </c>
      <c r="J120" s="11" t="n">
        <v>-1</v>
      </c>
      <c r="K120" s="11" t="n">
        <v>4.2</v>
      </c>
      <c r="L120" s="11" t="n">
        <f aca="false">IF(OR(K120="",B120=""),"",K120-B120)</f>
        <v>-0.3</v>
      </c>
      <c r="M120" s="11"/>
      <c r="N120" s="11"/>
      <c r="O120" s="12" t="s">
        <v>120</v>
      </c>
    </row>
    <row r="121" customFormat="false" ht="15" hidden="false" customHeight="true" outlineLevel="0" collapsed="false">
      <c r="A121" s="10" t="s">
        <v>164</v>
      </c>
      <c r="B121" s="11" t="n">
        <v>3.5</v>
      </c>
      <c r="C121" s="11" t="n">
        <v>120</v>
      </c>
      <c r="D121" s="11" t="n">
        <v>-14.7</v>
      </c>
      <c r="E121" s="11" t="n">
        <v>39</v>
      </c>
      <c r="F121" s="11" t="n">
        <v>40</v>
      </c>
      <c r="G121" s="11" t="n">
        <v>38</v>
      </c>
      <c r="H121" s="11" t="n">
        <v>2.5</v>
      </c>
      <c r="I121" s="11" t="n">
        <v>3.5</v>
      </c>
      <c r="J121" s="11" t="n">
        <v>-1</v>
      </c>
      <c r="K121" s="11"/>
      <c r="L121" s="11" t="str">
        <f aca="false">IF(OR(K121="",B121=""),"",K121-B121)</f>
        <v/>
      </c>
      <c r="M121" s="11"/>
      <c r="N121" s="11"/>
      <c r="O121" s="12" t="s">
        <v>105</v>
      </c>
    </row>
    <row r="122" customFormat="false" ht="15" hidden="false" customHeight="true" outlineLevel="0" collapsed="false">
      <c r="A122" s="10" t="s">
        <v>165</v>
      </c>
      <c r="B122" s="11" t="n">
        <v>5.5</v>
      </c>
      <c r="C122" s="11" t="n">
        <v>121</v>
      </c>
      <c r="D122" s="11" t="n">
        <v>-15</v>
      </c>
      <c r="E122" s="11" t="n">
        <v>62</v>
      </c>
      <c r="F122" s="11" t="n">
        <v>59</v>
      </c>
      <c r="G122" s="11" t="n">
        <v>64</v>
      </c>
      <c r="H122" s="11" t="n">
        <v>-6</v>
      </c>
      <c r="I122" s="11" t="n">
        <v>-4.5</v>
      </c>
      <c r="J122" s="11" t="n">
        <v>-1.5</v>
      </c>
      <c r="K122" s="11"/>
      <c r="L122" s="11" t="str">
        <f aca="false">IF(OR(K122="",B122=""),"",K122-B122)</f>
        <v/>
      </c>
      <c r="M122" s="11"/>
      <c r="N122" s="11"/>
      <c r="O122" s="12" t="s">
        <v>125</v>
      </c>
    </row>
    <row r="123" customFormat="false" ht="15" hidden="false" customHeight="true" outlineLevel="0" collapsed="false">
      <c r="A123" s="10" t="s">
        <v>166</v>
      </c>
      <c r="B123" s="11" t="n">
        <v>4.5</v>
      </c>
      <c r="C123" s="11" t="n">
        <v>122</v>
      </c>
      <c r="D123" s="11" t="n">
        <v>-15.5</v>
      </c>
      <c r="E123" s="11" t="n">
        <v>24</v>
      </c>
      <c r="F123" s="11" t="n">
        <v>24</v>
      </c>
      <c r="G123" s="11" t="n">
        <v>23</v>
      </c>
      <c r="H123" s="11" t="n">
        <v>-8.5</v>
      </c>
      <c r="I123" s="11" t="n">
        <v>-5</v>
      </c>
      <c r="J123" s="11" t="n">
        <v>-3.5</v>
      </c>
      <c r="K123" s="11"/>
      <c r="L123" s="11" t="str">
        <f aca="false">IF(OR(K123="",B123=""),"",K123-B123)</f>
        <v/>
      </c>
      <c r="M123" s="11"/>
      <c r="N123" s="11"/>
      <c r="O123" s="12" t="s">
        <v>100</v>
      </c>
    </row>
    <row r="124" customFormat="false" ht="15" hidden="false" customHeight="true" outlineLevel="0" collapsed="false">
      <c r="A124" s="10" t="s">
        <v>167</v>
      </c>
      <c r="B124" s="11" t="n">
        <v>4.5</v>
      </c>
      <c r="C124" s="11" t="n">
        <v>123</v>
      </c>
      <c r="D124" s="11" t="n">
        <v>-16.4</v>
      </c>
      <c r="E124" s="11" t="n">
        <v>51</v>
      </c>
      <c r="F124" s="11" t="n">
        <v>46</v>
      </c>
      <c r="G124" s="11" t="n">
        <v>55</v>
      </c>
      <c r="H124" s="11" t="n">
        <v>-2</v>
      </c>
      <c r="I124" s="11" t="n">
        <v>-3.5</v>
      </c>
      <c r="J124" s="11" t="n">
        <v>1.5</v>
      </c>
      <c r="K124" s="11"/>
      <c r="L124" s="11" t="str">
        <f aca="false">IF(OR(K124="",B124=""),"",K124-B124)</f>
        <v/>
      </c>
      <c r="M124" s="11"/>
      <c r="N124" s="11"/>
      <c r="O124" s="12" t="s">
        <v>39</v>
      </c>
    </row>
    <row r="125" customFormat="false" ht="15" hidden="false" customHeight="true" outlineLevel="0" collapsed="false">
      <c r="A125" s="10" t="s">
        <v>168</v>
      </c>
      <c r="B125" s="11" t="n">
        <v>3.5</v>
      </c>
      <c r="C125" s="11" t="n">
        <v>124</v>
      </c>
      <c r="D125" s="11" t="n">
        <v>-18.1</v>
      </c>
      <c r="E125" s="11" t="n">
        <v>35</v>
      </c>
      <c r="F125" s="11" t="n">
        <v>32</v>
      </c>
      <c r="G125" s="11" t="n">
        <v>38</v>
      </c>
      <c r="H125" s="11" t="n">
        <v>-3.5</v>
      </c>
      <c r="I125" s="11" t="n">
        <v>-3</v>
      </c>
      <c r="J125" s="11" t="n">
        <v>-0.5</v>
      </c>
      <c r="K125" s="11"/>
      <c r="L125" s="11" t="str">
        <f aca="false">IF(OR(K125="",B125=""),"",K125-B125)</f>
        <v/>
      </c>
      <c r="M125" s="11"/>
      <c r="N125" s="11"/>
      <c r="O125" s="12" t="s">
        <v>105</v>
      </c>
    </row>
    <row r="126" customFormat="false" ht="15" hidden="false" customHeight="true" outlineLevel="0" collapsed="false">
      <c r="A126" s="10" t="s">
        <v>169</v>
      </c>
      <c r="B126" s="11" t="n">
        <v>3.5</v>
      </c>
      <c r="C126" s="11" t="n">
        <v>125</v>
      </c>
      <c r="D126" s="11" t="n">
        <v>-18.2</v>
      </c>
      <c r="E126" s="11" t="n">
        <v>48</v>
      </c>
      <c r="F126" s="11" t="n">
        <v>68</v>
      </c>
      <c r="G126" s="11" t="n">
        <v>28</v>
      </c>
      <c r="H126" s="11" t="n">
        <v>2.5</v>
      </c>
      <c r="I126" s="11" t="n">
        <v>5</v>
      </c>
      <c r="J126" s="11" t="n">
        <v>-2.5</v>
      </c>
      <c r="K126" s="11"/>
      <c r="L126" s="11" t="str">
        <f aca="false">IF(OR(K126="",B126=""),"",K126-B126)</f>
        <v/>
      </c>
      <c r="M126" s="11"/>
      <c r="N126" s="11"/>
      <c r="O126" s="12" t="s">
        <v>100</v>
      </c>
    </row>
    <row r="127" customFormat="false" ht="15" hidden="false" customHeight="true" outlineLevel="0" collapsed="false">
      <c r="A127" s="10" t="s">
        <v>170</v>
      </c>
      <c r="B127" s="11" t="n">
        <v>4.5</v>
      </c>
      <c r="C127" s="11" t="n">
        <v>126</v>
      </c>
      <c r="D127" s="11" t="n">
        <v>-18.7</v>
      </c>
      <c r="E127" s="11" t="n">
        <v>34</v>
      </c>
      <c r="F127" s="11" t="n">
        <v>25</v>
      </c>
      <c r="G127" s="11" t="n">
        <v>44</v>
      </c>
      <c r="H127" s="11" t="n">
        <v>-3</v>
      </c>
      <c r="I127" s="11" t="n">
        <v>-2</v>
      </c>
      <c r="J127" s="11" t="n">
        <v>-1</v>
      </c>
      <c r="K127" s="11"/>
      <c r="L127" s="11" t="str">
        <f aca="false">IF(OR(K127="",B127=""),"",K127-B127)</f>
        <v/>
      </c>
      <c r="M127" s="11"/>
      <c r="N127" s="11"/>
      <c r="O127" s="12" t="s">
        <v>39</v>
      </c>
    </row>
    <row r="128" customFormat="false" ht="15" hidden="false" customHeight="true" outlineLevel="0" collapsed="false">
      <c r="A128" s="10" t="s">
        <v>171</v>
      </c>
      <c r="B128" s="11" t="n">
        <v>4.5</v>
      </c>
      <c r="C128" s="11" t="n">
        <v>127</v>
      </c>
      <c r="D128" s="11" t="n">
        <v>-19.5</v>
      </c>
      <c r="E128" s="11" t="n">
        <v>40</v>
      </c>
      <c r="F128" s="11" t="n">
        <v>44</v>
      </c>
      <c r="G128" s="11" t="n">
        <v>37</v>
      </c>
      <c r="H128" s="11" t="n">
        <v>-0.5</v>
      </c>
      <c r="I128" s="11" t="n">
        <v>-3</v>
      </c>
      <c r="J128" s="11" t="n">
        <v>2.5</v>
      </c>
      <c r="K128" s="11"/>
      <c r="L128" s="11" t="str">
        <f aca="false">IF(OR(K128="",B128=""),"",K128-B128)</f>
        <v/>
      </c>
      <c r="M128" s="11"/>
      <c r="N128" s="11"/>
      <c r="O128" s="12" t="s">
        <v>125</v>
      </c>
    </row>
    <row r="129" customFormat="false" ht="15" hidden="false" customHeight="true" outlineLevel="0" collapsed="false">
      <c r="A129" s="10" t="s">
        <v>172</v>
      </c>
      <c r="B129" s="11" t="n">
        <v>3.5</v>
      </c>
      <c r="C129" s="11" t="n">
        <v>128</v>
      </c>
      <c r="D129" s="11" t="n">
        <v>-20.1</v>
      </c>
      <c r="E129" s="11" t="n">
        <v>48</v>
      </c>
      <c r="F129" s="11" t="n">
        <v>57</v>
      </c>
      <c r="G129" s="11" t="n">
        <v>39</v>
      </c>
      <c r="H129" s="11" t="n">
        <v>7.5</v>
      </c>
      <c r="I129" s="11" t="n">
        <v>3.5</v>
      </c>
      <c r="J129" s="11" t="n">
        <v>4</v>
      </c>
      <c r="K129" s="11"/>
      <c r="L129" s="11" t="str">
        <f aca="false">IF(OR(K129="",B129=""),"",K129-B129)</f>
        <v/>
      </c>
      <c r="M129" s="11"/>
      <c r="N129" s="11"/>
      <c r="O129" s="12" t="s">
        <v>125</v>
      </c>
    </row>
    <row r="130" customFormat="false" ht="15" hidden="false" customHeight="true" outlineLevel="0" collapsed="false">
      <c r="A130" s="10" t="s">
        <v>173</v>
      </c>
      <c r="B130" s="11" t="n">
        <v>3.5</v>
      </c>
      <c r="C130" s="11" t="n">
        <v>129</v>
      </c>
      <c r="D130" s="11" t="n">
        <v>-20.5</v>
      </c>
      <c r="E130" s="11" t="n">
        <v>35</v>
      </c>
      <c r="F130" s="11" t="n">
        <v>27</v>
      </c>
      <c r="G130" s="11" t="n">
        <v>43</v>
      </c>
      <c r="H130" s="11" t="n">
        <v>-2</v>
      </c>
      <c r="I130" s="11" t="n">
        <v>-1</v>
      </c>
      <c r="J130" s="11" t="n">
        <v>-1</v>
      </c>
      <c r="K130" s="11"/>
      <c r="L130" s="11" t="str">
        <f aca="false">IF(OR(K130="",B130=""),"",K130-B130)</f>
        <v/>
      </c>
      <c r="M130" s="11"/>
      <c r="N130" s="11"/>
      <c r="O130" s="12" t="s">
        <v>100</v>
      </c>
    </row>
    <row r="131" customFormat="false" ht="15" hidden="false" customHeight="true" outlineLevel="0" collapsed="false">
      <c r="A131" s="10" t="s">
        <v>174</v>
      </c>
      <c r="B131" s="11" t="n">
        <v>4.5</v>
      </c>
      <c r="C131" s="11" t="n">
        <v>130</v>
      </c>
      <c r="D131" s="11" t="n">
        <v>-22.7</v>
      </c>
      <c r="E131" s="11" t="n">
        <v>32</v>
      </c>
      <c r="F131" s="11" t="n">
        <v>21</v>
      </c>
      <c r="G131" s="11" t="n">
        <v>42</v>
      </c>
      <c r="H131" s="11"/>
      <c r="I131" s="11"/>
      <c r="J131" s="11"/>
      <c r="K131" s="11"/>
      <c r="L131" s="11" t="str">
        <f aca="false">IF(OR(K131="",B131=""),"",K131-B131)</f>
        <v/>
      </c>
      <c r="M131" s="11"/>
      <c r="N131" s="11"/>
      <c r="O131" s="12" t="s">
        <v>125</v>
      </c>
    </row>
    <row r="132" customFormat="false" ht="15" hidden="false" customHeight="true" outlineLevel="0" collapsed="false">
      <c r="A132" s="10" t="s">
        <v>175</v>
      </c>
      <c r="B132" s="11" t="n">
        <v>3.5</v>
      </c>
      <c r="C132" s="11" t="n">
        <v>131</v>
      </c>
      <c r="D132" s="11" t="n">
        <v>-23.3</v>
      </c>
      <c r="E132" s="11" t="n">
        <v>22</v>
      </c>
      <c r="F132" s="11" t="n">
        <v>23</v>
      </c>
      <c r="G132" s="11" t="n">
        <v>20</v>
      </c>
      <c r="H132" s="11" t="n">
        <v>-6.5</v>
      </c>
      <c r="I132" s="11" t="n">
        <v>-5.5</v>
      </c>
      <c r="J132" s="11" t="n">
        <v>-1</v>
      </c>
      <c r="K132" s="11" t="n">
        <v>3</v>
      </c>
      <c r="L132" s="11" t="n">
        <f aca="false">IF(OR(K132="",B132=""),"",K132-B132)</f>
        <v>-0.5</v>
      </c>
      <c r="M132" s="11"/>
      <c r="N132" s="11"/>
      <c r="O132" s="12" t="s">
        <v>120</v>
      </c>
    </row>
    <row r="133" customFormat="false" ht="15" hidden="false" customHeight="true" outlineLevel="0" collapsed="false">
      <c r="A133" s="10" t="s">
        <v>176</v>
      </c>
      <c r="B133" s="11" t="n">
        <v>3.5</v>
      </c>
      <c r="C133" s="11" t="n">
        <v>132</v>
      </c>
      <c r="D133" s="11" t="n">
        <v>-24.3</v>
      </c>
      <c r="E133" s="11" t="n">
        <v>51</v>
      </c>
      <c r="F133" s="11" t="n">
        <v>63</v>
      </c>
      <c r="G133" s="11" t="n">
        <v>40</v>
      </c>
      <c r="H133" s="11" t="n">
        <v>3</v>
      </c>
      <c r="I133" s="11" t="n">
        <v>4</v>
      </c>
      <c r="J133" s="11" t="n">
        <v>-1</v>
      </c>
      <c r="K133" s="11" t="n">
        <v>3</v>
      </c>
      <c r="L133" s="11" t="n">
        <f aca="false">IF(OR(K133="",B133=""),"",K133-B133)</f>
        <v>-0.5</v>
      </c>
      <c r="M133" s="11"/>
      <c r="N133" s="11"/>
      <c r="O133" s="12" t="s">
        <v>120</v>
      </c>
    </row>
    <row r="134" customFormat="false" ht="15" hidden="false" customHeight="true" outlineLevel="0" collapsed="false">
      <c r="A134" s="10" t="s">
        <v>177</v>
      </c>
      <c r="B134" s="11" t="n">
        <v>4.5</v>
      </c>
      <c r="C134" s="11" t="n">
        <v>133</v>
      </c>
      <c r="D134" s="11" t="n">
        <v>-25.1</v>
      </c>
      <c r="E134" s="11" t="n">
        <v>38</v>
      </c>
      <c r="F134" s="11" t="n">
        <v>48</v>
      </c>
      <c r="G134" s="11" t="n">
        <v>27</v>
      </c>
      <c r="H134" s="11" t="n">
        <v>1.5</v>
      </c>
      <c r="I134" s="11" t="n">
        <v>0</v>
      </c>
      <c r="J134" s="11" t="n">
        <v>1.5</v>
      </c>
      <c r="K134" s="11" t="n">
        <v>3.9</v>
      </c>
      <c r="L134" s="11" t="n">
        <f aca="false">IF(OR(K134="",B134=""),"",K134-B134)</f>
        <v>-0.6</v>
      </c>
      <c r="M134" s="11"/>
      <c r="N134" s="11"/>
      <c r="O134" s="12" t="s">
        <v>120</v>
      </c>
    </row>
    <row r="135" customFormat="false" ht="15" hidden="false" customHeight="true" outlineLevel="0" collapsed="false">
      <c r="A135" s="10" t="s">
        <v>178</v>
      </c>
      <c r="B135" s="11" t="n">
        <v>3.5</v>
      </c>
      <c r="C135" s="11" t="n">
        <v>134</v>
      </c>
      <c r="D135" s="11" t="n">
        <v>-25.2</v>
      </c>
      <c r="E135" s="11" t="n">
        <v>36</v>
      </c>
      <c r="F135" s="11" t="n">
        <v>47</v>
      </c>
      <c r="G135" s="11" t="n">
        <v>24</v>
      </c>
      <c r="H135" s="11" t="n">
        <v>-3.5</v>
      </c>
      <c r="I135" s="11" t="n">
        <v>-2.5</v>
      </c>
      <c r="J135" s="11" t="n">
        <v>-1</v>
      </c>
      <c r="K135" s="11"/>
      <c r="L135" s="11" t="str">
        <f aca="false">IF(OR(K135="",B135=""),"",K135-B135)</f>
        <v/>
      </c>
      <c r="M135" s="11"/>
      <c r="N135" s="11"/>
      <c r="O135" s="12" t="s">
        <v>125</v>
      </c>
    </row>
    <row r="136" customFormat="false" ht="15" hidden="false" customHeight="true" outlineLevel="0" collapsed="false">
      <c r="A136" s="10" t="s">
        <v>179</v>
      </c>
      <c r="B136" s="11" t="n">
        <v>3.5</v>
      </c>
      <c r="C136" s="11" t="n">
        <v>135</v>
      </c>
      <c r="D136" s="11" t="n">
        <v>-26</v>
      </c>
      <c r="E136" s="11" t="n">
        <v>36</v>
      </c>
      <c r="F136" s="11" t="n">
        <v>34</v>
      </c>
      <c r="G136" s="11" t="n">
        <v>37</v>
      </c>
      <c r="H136" s="11" t="n">
        <v>-3.5</v>
      </c>
      <c r="I136" s="11" t="n">
        <v>-3</v>
      </c>
      <c r="J136" s="11" t="n">
        <v>-0.5</v>
      </c>
      <c r="K136" s="11"/>
      <c r="L136" s="11" t="str">
        <f aca="false">IF(OR(K136="",B136=""),"",K136-B136)</f>
        <v/>
      </c>
      <c r="M136" s="11"/>
      <c r="N136" s="11"/>
      <c r="O136" s="12" t="s">
        <v>39</v>
      </c>
    </row>
    <row r="137" customFormat="false" ht="15" hidden="false" customHeight="true" outlineLevel="0" collapsed="false">
      <c r="A137" s="10" t="s">
        <v>180</v>
      </c>
      <c r="B137" s="11" t="n">
        <v>3.5</v>
      </c>
      <c r="C137" s="11" t="n">
        <v>136</v>
      </c>
      <c r="D137" s="11" t="n">
        <v>-26.3</v>
      </c>
      <c r="E137" s="11" t="n">
        <v>49</v>
      </c>
      <c r="F137" s="11" t="n">
        <v>52</v>
      </c>
      <c r="G137" s="11" t="n">
        <v>46</v>
      </c>
      <c r="H137" s="11" t="n">
        <v>-1.5</v>
      </c>
      <c r="I137" s="11" t="n">
        <v>-0.5</v>
      </c>
      <c r="J137" s="11" t="n">
        <v>-1</v>
      </c>
      <c r="K137" s="11"/>
      <c r="L137" s="11" t="str">
        <f aca="false">IF(OR(K137="",B137=""),"",K137-B137)</f>
        <v/>
      </c>
      <c r="M137" s="11"/>
      <c r="N137" s="11"/>
      <c r="O137" s="12" t="s">
        <v>39</v>
      </c>
    </row>
    <row r="138" customFormat="false" ht="15" hidden="false" customHeight="true" outlineLevel="0" collapsed="false">
      <c r="A138" s="10" t="s">
        <v>181</v>
      </c>
      <c r="B138" s="11" t="n">
        <v>2.5</v>
      </c>
      <c r="C138" s="11" t="n">
        <v>137</v>
      </c>
      <c r="D138" s="11" t="n">
        <v>-30.9</v>
      </c>
      <c r="E138" s="11" t="n">
        <v>46</v>
      </c>
      <c r="F138" s="11" t="n">
        <v>49</v>
      </c>
      <c r="G138" s="11" t="n">
        <v>43</v>
      </c>
      <c r="H138" s="11" t="n">
        <v>0.5</v>
      </c>
      <c r="I138" s="11" t="n">
        <v>0.5</v>
      </c>
      <c r="J138" s="11" t="n">
        <v>0</v>
      </c>
      <c r="K138" s="11"/>
      <c r="L138" s="11" t="str">
        <f aca="false">IF(OR(K138="",B138=""),"",K138-B138)</f>
        <v/>
      </c>
      <c r="M138" s="11"/>
      <c r="N138" s="11"/>
      <c r="O138" s="12" t="s">
        <v>125</v>
      </c>
    </row>
    <row r="139" customFormat="false" ht="15" hidden="false" customHeight="true" outlineLevel="0" collapsed="false">
      <c r="A139" s="10" t="s">
        <v>182</v>
      </c>
      <c r="B139" s="11" t="n">
        <v>2.5</v>
      </c>
      <c r="C139" s="11" t="n">
        <v>138</v>
      </c>
      <c r="D139" s="11" t="n">
        <v>-32.4</v>
      </c>
      <c r="E139" s="11" t="n">
        <v>43</v>
      </c>
      <c r="F139" s="11" t="n">
        <v>52</v>
      </c>
      <c r="G139" s="11" t="n">
        <v>34</v>
      </c>
      <c r="H139" s="11" t="n">
        <v>-1</v>
      </c>
      <c r="I139" s="11" t="n">
        <v>0</v>
      </c>
      <c r="J139" s="11" t="n">
        <v>-1</v>
      </c>
      <c r="K139" s="11"/>
      <c r="L139" s="11" t="str">
        <f aca="false">IF(OR(K139="",B139=""),"",K139-B139)</f>
        <v/>
      </c>
      <c r="M139" s="11"/>
      <c r="N139" s="11"/>
      <c r="O139" s="12" t="s">
        <v>105</v>
      </c>
    </row>
  </sheetData>
  <autoFilter ref="A1:N1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5" min="3" style="1" width="16"/>
    <col collapsed="false" customWidth="true" hidden="false" outlineLevel="0" max="6" min="6" style="1" width="11"/>
    <col collapsed="false" customWidth="true" hidden="false" outlineLevel="0" max="7" min="7" style="1" width="9"/>
    <col collapsed="false" customWidth="true" hidden="false" outlineLevel="0" max="9" min="8" style="1" width="6"/>
    <col collapsed="false" customWidth="true" hidden="false" outlineLevel="0" max="10" min="10" style="1" width="7"/>
    <col collapsed="false" customWidth="true" hidden="false" outlineLevel="0" max="11" min="11" style="1" width="10"/>
    <col collapsed="false" customWidth="true" hidden="false" outlineLevel="0" max="12" min="12" style="1" width="40"/>
    <col collapsed="false" customWidth="true" hidden="false" outlineLevel="0" max="13" min="13" style="1" width="20"/>
    <col collapsed="false" customWidth="true" hidden="false" outlineLevel="0" max="14" min="14" style="1" width="70"/>
  </cols>
  <sheetData>
    <row r="1" customFormat="false" ht="15" hidden="false" customHeight="true" outlineLevel="0" collapsed="false">
      <c r="A1" s="9" t="s">
        <v>20</v>
      </c>
      <c r="B1" s="9" t="s">
        <v>183</v>
      </c>
      <c r="C1" s="9" t="s">
        <v>184</v>
      </c>
      <c r="D1" s="9" t="s">
        <v>185</v>
      </c>
      <c r="E1" s="9" t="s">
        <v>186</v>
      </c>
      <c r="F1" s="9" t="s">
        <v>187</v>
      </c>
      <c r="G1" s="9" t="s">
        <v>188</v>
      </c>
      <c r="H1" s="9" t="s">
        <v>189</v>
      </c>
      <c r="I1" s="9" t="s">
        <v>190</v>
      </c>
      <c r="J1" s="9" t="s">
        <v>191</v>
      </c>
      <c r="K1" s="9" t="s">
        <v>192</v>
      </c>
      <c r="L1" s="9" t="s">
        <v>193</v>
      </c>
      <c r="M1" s="9" t="s">
        <v>194</v>
      </c>
      <c r="N1" s="9" t="s">
        <v>195</v>
      </c>
    </row>
    <row r="2" customFormat="false" ht="90.75" hidden="false" customHeight="true" outlineLevel="0" collapsed="false">
      <c r="A2" s="13" t="s">
        <v>155</v>
      </c>
      <c r="B2" s="13" t="s">
        <v>196</v>
      </c>
      <c r="C2" s="13"/>
      <c r="D2" s="13"/>
      <c r="E2" s="13"/>
      <c r="F2" s="12" t="s">
        <v>197</v>
      </c>
      <c r="G2" s="12"/>
      <c r="H2" s="12"/>
      <c r="I2" s="12"/>
      <c r="J2" s="12"/>
      <c r="K2" s="12" t="s">
        <v>198</v>
      </c>
      <c r="L2" s="13" t="s">
        <v>199</v>
      </c>
      <c r="M2" s="13"/>
      <c r="N2" s="13" t="s">
        <v>200</v>
      </c>
    </row>
    <row r="3" customFormat="false" ht="23.25" hidden="false" customHeight="true" outlineLevel="0" collapsed="false">
      <c r="A3" s="13" t="s">
        <v>87</v>
      </c>
      <c r="B3" s="13"/>
      <c r="C3" s="13"/>
      <c r="D3" s="13"/>
      <c r="E3" s="13"/>
      <c r="F3" s="12"/>
      <c r="G3" s="12"/>
      <c r="H3" s="12"/>
      <c r="I3" s="12"/>
      <c r="J3" s="12"/>
      <c r="K3" s="12"/>
      <c r="L3" s="13" t="s">
        <v>201</v>
      </c>
      <c r="M3" s="13"/>
      <c r="N3" s="13" t="s">
        <v>202</v>
      </c>
    </row>
    <row r="4" customFormat="false" ht="113.25" hidden="false" customHeight="true" outlineLevel="0" collapsed="false">
      <c r="A4" s="13" t="s">
        <v>145</v>
      </c>
      <c r="B4" s="13" t="s">
        <v>203</v>
      </c>
      <c r="C4" s="13"/>
      <c r="D4" s="13" t="s">
        <v>204</v>
      </c>
      <c r="E4" s="13"/>
      <c r="F4" s="12" t="s">
        <v>205</v>
      </c>
      <c r="G4" s="12" t="s">
        <v>206</v>
      </c>
      <c r="H4" s="12"/>
      <c r="I4" s="12"/>
      <c r="J4" s="12" t="s">
        <v>206</v>
      </c>
      <c r="K4" s="12" t="s">
        <v>198</v>
      </c>
      <c r="L4" s="13" t="s">
        <v>207</v>
      </c>
      <c r="M4" s="13"/>
      <c r="N4" s="13" t="s">
        <v>208</v>
      </c>
    </row>
    <row r="5" customFormat="false" ht="68.25" hidden="false" customHeight="true" outlineLevel="0" collapsed="false">
      <c r="A5" s="13" t="s">
        <v>79</v>
      </c>
      <c r="B5" s="13" t="s">
        <v>209</v>
      </c>
      <c r="C5" s="13"/>
      <c r="D5" s="13" t="s">
        <v>210</v>
      </c>
      <c r="E5" s="13" t="s">
        <v>211</v>
      </c>
      <c r="F5" s="12" t="s">
        <v>197</v>
      </c>
      <c r="G5" s="12"/>
      <c r="H5" s="12"/>
      <c r="I5" s="12"/>
      <c r="J5" s="12"/>
      <c r="K5" s="12" t="s">
        <v>212</v>
      </c>
      <c r="L5" s="13" t="s">
        <v>213</v>
      </c>
      <c r="M5" s="13"/>
      <c r="N5" s="13" t="s">
        <v>214</v>
      </c>
    </row>
    <row r="6" customFormat="false" ht="147" hidden="false" customHeight="true" outlineLevel="0" collapsed="false">
      <c r="A6" s="13" t="s">
        <v>163</v>
      </c>
      <c r="B6" s="13" t="s">
        <v>215</v>
      </c>
      <c r="C6" s="13" t="s">
        <v>216</v>
      </c>
      <c r="D6" s="13" t="s">
        <v>217</v>
      </c>
      <c r="E6" s="13"/>
      <c r="F6" s="12" t="s">
        <v>218</v>
      </c>
      <c r="G6" s="12"/>
      <c r="H6" s="12" t="s">
        <v>206</v>
      </c>
      <c r="I6" s="12"/>
      <c r="J6" s="12"/>
      <c r="K6" s="12" t="s">
        <v>219</v>
      </c>
      <c r="L6" s="13" t="s">
        <v>220</v>
      </c>
      <c r="M6" s="13"/>
      <c r="N6" s="13" t="s">
        <v>221</v>
      </c>
    </row>
    <row r="7" customFormat="false" ht="45.75" hidden="false" customHeight="true" outlineLevel="0" collapsed="false">
      <c r="A7" s="13" t="s">
        <v>143</v>
      </c>
      <c r="B7" s="13" t="s">
        <v>222</v>
      </c>
      <c r="C7" s="13" t="s">
        <v>223</v>
      </c>
      <c r="D7" s="13" t="s">
        <v>224</v>
      </c>
      <c r="E7" s="13"/>
      <c r="F7" s="12" t="s">
        <v>218</v>
      </c>
      <c r="G7" s="12"/>
      <c r="H7" s="12" t="s">
        <v>206</v>
      </c>
      <c r="I7" s="12"/>
      <c r="J7" s="12" t="s">
        <v>206</v>
      </c>
      <c r="K7" s="12" t="s">
        <v>212</v>
      </c>
      <c r="L7" s="13" t="s">
        <v>225</v>
      </c>
      <c r="M7" s="13"/>
      <c r="N7" s="13" t="s">
        <v>226</v>
      </c>
    </row>
    <row r="8" customFormat="false" ht="57" hidden="false" customHeight="true" outlineLevel="0" collapsed="false">
      <c r="A8" s="13" t="s">
        <v>121</v>
      </c>
      <c r="B8" s="13" t="s">
        <v>227</v>
      </c>
      <c r="C8" s="13"/>
      <c r="D8" s="13"/>
      <c r="E8" s="13"/>
      <c r="F8" s="12" t="s">
        <v>218</v>
      </c>
      <c r="G8" s="12"/>
      <c r="H8" s="12" t="s">
        <v>206</v>
      </c>
      <c r="I8" s="12" t="s">
        <v>206</v>
      </c>
      <c r="J8" s="12"/>
      <c r="K8" s="12" t="s">
        <v>212</v>
      </c>
      <c r="L8" s="13" t="s">
        <v>228</v>
      </c>
      <c r="M8" s="13"/>
      <c r="N8" s="13" t="s">
        <v>229</v>
      </c>
    </row>
    <row r="9" customFormat="false" ht="90.75" hidden="false" customHeight="true" outlineLevel="0" collapsed="false">
      <c r="A9" s="13" t="s">
        <v>147</v>
      </c>
      <c r="B9" s="13" t="s">
        <v>230</v>
      </c>
      <c r="C9" s="13"/>
      <c r="D9" s="13"/>
      <c r="E9" s="13" t="s">
        <v>231</v>
      </c>
      <c r="F9" s="12" t="s">
        <v>232</v>
      </c>
      <c r="G9" s="12"/>
      <c r="H9" s="12" t="s">
        <v>206</v>
      </c>
      <c r="I9" s="12"/>
      <c r="J9" s="12"/>
      <c r="K9" s="12" t="s">
        <v>219</v>
      </c>
      <c r="L9" s="13" t="s">
        <v>233</v>
      </c>
      <c r="M9" s="13"/>
      <c r="N9" s="13" t="s">
        <v>234</v>
      </c>
    </row>
    <row r="10" customFormat="false" ht="90.75" hidden="false" customHeight="true" outlineLevel="0" collapsed="false">
      <c r="A10" s="13" t="s">
        <v>177</v>
      </c>
      <c r="B10" s="13" t="s">
        <v>235</v>
      </c>
      <c r="C10" s="13"/>
      <c r="D10" s="13" t="s">
        <v>236</v>
      </c>
      <c r="E10" s="13" t="s">
        <v>237</v>
      </c>
      <c r="F10" s="12" t="s">
        <v>205</v>
      </c>
      <c r="G10" s="12"/>
      <c r="H10" s="12"/>
      <c r="I10" s="12"/>
      <c r="J10" s="12" t="s">
        <v>206</v>
      </c>
      <c r="K10" s="12" t="s">
        <v>212</v>
      </c>
      <c r="L10" s="13" t="s">
        <v>238</v>
      </c>
      <c r="M10" s="13"/>
      <c r="N10" s="13" t="s">
        <v>239</v>
      </c>
    </row>
    <row r="11" customFormat="false" ht="135.75" hidden="false" customHeight="true" outlineLevel="0" collapsed="false">
      <c r="A11" s="13" t="s">
        <v>119</v>
      </c>
      <c r="B11" s="13" t="s">
        <v>240</v>
      </c>
      <c r="C11" s="13" t="s">
        <v>241</v>
      </c>
      <c r="D11" s="13" t="s">
        <v>242</v>
      </c>
      <c r="E11" s="13" t="s">
        <v>243</v>
      </c>
      <c r="F11" s="12" t="s">
        <v>197</v>
      </c>
      <c r="G11" s="12"/>
      <c r="H11" s="12"/>
      <c r="I11" s="12" t="s">
        <v>206</v>
      </c>
      <c r="J11" s="12" t="s">
        <v>206</v>
      </c>
      <c r="K11" s="12" t="s">
        <v>212</v>
      </c>
      <c r="L11" s="13" t="s">
        <v>244</v>
      </c>
      <c r="M11" s="13"/>
      <c r="N11" s="13" t="s">
        <v>245</v>
      </c>
    </row>
    <row r="12" customFormat="false" ht="124.5" hidden="false" customHeight="true" outlineLevel="0" collapsed="false">
      <c r="A12" s="13" t="s">
        <v>148</v>
      </c>
      <c r="B12" s="13" t="s">
        <v>246</v>
      </c>
      <c r="C12" s="13"/>
      <c r="D12" s="13"/>
      <c r="E12" s="13"/>
      <c r="F12" s="12" t="s">
        <v>205</v>
      </c>
      <c r="G12" s="12"/>
      <c r="H12" s="12"/>
      <c r="I12" s="12"/>
      <c r="J12" s="12"/>
      <c r="K12" s="12" t="s">
        <v>198</v>
      </c>
      <c r="L12" s="13" t="s">
        <v>247</v>
      </c>
      <c r="M12" s="13"/>
      <c r="N12" s="13" t="s">
        <v>248</v>
      </c>
    </row>
    <row r="13" customFormat="false" ht="90.75" hidden="false" customHeight="true" outlineLevel="0" collapsed="false">
      <c r="A13" s="13" t="s">
        <v>144</v>
      </c>
      <c r="B13" s="13" t="s">
        <v>249</v>
      </c>
      <c r="C13" s="13"/>
      <c r="D13" s="13" t="s">
        <v>250</v>
      </c>
      <c r="E13" s="13"/>
      <c r="F13" s="12" t="s">
        <v>197</v>
      </c>
      <c r="G13" s="12"/>
      <c r="H13" s="12"/>
      <c r="I13" s="12"/>
      <c r="J13" s="12"/>
      <c r="K13" s="12" t="s">
        <v>219</v>
      </c>
      <c r="L13" s="13" t="s">
        <v>251</v>
      </c>
      <c r="M13" s="13"/>
      <c r="N13" s="13" t="s">
        <v>252</v>
      </c>
    </row>
    <row r="14" customFormat="false" ht="102" hidden="false" customHeight="true" outlineLevel="0" collapsed="false">
      <c r="A14" s="13" t="s">
        <v>136</v>
      </c>
      <c r="B14" s="13" t="s">
        <v>253</v>
      </c>
      <c r="C14" s="13"/>
      <c r="D14" s="13"/>
      <c r="E14" s="13" t="s">
        <v>254</v>
      </c>
      <c r="F14" s="12" t="s">
        <v>205</v>
      </c>
      <c r="G14" s="12" t="s">
        <v>206</v>
      </c>
      <c r="H14" s="12"/>
      <c r="I14" s="12"/>
      <c r="J14" s="12"/>
      <c r="K14" s="12" t="s">
        <v>219</v>
      </c>
      <c r="L14" s="13" t="s">
        <v>255</v>
      </c>
      <c r="M14" s="13"/>
      <c r="N14" s="13" t="s">
        <v>256</v>
      </c>
    </row>
    <row r="15" customFormat="false" ht="23.25" hidden="false" customHeight="true" outlineLevel="0" collapsed="false">
      <c r="A15" s="13" t="s">
        <v>109</v>
      </c>
      <c r="B15" s="13"/>
      <c r="C15" s="13"/>
      <c r="D15" s="13"/>
      <c r="E15" s="13"/>
      <c r="F15" s="12"/>
      <c r="G15" s="12"/>
      <c r="H15" s="12"/>
      <c r="I15" s="12"/>
      <c r="J15" s="12"/>
      <c r="K15" s="12"/>
      <c r="L15" s="13" t="s">
        <v>257</v>
      </c>
      <c r="M15" s="13"/>
      <c r="N15" s="13" t="s">
        <v>258</v>
      </c>
    </row>
    <row r="16" customFormat="false" ht="34.5" hidden="false" customHeight="true" outlineLevel="0" collapsed="false">
      <c r="A16" s="13" t="s">
        <v>77</v>
      </c>
      <c r="B16" s="13"/>
      <c r="C16" s="13"/>
      <c r="D16" s="13"/>
      <c r="E16" s="13"/>
      <c r="F16" s="12"/>
      <c r="G16" s="12"/>
      <c r="H16" s="12"/>
      <c r="I16" s="12"/>
      <c r="J16" s="12"/>
      <c r="K16" s="12"/>
      <c r="L16" s="13" t="s">
        <v>259</v>
      </c>
      <c r="M16" s="13"/>
      <c r="N16" s="13" t="s">
        <v>260</v>
      </c>
    </row>
    <row r="17" customFormat="false" ht="102" hidden="false" customHeight="true" outlineLevel="0" collapsed="false">
      <c r="A17" s="13" t="s">
        <v>132</v>
      </c>
      <c r="B17" s="13" t="s">
        <v>261</v>
      </c>
      <c r="C17" s="13"/>
      <c r="D17" s="13" t="s">
        <v>262</v>
      </c>
      <c r="E17" s="13"/>
      <c r="F17" s="12" t="s">
        <v>197</v>
      </c>
      <c r="G17" s="12"/>
      <c r="H17" s="12"/>
      <c r="I17" s="12"/>
      <c r="J17" s="12"/>
      <c r="K17" s="12" t="s">
        <v>212</v>
      </c>
      <c r="L17" s="13" t="s">
        <v>263</v>
      </c>
      <c r="M17" s="13"/>
      <c r="N17" s="13" t="s">
        <v>264</v>
      </c>
    </row>
    <row r="18" customFormat="false" ht="68.25" hidden="false" customHeight="true" outlineLevel="0" collapsed="false">
      <c r="A18" s="13" t="s">
        <v>135</v>
      </c>
      <c r="B18" s="13" t="s">
        <v>265</v>
      </c>
      <c r="C18" s="13" t="s">
        <v>266</v>
      </c>
      <c r="D18" s="13"/>
      <c r="E18" s="13"/>
      <c r="F18" s="12" t="s">
        <v>232</v>
      </c>
      <c r="G18" s="12"/>
      <c r="H18" s="12"/>
      <c r="I18" s="12"/>
      <c r="J18" s="12"/>
      <c r="K18" s="12" t="s">
        <v>212</v>
      </c>
      <c r="L18" s="13" t="s">
        <v>267</v>
      </c>
      <c r="M18" s="13"/>
      <c r="N18" s="13" t="s">
        <v>268</v>
      </c>
    </row>
    <row r="19" customFormat="false" ht="23.25" hidden="false" customHeight="true" outlineLevel="0" collapsed="false">
      <c r="A19" s="13" t="s">
        <v>126</v>
      </c>
      <c r="B19" s="13"/>
      <c r="C19" s="13"/>
      <c r="D19" s="13"/>
      <c r="E19" s="13"/>
      <c r="F19" s="12"/>
      <c r="G19" s="12"/>
      <c r="H19" s="12"/>
      <c r="I19" s="12"/>
      <c r="J19" s="12"/>
      <c r="K19" s="12"/>
      <c r="L19" s="13" t="s">
        <v>257</v>
      </c>
      <c r="M19" s="13"/>
      <c r="N19" s="13" t="s">
        <v>269</v>
      </c>
    </row>
    <row r="20" customFormat="false" ht="45.75" hidden="false" customHeight="true" outlineLevel="0" collapsed="false">
      <c r="A20" s="13" t="s">
        <v>113</v>
      </c>
      <c r="B20" s="13" t="s">
        <v>270</v>
      </c>
      <c r="C20" s="13"/>
      <c r="D20" s="13"/>
      <c r="E20" s="13" t="s">
        <v>271</v>
      </c>
      <c r="F20" s="12" t="s">
        <v>232</v>
      </c>
      <c r="G20" s="12"/>
      <c r="H20" s="12"/>
      <c r="I20" s="12"/>
      <c r="J20" s="12"/>
      <c r="K20" s="12" t="s">
        <v>212</v>
      </c>
      <c r="L20" s="13" t="s">
        <v>272</v>
      </c>
      <c r="M20" s="13" t="s">
        <v>273</v>
      </c>
      <c r="N20" s="13" t="s">
        <v>274</v>
      </c>
    </row>
    <row r="21" customFormat="false" ht="124.5" hidden="false" customHeight="true" outlineLevel="0" collapsed="false">
      <c r="A21" s="13" t="s">
        <v>160</v>
      </c>
      <c r="B21" s="13" t="s">
        <v>275</v>
      </c>
      <c r="C21" s="13"/>
      <c r="D21" s="13"/>
      <c r="E21" s="13" t="s">
        <v>276</v>
      </c>
      <c r="F21" s="12" t="s">
        <v>197</v>
      </c>
      <c r="G21" s="12"/>
      <c r="H21" s="12" t="s">
        <v>206</v>
      </c>
      <c r="I21" s="12"/>
      <c r="J21" s="12"/>
      <c r="K21" s="12" t="s">
        <v>198</v>
      </c>
      <c r="L21" s="13" t="s">
        <v>277</v>
      </c>
      <c r="M21" s="13"/>
      <c r="N21" s="13" t="s">
        <v>278</v>
      </c>
    </row>
    <row r="22" customFormat="false" ht="90.75" hidden="false" customHeight="true" outlineLevel="0" collapsed="false">
      <c r="A22" s="13" t="s">
        <v>175</v>
      </c>
      <c r="B22" s="13" t="s">
        <v>279</v>
      </c>
      <c r="C22" s="13" t="s">
        <v>280</v>
      </c>
      <c r="D22" s="13"/>
      <c r="E22" s="13" t="s">
        <v>281</v>
      </c>
      <c r="F22" s="12" t="s">
        <v>218</v>
      </c>
      <c r="G22" s="12"/>
      <c r="H22" s="12" t="s">
        <v>206</v>
      </c>
      <c r="I22" s="12"/>
      <c r="J22" s="12"/>
      <c r="K22" s="12" t="s">
        <v>219</v>
      </c>
      <c r="L22" s="13" t="s">
        <v>282</v>
      </c>
      <c r="M22" s="13"/>
      <c r="N22" s="13" t="s">
        <v>283</v>
      </c>
    </row>
    <row r="23" customFormat="false" ht="57" hidden="false" customHeight="true" outlineLevel="0" collapsed="false">
      <c r="A23" s="13" t="s">
        <v>133</v>
      </c>
      <c r="B23" s="13" t="s">
        <v>284</v>
      </c>
      <c r="C23" s="13" t="s">
        <v>285</v>
      </c>
      <c r="D23" s="13"/>
      <c r="E23" s="13"/>
      <c r="F23" s="12" t="s">
        <v>205</v>
      </c>
      <c r="G23" s="12" t="s">
        <v>206</v>
      </c>
      <c r="H23" s="12"/>
      <c r="I23" s="12"/>
      <c r="J23" s="12"/>
      <c r="K23" s="12" t="s">
        <v>286</v>
      </c>
      <c r="L23" s="13" t="s">
        <v>287</v>
      </c>
      <c r="M23" s="13"/>
      <c r="N23" s="13" t="s">
        <v>288</v>
      </c>
    </row>
    <row r="24" customFormat="false" ht="102" hidden="false" customHeight="true" outlineLevel="0" collapsed="false">
      <c r="A24" s="13" t="s">
        <v>134</v>
      </c>
      <c r="B24" s="13" t="s">
        <v>289</v>
      </c>
      <c r="C24" s="13"/>
      <c r="D24" s="13" t="s">
        <v>290</v>
      </c>
      <c r="E24" s="13"/>
      <c r="F24" s="12" t="s">
        <v>232</v>
      </c>
      <c r="G24" s="12"/>
      <c r="H24" s="12"/>
      <c r="I24" s="12"/>
      <c r="J24" s="12" t="s">
        <v>206</v>
      </c>
      <c r="K24" s="12" t="s">
        <v>212</v>
      </c>
      <c r="L24" s="13" t="s">
        <v>291</v>
      </c>
      <c r="M24" s="13" t="s">
        <v>292</v>
      </c>
      <c r="N24" s="13" t="s">
        <v>293</v>
      </c>
    </row>
    <row r="25" customFormat="false" ht="90.75" hidden="false" customHeight="true" outlineLevel="0" collapsed="false">
      <c r="A25" s="13" t="s">
        <v>176</v>
      </c>
      <c r="B25" s="13" t="s">
        <v>294</v>
      </c>
      <c r="C25" s="13"/>
      <c r="D25" s="13"/>
      <c r="E25" s="13"/>
      <c r="F25" s="12" t="s">
        <v>197</v>
      </c>
      <c r="G25" s="12"/>
      <c r="H25" s="12" t="s">
        <v>206</v>
      </c>
      <c r="I25" s="12"/>
      <c r="J25" s="12"/>
      <c r="K25" s="12" t="s">
        <v>212</v>
      </c>
      <c r="L25" s="13" t="s">
        <v>295</v>
      </c>
      <c r="M25" s="13"/>
      <c r="N25" s="13" t="s">
        <v>296</v>
      </c>
    </row>
    <row r="26" customFormat="false" ht="45.75" hidden="false" customHeight="true" outlineLevel="0" collapsed="false">
      <c r="A26" s="13" t="s">
        <v>141</v>
      </c>
      <c r="B26" s="13" t="s">
        <v>297</v>
      </c>
      <c r="C26" s="13" t="s">
        <v>298</v>
      </c>
      <c r="D26" s="13" t="s">
        <v>299</v>
      </c>
      <c r="E26" s="13" t="s">
        <v>300</v>
      </c>
      <c r="F26" s="12" t="s">
        <v>197</v>
      </c>
      <c r="G26" s="12"/>
      <c r="H26" s="12"/>
      <c r="I26" s="12"/>
      <c r="J26" s="12" t="s">
        <v>206</v>
      </c>
      <c r="K26" s="12" t="s">
        <v>212</v>
      </c>
      <c r="L26" s="13" t="s">
        <v>301</v>
      </c>
      <c r="M26" s="13"/>
      <c r="N26" s="13" t="s">
        <v>302</v>
      </c>
    </row>
    <row r="27" customFormat="false" ht="57" hidden="false" customHeight="true" outlineLevel="0" collapsed="false">
      <c r="A27" s="13" t="s">
        <v>129</v>
      </c>
      <c r="B27" s="13" t="s">
        <v>265</v>
      </c>
      <c r="C27" s="13"/>
      <c r="D27" s="13"/>
      <c r="E27" s="13"/>
      <c r="F27" s="12" t="s">
        <v>232</v>
      </c>
      <c r="G27" s="12"/>
      <c r="H27" s="12"/>
      <c r="I27" s="12"/>
      <c r="J27" s="12"/>
      <c r="K27" s="12" t="s">
        <v>212</v>
      </c>
      <c r="L27" s="13" t="s">
        <v>303</v>
      </c>
      <c r="M27" s="13"/>
      <c r="N27" s="13"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12"/>
    <col collapsed="false" customWidth="true" hidden="false" outlineLevel="0" max="5" min="4" style="1" width="6"/>
    <col collapsed="false" customWidth="true" hidden="false" outlineLevel="0" max="6" min="6" style="1" width="7"/>
    <col collapsed="false" customWidth="true" hidden="false" outlineLevel="0" max="8" min="7" style="1" width="8"/>
    <col collapsed="false" customWidth="true" hidden="false" outlineLevel="0" max="9" min="9" style="1" width="7"/>
    <col collapsed="false" customWidth="true" hidden="false" outlineLevel="0" max="10" min="10" style="1" width="8"/>
    <col collapsed="false" customWidth="true" hidden="false" outlineLevel="0" max="11" min="11" style="1" width="28"/>
    <col collapsed="false" customWidth="true" hidden="false" outlineLevel="0" max="12" min="12" style="1" width="22"/>
    <col collapsed="false" customWidth="true" hidden="false" outlineLevel="0" max="13" min="13" style="1" width="11"/>
    <col collapsed="false" customWidth="true" hidden="false" outlineLevel="0" max="15" min="14" style="1" width="9"/>
    <col collapsed="false" customWidth="true" hidden="false" outlineLevel="0" max="16" min="16" style="1" width="38"/>
    <col collapsed="false" customWidth="true" hidden="false" outlineLevel="0" max="17" min="17" style="1" width="60"/>
  </cols>
  <sheetData>
    <row r="1" customFormat="false" ht="15" hidden="false" customHeight="true" outlineLevel="0" collapsed="false">
      <c r="A1" s="9" t="s">
        <v>34</v>
      </c>
      <c r="B1" s="9" t="s">
        <v>20</v>
      </c>
      <c r="C1" s="9" t="s">
        <v>305</v>
      </c>
      <c r="D1" s="9" t="s">
        <v>306</v>
      </c>
      <c r="E1" s="9" t="s">
        <v>22</v>
      </c>
      <c r="F1" s="9" t="s">
        <v>23</v>
      </c>
      <c r="G1" s="9" t="s">
        <v>24</v>
      </c>
      <c r="H1" s="9" t="s">
        <v>27</v>
      </c>
      <c r="I1" s="9" t="s">
        <v>307</v>
      </c>
      <c r="J1" s="9" t="s">
        <v>31</v>
      </c>
      <c r="K1" s="9" t="s">
        <v>183</v>
      </c>
      <c r="L1" s="9" t="s">
        <v>308</v>
      </c>
      <c r="M1" s="9" t="s">
        <v>187</v>
      </c>
      <c r="N1" s="9" t="s">
        <v>309</v>
      </c>
      <c r="O1" s="9" t="s">
        <v>310</v>
      </c>
      <c r="P1" s="9" t="s">
        <v>193</v>
      </c>
      <c r="Q1" s="9" t="s">
        <v>311</v>
      </c>
    </row>
    <row r="2" customFormat="false" ht="15" hidden="false" customHeight="true" outlineLevel="0" collapsed="false">
      <c r="A2" s="12" t="str">
        <f aca="false">'Layer A — raw data (SOURCED)'!O2</f>
        <v>Big Ten</v>
      </c>
      <c r="B2" s="12" t="str">
        <f aca="false">'Layer A — raw data (SOURCED)'!A2</f>
        <v>Ohio State</v>
      </c>
      <c r="C2" s="13" t="str">
        <f aca="false">'Layer A — raw data (SOURCED)'!O2</f>
        <v>Big Ten</v>
      </c>
      <c r="D2" s="12" t="n">
        <f aca="false">'Layer A — raw data (SOURCED)'!B2</f>
        <v>9.5</v>
      </c>
      <c r="E2" s="12" t="n">
        <f aca="false">'Layer A — raw data (SOURCED)'!C2</f>
        <v>1</v>
      </c>
      <c r="F2" s="12" t="n">
        <f aca="false">'Layer A — raw data (SOURCED)'!D2</f>
        <v>31.8</v>
      </c>
      <c r="G2" s="12" t="n">
        <f aca="false">'Layer A — raw data (SOURCED)'!E2</f>
        <v>60</v>
      </c>
      <c r="H2" s="12" t="n">
        <f aca="false">'Layer A — raw data (SOURCED)'!H2</f>
        <v>10.5</v>
      </c>
      <c r="I2" s="12" t="n">
        <f aca="false">'Layer A — raw data (SOURCED)'!K2</f>
        <v>0</v>
      </c>
      <c r="J2" s="12" t="str">
        <f aca="false">'Layer A — raw data (SOURCED)'!L2</f>
        <v/>
      </c>
      <c r="K2" s="13" t="str">
        <f aca="false">IFERROR(INDEX('Layer B — pod writeups'!$B:$B,MATCH('Layer A — raw data (SOURCED)'!$A2,'Layer B — pod writeups'!$A:$A,0)),"")</f>
        <v/>
      </c>
      <c r="L2" s="13" t="str">
        <f aca="false">IFERROR(textjoin(" | ",TRUE(),IF(INDEX('Layer B — pod writeups'!$C:$C,MATCH('Layer A — raw data (SOURCED)'!$A2,'Layer B — pod writeups'!$A:$A,0))="","","HC "&amp;INDEX('Layer B — pod writeups'!$C:$C,MATCH('Layer A — raw data (SOURCED)'!$A2,'Layer B — pod writeups'!$A:$A,0))),IF(INDEX('Layer B — pod writeups'!$D:$D,MATCH('Layer A — raw data (SOURCED)'!$A2,'Layer B — pod writeups'!$A:$A,0))="","","OC "&amp;INDEX('Layer B — pod writeups'!$D:$D,MATCH('Layer A — raw data (SOURCED)'!$A2,'Layer B — pod writeups'!$A:$A,0))),IF(INDEX('Layer B — pod writeups'!$E:$E,MATCH('Layer A — raw data (SOURCED)'!$A2,'Layer B — pod writeups'!$A:$A,0))="","","DC "&amp;INDEX('Layer B — pod writeups'!$E:$E,MATCH('Layer A — raw data (SOURCED)'!$A2,'Layer B — pod writeups'!$A:$A,0)))),"")</f>
        <v/>
      </c>
      <c r="M2" s="12" t="str">
        <f aca="false">IFERROR(INDEX('Layer B — pod writeups'!$F:$F,MATCH('Layer A — raw data (SOURCED)'!$A2,'Layer B — pod writeups'!$A:$A,0)),"")</f>
        <v/>
      </c>
      <c r="N2" s="12" t="str">
        <f aca="false">IFERROR(INDEX('Layer B — pod writeups'!$K:$K,MATCH('Layer A — raw data (SOURCED)'!$A2,'Layer B — pod writeups'!$A:$A,0)),"")</f>
        <v/>
      </c>
      <c r="O2" s="12" t="str">
        <f aca="false">IFERROR(textjoin(" ",TRUE(),IF(INDEX('Layer B — pod writeups'!$G:$G,MATCH('Layer A — raw data (SOURCED)'!$A2,'Layer B — pod writeups'!$A:$A,0))="Y","DH",""),IF(INDEX('Layer B — pod writeups'!$H:$H,MATCH('Layer A — raw data (SOURCED)'!$A2,'Layer B — pod writeups'!$A:$A,0))="Y","FADE",""),IF(INDEX('Layer B — pod writeups'!$I:$I,MATCH('Layer A — raw data (SOURCED)'!$A2,'Layer B — pod writeups'!$A:$A,0))="Y","SPLIT",""),IF(INDEX('Layer B — pod writeups'!$J:$J,MATCH('Layer A — raw data (SOURCED)'!$A2,'Layer B — pod writeups'!$A:$A,0))="Y","VAR","")),"")</f>
        <v/>
      </c>
      <c r="P2" s="13" t="str">
        <f aca="false">IFERROR(INDEX('Layer B — pod writeups'!$L:$L,MATCH('Layer A — raw data (SOURCED)'!$A2,'Layer B — pod writeups'!$A:$A,0)),"")</f>
        <v/>
      </c>
      <c r="Q2" s="13" t="str">
        <f aca="false">IFERROR(INDEX('Layer B — pod writeups'!$N:$N,MATCH('Layer A — raw data (SOURCED)'!$A2,'Layer B — pod writeups'!$A:$A,0)),"")</f>
        <v/>
      </c>
    </row>
    <row r="3" customFormat="false" ht="15" hidden="false" customHeight="true" outlineLevel="0" collapsed="false">
      <c r="A3" s="12" t="str">
        <f aca="false">'Layer A — raw data (SOURCED)'!O3</f>
        <v>Big Ten</v>
      </c>
      <c r="B3" s="12" t="str">
        <f aca="false">'Layer A — raw data (SOURCED)'!A3</f>
        <v>Oregon</v>
      </c>
      <c r="C3" s="13" t="str">
        <f aca="false">'Layer A — raw data (SOURCED)'!O3</f>
        <v>Big Ten</v>
      </c>
      <c r="D3" s="12" t="n">
        <f aca="false">'Layer A — raw data (SOURCED)'!B3</f>
        <v>10.5</v>
      </c>
      <c r="E3" s="12" t="n">
        <f aca="false">'Layer A — raw data (SOURCED)'!C3</f>
        <v>2</v>
      </c>
      <c r="F3" s="12" t="n">
        <f aca="false">'Layer A — raw data (SOURCED)'!D3</f>
        <v>28.3</v>
      </c>
      <c r="G3" s="12" t="n">
        <f aca="false">'Layer A — raw data (SOURCED)'!E3</f>
        <v>66</v>
      </c>
      <c r="H3" s="12" t="n">
        <f aca="false">'Layer A — raw data (SOURCED)'!H3</f>
        <v>11</v>
      </c>
      <c r="I3" s="12" t="n">
        <f aca="false">'Layer A — raw data (SOURCED)'!K3</f>
        <v>0</v>
      </c>
      <c r="J3" s="12" t="str">
        <f aca="false">'Layer A — raw data (SOURCED)'!L3</f>
        <v/>
      </c>
      <c r="K3" s="13" t="str">
        <f aca="false">IFERROR(INDEX('Layer B — pod writeups'!$B:$B,MATCH('Layer A — raw data (SOURCED)'!$A3,'Layer B — pod writeups'!$A:$A,0)),"")</f>
        <v/>
      </c>
      <c r="L3" s="13" t="str">
        <f aca="false">IFERROR(textjoin(" | ",TRUE(),IF(INDEX('Layer B — pod writeups'!$C:$C,MATCH('Layer A — raw data (SOURCED)'!$A3,'Layer B — pod writeups'!$A:$A,0))="","","HC "&amp;INDEX('Layer B — pod writeups'!$C:$C,MATCH('Layer A — raw data (SOURCED)'!$A3,'Layer B — pod writeups'!$A:$A,0))),IF(INDEX('Layer B — pod writeups'!$D:$D,MATCH('Layer A — raw data (SOURCED)'!$A3,'Layer B — pod writeups'!$A:$A,0))="","","OC "&amp;INDEX('Layer B — pod writeups'!$D:$D,MATCH('Layer A — raw data (SOURCED)'!$A3,'Layer B — pod writeups'!$A:$A,0))),IF(INDEX('Layer B — pod writeups'!$E:$E,MATCH('Layer A — raw data (SOURCED)'!$A3,'Layer B — pod writeups'!$A:$A,0))="","","DC "&amp;INDEX('Layer B — pod writeups'!$E:$E,MATCH('Layer A — raw data (SOURCED)'!$A3,'Layer B — pod writeups'!$A:$A,0)))),"")</f>
        <v/>
      </c>
      <c r="M3" s="12" t="str">
        <f aca="false">IFERROR(INDEX('Layer B — pod writeups'!$F:$F,MATCH('Layer A — raw data (SOURCED)'!$A3,'Layer B — pod writeups'!$A:$A,0)),"")</f>
        <v/>
      </c>
      <c r="N3" s="12" t="str">
        <f aca="false">IFERROR(INDEX('Layer B — pod writeups'!$K:$K,MATCH('Layer A — raw data (SOURCED)'!$A3,'Layer B — pod writeups'!$A:$A,0)),"")</f>
        <v/>
      </c>
      <c r="O3" s="12" t="str">
        <f aca="false">IFERROR(textjoin(" ",TRUE(),IF(INDEX('Layer B — pod writeups'!$G:$G,MATCH('Layer A — raw data (SOURCED)'!$A3,'Layer B — pod writeups'!$A:$A,0))="Y","DH",""),IF(INDEX('Layer B — pod writeups'!$H:$H,MATCH('Layer A — raw data (SOURCED)'!$A3,'Layer B — pod writeups'!$A:$A,0))="Y","FADE",""),IF(INDEX('Layer B — pod writeups'!$I:$I,MATCH('Layer A — raw data (SOURCED)'!$A3,'Layer B — pod writeups'!$A:$A,0))="Y","SPLIT",""),IF(INDEX('Layer B — pod writeups'!$J:$J,MATCH('Layer A — raw data (SOURCED)'!$A3,'Layer B — pod writeups'!$A:$A,0))="Y","VAR","")),"")</f>
        <v/>
      </c>
      <c r="P3" s="13" t="str">
        <f aca="false">IFERROR(INDEX('Layer B — pod writeups'!$L:$L,MATCH('Layer A — raw data (SOURCED)'!$A3,'Layer B — pod writeups'!$A:$A,0)),"")</f>
        <v/>
      </c>
      <c r="Q3" s="13" t="str">
        <f aca="false">IFERROR(INDEX('Layer B — pod writeups'!$N:$N,MATCH('Layer A — raw data (SOURCED)'!$A3,'Layer B — pod writeups'!$A:$A,0)),"")</f>
        <v/>
      </c>
    </row>
    <row r="4" customFormat="false" ht="15" hidden="false" customHeight="true" outlineLevel="0" collapsed="false">
      <c r="A4" s="12" t="str">
        <f aca="false">'Layer A — raw data (SOURCED)'!O4</f>
        <v>CUSA</v>
      </c>
      <c r="B4" s="12" t="str">
        <f aca="false">'Layer A — raw data (SOURCED)'!A4</f>
        <v>Notre Dame</v>
      </c>
      <c r="C4" s="13" t="s">
        <v>312</v>
      </c>
      <c r="D4" s="12" t="n">
        <f aca="false">'Layer A — raw data (SOURCED)'!B4</f>
        <v>11.5</v>
      </c>
      <c r="E4" s="12" t="n">
        <f aca="false">'Layer A — raw data (SOURCED)'!C4</f>
        <v>3</v>
      </c>
      <c r="F4" s="12" t="n">
        <f aca="false">'Layer A — raw data (SOURCED)'!D4</f>
        <v>25.8</v>
      </c>
      <c r="G4" s="12" t="n">
        <f aca="false">'Layer A — raw data (SOURCED)'!E4</f>
        <v>72</v>
      </c>
      <c r="H4" s="12" t="n">
        <f aca="false">'Layer A — raw data (SOURCED)'!H4</f>
        <v>5.5</v>
      </c>
      <c r="I4" s="12" t="n">
        <f aca="false">'Layer A — raw data (SOURCED)'!K4</f>
        <v>0</v>
      </c>
      <c r="J4" s="12" t="str">
        <f aca="false">'Layer A — raw data (SOURCED)'!L4</f>
        <v/>
      </c>
      <c r="K4" s="13" t="str">
        <f aca="false">IFERROR(INDEX('Layer B — pod writeups'!$B:$B,MATCH('Layer A — raw data (SOURCED)'!$A4,'Layer B — pod writeups'!$A:$A,0)),"")</f>
        <v/>
      </c>
      <c r="L4" s="13" t="str">
        <f aca="false">IFERROR(textjoin(" | ",TRUE(),IF(INDEX('Layer B — pod writeups'!$C:$C,MATCH('Layer A — raw data (SOURCED)'!$A4,'Layer B — pod writeups'!$A:$A,0))="","","HC "&amp;INDEX('Layer B — pod writeups'!$C:$C,MATCH('Layer A — raw data (SOURCED)'!$A4,'Layer B — pod writeups'!$A:$A,0))),IF(INDEX('Layer B — pod writeups'!$D:$D,MATCH('Layer A — raw data (SOURCED)'!$A4,'Layer B — pod writeups'!$A:$A,0))="","","OC "&amp;INDEX('Layer B — pod writeups'!$D:$D,MATCH('Layer A — raw data (SOURCED)'!$A4,'Layer B — pod writeups'!$A:$A,0))),IF(INDEX('Layer B — pod writeups'!$E:$E,MATCH('Layer A — raw data (SOURCED)'!$A4,'Layer B — pod writeups'!$A:$A,0))="","","DC "&amp;INDEX('Layer B — pod writeups'!$E:$E,MATCH('Layer A — raw data (SOURCED)'!$A4,'Layer B — pod writeups'!$A:$A,0)))),"")</f>
        <v/>
      </c>
      <c r="M4" s="12" t="str">
        <f aca="false">IFERROR(INDEX('Layer B — pod writeups'!$F:$F,MATCH('Layer A — raw data (SOURCED)'!$A4,'Layer B — pod writeups'!$A:$A,0)),"")</f>
        <v/>
      </c>
      <c r="N4" s="12" t="str">
        <f aca="false">IFERROR(INDEX('Layer B — pod writeups'!$K:$K,MATCH('Layer A — raw data (SOURCED)'!$A4,'Layer B — pod writeups'!$A:$A,0)),"")</f>
        <v/>
      </c>
      <c r="O4" s="12" t="str">
        <f aca="false">IFERROR(textjoin(" ",TRUE(),IF(INDEX('Layer B — pod writeups'!$G:$G,MATCH('Layer A — raw data (SOURCED)'!$A4,'Layer B — pod writeups'!$A:$A,0))="Y","DH",""),IF(INDEX('Layer B — pod writeups'!$H:$H,MATCH('Layer A — raw data (SOURCED)'!$A4,'Layer B — pod writeups'!$A:$A,0))="Y","FADE",""),IF(INDEX('Layer B — pod writeups'!$I:$I,MATCH('Layer A — raw data (SOURCED)'!$A4,'Layer B — pod writeups'!$A:$A,0))="Y","SPLIT",""),IF(INDEX('Layer B — pod writeups'!$J:$J,MATCH('Layer A — raw data (SOURCED)'!$A4,'Layer B — pod writeups'!$A:$A,0))="Y","VAR","")),"")</f>
        <v/>
      </c>
      <c r="P4" s="13" t="str">
        <f aca="false">IFERROR(INDEX('Layer B — pod writeups'!$L:$L,MATCH('Layer A — raw data (SOURCED)'!$A4,'Layer B — pod writeups'!$A:$A,0)),"")</f>
        <v/>
      </c>
      <c r="Q4" s="13" t="str">
        <f aca="false">IFERROR(INDEX('Layer B — pod writeups'!$N:$N,MATCH('Layer A — raw data (SOURCED)'!$A4,'Layer B — pod writeups'!$A:$A,0)),"")</f>
        <v/>
      </c>
    </row>
    <row r="5" customFormat="false" ht="15" hidden="false" customHeight="true" outlineLevel="0" collapsed="false">
      <c r="A5" s="12" t="str">
        <f aca="false">'Layer A — raw data (SOURCED)'!O5</f>
        <v>SEC</v>
      </c>
      <c r="B5" s="12" t="str">
        <f aca="false">'Layer A — raw data (SOURCED)'!A5</f>
        <v>Georgia</v>
      </c>
      <c r="C5" s="13" t="str">
        <f aca="false">'Layer A — raw data (SOURCED)'!O5</f>
        <v>SEC</v>
      </c>
      <c r="D5" s="12" t="n">
        <f aca="false">'Layer A — raw data (SOURCED)'!B5</f>
        <v>9.5</v>
      </c>
      <c r="E5" s="12" t="n">
        <f aca="false">'Layer A — raw data (SOURCED)'!C5</f>
        <v>4</v>
      </c>
      <c r="F5" s="12" t="n">
        <f aca="false">'Layer A — raw data (SOURCED)'!D5</f>
        <v>25.5</v>
      </c>
      <c r="G5" s="12" t="n">
        <f aca="false">'Layer A — raw data (SOURCED)'!E5</f>
        <v>68</v>
      </c>
      <c r="H5" s="12" t="n">
        <f aca="false">'Layer A — raw data (SOURCED)'!H5</f>
        <v>8</v>
      </c>
      <c r="I5" s="12" t="n">
        <f aca="false">'Layer A — raw data (SOURCED)'!K5</f>
        <v>0</v>
      </c>
      <c r="J5" s="12" t="str">
        <f aca="false">'Layer A — raw data (SOURCED)'!L5</f>
        <v/>
      </c>
      <c r="K5" s="13" t="str">
        <f aca="false">IFERROR(INDEX('Layer B — pod writeups'!$B:$B,MATCH('Layer A — raw data (SOURCED)'!$A5,'Layer B — pod writeups'!$A:$A,0)),"")</f>
        <v/>
      </c>
      <c r="L5" s="13" t="str">
        <f aca="false">IFERROR(textjoin(" | ",TRUE(),IF(INDEX('Layer B — pod writeups'!$C:$C,MATCH('Layer A — raw data (SOURCED)'!$A5,'Layer B — pod writeups'!$A:$A,0))="","","HC "&amp;INDEX('Layer B — pod writeups'!$C:$C,MATCH('Layer A — raw data (SOURCED)'!$A5,'Layer B — pod writeups'!$A:$A,0))),IF(INDEX('Layer B — pod writeups'!$D:$D,MATCH('Layer A — raw data (SOURCED)'!$A5,'Layer B — pod writeups'!$A:$A,0))="","","OC "&amp;INDEX('Layer B — pod writeups'!$D:$D,MATCH('Layer A — raw data (SOURCED)'!$A5,'Layer B — pod writeups'!$A:$A,0))),IF(INDEX('Layer B — pod writeups'!$E:$E,MATCH('Layer A — raw data (SOURCED)'!$A5,'Layer B — pod writeups'!$A:$A,0))="","","DC "&amp;INDEX('Layer B — pod writeups'!$E:$E,MATCH('Layer A — raw data (SOURCED)'!$A5,'Layer B — pod writeups'!$A:$A,0)))),"")</f>
        <v/>
      </c>
      <c r="M5" s="12" t="str">
        <f aca="false">IFERROR(INDEX('Layer B — pod writeups'!$F:$F,MATCH('Layer A — raw data (SOURCED)'!$A5,'Layer B — pod writeups'!$A:$A,0)),"")</f>
        <v/>
      </c>
      <c r="N5" s="12" t="str">
        <f aca="false">IFERROR(INDEX('Layer B — pod writeups'!$K:$K,MATCH('Layer A — raw data (SOURCED)'!$A5,'Layer B — pod writeups'!$A:$A,0)),"")</f>
        <v/>
      </c>
      <c r="O5" s="12" t="str">
        <f aca="false">IFERROR(textjoin(" ",TRUE(),IF(INDEX('Layer B — pod writeups'!$G:$G,MATCH('Layer A — raw data (SOURCED)'!$A5,'Layer B — pod writeups'!$A:$A,0))="Y","DH",""),IF(INDEX('Layer B — pod writeups'!$H:$H,MATCH('Layer A — raw data (SOURCED)'!$A5,'Layer B — pod writeups'!$A:$A,0))="Y","FADE",""),IF(INDEX('Layer B — pod writeups'!$I:$I,MATCH('Layer A — raw data (SOURCED)'!$A5,'Layer B — pod writeups'!$A:$A,0))="Y","SPLIT",""),IF(INDEX('Layer B — pod writeups'!$J:$J,MATCH('Layer A — raw data (SOURCED)'!$A5,'Layer B — pod writeups'!$A:$A,0))="Y","VAR","")),"")</f>
        <v/>
      </c>
      <c r="P5" s="13" t="str">
        <f aca="false">IFERROR(INDEX('Layer B — pod writeups'!$L:$L,MATCH('Layer A — raw data (SOURCED)'!$A5,'Layer B — pod writeups'!$A:$A,0)),"")</f>
        <v/>
      </c>
      <c r="Q5" s="13" t="str">
        <f aca="false">IFERROR(INDEX('Layer B — pod writeups'!$N:$N,MATCH('Layer A — raw data (SOURCED)'!$A5,'Layer B — pod writeups'!$A:$A,0)),"")</f>
        <v/>
      </c>
    </row>
    <row r="6" customFormat="false" ht="15" hidden="false" customHeight="true" outlineLevel="0" collapsed="false">
      <c r="A6" s="12" t="str">
        <f aca="false">'Layer A — raw data (SOURCED)'!O6</f>
        <v>Big Ten</v>
      </c>
      <c r="B6" s="12" t="str">
        <f aca="false">'Layer A — raw data (SOURCED)'!A6</f>
        <v>Indiana</v>
      </c>
      <c r="C6" s="13" t="str">
        <f aca="false">'Layer A — raw data (SOURCED)'!O6</f>
        <v>Big Ten</v>
      </c>
      <c r="D6" s="12" t="n">
        <f aca="false">'Layer A — raw data (SOURCED)'!B6</f>
        <v>10.5</v>
      </c>
      <c r="E6" s="12" t="n">
        <f aca="false">'Layer A — raw data (SOURCED)'!C6</f>
        <v>5</v>
      </c>
      <c r="F6" s="12" t="n">
        <f aca="false">'Layer A — raw data (SOURCED)'!D6</f>
        <v>24.5</v>
      </c>
      <c r="G6" s="12" t="n">
        <f aca="false">'Layer A — raw data (SOURCED)'!E6</f>
        <v>56</v>
      </c>
      <c r="H6" s="12" t="n">
        <f aca="false">'Layer A — raw data (SOURCED)'!H6</f>
        <v>7.5</v>
      </c>
      <c r="I6" s="12" t="n">
        <f aca="false">'Layer A — raw data (SOURCED)'!K6</f>
        <v>0</v>
      </c>
      <c r="J6" s="12" t="str">
        <f aca="false">'Layer A — raw data (SOURCED)'!L6</f>
        <v/>
      </c>
      <c r="K6" s="13" t="str">
        <f aca="false">IFERROR(INDEX('Layer B — pod writeups'!$B:$B,MATCH('Layer A — raw data (SOURCED)'!$A6,'Layer B — pod writeups'!$A:$A,0)),"")</f>
        <v/>
      </c>
      <c r="L6" s="13" t="str">
        <f aca="false">IFERROR(textjoin(" | ",TRUE(),IF(INDEX('Layer B — pod writeups'!$C:$C,MATCH('Layer A — raw data (SOURCED)'!$A6,'Layer B — pod writeups'!$A:$A,0))="","","HC "&amp;INDEX('Layer B — pod writeups'!$C:$C,MATCH('Layer A — raw data (SOURCED)'!$A6,'Layer B — pod writeups'!$A:$A,0))),IF(INDEX('Layer B — pod writeups'!$D:$D,MATCH('Layer A — raw data (SOURCED)'!$A6,'Layer B — pod writeups'!$A:$A,0))="","","OC "&amp;INDEX('Layer B — pod writeups'!$D:$D,MATCH('Layer A — raw data (SOURCED)'!$A6,'Layer B — pod writeups'!$A:$A,0))),IF(INDEX('Layer B — pod writeups'!$E:$E,MATCH('Layer A — raw data (SOURCED)'!$A6,'Layer B — pod writeups'!$A:$A,0))="","","DC "&amp;INDEX('Layer B — pod writeups'!$E:$E,MATCH('Layer A — raw data (SOURCED)'!$A6,'Layer B — pod writeups'!$A:$A,0)))),"")</f>
        <v/>
      </c>
      <c r="M6" s="12" t="str">
        <f aca="false">IFERROR(INDEX('Layer B — pod writeups'!$F:$F,MATCH('Layer A — raw data (SOURCED)'!$A6,'Layer B — pod writeups'!$A:$A,0)),"")</f>
        <v/>
      </c>
      <c r="N6" s="12" t="str">
        <f aca="false">IFERROR(INDEX('Layer B — pod writeups'!$K:$K,MATCH('Layer A — raw data (SOURCED)'!$A6,'Layer B — pod writeups'!$A:$A,0)),"")</f>
        <v/>
      </c>
      <c r="O6" s="12" t="str">
        <f aca="false">IFERROR(textjoin(" ",TRUE(),IF(INDEX('Layer B — pod writeups'!$G:$G,MATCH('Layer A — raw data (SOURCED)'!$A6,'Layer B — pod writeups'!$A:$A,0))="Y","DH",""),IF(INDEX('Layer B — pod writeups'!$H:$H,MATCH('Layer A — raw data (SOURCED)'!$A6,'Layer B — pod writeups'!$A:$A,0))="Y","FADE",""),IF(INDEX('Layer B — pod writeups'!$I:$I,MATCH('Layer A — raw data (SOURCED)'!$A6,'Layer B — pod writeups'!$A:$A,0))="Y","SPLIT",""),IF(INDEX('Layer B — pod writeups'!$J:$J,MATCH('Layer A — raw data (SOURCED)'!$A6,'Layer B — pod writeups'!$A:$A,0))="Y","VAR","")),"")</f>
        <v/>
      </c>
      <c r="P6" s="13" t="str">
        <f aca="false">IFERROR(INDEX('Layer B — pod writeups'!$L:$L,MATCH('Layer A — raw data (SOURCED)'!$A6,'Layer B — pod writeups'!$A:$A,0)),"")</f>
        <v/>
      </c>
      <c r="Q6" s="13" t="str">
        <f aca="false">IFERROR(INDEX('Layer B — pod writeups'!$N:$N,MATCH('Layer A — raw data (SOURCED)'!$A6,'Layer B — pod writeups'!$A:$A,0)),"")</f>
        <v/>
      </c>
    </row>
    <row r="7" customFormat="false" ht="15" hidden="false" customHeight="true" outlineLevel="0" collapsed="false">
      <c r="A7" s="12" t="str">
        <f aca="false">'Layer A — raw data (SOURCED)'!O7</f>
        <v>SEC</v>
      </c>
      <c r="B7" s="12" t="str">
        <f aca="false">'Layer A — raw data (SOURCED)'!A7</f>
        <v>Texas</v>
      </c>
      <c r="C7" s="13" t="str">
        <f aca="false">'Layer A — raw data (SOURCED)'!O7</f>
        <v>SEC</v>
      </c>
      <c r="D7" s="12" t="n">
        <f aca="false">'Layer A — raw data (SOURCED)'!B7</f>
        <v>9.5</v>
      </c>
      <c r="E7" s="12" t="n">
        <f aca="false">'Layer A — raw data (SOURCED)'!C7</f>
        <v>6</v>
      </c>
      <c r="F7" s="12" t="n">
        <f aca="false">'Layer A — raw data (SOURCED)'!D7</f>
        <v>23.7</v>
      </c>
      <c r="G7" s="12" t="n">
        <f aca="false">'Layer A — raw data (SOURCED)'!E7</f>
        <v>68</v>
      </c>
      <c r="H7" s="12" t="n">
        <f aca="false">'Layer A — raw data (SOURCED)'!H7</f>
        <v>10.5</v>
      </c>
      <c r="I7" s="12" t="n">
        <f aca="false">'Layer A — raw data (SOURCED)'!K7</f>
        <v>0</v>
      </c>
      <c r="J7" s="12" t="str">
        <f aca="false">'Layer A — raw data (SOURCED)'!L7</f>
        <v/>
      </c>
      <c r="K7" s="13" t="str">
        <f aca="false">IFERROR(INDEX('Layer B — pod writeups'!$B:$B,MATCH('Layer A — raw data (SOURCED)'!$A7,'Layer B — pod writeups'!$A:$A,0)),"")</f>
        <v/>
      </c>
      <c r="L7" s="13" t="str">
        <f aca="false">IFERROR(textjoin(" | ",TRUE(),IF(INDEX('Layer B — pod writeups'!$C:$C,MATCH('Layer A — raw data (SOURCED)'!$A7,'Layer B — pod writeups'!$A:$A,0))="","","HC "&amp;INDEX('Layer B — pod writeups'!$C:$C,MATCH('Layer A — raw data (SOURCED)'!$A7,'Layer B — pod writeups'!$A:$A,0))),IF(INDEX('Layer B — pod writeups'!$D:$D,MATCH('Layer A — raw data (SOURCED)'!$A7,'Layer B — pod writeups'!$A:$A,0))="","","OC "&amp;INDEX('Layer B — pod writeups'!$D:$D,MATCH('Layer A — raw data (SOURCED)'!$A7,'Layer B — pod writeups'!$A:$A,0))),IF(INDEX('Layer B — pod writeups'!$E:$E,MATCH('Layer A — raw data (SOURCED)'!$A7,'Layer B — pod writeups'!$A:$A,0))="","","DC "&amp;INDEX('Layer B — pod writeups'!$E:$E,MATCH('Layer A — raw data (SOURCED)'!$A7,'Layer B — pod writeups'!$A:$A,0)))),"")</f>
        <v/>
      </c>
      <c r="M7" s="12" t="str">
        <f aca="false">IFERROR(INDEX('Layer B — pod writeups'!$F:$F,MATCH('Layer A — raw data (SOURCED)'!$A7,'Layer B — pod writeups'!$A:$A,0)),"")</f>
        <v/>
      </c>
      <c r="N7" s="12" t="str">
        <f aca="false">IFERROR(INDEX('Layer B — pod writeups'!$K:$K,MATCH('Layer A — raw data (SOURCED)'!$A7,'Layer B — pod writeups'!$A:$A,0)),"")</f>
        <v/>
      </c>
      <c r="O7" s="12" t="str">
        <f aca="false">IFERROR(textjoin(" ",TRUE(),IF(INDEX('Layer B — pod writeups'!$G:$G,MATCH('Layer A — raw data (SOURCED)'!$A7,'Layer B — pod writeups'!$A:$A,0))="Y","DH",""),IF(INDEX('Layer B — pod writeups'!$H:$H,MATCH('Layer A — raw data (SOURCED)'!$A7,'Layer B — pod writeups'!$A:$A,0))="Y","FADE",""),IF(INDEX('Layer B — pod writeups'!$I:$I,MATCH('Layer A — raw data (SOURCED)'!$A7,'Layer B — pod writeups'!$A:$A,0))="Y","SPLIT",""),IF(INDEX('Layer B — pod writeups'!$J:$J,MATCH('Layer A — raw data (SOURCED)'!$A7,'Layer B — pod writeups'!$A:$A,0))="Y","VAR","")),"")</f>
        <v/>
      </c>
      <c r="P7" s="13" t="str">
        <f aca="false">IFERROR(INDEX('Layer B — pod writeups'!$L:$L,MATCH('Layer A — raw data (SOURCED)'!$A7,'Layer B — pod writeups'!$A:$A,0)),"")</f>
        <v/>
      </c>
      <c r="Q7" s="13" t="str">
        <f aca="false">IFERROR(INDEX('Layer B — pod writeups'!$N:$N,MATCH('Layer A — raw data (SOURCED)'!$A7,'Layer B — pod writeups'!$A:$A,0)),"")</f>
        <v/>
      </c>
    </row>
    <row r="8" customFormat="false" ht="15" hidden="false" customHeight="true" outlineLevel="0" collapsed="false">
      <c r="A8" s="12" t="str">
        <f aca="false">'Layer A — raw data (SOURCED)'!O8</f>
        <v>Big 12</v>
      </c>
      <c r="B8" s="12" t="str">
        <f aca="false">'Layer A — raw data (SOURCED)'!A8</f>
        <v>Texas Tech</v>
      </c>
      <c r="C8" s="13" t="str">
        <f aca="false">'Layer A — raw data (SOURCED)'!O8</f>
        <v>Big 12</v>
      </c>
      <c r="D8" s="12" t="n">
        <f aca="false">'Layer A — raw data (SOURCED)'!B8</f>
        <v>10.5</v>
      </c>
      <c r="E8" s="12" t="n">
        <f aca="false">'Layer A — raw data (SOURCED)'!C8</f>
        <v>7</v>
      </c>
      <c r="F8" s="12" t="n">
        <f aca="false">'Layer A — raw data (SOURCED)'!D8</f>
        <v>23.1</v>
      </c>
      <c r="G8" s="12" t="n">
        <f aca="false">'Layer A — raw data (SOURCED)'!E8</f>
        <v>65</v>
      </c>
      <c r="H8" s="12" t="n">
        <f aca="false">'Layer A — raw data (SOURCED)'!H8</f>
        <v>11</v>
      </c>
      <c r="I8" s="12" t="n">
        <f aca="false">'Layer A — raw data (SOURCED)'!K8</f>
        <v>0</v>
      </c>
      <c r="J8" s="12" t="str">
        <f aca="false">'Layer A — raw data (SOURCED)'!L8</f>
        <v/>
      </c>
      <c r="K8" s="13" t="str">
        <f aca="false">IFERROR(INDEX('Layer B — pod writeups'!$B:$B,MATCH('Layer A — raw data (SOURCED)'!$A8,'Layer B — pod writeups'!$A:$A,0)),"")</f>
        <v/>
      </c>
      <c r="L8" s="13" t="str">
        <f aca="false">IFERROR(textjoin(" | ",TRUE(),IF(INDEX('Layer B — pod writeups'!$C:$C,MATCH('Layer A — raw data (SOURCED)'!$A8,'Layer B — pod writeups'!$A:$A,0))="","","HC "&amp;INDEX('Layer B — pod writeups'!$C:$C,MATCH('Layer A — raw data (SOURCED)'!$A8,'Layer B — pod writeups'!$A:$A,0))),IF(INDEX('Layer B — pod writeups'!$D:$D,MATCH('Layer A — raw data (SOURCED)'!$A8,'Layer B — pod writeups'!$A:$A,0))="","","OC "&amp;INDEX('Layer B — pod writeups'!$D:$D,MATCH('Layer A — raw data (SOURCED)'!$A8,'Layer B — pod writeups'!$A:$A,0))),IF(INDEX('Layer B — pod writeups'!$E:$E,MATCH('Layer A — raw data (SOURCED)'!$A8,'Layer B — pod writeups'!$A:$A,0))="","","DC "&amp;INDEX('Layer B — pod writeups'!$E:$E,MATCH('Layer A — raw data (SOURCED)'!$A8,'Layer B — pod writeups'!$A:$A,0)))),"")</f>
        <v/>
      </c>
      <c r="M8" s="12" t="str">
        <f aca="false">IFERROR(INDEX('Layer B — pod writeups'!$F:$F,MATCH('Layer A — raw data (SOURCED)'!$A8,'Layer B — pod writeups'!$A:$A,0)),"")</f>
        <v/>
      </c>
      <c r="N8" s="12" t="str">
        <f aca="false">IFERROR(INDEX('Layer B — pod writeups'!$K:$K,MATCH('Layer A — raw data (SOURCED)'!$A8,'Layer B — pod writeups'!$A:$A,0)),"")</f>
        <v/>
      </c>
      <c r="O8" s="12" t="str">
        <f aca="false">IFERROR(textjoin(" ",TRUE(),IF(INDEX('Layer B — pod writeups'!$G:$G,MATCH('Layer A — raw data (SOURCED)'!$A8,'Layer B — pod writeups'!$A:$A,0))="Y","DH",""),IF(INDEX('Layer B — pod writeups'!$H:$H,MATCH('Layer A — raw data (SOURCED)'!$A8,'Layer B — pod writeups'!$A:$A,0))="Y","FADE",""),IF(INDEX('Layer B — pod writeups'!$I:$I,MATCH('Layer A — raw data (SOURCED)'!$A8,'Layer B — pod writeups'!$A:$A,0))="Y","SPLIT",""),IF(INDEX('Layer B — pod writeups'!$J:$J,MATCH('Layer A — raw data (SOURCED)'!$A8,'Layer B — pod writeups'!$A:$A,0))="Y","VAR","")),"")</f>
        <v/>
      </c>
      <c r="P8" s="13" t="str">
        <f aca="false">IFERROR(INDEX('Layer B — pod writeups'!$L:$L,MATCH('Layer A — raw data (SOURCED)'!$A8,'Layer B — pod writeups'!$A:$A,0)),"")</f>
        <v/>
      </c>
      <c r="Q8" s="13" t="str">
        <f aca="false">IFERROR(INDEX('Layer B — pod writeups'!$N:$N,MATCH('Layer A — raw data (SOURCED)'!$A8,'Layer B — pod writeups'!$A:$A,0)),"")</f>
        <v/>
      </c>
    </row>
    <row r="9" customFormat="false" ht="15" hidden="false" customHeight="true" outlineLevel="0" collapsed="false">
      <c r="A9" s="12" t="str">
        <f aca="false">'Layer A — raw data (SOURCED)'!O9</f>
        <v>ACC</v>
      </c>
      <c r="B9" s="12" t="str">
        <f aca="false">'Layer A — raw data (SOURCED)'!A9</f>
        <v>Miami FL</v>
      </c>
      <c r="C9" s="13" t="str">
        <f aca="false">'Layer A — raw data (SOURCED)'!O9</f>
        <v>ACC</v>
      </c>
      <c r="D9" s="12" t="n">
        <f aca="false">'Layer A — raw data (SOURCED)'!B9</f>
        <v>10.5</v>
      </c>
      <c r="E9" s="12" t="n">
        <f aca="false">'Layer A — raw data (SOURCED)'!C9</f>
        <v>8</v>
      </c>
      <c r="F9" s="12" t="n">
        <f aca="false">'Layer A — raw data (SOURCED)'!D9</f>
        <v>21</v>
      </c>
      <c r="G9" s="12" t="n">
        <f aca="false">'Layer A — raw data (SOURCED)'!E9</f>
        <v>49</v>
      </c>
      <c r="H9" s="12" t="n">
        <f aca="false">'Layer A — raw data (SOURCED)'!H9</f>
        <v>4.5</v>
      </c>
      <c r="I9" s="12" t="n">
        <f aca="false">'Layer A — raw data (SOURCED)'!K9</f>
        <v>0</v>
      </c>
      <c r="J9" s="12" t="str">
        <f aca="false">'Layer A — raw data (SOURCED)'!L9</f>
        <v/>
      </c>
      <c r="K9" s="13" t="str">
        <f aca="false">IFERROR(INDEX('Layer B — pod writeups'!$B:$B,MATCH('Layer A — raw data (SOURCED)'!$A9,'Layer B — pod writeups'!$A:$A,0)),"")</f>
        <v/>
      </c>
      <c r="L9" s="13" t="str">
        <f aca="false">IFERROR(textjoin(" | ",TRUE(),IF(INDEX('Layer B — pod writeups'!$C:$C,MATCH('Layer A — raw data (SOURCED)'!$A9,'Layer B — pod writeups'!$A:$A,0))="","","HC "&amp;INDEX('Layer B — pod writeups'!$C:$C,MATCH('Layer A — raw data (SOURCED)'!$A9,'Layer B — pod writeups'!$A:$A,0))),IF(INDEX('Layer B — pod writeups'!$D:$D,MATCH('Layer A — raw data (SOURCED)'!$A9,'Layer B — pod writeups'!$A:$A,0))="","","OC "&amp;INDEX('Layer B — pod writeups'!$D:$D,MATCH('Layer A — raw data (SOURCED)'!$A9,'Layer B — pod writeups'!$A:$A,0))),IF(INDEX('Layer B — pod writeups'!$E:$E,MATCH('Layer A — raw data (SOURCED)'!$A9,'Layer B — pod writeups'!$A:$A,0))="","","DC "&amp;INDEX('Layer B — pod writeups'!$E:$E,MATCH('Layer A — raw data (SOURCED)'!$A9,'Layer B — pod writeups'!$A:$A,0)))),"")</f>
        <v/>
      </c>
      <c r="M9" s="12" t="str">
        <f aca="false">IFERROR(INDEX('Layer B — pod writeups'!$F:$F,MATCH('Layer A — raw data (SOURCED)'!$A9,'Layer B — pod writeups'!$A:$A,0)),"")</f>
        <v/>
      </c>
      <c r="N9" s="12" t="str">
        <f aca="false">IFERROR(INDEX('Layer B — pod writeups'!$K:$K,MATCH('Layer A — raw data (SOURCED)'!$A9,'Layer B — pod writeups'!$A:$A,0)),"")</f>
        <v/>
      </c>
      <c r="O9" s="12" t="str">
        <f aca="false">IFERROR(textjoin(" ",TRUE(),IF(INDEX('Layer B — pod writeups'!$G:$G,MATCH('Layer A — raw data (SOURCED)'!$A9,'Layer B — pod writeups'!$A:$A,0))="Y","DH",""),IF(INDEX('Layer B — pod writeups'!$H:$H,MATCH('Layer A — raw data (SOURCED)'!$A9,'Layer B — pod writeups'!$A:$A,0))="Y","FADE",""),IF(INDEX('Layer B — pod writeups'!$I:$I,MATCH('Layer A — raw data (SOURCED)'!$A9,'Layer B — pod writeups'!$A:$A,0))="Y","SPLIT",""),IF(INDEX('Layer B — pod writeups'!$J:$J,MATCH('Layer A — raw data (SOURCED)'!$A9,'Layer B — pod writeups'!$A:$A,0))="Y","VAR","")),"")</f>
        <v/>
      </c>
      <c r="P9" s="13" t="str">
        <f aca="false">IFERROR(INDEX('Layer B — pod writeups'!$L:$L,MATCH('Layer A — raw data (SOURCED)'!$A9,'Layer B — pod writeups'!$A:$A,0)),"")</f>
        <v/>
      </c>
      <c r="Q9" s="13" t="str">
        <f aca="false">IFERROR(INDEX('Layer B — pod writeups'!$N:$N,MATCH('Layer A — raw data (SOURCED)'!$A9,'Layer B — pod writeups'!$A:$A,0)),"")</f>
        <v/>
      </c>
    </row>
    <row r="10" customFormat="false" ht="15" hidden="false" customHeight="true" outlineLevel="0" collapsed="false">
      <c r="A10" s="12" t="str">
        <f aca="false">'Layer A — raw data (SOURCED)'!O10</f>
        <v>SEC</v>
      </c>
      <c r="B10" s="12" t="str">
        <f aca="false">'Layer A — raw data (SOURCED)'!A10</f>
        <v>Texas A&amp;M</v>
      </c>
      <c r="C10" s="13" t="str">
        <f aca="false">'Layer A — raw data (SOURCED)'!O10</f>
        <v>SEC</v>
      </c>
      <c r="D10" s="12" t="n">
        <f aca="false">'Layer A — raw data (SOURCED)'!B10</f>
        <v>8.5</v>
      </c>
      <c r="E10" s="12" t="n">
        <f aca="false">'Layer A — raw data (SOURCED)'!C10</f>
        <v>9</v>
      </c>
      <c r="F10" s="12" t="n">
        <f aca="false">'Layer A — raw data (SOURCED)'!D10</f>
        <v>20.3</v>
      </c>
      <c r="G10" s="12" t="n">
        <f aca="false">'Layer A — raw data (SOURCED)'!E10</f>
        <v>65</v>
      </c>
      <c r="H10" s="12" t="n">
        <f aca="false">'Layer A — raw data (SOURCED)'!H10</f>
        <v>8.5</v>
      </c>
      <c r="I10" s="12" t="n">
        <f aca="false">'Layer A — raw data (SOURCED)'!K10</f>
        <v>0</v>
      </c>
      <c r="J10" s="12" t="str">
        <f aca="false">'Layer A — raw data (SOURCED)'!L10</f>
        <v/>
      </c>
      <c r="K10" s="13" t="str">
        <f aca="false">IFERROR(INDEX('Layer B — pod writeups'!$B:$B,MATCH('Layer A — raw data (SOURCED)'!$A10,'Layer B — pod writeups'!$A:$A,0)),"")</f>
        <v/>
      </c>
      <c r="L10" s="13" t="str">
        <f aca="false">IFERROR(textjoin(" | ",TRUE(),IF(INDEX('Layer B — pod writeups'!$C:$C,MATCH('Layer A — raw data (SOURCED)'!$A10,'Layer B — pod writeups'!$A:$A,0))="","","HC "&amp;INDEX('Layer B — pod writeups'!$C:$C,MATCH('Layer A — raw data (SOURCED)'!$A10,'Layer B — pod writeups'!$A:$A,0))),IF(INDEX('Layer B — pod writeups'!$D:$D,MATCH('Layer A — raw data (SOURCED)'!$A10,'Layer B — pod writeups'!$A:$A,0))="","","OC "&amp;INDEX('Layer B — pod writeups'!$D:$D,MATCH('Layer A — raw data (SOURCED)'!$A10,'Layer B — pod writeups'!$A:$A,0))),IF(INDEX('Layer B — pod writeups'!$E:$E,MATCH('Layer A — raw data (SOURCED)'!$A10,'Layer B — pod writeups'!$A:$A,0))="","","DC "&amp;INDEX('Layer B — pod writeups'!$E:$E,MATCH('Layer A — raw data (SOURCED)'!$A10,'Layer B — pod writeups'!$A:$A,0)))),"")</f>
        <v/>
      </c>
      <c r="M10" s="12" t="str">
        <f aca="false">IFERROR(INDEX('Layer B — pod writeups'!$F:$F,MATCH('Layer A — raw data (SOURCED)'!$A10,'Layer B — pod writeups'!$A:$A,0)),"")</f>
        <v/>
      </c>
      <c r="N10" s="12" t="str">
        <f aca="false">IFERROR(INDEX('Layer B — pod writeups'!$K:$K,MATCH('Layer A — raw data (SOURCED)'!$A10,'Layer B — pod writeups'!$A:$A,0)),"")</f>
        <v/>
      </c>
      <c r="O10" s="12" t="str">
        <f aca="false">IFERROR(textjoin(" ",TRUE(),IF(INDEX('Layer B — pod writeups'!$G:$G,MATCH('Layer A — raw data (SOURCED)'!$A10,'Layer B — pod writeups'!$A:$A,0))="Y","DH",""),IF(INDEX('Layer B — pod writeups'!$H:$H,MATCH('Layer A — raw data (SOURCED)'!$A10,'Layer B — pod writeups'!$A:$A,0))="Y","FADE",""),IF(INDEX('Layer B — pod writeups'!$I:$I,MATCH('Layer A — raw data (SOURCED)'!$A10,'Layer B — pod writeups'!$A:$A,0))="Y","SPLIT",""),IF(INDEX('Layer B — pod writeups'!$J:$J,MATCH('Layer A — raw data (SOURCED)'!$A10,'Layer B — pod writeups'!$A:$A,0))="Y","VAR","")),"")</f>
        <v/>
      </c>
      <c r="P10" s="13" t="str">
        <f aca="false">IFERROR(INDEX('Layer B — pod writeups'!$L:$L,MATCH('Layer A — raw data (SOURCED)'!$A10,'Layer B — pod writeups'!$A:$A,0)),"")</f>
        <v/>
      </c>
      <c r="Q10" s="13" t="str">
        <f aca="false">IFERROR(INDEX('Layer B — pod writeups'!$N:$N,MATCH('Layer A — raw data (SOURCED)'!$A10,'Layer B — pod writeups'!$A:$A,0)),"")</f>
        <v/>
      </c>
    </row>
    <row r="11" customFormat="false" ht="15" hidden="false" customHeight="true" outlineLevel="0" collapsed="false">
      <c r="A11" s="12" t="str">
        <f aca="false">'Layer A — raw data (SOURCED)'!O11</f>
        <v>SEC</v>
      </c>
      <c r="B11" s="12" t="str">
        <f aca="false">'Layer A — raw data (SOURCED)'!A11</f>
        <v>LSU</v>
      </c>
      <c r="C11" s="13" t="str">
        <f aca="false">'Layer A — raw data (SOURCED)'!O11</f>
        <v>SEC</v>
      </c>
      <c r="D11" s="12" t="n">
        <f aca="false">'Layer A — raw data (SOURCED)'!B11</f>
        <v>8.5</v>
      </c>
      <c r="E11" s="12" t="n">
        <f aca="false">'Layer A — raw data (SOURCED)'!C11</f>
        <v>10</v>
      </c>
      <c r="F11" s="12" t="n">
        <f aca="false">'Layer A — raw data (SOURCED)'!D11</f>
        <v>20.2</v>
      </c>
      <c r="G11" s="12" t="n">
        <f aca="false">'Layer A — raw data (SOURCED)'!E11</f>
        <v>61</v>
      </c>
      <c r="H11" s="12" t="n">
        <f aca="false">'Layer A — raw data (SOURCED)'!H11</f>
        <v>10.5</v>
      </c>
      <c r="I11" s="12" t="n">
        <f aca="false">'Layer A — raw data (SOURCED)'!K11</f>
        <v>0</v>
      </c>
      <c r="J11" s="12" t="str">
        <f aca="false">'Layer A — raw data (SOURCED)'!L11</f>
        <v/>
      </c>
      <c r="K11" s="13" t="str">
        <f aca="false">IFERROR(INDEX('Layer B — pod writeups'!$B:$B,MATCH('Layer A — raw data (SOURCED)'!$A11,'Layer B — pod writeups'!$A:$A,0)),"")</f>
        <v/>
      </c>
      <c r="L11" s="13" t="str">
        <f aca="false">IFERROR(textjoin(" | ",TRUE(),IF(INDEX('Layer B — pod writeups'!$C:$C,MATCH('Layer A — raw data (SOURCED)'!$A11,'Layer B — pod writeups'!$A:$A,0))="","","HC "&amp;INDEX('Layer B — pod writeups'!$C:$C,MATCH('Layer A — raw data (SOURCED)'!$A11,'Layer B — pod writeups'!$A:$A,0))),IF(INDEX('Layer B — pod writeups'!$D:$D,MATCH('Layer A — raw data (SOURCED)'!$A11,'Layer B — pod writeups'!$A:$A,0))="","","OC "&amp;INDEX('Layer B — pod writeups'!$D:$D,MATCH('Layer A — raw data (SOURCED)'!$A11,'Layer B — pod writeups'!$A:$A,0))),IF(INDEX('Layer B — pod writeups'!$E:$E,MATCH('Layer A — raw data (SOURCED)'!$A11,'Layer B — pod writeups'!$A:$A,0))="","","DC "&amp;INDEX('Layer B — pod writeups'!$E:$E,MATCH('Layer A — raw data (SOURCED)'!$A11,'Layer B — pod writeups'!$A:$A,0)))),"")</f>
        <v/>
      </c>
      <c r="M11" s="12" t="str">
        <f aca="false">IFERROR(INDEX('Layer B — pod writeups'!$F:$F,MATCH('Layer A — raw data (SOURCED)'!$A11,'Layer B — pod writeups'!$A:$A,0)),"")</f>
        <v/>
      </c>
      <c r="N11" s="12" t="str">
        <f aca="false">IFERROR(INDEX('Layer B — pod writeups'!$K:$K,MATCH('Layer A — raw data (SOURCED)'!$A11,'Layer B — pod writeups'!$A:$A,0)),"")</f>
        <v/>
      </c>
      <c r="O11" s="12" t="str">
        <f aca="false">IFERROR(textjoin(" ",TRUE(),IF(INDEX('Layer B — pod writeups'!$G:$G,MATCH('Layer A — raw data (SOURCED)'!$A11,'Layer B — pod writeups'!$A:$A,0))="Y","DH",""),IF(INDEX('Layer B — pod writeups'!$H:$H,MATCH('Layer A — raw data (SOURCED)'!$A11,'Layer B — pod writeups'!$A:$A,0))="Y","FADE",""),IF(INDEX('Layer B — pod writeups'!$I:$I,MATCH('Layer A — raw data (SOURCED)'!$A11,'Layer B — pod writeups'!$A:$A,0))="Y","SPLIT",""),IF(INDEX('Layer B — pod writeups'!$J:$J,MATCH('Layer A — raw data (SOURCED)'!$A11,'Layer B — pod writeups'!$A:$A,0))="Y","VAR","")),"")</f>
        <v/>
      </c>
      <c r="P11" s="13" t="str">
        <f aca="false">IFERROR(INDEX('Layer B — pod writeups'!$L:$L,MATCH('Layer A — raw data (SOURCED)'!$A11,'Layer B — pod writeups'!$A:$A,0)),"")</f>
        <v/>
      </c>
      <c r="Q11" s="13" t="str">
        <f aca="false">IFERROR(INDEX('Layer B — pod writeups'!$N:$N,MATCH('Layer A — raw data (SOURCED)'!$A11,'Layer B — pod writeups'!$A:$A,0)),"")</f>
        <v/>
      </c>
    </row>
    <row r="12" customFormat="false" ht="15" hidden="false" customHeight="true" outlineLevel="0" collapsed="false">
      <c r="A12" s="12" t="str">
        <f aca="false">'Layer A — raw data (SOURCED)'!O12</f>
        <v>SEC</v>
      </c>
      <c r="B12" s="12" t="str">
        <f aca="false">'Layer A — raw data (SOURCED)'!A12</f>
        <v>Alabama</v>
      </c>
      <c r="C12" s="13" t="str">
        <f aca="false">'Layer A — raw data (SOURCED)'!O12</f>
        <v>SEC</v>
      </c>
      <c r="D12" s="12" t="n">
        <f aca="false">'Layer A — raw data (SOURCED)'!B12</f>
        <v>8.5</v>
      </c>
      <c r="E12" s="12" t="n">
        <f aca="false">'Layer A — raw data (SOURCED)'!C12</f>
        <v>11</v>
      </c>
      <c r="F12" s="12" t="n">
        <f aca="false">'Layer A — raw data (SOURCED)'!D12</f>
        <v>18.2</v>
      </c>
      <c r="G12" s="12" t="n">
        <f aca="false">'Layer A — raw data (SOURCED)'!E12</f>
        <v>48</v>
      </c>
      <c r="H12" s="12" t="n">
        <f aca="false">'Layer A — raw data (SOURCED)'!H12</f>
        <v>-2</v>
      </c>
      <c r="I12" s="12" t="n">
        <f aca="false">'Layer A — raw data (SOURCED)'!K12</f>
        <v>0</v>
      </c>
      <c r="J12" s="12" t="str">
        <f aca="false">'Layer A — raw data (SOURCED)'!L12</f>
        <v/>
      </c>
      <c r="K12" s="13" t="str">
        <f aca="false">IFERROR(INDEX('Layer B — pod writeups'!$B:$B,MATCH('Layer A — raw data (SOURCED)'!$A12,'Layer B — pod writeups'!$A:$A,0)),"")</f>
        <v/>
      </c>
      <c r="L12" s="13" t="str">
        <f aca="false">IFERROR(textjoin(" | ",TRUE(),IF(INDEX('Layer B — pod writeups'!$C:$C,MATCH('Layer A — raw data (SOURCED)'!$A12,'Layer B — pod writeups'!$A:$A,0))="","","HC "&amp;INDEX('Layer B — pod writeups'!$C:$C,MATCH('Layer A — raw data (SOURCED)'!$A12,'Layer B — pod writeups'!$A:$A,0))),IF(INDEX('Layer B — pod writeups'!$D:$D,MATCH('Layer A — raw data (SOURCED)'!$A12,'Layer B — pod writeups'!$A:$A,0))="","","OC "&amp;INDEX('Layer B — pod writeups'!$D:$D,MATCH('Layer A — raw data (SOURCED)'!$A12,'Layer B — pod writeups'!$A:$A,0))),IF(INDEX('Layer B — pod writeups'!$E:$E,MATCH('Layer A — raw data (SOURCED)'!$A12,'Layer B — pod writeups'!$A:$A,0))="","","DC "&amp;INDEX('Layer B — pod writeups'!$E:$E,MATCH('Layer A — raw data (SOURCED)'!$A12,'Layer B — pod writeups'!$A:$A,0)))),"")</f>
        <v/>
      </c>
      <c r="M12" s="12" t="str">
        <f aca="false">IFERROR(INDEX('Layer B — pod writeups'!$F:$F,MATCH('Layer A — raw data (SOURCED)'!$A12,'Layer B — pod writeups'!$A:$A,0)),"")</f>
        <v/>
      </c>
      <c r="N12" s="12" t="str">
        <f aca="false">IFERROR(INDEX('Layer B — pod writeups'!$K:$K,MATCH('Layer A — raw data (SOURCED)'!$A12,'Layer B — pod writeups'!$A:$A,0)),"")</f>
        <v/>
      </c>
      <c r="O12" s="12" t="str">
        <f aca="false">IFERROR(textjoin(" ",TRUE(),IF(INDEX('Layer B — pod writeups'!$G:$G,MATCH('Layer A — raw data (SOURCED)'!$A12,'Layer B — pod writeups'!$A:$A,0))="Y","DH",""),IF(INDEX('Layer B — pod writeups'!$H:$H,MATCH('Layer A — raw data (SOURCED)'!$A12,'Layer B — pod writeups'!$A:$A,0))="Y","FADE",""),IF(INDEX('Layer B — pod writeups'!$I:$I,MATCH('Layer A — raw data (SOURCED)'!$A12,'Layer B — pod writeups'!$A:$A,0))="Y","SPLIT",""),IF(INDEX('Layer B — pod writeups'!$J:$J,MATCH('Layer A — raw data (SOURCED)'!$A12,'Layer B — pod writeups'!$A:$A,0))="Y","VAR","")),"")</f>
        <v/>
      </c>
      <c r="P12" s="13" t="str">
        <f aca="false">IFERROR(INDEX('Layer B — pod writeups'!$L:$L,MATCH('Layer A — raw data (SOURCED)'!$A12,'Layer B — pod writeups'!$A:$A,0)),"")</f>
        <v/>
      </c>
      <c r="Q12" s="13" t="str">
        <f aca="false">IFERROR(INDEX('Layer B — pod writeups'!$N:$N,MATCH('Layer A — raw data (SOURCED)'!$A12,'Layer B — pod writeups'!$A:$A,0)),"")</f>
        <v/>
      </c>
    </row>
    <row r="13" customFormat="false" ht="15" hidden="false" customHeight="true" outlineLevel="0" collapsed="false">
      <c r="A13" s="12" t="str">
        <f aca="false">'Layer A — raw data (SOURCED)'!O13</f>
        <v>SEC</v>
      </c>
      <c r="B13" s="12" t="str">
        <f aca="false">'Layer A — raw data (SOURCED)'!A13</f>
        <v>Oklahoma</v>
      </c>
      <c r="C13" s="13" t="str">
        <f aca="false">'Layer A — raw data (SOURCED)'!O13</f>
        <v>SEC</v>
      </c>
      <c r="D13" s="12" t="n">
        <f aca="false">'Layer A — raw data (SOURCED)'!B13</f>
        <v>7.5</v>
      </c>
      <c r="E13" s="12" t="n">
        <f aca="false">'Layer A — raw data (SOURCED)'!C13</f>
        <v>12</v>
      </c>
      <c r="F13" s="12" t="n">
        <f aca="false">'Layer A — raw data (SOURCED)'!D13</f>
        <v>17.2</v>
      </c>
      <c r="G13" s="12" t="n">
        <f aca="false">'Layer A — raw data (SOURCED)'!E13</f>
        <v>65</v>
      </c>
      <c r="H13" s="12" t="n">
        <f aca="false">'Layer A — raw data (SOURCED)'!H13</f>
        <v>8</v>
      </c>
      <c r="I13" s="12" t="n">
        <f aca="false">'Layer A — raw data (SOURCED)'!K13</f>
        <v>0</v>
      </c>
      <c r="J13" s="12" t="str">
        <f aca="false">'Layer A — raw data (SOURCED)'!L13</f>
        <v/>
      </c>
      <c r="K13" s="13" t="str">
        <f aca="false">IFERROR(INDEX('Layer B — pod writeups'!$B:$B,MATCH('Layer A — raw data (SOURCED)'!$A13,'Layer B — pod writeups'!$A:$A,0)),"")</f>
        <v/>
      </c>
      <c r="L13" s="13" t="str">
        <f aca="false">IFERROR(textjoin(" | ",TRUE(),IF(INDEX('Layer B — pod writeups'!$C:$C,MATCH('Layer A — raw data (SOURCED)'!$A13,'Layer B — pod writeups'!$A:$A,0))="","","HC "&amp;INDEX('Layer B — pod writeups'!$C:$C,MATCH('Layer A — raw data (SOURCED)'!$A13,'Layer B — pod writeups'!$A:$A,0))),IF(INDEX('Layer B — pod writeups'!$D:$D,MATCH('Layer A — raw data (SOURCED)'!$A13,'Layer B — pod writeups'!$A:$A,0))="","","OC "&amp;INDEX('Layer B — pod writeups'!$D:$D,MATCH('Layer A — raw data (SOURCED)'!$A13,'Layer B — pod writeups'!$A:$A,0))),IF(INDEX('Layer B — pod writeups'!$E:$E,MATCH('Layer A — raw data (SOURCED)'!$A13,'Layer B — pod writeups'!$A:$A,0))="","","DC "&amp;INDEX('Layer B — pod writeups'!$E:$E,MATCH('Layer A — raw data (SOURCED)'!$A13,'Layer B — pod writeups'!$A:$A,0)))),"")</f>
        <v/>
      </c>
      <c r="M13" s="12" t="str">
        <f aca="false">IFERROR(INDEX('Layer B — pod writeups'!$F:$F,MATCH('Layer A — raw data (SOURCED)'!$A13,'Layer B — pod writeups'!$A:$A,0)),"")</f>
        <v/>
      </c>
      <c r="N13" s="12" t="str">
        <f aca="false">IFERROR(INDEX('Layer B — pod writeups'!$K:$K,MATCH('Layer A — raw data (SOURCED)'!$A13,'Layer B — pod writeups'!$A:$A,0)),"")</f>
        <v/>
      </c>
      <c r="O13" s="12" t="str">
        <f aca="false">IFERROR(textjoin(" ",TRUE(),IF(INDEX('Layer B — pod writeups'!$G:$G,MATCH('Layer A — raw data (SOURCED)'!$A13,'Layer B — pod writeups'!$A:$A,0))="Y","DH",""),IF(INDEX('Layer B — pod writeups'!$H:$H,MATCH('Layer A — raw data (SOURCED)'!$A13,'Layer B — pod writeups'!$A:$A,0))="Y","FADE",""),IF(INDEX('Layer B — pod writeups'!$I:$I,MATCH('Layer A — raw data (SOURCED)'!$A13,'Layer B — pod writeups'!$A:$A,0))="Y","SPLIT",""),IF(INDEX('Layer B — pod writeups'!$J:$J,MATCH('Layer A — raw data (SOURCED)'!$A13,'Layer B — pod writeups'!$A:$A,0))="Y","VAR","")),"")</f>
        <v/>
      </c>
      <c r="P13" s="13" t="str">
        <f aca="false">IFERROR(INDEX('Layer B — pod writeups'!$L:$L,MATCH('Layer A — raw data (SOURCED)'!$A13,'Layer B — pod writeups'!$A:$A,0)),"")</f>
        <v/>
      </c>
      <c r="Q13" s="13" t="str">
        <f aca="false">IFERROR(INDEX('Layer B — pod writeups'!$N:$N,MATCH('Layer A — raw data (SOURCED)'!$A13,'Layer B — pod writeups'!$A:$A,0)),"")</f>
        <v/>
      </c>
    </row>
    <row r="14" customFormat="false" ht="15" hidden="false" customHeight="true" outlineLevel="0" collapsed="false">
      <c r="A14" s="12" t="str">
        <f aca="false">'Layer A — raw data (SOURCED)'!O14</f>
        <v>Big Ten</v>
      </c>
      <c r="B14" s="12" t="str">
        <f aca="false">'Layer A — raw data (SOURCED)'!A14</f>
        <v>USC</v>
      </c>
      <c r="C14" s="13" t="str">
        <f aca="false">'Layer A — raw data (SOURCED)'!O14</f>
        <v>Big Ten</v>
      </c>
      <c r="D14" s="12" t="n">
        <f aca="false">'Layer A — raw data (SOURCED)'!B14</f>
        <v>8.5</v>
      </c>
      <c r="E14" s="12" t="n">
        <f aca="false">'Layer A — raw data (SOURCED)'!C14</f>
        <v>13</v>
      </c>
      <c r="F14" s="12" t="n">
        <f aca="false">'Layer A — raw data (SOURCED)'!D14</f>
        <v>16.8</v>
      </c>
      <c r="G14" s="12" t="n">
        <f aca="false">'Layer A — raw data (SOURCED)'!E14</f>
        <v>65</v>
      </c>
      <c r="H14" s="12" t="n">
        <f aca="false">'Layer A — raw data (SOURCED)'!H14</f>
        <v>6.5</v>
      </c>
      <c r="I14" s="12" t="n">
        <f aca="false">'Layer A — raw data (SOURCED)'!K14</f>
        <v>0</v>
      </c>
      <c r="J14" s="12" t="str">
        <f aca="false">'Layer A — raw data (SOURCED)'!L14</f>
        <v/>
      </c>
      <c r="K14" s="13" t="str">
        <f aca="false">IFERROR(INDEX('Layer B — pod writeups'!$B:$B,MATCH('Layer A — raw data (SOURCED)'!$A14,'Layer B — pod writeups'!$A:$A,0)),"")</f>
        <v/>
      </c>
      <c r="L14" s="13" t="str">
        <f aca="false">IFERROR(textjoin(" | ",TRUE(),IF(INDEX('Layer B — pod writeups'!$C:$C,MATCH('Layer A — raw data (SOURCED)'!$A14,'Layer B — pod writeups'!$A:$A,0))="","","HC "&amp;INDEX('Layer B — pod writeups'!$C:$C,MATCH('Layer A — raw data (SOURCED)'!$A14,'Layer B — pod writeups'!$A:$A,0))),IF(INDEX('Layer B — pod writeups'!$D:$D,MATCH('Layer A — raw data (SOURCED)'!$A14,'Layer B — pod writeups'!$A:$A,0))="","","OC "&amp;INDEX('Layer B — pod writeups'!$D:$D,MATCH('Layer A — raw data (SOURCED)'!$A14,'Layer B — pod writeups'!$A:$A,0))),IF(INDEX('Layer B — pod writeups'!$E:$E,MATCH('Layer A — raw data (SOURCED)'!$A14,'Layer B — pod writeups'!$A:$A,0))="","","DC "&amp;INDEX('Layer B — pod writeups'!$E:$E,MATCH('Layer A — raw data (SOURCED)'!$A14,'Layer B — pod writeups'!$A:$A,0)))),"")</f>
        <v/>
      </c>
      <c r="M14" s="12" t="str">
        <f aca="false">IFERROR(INDEX('Layer B — pod writeups'!$F:$F,MATCH('Layer A — raw data (SOURCED)'!$A14,'Layer B — pod writeups'!$A:$A,0)),"")</f>
        <v/>
      </c>
      <c r="N14" s="12" t="str">
        <f aca="false">IFERROR(INDEX('Layer B — pod writeups'!$K:$K,MATCH('Layer A — raw data (SOURCED)'!$A14,'Layer B — pod writeups'!$A:$A,0)),"")</f>
        <v/>
      </c>
      <c r="O14" s="12" t="str">
        <f aca="false">IFERROR(textjoin(" ",TRUE(),IF(INDEX('Layer B — pod writeups'!$G:$G,MATCH('Layer A — raw data (SOURCED)'!$A14,'Layer B — pod writeups'!$A:$A,0))="Y","DH",""),IF(INDEX('Layer B — pod writeups'!$H:$H,MATCH('Layer A — raw data (SOURCED)'!$A14,'Layer B — pod writeups'!$A:$A,0))="Y","FADE",""),IF(INDEX('Layer B — pod writeups'!$I:$I,MATCH('Layer A — raw data (SOURCED)'!$A14,'Layer B — pod writeups'!$A:$A,0))="Y","SPLIT",""),IF(INDEX('Layer B — pod writeups'!$J:$J,MATCH('Layer A — raw data (SOURCED)'!$A14,'Layer B — pod writeups'!$A:$A,0))="Y","VAR","")),"")</f>
        <v/>
      </c>
      <c r="P14" s="13" t="str">
        <f aca="false">IFERROR(INDEX('Layer B — pod writeups'!$L:$L,MATCH('Layer A — raw data (SOURCED)'!$A14,'Layer B — pod writeups'!$A:$A,0)),"")</f>
        <v/>
      </c>
      <c r="Q14" s="13" t="str">
        <f aca="false">IFERROR(INDEX('Layer B — pod writeups'!$N:$N,MATCH('Layer A — raw data (SOURCED)'!$A14,'Layer B — pod writeups'!$A:$A,0)),"")</f>
        <v/>
      </c>
    </row>
    <row r="15" customFormat="false" ht="15" hidden="false" customHeight="true" outlineLevel="0" collapsed="false">
      <c r="A15" s="12" t="str">
        <f aca="false">'Layer A — raw data (SOURCED)'!O15</f>
        <v>Big Ten</v>
      </c>
      <c r="B15" s="12" t="str">
        <f aca="false">'Layer A — raw data (SOURCED)'!A15</f>
        <v>Michigan</v>
      </c>
      <c r="C15" s="13" t="str">
        <f aca="false">'Layer A — raw data (SOURCED)'!O15</f>
        <v>Big Ten</v>
      </c>
      <c r="D15" s="12" t="n">
        <f aca="false">'Layer A — raw data (SOURCED)'!B15</f>
        <v>8.5</v>
      </c>
      <c r="E15" s="12" t="n">
        <f aca="false">'Layer A — raw data (SOURCED)'!C15</f>
        <v>14</v>
      </c>
      <c r="F15" s="12" t="n">
        <f aca="false">'Layer A — raw data (SOURCED)'!D15</f>
        <v>16.1</v>
      </c>
      <c r="G15" s="12" t="n">
        <f aca="false">'Layer A — raw data (SOURCED)'!E15</f>
        <v>63</v>
      </c>
      <c r="H15" s="12" t="n">
        <f aca="false">'Layer A — raw data (SOURCED)'!H15</f>
        <v>4.5</v>
      </c>
      <c r="I15" s="12" t="n">
        <f aca="false">'Layer A — raw data (SOURCED)'!K15</f>
        <v>0</v>
      </c>
      <c r="J15" s="12" t="str">
        <f aca="false">'Layer A — raw data (SOURCED)'!L15</f>
        <v/>
      </c>
      <c r="K15" s="13" t="str">
        <f aca="false">IFERROR(INDEX('Layer B — pod writeups'!$B:$B,MATCH('Layer A — raw data (SOURCED)'!$A15,'Layer B — pod writeups'!$A:$A,0)),"")</f>
        <v/>
      </c>
      <c r="L15" s="13" t="str">
        <f aca="false">IFERROR(textjoin(" | ",TRUE(),IF(INDEX('Layer B — pod writeups'!$C:$C,MATCH('Layer A — raw data (SOURCED)'!$A15,'Layer B — pod writeups'!$A:$A,0))="","","HC "&amp;INDEX('Layer B — pod writeups'!$C:$C,MATCH('Layer A — raw data (SOURCED)'!$A15,'Layer B — pod writeups'!$A:$A,0))),IF(INDEX('Layer B — pod writeups'!$D:$D,MATCH('Layer A — raw data (SOURCED)'!$A15,'Layer B — pod writeups'!$A:$A,0))="","","OC "&amp;INDEX('Layer B — pod writeups'!$D:$D,MATCH('Layer A — raw data (SOURCED)'!$A15,'Layer B — pod writeups'!$A:$A,0))),IF(INDEX('Layer B — pod writeups'!$E:$E,MATCH('Layer A — raw data (SOURCED)'!$A15,'Layer B — pod writeups'!$A:$A,0))="","","DC "&amp;INDEX('Layer B — pod writeups'!$E:$E,MATCH('Layer A — raw data (SOURCED)'!$A15,'Layer B — pod writeups'!$A:$A,0)))),"")</f>
        <v/>
      </c>
      <c r="M15" s="12" t="str">
        <f aca="false">IFERROR(INDEX('Layer B — pod writeups'!$F:$F,MATCH('Layer A — raw data (SOURCED)'!$A15,'Layer B — pod writeups'!$A:$A,0)),"")</f>
        <v/>
      </c>
      <c r="N15" s="12" t="str">
        <f aca="false">IFERROR(INDEX('Layer B — pod writeups'!$K:$K,MATCH('Layer A — raw data (SOURCED)'!$A15,'Layer B — pod writeups'!$A:$A,0)),"")</f>
        <v/>
      </c>
      <c r="O15" s="12" t="str">
        <f aca="false">IFERROR(textjoin(" ",TRUE(),IF(INDEX('Layer B — pod writeups'!$G:$G,MATCH('Layer A — raw data (SOURCED)'!$A15,'Layer B — pod writeups'!$A:$A,0))="Y","DH",""),IF(INDEX('Layer B — pod writeups'!$H:$H,MATCH('Layer A — raw data (SOURCED)'!$A15,'Layer B — pod writeups'!$A:$A,0))="Y","FADE",""),IF(INDEX('Layer B — pod writeups'!$I:$I,MATCH('Layer A — raw data (SOURCED)'!$A15,'Layer B — pod writeups'!$A:$A,0))="Y","SPLIT",""),IF(INDEX('Layer B — pod writeups'!$J:$J,MATCH('Layer A — raw data (SOURCED)'!$A15,'Layer B — pod writeups'!$A:$A,0))="Y","VAR","")),"")</f>
        <v/>
      </c>
      <c r="P15" s="13" t="str">
        <f aca="false">IFERROR(INDEX('Layer B — pod writeups'!$L:$L,MATCH('Layer A — raw data (SOURCED)'!$A15,'Layer B — pod writeups'!$A:$A,0)),"")</f>
        <v/>
      </c>
      <c r="Q15" s="13" t="str">
        <f aca="false">IFERROR(INDEX('Layer B — pod writeups'!$N:$N,MATCH('Layer A — raw data (SOURCED)'!$A15,'Layer B — pod writeups'!$A:$A,0)),"")</f>
        <v/>
      </c>
    </row>
    <row r="16" customFormat="false" ht="15" hidden="false" customHeight="true" outlineLevel="0" collapsed="false">
      <c r="A16" s="12" t="str">
        <f aca="false">'Layer A — raw data (SOURCED)'!O16</f>
        <v>SEC</v>
      </c>
      <c r="B16" s="12" t="str">
        <f aca="false">'Layer A — raw data (SOURCED)'!A16</f>
        <v>Tennessee</v>
      </c>
      <c r="C16" s="13" t="str">
        <f aca="false">'Layer A — raw data (SOURCED)'!O16</f>
        <v>SEC</v>
      </c>
      <c r="D16" s="12" t="n">
        <f aca="false">'Layer A — raw data (SOURCED)'!B16</f>
        <v>7.5</v>
      </c>
      <c r="E16" s="12" t="n">
        <f aca="false">'Layer A — raw data (SOURCED)'!C16</f>
        <v>15</v>
      </c>
      <c r="F16" s="12" t="n">
        <f aca="false">'Layer A — raw data (SOURCED)'!D16</f>
        <v>16</v>
      </c>
      <c r="G16" s="12" t="n">
        <f aca="false">'Layer A — raw data (SOURCED)'!E16</f>
        <v>62</v>
      </c>
      <c r="H16" s="12" t="n">
        <f aca="false">'Layer A — raw data (SOURCED)'!H16</f>
        <v>5</v>
      </c>
      <c r="I16" s="12" t="n">
        <f aca="false">'Layer A — raw data (SOURCED)'!K16</f>
        <v>0</v>
      </c>
      <c r="J16" s="12" t="str">
        <f aca="false">'Layer A — raw data (SOURCED)'!L16</f>
        <v/>
      </c>
      <c r="K16" s="13" t="str">
        <f aca="false">IFERROR(INDEX('Layer B — pod writeups'!$B:$B,MATCH('Layer A — raw data (SOURCED)'!$A16,'Layer B — pod writeups'!$A:$A,0)),"")</f>
        <v/>
      </c>
      <c r="L16" s="13" t="str">
        <f aca="false">IFERROR(textjoin(" | ",TRUE(),IF(INDEX('Layer B — pod writeups'!$C:$C,MATCH('Layer A — raw data (SOURCED)'!$A16,'Layer B — pod writeups'!$A:$A,0))="","","HC "&amp;INDEX('Layer B — pod writeups'!$C:$C,MATCH('Layer A — raw data (SOURCED)'!$A16,'Layer B — pod writeups'!$A:$A,0))),IF(INDEX('Layer B — pod writeups'!$D:$D,MATCH('Layer A — raw data (SOURCED)'!$A16,'Layer B — pod writeups'!$A:$A,0))="","","OC "&amp;INDEX('Layer B — pod writeups'!$D:$D,MATCH('Layer A — raw data (SOURCED)'!$A16,'Layer B — pod writeups'!$A:$A,0))),IF(INDEX('Layer B — pod writeups'!$E:$E,MATCH('Layer A — raw data (SOURCED)'!$A16,'Layer B — pod writeups'!$A:$A,0))="","","DC "&amp;INDEX('Layer B — pod writeups'!$E:$E,MATCH('Layer A — raw data (SOURCED)'!$A16,'Layer B — pod writeups'!$A:$A,0)))),"")</f>
        <v/>
      </c>
      <c r="M16" s="12" t="str">
        <f aca="false">IFERROR(INDEX('Layer B — pod writeups'!$F:$F,MATCH('Layer A — raw data (SOURCED)'!$A16,'Layer B — pod writeups'!$A:$A,0)),"")</f>
        <v/>
      </c>
      <c r="N16" s="12" t="str">
        <f aca="false">IFERROR(INDEX('Layer B — pod writeups'!$K:$K,MATCH('Layer A — raw data (SOURCED)'!$A16,'Layer B — pod writeups'!$A:$A,0)),"")</f>
        <v/>
      </c>
      <c r="O16" s="12" t="str">
        <f aca="false">IFERROR(textjoin(" ",TRUE(),IF(INDEX('Layer B — pod writeups'!$G:$G,MATCH('Layer A — raw data (SOURCED)'!$A16,'Layer B — pod writeups'!$A:$A,0))="Y","DH",""),IF(INDEX('Layer B — pod writeups'!$H:$H,MATCH('Layer A — raw data (SOURCED)'!$A16,'Layer B — pod writeups'!$A:$A,0))="Y","FADE",""),IF(INDEX('Layer B — pod writeups'!$I:$I,MATCH('Layer A — raw data (SOURCED)'!$A16,'Layer B — pod writeups'!$A:$A,0))="Y","SPLIT",""),IF(INDEX('Layer B — pod writeups'!$J:$J,MATCH('Layer A — raw data (SOURCED)'!$A16,'Layer B — pod writeups'!$A:$A,0))="Y","VAR","")),"")</f>
        <v/>
      </c>
      <c r="P16" s="13" t="str">
        <f aca="false">IFERROR(INDEX('Layer B — pod writeups'!$L:$L,MATCH('Layer A — raw data (SOURCED)'!$A16,'Layer B — pod writeups'!$A:$A,0)),"")</f>
        <v/>
      </c>
      <c r="Q16" s="13" t="str">
        <f aca="false">IFERROR(INDEX('Layer B — pod writeups'!$N:$N,MATCH('Layer A — raw data (SOURCED)'!$A16,'Layer B — pod writeups'!$A:$A,0)),"")</f>
        <v/>
      </c>
    </row>
    <row r="17" customFormat="false" ht="15" hidden="false" customHeight="true" outlineLevel="0" collapsed="false">
      <c r="A17" s="12" t="str">
        <f aca="false">'Layer A — raw data (SOURCED)'!O17</f>
        <v>SEC</v>
      </c>
      <c r="B17" s="12" t="str">
        <f aca="false">'Layer A — raw data (SOURCED)'!A17</f>
        <v>Ole Miss</v>
      </c>
      <c r="C17" s="13" t="str">
        <f aca="false">'Layer A — raw data (SOURCED)'!O17</f>
        <v>SEC</v>
      </c>
      <c r="D17" s="12" t="n">
        <f aca="false">'Layer A — raw data (SOURCED)'!B17</f>
        <v>7.5</v>
      </c>
      <c r="E17" s="12" t="n">
        <f aca="false">'Layer A — raw data (SOURCED)'!C17</f>
        <v>16</v>
      </c>
      <c r="F17" s="12" t="n">
        <f aca="false">'Layer A — raw data (SOURCED)'!D17</f>
        <v>15.9</v>
      </c>
      <c r="G17" s="12" t="n">
        <f aca="false">'Layer A — raw data (SOURCED)'!E17</f>
        <v>61</v>
      </c>
      <c r="H17" s="12" t="n">
        <f aca="false">'Layer A — raw data (SOURCED)'!H17</f>
        <v>4.5</v>
      </c>
      <c r="I17" s="12" t="n">
        <f aca="false">'Layer A — raw data (SOURCED)'!K17</f>
        <v>0</v>
      </c>
      <c r="J17" s="12" t="str">
        <f aca="false">'Layer A — raw data (SOURCED)'!L17</f>
        <v/>
      </c>
      <c r="K17" s="13" t="str">
        <f aca="false">IFERROR(INDEX('Layer B — pod writeups'!$B:$B,MATCH('Layer A — raw data (SOURCED)'!$A17,'Layer B — pod writeups'!$A:$A,0)),"")</f>
        <v/>
      </c>
      <c r="L17" s="13" t="str">
        <f aca="false">IFERROR(textjoin(" | ",TRUE(),IF(INDEX('Layer B — pod writeups'!$C:$C,MATCH('Layer A — raw data (SOURCED)'!$A17,'Layer B — pod writeups'!$A:$A,0))="","","HC "&amp;INDEX('Layer B — pod writeups'!$C:$C,MATCH('Layer A — raw data (SOURCED)'!$A17,'Layer B — pod writeups'!$A:$A,0))),IF(INDEX('Layer B — pod writeups'!$D:$D,MATCH('Layer A — raw data (SOURCED)'!$A17,'Layer B — pod writeups'!$A:$A,0))="","","OC "&amp;INDEX('Layer B — pod writeups'!$D:$D,MATCH('Layer A — raw data (SOURCED)'!$A17,'Layer B — pod writeups'!$A:$A,0))),IF(INDEX('Layer B — pod writeups'!$E:$E,MATCH('Layer A — raw data (SOURCED)'!$A17,'Layer B — pod writeups'!$A:$A,0))="","","DC "&amp;INDEX('Layer B — pod writeups'!$E:$E,MATCH('Layer A — raw data (SOURCED)'!$A17,'Layer B — pod writeups'!$A:$A,0)))),"")</f>
        <v/>
      </c>
      <c r="M17" s="12" t="str">
        <f aca="false">IFERROR(INDEX('Layer B — pod writeups'!$F:$F,MATCH('Layer A — raw data (SOURCED)'!$A17,'Layer B — pod writeups'!$A:$A,0)),"")</f>
        <v/>
      </c>
      <c r="N17" s="12" t="str">
        <f aca="false">IFERROR(INDEX('Layer B — pod writeups'!$K:$K,MATCH('Layer A — raw data (SOURCED)'!$A17,'Layer B — pod writeups'!$A:$A,0)),"")</f>
        <v/>
      </c>
      <c r="O17" s="12" t="str">
        <f aca="false">IFERROR(textjoin(" ",TRUE(),IF(INDEX('Layer B — pod writeups'!$G:$G,MATCH('Layer A — raw data (SOURCED)'!$A17,'Layer B — pod writeups'!$A:$A,0))="Y","DH",""),IF(INDEX('Layer B — pod writeups'!$H:$H,MATCH('Layer A — raw data (SOURCED)'!$A17,'Layer B — pod writeups'!$A:$A,0))="Y","FADE",""),IF(INDEX('Layer B — pod writeups'!$I:$I,MATCH('Layer A — raw data (SOURCED)'!$A17,'Layer B — pod writeups'!$A:$A,0))="Y","SPLIT",""),IF(INDEX('Layer B — pod writeups'!$J:$J,MATCH('Layer A — raw data (SOURCED)'!$A17,'Layer B — pod writeups'!$A:$A,0))="Y","VAR","")),"")</f>
        <v/>
      </c>
      <c r="P17" s="13" t="str">
        <f aca="false">IFERROR(INDEX('Layer B — pod writeups'!$L:$L,MATCH('Layer A — raw data (SOURCED)'!$A17,'Layer B — pod writeups'!$A:$A,0)),"")</f>
        <v/>
      </c>
      <c r="Q17" s="13" t="str">
        <f aca="false">IFERROR(INDEX('Layer B — pod writeups'!$N:$N,MATCH('Layer A — raw data (SOURCED)'!$A17,'Layer B — pod writeups'!$A:$A,0)),"")</f>
        <v/>
      </c>
    </row>
    <row r="18" customFormat="false" ht="15" hidden="false" customHeight="true" outlineLevel="0" collapsed="false">
      <c r="A18" s="12" t="str">
        <f aca="false">'Layer A — raw data (SOURCED)'!O18</f>
        <v>Big Ten</v>
      </c>
      <c r="B18" s="12" t="str">
        <f aca="false">'Layer A — raw data (SOURCED)'!A18</f>
        <v>Penn State</v>
      </c>
      <c r="C18" s="13" t="str">
        <f aca="false">'Layer A — raw data (SOURCED)'!O18</f>
        <v>Big Ten</v>
      </c>
      <c r="D18" s="12" t="n">
        <f aca="false">'Layer A — raw data (SOURCED)'!B18</f>
        <v>8.5</v>
      </c>
      <c r="E18" s="12" t="n">
        <f aca="false">'Layer A — raw data (SOURCED)'!C18</f>
        <v>17</v>
      </c>
      <c r="F18" s="12" t="n">
        <f aca="false">'Layer A — raw data (SOURCED)'!D18</f>
        <v>15.7</v>
      </c>
      <c r="G18" s="12" t="n">
        <f aca="false">'Layer A — raw data (SOURCED)'!E18</f>
        <v>52</v>
      </c>
      <c r="H18" s="12" t="n">
        <f aca="false">'Layer A — raw data (SOURCED)'!H18</f>
        <v>11</v>
      </c>
      <c r="I18" s="12" t="n">
        <f aca="false">'Layer A — raw data (SOURCED)'!K18</f>
        <v>0</v>
      </c>
      <c r="J18" s="12" t="str">
        <f aca="false">'Layer A — raw data (SOURCED)'!L18</f>
        <v/>
      </c>
      <c r="K18" s="13" t="str">
        <f aca="false">IFERROR(INDEX('Layer B — pod writeups'!$B:$B,MATCH('Layer A — raw data (SOURCED)'!$A18,'Layer B — pod writeups'!$A:$A,0)),"")</f>
        <v/>
      </c>
      <c r="L18" s="13" t="str">
        <f aca="false">IFERROR(textjoin(" | ",TRUE(),IF(INDEX('Layer B — pod writeups'!$C:$C,MATCH('Layer A — raw data (SOURCED)'!$A18,'Layer B — pod writeups'!$A:$A,0))="","","HC "&amp;INDEX('Layer B — pod writeups'!$C:$C,MATCH('Layer A — raw data (SOURCED)'!$A18,'Layer B — pod writeups'!$A:$A,0))),IF(INDEX('Layer B — pod writeups'!$D:$D,MATCH('Layer A — raw data (SOURCED)'!$A18,'Layer B — pod writeups'!$A:$A,0))="","","OC "&amp;INDEX('Layer B — pod writeups'!$D:$D,MATCH('Layer A — raw data (SOURCED)'!$A18,'Layer B — pod writeups'!$A:$A,0))),IF(INDEX('Layer B — pod writeups'!$E:$E,MATCH('Layer A — raw data (SOURCED)'!$A18,'Layer B — pod writeups'!$A:$A,0))="","","DC "&amp;INDEX('Layer B — pod writeups'!$E:$E,MATCH('Layer A — raw data (SOURCED)'!$A18,'Layer B — pod writeups'!$A:$A,0)))),"")</f>
        <v/>
      </c>
      <c r="M18" s="12" t="str">
        <f aca="false">IFERROR(INDEX('Layer B — pod writeups'!$F:$F,MATCH('Layer A — raw data (SOURCED)'!$A18,'Layer B — pod writeups'!$A:$A,0)),"")</f>
        <v/>
      </c>
      <c r="N18" s="12" t="str">
        <f aca="false">IFERROR(INDEX('Layer B — pod writeups'!$K:$K,MATCH('Layer A — raw data (SOURCED)'!$A18,'Layer B — pod writeups'!$A:$A,0)),"")</f>
        <v/>
      </c>
      <c r="O18" s="12" t="str">
        <f aca="false">IFERROR(textjoin(" ",TRUE(),IF(INDEX('Layer B — pod writeups'!$G:$G,MATCH('Layer A — raw data (SOURCED)'!$A18,'Layer B — pod writeups'!$A:$A,0))="Y","DH",""),IF(INDEX('Layer B — pod writeups'!$H:$H,MATCH('Layer A — raw data (SOURCED)'!$A18,'Layer B — pod writeups'!$A:$A,0))="Y","FADE",""),IF(INDEX('Layer B — pod writeups'!$I:$I,MATCH('Layer A — raw data (SOURCED)'!$A18,'Layer B — pod writeups'!$A:$A,0))="Y","SPLIT",""),IF(INDEX('Layer B — pod writeups'!$J:$J,MATCH('Layer A — raw data (SOURCED)'!$A18,'Layer B — pod writeups'!$A:$A,0))="Y","VAR","")),"")</f>
        <v/>
      </c>
      <c r="P18" s="13" t="str">
        <f aca="false">IFERROR(INDEX('Layer B — pod writeups'!$L:$L,MATCH('Layer A — raw data (SOURCED)'!$A18,'Layer B — pod writeups'!$A:$A,0)),"")</f>
        <v/>
      </c>
      <c r="Q18" s="13" t="str">
        <f aca="false">IFERROR(INDEX('Layer B — pod writeups'!$N:$N,MATCH('Layer A — raw data (SOURCED)'!$A18,'Layer B — pod writeups'!$A:$A,0)),"")</f>
        <v/>
      </c>
    </row>
    <row r="19" customFormat="false" ht="15" hidden="false" customHeight="true" outlineLevel="0" collapsed="false">
      <c r="A19" s="12" t="str">
        <f aca="false">'Layer A — raw data (SOURCED)'!O19</f>
        <v>Big 12</v>
      </c>
      <c r="B19" s="12" t="str">
        <f aca="false">'Layer A — raw data (SOURCED)'!A19</f>
        <v>BYU</v>
      </c>
      <c r="C19" s="13" t="str">
        <f aca="false">'Layer A — raw data (SOURCED)'!O19</f>
        <v>Big 12</v>
      </c>
      <c r="D19" s="12" t="n">
        <f aca="false">'Layer A — raw data (SOURCED)'!B19</f>
        <v>8.5</v>
      </c>
      <c r="E19" s="12" t="n">
        <f aca="false">'Layer A — raw data (SOURCED)'!C19</f>
        <v>18</v>
      </c>
      <c r="F19" s="12" t="n">
        <f aca="false">'Layer A — raw data (SOURCED)'!D19</f>
        <v>15.5</v>
      </c>
      <c r="G19" s="12" t="n">
        <f aca="false">'Layer A — raw data (SOURCED)'!E19</f>
        <v>64</v>
      </c>
      <c r="H19" s="12" t="n">
        <f aca="false">'Layer A — raw data (SOURCED)'!H19</f>
        <v>8.5</v>
      </c>
      <c r="I19" s="12" t="n">
        <f aca="false">'Layer A — raw data (SOURCED)'!K19</f>
        <v>0</v>
      </c>
      <c r="J19" s="12" t="str">
        <f aca="false">'Layer A — raw data (SOURCED)'!L19</f>
        <v/>
      </c>
      <c r="K19" s="13" t="str">
        <f aca="false">IFERROR(INDEX('Layer B — pod writeups'!$B:$B,MATCH('Layer A — raw data (SOURCED)'!$A19,'Layer B — pod writeups'!$A:$A,0)),"")</f>
        <v/>
      </c>
      <c r="L19" s="13" t="str">
        <f aca="false">IFERROR(textjoin(" | ",TRUE(),IF(INDEX('Layer B — pod writeups'!$C:$C,MATCH('Layer A — raw data (SOURCED)'!$A19,'Layer B — pod writeups'!$A:$A,0))="","","HC "&amp;INDEX('Layer B — pod writeups'!$C:$C,MATCH('Layer A — raw data (SOURCED)'!$A19,'Layer B — pod writeups'!$A:$A,0))),IF(INDEX('Layer B — pod writeups'!$D:$D,MATCH('Layer A — raw data (SOURCED)'!$A19,'Layer B — pod writeups'!$A:$A,0))="","","OC "&amp;INDEX('Layer B — pod writeups'!$D:$D,MATCH('Layer A — raw data (SOURCED)'!$A19,'Layer B — pod writeups'!$A:$A,0))),IF(INDEX('Layer B — pod writeups'!$E:$E,MATCH('Layer A — raw data (SOURCED)'!$A19,'Layer B — pod writeups'!$A:$A,0))="","","DC "&amp;INDEX('Layer B — pod writeups'!$E:$E,MATCH('Layer A — raw data (SOURCED)'!$A19,'Layer B — pod writeups'!$A:$A,0)))),"")</f>
        <v/>
      </c>
      <c r="M19" s="12" t="str">
        <f aca="false">IFERROR(INDEX('Layer B — pod writeups'!$F:$F,MATCH('Layer A — raw data (SOURCED)'!$A19,'Layer B — pod writeups'!$A:$A,0)),"")</f>
        <v/>
      </c>
      <c r="N19" s="12" t="str">
        <f aca="false">IFERROR(INDEX('Layer B — pod writeups'!$K:$K,MATCH('Layer A — raw data (SOURCED)'!$A19,'Layer B — pod writeups'!$A:$A,0)),"")</f>
        <v/>
      </c>
      <c r="O19" s="12" t="str">
        <f aca="false">IFERROR(textjoin(" ",TRUE(),IF(INDEX('Layer B — pod writeups'!$G:$G,MATCH('Layer A — raw data (SOURCED)'!$A19,'Layer B — pod writeups'!$A:$A,0))="Y","DH",""),IF(INDEX('Layer B — pod writeups'!$H:$H,MATCH('Layer A — raw data (SOURCED)'!$A19,'Layer B — pod writeups'!$A:$A,0))="Y","FADE",""),IF(INDEX('Layer B — pod writeups'!$I:$I,MATCH('Layer A — raw data (SOURCED)'!$A19,'Layer B — pod writeups'!$A:$A,0))="Y","SPLIT",""),IF(INDEX('Layer B — pod writeups'!$J:$J,MATCH('Layer A — raw data (SOURCED)'!$A19,'Layer B — pod writeups'!$A:$A,0))="Y","VAR","")),"")</f>
        <v/>
      </c>
      <c r="P19" s="13" t="str">
        <f aca="false">IFERROR(INDEX('Layer B — pod writeups'!$L:$L,MATCH('Layer A — raw data (SOURCED)'!$A19,'Layer B — pod writeups'!$A:$A,0)),"")</f>
        <v/>
      </c>
      <c r="Q19" s="13" t="str">
        <f aca="false">IFERROR(INDEX('Layer B — pod writeups'!$N:$N,MATCH('Layer A — raw data (SOURCED)'!$A19,'Layer B — pod writeups'!$A:$A,0)),"")</f>
        <v/>
      </c>
    </row>
    <row r="20" customFormat="false" ht="15" hidden="false" customHeight="true" outlineLevel="0" collapsed="false">
      <c r="A20" s="12" t="str">
        <f aca="false">'Layer A — raw data (SOURCED)'!O20</f>
        <v>SEC</v>
      </c>
      <c r="B20" s="12" t="str">
        <f aca="false">'Layer A — raw data (SOURCED)'!A20</f>
        <v>Florida</v>
      </c>
      <c r="C20" s="13" t="str">
        <f aca="false">'Layer A — raw data (SOURCED)'!O20</f>
        <v>SEC</v>
      </c>
      <c r="D20" s="12" t="n">
        <f aca="false">'Layer A — raw data (SOURCED)'!B20</f>
        <v>7.5</v>
      </c>
      <c r="E20" s="12" t="n">
        <f aca="false">'Layer A — raw data (SOURCED)'!C20</f>
        <v>19</v>
      </c>
      <c r="F20" s="12" t="n">
        <f aca="false">'Layer A — raw data (SOURCED)'!D20</f>
        <v>14.9</v>
      </c>
      <c r="G20" s="12" t="n">
        <f aca="false">'Layer A — raw data (SOURCED)'!E20</f>
        <v>66</v>
      </c>
      <c r="H20" s="12" t="n">
        <f aca="false">'Layer A — raw data (SOURCED)'!H20</f>
        <v>11</v>
      </c>
      <c r="I20" s="12" t="n">
        <f aca="false">'Layer A — raw data (SOURCED)'!K20</f>
        <v>0</v>
      </c>
      <c r="J20" s="12" t="str">
        <f aca="false">'Layer A — raw data (SOURCED)'!L20</f>
        <v/>
      </c>
      <c r="K20" s="13" t="str">
        <f aca="false">IFERROR(INDEX('Layer B — pod writeups'!$B:$B,MATCH('Layer A — raw data (SOURCED)'!$A20,'Layer B — pod writeups'!$A:$A,0)),"")</f>
        <v/>
      </c>
      <c r="L20" s="13" t="str">
        <f aca="false">IFERROR(textjoin(" | ",TRUE(),IF(INDEX('Layer B — pod writeups'!$C:$C,MATCH('Layer A — raw data (SOURCED)'!$A20,'Layer B — pod writeups'!$A:$A,0))="","","HC "&amp;INDEX('Layer B — pod writeups'!$C:$C,MATCH('Layer A — raw data (SOURCED)'!$A20,'Layer B — pod writeups'!$A:$A,0))),IF(INDEX('Layer B — pod writeups'!$D:$D,MATCH('Layer A — raw data (SOURCED)'!$A20,'Layer B — pod writeups'!$A:$A,0))="","","OC "&amp;INDEX('Layer B — pod writeups'!$D:$D,MATCH('Layer A — raw data (SOURCED)'!$A20,'Layer B — pod writeups'!$A:$A,0))),IF(INDEX('Layer B — pod writeups'!$E:$E,MATCH('Layer A — raw data (SOURCED)'!$A20,'Layer B — pod writeups'!$A:$A,0))="","","DC "&amp;INDEX('Layer B — pod writeups'!$E:$E,MATCH('Layer A — raw data (SOURCED)'!$A20,'Layer B — pod writeups'!$A:$A,0)))),"")</f>
        <v/>
      </c>
      <c r="M20" s="12" t="str">
        <f aca="false">IFERROR(INDEX('Layer B — pod writeups'!$F:$F,MATCH('Layer A — raw data (SOURCED)'!$A20,'Layer B — pod writeups'!$A:$A,0)),"")</f>
        <v/>
      </c>
      <c r="N20" s="12" t="str">
        <f aca="false">IFERROR(INDEX('Layer B — pod writeups'!$K:$K,MATCH('Layer A — raw data (SOURCED)'!$A20,'Layer B — pod writeups'!$A:$A,0)),"")</f>
        <v/>
      </c>
      <c r="O20" s="12" t="str">
        <f aca="false">IFERROR(textjoin(" ",TRUE(),IF(INDEX('Layer B — pod writeups'!$G:$G,MATCH('Layer A — raw data (SOURCED)'!$A20,'Layer B — pod writeups'!$A:$A,0))="Y","DH",""),IF(INDEX('Layer B — pod writeups'!$H:$H,MATCH('Layer A — raw data (SOURCED)'!$A20,'Layer B — pod writeups'!$A:$A,0))="Y","FADE",""),IF(INDEX('Layer B — pod writeups'!$I:$I,MATCH('Layer A — raw data (SOURCED)'!$A20,'Layer B — pod writeups'!$A:$A,0))="Y","SPLIT",""),IF(INDEX('Layer B — pod writeups'!$J:$J,MATCH('Layer A — raw data (SOURCED)'!$A20,'Layer B — pod writeups'!$A:$A,0))="Y","VAR","")),"")</f>
        <v/>
      </c>
      <c r="P20" s="13" t="str">
        <f aca="false">IFERROR(INDEX('Layer B — pod writeups'!$L:$L,MATCH('Layer A — raw data (SOURCED)'!$A20,'Layer B — pod writeups'!$A:$A,0)),"")</f>
        <v/>
      </c>
      <c r="Q20" s="13" t="str">
        <f aca="false">IFERROR(INDEX('Layer B — pod writeups'!$N:$N,MATCH('Layer A — raw data (SOURCED)'!$A20,'Layer B — pod writeups'!$A:$A,0)),"")</f>
        <v/>
      </c>
    </row>
    <row r="21" customFormat="false" ht="15" hidden="false" customHeight="true" outlineLevel="0" collapsed="false">
      <c r="A21" s="12" t="str">
        <f aca="false">'Layer A — raw data (SOURCED)'!O21</f>
        <v>SEC</v>
      </c>
      <c r="B21" s="12" t="str">
        <f aca="false">'Layer A — raw data (SOURCED)'!A21</f>
        <v>Missouri</v>
      </c>
      <c r="C21" s="13" t="str">
        <f aca="false">'Layer A — raw data (SOURCED)'!O21</f>
        <v>SEC</v>
      </c>
      <c r="D21" s="12" t="n">
        <f aca="false">'Layer A — raw data (SOURCED)'!B21</f>
        <v>6.5</v>
      </c>
      <c r="E21" s="12" t="n">
        <f aca="false">'Layer A — raw data (SOURCED)'!C21</f>
        <v>20</v>
      </c>
      <c r="F21" s="12" t="n">
        <f aca="false">'Layer A — raw data (SOURCED)'!D21</f>
        <v>14.8</v>
      </c>
      <c r="G21" s="12" t="n">
        <f aca="false">'Layer A — raw data (SOURCED)'!E21</f>
        <v>49</v>
      </c>
      <c r="H21" s="12" t="n">
        <f aca="false">'Layer A — raw data (SOURCED)'!H21</f>
        <v>-1</v>
      </c>
      <c r="I21" s="12" t="n">
        <f aca="false">'Layer A — raw data (SOURCED)'!K21</f>
        <v>0</v>
      </c>
      <c r="J21" s="12" t="str">
        <f aca="false">'Layer A — raw data (SOURCED)'!L21</f>
        <v/>
      </c>
      <c r="K21" s="13" t="str">
        <f aca="false">IFERROR(INDEX('Layer B — pod writeups'!$B:$B,MATCH('Layer A — raw data (SOURCED)'!$A21,'Layer B — pod writeups'!$A:$A,0)),"")</f>
        <v/>
      </c>
      <c r="L21" s="13" t="str">
        <f aca="false">IFERROR(textjoin(" | ",TRUE(),IF(INDEX('Layer B — pod writeups'!$C:$C,MATCH('Layer A — raw data (SOURCED)'!$A21,'Layer B — pod writeups'!$A:$A,0))="","","HC "&amp;INDEX('Layer B — pod writeups'!$C:$C,MATCH('Layer A — raw data (SOURCED)'!$A21,'Layer B — pod writeups'!$A:$A,0))),IF(INDEX('Layer B — pod writeups'!$D:$D,MATCH('Layer A — raw data (SOURCED)'!$A21,'Layer B — pod writeups'!$A:$A,0))="","","OC "&amp;INDEX('Layer B — pod writeups'!$D:$D,MATCH('Layer A — raw data (SOURCED)'!$A21,'Layer B — pod writeups'!$A:$A,0))),IF(INDEX('Layer B — pod writeups'!$E:$E,MATCH('Layer A — raw data (SOURCED)'!$A21,'Layer B — pod writeups'!$A:$A,0))="","","DC "&amp;INDEX('Layer B — pod writeups'!$E:$E,MATCH('Layer A — raw data (SOURCED)'!$A21,'Layer B — pod writeups'!$A:$A,0)))),"")</f>
        <v/>
      </c>
      <c r="M21" s="12" t="str">
        <f aca="false">IFERROR(INDEX('Layer B — pod writeups'!$F:$F,MATCH('Layer A — raw data (SOURCED)'!$A21,'Layer B — pod writeups'!$A:$A,0)),"")</f>
        <v/>
      </c>
      <c r="N21" s="12" t="str">
        <f aca="false">IFERROR(INDEX('Layer B — pod writeups'!$K:$K,MATCH('Layer A — raw data (SOURCED)'!$A21,'Layer B — pod writeups'!$A:$A,0)),"")</f>
        <v/>
      </c>
      <c r="O21" s="12" t="str">
        <f aca="false">IFERROR(textjoin(" ",TRUE(),IF(INDEX('Layer B — pod writeups'!$G:$G,MATCH('Layer A — raw data (SOURCED)'!$A21,'Layer B — pod writeups'!$A:$A,0))="Y","DH",""),IF(INDEX('Layer B — pod writeups'!$H:$H,MATCH('Layer A — raw data (SOURCED)'!$A21,'Layer B — pod writeups'!$A:$A,0))="Y","FADE",""),IF(INDEX('Layer B — pod writeups'!$I:$I,MATCH('Layer A — raw data (SOURCED)'!$A21,'Layer B — pod writeups'!$A:$A,0))="Y","SPLIT",""),IF(INDEX('Layer B — pod writeups'!$J:$J,MATCH('Layer A — raw data (SOURCED)'!$A21,'Layer B — pod writeups'!$A:$A,0))="Y","VAR","")),"")</f>
        <v/>
      </c>
      <c r="P21" s="13" t="str">
        <f aca="false">IFERROR(INDEX('Layer B — pod writeups'!$L:$L,MATCH('Layer A — raw data (SOURCED)'!$A21,'Layer B — pod writeups'!$A:$A,0)),"")</f>
        <v/>
      </c>
      <c r="Q21" s="13" t="str">
        <f aca="false">IFERROR(INDEX('Layer B — pod writeups'!$N:$N,MATCH('Layer A — raw data (SOURCED)'!$A21,'Layer B — pod writeups'!$A:$A,0)),"")</f>
        <v/>
      </c>
    </row>
    <row r="22" customFormat="false" ht="15" hidden="false" customHeight="true" outlineLevel="0" collapsed="false">
      <c r="A22" s="12" t="str">
        <f aca="false">'Layer A — raw data (SOURCED)'!O22</f>
        <v>Big Ten</v>
      </c>
      <c r="B22" s="12" t="str">
        <f aca="false">'Layer A — raw data (SOURCED)'!A22</f>
        <v>Washington</v>
      </c>
      <c r="C22" s="13" t="str">
        <f aca="false">'Layer A — raw data (SOURCED)'!O22</f>
        <v>Big Ten</v>
      </c>
      <c r="D22" s="12" t="n">
        <f aca="false">'Layer A — raw data (SOURCED)'!B22</f>
        <v>7.5</v>
      </c>
      <c r="E22" s="12" t="n">
        <f aca="false">'Layer A — raw data (SOURCED)'!C22</f>
        <v>21</v>
      </c>
      <c r="F22" s="12" t="n">
        <f aca="false">'Layer A — raw data (SOURCED)'!D22</f>
        <v>14.5</v>
      </c>
      <c r="G22" s="12" t="n">
        <f aca="false">'Layer A — raw data (SOURCED)'!E22</f>
        <v>65</v>
      </c>
      <c r="H22" s="12" t="n">
        <f aca="false">'Layer A — raw data (SOURCED)'!H22</f>
        <v>3.5</v>
      </c>
      <c r="I22" s="12" t="n">
        <f aca="false">'Layer A — raw data (SOURCED)'!K22</f>
        <v>0</v>
      </c>
      <c r="J22" s="12" t="str">
        <f aca="false">'Layer A — raw data (SOURCED)'!L22</f>
        <v/>
      </c>
      <c r="K22" s="13" t="str">
        <f aca="false">IFERROR(INDEX('Layer B — pod writeups'!$B:$B,MATCH('Layer A — raw data (SOURCED)'!$A22,'Layer B — pod writeups'!$A:$A,0)),"")</f>
        <v/>
      </c>
      <c r="L22" s="13" t="str">
        <f aca="false">IFERROR(textjoin(" | ",TRUE(),IF(INDEX('Layer B — pod writeups'!$C:$C,MATCH('Layer A — raw data (SOURCED)'!$A22,'Layer B — pod writeups'!$A:$A,0))="","","HC "&amp;INDEX('Layer B — pod writeups'!$C:$C,MATCH('Layer A — raw data (SOURCED)'!$A22,'Layer B — pod writeups'!$A:$A,0))),IF(INDEX('Layer B — pod writeups'!$D:$D,MATCH('Layer A — raw data (SOURCED)'!$A22,'Layer B — pod writeups'!$A:$A,0))="","","OC "&amp;INDEX('Layer B — pod writeups'!$D:$D,MATCH('Layer A — raw data (SOURCED)'!$A22,'Layer B — pod writeups'!$A:$A,0))),IF(INDEX('Layer B — pod writeups'!$E:$E,MATCH('Layer A — raw data (SOURCED)'!$A22,'Layer B — pod writeups'!$A:$A,0))="","","DC "&amp;INDEX('Layer B — pod writeups'!$E:$E,MATCH('Layer A — raw data (SOURCED)'!$A22,'Layer B — pod writeups'!$A:$A,0)))),"")</f>
        <v/>
      </c>
      <c r="M22" s="12" t="str">
        <f aca="false">IFERROR(INDEX('Layer B — pod writeups'!$F:$F,MATCH('Layer A — raw data (SOURCED)'!$A22,'Layer B — pod writeups'!$A:$A,0)),"")</f>
        <v/>
      </c>
      <c r="N22" s="12" t="str">
        <f aca="false">IFERROR(INDEX('Layer B — pod writeups'!$K:$K,MATCH('Layer A — raw data (SOURCED)'!$A22,'Layer B — pod writeups'!$A:$A,0)),"")</f>
        <v/>
      </c>
      <c r="O22" s="12" t="str">
        <f aca="false">IFERROR(textjoin(" ",TRUE(),IF(INDEX('Layer B — pod writeups'!$G:$G,MATCH('Layer A — raw data (SOURCED)'!$A22,'Layer B — pod writeups'!$A:$A,0))="Y","DH",""),IF(INDEX('Layer B — pod writeups'!$H:$H,MATCH('Layer A — raw data (SOURCED)'!$A22,'Layer B — pod writeups'!$A:$A,0))="Y","FADE",""),IF(INDEX('Layer B — pod writeups'!$I:$I,MATCH('Layer A — raw data (SOURCED)'!$A22,'Layer B — pod writeups'!$A:$A,0))="Y","SPLIT",""),IF(INDEX('Layer B — pod writeups'!$J:$J,MATCH('Layer A — raw data (SOURCED)'!$A22,'Layer B — pod writeups'!$A:$A,0))="Y","VAR","")),"")</f>
        <v/>
      </c>
      <c r="P22" s="13" t="str">
        <f aca="false">IFERROR(INDEX('Layer B — pod writeups'!$L:$L,MATCH('Layer A — raw data (SOURCED)'!$A22,'Layer B — pod writeups'!$A:$A,0)),"")</f>
        <v/>
      </c>
      <c r="Q22" s="13" t="str">
        <f aca="false">IFERROR(INDEX('Layer B — pod writeups'!$N:$N,MATCH('Layer A — raw data (SOURCED)'!$A22,'Layer B — pod writeups'!$A:$A,0)),"")</f>
        <v/>
      </c>
    </row>
    <row r="23" customFormat="false" ht="15" hidden="false" customHeight="true" outlineLevel="0" collapsed="false">
      <c r="A23" s="12" t="str">
        <f aca="false">'Layer A — raw data (SOURCED)'!O23</f>
        <v>Big Ten</v>
      </c>
      <c r="B23" s="12" t="str">
        <f aca="false">'Layer A — raw data (SOURCED)'!A23</f>
        <v>Iowa</v>
      </c>
      <c r="C23" s="13" t="str">
        <f aca="false">'Layer A — raw data (SOURCED)'!O23</f>
        <v>Big Ten</v>
      </c>
      <c r="D23" s="12" t="n">
        <f aca="false">'Layer A — raw data (SOURCED)'!B23</f>
        <v>7.5</v>
      </c>
      <c r="E23" s="12" t="n">
        <f aca="false">'Layer A — raw data (SOURCED)'!C23</f>
        <v>22</v>
      </c>
      <c r="F23" s="12" t="n">
        <f aca="false">'Layer A — raw data (SOURCED)'!D23</f>
        <v>13.6</v>
      </c>
      <c r="G23" s="12" t="n">
        <f aca="false">'Layer A — raw data (SOURCED)'!E23</f>
        <v>44</v>
      </c>
      <c r="H23" s="12" t="n">
        <f aca="false">'Layer A — raw data (SOURCED)'!H23</f>
        <v>-3</v>
      </c>
      <c r="I23" s="12" t="n">
        <f aca="false">'Layer A — raw data (SOURCED)'!K23</f>
        <v>0</v>
      </c>
      <c r="J23" s="12" t="str">
        <f aca="false">'Layer A — raw data (SOURCED)'!L23</f>
        <v/>
      </c>
      <c r="K23" s="13" t="str">
        <f aca="false">IFERROR(INDEX('Layer B — pod writeups'!$B:$B,MATCH('Layer A — raw data (SOURCED)'!$A23,'Layer B — pod writeups'!$A:$A,0)),"")</f>
        <v/>
      </c>
      <c r="L23" s="13" t="str">
        <f aca="false">IFERROR(textjoin(" | ",TRUE(),IF(INDEX('Layer B — pod writeups'!$C:$C,MATCH('Layer A — raw data (SOURCED)'!$A23,'Layer B — pod writeups'!$A:$A,0))="","","HC "&amp;INDEX('Layer B — pod writeups'!$C:$C,MATCH('Layer A — raw data (SOURCED)'!$A23,'Layer B — pod writeups'!$A:$A,0))),IF(INDEX('Layer B — pod writeups'!$D:$D,MATCH('Layer A — raw data (SOURCED)'!$A23,'Layer B — pod writeups'!$A:$A,0))="","","OC "&amp;INDEX('Layer B — pod writeups'!$D:$D,MATCH('Layer A — raw data (SOURCED)'!$A23,'Layer B — pod writeups'!$A:$A,0))),IF(INDEX('Layer B — pod writeups'!$E:$E,MATCH('Layer A — raw data (SOURCED)'!$A23,'Layer B — pod writeups'!$A:$A,0))="","","DC "&amp;INDEX('Layer B — pod writeups'!$E:$E,MATCH('Layer A — raw data (SOURCED)'!$A23,'Layer B — pod writeups'!$A:$A,0)))),"")</f>
        <v/>
      </c>
      <c r="M23" s="12" t="str">
        <f aca="false">IFERROR(INDEX('Layer B — pod writeups'!$F:$F,MATCH('Layer A — raw data (SOURCED)'!$A23,'Layer B — pod writeups'!$A:$A,0)),"")</f>
        <v/>
      </c>
      <c r="N23" s="12" t="str">
        <f aca="false">IFERROR(INDEX('Layer B — pod writeups'!$K:$K,MATCH('Layer A — raw data (SOURCED)'!$A23,'Layer B — pod writeups'!$A:$A,0)),"")</f>
        <v/>
      </c>
      <c r="O23" s="12" t="str">
        <f aca="false">IFERROR(textjoin(" ",TRUE(),IF(INDEX('Layer B — pod writeups'!$G:$G,MATCH('Layer A — raw data (SOURCED)'!$A23,'Layer B — pod writeups'!$A:$A,0))="Y","DH",""),IF(INDEX('Layer B — pod writeups'!$H:$H,MATCH('Layer A — raw data (SOURCED)'!$A23,'Layer B — pod writeups'!$A:$A,0))="Y","FADE",""),IF(INDEX('Layer B — pod writeups'!$I:$I,MATCH('Layer A — raw data (SOURCED)'!$A23,'Layer B — pod writeups'!$A:$A,0))="Y","SPLIT",""),IF(INDEX('Layer B — pod writeups'!$J:$J,MATCH('Layer A — raw data (SOURCED)'!$A23,'Layer B — pod writeups'!$A:$A,0))="Y","VAR","")),"")</f>
        <v/>
      </c>
      <c r="P23" s="13" t="str">
        <f aca="false">IFERROR(INDEX('Layer B — pod writeups'!$L:$L,MATCH('Layer A — raw data (SOURCED)'!$A23,'Layer B — pod writeups'!$A:$A,0)),"")</f>
        <v/>
      </c>
      <c r="Q23" s="13" t="str">
        <f aca="false">IFERROR(INDEX('Layer B — pod writeups'!$N:$N,MATCH('Layer A — raw data (SOURCED)'!$A23,'Layer B — pod writeups'!$A:$A,0)),"")</f>
        <v/>
      </c>
    </row>
    <row r="24" customFormat="false" ht="15" hidden="false" customHeight="true" outlineLevel="0" collapsed="false">
      <c r="A24" s="12" t="str">
        <f aca="false">'Layer A — raw data (SOURCED)'!O24</f>
        <v>ACC</v>
      </c>
      <c r="B24" s="12" t="str">
        <f aca="false">'Layer A — raw data (SOURCED)'!A24</f>
        <v>Clemson</v>
      </c>
      <c r="C24" s="13" t="str">
        <f aca="false">'Layer A — raw data (SOURCED)'!O24</f>
        <v>ACC</v>
      </c>
      <c r="D24" s="12" t="n">
        <f aca="false">'Layer A — raw data (SOURCED)'!B24</f>
        <v>7.5</v>
      </c>
      <c r="E24" s="12" t="n">
        <f aca="false">'Layer A — raw data (SOURCED)'!C24</f>
        <v>23</v>
      </c>
      <c r="F24" s="12" t="n">
        <f aca="false">'Layer A — raw data (SOURCED)'!D24</f>
        <v>12.8</v>
      </c>
      <c r="G24" s="12" t="n">
        <f aca="false">'Layer A — raw data (SOURCED)'!E24</f>
        <v>53</v>
      </c>
      <c r="H24" s="12" t="n">
        <f aca="false">'Layer A — raw data (SOURCED)'!H24</f>
        <v>0</v>
      </c>
      <c r="I24" s="12" t="n">
        <f aca="false">'Layer A — raw data (SOURCED)'!K24</f>
        <v>0</v>
      </c>
      <c r="J24" s="12" t="str">
        <f aca="false">'Layer A — raw data (SOURCED)'!L24</f>
        <v/>
      </c>
      <c r="K24" s="13" t="str">
        <f aca="false">IFERROR(INDEX('Layer B — pod writeups'!$B:$B,MATCH('Layer A — raw data (SOURCED)'!$A24,'Layer B — pod writeups'!$A:$A,0)),"")</f>
        <v/>
      </c>
      <c r="L24" s="13" t="str">
        <f aca="false">IFERROR(textjoin(" | ",TRUE(),IF(INDEX('Layer B — pod writeups'!$C:$C,MATCH('Layer A — raw data (SOURCED)'!$A24,'Layer B — pod writeups'!$A:$A,0))="","","HC "&amp;INDEX('Layer B — pod writeups'!$C:$C,MATCH('Layer A — raw data (SOURCED)'!$A24,'Layer B — pod writeups'!$A:$A,0))),IF(INDEX('Layer B — pod writeups'!$D:$D,MATCH('Layer A — raw data (SOURCED)'!$A24,'Layer B — pod writeups'!$A:$A,0))="","","OC "&amp;INDEX('Layer B — pod writeups'!$D:$D,MATCH('Layer A — raw data (SOURCED)'!$A24,'Layer B — pod writeups'!$A:$A,0))),IF(INDEX('Layer B — pod writeups'!$E:$E,MATCH('Layer A — raw data (SOURCED)'!$A24,'Layer B — pod writeups'!$A:$A,0))="","","DC "&amp;INDEX('Layer B — pod writeups'!$E:$E,MATCH('Layer A — raw data (SOURCED)'!$A24,'Layer B — pod writeups'!$A:$A,0)))),"")</f>
        <v/>
      </c>
      <c r="M24" s="12" t="str">
        <f aca="false">IFERROR(INDEX('Layer B — pod writeups'!$F:$F,MATCH('Layer A — raw data (SOURCED)'!$A24,'Layer B — pod writeups'!$A:$A,0)),"")</f>
        <v/>
      </c>
      <c r="N24" s="12" t="str">
        <f aca="false">IFERROR(INDEX('Layer B — pod writeups'!$K:$K,MATCH('Layer A — raw data (SOURCED)'!$A24,'Layer B — pod writeups'!$A:$A,0)),"")</f>
        <v/>
      </c>
      <c r="O24" s="12" t="str">
        <f aca="false">IFERROR(textjoin(" ",TRUE(),IF(INDEX('Layer B — pod writeups'!$G:$G,MATCH('Layer A — raw data (SOURCED)'!$A24,'Layer B — pod writeups'!$A:$A,0))="Y","DH",""),IF(INDEX('Layer B — pod writeups'!$H:$H,MATCH('Layer A — raw data (SOURCED)'!$A24,'Layer B — pod writeups'!$A:$A,0))="Y","FADE",""),IF(INDEX('Layer B — pod writeups'!$I:$I,MATCH('Layer A — raw data (SOURCED)'!$A24,'Layer B — pod writeups'!$A:$A,0))="Y","SPLIT",""),IF(INDEX('Layer B — pod writeups'!$J:$J,MATCH('Layer A — raw data (SOURCED)'!$A24,'Layer B — pod writeups'!$A:$A,0))="Y","VAR","")),"")</f>
        <v/>
      </c>
      <c r="P24" s="13" t="str">
        <f aca="false">IFERROR(INDEX('Layer B — pod writeups'!$L:$L,MATCH('Layer A — raw data (SOURCED)'!$A24,'Layer B — pod writeups'!$A:$A,0)),"")</f>
        <v/>
      </c>
      <c r="Q24" s="13" t="str">
        <f aca="false">IFERROR(INDEX('Layer B — pod writeups'!$N:$N,MATCH('Layer A — raw data (SOURCED)'!$A24,'Layer B — pod writeups'!$A:$A,0)),"")</f>
        <v/>
      </c>
    </row>
    <row r="25" customFormat="false" ht="15" hidden="false" customHeight="true" outlineLevel="0" collapsed="false">
      <c r="A25" s="12" t="str">
        <f aca="false">'Layer A — raw data (SOURCED)'!O25</f>
        <v>SEC</v>
      </c>
      <c r="B25" s="12" t="str">
        <f aca="false">'Layer A — raw data (SOURCED)'!A25</f>
        <v>South Carolina</v>
      </c>
      <c r="C25" s="13" t="str">
        <f aca="false">'Layer A — raw data (SOURCED)'!O25</f>
        <v>SEC</v>
      </c>
      <c r="D25" s="12" t="n">
        <f aca="false">'Layer A — raw data (SOURCED)'!B25</f>
        <v>6.5</v>
      </c>
      <c r="E25" s="12" t="n">
        <f aca="false">'Layer A — raw data (SOURCED)'!C25</f>
        <v>24</v>
      </c>
      <c r="F25" s="12" t="n">
        <f aca="false">'Layer A — raw data (SOURCED)'!D25</f>
        <v>12.1</v>
      </c>
      <c r="G25" s="12" t="n">
        <f aca="false">'Layer A — raw data (SOURCED)'!E25</f>
        <v>68</v>
      </c>
      <c r="H25" s="12" t="n">
        <f aca="false">'Layer A — raw data (SOURCED)'!H25</f>
        <v>9.5</v>
      </c>
      <c r="I25" s="12" t="n">
        <f aca="false">'Layer A — raw data (SOURCED)'!K25</f>
        <v>0</v>
      </c>
      <c r="J25" s="12" t="str">
        <f aca="false">'Layer A — raw data (SOURCED)'!L25</f>
        <v/>
      </c>
      <c r="K25" s="13" t="str">
        <f aca="false">IFERROR(INDEX('Layer B — pod writeups'!$B:$B,MATCH('Layer A — raw data (SOURCED)'!$A25,'Layer B — pod writeups'!$A:$A,0)),"")</f>
        <v/>
      </c>
      <c r="L25" s="13" t="str">
        <f aca="false">IFERROR(textjoin(" | ",TRUE(),IF(INDEX('Layer B — pod writeups'!$C:$C,MATCH('Layer A — raw data (SOURCED)'!$A25,'Layer B — pod writeups'!$A:$A,0))="","","HC "&amp;INDEX('Layer B — pod writeups'!$C:$C,MATCH('Layer A — raw data (SOURCED)'!$A25,'Layer B — pod writeups'!$A:$A,0))),IF(INDEX('Layer B — pod writeups'!$D:$D,MATCH('Layer A — raw data (SOURCED)'!$A25,'Layer B — pod writeups'!$A:$A,0))="","","OC "&amp;INDEX('Layer B — pod writeups'!$D:$D,MATCH('Layer A — raw data (SOURCED)'!$A25,'Layer B — pod writeups'!$A:$A,0))),IF(INDEX('Layer B — pod writeups'!$E:$E,MATCH('Layer A — raw data (SOURCED)'!$A25,'Layer B — pod writeups'!$A:$A,0))="","","DC "&amp;INDEX('Layer B — pod writeups'!$E:$E,MATCH('Layer A — raw data (SOURCED)'!$A25,'Layer B — pod writeups'!$A:$A,0)))),"")</f>
        <v/>
      </c>
      <c r="M25" s="12" t="str">
        <f aca="false">IFERROR(INDEX('Layer B — pod writeups'!$F:$F,MATCH('Layer A — raw data (SOURCED)'!$A25,'Layer B — pod writeups'!$A:$A,0)),"")</f>
        <v/>
      </c>
      <c r="N25" s="12" t="str">
        <f aca="false">IFERROR(INDEX('Layer B — pod writeups'!$K:$K,MATCH('Layer A — raw data (SOURCED)'!$A25,'Layer B — pod writeups'!$A:$A,0)),"")</f>
        <v/>
      </c>
      <c r="O25" s="12" t="str">
        <f aca="false">IFERROR(textjoin(" ",TRUE(),IF(INDEX('Layer B — pod writeups'!$G:$G,MATCH('Layer A — raw data (SOURCED)'!$A25,'Layer B — pod writeups'!$A:$A,0))="Y","DH",""),IF(INDEX('Layer B — pod writeups'!$H:$H,MATCH('Layer A — raw data (SOURCED)'!$A25,'Layer B — pod writeups'!$A:$A,0))="Y","FADE",""),IF(INDEX('Layer B — pod writeups'!$I:$I,MATCH('Layer A — raw data (SOURCED)'!$A25,'Layer B — pod writeups'!$A:$A,0))="Y","SPLIT",""),IF(INDEX('Layer B — pod writeups'!$J:$J,MATCH('Layer A — raw data (SOURCED)'!$A25,'Layer B — pod writeups'!$A:$A,0))="Y","VAR","")),"")</f>
        <v/>
      </c>
      <c r="P25" s="13" t="str">
        <f aca="false">IFERROR(INDEX('Layer B — pod writeups'!$L:$L,MATCH('Layer A — raw data (SOURCED)'!$A25,'Layer B — pod writeups'!$A:$A,0)),"")</f>
        <v/>
      </c>
      <c r="Q25" s="13" t="str">
        <f aca="false">IFERROR(INDEX('Layer B — pod writeups'!$N:$N,MATCH('Layer A — raw data (SOURCED)'!$A25,'Layer B — pod writeups'!$A:$A,0)),"")</f>
        <v/>
      </c>
    </row>
    <row r="26" customFormat="false" ht="15" hidden="false" customHeight="true" outlineLevel="0" collapsed="false">
      <c r="A26" s="12" t="str">
        <f aca="false">'Layer A — raw data (SOURCED)'!O26</f>
        <v>Big 12</v>
      </c>
      <c r="B26" s="12" t="str">
        <f aca="false">'Layer A — raw data (SOURCED)'!A26</f>
        <v>Utah</v>
      </c>
      <c r="C26" s="13" t="str">
        <f aca="false">'Layer A — raw data (SOURCED)'!O26</f>
        <v>Big 12</v>
      </c>
      <c r="D26" s="12" t="n">
        <f aca="false">'Layer A — raw data (SOURCED)'!B26</f>
        <v>8.5</v>
      </c>
      <c r="E26" s="12" t="n">
        <f aca="false">'Layer A — raw data (SOURCED)'!C26</f>
        <v>25</v>
      </c>
      <c r="F26" s="12" t="n">
        <f aca="false">'Layer A — raw data (SOURCED)'!D26</f>
        <v>11.9</v>
      </c>
      <c r="G26" s="12" t="n">
        <f aca="false">'Layer A — raw data (SOURCED)'!E26</f>
        <v>55</v>
      </c>
      <c r="H26" s="12" t="n">
        <f aca="false">'Layer A — raw data (SOURCED)'!H26</f>
        <v>3</v>
      </c>
      <c r="I26" s="12" t="n">
        <f aca="false">'Layer A — raw data (SOURCED)'!K26</f>
        <v>0</v>
      </c>
      <c r="J26" s="12" t="str">
        <f aca="false">'Layer A — raw data (SOURCED)'!L26</f>
        <v/>
      </c>
      <c r="K26" s="13" t="str">
        <f aca="false">IFERROR(INDEX('Layer B — pod writeups'!$B:$B,MATCH('Layer A — raw data (SOURCED)'!$A26,'Layer B — pod writeups'!$A:$A,0)),"")</f>
        <v/>
      </c>
      <c r="L26" s="13" t="str">
        <f aca="false">IFERROR(textjoin(" | ",TRUE(),IF(INDEX('Layer B — pod writeups'!$C:$C,MATCH('Layer A — raw data (SOURCED)'!$A26,'Layer B — pod writeups'!$A:$A,0))="","","HC "&amp;INDEX('Layer B — pod writeups'!$C:$C,MATCH('Layer A — raw data (SOURCED)'!$A26,'Layer B — pod writeups'!$A:$A,0))),IF(INDEX('Layer B — pod writeups'!$D:$D,MATCH('Layer A — raw data (SOURCED)'!$A26,'Layer B — pod writeups'!$A:$A,0))="","","OC "&amp;INDEX('Layer B — pod writeups'!$D:$D,MATCH('Layer A — raw data (SOURCED)'!$A26,'Layer B — pod writeups'!$A:$A,0))),IF(INDEX('Layer B — pod writeups'!$E:$E,MATCH('Layer A — raw data (SOURCED)'!$A26,'Layer B — pod writeups'!$A:$A,0))="","","DC "&amp;INDEX('Layer B — pod writeups'!$E:$E,MATCH('Layer A — raw data (SOURCED)'!$A26,'Layer B — pod writeups'!$A:$A,0)))),"")</f>
        <v/>
      </c>
      <c r="M26" s="12" t="str">
        <f aca="false">IFERROR(INDEX('Layer B — pod writeups'!$F:$F,MATCH('Layer A — raw data (SOURCED)'!$A26,'Layer B — pod writeups'!$A:$A,0)),"")</f>
        <v/>
      </c>
      <c r="N26" s="12" t="str">
        <f aca="false">IFERROR(INDEX('Layer B — pod writeups'!$K:$K,MATCH('Layer A — raw data (SOURCED)'!$A26,'Layer B — pod writeups'!$A:$A,0)),"")</f>
        <v/>
      </c>
      <c r="O26" s="12" t="str">
        <f aca="false">IFERROR(textjoin(" ",TRUE(),IF(INDEX('Layer B — pod writeups'!$G:$G,MATCH('Layer A — raw data (SOURCED)'!$A26,'Layer B — pod writeups'!$A:$A,0))="Y","DH",""),IF(INDEX('Layer B — pod writeups'!$H:$H,MATCH('Layer A — raw data (SOURCED)'!$A26,'Layer B — pod writeups'!$A:$A,0))="Y","FADE",""),IF(INDEX('Layer B — pod writeups'!$I:$I,MATCH('Layer A — raw data (SOURCED)'!$A26,'Layer B — pod writeups'!$A:$A,0))="Y","SPLIT",""),IF(INDEX('Layer B — pod writeups'!$J:$J,MATCH('Layer A — raw data (SOURCED)'!$A26,'Layer B — pod writeups'!$A:$A,0))="Y","VAR","")),"")</f>
        <v/>
      </c>
      <c r="P26" s="13" t="str">
        <f aca="false">IFERROR(INDEX('Layer B — pod writeups'!$L:$L,MATCH('Layer A — raw data (SOURCED)'!$A26,'Layer B — pod writeups'!$A:$A,0)),"")</f>
        <v/>
      </c>
      <c r="Q26" s="13" t="str">
        <f aca="false">IFERROR(INDEX('Layer B — pod writeups'!$N:$N,MATCH('Layer A — raw data (SOURCED)'!$A26,'Layer B — pod writeups'!$A:$A,0)),"")</f>
        <v/>
      </c>
    </row>
    <row r="27" customFormat="false" ht="15" hidden="false" customHeight="true" outlineLevel="0" collapsed="false">
      <c r="A27" s="12" t="str">
        <f aca="false">'Layer A — raw data (SOURCED)'!O27</f>
        <v>SEC</v>
      </c>
      <c r="B27" s="12" t="str">
        <f aca="false">'Layer A — raw data (SOURCED)'!A27</f>
        <v>Auburn</v>
      </c>
      <c r="C27" s="13" t="str">
        <f aca="false">'Layer A — raw data (SOURCED)'!O27</f>
        <v>SEC</v>
      </c>
      <c r="D27" s="12" t="n">
        <f aca="false">'Layer A — raw data (SOURCED)'!B27</f>
        <v>6.5</v>
      </c>
      <c r="E27" s="12" t="n">
        <f aca="false">'Layer A — raw data (SOURCED)'!C27</f>
        <v>26</v>
      </c>
      <c r="F27" s="12" t="n">
        <f aca="false">'Layer A — raw data (SOURCED)'!D27</f>
        <v>11.2</v>
      </c>
      <c r="G27" s="12" t="n">
        <f aca="false">'Layer A — raw data (SOURCED)'!E27</f>
        <v>57</v>
      </c>
      <c r="H27" s="12" t="n">
        <f aca="false">'Layer A — raw data (SOURCED)'!H27</f>
        <v>7</v>
      </c>
      <c r="I27" s="12" t="n">
        <f aca="false">'Layer A — raw data (SOURCED)'!K27</f>
        <v>0</v>
      </c>
      <c r="J27" s="12" t="str">
        <f aca="false">'Layer A — raw data (SOURCED)'!L27</f>
        <v/>
      </c>
      <c r="K27" s="13" t="str">
        <f aca="false">IFERROR(INDEX('Layer B — pod writeups'!$B:$B,MATCH('Layer A — raw data (SOURCED)'!$A27,'Layer B — pod writeups'!$A:$A,0)),"")</f>
        <v/>
      </c>
      <c r="L27" s="13" t="str">
        <f aca="false">IFERROR(textjoin(" | ",TRUE(),IF(INDEX('Layer B — pod writeups'!$C:$C,MATCH('Layer A — raw data (SOURCED)'!$A27,'Layer B — pod writeups'!$A:$A,0))="","","HC "&amp;INDEX('Layer B — pod writeups'!$C:$C,MATCH('Layer A — raw data (SOURCED)'!$A27,'Layer B — pod writeups'!$A:$A,0))),IF(INDEX('Layer B — pod writeups'!$D:$D,MATCH('Layer A — raw data (SOURCED)'!$A27,'Layer B — pod writeups'!$A:$A,0))="","","OC "&amp;INDEX('Layer B — pod writeups'!$D:$D,MATCH('Layer A — raw data (SOURCED)'!$A27,'Layer B — pod writeups'!$A:$A,0))),IF(INDEX('Layer B — pod writeups'!$E:$E,MATCH('Layer A — raw data (SOURCED)'!$A27,'Layer B — pod writeups'!$A:$A,0))="","","DC "&amp;INDEX('Layer B — pod writeups'!$E:$E,MATCH('Layer A — raw data (SOURCED)'!$A27,'Layer B — pod writeups'!$A:$A,0)))),"")</f>
        <v/>
      </c>
      <c r="M27" s="12" t="str">
        <f aca="false">IFERROR(INDEX('Layer B — pod writeups'!$F:$F,MATCH('Layer A — raw data (SOURCED)'!$A27,'Layer B — pod writeups'!$A:$A,0)),"")</f>
        <v/>
      </c>
      <c r="N27" s="12" t="str">
        <f aca="false">IFERROR(INDEX('Layer B — pod writeups'!$K:$K,MATCH('Layer A — raw data (SOURCED)'!$A27,'Layer B — pod writeups'!$A:$A,0)),"")</f>
        <v/>
      </c>
      <c r="O27" s="12" t="str">
        <f aca="false">IFERROR(textjoin(" ",TRUE(),IF(INDEX('Layer B — pod writeups'!$G:$G,MATCH('Layer A — raw data (SOURCED)'!$A27,'Layer B — pod writeups'!$A:$A,0))="Y","DH",""),IF(INDEX('Layer B — pod writeups'!$H:$H,MATCH('Layer A — raw data (SOURCED)'!$A27,'Layer B — pod writeups'!$A:$A,0))="Y","FADE",""),IF(INDEX('Layer B — pod writeups'!$I:$I,MATCH('Layer A — raw data (SOURCED)'!$A27,'Layer B — pod writeups'!$A:$A,0))="Y","SPLIT",""),IF(INDEX('Layer B — pod writeups'!$J:$J,MATCH('Layer A — raw data (SOURCED)'!$A27,'Layer B — pod writeups'!$A:$A,0))="Y","VAR","")),"")</f>
        <v/>
      </c>
      <c r="P27" s="13" t="str">
        <f aca="false">IFERROR(INDEX('Layer B — pod writeups'!$L:$L,MATCH('Layer A — raw data (SOURCED)'!$A27,'Layer B — pod writeups'!$A:$A,0)),"")</f>
        <v/>
      </c>
      <c r="Q27" s="13" t="str">
        <f aca="false">IFERROR(INDEX('Layer B — pod writeups'!$N:$N,MATCH('Layer A — raw data (SOURCED)'!$A27,'Layer B — pod writeups'!$A:$A,0)),"")</f>
        <v/>
      </c>
    </row>
    <row r="28" customFormat="false" ht="15" hidden="false" customHeight="true" outlineLevel="0" collapsed="false">
      <c r="A28" s="12" t="str">
        <f aca="false">'Layer A — raw data (SOURCED)'!O28</f>
        <v>ACC</v>
      </c>
      <c r="B28" s="12" t="str">
        <f aca="false">'Layer A — raw data (SOURCED)'!A28</f>
        <v>Louisville</v>
      </c>
      <c r="C28" s="13" t="str">
        <f aca="false">'Layer A — raw data (SOURCED)'!O28</f>
        <v>ACC</v>
      </c>
      <c r="D28" s="12" t="n">
        <f aca="false">'Layer A — raw data (SOURCED)'!B28</f>
        <v>8.5</v>
      </c>
      <c r="E28" s="12" t="n">
        <f aca="false">'Layer A — raw data (SOURCED)'!C28</f>
        <v>27</v>
      </c>
      <c r="F28" s="12" t="n">
        <f aca="false">'Layer A — raw data (SOURCED)'!D28</f>
        <v>11</v>
      </c>
      <c r="G28" s="12" t="n">
        <f aca="false">'Layer A — raw data (SOURCED)'!E28</f>
        <v>53</v>
      </c>
      <c r="H28" s="12" t="n">
        <f aca="false">'Layer A — raw data (SOURCED)'!H28</f>
        <v>0.5</v>
      </c>
      <c r="I28" s="12" t="n">
        <f aca="false">'Layer A — raw data (SOURCED)'!K28</f>
        <v>0</v>
      </c>
      <c r="J28" s="12" t="str">
        <f aca="false">'Layer A — raw data (SOURCED)'!L28</f>
        <v/>
      </c>
      <c r="K28" s="13" t="str">
        <f aca="false">IFERROR(INDEX('Layer B — pod writeups'!$B:$B,MATCH('Layer A — raw data (SOURCED)'!$A28,'Layer B — pod writeups'!$A:$A,0)),"")</f>
        <v/>
      </c>
      <c r="L28" s="13" t="str">
        <f aca="false">IFERROR(textjoin(" | ",TRUE(),IF(INDEX('Layer B — pod writeups'!$C:$C,MATCH('Layer A — raw data (SOURCED)'!$A28,'Layer B — pod writeups'!$A:$A,0))="","","HC "&amp;INDEX('Layer B — pod writeups'!$C:$C,MATCH('Layer A — raw data (SOURCED)'!$A28,'Layer B — pod writeups'!$A:$A,0))),IF(INDEX('Layer B — pod writeups'!$D:$D,MATCH('Layer A — raw data (SOURCED)'!$A28,'Layer B — pod writeups'!$A:$A,0))="","","OC "&amp;INDEX('Layer B — pod writeups'!$D:$D,MATCH('Layer A — raw data (SOURCED)'!$A28,'Layer B — pod writeups'!$A:$A,0))),IF(INDEX('Layer B — pod writeups'!$E:$E,MATCH('Layer A — raw data (SOURCED)'!$A28,'Layer B — pod writeups'!$A:$A,0))="","","DC "&amp;INDEX('Layer B — pod writeups'!$E:$E,MATCH('Layer A — raw data (SOURCED)'!$A28,'Layer B — pod writeups'!$A:$A,0)))),"")</f>
        <v/>
      </c>
      <c r="M28" s="12" t="str">
        <f aca="false">IFERROR(INDEX('Layer B — pod writeups'!$F:$F,MATCH('Layer A — raw data (SOURCED)'!$A28,'Layer B — pod writeups'!$A:$A,0)),"")</f>
        <v/>
      </c>
      <c r="N28" s="12" t="str">
        <f aca="false">IFERROR(INDEX('Layer B — pod writeups'!$K:$K,MATCH('Layer A — raw data (SOURCED)'!$A28,'Layer B — pod writeups'!$A:$A,0)),"")</f>
        <v/>
      </c>
      <c r="O28" s="12" t="str">
        <f aca="false">IFERROR(textjoin(" ",TRUE(),IF(INDEX('Layer B — pod writeups'!$G:$G,MATCH('Layer A — raw data (SOURCED)'!$A28,'Layer B — pod writeups'!$A:$A,0))="Y","DH",""),IF(INDEX('Layer B — pod writeups'!$H:$H,MATCH('Layer A — raw data (SOURCED)'!$A28,'Layer B — pod writeups'!$A:$A,0))="Y","FADE",""),IF(INDEX('Layer B — pod writeups'!$I:$I,MATCH('Layer A — raw data (SOURCED)'!$A28,'Layer B — pod writeups'!$A:$A,0))="Y","SPLIT",""),IF(INDEX('Layer B — pod writeups'!$J:$J,MATCH('Layer A — raw data (SOURCED)'!$A28,'Layer B — pod writeups'!$A:$A,0))="Y","VAR","")),"")</f>
        <v/>
      </c>
      <c r="P28" s="13" t="str">
        <f aca="false">IFERROR(INDEX('Layer B — pod writeups'!$L:$L,MATCH('Layer A — raw data (SOURCED)'!$A28,'Layer B — pod writeups'!$A:$A,0)),"")</f>
        <v/>
      </c>
      <c r="Q28" s="13" t="str">
        <f aca="false">IFERROR(INDEX('Layer B — pod writeups'!$N:$N,MATCH('Layer A — raw data (SOURCED)'!$A28,'Layer B — pod writeups'!$A:$A,0)),"")</f>
        <v/>
      </c>
    </row>
    <row r="29" customFormat="false" ht="15" hidden="false" customHeight="true" outlineLevel="0" collapsed="false">
      <c r="A29" s="12" t="str">
        <f aca="false">'Layer A — raw data (SOURCED)'!O29</f>
        <v>ACC</v>
      </c>
      <c r="B29" s="12" t="str">
        <f aca="false">'Layer A — raw data (SOURCED)'!A29</f>
        <v>SMU</v>
      </c>
      <c r="C29" s="13" t="str">
        <f aca="false">'Layer A — raw data (SOURCED)'!O29</f>
        <v>ACC</v>
      </c>
      <c r="D29" s="12" t="n">
        <f aca="false">'Layer A — raw data (SOURCED)'!B29</f>
        <v>8.5</v>
      </c>
      <c r="E29" s="12" t="n">
        <f aca="false">'Layer A — raw data (SOURCED)'!C29</f>
        <v>28</v>
      </c>
      <c r="F29" s="12" t="n">
        <f aca="false">'Layer A — raw data (SOURCED)'!D29</f>
        <v>10.9</v>
      </c>
      <c r="G29" s="12" t="n">
        <f aca="false">'Layer A — raw data (SOURCED)'!E29</f>
        <v>62</v>
      </c>
      <c r="H29" s="12" t="n">
        <f aca="false">'Layer A — raw data (SOURCED)'!H29</f>
        <v>6</v>
      </c>
      <c r="I29" s="12" t="n">
        <f aca="false">'Layer A — raw data (SOURCED)'!K29</f>
        <v>0</v>
      </c>
      <c r="J29" s="12" t="str">
        <f aca="false">'Layer A — raw data (SOURCED)'!L29</f>
        <v/>
      </c>
      <c r="K29" s="13" t="str">
        <f aca="false">IFERROR(INDEX('Layer B — pod writeups'!$B:$B,MATCH('Layer A — raw data (SOURCED)'!$A29,'Layer B — pod writeups'!$A:$A,0)),"")</f>
        <v/>
      </c>
      <c r="L29" s="13" t="str">
        <f aca="false">IFERROR(textjoin(" | ",TRUE(),IF(INDEX('Layer B — pod writeups'!$C:$C,MATCH('Layer A — raw data (SOURCED)'!$A29,'Layer B — pod writeups'!$A:$A,0))="","","HC "&amp;INDEX('Layer B — pod writeups'!$C:$C,MATCH('Layer A — raw data (SOURCED)'!$A29,'Layer B — pod writeups'!$A:$A,0))),IF(INDEX('Layer B — pod writeups'!$D:$D,MATCH('Layer A — raw data (SOURCED)'!$A29,'Layer B — pod writeups'!$A:$A,0))="","","OC "&amp;INDEX('Layer B — pod writeups'!$D:$D,MATCH('Layer A — raw data (SOURCED)'!$A29,'Layer B — pod writeups'!$A:$A,0))),IF(INDEX('Layer B — pod writeups'!$E:$E,MATCH('Layer A — raw data (SOURCED)'!$A29,'Layer B — pod writeups'!$A:$A,0))="","","DC "&amp;INDEX('Layer B — pod writeups'!$E:$E,MATCH('Layer A — raw data (SOURCED)'!$A29,'Layer B — pod writeups'!$A:$A,0)))),"")</f>
        <v/>
      </c>
      <c r="M29" s="12" t="str">
        <f aca="false">IFERROR(INDEX('Layer B — pod writeups'!$F:$F,MATCH('Layer A — raw data (SOURCED)'!$A29,'Layer B — pod writeups'!$A:$A,0)),"")</f>
        <v/>
      </c>
      <c r="N29" s="12" t="str">
        <f aca="false">IFERROR(INDEX('Layer B — pod writeups'!$K:$K,MATCH('Layer A — raw data (SOURCED)'!$A29,'Layer B — pod writeups'!$A:$A,0)),"")</f>
        <v/>
      </c>
      <c r="O29" s="12" t="str">
        <f aca="false">IFERROR(textjoin(" ",TRUE(),IF(INDEX('Layer B — pod writeups'!$G:$G,MATCH('Layer A — raw data (SOURCED)'!$A29,'Layer B — pod writeups'!$A:$A,0))="Y","DH",""),IF(INDEX('Layer B — pod writeups'!$H:$H,MATCH('Layer A — raw data (SOURCED)'!$A29,'Layer B — pod writeups'!$A:$A,0))="Y","FADE",""),IF(INDEX('Layer B — pod writeups'!$I:$I,MATCH('Layer A — raw data (SOURCED)'!$A29,'Layer B — pod writeups'!$A:$A,0))="Y","SPLIT",""),IF(INDEX('Layer B — pod writeups'!$J:$J,MATCH('Layer A — raw data (SOURCED)'!$A29,'Layer B — pod writeups'!$A:$A,0))="Y","VAR","")),"")</f>
        <v/>
      </c>
      <c r="P29" s="13" t="str">
        <f aca="false">IFERROR(INDEX('Layer B — pod writeups'!$L:$L,MATCH('Layer A — raw data (SOURCED)'!$A29,'Layer B — pod writeups'!$A:$A,0)),"")</f>
        <v/>
      </c>
      <c r="Q29" s="13" t="str">
        <f aca="false">IFERROR(INDEX('Layer B — pod writeups'!$N:$N,MATCH('Layer A — raw data (SOURCED)'!$A29,'Layer B — pod writeups'!$A:$A,0)),"")</f>
        <v/>
      </c>
    </row>
    <row r="30" customFormat="false" ht="15" hidden="false" customHeight="true" outlineLevel="0" collapsed="false">
      <c r="A30" s="12" t="str">
        <f aca="false">'Layer A — raw data (SOURCED)'!O30</f>
        <v>Big 12</v>
      </c>
      <c r="B30" s="12" t="str">
        <f aca="false">'Layer A — raw data (SOURCED)'!A30</f>
        <v>Kansas State</v>
      </c>
      <c r="C30" s="13" t="str">
        <f aca="false">'Layer A — raw data (SOURCED)'!O30</f>
        <v>Big 12</v>
      </c>
      <c r="D30" s="12" t="n">
        <f aca="false">'Layer A — raw data (SOURCED)'!B30</f>
        <v>8.5</v>
      </c>
      <c r="E30" s="12" t="n">
        <f aca="false">'Layer A — raw data (SOURCED)'!C30</f>
        <v>29</v>
      </c>
      <c r="F30" s="12" t="n">
        <f aca="false">'Layer A — raw data (SOURCED)'!D30</f>
        <v>10.4</v>
      </c>
      <c r="G30" s="12" t="n">
        <f aca="false">'Layer A — raw data (SOURCED)'!E30</f>
        <v>58</v>
      </c>
      <c r="H30" s="12" t="n">
        <f aca="false">'Layer A — raw data (SOURCED)'!H30</f>
        <v>5.5</v>
      </c>
      <c r="I30" s="12" t="n">
        <f aca="false">'Layer A — raw data (SOURCED)'!K30</f>
        <v>0</v>
      </c>
      <c r="J30" s="12" t="str">
        <f aca="false">'Layer A — raw data (SOURCED)'!L30</f>
        <v/>
      </c>
      <c r="K30" s="13" t="str">
        <f aca="false">IFERROR(INDEX('Layer B — pod writeups'!$B:$B,MATCH('Layer A — raw data (SOURCED)'!$A30,'Layer B — pod writeups'!$A:$A,0)),"")</f>
        <v/>
      </c>
      <c r="L30" s="13" t="str">
        <f aca="false">IFERROR(textjoin(" | ",TRUE(),IF(INDEX('Layer B — pod writeups'!$C:$C,MATCH('Layer A — raw data (SOURCED)'!$A30,'Layer B — pod writeups'!$A:$A,0))="","","HC "&amp;INDEX('Layer B — pod writeups'!$C:$C,MATCH('Layer A — raw data (SOURCED)'!$A30,'Layer B — pod writeups'!$A:$A,0))),IF(INDEX('Layer B — pod writeups'!$D:$D,MATCH('Layer A — raw data (SOURCED)'!$A30,'Layer B — pod writeups'!$A:$A,0))="","","OC "&amp;INDEX('Layer B — pod writeups'!$D:$D,MATCH('Layer A — raw data (SOURCED)'!$A30,'Layer B — pod writeups'!$A:$A,0))),IF(INDEX('Layer B — pod writeups'!$E:$E,MATCH('Layer A — raw data (SOURCED)'!$A30,'Layer B — pod writeups'!$A:$A,0))="","","DC "&amp;INDEX('Layer B — pod writeups'!$E:$E,MATCH('Layer A — raw data (SOURCED)'!$A30,'Layer B — pod writeups'!$A:$A,0)))),"")</f>
        <v/>
      </c>
      <c r="M30" s="12" t="str">
        <f aca="false">IFERROR(INDEX('Layer B — pod writeups'!$F:$F,MATCH('Layer A — raw data (SOURCED)'!$A30,'Layer B — pod writeups'!$A:$A,0)),"")</f>
        <v/>
      </c>
      <c r="N30" s="12" t="str">
        <f aca="false">IFERROR(INDEX('Layer B — pod writeups'!$K:$K,MATCH('Layer A — raw data (SOURCED)'!$A30,'Layer B — pod writeups'!$A:$A,0)),"")</f>
        <v/>
      </c>
      <c r="O30" s="12" t="str">
        <f aca="false">IFERROR(textjoin(" ",TRUE(),IF(INDEX('Layer B — pod writeups'!$G:$G,MATCH('Layer A — raw data (SOURCED)'!$A30,'Layer B — pod writeups'!$A:$A,0))="Y","DH",""),IF(INDEX('Layer B — pod writeups'!$H:$H,MATCH('Layer A — raw data (SOURCED)'!$A30,'Layer B — pod writeups'!$A:$A,0))="Y","FADE",""),IF(INDEX('Layer B — pod writeups'!$I:$I,MATCH('Layer A — raw data (SOURCED)'!$A30,'Layer B — pod writeups'!$A:$A,0))="Y","SPLIT",""),IF(INDEX('Layer B — pod writeups'!$J:$J,MATCH('Layer A — raw data (SOURCED)'!$A30,'Layer B — pod writeups'!$A:$A,0))="Y","VAR","")),"")</f>
        <v/>
      </c>
      <c r="P30" s="13" t="str">
        <f aca="false">IFERROR(INDEX('Layer B — pod writeups'!$L:$L,MATCH('Layer A — raw data (SOURCED)'!$A30,'Layer B — pod writeups'!$A:$A,0)),"")</f>
        <v/>
      </c>
      <c r="Q30" s="13" t="str">
        <f aca="false">IFERROR(INDEX('Layer B — pod writeups'!$N:$N,MATCH('Layer A — raw data (SOURCED)'!$A30,'Layer B — pod writeups'!$A:$A,0)),"")</f>
        <v/>
      </c>
    </row>
    <row r="31" customFormat="false" ht="15" hidden="false" customHeight="true" outlineLevel="0" collapsed="false">
      <c r="A31" s="12" t="str">
        <f aca="false">'Layer A — raw data (SOURCED)'!O31</f>
        <v>Big 12</v>
      </c>
      <c r="B31" s="12" t="str">
        <f aca="false">'Layer A — raw data (SOURCED)'!A31</f>
        <v>Arizona</v>
      </c>
      <c r="C31" s="13" t="str">
        <f aca="false">'Layer A — raw data (SOURCED)'!O31</f>
        <v>Big 12</v>
      </c>
      <c r="D31" s="12" t="n">
        <f aca="false">'Layer A — raw data (SOURCED)'!B31</f>
        <v>7.5</v>
      </c>
      <c r="E31" s="12" t="n">
        <f aca="false">'Layer A — raw data (SOURCED)'!C31</f>
        <v>30</v>
      </c>
      <c r="F31" s="12" t="n">
        <f aca="false">'Layer A — raw data (SOURCED)'!D31</f>
        <v>10.2</v>
      </c>
      <c r="G31" s="12" t="n">
        <f aca="false">'Layer A — raw data (SOURCED)'!E31</f>
        <v>60</v>
      </c>
      <c r="H31" s="12" t="n">
        <f aca="false">'Layer A — raw data (SOURCED)'!H31</f>
        <v>-0.5</v>
      </c>
      <c r="I31" s="12" t="n">
        <f aca="false">'Layer A — raw data (SOURCED)'!K31</f>
        <v>0</v>
      </c>
      <c r="J31" s="12" t="str">
        <f aca="false">'Layer A — raw data (SOURCED)'!L31</f>
        <v/>
      </c>
      <c r="K31" s="13" t="str">
        <f aca="false">IFERROR(INDEX('Layer B — pod writeups'!$B:$B,MATCH('Layer A — raw data (SOURCED)'!$A31,'Layer B — pod writeups'!$A:$A,0)),"")</f>
        <v/>
      </c>
      <c r="L31" s="13" t="str">
        <f aca="false">IFERROR(textjoin(" | ",TRUE(),IF(INDEX('Layer B — pod writeups'!$C:$C,MATCH('Layer A — raw data (SOURCED)'!$A31,'Layer B — pod writeups'!$A:$A,0))="","","HC "&amp;INDEX('Layer B — pod writeups'!$C:$C,MATCH('Layer A — raw data (SOURCED)'!$A31,'Layer B — pod writeups'!$A:$A,0))),IF(INDEX('Layer B — pod writeups'!$D:$D,MATCH('Layer A — raw data (SOURCED)'!$A31,'Layer B — pod writeups'!$A:$A,0))="","","OC "&amp;INDEX('Layer B — pod writeups'!$D:$D,MATCH('Layer A — raw data (SOURCED)'!$A31,'Layer B — pod writeups'!$A:$A,0))),IF(INDEX('Layer B — pod writeups'!$E:$E,MATCH('Layer A — raw data (SOURCED)'!$A31,'Layer B — pod writeups'!$A:$A,0))="","","DC "&amp;INDEX('Layer B — pod writeups'!$E:$E,MATCH('Layer A — raw data (SOURCED)'!$A31,'Layer B — pod writeups'!$A:$A,0)))),"")</f>
        <v/>
      </c>
      <c r="M31" s="12" t="str">
        <f aca="false">IFERROR(INDEX('Layer B — pod writeups'!$F:$F,MATCH('Layer A — raw data (SOURCED)'!$A31,'Layer B — pod writeups'!$A:$A,0)),"")</f>
        <v/>
      </c>
      <c r="N31" s="12" t="str">
        <f aca="false">IFERROR(INDEX('Layer B — pod writeups'!$K:$K,MATCH('Layer A — raw data (SOURCED)'!$A31,'Layer B — pod writeups'!$A:$A,0)),"")</f>
        <v/>
      </c>
      <c r="O31" s="12" t="str">
        <f aca="false">IFERROR(textjoin(" ",TRUE(),IF(INDEX('Layer B — pod writeups'!$G:$G,MATCH('Layer A — raw data (SOURCED)'!$A31,'Layer B — pod writeups'!$A:$A,0))="Y","DH",""),IF(INDEX('Layer B — pod writeups'!$H:$H,MATCH('Layer A — raw data (SOURCED)'!$A31,'Layer B — pod writeups'!$A:$A,0))="Y","FADE",""),IF(INDEX('Layer B — pod writeups'!$I:$I,MATCH('Layer A — raw data (SOURCED)'!$A31,'Layer B — pod writeups'!$A:$A,0))="Y","SPLIT",""),IF(INDEX('Layer B — pod writeups'!$J:$J,MATCH('Layer A — raw data (SOURCED)'!$A31,'Layer B — pod writeups'!$A:$A,0))="Y","VAR","")),"")</f>
        <v/>
      </c>
      <c r="P31" s="13" t="str">
        <f aca="false">IFERROR(INDEX('Layer B — pod writeups'!$L:$L,MATCH('Layer A — raw data (SOURCED)'!$A31,'Layer B — pod writeups'!$A:$A,0)),"")</f>
        <v/>
      </c>
      <c r="Q31" s="13" t="str">
        <f aca="false">IFERROR(INDEX('Layer B — pod writeups'!$N:$N,MATCH('Layer A — raw data (SOURCED)'!$A31,'Layer B — pod writeups'!$A:$A,0)),"")</f>
        <v/>
      </c>
    </row>
    <row r="32" customFormat="false" ht="15" hidden="false" customHeight="true" outlineLevel="0" collapsed="false">
      <c r="A32" s="12" t="str">
        <f aca="false">'Layer A — raw data (SOURCED)'!O32</f>
        <v>SEC</v>
      </c>
      <c r="B32" s="12" t="str">
        <f aca="false">'Layer A — raw data (SOURCED)'!A32</f>
        <v>Vanderbilt</v>
      </c>
      <c r="C32" s="13" t="str">
        <f aca="false">'Layer A — raw data (SOURCED)'!O32</f>
        <v>SEC</v>
      </c>
      <c r="D32" s="12" t="n">
        <f aca="false">'Layer A — raw data (SOURCED)'!B32</f>
        <v>5.5</v>
      </c>
      <c r="E32" s="12" t="n">
        <f aca="false">'Layer A — raw data (SOURCED)'!C32</f>
        <v>31</v>
      </c>
      <c r="F32" s="12" t="n">
        <f aca="false">'Layer A — raw data (SOURCED)'!D32</f>
        <v>10</v>
      </c>
      <c r="G32" s="12" t="n">
        <f aca="false">'Layer A — raw data (SOURCED)'!E32</f>
        <v>44</v>
      </c>
      <c r="H32" s="12" t="n">
        <f aca="false">'Layer A — raw data (SOURCED)'!H32</f>
        <v>-3</v>
      </c>
      <c r="I32" s="12" t="n">
        <f aca="false">'Layer A — raw data (SOURCED)'!K32</f>
        <v>0</v>
      </c>
      <c r="J32" s="12" t="str">
        <f aca="false">'Layer A — raw data (SOURCED)'!L32</f>
        <v/>
      </c>
      <c r="K32" s="13" t="str">
        <f aca="false">IFERROR(INDEX('Layer B — pod writeups'!$B:$B,MATCH('Layer A — raw data (SOURCED)'!$A32,'Layer B — pod writeups'!$A:$A,0)),"")</f>
        <v/>
      </c>
      <c r="L32" s="13" t="str">
        <f aca="false">IFERROR(textjoin(" | ",TRUE(),IF(INDEX('Layer B — pod writeups'!$C:$C,MATCH('Layer A — raw data (SOURCED)'!$A32,'Layer B — pod writeups'!$A:$A,0))="","","HC "&amp;INDEX('Layer B — pod writeups'!$C:$C,MATCH('Layer A — raw data (SOURCED)'!$A32,'Layer B — pod writeups'!$A:$A,0))),IF(INDEX('Layer B — pod writeups'!$D:$D,MATCH('Layer A — raw data (SOURCED)'!$A32,'Layer B — pod writeups'!$A:$A,0))="","","OC "&amp;INDEX('Layer B — pod writeups'!$D:$D,MATCH('Layer A — raw data (SOURCED)'!$A32,'Layer B — pod writeups'!$A:$A,0))),IF(INDEX('Layer B — pod writeups'!$E:$E,MATCH('Layer A — raw data (SOURCED)'!$A32,'Layer B — pod writeups'!$A:$A,0))="","","DC "&amp;INDEX('Layer B — pod writeups'!$E:$E,MATCH('Layer A — raw data (SOURCED)'!$A32,'Layer B — pod writeups'!$A:$A,0)))),"")</f>
        <v/>
      </c>
      <c r="M32" s="12" t="str">
        <f aca="false">IFERROR(INDEX('Layer B — pod writeups'!$F:$F,MATCH('Layer A — raw data (SOURCED)'!$A32,'Layer B — pod writeups'!$A:$A,0)),"")</f>
        <v/>
      </c>
      <c r="N32" s="12" t="str">
        <f aca="false">IFERROR(INDEX('Layer B — pod writeups'!$K:$K,MATCH('Layer A — raw data (SOURCED)'!$A32,'Layer B — pod writeups'!$A:$A,0)),"")</f>
        <v/>
      </c>
      <c r="O32" s="12" t="str">
        <f aca="false">IFERROR(textjoin(" ",TRUE(),IF(INDEX('Layer B — pod writeups'!$G:$G,MATCH('Layer A — raw data (SOURCED)'!$A32,'Layer B — pod writeups'!$A:$A,0))="Y","DH",""),IF(INDEX('Layer B — pod writeups'!$H:$H,MATCH('Layer A — raw data (SOURCED)'!$A32,'Layer B — pod writeups'!$A:$A,0))="Y","FADE",""),IF(INDEX('Layer B — pod writeups'!$I:$I,MATCH('Layer A — raw data (SOURCED)'!$A32,'Layer B — pod writeups'!$A:$A,0))="Y","SPLIT",""),IF(INDEX('Layer B — pod writeups'!$J:$J,MATCH('Layer A — raw data (SOURCED)'!$A32,'Layer B — pod writeups'!$A:$A,0))="Y","VAR","")),"")</f>
        <v/>
      </c>
      <c r="P32" s="13" t="str">
        <f aca="false">IFERROR(INDEX('Layer B — pod writeups'!$L:$L,MATCH('Layer A — raw data (SOURCED)'!$A32,'Layer B — pod writeups'!$A:$A,0)),"")</f>
        <v/>
      </c>
      <c r="Q32" s="13" t="str">
        <f aca="false">IFERROR(INDEX('Layer B — pod writeups'!$N:$N,MATCH('Layer A — raw data (SOURCED)'!$A32,'Layer B — pod writeups'!$A:$A,0)),"")</f>
        <v/>
      </c>
    </row>
    <row r="33" customFormat="false" ht="15" hidden="false" customHeight="true" outlineLevel="0" collapsed="false">
      <c r="A33" s="12" t="str">
        <f aca="false">'Layer A — raw data (SOURCED)'!O33</f>
        <v>ACC</v>
      </c>
      <c r="B33" s="12" t="str">
        <f aca="false">'Layer A — raw data (SOURCED)'!A33</f>
        <v>Virginia Tech</v>
      </c>
      <c r="C33" s="13" t="str">
        <f aca="false">'Layer A — raw data (SOURCED)'!O33</f>
        <v>ACC</v>
      </c>
      <c r="D33" s="12" t="n">
        <f aca="false">'Layer A — raw data (SOURCED)'!B33</f>
        <v>6.5</v>
      </c>
      <c r="E33" s="12" t="n">
        <f aca="false">'Layer A — raw data (SOURCED)'!C33</f>
        <v>32</v>
      </c>
      <c r="F33" s="12" t="n">
        <f aca="false">'Layer A — raw data (SOURCED)'!D33</f>
        <v>9.4</v>
      </c>
      <c r="G33" s="12" t="n">
        <f aca="false">'Layer A — raw data (SOURCED)'!E33</f>
        <v>69</v>
      </c>
      <c r="H33" s="12" t="n">
        <f aca="false">'Layer A — raw data (SOURCED)'!H33</f>
        <v>10</v>
      </c>
      <c r="I33" s="12" t="n">
        <f aca="false">'Layer A — raw data (SOURCED)'!K33</f>
        <v>0</v>
      </c>
      <c r="J33" s="12" t="str">
        <f aca="false">'Layer A — raw data (SOURCED)'!L33</f>
        <v/>
      </c>
      <c r="K33" s="13" t="str">
        <f aca="false">IFERROR(INDEX('Layer B — pod writeups'!$B:$B,MATCH('Layer A — raw data (SOURCED)'!$A33,'Layer B — pod writeups'!$A:$A,0)),"")</f>
        <v/>
      </c>
      <c r="L33" s="13" t="str">
        <f aca="false">IFERROR(textjoin(" | ",TRUE(),IF(INDEX('Layer B — pod writeups'!$C:$C,MATCH('Layer A — raw data (SOURCED)'!$A33,'Layer B — pod writeups'!$A:$A,0))="","","HC "&amp;INDEX('Layer B — pod writeups'!$C:$C,MATCH('Layer A — raw data (SOURCED)'!$A33,'Layer B — pod writeups'!$A:$A,0))),IF(INDEX('Layer B — pod writeups'!$D:$D,MATCH('Layer A — raw data (SOURCED)'!$A33,'Layer B — pod writeups'!$A:$A,0))="","","OC "&amp;INDEX('Layer B — pod writeups'!$D:$D,MATCH('Layer A — raw data (SOURCED)'!$A33,'Layer B — pod writeups'!$A:$A,0))),IF(INDEX('Layer B — pod writeups'!$E:$E,MATCH('Layer A — raw data (SOURCED)'!$A33,'Layer B — pod writeups'!$A:$A,0))="","","DC "&amp;INDEX('Layer B — pod writeups'!$E:$E,MATCH('Layer A — raw data (SOURCED)'!$A33,'Layer B — pod writeups'!$A:$A,0)))),"")</f>
        <v/>
      </c>
      <c r="M33" s="12" t="str">
        <f aca="false">IFERROR(INDEX('Layer B — pod writeups'!$F:$F,MATCH('Layer A — raw data (SOURCED)'!$A33,'Layer B — pod writeups'!$A:$A,0)),"")</f>
        <v/>
      </c>
      <c r="N33" s="12" t="str">
        <f aca="false">IFERROR(INDEX('Layer B — pod writeups'!$K:$K,MATCH('Layer A — raw data (SOURCED)'!$A33,'Layer B — pod writeups'!$A:$A,0)),"")</f>
        <v/>
      </c>
      <c r="O33" s="12" t="str">
        <f aca="false">IFERROR(textjoin(" ",TRUE(),IF(INDEX('Layer B — pod writeups'!$G:$G,MATCH('Layer A — raw data (SOURCED)'!$A33,'Layer B — pod writeups'!$A:$A,0))="Y","DH",""),IF(INDEX('Layer B — pod writeups'!$H:$H,MATCH('Layer A — raw data (SOURCED)'!$A33,'Layer B — pod writeups'!$A:$A,0))="Y","FADE",""),IF(INDEX('Layer B — pod writeups'!$I:$I,MATCH('Layer A — raw data (SOURCED)'!$A33,'Layer B — pod writeups'!$A:$A,0))="Y","SPLIT",""),IF(INDEX('Layer B — pod writeups'!$J:$J,MATCH('Layer A — raw data (SOURCED)'!$A33,'Layer B — pod writeups'!$A:$A,0))="Y","VAR","")),"")</f>
        <v/>
      </c>
      <c r="P33" s="13" t="str">
        <f aca="false">IFERROR(INDEX('Layer B — pod writeups'!$L:$L,MATCH('Layer A — raw data (SOURCED)'!$A33,'Layer B — pod writeups'!$A:$A,0)),"")</f>
        <v/>
      </c>
      <c r="Q33" s="13" t="str">
        <f aca="false">IFERROR(INDEX('Layer B — pod writeups'!$N:$N,MATCH('Layer A — raw data (SOURCED)'!$A33,'Layer B — pod writeups'!$A:$A,0)),"")</f>
        <v/>
      </c>
    </row>
    <row r="34" customFormat="false" ht="15" hidden="false" customHeight="true" outlineLevel="0" collapsed="false">
      <c r="A34" s="12" t="str">
        <f aca="false">'Layer A — raw data (SOURCED)'!O34</f>
        <v>Big Ten</v>
      </c>
      <c r="B34" s="12" t="str">
        <f aca="false">'Layer A — raw data (SOURCED)'!A34</f>
        <v>Illinois</v>
      </c>
      <c r="C34" s="13" t="str">
        <f aca="false">'Layer A — raw data (SOURCED)'!O34</f>
        <v>Big Ten</v>
      </c>
      <c r="D34" s="12" t="n">
        <f aca="false">'Layer A — raw data (SOURCED)'!B34</f>
        <v>7.5</v>
      </c>
      <c r="E34" s="12" t="n">
        <f aca="false">'Layer A — raw data (SOURCED)'!C34</f>
        <v>33</v>
      </c>
      <c r="F34" s="12" t="n">
        <f aca="false">'Layer A — raw data (SOURCED)'!D34</f>
        <v>9.3</v>
      </c>
      <c r="G34" s="12" t="n">
        <f aca="false">'Layer A — raw data (SOURCED)'!E34</f>
        <v>50</v>
      </c>
      <c r="H34" s="12" t="n">
        <f aca="false">'Layer A — raw data (SOURCED)'!H34</f>
        <v>3</v>
      </c>
      <c r="I34" s="12" t="n">
        <f aca="false">'Layer A — raw data (SOURCED)'!K34</f>
        <v>0</v>
      </c>
      <c r="J34" s="12" t="str">
        <f aca="false">'Layer A — raw data (SOURCED)'!L34</f>
        <v/>
      </c>
      <c r="K34" s="13" t="str">
        <f aca="false">IFERROR(INDEX('Layer B — pod writeups'!$B:$B,MATCH('Layer A — raw data (SOURCED)'!$A34,'Layer B — pod writeups'!$A:$A,0)),"")</f>
        <v/>
      </c>
      <c r="L34" s="13" t="str">
        <f aca="false">IFERROR(textjoin(" | ",TRUE(),IF(INDEX('Layer B — pod writeups'!$C:$C,MATCH('Layer A — raw data (SOURCED)'!$A34,'Layer B — pod writeups'!$A:$A,0))="","","HC "&amp;INDEX('Layer B — pod writeups'!$C:$C,MATCH('Layer A — raw data (SOURCED)'!$A34,'Layer B — pod writeups'!$A:$A,0))),IF(INDEX('Layer B — pod writeups'!$D:$D,MATCH('Layer A — raw data (SOURCED)'!$A34,'Layer B — pod writeups'!$A:$A,0))="","","OC "&amp;INDEX('Layer B — pod writeups'!$D:$D,MATCH('Layer A — raw data (SOURCED)'!$A34,'Layer B — pod writeups'!$A:$A,0))),IF(INDEX('Layer B — pod writeups'!$E:$E,MATCH('Layer A — raw data (SOURCED)'!$A34,'Layer B — pod writeups'!$A:$A,0))="","","DC "&amp;INDEX('Layer B — pod writeups'!$E:$E,MATCH('Layer A — raw data (SOURCED)'!$A34,'Layer B — pod writeups'!$A:$A,0)))),"")</f>
        <v/>
      </c>
      <c r="M34" s="12" t="str">
        <f aca="false">IFERROR(INDEX('Layer B — pod writeups'!$F:$F,MATCH('Layer A — raw data (SOURCED)'!$A34,'Layer B — pod writeups'!$A:$A,0)),"")</f>
        <v/>
      </c>
      <c r="N34" s="12" t="str">
        <f aca="false">IFERROR(INDEX('Layer B — pod writeups'!$K:$K,MATCH('Layer A — raw data (SOURCED)'!$A34,'Layer B — pod writeups'!$A:$A,0)),"")</f>
        <v/>
      </c>
      <c r="O34" s="12" t="str">
        <f aca="false">IFERROR(textjoin(" ",TRUE(),IF(INDEX('Layer B — pod writeups'!$G:$G,MATCH('Layer A — raw data (SOURCED)'!$A34,'Layer B — pod writeups'!$A:$A,0))="Y","DH",""),IF(INDEX('Layer B — pod writeups'!$H:$H,MATCH('Layer A — raw data (SOURCED)'!$A34,'Layer B — pod writeups'!$A:$A,0))="Y","FADE",""),IF(INDEX('Layer B — pod writeups'!$I:$I,MATCH('Layer A — raw data (SOURCED)'!$A34,'Layer B — pod writeups'!$A:$A,0))="Y","SPLIT",""),IF(INDEX('Layer B — pod writeups'!$J:$J,MATCH('Layer A — raw data (SOURCED)'!$A34,'Layer B — pod writeups'!$A:$A,0))="Y","VAR","")),"")</f>
        <v/>
      </c>
      <c r="P34" s="13" t="str">
        <f aca="false">IFERROR(INDEX('Layer B — pod writeups'!$L:$L,MATCH('Layer A — raw data (SOURCED)'!$A34,'Layer B — pod writeups'!$A:$A,0)),"")</f>
        <v/>
      </c>
      <c r="Q34" s="13" t="str">
        <f aca="false">IFERROR(INDEX('Layer B — pod writeups'!$N:$N,MATCH('Layer A — raw data (SOURCED)'!$A34,'Layer B — pod writeups'!$A:$A,0)),"")</f>
        <v/>
      </c>
    </row>
    <row r="35" customFormat="false" ht="15" hidden="false" customHeight="true" outlineLevel="0" collapsed="false">
      <c r="A35" s="12" t="str">
        <f aca="false">'Layer A — raw data (SOURCED)'!O35</f>
        <v>Big 12</v>
      </c>
      <c r="B35" s="12" t="str">
        <f aca="false">'Layer A — raw data (SOURCED)'!A35</f>
        <v>TCU</v>
      </c>
      <c r="C35" s="13" t="str">
        <f aca="false">'Layer A — raw data (SOURCED)'!O35</f>
        <v>Big 12</v>
      </c>
      <c r="D35" s="12" t="n">
        <f aca="false">'Layer A — raw data (SOURCED)'!B35</f>
        <v>6.5</v>
      </c>
      <c r="E35" s="12" t="n">
        <f aca="false">'Layer A — raw data (SOURCED)'!C35</f>
        <v>34</v>
      </c>
      <c r="F35" s="12" t="n">
        <f aca="false">'Layer A — raw data (SOURCED)'!D35</f>
        <v>9.1</v>
      </c>
      <c r="G35" s="12" t="n">
        <f aca="false">'Layer A — raw data (SOURCED)'!E35</f>
        <v>51</v>
      </c>
      <c r="H35" s="12" t="n">
        <f aca="false">'Layer A — raw data (SOURCED)'!H35</f>
        <v>-4</v>
      </c>
      <c r="I35" s="12" t="n">
        <f aca="false">'Layer A — raw data (SOURCED)'!K35</f>
        <v>0</v>
      </c>
      <c r="J35" s="12" t="str">
        <f aca="false">'Layer A — raw data (SOURCED)'!L35</f>
        <v/>
      </c>
      <c r="K35" s="13" t="str">
        <f aca="false">IFERROR(INDEX('Layer B — pod writeups'!$B:$B,MATCH('Layer A — raw data (SOURCED)'!$A35,'Layer B — pod writeups'!$A:$A,0)),"")</f>
        <v/>
      </c>
      <c r="L35" s="13" t="str">
        <f aca="false">IFERROR(textjoin(" | ",TRUE(),IF(INDEX('Layer B — pod writeups'!$C:$C,MATCH('Layer A — raw data (SOURCED)'!$A35,'Layer B — pod writeups'!$A:$A,0))="","","HC "&amp;INDEX('Layer B — pod writeups'!$C:$C,MATCH('Layer A — raw data (SOURCED)'!$A35,'Layer B — pod writeups'!$A:$A,0))),IF(INDEX('Layer B — pod writeups'!$D:$D,MATCH('Layer A — raw data (SOURCED)'!$A35,'Layer B — pod writeups'!$A:$A,0))="","","OC "&amp;INDEX('Layer B — pod writeups'!$D:$D,MATCH('Layer A — raw data (SOURCED)'!$A35,'Layer B — pod writeups'!$A:$A,0))),IF(INDEX('Layer B — pod writeups'!$E:$E,MATCH('Layer A — raw data (SOURCED)'!$A35,'Layer B — pod writeups'!$A:$A,0))="","","DC "&amp;INDEX('Layer B — pod writeups'!$E:$E,MATCH('Layer A — raw data (SOURCED)'!$A35,'Layer B — pod writeups'!$A:$A,0)))),"")</f>
        <v/>
      </c>
      <c r="M35" s="12" t="str">
        <f aca="false">IFERROR(INDEX('Layer B — pod writeups'!$F:$F,MATCH('Layer A — raw data (SOURCED)'!$A35,'Layer B — pod writeups'!$A:$A,0)),"")</f>
        <v/>
      </c>
      <c r="N35" s="12" t="str">
        <f aca="false">IFERROR(INDEX('Layer B — pod writeups'!$K:$K,MATCH('Layer A — raw data (SOURCED)'!$A35,'Layer B — pod writeups'!$A:$A,0)),"")</f>
        <v/>
      </c>
      <c r="O35" s="12" t="str">
        <f aca="false">IFERROR(textjoin(" ",TRUE(),IF(INDEX('Layer B — pod writeups'!$G:$G,MATCH('Layer A — raw data (SOURCED)'!$A35,'Layer B — pod writeups'!$A:$A,0))="Y","DH",""),IF(INDEX('Layer B — pod writeups'!$H:$H,MATCH('Layer A — raw data (SOURCED)'!$A35,'Layer B — pod writeups'!$A:$A,0))="Y","FADE",""),IF(INDEX('Layer B — pod writeups'!$I:$I,MATCH('Layer A — raw data (SOURCED)'!$A35,'Layer B — pod writeups'!$A:$A,0))="Y","SPLIT",""),IF(INDEX('Layer B — pod writeups'!$J:$J,MATCH('Layer A — raw data (SOURCED)'!$A35,'Layer B — pod writeups'!$A:$A,0))="Y","VAR","")),"")</f>
        <v/>
      </c>
      <c r="P35" s="13" t="str">
        <f aca="false">IFERROR(INDEX('Layer B — pod writeups'!$L:$L,MATCH('Layer A — raw data (SOURCED)'!$A35,'Layer B — pod writeups'!$A:$A,0)),"")</f>
        <v/>
      </c>
      <c r="Q35" s="13" t="str">
        <f aca="false">IFERROR(INDEX('Layer B — pod writeups'!$N:$N,MATCH('Layer A — raw data (SOURCED)'!$A35,'Layer B — pod writeups'!$A:$A,0)),"")</f>
        <v/>
      </c>
    </row>
    <row r="36" customFormat="false" ht="15" hidden="false" customHeight="true" outlineLevel="0" collapsed="false">
      <c r="A36" s="12" t="str">
        <f aca="false">'Layer A — raw data (SOURCED)'!O36</f>
        <v>ACC</v>
      </c>
      <c r="B36" s="12" t="str">
        <f aca="false">'Layer A — raw data (SOURCED)'!A36</f>
        <v>Florida State</v>
      </c>
      <c r="C36" s="13" t="str">
        <f aca="false">'Layer A — raw data (SOURCED)'!O36</f>
        <v>ACC</v>
      </c>
      <c r="D36" s="12" t="n">
        <f aca="false">'Layer A — raw data (SOURCED)'!B36</f>
        <v>6.5</v>
      </c>
      <c r="E36" s="12" t="n">
        <f aca="false">'Layer A — raw data (SOURCED)'!C36</f>
        <v>35</v>
      </c>
      <c r="F36" s="12" t="n">
        <f aca="false">'Layer A — raw data (SOURCED)'!D36</f>
        <v>8.8</v>
      </c>
      <c r="G36" s="12" t="n">
        <f aca="false">'Layer A — raw data (SOURCED)'!E36</f>
        <v>57</v>
      </c>
      <c r="H36" s="12" t="n">
        <f aca="false">'Layer A — raw data (SOURCED)'!H36</f>
        <v>6</v>
      </c>
      <c r="I36" s="12" t="n">
        <f aca="false">'Layer A — raw data (SOURCED)'!K36</f>
        <v>0</v>
      </c>
      <c r="J36" s="12" t="str">
        <f aca="false">'Layer A — raw data (SOURCED)'!L36</f>
        <v/>
      </c>
      <c r="K36" s="13" t="str">
        <f aca="false">IFERROR(INDEX('Layer B — pod writeups'!$B:$B,MATCH('Layer A — raw data (SOURCED)'!$A36,'Layer B — pod writeups'!$A:$A,0)),"")</f>
        <v/>
      </c>
      <c r="L36" s="13" t="str">
        <f aca="false">IFERROR(textjoin(" | ",TRUE(),IF(INDEX('Layer B — pod writeups'!$C:$C,MATCH('Layer A — raw data (SOURCED)'!$A36,'Layer B — pod writeups'!$A:$A,0))="","","HC "&amp;INDEX('Layer B — pod writeups'!$C:$C,MATCH('Layer A — raw data (SOURCED)'!$A36,'Layer B — pod writeups'!$A:$A,0))),IF(INDEX('Layer B — pod writeups'!$D:$D,MATCH('Layer A — raw data (SOURCED)'!$A36,'Layer B — pod writeups'!$A:$A,0))="","","OC "&amp;INDEX('Layer B — pod writeups'!$D:$D,MATCH('Layer A — raw data (SOURCED)'!$A36,'Layer B — pod writeups'!$A:$A,0))),IF(INDEX('Layer B — pod writeups'!$E:$E,MATCH('Layer A — raw data (SOURCED)'!$A36,'Layer B — pod writeups'!$A:$A,0))="","","DC "&amp;INDEX('Layer B — pod writeups'!$E:$E,MATCH('Layer A — raw data (SOURCED)'!$A36,'Layer B — pod writeups'!$A:$A,0)))),"")</f>
        <v/>
      </c>
      <c r="M36" s="12" t="str">
        <f aca="false">IFERROR(INDEX('Layer B — pod writeups'!$F:$F,MATCH('Layer A — raw data (SOURCED)'!$A36,'Layer B — pod writeups'!$A:$A,0)),"")</f>
        <v/>
      </c>
      <c r="N36" s="12" t="str">
        <f aca="false">IFERROR(INDEX('Layer B — pod writeups'!$K:$K,MATCH('Layer A — raw data (SOURCED)'!$A36,'Layer B — pod writeups'!$A:$A,0)),"")</f>
        <v/>
      </c>
      <c r="O36" s="12" t="str">
        <f aca="false">IFERROR(textjoin(" ",TRUE(),IF(INDEX('Layer B — pod writeups'!$G:$G,MATCH('Layer A — raw data (SOURCED)'!$A36,'Layer B — pod writeups'!$A:$A,0))="Y","DH",""),IF(INDEX('Layer B — pod writeups'!$H:$H,MATCH('Layer A — raw data (SOURCED)'!$A36,'Layer B — pod writeups'!$A:$A,0))="Y","FADE",""),IF(INDEX('Layer B — pod writeups'!$I:$I,MATCH('Layer A — raw data (SOURCED)'!$A36,'Layer B — pod writeups'!$A:$A,0))="Y","SPLIT",""),IF(INDEX('Layer B — pod writeups'!$J:$J,MATCH('Layer A — raw data (SOURCED)'!$A36,'Layer B — pod writeups'!$A:$A,0))="Y","VAR","")),"")</f>
        <v/>
      </c>
      <c r="P36" s="13" t="str">
        <f aca="false">IFERROR(INDEX('Layer B — pod writeups'!$L:$L,MATCH('Layer A — raw data (SOURCED)'!$A36,'Layer B — pod writeups'!$A:$A,0)),"")</f>
        <v/>
      </c>
      <c r="Q36" s="13" t="str">
        <f aca="false">IFERROR(INDEX('Layer B — pod writeups'!$N:$N,MATCH('Layer A — raw data (SOURCED)'!$A36,'Layer B — pod writeups'!$A:$A,0)),"")</f>
        <v/>
      </c>
    </row>
    <row r="37" customFormat="false" ht="15" hidden="false" customHeight="true" outlineLevel="0" collapsed="false">
      <c r="A37" s="12" t="str">
        <f aca="false">'Layer A — raw data (SOURCED)'!O37</f>
        <v>Big 12</v>
      </c>
      <c r="B37" s="12" t="str">
        <f aca="false">'Layer A — raw data (SOURCED)'!A37</f>
        <v>Houston</v>
      </c>
      <c r="C37" s="13" t="str">
        <f aca="false">'Layer A — raw data (SOURCED)'!O37</f>
        <v>Big 12</v>
      </c>
      <c r="D37" s="12" t="n">
        <f aca="false">'Layer A — raw data (SOURCED)'!B37</f>
        <v>8.5</v>
      </c>
      <c r="E37" s="12" t="n">
        <f aca="false">'Layer A — raw data (SOURCED)'!C37</f>
        <v>36</v>
      </c>
      <c r="F37" s="12" t="n">
        <f aca="false">'Layer A — raw data (SOURCED)'!D37</f>
        <v>8.2</v>
      </c>
      <c r="G37" s="12" t="n">
        <f aca="false">'Layer A — raw data (SOURCED)'!E37</f>
        <v>65</v>
      </c>
      <c r="H37" s="12" t="n">
        <f aca="false">'Layer A — raw data (SOURCED)'!H37</f>
        <v>7</v>
      </c>
      <c r="I37" s="12" t="n">
        <f aca="false">'Layer A — raw data (SOURCED)'!K37</f>
        <v>0</v>
      </c>
      <c r="J37" s="12" t="str">
        <f aca="false">'Layer A — raw data (SOURCED)'!L37</f>
        <v/>
      </c>
      <c r="K37" s="13" t="str">
        <f aca="false">IFERROR(INDEX('Layer B — pod writeups'!$B:$B,MATCH('Layer A — raw data (SOURCED)'!$A37,'Layer B — pod writeups'!$A:$A,0)),"")</f>
        <v/>
      </c>
      <c r="L37" s="13" t="str">
        <f aca="false">IFERROR(textjoin(" | ",TRUE(),IF(INDEX('Layer B — pod writeups'!$C:$C,MATCH('Layer A — raw data (SOURCED)'!$A37,'Layer B — pod writeups'!$A:$A,0))="","","HC "&amp;INDEX('Layer B — pod writeups'!$C:$C,MATCH('Layer A — raw data (SOURCED)'!$A37,'Layer B — pod writeups'!$A:$A,0))),IF(INDEX('Layer B — pod writeups'!$D:$D,MATCH('Layer A — raw data (SOURCED)'!$A37,'Layer B — pod writeups'!$A:$A,0))="","","OC "&amp;INDEX('Layer B — pod writeups'!$D:$D,MATCH('Layer A — raw data (SOURCED)'!$A37,'Layer B — pod writeups'!$A:$A,0))),IF(INDEX('Layer B — pod writeups'!$E:$E,MATCH('Layer A — raw data (SOURCED)'!$A37,'Layer B — pod writeups'!$A:$A,0))="","","DC "&amp;INDEX('Layer B — pod writeups'!$E:$E,MATCH('Layer A — raw data (SOURCED)'!$A37,'Layer B — pod writeups'!$A:$A,0)))),"")</f>
        <v/>
      </c>
      <c r="M37" s="12" t="str">
        <f aca="false">IFERROR(INDEX('Layer B — pod writeups'!$F:$F,MATCH('Layer A — raw data (SOURCED)'!$A37,'Layer B — pod writeups'!$A:$A,0)),"")</f>
        <v/>
      </c>
      <c r="N37" s="12" t="str">
        <f aca="false">IFERROR(INDEX('Layer B — pod writeups'!$K:$K,MATCH('Layer A — raw data (SOURCED)'!$A37,'Layer B — pod writeups'!$A:$A,0)),"")</f>
        <v/>
      </c>
      <c r="O37" s="12" t="str">
        <f aca="false">IFERROR(textjoin(" ",TRUE(),IF(INDEX('Layer B — pod writeups'!$G:$G,MATCH('Layer A — raw data (SOURCED)'!$A37,'Layer B — pod writeups'!$A:$A,0))="Y","DH",""),IF(INDEX('Layer B — pod writeups'!$H:$H,MATCH('Layer A — raw data (SOURCED)'!$A37,'Layer B — pod writeups'!$A:$A,0))="Y","FADE",""),IF(INDEX('Layer B — pod writeups'!$I:$I,MATCH('Layer A — raw data (SOURCED)'!$A37,'Layer B — pod writeups'!$A:$A,0))="Y","SPLIT",""),IF(INDEX('Layer B — pod writeups'!$J:$J,MATCH('Layer A — raw data (SOURCED)'!$A37,'Layer B — pod writeups'!$A:$A,0))="Y","VAR","")),"")</f>
        <v/>
      </c>
      <c r="P37" s="13" t="str">
        <f aca="false">IFERROR(INDEX('Layer B — pod writeups'!$L:$L,MATCH('Layer A — raw data (SOURCED)'!$A37,'Layer B — pod writeups'!$A:$A,0)),"")</f>
        <v/>
      </c>
      <c r="Q37" s="13" t="str">
        <f aca="false">IFERROR(INDEX('Layer B — pod writeups'!$N:$N,MATCH('Layer A — raw data (SOURCED)'!$A37,'Layer B — pod writeups'!$A:$A,0)),"")</f>
        <v/>
      </c>
    </row>
    <row r="38" customFormat="false" ht="15" hidden="false" customHeight="true" outlineLevel="0" collapsed="false">
      <c r="A38" s="12" t="str">
        <f aca="false">'Layer A — raw data (SOURCED)'!O38</f>
        <v>Big Ten</v>
      </c>
      <c r="B38" s="12" t="str">
        <f aca="false">'Layer A — raw data (SOURCED)'!A38</f>
        <v>Nebraska</v>
      </c>
      <c r="C38" s="13" t="str">
        <f aca="false">'Layer A — raw data (SOURCED)'!O38</f>
        <v>Big Ten</v>
      </c>
      <c r="D38" s="12" t="n">
        <f aca="false">'Layer A — raw data (SOURCED)'!B38</f>
        <v>6.5</v>
      </c>
      <c r="E38" s="12" t="n">
        <f aca="false">'Layer A — raw data (SOURCED)'!C38</f>
        <v>37</v>
      </c>
      <c r="F38" s="12" t="n">
        <f aca="false">'Layer A — raw data (SOURCED)'!D38</f>
        <v>7.7</v>
      </c>
      <c r="G38" s="12" t="n">
        <f aca="false">'Layer A — raw data (SOURCED)'!E38</f>
        <v>69</v>
      </c>
      <c r="H38" s="12" t="n">
        <f aca="false">'Layer A — raw data (SOURCED)'!H38</f>
        <v>11</v>
      </c>
      <c r="I38" s="12" t="n">
        <f aca="false">'Layer A — raw data (SOURCED)'!K38</f>
        <v>0</v>
      </c>
      <c r="J38" s="12" t="str">
        <f aca="false">'Layer A — raw data (SOURCED)'!L38</f>
        <v/>
      </c>
      <c r="K38" s="13" t="str">
        <f aca="false">IFERROR(INDEX('Layer B — pod writeups'!$B:$B,MATCH('Layer A — raw data (SOURCED)'!$A38,'Layer B — pod writeups'!$A:$A,0)),"")</f>
        <v/>
      </c>
      <c r="L38" s="13" t="str">
        <f aca="false">IFERROR(textjoin(" | ",TRUE(),IF(INDEX('Layer B — pod writeups'!$C:$C,MATCH('Layer A — raw data (SOURCED)'!$A38,'Layer B — pod writeups'!$A:$A,0))="","","HC "&amp;INDEX('Layer B — pod writeups'!$C:$C,MATCH('Layer A — raw data (SOURCED)'!$A38,'Layer B — pod writeups'!$A:$A,0))),IF(INDEX('Layer B — pod writeups'!$D:$D,MATCH('Layer A — raw data (SOURCED)'!$A38,'Layer B — pod writeups'!$A:$A,0))="","","OC "&amp;INDEX('Layer B — pod writeups'!$D:$D,MATCH('Layer A — raw data (SOURCED)'!$A38,'Layer B — pod writeups'!$A:$A,0))),IF(INDEX('Layer B — pod writeups'!$E:$E,MATCH('Layer A — raw data (SOURCED)'!$A38,'Layer B — pod writeups'!$A:$A,0))="","","DC "&amp;INDEX('Layer B — pod writeups'!$E:$E,MATCH('Layer A — raw data (SOURCED)'!$A38,'Layer B — pod writeups'!$A:$A,0)))),"")</f>
        <v/>
      </c>
      <c r="M38" s="12" t="str">
        <f aca="false">IFERROR(INDEX('Layer B — pod writeups'!$F:$F,MATCH('Layer A — raw data (SOURCED)'!$A38,'Layer B — pod writeups'!$A:$A,0)),"")</f>
        <v/>
      </c>
      <c r="N38" s="12" t="str">
        <f aca="false">IFERROR(INDEX('Layer B — pod writeups'!$K:$K,MATCH('Layer A — raw data (SOURCED)'!$A38,'Layer B — pod writeups'!$A:$A,0)),"")</f>
        <v/>
      </c>
      <c r="O38" s="12" t="str">
        <f aca="false">IFERROR(textjoin(" ",TRUE(),IF(INDEX('Layer B — pod writeups'!$G:$G,MATCH('Layer A — raw data (SOURCED)'!$A38,'Layer B — pod writeups'!$A:$A,0))="Y","DH",""),IF(INDEX('Layer B — pod writeups'!$H:$H,MATCH('Layer A — raw data (SOURCED)'!$A38,'Layer B — pod writeups'!$A:$A,0))="Y","FADE",""),IF(INDEX('Layer B — pod writeups'!$I:$I,MATCH('Layer A — raw data (SOURCED)'!$A38,'Layer B — pod writeups'!$A:$A,0))="Y","SPLIT",""),IF(INDEX('Layer B — pod writeups'!$J:$J,MATCH('Layer A — raw data (SOURCED)'!$A38,'Layer B — pod writeups'!$A:$A,0))="Y","VAR","")),"")</f>
        <v/>
      </c>
      <c r="P38" s="13" t="str">
        <f aca="false">IFERROR(INDEX('Layer B — pod writeups'!$L:$L,MATCH('Layer A — raw data (SOURCED)'!$A38,'Layer B — pod writeups'!$A:$A,0)),"")</f>
        <v/>
      </c>
      <c r="Q38" s="13" t="str">
        <f aca="false">IFERROR(INDEX('Layer B — pod writeups'!$N:$N,MATCH('Layer A — raw data (SOURCED)'!$A38,'Layer B — pod writeups'!$A:$A,0)),"")</f>
        <v/>
      </c>
    </row>
    <row r="39" customFormat="false" ht="34.5" hidden="false" customHeight="true" outlineLevel="0" collapsed="false">
      <c r="A39" s="12" t="str">
        <f aca="false">'Layer A — raw data (SOURCED)'!O39</f>
        <v>Pac12</v>
      </c>
      <c r="B39" s="12" t="str">
        <f aca="false">'Layer A — raw data (SOURCED)'!A39</f>
        <v>Oklahoma State</v>
      </c>
      <c r="C39" s="13" t="s">
        <v>45</v>
      </c>
      <c r="D39" s="12" t="n">
        <f aca="false">'Layer A — raw data (SOURCED)'!B39</f>
        <v>6.5</v>
      </c>
      <c r="E39" s="12" t="n">
        <f aca="false">'Layer A — raw data (SOURCED)'!C39</f>
        <v>38</v>
      </c>
      <c r="F39" s="12" t="n">
        <f aca="false">'Layer A — raw data (SOURCED)'!D39</f>
        <v>7.1</v>
      </c>
      <c r="G39" s="12" t="n">
        <f aca="false">'Layer A — raw data (SOURCED)'!E39</f>
        <v>58</v>
      </c>
      <c r="H39" s="12" t="n">
        <f aca="false">'Layer A — raw data (SOURCED)'!H39</f>
        <v>10</v>
      </c>
      <c r="I39" s="12" t="n">
        <f aca="false">'Layer A — raw data (SOURCED)'!K39</f>
        <v>0</v>
      </c>
      <c r="J39" s="12" t="str">
        <f aca="false">'Layer A — raw data (SOURCED)'!L39</f>
        <v/>
      </c>
      <c r="K39" s="13" t="n">
        <f aca="false">IFERROR(INDEX('Layer B — pod writeups'!$B:$B,MATCH('Layer A — raw data (SOURCED)'!$A39,'Layer B — pod writeups'!$A:$A,0)),"")</f>
        <v>0</v>
      </c>
      <c r="L39" s="13" t="str">
        <f aca="false">IFERROR(textjoin(" | ",TRUE(),IF(INDEX('Layer B — pod writeups'!$C:$C,MATCH('Layer A — raw data (SOURCED)'!$A39,'Layer B — pod writeups'!$A:$A,0))="","","HC "&amp;INDEX('Layer B — pod writeups'!$C:$C,MATCH('Layer A — raw data (SOURCED)'!$A39,'Layer B — pod writeups'!$A:$A,0))),IF(INDEX('Layer B — pod writeups'!$D:$D,MATCH('Layer A — raw data (SOURCED)'!$A39,'Layer B — pod writeups'!$A:$A,0))="","","OC "&amp;INDEX('Layer B — pod writeups'!$D:$D,MATCH('Layer A — raw data (SOURCED)'!$A39,'Layer B — pod writeups'!$A:$A,0))),IF(INDEX('Layer B — pod writeups'!$E:$E,MATCH('Layer A — raw data (SOURCED)'!$A39,'Layer B — pod writeups'!$A:$A,0))="","","DC "&amp;INDEX('Layer B — pod writeups'!$E:$E,MATCH('Layer A — raw data (SOURCED)'!$A39,'Layer B — pod writeups'!$A:$A,0)))),"")</f>
        <v/>
      </c>
      <c r="M39" s="12" t="n">
        <f aca="false">IFERROR(INDEX('Layer B — pod writeups'!$F:$F,MATCH('Layer A — raw data (SOURCED)'!$A39,'Layer B — pod writeups'!$A:$A,0)),"")</f>
        <v>0</v>
      </c>
      <c r="N39" s="12" t="n">
        <f aca="false">IFERROR(INDEX('Layer B — pod writeups'!$K:$K,MATCH('Layer A — raw data (SOURCED)'!$A39,'Layer B — pod writeups'!$A:$A,0)),"")</f>
        <v>0</v>
      </c>
      <c r="O39" s="12" t="str">
        <f aca="false">IFERROR(textjoin(" ",TRUE(),IF(INDEX('Layer B — pod writeups'!$G:$G,MATCH('Layer A — raw data (SOURCED)'!$A39,'Layer B — pod writeups'!$A:$A,0))="Y","DH",""),IF(INDEX('Layer B — pod writeups'!$H:$H,MATCH('Layer A — raw data (SOURCED)'!$A39,'Layer B — pod writeups'!$A:$A,0))="Y","FADE",""),IF(INDEX('Layer B — pod writeups'!$I:$I,MATCH('Layer A — raw data (SOURCED)'!$A39,'Layer B — pod writeups'!$A:$A,0))="Y","SPLIT",""),IF(INDEX('Layer B — pod writeups'!$J:$J,MATCH('Layer A — raw data (SOURCED)'!$A39,'Layer B — pod writeups'!$A:$A,0))="Y","VAR","")),"")</f>
        <v/>
      </c>
      <c r="P39" s="13" t="str">
        <f aca="false">IFERROR(INDEX('Layer B — pod writeups'!$L:$L,MATCH('Layer A — raw data (SOURCED)'!$A39,'Layer B — pod writeups'!$A:$A,0)),"")</f>
        <v>[from Big 12 pod]</v>
      </c>
      <c r="Q39" s="13" t="str">
        <f aca="false">IFERROR(INDEX('Layer B — pod writeups'!$N:$N,MATCH('Layer A — raw data (SOURCED)'!$A39,'Layer B — pod writeups'!$A:$A,0)),"")</f>
        <v>[BBOC pending — covered in Big 12 pod, not Pac-12.] Edge read: SP+ #38 and Net TARP +10.0 (highest in bucket) grade out well — possible pool value if drafters underrate as weak real-conf self.</v>
      </c>
    </row>
    <row r="40" customFormat="false" ht="79.5" hidden="false" customHeight="true" outlineLevel="0" collapsed="false">
      <c r="A40" s="12" t="str">
        <f aca="false">'Layer A — raw data (SOURCED)'!O40</f>
        <v>Pac12</v>
      </c>
      <c r="B40" s="12" t="str">
        <f aca="false">'Layer A — raw data (SOURCED)'!A40</f>
        <v>Boise State</v>
      </c>
      <c r="C40" s="13" t="str">
        <f aca="false">'Layer A — raw data (SOURCED)'!O40</f>
        <v>Pac12</v>
      </c>
      <c r="D40" s="12" t="n">
        <f aca="false">'Layer A — raw data (SOURCED)'!B40</f>
        <v>7.5</v>
      </c>
      <c r="E40" s="12" t="n">
        <f aca="false">'Layer A — raw data (SOURCED)'!C40</f>
        <v>39</v>
      </c>
      <c r="F40" s="12" t="n">
        <f aca="false">'Layer A — raw data (SOURCED)'!D40</f>
        <v>6.8</v>
      </c>
      <c r="G40" s="12" t="n">
        <f aca="false">'Layer A — raw data (SOURCED)'!E40</f>
        <v>57</v>
      </c>
      <c r="H40" s="12" t="n">
        <f aca="false">'Layer A — raw data (SOURCED)'!H40</f>
        <v>-0.5</v>
      </c>
      <c r="I40" s="12" t="n">
        <f aca="false">'Layer A — raw data (SOURCED)'!K40</f>
        <v>7</v>
      </c>
      <c r="J40" s="12" t="n">
        <f aca="false">'Layer A — raw data (SOURCED)'!L40</f>
        <v>-0.5</v>
      </c>
      <c r="K40" s="13" t="str">
        <f aca="false">IFERROR(INDEX('Layer B — pod writeups'!$B:$B,MATCH('Layer A — raw data (SOURCED)'!$A40,'Layer B — pod writeups'!$A:$A,0)),"")</f>
        <v>Returning — Maddox Madsen</v>
      </c>
      <c r="L40" s="13" t="str">
        <f aca="false">IFERROR(textjoin(" | ",TRUE(),IF(INDEX('Layer B — pod writeups'!$C:$C,MATCH('Layer A — raw data (SOURCED)'!$A40,'Layer B — pod writeups'!$A:$A,0))="","","HC "&amp;INDEX('Layer B — pod writeups'!$C:$C,MATCH('Layer A — raw data (SOURCED)'!$A40,'Layer B — pod writeups'!$A:$A,0))),IF(INDEX('Layer B — pod writeups'!$D:$D,MATCH('Layer A — raw data (SOURCED)'!$A40,'Layer B — pod writeups'!$A:$A,0))="","","OC "&amp;INDEX('Layer B — pod writeups'!$D:$D,MATCH('Layer A — raw data (SOURCED)'!$A40,'Layer B — pod writeups'!$A:$A,0))),IF(INDEX('Layer B — pod writeups'!$E:$E,MATCH('Layer A — raw data (SOURCED)'!$A40,'Layer B — pod writeups'!$A:$A,0))="","","DC "&amp;INDEX('Layer B — pod writeups'!$E:$E,MATCH('Layer A — raw data (SOURCED)'!$A40,'Layer B — pod writeups'!$A:$A,0)))),"")</f>
        <v/>
      </c>
      <c r="M40" s="12" t="str">
        <f aca="false">IFERROR(INDEX('Layer B — pod writeups'!$F:$F,MATCH('Layer A — raw data (SOURCED)'!$A40,'Layer B — pod writeups'!$A:$A,0)),"")</f>
        <v>Lean Under</v>
      </c>
      <c r="N40" s="12" t="str">
        <f aca="false">IFERROR(INDEX('Layer B — pod writeups'!$K:$K,MATCH('Layer A — raw data (SOURCED)'!$A40,'Layer B — pod writeups'!$A:$A,0)),"")</f>
        <v>Neutral</v>
      </c>
      <c r="O40" s="12" t="str">
        <f aca="false">IFERROR(textjoin(" ",TRUE(),IF(INDEX('Layer B — pod writeups'!$G:$G,MATCH('Layer A — raw data (SOURCED)'!$A40,'Layer B — pod writeups'!$A:$A,0))="Y","DH",""),IF(INDEX('Layer B — pod writeups'!$H:$H,MATCH('Layer A — raw data (SOURCED)'!$A40,'Layer B — pod writeups'!$A:$A,0))="Y","FADE",""),IF(INDEX('Layer B — pod writeups'!$I:$I,MATCH('Layer A — raw data (SOURCED)'!$A40,'Layer B — pod writeups'!$A:$A,0))="Y","SPLIT",""),IF(INDEX('Layer B — pod writeups'!$J:$J,MATCH('Layer A — raw data (SOURCED)'!$A40,'Layer B — pod writeups'!$A:$A,0))="Y","VAR","")),"")</f>
        <v/>
      </c>
      <c r="P40" s="13" t="str">
        <f aca="false">IFERROR(INDEX('Layer B — pod writeups'!$L:$L,MATCH('Layer A — raw data (SOURCED)'!$A40,'Layer B — pod writeups'!$A:$A,0)),"")</f>
        <v>Full round-robin (plays all 7 other members) — no in-conf avoids. Wk13 FLEX (projected): vs Utah State (may not count). Non-con: @ Oregon, Memphis, @ W. Michigan, South Dakota (FCS).</v>
      </c>
      <c r="Q40" s="13" t="str">
        <f aca="false">IFERROR(INDEX('Layer B — pod writeups'!$N:$N,MATCH('Layer A — raw data (SOURCED)'!$A40,'Layer B — pod writeups'!$A:$A,0)),"")</f>
        <v>Conference anchor by the market. QB Maddox Madsen returns but is flagged hard: ~35 turnover-worthy plays and poor when tied/trailing (54% comp, 7 picks in those spots); over-reliant on the run. Two new coordinators (Hill OC, Brown DC). RBs Dylan Riley &amp; Sire Gaines both ~4.2 yds after contact — best rushing tandem in the league. Collin ~7, below the 7.5 line — the QB downgrade + coordinator turnover is why. Anchor-tier by SP+ (#39) but not a clean over.</v>
      </c>
    </row>
    <row r="41" customFormat="false" ht="15" hidden="false" customHeight="true" outlineLevel="0" collapsed="false">
      <c r="A41" s="12" t="str">
        <f aca="false">'Layer A — raw data (SOURCED)'!O41</f>
        <v>ACC</v>
      </c>
      <c r="B41" s="12" t="str">
        <f aca="false">'Layer A — raw data (SOURCED)'!A41</f>
        <v>Virginia</v>
      </c>
      <c r="C41" s="13" t="str">
        <f aca="false">'Layer A — raw data (SOURCED)'!O41</f>
        <v>ACC</v>
      </c>
      <c r="D41" s="12" t="n">
        <f aca="false">'Layer A — raw data (SOURCED)'!B41</f>
        <v>7.5</v>
      </c>
      <c r="E41" s="12" t="n">
        <f aca="false">'Layer A — raw data (SOURCED)'!C41</f>
        <v>40</v>
      </c>
      <c r="F41" s="12" t="n">
        <f aca="false">'Layer A — raw data (SOURCED)'!D41</f>
        <v>6.6</v>
      </c>
      <c r="G41" s="12" t="n">
        <f aca="false">'Layer A — raw data (SOURCED)'!E41</f>
        <v>59</v>
      </c>
      <c r="H41" s="12" t="n">
        <f aca="false">'Layer A — raw data (SOURCED)'!H41</f>
        <v>0.5</v>
      </c>
      <c r="I41" s="12" t="n">
        <f aca="false">'Layer A — raw data (SOURCED)'!K41</f>
        <v>0</v>
      </c>
      <c r="J41" s="12" t="str">
        <f aca="false">'Layer A — raw data (SOURCED)'!L41</f>
        <v/>
      </c>
      <c r="K41" s="13" t="str">
        <f aca="false">IFERROR(INDEX('Layer B — pod writeups'!$B:$B,MATCH('Layer A — raw data (SOURCED)'!$A41,'Layer B — pod writeups'!$A:$A,0)),"")</f>
        <v/>
      </c>
      <c r="L41" s="13" t="str">
        <f aca="false">IFERROR(textjoin(" | ",TRUE(),IF(INDEX('Layer B — pod writeups'!$C:$C,MATCH('Layer A — raw data (SOURCED)'!$A41,'Layer B — pod writeups'!$A:$A,0))="","","HC "&amp;INDEX('Layer B — pod writeups'!$C:$C,MATCH('Layer A — raw data (SOURCED)'!$A41,'Layer B — pod writeups'!$A:$A,0))),IF(INDEX('Layer B — pod writeups'!$D:$D,MATCH('Layer A — raw data (SOURCED)'!$A41,'Layer B — pod writeups'!$A:$A,0))="","","OC "&amp;INDEX('Layer B — pod writeups'!$D:$D,MATCH('Layer A — raw data (SOURCED)'!$A41,'Layer B — pod writeups'!$A:$A,0))),IF(INDEX('Layer B — pod writeups'!$E:$E,MATCH('Layer A — raw data (SOURCED)'!$A41,'Layer B — pod writeups'!$A:$A,0))="","","DC "&amp;INDEX('Layer B — pod writeups'!$E:$E,MATCH('Layer A — raw data (SOURCED)'!$A41,'Layer B — pod writeups'!$A:$A,0)))),"")</f>
        <v/>
      </c>
      <c r="M41" s="12" t="str">
        <f aca="false">IFERROR(INDEX('Layer B — pod writeups'!$F:$F,MATCH('Layer A — raw data (SOURCED)'!$A41,'Layer B — pod writeups'!$A:$A,0)),"")</f>
        <v/>
      </c>
      <c r="N41" s="12" t="str">
        <f aca="false">IFERROR(INDEX('Layer B — pod writeups'!$K:$K,MATCH('Layer A — raw data (SOURCED)'!$A41,'Layer B — pod writeups'!$A:$A,0)),"")</f>
        <v/>
      </c>
      <c r="O41" s="12" t="str">
        <f aca="false">IFERROR(textjoin(" ",TRUE(),IF(INDEX('Layer B — pod writeups'!$G:$G,MATCH('Layer A — raw data (SOURCED)'!$A41,'Layer B — pod writeups'!$A:$A,0))="Y","DH",""),IF(INDEX('Layer B — pod writeups'!$H:$H,MATCH('Layer A — raw data (SOURCED)'!$A41,'Layer B — pod writeups'!$A:$A,0))="Y","FADE",""),IF(INDEX('Layer B — pod writeups'!$I:$I,MATCH('Layer A — raw data (SOURCED)'!$A41,'Layer B — pod writeups'!$A:$A,0))="Y","SPLIT",""),IF(INDEX('Layer B — pod writeups'!$J:$J,MATCH('Layer A — raw data (SOURCED)'!$A41,'Layer B — pod writeups'!$A:$A,0))="Y","VAR","")),"")</f>
        <v/>
      </c>
      <c r="P41" s="13" t="str">
        <f aca="false">IFERROR(INDEX('Layer B — pod writeups'!$L:$L,MATCH('Layer A — raw data (SOURCED)'!$A41,'Layer B — pod writeups'!$A:$A,0)),"")</f>
        <v/>
      </c>
      <c r="Q41" s="13" t="str">
        <f aca="false">IFERROR(INDEX('Layer B — pod writeups'!$N:$N,MATCH('Layer A — raw data (SOURCED)'!$A41,'Layer B — pod writeups'!$A:$A,0)),"")</f>
        <v/>
      </c>
    </row>
    <row r="42" customFormat="false" ht="15" hidden="false" customHeight="true" outlineLevel="0" collapsed="false">
      <c r="A42" s="12" t="str">
        <f aca="false">'Layer A — raw data (SOURCED)'!O42</f>
        <v>ACC</v>
      </c>
      <c r="B42" s="12" t="str">
        <f aca="false">'Layer A — raw data (SOURCED)'!A42</f>
        <v>Pittsburgh</v>
      </c>
      <c r="C42" s="13" t="str">
        <f aca="false">'Layer A — raw data (SOURCED)'!O42</f>
        <v>ACC</v>
      </c>
      <c r="D42" s="12" t="n">
        <f aca="false">'Layer A — raw data (SOURCED)'!B42</f>
        <v>7.5</v>
      </c>
      <c r="E42" s="12" t="n">
        <f aca="false">'Layer A — raw data (SOURCED)'!C42</f>
        <v>41</v>
      </c>
      <c r="F42" s="12" t="n">
        <f aca="false">'Layer A — raw data (SOURCED)'!D42</f>
        <v>6.5</v>
      </c>
      <c r="G42" s="12" t="n">
        <f aca="false">'Layer A — raw data (SOURCED)'!E42</f>
        <v>58</v>
      </c>
      <c r="H42" s="12" t="n">
        <f aca="false">'Layer A — raw data (SOURCED)'!H42</f>
        <v>-1</v>
      </c>
      <c r="I42" s="12" t="n">
        <f aca="false">'Layer A — raw data (SOURCED)'!K42</f>
        <v>0</v>
      </c>
      <c r="J42" s="12" t="str">
        <f aca="false">'Layer A — raw data (SOURCED)'!L42</f>
        <v/>
      </c>
      <c r="K42" s="13" t="str">
        <f aca="false">IFERROR(INDEX('Layer B — pod writeups'!$B:$B,MATCH('Layer A — raw data (SOURCED)'!$A42,'Layer B — pod writeups'!$A:$A,0)),"")</f>
        <v/>
      </c>
      <c r="L42" s="13" t="str">
        <f aca="false">IFERROR(textjoin(" | ",TRUE(),IF(INDEX('Layer B — pod writeups'!$C:$C,MATCH('Layer A — raw data (SOURCED)'!$A42,'Layer B — pod writeups'!$A:$A,0))="","","HC "&amp;INDEX('Layer B — pod writeups'!$C:$C,MATCH('Layer A — raw data (SOURCED)'!$A42,'Layer B — pod writeups'!$A:$A,0))),IF(INDEX('Layer B — pod writeups'!$D:$D,MATCH('Layer A — raw data (SOURCED)'!$A42,'Layer B — pod writeups'!$A:$A,0))="","","OC "&amp;INDEX('Layer B — pod writeups'!$D:$D,MATCH('Layer A — raw data (SOURCED)'!$A42,'Layer B — pod writeups'!$A:$A,0))),IF(INDEX('Layer B — pod writeups'!$E:$E,MATCH('Layer A — raw data (SOURCED)'!$A42,'Layer B — pod writeups'!$A:$A,0))="","","DC "&amp;INDEX('Layer B — pod writeups'!$E:$E,MATCH('Layer A — raw data (SOURCED)'!$A42,'Layer B — pod writeups'!$A:$A,0)))),"")</f>
        <v/>
      </c>
      <c r="M42" s="12" t="str">
        <f aca="false">IFERROR(INDEX('Layer B — pod writeups'!$F:$F,MATCH('Layer A — raw data (SOURCED)'!$A42,'Layer B — pod writeups'!$A:$A,0)),"")</f>
        <v/>
      </c>
      <c r="N42" s="12" t="str">
        <f aca="false">IFERROR(INDEX('Layer B — pod writeups'!$K:$K,MATCH('Layer A — raw data (SOURCED)'!$A42,'Layer B — pod writeups'!$A:$A,0)),"")</f>
        <v/>
      </c>
      <c r="O42" s="12" t="str">
        <f aca="false">IFERROR(textjoin(" ",TRUE(),IF(INDEX('Layer B — pod writeups'!$G:$G,MATCH('Layer A — raw data (SOURCED)'!$A42,'Layer B — pod writeups'!$A:$A,0))="Y","DH",""),IF(INDEX('Layer B — pod writeups'!$H:$H,MATCH('Layer A — raw data (SOURCED)'!$A42,'Layer B — pod writeups'!$A:$A,0))="Y","FADE",""),IF(INDEX('Layer B — pod writeups'!$I:$I,MATCH('Layer A — raw data (SOURCED)'!$A42,'Layer B — pod writeups'!$A:$A,0))="Y","SPLIT",""),IF(INDEX('Layer B — pod writeups'!$J:$J,MATCH('Layer A — raw data (SOURCED)'!$A42,'Layer B — pod writeups'!$A:$A,0))="Y","VAR","")),"")</f>
        <v/>
      </c>
      <c r="P42" s="13" t="str">
        <f aca="false">IFERROR(INDEX('Layer B — pod writeups'!$L:$L,MATCH('Layer A — raw data (SOURCED)'!$A42,'Layer B — pod writeups'!$A:$A,0)),"")</f>
        <v/>
      </c>
      <c r="Q42" s="13" t="str">
        <f aca="false">IFERROR(INDEX('Layer B — pod writeups'!$N:$N,MATCH('Layer A — raw data (SOURCED)'!$A42,'Layer B — pod writeups'!$A:$A,0)),"")</f>
        <v/>
      </c>
    </row>
    <row r="43" customFormat="false" ht="15" hidden="false" customHeight="true" outlineLevel="0" collapsed="false">
      <c r="A43" s="12" t="str">
        <f aca="false">'Layer A — raw data (SOURCED)'!O43</f>
        <v>Big 12</v>
      </c>
      <c r="B43" s="12" t="str">
        <f aca="false">'Layer A — raw data (SOURCED)'!A43</f>
        <v>Arizona State</v>
      </c>
      <c r="C43" s="13" t="str">
        <f aca="false">'Layer A — raw data (SOURCED)'!O43</f>
        <v>Big 12</v>
      </c>
      <c r="D43" s="12" t="n">
        <f aca="false">'Layer A — raw data (SOURCED)'!B43</f>
        <v>6.5</v>
      </c>
      <c r="E43" s="12" t="n">
        <f aca="false">'Layer A — raw data (SOURCED)'!C43</f>
        <v>42</v>
      </c>
      <c r="F43" s="12" t="n">
        <f aca="false">'Layer A — raw data (SOURCED)'!D43</f>
        <v>6.4</v>
      </c>
      <c r="G43" s="12" t="n">
        <f aca="false">'Layer A — raw data (SOURCED)'!E43</f>
        <v>51</v>
      </c>
      <c r="H43" s="12" t="n">
        <f aca="false">'Layer A — raw data (SOURCED)'!H43</f>
        <v>2</v>
      </c>
      <c r="I43" s="12" t="n">
        <f aca="false">'Layer A — raw data (SOURCED)'!K43</f>
        <v>0</v>
      </c>
      <c r="J43" s="12" t="str">
        <f aca="false">'Layer A — raw data (SOURCED)'!L43</f>
        <v/>
      </c>
      <c r="K43" s="13" t="str">
        <f aca="false">IFERROR(INDEX('Layer B — pod writeups'!$B:$B,MATCH('Layer A — raw data (SOURCED)'!$A43,'Layer B — pod writeups'!$A:$A,0)),"")</f>
        <v/>
      </c>
      <c r="L43" s="13" t="str">
        <f aca="false">IFERROR(textjoin(" | ",TRUE(),IF(INDEX('Layer B — pod writeups'!$C:$C,MATCH('Layer A — raw data (SOURCED)'!$A43,'Layer B — pod writeups'!$A:$A,0))="","","HC "&amp;INDEX('Layer B — pod writeups'!$C:$C,MATCH('Layer A — raw data (SOURCED)'!$A43,'Layer B — pod writeups'!$A:$A,0))),IF(INDEX('Layer B — pod writeups'!$D:$D,MATCH('Layer A — raw data (SOURCED)'!$A43,'Layer B — pod writeups'!$A:$A,0))="","","OC "&amp;INDEX('Layer B — pod writeups'!$D:$D,MATCH('Layer A — raw data (SOURCED)'!$A43,'Layer B — pod writeups'!$A:$A,0))),IF(INDEX('Layer B — pod writeups'!$E:$E,MATCH('Layer A — raw data (SOURCED)'!$A43,'Layer B — pod writeups'!$A:$A,0))="","","DC "&amp;INDEX('Layer B — pod writeups'!$E:$E,MATCH('Layer A — raw data (SOURCED)'!$A43,'Layer B — pod writeups'!$A:$A,0)))),"")</f>
        <v/>
      </c>
      <c r="M43" s="12" t="str">
        <f aca="false">IFERROR(INDEX('Layer B — pod writeups'!$F:$F,MATCH('Layer A — raw data (SOURCED)'!$A43,'Layer B — pod writeups'!$A:$A,0)),"")</f>
        <v/>
      </c>
      <c r="N43" s="12" t="str">
        <f aca="false">IFERROR(INDEX('Layer B — pod writeups'!$K:$K,MATCH('Layer A — raw data (SOURCED)'!$A43,'Layer B — pod writeups'!$A:$A,0)),"")</f>
        <v/>
      </c>
      <c r="O43" s="12" t="str">
        <f aca="false">IFERROR(textjoin(" ",TRUE(),IF(INDEX('Layer B — pod writeups'!$G:$G,MATCH('Layer A — raw data (SOURCED)'!$A43,'Layer B — pod writeups'!$A:$A,0))="Y","DH",""),IF(INDEX('Layer B — pod writeups'!$H:$H,MATCH('Layer A — raw data (SOURCED)'!$A43,'Layer B — pod writeups'!$A:$A,0))="Y","FADE",""),IF(INDEX('Layer B — pod writeups'!$I:$I,MATCH('Layer A — raw data (SOURCED)'!$A43,'Layer B — pod writeups'!$A:$A,0))="Y","SPLIT",""),IF(INDEX('Layer B — pod writeups'!$J:$J,MATCH('Layer A — raw data (SOURCED)'!$A43,'Layer B — pod writeups'!$A:$A,0))="Y","VAR","")),"")</f>
        <v/>
      </c>
      <c r="P43" s="13" t="str">
        <f aca="false">IFERROR(INDEX('Layer B — pod writeups'!$L:$L,MATCH('Layer A — raw data (SOURCED)'!$A43,'Layer B — pod writeups'!$A:$A,0)),"")</f>
        <v/>
      </c>
      <c r="Q43" s="13" t="str">
        <f aca="false">IFERROR(INDEX('Layer B — pod writeups'!$N:$N,MATCH('Layer A — raw data (SOURCED)'!$A43,'Layer B — pod writeups'!$A:$A,0)),"")</f>
        <v/>
      </c>
    </row>
    <row r="44" customFormat="false" ht="15" hidden="false" customHeight="true" outlineLevel="0" collapsed="false">
      <c r="A44" s="12" t="str">
        <f aca="false">'Layer A — raw data (SOURCED)'!O44</f>
        <v>ACC</v>
      </c>
      <c r="B44" s="12" t="str">
        <f aca="false">'Layer A — raw data (SOURCED)'!A44</f>
        <v>Georgia Tech</v>
      </c>
      <c r="C44" s="13" t="str">
        <f aca="false">'Layer A — raw data (SOURCED)'!O44</f>
        <v>ACC</v>
      </c>
      <c r="D44" s="12" t="n">
        <f aca="false">'Layer A — raw data (SOURCED)'!B44</f>
        <v>6.5</v>
      </c>
      <c r="E44" s="12" t="n">
        <f aca="false">'Layer A — raw data (SOURCED)'!C44</f>
        <v>43</v>
      </c>
      <c r="F44" s="12" t="n">
        <f aca="false">'Layer A — raw data (SOURCED)'!D44</f>
        <v>6</v>
      </c>
      <c r="G44" s="12" t="n">
        <f aca="false">'Layer A — raw data (SOURCED)'!E44</f>
        <v>49</v>
      </c>
      <c r="H44" s="12" t="n">
        <f aca="false">'Layer A — raw data (SOURCED)'!H44</f>
        <v>0.5</v>
      </c>
      <c r="I44" s="12" t="n">
        <f aca="false">'Layer A — raw data (SOURCED)'!K44</f>
        <v>0</v>
      </c>
      <c r="J44" s="12" t="str">
        <f aca="false">'Layer A — raw data (SOURCED)'!L44</f>
        <v/>
      </c>
      <c r="K44" s="13" t="str">
        <f aca="false">IFERROR(INDEX('Layer B — pod writeups'!$B:$B,MATCH('Layer A — raw data (SOURCED)'!$A44,'Layer B — pod writeups'!$A:$A,0)),"")</f>
        <v/>
      </c>
      <c r="L44" s="13" t="str">
        <f aca="false">IFERROR(textjoin(" | ",TRUE(),IF(INDEX('Layer B — pod writeups'!$C:$C,MATCH('Layer A — raw data (SOURCED)'!$A44,'Layer B — pod writeups'!$A:$A,0))="","","HC "&amp;INDEX('Layer B — pod writeups'!$C:$C,MATCH('Layer A — raw data (SOURCED)'!$A44,'Layer B — pod writeups'!$A:$A,0))),IF(INDEX('Layer B — pod writeups'!$D:$D,MATCH('Layer A — raw data (SOURCED)'!$A44,'Layer B — pod writeups'!$A:$A,0))="","","OC "&amp;INDEX('Layer B — pod writeups'!$D:$D,MATCH('Layer A — raw data (SOURCED)'!$A44,'Layer B — pod writeups'!$A:$A,0))),IF(INDEX('Layer B — pod writeups'!$E:$E,MATCH('Layer A — raw data (SOURCED)'!$A44,'Layer B — pod writeups'!$A:$A,0))="","","DC "&amp;INDEX('Layer B — pod writeups'!$E:$E,MATCH('Layer A — raw data (SOURCED)'!$A44,'Layer B — pod writeups'!$A:$A,0)))),"")</f>
        <v/>
      </c>
      <c r="M44" s="12" t="str">
        <f aca="false">IFERROR(INDEX('Layer B — pod writeups'!$F:$F,MATCH('Layer A — raw data (SOURCED)'!$A44,'Layer B — pod writeups'!$A:$A,0)),"")</f>
        <v/>
      </c>
      <c r="N44" s="12" t="str">
        <f aca="false">IFERROR(INDEX('Layer B — pod writeups'!$K:$K,MATCH('Layer A — raw data (SOURCED)'!$A44,'Layer B — pod writeups'!$A:$A,0)),"")</f>
        <v/>
      </c>
      <c r="O44" s="12" t="str">
        <f aca="false">IFERROR(textjoin(" ",TRUE(),IF(INDEX('Layer B — pod writeups'!$G:$G,MATCH('Layer A — raw data (SOURCED)'!$A44,'Layer B — pod writeups'!$A:$A,0))="Y","DH",""),IF(INDEX('Layer B — pod writeups'!$H:$H,MATCH('Layer A — raw data (SOURCED)'!$A44,'Layer B — pod writeups'!$A:$A,0))="Y","FADE",""),IF(INDEX('Layer B — pod writeups'!$I:$I,MATCH('Layer A — raw data (SOURCED)'!$A44,'Layer B — pod writeups'!$A:$A,0))="Y","SPLIT",""),IF(INDEX('Layer B — pod writeups'!$J:$J,MATCH('Layer A — raw data (SOURCED)'!$A44,'Layer B — pod writeups'!$A:$A,0))="Y","VAR","")),"")</f>
        <v/>
      </c>
      <c r="P44" s="13" t="str">
        <f aca="false">IFERROR(INDEX('Layer B — pod writeups'!$L:$L,MATCH('Layer A — raw data (SOURCED)'!$A44,'Layer B — pod writeups'!$A:$A,0)),"")</f>
        <v/>
      </c>
      <c r="Q44" s="13" t="str">
        <f aca="false">IFERROR(INDEX('Layer B — pod writeups'!$N:$N,MATCH('Layer A — raw data (SOURCED)'!$A44,'Layer B — pod writeups'!$A:$A,0)),"")</f>
        <v/>
      </c>
    </row>
    <row r="45" customFormat="false" ht="15" hidden="false" customHeight="true" outlineLevel="0" collapsed="false">
      <c r="A45" s="12" t="str">
        <f aca="false">'Layer A — raw data (SOURCED)'!O45</f>
        <v>ACC</v>
      </c>
      <c r="B45" s="12" t="str">
        <f aca="false">'Layer A — raw data (SOURCED)'!A45</f>
        <v>Duke</v>
      </c>
      <c r="C45" s="13" t="str">
        <f aca="false">'Layer A — raw data (SOURCED)'!O45</f>
        <v>ACC</v>
      </c>
      <c r="D45" s="12" t="n">
        <f aca="false">'Layer A — raw data (SOURCED)'!B45</f>
        <v>5.5</v>
      </c>
      <c r="E45" s="12" t="n">
        <f aca="false">'Layer A — raw data (SOURCED)'!C45</f>
        <v>44</v>
      </c>
      <c r="F45" s="12" t="n">
        <f aca="false">'Layer A — raw data (SOURCED)'!D45</f>
        <v>5.7</v>
      </c>
      <c r="G45" s="12" t="n">
        <f aca="false">'Layer A — raw data (SOURCED)'!E45</f>
        <v>49</v>
      </c>
      <c r="H45" s="12" t="n">
        <f aca="false">'Layer A — raw data (SOURCED)'!H45</f>
        <v>-3</v>
      </c>
      <c r="I45" s="12" t="n">
        <f aca="false">'Layer A — raw data (SOURCED)'!K45</f>
        <v>0</v>
      </c>
      <c r="J45" s="12" t="str">
        <f aca="false">'Layer A — raw data (SOURCED)'!L45</f>
        <v/>
      </c>
      <c r="K45" s="13" t="str">
        <f aca="false">IFERROR(INDEX('Layer B — pod writeups'!$B:$B,MATCH('Layer A — raw data (SOURCED)'!$A45,'Layer B — pod writeups'!$A:$A,0)),"")</f>
        <v/>
      </c>
      <c r="L45" s="13" t="str">
        <f aca="false">IFERROR(textjoin(" | ",TRUE(),IF(INDEX('Layer B — pod writeups'!$C:$C,MATCH('Layer A — raw data (SOURCED)'!$A45,'Layer B — pod writeups'!$A:$A,0))="","","HC "&amp;INDEX('Layer B — pod writeups'!$C:$C,MATCH('Layer A — raw data (SOURCED)'!$A45,'Layer B — pod writeups'!$A:$A,0))),IF(INDEX('Layer B — pod writeups'!$D:$D,MATCH('Layer A — raw data (SOURCED)'!$A45,'Layer B — pod writeups'!$A:$A,0))="","","OC "&amp;INDEX('Layer B — pod writeups'!$D:$D,MATCH('Layer A — raw data (SOURCED)'!$A45,'Layer B — pod writeups'!$A:$A,0))),IF(INDEX('Layer B — pod writeups'!$E:$E,MATCH('Layer A — raw data (SOURCED)'!$A45,'Layer B — pod writeups'!$A:$A,0))="","","DC "&amp;INDEX('Layer B — pod writeups'!$E:$E,MATCH('Layer A — raw data (SOURCED)'!$A45,'Layer B — pod writeups'!$A:$A,0)))),"")</f>
        <v/>
      </c>
      <c r="M45" s="12" t="str">
        <f aca="false">IFERROR(INDEX('Layer B — pod writeups'!$F:$F,MATCH('Layer A — raw data (SOURCED)'!$A45,'Layer B — pod writeups'!$A:$A,0)),"")</f>
        <v/>
      </c>
      <c r="N45" s="12" t="str">
        <f aca="false">IFERROR(INDEX('Layer B — pod writeups'!$K:$K,MATCH('Layer A — raw data (SOURCED)'!$A45,'Layer B — pod writeups'!$A:$A,0)),"")</f>
        <v/>
      </c>
      <c r="O45" s="12" t="str">
        <f aca="false">IFERROR(textjoin(" ",TRUE(),IF(INDEX('Layer B — pod writeups'!$G:$G,MATCH('Layer A — raw data (SOURCED)'!$A45,'Layer B — pod writeups'!$A:$A,0))="Y","DH",""),IF(INDEX('Layer B — pod writeups'!$H:$H,MATCH('Layer A — raw data (SOURCED)'!$A45,'Layer B — pod writeups'!$A:$A,0))="Y","FADE",""),IF(INDEX('Layer B — pod writeups'!$I:$I,MATCH('Layer A — raw data (SOURCED)'!$A45,'Layer B — pod writeups'!$A:$A,0))="Y","SPLIT",""),IF(INDEX('Layer B — pod writeups'!$J:$J,MATCH('Layer A — raw data (SOURCED)'!$A45,'Layer B — pod writeups'!$A:$A,0))="Y","VAR","")),"")</f>
        <v/>
      </c>
      <c r="P45" s="13" t="str">
        <f aca="false">IFERROR(INDEX('Layer B — pod writeups'!$L:$L,MATCH('Layer A — raw data (SOURCED)'!$A45,'Layer B — pod writeups'!$A:$A,0)),"")</f>
        <v/>
      </c>
      <c r="Q45" s="13" t="str">
        <f aca="false">IFERROR(INDEX('Layer B — pod writeups'!$N:$N,MATCH('Layer A — raw data (SOURCED)'!$A45,'Layer B — pod writeups'!$A:$A,0)),"")</f>
        <v/>
      </c>
    </row>
    <row r="46" customFormat="false" ht="15" hidden="false" customHeight="true" outlineLevel="0" collapsed="false">
      <c r="A46" s="12" t="str">
        <f aca="false">'Layer A — raw data (SOURCED)'!O46</f>
        <v>Big Ten</v>
      </c>
      <c r="B46" s="12" t="str">
        <f aca="false">'Layer A — raw data (SOURCED)'!A46</f>
        <v>Minnesota</v>
      </c>
      <c r="C46" s="13" t="str">
        <f aca="false">'Layer A — raw data (SOURCED)'!O46</f>
        <v>Big Ten</v>
      </c>
      <c r="D46" s="12" t="n">
        <f aca="false">'Layer A — raw data (SOURCED)'!B46</f>
        <v>6.5</v>
      </c>
      <c r="E46" s="12" t="n">
        <f aca="false">'Layer A — raw data (SOURCED)'!C46</f>
        <v>45</v>
      </c>
      <c r="F46" s="12" t="n">
        <f aca="false">'Layer A — raw data (SOURCED)'!D46</f>
        <v>5.2</v>
      </c>
      <c r="G46" s="12" t="n">
        <f aca="false">'Layer A — raw data (SOURCED)'!E46</f>
        <v>68</v>
      </c>
      <c r="H46" s="12" t="n">
        <f aca="false">'Layer A — raw data (SOURCED)'!H46</f>
        <v>8</v>
      </c>
      <c r="I46" s="12" t="n">
        <f aca="false">'Layer A — raw data (SOURCED)'!K46</f>
        <v>0</v>
      </c>
      <c r="J46" s="12" t="str">
        <f aca="false">'Layer A — raw data (SOURCED)'!L46</f>
        <v/>
      </c>
      <c r="K46" s="13" t="str">
        <f aca="false">IFERROR(INDEX('Layer B — pod writeups'!$B:$B,MATCH('Layer A — raw data (SOURCED)'!$A46,'Layer B — pod writeups'!$A:$A,0)),"")</f>
        <v/>
      </c>
      <c r="L46" s="13" t="str">
        <f aca="false">IFERROR(textjoin(" | ",TRUE(),IF(INDEX('Layer B — pod writeups'!$C:$C,MATCH('Layer A — raw data (SOURCED)'!$A46,'Layer B — pod writeups'!$A:$A,0))="","","HC "&amp;INDEX('Layer B — pod writeups'!$C:$C,MATCH('Layer A — raw data (SOURCED)'!$A46,'Layer B — pod writeups'!$A:$A,0))),IF(INDEX('Layer B — pod writeups'!$D:$D,MATCH('Layer A — raw data (SOURCED)'!$A46,'Layer B — pod writeups'!$A:$A,0))="","","OC "&amp;INDEX('Layer B — pod writeups'!$D:$D,MATCH('Layer A — raw data (SOURCED)'!$A46,'Layer B — pod writeups'!$A:$A,0))),IF(INDEX('Layer B — pod writeups'!$E:$E,MATCH('Layer A — raw data (SOURCED)'!$A46,'Layer B — pod writeups'!$A:$A,0))="","","DC "&amp;INDEX('Layer B — pod writeups'!$E:$E,MATCH('Layer A — raw data (SOURCED)'!$A46,'Layer B — pod writeups'!$A:$A,0)))),"")</f>
        <v/>
      </c>
      <c r="M46" s="12" t="str">
        <f aca="false">IFERROR(INDEX('Layer B — pod writeups'!$F:$F,MATCH('Layer A — raw data (SOURCED)'!$A46,'Layer B — pod writeups'!$A:$A,0)),"")</f>
        <v/>
      </c>
      <c r="N46" s="12" t="str">
        <f aca="false">IFERROR(INDEX('Layer B — pod writeups'!$K:$K,MATCH('Layer A — raw data (SOURCED)'!$A46,'Layer B — pod writeups'!$A:$A,0)),"")</f>
        <v/>
      </c>
      <c r="O46" s="12" t="str">
        <f aca="false">IFERROR(textjoin(" ",TRUE(),IF(INDEX('Layer B — pod writeups'!$G:$G,MATCH('Layer A — raw data (SOURCED)'!$A46,'Layer B — pod writeups'!$A:$A,0))="Y","DH",""),IF(INDEX('Layer B — pod writeups'!$H:$H,MATCH('Layer A — raw data (SOURCED)'!$A46,'Layer B — pod writeups'!$A:$A,0))="Y","FADE",""),IF(INDEX('Layer B — pod writeups'!$I:$I,MATCH('Layer A — raw data (SOURCED)'!$A46,'Layer B — pod writeups'!$A:$A,0))="Y","SPLIT",""),IF(INDEX('Layer B — pod writeups'!$J:$J,MATCH('Layer A — raw data (SOURCED)'!$A46,'Layer B — pod writeups'!$A:$A,0))="Y","VAR","")),"")</f>
        <v/>
      </c>
      <c r="P46" s="13" t="str">
        <f aca="false">IFERROR(INDEX('Layer B — pod writeups'!$L:$L,MATCH('Layer A — raw data (SOURCED)'!$A46,'Layer B — pod writeups'!$A:$A,0)),"")</f>
        <v/>
      </c>
      <c r="Q46" s="13" t="str">
        <f aca="false">IFERROR(INDEX('Layer B — pod writeups'!$N:$N,MATCH('Layer A — raw data (SOURCED)'!$A46,'Layer B — pod writeups'!$A:$A,0)),"")</f>
        <v/>
      </c>
    </row>
    <row r="47" customFormat="false" ht="15" hidden="false" customHeight="true" outlineLevel="0" collapsed="false">
      <c r="A47" s="12" t="str">
        <f aca="false">'Layer A — raw data (SOURCED)'!O47</f>
        <v>Big Ten</v>
      </c>
      <c r="B47" s="12" t="str">
        <f aca="false">'Layer A — raw data (SOURCED)'!A47</f>
        <v>UCLA</v>
      </c>
      <c r="C47" s="13" t="str">
        <f aca="false">'Layer A — raw data (SOURCED)'!O47</f>
        <v>Big Ten</v>
      </c>
      <c r="D47" s="12" t="n">
        <f aca="false">'Layer A — raw data (SOURCED)'!B47</f>
        <v>6.5</v>
      </c>
      <c r="E47" s="12" t="n">
        <f aca="false">'Layer A — raw data (SOURCED)'!C47</f>
        <v>46</v>
      </c>
      <c r="F47" s="12" t="n">
        <f aca="false">'Layer A — raw data (SOURCED)'!D47</f>
        <v>5.1</v>
      </c>
      <c r="G47" s="12" t="n">
        <f aca="false">'Layer A — raw data (SOURCED)'!E47</f>
        <v>67</v>
      </c>
      <c r="H47" s="12" t="n">
        <f aca="false">'Layer A — raw data (SOURCED)'!H47</f>
        <v>11</v>
      </c>
      <c r="I47" s="12" t="n">
        <f aca="false">'Layer A — raw data (SOURCED)'!K47</f>
        <v>0</v>
      </c>
      <c r="J47" s="12" t="str">
        <f aca="false">'Layer A — raw data (SOURCED)'!L47</f>
        <v/>
      </c>
      <c r="K47" s="13" t="str">
        <f aca="false">IFERROR(INDEX('Layer B — pod writeups'!$B:$B,MATCH('Layer A — raw data (SOURCED)'!$A47,'Layer B — pod writeups'!$A:$A,0)),"")</f>
        <v/>
      </c>
      <c r="L47" s="13" t="str">
        <f aca="false">IFERROR(textjoin(" | ",TRUE(),IF(INDEX('Layer B — pod writeups'!$C:$C,MATCH('Layer A — raw data (SOURCED)'!$A47,'Layer B — pod writeups'!$A:$A,0))="","","HC "&amp;INDEX('Layer B — pod writeups'!$C:$C,MATCH('Layer A — raw data (SOURCED)'!$A47,'Layer B — pod writeups'!$A:$A,0))),IF(INDEX('Layer B — pod writeups'!$D:$D,MATCH('Layer A — raw data (SOURCED)'!$A47,'Layer B — pod writeups'!$A:$A,0))="","","OC "&amp;INDEX('Layer B — pod writeups'!$D:$D,MATCH('Layer A — raw data (SOURCED)'!$A47,'Layer B — pod writeups'!$A:$A,0))),IF(INDEX('Layer B — pod writeups'!$E:$E,MATCH('Layer A — raw data (SOURCED)'!$A47,'Layer B — pod writeups'!$A:$A,0))="","","DC "&amp;INDEX('Layer B — pod writeups'!$E:$E,MATCH('Layer A — raw data (SOURCED)'!$A47,'Layer B — pod writeups'!$A:$A,0)))),"")</f>
        <v/>
      </c>
      <c r="M47" s="12" t="str">
        <f aca="false">IFERROR(INDEX('Layer B — pod writeups'!$F:$F,MATCH('Layer A — raw data (SOURCED)'!$A47,'Layer B — pod writeups'!$A:$A,0)),"")</f>
        <v/>
      </c>
      <c r="N47" s="12" t="str">
        <f aca="false">IFERROR(INDEX('Layer B — pod writeups'!$K:$K,MATCH('Layer A — raw data (SOURCED)'!$A47,'Layer B — pod writeups'!$A:$A,0)),"")</f>
        <v/>
      </c>
      <c r="O47" s="12" t="str">
        <f aca="false">IFERROR(textjoin(" ",TRUE(),IF(INDEX('Layer B — pod writeups'!$G:$G,MATCH('Layer A — raw data (SOURCED)'!$A47,'Layer B — pod writeups'!$A:$A,0))="Y","DH",""),IF(INDEX('Layer B — pod writeups'!$H:$H,MATCH('Layer A — raw data (SOURCED)'!$A47,'Layer B — pod writeups'!$A:$A,0))="Y","FADE",""),IF(INDEX('Layer B — pod writeups'!$I:$I,MATCH('Layer A — raw data (SOURCED)'!$A47,'Layer B — pod writeups'!$A:$A,0))="Y","SPLIT",""),IF(INDEX('Layer B — pod writeups'!$J:$J,MATCH('Layer A — raw data (SOURCED)'!$A47,'Layer B — pod writeups'!$A:$A,0))="Y","VAR","")),"")</f>
        <v/>
      </c>
      <c r="P47" s="13" t="str">
        <f aca="false">IFERROR(INDEX('Layer B — pod writeups'!$L:$L,MATCH('Layer A — raw data (SOURCED)'!$A47,'Layer B — pod writeups'!$A:$A,0)),"")</f>
        <v/>
      </c>
      <c r="Q47" s="13" t="str">
        <f aca="false">IFERROR(INDEX('Layer B — pod writeups'!$N:$N,MATCH('Layer A — raw data (SOURCED)'!$A47,'Layer B — pod writeups'!$A:$A,0)),"")</f>
        <v/>
      </c>
    </row>
    <row r="48" customFormat="false" ht="34.5" hidden="false" customHeight="true" outlineLevel="0" collapsed="false">
      <c r="A48" s="12" t="str">
        <f aca="false">'Layer A — raw data (SOURCED)'!O48</f>
        <v>Pac12</v>
      </c>
      <c r="B48" s="12" t="str">
        <f aca="false">'Layer A — raw data (SOURCED)'!A48</f>
        <v>Arkansas</v>
      </c>
      <c r="C48" s="13" t="s">
        <v>41</v>
      </c>
      <c r="D48" s="12" t="n">
        <f aca="false">'Layer A — raw data (SOURCED)'!B48</f>
        <v>4.5</v>
      </c>
      <c r="E48" s="12" t="n">
        <f aca="false">'Layer A — raw data (SOURCED)'!C48</f>
        <v>47</v>
      </c>
      <c r="F48" s="12" t="n">
        <f aca="false">'Layer A — raw data (SOURCED)'!D48</f>
        <v>5</v>
      </c>
      <c r="G48" s="12" t="n">
        <f aca="false">'Layer A — raw data (SOURCED)'!E48</f>
        <v>55</v>
      </c>
      <c r="H48" s="12" t="n">
        <f aca="false">'Layer A — raw data (SOURCED)'!H48</f>
        <v>6.5</v>
      </c>
      <c r="I48" s="12" t="n">
        <f aca="false">'Layer A — raw data (SOURCED)'!K48</f>
        <v>0</v>
      </c>
      <c r="J48" s="12" t="str">
        <f aca="false">'Layer A — raw data (SOURCED)'!L48</f>
        <v/>
      </c>
      <c r="K48" s="13" t="n">
        <f aca="false">IFERROR(INDEX('Layer B — pod writeups'!$B:$B,MATCH('Layer A — raw data (SOURCED)'!$A48,'Layer B — pod writeups'!$A:$A,0)),"")</f>
        <v>0</v>
      </c>
      <c r="L48" s="13" t="str">
        <f aca="false">IFERROR(textjoin(" | ",TRUE(),IF(INDEX('Layer B — pod writeups'!$C:$C,MATCH('Layer A — raw data (SOURCED)'!$A48,'Layer B — pod writeups'!$A:$A,0))="","","HC "&amp;INDEX('Layer B — pod writeups'!$C:$C,MATCH('Layer A — raw data (SOURCED)'!$A48,'Layer B — pod writeups'!$A:$A,0))),IF(INDEX('Layer B — pod writeups'!$D:$D,MATCH('Layer A — raw data (SOURCED)'!$A48,'Layer B — pod writeups'!$A:$A,0))="","","OC "&amp;INDEX('Layer B — pod writeups'!$D:$D,MATCH('Layer A — raw data (SOURCED)'!$A48,'Layer B — pod writeups'!$A:$A,0))),IF(INDEX('Layer B — pod writeups'!$E:$E,MATCH('Layer A — raw data (SOURCED)'!$A48,'Layer B — pod writeups'!$A:$A,0))="","","DC "&amp;INDEX('Layer B — pod writeups'!$E:$E,MATCH('Layer A — raw data (SOURCED)'!$A48,'Layer B — pod writeups'!$A:$A,0)))),"")</f>
        <v/>
      </c>
      <c r="M48" s="12" t="n">
        <f aca="false">IFERROR(INDEX('Layer B — pod writeups'!$F:$F,MATCH('Layer A — raw data (SOURCED)'!$A48,'Layer B — pod writeups'!$A:$A,0)),"")</f>
        <v>0</v>
      </c>
      <c r="N48" s="12" t="n">
        <f aca="false">IFERROR(INDEX('Layer B — pod writeups'!$K:$K,MATCH('Layer A — raw data (SOURCED)'!$A48,'Layer B — pod writeups'!$A:$A,0)),"")</f>
        <v>0</v>
      </c>
      <c r="O48" s="12" t="str">
        <f aca="false">IFERROR(textjoin(" ",TRUE(),IF(INDEX('Layer B — pod writeups'!$G:$G,MATCH('Layer A — raw data (SOURCED)'!$A48,'Layer B — pod writeups'!$A:$A,0))="Y","DH",""),IF(INDEX('Layer B — pod writeups'!$H:$H,MATCH('Layer A — raw data (SOURCED)'!$A48,'Layer B — pod writeups'!$A:$A,0))="Y","FADE",""),IF(INDEX('Layer B — pod writeups'!$I:$I,MATCH('Layer A — raw data (SOURCED)'!$A48,'Layer B — pod writeups'!$A:$A,0))="Y","SPLIT",""),IF(INDEX('Layer B — pod writeups'!$J:$J,MATCH('Layer A — raw data (SOURCED)'!$A48,'Layer B — pod writeups'!$A:$A,0))="Y","VAR","")),"")</f>
        <v/>
      </c>
      <c r="P48" s="13" t="str">
        <f aca="false">IFERROR(INDEX('Layer B — pod writeups'!$L:$L,MATCH('Layer A — raw data (SOURCED)'!$A48,'Layer B — pod writeups'!$A:$A,0)),"")</f>
        <v>[from SEC pod]</v>
      </c>
      <c r="Q48" s="13" t="str">
        <f aca="false">IFERROR(INDEX('Layer B — pod writeups'!$N:$N,MATCH('Layer A — raw data (SOURCED)'!$A48,'Layer B — pod writeups'!$A:$A,0)),"")</f>
        <v>[BBOC pending — covered in SEC pod, not Pac-12.] Edge read: SP+ #47, TARP +6.5 — grades better than its 4.5 market; possible value if underrated as its real-conf self.</v>
      </c>
    </row>
    <row r="49" customFormat="false" ht="15" hidden="false" customHeight="true" outlineLevel="0" collapsed="false">
      <c r="A49" s="12" t="str">
        <f aca="false">'Layer A — raw data (SOURCED)'!O49</f>
        <v>ACC</v>
      </c>
      <c r="B49" s="12" t="str">
        <f aca="false">'Layer A — raw data (SOURCED)'!A49</f>
        <v>NC State</v>
      </c>
      <c r="C49" s="13" t="str">
        <f aca="false">'Layer A — raw data (SOURCED)'!O49</f>
        <v>ACC</v>
      </c>
      <c r="D49" s="12" t="n">
        <f aca="false">'Layer A — raw data (SOURCED)'!B49</f>
        <v>7.5</v>
      </c>
      <c r="E49" s="12" t="n">
        <f aca="false">'Layer A — raw data (SOURCED)'!C49</f>
        <v>48</v>
      </c>
      <c r="F49" s="12" t="n">
        <f aca="false">'Layer A — raw data (SOURCED)'!D49</f>
        <v>4.9</v>
      </c>
      <c r="G49" s="12" t="n">
        <f aca="false">'Layer A — raw data (SOURCED)'!E49</f>
        <v>54</v>
      </c>
      <c r="H49" s="12" t="n">
        <f aca="false">'Layer A — raw data (SOURCED)'!H49</f>
        <v>2.5</v>
      </c>
      <c r="I49" s="12" t="n">
        <f aca="false">'Layer A — raw data (SOURCED)'!K49</f>
        <v>0</v>
      </c>
      <c r="J49" s="12" t="str">
        <f aca="false">'Layer A — raw data (SOURCED)'!L49</f>
        <v/>
      </c>
      <c r="K49" s="13" t="str">
        <f aca="false">IFERROR(INDEX('Layer B — pod writeups'!$B:$B,MATCH('Layer A — raw data (SOURCED)'!$A49,'Layer B — pod writeups'!$A:$A,0)),"")</f>
        <v/>
      </c>
      <c r="L49" s="13" t="str">
        <f aca="false">IFERROR(textjoin(" | ",TRUE(),IF(INDEX('Layer B — pod writeups'!$C:$C,MATCH('Layer A — raw data (SOURCED)'!$A49,'Layer B — pod writeups'!$A:$A,0))="","","HC "&amp;INDEX('Layer B — pod writeups'!$C:$C,MATCH('Layer A — raw data (SOURCED)'!$A49,'Layer B — pod writeups'!$A:$A,0))),IF(INDEX('Layer B — pod writeups'!$D:$D,MATCH('Layer A — raw data (SOURCED)'!$A49,'Layer B — pod writeups'!$A:$A,0))="","","OC "&amp;INDEX('Layer B — pod writeups'!$D:$D,MATCH('Layer A — raw data (SOURCED)'!$A49,'Layer B — pod writeups'!$A:$A,0))),IF(INDEX('Layer B — pod writeups'!$E:$E,MATCH('Layer A — raw data (SOURCED)'!$A49,'Layer B — pod writeups'!$A:$A,0))="","","DC "&amp;INDEX('Layer B — pod writeups'!$E:$E,MATCH('Layer A — raw data (SOURCED)'!$A49,'Layer B — pod writeups'!$A:$A,0)))),"")</f>
        <v/>
      </c>
      <c r="M49" s="12" t="str">
        <f aca="false">IFERROR(INDEX('Layer B — pod writeups'!$F:$F,MATCH('Layer A — raw data (SOURCED)'!$A49,'Layer B — pod writeups'!$A:$A,0)),"")</f>
        <v/>
      </c>
      <c r="N49" s="12" t="str">
        <f aca="false">IFERROR(INDEX('Layer B — pod writeups'!$K:$K,MATCH('Layer A — raw data (SOURCED)'!$A49,'Layer B — pod writeups'!$A:$A,0)),"")</f>
        <v/>
      </c>
      <c r="O49" s="12" t="str">
        <f aca="false">IFERROR(textjoin(" ",TRUE(),IF(INDEX('Layer B — pod writeups'!$G:$G,MATCH('Layer A — raw data (SOURCED)'!$A49,'Layer B — pod writeups'!$A:$A,0))="Y","DH",""),IF(INDEX('Layer B — pod writeups'!$H:$H,MATCH('Layer A — raw data (SOURCED)'!$A49,'Layer B — pod writeups'!$A:$A,0))="Y","FADE",""),IF(INDEX('Layer B — pod writeups'!$I:$I,MATCH('Layer A — raw data (SOURCED)'!$A49,'Layer B — pod writeups'!$A:$A,0))="Y","SPLIT",""),IF(INDEX('Layer B — pod writeups'!$J:$J,MATCH('Layer A — raw data (SOURCED)'!$A49,'Layer B — pod writeups'!$A:$A,0))="Y","VAR","")),"")</f>
        <v/>
      </c>
      <c r="P49" s="13" t="str">
        <f aca="false">IFERROR(INDEX('Layer B — pod writeups'!$L:$L,MATCH('Layer A — raw data (SOURCED)'!$A49,'Layer B — pod writeups'!$A:$A,0)),"")</f>
        <v/>
      </c>
      <c r="Q49" s="13" t="str">
        <f aca="false">IFERROR(INDEX('Layer B — pod writeups'!$N:$N,MATCH('Layer A — raw data (SOURCED)'!$A49,'Layer B — pod writeups'!$A:$A,0)),"")</f>
        <v/>
      </c>
    </row>
    <row r="50" customFormat="false" ht="15" hidden="false" customHeight="true" outlineLevel="0" collapsed="false">
      <c r="A50" s="12" t="str">
        <f aca="false">'Layer A — raw data (SOURCED)'!O50</f>
        <v>Big Ten</v>
      </c>
      <c r="B50" s="12" t="str">
        <f aca="false">'Layer A — raw data (SOURCED)'!A50</f>
        <v>Northwestern</v>
      </c>
      <c r="C50" s="13" t="str">
        <f aca="false">'Layer A — raw data (SOURCED)'!O50</f>
        <v>Big Ten</v>
      </c>
      <c r="D50" s="12" t="n">
        <f aca="false">'Layer A — raw data (SOURCED)'!B50</f>
        <v>5.5</v>
      </c>
      <c r="E50" s="12" t="n">
        <f aca="false">'Layer A — raw data (SOURCED)'!C50</f>
        <v>49</v>
      </c>
      <c r="F50" s="12" t="n">
        <f aca="false">'Layer A — raw data (SOURCED)'!D50</f>
        <v>4.6</v>
      </c>
      <c r="G50" s="12" t="n">
        <f aca="false">'Layer A — raw data (SOURCED)'!E50</f>
        <v>57</v>
      </c>
      <c r="H50" s="12" t="n">
        <f aca="false">'Layer A — raw data (SOURCED)'!H50</f>
        <v>3.5</v>
      </c>
      <c r="I50" s="12" t="n">
        <f aca="false">'Layer A — raw data (SOURCED)'!K50</f>
        <v>0</v>
      </c>
      <c r="J50" s="12" t="str">
        <f aca="false">'Layer A — raw data (SOURCED)'!L50</f>
        <v/>
      </c>
      <c r="K50" s="13" t="str">
        <f aca="false">IFERROR(INDEX('Layer B — pod writeups'!$B:$B,MATCH('Layer A — raw data (SOURCED)'!$A50,'Layer B — pod writeups'!$A:$A,0)),"")</f>
        <v/>
      </c>
      <c r="L50" s="13" t="str">
        <f aca="false">IFERROR(textjoin(" | ",TRUE(),IF(INDEX('Layer B — pod writeups'!$C:$C,MATCH('Layer A — raw data (SOURCED)'!$A50,'Layer B — pod writeups'!$A:$A,0))="","","HC "&amp;INDEX('Layer B — pod writeups'!$C:$C,MATCH('Layer A — raw data (SOURCED)'!$A50,'Layer B — pod writeups'!$A:$A,0))),IF(INDEX('Layer B — pod writeups'!$D:$D,MATCH('Layer A — raw data (SOURCED)'!$A50,'Layer B — pod writeups'!$A:$A,0))="","","OC "&amp;INDEX('Layer B — pod writeups'!$D:$D,MATCH('Layer A — raw data (SOURCED)'!$A50,'Layer B — pod writeups'!$A:$A,0))),IF(INDEX('Layer B — pod writeups'!$E:$E,MATCH('Layer A — raw data (SOURCED)'!$A50,'Layer B — pod writeups'!$A:$A,0))="","","DC "&amp;INDEX('Layer B — pod writeups'!$E:$E,MATCH('Layer A — raw data (SOURCED)'!$A50,'Layer B — pod writeups'!$A:$A,0)))),"")</f>
        <v/>
      </c>
      <c r="M50" s="12" t="str">
        <f aca="false">IFERROR(INDEX('Layer B — pod writeups'!$F:$F,MATCH('Layer A — raw data (SOURCED)'!$A50,'Layer B — pod writeups'!$A:$A,0)),"")</f>
        <v/>
      </c>
      <c r="N50" s="12" t="str">
        <f aca="false">IFERROR(INDEX('Layer B — pod writeups'!$K:$K,MATCH('Layer A — raw data (SOURCED)'!$A50,'Layer B — pod writeups'!$A:$A,0)),"")</f>
        <v/>
      </c>
      <c r="O50" s="12" t="str">
        <f aca="false">IFERROR(textjoin(" ",TRUE(),IF(INDEX('Layer B — pod writeups'!$G:$G,MATCH('Layer A — raw data (SOURCED)'!$A50,'Layer B — pod writeups'!$A:$A,0))="Y","DH",""),IF(INDEX('Layer B — pod writeups'!$H:$H,MATCH('Layer A — raw data (SOURCED)'!$A50,'Layer B — pod writeups'!$A:$A,0))="Y","FADE",""),IF(INDEX('Layer B — pod writeups'!$I:$I,MATCH('Layer A — raw data (SOURCED)'!$A50,'Layer B — pod writeups'!$A:$A,0))="Y","SPLIT",""),IF(INDEX('Layer B — pod writeups'!$J:$J,MATCH('Layer A — raw data (SOURCED)'!$A50,'Layer B — pod writeups'!$A:$A,0))="Y","VAR","")),"")</f>
        <v/>
      </c>
      <c r="P50" s="13" t="str">
        <f aca="false">IFERROR(INDEX('Layer B — pod writeups'!$L:$L,MATCH('Layer A — raw data (SOURCED)'!$A50,'Layer B — pod writeups'!$A:$A,0)),"")</f>
        <v/>
      </c>
      <c r="Q50" s="13" t="str">
        <f aca="false">IFERROR(INDEX('Layer B — pod writeups'!$N:$N,MATCH('Layer A — raw data (SOURCED)'!$A50,'Layer B — pod writeups'!$A:$A,0)),"")</f>
        <v/>
      </c>
    </row>
    <row r="51" customFormat="false" ht="15" hidden="false" customHeight="true" outlineLevel="0" collapsed="false">
      <c r="A51" s="12" t="str">
        <f aca="false">'Layer A — raw data (SOURCED)'!O51</f>
        <v>Big 12</v>
      </c>
      <c r="B51" s="12" t="str">
        <f aca="false">'Layer A — raw data (SOURCED)'!A51</f>
        <v>Cincinnati</v>
      </c>
      <c r="C51" s="13" t="str">
        <f aca="false">'Layer A — raw data (SOURCED)'!O51</f>
        <v>Big 12</v>
      </c>
      <c r="D51" s="12" t="n">
        <f aca="false">'Layer A — raw data (SOURCED)'!B51</f>
        <v>5.5</v>
      </c>
      <c r="E51" s="12" t="n">
        <f aca="false">'Layer A — raw data (SOURCED)'!C51</f>
        <v>50</v>
      </c>
      <c r="F51" s="12" t="n">
        <f aca="false">'Layer A — raw data (SOURCED)'!D51</f>
        <v>4.5</v>
      </c>
      <c r="G51" s="12" t="n">
        <f aca="false">'Layer A — raw data (SOURCED)'!E51</f>
        <v>57</v>
      </c>
      <c r="H51" s="12" t="n">
        <f aca="false">'Layer A — raw data (SOURCED)'!H51</f>
        <v>2.5</v>
      </c>
      <c r="I51" s="12" t="n">
        <f aca="false">'Layer A — raw data (SOURCED)'!K51</f>
        <v>0</v>
      </c>
      <c r="J51" s="12" t="str">
        <f aca="false">'Layer A — raw data (SOURCED)'!L51</f>
        <v/>
      </c>
      <c r="K51" s="13" t="str">
        <f aca="false">IFERROR(INDEX('Layer B — pod writeups'!$B:$B,MATCH('Layer A — raw data (SOURCED)'!$A51,'Layer B — pod writeups'!$A:$A,0)),"")</f>
        <v/>
      </c>
      <c r="L51" s="13" t="str">
        <f aca="false">IFERROR(textjoin(" | ",TRUE(),IF(INDEX('Layer B — pod writeups'!$C:$C,MATCH('Layer A — raw data (SOURCED)'!$A51,'Layer B — pod writeups'!$A:$A,0))="","","HC "&amp;INDEX('Layer B — pod writeups'!$C:$C,MATCH('Layer A — raw data (SOURCED)'!$A51,'Layer B — pod writeups'!$A:$A,0))),IF(INDEX('Layer B — pod writeups'!$D:$D,MATCH('Layer A — raw data (SOURCED)'!$A51,'Layer B — pod writeups'!$A:$A,0))="","","OC "&amp;INDEX('Layer B — pod writeups'!$D:$D,MATCH('Layer A — raw data (SOURCED)'!$A51,'Layer B — pod writeups'!$A:$A,0))),IF(INDEX('Layer B — pod writeups'!$E:$E,MATCH('Layer A — raw data (SOURCED)'!$A51,'Layer B — pod writeups'!$A:$A,0))="","","DC "&amp;INDEX('Layer B — pod writeups'!$E:$E,MATCH('Layer A — raw data (SOURCED)'!$A51,'Layer B — pod writeups'!$A:$A,0)))),"")</f>
        <v/>
      </c>
      <c r="M51" s="12" t="str">
        <f aca="false">IFERROR(INDEX('Layer B — pod writeups'!$F:$F,MATCH('Layer A — raw data (SOURCED)'!$A51,'Layer B — pod writeups'!$A:$A,0)),"")</f>
        <v/>
      </c>
      <c r="N51" s="12" t="str">
        <f aca="false">IFERROR(INDEX('Layer B — pod writeups'!$K:$K,MATCH('Layer A — raw data (SOURCED)'!$A51,'Layer B — pod writeups'!$A:$A,0)),"")</f>
        <v/>
      </c>
      <c r="O51" s="12" t="str">
        <f aca="false">IFERROR(textjoin(" ",TRUE(),IF(INDEX('Layer B — pod writeups'!$G:$G,MATCH('Layer A — raw data (SOURCED)'!$A51,'Layer B — pod writeups'!$A:$A,0))="Y","DH",""),IF(INDEX('Layer B — pod writeups'!$H:$H,MATCH('Layer A — raw data (SOURCED)'!$A51,'Layer B — pod writeups'!$A:$A,0))="Y","FADE",""),IF(INDEX('Layer B — pod writeups'!$I:$I,MATCH('Layer A — raw data (SOURCED)'!$A51,'Layer B — pod writeups'!$A:$A,0))="Y","SPLIT",""),IF(INDEX('Layer B — pod writeups'!$J:$J,MATCH('Layer A — raw data (SOURCED)'!$A51,'Layer B — pod writeups'!$A:$A,0))="Y","VAR","")),"")</f>
        <v/>
      </c>
      <c r="P51" s="13" t="str">
        <f aca="false">IFERROR(INDEX('Layer B — pod writeups'!$L:$L,MATCH('Layer A — raw data (SOURCED)'!$A51,'Layer B — pod writeups'!$A:$A,0)),"")</f>
        <v/>
      </c>
      <c r="Q51" s="13" t="str">
        <f aca="false">IFERROR(INDEX('Layer B — pod writeups'!$N:$N,MATCH('Layer A — raw data (SOURCED)'!$A51,'Layer B — pod writeups'!$A:$A,0)),"")</f>
        <v/>
      </c>
    </row>
    <row r="52" customFormat="false" ht="15" hidden="false" customHeight="true" outlineLevel="0" collapsed="false">
      <c r="A52" s="12" t="str">
        <f aca="false">'Layer A — raw data (SOURCED)'!O52</f>
        <v>Big 12</v>
      </c>
      <c r="B52" s="12" t="str">
        <f aca="false">'Layer A — raw data (SOURCED)'!A52</f>
        <v>Baylor</v>
      </c>
      <c r="C52" s="13" t="str">
        <f aca="false">'Layer A — raw data (SOURCED)'!O52</f>
        <v>Big 12</v>
      </c>
      <c r="D52" s="12" t="n">
        <f aca="false">'Layer A — raw data (SOURCED)'!B52</f>
        <v>6.5</v>
      </c>
      <c r="E52" s="12" t="n">
        <f aca="false">'Layer A — raw data (SOURCED)'!C52</f>
        <v>51</v>
      </c>
      <c r="F52" s="12" t="n">
        <f aca="false">'Layer A — raw data (SOURCED)'!D52</f>
        <v>4.5</v>
      </c>
      <c r="G52" s="12" t="n">
        <f aca="false">'Layer A — raw data (SOURCED)'!E52</f>
        <v>53</v>
      </c>
      <c r="H52" s="12" t="n">
        <f aca="false">'Layer A — raw data (SOURCED)'!H52</f>
        <v>1.5</v>
      </c>
      <c r="I52" s="12" t="n">
        <f aca="false">'Layer A — raw data (SOURCED)'!K52</f>
        <v>0</v>
      </c>
      <c r="J52" s="12" t="str">
        <f aca="false">'Layer A — raw data (SOURCED)'!L52</f>
        <v/>
      </c>
      <c r="K52" s="13" t="str">
        <f aca="false">IFERROR(INDEX('Layer B — pod writeups'!$B:$B,MATCH('Layer A — raw data (SOURCED)'!$A52,'Layer B — pod writeups'!$A:$A,0)),"")</f>
        <v/>
      </c>
      <c r="L52" s="13" t="str">
        <f aca="false">IFERROR(textjoin(" | ",TRUE(),IF(INDEX('Layer B — pod writeups'!$C:$C,MATCH('Layer A — raw data (SOURCED)'!$A52,'Layer B — pod writeups'!$A:$A,0))="","","HC "&amp;INDEX('Layer B — pod writeups'!$C:$C,MATCH('Layer A — raw data (SOURCED)'!$A52,'Layer B — pod writeups'!$A:$A,0))),IF(INDEX('Layer B — pod writeups'!$D:$D,MATCH('Layer A — raw data (SOURCED)'!$A52,'Layer B — pod writeups'!$A:$A,0))="","","OC "&amp;INDEX('Layer B — pod writeups'!$D:$D,MATCH('Layer A — raw data (SOURCED)'!$A52,'Layer B — pod writeups'!$A:$A,0))),IF(INDEX('Layer B — pod writeups'!$E:$E,MATCH('Layer A — raw data (SOURCED)'!$A52,'Layer B — pod writeups'!$A:$A,0))="","","DC "&amp;INDEX('Layer B — pod writeups'!$E:$E,MATCH('Layer A — raw data (SOURCED)'!$A52,'Layer B — pod writeups'!$A:$A,0)))),"")</f>
        <v/>
      </c>
      <c r="M52" s="12" t="str">
        <f aca="false">IFERROR(INDEX('Layer B — pod writeups'!$F:$F,MATCH('Layer A — raw data (SOURCED)'!$A52,'Layer B — pod writeups'!$A:$A,0)),"")</f>
        <v/>
      </c>
      <c r="N52" s="12" t="str">
        <f aca="false">IFERROR(INDEX('Layer B — pod writeups'!$K:$K,MATCH('Layer A — raw data (SOURCED)'!$A52,'Layer B — pod writeups'!$A:$A,0)),"")</f>
        <v/>
      </c>
      <c r="O52" s="12" t="str">
        <f aca="false">IFERROR(textjoin(" ",TRUE(),IF(INDEX('Layer B — pod writeups'!$G:$G,MATCH('Layer A — raw data (SOURCED)'!$A52,'Layer B — pod writeups'!$A:$A,0))="Y","DH",""),IF(INDEX('Layer B — pod writeups'!$H:$H,MATCH('Layer A — raw data (SOURCED)'!$A52,'Layer B — pod writeups'!$A:$A,0))="Y","FADE",""),IF(INDEX('Layer B — pod writeups'!$I:$I,MATCH('Layer A — raw data (SOURCED)'!$A52,'Layer B — pod writeups'!$A:$A,0))="Y","SPLIT",""),IF(INDEX('Layer B — pod writeups'!$J:$J,MATCH('Layer A — raw data (SOURCED)'!$A52,'Layer B — pod writeups'!$A:$A,0))="Y","VAR","")),"")</f>
        <v/>
      </c>
      <c r="P52" s="13" t="str">
        <f aca="false">IFERROR(INDEX('Layer B — pod writeups'!$L:$L,MATCH('Layer A — raw data (SOURCED)'!$A52,'Layer B — pod writeups'!$A:$A,0)),"")</f>
        <v/>
      </c>
      <c r="Q52" s="13" t="str">
        <f aca="false">IFERROR(INDEX('Layer B — pod writeups'!$N:$N,MATCH('Layer A — raw data (SOURCED)'!$A52,'Layer B — pod writeups'!$A:$A,0)),"")</f>
        <v/>
      </c>
    </row>
    <row r="53" customFormat="false" ht="15" hidden="false" customHeight="true" outlineLevel="0" collapsed="false">
      <c r="A53" s="12" t="str">
        <f aca="false">'Layer A — raw data (SOURCED)'!O53</f>
        <v>SEC</v>
      </c>
      <c r="B53" s="12" t="str">
        <f aca="false">'Layer A — raw data (SOURCED)'!A53</f>
        <v>Mississippi State</v>
      </c>
      <c r="C53" s="13" t="str">
        <f aca="false">'Layer A — raw data (SOURCED)'!O53</f>
        <v>SEC</v>
      </c>
      <c r="D53" s="12" t="n">
        <f aca="false">'Layer A — raw data (SOURCED)'!B53</f>
        <v>4.5</v>
      </c>
      <c r="E53" s="12" t="n">
        <f aca="false">'Layer A — raw data (SOURCED)'!C53</f>
        <v>52</v>
      </c>
      <c r="F53" s="12" t="n">
        <f aca="false">'Layer A — raw data (SOURCED)'!D53</f>
        <v>3.9</v>
      </c>
      <c r="G53" s="12" t="n">
        <f aca="false">'Layer A — raw data (SOURCED)'!E53</f>
        <v>48</v>
      </c>
      <c r="H53" s="12" t="n">
        <f aca="false">'Layer A — raw data (SOURCED)'!H53</f>
        <v>1</v>
      </c>
      <c r="I53" s="12" t="n">
        <f aca="false">'Layer A — raw data (SOURCED)'!K53</f>
        <v>0</v>
      </c>
      <c r="J53" s="12" t="str">
        <f aca="false">'Layer A — raw data (SOURCED)'!L53</f>
        <v/>
      </c>
      <c r="K53" s="13" t="str">
        <f aca="false">IFERROR(INDEX('Layer B — pod writeups'!$B:$B,MATCH('Layer A — raw data (SOURCED)'!$A53,'Layer B — pod writeups'!$A:$A,0)),"")</f>
        <v/>
      </c>
      <c r="L53" s="13" t="str">
        <f aca="false">IFERROR(textjoin(" | ",TRUE(),IF(INDEX('Layer B — pod writeups'!$C:$C,MATCH('Layer A — raw data (SOURCED)'!$A53,'Layer B — pod writeups'!$A:$A,0))="","","HC "&amp;INDEX('Layer B — pod writeups'!$C:$C,MATCH('Layer A — raw data (SOURCED)'!$A53,'Layer B — pod writeups'!$A:$A,0))),IF(INDEX('Layer B — pod writeups'!$D:$D,MATCH('Layer A — raw data (SOURCED)'!$A53,'Layer B — pod writeups'!$A:$A,0))="","","OC "&amp;INDEX('Layer B — pod writeups'!$D:$D,MATCH('Layer A — raw data (SOURCED)'!$A53,'Layer B — pod writeups'!$A:$A,0))),IF(INDEX('Layer B — pod writeups'!$E:$E,MATCH('Layer A — raw data (SOURCED)'!$A53,'Layer B — pod writeups'!$A:$A,0))="","","DC "&amp;INDEX('Layer B — pod writeups'!$E:$E,MATCH('Layer A — raw data (SOURCED)'!$A53,'Layer B — pod writeups'!$A:$A,0)))),"")</f>
        <v/>
      </c>
      <c r="M53" s="12" t="str">
        <f aca="false">IFERROR(INDEX('Layer B — pod writeups'!$F:$F,MATCH('Layer A — raw data (SOURCED)'!$A53,'Layer B — pod writeups'!$A:$A,0)),"")</f>
        <v/>
      </c>
      <c r="N53" s="12" t="str">
        <f aca="false">IFERROR(INDEX('Layer B — pod writeups'!$K:$K,MATCH('Layer A — raw data (SOURCED)'!$A53,'Layer B — pod writeups'!$A:$A,0)),"")</f>
        <v/>
      </c>
      <c r="O53" s="12" t="str">
        <f aca="false">IFERROR(textjoin(" ",TRUE(),IF(INDEX('Layer B — pod writeups'!$G:$G,MATCH('Layer A — raw data (SOURCED)'!$A53,'Layer B — pod writeups'!$A:$A,0))="Y","DH",""),IF(INDEX('Layer B — pod writeups'!$H:$H,MATCH('Layer A — raw data (SOURCED)'!$A53,'Layer B — pod writeups'!$A:$A,0))="Y","FADE",""),IF(INDEX('Layer B — pod writeups'!$I:$I,MATCH('Layer A — raw data (SOURCED)'!$A53,'Layer B — pod writeups'!$A:$A,0))="Y","SPLIT",""),IF(INDEX('Layer B — pod writeups'!$J:$J,MATCH('Layer A — raw data (SOURCED)'!$A53,'Layer B — pod writeups'!$A:$A,0))="Y","VAR","")),"")</f>
        <v/>
      </c>
      <c r="P53" s="13" t="str">
        <f aca="false">IFERROR(INDEX('Layer B — pod writeups'!$L:$L,MATCH('Layer A — raw data (SOURCED)'!$A53,'Layer B — pod writeups'!$A:$A,0)),"")</f>
        <v/>
      </c>
      <c r="Q53" s="13" t="str">
        <f aca="false">IFERROR(INDEX('Layer B — pod writeups'!$N:$N,MATCH('Layer A — raw data (SOURCED)'!$A53,'Layer B — pod writeups'!$A:$A,0)),"")</f>
        <v/>
      </c>
    </row>
    <row r="54" customFormat="false" ht="15" hidden="false" customHeight="true" outlineLevel="0" collapsed="false">
      <c r="A54" s="12" t="str">
        <f aca="false">'Layer A — raw data (SOURCED)'!O54</f>
        <v>SEC</v>
      </c>
      <c r="B54" s="12" t="str">
        <f aca="false">'Layer A — raw data (SOURCED)'!A54</f>
        <v>Kentucky</v>
      </c>
      <c r="C54" s="13" t="str">
        <f aca="false">'Layer A — raw data (SOURCED)'!O54</f>
        <v>SEC</v>
      </c>
      <c r="D54" s="12" t="n">
        <f aca="false">'Layer A — raw data (SOURCED)'!B54</f>
        <v>4.5</v>
      </c>
      <c r="E54" s="12" t="n">
        <f aca="false">'Layer A — raw data (SOURCED)'!C54</f>
        <v>53</v>
      </c>
      <c r="F54" s="12" t="n">
        <f aca="false">'Layer A — raw data (SOURCED)'!D54</f>
        <v>3.8</v>
      </c>
      <c r="G54" s="12" t="n">
        <f aca="false">'Layer A — raw data (SOURCED)'!E54</f>
        <v>46</v>
      </c>
      <c r="H54" s="12" t="n">
        <f aca="false">'Layer A — raw data (SOURCED)'!H54</f>
        <v>-0.5</v>
      </c>
      <c r="I54" s="12" t="n">
        <f aca="false">'Layer A — raw data (SOURCED)'!K54</f>
        <v>0</v>
      </c>
      <c r="J54" s="12" t="str">
        <f aca="false">'Layer A — raw data (SOURCED)'!L54</f>
        <v/>
      </c>
      <c r="K54" s="13" t="str">
        <f aca="false">IFERROR(INDEX('Layer B — pod writeups'!$B:$B,MATCH('Layer A — raw data (SOURCED)'!$A54,'Layer B — pod writeups'!$A:$A,0)),"")</f>
        <v/>
      </c>
      <c r="L54" s="13" t="str">
        <f aca="false">IFERROR(textjoin(" | ",TRUE(),IF(INDEX('Layer B — pod writeups'!$C:$C,MATCH('Layer A — raw data (SOURCED)'!$A54,'Layer B — pod writeups'!$A:$A,0))="","","HC "&amp;INDEX('Layer B — pod writeups'!$C:$C,MATCH('Layer A — raw data (SOURCED)'!$A54,'Layer B — pod writeups'!$A:$A,0))),IF(INDEX('Layer B — pod writeups'!$D:$D,MATCH('Layer A — raw data (SOURCED)'!$A54,'Layer B — pod writeups'!$A:$A,0))="","","OC "&amp;INDEX('Layer B — pod writeups'!$D:$D,MATCH('Layer A — raw data (SOURCED)'!$A54,'Layer B — pod writeups'!$A:$A,0))),IF(INDEX('Layer B — pod writeups'!$E:$E,MATCH('Layer A — raw data (SOURCED)'!$A54,'Layer B — pod writeups'!$A:$A,0))="","","DC "&amp;INDEX('Layer B — pod writeups'!$E:$E,MATCH('Layer A — raw data (SOURCED)'!$A54,'Layer B — pod writeups'!$A:$A,0)))),"")</f>
        <v/>
      </c>
      <c r="M54" s="12" t="str">
        <f aca="false">IFERROR(INDEX('Layer B — pod writeups'!$F:$F,MATCH('Layer A — raw data (SOURCED)'!$A54,'Layer B — pod writeups'!$A:$A,0)),"")</f>
        <v/>
      </c>
      <c r="N54" s="12" t="str">
        <f aca="false">IFERROR(INDEX('Layer B — pod writeups'!$K:$K,MATCH('Layer A — raw data (SOURCED)'!$A54,'Layer B — pod writeups'!$A:$A,0)),"")</f>
        <v/>
      </c>
      <c r="O54" s="12" t="str">
        <f aca="false">IFERROR(textjoin(" ",TRUE(),IF(INDEX('Layer B — pod writeups'!$G:$G,MATCH('Layer A — raw data (SOURCED)'!$A54,'Layer B — pod writeups'!$A:$A,0))="Y","DH",""),IF(INDEX('Layer B — pod writeups'!$H:$H,MATCH('Layer A — raw data (SOURCED)'!$A54,'Layer B — pod writeups'!$A:$A,0))="Y","FADE",""),IF(INDEX('Layer B — pod writeups'!$I:$I,MATCH('Layer A — raw data (SOURCED)'!$A54,'Layer B — pod writeups'!$A:$A,0))="Y","SPLIT",""),IF(INDEX('Layer B — pod writeups'!$J:$J,MATCH('Layer A — raw data (SOURCED)'!$A54,'Layer B — pod writeups'!$A:$A,0))="Y","VAR","")),"")</f>
        <v/>
      </c>
      <c r="P54" s="13" t="str">
        <f aca="false">IFERROR(INDEX('Layer B — pod writeups'!$L:$L,MATCH('Layer A — raw data (SOURCED)'!$A54,'Layer B — pod writeups'!$A:$A,0)),"")</f>
        <v/>
      </c>
      <c r="Q54" s="13" t="str">
        <f aca="false">IFERROR(INDEX('Layer B — pod writeups'!$N:$N,MATCH('Layer A — raw data (SOURCED)'!$A54,'Layer B — pod writeups'!$A:$A,0)),"")</f>
        <v/>
      </c>
    </row>
    <row r="55" customFormat="false" ht="15" hidden="false" customHeight="true" outlineLevel="0" collapsed="false">
      <c r="A55" s="12" t="str">
        <f aca="false">'Layer A — raw data (SOURCED)'!O55</f>
        <v>ACC</v>
      </c>
      <c r="B55" s="12" t="str">
        <f aca="false">'Layer A — raw data (SOURCED)'!A55</f>
        <v>North Carolina</v>
      </c>
      <c r="C55" s="13" t="str">
        <f aca="false">'Layer A — raw data (SOURCED)'!O55</f>
        <v>ACC</v>
      </c>
      <c r="D55" s="12" t="n">
        <f aca="false">'Layer A — raw data (SOURCED)'!B55</f>
        <v>4.5</v>
      </c>
      <c r="E55" s="12" t="n">
        <f aca="false">'Layer A — raw data (SOURCED)'!C55</f>
        <v>54</v>
      </c>
      <c r="F55" s="12" t="n">
        <f aca="false">'Layer A — raw data (SOURCED)'!D55</f>
        <v>3.8</v>
      </c>
      <c r="G55" s="12" t="n">
        <f aca="false">'Layer A — raw data (SOURCED)'!E55</f>
        <v>44</v>
      </c>
      <c r="H55" s="12" t="n">
        <f aca="false">'Layer A — raw data (SOURCED)'!H55</f>
        <v>-4</v>
      </c>
      <c r="I55" s="12" t="n">
        <f aca="false">'Layer A — raw data (SOURCED)'!K55</f>
        <v>0</v>
      </c>
      <c r="J55" s="12" t="str">
        <f aca="false">'Layer A — raw data (SOURCED)'!L55</f>
        <v/>
      </c>
      <c r="K55" s="13" t="str">
        <f aca="false">IFERROR(INDEX('Layer B — pod writeups'!$B:$B,MATCH('Layer A — raw data (SOURCED)'!$A55,'Layer B — pod writeups'!$A:$A,0)),"")</f>
        <v/>
      </c>
      <c r="L55" s="13" t="str">
        <f aca="false">IFERROR(textjoin(" | ",TRUE(),IF(INDEX('Layer B — pod writeups'!$C:$C,MATCH('Layer A — raw data (SOURCED)'!$A55,'Layer B — pod writeups'!$A:$A,0))="","","HC "&amp;INDEX('Layer B — pod writeups'!$C:$C,MATCH('Layer A — raw data (SOURCED)'!$A55,'Layer B — pod writeups'!$A:$A,0))),IF(INDEX('Layer B — pod writeups'!$D:$D,MATCH('Layer A — raw data (SOURCED)'!$A55,'Layer B — pod writeups'!$A:$A,0))="","","OC "&amp;INDEX('Layer B — pod writeups'!$D:$D,MATCH('Layer A — raw data (SOURCED)'!$A55,'Layer B — pod writeups'!$A:$A,0))),IF(INDEX('Layer B — pod writeups'!$E:$E,MATCH('Layer A — raw data (SOURCED)'!$A55,'Layer B — pod writeups'!$A:$A,0))="","","DC "&amp;INDEX('Layer B — pod writeups'!$E:$E,MATCH('Layer A — raw data (SOURCED)'!$A55,'Layer B — pod writeups'!$A:$A,0)))),"")</f>
        <v/>
      </c>
      <c r="M55" s="12" t="str">
        <f aca="false">IFERROR(INDEX('Layer B — pod writeups'!$F:$F,MATCH('Layer A — raw data (SOURCED)'!$A55,'Layer B — pod writeups'!$A:$A,0)),"")</f>
        <v/>
      </c>
      <c r="N55" s="12" t="str">
        <f aca="false">IFERROR(INDEX('Layer B — pod writeups'!$K:$K,MATCH('Layer A — raw data (SOURCED)'!$A55,'Layer B — pod writeups'!$A:$A,0)),"")</f>
        <v/>
      </c>
      <c r="O55" s="12" t="str">
        <f aca="false">IFERROR(textjoin(" ",TRUE(),IF(INDEX('Layer B — pod writeups'!$G:$G,MATCH('Layer A — raw data (SOURCED)'!$A55,'Layer B — pod writeups'!$A:$A,0))="Y","DH",""),IF(INDEX('Layer B — pod writeups'!$H:$H,MATCH('Layer A — raw data (SOURCED)'!$A55,'Layer B — pod writeups'!$A:$A,0))="Y","FADE",""),IF(INDEX('Layer B — pod writeups'!$I:$I,MATCH('Layer A — raw data (SOURCED)'!$A55,'Layer B — pod writeups'!$A:$A,0))="Y","SPLIT",""),IF(INDEX('Layer B — pod writeups'!$J:$J,MATCH('Layer A — raw data (SOURCED)'!$A55,'Layer B — pod writeups'!$A:$A,0))="Y","VAR","")),"")</f>
        <v/>
      </c>
      <c r="P55" s="13" t="str">
        <f aca="false">IFERROR(INDEX('Layer B — pod writeups'!$L:$L,MATCH('Layer A — raw data (SOURCED)'!$A55,'Layer B — pod writeups'!$A:$A,0)),"")</f>
        <v/>
      </c>
      <c r="Q55" s="13" t="str">
        <f aca="false">IFERROR(INDEX('Layer B — pod writeups'!$N:$N,MATCH('Layer A — raw data (SOURCED)'!$A55,'Layer B — pod writeups'!$A:$A,0)),"")</f>
        <v/>
      </c>
    </row>
    <row r="56" customFormat="false" ht="15" hidden="false" customHeight="true" outlineLevel="0" collapsed="false">
      <c r="A56" s="12" t="str">
        <f aca="false">'Layer A — raw data (SOURCED)'!O56</f>
        <v>Big Ten</v>
      </c>
      <c r="B56" s="12" t="str">
        <f aca="false">'Layer A — raw data (SOURCED)'!A56</f>
        <v>Maryland</v>
      </c>
      <c r="C56" s="13" t="str">
        <f aca="false">'Layer A — raw data (SOURCED)'!O56</f>
        <v>Big Ten</v>
      </c>
      <c r="D56" s="12" t="n">
        <f aca="false">'Layer A — raw data (SOURCED)'!B56</f>
        <v>5.5</v>
      </c>
      <c r="E56" s="12" t="n">
        <f aca="false">'Layer A — raw data (SOURCED)'!C56</f>
        <v>55</v>
      </c>
      <c r="F56" s="12" t="n">
        <f aca="false">'Layer A — raw data (SOURCED)'!D56</f>
        <v>3.8</v>
      </c>
      <c r="G56" s="12" t="n">
        <f aca="false">'Layer A — raw data (SOURCED)'!E56</f>
        <v>71</v>
      </c>
      <c r="H56" s="12" t="n">
        <f aca="false">'Layer A — raw data (SOURCED)'!H56</f>
        <v>10</v>
      </c>
      <c r="I56" s="12" t="n">
        <f aca="false">'Layer A — raw data (SOURCED)'!K56</f>
        <v>0</v>
      </c>
      <c r="J56" s="12" t="str">
        <f aca="false">'Layer A — raw data (SOURCED)'!L56</f>
        <v/>
      </c>
      <c r="K56" s="13" t="str">
        <f aca="false">IFERROR(INDEX('Layer B — pod writeups'!$B:$B,MATCH('Layer A — raw data (SOURCED)'!$A56,'Layer B — pod writeups'!$A:$A,0)),"")</f>
        <v/>
      </c>
      <c r="L56" s="13" t="str">
        <f aca="false">IFERROR(textjoin(" | ",TRUE(),IF(INDEX('Layer B — pod writeups'!$C:$C,MATCH('Layer A — raw data (SOURCED)'!$A56,'Layer B — pod writeups'!$A:$A,0))="","","HC "&amp;INDEX('Layer B — pod writeups'!$C:$C,MATCH('Layer A — raw data (SOURCED)'!$A56,'Layer B — pod writeups'!$A:$A,0))),IF(INDEX('Layer B — pod writeups'!$D:$D,MATCH('Layer A — raw data (SOURCED)'!$A56,'Layer B — pod writeups'!$A:$A,0))="","","OC "&amp;INDEX('Layer B — pod writeups'!$D:$D,MATCH('Layer A — raw data (SOURCED)'!$A56,'Layer B — pod writeups'!$A:$A,0))),IF(INDEX('Layer B — pod writeups'!$E:$E,MATCH('Layer A — raw data (SOURCED)'!$A56,'Layer B — pod writeups'!$A:$A,0))="","","DC "&amp;INDEX('Layer B — pod writeups'!$E:$E,MATCH('Layer A — raw data (SOURCED)'!$A56,'Layer B — pod writeups'!$A:$A,0)))),"")</f>
        <v/>
      </c>
      <c r="M56" s="12" t="str">
        <f aca="false">IFERROR(INDEX('Layer B — pod writeups'!$F:$F,MATCH('Layer A — raw data (SOURCED)'!$A56,'Layer B — pod writeups'!$A:$A,0)),"")</f>
        <v/>
      </c>
      <c r="N56" s="12" t="str">
        <f aca="false">IFERROR(INDEX('Layer B — pod writeups'!$K:$K,MATCH('Layer A — raw data (SOURCED)'!$A56,'Layer B — pod writeups'!$A:$A,0)),"")</f>
        <v/>
      </c>
      <c r="O56" s="12" t="str">
        <f aca="false">IFERROR(textjoin(" ",TRUE(),IF(INDEX('Layer B — pod writeups'!$G:$G,MATCH('Layer A — raw data (SOURCED)'!$A56,'Layer B — pod writeups'!$A:$A,0))="Y","DH",""),IF(INDEX('Layer B — pod writeups'!$H:$H,MATCH('Layer A — raw data (SOURCED)'!$A56,'Layer B — pod writeups'!$A:$A,0))="Y","FADE",""),IF(INDEX('Layer B — pod writeups'!$I:$I,MATCH('Layer A — raw data (SOURCED)'!$A56,'Layer B — pod writeups'!$A:$A,0))="Y","SPLIT",""),IF(INDEX('Layer B — pod writeups'!$J:$J,MATCH('Layer A — raw data (SOURCED)'!$A56,'Layer B — pod writeups'!$A:$A,0))="Y","VAR","")),"")</f>
        <v/>
      </c>
      <c r="P56" s="13" t="str">
        <f aca="false">IFERROR(INDEX('Layer B — pod writeups'!$L:$L,MATCH('Layer A — raw data (SOURCED)'!$A56,'Layer B — pod writeups'!$A:$A,0)),"")</f>
        <v/>
      </c>
      <c r="Q56" s="13" t="str">
        <f aca="false">IFERROR(INDEX('Layer B — pod writeups'!$N:$N,MATCH('Layer A — raw data (SOURCED)'!$A56,'Layer B — pod writeups'!$A:$A,0)),"")</f>
        <v/>
      </c>
    </row>
    <row r="57" customFormat="false" ht="15" hidden="false" customHeight="true" outlineLevel="0" collapsed="false">
      <c r="A57" s="12" t="str">
        <f aca="false">'Layer A — raw data (SOURCED)'!O57</f>
        <v>ACC</v>
      </c>
      <c r="B57" s="12" t="str">
        <f aca="false">'Layer A — raw data (SOURCED)'!A57</f>
        <v>California</v>
      </c>
      <c r="C57" s="13" t="str">
        <f aca="false">'Layer A — raw data (SOURCED)'!O57</f>
        <v>ACC</v>
      </c>
      <c r="D57" s="12" t="n">
        <f aca="false">'Layer A — raw data (SOURCED)'!B57</f>
        <v>6.5</v>
      </c>
      <c r="E57" s="12" t="n">
        <f aca="false">'Layer A — raw data (SOURCED)'!C57</f>
        <v>56</v>
      </c>
      <c r="F57" s="12" t="n">
        <f aca="false">'Layer A — raw data (SOURCED)'!D57</f>
        <v>3.7</v>
      </c>
      <c r="G57" s="12" t="n">
        <f aca="false">'Layer A — raw data (SOURCED)'!E57</f>
        <v>58</v>
      </c>
      <c r="H57" s="12" t="n">
        <f aca="false">'Layer A — raw data (SOURCED)'!H57</f>
        <v>4</v>
      </c>
      <c r="I57" s="12" t="n">
        <f aca="false">'Layer A — raw data (SOURCED)'!K57</f>
        <v>0</v>
      </c>
      <c r="J57" s="12" t="str">
        <f aca="false">'Layer A — raw data (SOURCED)'!L57</f>
        <v/>
      </c>
      <c r="K57" s="13" t="str">
        <f aca="false">IFERROR(INDEX('Layer B — pod writeups'!$B:$B,MATCH('Layer A — raw data (SOURCED)'!$A57,'Layer B — pod writeups'!$A:$A,0)),"")</f>
        <v/>
      </c>
      <c r="L57" s="13" t="str">
        <f aca="false">IFERROR(textjoin(" | ",TRUE(),IF(INDEX('Layer B — pod writeups'!$C:$C,MATCH('Layer A — raw data (SOURCED)'!$A57,'Layer B — pod writeups'!$A:$A,0))="","","HC "&amp;INDEX('Layer B — pod writeups'!$C:$C,MATCH('Layer A — raw data (SOURCED)'!$A57,'Layer B — pod writeups'!$A:$A,0))),IF(INDEX('Layer B — pod writeups'!$D:$D,MATCH('Layer A — raw data (SOURCED)'!$A57,'Layer B — pod writeups'!$A:$A,0))="","","OC "&amp;INDEX('Layer B — pod writeups'!$D:$D,MATCH('Layer A — raw data (SOURCED)'!$A57,'Layer B — pod writeups'!$A:$A,0))),IF(INDEX('Layer B — pod writeups'!$E:$E,MATCH('Layer A — raw data (SOURCED)'!$A57,'Layer B — pod writeups'!$A:$A,0))="","","DC "&amp;INDEX('Layer B — pod writeups'!$E:$E,MATCH('Layer A — raw data (SOURCED)'!$A57,'Layer B — pod writeups'!$A:$A,0)))),"")</f>
        <v/>
      </c>
      <c r="M57" s="12" t="str">
        <f aca="false">IFERROR(INDEX('Layer B — pod writeups'!$F:$F,MATCH('Layer A — raw data (SOURCED)'!$A57,'Layer B — pod writeups'!$A:$A,0)),"")</f>
        <v/>
      </c>
      <c r="N57" s="12" t="str">
        <f aca="false">IFERROR(INDEX('Layer B — pod writeups'!$K:$K,MATCH('Layer A — raw data (SOURCED)'!$A57,'Layer B — pod writeups'!$A:$A,0)),"")</f>
        <v/>
      </c>
      <c r="O57" s="12" t="str">
        <f aca="false">IFERROR(textjoin(" ",TRUE(),IF(INDEX('Layer B — pod writeups'!$G:$G,MATCH('Layer A — raw data (SOURCED)'!$A57,'Layer B — pod writeups'!$A:$A,0))="Y","DH",""),IF(INDEX('Layer B — pod writeups'!$H:$H,MATCH('Layer A — raw data (SOURCED)'!$A57,'Layer B — pod writeups'!$A:$A,0))="Y","FADE",""),IF(INDEX('Layer B — pod writeups'!$I:$I,MATCH('Layer A — raw data (SOURCED)'!$A57,'Layer B — pod writeups'!$A:$A,0))="Y","SPLIT",""),IF(INDEX('Layer B — pod writeups'!$J:$J,MATCH('Layer A — raw data (SOURCED)'!$A57,'Layer B — pod writeups'!$A:$A,0))="Y","VAR","")),"")</f>
        <v/>
      </c>
      <c r="P57" s="13" t="str">
        <f aca="false">IFERROR(INDEX('Layer B — pod writeups'!$L:$L,MATCH('Layer A — raw data (SOURCED)'!$A57,'Layer B — pod writeups'!$A:$A,0)),"")</f>
        <v/>
      </c>
      <c r="Q57" s="13" t="str">
        <f aca="false">IFERROR(INDEX('Layer B — pod writeups'!$N:$N,MATCH('Layer A — raw data (SOURCED)'!$A57,'Layer B — pod writeups'!$A:$A,0)),"")</f>
        <v/>
      </c>
    </row>
    <row r="58" customFormat="false" ht="15" hidden="false" customHeight="true" outlineLevel="0" collapsed="false">
      <c r="A58" s="12" t="str">
        <f aca="false">'Layer A — raw data (SOURCED)'!O58</f>
        <v>Big 12</v>
      </c>
      <c r="B58" s="12" t="str">
        <f aca="false">'Layer A — raw data (SOURCED)'!A58</f>
        <v>Kansas</v>
      </c>
      <c r="C58" s="13" t="str">
        <f aca="false">'Layer A — raw data (SOURCED)'!O58</f>
        <v>Big 12</v>
      </c>
      <c r="D58" s="12" t="n">
        <f aca="false">'Layer A — raw data (SOURCED)'!B58</f>
        <v>5.5</v>
      </c>
      <c r="E58" s="12" t="n">
        <f aca="false">'Layer A — raw data (SOURCED)'!C58</f>
        <v>57</v>
      </c>
      <c r="F58" s="12" t="n">
        <f aca="false">'Layer A — raw data (SOURCED)'!D58</f>
        <v>3.7</v>
      </c>
      <c r="G58" s="12" t="n">
        <f aca="false">'Layer A — raw data (SOURCED)'!E58</f>
        <v>58</v>
      </c>
      <c r="H58" s="12" t="n">
        <f aca="false">'Layer A — raw data (SOURCED)'!H58</f>
        <v>3.5</v>
      </c>
      <c r="I58" s="12" t="n">
        <f aca="false">'Layer A — raw data (SOURCED)'!K58</f>
        <v>0</v>
      </c>
      <c r="J58" s="12" t="str">
        <f aca="false">'Layer A — raw data (SOURCED)'!L58</f>
        <v/>
      </c>
      <c r="K58" s="13" t="str">
        <f aca="false">IFERROR(INDEX('Layer B — pod writeups'!$B:$B,MATCH('Layer A — raw data (SOURCED)'!$A58,'Layer B — pod writeups'!$A:$A,0)),"")</f>
        <v/>
      </c>
      <c r="L58" s="13" t="str">
        <f aca="false">IFERROR(textjoin(" | ",TRUE(),IF(INDEX('Layer B — pod writeups'!$C:$C,MATCH('Layer A — raw data (SOURCED)'!$A58,'Layer B — pod writeups'!$A:$A,0))="","","HC "&amp;INDEX('Layer B — pod writeups'!$C:$C,MATCH('Layer A — raw data (SOURCED)'!$A58,'Layer B — pod writeups'!$A:$A,0))),IF(INDEX('Layer B — pod writeups'!$D:$D,MATCH('Layer A — raw data (SOURCED)'!$A58,'Layer B — pod writeups'!$A:$A,0))="","","OC "&amp;INDEX('Layer B — pod writeups'!$D:$D,MATCH('Layer A — raw data (SOURCED)'!$A58,'Layer B — pod writeups'!$A:$A,0))),IF(INDEX('Layer B — pod writeups'!$E:$E,MATCH('Layer A — raw data (SOURCED)'!$A58,'Layer B — pod writeups'!$A:$A,0))="","","DC "&amp;INDEX('Layer B — pod writeups'!$E:$E,MATCH('Layer A — raw data (SOURCED)'!$A58,'Layer B — pod writeups'!$A:$A,0)))),"")</f>
        <v/>
      </c>
      <c r="M58" s="12" t="str">
        <f aca="false">IFERROR(INDEX('Layer B — pod writeups'!$F:$F,MATCH('Layer A — raw data (SOURCED)'!$A58,'Layer B — pod writeups'!$A:$A,0)),"")</f>
        <v/>
      </c>
      <c r="N58" s="12" t="str">
        <f aca="false">IFERROR(INDEX('Layer B — pod writeups'!$K:$K,MATCH('Layer A — raw data (SOURCED)'!$A58,'Layer B — pod writeups'!$A:$A,0)),"")</f>
        <v/>
      </c>
      <c r="O58" s="12" t="str">
        <f aca="false">IFERROR(textjoin(" ",TRUE(),IF(INDEX('Layer B — pod writeups'!$G:$G,MATCH('Layer A — raw data (SOURCED)'!$A58,'Layer B — pod writeups'!$A:$A,0))="Y","DH",""),IF(INDEX('Layer B — pod writeups'!$H:$H,MATCH('Layer A — raw data (SOURCED)'!$A58,'Layer B — pod writeups'!$A:$A,0))="Y","FADE",""),IF(INDEX('Layer B — pod writeups'!$I:$I,MATCH('Layer A — raw data (SOURCED)'!$A58,'Layer B — pod writeups'!$A:$A,0))="Y","SPLIT",""),IF(INDEX('Layer B — pod writeups'!$J:$J,MATCH('Layer A — raw data (SOURCED)'!$A58,'Layer B — pod writeups'!$A:$A,0))="Y","VAR","")),"")</f>
        <v/>
      </c>
      <c r="P58" s="13" t="str">
        <f aca="false">IFERROR(INDEX('Layer B — pod writeups'!$L:$L,MATCH('Layer A — raw data (SOURCED)'!$A58,'Layer B — pod writeups'!$A:$A,0)),"")</f>
        <v/>
      </c>
      <c r="Q58" s="13" t="str">
        <f aca="false">IFERROR(INDEX('Layer B — pod writeups'!$N:$N,MATCH('Layer A — raw data (SOURCED)'!$A58,'Layer B — pod writeups'!$A:$A,0)),"")</f>
        <v/>
      </c>
    </row>
    <row r="59" customFormat="false" ht="15" hidden="false" customHeight="true" outlineLevel="0" collapsed="false">
      <c r="A59" s="12" t="str">
        <f aca="false">'Layer A — raw data (SOURCED)'!O59</f>
        <v>ACC</v>
      </c>
      <c r="B59" s="12" t="str">
        <f aca="false">'Layer A — raw data (SOURCED)'!A59</f>
        <v>Wake Forest</v>
      </c>
      <c r="C59" s="13" t="str">
        <f aca="false">'Layer A — raw data (SOURCED)'!O59</f>
        <v>ACC</v>
      </c>
      <c r="D59" s="12" t="n">
        <f aca="false">'Layer A — raw data (SOURCED)'!B59</f>
        <v>5.5</v>
      </c>
      <c r="E59" s="12" t="n">
        <f aca="false">'Layer A — raw data (SOURCED)'!C59</f>
        <v>58</v>
      </c>
      <c r="F59" s="12" t="n">
        <f aca="false">'Layer A — raw data (SOURCED)'!D59</f>
        <v>3.6</v>
      </c>
      <c r="G59" s="12" t="n">
        <f aca="false">'Layer A — raw data (SOURCED)'!E59</f>
        <v>53</v>
      </c>
      <c r="H59" s="12" t="n">
        <f aca="false">'Layer A — raw data (SOURCED)'!H59</f>
        <v>-0.5</v>
      </c>
      <c r="I59" s="12" t="n">
        <f aca="false">'Layer A — raw data (SOURCED)'!K59</f>
        <v>0</v>
      </c>
      <c r="J59" s="12" t="str">
        <f aca="false">'Layer A — raw data (SOURCED)'!L59</f>
        <v/>
      </c>
      <c r="K59" s="13" t="str">
        <f aca="false">IFERROR(INDEX('Layer B — pod writeups'!$B:$B,MATCH('Layer A — raw data (SOURCED)'!$A59,'Layer B — pod writeups'!$A:$A,0)),"")</f>
        <v/>
      </c>
      <c r="L59" s="13" t="str">
        <f aca="false">IFERROR(textjoin(" | ",TRUE(),IF(INDEX('Layer B — pod writeups'!$C:$C,MATCH('Layer A — raw data (SOURCED)'!$A59,'Layer B — pod writeups'!$A:$A,0))="","","HC "&amp;INDEX('Layer B — pod writeups'!$C:$C,MATCH('Layer A — raw data (SOURCED)'!$A59,'Layer B — pod writeups'!$A:$A,0))),IF(INDEX('Layer B — pod writeups'!$D:$D,MATCH('Layer A — raw data (SOURCED)'!$A59,'Layer B — pod writeups'!$A:$A,0))="","","OC "&amp;INDEX('Layer B — pod writeups'!$D:$D,MATCH('Layer A — raw data (SOURCED)'!$A59,'Layer B — pod writeups'!$A:$A,0))),IF(INDEX('Layer B — pod writeups'!$E:$E,MATCH('Layer A — raw data (SOURCED)'!$A59,'Layer B — pod writeups'!$A:$A,0))="","","DC "&amp;INDEX('Layer B — pod writeups'!$E:$E,MATCH('Layer A — raw data (SOURCED)'!$A59,'Layer B — pod writeups'!$A:$A,0)))),"")</f>
        <v/>
      </c>
      <c r="M59" s="12" t="str">
        <f aca="false">IFERROR(INDEX('Layer B — pod writeups'!$F:$F,MATCH('Layer A — raw data (SOURCED)'!$A59,'Layer B — pod writeups'!$A:$A,0)),"")</f>
        <v/>
      </c>
      <c r="N59" s="12" t="str">
        <f aca="false">IFERROR(INDEX('Layer B — pod writeups'!$K:$K,MATCH('Layer A — raw data (SOURCED)'!$A59,'Layer B — pod writeups'!$A:$A,0)),"")</f>
        <v/>
      </c>
      <c r="O59" s="12" t="str">
        <f aca="false">IFERROR(textjoin(" ",TRUE(),IF(INDEX('Layer B — pod writeups'!$G:$G,MATCH('Layer A — raw data (SOURCED)'!$A59,'Layer B — pod writeups'!$A:$A,0))="Y","DH",""),IF(INDEX('Layer B — pod writeups'!$H:$H,MATCH('Layer A — raw data (SOURCED)'!$A59,'Layer B — pod writeups'!$A:$A,0))="Y","FADE",""),IF(INDEX('Layer B — pod writeups'!$I:$I,MATCH('Layer A — raw data (SOURCED)'!$A59,'Layer B — pod writeups'!$A:$A,0))="Y","SPLIT",""),IF(INDEX('Layer B — pod writeups'!$J:$J,MATCH('Layer A — raw data (SOURCED)'!$A59,'Layer B — pod writeups'!$A:$A,0))="Y","VAR","")),"")</f>
        <v/>
      </c>
      <c r="P59" s="13" t="str">
        <f aca="false">IFERROR(INDEX('Layer B — pod writeups'!$L:$L,MATCH('Layer A — raw data (SOURCED)'!$A59,'Layer B — pod writeups'!$A:$A,0)),"")</f>
        <v/>
      </c>
      <c r="Q59" s="13" t="str">
        <f aca="false">IFERROR(INDEX('Layer B — pod writeups'!$N:$N,MATCH('Layer A — raw data (SOURCED)'!$A59,'Layer B — pod writeups'!$A:$A,0)),"")</f>
        <v/>
      </c>
    </row>
    <row r="60" customFormat="false" ht="15" hidden="false" customHeight="true" outlineLevel="0" collapsed="false">
      <c r="A60" s="12" t="str">
        <f aca="false">'Layer A — raw data (SOURCED)'!O60</f>
        <v>MWC</v>
      </c>
      <c r="B60" s="12" t="str">
        <f aca="false">'Layer A — raw data (SOURCED)'!A60</f>
        <v>UNLV</v>
      </c>
      <c r="C60" s="13" t="str">
        <f aca="false">'Layer A — raw data (SOURCED)'!O60</f>
        <v>MWC</v>
      </c>
      <c r="D60" s="12" t="n">
        <f aca="false">'Layer A — raw data (SOURCED)'!B60</f>
        <v>7.5</v>
      </c>
      <c r="E60" s="12" t="n">
        <f aca="false">'Layer A — raw data (SOURCED)'!C60</f>
        <v>59</v>
      </c>
      <c r="F60" s="12" t="n">
        <f aca="false">'Layer A — raw data (SOURCED)'!D60</f>
        <v>2.8</v>
      </c>
      <c r="G60" s="12" t="n">
        <f aca="false">'Layer A — raw data (SOURCED)'!E60</f>
        <v>40</v>
      </c>
      <c r="H60" s="12" t="n">
        <f aca="false">'Layer A — raw data (SOURCED)'!H60</f>
        <v>-5</v>
      </c>
      <c r="I60" s="12" t="n">
        <f aca="false">'Layer A — raw data (SOURCED)'!K60</f>
        <v>0</v>
      </c>
      <c r="J60" s="12" t="str">
        <f aca="false">'Layer A — raw data (SOURCED)'!L60</f>
        <v/>
      </c>
      <c r="K60" s="13" t="str">
        <f aca="false">IFERROR(INDEX('Layer B — pod writeups'!$B:$B,MATCH('Layer A — raw data (SOURCED)'!$A60,'Layer B — pod writeups'!$A:$A,0)),"")</f>
        <v/>
      </c>
      <c r="L60" s="13" t="str">
        <f aca="false">IFERROR(textjoin(" | ",TRUE(),IF(INDEX('Layer B — pod writeups'!$C:$C,MATCH('Layer A — raw data (SOURCED)'!$A60,'Layer B — pod writeups'!$A:$A,0))="","","HC "&amp;INDEX('Layer B — pod writeups'!$C:$C,MATCH('Layer A — raw data (SOURCED)'!$A60,'Layer B — pod writeups'!$A:$A,0))),IF(INDEX('Layer B — pod writeups'!$D:$D,MATCH('Layer A — raw data (SOURCED)'!$A60,'Layer B — pod writeups'!$A:$A,0))="","","OC "&amp;INDEX('Layer B — pod writeups'!$D:$D,MATCH('Layer A — raw data (SOURCED)'!$A60,'Layer B — pod writeups'!$A:$A,0))),IF(INDEX('Layer B — pod writeups'!$E:$E,MATCH('Layer A — raw data (SOURCED)'!$A60,'Layer B — pod writeups'!$A:$A,0))="","","DC "&amp;INDEX('Layer B — pod writeups'!$E:$E,MATCH('Layer A — raw data (SOURCED)'!$A60,'Layer B — pod writeups'!$A:$A,0)))),"")</f>
        <v/>
      </c>
      <c r="M60" s="12" t="str">
        <f aca="false">IFERROR(INDEX('Layer B — pod writeups'!$F:$F,MATCH('Layer A — raw data (SOURCED)'!$A60,'Layer B — pod writeups'!$A:$A,0)),"")</f>
        <v/>
      </c>
      <c r="N60" s="12" t="str">
        <f aca="false">IFERROR(INDEX('Layer B — pod writeups'!$K:$K,MATCH('Layer A — raw data (SOURCED)'!$A60,'Layer B — pod writeups'!$A:$A,0)),"")</f>
        <v/>
      </c>
      <c r="O60" s="12" t="str">
        <f aca="false">IFERROR(textjoin(" ",TRUE(),IF(INDEX('Layer B — pod writeups'!$G:$G,MATCH('Layer A — raw data (SOURCED)'!$A60,'Layer B — pod writeups'!$A:$A,0))="Y","DH",""),IF(INDEX('Layer B — pod writeups'!$H:$H,MATCH('Layer A — raw data (SOURCED)'!$A60,'Layer B — pod writeups'!$A:$A,0))="Y","FADE",""),IF(INDEX('Layer B — pod writeups'!$I:$I,MATCH('Layer A — raw data (SOURCED)'!$A60,'Layer B — pod writeups'!$A:$A,0))="Y","SPLIT",""),IF(INDEX('Layer B — pod writeups'!$J:$J,MATCH('Layer A — raw data (SOURCED)'!$A60,'Layer B — pod writeups'!$A:$A,0))="Y","VAR","")),"")</f>
        <v/>
      </c>
      <c r="P60" s="13" t="str">
        <f aca="false">IFERROR(INDEX('Layer B — pod writeups'!$L:$L,MATCH('Layer A — raw data (SOURCED)'!$A60,'Layer B — pod writeups'!$A:$A,0)),"")</f>
        <v/>
      </c>
      <c r="Q60" s="13" t="str">
        <f aca="false">IFERROR(INDEX('Layer B — pod writeups'!$N:$N,MATCH('Layer A — raw data (SOURCED)'!$A60,'Layer B — pod writeups'!$A:$A,0)),"")</f>
        <v/>
      </c>
    </row>
    <row r="61" customFormat="false" ht="15" hidden="false" customHeight="true" outlineLevel="0" collapsed="false">
      <c r="A61" s="12" t="str">
        <f aca="false">'Layer A — raw data (SOURCED)'!O61</f>
        <v>Big 12</v>
      </c>
      <c r="B61" s="12" t="str">
        <f aca="false">'Layer A — raw data (SOURCED)'!A61</f>
        <v>UCF</v>
      </c>
      <c r="C61" s="13" t="str">
        <f aca="false">'Layer A — raw data (SOURCED)'!O61</f>
        <v>Big 12</v>
      </c>
      <c r="D61" s="12" t="n">
        <f aca="false">'Layer A — raw data (SOURCED)'!B61</f>
        <v>5.5</v>
      </c>
      <c r="E61" s="12" t="n">
        <f aca="false">'Layer A — raw data (SOURCED)'!C61</f>
        <v>60</v>
      </c>
      <c r="F61" s="12" t="n">
        <f aca="false">'Layer A — raw data (SOURCED)'!D61</f>
        <v>2.3</v>
      </c>
      <c r="G61" s="12" t="n">
        <f aca="false">'Layer A — raw data (SOURCED)'!E61</f>
        <v>61</v>
      </c>
      <c r="H61" s="12" t="n">
        <f aca="false">'Layer A — raw data (SOURCED)'!H61</f>
        <v>7</v>
      </c>
      <c r="I61" s="12" t="n">
        <f aca="false">'Layer A — raw data (SOURCED)'!K61</f>
        <v>0</v>
      </c>
      <c r="J61" s="12" t="str">
        <f aca="false">'Layer A — raw data (SOURCED)'!L61</f>
        <v/>
      </c>
      <c r="K61" s="13" t="str">
        <f aca="false">IFERROR(INDEX('Layer B — pod writeups'!$B:$B,MATCH('Layer A — raw data (SOURCED)'!$A61,'Layer B — pod writeups'!$A:$A,0)),"")</f>
        <v/>
      </c>
      <c r="L61" s="13" t="str">
        <f aca="false">IFERROR(textjoin(" | ",TRUE(),IF(INDEX('Layer B — pod writeups'!$C:$C,MATCH('Layer A — raw data (SOURCED)'!$A61,'Layer B — pod writeups'!$A:$A,0))="","","HC "&amp;INDEX('Layer B — pod writeups'!$C:$C,MATCH('Layer A — raw data (SOURCED)'!$A61,'Layer B — pod writeups'!$A:$A,0))),IF(INDEX('Layer B — pod writeups'!$D:$D,MATCH('Layer A — raw data (SOURCED)'!$A61,'Layer B — pod writeups'!$A:$A,0))="","","OC "&amp;INDEX('Layer B — pod writeups'!$D:$D,MATCH('Layer A — raw data (SOURCED)'!$A61,'Layer B — pod writeups'!$A:$A,0))),IF(INDEX('Layer B — pod writeups'!$E:$E,MATCH('Layer A — raw data (SOURCED)'!$A61,'Layer B — pod writeups'!$A:$A,0))="","","DC "&amp;INDEX('Layer B — pod writeups'!$E:$E,MATCH('Layer A — raw data (SOURCED)'!$A61,'Layer B — pod writeups'!$A:$A,0)))),"")</f>
        <v/>
      </c>
      <c r="M61" s="12" t="str">
        <f aca="false">IFERROR(INDEX('Layer B — pod writeups'!$F:$F,MATCH('Layer A — raw data (SOURCED)'!$A61,'Layer B — pod writeups'!$A:$A,0)),"")</f>
        <v/>
      </c>
      <c r="N61" s="12" t="str">
        <f aca="false">IFERROR(INDEX('Layer B — pod writeups'!$K:$K,MATCH('Layer A — raw data (SOURCED)'!$A61,'Layer B — pod writeups'!$A:$A,0)),"")</f>
        <v/>
      </c>
      <c r="O61" s="12" t="str">
        <f aca="false">IFERROR(textjoin(" ",TRUE(),IF(INDEX('Layer B — pod writeups'!$G:$G,MATCH('Layer A — raw data (SOURCED)'!$A61,'Layer B — pod writeups'!$A:$A,0))="Y","DH",""),IF(INDEX('Layer B — pod writeups'!$H:$H,MATCH('Layer A — raw data (SOURCED)'!$A61,'Layer B — pod writeups'!$A:$A,0))="Y","FADE",""),IF(INDEX('Layer B — pod writeups'!$I:$I,MATCH('Layer A — raw data (SOURCED)'!$A61,'Layer B — pod writeups'!$A:$A,0))="Y","SPLIT",""),IF(INDEX('Layer B — pod writeups'!$J:$J,MATCH('Layer A — raw data (SOURCED)'!$A61,'Layer B — pod writeups'!$A:$A,0))="Y","VAR","")),"")</f>
        <v/>
      </c>
      <c r="P61" s="13" t="str">
        <f aca="false">IFERROR(INDEX('Layer B — pod writeups'!$L:$L,MATCH('Layer A — raw data (SOURCED)'!$A61,'Layer B — pod writeups'!$A:$A,0)),"")</f>
        <v/>
      </c>
      <c r="Q61" s="13" t="str">
        <f aca="false">IFERROR(INDEX('Layer B — pod writeups'!$N:$N,MATCH('Layer A — raw data (SOURCED)'!$A61,'Layer B — pod writeups'!$A:$A,0)),"")</f>
        <v/>
      </c>
    </row>
    <row r="62" customFormat="false" ht="15" hidden="false" customHeight="true" outlineLevel="0" collapsed="false">
      <c r="A62" s="12" t="str">
        <f aca="false">'Layer A — raw data (SOURCED)'!O62</f>
        <v>Big Ten</v>
      </c>
      <c r="B62" s="12" t="str">
        <f aca="false">'Layer A — raw data (SOURCED)'!A62</f>
        <v>Wisconsin</v>
      </c>
      <c r="C62" s="13" t="str">
        <f aca="false">'Layer A — raw data (SOURCED)'!O62</f>
        <v>Big Ten</v>
      </c>
      <c r="D62" s="12" t="n">
        <f aca="false">'Layer A — raw data (SOURCED)'!B62</f>
        <v>6.5</v>
      </c>
      <c r="E62" s="12" t="n">
        <f aca="false">'Layer A — raw data (SOURCED)'!C62</f>
        <v>61</v>
      </c>
      <c r="F62" s="12" t="n">
        <f aca="false">'Layer A — raw data (SOURCED)'!D62</f>
        <v>1.8</v>
      </c>
      <c r="G62" s="12" t="n">
        <f aca="false">'Layer A — raw data (SOURCED)'!E62</f>
        <v>59</v>
      </c>
      <c r="H62" s="12" t="n">
        <f aca="false">'Layer A — raw data (SOURCED)'!H62</f>
        <v>11</v>
      </c>
      <c r="I62" s="12" t="n">
        <f aca="false">'Layer A — raw data (SOURCED)'!K62</f>
        <v>0</v>
      </c>
      <c r="J62" s="12" t="str">
        <f aca="false">'Layer A — raw data (SOURCED)'!L62</f>
        <v/>
      </c>
      <c r="K62" s="13" t="str">
        <f aca="false">IFERROR(INDEX('Layer B — pod writeups'!$B:$B,MATCH('Layer A — raw data (SOURCED)'!$A62,'Layer B — pod writeups'!$A:$A,0)),"")</f>
        <v/>
      </c>
      <c r="L62" s="13" t="str">
        <f aca="false">IFERROR(textjoin(" | ",TRUE(),IF(INDEX('Layer B — pod writeups'!$C:$C,MATCH('Layer A — raw data (SOURCED)'!$A62,'Layer B — pod writeups'!$A:$A,0))="","","HC "&amp;INDEX('Layer B — pod writeups'!$C:$C,MATCH('Layer A — raw data (SOURCED)'!$A62,'Layer B — pod writeups'!$A:$A,0))),IF(INDEX('Layer B — pod writeups'!$D:$D,MATCH('Layer A — raw data (SOURCED)'!$A62,'Layer B — pod writeups'!$A:$A,0))="","","OC "&amp;INDEX('Layer B — pod writeups'!$D:$D,MATCH('Layer A — raw data (SOURCED)'!$A62,'Layer B — pod writeups'!$A:$A,0))),IF(INDEX('Layer B — pod writeups'!$E:$E,MATCH('Layer A — raw data (SOURCED)'!$A62,'Layer B — pod writeups'!$A:$A,0))="","","DC "&amp;INDEX('Layer B — pod writeups'!$E:$E,MATCH('Layer A — raw data (SOURCED)'!$A62,'Layer B — pod writeups'!$A:$A,0)))),"")</f>
        <v/>
      </c>
      <c r="M62" s="12" t="str">
        <f aca="false">IFERROR(INDEX('Layer B — pod writeups'!$F:$F,MATCH('Layer A — raw data (SOURCED)'!$A62,'Layer B — pod writeups'!$A:$A,0)),"")</f>
        <v/>
      </c>
      <c r="N62" s="12" t="str">
        <f aca="false">IFERROR(INDEX('Layer B — pod writeups'!$K:$K,MATCH('Layer A — raw data (SOURCED)'!$A62,'Layer B — pod writeups'!$A:$A,0)),"")</f>
        <v/>
      </c>
      <c r="O62" s="12" t="str">
        <f aca="false">IFERROR(textjoin(" ",TRUE(),IF(INDEX('Layer B — pod writeups'!$G:$G,MATCH('Layer A — raw data (SOURCED)'!$A62,'Layer B — pod writeups'!$A:$A,0))="Y","DH",""),IF(INDEX('Layer B — pod writeups'!$H:$H,MATCH('Layer A — raw data (SOURCED)'!$A62,'Layer B — pod writeups'!$A:$A,0))="Y","FADE",""),IF(INDEX('Layer B — pod writeups'!$I:$I,MATCH('Layer A — raw data (SOURCED)'!$A62,'Layer B — pod writeups'!$A:$A,0))="Y","SPLIT",""),IF(INDEX('Layer B — pod writeups'!$J:$J,MATCH('Layer A — raw data (SOURCED)'!$A62,'Layer B — pod writeups'!$A:$A,0))="Y","VAR","")),"")</f>
        <v/>
      </c>
      <c r="P62" s="13" t="str">
        <f aca="false">IFERROR(INDEX('Layer B — pod writeups'!$L:$L,MATCH('Layer A — raw data (SOURCED)'!$A62,'Layer B — pod writeups'!$A:$A,0)),"")</f>
        <v/>
      </c>
      <c r="Q62" s="13" t="str">
        <f aca="false">IFERROR(INDEX('Layer B — pod writeups'!$N:$N,MATCH('Layer A — raw data (SOURCED)'!$A62,'Layer B — pod writeups'!$A:$A,0)),"")</f>
        <v/>
      </c>
    </row>
    <row r="63" customFormat="false" ht="15" hidden="false" customHeight="true" outlineLevel="0" collapsed="false">
      <c r="A63" s="12" t="str">
        <f aca="false">'Layer A — raw data (SOURCED)'!O63</f>
        <v>Big Ten</v>
      </c>
      <c r="B63" s="12" t="str">
        <f aca="false">'Layer A — raw data (SOURCED)'!A63</f>
        <v>Rutgers</v>
      </c>
      <c r="C63" s="13" t="str">
        <f aca="false">'Layer A — raw data (SOURCED)'!O63</f>
        <v>Big Ten</v>
      </c>
      <c r="D63" s="12" t="n">
        <f aca="false">'Layer A — raw data (SOURCED)'!B63</f>
        <v>4.5</v>
      </c>
      <c r="E63" s="12" t="n">
        <f aca="false">'Layer A — raw data (SOURCED)'!C63</f>
        <v>62</v>
      </c>
      <c r="F63" s="12" t="n">
        <f aca="false">'Layer A — raw data (SOURCED)'!D63</f>
        <v>1.8</v>
      </c>
      <c r="G63" s="12" t="n">
        <f aca="false">'Layer A — raw data (SOURCED)'!E63</f>
        <v>47</v>
      </c>
      <c r="H63" s="12" t="n">
        <f aca="false">'Layer A — raw data (SOURCED)'!H63</f>
        <v>-5.5</v>
      </c>
      <c r="I63" s="12" t="n">
        <f aca="false">'Layer A — raw data (SOURCED)'!K63</f>
        <v>0</v>
      </c>
      <c r="J63" s="12" t="str">
        <f aca="false">'Layer A — raw data (SOURCED)'!L63</f>
        <v/>
      </c>
      <c r="K63" s="13" t="str">
        <f aca="false">IFERROR(INDEX('Layer B — pod writeups'!$B:$B,MATCH('Layer A — raw data (SOURCED)'!$A63,'Layer B — pod writeups'!$A:$A,0)),"")</f>
        <v/>
      </c>
      <c r="L63" s="13" t="str">
        <f aca="false">IFERROR(textjoin(" | ",TRUE(),IF(INDEX('Layer B — pod writeups'!$C:$C,MATCH('Layer A — raw data (SOURCED)'!$A63,'Layer B — pod writeups'!$A:$A,0))="","","HC "&amp;INDEX('Layer B — pod writeups'!$C:$C,MATCH('Layer A — raw data (SOURCED)'!$A63,'Layer B — pod writeups'!$A:$A,0))),IF(INDEX('Layer B — pod writeups'!$D:$D,MATCH('Layer A — raw data (SOURCED)'!$A63,'Layer B — pod writeups'!$A:$A,0))="","","OC "&amp;INDEX('Layer B — pod writeups'!$D:$D,MATCH('Layer A — raw data (SOURCED)'!$A63,'Layer B — pod writeups'!$A:$A,0))),IF(INDEX('Layer B — pod writeups'!$E:$E,MATCH('Layer A — raw data (SOURCED)'!$A63,'Layer B — pod writeups'!$A:$A,0))="","","DC "&amp;INDEX('Layer B — pod writeups'!$E:$E,MATCH('Layer A — raw data (SOURCED)'!$A63,'Layer B — pod writeups'!$A:$A,0)))),"")</f>
        <v/>
      </c>
      <c r="M63" s="12" t="str">
        <f aca="false">IFERROR(INDEX('Layer B — pod writeups'!$F:$F,MATCH('Layer A — raw data (SOURCED)'!$A63,'Layer B — pod writeups'!$A:$A,0)),"")</f>
        <v/>
      </c>
      <c r="N63" s="12" t="str">
        <f aca="false">IFERROR(INDEX('Layer B — pod writeups'!$K:$K,MATCH('Layer A — raw data (SOURCED)'!$A63,'Layer B — pod writeups'!$A:$A,0)),"")</f>
        <v/>
      </c>
      <c r="O63" s="12" t="str">
        <f aca="false">IFERROR(textjoin(" ",TRUE(),IF(INDEX('Layer B — pod writeups'!$G:$G,MATCH('Layer A — raw data (SOURCED)'!$A63,'Layer B — pod writeups'!$A:$A,0))="Y","DH",""),IF(INDEX('Layer B — pod writeups'!$H:$H,MATCH('Layer A — raw data (SOURCED)'!$A63,'Layer B — pod writeups'!$A:$A,0))="Y","FADE",""),IF(INDEX('Layer B — pod writeups'!$I:$I,MATCH('Layer A — raw data (SOURCED)'!$A63,'Layer B — pod writeups'!$A:$A,0))="Y","SPLIT",""),IF(INDEX('Layer B — pod writeups'!$J:$J,MATCH('Layer A — raw data (SOURCED)'!$A63,'Layer B — pod writeups'!$A:$A,0))="Y","VAR","")),"")</f>
        <v/>
      </c>
      <c r="P63" s="13" t="str">
        <f aca="false">IFERROR(INDEX('Layer B — pod writeups'!$L:$L,MATCH('Layer A — raw data (SOURCED)'!$A63,'Layer B — pod writeups'!$A:$A,0)),"")</f>
        <v/>
      </c>
      <c r="Q63" s="13" t="str">
        <f aca="false">IFERROR(INDEX('Layer B — pod writeups'!$N:$N,MATCH('Layer A — raw data (SOURCED)'!$A63,'Layer B — pod writeups'!$A:$A,0)),"")</f>
        <v/>
      </c>
    </row>
    <row r="64" customFormat="false" ht="15" hidden="false" customHeight="true" outlineLevel="0" collapsed="false">
      <c r="A64" s="12" t="str">
        <f aca="false">'Layer A — raw data (SOURCED)'!O64</f>
        <v>AAC</v>
      </c>
      <c r="B64" s="12" t="str">
        <f aca="false">'Layer A — raw data (SOURCED)'!A64</f>
        <v>Navy</v>
      </c>
      <c r="C64" s="13" t="str">
        <f aca="false">'Layer A — raw data (SOURCED)'!O64</f>
        <v>AAC</v>
      </c>
      <c r="D64" s="12" t="n">
        <f aca="false">'Layer A — raw data (SOURCED)'!B64</f>
        <v>7.5</v>
      </c>
      <c r="E64" s="12" t="n">
        <f aca="false">'Layer A — raw data (SOURCED)'!C64</f>
        <v>63</v>
      </c>
      <c r="F64" s="12" t="n">
        <f aca="false">'Layer A — raw data (SOURCED)'!D64</f>
        <v>1.1</v>
      </c>
      <c r="G64" s="12" t="n">
        <f aca="false">'Layer A — raw data (SOURCED)'!E64</f>
        <v>47</v>
      </c>
      <c r="H64" s="12" t="n">
        <f aca="false">'Layer A — raw data (SOURCED)'!H64</f>
        <v>-2</v>
      </c>
      <c r="I64" s="12" t="n">
        <f aca="false">'Layer A — raw data (SOURCED)'!K64</f>
        <v>0</v>
      </c>
      <c r="J64" s="12" t="str">
        <f aca="false">'Layer A — raw data (SOURCED)'!L64</f>
        <v/>
      </c>
      <c r="K64" s="13" t="str">
        <f aca="false">IFERROR(INDEX('Layer B — pod writeups'!$B:$B,MATCH('Layer A — raw data (SOURCED)'!$A64,'Layer B — pod writeups'!$A:$A,0)),"")</f>
        <v/>
      </c>
      <c r="L64" s="13" t="str">
        <f aca="false">IFERROR(textjoin(" | ",TRUE(),IF(INDEX('Layer B — pod writeups'!$C:$C,MATCH('Layer A — raw data (SOURCED)'!$A64,'Layer B — pod writeups'!$A:$A,0))="","","HC "&amp;INDEX('Layer B — pod writeups'!$C:$C,MATCH('Layer A — raw data (SOURCED)'!$A64,'Layer B — pod writeups'!$A:$A,0))),IF(INDEX('Layer B — pod writeups'!$D:$D,MATCH('Layer A — raw data (SOURCED)'!$A64,'Layer B — pod writeups'!$A:$A,0))="","","OC "&amp;INDEX('Layer B — pod writeups'!$D:$D,MATCH('Layer A — raw data (SOURCED)'!$A64,'Layer B — pod writeups'!$A:$A,0))),IF(INDEX('Layer B — pod writeups'!$E:$E,MATCH('Layer A — raw data (SOURCED)'!$A64,'Layer B — pod writeups'!$A:$A,0))="","","DC "&amp;INDEX('Layer B — pod writeups'!$E:$E,MATCH('Layer A — raw data (SOURCED)'!$A64,'Layer B — pod writeups'!$A:$A,0)))),"")</f>
        <v/>
      </c>
      <c r="M64" s="12" t="str">
        <f aca="false">IFERROR(INDEX('Layer B — pod writeups'!$F:$F,MATCH('Layer A — raw data (SOURCED)'!$A64,'Layer B — pod writeups'!$A:$A,0)),"")</f>
        <v/>
      </c>
      <c r="N64" s="12" t="str">
        <f aca="false">IFERROR(INDEX('Layer B — pod writeups'!$K:$K,MATCH('Layer A — raw data (SOURCED)'!$A64,'Layer B — pod writeups'!$A:$A,0)),"")</f>
        <v/>
      </c>
      <c r="O64" s="12" t="str">
        <f aca="false">IFERROR(textjoin(" ",TRUE(),IF(INDEX('Layer B — pod writeups'!$G:$G,MATCH('Layer A — raw data (SOURCED)'!$A64,'Layer B — pod writeups'!$A:$A,0))="Y","DH",""),IF(INDEX('Layer B — pod writeups'!$H:$H,MATCH('Layer A — raw data (SOURCED)'!$A64,'Layer B — pod writeups'!$A:$A,0))="Y","FADE",""),IF(INDEX('Layer B — pod writeups'!$I:$I,MATCH('Layer A — raw data (SOURCED)'!$A64,'Layer B — pod writeups'!$A:$A,0))="Y","SPLIT",""),IF(INDEX('Layer B — pod writeups'!$J:$J,MATCH('Layer A — raw data (SOURCED)'!$A64,'Layer B — pod writeups'!$A:$A,0))="Y","VAR","")),"")</f>
        <v/>
      </c>
      <c r="P64" s="13" t="str">
        <f aca="false">IFERROR(INDEX('Layer B — pod writeups'!$L:$L,MATCH('Layer A — raw data (SOURCED)'!$A64,'Layer B — pod writeups'!$A:$A,0)),"")</f>
        <v/>
      </c>
      <c r="Q64" s="13" t="str">
        <f aca="false">IFERROR(INDEX('Layer B — pod writeups'!$N:$N,MATCH('Layer A — raw data (SOURCED)'!$A64,'Layer B — pod writeups'!$A:$A,0)),"")</f>
        <v/>
      </c>
    </row>
    <row r="65" customFormat="false" ht="15" hidden="false" customHeight="true" outlineLevel="0" collapsed="false">
      <c r="A65" s="12" t="str">
        <f aca="false">'Layer A — raw data (SOURCED)'!O65</f>
        <v>Big 12</v>
      </c>
      <c r="B65" s="12" t="str">
        <f aca="false">'Layer A — raw data (SOURCED)'!A65</f>
        <v>Iowa State</v>
      </c>
      <c r="C65" s="13" t="str">
        <f aca="false">'Layer A — raw data (SOURCED)'!O65</f>
        <v>Big 12</v>
      </c>
      <c r="D65" s="12" t="n">
        <f aca="false">'Layer A — raw data (SOURCED)'!B65</f>
        <v>4.5</v>
      </c>
      <c r="E65" s="12" t="n">
        <f aca="false">'Layer A — raw data (SOURCED)'!C65</f>
        <v>64</v>
      </c>
      <c r="F65" s="12" t="n">
        <f aca="false">'Layer A — raw data (SOURCED)'!D65</f>
        <v>1</v>
      </c>
      <c r="G65" s="12" t="n">
        <f aca="false">'Layer A — raw data (SOURCED)'!E65</f>
        <v>45</v>
      </c>
      <c r="H65" s="12" t="n">
        <f aca="false">'Layer A — raw data (SOURCED)'!H65</f>
        <v>-7</v>
      </c>
      <c r="I65" s="12" t="n">
        <f aca="false">'Layer A — raw data (SOURCED)'!K65</f>
        <v>0</v>
      </c>
      <c r="J65" s="12" t="str">
        <f aca="false">'Layer A — raw data (SOURCED)'!L65</f>
        <v/>
      </c>
      <c r="K65" s="13" t="str">
        <f aca="false">IFERROR(INDEX('Layer B — pod writeups'!$B:$B,MATCH('Layer A — raw data (SOURCED)'!$A65,'Layer B — pod writeups'!$A:$A,0)),"")</f>
        <v/>
      </c>
      <c r="L65" s="13" t="str">
        <f aca="false">IFERROR(textjoin(" | ",TRUE(),IF(INDEX('Layer B — pod writeups'!$C:$C,MATCH('Layer A — raw data (SOURCED)'!$A65,'Layer B — pod writeups'!$A:$A,0))="","","HC "&amp;INDEX('Layer B — pod writeups'!$C:$C,MATCH('Layer A — raw data (SOURCED)'!$A65,'Layer B — pod writeups'!$A:$A,0))),IF(INDEX('Layer B — pod writeups'!$D:$D,MATCH('Layer A — raw data (SOURCED)'!$A65,'Layer B — pod writeups'!$A:$A,0))="","","OC "&amp;INDEX('Layer B — pod writeups'!$D:$D,MATCH('Layer A — raw data (SOURCED)'!$A65,'Layer B — pod writeups'!$A:$A,0))),IF(INDEX('Layer B — pod writeups'!$E:$E,MATCH('Layer A — raw data (SOURCED)'!$A65,'Layer B — pod writeups'!$A:$A,0))="","","DC "&amp;INDEX('Layer B — pod writeups'!$E:$E,MATCH('Layer A — raw data (SOURCED)'!$A65,'Layer B — pod writeups'!$A:$A,0)))),"")</f>
        <v/>
      </c>
      <c r="M65" s="12" t="str">
        <f aca="false">IFERROR(INDEX('Layer B — pod writeups'!$F:$F,MATCH('Layer A — raw data (SOURCED)'!$A65,'Layer B — pod writeups'!$A:$A,0)),"")</f>
        <v/>
      </c>
      <c r="N65" s="12" t="str">
        <f aca="false">IFERROR(INDEX('Layer B — pod writeups'!$K:$K,MATCH('Layer A — raw data (SOURCED)'!$A65,'Layer B — pod writeups'!$A:$A,0)),"")</f>
        <v/>
      </c>
      <c r="O65" s="12" t="str">
        <f aca="false">IFERROR(textjoin(" ",TRUE(),IF(INDEX('Layer B — pod writeups'!$G:$G,MATCH('Layer A — raw data (SOURCED)'!$A65,'Layer B — pod writeups'!$A:$A,0))="Y","DH",""),IF(INDEX('Layer B — pod writeups'!$H:$H,MATCH('Layer A — raw data (SOURCED)'!$A65,'Layer B — pod writeups'!$A:$A,0))="Y","FADE",""),IF(INDEX('Layer B — pod writeups'!$I:$I,MATCH('Layer A — raw data (SOURCED)'!$A65,'Layer B — pod writeups'!$A:$A,0))="Y","SPLIT",""),IF(INDEX('Layer B — pod writeups'!$J:$J,MATCH('Layer A — raw data (SOURCED)'!$A65,'Layer B — pod writeups'!$A:$A,0))="Y","VAR","")),"")</f>
        <v/>
      </c>
      <c r="P65" s="13" t="str">
        <f aca="false">IFERROR(INDEX('Layer B — pod writeups'!$L:$L,MATCH('Layer A — raw data (SOURCED)'!$A65,'Layer B — pod writeups'!$A:$A,0)),"")</f>
        <v/>
      </c>
      <c r="Q65" s="13" t="str">
        <f aca="false">IFERROR(INDEX('Layer B — pod writeups'!$N:$N,MATCH('Layer A — raw data (SOURCED)'!$A65,'Layer B — pod writeups'!$A:$A,0)),"")</f>
        <v/>
      </c>
    </row>
    <row r="66" customFormat="false" ht="15" hidden="false" customHeight="true" outlineLevel="0" collapsed="false">
      <c r="A66" s="12" t="str">
        <f aca="false">'Layer A — raw data (SOURCED)'!O66</f>
        <v>Big 12</v>
      </c>
      <c r="B66" s="12" t="str">
        <f aca="false">'Layer A — raw data (SOURCED)'!A66</f>
        <v>Colorado</v>
      </c>
      <c r="C66" s="13" t="str">
        <f aca="false">'Layer A — raw data (SOURCED)'!O66</f>
        <v>Big 12</v>
      </c>
      <c r="D66" s="12" t="n">
        <f aca="false">'Layer A — raw data (SOURCED)'!B66</f>
        <v>4.5</v>
      </c>
      <c r="E66" s="12" t="n">
        <f aca="false">'Layer A — raw data (SOURCED)'!C66</f>
        <v>65</v>
      </c>
      <c r="F66" s="12" t="n">
        <f aca="false">'Layer A — raw data (SOURCED)'!D66</f>
        <v>0.9</v>
      </c>
      <c r="G66" s="12" t="n">
        <f aca="false">'Layer A — raw data (SOURCED)'!E66</f>
        <v>55</v>
      </c>
      <c r="H66" s="12" t="n">
        <f aca="false">'Layer A — raw data (SOURCED)'!H66</f>
        <v>11</v>
      </c>
      <c r="I66" s="12" t="n">
        <f aca="false">'Layer A — raw data (SOURCED)'!K66</f>
        <v>0</v>
      </c>
      <c r="J66" s="12" t="str">
        <f aca="false">'Layer A — raw data (SOURCED)'!L66</f>
        <v/>
      </c>
      <c r="K66" s="13" t="str">
        <f aca="false">IFERROR(INDEX('Layer B — pod writeups'!$B:$B,MATCH('Layer A — raw data (SOURCED)'!$A66,'Layer B — pod writeups'!$A:$A,0)),"")</f>
        <v/>
      </c>
      <c r="L66" s="13" t="str">
        <f aca="false">IFERROR(textjoin(" | ",TRUE(),IF(INDEX('Layer B — pod writeups'!$C:$C,MATCH('Layer A — raw data (SOURCED)'!$A66,'Layer B — pod writeups'!$A:$A,0))="","","HC "&amp;INDEX('Layer B — pod writeups'!$C:$C,MATCH('Layer A — raw data (SOURCED)'!$A66,'Layer B — pod writeups'!$A:$A,0))),IF(INDEX('Layer B — pod writeups'!$D:$D,MATCH('Layer A — raw data (SOURCED)'!$A66,'Layer B — pod writeups'!$A:$A,0))="","","OC "&amp;INDEX('Layer B — pod writeups'!$D:$D,MATCH('Layer A — raw data (SOURCED)'!$A66,'Layer B — pod writeups'!$A:$A,0))),IF(INDEX('Layer B — pod writeups'!$E:$E,MATCH('Layer A — raw data (SOURCED)'!$A66,'Layer B — pod writeups'!$A:$A,0))="","","DC "&amp;INDEX('Layer B — pod writeups'!$E:$E,MATCH('Layer A — raw data (SOURCED)'!$A66,'Layer B — pod writeups'!$A:$A,0)))),"")</f>
        <v/>
      </c>
      <c r="M66" s="12" t="str">
        <f aca="false">IFERROR(INDEX('Layer B — pod writeups'!$F:$F,MATCH('Layer A — raw data (SOURCED)'!$A66,'Layer B — pod writeups'!$A:$A,0)),"")</f>
        <v/>
      </c>
      <c r="N66" s="12" t="str">
        <f aca="false">IFERROR(INDEX('Layer B — pod writeups'!$K:$K,MATCH('Layer A — raw data (SOURCED)'!$A66,'Layer B — pod writeups'!$A:$A,0)),"")</f>
        <v/>
      </c>
      <c r="O66" s="12" t="str">
        <f aca="false">IFERROR(textjoin(" ",TRUE(),IF(INDEX('Layer B — pod writeups'!$G:$G,MATCH('Layer A — raw data (SOURCED)'!$A66,'Layer B — pod writeups'!$A:$A,0))="Y","DH",""),IF(INDEX('Layer B — pod writeups'!$H:$H,MATCH('Layer A — raw data (SOURCED)'!$A66,'Layer B — pod writeups'!$A:$A,0))="Y","FADE",""),IF(INDEX('Layer B — pod writeups'!$I:$I,MATCH('Layer A — raw data (SOURCED)'!$A66,'Layer B — pod writeups'!$A:$A,0))="Y","SPLIT",""),IF(INDEX('Layer B — pod writeups'!$J:$J,MATCH('Layer A — raw data (SOURCED)'!$A66,'Layer B — pod writeups'!$A:$A,0))="Y","VAR","")),"")</f>
        <v/>
      </c>
      <c r="P66" s="13" t="str">
        <f aca="false">IFERROR(INDEX('Layer B — pod writeups'!$L:$L,MATCH('Layer A — raw data (SOURCED)'!$A66,'Layer B — pod writeups'!$A:$A,0)),"")</f>
        <v/>
      </c>
      <c r="Q66" s="13" t="str">
        <f aca="false">IFERROR(INDEX('Layer B — pod writeups'!$N:$N,MATCH('Layer A — raw data (SOURCED)'!$A66,'Layer B — pod writeups'!$A:$A,0)),"")</f>
        <v/>
      </c>
    </row>
    <row r="67" customFormat="false" ht="15" hidden="false" customHeight="true" outlineLevel="0" collapsed="false">
      <c r="A67" s="12" t="str">
        <f aca="false">'Layer A — raw data (SOURCED)'!O67</f>
        <v>Big 12</v>
      </c>
      <c r="B67" s="12" t="str">
        <f aca="false">'Layer A — raw data (SOURCED)'!A67</f>
        <v>West Virginia</v>
      </c>
      <c r="C67" s="13" t="str">
        <f aca="false">'Layer A — raw data (SOURCED)'!O67</f>
        <v>Big 12</v>
      </c>
      <c r="D67" s="12" t="n">
        <f aca="false">'Layer A — raw data (SOURCED)'!B67</f>
        <v>5.5</v>
      </c>
      <c r="E67" s="12" t="n">
        <f aca="false">'Layer A — raw data (SOURCED)'!C67</f>
        <v>66</v>
      </c>
      <c r="F67" s="12" t="n">
        <f aca="false">'Layer A — raw data (SOURCED)'!D67</f>
        <v>0.8</v>
      </c>
      <c r="G67" s="12" t="n">
        <f aca="false">'Layer A — raw data (SOURCED)'!E67</f>
        <v>52</v>
      </c>
      <c r="H67" s="12" t="n">
        <f aca="false">'Layer A — raw data (SOURCED)'!H67</f>
        <v>3</v>
      </c>
      <c r="I67" s="12" t="n">
        <f aca="false">'Layer A — raw data (SOURCED)'!K67</f>
        <v>0</v>
      </c>
      <c r="J67" s="12" t="str">
        <f aca="false">'Layer A — raw data (SOURCED)'!L67</f>
        <v/>
      </c>
      <c r="K67" s="13" t="str">
        <f aca="false">IFERROR(INDEX('Layer B — pod writeups'!$B:$B,MATCH('Layer A — raw data (SOURCED)'!$A67,'Layer B — pod writeups'!$A:$A,0)),"")</f>
        <v/>
      </c>
      <c r="L67" s="13" t="str">
        <f aca="false">IFERROR(textjoin(" | ",TRUE(),IF(INDEX('Layer B — pod writeups'!$C:$C,MATCH('Layer A — raw data (SOURCED)'!$A67,'Layer B — pod writeups'!$A:$A,0))="","","HC "&amp;INDEX('Layer B — pod writeups'!$C:$C,MATCH('Layer A — raw data (SOURCED)'!$A67,'Layer B — pod writeups'!$A:$A,0))),IF(INDEX('Layer B — pod writeups'!$D:$D,MATCH('Layer A — raw data (SOURCED)'!$A67,'Layer B — pod writeups'!$A:$A,0))="","","OC "&amp;INDEX('Layer B — pod writeups'!$D:$D,MATCH('Layer A — raw data (SOURCED)'!$A67,'Layer B — pod writeups'!$A:$A,0))),IF(INDEX('Layer B — pod writeups'!$E:$E,MATCH('Layer A — raw data (SOURCED)'!$A67,'Layer B — pod writeups'!$A:$A,0))="","","DC "&amp;INDEX('Layer B — pod writeups'!$E:$E,MATCH('Layer A — raw data (SOURCED)'!$A67,'Layer B — pod writeups'!$A:$A,0)))),"")</f>
        <v/>
      </c>
      <c r="M67" s="12" t="str">
        <f aca="false">IFERROR(INDEX('Layer B — pod writeups'!$F:$F,MATCH('Layer A — raw data (SOURCED)'!$A67,'Layer B — pod writeups'!$A:$A,0)),"")</f>
        <v/>
      </c>
      <c r="N67" s="12" t="str">
        <f aca="false">IFERROR(INDEX('Layer B — pod writeups'!$K:$K,MATCH('Layer A — raw data (SOURCED)'!$A67,'Layer B — pod writeups'!$A:$A,0)),"")</f>
        <v/>
      </c>
      <c r="O67" s="12" t="str">
        <f aca="false">IFERROR(textjoin(" ",TRUE(),IF(INDEX('Layer B — pod writeups'!$G:$G,MATCH('Layer A — raw data (SOURCED)'!$A67,'Layer B — pod writeups'!$A:$A,0))="Y","DH",""),IF(INDEX('Layer B — pod writeups'!$H:$H,MATCH('Layer A — raw data (SOURCED)'!$A67,'Layer B — pod writeups'!$A:$A,0))="Y","FADE",""),IF(INDEX('Layer B — pod writeups'!$I:$I,MATCH('Layer A — raw data (SOURCED)'!$A67,'Layer B — pod writeups'!$A:$A,0))="Y","SPLIT",""),IF(INDEX('Layer B — pod writeups'!$J:$J,MATCH('Layer A — raw data (SOURCED)'!$A67,'Layer B — pod writeups'!$A:$A,0))="Y","VAR","")),"")</f>
        <v/>
      </c>
      <c r="P67" s="13" t="str">
        <f aca="false">IFERROR(INDEX('Layer B — pod writeups'!$L:$L,MATCH('Layer A — raw data (SOURCED)'!$A67,'Layer B — pod writeups'!$A:$A,0)),"")</f>
        <v/>
      </c>
      <c r="Q67" s="13" t="str">
        <f aca="false">IFERROR(INDEX('Layer B — pod writeups'!$N:$N,MATCH('Layer A — raw data (SOURCED)'!$A67,'Layer B — pod writeups'!$A:$A,0)),"")</f>
        <v/>
      </c>
    </row>
    <row r="68" customFormat="false" ht="23.25" hidden="false" customHeight="true" outlineLevel="0" collapsed="false">
      <c r="A68" s="12" t="str">
        <f aca="false">'Layer A — raw data (SOURCED)'!O68</f>
        <v>Pac12</v>
      </c>
      <c r="B68" s="12" t="str">
        <f aca="false">'Layer A — raw data (SOURCED)'!A68</f>
        <v>Michigan State</v>
      </c>
      <c r="C68" s="13" t="s">
        <v>36</v>
      </c>
      <c r="D68" s="12" t="n">
        <f aca="false">'Layer A — raw data (SOURCED)'!B68</f>
        <v>4.5</v>
      </c>
      <c r="E68" s="12" t="n">
        <f aca="false">'Layer A — raw data (SOURCED)'!C68</f>
        <v>67</v>
      </c>
      <c r="F68" s="12" t="n">
        <f aca="false">'Layer A — raw data (SOURCED)'!D68</f>
        <v>0.4</v>
      </c>
      <c r="G68" s="12" t="n">
        <f aca="false">'Layer A — raw data (SOURCED)'!E68</f>
        <v>46</v>
      </c>
      <c r="H68" s="12" t="n">
        <f aca="false">'Layer A — raw data (SOURCED)'!H68</f>
        <v>-3.5</v>
      </c>
      <c r="I68" s="12" t="n">
        <f aca="false">'Layer A — raw data (SOURCED)'!K68</f>
        <v>0</v>
      </c>
      <c r="J68" s="12" t="str">
        <f aca="false">'Layer A — raw data (SOURCED)'!L68</f>
        <v/>
      </c>
      <c r="K68" s="13" t="n">
        <f aca="false">IFERROR(INDEX('Layer B — pod writeups'!$B:$B,MATCH('Layer A — raw data (SOURCED)'!$A68,'Layer B — pod writeups'!$A:$A,0)),"")</f>
        <v>0</v>
      </c>
      <c r="L68" s="13" t="str">
        <f aca="false">IFERROR(textjoin(" | ",TRUE(),IF(INDEX('Layer B — pod writeups'!$C:$C,MATCH('Layer A — raw data (SOURCED)'!$A68,'Layer B — pod writeups'!$A:$A,0))="","","HC "&amp;INDEX('Layer B — pod writeups'!$C:$C,MATCH('Layer A — raw data (SOURCED)'!$A68,'Layer B — pod writeups'!$A:$A,0))),IF(INDEX('Layer B — pod writeups'!$D:$D,MATCH('Layer A — raw data (SOURCED)'!$A68,'Layer B — pod writeups'!$A:$A,0))="","","OC "&amp;INDEX('Layer B — pod writeups'!$D:$D,MATCH('Layer A — raw data (SOURCED)'!$A68,'Layer B — pod writeups'!$A:$A,0))),IF(INDEX('Layer B — pod writeups'!$E:$E,MATCH('Layer A — raw data (SOURCED)'!$A68,'Layer B — pod writeups'!$A:$A,0))="","","DC "&amp;INDEX('Layer B — pod writeups'!$E:$E,MATCH('Layer A — raw data (SOURCED)'!$A68,'Layer B — pod writeups'!$A:$A,0)))),"")</f>
        <v/>
      </c>
      <c r="M68" s="12" t="n">
        <f aca="false">IFERROR(INDEX('Layer B — pod writeups'!$F:$F,MATCH('Layer A — raw data (SOURCED)'!$A68,'Layer B — pod writeups'!$A:$A,0)),"")</f>
        <v>0</v>
      </c>
      <c r="N68" s="12" t="n">
        <f aca="false">IFERROR(INDEX('Layer B — pod writeups'!$K:$K,MATCH('Layer A — raw data (SOURCED)'!$A68,'Layer B — pod writeups'!$A:$A,0)),"")</f>
        <v>0</v>
      </c>
      <c r="O68" s="12" t="str">
        <f aca="false">IFERROR(textjoin(" ",TRUE(),IF(INDEX('Layer B — pod writeups'!$G:$G,MATCH('Layer A — raw data (SOURCED)'!$A68,'Layer B — pod writeups'!$A:$A,0))="Y","DH",""),IF(INDEX('Layer B — pod writeups'!$H:$H,MATCH('Layer A — raw data (SOURCED)'!$A68,'Layer B — pod writeups'!$A:$A,0))="Y","FADE",""),IF(INDEX('Layer B — pod writeups'!$I:$I,MATCH('Layer A — raw data (SOURCED)'!$A68,'Layer B — pod writeups'!$A:$A,0))="Y","SPLIT",""),IF(INDEX('Layer B — pod writeups'!$J:$J,MATCH('Layer A — raw data (SOURCED)'!$A68,'Layer B — pod writeups'!$A:$A,0))="Y","VAR","")),"")</f>
        <v/>
      </c>
      <c r="P68" s="13" t="str">
        <f aca="false">IFERROR(INDEX('Layer B — pod writeups'!$L:$L,MATCH('Layer A — raw data (SOURCED)'!$A68,'Layer B — pod writeups'!$A:$A,0)),"")</f>
        <v>[from Big Ten pod]</v>
      </c>
      <c r="Q68" s="13" t="str">
        <f aca="false">IFERROR(INDEX('Layer B — pod writeups'!$N:$N,MATCH('Layer A — raw data (SOURCED)'!$A68,'Layer B — pod writeups'!$A:$A,0)),"")</f>
        <v>[BBOC pending — covered in Big Ten pod, not Pac-12.] Edge read: SP+ #67, low ret prod 46%, TARP -3.5.</v>
      </c>
    </row>
    <row r="69" customFormat="false" ht="15" hidden="false" customHeight="true" outlineLevel="0" collapsed="false">
      <c r="A69" s="12" t="str">
        <f aca="false">'Layer A — raw data (SOURCED)'!O69</f>
        <v>MWC</v>
      </c>
      <c r="B69" s="12" t="str">
        <f aca="false">'Layer A — raw data (SOURCED)'!A69</f>
        <v>New Mexico</v>
      </c>
      <c r="C69" s="13" t="str">
        <f aca="false">'Layer A — raw data (SOURCED)'!O69</f>
        <v>MWC</v>
      </c>
      <c r="D69" s="12" t="n">
        <f aca="false">'Layer A — raw data (SOURCED)'!B69</f>
        <v>7.5</v>
      </c>
      <c r="E69" s="12" t="n">
        <f aca="false">'Layer A — raw data (SOURCED)'!C69</f>
        <v>68</v>
      </c>
      <c r="F69" s="12" t="n">
        <f aca="false">'Layer A — raw data (SOURCED)'!D69</f>
        <v>-0.5</v>
      </c>
      <c r="G69" s="12" t="n">
        <f aca="false">'Layer A — raw data (SOURCED)'!E69</f>
        <v>63</v>
      </c>
      <c r="H69" s="12" t="n">
        <f aca="false">'Layer A — raw data (SOURCED)'!H69</f>
        <v>-1.5</v>
      </c>
      <c r="I69" s="12" t="n">
        <f aca="false">'Layer A — raw data (SOURCED)'!K69</f>
        <v>0</v>
      </c>
      <c r="J69" s="12" t="str">
        <f aca="false">'Layer A — raw data (SOURCED)'!L69</f>
        <v/>
      </c>
      <c r="K69" s="13" t="str">
        <f aca="false">IFERROR(INDEX('Layer B — pod writeups'!$B:$B,MATCH('Layer A — raw data (SOURCED)'!$A69,'Layer B — pod writeups'!$A:$A,0)),"")</f>
        <v/>
      </c>
      <c r="L69" s="13" t="str">
        <f aca="false">IFERROR(textjoin(" | ",TRUE(),IF(INDEX('Layer B — pod writeups'!$C:$C,MATCH('Layer A — raw data (SOURCED)'!$A69,'Layer B — pod writeups'!$A:$A,0))="","","HC "&amp;INDEX('Layer B — pod writeups'!$C:$C,MATCH('Layer A — raw data (SOURCED)'!$A69,'Layer B — pod writeups'!$A:$A,0))),IF(INDEX('Layer B — pod writeups'!$D:$D,MATCH('Layer A — raw data (SOURCED)'!$A69,'Layer B — pod writeups'!$A:$A,0))="","","OC "&amp;INDEX('Layer B — pod writeups'!$D:$D,MATCH('Layer A — raw data (SOURCED)'!$A69,'Layer B — pod writeups'!$A:$A,0))),IF(INDEX('Layer B — pod writeups'!$E:$E,MATCH('Layer A — raw data (SOURCED)'!$A69,'Layer B — pod writeups'!$A:$A,0))="","","DC "&amp;INDEX('Layer B — pod writeups'!$E:$E,MATCH('Layer A — raw data (SOURCED)'!$A69,'Layer B — pod writeups'!$A:$A,0)))),"")</f>
        <v/>
      </c>
      <c r="M69" s="12" t="str">
        <f aca="false">IFERROR(INDEX('Layer B — pod writeups'!$F:$F,MATCH('Layer A — raw data (SOURCED)'!$A69,'Layer B — pod writeups'!$A:$A,0)),"")</f>
        <v/>
      </c>
      <c r="N69" s="12" t="str">
        <f aca="false">IFERROR(INDEX('Layer B — pod writeups'!$K:$K,MATCH('Layer A — raw data (SOURCED)'!$A69,'Layer B — pod writeups'!$A:$A,0)),"")</f>
        <v/>
      </c>
      <c r="O69" s="12" t="str">
        <f aca="false">IFERROR(textjoin(" ",TRUE(),IF(INDEX('Layer B — pod writeups'!$G:$G,MATCH('Layer A — raw data (SOURCED)'!$A69,'Layer B — pod writeups'!$A:$A,0))="Y","DH",""),IF(INDEX('Layer B — pod writeups'!$H:$H,MATCH('Layer A — raw data (SOURCED)'!$A69,'Layer B — pod writeups'!$A:$A,0))="Y","FADE",""),IF(INDEX('Layer B — pod writeups'!$I:$I,MATCH('Layer A — raw data (SOURCED)'!$A69,'Layer B — pod writeups'!$A:$A,0))="Y","SPLIT",""),IF(INDEX('Layer B — pod writeups'!$J:$J,MATCH('Layer A — raw data (SOURCED)'!$A69,'Layer B — pod writeups'!$A:$A,0))="Y","VAR","")),"")</f>
        <v/>
      </c>
      <c r="P69" s="13" t="str">
        <f aca="false">IFERROR(INDEX('Layer B — pod writeups'!$L:$L,MATCH('Layer A — raw data (SOURCED)'!$A69,'Layer B — pod writeups'!$A:$A,0)),"")</f>
        <v/>
      </c>
      <c r="Q69" s="13" t="str">
        <f aca="false">IFERROR(INDEX('Layer B — pod writeups'!$N:$N,MATCH('Layer A — raw data (SOURCED)'!$A69,'Layer B — pod writeups'!$A:$A,0)),"")</f>
        <v/>
      </c>
    </row>
    <row r="70" customFormat="false" ht="15" hidden="false" customHeight="true" outlineLevel="0" collapsed="false">
      <c r="A70" s="12" t="str">
        <f aca="false">'Layer A — raw data (SOURCED)'!O70</f>
        <v>MWC</v>
      </c>
      <c r="B70" s="12" t="str">
        <f aca="false">'Layer A — raw data (SOURCED)'!A70</f>
        <v>Syracuse</v>
      </c>
      <c r="C70" s="13" t="s">
        <v>47</v>
      </c>
      <c r="D70" s="12" t="n">
        <f aca="false">'Layer A — raw data (SOURCED)'!B70</f>
        <v>4.5</v>
      </c>
      <c r="E70" s="12" t="n">
        <f aca="false">'Layer A — raw data (SOURCED)'!C70</f>
        <v>69</v>
      </c>
      <c r="F70" s="12" t="n">
        <f aca="false">'Layer A — raw data (SOURCED)'!D70</f>
        <v>-0.7</v>
      </c>
      <c r="G70" s="12" t="n">
        <f aca="false">'Layer A — raw data (SOURCED)'!E70</f>
        <v>62</v>
      </c>
      <c r="H70" s="12" t="n">
        <f aca="false">'Layer A — raw data (SOURCED)'!H70</f>
        <v>11</v>
      </c>
      <c r="I70" s="12" t="n">
        <f aca="false">'Layer A — raw data (SOURCED)'!K70</f>
        <v>0</v>
      </c>
      <c r="J70" s="12" t="str">
        <f aca="false">'Layer A — raw data (SOURCED)'!L70</f>
        <v/>
      </c>
      <c r="K70" s="13" t="str">
        <f aca="false">IFERROR(INDEX('Layer B — pod writeups'!$B:$B,MATCH('Layer A — raw data (SOURCED)'!$A70,'Layer B — pod writeups'!$A:$A,0)),"")</f>
        <v/>
      </c>
      <c r="L70" s="13" t="str">
        <f aca="false">IFERROR(textjoin(" | ",TRUE(),IF(INDEX('Layer B — pod writeups'!$C:$C,MATCH('Layer A — raw data (SOURCED)'!$A70,'Layer B — pod writeups'!$A:$A,0))="","","HC "&amp;INDEX('Layer B — pod writeups'!$C:$C,MATCH('Layer A — raw data (SOURCED)'!$A70,'Layer B — pod writeups'!$A:$A,0))),IF(INDEX('Layer B — pod writeups'!$D:$D,MATCH('Layer A — raw data (SOURCED)'!$A70,'Layer B — pod writeups'!$A:$A,0))="","","OC "&amp;INDEX('Layer B — pod writeups'!$D:$D,MATCH('Layer A — raw data (SOURCED)'!$A70,'Layer B — pod writeups'!$A:$A,0))),IF(INDEX('Layer B — pod writeups'!$E:$E,MATCH('Layer A — raw data (SOURCED)'!$A70,'Layer B — pod writeups'!$A:$A,0))="","","DC "&amp;INDEX('Layer B — pod writeups'!$E:$E,MATCH('Layer A — raw data (SOURCED)'!$A70,'Layer B — pod writeups'!$A:$A,0)))),"")</f>
        <v/>
      </c>
      <c r="M70" s="12" t="str">
        <f aca="false">IFERROR(INDEX('Layer B — pod writeups'!$F:$F,MATCH('Layer A — raw data (SOURCED)'!$A70,'Layer B — pod writeups'!$A:$A,0)),"")</f>
        <v/>
      </c>
      <c r="N70" s="12" t="str">
        <f aca="false">IFERROR(INDEX('Layer B — pod writeups'!$K:$K,MATCH('Layer A — raw data (SOURCED)'!$A70,'Layer B — pod writeups'!$A:$A,0)),"")</f>
        <v/>
      </c>
      <c r="O70" s="12" t="str">
        <f aca="false">IFERROR(textjoin(" ",TRUE(),IF(INDEX('Layer B — pod writeups'!$G:$G,MATCH('Layer A — raw data (SOURCED)'!$A70,'Layer B — pod writeups'!$A:$A,0))="Y","DH",""),IF(INDEX('Layer B — pod writeups'!$H:$H,MATCH('Layer A — raw data (SOURCED)'!$A70,'Layer B — pod writeups'!$A:$A,0))="Y","FADE",""),IF(INDEX('Layer B — pod writeups'!$I:$I,MATCH('Layer A — raw data (SOURCED)'!$A70,'Layer B — pod writeups'!$A:$A,0))="Y","SPLIT",""),IF(INDEX('Layer B — pod writeups'!$J:$J,MATCH('Layer A — raw data (SOURCED)'!$A70,'Layer B — pod writeups'!$A:$A,0))="Y","VAR","")),"")</f>
        <v/>
      </c>
      <c r="P70" s="13" t="str">
        <f aca="false">IFERROR(INDEX('Layer B — pod writeups'!$L:$L,MATCH('Layer A — raw data (SOURCED)'!$A70,'Layer B — pod writeups'!$A:$A,0)),"")</f>
        <v/>
      </c>
      <c r="Q70" s="13" t="str">
        <f aca="false">IFERROR(INDEX('Layer B — pod writeups'!$N:$N,MATCH('Layer A — raw data (SOURCED)'!$A70,'Layer B — pod writeups'!$A:$A,0)),"")</f>
        <v/>
      </c>
    </row>
    <row r="71" customFormat="false" ht="15" hidden="false" customHeight="true" outlineLevel="0" collapsed="false">
      <c r="A71" s="12" t="str">
        <f aca="false">'Layer A — raw data (SOURCED)'!O71</f>
        <v>AAC</v>
      </c>
      <c r="B71" s="12" t="str">
        <f aca="false">'Layer A — raw data (SOURCED)'!A71</f>
        <v>Memphis</v>
      </c>
      <c r="C71" s="13" t="str">
        <f aca="false">'Layer A — raw data (SOURCED)'!O71</f>
        <v>AAC</v>
      </c>
      <c r="D71" s="12" t="n">
        <f aca="false">'Layer A — raw data (SOURCED)'!B71</f>
        <v>7.5</v>
      </c>
      <c r="E71" s="12" t="n">
        <f aca="false">'Layer A — raw data (SOURCED)'!C71</f>
        <v>70</v>
      </c>
      <c r="F71" s="12" t="n">
        <f aca="false">'Layer A — raw data (SOURCED)'!D71</f>
        <v>-1.1</v>
      </c>
      <c r="G71" s="12" t="n">
        <f aca="false">'Layer A — raw data (SOURCED)'!E71</f>
        <v>42</v>
      </c>
      <c r="H71" s="12" t="n">
        <f aca="false">'Layer A — raw data (SOURCED)'!H71</f>
        <v>-6</v>
      </c>
      <c r="I71" s="12" t="n">
        <f aca="false">'Layer A — raw data (SOURCED)'!K71</f>
        <v>0</v>
      </c>
      <c r="J71" s="12" t="str">
        <f aca="false">'Layer A — raw data (SOURCED)'!L71</f>
        <v/>
      </c>
      <c r="K71" s="13" t="str">
        <f aca="false">IFERROR(INDEX('Layer B — pod writeups'!$B:$B,MATCH('Layer A — raw data (SOURCED)'!$A71,'Layer B — pod writeups'!$A:$A,0)),"")</f>
        <v/>
      </c>
      <c r="L71" s="13" t="str">
        <f aca="false">IFERROR(textjoin(" | ",TRUE(),IF(INDEX('Layer B — pod writeups'!$C:$C,MATCH('Layer A — raw data (SOURCED)'!$A71,'Layer B — pod writeups'!$A:$A,0))="","","HC "&amp;INDEX('Layer B — pod writeups'!$C:$C,MATCH('Layer A — raw data (SOURCED)'!$A71,'Layer B — pod writeups'!$A:$A,0))),IF(INDEX('Layer B — pod writeups'!$D:$D,MATCH('Layer A — raw data (SOURCED)'!$A71,'Layer B — pod writeups'!$A:$A,0))="","","OC "&amp;INDEX('Layer B — pod writeups'!$D:$D,MATCH('Layer A — raw data (SOURCED)'!$A71,'Layer B — pod writeups'!$A:$A,0))),IF(INDEX('Layer B — pod writeups'!$E:$E,MATCH('Layer A — raw data (SOURCED)'!$A71,'Layer B — pod writeups'!$A:$A,0))="","","DC "&amp;INDEX('Layer B — pod writeups'!$E:$E,MATCH('Layer A — raw data (SOURCED)'!$A71,'Layer B — pod writeups'!$A:$A,0)))),"")</f>
        <v/>
      </c>
      <c r="M71" s="12" t="str">
        <f aca="false">IFERROR(INDEX('Layer B — pod writeups'!$F:$F,MATCH('Layer A — raw data (SOURCED)'!$A71,'Layer B — pod writeups'!$A:$A,0)),"")</f>
        <v/>
      </c>
      <c r="N71" s="12" t="str">
        <f aca="false">IFERROR(INDEX('Layer B — pod writeups'!$K:$K,MATCH('Layer A — raw data (SOURCED)'!$A71,'Layer B — pod writeups'!$A:$A,0)),"")</f>
        <v/>
      </c>
      <c r="O71" s="12" t="str">
        <f aca="false">IFERROR(textjoin(" ",TRUE(),IF(INDEX('Layer B — pod writeups'!$G:$G,MATCH('Layer A — raw data (SOURCED)'!$A71,'Layer B — pod writeups'!$A:$A,0))="Y","DH",""),IF(INDEX('Layer B — pod writeups'!$H:$H,MATCH('Layer A — raw data (SOURCED)'!$A71,'Layer B — pod writeups'!$A:$A,0))="Y","FADE",""),IF(INDEX('Layer B — pod writeups'!$I:$I,MATCH('Layer A — raw data (SOURCED)'!$A71,'Layer B — pod writeups'!$A:$A,0))="Y","SPLIT",""),IF(INDEX('Layer B — pod writeups'!$J:$J,MATCH('Layer A — raw data (SOURCED)'!$A71,'Layer B — pod writeups'!$A:$A,0))="Y","VAR","")),"")</f>
        <v/>
      </c>
      <c r="P71" s="13" t="str">
        <f aca="false">IFERROR(INDEX('Layer B — pod writeups'!$L:$L,MATCH('Layer A — raw data (SOURCED)'!$A71,'Layer B — pod writeups'!$A:$A,0)),"")</f>
        <v/>
      </c>
      <c r="Q71" s="13" t="str">
        <f aca="false">IFERROR(INDEX('Layer B — pod writeups'!$N:$N,MATCH('Layer A — raw data (SOURCED)'!$A71,'Layer B — pod writeups'!$A:$A,0)),"")</f>
        <v/>
      </c>
    </row>
    <row r="72" customFormat="false" ht="57" hidden="false" customHeight="true" outlineLevel="0" collapsed="false">
      <c r="A72" s="12" t="str">
        <f aca="false">'Layer A — raw data (SOURCED)'!O72</f>
        <v>Pac12</v>
      </c>
      <c r="B72" s="12" t="str">
        <f aca="false">'Layer A — raw data (SOURCED)'!A72</f>
        <v>San Diego State</v>
      </c>
      <c r="C72" s="13" t="str">
        <f aca="false">'Layer A — raw data (SOURCED)'!O72</f>
        <v>Pac12</v>
      </c>
      <c r="D72" s="12" t="n">
        <f aca="false">'Layer A — raw data (SOURCED)'!B72</f>
        <v>6.5</v>
      </c>
      <c r="E72" s="12" t="n">
        <f aca="false">'Layer A — raw data (SOURCED)'!C72</f>
        <v>71</v>
      </c>
      <c r="F72" s="12" t="n">
        <f aca="false">'Layer A — raw data (SOURCED)'!D72</f>
        <v>-1.3</v>
      </c>
      <c r="G72" s="12" t="n">
        <f aca="false">'Layer A — raw data (SOURCED)'!E72</f>
        <v>59</v>
      </c>
      <c r="H72" s="12" t="n">
        <f aca="false">'Layer A — raw data (SOURCED)'!H72</f>
        <v>0</v>
      </c>
      <c r="I72" s="12" t="n">
        <f aca="false">'Layer A — raw data (SOURCED)'!K72</f>
        <v>0</v>
      </c>
      <c r="J72" s="12" t="str">
        <f aca="false">'Layer A — raw data (SOURCED)'!L72</f>
        <v/>
      </c>
      <c r="K72" s="13" t="str">
        <f aca="false">IFERROR(INDEX('Layer B — pod writeups'!$B:$B,MATCH('Layer A — raw data (SOURCED)'!$A72,'Layer B — pod writeups'!$A:$A,0)),"")</f>
        <v>Returning — Jayden Denegal (health-dep.)</v>
      </c>
      <c r="L72" s="13" t="str">
        <f aca="false">IFERROR(textjoin(" | ",TRUE(),IF(INDEX('Layer B — pod writeups'!$C:$C,MATCH('Layer A — raw data (SOURCED)'!$A72,'Layer B — pod writeups'!$A:$A,0))="","","HC "&amp;INDEX('Layer B — pod writeups'!$C:$C,MATCH('Layer A — raw data (SOURCED)'!$A72,'Layer B — pod writeups'!$A:$A,0))),IF(INDEX('Layer B — pod writeups'!$D:$D,MATCH('Layer A — raw data (SOURCED)'!$A72,'Layer B — pod writeups'!$A:$A,0))="","","OC "&amp;INDEX('Layer B — pod writeups'!$D:$D,MATCH('Layer A — raw data (SOURCED)'!$A72,'Layer B — pod writeups'!$A:$A,0))),IF(INDEX('Layer B — pod writeups'!$E:$E,MATCH('Layer A — raw data (SOURCED)'!$A72,'Layer B — pod writeups'!$A:$A,0))="","","DC "&amp;INDEX('Layer B — pod writeups'!$E:$E,MATCH('Layer A — raw data (SOURCED)'!$A72,'Layer B — pod writeups'!$A:$A,0)))),"")</f>
        <v/>
      </c>
      <c r="M72" s="12" t="str">
        <f aca="false">IFERROR(INDEX('Layer B — pod writeups'!$F:$F,MATCH('Layer A — raw data (SOURCED)'!$A72,'Layer B — pod writeups'!$A:$A,0)),"")</f>
        <v>No Play</v>
      </c>
      <c r="N72" s="12" t="str">
        <f aca="false">IFERROR(INDEX('Layer B — pod writeups'!$K:$K,MATCH('Layer A — raw data (SOURCED)'!$A72,'Layer B — pod writeups'!$A:$A,0)),"")</f>
        <v>Neutral</v>
      </c>
      <c r="O72" s="12" t="str">
        <f aca="false">IFERROR(textjoin(" ",TRUE(),IF(INDEX('Layer B — pod writeups'!$G:$G,MATCH('Layer A — raw data (SOURCED)'!$A72,'Layer B — pod writeups'!$A:$A,0))="Y","DH",""),IF(INDEX('Layer B — pod writeups'!$H:$H,MATCH('Layer A — raw data (SOURCED)'!$A72,'Layer B — pod writeups'!$A:$A,0))="Y","FADE",""),IF(INDEX('Layer B — pod writeups'!$I:$I,MATCH('Layer A — raw data (SOURCED)'!$A72,'Layer B — pod writeups'!$A:$A,0))="Y","SPLIT",""),IF(INDEX('Layer B — pod writeups'!$J:$J,MATCH('Layer A — raw data (SOURCED)'!$A72,'Layer B — pod writeups'!$A:$A,0))="Y","VAR","")),"")</f>
        <v/>
      </c>
      <c r="P72" s="13" t="str">
        <f aca="false">IFERROR(INDEX('Layer B — pod writeups'!$L:$L,MATCH('Layer A — raw data (SOURCED)'!$A72,'Layer B — pod writeups'!$A:$A,0)),"")</f>
        <v>Full round-robin (plays all 7 other members) — no in-conf avoids. Wk13 FLEX (projected): vs Fresno State (may not count). Non-con: Portland St, @ UCLA, James Madison, @ Toledo.</v>
      </c>
      <c r="Q72" s="13" t="str">
        <f aca="false">IFERROR(INDEX('Layer B — pod writeups'!$N:$N,MATCH('Layer A — raw data (SOURCED)'!$A72,'Layer B — pod writeups'!$A:$A,0)),"")</f>
        <v>Market/SP+ disagree sharply (mkt 6.5 vs SP+ #71). Highest returning production in the bucket (59%). QB Jayden Denegal is a deep-ball arm coming off shoulder surgery; struggles vs cover 2/3. Sumler promoted to DC. QB health is the season's swing variable.</v>
      </c>
    </row>
    <row r="73" customFormat="false" ht="15" hidden="false" customHeight="true" outlineLevel="0" collapsed="false">
      <c r="A73" s="12" t="str">
        <f aca="false">'Layer A — raw data (SOURCED)'!O73</f>
        <v>MWC</v>
      </c>
      <c r="B73" s="12" t="str">
        <f aca="false">'Layer A — raw data (SOURCED)'!A73</f>
        <v>North Dakota State</v>
      </c>
      <c r="C73" s="13" t="str">
        <f aca="false">'Layer A — raw data (SOURCED)'!O73</f>
        <v>MWC</v>
      </c>
      <c r="D73" s="12" t="n">
        <f aca="false">'Layer A — raw data (SOURCED)'!B73</f>
        <v>0</v>
      </c>
      <c r="E73" s="12" t="n">
        <f aca="false">'Layer A — raw data (SOURCED)'!C73</f>
        <v>72</v>
      </c>
      <c r="F73" s="12" t="n">
        <f aca="false">'Layer A — raw data (SOURCED)'!D73</f>
        <v>-1.4</v>
      </c>
      <c r="G73" s="12" t="n">
        <f aca="false">'Layer A — raw data (SOURCED)'!E73</f>
        <v>52</v>
      </c>
      <c r="H73" s="12" t="n">
        <f aca="false">'Layer A — raw data (SOURCED)'!H73</f>
        <v>0</v>
      </c>
      <c r="I73" s="12" t="n">
        <f aca="false">'Layer A — raw data (SOURCED)'!K73</f>
        <v>0</v>
      </c>
      <c r="J73" s="12" t="str">
        <f aca="false">'Layer A — raw data (SOURCED)'!L73</f>
        <v/>
      </c>
      <c r="K73" s="13" t="str">
        <f aca="false">IFERROR(INDEX('Layer B — pod writeups'!$B:$B,MATCH('Layer A — raw data (SOURCED)'!$A73,'Layer B — pod writeups'!$A:$A,0)),"")</f>
        <v/>
      </c>
      <c r="L73" s="13" t="str">
        <f aca="false">IFERROR(textjoin(" | ",TRUE(),IF(INDEX('Layer B — pod writeups'!$C:$C,MATCH('Layer A — raw data (SOURCED)'!$A73,'Layer B — pod writeups'!$A:$A,0))="","","HC "&amp;INDEX('Layer B — pod writeups'!$C:$C,MATCH('Layer A — raw data (SOURCED)'!$A73,'Layer B — pod writeups'!$A:$A,0))),IF(INDEX('Layer B — pod writeups'!$D:$D,MATCH('Layer A — raw data (SOURCED)'!$A73,'Layer B — pod writeups'!$A:$A,0))="","","OC "&amp;INDEX('Layer B — pod writeups'!$D:$D,MATCH('Layer A — raw data (SOURCED)'!$A73,'Layer B — pod writeups'!$A:$A,0))),IF(INDEX('Layer B — pod writeups'!$E:$E,MATCH('Layer A — raw data (SOURCED)'!$A73,'Layer B — pod writeups'!$A:$A,0))="","","DC "&amp;INDEX('Layer B — pod writeups'!$E:$E,MATCH('Layer A — raw data (SOURCED)'!$A73,'Layer B — pod writeups'!$A:$A,0)))),"")</f>
        <v/>
      </c>
      <c r="M73" s="12" t="str">
        <f aca="false">IFERROR(INDEX('Layer B — pod writeups'!$F:$F,MATCH('Layer A — raw data (SOURCED)'!$A73,'Layer B — pod writeups'!$A:$A,0)),"")</f>
        <v/>
      </c>
      <c r="N73" s="12" t="str">
        <f aca="false">IFERROR(INDEX('Layer B — pod writeups'!$K:$K,MATCH('Layer A — raw data (SOURCED)'!$A73,'Layer B — pod writeups'!$A:$A,0)),"")</f>
        <v/>
      </c>
      <c r="O73" s="12" t="str">
        <f aca="false">IFERROR(textjoin(" ",TRUE(),IF(INDEX('Layer B — pod writeups'!$G:$G,MATCH('Layer A — raw data (SOURCED)'!$A73,'Layer B — pod writeups'!$A:$A,0))="Y","DH",""),IF(INDEX('Layer B — pod writeups'!$H:$H,MATCH('Layer A — raw data (SOURCED)'!$A73,'Layer B — pod writeups'!$A:$A,0))="Y","FADE",""),IF(INDEX('Layer B — pod writeups'!$I:$I,MATCH('Layer A — raw data (SOURCED)'!$A73,'Layer B — pod writeups'!$A:$A,0))="Y","SPLIT",""),IF(INDEX('Layer B — pod writeups'!$J:$J,MATCH('Layer A — raw data (SOURCED)'!$A73,'Layer B — pod writeups'!$A:$A,0))="Y","VAR","")),"")</f>
        <v/>
      </c>
      <c r="P73" s="13" t="str">
        <f aca="false">IFERROR(INDEX('Layer B — pod writeups'!$L:$L,MATCH('Layer A — raw data (SOURCED)'!$A73,'Layer B — pod writeups'!$A:$A,0)),"")</f>
        <v/>
      </c>
      <c r="Q73" s="13" t="str">
        <f aca="false">IFERROR(INDEX('Layer B — pod writeups'!$N:$N,MATCH('Layer A — raw data (SOURCED)'!$A73,'Layer B — pod writeups'!$A:$A,0)),"")</f>
        <v/>
      </c>
    </row>
    <row r="74" customFormat="false" ht="15" hidden="false" customHeight="true" outlineLevel="0" collapsed="false">
      <c r="A74" s="12" t="str">
        <f aca="false">'Layer A — raw data (SOURCED)'!O74</f>
        <v>AAC</v>
      </c>
      <c r="B74" s="12" t="str">
        <f aca="false">'Layer A — raw data (SOURCED)'!A74</f>
        <v>UTSA</v>
      </c>
      <c r="C74" s="13" t="str">
        <f aca="false">'Layer A — raw data (SOURCED)'!O74</f>
        <v>AAC</v>
      </c>
      <c r="D74" s="12" t="n">
        <f aca="false">'Layer A — raw data (SOURCED)'!B74</f>
        <v>7.5</v>
      </c>
      <c r="E74" s="12" t="n">
        <f aca="false">'Layer A — raw data (SOURCED)'!C74</f>
        <v>73</v>
      </c>
      <c r="F74" s="12" t="n">
        <f aca="false">'Layer A — raw data (SOURCED)'!D74</f>
        <v>-1.5</v>
      </c>
      <c r="G74" s="12" t="n">
        <f aca="false">'Layer A — raw data (SOURCED)'!E74</f>
        <v>54</v>
      </c>
      <c r="H74" s="12" t="n">
        <f aca="false">'Layer A — raw data (SOURCED)'!H74</f>
        <v>3</v>
      </c>
      <c r="I74" s="12" t="n">
        <f aca="false">'Layer A — raw data (SOURCED)'!K74</f>
        <v>0</v>
      </c>
      <c r="J74" s="12" t="str">
        <f aca="false">'Layer A — raw data (SOURCED)'!L74</f>
        <v/>
      </c>
      <c r="K74" s="13" t="str">
        <f aca="false">IFERROR(INDEX('Layer B — pod writeups'!$B:$B,MATCH('Layer A — raw data (SOURCED)'!$A74,'Layer B — pod writeups'!$A:$A,0)),"")</f>
        <v/>
      </c>
      <c r="L74" s="13" t="str">
        <f aca="false">IFERROR(textjoin(" | ",TRUE(),IF(INDEX('Layer B — pod writeups'!$C:$C,MATCH('Layer A — raw data (SOURCED)'!$A74,'Layer B — pod writeups'!$A:$A,0))="","","HC "&amp;INDEX('Layer B — pod writeups'!$C:$C,MATCH('Layer A — raw data (SOURCED)'!$A74,'Layer B — pod writeups'!$A:$A,0))),IF(INDEX('Layer B — pod writeups'!$D:$D,MATCH('Layer A — raw data (SOURCED)'!$A74,'Layer B — pod writeups'!$A:$A,0))="","","OC "&amp;INDEX('Layer B — pod writeups'!$D:$D,MATCH('Layer A — raw data (SOURCED)'!$A74,'Layer B — pod writeups'!$A:$A,0))),IF(INDEX('Layer B — pod writeups'!$E:$E,MATCH('Layer A — raw data (SOURCED)'!$A74,'Layer B — pod writeups'!$A:$A,0))="","","DC "&amp;INDEX('Layer B — pod writeups'!$E:$E,MATCH('Layer A — raw data (SOURCED)'!$A74,'Layer B — pod writeups'!$A:$A,0)))),"")</f>
        <v/>
      </c>
      <c r="M74" s="12" t="str">
        <f aca="false">IFERROR(INDEX('Layer B — pod writeups'!$F:$F,MATCH('Layer A — raw data (SOURCED)'!$A74,'Layer B — pod writeups'!$A:$A,0)),"")</f>
        <v/>
      </c>
      <c r="N74" s="12" t="str">
        <f aca="false">IFERROR(INDEX('Layer B — pod writeups'!$K:$K,MATCH('Layer A — raw data (SOURCED)'!$A74,'Layer B — pod writeups'!$A:$A,0)),"")</f>
        <v/>
      </c>
      <c r="O74" s="12" t="str">
        <f aca="false">IFERROR(textjoin(" ",TRUE(),IF(INDEX('Layer B — pod writeups'!$G:$G,MATCH('Layer A — raw data (SOURCED)'!$A74,'Layer B — pod writeups'!$A:$A,0))="Y","DH",""),IF(INDEX('Layer B — pod writeups'!$H:$H,MATCH('Layer A — raw data (SOURCED)'!$A74,'Layer B — pod writeups'!$A:$A,0))="Y","FADE",""),IF(INDEX('Layer B — pod writeups'!$I:$I,MATCH('Layer A — raw data (SOURCED)'!$A74,'Layer B — pod writeups'!$A:$A,0))="Y","SPLIT",""),IF(INDEX('Layer B — pod writeups'!$J:$J,MATCH('Layer A — raw data (SOURCED)'!$A74,'Layer B — pod writeups'!$A:$A,0))="Y","VAR","")),"")</f>
        <v/>
      </c>
      <c r="P74" s="13" t="str">
        <f aca="false">IFERROR(INDEX('Layer B — pod writeups'!$L:$L,MATCH('Layer A — raw data (SOURCED)'!$A74,'Layer B — pod writeups'!$A:$A,0)),"")</f>
        <v/>
      </c>
      <c r="Q74" s="13" t="str">
        <f aca="false">IFERROR(INDEX('Layer B — pod writeups'!$N:$N,MATCH('Layer A — raw data (SOURCED)'!$A74,'Layer B — pod writeups'!$A:$A,0)),"")</f>
        <v/>
      </c>
    </row>
    <row r="75" customFormat="false" ht="15" hidden="false" customHeight="true" outlineLevel="0" collapsed="false">
      <c r="A75" s="12" t="str">
        <f aca="false">'Layer A — raw data (SOURCED)'!O75</f>
        <v>MWC</v>
      </c>
      <c r="B75" s="12" t="str">
        <f aca="false">'Layer A — raw data (SOURCED)'!A75</f>
        <v>Boston College</v>
      </c>
      <c r="C75" s="13" t="s">
        <v>47</v>
      </c>
      <c r="D75" s="12" t="n">
        <f aca="false">'Layer A — raw data (SOURCED)'!B75</f>
        <v>3.5</v>
      </c>
      <c r="E75" s="12" t="n">
        <f aca="false">'Layer A — raw data (SOURCED)'!C75</f>
        <v>74</v>
      </c>
      <c r="F75" s="12" t="n">
        <f aca="false">'Layer A — raw data (SOURCED)'!D75</f>
        <v>-1.5</v>
      </c>
      <c r="G75" s="12" t="n">
        <f aca="false">'Layer A — raw data (SOURCED)'!E75</f>
        <v>50</v>
      </c>
      <c r="H75" s="12" t="n">
        <f aca="false">'Layer A — raw data (SOURCED)'!H75</f>
        <v>-0.5</v>
      </c>
      <c r="I75" s="12" t="n">
        <f aca="false">'Layer A — raw data (SOURCED)'!K75</f>
        <v>0</v>
      </c>
      <c r="J75" s="12" t="str">
        <f aca="false">'Layer A — raw data (SOURCED)'!L75</f>
        <v/>
      </c>
      <c r="K75" s="13" t="str">
        <f aca="false">IFERROR(INDEX('Layer B — pod writeups'!$B:$B,MATCH('Layer A — raw data (SOURCED)'!$A75,'Layer B — pod writeups'!$A:$A,0)),"")</f>
        <v/>
      </c>
      <c r="L75" s="13" t="str">
        <f aca="false">IFERROR(textjoin(" | ",TRUE(),IF(INDEX('Layer B — pod writeups'!$C:$C,MATCH('Layer A — raw data (SOURCED)'!$A75,'Layer B — pod writeups'!$A:$A,0))="","","HC "&amp;INDEX('Layer B — pod writeups'!$C:$C,MATCH('Layer A — raw data (SOURCED)'!$A75,'Layer B — pod writeups'!$A:$A,0))),IF(INDEX('Layer B — pod writeups'!$D:$D,MATCH('Layer A — raw data (SOURCED)'!$A75,'Layer B — pod writeups'!$A:$A,0))="","","OC "&amp;INDEX('Layer B — pod writeups'!$D:$D,MATCH('Layer A — raw data (SOURCED)'!$A75,'Layer B — pod writeups'!$A:$A,0))),IF(INDEX('Layer B — pod writeups'!$E:$E,MATCH('Layer A — raw data (SOURCED)'!$A75,'Layer B — pod writeups'!$A:$A,0))="","","DC "&amp;INDEX('Layer B — pod writeups'!$E:$E,MATCH('Layer A — raw data (SOURCED)'!$A75,'Layer B — pod writeups'!$A:$A,0)))),"")</f>
        <v/>
      </c>
      <c r="M75" s="12" t="str">
        <f aca="false">IFERROR(INDEX('Layer B — pod writeups'!$F:$F,MATCH('Layer A — raw data (SOURCED)'!$A75,'Layer B — pod writeups'!$A:$A,0)),"")</f>
        <v/>
      </c>
      <c r="N75" s="12" t="str">
        <f aca="false">IFERROR(INDEX('Layer B — pod writeups'!$K:$K,MATCH('Layer A — raw data (SOURCED)'!$A75,'Layer B — pod writeups'!$A:$A,0)),"")</f>
        <v/>
      </c>
      <c r="O75" s="12" t="str">
        <f aca="false">IFERROR(textjoin(" ",TRUE(),IF(INDEX('Layer B — pod writeups'!$G:$G,MATCH('Layer A — raw data (SOURCED)'!$A75,'Layer B — pod writeups'!$A:$A,0))="Y","DH",""),IF(INDEX('Layer B — pod writeups'!$H:$H,MATCH('Layer A — raw data (SOURCED)'!$A75,'Layer B — pod writeups'!$A:$A,0))="Y","FADE",""),IF(INDEX('Layer B — pod writeups'!$I:$I,MATCH('Layer A — raw data (SOURCED)'!$A75,'Layer B — pod writeups'!$A:$A,0))="Y","SPLIT",""),IF(INDEX('Layer B — pod writeups'!$J:$J,MATCH('Layer A — raw data (SOURCED)'!$A75,'Layer B — pod writeups'!$A:$A,0))="Y","VAR","")),"")</f>
        <v/>
      </c>
      <c r="P75" s="13" t="str">
        <f aca="false">IFERROR(INDEX('Layer B — pod writeups'!$L:$L,MATCH('Layer A — raw data (SOURCED)'!$A75,'Layer B — pod writeups'!$A:$A,0)),"")</f>
        <v/>
      </c>
      <c r="Q75" s="13" t="str">
        <f aca="false">IFERROR(INDEX('Layer B — pod writeups'!$N:$N,MATCH('Layer A — raw data (SOURCED)'!$A75,'Layer B — pod writeups'!$A:$A,0)),"")</f>
        <v/>
      </c>
    </row>
    <row r="76" customFormat="false" ht="15" hidden="false" customHeight="true" outlineLevel="0" collapsed="false">
      <c r="A76" s="12" t="str">
        <f aca="false">'Layer A — raw data (SOURCED)'!O76</f>
        <v>ACC</v>
      </c>
      <c r="B76" s="12" t="str">
        <f aca="false">'Layer A — raw data (SOURCED)'!A76</f>
        <v>Stanford</v>
      </c>
      <c r="C76" s="13" t="str">
        <f aca="false">'Layer A — raw data (SOURCED)'!O76</f>
        <v>ACC</v>
      </c>
      <c r="D76" s="12" t="n">
        <f aca="false">'Layer A — raw data (SOURCED)'!B76</f>
        <v>3.5</v>
      </c>
      <c r="E76" s="12" t="n">
        <f aca="false">'Layer A — raw data (SOURCED)'!C76</f>
        <v>75</v>
      </c>
      <c r="F76" s="12" t="n">
        <f aca="false">'Layer A — raw data (SOURCED)'!D76</f>
        <v>-1.9</v>
      </c>
      <c r="G76" s="12" t="n">
        <f aca="false">'Layer A — raw data (SOURCED)'!E76</f>
        <v>60</v>
      </c>
      <c r="H76" s="12" t="n">
        <f aca="false">'Layer A — raw data (SOURCED)'!H76</f>
        <v>-3.5</v>
      </c>
      <c r="I76" s="12" t="n">
        <f aca="false">'Layer A — raw data (SOURCED)'!K76</f>
        <v>0</v>
      </c>
      <c r="J76" s="12" t="str">
        <f aca="false">'Layer A — raw data (SOURCED)'!L76</f>
        <v/>
      </c>
      <c r="K76" s="13" t="str">
        <f aca="false">IFERROR(INDEX('Layer B — pod writeups'!$B:$B,MATCH('Layer A — raw data (SOURCED)'!$A76,'Layer B — pod writeups'!$A:$A,0)),"")</f>
        <v/>
      </c>
      <c r="L76" s="13" t="str">
        <f aca="false">IFERROR(textjoin(" | ",TRUE(),IF(INDEX('Layer B — pod writeups'!$C:$C,MATCH('Layer A — raw data (SOURCED)'!$A76,'Layer B — pod writeups'!$A:$A,0))="","","HC "&amp;INDEX('Layer B — pod writeups'!$C:$C,MATCH('Layer A — raw data (SOURCED)'!$A76,'Layer B — pod writeups'!$A:$A,0))),IF(INDEX('Layer B — pod writeups'!$D:$D,MATCH('Layer A — raw data (SOURCED)'!$A76,'Layer B — pod writeups'!$A:$A,0))="","","OC "&amp;INDEX('Layer B — pod writeups'!$D:$D,MATCH('Layer A — raw data (SOURCED)'!$A76,'Layer B — pod writeups'!$A:$A,0))),IF(INDEX('Layer B — pod writeups'!$E:$E,MATCH('Layer A — raw data (SOURCED)'!$A76,'Layer B — pod writeups'!$A:$A,0))="","","DC "&amp;INDEX('Layer B — pod writeups'!$E:$E,MATCH('Layer A — raw data (SOURCED)'!$A76,'Layer B — pod writeups'!$A:$A,0)))),"")</f>
        <v/>
      </c>
      <c r="M76" s="12" t="str">
        <f aca="false">IFERROR(INDEX('Layer B — pod writeups'!$F:$F,MATCH('Layer A — raw data (SOURCED)'!$A76,'Layer B — pod writeups'!$A:$A,0)),"")</f>
        <v/>
      </c>
      <c r="N76" s="12" t="str">
        <f aca="false">IFERROR(INDEX('Layer B — pod writeups'!$K:$K,MATCH('Layer A — raw data (SOURCED)'!$A76,'Layer B — pod writeups'!$A:$A,0)),"")</f>
        <v/>
      </c>
      <c r="O76" s="12" t="str">
        <f aca="false">IFERROR(textjoin(" ",TRUE(),IF(INDEX('Layer B — pod writeups'!$G:$G,MATCH('Layer A — raw data (SOURCED)'!$A76,'Layer B — pod writeups'!$A:$A,0))="Y","DH",""),IF(INDEX('Layer B — pod writeups'!$H:$H,MATCH('Layer A — raw data (SOURCED)'!$A76,'Layer B — pod writeups'!$A:$A,0))="Y","FADE",""),IF(INDEX('Layer B — pod writeups'!$I:$I,MATCH('Layer A — raw data (SOURCED)'!$A76,'Layer B — pod writeups'!$A:$A,0))="Y","SPLIT",""),IF(INDEX('Layer B — pod writeups'!$J:$J,MATCH('Layer A — raw data (SOURCED)'!$A76,'Layer B — pod writeups'!$A:$A,0))="Y","VAR","")),"")</f>
        <v/>
      </c>
      <c r="P76" s="13" t="str">
        <f aca="false">IFERROR(INDEX('Layer B — pod writeups'!$L:$L,MATCH('Layer A — raw data (SOURCED)'!$A76,'Layer B — pod writeups'!$A:$A,0)),"")</f>
        <v/>
      </c>
      <c r="Q76" s="13" t="str">
        <f aca="false">IFERROR(INDEX('Layer B — pod writeups'!$N:$N,MATCH('Layer A — raw data (SOURCED)'!$A76,'Layer B — pod writeups'!$A:$A,0)),"")</f>
        <v/>
      </c>
    </row>
    <row r="77" customFormat="false" ht="15" hidden="false" customHeight="true" outlineLevel="0" collapsed="false">
      <c r="A77" s="12" t="str">
        <f aca="false">'Layer A — raw data (SOURCED)'!O77</f>
        <v>AAC</v>
      </c>
      <c r="B77" s="12" t="str">
        <f aca="false">'Layer A — raw data (SOURCED)'!A77</f>
        <v>East Carolina</v>
      </c>
      <c r="C77" s="13" t="str">
        <f aca="false">'Layer A — raw data (SOURCED)'!O77</f>
        <v>AAC</v>
      </c>
      <c r="D77" s="12" t="n">
        <f aca="false">'Layer A — raw data (SOURCED)'!B77</f>
        <v>7.5</v>
      </c>
      <c r="E77" s="12" t="n">
        <f aca="false">'Layer A — raw data (SOURCED)'!C77</f>
        <v>76</v>
      </c>
      <c r="F77" s="12" t="n">
        <f aca="false">'Layer A — raw data (SOURCED)'!D77</f>
        <v>-2</v>
      </c>
      <c r="G77" s="12" t="n">
        <f aca="false">'Layer A — raw data (SOURCED)'!E77</f>
        <v>42</v>
      </c>
      <c r="H77" s="12" t="n">
        <f aca="false">'Layer A — raw data (SOURCED)'!H77</f>
        <v>-8</v>
      </c>
      <c r="I77" s="12" t="n">
        <f aca="false">'Layer A — raw data (SOURCED)'!K77</f>
        <v>0</v>
      </c>
      <c r="J77" s="12" t="str">
        <f aca="false">'Layer A — raw data (SOURCED)'!L77</f>
        <v/>
      </c>
      <c r="K77" s="13" t="str">
        <f aca="false">IFERROR(INDEX('Layer B — pod writeups'!$B:$B,MATCH('Layer A — raw data (SOURCED)'!$A77,'Layer B — pod writeups'!$A:$A,0)),"")</f>
        <v/>
      </c>
      <c r="L77" s="13" t="str">
        <f aca="false">IFERROR(textjoin(" | ",TRUE(),IF(INDEX('Layer B — pod writeups'!$C:$C,MATCH('Layer A — raw data (SOURCED)'!$A77,'Layer B — pod writeups'!$A:$A,0))="","","HC "&amp;INDEX('Layer B — pod writeups'!$C:$C,MATCH('Layer A — raw data (SOURCED)'!$A77,'Layer B — pod writeups'!$A:$A,0))),IF(INDEX('Layer B — pod writeups'!$D:$D,MATCH('Layer A — raw data (SOURCED)'!$A77,'Layer B — pod writeups'!$A:$A,0))="","","OC "&amp;INDEX('Layer B — pod writeups'!$D:$D,MATCH('Layer A — raw data (SOURCED)'!$A77,'Layer B — pod writeups'!$A:$A,0))),IF(INDEX('Layer B — pod writeups'!$E:$E,MATCH('Layer A — raw data (SOURCED)'!$A77,'Layer B — pod writeups'!$A:$A,0))="","","DC "&amp;INDEX('Layer B — pod writeups'!$E:$E,MATCH('Layer A — raw data (SOURCED)'!$A77,'Layer B — pod writeups'!$A:$A,0)))),"")</f>
        <v/>
      </c>
      <c r="M77" s="12" t="str">
        <f aca="false">IFERROR(INDEX('Layer B — pod writeups'!$F:$F,MATCH('Layer A — raw data (SOURCED)'!$A77,'Layer B — pod writeups'!$A:$A,0)),"")</f>
        <v/>
      </c>
      <c r="N77" s="12" t="str">
        <f aca="false">IFERROR(INDEX('Layer B — pod writeups'!$K:$K,MATCH('Layer A — raw data (SOURCED)'!$A77,'Layer B — pod writeups'!$A:$A,0)),"")</f>
        <v/>
      </c>
      <c r="O77" s="12" t="str">
        <f aca="false">IFERROR(textjoin(" ",TRUE(),IF(INDEX('Layer B — pod writeups'!$G:$G,MATCH('Layer A — raw data (SOURCED)'!$A77,'Layer B — pod writeups'!$A:$A,0))="Y","DH",""),IF(INDEX('Layer B — pod writeups'!$H:$H,MATCH('Layer A — raw data (SOURCED)'!$A77,'Layer B — pod writeups'!$A:$A,0))="Y","FADE",""),IF(INDEX('Layer B — pod writeups'!$I:$I,MATCH('Layer A — raw data (SOURCED)'!$A77,'Layer B — pod writeups'!$A:$A,0))="Y","SPLIT",""),IF(INDEX('Layer B — pod writeups'!$J:$J,MATCH('Layer A — raw data (SOURCED)'!$A77,'Layer B — pod writeups'!$A:$A,0))="Y","VAR","")),"")</f>
        <v/>
      </c>
      <c r="P77" s="13" t="str">
        <f aca="false">IFERROR(INDEX('Layer B — pod writeups'!$L:$L,MATCH('Layer A — raw data (SOURCED)'!$A77,'Layer B — pod writeups'!$A:$A,0)),"")</f>
        <v/>
      </c>
      <c r="Q77" s="13" t="str">
        <f aca="false">IFERROR(INDEX('Layer B — pod writeups'!$N:$N,MATCH('Layer A — raw data (SOURCED)'!$A77,'Layer B — pod writeups'!$A:$A,0)),"")</f>
        <v/>
      </c>
    </row>
    <row r="78" customFormat="false" ht="147" hidden="false" customHeight="true" outlineLevel="0" collapsed="false">
      <c r="A78" s="12" t="str">
        <f aca="false">'Layer A — raw data (SOURCED)'!O78</f>
        <v>Sun Belt</v>
      </c>
      <c r="B78" s="12" t="str">
        <f aca="false">'Layer A — raw data (SOURCED)'!A78</f>
        <v>James Madison</v>
      </c>
      <c r="C78" s="13" t="str">
        <f aca="false">'Layer A — raw data (SOURCED)'!O78</f>
        <v>Sun Belt</v>
      </c>
      <c r="D78" s="12" t="n">
        <f aca="false">'Layer A — raw data (SOURCED)'!B78</f>
        <v>8.5</v>
      </c>
      <c r="E78" s="12" t="n">
        <f aca="false">'Layer A — raw data (SOURCED)'!C78</f>
        <v>77</v>
      </c>
      <c r="F78" s="12" t="n">
        <f aca="false">'Layer A — raw data (SOURCED)'!D78</f>
        <v>-2.1</v>
      </c>
      <c r="G78" s="12" t="n">
        <f aca="false">'Layer A — raw data (SOURCED)'!E78</f>
        <v>30</v>
      </c>
      <c r="H78" s="12" t="n">
        <f aca="false">'Layer A — raw data (SOURCED)'!H78</f>
        <v>-10</v>
      </c>
      <c r="I78" s="12" t="n">
        <f aca="false">'Layer A — raw data (SOURCED)'!K78</f>
        <v>8</v>
      </c>
      <c r="J78" s="12" t="n">
        <f aca="false">'Layer A — raw data (SOURCED)'!L78</f>
        <v>-0.5</v>
      </c>
      <c r="K78" s="13" t="str">
        <f aca="false">IFERROR(INDEX('Layer B — pod writeups'!$B:$B,MATCH('Layer A — raw data (SOURCED)'!$A78,'Layer B — pod writeups'!$A:$A,0)),"")</f>
        <v>Battle (4-way, all new) — Camden Coleman (transfer, prev. multi-yr starter at Richmond, dual-threat game-manager) / J.C. Evans (transfer, mobile, had committed to Rich Rod at Jax State) / Matthew Maiden (transfer from Memphis) / Alonza Arrington [lead: hosts split — Evans favored by some, Stuckey + Calabrese think/hope Coleman wins; incumbent Alonzo Barnett left for UCF; Davis Belfort moved to WR]</v>
      </c>
      <c r="L78" s="13" t="str">
        <f aca="false">IFERROR(textjoin(" | ",TRUE(),IF(INDEX('Layer B — pod writeups'!$C:$C,MATCH('Layer A — raw data (SOURCED)'!$A78,'Layer B — pod writeups'!$A:$A,0))="","","HC "&amp;INDEX('Layer B — pod writeups'!$C:$C,MATCH('Layer A — raw data (SOURCED)'!$A78,'Layer B — pod writeups'!$A:$A,0))),IF(INDEX('Layer B — pod writeups'!$D:$D,MATCH('Layer A — raw data (SOURCED)'!$A78,'Layer B — pod writeups'!$A:$A,0))="","","OC "&amp;INDEX('Layer B — pod writeups'!$D:$D,MATCH('Layer A — raw data (SOURCED)'!$A78,'Layer B — pod writeups'!$A:$A,0))),IF(INDEX('Layer B — pod writeups'!$E:$E,MATCH('Layer A — raw data (SOURCED)'!$A78,'Layer B — pod writeups'!$A:$A,0))="","","DC "&amp;INDEX('Layer B — pod writeups'!$E:$E,MATCH('Layer A — raw data (SOURCED)'!$A78,'Layer B — pod writeups'!$A:$A,0)))),"")</f>
        <v/>
      </c>
      <c r="M78" s="12" t="str">
        <f aca="false">IFERROR(INDEX('Layer B — pod writeups'!$F:$F,MATCH('Layer A — raw data (SOURCED)'!$A78,'Layer B — pod writeups'!$A:$A,0)),"")</f>
        <v>Lean Under</v>
      </c>
      <c r="N78" s="12" t="str">
        <f aca="false">IFERROR(INDEX('Layer B — pod writeups'!$K:$K,MATCH('Layer A — raw data (SOURCED)'!$A78,'Layer B — pod writeups'!$A:$A,0)),"")</f>
        <v>Neutral</v>
      </c>
      <c r="O78" s="12" t="str">
        <f aca="false">IFERROR(textjoin(" ",TRUE(),IF(INDEX('Layer B — pod writeups'!$G:$G,MATCH('Layer A — raw data (SOURCED)'!$A78,'Layer B — pod writeups'!$A:$A,0))="Y","DH",""),IF(INDEX('Layer B — pod writeups'!$H:$H,MATCH('Layer A — raw data (SOURCED)'!$A78,'Layer B — pod writeups'!$A:$A,0))="Y","FADE",""),IF(INDEX('Layer B — pod writeups'!$I:$I,MATCH('Layer A — raw data (SOURCED)'!$A78,'Layer B — pod writeups'!$A:$A,0))="Y","SPLIT",""),IF(INDEX('Layer B — pod writeups'!$J:$J,MATCH('Layer A — raw data (SOURCED)'!$A78,'Layer B — pod writeups'!$A:$A,0))="Y","VAR","")),"")</f>
        <v/>
      </c>
      <c r="P78" s="13" t="str">
        <f aca="false">IFERROR(INDEX('Layer B — pod writeups'!$L:$L,MATCH('Layer A — raw data (SOURCED)'!$A78,'Layer B — pod writeups'!$A:$A,0)),"")</f>
        <v>Opens Liberty (~TD fav) + Wagner (cakewalk), then back-to-back roadies at San Diego State + at Old Dominion (the early test); HOSTS Marshall (home/away split matters in the East race). After ODU, arguably favored in every game.</v>
      </c>
      <c r="Q78" s="13" t="str">
        <f aca="false">IFERROR(INDEX('Layer B — pod writeups'!$N:$N,MATCH('Layer A — raw data (SOURCED)'!$A78,'Layer B — pod writeups'!$A:$A,0)),"")</f>
        <v>HOST SPLIT on the total — Calabrese OVER 8.5 (Billy Napier rehab hire, 33 wins in his last 3 Louisiana years, best resources in the league via ~$60M student-fee athletic funding; 2nd-rated G6 portal class; road-grader OL rebuild + deep RB room incl. Nick Herman, a 1,000-yд Drake back), Stuckey UNDER (+125) — downgraded them ~13 pts from year-end after Chesney left for UCLA and stripped the roster: 136th in returning production, 18 of the top-28 offensive+defensive snaps gone to P4/NFL, secondary a question. Duck: wait-and-see, need to see the offense; front-doors the East if they beat ODU + Marshall. 3-1 to win the conference.</v>
      </c>
    </row>
    <row r="79" customFormat="false" ht="57" hidden="false" customHeight="true" outlineLevel="0" collapsed="false">
      <c r="A79" s="12" t="str">
        <f aca="false">'Layer A — raw data (SOURCED)'!O79</f>
        <v>Pac12</v>
      </c>
      <c r="B79" s="12" t="str">
        <f aca="false">'Layer A — raw data (SOURCED)'!A79</f>
        <v>Fresno State</v>
      </c>
      <c r="C79" s="13" t="str">
        <f aca="false">'Layer A — raw data (SOURCED)'!O79</f>
        <v>Pac12</v>
      </c>
      <c r="D79" s="12" t="n">
        <f aca="false">'Layer A — raw data (SOURCED)'!B79</f>
        <v>6.5</v>
      </c>
      <c r="E79" s="12" t="n">
        <f aca="false">'Layer A — raw data (SOURCED)'!C79</f>
        <v>78</v>
      </c>
      <c r="F79" s="12" t="n">
        <f aca="false">'Layer A — raw data (SOURCED)'!D79</f>
        <v>-2.3</v>
      </c>
      <c r="G79" s="12" t="n">
        <f aca="false">'Layer A — raw data (SOURCED)'!E79</f>
        <v>53</v>
      </c>
      <c r="H79" s="12" t="n">
        <f aca="false">'Layer A — raw data (SOURCED)'!H79</f>
        <v>-3</v>
      </c>
      <c r="I79" s="12" t="n">
        <f aca="false">'Layer A — raw data (SOURCED)'!K79</f>
        <v>4.5</v>
      </c>
      <c r="J79" s="12" t="n">
        <f aca="false">'Layer A — raw data (SOURCED)'!L79</f>
        <v>-2</v>
      </c>
      <c r="K79" s="13" t="str">
        <f aca="false">IFERROR(INDEX('Layer B — pod writeups'!$B:$B,MATCH('Layer A — raw data (SOURCED)'!$A79,'Layer B — pod writeups'!$A:$A,0)),"")</f>
        <v>Transfer — Christian Martin (from Maryland)</v>
      </c>
      <c r="L79" s="13" t="str">
        <f aca="false">IFERROR(textjoin(" | ",TRUE(),IF(INDEX('Layer B — pod writeups'!$C:$C,MATCH('Layer A — raw data (SOURCED)'!$A79,'Layer B — pod writeups'!$A:$A,0))="","","HC "&amp;INDEX('Layer B — pod writeups'!$C:$C,MATCH('Layer A — raw data (SOURCED)'!$A79,'Layer B — pod writeups'!$A:$A,0))),IF(INDEX('Layer B — pod writeups'!$D:$D,MATCH('Layer A — raw data (SOURCED)'!$A79,'Layer B — pod writeups'!$A:$A,0))="","","OC "&amp;INDEX('Layer B — pod writeups'!$D:$D,MATCH('Layer A — raw data (SOURCED)'!$A79,'Layer B — pod writeups'!$A:$A,0))),IF(INDEX('Layer B — pod writeups'!$E:$E,MATCH('Layer A — raw data (SOURCED)'!$A79,'Layer B — pod writeups'!$A:$A,0))="","","DC "&amp;INDEX('Layer B — pod writeups'!$E:$E,MATCH('Layer A — raw data (SOURCED)'!$A79,'Layer B — pod writeups'!$A:$A,0)))),"")</f>
        <v/>
      </c>
      <c r="M79" s="12" t="str">
        <f aca="false">IFERROR(INDEX('Layer B — pod writeups'!$F:$F,MATCH('Layer A — raw data (SOURCED)'!$A79,'Layer B — pod writeups'!$A:$A,0)),"")</f>
        <v>Hard Under</v>
      </c>
      <c r="N79" s="12" t="str">
        <f aca="false">IFERROR(INDEX('Layer B — pod writeups'!$K:$K,MATCH('Layer A — raw data (SOURCED)'!$A79,'Layer B — pod writeups'!$A:$A,0)),"")</f>
        <v>Neutral</v>
      </c>
      <c r="O79" s="12" t="str">
        <f aca="false">IFERROR(textjoin(" ",TRUE(),IF(INDEX('Layer B — pod writeups'!$G:$G,MATCH('Layer A — raw data (SOURCED)'!$A79,'Layer B — pod writeups'!$A:$A,0))="Y","DH",""),IF(INDEX('Layer B — pod writeups'!$H:$H,MATCH('Layer A — raw data (SOURCED)'!$A79,'Layer B — pod writeups'!$A:$A,0))="Y","FADE",""),IF(INDEX('Layer B — pod writeups'!$I:$I,MATCH('Layer A — raw data (SOURCED)'!$A79,'Layer B — pod writeups'!$A:$A,0))="Y","SPLIT",""),IF(INDEX('Layer B — pod writeups'!$J:$J,MATCH('Layer A — raw data (SOURCED)'!$A79,'Layer B — pod writeups'!$A:$A,0))="Y","VAR","")),"")</f>
        <v/>
      </c>
      <c r="P79" s="13" t="str">
        <f aca="false">IFERROR(INDEX('Layer B — pod writeups'!$L:$L,MATCH('Layer A — raw data (SOURCED)'!$A79,'Layer B — pod writeups'!$A:$A,0)),"")</f>
        <v>Full round-robin (plays all 7 other members) — no in-conf avoids. Wk13 FLEX (projected): vs San Diego State (may not count). Non-con: @ USC (Fri opener), Sacramento St, @ San Jose St, Rice.</v>
      </c>
      <c r="Q79" s="13" t="str">
        <f aca="false">IFERROR(INDEX('Layer B — pod writeups'!$N:$N,MATCH('Layer A — raw data (SOURCED)'!$A79,'Layer B — pod writeups'!$A:$A,0)),"")</f>
        <v>HOST SPLIT — Collin very bearish (~4.5, hard under), Duck bullish. New QB Christian Martin (Maryland) replacing EJ Warner. Secondary is a strength (borderline-elite MW last year, ~20 INTs) but turnovers may regress. SP+ (#78) sides with the bearish read against the market. Fade candidate despite the board total.</v>
      </c>
    </row>
    <row r="80" customFormat="false" ht="15" hidden="false" customHeight="true" outlineLevel="0" collapsed="false">
      <c r="A80" s="12" t="str">
        <f aca="false">'Layer A — raw data (SOURCED)'!O80</f>
        <v>MWC</v>
      </c>
      <c r="B80" s="12" t="str">
        <f aca="false">'Layer A — raw data (SOURCED)'!A80</f>
        <v>Air Force</v>
      </c>
      <c r="C80" s="13" t="str">
        <f aca="false">'Layer A — raw data (SOURCED)'!O80</f>
        <v>MWC</v>
      </c>
      <c r="D80" s="12" t="n">
        <f aca="false">'Layer A — raw data (SOURCED)'!B80</f>
        <v>7.5</v>
      </c>
      <c r="E80" s="12" t="n">
        <f aca="false">'Layer A — raw data (SOURCED)'!C80</f>
        <v>79</v>
      </c>
      <c r="F80" s="12" t="n">
        <f aca="false">'Layer A — raw data (SOURCED)'!D80</f>
        <v>-2.4</v>
      </c>
      <c r="G80" s="12" t="n">
        <f aca="false">'Layer A — raw data (SOURCED)'!E80</f>
        <v>59</v>
      </c>
      <c r="H80" s="12" t="n">
        <f aca="false">'Layer A — raw data (SOURCED)'!H80</f>
        <v>3</v>
      </c>
      <c r="I80" s="12" t="n">
        <f aca="false">'Layer A — raw data (SOURCED)'!K80</f>
        <v>0</v>
      </c>
      <c r="J80" s="12" t="str">
        <f aca="false">'Layer A — raw data (SOURCED)'!L80</f>
        <v/>
      </c>
      <c r="K80" s="13" t="str">
        <f aca="false">IFERROR(INDEX('Layer B — pod writeups'!$B:$B,MATCH('Layer A — raw data (SOURCED)'!$A80,'Layer B — pod writeups'!$A:$A,0)),"")</f>
        <v/>
      </c>
      <c r="L80" s="13" t="str">
        <f aca="false">IFERROR(textjoin(" | ",TRUE(),IF(INDEX('Layer B — pod writeups'!$C:$C,MATCH('Layer A — raw data (SOURCED)'!$A80,'Layer B — pod writeups'!$A:$A,0))="","","HC "&amp;INDEX('Layer B — pod writeups'!$C:$C,MATCH('Layer A — raw data (SOURCED)'!$A80,'Layer B — pod writeups'!$A:$A,0))),IF(INDEX('Layer B — pod writeups'!$D:$D,MATCH('Layer A — raw data (SOURCED)'!$A80,'Layer B — pod writeups'!$A:$A,0))="","","OC "&amp;INDEX('Layer B — pod writeups'!$D:$D,MATCH('Layer A — raw data (SOURCED)'!$A80,'Layer B — pod writeups'!$A:$A,0))),IF(INDEX('Layer B — pod writeups'!$E:$E,MATCH('Layer A — raw data (SOURCED)'!$A80,'Layer B — pod writeups'!$A:$A,0))="","","DC "&amp;INDEX('Layer B — pod writeups'!$E:$E,MATCH('Layer A — raw data (SOURCED)'!$A80,'Layer B — pod writeups'!$A:$A,0)))),"")</f>
        <v/>
      </c>
      <c r="M80" s="12" t="str">
        <f aca="false">IFERROR(INDEX('Layer B — pod writeups'!$F:$F,MATCH('Layer A — raw data (SOURCED)'!$A80,'Layer B — pod writeups'!$A:$A,0)),"")</f>
        <v/>
      </c>
      <c r="N80" s="12" t="str">
        <f aca="false">IFERROR(INDEX('Layer B — pod writeups'!$K:$K,MATCH('Layer A — raw data (SOURCED)'!$A80,'Layer B — pod writeups'!$A:$A,0)),"")</f>
        <v/>
      </c>
      <c r="O80" s="12" t="str">
        <f aca="false">IFERROR(textjoin(" ",TRUE(),IF(INDEX('Layer B — pod writeups'!$G:$G,MATCH('Layer A — raw data (SOURCED)'!$A80,'Layer B — pod writeups'!$A:$A,0))="Y","DH",""),IF(INDEX('Layer B — pod writeups'!$H:$H,MATCH('Layer A — raw data (SOURCED)'!$A80,'Layer B — pod writeups'!$A:$A,0))="Y","FADE",""),IF(INDEX('Layer B — pod writeups'!$I:$I,MATCH('Layer A — raw data (SOURCED)'!$A80,'Layer B — pod writeups'!$A:$A,0))="Y","SPLIT",""),IF(INDEX('Layer B — pod writeups'!$J:$J,MATCH('Layer A — raw data (SOURCED)'!$A80,'Layer B — pod writeups'!$A:$A,0))="Y","VAR","")),"")</f>
        <v/>
      </c>
      <c r="P80" s="13" t="str">
        <f aca="false">IFERROR(INDEX('Layer B — pod writeups'!$L:$L,MATCH('Layer A — raw data (SOURCED)'!$A80,'Layer B — pod writeups'!$A:$A,0)),"")</f>
        <v/>
      </c>
      <c r="Q80" s="13" t="str">
        <f aca="false">IFERROR(INDEX('Layer B — pod writeups'!$N:$N,MATCH('Layer A — raw data (SOURCED)'!$A80,'Layer B — pod writeups'!$A:$A,0)),"")</f>
        <v/>
      </c>
    </row>
    <row r="81" customFormat="false" ht="15" hidden="false" customHeight="true" outlineLevel="0" collapsed="false">
      <c r="A81" s="12" t="str">
        <f aca="false">'Layer A — raw data (SOURCED)'!O81</f>
        <v>AAC</v>
      </c>
      <c r="B81" s="12" t="str">
        <f aca="false">'Layer A — raw data (SOURCED)'!A81</f>
        <v>South Florida</v>
      </c>
      <c r="C81" s="13" t="str">
        <f aca="false">'Layer A — raw data (SOURCED)'!O81</f>
        <v>AAC</v>
      </c>
      <c r="D81" s="12" t="n">
        <f aca="false">'Layer A — raw data (SOURCED)'!B81</f>
        <v>8.5</v>
      </c>
      <c r="E81" s="12" t="n">
        <f aca="false">'Layer A — raw data (SOURCED)'!C81</f>
        <v>80</v>
      </c>
      <c r="F81" s="12" t="n">
        <f aca="false">'Layer A — raw data (SOURCED)'!D81</f>
        <v>-2.8</v>
      </c>
      <c r="G81" s="12" t="n">
        <f aca="false">'Layer A — raw data (SOURCED)'!E81</f>
        <v>41</v>
      </c>
      <c r="H81" s="12" t="n">
        <f aca="false">'Layer A — raw data (SOURCED)'!H81</f>
        <v>-9</v>
      </c>
      <c r="I81" s="12" t="n">
        <f aca="false">'Layer A — raw data (SOURCED)'!K81</f>
        <v>0</v>
      </c>
      <c r="J81" s="12" t="str">
        <f aca="false">'Layer A — raw data (SOURCED)'!L81</f>
        <v/>
      </c>
      <c r="K81" s="13" t="str">
        <f aca="false">IFERROR(INDEX('Layer B — pod writeups'!$B:$B,MATCH('Layer A — raw data (SOURCED)'!$A81,'Layer B — pod writeups'!$A:$A,0)),"")</f>
        <v/>
      </c>
      <c r="L81" s="13" t="str">
        <f aca="false">IFERROR(textjoin(" | ",TRUE(),IF(INDEX('Layer B — pod writeups'!$C:$C,MATCH('Layer A — raw data (SOURCED)'!$A81,'Layer B — pod writeups'!$A:$A,0))="","","HC "&amp;INDEX('Layer B — pod writeups'!$C:$C,MATCH('Layer A — raw data (SOURCED)'!$A81,'Layer B — pod writeups'!$A:$A,0))),IF(INDEX('Layer B — pod writeups'!$D:$D,MATCH('Layer A — raw data (SOURCED)'!$A81,'Layer B — pod writeups'!$A:$A,0))="","","OC "&amp;INDEX('Layer B — pod writeups'!$D:$D,MATCH('Layer A — raw data (SOURCED)'!$A81,'Layer B — pod writeups'!$A:$A,0))),IF(INDEX('Layer B — pod writeups'!$E:$E,MATCH('Layer A — raw data (SOURCED)'!$A81,'Layer B — pod writeups'!$A:$A,0))="","","DC "&amp;INDEX('Layer B — pod writeups'!$E:$E,MATCH('Layer A — raw data (SOURCED)'!$A81,'Layer B — pod writeups'!$A:$A,0)))),"")</f>
        <v/>
      </c>
      <c r="M81" s="12" t="str">
        <f aca="false">IFERROR(INDEX('Layer B — pod writeups'!$F:$F,MATCH('Layer A — raw data (SOURCED)'!$A81,'Layer B — pod writeups'!$A:$A,0)),"")</f>
        <v/>
      </c>
      <c r="N81" s="12" t="str">
        <f aca="false">IFERROR(INDEX('Layer B — pod writeups'!$K:$K,MATCH('Layer A — raw data (SOURCED)'!$A81,'Layer B — pod writeups'!$A:$A,0)),"")</f>
        <v/>
      </c>
      <c r="O81" s="12" t="str">
        <f aca="false">IFERROR(textjoin(" ",TRUE(),IF(INDEX('Layer B — pod writeups'!$G:$G,MATCH('Layer A — raw data (SOURCED)'!$A81,'Layer B — pod writeups'!$A:$A,0))="Y","DH",""),IF(INDEX('Layer B — pod writeups'!$H:$H,MATCH('Layer A — raw data (SOURCED)'!$A81,'Layer B — pod writeups'!$A:$A,0))="Y","FADE",""),IF(INDEX('Layer B — pod writeups'!$I:$I,MATCH('Layer A — raw data (SOURCED)'!$A81,'Layer B — pod writeups'!$A:$A,0))="Y","SPLIT",""),IF(INDEX('Layer B — pod writeups'!$J:$J,MATCH('Layer A — raw data (SOURCED)'!$A81,'Layer B — pod writeups'!$A:$A,0))="Y","VAR","")),"")</f>
        <v/>
      </c>
      <c r="P81" s="13" t="str">
        <f aca="false">IFERROR(INDEX('Layer B — pod writeups'!$L:$L,MATCH('Layer A — raw data (SOURCED)'!$A81,'Layer B — pod writeups'!$A:$A,0)),"")</f>
        <v/>
      </c>
      <c r="Q81" s="13" t="str">
        <f aca="false">IFERROR(INDEX('Layer B — pod writeups'!$N:$N,MATCH('Layer A — raw data (SOURCED)'!$A81,'Layer B — pod writeups'!$A:$A,0)),"")</f>
        <v/>
      </c>
    </row>
    <row r="82" customFormat="false" ht="15" hidden="false" customHeight="true" outlineLevel="0" collapsed="false">
      <c r="A82" s="12" t="str">
        <f aca="false">'Layer A — raw data (SOURCED)'!O82</f>
        <v>MAC</v>
      </c>
      <c r="B82" s="12" t="str">
        <f aca="false">'Layer A — raw data (SOURCED)'!A82</f>
        <v>Miami OH</v>
      </c>
      <c r="C82" s="13" t="str">
        <f aca="false">'Layer A — raw data (SOURCED)'!O82</f>
        <v>MAC</v>
      </c>
      <c r="D82" s="12" t="n">
        <f aca="false">'Layer A — raw data (SOURCED)'!B82</f>
        <v>7.5</v>
      </c>
      <c r="E82" s="12" t="n">
        <f aca="false">'Layer A — raw data (SOURCED)'!C82</f>
        <v>81</v>
      </c>
      <c r="F82" s="12" t="n">
        <f aca="false">'Layer A — raw data (SOURCED)'!D82</f>
        <v>-2.9</v>
      </c>
      <c r="G82" s="12" t="n">
        <f aca="false">'Layer A — raw data (SOURCED)'!E82</f>
        <v>49</v>
      </c>
      <c r="H82" s="12" t="n">
        <f aca="false">'Layer A — raw data (SOURCED)'!H82</f>
        <v>-1.5</v>
      </c>
      <c r="I82" s="12" t="n">
        <f aca="false">'Layer A — raw data (SOURCED)'!K82</f>
        <v>0</v>
      </c>
      <c r="J82" s="12" t="str">
        <f aca="false">'Layer A — raw data (SOURCED)'!L82</f>
        <v/>
      </c>
      <c r="K82" s="13" t="str">
        <f aca="false">IFERROR(INDEX('Layer B — pod writeups'!$B:$B,MATCH('Layer A — raw data (SOURCED)'!$A82,'Layer B — pod writeups'!$A:$A,0)),"")</f>
        <v/>
      </c>
      <c r="L82" s="13" t="str">
        <f aca="false">IFERROR(textjoin(" | ",TRUE(),IF(INDEX('Layer B — pod writeups'!$C:$C,MATCH('Layer A — raw data (SOURCED)'!$A82,'Layer B — pod writeups'!$A:$A,0))="","","HC "&amp;INDEX('Layer B — pod writeups'!$C:$C,MATCH('Layer A — raw data (SOURCED)'!$A82,'Layer B — pod writeups'!$A:$A,0))),IF(INDEX('Layer B — pod writeups'!$D:$D,MATCH('Layer A — raw data (SOURCED)'!$A82,'Layer B — pod writeups'!$A:$A,0))="","","OC "&amp;INDEX('Layer B — pod writeups'!$D:$D,MATCH('Layer A — raw data (SOURCED)'!$A82,'Layer B — pod writeups'!$A:$A,0))),IF(INDEX('Layer B — pod writeups'!$E:$E,MATCH('Layer A — raw data (SOURCED)'!$A82,'Layer B — pod writeups'!$A:$A,0))="","","DC "&amp;INDEX('Layer B — pod writeups'!$E:$E,MATCH('Layer A — raw data (SOURCED)'!$A82,'Layer B — pod writeups'!$A:$A,0)))),"")</f>
        <v/>
      </c>
      <c r="M82" s="12" t="str">
        <f aca="false">IFERROR(INDEX('Layer B — pod writeups'!$F:$F,MATCH('Layer A — raw data (SOURCED)'!$A82,'Layer B — pod writeups'!$A:$A,0)),"")</f>
        <v/>
      </c>
      <c r="N82" s="12" t="str">
        <f aca="false">IFERROR(INDEX('Layer B — pod writeups'!$K:$K,MATCH('Layer A — raw data (SOURCED)'!$A82,'Layer B — pod writeups'!$A:$A,0)),"")</f>
        <v/>
      </c>
      <c r="O82" s="12" t="str">
        <f aca="false">IFERROR(textjoin(" ",TRUE(),IF(INDEX('Layer B — pod writeups'!$G:$G,MATCH('Layer A — raw data (SOURCED)'!$A82,'Layer B — pod writeups'!$A:$A,0))="Y","DH",""),IF(INDEX('Layer B — pod writeups'!$H:$H,MATCH('Layer A — raw data (SOURCED)'!$A82,'Layer B — pod writeups'!$A:$A,0))="Y","FADE",""),IF(INDEX('Layer B — pod writeups'!$I:$I,MATCH('Layer A — raw data (SOURCED)'!$A82,'Layer B — pod writeups'!$A:$A,0))="Y","SPLIT",""),IF(INDEX('Layer B — pod writeups'!$J:$J,MATCH('Layer A — raw data (SOURCED)'!$A82,'Layer B — pod writeups'!$A:$A,0))="Y","VAR","")),"")</f>
        <v/>
      </c>
      <c r="P82" s="13" t="str">
        <f aca="false">IFERROR(INDEX('Layer B — pod writeups'!$L:$L,MATCH('Layer A — raw data (SOURCED)'!$A82,'Layer B — pod writeups'!$A:$A,0)),"")</f>
        <v/>
      </c>
      <c r="Q82" s="13" t="str">
        <f aca="false">IFERROR(INDEX('Layer B — pod writeups'!$N:$N,MATCH('Layer A — raw data (SOURCED)'!$A82,'Layer B — pod writeups'!$A:$A,0)),"")</f>
        <v/>
      </c>
    </row>
    <row r="83" customFormat="false" ht="23.25" hidden="false" customHeight="true" outlineLevel="0" collapsed="false">
      <c r="A83" s="12" t="str">
        <f aca="false">'Layer A — raw data (SOURCED)'!O83</f>
        <v>Pac12</v>
      </c>
      <c r="B83" s="12" t="str">
        <f aca="false">'Layer A — raw data (SOURCED)'!A83</f>
        <v>Purdue</v>
      </c>
      <c r="C83" s="13" t="s">
        <v>36</v>
      </c>
      <c r="D83" s="12" t="n">
        <f aca="false">'Layer A — raw data (SOURCED)'!B83</f>
        <v>3.5</v>
      </c>
      <c r="E83" s="12" t="n">
        <f aca="false">'Layer A — raw data (SOURCED)'!C83</f>
        <v>82</v>
      </c>
      <c r="F83" s="12" t="n">
        <f aca="false">'Layer A — raw data (SOURCED)'!D83</f>
        <v>-2.9</v>
      </c>
      <c r="G83" s="12" t="n">
        <f aca="false">'Layer A — raw data (SOURCED)'!E83</f>
        <v>58</v>
      </c>
      <c r="H83" s="12" t="n">
        <f aca="false">'Layer A — raw data (SOURCED)'!H83</f>
        <v>3</v>
      </c>
      <c r="I83" s="12" t="n">
        <f aca="false">'Layer A — raw data (SOURCED)'!K83</f>
        <v>0</v>
      </c>
      <c r="J83" s="12" t="str">
        <f aca="false">'Layer A — raw data (SOURCED)'!L83</f>
        <v/>
      </c>
      <c r="K83" s="13" t="n">
        <f aca="false">IFERROR(INDEX('Layer B — pod writeups'!$B:$B,MATCH('Layer A — raw data (SOURCED)'!$A83,'Layer B — pod writeups'!$A:$A,0)),"")</f>
        <v>0</v>
      </c>
      <c r="L83" s="13" t="str">
        <f aca="false">IFERROR(textjoin(" | ",TRUE(),IF(INDEX('Layer B — pod writeups'!$C:$C,MATCH('Layer A — raw data (SOURCED)'!$A83,'Layer B — pod writeups'!$A:$A,0))="","","HC "&amp;INDEX('Layer B — pod writeups'!$C:$C,MATCH('Layer A — raw data (SOURCED)'!$A83,'Layer B — pod writeups'!$A:$A,0))),IF(INDEX('Layer B — pod writeups'!$D:$D,MATCH('Layer A — raw data (SOURCED)'!$A83,'Layer B — pod writeups'!$A:$A,0))="","","OC "&amp;INDEX('Layer B — pod writeups'!$D:$D,MATCH('Layer A — raw data (SOURCED)'!$A83,'Layer B — pod writeups'!$A:$A,0))),IF(INDEX('Layer B — pod writeups'!$E:$E,MATCH('Layer A — raw data (SOURCED)'!$A83,'Layer B — pod writeups'!$A:$A,0))="","","DC "&amp;INDEX('Layer B — pod writeups'!$E:$E,MATCH('Layer A — raw data (SOURCED)'!$A83,'Layer B — pod writeups'!$A:$A,0)))),"")</f>
        <v/>
      </c>
      <c r="M83" s="12" t="n">
        <f aca="false">IFERROR(INDEX('Layer B — pod writeups'!$F:$F,MATCH('Layer A — raw data (SOURCED)'!$A83,'Layer B — pod writeups'!$A:$A,0)),"")</f>
        <v>0</v>
      </c>
      <c r="N83" s="12" t="n">
        <f aca="false">IFERROR(INDEX('Layer B — pod writeups'!$K:$K,MATCH('Layer A — raw data (SOURCED)'!$A83,'Layer B — pod writeups'!$A:$A,0)),"")</f>
        <v>0</v>
      </c>
      <c r="O83" s="12" t="str">
        <f aca="false">IFERROR(textjoin(" ",TRUE(),IF(INDEX('Layer B — pod writeups'!$G:$G,MATCH('Layer A — raw data (SOURCED)'!$A83,'Layer B — pod writeups'!$A:$A,0))="Y","DH",""),IF(INDEX('Layer B — pod writeups'!$H:$H,MATCH('Layer A — raw data (SOURCED)'!$A83,'Layer B — pod writeups'!$A:$A,0))="Y","FADE",""),IF(INDEX('Layer B — pod writeups'!$I:$I,MATCH('Layer A — raw data (SOURCED)'!$A83,'Layer B — pod writeups'!$A:$A,0))="Y","SPLIT",""),IF(INDEX('Layer B — pod writeups'!$J:$J,MATCH('Layer A — raw data (SOURCED)'!$A83,'Layer B — pod writeups'!$A:$A,0))="Y","VAR","")),"")</f>
        <v/>
      </c>
      <c r="P83" s="13" t="str">
        <f aca="false">IFERROR(INDEX('Layer B — pod writeups'!$L:$L,MATCH('Layer A — raw data (SOURCED)'!$A83,'Layer B — pod writeups'!$A:$A,0)),"")</f>
        <v>[from Big Ten pod]</v>
      </c>
      <c r="Q83" s="13" t="str">
        <f aca="false">IFERROR(INDEX('Layer B — pod writeups'!$N:$N,MATCH('Layer A — raw data (SOURCED)'!$A83,'Layer B — pod writeups'!$A:$A,0)),"")</f>
        <v>[BBOC pending — covered in Big Ten pod, not Pac-12.] Edge read: market lowest (3.5) but ret prod 58%, TARP +3.0, SP+ #82.</v>
      </c>
    </row>
    <row r="84" customFormat="false" ht="15" hidden="false" customHeight="true" outlineLevel="0" collapsed="false">
      <c r="A84" s="12" t="str">
        <f aca="false">'Layer A — raw data (SOURCED)'!O84</f>
        <v>AAC</v>
      </c>
      <c r="B84" s="12" t="str">
        <f aca="false">'Layer A — raw data (SOURCED)'!A84</f>
        <v>Army</v>
      </c>
      <c r="C84" s="13" t="str">
        <f aca="false">'Layer A — raw data (SOURCED)'!O84</f>
        <v>AAC</v>
      </c>
      <c r="D84" s="12" t="n">
        <f aca="false">'Layer A — raw data (SOURCED)'!B84</f>
        <v>7.5</v>
      </c>
      <c r="E84" s="12" t="n">
        <f aca="false">'Layer A — raw data (SOURCED)'!C84</f>
        <v>83</v>
      </c>
      <c r="F84" s="12" t="n">
        <f aca="false">'Layer A — raw data (SOURCED)'!D84</f>
        <v>-3</v>
      </c>
      <c r="G84" s="12" t="n">
        <f aca="false">'Layer A — raw data (SOURCED)'!E84</f>
        <v>50</v>
      </c>
      <c r="H84" s="12" t="n">
        <f aca="false">'Layer A — raw data (SOURCED)'!H84</f>
        <v>-1</v>
      </c>
      <c r="I84" s="12" t="n">
        <f aca="false">'Layer A — raw data (SOURCED)'!K84</f>
        <v>0</v>
      </c>
      <c r="J84" s="12" t="str">
        <f aca="false">'Layer A — raw data (SOURCED)'!L84</f>
        <v/>
      </c>
      <c r="K84" s="13" t="str">
        <f aca="false">IFERROR(INDEX('Layer B — pod writeups'!$B:$B,MATCH('Layer A — raw data (SOURCED)'!$A84,'Layer B — pod writeups'!$A:$A,0)),"")</f>
        <v/>
      </c>
      <c r="L84" s="13" t="str">
        <f aca="false">IFERROR(textjoin(" | ",TRUE(),IF(INDEX('Layer B — pod writeups'!$C:$C,MATCH('Layer A — raw data (SOURCED)'!$A84,'Layer B — pod writeups'!$A:$A,0))="","","HC "&amp;INDEX('Layer B — pod writeups'!$C:$C,MATCH('Layer A — raw data (SOURCED)'!$A84,'Layer B — pod writeups'!$A:$A,0))),IF(INDEX('Layer B — pod writeups'!$D:$D,MATCH('Layer A — raw data (SOURCED)'!$A84,'Layer B — pod writeups'!$A:$A,0))="","","OC "&amp;INDEX('Layer B — pod writeups'!$D:$D,MATCH('Layer A — raw data (SOURCED)'!$A84,'Layer B — pod writeups'!$A:$A,0))),IF(INDEX('Layer B — pod writeups'!$E:$E,MATCH('Layer A — raw data (SOURCED)'!$A84,'Layer B — pod writeups'!$A:$A,0))="","","DC "&amp;INDEX('Layer B — pod writeups'!$E:$E,MATCH('Layer A — raw data (SOURCED)'!$A84,'Layer B — pod writeups'!$A:$A,0)))),"")</f>
        <v/>
      </c>
      <c r="M84" s="12" t="str">
        <f aca="false">IFERROR(INDEX('Layer B — pod writeups'!$F:$F,MATCH('Layer A — raw data (SOURCED)'!$A84,'Layer B — pod writeups'!$A:$A,0)),"")</f>
        <v/>
      </c>
      <c r="N84" s="12" t="str">
        <f aca="false">IFERROR(INDEX('Layer B — pod writeups'!$K:$K,MATCH('Layer A — raw data (SOURCED)'!$A84,'Layer B — pod writeups'!$A:$A,0)),"")</f>
        <v/>
      </c>
      <c r="O84" s="12" t="str">
        <f aca="false">IFERROR(textjoin(" ",TRUE(),IF(INDEX('Layer B — pod writeups'!$G:$G,MATCH('Layer A — raw data (SOURCED)'!$A84,'Layer B — pod writeups'!$A:$A,0))="Y","DH",""),IF(INDEX('Layer B — pod writeups'!$H:$H,MATCH('Layer A — raw data (SOURCED)'!$A84,'Layer B — pod writeups'!$A:$A,0))="Y","FADE",""),IF(INDEX('Layer B — pod writeups'!$I:$I,MATCH('Layer A — raw data (SOURCED)'!$A84,'Layer B — pod writeups'!$A:$A,0))="Y","SPLIT",""),IF(INDEX('Layer B — pod writeups'!$J:$J,MATCH('Layer A — raw data (SOURCED)'!$A84,'Layer B — pod writeups'!$A:$A,0))="Y","VAR","")),"")</f>
        <v/>
      </c>
      <c r="P84" s="13" t="str">
        <f aca="false">IFERROR(INDEX('Layer B — pod writeups'!$L:$L,MATCH('Layer A — raw data (SOURCED)'!$A84,'Layer B — pod writeups'!$A:$A,0)),"")</f>
        <v/>
      </c>
      <c r="Q84" s="13" t="str">
        <f aca="false">IFERROR(INDEX('Layer B — pod writeups'!$N:$N,MATCH('Layer A — raw data (SOURCED)'!$A84,'Layer B — pod writeups'!$A:$A,0)),"")</f>
        <v/>
      </c>
    </row>
    <row r="85" customFormat="false" ht="15" hidden="false" customHeight="true" outlineLevel="0" collapsed="false">
      <c r="A85" s="12" t="str">
        <f aca="false">'Layer A — raw data (SOURCED)'!O85</f>
        <v>MWC</v>
      </c>
      <c r="B85" s="12" t="str">
        <f aca="false">'Layer A — raw data (SOURCED)'!A85</f>
        <v>Hawaii</v>
      </c>
      <c r="C85" s="13" t="str">
        <f aca="false">'Layer A — raw data (SOURCED)'!O85</f>
        <v>MWC</v>
      </c>
      <c r="D85" s="12" t="n">
        <f aca="false">'Layer A — raw data (SOURCED)'!B85</f>
        <v>7.5</v>
      </c>
      <c r="E85" s="12" t="n">
        <f aca="false">'Layer A — raw data (SOURCED)'!C85</f>
        <v>84</v>
      </c>
      <c r="F85" s="12" t="n">
        <f aca="false">'Layer A — raw data (SOURCED)'!D85</f>
        <v>-3.9</v>
      </c>
      <c r="G85" s="12" t="n">
        <f aca="false">'Layer A — raw data (SOURCED)'!E85</f>
        <v>45</v>
      </c>
      <c r="H85" s="12" t="n">
        <f aca="false">'Layer A — raw data (SOURCED)'!H85</f>
        <v>-3</v>
      </c>
      <c r="I85" s="12" t="n">
        <f aca="false">'Layer A — raw data (SOURCED)'!K85</f>
        <v>0</v>
      </c>
      <c r="J85" s="12" t="str">
        <f aca="false">'Layer A — raw data (SOURCED)'!L85</f>
        <v/>
      </c>
      <c r="K85" s="13" t="str">
        <f aca="false">IFERROR(INDEX('Layer B — pod writeups'!$B:$B,MATCH('Layer A — raw data (SOURCED)'!$A85,'Layer B — pod writeups'!$A:$A,0)),"")</f>
        <v/>
      </c>
      <c r="L85" s="13" t="str">
        <f aca="false">IFERROR(textjoin(" | ",TRUE(),IF(INDEX('Layer B — pod writeups'!$C:$C,MATCH('Layer A — raw data (SOURCED)'!$A85,'Layer B — pod writeups'!$A:$A,0))="","","HC "&amp;INDEX('Layer B — pod writeups'!$C:$C,MATCH('Layer A — raw data (SOURCED)'!$A85,'Layer B — pod writeups'!$A:$A,0))),IF(INDEX('Layer B — pod writeups'!$D:$D,MATCH('Layer A — raw data (SOURCED)'!$A85,'Layer B — pod writeups'!$A:$A,0))="","","OC "&amp;INDEX('Layer B — pod writeups'!$D:$D,MATCH('Layer A — raw data (SOURCED)'!$A85,'Layer B — pod writeups'!$A:$A,0))),IF(INDEX('Layer B — pod writeups'!$E:$E,MATCH('Layer A — raw data (SOURCED)'!$A85,'Layer B — pod writeups'!$A:$A,0))="","","DC "&amp;INDEX('Layer B — pod writeups'!$E:$E,MATCH('Layer A — raw data (SOURCED)'!$A85,'Layer B — pod writeups'!$A:$A,0)))),"")</f>
        <v/>
      </c>
      <c r="M85" s="12" t="str">
        <f aca="false">IFERROR(INDEX('Layer B — pod writeups'!$F:$F,MATCH('Layer A — raw data (SOURCED)'!$A85,'Layer B — pod writeups'!$A:$A,0)),"")</f>
        <v/>
      </c>
      <c r="N85" s="12" t="str">
        <f aca="false">IFERROR(INDEX('Layer B — pod writeups'!$K:$K,MATCH('Layer A — raw data (SOURCED)'!$A85,'Layer B — pod writeups'!$A:$A,0)),"")</f>
        <v/>
      </c>
      <c r="O85" s="12" t="str">
        <f aca="false">IFERROR(textjoin(" ",TRUE(),IF(INDEX('Layer B — pod writeups'!$G:$G,MATCH('Layer A — raw data (SOURCED)'!$A85,'Layer B — pod writeups'!$A:$A,0))="Y","DH",""),IF(INDEX('Layer B — pod writeups'!$H:$H,MATCH('Layer A — raw data (SOURCED)'!$A85,'Layer B — pod writeups'!$A:$A,0))="Y","FADE",""),IF(INDEX('Layer B — pod writeups'!$I:$I,MATCH('Layer A — raw data (SOURCED)'!$A85,'Layer B — pod writeups'!$A:$A,0))="Y","SPLIT",""),IF(INDEX('Layer B — pod writeups'!$J:$J,MATCH('Layer A — raw data (SOURCED)'!$A85,'Layer B — pod writeups'!$A:$A,0))="Y","VAR","")),"")</f>
        <v/>
      </c>
      <c r="P85" s="13" t="str">
        <f aca="false">IFERROR(INDEX('Layer B — pod writeups'!$L:$L,MATCH('Layer A — raw data (SOURCED)'!$A85,'Layer B — pod writeups'!$A:$A,0)),"")</f>
        <v/>
      </c>
      <c r="Q85" s="13" t="str">
        <f aca="false">IFERROR(INDEX('Layer B — pod writeups'!$N:$N,MATCH('Layer A — raw data (SOURCED)'!$A85,'Layer B — pod writeups'!$A:$A,0)),"")</f>
        <v/>
      </c>
    </row>
    <row r="86" customFormat="false" ht="57" hidden="false" customHeight="true" outlineLevel="0" collapsed="false">
      <c r="A86" s="12" t="str">
        <f aca="false">'Layer A — raw data (SOURCED)'!O86</f>
        <v>Pac12</v>
      </c>
      <c r="B86" s="12" t="str">
        <f aca="false">'Layer A — raw data (SOURCED)'!A86</f>
        <v>Washington State</v>
      </c>
      <c r="C86" s="13" t="str">
        <f aca="false">'Layer A — raw data (SOURCED)'!O86</f>
        <v>Pac12</v>
      </c>
      <c r="D86" s="12" t="n">
        <f aca="false">'Layer A — raw data (SOURCED)'!B86</f>
        <v>4.5</v>
      </c>
      <c r="E86" s="12" t="n">
        <f aca="false">'Layer A — raw data (SOURCED)'!C86</f>
        <v>85</v>
      </c>
      <c r="F86" s="12" t="n">
        <f aca="false">'Layer A — raw data (SOURCED)'!D86</f>
        <v>-5.3</v>
      </c>
      <c r="G86" s="12" t="n">
        <f aca="false">'Layer A — raw data (SOURCED)'!E86</f>
        <v>42</v>
      </c>
      <c r="H86" s="12" t="n">
        <f aca="false">'Layer A — raw data (SOURCED)'!H86</f>
        <v>-4</v>
      </c>
      <c r="I86" s="12" t="n">
        <f aca="false">'Layer A — raw data (SOURCED)'!K86</f>
        <v>5.1</v>
      </c>
      <c r="J86" s="12" t="n">
        <f aca="false">'Layer A — raw data (SOURCED)'!L86</f>
        <v>0.6</v>
      </c>
      <c r="K86" s="13" t="str">
        <f aca="false">IFERROR(INDEX('Layer B — pod writeups'!$B:$B,MATCH('Layer A — raw data (SOURCED)'!$A86,'Layer B — pod writeups'!$A:$A,0)),"")</f>
        <v>Unsettled</v>
      </c>
      <c r="L86" s="13" t="str">
        <f aca="false">IFERROR(textjoin(" | ",TRUE(),IF(INDEX('Layer B — pod writeups'!$C:$C,MATCH('Layer A — raw data (SOURCED)'!$A86,'Layer B — pod writeups'!$A:$A,0))="","","HC "&amp;INDEX('Layer B — pod writeups'!$C:$C,MATCH('Layer A — raw data (SOURCED)'!$A86,'Layer B — pod writeups'!$A:$A,0))),IF(INDEX('Layer B — pod writeups'!$D:$D,MATCH('Layer A — raw data (SOURCED)'!$A86,'Layer B — pod writeups'!$A:$A,0))="","","OC "&amp;INDEX('Layer B — pod writeups'!$D:$D,MATCH('Layer A — raw data (SOURCED)'!$A86,'Layer B — pod writeups'!$A:$A,0))),IF(INDEX('Layer B — pod writeups'!$E:$E,MATCH('Layer A — raw data (SOURCED)'!$A86,'Layer B — pod writeups'!$A:$A,0))="","","DC "&amp;INDEX('Layer B — pod writeups'!$E:$E,MATCH('Layer A — raw data (SOURCED)'!$A86,'Layer B — pod writeups'!$A:$A,0)))),"")</f>
        <v/>
      </c>
      <c r="M86" s="12" t="str">
        <f aca="false">IFERROR(INDEX('Layer B — pod writeups'!$F:$F,MATCH('Layer A — raw data (SOURCED)'!$A86,'Layer B — pod writeups'!$A:$A,0)),"")</f>
        <v>No Play</v>
      </c>
      <c r="N86" s="12" t="str">
        <f aca="false">IFERROR(INDEX('Layer B — pod writeups'!$K:$K,MATCH('Layer A — raw data (SOURCED)'!$A86,'Layer B — pod writeups'!$A:$A,0)),"")</f>
        <v>Neutral</v>
      </c>
      <c r="O86" s="12" t="str">
        <f aca="false">IFERROR(textjoin(" ",TRUE(),IF(INDEX('Layer B — pod writeups'!$G:$G,MATCH('Layer A — raw data (SOURCED)'!$A86,'Layer B — pod writeups'!$A:$A,0))="Y","DH",""),IF(INDEX('Layer B — pod writeups'!$H:$H,MATCH('Layer A — raw data (SOURCED)'!$A86,'Layer B — pod writeups'!$A:$A,0))="Y","FADE",""),IF(INDEX('Layer B — pod writeups'!$I:$I,MATCH('Layer A — raw data (SOURCED)'!$A86,'Layer B — pod writeups'!$A:$A,0))="Y","SPLIT",""),IF(INDEX('Layer B — pod writeups'!$J:$J,MATCH('Layer A — raw data (SOURCED)'!$A86,'Layer B — pod writeups'!$A:$A,0))="Y","VAR","")),"")</f>
        <v/>
      </c>
      <c r="P86" s="13" t="str">
        <f aca="false">IFERROR(INDEX('Layer B — pod writeups'!$L:$L,MATCH('Layer A — raw data (SOURCED)'!$A86,'Layer B — pod writeups'!$A:$A,0)),"")</f>
        <v>Full round-robin (plays all 7 other members) — no in-conf avoids. Wk13 FLEX (projected): vs Oregon State (may not count). Non-con: @ Washington (Apple Cup), @ Kansas St, Duquesne, Arizona.</v>
      </c>
      <c r="Q86" s="13" t="str">
        <f aca="false">IFERROR(INDEX('Layer B — pod writeups'!$N:$N,MATCH('Layer A — raw data (SOURCED)'!$A86,'Layer B — pod writeups'!$A:$A,0)),"")</f>
        <v>Lowest anchor in the bucket. Discussed only as a 'within-10 coin-flip' opponent the anchors beat, not a contender. Lowest returning production (42%) and lowest Net TARP (-4.0) in the conference. No positive signal from the pod. Forced-replacement lingerer — avoid as an anchor.</v>
      </c>
    </row>
    <row r="87" customFormat="false" ht="15" hidden="false" customHeight="true" outlineLevel="0" collapsed="false">
      <c r="A87" s="12" t="str">
        <f aca="false">'Layer A — raw data (SOURCED)'!O87</f>
        <v>CUSA</v>
      </c>
      <c r="B87" s="12" t="str">
        <f aca="false">'Layer A — raw data (SOURCED)'!A87</f>
        <v>Western Kentucky</v>
      </c>
      <c r="C87" s="13" t="str">
        <f aca="false">'Layer A — raw data (SOURCED)'!O87</f>
        <v>CUSA</v>
      </c>
      <c r="D87" s="12" t="n">
        <f aca="false">'Layer A — raw data (SOURCED)'!B87</f>
        <v>6.5</v>
      </c>
      <c r="E87" s="12" t="n">
        <f aca="false">'Layer A — raw data (SOURCED)'!C87</f>
        <v>86</v>
      </c>
      <c r="F87" s="12" t="n">
        <f aca="false">'Layer A — raw data (SOURCED)'!D87</f>
        <v>-5.3</v>
      </c>
      <c r="G87" s="12" t="n">
        <f aca="false">'Layer A — raw data (SOURCED)'!E87</f>
        <v>32</v>
      </c>
      <c r="H87" s="12" t="n">
        <f aca="false">'Layer A — raw data (SOURCED)'!H87</f>
        <v>-5</v>
      </c>
      <c r="I87" s="12" t="n">
        <f aca="false">'Layer A — raw data (SOURCED)'!K87</f>
        <v>0</v>
      </c>
      <c r="J87" s="12" t="str">
        <f aca="false">'Layer A — raw data (SOURCED)'!L87</f>
        <v/>
      </c>
      <c r="K87" s="13" t="str">
        <f aca="false">IFERROR(INDEX('Layer B — pod writeups'!$B:$B,MATCH('Layer A — raw data (SOURCED)'!$A87,'Layer B — pod writeups'!$A:$A,0)),"")</f>
        <v/>
      </c>
      <c r="L87" s="13" t="str">
        <f aca="false">IFERROR(textjoin(" | ",TRUE(),IF(INDEX('Layer B — pod writeups'!$C:$C,MATCH('Layer A — raw data (SOURCED)'!$A87,'Layer B — pod writeups'!$A:$A,0))="","","HC "&amp;INDEX('Layer B — pod writeups'!$C:$C,MATCH('Layer A — raw data (SOURCED)'!$A87,'Layer B — pod writeups'!$A:$A,0))),IF(INDEX('Layer B — pod writeups'!$D:$D,MATCH('Layer A — raw data (SOURCED)'!$A87,'Layer B — pod writeups'!$A:$A,0))="","","OC "&amp;INDEX('Layer B — pod writeups'!$D:$D,MATCH('Layer A — raw data (SOURCED)'!$A87,'Layer B — pod writeups'!$A:$A,0))),IF(INDEX('Layer B — pod writeups'!$E:$E,MATCH('Layer A — raw data (SOURCED)'!$A87,'Layer B — pod writeups'!$A:$A,0))="","","DC "&amp;INDEX('Layer B — pod writeups'!$E:$E,MATCH('Layer A — raw data (SOURCED)'!$A87,'Layer B — pod writeups'!$A:$A,0)))),"")</f>
        <v/>
      </c>
      <c r="M87" s="12" t="str">
        <f aca="false">IFERROR(INDEX('Layer B — pod writeups'!$F:$F,MATCH('Layer A — raw data (SOURCED)'!$A87,'Layer B — pod writeups'!$A:$A,0)),"")</f>
        <v/>
      </c>
      <c r="N87" s="12" t="str">
        <f aca="false">IFERROR(INDEX('Layer B — pod writeups'!$K:$K,MATCH('Layer A — raw data (SOURCED)'!$A87,'Layer B — pod writeups'!$A:$A,0)),"")</f>
        <v/>
      </c>
      <c r="O87" s="12" t="str">
        <f aca="false">IFERROR(textjoin(" ",TRUE(),IF(INDEX('Layer B — pod writeups'!$G:$G,MATCH('Layer A — raw data (SOURCED)'!$A87,'Layer B — pod writeups'!$A:$A,0))="Y","DH",""),IF(INDEX('Layer B — pod writeups'!$H:$H,MATCH('Layer A — raw data (SOURCED)'!$A87,'Layer B — pod writeups'!$A:$A,0))="Y","FADE",""),IF(INDEX('Layer B — pod writeups'!$I:$I,MATCH('Layer A — raw data (SOURCED)'!$A87,'Layer B — pod writeups'!$A:$A,0))="Y","SPLIT",""),IF(INDEX('Layer B — pod writeups'!$J:$J,MATCH('Layer A — raw data (SOURCED)'!$A87,'Layer B — pod writeups'!$A:$A,0))="Y","VAR","")),"")</f>
        <v/>
      </c>
      <c r="P87" s="13" t="str">
        <f aca="false">IFERROR(INDEX('Layer B — pod writeups'!$L:$L,MATCH('Layer A — raw data (SOURCED)'!$A87,'Layer B — pod writeups'!$A:$A,0)),"")</f>
        <v/>
      </c>
      <c r="Q87" s="13" t="str">
        <f aca="false">IFERROR(INDEX('Layer B — pod writeups'!$N:$N,MATCH('Layer A — raw data (SOURCED)'!$A87,'Layer B — pod writeups'!$A:$A,0)),"")</f>
        <v/>
      </c>
    </row>
    <row r="88" customFormat="false" ht="15" hidden="false" customHeight="true" outlineLevel="0" collapsed="false">
      <c r="A88" s="12" t="str">
        <f aca="false">'Layer A — raw data (SOURCED)'!O88</f>
        <v>AAC</v>
      </c>
      <c r="B88" s="12" t="str">
        <f aca="false">'Layer A — raw data (SOURCED)'!A88</f>
        <v>Tulane</v>
      </c>
      <c r="C88" s="13" t="str">
        <f aca="false">'Layer A — raw data (SOURCED)'!O88</f>
        <v>AAC</v>
      </c>
      <c r="D88" s="12" t="n">
        <f aca="false">'Layer A — raw data (SOURCED)'!B88</f>
        <v>7.5</v>
      </c>
      <c r="E88" s="12" t="n">
        <f aca="false">'Layer A — raw data (SOURCED)'!C88</f>
        <v>87</v>
      </c>
      <c r="F88" s="12" t="n">
        <f aca="false">'Layer A — raw data (SOURCED)'!D88</f>
        <v>-5.5</v>
      </c>
      <c r="G88" s="12" t="n">
        <f aca="false">'Layer A — raw data (SOURCED)'!E88</f>
        <v>40</v>
      </c>
      <c r="H88" s="12" t="n">
        <f aca="false">'Layer A — raw data (SOURCED)'!H88</f>
        <v>-4.5</v>
      </c>
      <c r="I88" s="12" t="n">
        <f aca="false">'Layer A — raw data (SOURCED)'!K88</f>
        <v>0</v>
      </c>
      <c r="J88" s="12" t="str">
        <f aca="false">'Layer A — raw data (SOURCED)'!L88</f>
        <v/>
      </c>
      <c r="K88" s="13" t="str">
        <f aca="false">IFERROR(INDEX('Layer B — pod writeups'!$B:$B,MATCH('Layer A — raw data (SOURCED)'!$A88,'Layer B — pod writeups'!$A:$A,0)),"")</f>
        <v/>
      </c>
      <c r="L88" s="13" t="str">
        <f aca="false">IFERROR(textjoin(" | ",TRUE(),IF(INDEX('Layer B — pod writeups'!$C:$C,MATCH('Layer A — raw data (SOURCED)'!$A88,'Layer B — pod writeups'!$A:$A,0))="","","HC "&amp;INDEX('Layer B — pod writeups'!$C:$C,MATCH('Layer A — raw data (SOURCED)'!$A88,'Layer B — pod writeups'!$A:$A,0))),IF(INDEX('Layer B — pod writeups'!$D:$D,MATCH('Layer A — raw data (SOURCED)'!$A88,'Layer B — pod writeups'!$A:$A,0))="","","OC "&amp;INDEX('Layer B — pod writeups'!$D:$D,MATCH('Layer A — raw data (SOURCED)'!$A88,'Layer B — pod writeups'!$A:$A,0))),IF(INDEX('Layer B — pod writeups'!$E:$E,MATCH('Layer A — raw data (SOURCED)'!$A88,'Layer B — pod writeups'!$A:$A,0))="","","DC "&amp;INDEX('Layer B — pod writeups'!$E:$E,MATCH('Layer A — raw data (SOURCED)'!$A88,'Layer B — pod writeups'!$A:$A,0)))),"")</f>
        <v/>
      </c>
      <c r="M88" s="12" t="str">
        <f aca="false">IFERROR(INDEX('Layer B — pod writeups'!$F:$F,MATCH('Layer A — raw data (SOURCED)'!$A88,'Layer B — pod writeups'!$A:$A,0)),"")</f>
        <v/>
      </c>
      <c r="N88" s="12" t="str">
        <f aca="false">IFERROR(INDEX('Layer B — pod writeups'!$K:$K,MATCH('Layer A — raw data (SOURCED)'!$A88,'Layer B — pod writeups'!$A:$A,0)),"")</f>
        <v/>
      </c>
      <c r="O88" s="12" t="str">
        <f aca="false">IFERROR(textjoin(" ",TRUE(),IF(INDEX('Layer B — pod writeups'!$G:$G,MATCH('Layer A — raw data (SOURCED)'!$A88,'Layer B — pod writeups'!$A:$A,0))="Y","DH",""),IF(INDEX('Layer B — pod writeups'!$H:$H,MATCH('Layer A — raw data (SOURCED)'!$A88,'Layer B — pod writeups'!$A:$A,0))="Y","FADE",""),IF(INDEX('Layer B — pod writeups'!$I:$I,MATCH('Layer A — raw data (SOURCED)'!$A88,'Layer B — pod writeups'!$A:$A,0))="Y","SPLIT",""),IF(INDEX('Layer B — pod writeups'!$J:$J,MATCH('Layer A — raw data (SOURCED)'!$A88,'Layer B — pod writeups'!$A:$A,0))="Y","VAR","")),"")</f>
        <v/>
      </c>
      <c r="P88" s="13" t="str">
        <f aca="false">IFERROR(INDEX('Layer B — pod writeups'!$L:$L,MATCH('Layer A — raw data (SOURCED)'!$A88,'Layer B — pod writeups'!$A:$A,0)),"")</f>
        <v/>
      </c>
      <c r="Q88" s="13" t="str">
        <f aca="false">IFERROR(INDEX('Layer B — pod writeups'!$N:$N,MATCH('Layer A — raw data (SOURCED)'!$A88,'Layer B — pod writeups'!$A:$A,0)),"")</f>
        <v/>
      </c>
    </row>
    <row r="89" customFormat="false" ht="113.25" hidden="false" customHeight="true" outlineLevel="0" collapsed="false">
      <c r="A89" s="12" t="str">
        <f aca="false">'Layer A — raw data (SOURCED)'!O89</f>
        <v>Sun Belt</v>
      </c>
      <c r="B89" s="12" t="str">
        <f aca="false">'Layer A — raw data (SOURCED)'!A89</f>
        <v>Old Dominion</v>
      </c>
      <c r="C89" s="13" t="str">
        <f aca="false">'Layer A — raw data (SOURCED)'!O89</f>
        <v>Sun Belt</v>
      </c>
      <c r="D89" s="12" t="n">
        <f aca="false">'Layer A — raw data (SOURCED)'!B89</f>
        <v>7.5</v>
      </c>
      <c r="E89" s="12" t="n">
        <f aca="false">'Layer A — raw data (SOURCED)'!C89</f>
        <v>88</v>
      </c>
      <c r="F89" s="12" t="n">
        <f aca="false">'Layer A — raw data (SOURCED)'!D89</f>
        <v>-5.8</v>
      </c>
      <c r="G89" s="12" t="n">
        <f aca="false">'Layer A — raw data (SOURCED)'!E89</f>
        <v>40</v>
      </c>
      <c r="H89" s="12" t="n">
        <f aca="false">'Layer A — raw data (SOURCED)'!H89</f>
        <v>-3.5</v>
      </c>
      <c r="I89" s="12" t="n">
        <f aca="false">'Layer A — raw data (SOURCED)'!K89</f>
        <v>7.4</v>
      </c>
      <c r="J89" s="12" t="n">
        <f aca="false">'Layer A — raw data (SOURCED)'!L89</f>
        <v>-0.0999999999999996</v>
      </c>
      <c r="K89" s="13" t="str">
        <f aca="false">IFERROR(INDEX('Layer B — pod writeups'!$B:$B,MATCH('Layer A — raw data (SOURCED)'!$A89,'Layer B — pod writeups'!$A:$A,0)),"")</f>
        <v>Returning backup — Colton 'Heinecke' (played some in 2024 incl. a shaky bowl vs USF; must develop as a passer — 'a mix of the old ODU Heineke throwing it around and Colton Joseph') [incumbent Colton Joseph left for Wisconsin; QB1 is unproven as a passer]</v>
      </c>
      <c r="L89" s="13" t="str">
        <f aca="false">IFERROR(textjoin(" | ",TRUE(),IF(INDEX('Layer B — pod writeups'!$C:$C,MATCH('Layer A — raw data (SOURCED)'!$A89,'Layer B — pod writeups'!$A:$A,0))="","","HC "&amp;INDEX('Layer B — pod writeups'!$C:$C,MATCH('Layer A — raw data (SOURCED)'!$A89,'Layer B — pod writeups'!$A:$A,0))),IF(INDEX('Layer B — pod writeups'!$D:$D,MATCH('Layer A — raw data (SOURCED)'!$A89,'Layer B — pod writeups'!$A:$A,0))="","","OC "&amp;INDEX('Layer B — pod writeups'!$D:$D,MATCH('Layer A — raw data (SOURCED)'!$A89,'Layer B — pod writeups'!$A:$A,0))),IF(INDEX('Layer B — pod writeups'!$E:$E,MATCH('Layer A — raw data (SOURCED)'!$A89,'Layer B — pod writeups'!$A:$A,0))="","","DC "&amp;INDEX('Layer B — pod writeups'!$E:$E,MATCH('Layer A — raw data (SOURCED)'!$A89,'Layer B — pod writeups'!$A:$A,0)))),"")</f>
        <v/>
      </c>
      <c r="M89" s="12" t="str">
        <f aca="false">IFERROR(INDEX('Layer B — pod writeups'!$F:$F,MATCH('Layer A — raw data (SOURCED)'!$A89,'Layer B — pod writeups'!$A:$A,0)),"")</f>
        <v>Lean Under</v>
      </c>
      <c r="N89" s="12" t="str">
        <f aca="false">IFERROR(INDEX('Layer B — pod writeups'!$K:$K,MATCH('Layer A — raw data (SOURCED)'!$A89,'Layer B — pod writeups'!$A:$A,0)),"")</f>
        <v>Neutral</v>
      </c>
      <c r="O89" s="12" t="str">
        <f aca="false">IFERROR(textjoin(" ",TRUE(),IF(INDEX('Layer B — pod writeups'!$G:$G,MATCH('Layer A — raw data (SOURCED)'!$A89,'Layer B — pod writeups'!$A:$A,0))="Y","DH",""),IF(INDEX('Layer B — pod writeups'!$H:$H,MATCH('Layer A — raw data (SOURCED)'!$A89,'Layer B — pod writeups'!$A:$A,0))="Y","FADE",""),IF(INDEX('Layer B — pod writeups'!$I:$I,MATCH('Layer A — raw data (SOURCED)'!$A89,'Layer B — pod writeups'!$A:$A,0))="Y","SPLIT",""),IF(INDEX('Layer B — pod writeups'!$J:$J,MATCH('Layer A — raw data (SOURCED)'!$A89,'Layer B — pod writeups'!$A:$A,0))="Y","VAR","")),"")</f>
        <v/>
      </c>
      <c r="P89" s="13" t="str">
        <f aca="false">IFERROR(INDEX('Layer B — pod writeups'!$L:$L,MATCH('Layer A — raw data (SOURCED)'!$A89,'Layer B — pod writeups'!$A:$A,0)),"")</f>
        <v>Opens Norfolk State; at Virginia Tech (won 3 of last 7 vs Hokies — noise chance); ECU home (sneaky tough); then JMU; downspot at Georgia State after Va Tech. All five remaining road games winnable (Georgia State, App State, La Tech, Coastal, UConn). Weird late UConn trip (has a bye before it).</v>
      </c>
      <c r="Q89" s="13" t="str">
        <f aca="false">IFERROR(INDEX('Layer B — pod writeups'!$N:$N,MATCH('Layer A — raw data (SOURCED)'!$A89,'Layer B — pod writeups'!$A:$A,0)),"")</f>
        <v>Both lean UNDER 7.5 (Stuckey projects 7.4-ish, no bet; Calabrese under). Ricky Rahne has built the culture, but the OFFENSE is the worry: lost QB Colton Joseph (Wisconsin), 3 WRs to P4, and the ENTIRE OL (all five started every game, 7,500+ career FBS snaps) — the 2026 line has ZERO career FBS starts (Elon C Braylan Walker + a JUCO LT). New first-time play-caller Cody Cook (Decker left for Memphis). Fell from 66th → 114th in returning production. Defense returns 8 of top-15 snaps (maybe the best LB group in the Belt) but the havoc creators/turnover luck (25 takeaways, 9th) may regress. 2024's 10 wins were schedule-timed; a real step back likely.</v>
      </c>
    </row>
    <row r="90" customFormat="false" ht="68.25" hidden="false" customHeight="true" outlineLevel="0" collapsed="false">
      <c r="A90" s="12" t="str">
        <f aca="false">'Layer A — raw data (SOURCED)'!O90</f>
        <v>Pac12</v>
      </c>
      <c r="B90" s="12" t="str">
        <f aca="false">'Layer A — raw data (SOURCED)'!A90</f>
        <v>Texas State</v>
      </c>
      <c r="C90" s="13" t="str">
        <f aca="false">'Layer A — raw data (SOURCED)'!O90</f>
        <v>Pac12</v>
      </c>
      <c r="D90" s="12" t="n">
        <f aca="false">'Layer A — raw data (SOURCED)'!B90</f>
        <v>6.5</v>
      </c>
      <c r="E90" s="12" t="n">
        <f aca="false">'Layer A — raw data (SOURCED)'!C90</f>
        <v>89</v>
      </c>
      <c r="F90" s="12" t="n">
        <f aca="false">'Layer A — raw data (SOURCED)'!D90</f>
        <v>-5.9</v>
      </c>
      <c r="G90" s="12" t="n">
        <f aca="false">'Layer A — raw data (SOURCED)'!E90</f>
        <v>56</v>
      </c>
      <c r="H90" s="12" t="n">
        <f aca="false">'Layer A — raw data (SOURCED)'!H90</f>
        <v>2</v>
      </c>
      <c r="I90" s="12" t="n">
        <f aca="false">'Layer A — raw data (SOURCED)'!K90</f>
        <v>7.5</v>
      </c>
      <c r="J90" s="12" t="n">
        <f aca="false">'Layer A — raw data (SOURCED)'!L90</f>
        <v>1</v>
      </c>
      <c r="K90" s="13" t="str">
        <f aca="false">IFERROR(INDEX('Layer B — pod writeups'!$B:$B,MATCH('Layer A — raw data (SOURCED)'!$A90,'Layer B — pod writeups'!$A:$A,0)),"")</f>
        <v>Transfer — Malik Murphy</v>
      </c>
      <c r="L90" s="13" t="str">
        <f aca="false">IFERROR(textjoin(" | ",TRUE(),IF(INDEX('Layer B — pod writeups'!$C:$C,MATCH('Layer A — raw data (SOURCED)'!$A90,'Layer B — pod writeups'!$A:$A,0))="","","HC "&amp;INDEX('Layer B — pod writeups'!$C:$C,MATCH('Layer A — raw data (SOURCED)'!$A90,'Layer B — pod writeups'!$A:$A,0))),IF(INDEX('Layer B — pod writeups'!$D:$D,MATCH('Layer A — raw data (SOURCED)'!$A90,'Layer B — pod writeups'!$A:$A,0))="","","OC "&amp;INDEX('Layer B — pod writeups'!$D:$D,MATCH('Layer A — raw data (SOURCED)'!$A90,'Layer B — pod writeups'!$A:$A,0))),IF(INDEX('Layer B — pod writeups'!$E:$E,MATCH('Layer A — raw data (SOURCED)'!$A90,'Layer B — pod writeups'!$A:$A,0))="","","DC "&amp;INDEX('Layer B — pod writeups'!$E:$E,MATCH('Layer A — raw data (SOURCED)'!$A90,'Layer B — pod writeups'!$A:$A,0)))),"")</f>
        <v/>
      </c>
      <c r="M90" s="12" t="str">
        <f aca="false">IFERROR(INDEX('Layer B — pod writeups'!$F:$F,MATCH('Layer A — raw data (SOURCED)'!$A90,'Layer B — pod writeups'!$A:$A,0)),"")</f>
        <v>Lean Over</v>
      </c>
      <c r="N90" s="12" t="str">
        <f aca="false">IFERROR(INDEX('Layer B — pod writeups'!$K:$K,MATCH('Layer A — raw data (SOURCED)'!$A90,'Layer B — pod writeups'!$A:$A,0)),"")</f>
        <v>Brutal (early)</v>
      </c>
      <c r="O90" s="12" t="str">
        <f aca="false">IFERROR(textjoin(" ",TRUE(),IF(INDEX('Layer B — pod writeups'!$G:$G,MATCH('Layer A — raw data (SOURCED)'!$A90,'Layer B — pod writeups'!$A:$A,0))="Y","DH",""),IF(INDEX('Layer B — pod writeups'!$H:$H,MATCH('Layer A — raw data (SOURCED)'!$A90,'Layer B — pod writeups'!$A:$A,0))="Y","FADE",""),IF(INDEX('Layer B — pod writeups'!$I:$I,MATCH('Layer A — raw data (SOURCED)'!$A90,'Layer B — pod writeups'!$A:$A,0))="Y","SPLIT",""),IF(INDEX('Layer B — pod writeups'!$J:$J,MATCH('Layer A — raw data (SOURCED)'!$A90,'Layer B — pod writeups'!$A:$A,0))="Y","VAR","")),"")</f>
        <v/>
      </c>
      <c r="P90" s="13" t="str">
        <f aca="false">IFERROR(INDEX('Layer B — pod writeups'!$L:$L,MATCH('Layer A — raw data (SOURCED)'!$A90,'Layer B — pod writeups'!$A:$A,0)),"")</f>
        <v>Full round-robin (plays all 7 other members) — no in-conf avoids. Wk13 FLEX (projected): vs Colorado State (may not count). Non-con gauntlet: @ Texas, UTSA, North Texas, Incarnate Word.</v>
      </c>
      <c r="Q90" s="13" t="str">
        <f aca="false">IFERROR(INDEX('Layer B — pod writeups'!$N:$N,MATCH('Layer A — raw data (SOURCED)'!$A90,'Layer B — pod writeups'!$A:$A,0)),"")</f>
        <v>FLEX-GAME CAVEAT BITES HARDEST: Collin's ~7.5 is explicitly on an 11-GAME schedule; prefers over 6.5 (+130) or the Pac-12 Championship-game bet (+200). Explosive offense is the identity ('when you watch the offense you'd think they win this league'); QB Malik Murphy. Defense is the question and the early schedule is brutal (Houston, Texas Tech, FCS-top-5 Montana). Dark-horse to make the title game.</v>
      </c>
    </row>
    <row r="91" customFormat="false" ht="124.5" hidden="false" customHeight="true" outlineLevel="0" collapsed="false">
      <c r="A91" s="12" t="str">
        <f aca="false">'Layer A — raw data (SOURCED)'!O91</f>
        <v>Sun Belt</v>
      </c>
      <c r="B91" s="12" t="str">
        <f aca="false">'Layer A — raw data (SOURCED)'!A91</f>
        <v>Troy</v>
      </c>
      <c r="C91" s="13" t="str">
        <f aca="false">'Layer A — raw data (SOURCED)'!O91</f>
        <v>Sun Belt</v>
      </c>
      <c r="D91" s="12" t="n">
        <f aca="false">'Layer A — raw data (SOURCED)'!B91</f>
        <v>6.5</v>
      </c>
      <c r="E91" s="12" t="n">
        <f aca="false">'Layer A — raw data (SOURCED)'!C91</f>
        <v>90</v>
      </c>
      <c r="F91" s="12" t="n">
        <f aca="false">'Layer A — raw data (SOURCED)'!D91</f>
        <v>-6</v>
      </c>
      <c r="G91" s="12" t="n">
        <f aca="false">'Layer A — raw data (SOURCED)'!E91</f>
        <v>39</v>
      </c>
      <c r="H91" s="12" t="n">
        <f aca="false">'Layer A — raw data (SOURCED)'!H91</f>
        <v>-4</v>
      </c>
      <c r="I91" s="12" t="n">
        <f aca="false">'Layer A — raw data (SOURCED)'!K91</f>
        <v>7.4</v>
      </c>
      <c r="J91" s="12" t="n">
        <f aca="false">'Layer A — raw data (SOURCED)'!L91</f>
        <v>0.9</v>
      </c>
      <c r="K91" s="13" t="str">
        <f aca="false">IFERROR(INDEX('Layer B — pod writeups'!$B:$B,MATCH('Layer A — raw data (SOURCED)'!$A91,'Layer B — pod writeups'!$A:$A,0)),"")</f>
        <v>Returning (both back) — Goose Crowder (incumbent, injury-prone, health the whole question; sub-7 YPA / &lt;8.5 aDOT in 2024) + Tucker Kilcrease (returning; a bit better) [new veer-and-shoot scheme adds tempo/RPO/motion — can Goose hit the deep shots it needs?]</v>
      </c>
      <c r="L91" s="13" t="str">
        <f aca="false">IFERROR(textjoin(" | ",TRUE(),IF(INDEX('Layer B — pod writeups'!$C:$C,MATCH('Layer A — raw data (SOURCED)'!$A91,'Layer B — pod writeups'!$A:$A,0))="","","HC "&amp;INDEX('Layer B — pod writeups'!$C:$C,MATCH('Layer A — raw data (SOURCED)'!$A91,'Layer B — pod writeups'!$A:$A,0))),IF(INDEX('Layer B — pod writeups'!$D:$D,MATCH('Layer A — raw data (SOURCED)'!$A91,'Layer B — pod writeups'!$A:$A,0))="","","OC "&amp;INDEX('Layer B — pod writeups'!$D:$D,MATCH('Layer A — raw data (SOURCED)'!$A91,'Layer B — pod writeups'!$A:$A,0))),IF(INDEX('Layer B — pod writeups'!$E:$E,MATCH('Layer A — raw data (SOURCED)'!$A91,'Layer B — pod writeups'!$A:$A,0))="","","DC "&amp;INDEX('Layer B — pod writeups'!$E:$E,MATCH('Layer A — raw data (SOURCED)'!$A91,'Layer B — pod writeups'!$A:$A,0)))),"")</f>
        <v/>
      </c>
      <c r="M91" s="12" t="str">
        <f aca="false">IFERROR(INDEX('Layer B — pod writeups'!$F:$F,MATCH('Layer A — raw data (SOURCED)'!$A91,'Layer B — pod writeups'!$A:$A,0)),"")</f>
        <v>No Play</v>
      </c>
      <c r="N91" s="12" t="str">
        <f aca="false">IFERROR(INDEX('Layer B — pod writeups'!$K:$K,MATCH('Layer A — raw data (SOURCED)'!$A91,'Layer B — pod writeups'!$A:$A,0)),"")</f>
        <v>Neutral</v>
      </c>
      <c r="O91" s="12" t="str">
        <f aca="false">IFERROR(textjoin(" ",TRUE(),IF(INDEX('Layer B — pod writeups'!$G:$G,MATCH('Layer A — raw data (SOURCED)'!$A91,'Layer B — pod writeups'!$A:$A,0))="Y","DH",""),IF(INDEX('Layer B — pod writeups'!$H:$H,MATCH('Layer A — raw data (SOURCED)'!$A91,'Layer B — pod writeups'!$A:$A,0))="Y","FADE",""),IF(INDEX('Layer B — pod writeups'!$I:$I,MATCH('Layer A — raw data (SOURCED)'!$A91,'Layer B — pod writeups'!$A:$A,0))="Y","SPLIT",""),IF(INDEX('Layer B — pod writeups'!$J:$J,MATCH('Layer A — raw data (SOURCED)'!$A91,'Layer B — pod writeups'!$A:$A,0))="Y","VAR","")),"")</f>
        <v/>
      </c>
      <c r="P91" s="13" t="str">
        <f aca="false">IFERROR(INDEX('Layer B — pod writeups'!$L:$L,MATCH('Layer A — raw data (SOURCED)'!$A91,'Layer B — pod writeups'!$A:$A,0)),"")</f>
        <v>Should win every conference HOME game (Southern Miss, ULM, La Tech, Georgia Southern). Starts 2-0 then tough road games; hosts Arkansas State in the finale (possible division decider).</v>
      </c>
      <c r="Q91" s="13" t="str">
        <f aca="false">IFERROR(INDEX('Layer B — pod writeups'!$N:$N,MATCH('Layer A — raw data (SOURCED)'!$A91,'Layer B — pod writeups'!$A:$A,0)),"")</f>
        <v>A pass on the total (Stuckey ~market, no future; Duck projects 7.4-8 but doesn't love them). Contender in a WIDE-OPEN West (Stuckey has the top 5 within a field goal). Goes 19th → 119th in returning production but keeps BOTH QBs. New veer-and-shoot OC (from a high-scoring Tarleton State) with tight splits/slow-mesh RPOs — but the 2024 OL allowed a FBS-worst 59 sacks (injury-riddled; some guys who started at tackle project to 3rd-string now). Lost the top-6 WRs. The 2024 calling-card D graduated most of its front (Donnie Smith-type edge Chris Culliver-... gone; DE Donnie Smith-... ) — leans on DE Donnie Smith? no: keeps DE Donnie Smith equivalents + adds portal, but the DL basically graduated. High variance.</v>
      </c>
    </row>
    <row r="92" customFormat="false" ht="68.25" hidden="false" customHeight="true" outlineLevel="0" collapsed="false">
      <c r="A92" s="12" t="str">
        <f aca="false">'Layer A — raw data (SOURCED)'!O92</f>
        <v>Pac12</v>
      </c>
      <c r="B92" s="12" t="str">
        <f aca="false">'Layer A — raw data (SOURCED)'!A92</f>
        <v>Oregon State</v>
      </c>
      <c r="C92" s="13" t="str">
        <f aca="false">'Layer A — raw data (SOURCED)'!O92</f>
        <v>Pac12</v>
      </c>
      <c r="D92" s="12" t="n">
        <f aca="false">'Layer A — raw data (SOURCED)'!B92</f>
        <v>4.5</v>
      </c>
      <c r="E92" s="12" t="n">
        <f aca="false">'Layer A — raw data (SOURCED)'!C92</f>
        <v>91</v>
      </c>
      <c r="F92" s="12" t="n">
        <f aca="false">'Layer A — raw data (SOURCED)'!D92</f>
        <v>-6.3</v>
      </c>
      <c r="G92" s="12" t="n">
        <f aca="false">'Layer A — raw data (SOURCED)'!E92</f>
        <v>47</v>
      </c>
      <c r="H92" s="12" t="n">
        <f aca="false">'Layer A — raw data (SOURCED)'!H92</f>
        <v>-1</v>
      </c>
      <c r="I92" s="12" t="n">
        <f aca="false">'Layer A — raw data (SOURCED)'!K92</f>
        <v>3.8</v>
      </c>
      <c r="J92" s="12" t="n">
        <f aca="false">'Layer A — raw data (SOURCED)'!L92</f>
        <v>-0.7</v>
      </c>
      <c r="K92" s="13" t="str">
        <f aca="false">IFERROR(INDEX('Layer B — pod writeups'!$B:$B,MATCH('Layer A — raw data (SOURCED)'!$A92,'Layer B — pod writeups'!$A:$A,0)),"")</f>
        <v>Unsettled</v>
      </c>
      <c r="L92" s="13" t="str">
        <f aca="false">IFERROR(textjoin(" | ",TRUE(),IF(INDEX('Layer B — pod writeups'!$C:$C,MATCH('Layer A — raw data (SOURCED)'!$A92,'Layer B — pod writeups'!$A:$A,0))="","","HC "&amp;INDEX('Layer B — pod writeups'!$C:$C,MATCH('Layer A — raw data (SOURCED)'!$A92,'Layer B — pod writeups'!$A:$A,0))),IF(INDEX('Layer B — pod writeups'!$D:$D,MATCH('Layer A — raw data (SOURCED)'!$A92,'Layer B — pod writeups'!$A:$A,0))="","","OC "&amp;INDEX('Layer B — pod writeups'!$D:$D,MATCH('Layer A — raw data (SOURCED)'!$A92,'Layer B — pod writeups'!$A:$A,0))),IF(INDEX('Layer B — pod writeups'!$E:$E,MATCH('Layer A — raw data (SOURCED)'!$A92,'Layer B — pod writeups'!$A:$A,0))="","","DC "&amp;INDEX('Layer B — pod writeups'!$E:$E,MATCH('Layer A — raw data (SOURCED)'!$A92,'Layer B — pod writeups'!$A:$A,0)))),"")</f>
        <v/>
      </c>
      <c r="M92" s="12" t="str">
        <f aca="false">IFERROR(INDEX('Layer B — pod writeups'!$F:$F,MATCH('Layer A — raw data (SOURCED)'!$A92,'Layer B — pod writeups'!$A:$A,0)),"")</f>
        <v>No Play</v>
      </c>
      <c r="N92" s="12" t="str">
        <f aca="false">IFERROR(INDEX('Layer B — pod writeups'!$K:$K,MATCH('Layer A — raw data (SOURCED)'!$A92,'Layer B — pod writeups'!$A:$A,0)),"")</f>
        <v>Neutral</v>
      </c>
      <c r="O92" s="12" t="str">
        <f aca="false">IFERROR(textjoin(" ",TRUE(),IF(INDEX('Layer B — pod writeups'!$G:$G,MATCH('Layer A — raw data (SOURCED)'!$A92,'Layer B — pod writeups'!$A:$A,0))="Y","DH",""),IF(INDEX('Layer B — pod writeups'!$H:$H,MATCH('Layer A — raw data (SOURCED)'!$A92,'Layer B — pod writeups'!$A:$A,0))="Y","FADE",""),IF(INDEX('Layer B — pod writeups'!$I:$I,MATCH('Layer A — raw data (SOURCED)'!$A92,'Layer B — pod writeups'!$A:$A,0))="Y","SPLIT",""),IF(INDEX('Layer B — pod writeups'!$J:$J,MATCH('Layer A — raw data (SOURCED)'!$A92,'Layer B — pod writeups'!$A:$A,0))="Y","VAR","")),"")</f>
        <v/>
      </c>
      <c r="P92" s="13" t="str">
        <f aca="false">IFERROR(INDEX('Layer B — pod writeups'!$L:$L,MATCH('Layer A — raw data (SOURCED)'!$A92,'Layer B — pod writeups'!$A:$A,0)),"")</f>
        <v>Full round-robin (plays all 7 other members) — no in-conf avoids. Wk13 FLEX (projected): vs Washington State (may not count). Non-con: @ Houston, Texas Tech, Montana (FCS semifinalist), @ UTEP.</v>
      </c>
      <c r="Q92" s="13" t="str">
        <f aca="false">IFERROR(INDEX('Layer B — pod writeups'!$N:$N,MATCH('Layer A — raw data (SOURCED)'!$A92,'Layer B — pod writeups'!$A:$A,0)),"")</f>
        <v>Bottom-tier anchor. New HC Trent Bray back in a DC-suited role — pod likes him as a defensive play-caller (architect of the 2022 double-digit-win OSU defense) despite flaming out as HC. D-line adds Zunk &amp; McLean; FCS transfer Jeremy Bernard into a potentially good secondary; 5 starters back on D. Offense is the drag — ~90th in returning OL experience, two new tackles. Proud home program, low ceiling. Rebuild year.</v>
      </c>
    </row>
    <row r="93" customFormat="false" ht="113.25" hidden="false" customHeight="true" outlineLevel="0" collapsed="false">
      <c r="A93" s="12" t="str">
        <f aca="false">'Layer A — raw data (SOURCED)'!O93</f>
        <v>Sun Belt</v>
      </c>
      <c r="B93" s="12" t="str">
        <f aca="false">'Layer A — raw data (SOURCED)'!A93</f>
        <v>Marshall</v>
      </c>
      <c r="C93" s="13" t="str">
        <f aca="false">'Layer A — raw data (SOURCED)'!O93</f>
        <v>Sun Belt</v>
      </c>
      <c r="D93" s="12" t="n">
        <f aca="false">'Layer A — raw data (SOURCED)'!B93</f>
        <v>7.5</v>
      </c>
      <c r="E93" s="12" t="n">
        <f aca="false">'Layer A — raw data (SOURCED)'!C93</f>
        <v>92</v>
      </c>
      <c r="F93" s="12" t="n">
        <f aca="false">'Layer A — raw data (SOURCED)'!D93</f>
        <v>-6.4</v>
      </c>
      <c r="G93" s="12" t="n">
        <f aca="false">'Layer A — raw data (SOURCED)'!E93</f>
        <v>48</v>
      </c>
      <c r="H93" s="12" t="n">
        <f aca="false">'Layer A — raw data (SOURCED)'!H93</f>
        <v>-0.5</v>
      </c>
      <c r="I93" s="12" t="n">
        <f aca="false">'Layer A — raw data (SOURCED)'!K93</f>
        <v>7.6</v>
      </c>
      <c r="J93" s="12" t="n">
        <f aca="false">'Layer A — raw data (SOURCED)'!L93</f>
        <v>0.0999999999999996</v>
      </c>
      <c r="K93" s="13" t="str">
        <f aca="false">IFERROR(INDEX('Layer B — pod writeups'!$B:$B,MATCH('Layer A — raw data (SOURCED)'!$A93,'Layer B — pod writeups'!$A:$A,0)),"")</f>
        <v>Returning — Carlos del Rio-Wilson 'CDRW' (incumbent, mobile; went 5-3 when he started AND finished games in 2024; hosts call him possibly the BEST QB in the conference) [backups Zion Turner + Khalil Wilkins limit the drop-off if he's hurt; RB-committee offense, only 119th in pass rate]</v>
      </c>
      <c r="L93" s="13" t="str">
        <f aca="false">IFERROR(textjoin(" | ",TRUE(),IF(INDEX('Layer B — pod writeups'!$C:$C,MATCH('Layer A — raw data (SOURCED)'!$A93,'Layer B — pod writeups'!$A:$A,0))="","","HC "&amp;INDEX('Layer B — pod writeups'!$C:$C,MATCH('Layer A — raw data (SOURCED)'!$A93,'Layer B — pod writeups'!$A:$A,0))),IF(INDEX('Layer B — pod writeups'!$D:$D,MATCH('Layer A — raw data (SOURCED)'!$A93,'Layer B — pod writeups'!$A:$A,0))="","","OC "&amp;INDEX('Layer B — pod writeups'!$D:$D,MATCH('Layer A — raw data (SOURCED)'!$A93,'Layer B — pod writeups'!$A:$A,0))),IF(INDEX('Layer B — pod writeups'!$E:$E,MATCH('Layer A — raw data (SOURCED)'!$A93,'Layer B — pod writeups'!$A:$A,0))="","","DC "&amp;INDEX('Layer B — pod writeups'!$E:$E,MATCH('Layer A — raw data (SOURCED)'!$A93,'Layer B — pod writeups'!$A:$A,0)))),"")</f>
        <v/>
      </c>
      <c r="M93" s="12" t="str">
        <f aca="false">IFERROR(INDEX('Layer B — pod writeups'!$F:$F,MATCH('Layer A — raw data (SOURCED)'!$A93,'Layer B — pod writeups'!$A:$A,0)),"")</f>
        <v>Lean Over</v>
      </c>
      <c r="N93" s="12" t="str">
        <f aca="false">IFERROR(INDEX('Layer B — pod writeups'!$K:$K,MATCH('Layer A — raw data (SOURCED)'!$A93,'Layer B — pod writeups'!$A:$A,0)),"")</f>
        <v>Brutal</v>
      </c>
      <c r="O93" s="12" t="str">
        <f aca="false">IFERROR(textjoin(" ",TRUE(),IF(INDEX('Layer B — pod writeups'!$G:$G,MATCH('Layer A — raw data (SOURCED)'!$A93,'Layer B — pod writeups'!$A:$A,0))="Y","DH",""),IF(INDEX('Layer B — pod writeups'!$H:$H,MATCH('Layer A — raw data (SOURCED)'!$A93,'Layer B — pod writeups'!$A:$A,0))="Y","FADE",""),IF(INDEX('Layer B — pod writeups'!$I:$I,MATCH('Layer A — raw data (SOURCED)'!$A93,'Layer B — pod writeups'!$A:$A,0))="Y","SPLIT",""),IF(INDEX('Layer B — pod writeups'!$J:$J,MATCH('Layer A — raw data (SOURCED)'!$A93,'Layer B — pod writeups'!$A:$A,0))="Y","VAR","")),"")</f>
        <v/>
      </c>
      <c r="P93" s="13" t="str">
        <f aca="false">IFERROR(INDEX('Layer B — pod writeups'!$L:$L,MATCH('Layer A — raw data (SOURCED)'!$A93,'Layer B — pod writeups'!$A:$A,0)),"")</f>
        <v>Non-con at Penn State (+24.5, hang-around spot) then should blast Middle Tennessee + Gardner-Webb (Missouri State a red-ink revenge game). Great WEST draw (South Alabama + ULM). BUT plays BOTH JMU and ODU on the ROAD — must split to reach the tiebreaker.</v>
      </c>
      <c r="Q93" s="13" t="str">
        <f aca="false">IFERROR(INDEX('Layer B — pod writeups'!$N:$N,MATCH('Layer A — raw data (SOURCED)'!$A93,'Layer B — pod writeups'!$A:$A,0)),"")</f>
        <v>Stuckey's + Calabrese's dark-horse to win the East (~10-1; both take a shot; over 7.5). 2024 was a year-zero (Gibson took over after the whole team followed Charles Huff to Southern Miss — 75 new players) and they STILL went 5-7 with a 1-4 one-score record while out-gaining JMU/ULL/App State in losses — easily an 8-win team. Now a senior-laden offense in Gibson yr2, CDRW back, new DC Brad Lambert (a Broyles nominee in his first Marshall stint, elite situational D). 88th in returning production (highest in the East). The 2024 D was horrendous (bottom-10 in explosives allowed) — Donnie Smith (11 sacks) back + portal DL should help. Could be 6-1 before the ODU game.</v>
      </c>
    </row>
    <row r="94" customFormat="false" ht="15" hidden="false" customHeight="true" outlineLevel="0" collapsed="false">
      <c r="A94" s="12" t="str">
        <f aca="false">'Layer A — raw data (SOURCED)'!O94</f>
        <v>CUSA</v>
      </c>
      <c r="B94" s="12" t="str">
        <f aca="false">'Layer A — raw data (SOURCED)'!A94</f>
        <v>Liberty</v>
      </c>
      <c r="C94" s="13" t="str">
        <f aca="false">'Layer A — raw data (SOURCED)'!O94</f>
        <v>CUSA</v>
      </c>
      <c r="D94" s="12" t="n">
        <f aca="false">'Layer A — raw data (SOURCED)'!B94</f>
        <v>8.5</v>
      </c>
      <c r="E94" s="12" t="n">
        <f aca="false">'Layer A — raw data (SOURCED)'!C94</f>
        <v>93</v>
      </c>
      <c r="F94" s="12" t="n">
        <f aca="false">'Layer A — raw data (SOURCED)'!D94</f>
        <v>-6.4</v>
      </c>
      <c r="G94" s="12" t="n">
        <f aca="false">'Layer A — raw data (SOURCED)'!E94</f>
        <v>57</v>
      </c>
      <c r="H94" s="12" t="n">
        <f aca="false">'Layer A — raw data (SOURCED)'!H94</f>
        <v>1</v>
      </c>
      <c r="I94" s="12" t="n">
        <f aca="false">'Layer A — raw data (SOURCED)'!K94</f>
        <v>0</v>
      </c>
      <c r="J94" s="12" t="str">
        <f aca="false">'Layer A — raw data (SOURCED)'!L94</f>
        <v/>
      </c>
      <c r="K94" s="13" t="str">
        <f aca="false">IFERROR(INDEX('Layer B — pod writeups'!$B:$B,MATCH('Layer A — raw data (SOURCED)'!$A94,'Layer B — pod writeups'!$A:$A,0)),"")</f>
        <v/>
      </c>
      <c r="L94" s="13" t="str">
        <f aca="false">IFERROR(textjoin(" | ",TRUE(),IF(INDEX('Layer B — pod writeups'!$C:$C,MATCH('Layer A — raw data (SOURCED)'!$A94,'Layer B — pod writeups'!$A:$A,0))="","","HC "&amp;INDEX('Layer B — pod writeups'!$C:$C,MATCH('Layer A — raw data (SOURCED)'!$A94,'Layer B — pod writeups'!$A:$A,0))),IF(INDEX('Layer B — pod writeups'!$D:$D,MATCH('Layer A — raw data (SOURCED)'!$A94,'Layer B — pod writeups'!$A:$A,0))="","","OC "&amp;INDEX('Layer B — pod writeups'!$D:$D,MATCH('Layer A — raw data (SOURCED)'!$A94,'Layer B — pod writeups'!$A:$A,0))),IF(INDEX('Layer B — pod writeups'!$E:$E,MATCH('Layer A — raw data (SOURCED)'!$A94,'Layer B — pod writeups'!$A:$A,0))="","","DC "&amp;INDEX('Layer B — pod writeups'!$E:$E,MATCH('Layer A — raw data (SOURCED)'!$A94,'Layer B — pod writeups'!$A:$A,0)))),"")</f>
        <v/>
      </c>
      <c r="M94" s="12" t="str">
        <f aca="false">IFERROR(INDEX('Layer B — pod writeups'!$F:$F,MATCH('Layer A — raw data (SOURCED)'!$A94,'Layer B — pod writeups'!$A:$A,0)),"")</f>
        <v/>
      </c>
      <c r="N94" s="12" t="str">
        <f aca="false">IFERROR(INDEX('Layer B — pod writeups'!$K:$K,MATCH('Layer A — raw data (SOURCED)'!$A94,'Layer B — pod writeups'!$A:$A,0)),"")</f>
        <v/>
      </c>
      <c r="O94" s="12" t="str">
        <f aca="false">IFERROR(textjoin(" ",TRUE(),IF(INDEX('Layer B — pod writeups'!$G:$G,MATCH('Layer A — raw data (SOURCED)'!$A94,'Layer B — pod writeups'!$A:$A,0))="Y","DH",""),IF(INDEX('Layer B — pod writeups'!$H:$H,MATCH('Layer A — raw data (SOURCED)'!$A94,'Layer B — pod writeups'!$A:$A,0))="Y","FADE",""),IF(INDEX('Layer B — pod writeups'!$I:$I,MATCH('Layer A — raw data (SOURCED)'!$A94,'Layer B — pod writeups'!$A:$A,0))="Y","SPLIT",""),IF(INDEX('Layer B — pod writeups'!$J:$J,MATCH('Layer A — raw data (SOURCED)'!$A94,'Layer B — pod writeups'!$A:$A,0))="Y","VAR","")),"")</f>
        <v/>
      </c>
      <c r="P94" s="13" t="str">
        <f aca="false">IFERROR(INDEX('Layer B — pod writeups'!$L:$L,MATCH('Layer A — raw data (SOURCED)'!$A94,'Layer B — pod writeups'!$A:$A,0)),"")</f>
        <v/>
      </c>
      <c r="Q94" s="13" t="str">
        <f aca="false">IFERROR(INDEX('Layer B — pod writeups'!$N:$N,MATCH('Layer A — raw data (SOURCED)'!$A94,'Layer B — pod writeups'!$A:$A,0)),"")</f>
        <v/>
      </c>
    </row>
    <row r="95" customFormat="false" ht="15" hidden="false" customHeight="true" outlineLevel="0" collapsed="false">
      <c r="A95" s="12" t="str">
        <f aca="false">'Layer A — raw data (SOURCED)'!O95</f>
        <v>AAC</v>
      </c>
      <c r="B95" s="12" t="str">
        <f aca="false">'Layer A — raw data (SOURCED)'!A95</f>
        <v>Florida Atlantic</v>
      </c>
      <c r="C95" s="13" t="str">
        <f aca="false">'Layer A — raw data (SOURCED)'!O95</f>
        <v>AAC</v>
      </c>
      <c r="D95" s="12" t="n">
        <f aca="false">'Layer A — raw data (SOURCED)'!B95</f>
        <v>5.5</v>
      </c>
      <c r="E95" s="12" t="n">
        <f aca="false">'Layer A — raw data (SOURCED)'!C95</f>
        <v>94</v>
      </c>
      <c r="F95" s="12" t="n">
        <f aca="false">'Layer A — raw data (SOURCED)'!D95</f>
        <v>-7.1</v>
      </c>
      <c r="G95" s="12" t="n">
        <f aca="false">'Layer A — raw data (SOURCED)'!E95</f>
        <v>64</v>
      </c>
      <c r="H95" s="12" t="n">
        <f aca="false">'Layer A — raw data (SOURCED)'!H95</f>
        <v>6</v>
      </c>
      <c r="I95" s="12" t="n">
        <f aca="false">'Layer A — raw data (SOURCED)'!K95</f>
        <v>0</v>
      </c>
      <c r="J95" s="12" t="str">
        <f aca="false">'Layer A — raw data (SOURCED)'!L95</f>
        <v/>
      </c>
      <c r="K95" s="13" t="str">
        <f aca="false">IFERROR(INDEX('Layer B — pod writeups'!$B:$B,MATCH('Layer A — raw data (SOURCED)'!$A95,'Layer B — pod writeups'!$A:$A,0)),"")</f>
        <v/>
      </c>
      <c r="L95" s="13" t="str">
        <f aca="false">IFERROR(textjoin(" | ",TRUE(),IF(INDEX('Layer B — pod writeups'!$C:$C,MATCH('Layer A — raw data (SOURCED)'!$A95,'Layer B — pod writeups'!$A:$A,0))="","","HC "&amp;INDEX('Layer B — pod writeups'!$C:$C,MATCH('Layer A — raw data (SOURCED)'!$A95,'Layer B — pod writeups'!$A:$A,0))),IF(INDEX('Layer B — pod writeups'!$D:$D,MATCH('Layer A — raw data (SOURCED)'!$A95,'Layer B — pod writeups'!$A:$A,0))="","","OC "&amp;INDEX('Layer B — pod writeups'!$D:$D,MATCH('Layer A — raw data (SOURCED)'!$A95,'Layer B — pod writeups'!$A:$A,0))),IF(INDEX('Layer B — pod writeups'!$E:$E,MATCH('Layer A — raw data (SOURCED)'!$A95,'Layer B — pod writeups'!$A:$A,0))="","","DC "&amp;INDEX('Layer B — pod writeups'!$E:$E,MATCH('Layer A — raw data (SOURCED)'!$A95,'Layer B — pod writeups'!$A:$A,0)))),"")</f>
        <v/>
      </c>
      <c r="M95" s="12" t="str">
        <f aca="false">IFERROR(INDEX('Layer B — pod writeups'!$F:$F,MATCH('Layer A — raw data (SOURCED)'!$A95,'Layer B — pod writeups'!$A:$A,0)),"")</f>
        <v/>
      </c>
      <c r="N95" s="12" t="str">
        <f aca="false">IFERROR(INDEX('Layer B — pod writeups'!$K:$K,MATCH('Layer A — raw data (SOURCED)'!$A95,'Layer B — pod writeups'!$A:$A,0)),"")</f>
        <v/>
      </c>
      <c r="O95" s="12" t="str">
        <f aca="false">IFERROR(textjoin(" ",TRUE(),IF(INDEX('Layer B — pod writeups'!$G:$G,MATCH('Layer A — raw data (SOURCED)'!$A95,'Layer B — pod writeups'!$A:$A,0))="Y","DH",""),IF(INDEX('Layer B — pod writeups'!$H:$H,MATCH('Layer A — raw data (SOURCED)'!$A95,'Layer B — pod writeups'!$A:$A,0))="Y","FADE",""),IF(INDEX('Layer B — pod writeups'!$I:$I,MATCH('Layer A — raw data (SOURCED)'!$A95,'Layer B — pod writeups'!$A:$A,0))="Y","SPLIT",""),IF(INDEX('Layer B — pod writeups'!$J:$J,MATCH('Layer A — raw data (SOURCED)'!$A95,'Layer B — pod writeups'!$A:$A,0))="Y","VAR","")),"")</f>
        <v/>
      </c>
      <c r="P95" s="13" t="str">
        <f aca="false">IFERROR(INDEX('Layer B — pod writeups'!$L:$L,MATCH('Layer A — raw data (SOURCED)'!$A95,'Layer B — pod writeups'!$A:$A,0)),"")</f>
        <v/>
      </c>
      <c r="Q95" s="13" t="str">
        <f aca="false">IFERROR(INDEX('Layer B — pod writeups'!$N:$N,MATCH('Layer A — raw data (SOURCED)'!$A95,'Layer B — pod writeups'!$A:$A,0)),"")</f>
        <v/>
      </c>
    </row>
    <row r="96" customFormat="false" ht="15" hidden="false" customHeight="true" outlineLevel="0" collapsed="false">
      <c r="A96" s="12" t="str">
        <f aca="false">'Layer A — raw data (SOURCED)'!O96</f>
        <v>MAC</v>
      </c>
      <c r="B96" s="12" t="str">
        <f aca="false">'Layer A — raw data (SOURCED)'!A96</f>
        <v>Western Michigan</v>
      </c>
      <c r="C96" s="13" t="str">
        <f aca="false">'Layer A — raw data (SOURCED)'!O96</f>
        <v>MAC</v>
      </c>
      <c r="D96" s="12" t="n">
        <f aca="false">'Layer A — raw data (SOURCED)'!B96</f>
        <v>7.5</v>
      </c>
      <c r="E96" s="12" t="n">
        <f aca="false">'Layer A — raw data (SOURCED)'!C96</f>
        <v>95</v>
      </c>
      <c r="F96" s="12" t="n">
        <f aca="false">'Layer A — raw data (SOURCED)'!D96</f>
        <v>-7.2</v>
      </c>
      <c r="G96" s="12" t="n">
        <f aca="false">'Layer A — raw data (SOURCED)'!E96</f>
        <v>51</v>
      </c>
      <c r="H96" s="12" t="n">
        <f aca="false">'Layer A — raw data (SOURCED)'!H96</f>
        <v>-1.5</v>
      </c>
      <c r="I96" s="12" t="n">
        <f aca="false">'Layer A — raw data (SOURCED)'!K96</f>
        <v>0</v>
      </c>
      <c r="J96" s="12" t="str">
        <f aca="false">'Layer A — raw data (SOURCED)'!L96</f>
        <v/>
      </c>
      <c r="K96" s="13" t="str">
        <f aca="false">IFERROR(INDEX('Layer B — pod writeups'!$B:$B,MATCH('Layer A — raw data (SOURCED)'!$A96,'Layer B — pod writeups'!$A:$A,0)),"")</f>
        <v/>
      </c>
      <c r="L96" s="13" t="str">
        <f aca="false">IFERROR(textjoin(" | ",TRUE(),IF(INDEX('Layer B — pod writeups'!$C:$C,MATCH('Layer A — raw data (SOURCED)'!$A96,'Layer B — pod writeups'!$A:$A,0))="","","HC "&amp;INDEX('Layer B — pod writeups'!$C:$C,MATCH('Layer A — raw data (SOURCED)'!$A96,'Layer B — pod writeups'!$A:$A,0))),IF(INDEX('Layer B — pod writeups'!$D:$D,MATCH('Layer A — raw data (SOURCED)'!$A96,'Layer B — pod writeups'!$A:$A,0))="","","OC "&amp;INDEX('Layer B — pod writeups'!$D:$D,MATCH('Layer A — raw data (SOURCED)'!$A96,'Layer B — pod writeups'!$A:$A,0))),IF(INDEX('Layer B — pod writeups'!$E:$E,MATCH('Layer A — raw data (SOURCED)'!$A96,'Layer B — pod writeups'!$A:$A,0))="","","DC "&amp;INDEX('Layer B — pod writeups'!$E:$E,MATCH('Layer A — raw data (SOURCED)'!$A96,'Layer B — pod writeups'!$A:$A,0)))),"")</f>
        <v/>
      </c>
      <c r="M96" s="12" t="str">
        <f aca="false">IFERROR(INDEX('Layer B — pod writeups'!$F:$F,MATCH('Layer A — raw data (SOURCED)'!$A96,'Layer B — pod writeups'!$A:$A,0)),"")</f>
        <v/>
      </c>
      <c r="N96" s="12" t="str">
        <f aca="false">IFERROR(INDEX('Layer B — pod writeups'!$K:$K,MATCH('Layer A — raw data (SOURCED)'!$A96,'Layer B — pod writeups'!$A:$A,0)),"")</f>
        <v/>
      </c>
      <c r="O96" s="12" t="str">
        <f aca="false">IFERROR(textjoin(" ",TRUE(),IF(INDEX('Layer B — pod writeups'!$G:$G,MATCH('Layer A — raw data (SOURCED)'!$A96,'Layer B — pod writeups'!$A:$A,0))="Y","DH",""),IF(INDEX('Layer B — pod writeups'!$H:$H,MATCH('Layer A — raw data (SOURCED)'!$A96,'Layer B — pod writeups'!$A:$A,0))="Y","FADE",""),IF(INDEX('Layer B — pod writeups'!$I:$I,MATCH('Layer A — raw data (SOURCED)'!$A96,'Layer B — pod writeups'!$A:$A,0))="Y","SPLIT",""),IF(INDEX('Layer B — pod writeups'!$J:$J,MATCH('Layer A — raw data (SOURCED)'!$A96,'Layer B — pod writeups'!$A:$A,0))="Y","VAR","")),"")</f>
        <v/>
      </c>
      <c r="P96" s="13" t="str">
        <f aca="false">IFERROR(INDEX('Layer B — pod writeups'!$L:$L,MATCH('Layer A — raw data (SOURCED)'!$A96,'Layer B — pod writeups'!$A:$A,0)),"")</f>
        <v/>
      </c>
      <c r="Q96" s="13" t="str">
        <f aca="false">IFERROR(INDEX('Layer B — pod writeups'!$N:$N,MATCH('Layer A — raw data (SOURCED)'!$A96,'Layer B — pod writeups'!$A:$A,0)),"")</f>
        <v/>
      </c>
    </row>
    <row r="97" customFormat="false" ht="15" hidden="false" customHeight="true" outlineLevel="0" collapsed="false">
      <c r="A97" s="12" t="str">
        <f aca="false">'Layer A — raw data (SOURCED)'!O97</f>
        <v>AAC</v>
      </c>
      <c r="B97" s="12" t="str">
        <f aca="false">'Layer A — raw data (SOURCED)'!A97</f>
        <v>Tulsa</v>
      </c>
      <c r="C97" s="13" t="str">
        <f aca="false">'Layer A — raw data (SOURCED)'!O97</f>
        <v>AAC</v>
      </c>
      <c r="D97" s="12" t="n">
        <f aca="false">'Layer A — raw data (SOURCED)'!B97</f>
        <v>5.5</v>
      </c>
      <c r="E97" s="12" t="n">
        <f aca="false">'Layer A — raw data (SOURCED)'!C97</f>
        <v>96</v>
      </c>
      <c r="F97" s="12" t="n">
        <f aca="false">'Layer A — raw data (SOURCED)'!D97</f>
        <v>-7.6</v>
      </c>
      <c r="G97" s="12" t="n">
        <f aca="false">'Layer A — raw data (SOURCED)'!E97</f>
        <v>62</v>
      </c>
      <c r="H97" s="12" t="n">
        <f aca="false">'Layer A — raw data (SOURCED)'!H97</f>
        <v>2.5</v>
      </c>
      <c r="I97" s="12" t="n">
        <f aca="false">'Layer A — raw data (SOURCED)'!K97</f>
        <v>0</v>
      </c>
      <c r="J97" s="12" t="str">
        <f aca="false">'Layer A — raw data (SOURCED)'!L97</f>
        <v/>
      </c>
      <c r="K97" s="13" t="str">
        <f aca="false">IFERROR(INDEX('Layer B — pod writeups'!$B:$B,MATCH('Layer A — raw data (SOURCED)'!$A97,'Layer B — pod writeups'!$A:$A,0)),"")</f>
        <v/>
      </c>
      <c r="L97" s="13" t="str">
        <f aca="false">IFERROR(textjoin(" | ",TRUE(),IF(INDEX('Layer B — pod writeups'!$C:$C,MATCH('Layer A — raw data (SOURCED)'!$A97,'Layer B — pod writeups'!$A:$A,0))="","","HC "&amp;INDEX('Layer B — pod writeups'!$C:$C,MATCH('Layer A — raw data (SOURCED)'!$A97,'Layer B — pod writeups'!$A:$A,0))),IF(INDEX('Layer B — pod writeups'!$D:$D,MATCH('Layer A — raw data (SOURCED)'!$A97,'Layer B — pod writeups'!$A:$A,0))="","","OC "&amp;INDEX('Layer B — pod writeups'!$D:$D,MATCH('Layer A — raw data (SOURCED)'!$A97,'Layer B — pod writeups'!$A:$A,0))),IF(INDEX('Layer B — pod writeups'!$E:$E,MATCH('Layer A — raw data (SOURCED)'!$A97,'Layer B — pod writeups'!$A:$A,0))="","","DC "&amp;INDEX('Layer B — pod writeups'!$E:$E,MATCH('Layer A — raw data (SOURCED)'!$A97,'Layer B — pod writeups'!$A:$A,0)))),"")</f>
        <v/>
      </c>
      <c r="M97" s="12" t="str">
        <f aca="false">IFERROR(INDEX('Layer B — pod writeups'!$F:$F,MATCH('Layer A — raw data (SOURCED)'!$A97,'Layer B — pod writeups'!$A:$A,0)),"")</f>
        <v/>
      </c>
      <c r="N97" s="12" t="str">
        <f aca="false">IFERROR(INDEX('Layer B — pod writeups'!$K:$K,MATCH('Layer A — raw data (SOURCED)'!$A97,'Layer B — pod writeups'!$A:$A,0)),"")</f>
        <v/>
      </c>
      <c r="O97" s="12" t="str">
        <f aca="false">IFERROR(textjoin(" ",TRUE(),IF(INDEX('Layer B — pod writeups'!$G:$G,MATCH('Layer A — raw data (SOURCED)'!$A97,'Layer B — pod writeups'!$A:$A,0))="Y","DH",""),IF(INDEX('Layer B — pod writeups'!$H:$H,MATCH('Layer A — raw data (SOURCED)'!$A97,'Layer B — pod writeups'!$A:$A,0))="Y","FADE",""),IF(INDEX('Layer B — pod writeups'!$I:$I,MATCH('Layer A — raw data (SOURCED)'!$A97,'Layer B — pod writeups'!$A:$A,0))="Y","SPLIT",""),IF(INDEX('Layer B — pod writeups'!$J:$J,MATCH('Layer A — raw data (SOURCED)'!$A97,'Layer B — pod writeups'!$A:$A,0))="Y","VAR","")),"")</f>
        <v/>
      </c>
      <c r="P97" s="13" t="str">
        <f aca="false">IFERROR(INDEX('Layer B — pod writeups'!$L:$L,MATCH('Layer A — raw data (SOURCED)'!$A97,'Layer B — pod writeups'!$A:$A,0)),"")</f>
        <v/>
      </c>
      <c r="Q97" s="13" t="str">
        <f aca="false">IFERROR(INDEX('Layer B — pod writeups'!$N:$N,MATCH('Layer A — raw data (SOURCED)'!$A97,'Layer B — pod writeups'!$A:$A,0)),"")</f>
        <v/>
      </c>
    </row>
    <row r="98" customFormat="false" ht="57" hidden="false" customHeight="true" outlineLevel="0" collapsed="false">
      <c r="A98" s="12" t="str">
        <f aca="false">'Layer A — raw data (SOURCED)'!O98</f>
        <v>Pac12</v>
      </c>
      <c r="B98" s="12" t="str">
        <f aca="false">'Layer A — raw data (SOURCED)'!A98</f>
        <v>Utah State</v>
      </c>
      <c r="C98" s="13" t="str">
        <f aca="false">'Layer A — raw data (SOURCED)'!O98</f>
        <v>Pac12</v>
      </c>
      <c r="D98" s="12" t="n">
        <f aca="false">'Layer A — raw data (SOURCED)'!B98</f>
        <v>4.5</v>
      </c>
      <c r="E98" s="12" t="n">
        <f aca="false">'Layer A — raw data (SOURCED)'!C98</f>
        <v>97</v>
      </c>
      <c r="F98" s="12" t="n">
        <f aca="false">'Layer A — raw data (SOURCED)'!D98</f>
        <v>-7.7</v>
      </c>
      <c r="G98" s="12" t="n">
        <f aca="false">'Layer A — raw data (SOURCED)'!E98</f>
        <v>48</v>
      </c>
      <c r="H98" s="12" t="n">
        <f aca="false">'Layer A — raw data (SOURCED)'!H98</f>
        <v>-3.5</v>
      </c>
      <c r="I98" s="12" t="n">
        <f aca="false">'Layer A — raw data (SOURCED)'!K98</f>
        <v>4.5</v>
      </c>
      <c r="J98" s="12" t="n">
        <f aca="false">'Layer A — raw data (SOURCED)'!L98</f>
        <v>0</v>
      </c>
      <c r="K98" s="13" t="str">
        <f aca="false">IFERROR(INDEX('Layer B — pod writeups'!$B:$B,MATCH('Layer A — raw data (SOURCED)'!$A98,'Layer B — pod writeups'!$A:$A,0)),"")</f>
        <v>Battle — McKay Hillstead vs Grady Brosterhous</v>
      </c>
      <c r="L98" s="13" t="str">
        <f aca="false">IFERROR(textjoin(" | ",TRUE(),IF(INDEX('Layer B — pod writeups'!$C:$C,MATCH('Layer A — raw data (SOURCED)'!$A98,'Layer B — pod writeups'!$A:$A,0))="","","HC "&amp;INDEX('Layer B — pod writeups'!$C:$C,MATCH('Layer A — raw data (SOURCED)'!$A98,'Layer B — pod writeups'!$A:$A,0))),IF(INDEX('Layer B — pod writeups'!$D:$D,MATCH('Layer A — raw data (SOURCED)'!$A98,'Layer B — pod writeups'!$A:$A,0))="","","OC "&amp;INDEX('Layer B — pod writeups'!$D:$D,MATCH('Layer A — raw data (SOURCED)'!$A98,'Layer B — pod writeups'!$A:$A,0))),IF(INDEX('Layer B — pod writeups'!$E:$E,MATCH('Layer A — raw data (SOURCED)'!$A98,'Layer B — pod writeups'!$A:$A,0))="","","DC "&amp;INDEX('Layer B — pod writeups'!$E:$E,MATCH('Layer A — raw data (SOURCED)'!$A98,'Layer B — pod writeups'!$A:$A,0)))),"")</f>
        <v/>
      </c>
      <c r="M98" s="12" t="str">
        <f aca="false">IFERROR(INDEX('Layer B — pod writeups'!$F:$F,MATCH('Layer A — raw data (SOURCED)'!$A98,'Layer B — pod writeups'!$A:$A,0)),"")</f>
        <v>Lean Under</v>
      </c>
      <c r="N98" s="12" t="str">
        <f aca="false">IFERROR(INDEX('Layer B — pod writeups'!$K:$K,MATCH('Layer A — raw data (SOURCED)'!$A98,'Layer B — pod writeups'!$A:$A,0)),"")</f>
        <v>Neutral</v>
      </c>
      <c r="O98" s="12" t="str">
        <f aca="false">IFERROR(textjoin(" ",TRUE(),IF(INDEX('Layer B — pod writeups'!$G:$G,MATCH('Layer A — raw data (SOURCED)'!$A98,'Layer B — pod writeups'!$A:$A,0))="Y","DH",""),IF(INDEX('Layer B — pod writeups'!$H:$H,MATCH('Layer A — raw data (SOURCED)'!$A98,'Layer B — pod writeups'!$A:$A,0))="Y","FADE",""),IF(INDEX('Layer B — pod writeups'!$I:$I,MATCH('Layer A — raw data (SOURCED)'!$A98,'Layer B — pod writeups'!$A:$A,0))="Y","SPLIT",""),IF(INDEX('Layer B — pod writeups'!$J:$J,MATCH('Layer A — raw data (SOURCED)'!$A98,'Layer B — pod writeups'!$A:$A,0))="Y","VAR","")),"")</f>
        <v/>
      </c>
      <c r="P98" s="13" t="str">
        <f aca="false">IFERROR(INDEX('Layer B — pod writeups'!$L:$L,MATCH('Layer A — raw data (SOURCED)'!$A98,'Layer B — pod writeups'!$A:$A,0)),"")</f>
        <v>Full round-robin (plays all 7 other members) — no in-conf avoids. Wk13 FLEX (projected): vs Boise State (may not count). Non-con: Idaho St, @ Washington, @ Utah, Troy.</v>
      </c>
      <c r="Q98" s="13" t="str">
        <f aca="false">IFERROR(INDEX('Layer B — pod writeups'!$N:$N,MATCH('Layer A — raw data (SOURCED)'!$A98,'Layer B — pod writeups'!$A:$A,0)),"")</f>
        <v>Full staff turnover: new HC Bronco Mendenhall, new OC Robert Anae ('polarizing'), Nick Howell on D. QB battle Hillstead vs Brosterhous; last year's engine (Bryson Barnes) gone — he masked a garbage OL (42 sacks / 88 TFL allowed). SP+ near bottom of bucket (#97). Collin leans under 5.5. High variance from staff+QB reset.</v>
      </c>
    </row>
    <row r="99" customFormat="false" ht="15" hidden="false" customHeight="true" outlineLevel="0" collapsed="false">
      <c r="A99" s="12" t="str">
        <f aca="false">'Layer A — raw data (SOURCED)'!O99</f>
        <v>CUSA</v>
      </c>
      <c r="B99" s="12" t="str">
        <f aca="false">'Layer A — raw data (SOURCED)'!A99</f>
        <v>Jacksonville State</v>
      </c>
      <c r="C99" s="13" t="str">
        <f aca="false">'Layer A — raw data (SOURCED)'!O99</f>
        <v>CUSA</v>
      </c>
      <c r="D99" s="12" t="n">
        <f aca="false">'Layer A — raw data (SOURCED)'!B99</f>
        <v>7.5</v>
      </c>
      <c r="E99" s="12" t="n">
        <f aca="false">'Layer A — raw data (SOURCED)'!C99</f>
        <v>98</v>
      </c>
      <c r="F99" s="12" t="n">
        <f aca="false">'Layer A — raw data (SOURCED)'!D99</f>
        <v>-7.7</v>
      </c>
      <c r="G99" s="12" t="n">
        <f aca="false">'Layer A — raw data (SOURCED)'!E99</f>
        <v>57</v>
      </c>
      <c r="H99" s="12" t="n">
        <f aca="false">'Layer A — raw data (SOURCED)'!H99</f>
        <v>3</v>
      </c>
      <c r="I99" s="12" t="n">
        <f aca="false">'Layer A — raw data (SOURCED)'!K99</f>
        <v>0</v>
      </c>
      <c r="J99" s="12" t="str">
        <f aca="false">'Layer A — raw data (SOURCED)'!L99</f>
        <v/>
      </c>
      <c r="K99" s="13" t="str">
        <f aca="false">IFERROR(INDEX('Layer B — pod writeups'!$B:$B,MATCH('Layer A — raw data (SOURCED)'!$A99,'Layer B — pod writeups'!$A:$A,0)),"")</f>
        <v/>
      </c>
      <c r="L99" s="13" t="str">
        <f aca="false">IFERROR(textjoin(" | ",TRUE(),IF(INDEX('Layer B — pod writeups'!$C:$C,MATCH('Layer A — raw data (SOURCED)'!$A99,'Layer B — pod writeups'!$A:$A,0))="","","HC "&amp;INDEX('Layer B — pod writeups'!$C:$C,MATCH('Layer A — raw data (SOURCED)'!$A99,'Layer B — pod writeups'!$A:$A,0))),IF(INDEX('Layer B — pod writeups'!$D:$D,MATCH('Layer A — raw data (SOURCED)'!$A99,'Layer B — pod writeups'!$A:$A,0))="","","OC "&amp;INDEX('Layer B — pod writeups'!$D:$D,MATCH('Layer A — raw data (SOURCED)'!$A99,'Layer B — pod writeups'!$A:$A,0))),IF(INDEX('Layer B — pod writeups'!$E:$E,MATCH('Layer A — raw data (SOURCED)'!$A99,'Layer B — pod writeups'!$A:$A,0))="","","DC "&amp;INDEX('Layer B — pod writeups'!$E:$E,MATCH('Layer A — raw data (SOURCED)'!$A99,'Layer B — pod writeups'!$A:$A,0)))),"")</f>
        <v/>
      </c>
      <c r="M99" s="12" t="str">
        <f aca="false">IFERROR(INDEX('Layer B — pod writeups'!$F:$F,MATCH('Layer A — raw data (SOURCED)'!$A99,'Layer B — pod writeups'!$A:$A,0)),"")</f>
        <v/>
      </c>
      <c r="N99" s="12" t="str">
        <f aca="false">IFERROR(INDEX('Layer B — pod writeups'!$K:$K,MATCH('Layer A — raw data (SOURCED)'!$A99,'Layer B — pod writeups'!$A:$A,0)),"")</f>
        <v/>
      </c>
      <c r="O99" s="12" t="str">
        <f aca="false">IFERROR(textjoin(" ",TRUE(),IF(INDEX('Layer B — pod writeups'!$G:$G,MATCH('Layer A — raw data (SOURCED)'!$A99,'Layer B — pod writeups'!$A:$A,0))="Y","DH",""),IF(INDEX('Layer B — pod writeups'!$H:$H,MATCH('Layer A — raw data (SOURCED)'!$A99,'Layer B — pod writeups'!$A:$A,0))="Y","FADE",""),IF(INDEX('Layer B — pod writeups'!$I:$I,MATCH('Layer A — raw data (SOURCED)'!$A99,'Layer B — pod writeups'!$A:$A,0))="Y","SPLIT",""),IF(INDEX('Layer B — pod writeups'!$J:$J,MATCH('Layer A — raw data (SOURCED)'!$A99,'Layer B — pod writeups'!$A:$A,0))="Y","VAR","")),"")</f>
        <v/>
      </c>
      <c r="P99" s="13" t="str">
        <f aca="false">IFERROR(INDEX('Layer B — pod writeups'!$L:$L,MATCH('Layer A — raw data (SOURCED)'!$A99,'Layer B — pod writeups'!$A:$A,0)),"")</f>
        <v/>
      </c>
      <c r="Q99" s="13" t="str">
        <f aca="false">IFERROR(INDEX('Layer B — pod writeups'!$N:$N,MATCH('Layer A — raw data (SOURCED)'!$A99,'Layer B — pod writeups'!$A:$A,0)),"")</f>
        <v/>
      </c>
    </row>
    <row r="100" customFormat="false" ht="45.75" hidden="false" customHeight="true" outlineLevel="0" collapsed="false">
      <c r="A100" s="12" t="str">
        <f aca="false">'Layer A — raw data (SOURCED)'!O100</f>
        <v>Pac12</v>
      </c>
      <c r="B100" s="12" t="str">
        <f aca="false">'Layer A — raw data (SOURCED)'!A100</f>
        <v>Colorado State</v>
      </c>
      <c r="C100" s="13" t="str">
        <f aca="false">'Layer A — raw data (SOURCED)'!O100</f>
        <v>Pac12</v>
      </c>
      <c r="D100" s="12" t="n">
        <f aca="false">'Layer A — raw data (SOURCED)'!B100</f>
        <v>3.5</v>
      </c>
      <c r="E100" s="12" t="n">
        <f aca="false">'Layer A — raw data (SOURCED)'!C100</f>
        <v>99</v>
      </c>
      <c r="F100" s="12" t="n">
        <f aca="false">'Layer A — raw data (SOURCED)'!D100</f>
        <v>-8.3</v>
      </c>
      <c r="G100" s="12" t="n">
        <f aca="false">'Layer A — raw data (SOURCED)'!E100</f>
        <v>46</v>
      </c>
      <c r="H100" s="12" t="n">
        <f aca="false">'Layer A — raw data (SOURCED)'!H100</f>
        <v>3.5</v>
      </c>
      <c r="I100" s="12" t="n">
        <f aca="false">'Layer A — raw data (SOURCED)'!K100</f>
        <v>2.8</v>
      </c>
      <c r="J100" s="12" t="n">
        <f aca="false">'Layer A — raw data (SOURCED)'!L100</f>
        <v>-0.7</v>
      </c>
      <c r="K100" s="13" t="str">
        <f aca="false">IFERROR(INDEX('Layer B — pod writeups'!$B:$B,MATCH('Layer A — raw data (SOURCED)'!$A100,'Layer B — pod writeups'!$A:$A,0)),"")</f>
        <v>Battle — Haas Haney (OK St transfer) vs Darius Curry</v>
      </c>
      <c r="L100" s="13" t="str">
        <f aca="false">IFERROR(textjoin(" | ",TRUE(),IF(INDEX('Layer B — pod writeups'!$C:$C,MATCH('Layer A — raw data (SOURCED)'!$A100,'Layer B — pod writeups'!$A:$A,0))="","","HC "&amp;INDEX('Layer B — pod writeups'!$C:$C,MATCH('Layer A — raw data (SOURCED)'!$A100,'Layer B — pod writeups'!$A:$A,0))),IF(INDEX('Layer B — pod writeups'!$D:$D,MATCH('Layer A — raw data (SOURCED)'!$A100,'Layer B — pod writeups'!$A:$A,0))="","","OC "&amp;INDEX('Layer B — pod writeups'!$D:$D,MATCH('Layer A — raw data (SOURCED)'!$A100,'Layer B — pod writeups'!$A:$A,0))),IF(INDEX('Layer B — pod writeups'!$E:$E,MATCH('Layer A — raw data (SOURCED)'!$A100,'Layer B — pod writeups'!$A:$A,0))="","","DC "&amp;INDEX('Layer B — pod writeups'!$E:$E,MATCH('Layer A — raw data (SOURCED)'!$A100,'Layer B — pod writeups'!$A:$A,0)))),"")</f>
        <v/>
      </c>
      <c r="M100" s="12" t="str">
        <f aca="false">IFERROR(INDEX('Layer B — pod writeups'!$F:$F,MATCH('Layer A — raw data (SOURCED)'!$A100,'Layer B — pod writeups'!$A:$A,0)),"")</f>
        <v>Hard Under</v>
      </c>
      <c r="N100" s="12" t="str">
        <f aca="false">IFERROR(INDEX('Layer B — pod writeups'!$K:$K,MATCH('Layer A — raw data (SOURCED)'!$A100,'Layer B — pod writeups'!$A:$A,0)),"")</f>
        <v>Neutral</v>
      </c>
      <c r="O100" s="12" t="str">
        <f aca="false">IFERROR(textjoin(" ",TRUE(),IF(INDEX('Layer B — pod writeups'!$G:$G,MATCH('Layer A — raw data (SOURCED)'!$A100,'Layer B — pod writeups'!$A:$A,0))="Y","DH",""),IF(INDEX('Layer B — pod writeups'!$H:$H,MATCH('Layer A — raw data (SOURCED)'!$A100,'Layer B — pod writeups'!$A:$A,0))="Y","FADE",""),IF(INDEX('Layer B — pod writeups'!$I:$I,MATCH('Layer A — raw data (SOURCED)'!$A100,'Layer B — pod writeups'!$A:$A,0))="Y","SPLIT",""),IF(INDEX('Layer B — pod writeups'!$J:$J,MATCH('Layer A — raw data (SOURCED)'!$A100,'Layer B — pod writeups'!$A:$A,0))="Y","VAR","")),"")</f>
        <v/>
      </c>
      <c r="P100" s="13" t="str">
        <f aca="false">IFERROR(INDEX('Layer B — pod writeups'!$L:$L,MATCH('Layer A — raw data (SOURCED)'!$A100,'Layer B — pod writeups'!$A:$A,0)),"")</f>
        <v>Full round-robin (plays all 7 other members) — no in-conf avoids. Wk13 FLEX (projected): vs Texas State (may not count). Non-con: Wyoming, Southern Utah, BYU, @ UTSA.</v>
      </c>
      <c r="Q100" s="13" t="str">
        <f aca="false">IFERROR(INDEX('Layer B — pod writeups'!$N:$N,MATCH('Layer A — raw data (SOURCED)'!$A100,'Layer B — pod writeups'!$A:$A,0)),"")</f>
        <v>Bottom of the bucket. New HC Jim Mora Jr. (from UConn) + new OC Price Tracy = full offensive reset; QB battle unsettled. Collin: first six games a 'soul-search,' ceiling ~5 wins, projects ~2.8 — hard under. High variance from the staff/QB turnover.</v>
      </c>
    </row>
    <row r="101" customFormat="false" ht="102" hidden="false" customHeight="true" outlineLevel="0" collapsed="false">
      <c r="A101" s="12" t="str">
        <f aca="false">'Layer A — raw data (SOURCED)'!O101</f>
        <v>Sun Belt</v>
      </c>
      <c r="B101" s="12" t="str">
        <f aca="false">'Layer A — raw data (SOURCED)'!A101</f>
        <v>Louisiana Tech</v>
      </c>
      <c r="C101" s="13" t="str">
        <f aca="false">'Layer A — raw data (SOURCED)'!O101</f>
        <v>Sun Belt</v>
      </c>
      <c r="D101" s="12" t="n">
        <f aca="false">'Layer A — raw data (SOURCED)'!B101</f>
        <v>5.5</v>
      </c>
      <c r="E101" s="12" t="n">
        <f aca="false">'Layer A — raw data (SOURCED)'!C101</f>
        <v>100</v>
      </c>
      <c r="F101" s="12" t="n">
        <f aca="false">'Layer A — raw data (SOURCED)'!D101</f>
        <v>-8.3</v>
      </c>
      <c r="G101" s="12" t="n">
        <f aca="false">'Layer A — raw data (SOURCED)'!E101</f>
        <v>56</v>
      </c>
      <c r="H101" s="12" t="n">
        <f aca="false">'Layer A — raw data (SOURCED)'!H101</f>
        <v>6</v>
      </c>
      <c r="I101" s="12" t="n">
        <f aca="false">'Layer A — raw data (SOURCED)'!K101</f>
        <v>5</v>
      </c>
      <c r="J101" s="12" t="n">
        <f aca="false">'Layer A — raw data (SOURCED)'!L101</f>
        <v>-0.5</v>
      </c>
      <c r="K101" s="13" t="str">
        <f aca="false">IFERROR(INDEX('Layer B — pod writeups'!$B:$B,MATCH('Layer A — raw data (SOURCED)'!$A101,'Layer B — pod writeups'!$A:$A,0)),"")</f>
        <v>Battle — Trey Kucuk (Kukuk) (incumbent-ish, returning from injury, should be healthy) vs a lean into the run/option [2024 became an option team out of necessity — only 8 passing TD all year; no clear WR talent to throw to, so the new OL-coach OC may just run it]</v>
      </c>
      <c r="L101" s="13" t="str">
        <f aca="false">IFERROR(textjoin(" | ",TRUE(),IF(INDEX('Layer B — pod writeups'!$C:$C,MATCH('Layer A — raw data (SOURCED)'!$A101,'Layer B — pod writeups'!$A:$A,0))="","","HC "&amp;INDEX('Layer B — pod writeups'!$C:$C,MATCH('Layer A — raw data (SOURCED)'!$A101,'Layer B — pod writeups'!$A:$A,0))),IF(INDEX('Layer B — pod writeups'!$D:$D,MATCH('Layer A — raw data (SOURCED)'!$A101,'Layer B — pod writeups'!$A:$A,0))="","","OC "&amp;INDEX('Layer B — pod writeups'!$D:$D,MATCH('Layer A — raw data (SOURCED)'!$A101,'Layer B — pod writeups'!$A:$A,0))),IF(INDEX('Layer B — pod writeups'!$E:$E,MATCH('Layer A — raw data (SOURCED)'!$A101,'Layer B — pod writeups'!$A:$A,0))="","","DC "&amp;INDEX('Layer B — pod writeups'!$E:$E,MATCH('Layer A — raw data (SOURCED)'!$A101,'Layer B — pod writeups'!$A:$A,0)))),"")</f>
        <v/>
      </c>
      <c r="M101" s="12" t="str">
        <f aca="false">IFERROR(INDEX('Layer B — pod writeups'!$F:$F,MATCH('Layer A — raw data (SOURCED)'!$A101,'Layer B — pod writeups'!$A:$A,0)),"")</f>
        <v>Lean Under</v>
      </c>
      <c r="N101" s="12" t="str">
        <f aca="false">IFERROR(INDEX('Layer B — pod writeups'!$K:$K,MATCH('Layer A — raw data (SOURCED)'!$A101,'Layer B — pod writeups'!$A:$A,0)),"")</f>
        <v>Brutal</v>
      </c>
      <c r="O101" s="12" t="str">
        <f aca="false">IFERROR(textjoin(" ",TRUE(),IF(INDEX('Layer B — pod writeups'!$G:$G,MATCH('Layer A — raw data (SOURCED)'!$A101,'Layer B — pod writeups'!$A:$A,0))="Y","DH",""),IF(INDEX('Layer B — pod writeups'!$H:$H,MATCH('Layer A — raw data (SOURCED)'!$A101,'Layer B — pod writeups'!$A:$A,0))="Y","FADE",""),IF(INDEX('Layer B — pod writeups'!$I:$I,MATCH('Layer A — raw data (SOURCED)'!$A101,'Layer B — pod writeups'!$A:$A,0))="Y","SPLIT",""),IF(INDEX('Layer B — pod writeups'!$J:$J,MATCH('Layer A — raw data (SOURCED)'!$A101,'Layer B — pod writeups'!$A:$A,0))="Y","VAR","")),"")</f>
        <v/>
      </c>
      <c r="P101" s="13" t="str">
        <f aca="false">IFERROR(INDEX('Layer B — pod writeups'!$L:$L,MATCH('Layer A — raw data (SOURCED)'!$A101,'Layer B — pod writeups'!$A:$A,0)),"")</f>
        <v>Steps UP into the Sun Belt from CUSA (but travel drops from ~5,500 to ~2,050 miles). Tough open (at LSU, at Baylor, Army home, then Louisiana) — a likely 1-3 start. 4-27 SU on the road since 2021; road at Troy, at South Alabama, at Georgia Southern not assured.</v>
      </c>
      <c r="Q101" s="13" t="str">
        <f aca="false">IFERROR(INDEX('Layer B — pod writeups'!$N:$N,MATCH('Layer A — raw data (SOURCED)'!$A101,'Layer B — pod writeups'!$A:$A,0)),"")</f>
        <v>Lean under (both ~market; Duck likes the DK ALT under 6.5 at -166 as value). #1 in the Sun Belt in returning production, but a hollow-looking group: 2024's 8 wins came against a parade of bad teams (Sela, NMSU, USM, UTEP, Sam Houston, an overtime Liberty, backups-vs-Coastal in the bowl) — a Cumby job-saving mirage. The passing attack never materialized under Sonny Cumby (only 8 pass TD); the new OC is an OL coach → likely full run commitment, but the interior OL (RG/RT/C) is a question and there's no WR talent. The D loses 8 of the top-10 tacklers + real star power. A real step up in competition; Duck projects a 1-3 start.</v>
      </c>
    </row>
    <row r="102" customFormat="false" ht="124.5" hidden="false" customHeight="true" outlineLevel="0" collapsed="false">
      <c r="A102" s="12" t="str">
        <f aca="false">'Layer A — raw data (SOURCED)'!O102</f>
        <v>Sun Belt</v>
      </c>
      <c r="B102" s="12" t="str">
        <f aca="false">'Layer A — raw data (SOURCED)'!A102</f>
        <v>Arkansas State</v>
      </c>
      <c r="C102" s="13" t="str">
        <f aca="false">'Layer A — raw data (SOURCED)'!O102</f>
        <v>Sun Belt</v>
      </c>
      <c r="D102" s="12" t="n">
        <f aca="false">'Layer A — raw data (SOURCED)'!B102</f>
        <v>6.5</v>
      </c>
      <c r="E102" s="12" t="n">
        <f aca="false">'Layer A — raw data (SOURCED)'!C102</f>
        <v>101</v>
      </c>
      <c r="F102" s="12" t="n">
        <f aca="false">'Layer A — raw data (SOURCED)'!D102</f>
        <v>-8.5</v>
      </c>
      <c r="G102" s="12" t="n">
        <f aca="false">'Layer A — raw data (SOURCED)'!E102</f>
        <v>49</v>
      </c>
      <c r="H102" s="12" t="n">
        <f aca="false">'Layer A — raw data (SOURCED)'!H102</f>
        <v>1.5</v>
      </c>
      <c r="I102" s="12" t="n">
        <f aca="false">'Layer A — raw data (SOURCED)'!K102</f>
        <v>6.5</v>
      </c>
      <c r="J102" s="12" t="n">
        <f aca="false">'Layer A — raw data (SOURCED)'!L102</f>
        <v>0</v>
      </c>
      <c r="K102" s="13" t="str">
        <f aca="false">IFERROR(INDEX('Layer B — pod writeups'!$B:$B,MATCH('Layer A — raw data (SOURCED)'!$A102,'Layer B — pod writeups'!$A:$A,0)),"")</f>
        <v>Battle — Trey Owens (transfer from Texas, So, 6-5/225, high ceiling/physical tools, Super-Troopers mustache) — Stuckey's WANT and the projected UPGRADE [incumbent 3-yr starter Jaylen Raynor left for Iowa State; Owens the higher-ceiling swing over Raynor's win-games-lose-games profile]</v>
      </c>
      <c r="L102" s="13" t="str">
        <f aca="false">IFERROR(textjoin(" | ",TRUE(),IF(INDEX('Layer B — pod writeups'!$C:$C,MATCH('Layer A — raw data (SOURCED)'!$A102,'Layer B — pod writeups'!$A:$A,0))="","","HC "&amp;INDEX('Layer B — pod writeups'!$C:$C,MATCH('Layer A — raw data (SOURCED)'!$A102,'Layer B — pod writeups'!$A:$A,0))),IF(INDEX('Layer B — pod writeups'!$D:$D,MATCH('Layer A — raw data (SOURCED)'!$A102,'Layer B — pod writeups'!$A:$A,0))="","","OC "&amp;INDEX('Layer B — pod writeups'!$D:$D,MATCH('Layer A — raw data (SOURCED)'!$A102,'Layer B — pod writeups'!$A:$A,0))),IF(INDEX('Layer B — pod writeups'!$E:$E,MATCH('Layer A — raw data (SOURCED)'!$A102,'Layer B — pod writeups'!$A:$A,0))="","","DC "&amp;INDEX('Layer B — pod writeups'!$E:$E,MATCH('Layer A — raw data (SOURCED)'!$A102,'Layer B — pod writeups'!$A:$A,0)))),"")</f>
        <v/>
      </c>
      <c r="M102" s="12" t="str">
        <f aca="false">IFERROR(INDEX('Layer B — pod writeups'!$F:$F,MATCH('Layer A — raw data (SOURCED)'!$A102,'Layer B — pod writeups'!$A:$A,0)),"")</f>
        <v>Lean Over</v>
      </c>
      <c r="N102" s="12" t="str">
        <f aca="false">IFERROR(INDEX('Layer B — pod writeups'!$K:$K,MATCH('Layer A — raw data (SOURCED)'!$A102,'Layer B — pod writeups'!$A:$A,0)),"")</f>
        <v>Favorable</v>
      </c>
      <c r="O102" s="12" t="str">
        <f aca="false">IFERROR(textjoin(" ",TRUE(),IF(INDEX('Layer B — pod writeups'!$G:$G,MATCH('Layer A — raw data (SOURCED)'!$A102,'Layer B — pod writeups'!$A:$A,0))="Y","DH",""),IF(INDEX('Layer B — pod writeups'!$H:$H,MATCH('Layer A — raw data (SOURCED)'!$A102,'Layer B — pod writeups'!$A:$A,0))="Y","FADE",""),IF(INDEX('Layer B — pod writeups'!$I:$I,MATCH('Layer A — raw data (SOURCED)'!$A102,'Layer B — pod writeups'!$A:$A,0))="Y","SPLIT",""),IF(INDEX('Layer B — pod writeups'!$J:$J,MATCH('Layer A — raw data (SOURCED)'!$A102,'Layer B — pod writeups'!$A:$A,0))="Y","VAR","")),"")</f>
        <v/>
      </c>
      <c r="P102" s="13" t="str">
        <f aca="false">IFERROR(INDEX('Layer B — pod writeups'!$L:$L,MATCH('Layer A — raw data (SOURCED)'!$A102,'Layer B — pod writeups'!$A:$A,0)),"")</f>
        <v>Manageable slate — dream East crossover (Coastal + Georgia State). HOSTS Troy in the finale (likely division-decider). Road-heavy winnables (at Southern Miss, at Louisiana, at Coastal, at La Tech) but they're 9-27 SU on the road since 2020.</v>
      </c>
      <c r="Q102" s="13" t="str">
        <f aca="false">IFERROR(INDEX('Layer B — pod writeups'!$N:$N,MATCH('Layer A — raw data (SOURCED)'!$A102,'Layer B — pod writeups'!$A:$A,0)),"")</f>
        <v>Stuckey's West flyer (~11-1 vs Louisiana's 8-1 — the value play). Rare Belt team that RISES in returning production (100th → 82nd); nearly the whole OL back. The upside is the QB swing to Trey Owens (Texas) + new OC Garrett Altman (Vandy QB coach — expect a much SLOWER pace to protect a resetting D, which Duck flags as an unders angle vs Memphis/TCU/Kennesaw early). WR reload needed (Chancy Cobb, 70 catches, back). The DL that was decent graduated; the back-seven that returns (safeties) was BAD and gave up a ton of explosives (110th). Butch Jones' teams win a pile of one-score games (9 in 2 years) + elite special teams — the reason to buy in a coin-flip division. Duck: 'we won't go under.'</v>
      </c>
    </row>
    <row r="103" customFormat="false" ht="15" hidden="false" customHeight="true" outlineLevel="0" collapsed="false">
      <c r="A103" s="12" t="str">
        <f aca="false">'Layer A — raw data (SOURCED)'!O103</f>
        <v>AAC</v>
      </c>
      <c r="B103" s="12" t="str">
        <f aca="false">'Layer A — raw data (SOURCED)'!A103</f>
        <v>Temple</v>
      </c>
      <c r="C103" s="13" t="str">
        <f aca="false">'Layer A — raw data (SOURCED)'!O103</f>
        <v>AAC</v>
      </c>
      <c r="D103" s="12" t="n">
        <f aca="false">'Layer A — raw data (SOURCED)'!B103</f>
        <v>5.5</v>
      </c>
      <c r="E103" s="12" t="n">
        <f aca="false">'Layer A — raw data (SOURCED)'!C103</f>
        <v>102</v>
      </c>
      <c r="F103" s="12" t="n">
        <f aca="false">'Layer A — raw data (SOURCED)'!D103</f>
        <v>-8.7</v>
      </c>
      <c r="G103" s="12" t="n">
        <f aca="false">'Layer A — raw data (SOURCED)'!E103</f>
        <v>53</v>
      </c>
      <c r="H103" s="12" t="n">
        <f aca="false">'Layer A — raw data (SOURCED)'!H103</f>
        <v>-1</v>
      </c>
      <c r="I103" s="12" t="n">
        <f aca="false">'Layer A — raw data (SOURCED)'!K103</f>
        <v>0</v>
      </c>
      <c r="J103" s="12" t="str">
        <f aca="false">'Layer A — raw data (SOURCED)'!L103</f>
        <v/>
      </c>
      <c r="K103" s="13" t="str">
        <f aca="false">IFERROR(INDEX('Layer B — pod writeups'!$B:$B,MATCH('Layer A — raw data (SOURCED)'!$A103,'Layer B — pod writeups'!$A:$A,0)),"")</f>
        <v/>
      </c>
      <c r="L103" s="13" t="str">
        <f aca="false">IFERROR(textjoin(" | ",TRUE(),IF(INDEX('Layer B — pod writeups'!$C:$C,MATCH('Layer A — raw data (SOURCED)'!$A103,'Layer B — pod writeups'!$A:$A,0))="","","HC "&amp;INDEX('Layer B — pod writeups'!$C:$C,MATCH('Layer A — raw data (SOURCED)'!$A103,'Layer B — pod writeups'!$A:$A,0))),IF(INDEX('Layer B — pod writeups'!$D:$D,MATCH('Layer A — raw data (SOURCED)'!$A103,'Layer B — pod writeups'!$A:$A,0))="","","OC "&amp;INDEX('Layer B — pod writeups'!$D:$D,MATCH('Layer A — raw data (SOURCED)'!$A103,'Layer B — pod writeups'!$A:$A,0))),IF(INDEX('Layer B — pod writeups'!$E:$E,MATCH('Layer A — raw data (SOURCED)'!$A103,'Layer B — pod writeups'!$A:$A,0))="","","DC "&amp;INDEX('Layer B — pod writeups'!$E:$E,MATCH('Layer A — raw data (SOURCED)'!$A103,'Layer B — pod writeups'!$A:$A,0)))),"")</f>
        <v/>
      </c>
      <c r="M103" s="12" t="str">
        <f aca="false">IFERROR(INDEX('Layer B — pod writeups'!$F:$F,MATCH('Layer A — raw data (SOURCED)'!$A103,'Layer B — pod writeups'!$A:$A,0)),"")</f>
        <v/>
      </c>
      <c r="N103" s="12" t="str">
        <f aca="false">IFERROR(INDEX('Layer B — pod writeups'!$K:$K,MATCH('Layer A — raw data (SOURCED)'!$A103,'Layer B — pod writeups'!$A:$A,0)),"")</f>
        <v/>
      </c>
      <c r="O103" s="12" t="str">
        <f aca="false">IFERROR(textjoin(" ",TRUE(),IF(INDEX('Layer B — pod writeups'!$G:$G,MATCH('Layer A — raw data (SOURCED)'!$A103,'Layer B — pod writeups'!$A:$A,0))="Y","DH",""),IF(INDEX('Layer B — pod writeups'!$H:$H,MATCH('Layer A — raw data (SOURCED)'!$A103,'Layer B — pod writeups'!$A:$A,0))="Y","FADE",""),IF(INDEX('Layer B — pod writeups'!$I:$I,MATCH('Layer A — raw data (SOURCED)'!$A103,'Layer B — pod writeups'!$A:$A,0))="Y","SPLIT",""),IF(INDEX('Layer B — pod writeups'!$J:$J,MATCH('Layer A — raw data (SOURCED)'!$A103,'Layer B — pod writeups'!$A:$A,0))="Y","VAR","")),"")</f>
        <v/>
      </c>
      <c r="P103" s="13" t="str">
        <f aca="false">IFERROR(INDEX('Layer B — pod writeups'!$L:$L,MATCH('Layer A — raw data (SOURCED)'!$A103,'Layer B — pod writeups'!$A:$A,0)),"")</f>
        <v/>
      </c>
      <c r="Q103" s="13" t="str">
        <f aca="false">IFERROR(INDEX('Layer B — pod writeups'!$N:$N,MATCH('Layer A — raw data (SOURCED)'!$A103,'Layer B — pod writeups'!$A:$A,0)),"")</f>
        <v/>
      </c>
    </row>
    <row r="104" customFormat="false" ht="113.25" hidden="false" customHeight="true" outlineLevel="0" collapsed="false">
      <c r="A104" s="12" t="str">
        <f aca="false">'Layer A — raw data (SOURCED)'!O104</f>
        <v>Sun Belt</v>
      </c>
      <c r="B104" s="12" t="str">
        <f aca="false">'Layer A — raw data (SOURCED)'!A104</f>
        <v>Georgia Southern</v>
      </c>
      <c r="C104" s="13" t="str">
        <f aca="false">'Layer A — raw data (SOURCED)'!O104</f>
        <v>Sun Belt</v>
      </c>
      <c r="D104" s="12" t="n">
        <f aca="false">'Layer A — raw data (SOURCED)'!B104</f>
        <v>4.5</v>
      </c>
      <c r="E104" s="12" t="n">
        <f aca="false">'Layer A — raw data (SOURCED)'!C104</f>
        <v>103</v>
      </c>
      <c r="F104" s="12" t="n">
        <f aca="false">'Layer A — raw data (SOURCED)'!D104</f>
        <v>-8.9</v>
      </c>
      <c r="G104" s="12" t="n">
        <f aca="false">'Layer A — raw data (SOURCED)'!E104</f>
        <v>43</v>
      </c>
      <c r="H104" s="12" t="n">
        <f aca="false">'Layer A — raw data (SOURCED)'!H104</f>
        <v>-4.5</v>
      </c>
      <c r="I104" s="12" t="n">
        <f aca="false">'Layer A — raw data (SOURCED)'!K104</f>
        <v>4.2</v>
      </c>
      <c r="J104" s="12" t="n">
        <f aca="false">'Layer A — raw data (SOURCED)'!L104</f>
        <v>-0.3</v>
      </c>
      <c r="K104" s="13" t="str">
        <f aca="false">IFERROR(INDEX('Layer B — pod writeups'!$B:$B,MATCH('Layer A — raw data (SOURCED)'!$A104,'Layer B — pod writeups'!$A:$A,0)),"")</f>
        <v>Transfer — Max Johnson (transfer, Super-Sr, started at LSU in 2020 then Texas A&amp;M/UNC; journeyman on his last stop, injury-prone) [backups: Turner/Tor Helton — the HC's son — plus Wes Brian, a short-yardage/wildcat runner; 'one play away from a disastrous offense']</v>
      </c>
      <c r="L104" s="13" t="str">
        <f aca="false">IFERROR(textjoin(" | ",TRUE(),IF(INDEX('Layer B — pod writeups'!$C:$C,MATCH('Layer A — raw data (SOURCED)'!$A104,'Layer B — pod writeups'!$A:$A,0))="","","HC "&amp;INDEX('Layer B — pod writeups'!$C:$C,MATCH('Layer A — raw data (SOURCED)'!$A104,'Layer B — pod writeups'!$A:$A,0))),IF(INDEX('Layer B — pod writeups'!$D:$D,MATCH('Layer A — raw data (SOURCED)'!$A104,'Layer B — pod writeups'!$A:$A,0))="","","OC "&amp;INDEX('Layer B — pod writeups'!$D:$D,MATCH('Layer A — raw data (SOURCED)'!$A104,'Layer B — pod writeups'!$A:$A,0))),IF(INDEX('Layer B — pod writeups'!$E:$E,MATCH('Layer A — raw data (SOURCED)'!$A104,'Layer B — pod writeups'!$A:$A,0))="","","DC "&amp;INDEX('Layer B — pod writeups'!$E:$E,MATCH('Layer A — raw data (SOURCED)'!$A104,'Layer B — pod writeups'!$A:$A,0)))),"")</f>
        <v/>
      </c>
      <c r="M104" s="12" t="str">
        <f aca="false">IFERROR(INDEX('Layer B — pod writeups'!$F:$F,MATCH('Layer A — raw data (SOURCED)'!$A104,'Layer B — pod writeups'!$A:$A,0)),"")</f>
        <v>No Play</v>
      </c>
      <c r="N104" s="12" t="str">
        <f aca="false">IFERROR(INDEX('Layer B — pod writeups'!$K:$K,MATCH('Layer A — raw data (SOURCED)'!$A104,'Layer B — pod writeups'!$A:$A,0)),"")</f>
        <v>Brutal</v>
      </c>
      <c r="O104" s="12" t="str">
        <f aca="false">IFERROR(textjoin(" ",TRUE(),IF(INDEX('Layer B — pod writeups'!$G:$G,MATCH('Layer A — raw data (SOURCED)'!$A104,'Layer B — pod writeups'!$A:$A,0))="Y","DH",""),IF(INDEX('Layer B — pod writeups'!$H:$H,MATCH('Layer A — raw data (SOURCED)'!$A104,'Layer B — pod writeups'!$A:$A,0))="Y","FADE",""),IF(INDEX('Layer B — pod writeups'!$I:$I,MATCH('Layer A — raw data (SOURCED)'!$A104,'Layer B — pod writeups'!$A:$A,0))="Y","SPLIT",""),IF(INDEX('Layer B — pod writeups'!$J:$J,MATCH('Layer A — raw data (SOURCED)'!$A104,'Layer B — pod writeups'!$A:$A,0))="Y","VAR","")),"")</f>
        <v/>
      </c>
      <c r="P104" s="13" t="str">
        <f aca="false">IFERROR(INDEX('Layer B — pod writeups'!$L:$L,MATCH('Layer A — raw data (SOURCED)'!$A104,'Layer B — pod writeups'!$A:$A,0)),"")</f>
        <v>2nd-toughest Sun Belt schedule (Duck). Non-con at Clemson, at Jacksonville State, Houston home; brutal East draw. HOSTS JMU + Marshall but goes to ODU. Could be 2-5 before it gets deeper.</v>
      </c>
      <c r="Q104" s="13" t="str">
        <f aca="false">IFERROR(INDEX('Layer B — pod writeups'!$N:$N,MATCH('Layer A — raw data (SOURCED)'!$A104,'Layer B — pod writeups'!$A:$A,0)),"")</f>
        <v>A fade lean (Duck under 5.5 since spring; Stuckey/Calabrese pass, no path to the division). The offense was DECIMATED — all 11 players with 400+ snaps gone (QB JC French to Cincinnati, 3-yr RB Arnold, 3-yr WR Cobb, RT to Michigan State, C to North Texas). 108th in returning production (was top-50). They're rebuilding the O with P4 transfers (didn't pan out) and the D with FCS plug-ins. New DC Mike Mutz (SFA) is a pressure guy for a D that had 9 sacks all of 2024 (dead-last-ish pass rush) — the one real upside. QB is Max Johnson, who 'absolutely cannot stay healthy.' OL/DL maybe the worst aggregate trenches in the Belt. Not a bowl team.</v>
      </c>
    </row>
    <row r="105" customFormat="false" ht="135.75" hidden="false" customHeight="true" outlineLevel="0" collapsed="false">
      <c r="A105" s="12" t="str">
        <f aca="false">'Layer A — raw data (SOURCED)'!O105</f>
        <v>Sun Belt</v>
      </c>
      <c r="B105" s="12" t="str">
        <f aca="false">'Layer A — raw data (SOURCED)'!A105</f>
        <v>Louisiana</v>
      </c>
      <c r="C105" s="13" t="str">
        <f aca="false">'Layer A — raw data (SOURCED)'!O105</f>
        <v>Sun Belt</v>
      </c>
      <c r="D105" s="12" t="n">
        <f aca="false">'Layer A — raw data (SOURCED)'!B105</f>
        <v>7.5</v>
      </c>
      <c r="E105" s="12" t="n">
        <f aca="false">'Layer A — raw data (SOURCED)'!C105</f>
        <v>104</v>
      </c>
      <c r="F105" s="12" t="n">
        <f aca="false">'Layer A — raw data (SOURCED)'!D105</f>
        <v>-9.1</v>
      </c>
      <c r="G105" s="12" t="n">
        <f aca="false">'Layer A — raw data (SOURCED)'!E105</f>
        <v>49</v>
      </c>
      <c r="H105" s="12" t="n">
        <f aca="false">'Layer A — raw data (SOURCED)'!H105</f>
        <v>1.5</v>
      </c>
      <c r="I105" s="12" t="n">
        <f aca="false">'Layer A — raw data (SOURCED)'!K105</f>
        <v>8</v>
      </c>
      <c r="J105" s="12" t="n">
        <f aca="false">'Layer A — raw data (SOURCED)'!L105</f>
        <v>0.5</v>
      </c>
      <c r="K105" s="13" t="str">
        <f aca="false">IFERROR(INDEX('Layer B — pod writeups'!$B:$B,MATCH('Layer A — raw data (SOURCED)'!$A105,'Layer B — pod writeups'!$A:$A,0)),"")</f>
        <v>Returning — Walker 'Lunch' Winfield (incumbent, dual-threat/run-first; wasn't the planned 2024 starter but took over midseason and the offense averaged 34 ppg over the last 4 games once they balanced him; must develop as a passer) [ZERO QB depth — 'if Lunch runs and gets hurt, it's over'; the ONLY Sun Belt team with the same HC + both coordinators + QB]</v>
      </c>
      <c r="L105" s="13" t="str">
        <f aca="false">IFERROR(textjoin(" | ",TRUE(),IF(INDEX('Layer B — pod writeups'!$C:$C,MATCH('Layer A — raw data (SOURCED)'!$A105,'Layer B — pod writeups'!$A:$A,0))="","","HC "&amp;INDEX('Layer B — pod writeups'!$C:$C,MATCH('Layer A — raw data (SOURCED)'!$A105,'Layer B — pod writeups'!$A:$A,0))),IF(INDEX('Layer B — pod writeups'!$D:$D,MATCH('Layer A — raw data (SOURCED)'!$A105,'Layer B — pod writeups'!$A:$A,0))="","","OC "&amp;INDEX('Layer B — pod writeups'!$D:$D,MATCH('Layer A — raw data (SOURCED)'!$A105,'Layer B — pod writeups'!$A:$A,0))),IF(INDEX('Layer B — pod writeups'!$E:$E,MATCH('Layer A — raw data (SOURCED)'!$A105,'Layer B — pod writeups'!$A:$A,0))="","","DC "&amp;INDEX('Layer B — pod writeups'!$E:$E,MATCH('Layer A — raw data (SOURCED)'!$A105,'Layer B — pod writeups'!$A:$A,0)))),"")</f>
        <v/>
      </c>
      <c r="M105" s="12" t="str">
        <f aca="false">IFERROR(INDEX('Layer B — pod writeups'!$F:$F,MATCH('Layer A — raw data (SOURCED)'!$A105,'Layer B — pod writeups'!$A:$A,0)),"")</f>
        <v>Lean Over</v>
      </c>
      <c r="N105" s="12" t="str">
        <f aca="false">IFERROR(INDEX('Layer B — pod writeups'!$K:$K,MATCH('Layer A — raw data (SOURCED)'!$A105,'Layer B — pod writeups'!$A:$A,0)),"")</f>
        <v>Favorable</v>
      </c>
      <c r="O105" s="12" t="str">
        <f aca="false">IFERROR(textjoin(" ",TRUE(),IF(INDEX('Layer B — pod writeups'!$G:$G,MATCH('Layer A — raw data (SOURCED)'!$A105,'Layer B — pod writeups'!$A:$A,0))="Y","DH",""),IF(INDEX('Layer B — pod writeups'!$H:$H,MATCH('Layer A — raw data (SOURCED)'!$A105,'Layer B — pod writeups'!$A:$A,0))="Y","FADE",""),IF(INDEX('Layer B — pod writeups'!$I:$I,MATCH('Layer A — raw data (SOURCED)'!$A105,'Layer B — pod writeups'!$A:$A,0))="Y","SPLIT",""),IF(INDEX('Layer B — pod writeups'!$J:$J,MATCH('Layer A — raw data (SOURCED)'!$A105,'Layer B — pod writeups'!$A:$A,0))="Y","VAR","")),"")</f>
        <v/>
      </c>
      <c r="P105" s="13" t="str">
        <f aca="false">IFERROR(INDEX('Layer B — pod writeups'!$L:$L,MATCH('Layer A — raw data (SOURCED)'!$A105,'Layer B — pod writeups'!$A:$A,0)),"")</f>
        <v>EASIEST Sun Belt schedule (Duck) — AVOIDS JMU, ODU AND Marshall; dream East draw (Coastal + Georgia State). HOSTS South Alabama, Arkansas State, Troy (huge in the West race); road at Southern Miss, ULM, La Tech. 3 winnable non-cons (Lamar, UAB, Charlotte).</v>
      </c>
      <c r="Q105" s="13" t="str">
        <f aca="false">IFERROR(INDEX('Layer B — pod writeups'!$N:$N,MATCH('Layer A — raw data (SOURCED)'!$A105,'Layer B — pod writeups'!$A:$A,0)),"")</f>
        <v>The West favorite (~8-1, Calabrese's 7-1 pick to win it) — Duck + Calabrese lean OVER 7.5. A 'grown-in-a-lab' develop-your-own roster: 81st in returning production (high for the Belt), 3rd in returning starts. Full offseason for Lunch Winfield + WR Shelton Sampson (a possible star capped by 46% catch rate on inaccurate 2024 QB play) + a big rebuilt OL (6 players back with 25%+ snaps, but most injury-plagued line in the country in 2024). The DEFENSE is the drag — DC Jim Salgado's unit was 100th+ in scoring/total D and returns only 2 starters; leaned on FCS imports (Tito Chikwelu, Broderick Stewart) to fix a 121st pass rush + 85th run D. Desormeaux is poor in one-possession games — situational execution is the swing. Stuckey out on Desormeaux + not sold on Lunch's arm.</v>
      </c>
    </row>
    <row r="106" customFormat="false" ht="15" hidden="false" customHeight="true" outlineLevel="0" collapsed="false">
      <c r="A106" s="12" t="str">
        <f aca="false">'Layer A — raw data (SOURCED)'!O106</f>
        <v>CUSA</v>
      </c>
      <c r="B106" s="12" t="str">
        <f aca="false">'Layer A — raw data (SOURCED)'!A106</f>
        <v>Kennesaw State</v>
      </c>
      <c r="C106" s="13" t="str">
        <f aca="false">'Layer A — raw data (SOURCED)'!O106</f>
        <v>CUSA</v>
      </c>
      <c r="D106" s="12" t="n">
        <f aca="false">'Layer A — raw data (SOURCED)'!B106</f>
        <v>6.5</v>
      </c>
      <c r="E106" s="12" t="n">
        <f aca="false">'Layer A — raw data (SOURCED)'!C106</f>
        <v>105</v>
      </c>
      <c r="F106" s="12" t="n">
        <f aca="false">'Layer A — raw data (SOURCED)'!D106</f>
        <v>-9.3</v>
      </c>
      <c r="G106" s="12" t="n">
        <f aca="false">'Layer A — raw data (SOURCED)'!E106</f>
        <v>49</v>
      </c>
      <c r="H106" s="12" t="n">
        <f aca="false">'Layer A — raw data (SOURCED)'!H106</f>
        <v>-4</v>
      </c>
      <c r="I106" s="12" t="n">
        <f aca="false">'Layer A — raw data (SOURCED)'!K106</f>
        <v>0</v>
      </c>
      <c r="J106" s="12" t="str">
        <f aca="false">'Layer A — raw data (SOURCED)'!L106</f>
        <v/>
      </c>
      <c r="K106" s="13" t="str">
        <f aca="false">IFERROR(INDEX('Layer B — pod writeups'!$B:$B,MATCH('Layer A — raw data (SOURCED)'!$A106,'Layer B — pod writeups'!$A:$A,0)),"")</f>
        <v/>
      </c>
      <c r="L106" s="13" t="str">
        <f aca="false">IFERROR(textjoin(" | ",TRUE(),IF(INDEX('Layer B — pod writeups'!$C:$C,MATCH('Layer A — raw data (SOURCED)'!$A106,'Layer B — pod writeups'!$A:$A,0))="","","HC "&amp;INDEX('Layer B — pod writeups'!$C:$C,MATCH('Layer A — raw data (SOURCED)'!$A106,'Layer B — pod writeups'!$A:$A,0))),IF(INDEX('Layer B — pod writeups'!$D:$D,MATCH('Layer A — raw data (SOURCED)'!$A106,'Layer B — pod writeups'!$A:$A,0))="","","OC "&amp;INDEX('Layer B — pod writeups'!$D:$D,MATCH('Layer A — raw data (SOURCED)'!$A106,'Layer B — pod writeups'!$A:$A,0))),IF(INDEX('Layer B — pod writeups'!$E:$E,MATCH('Layer A — raw data (SOURCED)'!$A106,'Layer B — pod writeups'!$A:$A,0))="","","DC "&amp;INDEX('Layer B — pod writeups'!$E:$E,MATCH('Layer A — raw data (SOURCED)'!$A106,'Layer B — pod writeups'!$A:$A,0)))),"")</f>
        <v/>
      </c>
      <c r="M106" s="12" t="str">
        <f aca="false">IFERROR(INDEX('Layer B — pod writeups'!$F:$F,MATCH('Layer A — raw data (SOURCED)'!$A106,'Layer B — pod writeups'!$A:$A,0)),"")</f>
        <v/>
      </c>
      <c r="N106" s="12" t="str">
        <f aca="false">IFERROR(INDEX('Layer B — pod writeups'!$K:$K,MATCH('Layer A — raw data (SOURCED)'!$A106,'Layer B — pod writeups'!$A:$A,0)),"")</f>
        <v/>
      </c>
      <c r="O106" s="12" t="str">
        <f aca="false">IFERROR(textjoin(" ",TRUE(),IF(INDEX('Layer B — pod writeups'!$G:$G,MATCH('Layer A — raw data (SOURCED)'!$A106,'Layer B — pod writeups'!$A:$A,0))="Y","DH",""),IF(INDEX('Layer B — pod writeups'!$H:$H,MATCH('Layer A — raw data (SOURCED)'!$A106,'Layer B — pod writeups'!$A:$A,0))="Y","FADE",""),IF(INDEX('Layer B — pod writeups'!$I:$I,MATCH('Layer A — raw data (SOURCED)'!$A106,'Layer B — pod writeups'!$A:$A,0))="Y","SPLIT",""),IF(INDEX('Layer B — pod writeups'!$J:$J,MATCH('Layer A — raw data (SOURCED)'!$A106,'Layer B — pod writeups'!$A:$A,0))="Y","VAR","")),"")</f>
        <v/>
      </c>
      <c r="P106" s="13" t="str">
        <f aca="false">IFERROR(INDEX('Layer B — pod writeups'!$L:$L,MATCH('Layer A — raw data (SOURCED)'!$A106,'Layer B — pod writeups'!$A:$A,0)),"")</f>
        <v/>
      </c>
      <c r="Q106" s="13" t="str">
        <f aca="false">IFERROR(INDEX('Layer B — pod writeups'!$N:$N,MATCH('Layer A — raw data (SOURCED)'!$A106,'Layer B — pod writeups'!$A:$A,0)),"")</f>
        <v/>
      </c>
    </row>
    <row r="107" customFormat="false" ht="15" hidden="false" customHeight="true" outlineLevel="0" collapsed="false">
      <c r="A107" s="12" t="str">
        <f aca="false">'Layer A — raw data (SOURCED)'!O107</f>
        <v>MWC</v>
      </c>
      <c r="B107" s="12" t="str">
        <f aca="false">'Layer A — raw data (SOURCED)'!A107</f>
        <v>Wyoming</v>
      </c>
      <c r="C107" s="13" t="str">
        <f aca="false">'Layer A — raw data (SOURCED)'!O107</f>
        <v>MWC</v>
      </c>
      <c r="D107" s="12" t="n">
        <f aca="false">'Layer A — raw data (SOURCED)'!B107</f>
        <v>5.5</v>
      </c>
      <c r="E107" s="12" t="n">
        <f aca="false">'Layer A — raw data (SOURCED)'!C107</f>
        <v>106</v>
      </c>
      <c r="F107" s="12" t="n">
        <f aca="false">'Layer A — raw data (SOURCED)'!D107</f>
        <v>-9.6</v>
      </c>
      <c r="G107" s="12" t="n">
        <f aca="false">'Layer A — raw data (SOURCED)'!E107</f>
        <v>40</v>
      </c>
      <c r="H107" s="12" t="n">
        <f aca="false">'Layer A — raw data (SOURCED)'!H107</f>
        <v>-3</v>
      </c>
      <c r="I107" s="12" t="n">
        <f aca="false">'Layer A — raw data (SOURCED)'!K107</f>
        <v>0</v>
      </c>
      <c r="J107" s="12" t="str">
        <f aca="false">'Layer A — raw data (SOURCED)'!L107</f>
        <v/>
      </c>
      <c r="K107" s="13" t="str">
        <f aca="false">IFERROR(INDEX('Layer B — pod writeups'!$B:$B,MATCH('Layer A — raw data (SOURCED)'!$A107,'Layer B — pod writeups'!$A:$A,0)),"")</f>
        <v/>
      </c>
      <c r="L107" s="13" t="str">
        <f aca="false">IFERROR(textjoin(" | ",TRUE(),IF(INDEX('Layer B — pod writeups'!$C:$C,MATCH('Layer A — raw data (SOURCED)'!$A107,'Layer B — pod writeups'!$A:$A,0))="","","HC "&amp;INDEX('Layer B — pod writeups'!$C:$C,MATCH('Layer A — raw data (SOURCED)'!$A107,'Layer B — pod writeups'!$A:$A,0))),IF(INDEX('Layer B — pod writeups'!$D:$D,MATCH('Layer A — raw data (SOURCED)'!$A107,'Layer B — pod writeups'!$A:$A,0))="","","OC "&amp;INDEX('Layer B — pod writeups'!$D:$D,MATCH('Layer A — raw data (SOURCED)'!$A107,'Layer B — pod writeups'!$A:$A,0))),IF(INDEX('Layer B — pod writeups'!$E:$E,MATCH('Layer A — raw data (SOURCED)'!$A107,'Layer B — pod writeups'!$A:$A,0))="","","DC "&amp;INDEX('Layer B — pod writeups'!$E:$E,MATCH('Layer A — raw data (SOURCED)'!$A107,'Layer B — pod writeups'!$A:$A,0)))),"")</f>
        <v/>
      </c>
      <c r="M107" s="12" t="str">
        <f aca="false">IFERROR(INDEX('Layer B — pod writeups'!$F:$F,MATCH('Layer A — raw data (SOURCED)'!$A107,'Layer B — pod writeups'!$A:$A,0)),"")</f>
        <v/>
      </c>
      <c r="N107" s="12" t="str">
        <f aca="false">IFERROR(INDEX('Layer B — pod writeups'!$K:$K,MATCH('Layer A — raw data (SOURCED)'!$A107,'Layer B — pod writeups'!$A:$A,0)),"")</f>
        <v/>
      </c>
      <c r="O107" s="12" t="str">
        <f aca="false">IFERROR(textjoin(" ",TRUE(),IF(INDEX('Layer B — pod writeups'!$G:$G,MATCH('Layer A — raw data (SOURCED)'!$A107,'Layer B — pod writeups'!$A:$A,0))="Y","DH",""),IF(INDEX('Layer B — pod writeups'!$H:$H,MATCH('Layer A — raw data (SOURCED)'!$A107,'Layer B — pod writeups'!$A:$A,0))="Y","FADE",""),IF(INDEX('Layer B — pod writeups'!$I:$I,MATCH('Layer A — raw data (SOURCED)'!$A107,'Layer B — pod writeups'!$A:$A,0))="Y","SPLIT",""),IF(INDEX('Layer B — pod writeups'!$J:$J,MATCH('Layer A — raw data (SOURCED)'!$A107,'Layer B — pod writeups'!$A:$A,0))="Y","VAR","")),"")</f>
        <v/>
      </c>
      <c r="P107" s="13" t="str">
        <f aca="false">IFERROR(INDEX('Layer B — pod writeups'!$L:$L,MATCH('Layer A — raw data (SOURCED)'!$A107,'Layer B — pod writeups'!$A:$A,0)),"")</f>
        <v/>
      </c>
      <c r="Q107" s="13" t="str">
        <f aca="false">IFERROR(INDEX('Layer B — pod writeups'!$N:$N,MATCH('Layer A — raw data (SOURCED)'!$A107,'Layer B — pod writeups'!$A:$A,0)),"")</f>
        <v/>
      </c>
    </row>
    <row r="108" customFormat="false" ht="15" hidden="false" customHeight="true" outlineLevel="0" collapsed="false">
      <c r="A108" s="12" t="str">
        <f aca="false">'Layer A — raw data (SOURCED)'!O108</f>
        <v>CUSA</v>
      </c>
      <c r="B108" s="12" t="str">
        <f aca="false">'Layer A — raw data (SOURCED)'!A108</f>
        <v>UConn</v>
      </c>
      <c r="C108" s="13" t="s">
        <v>312</v>
      </c>
      <c r="D108" s="12" t="n">
        <f aca="false">'Layer A — raw data (SOURCED)'!B108</f>
        <v>5.5</v>
      </c>
      <c r="E108" s="12" t="n">
        <f aca="false">'Layer A — raw data (SOURCED)'!C108</f>
        <v>107</v>
      </c>
      <c r="F108" s="12" t="n">
        <f aca="false">'Layer A — raw data (SOURCED)'!D108</f>
        <v>-11.2</v>
      </c>
      <c r="G108" s="12" t="n">
        <f aca="false">'Layer A — raw data (SOURCED)'!E108</f>
        <v>31</v>
      </c>
      <c r="H108" s="12" t="n">
        <f aca="false">'Layer A — raw data (SOURCED)'!H108</f>
        <v>-9.5</v>
      </c>
      <c r="I108" s="12" t="n">
        <f aca="false">'Layer A — raw data (SOURCED)'!K108</f>
        <v>0</v>
      </c>
      <c r="J108" s="12" t="str">
        <f aca="false">'Layer A — raw data (SOURCED)'!L108</f>
        <v/>
      </c>
      <c r="K108" s="13" t="str">
        <f aca="false">IFERROR(INDEX('Layer B — pod writeups'!$B:$B,MATCH('Layer A — raw data (SOURCED)'!$A108,'Layer B — pod writeups'!$A:$A,0)),"")</f>
        <v/>
      </c>
      <c r="L108" s="13" t="str">
        <f aca="false">IFERROR(textjoin(" | ",TRUE(),IF(INDEX('Layer B — pod writeups'!$C:$C,MATCH('Layer A — raw data (SOURCED)'!$A108,'Layer B — pod writeups'!$A:$A,0))="","","HC "&amp;INDEX('Layer B — pod writeups'!$C:$C,MATCH('Layer A — raw data (SOURCED)'!$A108,'Layer B — pod writeups'!$A:$A,0))),IF(INDEX('Layer B — pod writeups'!$D:$D,MATCH('Layer A — raw data (SOURCED)'!$A108,'Layer B — pod writeups'!$A:$A,0))="","","OC "&amp;INDEX('Layer B — pod writeups'!$D:$D,MATCH('Layer A — raw data (SOURCED)'!$A108,'Layer B — pod writeups'!$A:$A,0))),IF(INDEX('Layer B — pod writeups'!$E:$E,MATCH('Layer A — raw data (SOURCED)'!$A108,'Layer B — pod writeups'!$A:$A,0))="","","DC "&amp;INDEX('Layer B — pod writeups'!$E:$E,MATCH('Layer A — raw data (SOURCED)'!$A108,'Layer B — pod writeups'!$A:$A,0)))),"")</f>
        <v/>
      </c>
      <c r="M108" s="12" t="str">
        <f aca="false">IFERROR(INDEX('Layer B — pod writeups'!$F:$F,MATCH('Layer A — raw data (SOURCED)'!$A108,'Layer B — pod writeups'!$A:$A,0)),"")</f>
        <v/>
      </c>
      <c r="N108" s="12" t="str">
        <f aca="false">IFERROR(INDEX('Layer B — pod writeups'!$K:$K,MATCH('Layer A — raw data (SOURCED)'!$A108,'Layer B — pod writeups'!$A:$A,0)),"")</f>
        <v/>
      </c>
      <c r="O108" s="12" t="str">
        <f aca="false">IFERROR(textjoin(" ",TRUE(),IF(INDEX('Layer B — pod writeups'!$G:$G,MATCH('Layer A — raw data (SOURCED)'!$A108,'Layer B — pod writeups'!$A:$A,0))="Y","DH",""),IF(INDEX('Layer B — pod writeups'!$H:$H,MATCH('Layer A — raw data (SOURCED)'!$A108,'Layer B — pod writeups'!$A:$A,0))="Y","FADE",""),IF(INDEX('Layer B — pod writeups'!$I:$I,MATCH('Layer A — raw data (SOURCED)'!$A108,'Layer B — pod writeups'!$A:$A,0))="Y","SPLIT",""),IF(INDEX('Layer B — pod writeups'!$J:$J,MATCH('Layer A — raw data (SOURCED)'!$A108,'Layer B — pod writeups'!$A:$A,0))="Y","VAR","")),"")</f>
        <v/>
      </c>
      <c r="P108" s="13" t="str">
        <f aca="false">IFERROR(INDEX('Layer B — pod writeups'!$L:$L,MATCH('Layer A — raw data (SOURCED)'!$A108,'Layer B — pod writeups'!$A:$A,0)),"")</f>
        <v/>
      </c>
      <c r="Q108" s="13" t="str">
        <f aca="false">IFERROR(INDEX('Layer B — pod writeups'!$N:$N,MATCH('Layer A — raw data (SOURCED)'!$A108,'Layer B — pod writeups'!$A:$A,0)),"")</f>
        <v/>
      </c>
    </row>
    <row r="109" customFormat="false" ht="15" hidden="false" customHeight="true" outlineLevel="0" collapsed="false">
      <c r="A109" s="12" t="str">
        <f aca="false">'Layer A — raw data (SOURCED)'!O109</f>
        <v>MAC</v>
      </c>
      <c r="B109" s="12" t="str">
        <f aca="false">'Layer A — raw data (SOURCED)'!A109</f>
        <v>Toledo</v>
      </c>
      <c r="C109" s="13" t="str">
        <f aca="false">'Layer A — raw data (SOURCED)'!O109</f>
        <v>MAC</v>
      </c>
      <c r="D109" s="12" t="n">
        <f aca="false">'Layer A — raw data (SOURCED)'!B109</f>
        <v>7.5</v>
      </c>
      <c r="E109" s="12" t="n">
        <f aca="false">'Layer A — raw data (SOURCED)'!C109</f>
        <v>108</v>
      </c>
      <c r="F109" s="12" t="n">
        <f aca="false">'Layer A — raw data (SOURCED)'!D109</f>
        <v>-11.5</v>
      </c>
      <c r="G109" s="12" t="n">
        <f aca="false">'Layer A — raw data (SOURCED)'!E109</f>
        <v>33</v>
      </c>
      <c r="H109" s="12" t="n">
        <f aca="false">'Layer A — raw data (SOURCED)'!H109</f>
        <v>-9</v>
      </c>
      <c r="I109" s="12" t="n">
        <f aca="false">'Layer A — raw data (SOURCED)'!K109</f>
        <v>0</v>
      </c>
      <c r="J109" s="12" t="str">
        <f aca="false">'Layer A — raw data (SOURCED)'!L109</f>
        <v/>
      </c>
      <c r="K109" s="13" t="str">
        <f aca="false">IFERROR(INDEX('Layer B — pod writeups'!$B:$B,MATCH('Layer A — raw data (SOURCED)'!$A109,'Layer B — pod writeups'!$A:$A,0)),"")</f>
        <v/>
      </c>
      <c r="L109" s="13" t="str">
        <f aca="false">IFERROR(textjoin(" | ",TRUE(),IF(INDEX('Layer B — pod writeups'!$C:$C,MATCH('Layer A — raw data (SOURCED)'!$A109,'Layer B — pod writeups'!$A:$A,0))="","","HC "&amp;INDEX('Layer B — pod writeups'!$C:$C,MATCH('Layer A — raw data (SOURCED)'!$A109,'Layer B — pod writeups'!$A:$A,0))),IF(INDEX('Layer B — pod writeups'!$D:$D,MATCH('Layer A — raw data (SOURCED)'!$A109,'Layer B — pod writeups'!$A:$A,0))="","","OC "&amp;INDEX('Layer B — pod writeups'!$D:$D,MATCH('Layer A — raw data (SOURCED)'!$A109,'Layer B — pod writeups'!$A:$A,0))),IF(INDEX('Layer B — pod writeups'!$E:$E,MATCH('Layer A — raw data (SOURCED)'!$A109,'Layer B — pod writeups'!$A:$A,0))="","","DC "&amp;INDEX('Layer B — pod writeups'!$E:$E,MATCH('Layer A — raw data (SOURCED)'!$A109,'Layer B — pod writeups'!$A:$A,0)))),"")</f>
        <v/>
      </c>
      <c r="M109" s="12" t="str">
        <f aca="false">IFERROR(INDEX('Layer B — pod writeups'!$F:$F,MATCH('Layer A — raw data (SOURCED)'!$A109,'Layer B — pod writeups'!$A:$A,0)),"")</f>
        <v/>
      </c>
      <c r="N109" s="12" t="str">
        <f aca="false">IFERROR(INDEX('Layer B — pod writeups'!$K:$K,MATCH('Layer A — raw data (SOURCED)'!$A109,'Layer B — pod writeups'!$A:$A,0)),"")</f>
        <v/>
      </c>
      <c r="O109" s="12" t="str">
        <f aca="false">IFERROR(textjoin(" ",TRUE(),IF(INDEX('Layer B — pod writeups'!$G:$G,MATCH('Layer A — raw data (SOURCED)'!$A109,'Layer B — pod writeups'!$A:$A,0))="Y","DH",""),IF(INDEX('Layer B — pod writeups'!$H:$H,MATCH('Layer A — raw data (SOURCED)'!$A109,'Layer B — pod writeups'!$A:$A,0))="Y","FADE",""),IF(INDEX('Layer B — pod writeups'!$I:$I,MATCH('Layer A — raw data (SOURCED)'!$A109,'Layer B — pod writeups'!$A:$A,0))="Y","SPLIT",""),IF(INDEX('Layer B — pod writeups'!$J:$J,MATCH('Layer A — raw data (SOURCED)'!$A109,'Layer B — pod writeups'!$A:$A,0))="Y","VAR","")),"")</f>
        <v/>
      </c>
      <c r="P109" s="13" t="str">
        <f aca="false">IFERROR(INDEX('Layer B — pod writeups'!$L:$L,MATCH('Layer A — raw data (SOURCED)'!$A109,'Layer B — pod writeups'!$A:$A,0)),"")</f>
        <v/>
      </c>
      <c r="Q109" s="13" t="str">
        <f aca="false">IFERROR(INDEX('Layer B — pod writeups'!$N:$N,MATCH('Layer A — raw data (SOURCED)'!$A109,'Layer B — pod writeups'!$A:$A,0)),"")</f>
        <v/>
      </c>
    </row>
    <row r="110" customFormat="false" ht="15" hidden="false" customHeight="true" outlineLevel="0" collapsed="false">
      <c r="A110" s="12" t="str">
        <f aca="false">'Layer A — raw data (SOURCED)'!O110</f>
        <v>AAC</v>
      </c>
      <c r="B110" s="12" t="str">
        <f aca="false">'Layer A — raw data (SOURCED)'!A110</f>
        <v>North Texas</v>
      </c>
      <c r="C110" s="13" t="str">
        <f aca="false">'Layer A — raw data (SOURCED)'!O110</f>
        <v>AAC</v>
      </c>
      <c r="D110" s="12" t="n">
        <f aca="false">'Layer A — raw data (SOURCED)'!B110</f>
        <v>5.5</v>
      </c>
      <c r="E110" s="12" t="n">
        <f aca="false">'Layer A — raw data (SOURCED)'!C110</f>
        <v>109</v>
      </c>
      <c r="F110" s="12" t="n">
        <f aca="false">'Layer A — raw data (SOURCED)'!D110</f>
        <v>-11.8</v>
      </c>
      <c r="G110" s="12" t="n">
        <f aca="false">'Layer A — raw data (SOURCED)'!E110</f>
        <v>32</v>
      </c>
      <c r="H110" s="12" t="n">
        <f aca="false">'Layer A — raw data (SOURCED)'!H110</f>
        <v>-8</v>
      </c>
      <c r="I110" s="12" t="n">
        <f aca="false">'Layer A — raw data (SOURCED)'!K110</f>
        <v>0</v>
      </c>
      <c r="J110" s="12" t="str">
        <f aca="false">'Layer A — raw data (SOURCED)'!L110</f>
        <v/>
      </c>
      <c r="K110" s="13" t="str">
        <f aca="false">IFERROR(INDEX('Layer B — pod writeups'!$B:$B,MATCH('Layer A — raw data (SOURCED)'!$A110,'Layer B — pod writeups'!$A:$A,0)),"")</f>
        <v/>
      </c>
      <c r="L110" s="13" t="str">
        <f aca="false">IFERROR(textjoin(" | ",TRUE(),IF(INDEX('Layer B — pod writeups'!$C:$C,MATCH('Layer A — raw data (SOURCED)'!$A110,'Layer B — pod writeups'!$A:$A,0))="","","HC "&amp;INDEX('Layer B — pod writeups'!$C:$C,MATCH('Layer A — raw data (SOURCED)'!$A110,'Layer B — pod writeups'!$A:$A,0))),IF(INDEX('Layer B — pod writeups'!$D:$D,MATCH('Layer A — raw data (SOURCED)'!$A110,'Layer B — pod writeups'!$A:$A,0))="","","OC "&amp;INDEX('Layer B — pod writeups'!$D:$D,MATCH('Layer A — raw data (SOURCED)'!$A110,'Layer B — pod writeups'!$A:$A,0))),IF(INDEX('Layer B — pod writeups'!$E:$E,MATCH('Layer A — raw data (SOURCED)'!$A110,'Layer B — pod writeups'!$A:$A,0))="","","DC "&amp;INDEX('Layer B — pod writeups'!$E:$E,MATCH('Layer A — raw data (SOURCED)'!$A110,'Layer B — pod writeups'!$A:$A,0)))),"")</f>
        <v/>
      </c>
      <c r="M110" s="12" t="str">
        <f aca="false">IFERROR(INDEX('Layer B — pod writeups'!$F:$F,MATCH('Layer A — raw data (SOURCED)'!$A110,'Layer B — pod writeups'!$A:$A,0)),"")</f>
        <v/>
      </c>
      <c r="N110" s="12" t="str">
        <f aca="false">IFERROR(INDEX('Layer B — pod writeups'!$K:$K,MATCH('Layer A — raw data (SOURCED)'!$A110,'Layer B — pod writeups'!$A:$A,0)),"")</f>
        <v/>
      </c>
      <c r="O110" s="12" t="str">
        <f aca="false">IFERROR(textjoin(" ",TRUE(),IF(INDEX('Layer B — pod writeups'!$G:$G,MATCH('Layer A — raw data (SOURCED)'!$A110,'Layer B — pod writeups'!$A:$A,0))="Y","DH",""),IF(INDEX('Layer B — pod writeups'!$H:$H,MATCH('Layer A — raw data (SOURCED)'!$A110,'Layer B — pod writeups'!$A:$A,0))="Y","FADE",""),IF(INDEX('Layer B — pod writeups'!$I:$I,MATCH('Layer A — raw data (SOURCED)'!$A110,'Layer B — pod writeups'!$A:$A,0))="Y","SPLIT",""),IF(INDEX('Layer B — pod writeups'!$J:$J,MATCH('Layer A — raw data (SOURCED)'!$A110,'Layer B — pod writeups'!$A:$A,0))="Y","VAR","")),"")</f>
        <v/>
      </c>
      <c r="P110" s="13" t="str">
        <f aca="false">IFERROR(INDEX('Layer B — pod writeups'!$L:$L,MATCH('Layer A — raw data (SOURCED)'!$A110,'Layer B — pod writeups'!$A:$A,0)),"")</f>
        <v/>
      </c>
      <c r="Q110" s="13" t="str">
        <f aca="false">IFERROR(INDEX('Layer B — pod writeups'!$N:$N,MATCH('Layer A — raw data (SOURCED)'!$A110,'Layer B — pod writeups'!$A:$A,0)),"")</f>
        <v/>
      </c>
    </row>
    <row r="111" customFormat="false" ht="15" hidden="false" customHeight="true" outlineLevel="0" collapsed="false">
      <c r="A111" s="12" t="str">
        <f aca="false">'Layer A — raw data (SOURCED)'!O111</f>
        <v>MAC</v>
      </c>
      <c r="B111" s="12" t="str">
        <f aca="false">'Layer A — raw data (SOURCED)'!A111</f>
        <v>Buffalo</v>
      </c>
      <c r="C111" s="13" t="str">
        <f aca="false">'Layer A — raw data (SOURCED)'!O111</f>
        <v>MAC</v>
      </c>
      <c r="D111" s="12" t="n">
        <f aca="false">'Layer A — raw data (SOURCED)'!B111</f>
        <v>5.5</v>
      </c>
      <c r="E111" s="12" t="n">
        <f aca="false">'Layer A — raw data (SOURCED)'!C111</f>
        <v>110</v>
      </c>
      <c r="F111" s="12" t="n">
        <f aca="false">'Layer A — raw data (SOURCED)'!D111</f>
        <v>-11.9</v>
      </c>
      <c r="G111" s="12" t="n">
        <f aca="false">'Layer A — raw data (SOURCED)'!E111</f>
        <v>30</v>
      </c>
      <c r="H111" s="12" t="n">
        <f aca="false">'Layer A — raw data (SOURCED)'!H111</f>
        <v>-7.5</v>
      </c>
      <c r="I111" s="12" t="n">
        <f aca="false">'Layer A — raw data (SOURCED)'!K111</f>
        <v>0</v>
      </c>
      <c r="J111" s="12" t="str">
        <f aca="false">'Layer A — raw data (SOURCED)'!L111</f>
        <v/>
      </c>
      <c r="K111" s="13" t="str">
        <f aca="false">IFERROR(INDEX('Layer B — pod writeups'!$B:$B,MATCH('Layer A — raw data (SOURCED)'!$A111,'Layer B — pod writeups'!$A:$A,0)),"")</f>
        <v/>
      </c>
      <c r="L111" s="13" t="str">
        <f aca="false">IFERROR(textjoin(" | ",TRUE(),IF(INDEX('Layer B — pod writeups'!$C:$C,MATCH('Layer A — raw data (SOURCED)'!$A111,'Layer B — pod writeups'!$A:$A,0))="","","HC "&amp;INDEX('Layer B — pod writeups'!$C:$C,MATCH('Layer A — raw data (SOURCED)'!$A111,'Layer B — pod writeups'!$A:$A,0))),IF(INDEX('Layer B — pod writeups'!$D:$D,MATCH('Layer A — raw data (SOURCED)'!$A111,'Layer B — pod writeups'!$A:$A,0))="","","OC "&amp;INDEX('Layer B — pod writeups'!$D:$D,MATCH('Layer A — raw data (SOURCED)'!$A111,'Layer B — pod writeups'!$A:$A,0))),IF(INDEX('Layer B — pod writeups'!$E:$E,MATCH('Layer A — raw data (SOURCED)'!$A111,'Layer B — pod writeups'!$A:$A,0))="","","DC "&amp;INDEX('Layer B — pod writeups'!$E:$E,MATCH('Layer A — raw data (SOURCED)'!$A111,'Layer B — pod writeups'!$A:$A,0)))),"")</f>
        <v/>
      </c>
      <c r="M111" s="12" t="str">
        <f aca="false">IFERROR(INDEX('Layer B — pod writeups'!$F:$F,MATCH('Layer A — raw data (SOURCED)'!$A111,'Layer B — pod writeups'!$A:$A,0)),"")</f>
        <v/>
      </c>
      <c r="N111" s="12" t="str">
        <f aca="false">IFERROR(INDEX('Layer B — pod writeups'!$K:$K,MATCH('Layer A — raw data (SOURCED)'!$A111,'Layer B — pod writeups'!$A:$A,0)),"")</f>
        <v/>
      </c>
      <c r="O111" s="12" t="str">
        <f aca="false">IFERROR(textjoin(" ",TRUE(),IF(INDEX('Layer B — pod writeups'!$G:$G,MATCH('Layer A — raw data (SOURCED)'!$A111,'Layer B — pod writeups'!$A:$A,0))="Y","DH",""),IF(INDEX('Layer B — pod writeups'!$H:$H,MATCH('Layer A — raw data (SOURCED)'!$A111,'Layer B — pod writeups'!$A:$A,0))="Y","FADE",""),IF(INDEX('Layer B — pod writeups'!$I:$I,MATCH('Layer A — raw data (SOURCED)'!$A111,'Layer B — pod writeups'!$A:$A,0))="Y","SPLIT",""),IF(INDEX('Layer B — pod writeups'!$J:$J,MATCH('Layer A — raw data (SOURCED)'!$A111,'Layer B — pod writeups'!$A:$A,0))="Y","VAR","")),"")</f>
        <v/>
      </c>
      <c r="P111" s="13" t="str">
        <f aca="false">IFERROR(INDEX('Layer B — pod writeups'!$L:$L,MATCH('Layer A — raw data (SOURCED)'!$A111,'Layer B — pod writeups'!$A:$A,0)),"")</f>
        <v/>
      </c>
      <c r="Q111" s="13" t="str">
        <f aca="false">IFERROR(INDEX('Layer B — pod writeups'!$N:$N,MATCH('Layer A — raw data (SOURCED)'!$A111,'Layer B — pod writeups'!$A:$A,0)),"")</f>
        <v/>
      </c>
    </row>
    <row r="112" customFormat="false" ht="15" hidden="false" customHeight="true" outlineLevel="0" collapsed="false">
      <c r="A112" s="12" t="str">
        <f aca="false">'Layer A — raw data (SOURCED)'!O112</f>
        <v>Sun Belt</v>
      </c>
      <c r="B112" s="12" t="str">
        <f aca="false">'Layer A — raw data (SOURCED)'!A112</f>
        <v>Appalachian State</v>
      </c>
      <c r="C112" s="13" t="str">
        <f aca="false">'Layer A — raw data (SOURCED)'!O112</f>
        <v>Sun Belt</v>
      </c>
      <c r="D112" s="12" t="n">
        <f aca="false">'Layer A — raw data (SOURCED)'!B112</f>
        <v>5.5</v>
      </c>
      <c r="E112" s="12" t="n">
        <f aca="false">'Layer A — raw data (SOURCED)'!C112</f>
        <v>111</v>
      </c>
      <c r="F112" s="12" t="n">
        <f aca="false">'Layer A — raw data (SOURCED)'!D112</f>
        <v>-12.1</v>
      </c>
      <c r="G112" s="12" t="n">
        <f aca="false">'Layer A — raw data (SOURCED)'!E112</f>
        <v>34</v>
      </c>
      <c r="H112" s="12" t="n">
        <f aca="false">'Layer A — raw data (SOURCED)'!H112</f>
        <v>-3</v>
      </c>
      <c r="I112" s="12" t="n">
        <f aca="false">'Layer A — raw data (SOURCED)'!K112</f>
        <v>5</v>
      </c>
      <c r="J112" s="12" t="n">
        <f aca="false">'Layer A — raw data (SOURCED)'!L112</f>
        <v>-0.5</v>
      </c>
      <c r="K112" s="13" t="str">
        <f aca="false">IFERROR(INDEX('Layer B — pod writeups'!$B:$B,MATCH('Layer A — raw data (SOURCED)'!$A112,'Layer B — pod writeups'!$A:$A,0)),"")</f>
        <v>Battle — Malachi Singleton (transfer from Purdue, ex-'MAC legend'/dual-threat) likely QB1 / Tommy Ulatowski (transfer from Kent State) / Henry Hasselbeck [lead: hope is Singleton, may use multiple; the 2024 room bled out — 40+ portal departures]</v>
      </c>
      <c r="L112" s="13" t="str">
        <f aca="false">IFERROR(textjoin(" | ",TRUE(),IF(INDEX('Layer B — pod writeups'!$C:$C,MATCH('Layer A — raw data (SOURCED)'!$A112,'Layer B — pod writeups'!$A:$A,0))="","","HC "&amp;INDEX('Layer B — pod writeups'!$C:$C,MATCH('Layer A — raw data (SOURCED)'!$A112,'Layer B — pod writeups'!$A:$A,0))),IF(INDEX('Layer B — pod writeups'!$D:$D,MATCH('Layer A — raw data (SOURCED)'!$A112,'Layer B — pod writeups'!$A:$A,0))="","","OC "&amp;INDEX('Layer B — pod writeups'!$D:$D,MATCH('Layer A — raw data (SOURCED)'!$A112,'Layer B — pod writeups'!$A:$A,0))),IF(INDEX('Layer B — pod writeups'!$E:$E,MATCH('Layer A — raw data (SOURCED)'!$A112,'Layer B — pod writeups'!$A:$A,0))="","","DC "&amp;INDEX('Layer B — pod writeups'!$E:$E,MATCH('Layer A — raw data (SOURCED)'!$A112,'Layer B — pod writeups'!$A:$A,0)))),"")</f>
        <v/>
      </c>
      <c r="M112" s="12" t="str">
        <f aca="false">IFERROR(INDEX('Layer B — pod writeups'!$F:$F,MATCH('Layer A — raw data (SOURCED)'!$A112,'Layer B — pod writeups'!$A:$A,0)),"")</f>
        <v>Lean Under</v>
      </c>
      <c r="N112" s="12" t="str">
        <f aca="false">IFERROR(INDEX('Layer B — pod writeups'!$K:$K,MATCH('Layer A — raw data (SOURCED)'!$A112,'Layer B — pod writeups'!$A:$A,0)),"")</f>
        <v>Favorable</v>
      </c>
      <c r="O112" s="12" t="str">
        <f aca="false">IFERROR(textjoin(" ",TRUE(),IF(INDEX('Layer B — pod writeups'!$G:$G,MATCH('Layer A — raw data (SOURCED)'!$A112,'Layer B — pod writeups'!$A:$A,0))="Y","DH",""),IF(INDEX('Layer B — pod writeups'!$H:$H,MATCH('Layer A — raw data (SOURCED)'!$A112,'Layer B — pod writeups'!$A:$A,0))="Y","FADE",""),IF(INDEX('Layer B — pod writeups'!$I:$I,MATCH('Layer A — raw data (SOURCED)'!$A112,'Layer B — pod writeups'!$A:$A,0))="Y","SPLIT",""),IF(INDEX('Layer B — pod writeups'!$J:$J,MATCH('Layer A — raw data (SOURCED)'!$A112,'Layer B — pod writeups'!$A:$A,0))="Y","VAR","")),"")</f>
        <v/>
      </c>
      <c r="P112" s="13" t="str">
        <f aca="false">IFERROR(INDEX('Layer B — pod writeups'!$L:$L,MATCH('Layer A — raw data (SOURCED)'!$A112,'Layer B — pod writeups'!$A:$A,0)),"")</f>
        <v>Conducive slate — 4 home wins likely (Maine, Charlotte, Georgia State, ULM), winnables on the road (at Coastal, at South Alabama). Easy West crossover (ULM + at South Alabama). HOSTS JMU + ODU in Boone. Only ~3 games as a double-digit dog.</v>
      </c>
      <c r="Q112" s="13" t="str">
        <f aca="false">IFERROR(INDEX('Layer B — pod writeups'!$N:$N,MATCH('Layer A — raw data (SOURCED)'!$A112,'Layer B — pod writeups'!$A:$A,0)),"")</f>
        <v>Under lean but a soft one (Stuckey ~5.0, right on market, passes; Duck leans under but the schedule is too winnable to fire). Program on the decline — 127th in returning production, 40+ portal losses, lost 9 of top-10 tacklers; hosts are not Dowell Loggins believers (rode the one good LaNorris-Sellers-fueled year at South Carolina). QB unsettled (Singleton the hope). Trench help: RT Poindexter back from injury + LT Manuel (Florida/Arkansas) should steady the tackles; RB room has pop (Jaquez Cross from Ark State, Jaquari Lewis). Pass D was shredded in 2024 and the FCS DB imports don't obviously fix it. Bowl needs a road steal or two.</v>
      </c>
    </row>
    <row r="113" customFormat="false" ht="15" hidden="false" customHeight="true" outlineLevel="0" collapsed="false">
      <c r="A113" s="12" t="str">
        <f aca="false">'Layer A — raw data (SOURCED)'!O113</f>
        <v>MWC</v>
      </c>
      <c r="B113" s="12" t="str">
        <f aca="false">'Layer A — raw data (SOURCED)'!A113</f>
        <v>Nevada</v>
      </c>
      <c r="C113" s="13" t="str">
        <f aca="false">'Layer A — raw data (SOURCED)'!O113</f>
        <v>MWC</v>
      </c>
      <c r="D113" s="12" t="n">
        <f aca="false">'Layer A — raw data (SOURCED)'!B113</f>
        <v>4.5</v>
      </c>
      <c r="E113" s="12" t="n">
        <f aca="false">'Layer A — raw data (SOURCED)'!C113</f>
        <v>112</v>
      </c>
      <c r="F113" s="12" t="n">
        <f aca="false">'Layer A — raw data (SOURCED)'!D113</f>
        <v>-12.2</v>
      </c>
      <c r="G113" s="12" t="n">
        <f aca="false">'Layer A — raw data (SOURCED)'!E113</f>
        <v>48</v>
      </c>
      <c r="H113" s="12" t="n">
        <f aca="false">'Layer A — raw data (SOURCED)'!H113</f>
        <v>-3</v>
      </c>
      <c r="I113" s="12" t="n">
        <f aca="false">'Layer A — raw data (SOURCED)'!K113</f>
        <v>0</v>
      </c>
      <c r="J113" s="12" t="str">
        <f aca="false">'Layer A — raw data (SOURCED)'!L113</f>
        <v/>
      </c>
      <c r="K113" s="13" t="str">
        <f aca="false">IFERROR(INDEX('Layer B — pod writeups'!$B:$B,MATCH('Layer A — raw data (SOURCED)'!$A113,'Layer B — pod writeups'!$A:$A,0)),"")</f>
        <v/>
      </c>
      <c r="L113" s="13" t="str">
        <f aca="false">IFERROR(textjoin(" | ",TRUE(),IF(INDEX('Layer B — pod writeups'!$C:$C,MATCH('Layer A — raw data (SOURCED)'!$A113,'Layer B — pod writeups'!$A:$A,0))="","","HC "&amp;INDEX('Layer B — pod writeups'!$C:$C,MATCH('Layer A — raw data (SOURCED)'!$A113,'Layer B — pod writeups'!$A:$A,0))),IF(INDEX('Layer B — pod writeups'!$D:$D,MATCH('Layer A — raw data (SOURCED)'!$A113,'Layer B — pod writeups'!$A:$A,0))="","","OC "&amp;INDEX('Layer B — pod writeups'!$D:$D,MATCH('Layer A — raw data (SOURCED)'!$A113,'Layer B — pod writeups'!$A:$A,0))),IF(INDEX('Layer B — pod writeups'!$E:$E,MATCH('Layer A — raw data (SOURCED)'!$A113,'Layer B — pod writeups'!$A:$A,0))="","","DC "&amp;INDEX('Layer B — pod writeups'!$E:$E,MATCH('Layer A — raw data (SOURCED)'!$A113,'Layer B — pod writeups'!$A:$A,0)))),"")</f>
        <v/>
      </c>
      <c r="M113" s="12" t="str">
        <f aca="false">IFERROR(INDEX('Layer B — pod writeups'!$F:$F,MATCH('Layer A — raw data (SOURCED)'!$A113,'Layer B — pod writeups'!$A:$A,0)),"")</f>
        <v/>
      </c>
      <c r="N113" s="12" t="str">
        <f aca="false">IFERROR(INDEX('Layer B — pod writeups'!$K:$K,MATCH('Layer A — raw data (SOURCED)'!$A113,'Layer B — pod writeups'!$A:$A,0)),"")</f>
        <v/>
      </c>
      <c r="O113" s="12" t="str">
        <f aca="false">IFERROR(textjoin(" ",TRUE(),IF(INDEX('Layer B — pod writeups'!$G:$G,MATCH('Layer A — raw data (SOURCED)'!$A113,'Layer B — pod writeups'!$A:$A,0))="Y","DH",""),IF(INDEX('Layer B — pod writeups'!$H:$H,MATCH('Layer A — raw data (SOURCED)'!$A113,'Layer B — pod writeups'!$A:$A,0))="Y","FADE",""),IF(INDEX('Layer B — pod writeups'!$I:$I,MATCH('Layer A — raw data (SOURCED)'!$A113,'Layer B — pod writeups'!$A:$A,0))="Y","SPLIT",""),IF(INDEX('Layer B — pod writeups'!$J:$J,MATCH('Layer A — raw data (SOURCED)'!$A113,'Layer B — pod writeups'!$A:$A,0))="Y","VAR","")),"")</f>
        <v/>
      </c>
      <c r="P113" s="13" t="str">
        <f aca="false">IFERROR(INDEX('Layer B — pod writeups'!$L:$L,MATCH('Layer A — raw data (SOURCED)'!$A113,'Layer B — pod writeups'!$A:$A,0)),"")</f>
        <v/>
      </c>
      <c r="Q113" s="13" t="str">
        <f aca="false">IFERROR(INDEX('Layer B — pod writeups'!$N:$N,MATCH('Layer A — raw data (SOURCED)'!$A113,'Layer B — pod writeups'!$A:$A,0)),"")</f>
        <v/>
      </c>
    </row>
    <row r="114" customFormat="false" ht="15" hidden="false" customHeight="true" outlineLevel="0" collapsed="false">
      <c r="A114" s="12" t="str">
        <f aca="false">'Layer A — raw data (SOURCED)'!O114</f>
        <v>MAC</v>
      </c>
      <c r="B114" s="12" t="str">
        <f aca="false">'Layer A — raw data (SOURCED)'!A114</f>
        <v>Central Michigan</v>
      </c>
      <c r="C114" s="13" t="str">
        <f aca="false">'Layer A — raw data (SOURCED)'!O114</f>
        <v>MAC</v>
      </c>
      <c r="D114" s="12" t="n">
        <f aca="false">'Layer A — raw data (SOURCED)'!B114</f>
        <v>6.5</v>
      </c>
      <c r="E114" s="12" t="n">
        <f aca="false">'Layer A — raw data (SOURCED)'!C114</f>
        <v>113</v>
      </c>
      <c r="F114" s="12" t="n">
        <f aca="false">'Layer A — raw data (SOURCED)'!D114</f>
        <v>-12.4</v>
      </c>
      <c r="G114" s="12" t="n">
        <f aca="false">'Layer A — raw data (SOURCED)'!E114</f>
        <v>46</v>
      </c>
      <c r="H114" s="12" t="n">
        <f aca="false">'Layer A — raw data (SOURCED)'!H114</f>
        <v>0.5</v>
      </c>
      <c r="I114" s="12" t="n">
        <f aca="false">'Layer A — raw data (SOURCED)'!K114</f>
        <v>0</v>
      </c>
      <c r="J114" s="12" t="str">
        <f aca="false">'Layer A — raw data (SOURCED)'!L114</f>
        <v/>
      </c>
      <c r="K114" s="13" t="str">
        <f aca="false">IFERROR(INDEX('Layer B — pod writeups'!$B:$B,MATCH('Layer A — raw data (SOURCED)'!$A114,'Layer B — pod writeups'!$A:$A,0)),"")</f>
        <v/>
      </c>
      <c r="L114" s="13" t="str">
        <f aca="false">IFERROR(textjoin(" | ",TRUE(),IF(INDEX('Layer B — pod writeups'!$C:$C,MATCH('Layer A — raw data (SOURCED)'!$A114,'Layer B — pod writeups'!$A:$A,0))="","","HC "&amp;INDEX('Layer B — pod writeups'!$C:$C,MATCH('Layer A — raw data (SOURCED)'!$A114,'Layer B — pod writeups'!$A:$A,0))),IF(INDEX('Layer B — pod writeups'!$D:$D,MATCH('Layer A — raw data (SOURCED)'!$A114,'Layer B — pod writeups'!$A:$A,0))="","","OC "&amp;INDEX('Layer B — pod writeups'!$D:$D,MATCH('Layer A — raw data (SOURCED)'!$A114,'Layer B — pod writeups'!$A:$A,0))),IF(INDEX('Layer B — pod writeups'!$E:$E,MATCH('Layer A — raw data (SOURCED)'!$A114,'Layer B — pod writeups'!$A:$A,0))="","","DC "&amp;INDEX('Layer B — pod writeups'!$E:$E,MATCH('Layer A — raw data (SOURCED)'!$A114,'Layer B — pod writeups'!$A:$A,0)))),"")</f>
        <v/>
      </c>
      <c r="M114" s="12" t="str">
        <f aca="false">IFERROR(INDEX('Layer B — pod writeups'!$F:$F,MATCH('Layer A — raw data (SOURCED)'!$A114,'Layer B — pod writeups'!$A:$A,0)),"")</f>
        <v/>
      </c>
      <c r="N114" s="12" t="str">
        <f aca="false">IFERROR(INDEX('Layer B — pod writeups'!$K:$K,MATCH('Layer A — raw data (SOURCED)'!$A114,'Layer B — pod writeups'!$A:$A,0)),"")</f>
        <v/>
      </c>
      <c r="O114" s="12" t="str">
        <f aca="false">IFERROR(textjoin(" ",TRUE(),IF(INDEX('Layer B — pod writeups'!$G:$G,MATCH('Layer A — raw data (SOURCED)'!$A114,'Layer B — pod writeups'!$A:$A,0))="Y","DH",""),IF(INDEX('Layer B — pod writeups'!$H:$H,MATCH('Layer A — raw data (SOURCED)'!$A114,'Layer B — pod writeups'!$A:$A,0))="Y","FADE",""),IF(INDEX('Layer B — pod writeups'!$I:$I,MATCH('Layer A — raw data (SOURCED)'!$A114,'Layer B — pod writeups'!$A:$A,0))="Y","SPLIT",""),IF(INDEX('Layer B — pod writeups'!$J:$J,MATCH('Layer A — raw data (SOURCED)'!$A114,'Layer B — pod writeups'!$A:$A,0))="Y","VAR","")),"")</f>
        <v/>
      </c>
      <c r="P114" s="13" t="str">
        <f aca="false">IFERROR(INDEX('Layer B — pod writeups'!$L:$L,MATCH('Layer A — raw data (SOURCED)'!$A114,'Layer B — pod writeups'!$A:$A,0)),"")</f>
        <v/>
      </c>
      <c r="Q114" s="13" t="str">
        <f aca="false">IFERROR(INDEX('Layer B — pod writeups'!$N:$N,MATCH('Layer A — raw data (SOURCED)'!$A114,'Layer B — pod writeups'!$A:$A,0)),"")</f>
        <v/>
      </c>
    </row>
    <row r="115" customFormat="false" ht="15" hidden="false" customHeight="true" outlineLevel="0" collapsed="false">
      <c r="A115" s="12" t="str">
        <f aca="false">'Layer A — raw data (SOURCED)'!O115</f>
        <v>CUSA</v>
      </c>
      <c r="B115" s="12" t="str">
        <f aca="false">'Layer A — raw data (SOURCED)'!A115</f>
        <v>Delaware</v>
      </c>
      <c r="C115" s="13" t="str">
        <f aca="false">'Layer A — raw data (SOURCED)'!O115</f>
        <v>CUSA</v>
      </c>
      <c r="D115" s="12" t="n">
        <f aca="false">'Layer A — raw data (SOURCED)'!B115</f>
        <v>6.5</v>
      </c>
      <c r="E115" s="12" t="n">
        <f aca="false">'Layer A — raw data (SOURCED)'!C115</f>
        <v>114</v>
      </c>
      <c r="F115" s="12" t="n">
        <f aca="false">'Layer A — raw data (SOURCED)'!D115</f>
        <v>-13</v>
      </c>
      <c r="G115" s="12" t="n">
        <f aca="false">'Layer A — raw data (SOURCED)'!E115</f>
        <v>62</v>
      </c>
      <c r="H115" s="12" t="n">
        <f aca="false">'Layer A — raw data (SOURCED)'!H115</f>
        <v>-0.5</v>
      </c>
      <c r="I115" s="12" t="n">
        <f aca="false">'Layer A — raw data (SOURCED)'!K115</f>
        <v>0</v>
      </c>
      <c r="J115" s="12" t="str">
        <f aca="false">'Layer A — raw data (SOURCED)'!L115</f>
        <v/>
      </c>
      <c r="K115" s="13" t="str">
        <f aca="false">IFERROR(INDEX('Layer B — pod writeups'!$B:$B,MATCH('Layer A — raw data (SOURCED)'!$A115,'Layer B — pod writeups'!$A:$A,0)),"")</f>
        <v/>
      </c>
      <c r="L115" s="13" t="str">
        <f aca="false">IFERROR(textjoin(" | ",TRUE(),IF(INDEX('Layer B — pod writeups'!$C:$C,MATCH('Layer A — raw data (SOURCED)'!$A115,'Layer B — pod writeups'!$A:$A,0))="","","HC "&amp;INDEX('Layer B — pod writeups'!$C:$C,MATCH('Layer A — raw data (SOURCED)'!$A115,'Layer B — pod writeups'!$A:$A,0))),IF(INDEX('Layer B — pod writeups'!$D:$D,MATCH('Layer A — raw data (SOURCED)'!$A115,'Layer B — pod writeups'!$A:$A,0))="","","OC "&amp;INDEX('Layer B — pod writeups'!$D:$D,MATCH('Layer A — raw data (SOURCED)'!$A115,'Layer B — pod writeups'!$A:$A,0))),IF(INDEX('Layer B — pod writeups'!$E:$E,MATCH('Layer A — raw data (SOURCED)'!$A115,'Layer B — pod writeups'!$A:$A,0))="","","DC "&amp;INDEX('Layer B — pod writeups'!$E:$E,MATCH('Layer A — raw data (SOURCED)'!$A115,'Layer B — pod writeups'!$A:$A,0)))),"")</f>
        <v/>
      </c>
      <c r="M115" s="12" t="str">
        <f aca="false">IFERROR(INDEX('Layer B — pod writeups'!$F:$F,MATCH('Layer A — raw data (SOURCED)'!$A115,'Layer B — pod writeups'!$A:$A,0)),"")</f>
        <v/>
      </c>
      <c r="N115" s="12" t="str">
        <f aca="false">IFERROR(INDEX('Layer B — pod writeups'!$K:$K,MATCH('Layer A — raw data (SOURCED)'!$A115,'Layer B — pod writeups'!$A:$A,0)),"")</f>
        <v/>
      </c>
      <c r="O115" s="12" t="str">
        <f aca="false">IFERROR(textjoin(" ",TRUE(),IF(INDEX('Layer B — pod writeups'!$G:$G,MATCH('Layer A — raw data (SOURCED)'!$A115,'Layer B — pod writeups'!$A:$A,0))="Y","DH",""),IF(INDEX('Layer B — pod writeups'!$H:$H,MATCH('Layer A — raw data (SOURCED)'!$A115,'Layer B — pod writeups'!$A:$A,0))="Y","FADE",""),IF(INDEX('Layer B — pod writeups'!$I:$I,MATCH('Layer A — raw data (SOURCED)'!$A115,'Layer B — pod writeups'!$A:$A,0))="Y","SPLIT",""),IF(INDEX('Layer B — pod writeups'!$J:$J,MATCH('Layer A — raw data (SOURCED)'!$A115,'Layer B — pod writeups'!$A:$A,0))="Y","VAR","")),"")</f>
        <v/>
      </c>
      <c r="P115" s="13" t="str">
        <f aca="false">IFERROR(INDEX('Layer B — pod writeups'!$L:$L,MATCH('Layer A — raw data (SOURCED)'!$A115,'Layer B — pod writeups'!$A:$A,0)),"")</f>
        <v/>
      </c>
      <c r="Q115" s="13" t="str">
        <f aca="false">IFERROR(INDEX('Layer B — pod writeups'!$N:$N,MATCH('Layer A — raw data (SOURCED)'!$A115,'Layer B — pod writeups'!$A:$A,0)),"")</f>
        <v/>
      </c>
    </row>
    <row r="116" customFormat="false" ht="15" hidden="false" customHeight="true" outlineLevel="0" collapsed="false">
      <c r="A116" s="12" t="str">
        <f aca="false">'Layer A — raw data (SOURCED)'!O116</f>
        <v>MAC</v>
      </c>
      <c r="B116" s="12" t="str">
        <f aca="false">'Layer A — raw data (SOURCED)'!A116</f>
        <v>Bowling Green</v>
      </c>
      <c r="C116" s="13" t="str">
        <f aca="false">'Layer A — raw data (SOURCED)'!O116</f>
        <v>MAC</v>
      </c>
      <c r="D116" s="12" t="n">
        <f aca="false">'Layer A — raw data (SOURCED)'!B116</f>
        <v>4.5</v>
      </c>
      <c r="E116" s="12" t="n">
        <f aca="false">'Layer A — raw data (SOURCED)'!C116</f>
        <v>115</v>
      </c>
      <c r="F116" s="12" t="n">
        <f aca="false">'Layer A — raw data (SOURCED)'!D116</f>
        <v>-13.3</v>
      </c>
      <c r="G116" s="12" t="n">
        <f aca="false">'Layer A — raw data (SOURCED)'!E116</f>
        <v>35</v>
      </c>
      <c r="H116" s="12" t="n">
        <f aca="false">'Layer A — raw data (SOURCED)'!H116</f>
        <v>-5.5</v>
      </c>
      <c r="I116" s="12" t="n">
        <f aca="false">'Layer A — raw data (SOURCED)'!K116</f>
        <v>0</v>
      </c>
      <c r="J116" s="12" t="str">
        <f aca="false">'Layer A — raw data (SOURCED)'!L116</f>
        <v/>
      </c>
      <c r="K116" s="13" t="str">
        <f aca="false">IFERROR(INDEX('Layer B — pod writeups'!$B:$B,MATCH('Layer A — raw data (SOURCED)'!$A116,'Layer B — pod writeups'!$A:$A,0)),"")</f>
        <v/>
      </c>
      <c r="L116" s="13" t="str">
        <f aca="false">IFERROR(textjoin(" | ",TRUE(),IF(INDEX('Layer B — pod writeups'!$C:$C,MATCH('Layer A — raw data (SOURCED)'!$A116,'Layer B — pod writeups'!$A:$A,0))="","","HC "&amp;INDEX('Layer B — pod writeups'!$C:$C,MATCH('Layer A — raw data (SOURCED)'!$A116,'Layer B — pod writeups'!$A:$A,0))),IF(INDEX('Layer B — pod writeups'!$D:$D,MATCH('Layer A — raw data (SOURCED)'!$A116,'Layer B — pod writeups'!$A:$A,0))="","","OC "&amp;INDEX('Layer B — pod writeups'!$D:$D,MATCH('Layer A — raw data (SOURCED)'!$A116,'Layer B — pod writeups'!$A:$A,0))),IF(INDEX('Layer B — pod writeups'!$E:$E,MATCH('Layer A — raw data (SOURCED)'!$A116,'Layer B — pod writeups'!$A:$A,0))="","","DC "&amp;INDEX('Layer B — pod writeups'!$E:$E,MATCH('Layer A — raw data (SOURCED)'!$A116,'Layer B — pod writeups'!$A:$A,0)))),"")</f>
        <v/>
      </c>
      <c r="M116" s="12" t="str">
        <f aca="false">IFERROR(INDEX('Layer B — pod writeups'!$F:$F,MATCH('Layer A — raw data (SOURCED)'!$A116,'Layer B — pod writeups'!$A:$A,0)),"")</f>
        <v/>
      </c>
      <c r="N116" s="12" t="str">
        <f aca="false">IFERROR(INDEX('Layer B — pod writeups'!$K:$K,MATCH('Layer A — raw data (SOURCED)'!$A116,'Layer B — pod writeups'!$A:$A,0)),"")</f>
        <v/>
      </c>
      <c r="O116" s="12" t="str">
        <f aca="false">IFERROR(textjoin(" ",TRUE(),IF(INDEX('Layer B — pod writeups'!$G:$G,MATCH('Layer A — raw data (SOURCED)'!$A116,'Layer B — pod writeups'!$A:$A,0))="Y","DH",""),IF(INDEX('Layer B — pod writeups'!$H:$H,MATCH('Layer A — raw data (SOURCED)'!$A116,'Layer B — pod writeups'!$A:$A,0))="Y","FADE",""),IF(INDEX('Layer B — pod writeups'!$I:$I,MATCH('Layer A — raw data (SOURCED)'!$A116,'Layer B — pod writeups'!$A:$A,0))="Y","SPLIT",""),IF(INDEX('Layer B — pod writeups'!$J:$J,MATCH('Layer A — raw data (SOURCED)'!$A116,'Layer B — pod writeups'!$A:$A,0))="Y","VAR","")),"")</f>
        <v/>
      </c>
      <c r="P116" s="13" t="str">
        <f aca="false">IFERROR(INDEX('Layer B — pod writeups'!$L:$L,MATCH('Layer A — raw data (SOURCED)'!$A116,'Layer B — pod writeups'!$A:$A,0)),"")</f>
        <v/>
      </c>
      <c r="Q116" s="13" t="str">
        <f aca="false">IFERROR(INDEX('Layer B — pod writeups'!$N:$N,MATCH('Layer A — raw data (SOURCED)'!$A116,'Layer B — pod writeups'!$A:$A,0)),"")</f>
        <v/>
      </c>
    </row>
    <row r="117" customFormat="false" ht="124.5" hidden="false" customHeight="true" outlineLevel="0" collapsed="false">
      <c r="A117" s="12" t="str">
        <f aca="false">'Layer A — raw data (SOURCED)'!O117</f>
        <v>Sun Belt</v>
      </c>
      <c r="B117" s="12" t="str">
        <f aca="false">'Layer A — raw data (SOURCED)'!A117</f>
        <v>South Alabama</v>
      </c>
      <c r="C117" s="13" t="str">
        <f aca="false">'Layer A — raw data (SOURCED)'!O117</f>
        <v>Sun Belt</v>
      </c>
      <c r="D117" s="12" t="n">
        <f aca="false">'Layer A — raw data (SOURCED)'!B117</f>
        <v>5.5</v>
      </c>
      <c r="E117" s="12" t="n">
        <f aca="false">'Layer A — raw data (SOURCED)'!C117</f>
        <v>116</v>
      </c>
      <c r="F117" s="12" t="n">
        <f aca="false">'Layer A — raw data (SOURCED)'!D117</f>
        <v>-13.3</v>
      </c>
      <c r="G117" s="12" t="n">
        <f aca="false">'Layer A — raw data (SOURCED)'!E117</f>
        <v>44</v>
      </c>
      <c r="H117" s="12" t="n">
        <f aca="false">'Layer A — raw data (SOURCED)'!H117</f>
        <v>1</v>
      </c>
      <c r="I117" s="12" t="n">
        <f aca="false">'Layer A — raw data (SOURCED)'!K117</f>
        <v>5.6</v>
      </c>
      <c r="J117" s="12" t="n">
        <f aca="false">'Layer A — raw data (SOURCED)'!L117</f>
        <v>0.0999999999999996</v>
      </c>
      <c r="K117" s="13" t="str">
        <f aca="false">IFERROR(INDEX('Layer B — pod writeups'!$B:$B,MATCH('Layer A — raw data (SOURCED)'!$A117,'Layer B — pod writeups'!$A:$A,0)),"")</f>
        <v>Returning — Bishop Davenport (incumbent; short/safe profile — 6.38 aDOT, 2.7% big-time-throw, 5% turnover-worthy: poor ratios even for a checkdown passer, doesn't push it deep) [freshman Hollins waiting in the wings — hosts would be MORE interested if Davenport struggles and Hollins takes over; not framed as an open battle]</v>
      </c>
      <c r="L117" s="13" t="str">
        <f aca="false">IFERROR(textjoin(" | ",TRUE(),IF(INDEX('Layer B — pod writeups'!$C:$C,MATCH('Layer A — raw data (SOURCED)'!$A117,'Layer B — pod writeups'!$A:$A,0))="","","HC "&amp;INDEX('Layer B — pod writeups'!$C:$C,MATCH('Layer A — raw data (SOURCED)'!$A117,'Layer B — pod writeups'!$A:$A,0))),IF(INDEX('Layer B — pod writeups'!$D:$D,MATCH('Layer A — raw data (SOURCED)'!$A117,'Layer B — pod writeups'!$A:$A,0))="","","OC "&amp;INDEX('Layer B — pod writeups'!$D:$D,MATCH('Layer A — raw data (SOURCED)'!$A117,'Layer B — pod writeups'!$A:$A,0))),IF(INDEX('Layer B — pod writeups'!$E:$E,MATCH('Layer A — raw data (SOURCED)'!$A117,'Layer B — pod writeups'!$A:$A,0))="","","DC "&amp;INDEX('Layer B — pod writeups'!$E:$E,MATCH('Layer A — raw data (SOURCED)'!$A117,'Layer B — pod writeups'!$A:$A,0)))),"")</f>
        <v/>
      </c>
      <c r="M117" s="12" t="str">
        <f aca="false">IFERROR(INDEX('Layer B — pod writeups'!$F:$F,MATCH('Layer A — raw data (SOURCED)'!$A117,'Layer B — pod writeups'!$A:$A,0)),"")</f>
        <v>Lean Under</v>
      </c>
      <c r="N117" s="12" t="str">
        <f aca="false">IFERROR(INDEX('Layer B — pod writeups'!$K:$K,MATCH('Layer A — raw data (SOURCED)'!$A117,'Layer B — pod writeups'!$A:$A,0)),"")</f>
        <v>Favorable</v>
      </c>
      <c r="O117" s="12" t="str">
        <f aca="false">IFERROR(textjoin(" ",TRUE(),IF(INDEX('Layer B — pod writeups'!$G:$G,MATCH('Layer A — raw data (SOURCED)'!$A117,'Layer B — pod writeups'!$A:$A,0))="Y","DH",""),IF(INDEX('Layer B — pod writeups'!$H:$H,MATCH('Layer A — raw data (SOURCED)'!$A117,'Layer B — pod writeups'!$A:$A,0))="Y","FADE",""),IF(INDEX('Layer B — pod writeups'!$I:$I,MATCH('Layer A — raw data (SOURCED)'!$A117,'Layer B — pod writeups'!$A:$A,0))="Y","SPLIT",""),IF(INDEX('Layer B — pod writeups'!$J:$J,MATCH('Layer A — raw data (SOURCED)'!$A117,'Layer B — pod writeups'!$A:$A,0))="Y","VAR","")),"")</f>
        <v/>
      </c>
      <c r="P117" s="13" t="str">
        <f aca="false">IFERROR(INDEX('Layer B — pod writeups'!$L:$L,MATCH('Layer A — raw data (SOURCED)'!$A117,'Layer B — pod writeups'!$A:$A,0)),"")</f>
        <v>3rd-easiest Sun Belt schedule (Duck) — should beat Southeastern Louisiana + winnable home games. Losses at Tulane, Auburn/Kentucky-type non-con, at Marshall, at Louisiana. The question is whether they steal a road game they shouldn't to reach 6-6.</v>
      </c>
      <c r="Q117" s="13" t="str">
        <f aca="false">IFERROR(INDEX('Layer B — pod writeups'!$N:$N,MATCH('Layer A — raw data (SOURCED)'!$A117,'Layer B — pod writeups'!$A:$A,0)),"")</f>
        <v>A FADE — all three effectively under (Stuckey projects ~5.6, right on the number, wants the under; Calabrese under plus-money). Trend line down (10 → 7 → 7 → 4 wins). Major Applewhite hit the panic button — calls his own plays now + hired DC Todd Orlando (a blitz-heavy 'break-glass' hire whose FAU/USF Ds relied on fluky takeaway luck, not a sustainable calling card). Roster got worse basically everywhere (OL, RB, WR, TE, LB, DBs all downgraded; only ~2 assistants retained), no NIL money, and the passing game fell off a cliff post-Gio-Lopez. Red-zone D was horrific (41/43 trips scored on). Real chance of a midseason firing. Calabrese wants Southern Miss to cash his late-season fade tickets against them.</v>
      </c>
    </row>
    <row r="118" customFormat="false" ht="15" hidden="false" customHeight="true" outlineLevel="0" collapsed="false">
      <c r="A118" s="12" t="str">
        <f aca="false">'Layer A — raw data (SOURCED)'!O118</f>
        <v>MAC</v>
      </c>
      <c r="B118" s="12" t="str">
        <f aca="false">'Layer A — raw data (SOURCED)'!A118</f>
        <v>Ohio</v>
      </c>
      <c r="C118" s="13" t="str">
        <f aca="false">'Layer A — raw data (SOURCED)'!O118</f>
        <v>MAC</v>
      </c>
      <c r="D118" s="12" t="n">
        <f aca="false">'Layer A — raw data (SOURCED)'!B118</f>
        <v>6.5</v>
      </c>
      <c r="E118" s="12" t="n">
        <f aca="false">'Layer A — raw data (SOURCED)'!C118</f>
        <v>117</v>
      </c>
      <c r="F118" s="12" t="n">
        <f aca="false">'Layer A — raw data (SOURCED)'!D118</f>
        <v>-13.6</v>
      </c>
      <c r="G118" s="12" t="n">
        <f aca="false">'Layer A — raw data (SOURCED)'!E118</f>
        <v>33</v>
      </c>
      <c r="H118" s="12" t="n">
        <f aca="false">'Layer A — raw data (SOURCED)'!H118</f>
        <v>-2.5</v>
      </c>
      <c r="I118" s="12" t="n">
        <f aca="false">'Layer A — raw data (SOURCED)'!K118</f>
        <v>0</v>
      </c>
      <c r="J118" s="12" t="str">
        <f aca="false">'Layer A — raw data (SOURCED)'!L118</f>
        <v/>
      </c>
      <c r="K118" s="13" t="str">
        <f aca="false">IFERROR(INDEX('Layer B — pod writeups'!$B:$B,MATCH('Layer A — raw data (SOURCED)'!$A118,'Layer B — pod writeups'!$A:$A,0)),"")</f>
        <v/>
      </c>
      <c r="L118" s="13" t="str">
        <f aca="false">IFERROR(textjoin(" | ",TRUE(),IF(INDEX('Layer B — pod writeups'!$C:$C,MATCH('Layer A — raw data (SOURCED)'!$A118,'Layer B — pod writeups'!$A:$A,0))="","","HC "&amp;INDEX('Layer B — pod writeups'!$C:$C,MATCH('Layer A — raw data (SOURCED)'!$A118,'Layer B — pod writeups'!$A:$A,0))),IF(INDEX('Layer B — pod writeups'!$D:$D,MATCH('Layer A — raw data (SOURCED)'!$A118,'Layer B — pod writeups'!$A:$A,0))="","","OC "&amp;INDEX('Layer B — pod writeups'!$D:$D,MATCH('Layer A — raw data (SOURCED)'!$A118,'Layer B — pod writeups'!$A:$A,0))),IF(INDEX('Layer B — pod writeups'!$E:$E,MATCH('Layer A — raw data (SOURCED)'!$A118,'Layer B — pod writeups'!$A:$A,0))="","","DC "&amp;INDEX('Layer B — pod writeups'!$E:$E,MATCH('Layer A — raw data (SOURCED)'!$A118,'Layer B — pod writeups'!$A:$A,0)))),"")</f>
        <v/>
      </c>
      <c r="M118" s="12" t="str">
        <f aca="false">IFERROR(INDEX('Layer B — pod writeups'!$F:$F,MATCH('Layer A — raw data (SOURCED)'!$A118,'Layer B — pod writeups'!$A:$A,0)),"")</f>
        <v/>
      </c>
      <c r="N118" s="12" t="str">
        <f aca="false">IFERROR(INDEX('Layer B — pod writeups'!$K:$K,MATCH('Layer A — raw data (SOURCED)'!$A118,'Layer B — pod writeups'!$A:$A,0)),"")</f>
        <v/>
      </c>
      <c r="O118" s="12" t="str">
        <f aca="false">IFERROR(textjoin(" ",TRUE(),IF(INDEX('Layer B — pod writeups'!$G:$G,MATCH('Layer A — raw data (SOURCED)'!$A118,'Layer B — pod writeups'!$A:$A,0))="Y","DH",""),IF(INDEX('Layer B — pod writeups'!$H:$H,MATCH('Layer A — raw data (SOURCED)'!$A118,'Layer B — pod writeups'!$A:$A,0))="Y","FADE",""),IF(INDEX('Layer B — pod writeups'!$I:$I,MATCH('Layer A — raw data (SOURCED)'!$A118,'Layer B — pod writeups'!$A:$A,0))="Y","SPLIT",""),IF(INDEX('Layer B — pod writeups'!$J:$J,MATCH('Layer A — raw data (SOURCED)'!$A118,'Layer B — pod writeups'!$A:$A,0))="Y","VAR","")),"")</f>
        <v/>
      </c>
      <c r="P118" s="13" t="str">
        <f aca="false">IFERROR(INDEX('Layer B — pod writeups'!$L:$L,MATCH('Layer A — raw data (SOURCED)'!$A118,'Layer B — pod writeups'!$A:$A,0)),"")</f>
        <v/>
      </c>
      <c r="Q118" s="13" t="str">
        <f aca="false">IFERROR(INDEX('Layer B — pod writeups'!$N:$N,MATCH('Layer A — raw data (SOURCED)'!$A118,'Layer B — pod writeups'!$A:$A,0)),"")</f>
        <v/>
      </c>
    </row>
    <row r="119" customFormat="false" ht="15" hidden="false" customHeight="true" outlineLevel="0" collapsed="false">
      <c r="A119" s="12" t="str">
        <f aca="false">'Layer A — raw data (SOURCED)'!O119</f>
        <v>CUSA</v>
      </c>
      <c r="B119" s="12" t="str">
        <f aca="false">'Layer A — raw data (SOURCED)'!A119</f>
        <v>FIU</v>
      </c>
      <c r="C119" s="13" t="str">
        <f aca="false">'Layer A — raw data (SOURCED)'!O119</f>
        <v>CUSA</v>
      </c>
      <c r="D119" s="12" t="n">
        <f aca="false">'Layer A — raw data (SOURCED)'!B119</f>
        <v>6.5</v>
      </c>
      <c r="E119" s="12" t="n">
        <f aca="false">'Layer A — raw data (SOURCED)'!C119</f>
        <v>118</v>
      </c>
      <c r="F119" s="12" t="n">
        <f aca="false">'Layer A — raw data (SOURCED)'!D119</f>
        <v>-13.7</v>
      </c>
      <c r="G119" s="12" t="n">
        <f aca="false">'Layer A — raw data (SOURCED)'!E119</f>
        <v>47</v>
      </c>
      <c r="H119" s="12" t="n">
        <f aca="false">'Layer A — raw data (SOURCED)'!H119</f>
        <v>4</v>
      </c>
      <c r="I119" s="12" t="n">
        <f aca="false">'Layer A — raw data (SOURCED)'!K119</f>
        <v>0</v>
      </c>
      <c r="J119" s="12" t="str">
        <f aca="false">'Layer A — raw data (SOURCED)'!L119</f>
        <v/>
      </c>
      <c r="K119" s="13" t="str">
        <f aca="false">IFERROR(INDEX('Layer B — pod writeups'!$B:$B,MATCH('Layer A — raw data (SOURCED)'!$A119,'Layer B — pod writeups'!$A:$A,0)),"")</f>
        <v/>
      </c>
      <c r="L119" s="13" t="str">
        <f aca="false">IFERROR(textjoin(" | ",TRUE(),IF(INDEX('Layer B — pod writeups'!$C:$C,MATCH('Layer A — raw data (SOURCED)'!$A119,'Layer B — pod writeups'!$A:$A,0))="","","HC "&amp;INDEX('Layer B — pod writeups'!$C:$C,MATCH('Layer A — raw data (SOURCED)'!$A119,'Layer B — pod writeups'!$A:$A,0))),IF(INDEX('Layer B — pod writeups'!$D:$D,MATCH('Layer A — raw data (SOURCED)'!$A119,'Layer B — pod writeups'!$A:$A,0))="","","OC "&amp;INDEX('Layer B — pod writeups'!$D:$D,MATCH('Layer A — raw data (SOURCED)'!$A119,'Layer B — pod writeups'!$A:$A,0))),IF(INDEX('Layer B — pod writeups'!$E:$E,MATCH('Layer A — raw data (SOURCED)'!$A119,'Layer B — pod writeups'!$A:$A,0))="","","DC "&amp;INDEX('Layer B — pod writeups'!$E:$E,MATCH('Layer A — raw data (SOURCED)'!$A119,'Layer B — pod writeups'!$A:$A,0)))),"")</f>
        <v/>
      </c>
      <c r="M119" s="12" t="str">
        <f aca="false">IFERROR(INDEX('Layer B — pod writeups'!$F:$F,MATCH('Layer A — raw data (SOURCED)'!$A119,'Layer B — pod writeups'!$A:$A,0)),"")</f>
        <v/>
      </c>
      <c r="N119" s="12" t="str">
        <f aca="false">IFERROR(INDEX('Layer B — pod writeups'!$K:$K,MATCH('Layer A — raw data (SOURCED)'!$A119,'Layer B — pod writeups'!$A:$A,0)),"")</f>
        <v/>
      </c>
      <c r="O119" s="12" t="str">
        <f aca="false">IFERROR(textjoin(" ",TRUE(),IF(INDEX('Layer B — pod writeups'!$G:$G,MATCH('Layer A — raw data (SOURCED)'!$A119,'Layer B — pod writeups'!$A:$A,0))="Y","DH",""),IF(INDEX('Layer B — pod writeups'!$H:$H,MATCH('Layer A — raw data (SOURCED)'!$A119,'Layer B — pod writeups'!$A:$A,0))="Y","FADE",""),IF(INDEX('Layer B — pod writeups'!$I:$I,MATCH('Layer A — raw data (SOURCED)'!$A119,'Layer B — pod writeups'!$A:$A,0))="Y","SPLIT",""),IF(INDEX('Layer B — pod writeups'!$J:$J,MATCH('Layer A — raw data (SOURCED)'!$A119,'Layer B — pod writeups'!$A:$A,0))="Y","VAR","")),"")</f>
        <v/>
      </c>
      <c r="P119" s="13" t="str">
        <f aca="false">IFERROR(INDEX('Layer B — pod writeups'!$L:$L,MATCH('Layer A — raw data (SOURCED)'!$A119,'Layer B — pod writeups'!$A:$A,0)),"")</f>
        <v/>
      </c>
      <c r="Q119" s="13" t="str">
        <f aca="false">IFERROR(INDEX('Layer B — pod writeups'!$N:$N,MATCH('Layer A — raw data (SOURCED)'!$A119,'Layer B — pod writeups'!$A:$A,0)),"")</f>
        <v/>
      </c>
    </row>
    <row r="120" customFormat="false" ht="147" hidden="false" customHeight="true" outlineLevel="0" collapsed="false">
      <c r="A120" s="12" t="str">
        <f aca="false">'Layer A — raw data (SOURCED)'!O120</f>
        <v>Sun Belt</v>
      </c>
      <c r="B120" s="12" t="str">
        <f aca="false">'Layer A — raw data (SOURCED)'!A120</f>
        <v>Coastal Carolina</v>
      </c>
      <c r="C120" s="13" t="str">
        <f aca="false">'Layer A — raw data (SOURCED)'!O120</f>
        <v>Sun Belt</v>
      </c>
      <c r="D120" s="12" t="n">
        <f aca="false">'Layer A — raw data (SOURCED)'!B120</f>
        <v>4.5</v>
      </c>
      <c r="E120" s="12" t="n">
        <f aca="false">'Layer A — raw data (SOURCED)'!C120</f>
        <v>119</v>
      </c>
      <c r="F120" s="12" t="n">
        <f aca="false">'Layer A — raw data (SOURCED)'!D120</f>
        <v>-13.8</v>
      </c>
      <c r="G120" s="12" t="n">
        <f aca="false">'Layer A — raw data (SOURCED)'!E120</f>
        <v>42</v>
      </c>
      <c r="H120" s="12" t="n">
        <f aca="false">'Layer A — raw data (SOURCED)'!H120</f>
        <v>0.5</v>
      </c>
      <c r="I120" s="12" t="n">
        <f aca="false">'Layer A — raw data (SOURCED)'!K120</f>
        <v>4.2</v>
      </c>
      <c r="J120" s="12" t="n">
        <f aca="false">'Layer A — raw data (SOURCED)'!L120</f>
        <v>-0.3</v>
      </c>
      <c r="K120" s="13" t="str">
        <f aca="false">IFERROR(INDEX('Layer B — pod writeups'!$B:$B,MATCH('Layer A — raw data (SOURCED)'!$A120,'Layer B — pod writeups'!$A:$A,0)),"")</f>
        <v>Battle (wide open, no FBS starting experience) — [Trey] Bailey (transfer from Missouri State, wasn't the starter) / Tanner Lopez (freshman) / Jackson (freshman) / Trey Garra-Warren (JUCO All-American, was P4-recruited as a backup — LSU/FSU/Arkansas/Texas Tech interest — chose Coastal to play for Petrino) [lead: unsettled; Beard says all four in the mix; incumbent gone, full reset]</v>
      </c>
      <c r="L120" s="13" t="str">
        <f aca="false">IFERROR(textjoin(" | ",TRUE(),IF(INDEX('Layer B — pod writeups'!$C:$C,MATCH('Layer A — raw data (SOURCED)'!$A120,'Layer B — pod writeups'!$A:$A,0))="","","HC "&amp;INDEX('Layer B — pod writeups'!$C:$C,MATCH('Layer A — raw data (SOURCED)'!$A120,'Layer B — pod writeups'!$A:$A,0))),IF(INDEX('Layer B — pod writeups'!$D:$D,MATCH('Layer A — raw data (SOURCED)'!$A120,'Layer B — pod writeups'!$A:$A,0))="","","OC "&amp;INDEX('Layer B — pod writeups'!$D:$D,MATCH('Layer A — raw data (SOURCED)'!$A120,'Layer B — pod writeups'!$A:$A,0))),IF(INDEX('Layer B — pod writeups'!$E:$E,MATCH('Layer A — raw data (SOURCED)'!$A120,'Layer B — pod writeups'!$A:$A,0))="","","DC "&amp;INDEX('Layer B — pod writeups'!$E:$E,MATCH('Layer A — raw data (SOURCED)'!$A120,'Layer B — pod writeups'!$A:$A,0)))),"")</f>
        <v/>
      </c>
      <c r="M120" s="12" t="str">
        <f aca="false">IFERROR(INDEX('Layer B — pod writeups'!$F:$F,MATCH('Layer A — raw data (SOURCED)'!$A120,'Layer B — pod writeups'!$A:$A,0)),"")</f>
        <v>Hard Under</v>
      </c>
      <c r="N120" s="12" t="str">
        <f aca="false">IFERROR(INDEX('Layer B — pod writeups'!$K:$K,MATCH('Layer A — raw data (SOURCED)'!$A120,'Layer B — pod writeups'!$A:$A,0)),"")</f>
        <v>Brutal</v>
      </c>
      <c r="O120" s="12" t="str">
        <f aca="false">IFERROR(textjoin(" ",TRUE(),IF(INDEX('Layer B — pod writeups'!$G:$G,MATCH('Layer A — raw data (SOURCED)'!$A120,'Layer B — pod writeups'!$A:$A,0))="Y","DH",""),IF(INDEX('Layer B — pod writeups'!$H:$H,MATCH('Layer A — raw data (SOURCED)'!$A120,'Layer B — pod writeups'!$A:$A,0))="Y","FADE",""),IF(INDEX('Layer B — pod writeups'!$I:$I,MATCH('Layer A — raw data (SOURCED)'!$A120,'Layer B — pod writeups'!$A:$A,0))="Y","SPLIT",""),IF(INDEX('Layer B — pod writeups'!$J:$J,MATCH('Layer A — raw data (SOURCED)'!$A120,'Layer B — pod writeups'!$A:$A,0))="Y","VAR","")),"")</f>
        <v/>
      </c>
      <c r="P120" s="13" t="str">
        <f aca="false">IFERROR(INDEX('Layer B — pod writeups'!$L:$L,MATCH('Layer A — raw data (SOURCED)'!$A120,'Layer B — pod writeups'!$A:$A,0)),"")</f>
        <v>3rd-toughest Sun Belt schedule (Duck). Beats Fordham; crushed by West Virginia (Duck fades wk1, -17.5 → played to 22.5); at Delaware (dog), Liberty home. Horrific West draw (Louisiana + Arkansas State). Fade spots at Marshall, at Louisiana, at JMU. Four coin-flips (Georgia Southern home, App State, Georgia State, Ark State).</v>
      </c>
      <c r="Q120" s="13" t="str">
        <f aca="false">IFERROR(INDEX('Layer B — pod writeups'!$N:$N,MATCH('Layer A — raw data (SOURCED)'!$A120,'Layer B — pod writeups'!$A:$A,0)),"")</f>
        <v>A FADE — both under (Stuckey projects 4.2, pays for under 5.5 / under 4.5 plus-money; Duck fades wk1). Full reset under new HC Ryan Beard (the Petrino-tree hire from Missouri State — Stuckey is skeptical of the nepotism-heavy staff and the 'lucked into Jacob Clark' Mizzou run; they didn't bring Clark). No FBS starting experience in a 4-way QB battle, a bad OL (both 2024 tackles left for Duke + Oklahoma State), and skill positions void of talent. The 2024 D was awful (474 yд/gm in conf, 130th in explosives allowed) and now leans on Missouri State DL transfers. Would need to sweep 4 coin-flips + steal one for 5 wins — unlikely. Calabrese's lone silver lining: watch JUCO All-American Trey Garra.</v>
      </c>
    </row>
    <row r="121" customFormat="false" ht="15" hidden="false" customHeight="true" outlineLevel="0" collapsed="false">
      <c r="A121" s="12" t="str">
        <f aca="false">'Layer A — raw data (SOURCED)'!O121</f>
        <v>AAC</v>
      </c>
      <c r="B121" s="12" t="str">
        <f aca="false">'Layer A — raw data (SOURCED)'!A121</f>
        <v>Rice</v>
      </c>
      <c r="C121" s="13" t="str">
        <f aca="false">'Layer A — raw data (SOURCED)'!O121</f>
        <v>AAC</v>
      </c>
      <c r="D121" s="12" t="n">
        <f aca="false">'Layer A — raw data (SOURCED)'!B121</f>
        <v>3.5</v>
      </c>
      <c r="E121" s="12" t="n">
        <f aca="false">'Layer A — raw data (SOURCED)'!C121</f>
        <v>120</v>
      </c>
      <c r="F121" s="12" t="n">
        <f aca="false">'Layer A — raw data (SOURCED)'!D121</f>
        <v>-14.7</v>
      </c>
      <c r="G121" s="12" t="n">
        <f aca="false">'Layer A — raw data (SOURCED)'!E121</f>
        <v>39</v>
      </c>
      <c r="H121" s="12" t="n">
        <f aca="false">'Layer A — raw data (SOURCED)'!H121</f>
        <v>2.5</v>
      </c>
      <c r="I121" s="12" t="n">
        <f aca="false">'Layer A — raw data (SOURCED)'!K121</f>
        <v>0</v>
      </c>
      <c r="J121" s="12" t="str">
        <f aca="false">'Layer A — raw data (SOURCED)'!L121</f>
        <v/>
      </c>
      <c r="K121" s="13" t="str">
        <f aca="false">IFERROR(INDEX('Layer B — pod writeups'!$B:$B,MATCH('Layer A — raw data (SOURCED)'!$A121,'Layer B — pod writeups'!$A:$A,0)),"")</f>
        <v/>
      </c>
      <c r="L121" s="13" t="str">
        <f aca="false">IFERROR(textjoin(" | ",TRUE(),IF(INDEX('Layer B — pod writeups'!$C:$C,MATCH('Layer A — raw data (SOURCED)'!$A121,'Layer B — pod writeups'!$A:$A,0))="","","HC "&amp;INDEX('Layer B — pod writeups'!$C:$C,MATCH('Layer A — raw data (SOURCED)'!$A121,'Layer B — pod writeups'!$A:$A,0))),IF(INDEX('Layer B — pod writeups'!$D:$D,MATCH('Layer A — raw data (SOURCED)'!$A121,'Layer B — pod writeups'!$A:$A,0))="","","OC "&amp;INDEX('Layer B — pod writeups'!$D:$D,MATCH('Layer A — raw data (SOURCED)'!$A121,'Layer B — pod writeups'!$A:$A,0))),IF(INDEX('Layer B — pod writeups'!$E:$E,MATCH('Layer A — raw data (SOURCED)'!$A121,'Layer B — pod writeups'!$A:$A,0))="","","DC "&amp;INDEX('Layer B — pod writeups'!$E:$E,MATCH('Layer A — raw data (SOURCED)'!$A121,'Layer B — pod writeups'!$A:$A,0)))),"")</f>
        <v/>
      </c>
      <c r="M121" s="12" t="str">
        <f aca="false">IFERROR(INDEX('Layer B — pod writeups'!$F:$F,MATCH('Layer A — raw data (SOURCED)'!$A121,'Layer B — pod writeups'!$A:$A,0)),"")</f>
        <v/>
      </c>
      <c r="N121" s="12" t="str">
        <f aca="false">IFERROR(INDEX('Layer B — pod writeups'!$K:$K,MATCH('Layer A — raw data (SOURCED)'!$A121,'Layer B — pod writeups'!$A:$A,0)),"")</f>
        <v/>
      </c>
      <c r="O121" s="12" t="str">
        <f aca="false">IFERROR(textjoin(" ",TRUE(),IF(INDEX('Layer B — pod writeups'!$G:$G,MATCH('Layer A — raw data (SOURCED)'!$A121,'Layer B — pod writeups'!$A:$A,0))="Y","DH",""),IF(INDEX('Layer B — pod writeups'!$H:$H,MATCH('Layer A — raw data (SOURCED)'!$A121,'Layer B — pod writeups'!$A:$A,0))="Y","FADE",""),IF(INDEX('Layer B — pod writeups'!$I:$I,MATCH('Layer A — raw data (SOURCED)'!$A121,'Layer B — pod writeups'!$A:$A,0))="Y","SPLIT",""),IF(INDEX('Layer B — pod writeups'!$J:$J,MATCH('Layer A — raw data (SOURCED)'!$A121,'Layer B — pod writeups'!$A:$A,0))="Y","VAR","")),"")</f>
        <v/>
      </c>
      <c r="P121" s="13" t="str">
        <f aca="false">IFERROR(INDEX('Layer B — pod writeups'!$L:$L,MATCH('Layer A — raw data (SOURCED)'!$A121,'Layer B — pod writeups'!$A:$A,0)),"")</f>
        <v/>
      </c>
      <c r="Q121" s="13" t="str">
        <f aca="false">IFERROR(INDEX('Layer B — pod writeups'!$N:$N,MATCH('Layer A — raw data (SOURCED)'!$A121,'Layer B — pod writeups'!$A:$A,0)),"")</f>
        <v/>
      </c>
    </row>
    <row r="122" customFormat="false" ht="15" hidden="false" customHeight="true" outlineLevel="0" collapsed="false">
      <c r="A122" s="12" t="str">
        <f aca="false">'Layer A — raw data (SOURCED)'!O122</f>
        <v>MAC</v>
      </c>
      <c r="B122" s="12" t="str">
        <f aca="false">'Layer A — raw data (SOURCED)'!A122</f>
        <v>Eastern Michigan</v>
      </c>
      <c r="C122" s="13" t="str">
        <f aca="false">'Layer A — raw data (SOURCED)'!O122</f>
        <v>MAC</v>
      </c>
      <c r="D122" s="12" t="n">
        <f aca="false">'Layer A — raw data (SOURCED)'!B122</f>
        <v>5.5</v>
      </c>
      <c r="E122" s="12" t="n">
        <f aca="false">'Layer A — raw data (SOURCED)'!C122</f>
        <v>121</v>
      </c>
      <c r="F122" s="12" t="n">
        <f aca="false">'Layer A — raw data (SOURCED)'!D122</f>
        <v>-15</v>
      </c>
      <c r="G122" s="12" t="n">
        <f aca="false">'Layer A — raw data (SOURCED)'!E122</f>
        <v>62</v>
      </c>
      <c r="H122" s="12" t="n">
        <f aca="false">'Layer A — raw data (SOURCED)'!H122</f>
        <v>-6</v>
      </c>
      <c r="I122" s="12" t="n">
        <f aca="false">'Layer A — raw data (SOURCED)'!K122</f>
        <v>0</v>
      </c>
      <c r="J122" s="12" t="str">
        <f aca="false">'Layer A — raw data (SOURCED)'!L122</f>
        <v/>
      </c>
      <c r="K122" s="13" t="str">
        <f aca="false">IFERROR(INDEX('Layer B — pod writeups'!$B:$B,MATCH('Layer A — raw data (SOURCED)'!$A122,'Layer B — pod writeups'!$A:$A,0)),"")</f>
        <v/>
      </c>
      <c r="L122" s="13" t="str">
        <f aca="false">IFERROR(textjoin(" | ",TRUE(),IF(INDEX('Layer B — pod writeups'!$C:$C,MATCH('Layer A — raw data (SOURCED)'!$A122,'Layer B — pod writeups'!$A:$A,0))="","","HC "&amp;INDEX('Layer B — pod writeups'!$C:$C,MATCH('Layer A — raw data (SOURCED)'!$A122,'Layer B — pod writeups'!$A:$A,0))),IF(INDEX('Layer B — pod writeups'!$D:$D,MATCH('Layer A — raw data (SOURCED)'!$A122,'Layer B — pod writeups'!$A:$A,0))="","","OC "&amp;INDEX('Layer B — pod writeups'!$D:$D,MATCH('Layer A — raw data (SOURCED)'!$A122,'Layer B — pod writeups'!$A:$A,0))),IF(INDEX('Layer B — pod writeups'!$E:$E,MATCH('Layer A — raw data (SOURCED)'!$A122,'Layer B — pod writeups'!$A:$A,0))="","","DC "&amp;INDEX('Layer B — pod writeups'!$E:$E,MATCH('Layer A — raw data (SOURCED)'!$A122,'Layer B — pod writeups'!$A:$A,0)))),"")</f>
        <v/>
      </c>
      <c r="M122" s="12" t="str">
        <f aca="false">IFERROR(INDEX('Layer B — pod writeups'!$F:$F,MATCH('Layer A — raw data (SOURCED)'!$A122,'Layer B — pod writeups'!$A:$A,0)),"")</f>
        <v/>
      </c>
      <c r="N122" s="12" t="str">
        <f aca="false">IFERROR(INDEX('Layer B — pod writeups'!$K:$K,MATCH('Layer A — raw data (SOURCED)'!$A122,'Layer B — pod writeups'!$A:$A,0)),"")</f>
        <v/>
      </c>
      <c r="O122" s="12" t="str">
        <f aca="false">IFERROR(textjoin(" ",TRUE(),IF(INDEX('Layer B — pod writeups'!$G:$G,MATCH('Layer A — raw data (SOURCED)'!$A122,'Layer B — pod writeups'!$A:$A,0))="Y","DH",""),IF(INDEX('Layer B — pod writeups'!$H:$H,MATCH('Layer A — raw data (SOURCED)'!$A122,'Layer B — pod writeups'!$A:$A,0))="Y","FADE",""),IF(INDEX('Layer B — pod writeups'!$I:$I,MATCH('Layer A — raw data (SOURCED)'!$A122,'Layer B — pod writeups'!$A:$A,0))="Y","SPLIT",""),IF(INDEX('Layer B — pod writeups'!$J:$J,MATCH('Layer A — raw data (SOURCED)'!$A122,'Layer B — pod writeups'!$A:$A,0))="Y","VAR","")),"")</f>
        <v/>
      </c>
      <c r="P122" s="13" t="str">
        <f aca="false">IFERROR(INDEX('Layer B — pod writeups'!$L:$L,MATCH('Layer A — raw data (SOURCED)'!$A122,'Layer B — pod writeups'!$A:$A,0)),"")</f>
        <v/>
      </c>
      <c r="Q122" s="13" t="str">
        <f aca="false">IFERROR(INDEX('Layer B — pod writeups'!$N:$N,MATCH('Layer A — raw data (SOURCED)'!$A122,'Layer B — pod writeups'!$A:$A,0)),"")</f>
        <v/>
      </c>
    </row>
    <row r="123" customFormat="false" ht="15" hidden="false" customHeight="true" outlineLevel="0" collapsed="false">
      <c r="A123" s="12" t="str">
        <f aca="false">'Layer A — raw data (SOURCED)'!O123</f>
        <v>MWC</v>
      </c>
      <c r="B123" s="12" t="str">
        <f aca="false">'Layer A — raw data (SOURCED)'!A123</f>
        <v>San Jose State</v>
      </c>
      <c r="C123" s="13" t="str">
        <f aca="false">'Layer A — raw data (SOURCED)'!O123</f>
        <v>MWC</v>
      </c>
      <c r="D123" s="12" t="n">
        <f aca="false">'Layer A — raw data (SOURCED)'!B123</f>
        <v>4.5</v>
      </c>
      <c r="E123" s="12" t="n">
        <f aca="false">'Layer A — raw data (SOURCED)'!C123</f>
        <v>122</v>
      </c>
      <c r="F123" s="12" t="n">
        <f aca="false">'Layer A — raw data (SOURCED)'!D123</f>
        <v>-15.5</v>
      </c>
      <c r="G123" s="12" t="n">
        <f aca="false">'Layer A — raw data (SOURCED)'!E123</f>
        <v>24</v>
      </c>
      <c r="H123" s="12" t="n">
        <f aca="false">'Layer A — raw data (SOURCED)'!H123</f>
        <v>-8.5</v>
      </c>
      <c r="I123" s="12" t="n">
        <f aca="false">'Layer A — raw data (SOURCED)'!K123</f>
        <v>0</v>
      </c>
      <c r="J123" s="12" t="str">
        <f aca="false">'Layer A — raw data (SOURCED)'!L123</f>
        <v/>
      </c>
      <c r="K123" s="13" t="str">
        <f aca="false">IFERROR(INDEX('Layer B — pod writeups'!$B:$B,MATCH('Layer A — raw data (SOURCED)'!$A123,'Layer B — pod writeups'!$A:$A,0)),"")</f>
        <v/>
      </c>
      <c r="L123" s="13" t="str">
        <f aca="false">IFERROR(textjoin(" | ",TRUE(),IF(INDEX('Layer B — pod writeups'!$C:$C,MATCH('Layer A — raw data (SOURCED)'!$A123,'Layer B — pod writeups'!$A:$A,0))="","","HC "&amp;INDEX('Layer B — pod writeups'!$C:$C,MATCH('Layer A — raw data (SOURCED)'!$A123,'Layer B — pod writeups'!$A:$A,0))),IF(INDEX('Layer B — pod writeups'!$D:$D,MATCH('Layer A — raw data (SOURCED)'!$A123,'Layer B — pod writeups'!$A:$A,0))="","","OC "&amp;INDEX('Layer B — pod writeups'!$D:$D,MATCH('Layer A — raw data (SOURCED)'!$A123,'Layer B — pod writeups'!$A:$A,0))),IF(INDEX('Layer B — pod writeups'!$E:$E,MATCH('Layer A — raw data (SOURCED)'!$A123,'Layer B — pod writeups'!$A:$A,0))="","","DC "&amp;INDEX('Layer B — pod writeups'!$E:$E,MATCH('Layer A — raw data (SOURCED)'!$A123,'Layer B — pod writeups'!$A:$A,0)))),"")</f>
        <v/>
      </c>
      <c r="M123" s="12" t="str">
        <f aca="false">IFERROR(INDEX('Layer B — pod writeups'!$F:$F,MATCH('Layer A — raw data (SOURCED)'!$A123,'Layer B — pod writeups'!$A:$A,0)),"")</f>
        <v/>
      </c>
      <c r="N123" s="12" t="str">
        <f aca="false">IFERROR(INDEX('Layer B — pod writeups'!$K:$K,MATCH('Layer A — raw data (SOURCED)'!$A123,'Layer B — pod writeups'!$A:$A,0)),"")</f>
        <v/>
      </c>
      <c r="O123" s="12" t="str">
        <f aca="false">IFERROR(textjoin(" ",TRUE(),IF(INDEX('Layer B — pod writeups'!$G:$G,MATCH('Layer A — raw data (SOURCED)'!$A123,'Layer B — pod writeups'!$A:$A,0))="Y","DH",""),IF(INDEX('Layer B — pod writeups'!$H:$H,MATCH('Layer A — raw data (SOURCED)'!$A123,'Layer B — pod writeups'!$A:$A,0))="Y","FADE",""),IF(INDEX('Layer B — pod writeups'!$I:$I,MATCH('Layer A — raw data (SOURCED)'!$A123,'Layer B — pod writeups'!$A:$A,0))="Y","SPLIT",""),IF(INDEX('Layer B — pod writeups'!$J:$J,MATCH('Layer A — raw data (SOURCED)'!$A123,'Layer B — pod writeups'!$A:$A,0))="Y","VAR","")),"")</f>
        <v/>
      </c>
      <c r="P123" s="13" t="str">
        <f aca="false">IFERROR(INDEX('Layer B — pod writeups'!$L:$L,MATCH('Layer A — raw data (SOURCED)'!$A123,'Layer B — pod writeups'!$A:$A,0)),"")</f>
        <v/>
      </c>
      <c r="Q123" s="13" t="str">
        <f aca="false">IFERROR(INDEX('Layer B — pod writeups'!$N:$N,MATCH('Layer A — raw data (SOURCED)'!$A123,'Layer B — pod writeups'!$A:$A,0)),"")</f>
        <v/>
      </c>
    </row>
    <row r="124" customFormat="false" ht="15" hidden="false" customHeight="true" outlineLevel="0" collapsed="false">
      <c r="A124" s="12" t="str">
        <f aca="false">'Layer A — raw data (SOURCED)'!O124</f>
        <v>CUSA</v>
      </c>
      <c r="B124" s="12" t="str">
        <f aca="false">'Layer A — raw data (SOURCED)'!A124</f>
        <v>New Mexico State</v>
      </c>
      <c r="C124" s="13" t="str">
        <f aca="false">'Layer A — raw data (SOURCED)'!O124</f>
        <v>CUSA</v>
      </c>
      <c r="D124" s="12" t="n">
        <f aca="false">'Layer A — raw data (SOURCED)'!B124</f>
        <v>4.5</v>
      </c>
      <c r="E124" s="12" t="n">
        <f aca="false">'Layer A — raw data (SOURCED)'!C124</f>
        <v>123</v>
      </c>
      <c r="F124" s="12" t="n">
        <f aca="false">'Layer A — raw data (SOURCED)'!D124</f>
        <v>-16.4</v>
      </c>
      <c r="G124" s="12" t="n">
        <f aca="false">'Layer A — raw data (SOURCED)'!E124</f>
        <v>51</v>
      </c>
      <c r="H124" s="12" t="n">
        <f aca="false">'Layer A — raw data (SOURCED)'!H124</f>
        <v>-2</v>
      </c>
      <c r="I124" s="12" t="n">
        <f aca="false">'Layer A — raw data (SOURCED)'!K124</f>
        <v>0</v>
      </c>
      <c r="J124" s="12" t="str">
        <f aca="false">'Layer A — raw data (SOURCED)'!L124</f>
        <v/>
      </c>
      <c r="K124" s="13" t="str">
        <f aca="false">IFERROR(INDEX('Layer B — pod writeups'!$B:$B,MATCH('Layer A — raw data (SOURCED)'!$A124,'Layer B — pod writeups'!$A:$A,0)),"")</f>
        <v/>
      </c>
      <c r="L124" s="13" t="str">
        <f aca="false">IFERROR(textjoin(" | ",TRUE(),IF(INDEX('Layer B — pod writeups'!$C:$C,MATCH('Layer A — raw data (SOURCED)'!$A124,'Layer B — pod writeups'!$A:$A,0))="","","HC "&amp;INDEX('Layer B — pod writeups'!$C:$C,MATCH('Layer A — raw data (SOURCED)'!$A124,'Layer B — pod writeups'!$A:$A,0))),IF(INDEX('Layer B — pod writeups'!$D:$D,MATCH('Layer A — raw data (SOURCED)'!$A124,'Layer B — pod writeups'!$A:$A,0))="","","OC "&amp;INDEX('Layer B — pod writeups'!$D:$D,MATCH('Layer A — raw data (SOURCED)'!$A124,'Layer B — pod writeups'!$A:$A,0))),IF(INDEX('Layer B — pod writeups'!$E:$E,MATCH('Layer A — raw data (SOURCED)'!$A124,'Layer B — pod writeups'!$A:$A,0))="","","DC "&amp;INDEX('Layer B — pod writeups'!$E:$E,MATCH('Layer A — raw data (SOURCED)'!$A124,'Layer B — pod writeups'!$A:$A,0)))),"")</f>
        <v/>
      </c>
      <c r="M124" s="12" t="str">
        <f aca="false">IFERROR(INDEX('Layer B — pod writeups'!$F:$F,MATCH('Layer A — raw data (SOURCED)'!$A124,'Layer B — pod writeups'!$A:$A,0)),"")</f>
        <v/>
      </c>
      <c r="N124" s="12" t="str">
        <f aca="false">IFERROR(INDEX('Layer B — pod writeups'!$K:$K,MATCH('Layer A — raw data (SOURCED)'!$A124,'Layer B — pod writeups'!$A:$A,0)),"")</f>
        <v/>
      </c>
      <c r="O124" s="12" t="str">
        <f aca="false">IFERROR(textjoin(" ",TRUE(),IF(INDEX('Layer B — pod writeups'!$G:$G,MATCH('Layer A — raw data (SOURCED)'!$A124,'Layer B — pod writeups'!$A:$A,0))="Y","DH",""),IF(INDEX('Layer B — pod writeups'!$H:$H,MATCH('Layer A — raw data (SOURCED)'!$A124,'Layer B — pod writeups'!$A:$A,0))="Y","FADE",""),IF(INDEX('Layer B — pod writeups'!$I:$I,MATCH('Layer A — raw data (SOURCED)'!$A124,'Layer B — pod writeups'!$A:$A,0))="Y","SPLIT",""),IF(INDEX('Layer B — pod writeups'!$J:$J,MATCH('Layer A — raw data (SOURCED)'!$A124,'Layer B — pod writeups'!$A:$A,0))="Y","VAR","")),"")</f>
        <v/>
      </c>
      <c r="P124" s="13" t="str">
        <f aca="false">IFERROR(INDEX('Layer B — pod writeups'!$L:$L,MATCH('Layer A — raw data (SOURCED)'!$A124,'Layer B — pod writeups'!$A:$A,0)),"")</f>
        <v/>
      </c>
      <c r="Q124" s="13" t="str">
        <f aca="false">IFERROR(INDEX('Layer B — pod writeups'!$N:$N,MATCH('Layer A — raw data (SOURCED)'!$A124,'Layer B — pod writeups'!$A:$A,0)),"")</f>
        <v/>
      </c>
    </row>
    <row r="125" customFormat="false" ht="15" hidden="false" customHeight="true" outlineLevel="0" collapsed="false">
      <c r="A125" s="12" t="str">
        <f aca="false">'Layer A — raw data (SOURCED)'!O125</f>
        <v>AAC</v>
      </c>
      <c r="B125" s="12" t="str">
        <f aca="false">'Layer A — raw data (SOURCED)'!A125</f>
        <v>UAB</v>
      </c>
      <c r="C125" s="13" t="str">
        <f aca="false">'Layer A — raw data (SOURCED)'!O125</f>
        <v>AAC</v>
      </c>
      <c r="D125" s="12" t="n">
        <f aca="false">'Layer A — raw data (SOURCED)'!B125</f>
        <v>3.5</v>
      </c>
      <c r="E125" s="12" t="n">
        <f aca="false">'Layer A — raw data (SOURCED)'!C125</f>
        <v>124</v>
      </c>
      <c r="F125" s="12" t="n">
        <f aca="false">'Layer A — raw data (SOURCED)'!D125</f>
        <v>-18.1</v>
      </c>
      <c r="G125" s="12" t="n">
        <f aca="false">'Layer A — raw data (SOURCED)'!E125</f>
        <v>35</v>
      </c>
      <c r="H125" s="12" t="n">
        <f aca="false">'Layer A — raw data (SOURCED)'!H125</f>
        <v>-3.5</v>
      </c>
      <c r="I125" s="12" t="n">
        <f aca="false">'Layer A — raw data (SOURCED)'!K125</f>
        <v>0</v>
      </c>
      <c r="J125" s="12" t="str">
        <f aca="false">'Layer A — raw data (SOURCED)'!L125</f>
        <v/>
      </c>
      <c r="K125" s="13" t="str">
        <f aca="false">IFERROR(INDEX('Layer B — pod writeups'!$B:$B,MATCH('Layer A — raw data (SOURCED)'!$A125,'Layer B — pod writeups'!$A:$A,0)),"")</f>
        <v/>
      </c>
      <c r="L125" s="13" t="str">
        <f aca="false">IFERROR(textjoin(" | ",TRUE(),IF(INDEX('Layer B — pod writeups'!$C:$C,MATCH('Layer A — raw data (SOURCED)'!$A125,'Layer B — pod writeups'!$A:$A,0))="","","HC "&amp;INDEX('Layer B — pod writeups'!$C:$C,MATCH('Layer A — raw data (SOURCED)'!$A125,'Layer B — pod writeups'!$A:$A,0))),IF(INDEX('Layer B — pod writeups'!$D:$D,MATCH('Layer A — raw data (SOURCED)'!$A125,'Layer B — pod writeups'!$A:$A,0))="","","OC "&amp;INDEX('Layer B — pod writeups'!$D:$D,MATCH('Layer A — raw data (SOURCED)'!$A125,'Layer B — pod writeups'!$A:$A,0))),IF(INDEX('Layer B — pod writeups'!$E:$E,MATCH('Layer A — raw data (SOURCED)'!$A125,'Layer B — pod writeups'!$A:$A,0))="","","DC "&amp;INDEX('Layer B — pod writeups'!$E:$E,MATCH('Layer A — raw data (SOURCED)'!$A125,'Layer B — pod writeups'!$A:$A,0)))),"")</f>
        <v/>
      </c>
      <c r="M125" s="12" t="str">
        <f aca="false">IFERROR(INDEX('Layer B — pod writeups'!$F:$F,MATCH('Layer A — raw data (SOURCED)'!$A125,'Layer B — pod writeups'!$A:$A,0)),"")</f>
        <v/>
      </c>
      <c r="N125" s="12" t="str">
        <f aca="false">IFERROR(INDEX('Layer B — pod writeups'!$K:$K,MATCH('Layer A — raw data (SOURCED)'!$A125,'Layer B — pod writeups'!$A:$A,0)),"")</f>
        <v/>
      </c>
      <c r="O125" s="12" t="str">
        <f aca="false">IFERROR(textjoin(" ",TRUE(),IF(INDEX('Layer B — pod writeups'!$G:$G,MATCH('Layer A — raw data (SOURCED)'!$A125,'Layer B — pod writeups'!$A:$A,0))="Y","DH",""),IF(INDEX('Layer B — pod writeups'!$H:$H,MATCH('Layer A — raw data (SOURCED)'!$A125,'Layer B — pod writeups'!$A:$A,0))="Y","FADE",""),IF(INDEX('Layer B — pod writeups'!$I:$I,MATCH('Layer A — raw data (SOURCED)'!$A125,'Layer B — pod writeups'!$A:$A,0))="Y","SPLIT",""),IF(INDEX('Layer B — pod writeups'!$J:$J,MATCH('Layer A — raw data (SOURCED)'!$A125,'Layer B — pod writeups'!$A:$A,0))="Y","VAR","")),"")</f>
        <v/>
      </c>
      <c r="P125" s="13" t="str">
        <f aca="false">IFERROR(INDEX('Layer B — pod writeups'!$L:$L,MATCH('Layer A — raw data (SOURCED)'!$A125,'Layer B — pod writeups'!$A:$A,0)),"")</f>
        <v/>
      </c>
      <c r="Q125" s="13" t="str">
        <f aca="false">IFERROR(INDEX('Layer B — pod writeups'!$N:$N,MATCH('Layer A — raw data (SOURCED)'!$A125,'Layer B — pod writeups'!$A:$A,0)),"")</f>
        <v/>
      </c>
    </row>
    <row r="126" customFormat="false" ht="15" hidden="false" customHeight="true" outlineLevel="0" collapsed="false">
      <c r="A126" s="12" t="str">
        <f aca="false">'Layer A — raw data (SOURCED)'!O126</f>
        <v>MWC</v>
      </c>
      <c r="B126" s="12" t="str">
        <f aca="false">'Layer A — raw data (SOURCED)'!A126</f>
        <v>Northern Illinois</v>
      </c>
      <c r="C126" s="13" t="str">
        <f aca="false">'Layer A — raw data (SOURCED)'!O126</f>
        <v>MWC</v>
      </c>
      <c r="D126" s="12" t="n">
        <f aca="false">'Layer A — raw data (SOURCED)'!B126</f>
        <v>3.5</v>
      </c>
      <c r="E126" s="12" t="n">
        <f aca="false">'Layer A — raw data (SOURCED)'!C126</f>
        <v>125</v>
      </c>
      <c r="F126" s="12" t="n">
        <f aca="false">'Layer A — raw data (SOURCED)'!D126</f>
        <v>-18.2</v>
      </c>
      <c r="G126" s="12" t="n">
        <f aca="false">'Layer A — raw data (SOURCED)'!E126</f>
        <v>48</v>
      </c>
      <c r="H126" s="12" t="n">
        <f aca="false">'Layer A — raw data (SOURCED)'!H126</f>
        <v>2.5</v>
      </c>
      <c r="I126" s="12" t="n">
        <f aca="false">'Layer A — raw data (SOURCED)'!K126</f>
        <v>0</v>
      </c>
      <c r="J126" s="12" t="str">
        <f aca="false">'Layer A — raw data (SOURCED)'!L126</f>
        <v/>
      </c>
      <c r="K126" s="13" t="str">
        <f aca="false">IFERROR(INDEX('Layer B — pod writeups'!$B:$B,MATCH('Layer A — raw data (SOURCED)'!$A126,'Layer B — pod writeups'!$A:$A,0)),"")</f>
        <v/>
      </c>
      <c r="L126" s="13" t="str">
        <f aca="false">IFERROR(textjoin(" | ",TRUE(),IF(INDEX('Layer B — pod writeups'!$C:$C,MATCH('Layer A — raw data (SOURCED)'!$A126,'Layer B — pod writeups'!$A:$A,0))="","","HC "&amp;INDEX('Layer B — pod writeups'!$C:$C,MATCH('Layer A — raw data (SOURCED)'!$A126,'Layer B — pod writeups'!$A:$A,0))),IF(INDEX('Layer B — pod writeups'!$D:$D,MATCH('Layer A — raw data (SOURCED)'!$A126,'Layer B — pod writeups'!$A:$A,0))="","","OC "&amp;INDEX('Layer B — pod writeups'!$D:$D,MATCH('Layer A — raw data (SOURCED)'!$A126,'Layer B — pod writeups'!$A:$A,0))),IF(INDEX('Layer B — pod writeups'!$E:$E,MATCH('Layer A — raw data (SOURCED)'!$A126,'Layer B — pod writeups'!$A:$A,0))="","","DC "&amp;INDEX('Layer B — pod writeups'!$E:$E,MATCH('Layer A — raw data (SOURCED)'!$A126,'Layer B — pod writeups'!$A:$A,0)))),"")</f>
        <v/>
      </c>
      <c r="M126" s="12" t="str">
        <f aca="false">IFERROR(INDEX('Layer B — pod writeups'!$F:$F,MATCH('Layer A — raw data (SOURCED)'!$A126,'Layer B — pod writeups'!$A:$A,0)),"")</f>
        <v/>
      </c>
      <c r="N126" s="12" t="str">
        <f aca="false">IFERROR(INDEX('Layer B — pod writeups'!$K:$K,MATCH('Layer A — raw data (SOURCED)'!$A126,'Layer B — pod writeups'!$A:$A,0)),"")</f>
        <v/>
      </c>
      <c r="O126" s="12" t="str">
        <f aca="false">IFERROR(textjoin(" ",TRUE(),IF(INDEX('Layer B — pod writeups'!$G:$G,MATCH('Layer A — raw data (SOURCED)'!$A126,'Layer B — pod writeups'!$A:$A,0))="Y","DH",""),IF(INDEX('Layer B — pod writeups'!$H:$H,MATCH('Layer A — raw data (SOURCED)'!$A126,'Layer B — pod writeups'!$A:$A,0))="Y","FADE",""),IF(INDEX('Layer B — pod writeups'!$I:$I,MATCH('Layer A — raw data (SOURCED)'!$A126,'Layer B — pod writeups'!$A:$A,0))="Y","SPLIT",""),IF(INDEX('Layer B — pod writeups'!$J:$J,MATCH('Layer A — raw data (SOURCED)'!$A126,'Layer B — pod writeups'!$A:$A,0))="Y","VAR","")),"")</f>
        <v/>
      </c>
      <c r="P126" s="13" t="str">
        <f aca="false">IFERROR(INDEX('Layer B — pod writeups'!$L:$L,MATCH('Layer A — raw data (SOURCED)'!$A126,'Layer B — pod writeups'!$A:$A,0)),"")</f>
        <v/>
      </c>
      <c r="Q126" s="13" t="str">
        <f aca="false">IFERROR(INDEX('Layer B — pod writeups'!$N:$N,MATCH('Layer A — raw data (SOURCED)'!$A126,'Layer B — pod writeups'!$A:$A,0)),"")</f>
        <v/>
      </c>
    </row>
    <row r="127" customFormat="false" ht="15" hidden="false" customHeight="true" outlineLevel="0" collapsed="false">
      <c r="A127" s="12" t="str">
        <f aca="false">'Layer A — raw data (SOURCED)'!O127</f>
        <v>CUSA</v>
      </c>
      <c r="B127" s="12" t="str">
        <f aca="false">'Layer A — raw data (SOURCED)'!A127</f>
        <v>Missouri State</v>
      </c>
      <c r="C127" s="13" t="str">
        <f aca="false">'Layer A — raw data (SOURCED)'!O127</f>
        <v>CUSA</v>
      </c>
      <c r="D127" s="12" t="n">
        <f aca="false">'Layer A — raw data (SOURCED)'!B127</f>
        <v>4.5</v>
      </c>
      <c r="E127" s="12" t="n">
        <f aca="false">'Layer A — raw data (SOURCED)'!C127</f>
        <v>126</v>
      </c>
      <c r="F127" s="12" t="n">
        <f aca="false">'Layer A — raw data (SOURCED)'!D127</f>
        <v>-18.7</v>
      </c>
      <c r="G127" s="12" t="n">
        <f aca="false">'Layer A — raw data (SOURCED)'!E127</f>
        <v>34</v>
      </c>
      <c r="H127" s="12" t="n">
        <f aca="false">'Layer A — raw data (SOURCED)'!H127</f>
        <v>-3</v>
      </c>
      <c r="I127" s="12" t="n">
        <f aca="false">'Layer A — raw data (SOURCED)'!K127</f>
        <v>0</v>
      </c>
      <c r="J127" s="12" t="str">
        <f aca="false">'Layer A — raw data (SOURCED)'!L127</f>
        <v/>
      </c>
      <c r="K127" s="13" t="str">
        <f aca="false">IFERROR(INDEX('Layer B — pod writeups'!$B:$B,MATCH('Layer A — raw data (SOURCED)'!$A127,'Layer B — pod writeups'!$A:$A,0)),"")</f>
        <v/>
      </c>
      <c r="L127" s="13" t="str">
        <f aca="false">IFERROR(textjoin(" | ",TRUE(),IF(INDEX('Layer B — pod writeups'!$C:$C,MATCH('Layer A — raw data (SOURCED)'!$A127,'Layer B — pod writeups'!$A:$A,0))="","","HC "&amp;INDEX('Layer B — pod writeups'!$C:$C,MATCH('Layer A — raw data (SOURCED)'!$A127,'Layer B — pod writeups'!$A:$A,0))),IF(INDEX('Layer B — pod writeups'!$D:$D,MATCH('Layer A — raw data (SOURCED)'!$A127,'Layer B — pod writeups'!$A:$A,0))="","","OC "&amp;INDEX('Layer B — pod writeups'!$D:$D,MATCH('Layer A — raw data (SOURCED)'!$A127,'Layer B — pod writeups'!$A:$A,0))),IF(INDEX('Layer B — pod writeups'!$E:$E,MATCH('Layer A — raw data (SOURCED)'!$A127,'Layer B — pod writeups'!$A:$A,0))="","","DC "&amp;INDEX('Layer B — pod writeups'!$E:$E,MATCH('Layer A — raw data (SOURCED)'!$A127,'Layer B — pod writeups'!$A:$A,0)))),"")</f>
        <v/>
      </c>
      <c r="M127" s="12" t="str">
        <f aca="false">IFERROR(INDEX('Layer B — pod writeups'!$F:$F,MATCH('Layer A — raw data (SOURCED)'!$A127,'Layer B — pod writeups'!$A:$A,0)),"")</f>
        <v/>
      </c>
      <c r="N127" s="12" t="str">
        <f aca="false">IFERROR(INDEX('Layer B — pod writeups'!$K:$K,MATCH('Layer A — raw data (SOURCED)'!$A127,'Layer B — pod writeups'!$A:$A,0)),"")</f>
        <v/>
      </c>
      <c r="O127" s="12" t="str">
        <f aca="false">IFERROR(textjoin(" ",TRUE(),IF(INDEX('Layer B — pod writeups'!$G:$G,MATCH('Layer A — raw data (SOURCED)'!$A127,'Layer B — pod writeups'!$A:$A,0))="Y","DH",""),IF(INDEX('Layer B — pod writeups'!$H:$H,MATCH('Layer A — raw data (SOURCED)'!$A127,'Layer B — pod writeups'!$A:$A,0))="Y","FADE",""),IF(INDEX('Layer B — pod writeups'!$I:$I,MATCH('Layer A — raw data (SOURCED)'!$A127,'Layer B — pod writeups'!$A:$A,0))="Y","SPLIT",""),IF(INDEX('Layer B — pod writeups'!$J:$J,MATCH('Layer A — raw data (SOURCED)'!$A127,'Layer B — pod writeups'!$A:$A,0))="Y","VAR","")),"")</f>
        <v/>
      </c>
      <c r="P127" s="13" t="str">
        <f aca="false">IFERROR(INDEX('Layer B — pod writeups'!$L:$L,MATCH('Layer A — raw data (SOURCED)'!$A127,'Layer B — pod writeups'!$A:$A,0)),"")</f>
        <v/>
      </c>
      <c r="Q127" s="13" t="str">
        <f aca="false">IFERROR(INDEX('Layer B — pod writeups'!$N:$N,MATCH('Layer A — raw data (SOURCED)'!$A127,'Layer B — pod writeups'!$A:$A,0)),"")</f>
        <v/>
      </c>
    </row>
    <row r="128" customFormat="false" ht="15" hidden="false" customHeight="true" outlineLevel="0" collapsed="false">
      <c r="A128" s="12" t="str">
        <f aca="false">'Layer A — raw data (SOURCED)'!O128</f>
        <v>MAC</v>
      </c>
      <c r="B128" s="12" t="str">
        <f aca="false">'Layer A — raw data (SOURCED)'!A128</f>
        <v>Akron</v>
      </c>
      <c r="C128" s="13" t="str">
        <f aca="false">'Layer A — raw data (SOURCED)'!O128</f>
        <v>MAC</v>
      </c>
      <c r="D128" s="12" t="n">
        <f aca="false">'Layer A — raw data (SOURCED)'!B128</f>
        <v>4.5</v>
      </c>
      <c r="E128" s="12" t="n">
        <f aca="false">'Layer A — raw data (SOURCED)'!C128</f>
        <v>127</v>
      </c>
      <c r="F128" s="12" t="n">
        <f aca="false">'Layer A — raw data (SOURCED)'!D128</f>
        <v>-19.5</v>
      </c>
      <c r="G128" s="12" t="n">
        <f aca="false">'Layer A — raw data (SOURCED)'!E128</f>
        <v>40</v>
      </c>
      <c r="H128" s="12" t="n">
        <f aca="false">'Layer A — raw data (SOURCED)'!H128</f>
        <v>-0.5</v>
      </c>
      <c r="I128" s="12" t="n">
        <f aca="false">'Layer A — raw data (SOURCED)'!K128</f>
        <v>0</v>
      </c>
      <c r="J128" s="12" t="str">
        <f aca="false">'Layer A — raw data (SOURCED)'!L128</f>
        <v/>
      </c>
      <c r="K128" s="13" t="str">
        <f aca="false">IFERROR(INDEX('Layer B — pod writeups'!$B:$B,MATCH('Layer A — raw data (SOURCED)'!$A128,'Layer B — pod writeups'!$A:$A,0)),"")</f>
        <v/>
      </c>
      <c r="L128" s="13" t="str">
        <f aca="false">IFERROR(textjoin(" | ",TRUE(),IF(INDEX('Layer B — pod writeups'!$C:$C,MATCH('Layer A — raw data (SOURCED)'!$A128,'Layer B — pod writeups'!$A:$A,0))="","","HC "&amp;INDEX('Layer B — pod writeups'!$C:$C,MATCH('Layer A — raw data (SOURCED)'!$A128,'Layer B — pod writeups'!$A:$A,0))),IF(INDEX('Layer B — pod writeups'!$D:$D,MATCH('Layer A — raw data (SOURCED)'!$A128,'Layer B — pod writeups'!$A:$A,0))="","","OC "&amp;INDEX('Layer B — pod writeups'!$D:$D,MATCH('Layer A — raw data (SOURCED)'!$A128,'Layer B — pod writeups'!$A:$A,0))),IF(INDEX('Layer B — pod writeups'!$E:$E,MATCH('Layer A — raw data (SOURCED)'!$A128,'Layer B — pod writeups'!$A:$A,0))="","","DC "&amp;INDEX('Layer B — pod writeups'!$E:$E,MATCH('Layer A — raw data (SOURCED)'!$A128,'Layer B — pod writeups'!$A:$A,0)))),"")</f>
        <v/>
      </c>
      <c r="M128" s="12" t="str">
        <f aca="false">IFERROR(INDEX('Layer B — pod writeups'!$F:$F,MATCH('Layer A — raw data (SOURCED)'!$A128,'Layer B — pod writeups'!$A:$A,0)),"")</f>
        <v/>
      </c>
      <c r="N128" s="12" t="str">
        <f aca="false">IFERROR(INDEX('Layer B — pod writeups'!$K:$K,MATCH('Layer A — raw data (SOURCED)'!$A128,'Layer B — pod writeups'!$A:$A,0)),"")</f>
        <v/>
      </c>
      <c r="O128" s="12" t="str">
        <f aca="false">IFERROR(textjoin(" ",TRUE(),IF(INDEX('Layer B — pod writeups'!$G:$G,MATCH('Layer A — raw data (SOURCED)'!$A128,'Layer B — pod writeups'!$A:$A,0))="Y","DH",""),IF(INDEX('Layer B — pod writeups'!$H:$H,MATCH('Layer A — raw data (SOURCED)'!$A128,'Layer B — pod writeups'!$A:$A,0))="Y","FADE",""),IF(INDEX('Layer B — pod writeups'!$I:$I,MATCH('Layer A — raw data (SOURCED)'!$A128,'Layer B — pod writeups'!$A:$A,0))="Y","SPLIT",""),IF(INDEX('Layer B — pod writeups'!$J:$J,MATCH('Layer A — raw data (SOURCED)'!$A128,'Layer B — pod writeups'!$A:$A,0))="Y","VAR","")),"")</f>
        <v/>
      </c>
      <c r="P128" s="13" t="str">
        <f aca="false">IFERROR(INDEX('Layer B — pod writeups'!$L:$L,MATCH('Layer A — raw data (SOURCED)'!$A128,'Layer B — pod writeups'!$A:$A,0)),"")</f>
        <v/>
      </c>
      <c r="Q128" s="13" t="str">
        <f aca="false">IFERROR(INDEX('Layer B — pod writeups'!$N:$N,MATCH('Layer A — raw data (SOURCED)'!$A128,'Layer B — pod writeups'!$A:$A,0)),"")</f>
        <v/>
      </c>
    </row>
    <row r="129" customFormat="false" ht="15" hidden="false" customHeight="true" outlineLevel="0" collapsed="false">
      <c r="A129" s="12" t="str">
        <f aca="false">'Layer A — raw data (SOURCED)'!O129</f>
        <v>MAC</v>
      </c>
      <c r="B129" s="12" t="str">
        <f aca="false">'Layer A — raw data (SOURCED)'!A129</f>
        <v>Kent State</v>
      </c>
      <c r="C129" s="13" t="str">
        <f aca="false">'Layer A — raw data (SOURCED)'!O129</f>
        <v>MAC</v>
      </c>
      <c r="D129" s="12" t="n">
        <f aca="false">'Layer A — raw data (SOURCED)'!B129</f>
        <v>3.5</v>
      </c>
      <c r="E129" s="12" t="n">
        <f aca="false">'Layer A — raw data (SOURCED)'!C129</f>
        <v>128</v>
      </c>
      <c r="F129" s="12" t="n">
        <f aca="false">'Layer A — raw data (SOURCED)'!D129</f>
        <v>-20.1</v>
      </c>
      <c r="G129" s="12" t="n">
        <f aca="false">'Layer A — raw data (SOURCED)'!E129</f>
        <v>48</v>
      </c>
      <c r="H129" s="12" t="n">
        <f aca="false">'Layer A — raw data (SOURCED)'!H129</f>
        <v>7.5</v>
      </c>
      <c r="I129" s="12" t="n">
        <f aca="false">'Layer A — raw data (SOURCED)'!K129</f>
        <v>0</v>
      </c>
      <c r="J129" s="12" t="str">
        <f aca="false">'Layer A — raw data (SOURCED)'!L129</f>
        <v/>
      </c>
      <c r="K129" s="13" t="str">
        <f aca="false">IFERROR(INDEX('Layer B — pod writeups'!$B:$B,MATCH('Layer A — raw data (SOURCED)'!$A129,'Layer B — pod writeups'!$A:$A,0)),"")</f>
        <v/>
      </c>
      <c r="L129" s="13" t="str">
        <f aca="false">IFERROR(textjoin(" | ",TRUE(),IF(INDEX('Layer B — pod writeups'!$C:$C,MATCH('Layer A — raw data (SOURCED)'!$A129,'Layer B — pod writeups'!$A:$A,0))="","","HC "&amp;INDEX('Layer B — pod writeups'!$C:$C,MATCH('Layer A — raw data (SOURCED)'!$A129,'Layer B — pod writeups'!$A:$A,0))),IF(INDEX('Layer B — pod writeups'!$D:$D,MATCH('Layer A — raw data (SOURCED)'!$A129,'Layer B — pod writeups'!$A:$A,0))="","","OC "&amp;INDEX('Layer B — pod writeups'!$D:$D,MATCH('Layer A — raw data (SOURCED)'!$A129,'Layer B — pod writeups'!$A:$A,0))),IF(INDEX('Layer B — pod writeups'!$E:$E,MATCH('Layer A — raw data (SOURCED)'!$A129,'Layer B — pod writeups'!$A:$A,0))="","","DC "&amp;INDEX('Layer B — pod writeups'!$E:$E,MATCH('Layer A — raw data (SOURCED)'!$A129,'Layer B — pod writeups'!$A:$A,0)))),"")</f>
        <v/>
      </c>
      <c r="M129" s="12" t="str">
        <f aca="false">IFERROR(INDEX('Layer B — pod writeups'!$F:$F,MATCH('Layer A — raw data (SOURCED)'!$A129,'Layer B — pod writeups'!$A:$A,0)),"")</f>
        <v/>
      </c>
      <c r="N129" s="12" t="str">
        <f aca="false">IFERROR(INDEX('Layer B — pod writeups'!$K:$K,MATCH('Layer A — raw data (SOURCED)'!$A129,'Layer B — pod writeups'!$A:$A,0)),"")</f>
        <v/>
      </c>
      <c r="O129" s="12" t="str">
        <f aca="false">IFERROR(textjoin(" ",TRUE(),IF(INDEX('Layer B — pod writeups'!$G:$G,MATCH('Layer A — raw data (SOURCED)'!$A129,'Layer B — pod writeups'!$A:$A,0))="Y","DH",""),IF(INDEX('Layer B — pod writeups'!$H:$H,MATCH('Layer A — raw data (SOURCED)'!$A129,'Layer B — pod writeups'!$A:$A,0))="Y","FADE",""),IF(INDEX('Layer B — pod writeups'!$I:$I,MATCH('Layer A — raw data (SOURCED)'!$A129,'Layer B — pod writeups'!$A:$A,0))="Y","SPLIT",""),IF(INDEX('Layer B — pod writeups'!$J:$J,MATCH('Layer A — raw data (SOURCED)'!$A129,'Layer B — pod writeups'!$A:$A,0))="Y","VAR","")),"")</f>
        <v/>
      </c>
      <c r="P129" s="13" t="str">
        <f aca="false">IFERROR(INDEX('Layer B — pod writeups'!$L:$L,MATCH('Layer A — raw data (SOURCED)'!$A129,'Layer B — pod writeups'!$A:$A,0)),"")</f>
        <v/>
      </c>
      <c r="Q129" s="13" t="str">
        <f aca="false">IFERROR(INDEX('Layer B — pod writeups'!$N:$N,MATCH('Layer A — raw data (SOURCED)'!$A129,'Layer B — pod writeups'!$A:$A,0)),"")</f>
        <v/>
      </c>
    </row>
    <row r="130" customFormat="false" ht="15" hidden="false" customHeight="true" outlineLevel="0" collapsed="false">
      <c r="A130" s="12" t="str">
        <f aca="false">'Layer A — raw data (SOURCED)'!O130</f>
        <v>MWC</v>
      </c>
      <c r="B130" s="12" t="str">
        <f aca="false">'Layer A — raw data (SOURCED)'!A130</f>
        <v>UTEP</v>
      </c>
      <c r="C130" s="13" t="str">
        <f aca="false">'Layer A — raw data (SOURCED)'!O130</f>
        <v>MWC</v>
      </c>
      <c r="D130" s="12" t="n">
        <f aca="false">'Layer A — raw data (SOURCED)'!B130</f>
        <v>3.5</v>
      </c>
      <c r="E130" s="12" t="n">
        <f aca="false">'Layer A — raw data (SOURCED)'!C130</f>
        <v>129</v>
      </c>
      <c r="F130" s="12" t="n">
        <f aca="false">'Layer A — raw data (SOURCED)'!D130</f>
        <v>-20.5</v>
      </c>
      <c r="G130" s="12" t="n">
        <f aca="false">'Layer A — raw data (SOURCED)'!E130</f>
        <v>35</v>
      </c>
      <c r="H130" s="12" t="n">
        <f aca="false">'Layer A — raw data (SOURCED)'!H130</f>
        <v>-2</v>
      </c>
      <c r="I130" s="12" t="n">
        <f aca="false">'Layer A — raw data (SOURCED)'!K130</f>
        <v>0</v>
      </c>
      <c r="J130" s="12" t="str">
        <f aca="false">'Layer A — raw data (SOURCED)'!L130</f>
        <v/>
      </c>
      <c r="K130" s="13" t="str">
        <f aca="false">IFERROR(INDEX('Layer B — pod writeups'!$B:$B,MATCH('Layer A — raw data (SOURCED)'!$A130,'Layer B — pod writeups'!$A:$A,0)),"")</f>
        <v/>
      </c>
      <c r="L130" s="13" t="str">
        <f aca="false">IFERROR(textjoin(" | ",TRUE(),IF(INDEX('Layer B — pod writeups'!$C:$C,MATCH('Layer A — raw data (SOURCED)'!$A130,'Layer B — pod writeups'!$A:$A,0))="","","HC "&amp;INDEX('Layer B — pod writeups'!$C:$C,MATCH('Layer A — raw data (SOURCED)'!$A130,'Layer B — pod writeups'!$A:$A,0))),IF(INDEX('Layer B — pod writeups'!$D:$D,MATCH('Layer A — raw data (SOURCED)'!$A130,'Layer B — pod writeups'!$A:$A,0))="","","OC "&amp;INDEX('Layer B — pod writeups'!$D:$D,MATCH('Layer A — raw data (SOURCED)'!$A130,'Layer B — pod writeups'!$A:$A,0))),IF(INDEX('Layer B — pod writeups'!$E:$E,MATCH('Layer A — raw data (SOURCED)'!$A130,'Layer B — pod writeups'!$A:$A,0))="","","DC "&amp;INDEX('Layer B — pod writeups'!$E:$E,MATCH('Layer A — raw data (SOURCED)'!$A130,'Layer B — pod writeups'!$A:$A,0)))),"")</f>
        <v/>
      </c>
      <c r="M130" s="12" t="str">
        <f aca="false">IFERROR(INDEX('Layer B — pod writeups'!$F:$F,MATCH('Layer A — raw data (SOURCED)'!$A130,'Layer B — pod writeups'!$A:$A,0)),"")</f>
        <v/>
      </c>
      <c r="N130" s="12" t="str">
        <f aca="false">IFERROR(INDEX('Layer B — pod writeups'!$K:$K,MATCH('Layer A — raw data (SOURCED)'!$A130,'Layer B — pod writeups'!$A:$A,0)),"")</f>
        <v/>
      </c>
      <c r="O130" s="12" t="str">
        <f aca="false">IFERROR(textjoin(" ",TRUE(),IF(INDEX('Layer B — pod writeups'!$G:$G,MATCH('Layer A — raw data (SOURCED)'!$A130,'Layer B — pod writeups'!$A:$A,0))="Y","DH",""),IF(INDEX('Layer B — pod writeups'!$H:$H,MATCH('Layer A — raw data (SOURCED)'!$A130,'Layer B — pod writeups'!$A:$A,0))="Y","FADE",""),IF(INDEX('Layer B — pod writeups'!$I:$I,MATCH('Layer A — raw data (SOURCED)'!$A130,'Layer B — pod writeups'!$A:$A,0))="Y","SPLIT",""),IF(INDEX('Layer B — pod writeups'!$J:$J,MATCH('Layer A — raw data (SOURCED)'!$A130,'Layer B — pod writeups'!$A:$A,0))="Y","VAR","")),"")</f>
        <v/>
      </c>
      <c r="P130" s="13" t="str">
        <f aca="false">IFERROR(INDEX('Layer B — pod writeups'!$L:$L,MATCH('Layer A — raw data (SOURCED)'!$A130,'Layer B — pod writeups'!$A:$A,0)),"")</f>
        <v/>
      </c>
      <c r="Q130" s="13" t="str">
        <f aca="false">IFERROR(INDEX('Layer B — pod writeups'!$N:$N,MATCH('Layer A — raw data (SOURCED)'!$A130,'Layer B — pod writeups'!$A:$A,0)),"")</f>
        <v/>
      </c>
    </row>
    <row r="131" customFormat="false" ht="15" hidden="false" customHeight="true" outlineLevel="0" collapsed="false">
      <c r="A131" s="12" t="str">
        <f aca="false">'Layer A — raw data (SOURCED)'!O131</f>
        <v>MAC</v>
      </c>
      <c r="B131" s="12" t="str">
        <f aca="false">'Layer A — raw data (SOURCED)'!A131</f>
        <v>Sacramento State</v>
      </c>
      <c r="C131" s="13" t="str">
        <f aca="false">'Layer A — raw data (SOURCED)'!O131</f>
        <v>MAC</v>
      </c>
      <c r="D131" s="12" t="n">
        <f aca="false">'Layer A — raw data (SOURCED)'!B131</f>
        <v>4.5</v>
      </c>
      <c r="E131" s="12" t="n">
        <f aca="false">'Layer A — raw data (SOURCED)'!C131</f>
        <v>130</v>
      </c>
      <c r="F131" s="12" t="n">
        <f aca="false">'Layer A — raw data (SOURCED)'!D131</f>
        <v>-22.7</v>
      </c>
      <c r="G131" s="12" t="n">
        <f aca="false">'Layer A — raw data (SOURCED)'!E131</f>
        <v>32</v>
      </c>
      <c r="H131" s="12" t="n">
        <f aca="false">'Layer A — raw data (SOURCED)'!H131</f>
        <v>0</v>
      </c>
      <c r="I131" s="12" t="n">
        <f aca="false">'Layer A — raw data (SOURCED)'!K131</f>
        <v>0</v>
      </c>
      <c r="J131" s="12" t="str">
        <f aca="false">'Layer A — raw data (SOURCED)'!L131</f>
        <v/>
      </c>
      <c r="K131" s="13" t="str">
        <f aca="false">IFERROR(INDEX('Layer B — pod writeups'!$B:$B,MATCH('Layer A — raw data (SOURCED)'!$A131,'Layer B — pod writeups'!$A:$A,0)),"")</f>
        <v/>
      </c>
      <c r="L131" s="13" t="str">
        <f aca="false">IFERROR(textjoin(" | ",TRUE(),IF(INDEX('Layer B — pod writeups'!$C:$C,MATCH('Layer A — raw data (SOURCED)'!$A131,'Layer B — pod writeups'!$A:$A,0))="","","HC "&amp;INDEX('Layer B — pod writeups'!$C:$C,MATCH('Layer A — raw data (SOURCED)'!$A131,'Layer B — pod writeups'!$A:$A,0))),IF(INDEX('Layer B — pod writeups'!$D:$D,MATCH('Layer A — raw data (SOURCED)'!$A131,'Layer B — pod writeups'!$A:$A,0))="","","OC "&amp;INDEX('Layer B — pod writeups'!$D:$D,MATCH('Layer A — raw data (SOURCED)'!$A131,'Layer B — pod writeups'!$A:$A,0))),IF(INDEX('Layer B — pod writeups'!$E:$E,MATCH('Layer A — raw data (SOURCED)'!$A131,'Layer B — pod writeups'!$A:$A,0))="","","DC "&amp;INDEX('Layer B — pod writeups'!$E:$E,MATCH('Layer A — raw data (SOURCED)'!$A131,'Layer B — pod writeups'!$A:$A,0)))),"")</f>
        <v/>
      </c>
      <c r="M131" s="12" t="str">
        <f aca="false">IFERROR(INDEX('Layer B — pod writeups'!$F:$F,MATCH('Layer A — raw data (SOURCED)'!$A131,'Layer B — pod writeups'!$A:$A,0)),"")</f>
        <v/>
      </c>
      <c r="N131" s="12" t="str">
        <f aca="false">IFERROR(INDEX('Layer B — pod writeups'!$K:$K,MATCH('Layer A — raw data (SOURCED)'!$A131,'Layer B — pod writeups'!$A:$A,0)),"")</f>
        <v/>
      </c>
      <c r="O131" s="12" t="str">
        <f aca="false">IFERROR(textjoin(" ",TRUE(),IF(INDEX('Layer B — pod writeups'!$G:$G,MATCH('Layer A — raw data (SOURCED)'!$A131,'Layer B — pod writeups'!$A:$A,0))="Y","DH",""),IF(INDEX('Layer B — pod writeups'!$H:$H,MATCH('Layer A — raw data (SOURCED)'!$A131,'Layer B — pod writeups'!$A:$A,0))="Y","FADE",""),IF(INDEX('Layer B — pod writeups'!$I:$I,MATCH('Layer A — raw data (SOURCED)'!$A131,'Layer B — pod writeups'!$A:$A,0))="Y","SPLIT",""),IF(INDEX('Layer B — pod writeups'!$J:$J,MATCH('Layer A — raw data (SOURCED)'!$A131,'Layer B — pod writeups'!$A:$A,0))="Y","VAR","")),"")</f>
        <v/>
      </c>
      <c r="P131" s="13" t="str">
        <f aca="false">IFERROR(INDEX('Layer B — pod writeups'!$L:$L,MATCH('Layer A — raw data (SOURCED)'!$A131,'Layer B — pod writeups'!$A:$A,0)),"")</f>
        <v/>
      </c>
      <c r="Q131" s="13" t="str">
        <f aca="false">IFERROR(INDEX('Layer B — pod writeups'!$N:$N,MATCH('Layer A — raw data (SOURCED)'!$A131,'Layer B — pod writeups'!$A:$A,0)),"")</f>
        <v/>
      </c>
    </row>
    <row r="132" customFormat="false" ht="102" hidden="false" customHeight="true" outlineLevel="0" collapsed="false">
      <c r="A132" s="12" t="str">
        <f aca="false">'Layer A — raw data (SOURCED)'!O132</f>
        <v>Sun Belt</v>
      </c>
      <c r="B132" s="12" t="str">
        <f aca="false">'Layer A — raw data (SOURCED)'!A132</f>
        <v>Southern Miss</v>
      </c>
      <c r="C132" s="13" t="str">
        <f aca="false">'Layer A — raw data (SOURCED)'!O132</f>
        <v>Sun Belt</v>
      </c>
      <c r="D132" s="12" t="n">
        <f aca="false">'Layer A — raw data (SOURCED)'!B132</f>
        <v>3.5</v>
      </c>
      <c r="E132" s="12" t="n">
        <f aca="false">'Layer A — raw data (SOURCED)'!C132</f>
        <v>131</v>
      </c>
      <c r="F132" s="12" t="n">
        <f aca="false">'Layer A — raw data (SOURCED)'!D132</f>
        <v>-23.3</v>
      </c>
      <c r="G132" s="12" t="n">
        <f aca="false">'Layer A — raw data (SOURCED)'!E132</f>
        <v>22</v>
      </c>
      <c r="H132" s="12" t="n">
        <f aca="false">'Layer A — raw data (SOURCED)'!H132</f>
        <v>-6.5</v>
      </c>
      <c r="I132" s="12" t="n">
        <f aca="false">'Layer A — raw data (SOURCED)'!K132</f>
        <v>3</v>
      </c>
      <c r="J132" s="12" t="n">
        <f aca="false">'Layer A — raw data (SOURCED)'!L132</f>
        <v>-0.5</v>
      </c>
      <c r="K132" s="13" t="str">
        <f aca="false">IFERROR(INDEX('Layer B — pod writeups'!$B:$B,MATCH('Layer A — raw data (SOURCED)'!$A132,'Layer B — pod writeups'!$A:$A,0)),"")</f>
        <v>Battle (unsettled, ~99% new roster) — multi-way incl. Ethan Hampton / Landry Lyle / a returning QB4 from 2024 [no established starter; possibly the most walk-on/replacement OL in the country — protection is the bigger problem than the QB]</v>
      </c>
      <c r="L132" s="13" t="str">
        <f aca="false">IFERROR(textjoin(" | ",TRUE(),IF(INDEX('Layer B — pod writeups'!$C:$C,MATCH('Layer A — raw data (SOURCED)'!$A132,'Layer B — pod writeups'!$A:$A,0))="","","HC "&amp;INDEX('Layer B — pod writeups'!$C:$C,MATCH('Layer A — raw data (SOURCED)'!$A132,'Layer B — pod writeups'!$A:$A,0))),IF(INDEX('Layer B — pod writeups'!$D:$D,MATCH('Layer A — raw data (SOURCED)'!$A132,'Layer B — pod writeups'!$A:$A,0))="","","OC "&amp;INDEX('Layer B — pod writeups'!$D:$D,MATCH('Layer A — raw data (SOURCED)'!$A132,'Layer B — pod writeups'!$A:$A,0))),IF(INDEX('Layer B — pod writeups'!$E:$E,MATCH('Layer A — raw data (SOURCED)'!$A132,'Layer B — pod writeups'!$A:$A,0))="","","DC "&amp;INDEX('Layer B — pod writeups'!$E:$E,MATCH('Layer A — raw data (SOURCED)'!$A132,'Layer B — pod writeups'!$A:$A,0)))),"")</f>
        <v/>
      </c>
      <c r="M132" s="12" t="str">
        <f aca="false">IFERROR(INDEX('Layer B — pod writeups'!$F:$F,MATCH('Layer A — raw data (SOURCED)'!$A132,'Layer B — pod writeups'!$A:$A,0)),"")</f>
        <v>Hard Under</v>
      </c>
      <c r="N132" s="12" t="str">
        <f aca="false">IFERROR(INDEX('Layer B — pod writeups'!$K:$K,MATCH('Layer A — raw data (SOURCED)'!$A132,'Layer B — pod writeups'!$A:$A,0)),"")</f>
        <v>Brutal</v>
      </c>
      <c r="O132" s="12" t="str">
        <f aca="false">IFERROR(textjoin(" ",TRUE(),IF(INDEX('Layer B — pod writeups'!$G:$G,MATCH('Layer A — raw data (SOURCED)'!$A132,'Layer B — pod writeups'!$A:$A,0))="Y","DH",""),IF(INDEX('Layer B — pod writeups'!$H:$H,MATCH('Layer A — raw data (SOURCED)'!$A132,'Layer B — pod writeups'!$A:$A,0))="Y","FADE",""),IF(INDEX('Layer B — pod writeups'!$I:$I,MATCH('Layer A — raw data (SOURCED)'!$A132,'Layer B — pod writeups'!$A:$A,0))="Y","SPLIT",""),IF(INDEX('Layer B — pod writeups'!$J:$J,MATCH('Layer A — raw data (SOURCED)'!$A132,'Layer B — pod writeups'!$A:$A,0))="Y","VAR","")),"")</f>
        <v/>
      </c>
      <c r="P132" s="13" t="str">
        <f aca="false">IFERROR(INDEX('Layer B — pod writeups'!$L:$L,MATCH('Layer A — raw data (SOURCED)'!$A132,'Layer B — pod writeups'!$A:$A,0)),"")</f>
        <v>Bad crossover draw (JMU + at ODU). Favored vs Alcorn; likely loses at UConn (wk3). Home games (ULL, JMU, South Alabama, La Tech, Arkansas State) — most winnable is ULM but it's ON THE ROAD. Where are the 4 wins?</v>
      </c>
      <c r="Q132" s="13" t="str">
        <f aca="false">IFERROR(INDEX('Layer B — pod writeups'!$N:$N,MATCH('Layer A — raw data (SOURCED)'!$A132,'Layer B — pod writeups'!$A:$A,0)),"")</f>
        <v>A hard FADE — Stuckey UNDER 3.5 (plus money), Duck already in the app under 3.5. Roster is ~99% new: lost the top-15 defensive snaps (7 to Memphis, 3 to P4), and the entire senior-laden offense from the Charles-Huff year left (Huff's staff/players went to Memphis). [Transcript is ASR-garbled on the coaching picture — it names 'head coach Blake Anderson' for 2026, implying Anderson was elevated as Huff's group departed; flagged, not asserted with confidence.] The DC is an elevated special-teams coach handling total turnover. Most-walk-on OL in the country. No path to 4 wins on the board. Sell.</v>
      </c>
    </row>
    <row r="133" customFormat="false" ht="113.25" hidden="false" customHeight="true" outlineLevel="0" collapsed="false">
      <c r="A133" s="12" t="str">
        <f aca="false">'Layer A — raw data (SOURCED)'!O133</f>
        <v>Sun Belt</v>
      </c>
      <c r="B133" s="12" t="str">
        <f aca="false">'Layer A — raw data (SOURCED)'!A133</f>
        <v>ULM</v>
      </c>
      <c r="C133" s="13" t="str">
        <f aca="false">'Layer A — raw data (SOURCED)'!O133</f>
        <v>Sun Belt</v>
      </c>
      <c r="D133" s="12" t="n">
        <f aca="false">'Layer A — raw data (SOURCED)'!B133</f>
        <v>3.5</v>
      </c>
      <c r="E133" s="12" t="n">
        <f aca="false">'Layer A — raw data (SOURCED)'!C133</f>
        <v>132</v>
      </c>
      <c r="F133" s="12" t="n">
        <f aca="false">'Layer A — raw data (SOURCED)'!D133</f>
        <v>-24.3</v>
      </c>
      <c r="G133" s="12" t="n">
        <f aca="false">'Layer A — raw data (SOURCED)'!E133</f>
        <v>51</v>
      </c>
      <c r="H133" s="12" t="n">
        <f aca="false">'Layer A — raw data (SOURCED)'!H133</f>
        <v>3</v>
      </c>
      <c r="I133" s="12" t="n">
        <f aca="false">'Layer A — raw data (SOURCED)'!K133</f>
        <v>3</v>
      </c>
      <c r="J133" s="12" t="n">
        <f aca="false">'Layer A — raw data (SOURCED)'!L133</f>
        <v>-0.5</v>
      </c>
      <c r="K133" s="13" t="str">
        <f aca="false">IFERROR(INDEX('Layer B — pod writeups'!$B:$B,MATCH('Layer A — raw data (SOURCED)'!$A133,'Layer B — pod writeups'!$A:$A,0)),"")</f>
        <v>Battle (unsettled) — Aiden Armenta (returning) / Austin Carlyle (transfer from Houston) / Landon Graves [lead: unsettled — 'doesn't know what they want to be offensively'; QB health is huge]</v>
      </c>
      <c r="L133" s="13" t="str">
        <f aca="false">IFERROR(textjoin(" | ",TRUE(),IF(INDEX('Layer B — pod writeups'!$C:$C,MATCH('Layer A — raw data (SOURCED)'!$A133,'Layer B — pod writeups'!$A:$A,0))="","","HC "&amp;INDEX('Layer B — pod writeups'!$C:$C,MATCH('Layer A — raw data (SOURCED)'!$A133,'Layer B — pod writeups'!$A:$A,0))),IF(INDEX('Layer B — pod writeups'!$D:$D,MATCH('Layer A — raw data (SOURCED)'!$A133,'Layer B — pod writeups'!$A:$A,0))="","","OC "&amp;INDEX('Layer B — pod writeups'!$D:$D,MATCH('Layer A — raw data (SOURCED)'!$A133,'Layer B — pod writeups'!$A:$A,0))),IF(INDEX('Layer B — pod writeups'!$E:$E,MATCH('Layer A — raw data (SOURCED)'!$A133,'Layer B — pod writeups'!$A:$A,0))="","","DC "&amp;INDEX('Layer B — pod writeups'!$E:$E,MATCH('Layer A — raw data (SOURCED)'!$A133,'Layer B — pod writeups'!$A:$A,0)))),"")</f>
        <v/>
      </c>
      <c r="M133" s="12" t="str">
        <f aca="false">IFERROR(INDEX('Layer B — pod writeups'!$F:$F,MATCH('Layer A — raw data (SOURCED)'!$A133,'Layer B — pod writeups'!$A:$A,0)),"")</f>
        <v>Lean Under</v>
      </c>
      <c r="N133" s="12" t="str">
        <f aca="false">IFERROR(INDEX('Layer B — pod writeups'!$K:$K,MATCH('Layer A — raw data (SOURCED)'!$A133,'Layer B — pod writeups'!$A:$A,0)),"")</f>
        <v>Neutral</v>
      </c>
      <c r="O133" s="12" t="str">
        <f aca="false">IFERROR(textjoin(" ",TRUE(),IF(INDEX('Layer B — pod writeups'!$G:$G,MATCH('Layer A — raw data (SOURCED)'!$A133,'Layer B — pod writeups'!$A:$A,0))="Y","DH",""),IF(INDEX('Layer B — pod writeups'!$H:$H,MATCH('Layer A — raw data (SOURCED)'!$A133,'Layer B — pod writeups'!$A:$A,0))="Y","FADE",""),IF(INDEX('Layer B — pod writeups'!$I:$I,MATCH('Layer A — raw data (SOURCED)'!$A133,'Layer B — pod writeups'!$A:$A,0))="Y","SPLIT",""),IF(INDEX('Layer B — pod writeups'!$J:$J,MATCH('Layer A — raw data (SOURCED)'!$A133,'Layer B — pod writeups'!$A:$A,0))="Y","VAR","")),"")</f>
        <v/>
      </c>
      <c r="P133" s="13" t="str">
        <f aca="false">IFERROR(INDEX('Layer B — pod writeups'!$L:$L,MATCH('Layer A — raw data (SOURCED)'!$A133,'Layer B — pod writeups'!$A:$A,0)),"")</f>
        <v>Only remotely-competitive 2024 conf games were vs rivals Arkansas State (lost 15 straight to them before) + Louisiana. Slow-pace, ball-control to protect a bad D.</v>
      </c>
      <c r="Q133" s="13" t="str">
        <f aca="false">IFERROR(INDEX('Layer B — pod writeups'!$N:$N,MATCH('Layer A — raw data (SOURCED)'!$A133,'Layer B — pod writeups'!$A:$A,0)),"")</f>
        <v>Fade lean (Duck under; Stuckey pessimistic — 'no money at all' in the program). Brian Vincent's best team but that's a low bar: near-zero offensive explosiveness (scored ≤14 seven times, topped 200 pass yds only twice, 13 red-zone TD all year, ~100th in explosiveness), and RB Bam McReynolds leaving is huge. Unsettled QB battle (Armenta / Houston transfer Austin Carlyle / Graves). Lost 3 more OL starters. Special teams were 'the worst I've ever seen' in 2024 (couldn't hit a 20-yд FG — all the kickers got hurt); brought in 3 kickers, so it can only improve. LB is the lone bright spot. Slow tempo to hide the D. Surprised Vincent is still around.</v>
      </c>
    </row>
    <row r="134" customFormat="false" ht="102" hidden="false" customHeight="true" outlineLevel="0" collapsed="false">
      <c r="A134" s="12" t="str">
        <f aca="false">'Layer A — raw data (SOURCED)'!O134</f>
        <v>Sun Belt</v>
      </c>
      <c r="B134" s="12" t="str">
        <f aca="false">'Layer A — raw data (SOURCED)'!A134</f>
        <v>Georgia State</v>
      </c>
      <c r="C134" s="13" t="str">
        <f aca="false">'Layer A — raw data (SOURCED)'!O134</f>
        <v>Sun Belt</v>
      </c>
      <c r="D134" s="12" t="n">
        <f aca="false">'Layer A — raw data (SOURCED)'!B134</f>
        <v>4.5</v>
      </c>
      <c r="E134" s="12" t="n">
        <f aca="false">'Layer A — raw data (SOURCED)'!C134</f>
        <v>133</v>
      </c>
      <c r="F134" s="12" t="n">
        <f aca="false">'Layer A — raw data (SOURCED)'!D134</f>
        <v>-25.1</v>
      </c>
      <c r="G134" s="12" t="n">
        <f aca="false">'Layer A — raw data (SOURCED)'!E134</f>
        <v>38</v>
      </c>
      <c r="H134" s="12" t="n">
        <f aca="false">'Layer A — raw data (SOURCED)'!H134</f>
        <v>1.5</v>
      </c>
      <c r="I134" s="12" t="n">
        <f aca="false">'Layer A — raw data (SOURCED)'!K134</f>
        <v>3.9</v>
      </c>
      <c r="J134" s="12" t="n">
        <f aca="false">'Layer A — raw data (SOURCED)'!L134</f>
        <v>-0.6</v>
      </c>
      <c r="K134" s="13" t="str">
        <f aca="false">IFERROR(INDEX('Layer B — pod writeups'!$B:$B,MATCH('Layer A — raw data (SOURCED)'!$A134,'Layer B — pod writeups'!$A:$A,0)),"")</f>
        <v>Returning — Christian Brown (incumbent, steadier option; 13:1 TD:INT in limited 2024 action, the clear best option over Finley — hosts puzzled he didn't play more; battled OL injuries around him) [QB play should be steadier + healthier in 2026]</v>
      </c>
      <c r="L134" s="13" t="str">
        <f aca="false">IFERROR(textjoin(" | ",TRUE(),IF(INDEX('Layer B — pod writeups'!$C:$C,MATCH('Layer A — raw data (SOURCED)'!$A134,'Layer B — pod writeups'!$A:$A,0))="","","HC "&amp;INDEX('Layer B — pod writeups'!$C:$C,MATCH('Layer A — raw data (SOURCED)'!$A134,'Layer B — pod writeups'!$A:$A,0))),IF(INDEX('Layer B — pod writeups'!$D:$D,MATCH('Layer A — raw data (SOURCED)'!$A134,'Layer B — pod writeups'!$A:$A,0))="","","OC "&amp;INDEX('Layer B — pod writeups'!$D:$D,MATCH('Layer A — raw data (SOURCED)'!$A134,'Layer B — pod writeups'!$A:$A,0))),IF(INDEX('Layer B — pod writeups'!$E:$E,MATCH('Layer A — raw data (SOURCED)'!$A134,'Layer B — pod writeups'!$A:$A,0))="","","DC "&amp;INDEX('Layer B — pod writeups'!$E:$E,MATCH('Layer A — raw data (SOURCED)'!$A134,'Layer B — pod writeups'!$A:$A,0)))),"")</f>
        <v/>
      </c>
      <c r="M134" s="12" t="str">
        <f aca="false">IFERROR(INDEX('Layer B — pod writeups'!$F:$F,MATCH('Layer A — raw data (SOURCED)'!$A134,'Layer B — pod writeups'!$A:$A,0)),"")</f>
        <v>Lean Over</v>
      </c>
      <c r="N134" s="12" t="str">
        <f aca="false">IFERROR(INDEX('Layer B — pod writeups'!$K:$K,MATCH('Layer A — raw data (SOURCED)'!$A134,'Layer B — pod writeups'!$A:$A,0)),"")</f>
        <v>Neutral</v>
      </c>
      <c r="O134" s="12" t="str">
        <f aca="false">IFERROR(textjoin(" ",TRUE(),IF(INDEX('Layer B — pod writeups'!$G:$G,MATCH('Layer A — raw data (SOURCED)'!$A134,'Layer B — pod writeups'!$A:$A,0))="Y","DH",""),IF(INDEX('Layer B — pod writeups'!$H:$H,MATCH('Layer A — raw data (SOURCED)'!$A134,'Layer B — pod writeups'!$A:$A,0))="Y","FADE",""),IF(INDEX('Layer B — pod writeups'!$I:$I,MATCH('Layer A — raw data (SOURCED)'!$A134,'Layer B — pod writeups'!$A:$A,0))="Y","SPLIT",""),IF(INDEX('Layer B — pod writeups'!$J:$J,MATCH('Layer A — raw data (SOURCED)'!$A134,'Layer B — pod writeups'!$A:$A,0))="Y","VAR","")),"")</f>
        <v/>
      </c>
      <c r="P134" s="13" t="str">
        <f aca="false">IFERROR(INDEX('Layer B — pod writeups'!$L:$L,MATCH('Layer A — raw data (SOURCED)'!$A134,'Layer B — pod writeups'!$A:$A,0)),"")</f>
        <v>Winnable slate — opens FCS NC A&amp;T (Duck's over play, 'shred them'); swaps Ole Miss/Memphis/Vandy off the 2024 non-con for Kennesaw, UCF, NIU (much softer). Draws JMU/ODU/Marshall run-heavy fronts that could 'run through them like tissue paper.'</v>
      </c>
      <c r="Q134" s="13" t="str">
        <f aca="false">IFERROR(INDEX('Layer B — pod writeups'!$N:$N,MATCH('Layer A — raw data (SOURCED)'!$A134,'Layer B — pod writeups'!$A:$A,0)),"")</f>
        <v>Year 3 of Dell McGee — Calabrese + Duck lean OVER 3.5 (Stuckey ~3.9, wants to bet the over but the DEFENSE scares him). Coming off a 1-win year, but the OFFENSE should be much better: QB Christian Brown (13:1 in limited time) over Finley, a healthier/upgraded OL, and OC Hugh Jackson back — projects top-20 in pace + improved 3rd-down (81st in 2024). The problem is the defense — 9 new starters, still adding low-level bodies, could be one of the worst run Ds in the league (they lost 13 of top-16 snaps, oddly 7 to P4). Expect shootouts → a lot of Georgia State OVERS early before the market corrects (Duck's angle).</v>
      </c>
    </row>
    <row r="135" customFormat="false" ht="15" hidden="false" customHeight="true" outlineLevel="0" collapsed="false">
      <c r="A135" s="12" t="str">
        <f aca="false">'Layer A — raw data (SOURCED)'!O135</f>
        <v>MAC</v>
      </c>
      <c r="B135" s="12" t="str">
        <f aca="false">'Layer A — raw data (SOURCED)'!A135</f>
        <v>Ball State</v>
      </c>
      <c r="C135" s="13" t="str">
        <f aca="false">'Layer A — raw data (SOURCED)'!O135</f>
        <v>MAC</v>
      </c>
      <c r="D135" s="12" t="n">
        <f aca="false">'Layer A — raw data (SOURCED)'!B135</f>
        <v>3.5</v>
      </c>
      <c r="E135" s="12" t="n">
        <f aca="false">'Layer A — raw data (SOURCED)'!C135</f>
        <v>134</v>
      </c>
      <c r="F135" s="12" t="n">
        <f aca="false">'Layer A — raw data (SOURCED)'!D135</f>
        <v>-25.2</v>
      </c>
      <c r="G135" s="12" t="n">
        <f aca="false">'Layer A — raw data (SOURCED)'!E135</f>
        <v>36</v>
      </c>
      <c r="H135" s="12" t="n">
        <f aca="false">'Layer A — raw data (SOURCED)'!H135</f>
        <v>-3.5</v>
      </c>
      <c r="I135" s="12" t="n">
        <f aca="false">'Layer A — raw data (SOURCED)'!K135</f>
        <v>0</v>
      </c>
      <c r="J135" s="12" t="str">
        <f aca="false">'Layer A — raw data (SOURCED)'!L135</f>
        <v/>
      </c>
      <c r="K135" s="13" t="str">
        <f aca="false">IFERROR(INDEX('Layer B — pod writeups'!$B:$B,MATCH('Layer A — raw data (SOURCED)'!$A135,'Layer B — pod writeups'!$A:$A,0)),"")</f>
        <v/>
      </c>
      <c r="L135" s="13" t="str">
        <f aca="false">IFERROR(textjoin(" | ",TRUE(),IF(INDEX('Layer B — pod writeups'!$C:$C,MATCH('Layer A — raw data (SOURCED)'!$A135,'Layer B — pod writeups'!$A:$A,0))="","","HC "&amp;INDEX('Layer B — pod writeups'!$C:$C,MATCH('Layer A — raw data (SOURCED)'!$A135,'Layer B — pod writeups'!$A:$A,0))),IF(INDEX('Layer B — pod writeups'!$D:$D,MATCH('Layer A — raw data (SOURCED)'!$A135,'Layer B — pod writeups'!$A:$A,0))="","","OC "&amp;INDEX('Layer B — pod writeups'!$D:$D,MATCH('Layer A — raw data (SOURCED)'!$A135,'Layer B — pod writeups'!$A:$A,0))),IF(INDEX('Layer B — pod writeups'!$E:$E,MATCH('Layer A — raw data (SOURCED)'!$A135,'Layer B — pod writeups'!$A:$A,0))="","","DC "&amp;INDEX('Layer B — pod writeups'!$E:$E,MATCH('Layer A — raw data (SOURCED)'!$A135,'Layer B — pod writeups'!$A:$A,0)))),"")</f>
        <v/>
      </c>
      <c r="M135" s="12" t="str">
        <f aca="false">IFERROR(INDEX('Layer B — pod writeups'!$F:$F,MATCH('Layer A — raw data (SOURCED)'!$A135,'Layer B — pod writeups'!$A:$A,0)),"")</f>
        <v/>
      </c>
      <c r="N135" s="12" t="str">
        <f aca="false">IFERROR(INDEX('Layer B — pod writeups'!$K:$K,MATCH('Layer A — raw data (SOURCED)'!$A135,'Layer B — pod writeups'!$A:$A,0)),"")</f>
        <v/>
      </c>
      <c r="O135" s="12" t="str">
        <f aca="false">IFERROR(textjoin(" ",TRUE(),IF(INDEX('Layer B — pod writeups'!$G:$G,MATCH('Layer A — raw data (SOURCED)'!$A135,'Layer B — pod writeups'!$A:$A,0))="Y","DH",""),IF(INDEX('Layer B — pod writeups'!$H:$H,MATCH('Layer A — raw data (SOURCED)'!$A135,'Layer B — pod writeups'!$A:$A,0))="Y","FADE",""),IF(INDEX('Layer B — pod writeups'!$I:$I,MATCH('Layer A — raw data (SOURCED)'!$A135,'Layer B — pod writeups'!$A:$A,0))="Y","SPLIT",""),IF(INDEX('Layer B — pod writeups'!$J:$J,MATCH('Layer A — raw data (SOURCED)'!$A135,'Layer B — pod writeups'!$A:$A,0))="Y","VAR","")),"")</f>
        <v/>
      </c>
      <c r="P135" s="13" t="str">
        <f aca="false">IFERROR(INDEX('Layer B — pod writeups'!$L:$L,MATCH('Layer A — raw data (SOURCED)'!$A135,'Layer B — pod writeups'!$A:$A,0)),"")</f>
        <v/>
      </c>
      <c r="Q135" s="13" t="str">
        <f aca="false">IFERROR(INDEX('Layer B — pod writeups'!$N:$N,MATCH('Layer A — raw data (SOURCED)'!$A135,'Layer B — pod writeups'!$A:$A,0)),"")</f>
        <v/>
      </c>
    </row>
    <row r="136" customFormat="false" ht="15" hidden="false" customHeight="true" outlineLevel="0" collapsed="false">
      <c r="A136" s="12" t="str">
        <f aca="false">'Layer A — raw data (SOURCED)'!O136</f>
        <v>CUSA</v>
      </c>
      <c r="B136" s="12" t="str">
        <f aca="false">'Layer A — raw data (SOURCED)'!A136</f>
        <v>Middle Tennessee</v>
      </c>
      <c r="C136" s="13" t="str">
        <f aca="false">'Layer A — raw data (SOURCED)'!O136</f>
        <v>CUSA</v>
      </c>
      <c r="D136" s="12" t="n">
        <f aca="false">'Layer A — raw data (SOURCED)'!B136</f>
        <v>3.5</v>
      </c>
      <c r="E136" s="12" t="n">
        <f aca="false">'Layer A — raw data (SOURCED)'!C136</f>
        <v>135</v>
      </c>
      <c r="F136" s="12" t="n">
        <f aca="false">'Layer A — raw data (SOURCED)'!D136</f>
        <v>-26</v>
      </c>
      <c r="G136" s="12" t="n">
        <f aca="false">'Layer A — raw data (SOURCED)'!E136</f>
        <v>36</v>
      </c>
      <c r="H136" s="12" t="n">
        <f aca="false">'Layer A — raw data (SOURCED)'!H136</f>
        <v>-3.5</v>
      </c>
      <c r="I136" s="12" t="n">
        <f aca="false">'Layer A — raw data (SOURCED)'!K136</f>
        <v>0</v>
      </c>
      <c r="J136" s="12" t="str">
        <f aca="false">'Layer A — raw data (SOURCED)'!L136</f>
        <v/>
      </c>
      <c r="K136" s="13" t="str">
        <f aca="false">IFERROR(INDEX('Layer B — pod writeups'!$B:$B,MATCH('Layer A — raw data (SOURCED)'!$A136,'Layer B — pod writeups'!$A:$A,0)),"")</f>
        <v/>
      </c>
      <c r="L136" s="13" t="str">
        <f aca="false">IFERROR(textjoin(" | ",TRUE(),IF(INDEX('Layer B — pod writeups'!$C:$C,MATCH('Layer A — raw data (SOURCED)'!$A136,'Layer B — pod writeups'!$A:$A,0))="","","HC "&amp;INDEX('Layer B — pod writeups'!$C:$C,MATCH('Layer A — raw data (SOURCED)'!$A136,'Layer B — pod writeups'!$A:$A,0))),IF(INDEX('Layer B — pod writeups'!$D:$D,MATCH('Layer A — raw data (SOURCED)'!$A136,'Layer B — pod writeups'!$A:$A,0))="","","OC "&amp;INDEX('Layer B — pod writeups'!$D:$D,MATCH('Layer A — raw data (SOURCED)'!$A136,'Layer B — pod writeups'!$A:$A,0))),IF(INDEX('Layer B — pod writeups'!$E:$E,MATCH('Layer A — raw data (SOURCED)'!$A136,'Layer B — pod writeups'!$A:$A,0))="","","DC "&amp;INDEX('Layer B — pod writeups'!$E:$E,MATCH('Layer A — raw data (SOURCED)'!$A136,'Layer B — pod writeups'!$A:$A,0)))),"")</f>
        <v/>
      </c>
      <c r="M136" s="12" t="str">
        <f aca="false">IFERROR(INDEX('Layer B — pod writeups'!$F:$F,MATCH('Layer A — raw data (SOURCED)'!$A136,'Layer B — pod writeups'!$A:$A,0)),"")</f>
        <v/>
      </c>
      <c r="N136" s="12" t="str">
        <f aca="false">IFERROR(INDEX('Layer B — pod writeups'!$K:$K,MATCH('Layer A — raw data (SOURCED)'!$A136,'Layer B — pod writeups'!$A:$A,0)),"")</f>
        <v/>
      </c>
      <c r="O136" s="12" t="str">
        <f aca="false">IFERROR(textjoin(" ",TRUE(),IF(INDEX('Layer B — pod writeups'!$G:$G,MATCH('Layer A — raw data (SOURCED)'!$A136,'Layer B — pod writeups'!$A:$A,0))="Y","DH",""),IF(INDEX('Layer B — pod writeups'!$H:$H,MATCH('Layer A — raw data (SOURCED)'!$A136,'Layer B — pod writeups'!$A:$A,0))="Y","FADE",""),IF(INDEX('Layer B — pod writeups'!$I:$I,MATCH('Layer A — raw data (SOURCED)'!$A136,'Layer B — pod writeups'!$A:$A,0))="Y","SPLIT",""),IF(INDEX('Layer B — pod writeups'!$J:$J,MATCH('Layer A — raw data (SOURCED)'!$A136,'Layer B — pod writeups'!$A:$A,0))="Y","VAR","")),"")</f>
        <v/>
      </c>
      <c r="P136" s="13" t="str">
        <f aca="false">IFERROR(INDEX('Layer B — pod writeups'!$L:$L,MATCH('Layer A — raw data (SOURCED)'!$A136,'Layer B — pod writeups'!$A:$A,0)),"")</f>
        <v/>
      </c>
      <c r="Q136" s="13" t="str">
        <f aca="false">IFERROR(INDEX('Layer B — pod writeups'!$N:$N,MATCH('Layer A — raw data (SOURCED)'!$A136,'Layer B — pod writeups'!$A:$A,0)),"")</f>
        <v/>
      </c>
    </row>
    <row r="137" customFormat="false" ht="15" hidden="false" customHeight="true" outlineLevel="0" collapsed="false">
      <c r="A137" s="12" t="str">
        <f aca="false">'Layer A — raw data (SOURCED)'!O137</f>
        <v>CUSA</v>
      </c>
      <c r="B137" s="12" t="str">
        <f aca="false">'Layer A — raw data (SOURCED)'!A137</f>
        <v>Sam Houston</v>
      </c>
      <c r="C137" s="13" t="str">
        <f aca="false">'Layer A — raw data (SOURCED)'!O137</f>
        <v>CUSA</v>
      </c>
      <c r="D137" s="12" t="n">
        <f aca="false">'Layer A — raw data (SOURCED)'!B137</f>
        <v>3.5</v>
      </c>
      <c r="E137" s="12" t="n">
        <f aca="false">'Layer A — raw data (SOURCED)'!C137</f>
        <v>136</v>
      </c>
      <c r="F137" s="12" t="n">
        <f aca="false">'Layer A — raw data (SOURCED)'!D137</f>
        <v>-26.3</v>
      </c>
      <c r="G137" s="12" t="n">
        <f aca="false">'Layer A — raw data (SOURCED)'!E137</f>
        <v>49</v>
      </c>
      <c r="H137" s="12" t="n">
        <f aca="false">'Layer A — raw data (SOURCED)'!H137</f>
        <v>-1.5</v>
      </c>
      <c r="I137" s="12" t="n">
        <f aca="false">'Layer A — raw data (SOURCED)'!K137</f>
        <v>0</v>
      </c>
      <c r="J137" s="12" t="str">
        <f aca="false">'Layer A — raw data (SOURCED)'!L137</f>
        <v/>
      </c>
      <c r="K137" s="13" t="str">
        <f aca="false">IFERROR(INDEX('Layer B — pod writeups'!$B:$B,MATCH('Layer A — raw data (SOURCED)'!$A137,'Layer B — pod writeups'!$A:$A,0)),"")</f>
        <v/>
      </c>
      <c r="L137" s="13" t="str">
        <f aca="false">IFERROR(textjoin(" | ",TRUE(),IF(INDEX('Layer B — pod writeups'!$C:$C,MATCH('Layer A — raw data (SOURCED)'!$A137,'Layer B — pod writeups'!$A:$A,0))="","","HC "&amp;INDEX('Layer B — pod writeups'!$C:$C,MATCH('Layer A — raw data (SOURCED)'!$A137,'Layer B — pod writeups'!$A:$A,0))),IF(INDEX('Layer B — pod writeups'!$D:$D,MATCH('Layer A — raw data (SOURCED)'!$A137,'Layer B — pod writeups'!$A:$A,0))="","","OC "&amp;INDEX('Layer B — pod writeups'!$D:$D,MATCH('Layer A — raw data (SOURCED)'!$A137,'Layer B — pod writeups'!$A:$A,0))),IF(INDEX('Layer B — pod writeups'!$E:$E,MATCH('Layer A — raw data (SOURCED)'!$A137,'Layer B — pod writeups'!$A:$A,0))="","","DC "&amp;INDEX('Layer B — pod writeups'!$E:$E,MATCH('Layer A — raw data (SOURCED)'!$A137,'Layer B — pod writeups'!$A:$A,0)))),"")</f>
        <v/>
      </c>
      <c r="M137" s="12" t="str">
        <f aca="false">IFERROR(INDEX('Layer B — pod writeups'!$F:$F,MATCH('Layer A — raw data (SOURCED)'!$A137,'Layer B — pod writeups'!$A:$A,0)),"")</f>
        <v/>
      </c>
      <c r="N137" s="12" t="str">
        <f aca="false">IFERROR(INDEX('Layer B — pod writeups'!$K:$K,MATCH('Layer A — raw data (SOURCED)'!$A137,'Layer B — pod writeups'!$A:$A,0)),"")</f>
        <v/>
      </c>
      <c r="O137" s="12" t="str">
        <f aca="false">IFERROR(textjoin(" ",TRUE(),IF(INDEX('Layer B — pod writeups'!$G:$G,MATCH('Layer A — raw data (SOURCED)'!$A137,'Layer B — pod writeups'!$A:$A,0))="Y","DH",""),IF(INDEX('Layer B — pod writeups'!$H:$H,MATCH('Layer A — raw data (SOURCED)'!$A137,'Layer B — pod writeups'!$A:$A,0))="Y","FADE",""),IF(INDEX('Layer B — pod writeups'!$I:$I,MATCH('Layer A — raw data (SOURCED)'!$A137,'Layer B — pod writeups'!$A:$A,0))="Y","SPLIT",""),IF(INDEX('Layer B — pod writeups'!$J:$J,MATCH('Layer A — raw data (SOURCED)'!$A137,'Layer B — pod writeups'!$A:$A,0))="Y","VAR","")),"")</f>
        <v/>
      </c>
      <c r="P137" s="13" t="str">
        <f aca="false">IFERROR(INDEX('Layer B — pod writeups'!$L:$L,MATCH('Layer A — raw data (SOURCED)'!$A137,'Layer B — pod writeups'!$A:$A,0)),"")</f>
        <v/>
      </c>
      <c r="Q137" s="13" t="str">
        <f aca="false">IFERROR(INDEX('Layer B — pod writeups'!$N:$N,MATCH('Layer A — raw data (SOURCED)'!$A137,'Layer B — pod writeups'!$A:$A,0)),"")</f>
        <v/>
      </c>
    </row>
    <row r="138" customFormat="false" ht="15" hidden="false" customHeight="true" outlineLevel="0" collapsed="false">
      <c r="A138" s="12" t="str">
        <f aca="false">'Layer A — raw data (SOURCED)'!O138</f>
        <v>MAC</v>
      </c>
      <c r="B138" s="12" t="str">
        <f aca="false">'Layer A — raw data (SOURCED)'!A138</f>
        <v>UMass</v>
      </c>
      <c r="C138" s="13" t="str">
        <f aca="false">'Layer A — raw data (SOURCED)'!O138</f>
        <v>MAC</v>
      </c>
      <c r="D138" s="12" t="n">
        <f aca="false">'Layer A — raw data (SOURCED)'!B138</f>
        <v>2.5</v>
      </c>
      <c r="E138" s="12" t="n">
        <f aca="false">'Layer A — raw data (SOURCED)'!C138</f>
        <v>137</v>
      </c>
      <c r="F138" s="12" t="n">
        <f aca="false">'Layer A — raw data (SOURCED)'!D138</f>
        <v>-30.9</v>
      </c>
      <c r="G138" s="12" t="n">
        <f aca="false">'Layer A — raw data (SOURCED)'!E138</f>
        <v>46</v>
      </c>
      <c r="H138" s="12" t="n">
        <f aca="false">'Layer A — raw data (SOURCED)'!H138</f>
        <v>0.5</v>
      </c>
      <c r="I138" s="12" t="n">
        <f aca="false">'Layer A — raw data (SOURCED)'!K138</f>
        <v>0</v>
      </c>
      <c r="J138" s="12" t="str">
        <f aca="false">'Layer A — raw data (SOURCED)'!L138</f>
        <v/>
      </c>
      <c r="K138" s="13" t="str">
        <f aca="false">IFERROR(INDEX('Layer B — pod writeups'!$B:$B,MATCH('Layer A — raw data (SOURCED)'!$A138,'Layer B — pod writeups'!$A:$A,0)),"")</f>
        <v/>
      </c>
      <c r="L138" s="13" t="str">
        <f aca="false">IFERROR(textjoin(" | ",TRUE(),IF(INDEX('Layer B — pod writeups'!$C:$C,MATCH('Layer A — raw data (SOURCED)'!$A138,'Layer B — pod writeups'!$A:$A,0))="","","HC "&amp;INDEX('Layer B — pod writeups'!$C:$C,MATCH('Layer A — raw data (SOURCED)'!$A138,'Layer B — pod writeups'!$A:$A,0))),IF(INDEX('Layer B — pod writeups'!$D:$D,MATCH('Layer A — raw data (SOURCED)'!$A138,'Layer B — pod writeups'!$A:$A,0))="","","OC "&amp;INDEX('Layer B — pod writeups'!$D:$D,MATCH('Layer A — raw data (SOURCED)'!$A138,'Layer B — pod writeups'!$A:$A,0))),IF(INDEX('Layer B — pod writeups'!$E:$E,MATCH('Layer A — raw data (SOURCED)'!$A138,'Layer B — pod writeups'!$A:$A,0))="","","DC "&amp;INDEX('Layer B — pod writeups'!$E:$E,MATCH('Layer A — raw data (SOURCED)'!$A138,'Layer B — pod writeups'!$A:$A,0)))),"")</f>
        <v/>
      </c>
      <c r="M138" s="12" t="str">
        <f aca="false">IFERROR(INDEX('Layer B — pod writeups'!$F:$F,MATCH('Layer A — raw data (SOURCED)'!$A138,'Layer B — pod writeups'!$A:$A,0)),"")</f>
        <v/>
      </c>
      <c r="N138" s="12" t="str">
        <f aca="false">IFERROR(INDEX('Layer B — pod writeups'!$K:$K,MATCH('Layer A — raw data (SOURCED)'!$A138,'Layer B — pod writeups'!$A:$A,0)),"")</f>
        <v/>
      </c>
      <c r="O138" s="12" t="str">
        <f aca="false">IFERROR(textjoin(" ",TRUE(),IF(INDEX('Layer B — pod writeups'!$G:$G,MATCH('Layer A — raw data (SOURCED)'!$A138,'Layer B — pod writeups'!$A:$A,0))="Y","DH",""),IF(INDEX('Layer B — pod writeups'!$H:$H,MATCH('Layer A — raw data (SOURCED)'!$A138,'Layer B — pod writeups'!$A:$A,0))="Y","FADE",""),IF(INDEX('Layer B — pod writeups'!$I:$I,MATCH('Layer A — raw data (SOURCED)'!$A138,'Layer B — pod writeups'!$A:$A,0))="Y","SPLIT",""),IF(INDEX('Layer B — pod writeups'!$J:$J,MATCH('Layer A — raw data (SOURCED)'!$A138,'Layer B — pod writeups'!$A:$A,0))="Y","VAR","")),"")</f>
        <v/>
      </c>
      <c r="P138" s="13" t="str">
        <f aca="false">IFERROR(INDEX('Layer B — pod writeups'!$L:$L,MATCH('Layer A — raw data (SOURCED)'!$A138,'Layer B — pod writeups'!$A:$A,0)),"")</f>
        <v/>
      </c>
      <c r="Q138" s="13" t="str">
        <f aca="false">IFERROR(INDEX('Layer B — pod writeups'!$N:$N,MATCH('Layer A — raw data (SOURCED)'!$A138,'Layer B — pod writeups'!$A:$A,0)),"")</f>
        <v/>
      </c>
    </row>
    <row r="139" customFormat="false" ht="15" hidden="false" customHeight="true" outlineLevel="0" collapsed="false">
      <c r="A139" s="12" t="str">
        <f aca="false">'Layer A — raw data (SOURCED)'!O139</f>
        <v>AAC</v>
      </c>
      <c r="B139" s="12" t="str">
        <f aca="false">'Layer A — raw data (SOURCED)'!A139</f>
        <v>Charlotte</v>
      </c>
      <c r="C139" s="13" t="str">
        <f aca="false">'Layer A — raw data (SOURCED)'!O139</f>
        <v>AAC</v>
      </c>
      <c r="D139" s="12" t="n">
        <f aca="false">'Layer A — raw data (SOURCED)'!B139</f>
        <v>2.5</v>
      </c>
      <c r="E139" s="12" t="n">
        <f aca="false">'Layer A — raw data (SOURCED)'!C139</f>
        <v>138</v>
      </c>
      <c r="F139" s="12" t="n">
        <f aca="false">'Layer A — raw data (SOURCED)'!D139</f>
        <v>-32.4</v>
      </c>
      <c r="G139" s="12" t="n">
        <f aca="false">'Layer A — raw data (SOURCED)'!E139</f>
        <v>43</v>
      </c>
      <c r="H139" s="12" t="n">
        <f aca="false">'Layer A — raw data (SOURCED)'!H139</f>
        <v>-1</v>
      </c>
      <c r="I139" s="12" t="n">
        <f aca="false">'Layer A — raw data (SOURCED)'!K139</f>
        <v>0</v>
      </c>
      <c r="J139" s="12" t="str">
        <f aca="false">'Layer A — raw data (SOURCED)'!L139</f>
        <v/>
      </c>
      <c r="K139" s="13" t="str">
        <f aca="false">IFERROR(INDEX('Layer B — pod writeups'!$B:$B,MATCH('Layer A — raw data (SOURCED)'!$A139,'Layer B — pod writeups'!$A:$A,0)),"")</f>
        <v/>
      </c>
      <c r="L139" s="13" t="str">
        <f aca="false">IFERROR(textjoin(" | ",TRUE(),IF(INDEX('Layer B — pod writeups'!$C:$C,MATCH('Layer A — raw data (SOURCED)'!$A139,'Layer B — pod writeups'!$A:$A,0))="","","HC "&amp;INDEX('Layer B — pod writeups'!$C:$C,MATCH('Layer A — raw data (SOURCED)'!$A139,'Layer B — pod writeups'!$A:$A,0))),IF(INDEX('Layer B — pod writeups'!$D:$D,MATCH('Layer A — raw data (SOURCED)'!$A139,'Layer B — pod writeups'!$A:$A,0))="","","OC "&amp;INDEX('Layer B — pod writeups'!$D:$D,MATCH('Layer A — raw data (SOURCED)'!$A139,'Layer B — pod writeups'!$A:$A,0))),IF(INDEX('Layer B — pod writeups'!$E:$E,MATCH('Layer A — raw data (SOURCED)'!$A139,'Layer B — pod writeups'!$A:$A,0))="","","DC "&amp;INDEX('Layer B — pod writeups'!$E:$E,MATCH('Layer A — raw data (SOURCED)'!$A139,'Layer B — pod writeups'!$A:$A,0)))),"")</f>
        <v/>
      </c>
      <c r="M139" s="12" t="str">
        <f aca="false">IFERROR(INDEX('Layer B — pod writeups'!$F:$F,MATCH('Layer A — raw data (SOURCED)'!$A139,'Layer B — pod writeups'!$A:$A,0)),"")</f>
        <v/>
      </c>
      <c r="N139" s="12" t="str">
        <f aca="false">IFERROR(INDEX('Layer B — pod writeups'!$K:$K,MATCH('Layer A — raw data (SOURCED)'!$A139,'Layer B — pod writeups'!$A:$A,0)),"")</f>
        <v/>
      </c>
      <c r="O139" s="12" t="str">
        <f aca="false">IFERROR(textjoin(" ",TRUE(),IF(INDEX('Layer B — pod writeups'!$G:$G,MATCH('Layer A — raw data (SOURCED)'!$A139,'Layer B — pod writeups'!$A:$A,0))="Y","DH",""),IF(INDEX('Layer B — pod writeups'!$H:$H,MATCH('Layer A — raw data (SOURCED)'!$A139,'Layer B — pod writeups'!$A:$A,0))="Y","FADE",""),IF(INDEX('Layer B — pod writeups'!$I:$I,MATCH('Layer A — raw data (SOURCED)'!$A139,'Layer B — pod writeups'!$A:$A,0))="Y","SPLIT",""),IF(INDEX('Layer B — pod writeups'!$J:$J,MATCH('Layer A — raw data (SOURCED)'!$A139,'Layer B — pod writeups'!$A:$A,0))="Y","VAR","")),"")</f>
        <v/>
      </c>
      <c r="P139" s="13" t="str">
        <f aca="false">IFERROR(INDEX('Layer B — pod writeups'!$L:$L,MATCH('Layer A — raw data (SOURCED)'!$A139,'Layer B — pod writeups'!$A:$A,0)),"")</f>
        <v/>
      </c>
      <c r="Q139" s="13" t="str">
        <f aca="false">IFERROR(INDEX('Layer B — pod writeups'!$N:$N,MATCH('Layer A — raw data (SOURCED)'!$A139,'Layer B — pod writeups'!$A:$A,0)),"")</f>
        <v/>
      </c>
    </row>
  </sheetData>
  <autoFilter ref="A1:Q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
    <col collapsed="false" customWidth="true" hidden="false" outlineLevel="0" max="3" min="3" style="0" width="6"/>
    <col collapsed="false" customWidth="true" hidden="false" outlineLevel="0" max="4" min="4" style="0" width="16"/>
    <col collapsed="false" customWidth="true" hidden="false" outlineLevel="0" max="5" min="5" style="0" width="10"/>
    <col collapsed="false" customWidth="true" hidden="false" outlineLevel="0" max="6" min="6" style="0" width="18"/>
    <col collapsed="false" customWidth="true" hidden="false" outlineLevel="0" max="7" min="7" style="0" width="9"/>
    <col collapsed="false" customWidth="true" hidden="false" outlineLevel="0" max="8" min="8" style="0" width="7"/>
    <col collapsed="false" customWidth="true" hidden="false" outlineLevel="0" max="11" min="11" style="0" width="6"/>
  </cols>
  <sheetData>
    <row r="1" customFormat="false" ht="15" hidden="false" customHeight="false" outlineLevel="0" collapsed="false">
      <c r="A1" s="9" t="s">
        <v>313</v>
      </c>
      <c r="B1" s="9" t="s">
        <v>314</v>
      </c>
      <c r="C1" s="9" t="s">
        <v>315</v>
      </c>
      <c r="D1" s="9" t="s">
        <v>316</v>
      </c>
      <c r="E1" s="9" t="s">
        <v>317</v>
      </c>
      <c r="F1" s="9" t="s">
        <v>318</v>
      </c>
      <c r="G1" s="9" t="s">
        <v>319</v>
      </c>
      <c r="H1" s="9" t="s">
        <v>320</v>
      </c>
      <c r="I1" s="9" t="s">
        <v>321</v>
      </c>
      <c r="J1" s="9" t="s">
        <v>322</v>
      </c>
      <c r="K1" s="9" t="s">
        <v>323</v>
      </c>
    </row>
    <row r="2" customFormat="false" ht="15" hidden="false" customHeight="false" outlineLevel="0" collapsed="false">
      <c r="A2" s="14" t="s">
        <v>324</v>
      </c>
      <c r="B2" s="14"/>
      <c r="C2" s="14"/>
      <c r="D2" s="14"/>
      <c r="E2" s="14"/>
      <c r="F2" s="14"/>
      <c r="G2" s="14"/>
      <c r="H2" s="14"/>
      <c r="I2" s="14"/>
      <c r="J2" s="14"/>
      <c r="K2" s="14"/>
    </row>
    <row r="3" customFormat="false" ht="15" hidden="false" customHeight="false" outlineLevel="0" collapsed="false">
      <c r="A3" s="15" t="n">
        <v>1</v>
      </c>
      <c r="B3" s="15" t="n">
        <v>1</v>
      </c>
      <c r="C3" s="15" t="n">
        <v>1</v>
      </c>
      <c r="D3" s="15" t="s">
        <v>325</v>
      </c>
      <c r="E3" s="15" t="s">
        <v>78</v>
      </c>
      <c r="F3" s="15" t="s">
        <v>79</v>
      </c>
      <c r="G3" s="15"/>
      <c r="H3" s="15"/>
      <c r="I3" s="15"/>
      <c r="J3" s="15"/>
      <c r="K3" s="15"/>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4" min="4" style="0" width="13"/>
    <col collapsed="false" customWidth="true" hidden="false" outlineLevel="0" max="5" min="5" style="0" width="14"/>
  </cols>
  <sheetData>
    <row r="1" customFormat="false" ht="15" hidden="false" customHeight="false" outlineLevel="0" collapsed="false">
      <c r="A1" s="14" t="s">
        <v>326</v>
      </c>
      <c r="B1" s="14"/>
      <c r="C1" s="14"/>
      <c r="D1" s="14"/>
      <c r="E1" s="14"/>
      <c r="F1" s="14"/>
    </row>
    <row r="3" customFormat="false" ht="15" hidden="false" customHeight="false" outlineLevel="0" collapsed="false">
      <c r="A3" s="4" t="s">
        <v>327</v>
      </c>
      <c r="B3" s="16" t="s">
        <v>328</v>
      </c>
      <c r="D3" s="4" t="s">
        <v>329</v>
      </c>
      <c r="E3" s="17" t="str">
        <f aca="false">IFERROR(MATCH($B$3,$B$7:$B$18,0),"")</f>
        <v/>
      </c>
    </row>
    <row r="4" customFormat="false" ht="15" hidden="false" customHeight="false" outlineLevel="0" collapsed="false">
      <c r="A4" s="4" t="s">
        <v>330</v>
      </c>
      <c r="B4" s="16" t="n">
        <v>1</v>
      </c>
      <c r="D4" s="4" t="s">
        <v>331</v>
      </c>
      <c r="E4" s="17" t="str">
        <f aca="false">IF($B$4="","",IF(ISODD($B$4),"odd (1-&gt;12)","even (12-&gt;1)"))</f>
        <v>odd (1-&gt;12)</v>
      </c>
    </row>
    <row r="6" customFormat="false" ht="15" hidden="false" customHeight="false" outlineLevel="0" collapsed="false">
      <c r="A6" s="18" t="s">
        <v>332</v>
      </c>
      <c r="B6" s="18" t="s">
        <v>333</v>
      </c>
      <c r="D6" s="4" t="s">
        <v>334</v>
      </c>
      <c r="E6" s="17" t="n">
        <f aca="false">COUNTA($B$7:$B$18)</f>
        <v>0</v>
      </c>
    </row>
    <row r="7" customFormat="false" ht="15" hidden="false" customHeight="false" outlineLevel="0" collapsed="false">
      <c r="A7" s="12" t="n">
        <v>1</v>
      </c>
      <c r="B7" s="19"/>
    </row>
    <row r="8" customFormat="false" ht="15" hidden="false" customHeight="false" outlineLevel="0" collapsed="false">
      <c r="A8" s="12" t="n">
        <v>2</v>
      </c>
      <c r="B8" s="19"/>
    </row>
    <row r="9" customFormat="false" ht="15" hidden="false" customHeight="false" outlineLevel="0" collapsed="false">
      <c r="A9" s="12" t="n">
        <v>3</v>
      </c>
      <c r="B9" s="19"/>
    </row>
    <row r="10" customFormat="false" ht="15" hidden="false" customHeight="false" outlineLevel="0" collapsed="false">
      <c r="A10" s="12" t="n">
        <v>4</v>
      </c>
      <c r="B10" s="19"/>
    </row>
    <row r="11" customFormat="false" ht="15" hidden="false" customHeight="false" outlineLevel="0" collapsed="false">
      <c r="A11" s="12" t="n">
        <v>5</v>
      </c>
      <c r="B11" s="19"/>
    </row>
    <row r="12" customFormat="false" ht="15" hidden="false" customHeight="false" outlineLevel="0" collapsed="false">
      <c r="A12" s="12" t="n">
        <v>6</v>
      </c>
      <c r="B12" s="19"/>
    </row>
    <row r="13" customFormat="false" ht="15" hidden="false" customHeight="false" outlineLevel="0" collapsed="false">
      <c r="A13" s="12" t="n">
        <v>7</v>
      </c>
      <c r="B13" s="19"/>
    </row>
    <row r="14" customFormat="false" ht="15" hidden="false" customHeight="false" outlineLevel="0" collapsed="false">
      <c r="A14" s="12" t="n">
        <v>8</v>
      </c>
      <c r="B14" s="19"/>
    </row>
    <row r="15" customFormat="false" ht="15" hidden="false" customHeight="false" outlineLevel="0" collapsed="false">
      <c r="A15" s="12" t="n">
        <v>9</v>
      </c>
      <c r="B15" s="19"/>
    </row>
    <row r="16" customFormat="false" ht="15" hidden="false" customHeight="false" outlineLevel="0" collapsed="false">
      <c r="A16" s="12" t="n">
        <v>10</v>
      </c>
      <c r="B16" s="19"/>
    </row>
    <row r="17" customFormat="false" ht="15" hidden="false" customHeight="false" outlineLevel="0" collapsed="false">
      <c r="A17" s="12" t="n">
        <v>11</v>
      </c>
      <c r="B17" s="19"/>
    </row>
    <row r="18" customFormat="false" ht="15" hidden="false" customHeight="false" outlineLevel="0" collapsed="false">
      <c r="A18" s="12" t="n">
        <v>12</v>
      </c>
      <c r="B18" s="19"/>
    </row>
    <row r="20" customFormat="false" ht="15" hidden="false" customHeight="false" outlineLevel="0" collapsed="false">
      <c r="A20" s="4" t="s">
        <v>335</v>
      </c>
    </row>
    <row r="21" customFormat="false" ht="15" hidden="false" customHeight="false" outlineLevel="0" collapsed="false">
      <c r="A21" s="20" t="s">
        <v>332</v>
      </c>
      <c r="B21" s="21" t="s">
        <v>333</v>
      </c>
      <c r="C21" s="21" t="s">
        <v>336</v>
      </c>
      <c r="D21" s="21" t="s">
        <v>337</v>
      </c>
      <c r="E21" s="21" t="s">
        <v>338</v>
      </c>
      <c r="F21" s="21" t="s">
        <v>339</v>
      </c>
      <c r="G21" s="21" t="s">
        <v>340</v>
      </c>
    </row>
    <row r="22" customFormat="false" ht="15" hidden="false" customHeight="false" outlineLevel="0" collapsed="false">
      <c r="A22" s="12" t="n">
        <v>1</v>
      </c>
      <c r="B22" s="12" t="n">
        <f aca="false">$B$7</f>
        <v>0</v>
      </c>
      <c r="C22" s="12" t="str">
        <f aca="false">IF($E$6=0,"",IF(ISODD($B$4),1,$E$6+1-1))</f>
        <v/>
      </c>
      <c r="D22" s="12" t="str">
        <f aca="false">IF($E$6=0,"",IF(ISODD($B$4+1),1,$E$6+1-1))</f>
        <v/>
      </c>
      <c r="E22" s="12" t="str">
        <f aca="false">IF($E$3="","",IF(ISODD($B$4),$E$3,$E$6+1-$E$3))</f>
        <v/>
      </c>
      <c r="F22" s="12" t="str">
        <f aca="false">IF($E$3="","",IF(ISODD($B$4+1),$E$3,$E$6+1-$E$3))</f>
        <v/>
      </c>
      <c r="G22" s="12" t="str">
        <f aca="false">IF(OR($B$7="",$E$3=""),"",IF($B$7=$B$3,"(me)",IF(OR(C22&gt;E22,D22&lt;F22),"YES","")))</f>
        <v/>
      </c>
    </row>
    <row r="23" customFormat="false" ht="15" hidden="false" customHeight="false" outlineLevel="0" collapsed="false">
      <c r="A23" s="12" t="n">
        <v>2</v>
      </c>
      <c r="B23" s="12" t="n">
        <f aca="false">$B$8</f>
        <v>0</v>
      </c>
      <c r="C23" s="12" t="str">
        <f aca="false">IF($E$6=0,"",IF(ISODD($B$4),2,$E$6+1-2))</f>
        <v/>
      </c>
      <c r="D23" s="12" t="str">
        <f aca="false">IF($E$6=0,"",IF(ISODD($B$4+1),2,$E$6+1-2))</f>
        <v/>
      </c>
      <c r="E23" s="12" t="str">
        <f aca="false">IF($E$3="","",IF(ISODD($B$4),$E$3,$E$6+1-$E$3))</f>
        <v/>
      </c>
      <c r="F23" s="12" t="str">
        <f aca="false">IF($E$3="","",IF(ISODD($B$4+1),$E$3,$E$6+1-$E$3))</f>
        <v/>
      </c>
      <c r="G23" s="12" t="str">
        <f aca="false">IF(OR($B$8="",$E$3=""),"",IF($B$8=$B$3,"(me)",IF(OR(C23&gt;E23,D23&lt;F23),"YES","")))</f>
        <v/>
      </c>
    </row>
    <row r="24" customFormat="false" ht="15" hidden="false" customHeight="false" outlineLevel="0" collapsed="false">
      <c r="A24" s="12" t="n">
        <v>3</v>
      </c>
      <c r="B24" s="12" t="n">
        <f aca="false">$B$9</f>
        <v>0</v>
      </c>
      <c r="C24" s="12" t="str">
        <f aca="false">IF($E$6=0,"",IF(ISODD($B$4),3,$E$6+1-3))</f>
        <v/>
      </c>
      <c r="D24" s="12" t="str">
        <f aca="false">IF($E$6=0,"",IF(ISODD($B$4+1),3,$E$6+1-3))</f>
        <v/>
      </c>
      <c r="E24" s="12" t="str">
        <f aca="false">IF($E$3="","",IF(ISODD($B$4),$E$3,$E$6+1-$E$3))</f>
        <v/>
      </c>
      <c r="F24" s="12" t="str">
        <f aca="false">IF($E$3="","",IF(ISODD($B$4+1),$E$3,$E$6+1-$E$3))</f>
        <v/>
      </c>
      <c r="G24" s="12" t="str">
        <f aca="false">IF(OR($B$9="",$E$3=""),"",IF($B$9=$B$3,"(me)",IF(OR(C24&gt;E24,D24&lt;F24),"YES","")))</f>
        <v/>
      </c>
    </row>
    <row r="25" customFormat="false" ht="15" hidden="false" customHeight="false" outlineLevel="0" collapsed="false">
      <c r="A25" s="12" t="n">
        <v>4</v>
      </c>
      <c r="B25" s="12" t="n">
        <f aca="false">$B$10</f>
        <v>0</v>
      </c>
      <c r="C25" s="12" t="str">
        <f aca="false">IF($E$6=0,"",IF(ISODD($B$4),4,$E$6+1-4))</f>
        <v/>
      </c>
      <c r="D25" s="12" t="str">
        <f aca="false">IF($E$6=0,"",IF(ISODD($B$4+1),4,$E$6+1-4))</f>
        <v/>
      </c>
      <c r="E25" s="12" t="str">
        <f aca="false">IF($E$3="","",IF(ISODD($B$4),$E$3,$E$6+1-$E$3))</f>
        <v/>
      </c>
      <c r="F25" s="12" t="str">
        <f aca="false">IF($E$3="","",IF(ISODD($B$4+1),$E$3,$E$6+1-$E$3))</f>
        <v/>
      </c>
      <c r="G25" s="12" t="str">
        <f aca="false">IF(OR($B$10="",$E$3=""),"",IF($B$10=$B$3,"(me)",IF(OR(C25&gt;E25,D25&lt;F25),"YES","")))</f>
        <v/>
      </c>
    </row>
    <row r="26" customFormat="false" ht="15" hidden="false" customHeight="false" outlineLevel="0" collapsed="false">
      <c r="A26" s="12" t="n">
        <v>5</v>
      </c>
      <c r="B26" s="12" t="n">
        <f aca="false">$B$11</f>
        <v>0</v>
      </c>
      <c r="C26" s="12" t="str">
        <f aca="false">IF($E$6=0,"",IF(ISODD($B$4),5,$E$6+1-5))</f>
        <v/>
      </c>
      <c r="D26" s="12" t="str">
        <f aca="false">IF($E$6=0,"",IF(ISODD($B$4+1),5,$E$6+1-5))</f>
        <v/>
      </c>
      <c r="E26" s="12" t="str">
        <f aca="false">IF($E$3="","",IF(ISODD($B$4),$E$3,$E$6+1-$E$3))</f>
        <v/>
      </c>
      <c r="F26" s="12" t="str">
        <f aca="false">IF($E$3="","",IF(ISODD($B$4+1),$E$3,$E$6+1-$E$3))</f>
        <v/>
      </c>
      <c r="G26" s="12" t="str">
        <f aca="false">IF(OR($B$11="",$E$3=""),"",IF($B$11=$B$3,"(me)",IF(OR(C26&gt;E26,D26&lt;F26),"YES","")))</f>
        <v/>
      </c>
    </row>
    <row r="27" customFormat="false" ht="15" hidden="false" customHeight="false" outlineLevel="0" collapsed="false">
      <c r="A27" s="12" t="n">
        <v>6</v>
      </c>
      <c r="B27" s="12" t="n">
        <f aca="false">$B$12</f>
        <v>0</v>
      </c>
      <c r="C27" s="12" t="str">
        <f aca="false">IF($E$6=0,"",IF(ISODD($B$4),6,$E$6+1-6))</f>
        <v/>
      </c>
      <c r="D27" s="12" t="str">
        <f aca="false">IF($E$6=0,"",IF(ISODD($B$4+1),6,$E$6+1-6))</f>
        <v/>
      </c>
      <c r="E27" s="12" t="str">
        <f aca="false">IF($E$3="","",IF(ISODD($B$4),$E$3,$E$6+1-$E$3))</f>
        <v/>
      </c>
      <c r="F27" s="12" t="str">
        <f aca="false">IF($E$3="","",IF(ISODD($B$4+1),$E$3,$E$6+1-$E$3))</f>
        <v/>
      </c>
      <c r="G27" s="12" t="str">
        <f aca="false">IF(OR($B$12="",$E$3=""),"",IF($B$12=$B$3,"(me)",IF(OR(C27&gt;E27,D27&lt;F27),"YES","")))</f>
        <v/>
      </c>
    </row>
    <row r="28" customFormat="false" ht="15" hidden="false" customHeight="false" outlineLevel="0" collapsed="false">
      <c r="A28" s="12" t="n">
        <v>7</v>
      </c>
      <c r="B28" s="12" t="n">
        <f aca="false">$B$13</f>
        <v>0</v>
      </c>
      <c r="C28" s="12" t="str">
        <f aca="false">IF($E$6=0,"",IF(ISODD($B$4),7,$E$6+1-7))</f>
        <v/>
      </c>
      <c r="D28" s="12" t="str">
        <f aca="false">IF($E$6=0,"",IF(ISODD($B$4+1),7,$E$6+1-7))</f>
        <v/>
      </c>
      <c r="E28" s="12" t="str">
        <f aca="false">IF($E$3="","",IF(ISODD($B$4),$E$3,$E$6+1-$E$3))</f>
        <v/>
      </c>
      <c r="F28" s="12" t="str">
        <f aca="false">IF($E$3="","",IF(ISODD($B$4+1),$E$3,$E$6+1-$E$3))</f>
        <v/>
      </c>
      <c r="G28" s="12" t="str">
        <f aca="false">IF(OR($B$13="",$E$3=""),"",IF($B$13=$B$3,"(me)",IF(OR(C28&gt;E28,D28&lt;F28),"YES","")))</f>
        <v/>
      </c>
    </row>
    <row r="29" customFormat="false" ht="15" hidden="false" customHeight="false" outlineLevel="0" collapsed="false">
      <c r="A29" s="12" t="n">
        <v>8</v>
      </c>
      <c r="B29" s="12" t="n">
        <f aca="false">$B$14</f>
        <v>0</v>
      </c>
      <c r="C29" s="12" t="str">
        <f aca="false">IF($E$6=0,"",IF(ISODD($B$4),8,$E$6+1-8))</f>
        <v/>
      </c>
      <c r="D29" s="12" t="str">
        <f aca="false">IF($E$6=0,"",IF(ISODD($B$4+1),8,$E$6+1-8))</f>
        <v/>
      </c>
      <c r="E29" s="12" t="str">
        <f aca="false">IF($E$3="","",IF(ISODD($B$4),$E$3,$E$6+1-$E$3))</f>
        <v/>
      </c>
      <c r="F29" s="12" t="str">
        <f aca="false">IF($E$3="","",IF(ISODD($B$4+1),$E$3,$E$6+1-$E$3))</f>
        <v/>
      </c>
      <c r="G29" s="12" t="str">
        <f aca="false">IF(OR($B$14="",$E$3=""),"",IF($B$14=$B$3,"(me)",IF(OR(C29&gt;E29,D29&lt;F29),"YES","")))</f>
        <v/>
      </c>
    </row>
    <row r="30" customFormat="false" ht="15" hidden="false" customHeight="false" outlineLevel="0" collapsed="false">
      <c r="A30" s="12" t="n">
        <v>9</v>
      </c>
      <c r="B30" s="12" t="n">
        <f aca="false">$B$15</f>
        <v>0</v>
      </c>
      <c r="C30" s="12" t="str">
        <f aca="false">IF($E$6=0,"",IF(ISODD($B$4),9,$E$6+1-9))</f>
        <v/>
      </c>
      <c r="D30" s="12" t="str">
        <f aca="false">IF($E$6=0,"",IF(ISODD($B$4+1),9,$E$6+1-9))</f>
        <v/>
      </c>
      <c r="E30" s="12" t="str">
        <f aca="false">IF($E$3="","",IF(ISODD($B$4),$E$3,$E$6+1-$E$3))</f>
        <v/>
      </c>
      <c r="F30" s="12" t="str">
        <f aca="false">IF($E$3="","",IF(ISODD($B$4+1),$E$3,$E$6+1-$E$3))</f>
        <v/>
      </c>
      <c r="G30" s="12" t="str">
        <f aca="false">IF(OR($B$15="",$E$3=""),"",IF($B$15=$B$3,"(me)",IF(OR(C30&gt;E30,D30&lt;F30),"YES","")))</f>
        <v/>
      </c>
    </row>
    <row r="31" customFormat="false" ht="15" hidden="false" customHeight="false" outlineLevel="0" collapsed="false">
      <c r="A31" s="12" t="n">
        <v>10</v>
      </c>
      <c r="B31" s="12" t="n">
        <f aca="false">$B$16</f>
        <v>0</v>
      </c>
      <c r="C31" s="12" t="str">
        <f aca="false">IF($E$6=0,"",IF(ISODD($B$4),10,$E$6+1-10))</f>
        <v/>
      </c>
      <c r="D31" s="12" t="str">
        <f aca="false">IF($E$6=0,"",IF(ISODD($B$4+1),10,$E$6+1-10))</f>
        <v/>
      </c>
      <c r="E31" s="12" t="str">
        <f aca="false">IF($E$3="","",IF(ISODD($B$4),$E$3,$E$6+1-$E$3))</f>
        <v/>
      </c>
      <c r="F31" s="12" t="str">
        <f aca="false">IF($E$3="","",IF(ISODD($B$4+1),$E$3,$E$6+1-$E$3))</f>
        <v/>
      </c>
      <c r="G31" s="12" t="str">
        <f aca="false">IF(OR($B$16="",$E$3=""),"",IF($B$16=$B$3,"(me)",IF(OR(C31&gt;E31,D31&lt;F31),"YES","")))</f>
        <v/>
      </c>
    </row>
    <row r="32" customFormat="false" ht="15" hidden="false" customHeight="false" outlineLevel="0" collapsed="false">
      <c r="A32" s="12" t="n">
        <v>11</v>
      </c>
      <c r="B32" s="12" t="n">
        <f aca="false">$B$17</f>
        <v>0</v>
      </c>
      <c r="C32" s="12" t="str">
        <f aca="false">IF($E$6=0,"",IF(ISODD($B$4),11,$E$6+1-11))</f>
        <v/>
      </c>
      <c r="D32" s="12" t="str">
        <f aca="false">IF($E$6=0,"",IF(ISODD($B$4+1),11,$E$6+1-11))</f>
        <v/>
      </c>
      <c r="E32" s="12" t="str">
        <f aca="false">IF($E$3="","",IF(ISODD($B$4),$E$3,$E$6+1-$E$3))</f>
        <v/>
      </c>
      <c r="F32" s="12" t="str">
        <f aca="false">IF($E$3="","",IF(ISODD($B$4+1),$E$3,$E$6+1-$E$3))</f>
        <v/>
      </c>
      <c r="G32" s="12" t="str">
        <f aca="false">IF(OR($B$17="",$E$3=""),"",IF($B$17=$B$3,"(me)",IF(OR(C32&gt;E32,D32&lt;F32),"YES","")))</f>
        <v/>
      </c>
    </row>
    <row r="33" customFormat="false" ht="15" hidden="false" customHeight="false" outlineLevel="0" collapsed="false">
      <c r="A33" s="12" t="n">
        <v>12</v>
      </c>
      <c r="B33" s="12" t="n">
        <f aca="false">$B$18</f>
        <v>0</v>
      </c>
      <c r="C33" s="12" t="str">
        <f aca="false">IF($E$6=0,"",IF(ISODD($B$4),12,$E$6+1-12))</f>
        <v/>
      </c>
      <c r="D33" s="12" t="str">
        <f aca="false">IF($E$6=0,"",IF(ISODD($B$4+1),12,$E$6+1-12))</f>
        <v/>
      </c>
      <c r="E33" s="12" t="str">
        <f aca="false">IF($E$3="","",IF(ISODD($B$4),$E$3,$E$6+1-$E$3))</f>
        <v/>
      </c>
      <c r="F33" s="12" t="str">
        <f aca="false">IF($E$3="","",IF(ISODD($B$4+1),$E$3,$E$6+1-$E$3))</f>
        <v/>
      </c>
      <c r="G33" s="12" t="str">
        <f aca="false">IF(OR($B$18="",$E$3=""),"",IF($B$18=$B$3,"(me)",IF(OR(C33&gt;E33,D33&lt;F33),"YES","")))</f>
        <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s>
  <sheetData>
    <row r="1" customFormat="false" ht="15" hidden="false" customHeight="false" outlineLevel="0" collapsed="false">
      <c r="A1" s="14" t="s">
        <v>341</v>
      </c>
      <c r="B1" s="14"/>
      <c r="C1" s="14"/>
      <c r="D1" s="14"/>
      <c r="E1" s="14"/>
      <c r="F1" s="14"/>
      <c r="G1" s="14"/>
      <c r="H1" s="14"/>
      <c r="I1" s="14"/>
      <c r="J1" s="14"/>
      <c r="K1" s="14"/>
      <c r="L1" s="14"/>
      <c r="M1" s="14"/>
    </row>
    <row r="2" customFormat="false" ht="15" hidden="false" customHeight="false" outlineLevel="0" collapsed="false">
      <c r="A2" s="18" t="s">
        <v>342</v>
      </c>
      <c r="B2" s="9" t="n">
        <f aca="false">Draft_Order!$B$7</f>
        <v>0</v>
      </c>
      <c r="C2" s="9" t="n">
        <f aca="false">Draft_Order!$B$8</f>
        <v>0</v>
      </c>
      <c r="D2" s="9" t="n">
        <f aca="false">Draft_Order!$B$9</f>
        <v>0</v>
      </c>
      <c r="E2" s="9" t="n">
        <f aca="false">Draft_Order!$B$10</f>
        <v>0</v>
      </c>
      <c r="F2" s="9" t="n">
        <f aca="false">Draft_Order!$B$11</f>
        <v>0</v>
      </c>
      <c r="G2" s="9" t="n">
        <f aca="false">Draft_Order!$B$12</f>
        <v>0</v>
      </c>
      <c r="H2" s="9" t="n">
        <f aca="false">Draft_Order!$B$13</f>
        <v>0</v>
      </c>
      <c r="I2" s="9" t="n">
        <f aca="false">Draft_Order!$B$14</f>
        <v>0</v>
      </c>
      <c r="J2" s="9" t="n">
        <f aca="false">Draft_Order!$B$15</f>
        <v>0</v>
      </c>
      <c r="K2" s="9" t="n">
        <f aca="false">Draft_Order!$B$16</f>
        <v>0</v>
      </c>
      <c r="L2" s="9" t="n">
        <f aca="false">Draft_Order!$B$17</f>
        <v>0</v>
      </c>
      <c r="M2" s="9" t="n">
        <f aca="false">Draft_Order!$B$18</f>
        <v>0</v>
      </c>
    </row>
    <row r="3" customFormat="false" ht="15" hidden="false" customHeight="false" outlineLevel="0" collapsed="false">
      <c r="A3" s="22" t="s">
        <v>105</v>
      </c>
      <c r="B3" s="12" t="str">
        <f aca="false">IF(B$2="","",IF(COUNTIFS(Import_BradTracker!$D:$D,B$2,Import_BradTracker!$E:$E,$A3)=0,"NEED",""))</f>
        <v/>
      </c>
      <c r="C3" s="12" t="str">
        <f aca="false">IF(C$2="","",IF(COUNTIFS(Import_BradTracker!$D:$D,C$2,Import_BradTracker!$E:$E,$A3)=0,"NEED",""))</f>
        <v/>
      </c>
      <c r="D3" s="12" t="str">
        <f aca="false">IF(D$2="","",IF(COUNTIFS(Import_BradTracker!$D:$D,D$2,Import_BradTracker!$E:$E,$A3)=0,"NEED",""))</f>
        <v/>
      </c>
      <c r="E3" s="12" t="str">
        <f aca="false">IF(E$2="","",IF(COUNTIFS(Import_BradTracker!$D:$D,E$2,Import_BradTracker!$E:$E,$A3)=0,"NEED",""))</f>
        <v/>
      </c>
      <c r="F3" s="12" t="str">
        <f aca="false">IF(F$2="","",IF(COUNTIFS(Import_BradTracker!$D:$D,F$2,Import_BradTracker!$E:$E,$A3)=0,"NEED",""))</f>
        <v/>
      </c>
      <c r="G3" s="12" t="str">
        <f aca="false">IF(G$2="","",IF(COUNTIFS(Import_BradTracker!$D:$D,G$2,Import_BradTracker!$E:$E,$A3)=0,"NEED",""))</f>
        <v/>
      </c>
      <c r="H3" s="12" t="str">
        <f aca="false">IF(H$2="","",IF(COUNTIFS(Import_BradTracker!$D:$D,H$2,Import_BradTracker!$E:$E,$A3)=0,"NEED",""))</f>
        <v/>
      </c>
      <c r="I3" s="12" t="str">
        <f aca="false">IF(I$2="","",IF(COUNTIFS(Import_BradTracker!$D:$D,I$2,Import_BradTracker!$E:$E,$A3)=0,"NEED",""))</f>
        <v/>
      </c>
      <c r="J3" s="12" t="str">
        <f aca="false">IF(J$2="","",IF(COUNTIFS(Import_BradTracker!$D:$D,J$2,Import_BradTracker!$E:$E,$A3)=0,"NEED",""))</f>
        <v/>
      </c>
      <c r="K3" s="12" t="str">
        <f aca="false">IF(K$2="","",IF(COUNTIFS(Import_BradTracker!$D:$D,K$2,Import_BradTracker!$E:$E,$A3)=0,"NEED",""))</f>
        <v/>
      </c>
      <c r="L3" s="12" t="str">
        <f aca="false">IF(L$2="","",IF(COUNTIFS(Import_BradTracker!$D:$D,L$2,Import_BradTracker!$E:$E,$A3)=0,"NEED",""))</f>
        <v/>
      </c>
      <c r="M3" s="12" t="str">
        <f aca="false">IF(M$2="","",IF(COUNTIFS(Import_BradTracker!$D:$D,M$2,Import_BradTracker!$E:$E,$A3)=0,"NEED",""))</f>
        <v/>
      </c>
    </row>
    <row r="4" customFormat="false" ht="15" hidden="false" customHeight="false" outlineLevel="0" collapsed="false">
      <c r="A4" s="22" t="s">
        <v>47</v>
      </c>
      <c r="B4" s="12" t="str">
        <f aca="false">IF(B$2="","",IF(COUNTIFS(Import_BradTracker!$D:$D,B$2,Import_BradTracker!$E:$E,$A4)=0,"NEED",""))</f>
        <v/>
      </c>
      <c r="C4" s="12" t="str">
        <f aca="false">IF(C$2="","",IF(COUNTIFS(Import_BradTracker!$D:$D,C$2,Import_BradTracker!$E:$E,$A4)=0,"NEED",""))</f>
        <v/>
      </c>
      <c r="D4" s="12" t="str">
        <f aca="false">IF(D$2="","",IF(COUNTIFS(Import_BradTracker!$D:$D,D$2,Import_BradTracker!$E:$E,$A4)=0,"NEED",""))</f>
        <v/>
      </c>
      <c r="E4" s="12" t="str">
        <f aca="false">IF(E$2="","",IF(COUNTIFS(Import_BradTracker!$D:$D,E$2,Import_BradTracker!$E:$E,$A4)=0,"NEED",""))</f>
        <v/>
      </c>
      <c r="F4" s="12" t="str">
        <f aca="false">IF(F$2="","",IF(COUNTIFS(Import_BradTracker!$D:$D,F$2,Import_BradTracker!$E:$E,$A4)=0,"NEED",""))</f>
        <v/>
      </c>
      <c r="G4" s="12" t="str">
        <f aca="false">IF(G$2="","",IF(COUNTIFS(Import_BradTracker!$D:$D,G$2,Import_BradTracker!$E:$E,$A4)=0,"NEED",""))</f>
        <v/>
      </c>
      <c r="H4" s="12" t="str">
        <f aca="false">IF(H$2="","",IF(COUNTIFS(Import_BradTracker!$D:$D,H$2,Import_BradTracker!$E:$E,$A4)=0,"NEED",""))</f>
        <v/>
      </c>
      <c r="I4" s="12" t="str">
        <f aca="false">IF(I$2="","",IF(COUNTIFS(Import_BradTracker!$D:$D,I$2,Import_BradTracker!$E:$E,$A4)=0,"NEED",""))</f>
        <v/>
      </c>
      <c r="J4" s="12" t="str">
        <f aca="false">IF(J$2="","",IF(COUNTIFS(Import_BradTracker!$D:$D,J$2,Import_BradTracker!$E:$E,$A4)=0,"NEED",""))</f>
        <v/>
      </c>
      <c r="K4" s="12" t="str">
        <f aca="false">IF(K$2="","",IF(COUNTIFS(Import_BradTracker!$D:$D,K$2,Import_BradTracker!$E:$E,$A4)=0,"NEED",""))</f>
        <v/>
      </c>
      <c r="L4" s="12" t="str">
        <f aca="false">IF(L$2="","",IF(COUNTIFS(Import_BradTracker!$D:$D,L$2,Import_BradTracker!$E:$E,$A4)=0,"NEED",""))</f>
        <v/>
      </c>
      <c r="M4" s="12" t="str">
        <f aca="false">IF(M$2="","",IF(COUNTIFS(Import_BradTracker!$D:$D,M$2,Import_BradTracker!$E:$E,$A4)=0,"NEED",""))</f>
        <v/>
      </c>
    </row>
    <row r="5" customFormat="false" ht="15" hidden="false" customHeight="false" outlineLevel="0" collapsed="false">
      <c r="A5" s="22" t="s">
        <v>45</v>
      </c>
      <c r="B5" s="12" t="str">
        <f aca="false">IF(B$2="","",IF(COUNTIFS(Import_BradTracker!$D:$D,B$2,Import_BradTracker!$E:$E,$A5)=0,"NEED",""))</f>
        <v/>
      </c>
      <c r="C5" s="12" t="str">
        <f aca="false">IF(C$2="","",IF(COUNTIFS(Import_BradTracker!$D:$D,C$2,Import_BradTracker!$E:$E,$A5)=0,"NEED",""))</f>
        <v/>
      </c>
      <c r="D5" s="12" t="str">
        <f aca="false">IF(D$2="","",IF(COUNTIFS(Import_BradTracker!$D:$D,D$2,Import_BradTracker!$E:$E,$A5)=0,"NEED",""))</f>
        <v/>
      </c>
      <c r="E5" s="12" t="str">
        <f aca="false">IF(E$2="","",IF(COUNTIFS(Import_BradTracker!$D:$D,E$2,Import_BradTracker!$E:$E,$A5)=0,"NEED",""))</f>
        <v/>
      </c>
      <c r="F5" s="12" t="str">
        <f aca="false">IF(F$2="","",IF(COUNTIFS(Import_BradTracker!$D:$D,F$2,Import_BradTracker!$E:$E,$A5)=0,"NEED",""))</f>
        <v/>
      </c>
      <c r="G5" s="12" t="str">
        <f aca="false">IF(G$2="","",IF(COUNTIFS(Import_BradTracker!$D:$D,G$2,Import_BradTracker!$E:$E,$A5)=0,"NEED",""))</f>
        <v/>
      </c>
      <c r="H5" s="12" t="str">
        <f aca="false">IF(H$2="","",IF(COUNTIFS(Import_BradTracker!$D:$D,H$2,Import_BradTracker!$E:$E,$A5)=0,"NEED",""))</f>
        <v/>
      </c>
      <c r="I5" s="12" t="str">
        <f aca="false">IF(I$2="","",IF(COUNTIFS(Import_BradTracker!$D:$D,I$2,Import_BradTracker!$E:$E,$A5)=0,"NEED",""))</f>
        <v/>
      </c>
      <c r="J5" s="12" t="str">
        <f aca="false">IF(J$2="","",IF(COUNTIFS(Import_BradTracker!$D:$D,J$2,Import_BradTracker!$E:$E,$A5)=0,"NEED",""))</f>
        <v/>
      </c>
      <c r="K5" s="12" t="str">
        <f aca="false">IF(K$2="","",IF(COUNTIFS(Import_BradTracker!$D:$D,K$2,Import_BradTracker!$E:$E,$A5)=0,"NEED",""))</f>
        <v/>
      </c>
      <c r="L5" s="12" t="str">
        <f aca="false">IF(L$2="","",IF(COUNTIFS(Import_BradTracker!$D:$D,L$2,Import_BradTracker!$E:$E,$A5)=0,"NEED",""))</f>
        <v/>
      </c>
      <c r="M5" s="12" t="str">
        <f aca="false">IF(M$2="","",IF(COUNTIFS(Import_BradTracker!$D:$D,M$2,Import_BradTracker!$E:$E,$A5)=0,"NEED",""))</f>
        <v/>
      </c>
    </row>
    <row r="6" customFormat="false" ht="15" hidden="false" customHeight="false" outlineLevel="0" collapsed="false">
      <c r="A6" s="22" t="s">
        <v>36</v>
      </c>
      <c r="B6" s="12" t="str">
        <f aca="false">IF(B$2="","",IF(COUNTIFS(Import_BradTracker!$D:$D,B$2,Import_BradTracker!$E:$E,$A6)=0,"NEED",""))</f>
        <v/>
      </c>
      <c r="C6" s="12" t="str">
        <f aca="false">IF(C$2="","",IF(COUNTIFS(Import_BradTracker!$D:$D,C$2,Import_BradTracker!$E:$E,$A6)=0,"NEED",""))</f>
        <v/>
      </c>
      <c r="D6" s="12" t="str">
        <f aca="false">IF(D$2="","",IF(COUNTIFS(Import_BradTracker!$D:$D,D$2,Import_BradTracker!$E:$E,$A6)=0,"NEED",""))</f>
        <v/>
      </c>
      <c r="E6" s="12" t="str">
        <f aca="false">IF(E$2="","",IF(COUNTIFS(Import_BradTracker!$D:$D,E$2,Import_BradTracker!$E:$E,$A6)=0,"NEED",""))</f>
        <v/>
      </c>
      <c r="F6" s="12" t="str">
        <f aca="false">IF(F$2="","",IF(COUNTIFS(Import_BradTracker!$D:$D,F$2,Import_BradTracker!$E:$E,$A6)=0,"NEED",""))</f>
        <v/>
      </c>
      <c r="G6" s="12" t="str">
        <f aca="false">IF(G$2="","",IF(COUNTIFS(Import_BradTracker!$D:$D,G$2,Import_BradTracker!$E:$E,$A6)=0,"NEED",""))</f>
        <v/>
      </c>
      <c r="H6" s="12" t="str">
        <f aca="false">IF(H$2="","",IF(COUNTIFS(Import_BradTracker!$D:$D,H$2,Import_BradTracker!$E:$E,$A6)=0,"NEED",""))</f>
        <v/>
      </c>
      <c r="I6" s="12" t="str">
        <f aca="false">IF(I$2="","",IF(COUNTIFS(Import_BradTracker!$D:$D,I$2,Import_BradTracker!$E:$E,$A6)=0,"NEED",""))</f>
        <v/>
      </c>
      <c r="J6" s="12" t="str">
        <f aca="false">IF(J$2="","",IF(COUNTIFS(Import_BradTracker!$D:$D,J$2,Import_BradTracker!$E:$E,$A6)=0,"NEED",""))</f>
        <v/>
      </c>
      <c r="K6" s="12" t="str">
        <f aca="false">IF(K$2="","",IF(COUNTIFS(Import_BradTracker!$D:$D,K$2,Import_BradTracker!$E:$E,$A6)=0,"NEED",""))</f>
        <v/>
      </c>
      <c r="L6" s="12" t="str">
        <f aca="false">IF(L$2="","",IF(COUNTIFS(Import_BradTracker!$D:$D,L$2,Import_BradTracker!$E:$E,$A6)=0,"NEED",""))</f>
        <v/>
      </c>
      <c r="M6" s="12" t="str">
        <f aca="false">IF(M$2="","",IF(COUNTIFS(Import_BradTracker!$D:$D,M$2,Import_BradTracker!$E:$E,$A6)=0,"NEED",""))</f>
        <v/>
      </c>
    </row>
    <row r="7" customFormat="false" ht="15" hidden="false" customHeight="false" outlineLevel="0" collapsed="false">
      <c r="A7" s="22" t="s">
        <v>39</v>
      </c>
      <c r="B7" s="12" t="str">
        <f aca="false">IF(B$2="","",IF(COUNTIFS(Import_BradTracker!$D:$D,B$2,Import_BradTracker!$E:$E,$A7)=0,"NEED",""))</f>
        <v/>
      </c>
      <c r="C7" s="12" t="str">
        <f aca="false">IF(C$2="","",IF(COUNTIFS(Import_BradTracker!$D:$D,C$2,Import_BradTracker!$E:$E,$A7)=0,"NEED",""))</f>
        <v/>
      </c>
      <c r="D7" s="12" t="str">
        <f aca="false">IF(D$2="","",IF(COUNTIFS(Import_BradTracker!$D:$D,D$2,Import_BradTracker!$E:$E,$A7)=0,"NEED",""))</f>
        <v/>
      </c>
      <c r="E7" s="12" t="str">
        <f aca="false">IF(E$2="","",IF(COUNTIFS(Import_BradTracker!$D:$D,E$2,Import_BradTracker!$E:$E,$A7)=0,"NEED",""))</f>
        <v/>
      </c>
      <c r="F7" s="12" t="str">
        <f aca="false">IF(F$2="","",IF(COUNTIFS(Import_BradTracker!$D:$D,F$2,Import_BradTracker!$E:$E,$A7)=0,"NEED",""))</f>
        <v/>
      </c>
      <c r="G7" s="12" t="str">
        <f aca="false">IF(G$2="","",IF(COUNTIFS(Import_BradTracker!$D:$D,G$2,Import_BradTracker!$E:$E,$A7)=0,"NEED",""))</f>
        <v/>
      </c>
      <c r="H7" s="12" t="str">
        <f aca="false">IF(H$2="","",IF(COUNTIFS(Import_BradTracker!$D:$D,H$2,Import_BradTracker!$E:$E,$A7)=0,"NEED",""))</f>
        <v/>
      </c>
      <c r="I7" s="12" t="str">
        <f aca="false">IF(I$2="","",IF(COUNTIFS(Import_BradTracker!$D:$D,I$2,Import_BradTracker!$E:$E,$A7)=0,"NEED",""))</f>
        <v/>
      </c>
      <c r="J7" s="12" t="str">
        <f aca="false">IF(J$2="","",IF(COUNTIFS(Import_BradTracker!$D:$D,J$2,Import_BradTracker!$E:$E,$A7)=0,"NEED",""))</f>
        <v/>
      </c>
      <c r="K7" s="12" t="str">
        <f aca="false">IF(K$2="","",IF(COUNTIFS(Import_BradTracker!$D:$D,K$2,Import_BradTracker!$E:$E,$A7)=0,"NEED",""))</f>
        <v/>
      </c>
      <c r="L7" s="12" t="str">
        <f aca="false">IF(L$2="","",IF(COUNTIFS(Import_BradTracker!$D:$D,L$2,Import_BradTracker!$E:$E,$A7)=0,"NEED",""))</f>
        <v/>
      </c>
      <c r="M7" s="12" t="str">
        <f aca="false">IF(M$2="","",IF(COUNTIFS(Import_BradTracker!$D:$D,M$2,Import_BradTracker!$E:$E,$A7)=0,"NEED",""))</f>
        <v/>
      </c>
    </row>
    <row r="8" customFormat="false" ht="15" hidden="false" customHeight="false" outlineLevel="0" collapsed="false">
      <c r="A8" s="22" t="s">
        <v>125</v>
      </c>
      <c r="B8" s="12" t="str">
        <f aca="false">IF(B$2="","",IF(COUNTIFS(Import_BradTracker!$D:$D,B$2,Import_BradTracker!$E:$E,$A8)=0,"NEED",""))</f>
        <v/>
      </c>
      <c r="C8" s="12" t="str">
        <f aca="false">IF(C$2="","",IF(COUNTIFS(Import_BradTracker!$D:$D,C$2,Import_BradTracker!$E:$E,$A8)=0,"NEED",""))</f>
        <v/>
      </c>
      <c r="D8" s="12" t="str">
        <f aca="false">IF(D$2="","",IF(COUNTIFS(Import_BradTracker!$D:$D,D$2,Import_BradTracker!$E:$E,$A8)=0,"NEED",""))</f>
        <v/>
      </c>
      <c r="E8" s="12" t="str">
        <f aca="false">IF(E$2="","",IF(COUNTIFS(Import_BradTracker!$D:$D,E$2,Import_BradTracker!$E:$E,$A8)=0,"NEED",""))</f>
        <v/>
      </c>
      <c r="F8" s="12" t="str">
        <f aca="false">IF(F$2="","",IF(COUNTIFS(Import_BradTracker!$D:$D,F$2,Import_BradTracker!$E:$E,$A8)=0,"NEED",""))</f>
        <v/>
      </c>
      <c r="G8" s="12" t="str">
        <f aca="false">IF(G$2="","",IF(COUNTIFS(Import_BradTracker!$D:$D,G$2,Import_BradTracker!$E:$E,$A8)=0,"NEED",""))</f>
        <v/>
      </c>
      <c r="H8" s="12" t="str">
        <f aca="false">IF(H$2="","",IF(COUNTIFS(Import_BradTracker!$D:$D,H$2,Import_BradTracker!$E:$E,$A8)=0,"NEED",""))</f>
        <v/>
      </c>
      <c r="I8" s="12" t="str">
        <f aca="false">IF(I$2="","",IF(COUNTIFS(Import_BradTracker!$D:$D,I$2,Import_BradTracker!$E:$E,$A8)=0,"NEED",""))</f>
        <v/>
      </c>
      <c r="J8" s="12" t="str">
        <f aca="false">IF(J$2="","",IF(COUNTIFS(Import_BradTracker!$D:$D,J$2,Import_BradTracker!$E:$E,$A8)=0,"NEED",""))</f>
        <v/>
      </c>
      <c r="K8" s="12" t="str">
        <f aca="false">IF(K$2="","",IF(COUNTIFS(Import_BradTracker!$D:$D,K$2,Import_BradTracker!$E:$E,$A8)=0,"NEED",""))</f>
        <v/>
      </c>
      <c r="L8" s="12" t="str">
        <f aca="false">IF(L$2="","",IF(COUNTIFS(Import_BradTracker!$D:$D,L$2,Import_BradTracker!$E:$E,$A8)=0,"NEED",""))</f>
        <v/>
      </c>
      <c r="M8" s="12" t="str">
        <f aca="false">IF(M$2="","",IF(COUNTIFS(Import_BradTracker!$D:$D,M$2,Import_BradTracker!$E:$E,$A8)=0,"NEED",""))</f>
        <v/>
      </c>
    </row>
    <row r="9" customFormat="false" ht="15" hidden="false" customHeight="false" outlineLevel="0" collapsed="false">
      <c r="A9" s="22" t="s">
        <v>100</v>
      </c>
      <c r="B9" s="12" t="str">
        <f aca="false">IF(B$2="","",IF(COUNTIFS(Import_BradTracker!$D:$D,B$2,Import_BradTracker!$E:$E,$A9)=0,"NEED",""))</f>
        <v/>
      </c>
      <c r="C9" s="12" t="str">
        <f aca="false">IF(C$2="","",IF(COUNTIFS(Import_BradTracker!$D:$D,C$2,Import_BradTracker!$E:$E,$A9)=0,"NEED",""))</f>
        <v/>
      </c>
      <c r="D9" s="12" t="str">
        <f aca="false">IF(D$2="","",IF(COUNTIFS(Import_BradTracker!$D:$D,D$2,Import_BradTracker!$E:$E,$A9)=0,"NEED",""))</f>
        <v/>
      </c>
      <c r="E9" s="12" t="str">
        <f aca="false">IF(E$2="","",IF(COUNTIFS(Import_BradTracker!$D:$D,E$2,Import_BradTracker!$E:$E,$A9)=0,"NEED",""))</f>
        <v/>
      </c>
      <c r="F9" s="12" t="str">
        <f aca="false">IF(F$2="","",IF(COUNTIFS(Import_BradTracker!$D:$D,F$2,Import_BradTracker!$E:$E,$A9)=0,"NEED",""))</f>
        <v/>
      </c>
      <c r="G9" s="12" t="str">
        <f aca="false">IF(G$2="","",IF(COUNTIFS(Import_BradTracker!$D:$D,G$2,Import_BradTracker!$E:$E,$A9)=0,"NEED",""))</f>
        <v/>
      </c>
      <c r="H9" s="12" t="str">
        <f aca="false">IF(H$2="","",IF(COUNTIFS(Import_BradTracker!$D:$D,H$2,Import_BradTracker!$E:$E,$A9)=0,"NEED",""))</f>
        <v/>
      </c>
      <c r="I9" s="12" t="str">
        <f aca="false">IF(I$2="","",IF(COUNTIFS(Import_BradTracker!$D:$D,I$2,Import_BradTracker!$E:$E,$A9)=0,"NEED",""))</f>
        <v/>
      </c>
      <c r="J9" s="12" t="str">
        <f aca="false">IF(J$2="","",IF(COUNTIFS(Import_BradTracker!$D:$D,J$2,Import_BradTracker!$E:$E,$A9)=0,"NEED",""))</f>
        <v/>
      </c>
      <c r="K9" s="12" t="str">
        <f aca="false">IF(K$2="","",IF(COUNTIFS(Import_BradTracker!$D:$D,K$2,Import_BradTracker!$E:$E,$A9)=0,"NEED",""))</f>
        <v/>
      </c>
      <c r="L9" s="12" t="str">
        <f aca="false">IF(L$2="","",IF(COUNTIFS(Import_BradTracker!$D:$D,L$2,Import_BradTracker!$E:$E,$A9)=0,"NEED",""))</f>
        <v/>
      </c>
      <c r="M9" s="12" t="str">
        <f aca="false">IF(M$2="","",IF(COUNTIFS(Import_BradTracker!$D:$D,M$2,Import_BradTracker!$E:$E,$A9)=0,"NEED",""))</f>
        <v/>
      </c>
    </row>
    <row r="10" customFormat="false" ht="15" hidden="false" customHeight="false" outlineLevel="0" collapsed="false">
      <c r="A10" s="22" t="s">
        <v>78</v>
      </c>
      <c r="B10" s="12" t="str">
        <f aca="false">IF(B$2="","",IF(COUNTIFS(Import_BradTracker!$D:$D,B$2,Import_BradTracker!$E:$E,$A10)=0,"NEED",""))</f>
        <v/>
      </c>
      <c r="C10" s="12" t="str">
        <f aca="false">IF(C$2="","",IF(COUNTIFS(Import_BradTracker!$D:$D,C$2,Import_BradTracker!$E:$E,$A10)=0,"NEED",""))</f>
        <v/>
      </c>
      <c r="D10" s="12" t="str">
        <f aca="false">IF(D$2="","",IF(COUNTIFS(Import_BradTracker!$D:$D,D$2,Import_BradTracker!$E:$E,$A10)=0,"NEED",""))</f>
        <v/>
      </c>
      <c r="E10" s="12" t="str">
        <f aca="false">IF(E$2="","",IF(COUNTIFS(Import_BradTracker!$D:$D,E$2,Import_BradTracker!$E:$E,$A10)=0,"NEED",""))</f>
        <v/>
      </c>
      <c r="F10" s="12" t="str">
        <f aca="false">IF(F$2="","",IF(COUNTIFS(Import_BradTracker!$D:$D,F$2,Import_BradTracker!$E:$E,$A10)=0,"NEED",""))</f>
        <v/>
      </c>
      <c r="G10" s="12" t="str">
        <f aca="false">IF(G$2="","",IF(COUNTIFS(Import_BradTracker!$D:$D,G$2,Import_BradTracker!$E:$E,$A10)=0,"NEED",""))</f>
        <v/>
      </c>
      <c r="H10" s="12" t="str">
        <f aca="false">IF(H$2="","",IF(COUNTIFS(Import_BradTracker!$D:$D,H$2,Import_BradTracker!$E:$E,$A10)=0,"NEED",""))</f>
        <v/>
      </c>
      <c r="I10" s="12" t="str">
        <f aca="false">IF(I$2="","",IF(COUNTIFS(Import_BradTracker!$D:$D,I$2,Import_BradTracker!$E:$E,$A10)=0,"NEED",""))</f>
        <v/>
      </c>
      <c r="J10" s="12" t="str">
        <f aca="false">IF(J$2="","",IF(COUNTIFS(Import_BradTracker!$D:$D,J$2,Import_BradTracker!$E:$E,$A10)=0,"NEED",""))</f>
        <v/>
      </c>
      <c r="K10" s="12" t="str">
        <f aca="false">IF(K$2="","",IF(COUNTIFS(Import_BradTracker!$D:$D,K$2,Import_BradTracker!$E:$E,$A10)=0,"NEED",""))</f>
        <v/>
      </c>
      <c r="L10" s="12" t="str">
        <f aca="false">IF(L$2="","",IF(COUNTIFS(Import_BradTracker!$D:$D,L$2,Import_BradTracker!$E:$E,$A10)=0,"NEED",""))</f>
        <v/>
      </c>
      <c r="M10" s="12" t="str">
        <f aca="false">IF(M$2="","",IF(COUNTIFS(Import_BradTracker!$D:$D,M$2,Import_BradTracker!$E:$E,$A10)=0,"NEED",""))</f>
        <v/>
      </c>
    </row>
    <row r="11" customFormat="false" ht="15" hidden="false" customHeight="false" outlineLevel="0" collapsed="false">
      <c r="A11" s="22" t="s">
        <v>41</v>
      </c>
      <c r="B11" s="12" t="str">
        <f aca="false">IF(B$2="","",IF(COUNTIFS(Import_BradTracker!$D:$D,B$2,Import_BradTracker!$E:$E,$A11)=0,"NEED",""))</f>
        <v/>
      </c>
      <c r="C11" s="12" t="str">
        <f aca="false">IF(C$2="","",IF(COUNTIFS(Import_BradTracker!$D:$D,C$2,Import_BradTracker!$E:$E,$A11)=0,"NEED",""))</f>
        <v/>
      </c>
      <c r="D11" s="12" t="str">
        <f aca="false">IF(D$2="","",IF(COUNTIFS(Import_BradTracker!$D:$D,D$2,Import_BradTracker!$E:$E,$A11)=0,"NEED",""))</f>
        <v/>
      </c>
      <c r="E11" s="12" t="str">
        <f aca="false">IF(E$2="","",IF(COUNTIFS(Import_BradTracker!$D:$D,E$2,Import_BradTracker!$E:$E,$A11)=0,"NEED",""))</f>
        <v/>
      </c>
      <c r="F11" s="12" t="str">
        <f aca="false">IF(F$2="","",IF(COUNTIFS(Import_BradTracker!$D:$D,F$2,Import_BradTracker!$E:$E,$A11)=0,"NEED",""))</f>
        <v/>
      </c>
      <c r="G11" s="12" t="str">
        <f aca="false">IF(G$2="","",IF(COUNTIFS(Import_BradTracker!$D:$D,G$2,Import_BradTracker!$E:$E,$A11)=0,"NEED",""))</f>
        <v/>
      </c>
      <c r="H11" s="12" t="str">
        <f aca="false">IF(H$2="","",IF(COUNTIFS(Import_BradTracker!$D:$D,H$2,Import_BradTracker!$E:$E,$A11)=0,"NEED",""))</f>
        <v/>
      </c>
      <c r="I11" s="12" t="str">
        <f aca="false">IF(I$2="","",IF(COUNTIFS(Import_BradTracker!$D:$D,I$2,Import_BradTracker!$E:$E,$A11)=0,"NEED",""))</f>
        <v/>
      </c>
      <c r="J11" s="12" t="str">
        <f aca="false">IF(J$2="","",IF(COUNTIFS(Import_BradTracker!$D:$D,J$2,Import_BradTracker!$E:$E,$A11)=0,"NEED",""))</f>
        <v/>
      </c>
      <c r="K11" s="12" t="str">
        <f aca="false">IF(K$2="","",IF(COUNTIFS(Import_BradTracker!$D:$D,K$2,Import_BradTracker!$E:$E,$A11)=0,"NEED",""))</f>
        <v/>
      </c>
      <c r="L11" s="12" t="str">
        <f aca="false">IF(L$2="","",IF(COUNTIFS(Import_BradTracker!$D:$D,L$2,Import_BradTracker!$E:$E,$A11)=0,"NEED",""))</f>
        <v/>
      </c>
      <c r="M11" s="12" t="str">
        <f aca="false">IF(M$2="","",IF(COUNTIFS(Import_BradTracker!$D:$D,M$2,Import_BradTracker!$E:$E,$A11)=0,"NEED",""))</f>
        <v/>
      </c>
    </row>
    <row r="12" customFormat="false" ht="15" hidden="false" customHeight="false" outlineLevel="0" collapsed="false">
      <c r="A12" s="22" t="s">
        <v>120</v>
      </c>
      <c r="B12" s="12" t="str">
        <f aca="false">IF(B$2="","",IF(COUNTIFS(Import_BradTracker!$D:$D,B$2,Import_BradTracker!$E:$E,$A12)=0,"NEED",""))</f>
        <v/>
      </c>
      <c r="C12" s="12" t="str">
        <f aca="false">IF(C$2="","",IF(COUNTIFS(Import_BradTracker!$D:$D,C$2,Import_BradTracker!$E:$E,$A12)=0,"NEED",""))</f>
        <v/>
      </c>
      <c r="D12" s="12" t="str">
        <f aca="false">IF(D$2="","",IF(COUNTIFS(Import_BradTracker!$D:$D,D$2,Import_BradTracker!$E:$E,$A12)=0,"NEED",""))</f>
        <v/>
      </c>
      <c r="E12" s="12" t="str">
        <f aca="false">IF(E$2="","",IF(COUNTIFS(Import_BradTracker!$D:$D,E$2,Import_BradTracker!$E:$E,$A12)=0,"NEED",""))</f>
        <v/>
      </c>
      <c r="F12" s="12" t="str">
        <f aca="false">IF(F$2="","",IF(COUNTIFS(Import_BradTracker!$D:$D,F$2,Import_BradTracker!$E:$E,$A12)=0,"NEED",""))</f>
        <v/>
      </c>
      <c r="G12" s="12" t="str">
        <f aca="false">IF(G$2="","",IF(COUNTIFS(Import_BradTracker!$D:$D,G$2,Import_BradTracker!$E:$E,$A12)=0,"NEED",""))</f>
        <v/>
      </c>
      <c r="H12" s="12" t="str">
        <f aca="false">IF(H$2="","",IF(COUNTIFS(Import_BradTracker!$D:$D,H$2,Import_BradTracker!$E:$E,$A12)=0,"NEED",""))</f>
        <v/>
      </c>
      <c r="I12" s="12" t="str">
        <f aca="false">IF(I$2="","",IF(COUNTIFS(Import_BradTracker!$D:$D,I$2,Import_BradTracker!$E:$E,$A12)=0,"NEED",""))</f>
        <v/>
      </c>
      <c r="J12" s="12" t="str">
        <f aca="false">IF(J$2="","",IF(COUNTIFS(Import_BradTracker!$D:$D,J$2,Import_BradTracker!$E:$E,$A12)=0,"NEED",""))</f>
        <v/>
      </c>
      <c r="K12" s="12" t="str">
        <f aca="false">IF(K$2="","",IF(COUNTIFS(Import_BradTracker!$D:$D,K$2,Import_BradTracker!$E:$E,$A12)=0,"NEED",""))</f>
        <v/>
      </c>
      <c r="L12" s="12" t="str">
        <f aca="false">IF(L$2="","",IF(COUNTIFS(Import_BradTracker!$D:$D,L$2,Import_BradTracker!$E:$E,$A12)=0,"NEED",""))</f>
        <v/>
      </c>
      <c r="M12" s="12" t="str">
        <f aca="false">IF(M$2="","",IF(COUNTIFS(Import_BradTracker!$D:$D,M$2,Import_BradTracker!$E:$E,$A12)=0,"NEED",""))</f>
        <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5"/>
    <col collapsed="false" customWidth="true" hidden="false" outlineLevel="0" max="3" min="3" style="0" width="6"/>
    <col collapsed="false" customWidth="true" hidden="false" outlineLevel="0" max="4" min="4" style="0" width="17"/>
    <col collapsed="false" customWidth="true" hidden="false" outlineLevel="0" max="5" min="5" style="0" width="5"/>
    <col collapsed="false" customWidth="true" hidden="false" outlineLevel="0" max="6" min="6" style="0" width="6"/>
    <col collapsed="false" customWidth="true" hidden="false" outlineLevel="0" max="7" min="7" style="0" width="17"/>
    <col collapsed="false" customWidth="true" hidden="false" outlineLevel="0" max="8" min="8" style="0" width="5"/>
    <col collapsed="false" customWidth="true" hidden="false" outlineLevel="0" max="9" min="9" style="0" width="6"/>
    <col collapsed="false" customWidth="true" hidden="false" outlineLevel="0" max="10" min="10" style="0" width="17"/>
    <col collapsed="false" customWidth="true" hidden="false" outlineLevel="0" max="11" min="11" style="0" width="5"/>
    <col collapsed="false" customWidth="true" hidden="false" outlineLevel="0" max="12" min="12" style="0" width="6"/>
    <col collapsed="false" customWidth="true" hidden="false" outlineLevel="0" max="13" min="13" style="0" width="17"/>
    <col collapsed="false" customWidth="true" hidden="false" outlineLevel="0" max="14" min="14" style="0" width="5"/>
    <col collapsed="false" customWidth="true" hidden="false" outlineLevel="0" max="15" min="15" style="0" width="6"/>
    <col collapsed="false" customWidth="true" hidden="false" outlineLevel="0" max="16" min="16" style="0" width="17"/>
    <col collapsed="false" customWidth="true" hidden="false" outlineLevel="0" max="17" min="17" style="0" width="5"/>
    <col collapsed="false" customWidth="true" hidden="false" outlineLevel="0" max="18" min="18" style="0" width="6"/>
    <col collapsed="false" customWidth="true" hidden="false" outlineLevel="0" max="19" min="19" style="0" width="17"/>
    <col collapsed="false" customWidth="true" hidden="false" outlineLevel="0" max="20" min="20" style="0" width="5"/>
    <col collapsed="false" customWidth="true" hidden="false" outlineLevel="0" max="21" min="21" style="0" width="6"/>
    <col collapsed="false" customWidth="true" hidden="false" outlineLevel="0" max="22" min="22" style="0" width="17"/>
    <col collapsed="false" customWidth="true" hidden="false" outlineLevel="0" max="23" min="23" style="0" width="5"/>
    <col collapsed="false" customWidth="true" hidden="false" outlineLevel="0" max="24" min="24" style="0" width="6"/>
    <col collapsed="false" customWidth="true" hidden="false" outlineLevel="0" max="25" min="25" style="0" width="17"/>
    <col collapsed="false" customWidth="true" hidden="false" outlineLevel="0" max="26" min="26" style="0" width="5"/>
    <col collapsed="false" customWidth="true" hidden="false" outlineLevel="0" max="27" min="27" style="0" width="6"/>
    <col collapsed="false" customWidth="true" hidden="false" outlineLevel="0" max="28" min="28" style="0" width="17"/>
    <col collapsed="false" customWidth="true" hidden="false" outlineLevel="0" max="29" min="29" style="0" width="5"/>
    <col collapsed="false" customWidth="true" hidden="false" outlineLevel="0" max="30" min="30" style="0" width="6"/>
  </cols>
  <sheetData>
    <row r="1" customFormat="false" ht="15" hidden="false" customHeight="false" outlineLevel="0" collapsed="false">
      <c r="A1" s="14" t="s">
        <v>343</v>
      </c>
      <c r="B1" s="14"/>
      <c r="C1" s="14"/>
      <c r="D1" s="14"/>
      <c r="E1" s="14"/>
      <c r="F1" s="14"/>
      <c r="G1" s="14"/>
      <c r="H1" s="14"/>
      <c r="I1" s="14"/>
      <c r="J1" s="14"/>
      <c r="K1" s="14"/>
      <c r="L1" s="14"/>
      <c r="M1" s="14"/>
      <c r="N1" s="14"/>
      <c r="O1" s="14"/>
      <c r="P1" s="14"/>
      <c r="Q1" s="14"/>
      <c r="R1" s="14"/>
      <c r="S1" s="14"/>
      <c r="T1" s="14"/>
    </row>
    <row r="2" customFormat="false" ht="15" hidden="false" customHeight="false" outlineLevel="0" collapsed="false">
      <c r="A2" s="23" t="s">
        <v>105</v>
      </c>
      <c r="B2" s="23"/>
      <c r="C2" s="23"/>
      <c r="D2" s="23" t="s">
        <v>47</v>
      </c>
      <c r="E2" s="23"/>
      <c r="F2" s="23"/>
      <c r="G2" s="23" t="s">
        <v>45</v>
      </c>
      <c r="H2" s="23"/>
      <c r="I2" s="23"/>
      <c r="J2" s="23" t="s">
        <v>36</v>
      </c>
      <c r="K2" s="23"/>
      <c r="L2" s="23"/>
      <c r="M2" s="23" t="s">
        <v>39</v>
      </c>
      <c r="N2" s="23"/>
      <c r="O2" s="23"/>
      <c r="P2" s="23" t="s">
        <v>125</v>
      </c>
      <c r="Q2" s="23"/>
      <c r="R2" s="23"/>
      <c r="S2" s="23" t="s">
        <v>100</v>
      </c>
      <c r="T2" s="23"/>
      <c r="U2" s="23"/>
      <c r="V2" s="23" t="s">
        <v>78</v>
      </c>
      <c r="W2" s="23"/>
      <c r="X2" s="23"/>
      <c r="Y2" s="23" t="s">
        <v>41</v>
      </c>
      <c r="Z2" s="23"/>
      <c r="AA2" s="23"/>
      <c r="AB2" s="23" t="s">
        <v>120</v>
      </c>
      <c r="AC2" s="23"/>
      <c r="AD2" s="23"/>
    </row>
    <row r="3" customFormat="false" ht="15" hidden="false" customHeight="false" outlineLevel="0" collapsed="false">
      <c r="A3" s="9" t="s">
        <v>20</v>
      </c>
      <c r="B3" s="9" t="s">
        <v>344</v>
      </c>
      <c r="C3" s="9" t="s">
        <v>345</v>
      </c>
      <c r="D3" s="9" t="s">
        <v>20</v>
      </c>
      <c r="E3" s="9" t="s">
        <v>344</v>
      </c>
      <c r="F3" s="9" t="s">
        <v>345</v>
      </c>
      <c r="G3" s="9" t="s">
        <v>20</v>
      </c>
      <c r="H3" s="9" t="s">
        <v>344</v>
      </c>
      <c r="I3" s="9" t="s">
        <v>345</v>
      </c>
      <c r="J3" s="9" t="s">
        <v>20</v>
      </c>
      <c r="K3" s="9" t="s">
        <v>344</v>
      </c>
      <c r="L3" s="9" t="s">
        <v>345</v>
      </c>
      <c r="M3" s="9" t="s">
        <v>20</v>
      </c>
      <c r="N3" s="9" t="s">
        <v>344</v>
      </c>
      <c r="O3" s="9" t="s">
        <v>345</v>
      </c>
      <c r="P3" s="9" t="s">
        <v>20</v>
      </c>
      <c r="Q3" s="9" t="s">
        <v>344</v>
      </c>
      <c r="R3" s="9" t="s">
        <v>345</v>
      </c>
      <c r="S3" s="9" t="s">
        <v>20</v>
      </c>
      <c r="T3" s="9" t="s">
        <v>344</v>
      </c>
      <c r="U3" s="9" t="s">
        <v>345</v>
      </c>
      <c r="V3" s="9" t="s">
        <v>20</v>
      </c>
      <c r="W3" s="9" t="s">
        <v>344</v>
      </c>
      <c r="X3" s="9" t="s">
        <v>345</v>
      </c>
      <c r="Y3" s="9" t="s">
        <v>20</v>
      </c>
      <c r="Z3" s="9" t="s">
        <v>344</v>
      </c>
      <c r="AA3" s="9" t="s">
        <v>345</v>
      </c>
      <c r="AB3" s="9" t="s">
        <v>20</v>
      </c>
      <c r="AC3" s="9" t="s">
        <v>344</v>
      </c>
      <c r="AD3" s="9" t="s">
        <v>345</v>
      </c>
    </row>
    <row r="4" customFormat="false" ht="15" hidden="false" customHeight="false" outlineLevel="0" collapsed="false">
      <c r="A4" s="24" t="s">
        <v>123</v>
      </c>
      <c r="B4" s="12" t="n">
        <v>8.5</v>
      </c>
      <c r="C4" s="12" t="str">
        <f aca="false">IF(COUNTIF(Import_BradTracker!$F:$F,A4)&gt;0,"—","OPEN")</f>
        <v>OPEN</v>
      </c>
      <c r="D4" s="24" t="s">
        <v>46</v>
      </c>
      <c r="E4" s="12" t="n">
        <v>10.5</v>
      </c>
      <c r="F4" s="12" t="str">
        <f aca="false">IF(COUNTIF(Import_BradTracker!$F:$F,D4)&gt;0,"—","OPEN")</f>
        <v>OPEN</v>
      </c>
      <c r="G4" s="24" t="s">
        <v>44</v>
      </c>
      <c r="H4" s="12" t="n">
        <v>10.5</v>
      </c>
      <c r="I4" s="12" t="str">
        <f aca="false">IF(COUNTIF(Import_BradTracker!$F:$F,G4)&gt;0,"—","OPEN")</f>
        <v>OPEN</v>
      </c>
      <c r="J4" s="24" t="s">
        <v>37</v>
      </c>
      <c r="K4" s="12" t="n">
        <v>10.5</v>
      </c>
      <c r="L4" s="12" t="str">
        <f aca="false">IF(COUNTIF(Import_BradTracker!$F:$F,J4)&gt;0,"—","OPEN")</f>
        <v>OPEN</v>
      </c>
      <c r="M4" s="24" t="s">
        <v>38</v>
      </c>
      <c r="N4" s="12" t="n">
        <v>11.5</v>
      </c>
      <c r="O4" s="12" t="str">
        <f aca="false">IF(COUNTIF(Import_BradTracker!$F:$F,M4)&gt;0,"—","OPEN")</f>
        <v>OPEN</v>
      </c>
      <c r="P4" s="24" t="s">
        <v>124</v>
      </c>
      <c r="Q4" s="12" t="n">
        <v>7.5</v>
      </c>
      <c r="R4" s="12" t="str">
        <f aca="false">IF(COUNTIF(Import_BradTracker!$F:$F,P4)&gt;0,"—","OPEN")</f>
        <v>OPEN</v>
      </c>
      <c r="S4" s="24" t="s">
        <v>99</v>
      </c>
      <c r="T4" s="12" t="n">
        <v>7.5</v>
      </c>
      <c r="U4" s="12" t="str">
        <f aca="false">IF(COUNTIF(Import_BradTracker!$F:$F,S4)&gt;0,"—","OPEN")</f>
        <v>OPEN</v>
      </c>
      <c r="V4" s="24" t="s">
        <v>79</v>
      </c>
      <c r="W4" s="12" t="n">
        <v>7.5</v>
      </c>
      <c r="X4" s="12" t="str">
        <f aca="false">IF(COUNTIF(Import_BradTracker!$F:$F,V4)&gt;0,"—","OPEN")</f>
        <v>—</v>
      </c>
      <c r="Y4" s="24" t="s">
        <v>40</v>
      </c>
      <c r="Z4" s="12" t="n">
        <v>9.5</v>
      </c>
      <c r="AA4" s="12" t="str">
        <f aca="false">IF(COUNTIF(Import_BradTracker!$F:$F,Y4)&gt;0,"—","OPEN")</f>
        <v>OPEN</v>
      </c>
      <c r="AB4" s="24" t="s">
        <v>119</v>
      </c>
      <c r="AC4" s="12" t="n">
        <v>8.5</v>
      </c>
      <c r="AD4" s="12" t="str">
        <f aca="false">IF(COUNTIF(Import_BradTracker!$F:$F,AB4)&gt;0,"—","OPEN")</f>
        <v>OPEN</v>
      </c>
    </row>
    <row r="5" customFormat="false" ht="15" hidden="false" customHeight="false" outlineLevel="0" collapsed="false">
      <c r="A5" s="24" t="s">
        <v>104</v>
      </c>
      <c r="B5" s="12" t="n">
        <v>7.5</v>
      </c>
      <c r="C5" s="12" t="str">
        <f aca="false">IF(COUNTIF(Import_BradTracker!$F:$F,A5)&gt;0,"—","OPEN")</f>
        <v>OPEN</v>
      </c>
      <c r="D5" s="24" t="s">
        <v>66</v>
      </c>
      <c r="E5" s="12" t="n">
        <v>8.5</v>
      </c>
      <c r="F5" s="12" t="str">
        <f aca="false">IF(COUNTIF(Import_BradTracker!$F:$F,D5)&gt;0,"—","OPEN")</f>
        <v>OPEN</v>
      </c>
      <c r="G5" s="24" t="s">
        <v>57</v>
      </c>
      <c r="H5" s="12" t="n">
        <v>8.5</v>
      </c>
      <c r="I5" s="12" t="str">
        <f aca="false">IF(COUNTIF(Import_BradTracker!$F:$F,G5)&gt;0,"—","OPEN")</f>
        <v>OPEN</v>
      </c>
      <c r="J5" s="24" t="s">
        <v>42</v>
      </c>
      <c r="K5" s="12" t="n">
        <v>10.5</v>
      </c>
      <c r="L5" s="12" t="str">
        <f aca="false">IF(COUNTIF(Import_BradTracker!$F:$F,J5)&gt;0,"—","OPEN")</f>
        <v>OPEN</v>
      </c>
      <c r="M5" s="24" t="s">
        <v>137</v>
      </c>
      <c r="N5" s="12" t="n">
        <v>8.5</v>
      </c>
      <c r="O5" s="12" t="str">
        <f aca="false">IF(COUNTIF(Import_BradTracker!$F:$F,M5)&gt;0,"—","OPEN")</f>
        <v>OPEN</v>
      </c>
      <c r="P5" s="24" t="s">
        <v>139</v>
      </c>
      <c r="Q5" s="12" t="n">
        <v>7.5</v>
      </c>
      <c r="R5" s="12" t="str">
        <f aca="false">IF(COUNTIF(Import_BradTracker!$F:$F,P5)&gt;0,"—","OPEN")</f>
        <v>OPEN</v>
      </c>
      <c r="S5" s="24" t="s">
        <v>110</v>
      </c>
      <c r="T5" s="12" t="n">
        <v>7.5</v>
      </c>
      <c r="U5" s="12" t="str">
        <f aca="false">IF(COUNTIF(Import_BradTracker!$F:$F,S5)&gt;0,"—","OPEN")</f>
        <v>OPEN</v>
      </c>
      <c r="V5" s="24" t="s">
        <v>77</v>
      </c>
      <c r="W5" s="12" t="n">
        <v>6.5</v>
      </c>
      <c r="X5" s="12" t="str">
        <f aca="false">IF(COUNTIF(Import_BradTracker!$F:$F,V5)&gt;0,"—","OPEN")</f>
        <v>OPEN</v>
      </c>
      <c r="Y5" s="24" t="s">
        <v>43</v>
      </c>
      <c r="Z5" s="12" t="n">
        <v>9.5</v>
      </c>
      <c r="AA5" s="12" t="str">
        <f aca="false">IF(COUNTIF(Import_BradTracker!$F:$F,Y5)&gt;0,"—","OPEN")</f>
        <v>OPEN</v>
      </c>
      <c r="AB5" s="24" t="s">
        <v>132</v>
      </c>
      <c r="AC5" s="12" t="n">
        <v>7.5</v>
      </c>
      <c r="AD5" s="12" t="str">
        <f aca="false">IF(COUNTIF(Import_BradTracker!$F:$F,AB5)&gt;0,"—","OPEN")</f>
        <v>OPEN</v>
      </c>
    </row>
    <row r="6" customFormat="false" ht="15" hidden="false" customHeight="false" outlineLevel="0" collapsed="false">
      <c r="A6" s="24" t="s">
        <v>112</v>
      </c>
      <c r="B6" s="12" t="n">
        <v>7.5</v>
      </c>
      <c r="C6" s="12" t="str">
        <f aca="false">IF(COUNTIF(Import_BradTracker!$F:$F,A6)&gt;0,"—","OPEN")</f>
        <v>OPEN</v>
      </c>
      <c r="D6" s="24" t="s">
        <v>67</v>
      </c>
      <c r="E6" s="12" t="n">
        <v>8.5</v>
      </c>
      <c r="F6" s="12" t="str">
        <f aca="false">IF(COUNTIF(Import_BradTracker!$F:$F,D6)&gt;0,"—","OPEN")</f>
        <v>OPEN</v>
      </c>
      <c r="G6" s="24" t="s">
        <v>64</v>
      </c>
      <c r="H6" s="12" t="n">
        <v>8.5</v>
      </c>
      <c r="I6" s="12" t="str">
        <f aca="false">IF(COUNTIF(Import_BradTracker!$F:$F,G6)&gt;0,"—","OPEN")</f>
        <v>OPEN</v>
      </c>
      <c r="J6" s="24" t="s">
        <v>35</v>
      </c>
      <c r="K6" s="12" t="n">
        <v>9.5</v>
      </c>
      <c r="L6" s="12" t="str">
        <f aca="false">IF(COUNTIF(Import_BradTracker!$F:$F,J6)&gt;0,"—","OPEN")</f>
        <v>OPEN</v>
      </c>
      <c r="M6" s="24" t="s">
        <v>142</v>
      </c>
      <c r="N6" s="12" t="n">
        <v>7.5</v>
      </c>
      <c r="O6" s="12" t="str">
        <f aca="false">IF(COUNTIF(Import_BradTracker!$F:$F,M6)&gt;0,"—","OPEN")</f>
        <v>OPEN</v>
      </c>
      <c r="P6" s="24" t="s">
        <v>152</v>
      </c>
      <c r="Q6" s="12" t="n">
        <v>7.5</v>
      </c>
      <c r="R6" s="12" t="str">
        <f aca="false">IF(COUNTIF(Import_BradTracker!$F:$F,P6)&gt;0,"—","OPEN")</f>
        <v>OPEN</v>
      </c>
      <c r="S6" s="24" t="s">
        <v>122</v>
      </c>
      <c r="T6" s="12" t="n">
        <v>7.5</v>
      </c>
      <c r="U6" s="12" t="str">
        <f aca="false">IF(COUNTIF(Import_BradTracker!$F:$F,S6)&gt;0,"—","OPEN")</f>
        <v>OPEN</v>
      </c>
      <c r="V6" s="24" t="s">
        <v>113</v>
      </c>
      <c r="W6" s="12" t="n">
        <v>6.5</v>
      </c>
      <c r="X6" s="12" t="str">
        <f aca="false">IF(COUNTIF(Import_BradTracker!$F:$F,V6)&gt;0,"—","OPEN")</f>
        <v>OPEN</v>
      </c>
      <c r="Y6" s="24" t="s">
        <v>48</v>
      </c>
      <c r="Z6" s="12" t="n">
        <v>8.5</v>
      </c>
      <c r="AA6" s="12" t="str">
        <f aca="false">IF(COUNTIF(Import_BradTracker!$F:$F,Y6)&gt;0,"—","OPEN")</f>
        <v>OPEN</v>
      </c>
      <c r="AB6" s="24" t="s">
        <v>136</v>
      </c>
      <c r="AC6" s="12" t="n">
        <v>7.5</v>
      </c>
      <c r="AD6" s="12" t="str">
        <f aca="false">IF(COUNTIF(Import_BradTracker!$F:$F,AB6)&gt;0,"—","OPEN")</f>
        <v>OPEN</v>
      </c>
    </row>
    <row r="7" customFormat="false" ht="15" hidden="false" customHeight="false" outlineLevel="0" collapsed="false">
      <c r="A7" s="24" t="s">
        <v>115</v>
      </c>
      <c r="B7" s="12" t="n">
        <v>7.5</v>
      </c>
      <c r="C7" s="12" t="str">
        <f aca="false">IF(COUNTIF(Import_BradTracker!$F:$F,A7)&gt;0,"—","OPEN")</f>
        <v>OPEN</v>
      </c>
      <c r="D7" s="24" t="s">
        <v>62</v>
      </c>
      <c r="E7" s="12" t="n">
        <v>7.5</v>
      </c>
      <c r="F7" s="12" t="str">
        <f aca="false">IF(COUNTIF(Import_BradTracker!$F:$F,D7)&gt;0,"—","OPEN")</f>
        <v>OPEN</v>
      </c>
      <c r="G7" s="24" t="s">
        <v>68</v>
      </c>
      <c r="H7" s="12" t="n">
        <v>8.5</v>
      </c>
      <c r="I7" s="12" t="str">
        <f aca="false">IF(COUNTIF(Import_BradTracker!$F:$F,G7)&gt;0,"—","OPEN")</f>
        <v>OPEN</v>
      </c>
      <c r="J7" s="24" t="s">
        <v>52</v>
      </c>
      <c r="K7" s="12" t="n">
        <v>8.5</v>
      </c>
      <c r="L7" s="12" t="str">
        <f aca="false">IF(COUNTIF(Import_BradTracker!$F:$F,J7)&gt;0,"—","OPEN")</f>
        <v>OPEN</v>
      </c>
      <c r="M7" s="24" t="s">
        <v>130</v>
      </c>
      <c r="N7" s="12" t="n">
        <v>6.5</v>
      </c>
      <c r="O7" s="12" t="str">
        <f aca="false">IF(COUNTIF(Import_BradTracker!$F:$F,M7)&gt;0,"—","OPEN")</f>
        <v>OPEN</v>
      </c>
      <c r="P7" s="24" t="s">
        <v>157</v>
      </c>
      <c r="Q7" s="12" t="n">
        <v>6.5</v>
      </c>
      <c r="R7" s="12" t="str">
        <f aca="false">IF(COUNTIF(Import_BradTracker!$F:$F,P7)&gt;0,"—","OPEN")</f>
        <v>OPEN</v>
      </c>
      <c r="S7" s="24" t="s">
        <v>128</v>
      </c>
      <c r="T7" s="12" t="n">
        <v>7.5</v>
      </c>
      <c r="U7" s="12" t="str">
        <f aca="false">IF(COUNTIF(Import_BradTracker!$F:$F,S7)&gt;0,"—","OPEN")</f>
        <v>OPEN</v>
      </c>
      <c r="V7" s="24" t="s">
        <v>121</v>
      </c>
      <c r="W7" s="12" t="n">
        <v>6.5</v>
      </c>
      <c r="X7" s="12" t="str">
        <f aca="false">IF(COUNTIF(Import_BradTracker!$F:$F,V7)&gt;0,"—","OPEN")</f>
        <v>OPEN</v>
      </c>
      <c r="Y7" s="24" t="s">
        <v>49</v>
      </c>
      <c r="Z7" s="12" t="n">
        <v>8.5</v>
      </c>
      <c r="AA7" s="12" t="str">
        <f aca="false">IF(COUNTIF(Import_BradTracker!$F:$F,Y7)&gt;0,"—","OPEN")</f>
        <v>OPEN</v>
      </c>
      <c r="AB7" s="24" t="s">
        <v>148</v>
      </c>
      <c r="AC7" s="12" t="n">
        <v>7.5</v>
      </c>
      <c r="AD7" s="12" t="str">
        <f aca="false">IF(COUNTIF(Import_BradTracker!$F:$F,AB7)&gt;0,"—","OPEN")</f>
        <v>OPEN</v>
      </c>
    </row>
    <row r="8" customFormat="false" ht="15" hidden="false" customHeight="false" outlineLevel="0" collapsed="false">
      <c r="A8" s="24" t="s">
        <v>118</v>
      </c>
      <c r="B8" s="12" t="n">
        <v>7.5</v>
      </c>
      <c r="C8" s="12" t="str">
        <f aca="false">IF(COUNTIF(Import_BradTracker!$F:$F,A8)&gt;0,"—","OPEN")</f>
        <v>OPEN</v>
      </c>
      <c r="D8" s="24" t="s">
        <v>80</v>
      </c>
      <c r="E8" s="12" t="n">
        <v>7.5</v>
      </c>
      <c r="F8" s="12" t="str">
        <f aca="false">IF(COUNTIF(Import_BradTracker!$F:$F,D8)&gt;0,"—","OPEN")</f>
        <v>OPEN</v>
      </c>
      <c r="G8" s="24" t="s">
        <v>75</v>
      </c>
      <c r="H8" s="12" t="n">
        <v>8.5</v>
      </c>
      <c r="I8" s="12" t="str">
        <f aca="false">IF(COUNTIF(Import_BradTracker!$F:$F,G8)&gt;0,"—","OPEN")</f>
        <v>OPEN</v>
      </c>
      <c r="J8" s="24" t="s">
        <v>53</v>
      </c>
      <c r="K8" s="12" t="n">
        <v>8.5</v>
      </c>
      <c r="L8" s="12" t="str">
        <f aca="false">IF(COUNTIF(Import_BradTracker!$F:$F,J8)&gt;0,"—","OPEN")</f>
        <v>OPEN</v>
      </c>
      <c r="M8" s="24" t="s">
        <v>149</v>
      </c>
      <c r="N8" s="12" t="n">
        <v>6.5</v>
      </c>
      <c r="O8" s="12" t="str">
        <f aca="false">IF(COUNTIF(Import_BradTracker!$F:$F,M8)&gt;0,"—","OPEN")</f>
        <v>OPEN</v>
      </c>
      <c r="P8" s="24" t="s">
        <v>161</v>
      </c>
      <c r="Q8" s="12" t="n">
        <v>6.5</v>
      </c>
      <c r="R8" s="12" t="str">
        <f aca="false">IF(COUNTIF(Import_BradTracker!$F:$F,P8)&gt;0,"—","OPEN")</f>
        <v>OPEN</v>
      </c>
      <c r="S8" s="24" t="s">
        <v>150</v>
      </c>
      <c r="T8" s="12" t="n">
        <v>5.5</v>
      </c>
      <c r="U8" s="12" t="str">
        <f aca="false">IF(COUNTIF(Import_BradTracker!$F:$F,S8)&gt;0,"—","OPEN")</f>
        <v>OPEN</v>
      </c>
      <c r="V8" s="24" t="s">
        <v>133</v>
      </c>
      <c r="W8" s="12" t="n">
        <v>6.5</v>
      </c>
      <c r="X8" s="12" t="str">
        <f aca="false">IF(COUNTIF(Import_BradTracker!$F:$F,V8)&gt;0,"—","OPEN")</f>
        <v>OPEN</v>
      </c>
      <c r="Y8" s="24" t="s">
        <v>50</v>
      </c>
      <c r="Z8" s="12" t="n">
        <v>8.5</v>
      </c>
      <c r="AA8" s="12" t="str">
        <f aca="false">IF(COUNTIF(Import_BradTracker!$F:$F,Y8)&gt;0,"—","OPEN")</f>
        <v>OPEN</v>
      </c>
      <c r="AB8" s="24" t="s">
        <v>134</v>
      </c>
      <c r="AC8" s="12" t="n">
        <v>6.5</v>
      </c>
      <c r="AD8" s="12" t="str">
        <f aca="false">IF(COUNTIF(Import_BradTracker!$F:$F,AB8)&gt;0,"—","OPEN")</f>
        <v>OPEN</v>
      </c>
    </row>
    <row r="9" customFormat="false" ht="15" hidden="false" customHeight="false" outlineLevel="0" collapsed="false">
      <c r="A9" s="24" t="s">
        <v>127</v>
      </c>
      <c r="B9" s="12" t="n">
        <v>7.5</v>
      </c>
      <c r="C9" s="12" t="str">
        <f aca="false">IF(COUNTIF(Import_BradTracker!$F:$F,A9)&gt;0,"—","OPEN")</f>
        <v>OPEN</v>
      </c>
      <c r="D9" s="24" t="s">
        <v>81</v>
      </c>
      <c r="E9" s="12" t="n">
        <v>7.5</v>
      </c>
      <c r="F9" s="12" t="str">
        <f aca="false">IF(COUNTIF(Import_BradTracker!$F:$F,D9)&gt;0,"—","OPEN")</f>
        <v>OPEN</v>
      </c>
      <c r="G9" s="24" t="s">
        <v>69</v>
      </c>
      <c r="H9" s="12" t="n">
        <v>7.5</v>
      </c>
      <c r="I9" s="12" t="str">
        <f aca="false">IF(COUNTIF(Import_BradTracker!$F:$F,G9)&gt;0,"—","OPEN")</f>
        <v>OPEN</v>
      </c>
      <c r="J9" s="24" t="s">
        <v>56</v>
      </c>
      <c r="K9" s="12" t="n">
        <v>8.5</v>
      </c>
      <c r="L9" s="12" t="str">
        <f aca="false">IF(COUNTIF(Import_BradTracker!$F:$F,J9)&gt;0,"—","OPEN")</f>
        <v>OPEN</v>
      </c>
      <c r="M9" s="24" t="s">
        <v>158</v>
      </c>
      <c r="N9" s="12" t="n">
        <v>6.5</v>
      </c>
      <c r="O9" s="12" t="str">
        <f aca="false">IF(COUNTIF(Import_BradTracker!$F:$F,M9)&gt;0,"—","OPEN")</f>
        <v>OPEN</v>
      </c>
      <c r="P9" s="24" t="s">
        <v>154</v>
      </c>
      <c r="Q9" s="12" t="n">
        <v>5.5</v>
      </c>
      <c r="R9" s="12" t="str">
        <f aca="false">IF(COUNTIF(Import_BradTracker!$F:$F,P9)&gt;0,"—","OPEN")</f>
        <v>OPEN</v>
      </c>
      <c r="S9" s="24" t="s">
        <v>111</v>
      </c>
      <c r="T9" s="12" t="n">
        <v>4.5</v>
      </c>
      <c r="U9" s="12" t="str">
        <f aca="false">IF(COUNTIF(Import_BradTracker!$F:$F,S9)&gt;0,"—","OPEN")</f>
        <v>OPEN</v>
      </c>
      <c r="V9" s="24" t="s">
        <v>87</v>
      </c>
      <c r="W9" s="12" t="n">
        <v>4.5</v>
      </c>
      <c r="X9" s="12" t="str">
        <f aca="false">IF(COUNTIF(Import_BradTracker!$F:$F,V9)&gt;0,"—","OPEN")</f>
        <v>OPEN</v>
      </c>
      <c r="Y9" s="24" t="s">
        <v>51</v>
      </c>
      <c r="Z9" s="12" t="n">
        <v>7.5</v>
      </c>
      <c r="AA9" s="12" t="str">
        <f aca="false">IF(COUNTIF(Import_BradTracker!$F:$F,Y9)&gt;0,"—","OPEN")</f>
        <v>OPEN</v>
      </c>
      <c r="AB9" s="24" t="s">
        <v>145</v>
      </c>
      <c r="AC9" s="12" t="n">
        <v>6.5</v>
      </c>
      <c r="AD9" s="12" t="str">
        <f aca="false">IF(COUNTIF(Import_BradTracker!$F:$F,AB9)&gt;0,"—","OPEN")</f>
        <v>OPEN</v>
      </c>
    </row>
    <row r="10" customFormat="false" ht="15" hidden="false" customHeight="false" outlineLevel="0" collapsed="false">
      <c r="A10" s="24" t="s">
        <v>131</v>
      </c>
      <c r="B10" s="12" t="n">
        <v>7.5</v>
      </c>
      <c r="C10" s="12" t="str">
        <f aca="false">IF(COUNTIF(Import_BradTracker!$F:$F,A10)&gt;0,"—","OPEN")</f>
        <v>OPEN</v>
      </c>
      <c r="D10" s="24" t="s">
        <v>88</v>
      </c>
      <c r="E10" s="12" t="n">
        <v>7.5</v>
      </c>
      <c r="F10" s="12" t="str">
        <f aca="false">IF(COUNTIF(Import_BradTracker!$F:$F,D10)&gt;0,"—","OPEN")</f>
        <v>OPEN</v>
      </c>
      <c r="G10" s="24" t="s">
        <v>73</v>
      </c>
      <c r="H10" s="12" t="n">
        <v>6.5</v>
      </c>
      <c r="I10" s="12" t="str">
        <f aca="false">IF(COUNTIF(Import_BradTracker!$F:$F,G10)&gt;0,"—","OPEN")</f>
        <v>OPEN</v>
      </c>
      <c r="J10" s="24" t="s">
        <v>60</v>
      </c>
      <c r="K10" s="12" t="n">
        <v>7.5</v>
      </c>
      <c r="L10" s="12" t="str">
        <f aca="false">IF(COUNTIF(Import_BradTracker!$F:$F,J10)&gt;0,"—","OPEN")</f>
        <v>OPEN</v>
      </c>
      <c r="M10" s="24" t="s">
        <v>162</v>
      </c>
      <c r="N10" s="12" t="n">
        <v>6.5</v>
      </c>
      <c r="O10" s="12" t="str">
        <f aca="false">IF(COUNTIF(Import_BradTracker!$F:$F,M10)&gt;0,"—","OPEN")</f>
        <v>OPEN</v>
      </c>
      <c r="P10" s="24" t="s">
        <v>165</v>
      </c>
      <c r="Q10" s="12" t="n">
        <v>5.5</v>
      </c>
      <c r="R10" s="12" t="str">
        <f aca="false">IF(COUNTIF(Import_BradTracker!$F:$F,P10)&gt;0,"—","OPEN")</f>
        <v>OPEN</v>
      </c>
      <c r="S10" s="24" t="s">
        <v>156</v>
      </c>
      <c r="T10" s="12" t="n">
        <v>4.5</v>
      </c>
      <c r="U10" s="12" t="str">
        <f aca="false">IF(COUNTIF(Import_BradTracker!$F:$F,S10)&gt;0,"—","OPEN")</f>
        <v>OPEN</v>
      </c>
      <c r="V10" s="24" t="s">
        <v>109</v>
      </c>
      <c r="W10" s="12" t="n">
        <v>4.5</v>
      </c>
      <c r="X10" s="12" t="str">
        <f aca="false">IF(COUNTIF(Import_BradTracker!$F:$F,V10)&gt;0,"—","OPEN")</f>
        <v>OPEN</v>
      </c>
      <c r="Y10" s="24" t="s">
        <v>54</v>
      </c>
      <c r="Z10" s="12" t="n">
        <v>7.5</v>
      </c>
      <c r="AA10" s="12" t="str">
        <f aca="false">IF(COUNTIF(Import_BradTracker!$F:$F,Y10)&gt;0,"—","OPEN")</f>
        <v>OPEN</v>
      </c>
      <c r="AB10" s="24" t="s">
        <v>144</v>
      </c>
      <c r="AC10" s="12" t="n">
        <v>5.5</v>
      </c>
      <c r="AD10" s="12" t="str">
        <f aca="false">IF(COUNTIF(Import_BradTracker!$F:$F,AB10)&gt;0,"—","OPEN")</f>
        <v>OPEN</v>
      </c>
    </row>
    <row r="11" customFormat="false" ht="15" hidden="false" customHeight="false" outlineLevel="0" collapsed="false">
      <c r="A11" s="24" t="s">
        <v>138</v>
      </c>
      <c r="B11" s="12" t="n">
        <v>5.5</v>
      </c>
      <c r="C11" s="12" t="str">
        <f aca="false">IF(COUNTIF(Import_BradTracker!$F:$F,A11)&gt;0,"—","OPEN")</f>
        <v>OPEN</v>
      </c>
      <c r="D11" s="24" t="s">
        <v>71</v>
      </c>
      <c r="E11" s="12" t="n">
        <v>6.5</v>
      </c>
      <c r="F11" s="12" t="str">
        <f aca="false">IF(COUNTIF(Import_BradTracker!$F:$F,D11)&gt;0,"—","OPEN")</f>
        <v>OPEN</v>
      </c>
      <c r="G11" s="24" t="s">
        <v>82</v>
      </c>
      <c r="H11" s="12" t="n">
        <v>6.5</v>
      </c>
      <c r="I11" s="12" t="str">
        <f aca="false">IF(COUNTIF(Import_BradTracker!$F:$F,G11)&gt;0,"—","OPEN")</f>
        <v>OPEN</v>
      </c>
      <c r="J11" s="24" t="s">
        <v>61</v>
      </c>
      <c r="K11" s="12" t="n">
        <v>7.5</v>
      </c>
      <c r="L11" s="12" t="str">
        <f aca="false">IF(COUNTIF(Import_BradTracker!$F:$F,J11)&gt;0,"—","OPEN")</f>
        <v>OPEN</v>
      </c>
      <c r="M11" s="24" t="s">
        <v>151</v>
      </c>
      <c r="N11" s="12" t="n">
        <v>5.5</v>
      </c>
      <c r="O11" s="12" t="str">
        <f aca="false">IF(COUNTIF(Import_BradTracker!$F:$F,M11)&gt;0,"—","OPEN")</f>
        <v>OPEN</v>
      </c>
      <c r="P11" s="24" t="s">
        <v>159</v>
      </c>
      <c r="Q11" s="12" t="n">
        <v>4.5</v>
      </c>
      <c r="R11" s="12" t="str">
        <f aca="false">IF(COUNTIF(Import_BradTracker!$F:$F,P11)&gt;0,"—","OPEN")</f>
        <v>OPEN</v>
      </c>
      <c r="S11" s="24" t="s">
        <v>166</v>
      </c>
      <c r="T11" s="12" t="n">
        <v>4.5</v>
      </c>
      <c r="U11" s="12" t="str">
        <f aca="false">IF(COUNTIF(Import_BradTracker!$F:$F,S11)&gt;0,"—","OPEN")</f>
        <v>OPEN</v>
      </c>
      <c r="V11" s="24" t="s">
        <v>129</v>
      </c>
      <c r="W11" s="12" t="n">
        <v>4.5</v>
      </c>
      <c r="X11" s="12" t="str">
        <f aca="false">IF(COUNTIF(Import_BradTracker!$F:$F,V11)&gt;0,"—","OPEN")</f>
        <v>OPEN</v>
      </c>
      <c r="Y11" s="24" t="s">
        <v>55</v>
      </c>
      <c r="Z11" s="12" t="n">
        <v>7.5</v>
      </c>
      <c r="AA11" s="12" t="str">
        <f aca="false">IF(COUNTIF(Import_BradTracker!$F:$F,Y11)&gt;0,"—","OPEN")</f>
        <v>OPEN</v>
      </c>
      <c r="AB11" s="24" t="s">
        <v>155</v>
      </c>
      <c r="AC11" s="12" t="n">
        <v>5.5</v>
      </c>
      <c r="AD11" s="12" t="str">
        <f aca="false">IF(COUNTIF(Import_BradTracker!$F:$F,AB11)&gt;0,"—","OPEN")</f>
        <v>OPEN</v>
      </c>
    </row>
    <row r="12" customFormat="false" ht="15" hidden="false" customHeight="false" outlineLevel="0" collapsed="false">
      <c r="A12" s="24" t="s">
        <v>140</v>
      </c>
      <c r="B12" s="12" t="n">
        <v>5.5</v>
      </c>
      <c r="C12" s="12" t="str">
        <f aca="false">IF(COUNTIF(Import_BradTracker!$F:$F,A12)&gt;0,"—","OPEN")</f>
        <v>OPEN</v>
      </c>
      <c r="D12" s="24" t="s">
        <v>74</v>
      </c>
      <c r="E12" s="12" t="n">
        <v>6.5</v>
      </c>
      <c r="F12" s="12" t="str">
        <f aca="false">IF(COUNTIF(Import_BradTracker!$F:$F,D12)&gt;0,"—","OPEN")</f>
        <v>OPEN</v>
      </c>
      <c r="G12" s="24" t="s">
        <v>91</v>
      </c>
      <c r="H12" s="12" t="n">
        <v>6.5</v>
      </c>
      <c r="I12" s="12" t="str">
        <f aca="false">IF(COUNTIF(Import_BradTracker!$F:$F,G12)&gt;0,"—","OPEN")</f>
        <v>OPEN</v>
      </c>
      <c r="J12" s="24" t="s">
        <v>72</v>
      </c>
      <c r="K12" s="12" t="n">
        <v>7.5</v>
      </c>
      <c r="L12" s="12" t="str">
        <f aca="false">IF(COUNTIF(Import_BradTracker!$F:$F,J12)&gt;0,"—","OPEN")</f>
        <v>OPEN</v>
      </c>
      <c r="M12" s="24" t="s">
        <v>167</v>
      </c>
      <c r="N12" s="12" t="n">
        <v>4.5</v>
      </c>
      <c r="O12" s="12" t="str">
        <f aca="false">IF(COUNTIF(Import_BradTracker!$F:$F,M12)&gt;0,"—","OPEN")</f>
        <v>OPEN</v>
      </c>
      <c r="P12" s="24" t="s">
        <v>171</v>
      </c>
      <c r="Q12" s="12" t="n">
        <v>4.5</v>
      </c>
      <c r="R12" s="12" t="str">
        <f aca="false">IF(COUNTIF(Import_BradTracker!$F:$F,P12)&gt;0,"—","OPEN")</f>
        <v>OPEN</v>
      </c>
      <c r="S12" s="24" t="s">
        <v>116</v>
      </c>
      <c r="T12" s="12" t="n">
        <v>3.5</v>
      </c>
      <c r="U12" s="12" t="str">
        <f aca="false">IF(COUNTIF(Import_BradTracker!$F:$F,S12)&gt;0,"—","OPEN")</f>
        <v>OPEN</v>
      </c>
      <c r="V12" s="24" t="s">
        <v>135</v>
      </c>
      <c r="W12" s="12" t="n">
        <v>4.5</v>
      </c>
      <c r="X12" s="12" t="str">
        <f aca="false">IF(COUNTIF(Import_BradTracker!$F:$F,V12)&gt;0,"—","OPEN")</f>
        <v>OPEN</v>
      </c>
      <c r="Y12" s="24" t="s">
        <v>58</v>
      </c>
      <c r="Z12" s="12" t="n">
        <v>7.5</v>
      </c>
      <c r="AA12" s="12" t="str">
        <f aca="false">IF(COUNTIF(Import_BradTracker!$F:$F,Y12)&gt;0,"—","OPEN")</f>
        <v>OPEN</v>
      </c>
      <c r="AB12" s="24" t="s">
        <v>160</v>
      </c>
      <c r="AC12" s="12" t="n">
        <v>5.5</v>
      </c>
      <c r="AD12" s="12" t="str">
        <f aca="false">IF(COUNTIF(Import_BradTracker!$F:$F,AB12)&gt;0,"—","OPEN")</f>
        <v>OPEN</v>
      </c>
    </row>
    <row r="13" customFormat="false" ht="15" hidden="false" customHeight="false" outlineLevel="0" collapsed="false">
      <c r="A13" s="24" t="s">
        <v>146</v>
      </c>
      <c r="B13" s="12" t="n">
        <v>5.5</v>
      </c>
      <c r="C13" s="12" t="str">
        <f aca="false">IF(COUNTIF(Import_BradTracker!$F:$F,A13)&gt;0,"—","OPEN")</f>
        <v>OPEN</v>
      </c>
      <c r="D13" s="24" t="s">
        <v>83</v>
      </c>
      <c r="E13" s="12" t="n">
        <v>6.5</v>
      </c>
      <c r="F13" s="12" t="str">
        <f aca="false">IF(COUNTIF(Import_BradTracker!$F:$F,D13)&gt;0,"—","OPEN")</f>
        <v>OPEN</v>
      </c>
      <c r="G13" s="24" t="s">
        <v>90</v>
      </c>
      <c r="H13" s="12" t="n">
        <v>5.5</v>
      </c>
      <c r="I13" s="12" t="str">
        <f aca="false">IF(COUNTIF(Import_BradTracker!$F:$F,G13)&gt;0,"—","OPEN")</f>
        <v>OPEN</v>
      </c>
      <c r="J13" s="24" t="s">
        <v>76</v>
      </c>
      <c r="K13" s="12" t="n">
        <v>6.5</v>
      </c>
      <c r="L13" s="12" t="str">
        <f aca="false">IF(COUNTIF(Import_BradTracker!$F:$F,J13)&gt;0,"—","OPEN")</f>
        <v>OPEN</v>
      </c>
      <c r="M13" s="24" t="s">
        <v>170</v>
      </c>
      <c r="N13" s="12" t="n">
        <v>4.5</v>
      </c>
      <c r="O13" s="12" t="str">
        <f aca="false">IF(COUNTIF(Import_BradTracker!$F:$F,M13)&gt;0,"—","OPEN")</f>
        <v>OPEN</v>
      </c>
      <c r="P13" s="24" t="s">
        <v>174</v>
      </c>
      <c r="Q13" s="12" t="n">
        <v>4.5</v>
      </c>
      <c r="R13" s="12" t="str">
        <f aca="false">IF(COUNTIF(Import_BradTracker!$F:$F,P13)&gt;0,"—","OPEN")</f>
        <v>OPEN</v>
      </c>
      <c r="S13" s="24" t="s">
        <v>169</v>
      </c>
      <c r="T13" s="12" t="n">
        <v>3.5</v>
      </c>
      <c r="U13" s="12" t="str">
        <f aca="false">IF(COUNTIF(Import_BradTracker!$F:$F,S13)&gt;0,"—","OPEN")</f>
        <v>OPEN</v>
      </c>
      <c r="V13" s="24" t="s">
        <v>141</v>
      </c>
      <c r="W13" s="12" t="n">
        <v>4.5</v>
      </c>
      <c r="X13" s="12" t="str">
        <f aca="false">IF(COUNTIF(Import_BradTracker!$F:$F,V13)&gt;0,"—","OPEN")</f>
        <v>OPEN</v>
      </c>
      <c r="Y13" s="24" t="s">
        <v>59</v>
      </c>
      <c r="Z13" s="12" t="n">
        <v>6.5</v>
      </c>
      <c r="AA13" s="12" t="str">
        <f aca="false">IF(COUNTIF(Import_BradTracker!$F:$F,Y13)&gt;0,"—","OPEN")</f>
        <v>OPEN</v>
      </c>
      <c r="AB13" s="24" t="s">
        <v>147</v>
      </c>
      <c r="AC13" s="12" t="n">
        <v>4.5</v>
      </c>
      <c r="AD13" s="12" t="str">
        <f aca="false">IF(COUNTIF(Import_BradTracker!$F:$F,AB13)&gt;0,"—","OPEN")</f>
        <v>OPEN</v>
      </c>
    </row>
    <row r="14" customFormat="false" ht="15" hidden="false" customHeight="false" outlineLevel="0" collapsed="false">
      <c r="A14" s="24" t="s">
        <v>153</v>
      </c>
      <c r="B14" s="12" t="n">
        <v>5.5</v>
      </c>
      <c r="C14" s="12" t="str">
        <f aca="false">IF(COUNTIF(Import_BradTracker!$F:$F,A14)&gt;0,"—","OPEN")</f>
        <v>OPEN</v>
      </c>
      <c r="D14" s="24" t="s">
        <v>96</v>
      </c>
      <c r="E14" s="12" t="n">
        <v>6.5</v>
      </c>
      <c r="F14" s="12" t="str">
        <f aca="false">IF(COUNTIF(Import_BradTracker!$F:$F,D14)&gt;0,"—","OPEN")</f>
        <v>OPEN</v>
      </c>
      <c r="G14" s="24" t="s">
        <v>97</v>
      </c>
      <c r="H14" s="12" t="n">
        <v>5.5</v>
      </c>
      <c r="I14" s="12" t="str">
        <f aca="false">IF(COUNTIF(Import_BradTracker!$F:$F,G14)&gt;0,"—","OPEN")</f>
        <v>OPEN</v>
      </c>
      <c r="J14" s="24" t="s">
        <v>85</v>
      </c>
      <c r="K14" s="12" t="n">
        <v>6.5</v>
      </c>
      <c r="L14" s="12" t="str">
        <f aca="false">IF(COUNTIF(Import_BradTracker!$F:$F,J14)&gt;0,"—","OPEN")</f>
        <v>OPEN</v>
      </c>
      <c r="M14" s="24" t="s">
        <v>179</v>
      </c>
      <c r="N14" s="12" t="n">
        <v>3.5</v>
      </c>
      <c r="O14" s="12" t="str">
        <f aca="false">IF(COUNTIF(Import_BradTracker!$F:$F,M14)&gt;0,"—","OPEN")</f>
        <v>OPEN</v>
      </c>
      <c r="P14" s="24" t="s">
        <v>172</v>
      </c>
      <c r="Q14" s="12" t="n">
        <v>3.5</v>
      </c>
      <c r="R14" s="12" t="str">
        <f aca="false">IF(COUNTIF(Import_BradTracker!$F:$F,P14)&gt;0,"—","OPEN")</f>
        <v>OPEN</v>
      </c>
      <c r="S14" s="24" t="s">
        <v>173</v>
      </c>
      <c r="T14" s="12" t="n">
        <v>3.5</v>
      </c>
      <c r="U14" s="12" t="str">
        <f aca="false">IF(COUNTIF(Import_BradTracker!$F:$F,S14)&gt;0,"—","OPEN")</f>
        <v>OPEN</v>
      </c>
      <c r="V14" s="24" t="s">
        <v>126</v>
      </c>
      <c r="W14" s="12" t="n">
        <v>3.5</v>
      </c>
      <c r="X14" s="12" t="str">
        <f aca="false">IF(COUNTIF(Import_BradTracker!$F:$F,V14)&gt;0,"—","OPEN")</f>
        <v>OPEN</v>
      </c>
      <c r="Y14" s="24" t="s">
        <v>63</v>
      </c>
      <c r="Z14" s="12" t="n">
        <v>6.5</v>
      </c>
      <c r="AA14" s="12" t="str">
        <f aca="false">IF(COUNTIF(Import_BradTracker!$F:$F,Y14)&gt;0,"—","OPEN")</f>
        <v>OPEN</v>
      </c>
      <c r="AB14" s="24" t="s">
        <v>163</v>
      </c>
      <c r="AC14" s="12" t="n">
        <v>4.5</v>
      </c>
      <c r="AD14" s="12" t="str">
        <f aca="false">IF(COUNTIF(Import_BradTracker!$F:$F,AB14)&gt;0,"—","OPEN")</f>
        <v>OPEN</v>
      </c>
    </row>
    <row r="15" customFormat="false" ht="15" hidden="false" customHeight="false" outlineLevel="0" collapsed="false">
      <c r="A15" s="24" t="s">
        <v>164</v>
      </c>
      <c r="B15" s="12" t="n">
        <v>3.5</v>
      </c>
      <c r="C15" s="12" t="str">
        <f aca="false">IF(COUNTIF(Import_BradTracker!$F:$F,A15)&gt;0,"—","OPEN")</f>
        <v>OPEN</v>
      </c>
      <c r="D15" s="24" t="s">
        <v>84</v>
      </c>
      <c r="E15" s="12" t="n">
        <v>5.5</v>
      </c>
      <c r="F15" s="12" t="str">
        <f aca="false">IF(COUNTIF(Import_BradTracker!$F:$F,D15)&gt;0,"—","OPEN")</f>
        <v>OPEN</v>
      </c>
      <c r="G15" s="24" t="s">
        <v>101</v>
      </c>
      <c r="H15" s="12" t="n">
        <v>5.5</v>
      </c>
      <c r="I15" s="12" t="str">
        <f aca="false">IF(COUNTIF(Import_BradTracker!$F:$F,G15)&gt;0,"—","OPEN")</f>
        <v>OPEN</v>
      </c>
      <c r="J15" s="24" t="s">
        <v>86</v>
      </c>
      <c r="K15" s="12" t="n">
        <v>6.5</v>
      </c>
      <c r="L15" s="12" t="str">
        <f aca="false">IF(COUNTIF(Import_BradTracker!$F:$F,J15)&gt;0,"—","OPEN")</f>
        <v>OPEN</v>
      </c>
      <c r="M15" s="24" t="s">
        <v>180</v>
      </c>
      <c r="N15" s="12" t="n">
        <v>3.5</v>
      </c>
      <c r="O15" s="12" t="str">
        <f aca="false">IF(COUNTIF(Import_BradTracker!$F:$F,M15)&gt;0,"—","OPEN")</f>
        <v>OPEN</v>
      </c>
      <c r="P15" s="24" t="s">
        <v>178</v>
      </c>
      <c r="Q15" s="12" t="n">
        <v>3.5</v>
      </c>
      <c r="R15" s="12" t="str">
        <f aca="false">IF(COUNTIF(Import_BradTracker!$F:$F,P15)&gt;0,"—","OPEN")</f>
        <v>OPEN</v>
      </c>
      <c r="S15" s="24" t="s">
        <v>114</v>
      </c>
      <c r="T15" s="12"/>
      <c r="U15" s="12" t="str">
        <f aca="false">IF(COUNTIF(Import_BradTracker!$F:$F,S15)&gt;0,"—","OPEN")</f>
        <v>OPEN</v>
      </c>
      <c r="V15" s="24" t="s">
        <v>143</v>
      </c>
      <c r="W15" s="12" t="n">
        <v>3.5</v>
      </c>
      <c r="X15" s="12" t="str">
        <f aca="false">IF(COUNTIF(Import_BradTracker!$F:$F,V15)&gt;0,"—","OPEN")</f>
        <v>OPEN</v>
      </c>
      <c r="Y15" s="24" t="s">
        <v>65</v>
      </c>
      <c r="Z15" s="12" t="n">
        <v>6.5</v>
      </c>
      <c r="AA15" s="12" t="str">
        <f aca="false">IF(COUNTIF(Import_BradTracker!$F:$F,Y15)&gt;0,"—","OPEN")</f>
        <v>OPEN</v>
      </c>
      <c r="AB15" s="24" t="s">
        <v>177</v>
      </c>
      <c r="AC15" s="12" t="n">
        <v>4.5</v>
      </c>
      <c r="AD15" s="12" t="str">
        <f aca="false">IF(COUNTIF(Import_BradTracker!$F:$F,AB15)&gt;0,"—","OPEN")</f>
        <v>OPEN</v>
      </c>
    </row>
    <row r="16" customFormat="false" ht="15" hidden="false" customHeight="false" outlineLevel="0" collapsed="false">
      <c r="A16" s="24" t="s">
        <v>168</v>
      </c>
      <c r="B16" s="12" t="n">
        <v>3.5</v>
      </c>
      <c r="C16" s="12" t="str">
        <f aca="false">IF(COUNTIF(Import_BradTracker!$F:$F,A16)&gt;0,"—","OPEN")</f>
        <v>OPEN</v>
      </c>
      <c r="D16" s="24" t="s">
        <v>98</v>
      </c>
      <c r="E16" s="12" t="n">
        <v>5.5</v>
      </c>
      <c r="F16" s="12" t="str">
        <f aca="false">IF(COUNTIF(Import_BradTracker!$F:$F,D16)&gt;0,"—","OPEN")</f>
        <v>OPEN</v>
      </c>
      <c r="G16" s="24" t="s">
        <v>108</v>
      </c>
      <c r="H16" s="12" t="n">
        <v>5.5</v>
      </c>
      <c r="I16" s="12" t="str">
        <f aca="false">IF(COUNTIF(Import_BradTracker!$F:$F,G16)&gt;0,"—","OPEN")</f>
        <v>OPEN</v>
      </c>
      <c r="J16" s="24" t="s">
        <v>102</v>
      </c>
      <c r="K16" s="12" t="n">
        <v>6.5</v>
      </c>
      <c r="L16" s="12" t="str">
        <f aca="false">IF(COUNTIF(Import_BradTracker!$F:$F,J16)&gt;0,"—","OPEN")</f>
        <v>OPEN</v>
      </c>
      <c r="P16" s="24" t="s">
        <v>181</v>
      </c>
      <c r="Q16" s="12" t="n">
        <v>2.5</v>
      </c>
      <c r="R16" s="12" t="str">
        <f aca="false">IF(COUNTIF(Import_BradTracker!$F:$F,P16)&gt;0,"—","OPEN")</f>
        <v>OPEN</v>
      </c>
      <c r="Y16" s="24" t="s">
        <v>70</v>
      </c>
      <c r="Z16" s="12" t="n">
        <v>5.5</v>
      </c>
      <c r="AA16" s="12" t="str">
        <f aca="false">IF(COUNTIF(Import_BradTracker!$F:$F,Y16)&gt;0,"—","OPEN")</f>
        <v>OPEN</v>
      </c>
      <c r="AB16" s="24" t="s">
        <v>175</v>
      </c>
      <c r="AC16" s="12" t="n">
        <v>3.5</v>
      </c>
      <c r="AD16" s="12" t="str">
        <f aca="false">IF(COUNTIF(Import_BradTracker!$F:$F,AB16)&gt;0,"—","OPEN")</f>
        <v>OPEN</v>
      </c>
    </row>
    <row r="17" customFormat="false" ht="15" hidden="false" customHeight="false" outlineLevel="0" collapsed="false">
      <c r="A17" s="24" t="s">
        <v>182</v>
      </c>
      <c r="B17" s="12" t="n">
        <v>2.5</v>
      </c>
      <c r="C17" s="12" t="str">
        <f aca="false">IF(COUNTIF(Import_BradTracker!$F:$F,A17)&gt;0,"—","OPEN")</f>
        <v>OPEN</v>
      </c>
      <c r="D17" s="24" t="s">
        <v>94</v>
      </c>
      <c r="E17" s="12" t="n">
        <v>4.5</v>
      </c>
      <c r="F17" s="12" t="str">
        <f aca="false">IF(COUNTIF(Import_BradTracker!$F:$F,D17)&gt;0,"—","OPEN")</f>
        <v>OPEN</v>
      </c>
      <c r="G17" s="24" t="s">
        <v>106</v>
      </c>
      <c r="H17" s="12" t="n">
        <v>4.5</v>
      </c>
      <c r="I17" s="12" t="str">
        <f aca="false">IF(COUNTIF(Import_BradTracker!$F:$F,G17)&gt;0,"—","OPEN")</f>
        <v>OPEN</v>
      </c>
      <c r="J17" s="24" t="s">
        <v>89</v>
      </c>
      <c r="K17" s="12" t="n">
        <v>5.5</v>
      </c>
      <c r="L17" s="12" t="str">
        <f aca="false">IF(COUNTIF(Import_BradTracker!$F:$F,J17)&gt;0,"—","OPEN")</f>
        <v>OPEN</v>
      </c>
      <c r="Y17" s="24" t="s">
        <v>92</v>
      </c>
      <c r="Z17" s="12" t="n">
        <v>4.5</v>
      </c>
      <c r="AA17" s="12" t="str">
        <f aca="false">IF(COUNTIF(Import_BradTracker!$F:$F,Y17)&gt;0,"—","OPEN")</f>
        <v>OPEN</v>
      </c>
      <c r="AB17" s="24" t="s">
        <v>176</v>
      </c>
      <c r="AC17" s="12" t="n">
        <v>3.5</v>
      </c>
      <c r="AD17" s="12" t="str">
        <f aca="false">IF(COUNTIF(Import_BradTracker!$F:$F,AB17)&gt;0,"—","OPEN")</f>
        <v>OPEN</v>
      </c>
    </row>
    <row r="18" customFormat="false" ht="15" hidden="false" customHeight="false" outlineLevel="0" collapsed="false">
      <c r="D18" s="24" t="s">
        <v>117</v>
      </c>
      <c r="E18" s="12" t="n">
        <v>3.5</v>
      </c>
      <c r="F18" s="12" t="str">
        <f aca="false">IF(COUNTIF(Import_BradTracker!$F:$F,D18)&gt;0,"—","OPEN")</f>
        <v>OPEN</v>
      </c>
      <c r="G18" s="24" t="s">
        <v>107</v>
      </c>
      <c r="H18" s="12" t="n">
        <v>4.5</v>
      </c>
      <c r="I18" s="12" t="str">
        <f aca="false">IF(COUNTIF(Import_BradTracker!$F:$F,G18)&gt;0,"—","OPEN")</f>
        <v>OPEN</v>
      </c>
      <c r="J18" s="24" t="s">
        <v>95</v>
      </c>
      <c r="K18" s="12" t="n">
        <v>5.5</v>
      </c>
      <c r="L18" s="12" t="str">
        <f aca="false">IF(COUNTIF(Import_BradTracker!$F:$F,J18)&gt;0,"—","OPEN")</f>
        <v>OPEN</v>
      </c>
      <c r="Y18" s="24" t="s">
        <v>93</v>
      </c>
      <c r="Z18" s="12" t="n">
        <v>4.5</v>
      </c>
      <c r="AA18" s="12" t="str">
        <f aca="false">IF(COUNTIF(Import_BradTracker!$F:$F,Y18)&gt;0,"—","OPEN")</f>
        <v>OPEN</v>
      </c>
    </row>
    <row r="19" customFormat="false" ht="15" hidden="false" customHeight="false" outlineLevel="0" collapsed="false">
      <c r="J19" s="24" t="s">
        <v>103</v>
      </c>
      <c r="K19" s="12" t="n">
        <v>4.5</v>
      </c>
      <c r="L19" s="12" t="str">
        <f aca="false">IF(COUNTIF(Import_BradTracker!$F:$F,J19)&gt;0,"—","OPEN")</f>
        <v>OPEN</v>
      </c>
    </row>
    <row r="21" customFormat="false" ht="15" hidden="false" customHeight="false" outlineLevel="0" collapsed="false">
      <c r="A21" s="25" t="s">
        <v>346</v>
      </c>
      <c r="B21" s="25" t="n">
        <f aca="false">COUNTIF(C4:C17,"OPEN")</f>
        <v>14</v>
      </c>
      <c r="D21" s="25" t="s">
        <v>346</v>
      </c>
      <c r="E21" s="25" t="n">
        <f aca="false">COUNTIF(F4:F18,"OPEN")</f>
        <v>15</v>
      </c>
      <c r="G21" s="25" t="s">
        <v>346</v>
      </c>
      <c r="H21" s="25" t="n">
        <f aca="false">COUNTIF(I4:I18,"OPEN")</f>
        <v>15</v>
      </c>
      <c r="J21" s="25" t="s">
        <v>346</v>
      </c>
      <c r="K21" s="25" t="n">
        <f aca="false">COUNTIF(L4:L19,"OPEN")</f>
        <v>16</v>
      </c>
      <c r="M21" s="25" t="s">
        <v>346</v>
      </c>
      <c r="N21" s="25" t="n">
        <f aca="false">COUNTIF(O4:O15,"OPEN")</f>
        <v>12</v>
      </c>
      <c r="P21" s="25" t="s">
        <v>346</v>
      </c>
      <c r="Q21" s="25" t="n">
        <f aca="false">COUNTIF(R4:R16,"OPEN")</f>
        <v>13</v>
      </c>
      <c r="S21" s="25" t="s">
        <v>346</v>
      </c>
      <c r="T21" s="25" t="n">
        <f aca="false">COUNTIF(U4:U15,"OPEN")</f>
        <v>12</v>
      </c>
      <c r="V21" s="25" t="s">
        <v>346</v>
      </c>
      <c r="W21" s="25" t="n">
        <f aca="false">COUNTIF(X4:X15,"OPEN")</f>
        <v>11</v>
      </c>
      <c r="Y21" s="25" t="s">
        <v>346</v>
      </c>
      <c r="Z21" s="25" t="n">
        <f aca="false">COUNTIF(AA4:AA18,"OPEN")</f>
        <v>15</v>
      </c>
      <c r="AB21" s="25" t="s">
        <v>346</v>
      </c>
      <c r="AC21" s="25" t="n">
        <f aca="false">COUNTIF(AD4:AD17,"OPEN")</f>
        <v>14</v>
      </c>
    </row>
  </sheetData>
  <mergeCells count="11">
    <mergeCell ref="A1:T1"/>
    <mergeCell ref="A2:C2"/>
    <mergeCell ref="D2:F2"/>
    <mergeCell ref="G2:I2"/>
    <mergeCell ref="J2:L2"/>
    <mergeCell ref="M2:O2"/>
    <mergeCell ref="P2:R2"/>
    <mergeCell ref="S2:U2"/>
    <mergeCell ref="V2:X2"/>
    <mergeCell ref="Y2:AA2"/>
    <mergeCell ref="AB2:A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40"/>
  </cols>
  <sheetData>
    <row r="1" customFormat="false" ht="15" hidden="false" customHeight="false" outlineLevel="0" collapsed="false">
      <c r="A1" s="14" t="s">
        <v>347</v>
      </c>
      <c r="B1" s="14"/>
      <c r="C1" s="14"/>
      <c r="D1" s="14"/>
      <c r="E1" s="14"/>
    </row>
    <row r="2" customFormat="false" ht="15" hidden="false" customHeight="false" outlineLevel="0" collapsed="false">
      <c r="A2" s="9" t="s">
        <v>342</v>
      </c>
      <c r="B2" s="9" t="s">
        <v>348</v>
      </c>
      <c r="C2" s="9" t="s">
        <v>349</v>
      </c>
      <c r="D2" s="9" t="s">
        <v>350</v>
      </c>
      <c r="E2" s="9" t="s">
        <v>351</v>
      </c>
    </row>
    <row r="3" customFormat="false" ht="15" hidden="false" customHeight="false" outlineLevel="0" collapsed="false">
      <c r="A3" s="12" t="s">
        <v>105</v>
      </c>
      <c r="B3" s="12" t="n">
        <f aca="false">COUNTIF('Layer A — raw data (SOURCED)'!$O:$O,$A3)-COUNTIFS(Import_BradTracker!$E:$E,$A3)</f>
        <v>14</v>
      </c>
      <c r="C3" s="12" t="str">
        <f aca="false">IFERROR(INDEX('Layer A — raw data (SOURCED)'!$A:$A,MATCH($A3&amp;_xlfn.MAXIFS('Layer A — raw data (SOURCED)'!$B:$B,'Layer A — raw data (SOURCED)'!$O:$O,$A3),INDEX('Layer A — raw data (SOURCED)'!$O:$O&amp;'Layer A — raw data (SOURCED)'!$B:$B,0),0)),"—")</f>
        <v>South Florida</v>
      </c>
      <c r="D3" s="12" t="n">
        <f aca="false">IFERROR(SUMPRODUCT((Conferences_Needed!$B3:$M3="NEED")*(Draft_Order!$G$22:$G$33="YES")*(Draft_Order!$B$22:$B$33=Conferences_Needed!$B$2:$M$2)),0)</f>
        <v>0</v>
      </c>
      <c r="E3" s="13" t="str">
        <f aca="false">IF(B3="","",IF(AND(B3&lt;=3,D3=0),"SCARCE + nobody in gap needs it -&gt; PUNT OK",IF(AND(B3&lt;=3,D3&gt;=1),"SCARCE + "&amp;D3&amp;" in gap need it -&gt; GRAB",IF(D3&gt;=2,D3&amp;" in gap need it -&gt; pressure",""))))</f>
        <v/>
      </c>
    </row>
    <row r="4" customFormat="false" ht="15" hidden="false" customHeight="false" outlineLevel="0" collapsed="false">
      <c r="A4" s="12" t="s">
        <v>47</v>
      </c>
      <c r="B4" s="12" t="n">
        <f aca="false">COUNTIF('Layer A — raw data (SOURCED)'!$O:$O,$A4)-COUNTIFS(Import_BradTracker!$E:$E,$A4)</f>
        <v>15</v>
      </c>
      <c r="C4" s="12" t="str">
        <f aca="false">IFERROR(INDEX('Layer A — raw data (SOURCED)'!$A:$A,MATCH($A4&amp;_xlfn.MAXIFS('Layer A — raw data (SOURCED)'!$B:$B,'Layer A — raw data (SOURCED)'!$O:$O,$A4),INDEX('Layer A — raw data (SOURCED)'!$O:$O&amp;'Layer A — raw data (SOURCED)'!$B:$B,0),0)),"—")</f>
        <v>Miami FL</v>
      </c>
      <c r="D4" s="12" t="n">
        <f aca="false">IFERROR(SUMPRODUCT((Conferences_Needed!$B4:$M4="NEED")*(Draft_Order!$G$22:$G$33="YES")*(Draft_Order!$B$22:$B$33=Conferences_Needed!$B$2:$M$2)),0)</f>
        <v>0</v>
      </c>
      <c r="E4" s="13" t="str">
        <f aca="false">IF(B4="","",IF(AND(B4&lt;=3,D4=0),"SCARCE + nobody in gap needs it -&gt; PUNT OK",IF(AND(B4&lt;=3,D4&gt;=1),"SCARCE + "&amp;D4&amp;" in gap need it -&gt; GRAB",IF(D4&gt;=2,D4&amp;" in gap need it -&gt; pressure",""))))</f>
        <v/>
      </c>
    </row>
    <row r="5" customFormat="false" ht="15" hidden="false" customHeight="false" outlineLevel="0" collapsed="false">
      <c r="A5" s="12" t="s">
        <v>45</v>
      </c>
      <c r="B5" s="12" t="n">
        <f aca="false">COUNTIF('Layer A — raw data (SOURCED)'!$O:$O,$A5)-COUNTIFS(Import_BradTracker!$E:$E,$A5)</f>
        <v>15</v>
      </c>
      <c r="C5" s="12" t="str">
        <f aca="false">IFERROR(INDEX('Layer A — raw data (SOURCED)'!$A:$A,MATCH($A5&amp;_xlfn.MAXIFS('Layer A — raw data (SOURCED)'!$B:$B,'Layer A — raw data (SOURCED)'!$O:$O,$A5),INDEX('Layer A — raw data (SOURCED)'!$O:$O&amp;'Layer A — raw data (SOURCED)'!$B:$B,0),0)),"—")</f>
        <v>Texas Tech</v>
      </c>
      <c r="D5" s="12" t="n">
        <f aca="false">IFERROR(SUMPRODUCT((Conferences_Needed!$B5:$M5="NEED")*(Draft_Order!$G$22:$G$33="YES")*(Draft_Order!$B$22:$B$33=Conferences_Needed!$B$2:$M$2)),0)</f>
        <v>0</v>
      </c>
      <c r="E5" s="13" t="str">
        <f aca="false">IF(B5="","",IF(AND(B5&lt;=3,D5=0),"SCARCE + nobody in gap needs it -&gt; PUNT OK",IF(AND(B5&lt;=3,D5&gt;=1),"SCARCE + "&amp;D5&amp;" in gap need it -&gt; GRAB",IF(D5&gt;=2,D5&amp;" in gap need it -&gt; pressure",""))))</f>
        <v/>
      </c>
    </row>
    <row r="6" customFormat="false" ht="15" hidden="false" customHeight="false" outlineLevel="0" collapsed="false">
      <c r="A6" s="12" t="s">
        <v>36</v>
      </c>
      <c r="B6" s="12" t="n">
        <f aca="false">COUNTIF('Layer A — raw data (SOURCED)'!$O:$O,$A6)-COUNTIFS(Import_BradTracker!$E:$E,$A6)</f>
        <v>16</v>
      </c>
      <c r="C6" s="12" t="str">
        <f aca="false">IFERROR(INDEX('Layer A — raw data (SOURCED)'!$A:$A,MATCH($A6&amp;_xlfn.MAXIFS('Layer A — raw data (SOURCED)'!$B:$B,'Layer A — raw data (SOURCED)'!$O:$O,$A6),INDEX('Layer A — raw data (SOURCED)'!$O:$O&amp;'Layer A — raw data (SOURCED)'!$B:$B,0),0)),"—")</f>
        <v>Oregon</v>
      </c>
      <c r="D6" s="12" t="n">
        <f aca="false">IFERROR(SUMPRODUCT((Conferences_Needed!$B6:$M6="NEED")*(Draft_Order!$G$22:$G$33="YES")*(Draft_Order!$B$22:$B$33=Conferences_Needed!$B$2:$M$2)),0)</f>
        <v>0</v>
      </c>
      <c r="E6" s="13" t="str">
        <f aca="false">IF(B6="","",IF(AND(B6&lt;=3,D6=0),"SCARCE + nobody in gap needs it -&gt; PUNT OK",IF(AND(B6&lt;=3,D6&gt;=1),"SCARCE + "&amp;D6&amp;" in gap need it -&gt; GRAB",IF(D6&gt;=2,D6&amp;" in gap need it -&gt; pressure",""))))</f>
        <v/>
      </c>
    </row>
    <row r="7" customFormat="false" ht="15" hidden="false" customHeight="false" outlineLevel="0" collapsed="false">
      <c r="A7" s="12" t="s">
        <v>39</v>
      </c>
      <c r="B7" s="12" t="n">
        <f aca="false">COUNTIF('Layer A — raw data (SOURCED)'!$O:$O,$A7)-COUNTIFS(Import_BradTracker!$E:$E,$A7)</f>
        <v>12</v>
      </c>
      <c r="C7" s="12" t="str">
        <f aca="false">IFERROR(INDEX('Layer A — raw data (SOURCED)'!$A:$A,MATCH($A7&amp;_xlfn.MAXIFS('Layer A — raw data (SOURCED)'!$B:$B,'Layer A — raw data (SOURCED)'!$O:$O,$A7),INDEX('Layer A — raw data (SOURCED)'!$O:$O&amp;'Layer A — raw data (SOURCED)'!$B:$B,0),0)),"—")</f>
        <v>Notre Dame</v>
      </c>
      <c r="D7" s="12" t="n">
        <f aca="false">IFERROR(SUMPRODUCT((Conferences_Needed!$B7:$M7="NEED")*(Draft_Order!$G$22:$G$33="YES")*(Draft_Order!$B$22:$B$33=Conferences_Needed!$B$2:$M$2)),0)</f>
        <v>0</v>
      </c>
      <c r="E7" s="13" t="str">
        <f aca="false">IF(B7="","",IF(AND(B7&lt;=3,D7=0),"SCARCE + nobody in gap needs it -&gt; PUNT OK",IF(AND(B7&lt;=3,D7&gt;=1),"SCARCE + "&amp;D7&amp;" in gap need it -&gt; GRAB",IF(D7&gt;=2,D7&amp;" in gap need it -&gt; pressure",""))))</f>
        <v/>
      </c>
    </row>
    <row r="8" customFormat="false" ht="15" hidden="false" customHeight="false" outlineLevel="0" collapsed="false">
      <c r="A8" s="12" t="s">
        <v>125</v>
      </c>
      <c r="B8" s="12" t="n">
        <f aca="false">COUNTIF('Layer A — raw data (SOURCED)'!$O:$O,$A8)-COUNTIFS(Import_BradTracker!$E:$E,$A8)</f>
        <v>13</v>
      </c>
      <c r="C8" s="12" t="str">
        <f aca="false">IFERROR(INDEX('Layer A — raw data (SOURCED)'!$A:$A,MATCH($A8&amp;_xlfn.MAXIFS('Layer A — raw data (SOURCED)'!$B:$B,'Layer A — raw data (SOURCED)'!$O:$O,$A8),INDEX('Layer A — raw data (SOURCED)'!$O:$O&amp;'Layer A — raw data (SOURCED)'!$B:$B,0),0)),"—")</f>
        <v>Miami OH</v>
      </c>
      <c r="D8" s="12" t="n">
        <f aca="false">IFERROR(SUMPRODUCT((Conferences_Needed!$B8:$M8="NEED")*(Draft_Order!$G$22:$G$33="YES")*(Draft_Order!$B$22:$B$33=Conferences_Needed!$B$2:$M$2)),0)</f>
        <v>0</v>
      </c>
      <c r="E8" s="13" t="str">
        <f aca="false">IF(B8="","",IF(AND(B8&lt;=3,D8=0),"SCARCE + nobody in gap needs it -&gt; PUNT OK",IF(AND(B8&lt;=3,D8&gt;=1),"SCARCE + "&amp;D8&amp;" in gap need it -&gt; GRAB",IF(D8&gt;=2,D8&amp;" in gap need it -&gt; pressure",""))))</f>
        <v/>
      </c>
    </row>
    <row r="9" customFormat="false" ht="15" hidden="false" customHeight="false" outlineLevel="0" collapsed="false">
      <c r="A9" s="12" t="s">
        <v>100</v>
      </c>
      <c r="B9" s="12" t="n">
        <f aca="false">COUNTIF('Layer A — raw data (SOURCED)'!$O:$O,$A9)-COUNTIFS(Import_BradTracker!$E:$E,$A9)</f>
        <v>12</v>
      </c>
      <c r="C9" s="12" t="str">
        <f aca="false">IFERROR(INDEX('Layer A — raw data (SOURCED)'!$A:$A,MATCH($A9&amp;_xlfn.MAXIFS('Layer A — raw data (SOURCED)'!$B:$B,'Layer A — raw data (SOURCED)'!$O:$O,$A9),INDEX('Layer A — raw data (SOURCED)'!$O:$O&amp;'Layer A — raw data (SOURCED)'!$B:$B,0),0)),"—")</f>
        <v>UNLV</v>
      </c>
      <c r="D9" s="12" t="n">
        <f aca="false">IFERROR(SUMPRODUCT((Conferences_Needed!$B9:$M9="NEED")*(Draft_Order!$G$22:$G$33="YES")*(Draft_Order!$B$22:$B$33=Conferences_Needed!$B$2:$M$2)),0)</f>
        <v>0</v>
      </c>
      <c r="E9" s="13" t="str">
        <f aca="false">IF(B9="","",IF(AND(B9&lt;=3,D9=0),"SCARCE + nobody in gap needs it -&gt; PUNT OK",IF(AND(B9&lt;=3,D9&gt;=1),"SCARCE + "&amp;D9&amp;" in gap need it -&gt; GRAB",IF(D9&gt;=2,D9&amp;" in gap need it -&gt; pressure",""))))</f>
        <v/>
      </c>
    </row>
    <row r="10" customFormat="false" ht="15" hidden="false" customHeight="false" outlineLevel="0" collapsed="false">
      <c r="A10" s="12" t="s">
        <v>78</v>
      </c>
      <c r="B10" s="12" t="n">
        <f aca="false">COUNTIF('Layer A — raw data (SOURCED)'!$O:$O,$A10)-COUNTIFS(Import_BradTracker!$E:$E,$A10)</f>
        <v>11</v>
      </c>
      <c r="C10" s="12" t="str">
        <f aca="false">IFERROR(INDEX('Layer A — raw data (SOURCED)'!$A:$A,MATCH($A10&amp;_xlfn.MAXIFS('Layer A — raw data (SOURCED)'!$B:$B,'Layer A — raw data (SOURCED)'!$O:$O,$A10),INDEX('Layer A — raw data (SOURCED)'!$O:$O&amp;'Layer A — raw data (SOURCED)'!$B:$B,0),0)),"—")</f>
        <v>Boise State</v>
      </c>
      <c r="D10" s="12" t="n">
        <f aca="false">IFERROR(SUMPRODUCT((Conferences_Needed!$B10:$M10="NEED")*(Draft_Order!$G$22:$G$33="YES")*(Draft_Order!$B$22:$B$33=Conferences_Needed!$B$2:$M$2)),0)</f>
        <v>0</v>
      </c>
      <c r="E10" s="13" t="str">
        <f aca="false">IF(B10="","",IF(AND(B10&lt;=3,D10=0),"SCARCE + nobody in gap needs it -&gt; PUNT OK",IF(AND(B10&lt;=3,D10&gt;=1),"SCARCE + "&amp;D10&amp;" in gap need it -&gt; GRAB",IF(D10&gt;=2,D10&amp;" in gap need it -&gt; pressure",""))))</f>
        <v/>
      </c>
    </row>
    <row r="11" customFormat="false" ht="15" hidden="false" customHeight="false" outlineLevel="0" collapsed="false">
      <c r="A11" s="12" t="s">
        <v>41</v>
      </c>
      <c r="B11" s="12" t="n">
        <f aca="false">COUNTIF('Layer A — raw data (SOURCED)'!$O:$O,$A11)-COUNTIFS(Import_BradTracker!$E:$E,$A11)</f>
        <v>15</v>
      </c>
      <c r="C11" s="12" t="str">
        <f aca="false">IFERROR(INDEX('Layer A — raw data (SOURCED)'!$A:$A,MATCH($A11&amp;_xlfn.MAXIFS('Layer A — raw data (SOURCED)'!$B:$B,'Layer A — raw data (SOURCED)'!$O:$O,$A11),INDEX('Layer A — raw data (SOURCED)'!$O:$O&amp;'Layer A — raw data (SOURCED)'!$B:$B,0),0)),"—")</f>
        <v>Georgia</v>
      </c>
      <c r="D11" s="12" t="n">
        <f aca="false">IFERROR(SUMPRODUCT((Conferences_Needed!$B11:$M11="NEED")*(Draft_Order!$G$22:$G$33="YES")*(Draft_Order!$B$22:$B$33=Conferences_Needed!$B$2:$M$2)),0)</f>
        <v>0</v>
      </c>
      <c r="E11" s="13" t="str">
        <f aca="false">IF(B11="","",IF(AND(B11&lt;=3,D11=0),"SCARCE + nobody in gap needs it -&gt; PUNT OK",IF(AND(B11&lt;=3,D11&gt;=1),"SCARCE + "&amp;D11&amp;" in gap need it -&gt; GRAB",IF(D11&gt;=2,D11&amp;" in gap need it -&gt; pressure",""))))</f>
        <v/>
      </c>
    </row>
    <row r="12" customFormat="false" ht="15" hidden="false" customHeight="false" outlineLevel="0" collapsed="false">
      <c r="A12" s="12" t="s">
        <v>120</v>
      </c>
      <c r="B12" s="12" t="n">
        <f aca="false">COUNTIF('Layer A — raw data (SOURCED)'!$O:$O,$A12)-COUNTIFS(Import_BradTracker!$E:$E,$A12)</f>
        <v>14</v>
      </c>
      <c r="C12" s="12" t="str">
        <f aca="false">IFERROR(INDEX('Layer A — raw data (SOURCED)'!$A:$A,MATCH($A12&amp;_xlfn.MAXIFS('Layer A — raw data (SOURCED)'!$B:$B,'Layer A — raw data (SOURCED)'!$O:$O,$A12),INDEX('Layer A — raw data (SOURCED)'!$O:$O&amp;'Layer A — raw data (SOURCED)'!$B:$B,0),0)),"—")</f>
        <v>James Madison</v>
      </c>
      <c r="D12" s="12" t="n">
        <f aca="false">IFERROR(SUMPRODUCT((Conferences_Needed!$B12:$M12="NEED")*(Draft_Order!$G$22:$G$33="YES")*(Draft_Order!$B$22:$B$33=Conferences_Needed!$B$2:$M$2)),0)</f>
        <v>0</v>
      </c>
      <c r="E12" s="13" t="str">
        <f aca="false">IF(B12="","",IF(AND(B12&lt;=3,D12=0),"SCARCE + nobody in gap needs it -&gt; PUNT OK",IF(AND(B12&lt;=3,D12&gt;=1),"SCARCE + "&amp;D12&amp;" in gap need it -&gt; GRAB",IF(D12&gt;=2,D12&amp;" in gap need it -&gt; pressure",""))))</f>
        <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2026-08-04T00:16:21Z</dcterms:created>
  <dc:creator>openpyxl</dc:creator>
  <dc:description/>
  <dc:language>en-US</dc:language>
  <cp:lastModifiedBy/>
  <dcterms:modified xsi:type="dcterms:W3CDTF">2026-08-04T00:55:32Z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