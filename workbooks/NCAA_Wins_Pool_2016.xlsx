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28.xml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2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chartsheet+xml" PartName="/xl/chartsheets/sheet2.xml"/>
  <Override ContentType="application/vnd.openxmlformats-officedocument.spreadsheetml.chartsheet+xml" PartName="/xl/chartsheets/sheet3.xml"/>
  <Override ContentType="application/vnd.openxmlformats-officedocument.spreadsheetml.chartsheet+xml" PartName="/xl/chartsheets/sheet1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30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31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28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2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9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drawingml.chart+xml" PartName="/xl/charts/chart1.xml"/>
  <Override ContentType="application/vnd.openxmlformats-officedocument.drawingml.chart+xml" PartName="/xl/charts/chart6.xml"/>
  <Override ContentType="application/vnd.openxmlformats-officedocument.drawingml.chart+xml" PartName="/xl/charts/chart7.xml"/>
  <Override ContentType="application/vnd.openxmlformats-officedocument.drawingml.chart+xml" PartName="/xl/charts/chart8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tandings" sheetId="1" r:id="rId4"/>
    <sheet state="visible" name="Draft Evaluation Work" sheetId="2" r:id="rId5"/>
    <sheet state="visible" name="Current Week" sheetId="3" r:id="rId6"/>
    <sheet state="visible" name="Sheet34" sheetId="4" r:id="rId7"/>
    <sheet state="hidden" name="Chart2" sheetId="5" r:id="rId8"/>
    <sheet state="hidden" name="Tuesday" sheetId="6" r:id="rId9"/>
    <sheet state="hidden" name="Translation" sheetId="7" r:id="rId10"/>
    <sheet state="visible" name="DraftTracker" sheetId="8" r:id="rId11"/>
    <sheet state="hidden" name="Draft Order" sheetId="9" r:id="rId12"/>
    <sheet state="hidden" name="OnTheClocks Eligable Teams" sheetId="10" r:id="rId13"/>
    <sheet state="visible" name="Teams Available" sheetId="11" r:id="rId14"/>
    <sheet state="visible" name="Teams" sheetId="12" r:id="rId15"/>
    <sheet state="hidden" name="Picks by Player" sheetId="13" r:id="rId16"/>
    <sheet state="hidden" name="Ws X Week Data" sheetId="14" r:id="rId17"/>
    <sheet state="hidden" name="PXP sorted by Conf" sheetId="15" r:id="rId18"/>
    <sheet state="hidden" name="Lines Raw" sheetId="16" r:id="rId19"/>
    <sheet state="hidden" name="Picks by Player Raw" sheetId="17" r:id="rId20"/>
    <sheet state="hidden" name="Teams-Conference, for lookup" sheetId="18" r:id="rId21"/>
    <sheet state="hidden" name="Conferences Needed" sheetId="19" r:id="rId22"/>
    <sheet state="hidden" name="Conferences Graphs" sheetId="20" r:id="rId23"/>
    <sheet state="hidden" name="Wednesday" sheetId="21" r:id="rId24"/>
    <sheet state="hidden" name="Thursday" sheetId="22" r:id="rId25"/>
    <sheet state="hidden" name="Friday" sheetId="23" r:id="rId26"/>
    <sheet state="hidden" name="Saturday" sheetId="24" r:id="rId27"/>
    <sheet state="hidden" name="Ws by Week" sheetId="25" r:id="rId28"/>
    <sheet state="hidden" name="% Ws by Week" sheetId="26" r:id="rId29"/>
    <sheet state="hidden" name="Sunday" sheetId="27" r:id="rId30"/>
    <sheet state="hidden" name="Monday" sheetId="28" r:id="rId31"/>
    <sheet state="hidden" name="Channels" sheetId="29" r:id="rId32"/>
    <sheet state="hidden" name="Raw Scrape" sheetId="30" r:id="rId33"/>
    <sheet state="visible" name="team colors" sheetId="31" r:id="rId34"/>
  </sheets>
  <definedNames>
    <definedName hidden="1" localSheetId="2" name="_xlnm._FilterDatabase">'Current Week'!$A$1:$K$110</definedName>
    <definedName hidden="1" localSheetId="8" name="_xlnm._FilterDatabase">'Draft Order'!$B$1:$C$11</definedName>
    <definedName hidden="1" localSheetId="2" name="Z_69387685_F1CD_445A_B41C_E677B3EEDF19_.wvu.FilterData">'Current Week'!$A$1:$K$110</definedName>
    <definedName hidden="1" localSheetId="2" name="Z_B7460378_9892_44B9_B013_01C152EE3918_.wvu.FilterData">'Current Week'!$A$1:$K$110</definedName>
    <definedName hidden="1" localSheetId="2" name="Z_34BDDEE1_435E_4038_8214_E938AC183EE2_.wvu.FilterData">'Current Week'!$A$1:$K$110</definedName>
    <definedName hidden="1" localSheetId="2" name="Z_2DF76E01_F51D_4D47_A0AA_C0DC512D5890_.wvu.FilterData">'Current Week'!$A$1:$K$110</definedName>
    <definedName hidden="1" localSheetId="2" name="Z_194E4940_9400_49EF_9F4A_BFDAC96CCC62_.wvu.FilterData">'Current Week'!$A$1:$K$110</definedName>
    <definedName hidden="1" localSheetId="2" name="Z_535E0D46_8847_4633_844D_C089A43D1B4C_.wvu.FilterData">'Current Week'!$A$1:$K$110</definedName>
    <definedName hidden="1" localSheetId="2" name="Z_27676B16_975B_49AE_853C_68BA8CFD918C_.wvu.FilterData">'Current Week'!$A$1:$K$110</definedName>
    <definedName hidden="1" localSheetId="2" name="Z_193FB749_43EB_4523_A0B3_AAD17329D392_.wvu.FilterData">'Current Week'!$A$1:$K$110</definedName>
    <definedName hidden="1" localSheetId="2" name="Z_3CE4AD46_7F5D_4CFC_B91A_A75EA38BDA5B_.wvu.FilterData">'Current Week'!$A$1:$K$110</definedName>
    <definedName hidden="1" localSheetId="2" name="Z_D11FFB2D_66CF_4858_97A0_1CE26A0860B1_.wvu.FilterData">'Current Week'!$A$1:$K$110</definedName>
    <definedName hidden="1" localSheetId="2" name="Z_AE55B295_CEF4_4A40_BB7C_D576940BF4E7_.wvu.FilterData">'Current Week'!$A$1:$K$110</definedName>
    <definedName hidden="1" localSheetId="7" name="Z_2937C26D_94EF_440F_959F_AB4E98A13B69_.wvu.FilterData">DraftTracker!$A$1:$G$124</definedName>
    <definedName hidden="1" localSheetId="2" name="Z_37E4B235_E89E_44B8_8E0A_01717A5BDB1E_.wvu.FilterData">'Current Week'!$A$1:$K$110</definedName>
    <definedName hidden="1" localSheetId="2" name="Z_8390DCC2_86D8_4BD6_9E51_E950801D5FB8_.wvu.FilterData">'Current Week'!$A$1:$K$110</definedName>
    <definedName hidden="1" localSheetId="2" name="Z_6BD80865_E998_46CF_9105_7CB427D3B637_.wvu.FilterData">'Current Week'!$A$1:$K$110</definedName>
  </definedNames>
  <calcPr/>
  <customWorkbookViews>
    <customWorkbookView activeSheetId="0" maximized="1" windowHeight="0" windowWidth="0" guid="{69387685-F1CD-445A-B41C-E677B3EEDF19}" name="Friday Games"/>
    <customWorkbookView activeSheetId="0" maximized="1" windowHeight="0" windowWidth="0" guid="{B7460378-9892-44B9-B013-01C152EE3918}" name="Thursday Games"/>
    <customWorkbookView activeSheetId="0" maximized="1" windowHeight="0" windowWidth="0" guid="{34BDDEE1-435E-4038-8214-E938AC183EE2}" name="Nick A."/>
    <customWorkbookView activeSheetId="0" maximized="1" windowHeight="0" windowWidth="0" guid="{2DF76E01-F51D-4D47-A0AA-C0DC512D5890}" name="Brad"/>
    <customWorkbookView activeSheetId="0" maximized="1" windowHeight="0" windowWidth="0" guid="{194E4940-9400-49EF-9F4A-BFDAC96CCC62}" name="Gary"/>
    <customWorkbookView activeSheetId="0" maximized="1" windowHeight="0" windowWidth="0" guid="{535E0D46-8847-4633-844D-C089A43D1B4C}" name="Josh T."/>
    <customWorkbookView activeSheetId="0" maximized="1" windowHeight="0" windowWidth="0" guid="{27676B16-975B-49AE-853C-68BA8CFD918C}" name="Jacob"/>
    <customWorkbookView activeSheetId="0" maximized="1" windowHeight="0" windowWidth="0" guid="{193FB749-43EB-4523-A0B3-AAD17329D392}" name="Frank"/>
    <customWorkbookView activeSheetId="0" maximized="1" windowHeight="0" windowWidth="0" guid="{3CE4AD46-7F5D-4CFC-B91A-A75EA38BDA5B}" name="Justin"/>
    <customWorkbookView activeSheetId="0" maximized="1" windowHeight="0" windowWidth="0" guid="{D11FFB2D-66CF-4858-97A0-1CE26A0860B1}" name="Josh R."/>
    <customWorkbookView activeSheetId="0" maximized="1" windowHeight="0" windowWidth="0" guid="{AE55B295-CEF4-4A40-BB7C-D576940BF4E7}" name="All Active Games"/>
    <customWorkbookView activeSheetId="0" maximized="1" windowHeight="0" windowWidth="0" guid="{2937C26D-94EF-440F-959F-AB4E98A13B69}" name="Filter 1"/>
    <customWorkbookView activeSheetId="0" maximized="1" windowHeight="0" windowWidth="0" guid="{37E4B235-E89E-44B8-8E0A-01717A5BDB1E}" name="Nico"/>
    <customWorkbookView activeSheetId="0" maximized="1" windowHeight="0" windowWidth="0" guid="{8390DCC2-86D8-4BD6-9E51-E950801D5FB8}" name="Saturday Games"/>
    <customWorkbookView activeSheetId="0" maximized="1" windowHeight="0" windowWidth="0" guid="{6BD80865-E998-46CF-9105-7CB427D3B637}" name="Vu"/>
  </customWorkbookViews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S1">
      <text>
        <t xml:space="preserve">I need to account for wildcards</t>
      </text>
    </comment>
  </commentList>
</comments>
</file>

<file path=xl/sharedStrings.xml><?xml version="1.0" encoding="utf-8"?>
<sst xmlns="http://schemas.openxmlformats.org/spreadsheetml/2006/main" count="6429" uniqueCount="893">
  <si>
    <t>Players</t>
  </si>
  <si>
    <t>Team</t>
  </si>
  <si>
    <t>Wins</t>
  </si>
  <si>
    <t>Conf</t>
  </si>
  <si>
    <t>Player</t>
  </si>
  <si>
    <t>Draft Positions</t>
  </si>
  <si>
    <t>Current Wins</t>
  </si>
  <si>
    <t>Requested features:</t>
  </si>
  <si>
    <t>Front of Run Weighted</t>
  </si>
  <si>
    <t>End of Run Weighted</t>
  </si>
  <si>
    <t>Clemson</t>
  </si>
  <si>
    <t>ACC</t>
  </si>
  <si>
    <t>Gary</t>
  </si>
  <si>
    <t>add an "advice" button that always returned "hey nico, don't pick stanford" - you could change it each week to insult someone new</t>
  </si>
  <si>
    <t>Josh R.</t>
  </si>
  <si>
    <t>bug fix: remove repeated games from day filtered views</t>
  </si>
  <si>
    <t>Nick A.</t>
  </si>
  <si>
    <t>Vu</t>
  </si>
  <si>
    <t>Justin</t>
  </si>
  <si>
    <t>Nico</t>
  </si>
  <si>
    <t>Frank</t>
  </si>
  <si>
    <t>Brad</t>
  </si>
  <si>
    <t>Josh T.</t>
  </si>
  <si>
    <t>Houston</t>
  </si>
  <si>
    <t>AAC</t>
  </si>
  <si>
    <t>Jacob</t>
  </si>
  <si>
    <t>Alabama</t>
  </si>
  <si>
    <t>SEC</t>
  </si>
  <si>
    <t>Oklahoma</t>
  </si>
  <si>
    <t>Big 12</t>
  </si>
  <si>
    <t>American Conference</t>
  </si>
  <si>
    <t>Conference</t>
  </si>
  <si>
    <t>Overall</t>
  </si>
  <si>
    <t>Polls</t>
  </si>
  <si>
    <t>East</t>
  </si>
  <si>
    <t>W-L</t>
  </si>
  <si>
    <t>PF</t>
  </si>
  <si>
    <t>PA</t>
  </si>
  <si>
    <t>HOME</t>
  </si>
  <si>
    <t>AWAY</t>
  </si>
  <si>
    <t>STRK</t>
  </si>
  <si>
    <t>AP</t>
  </si>
  <si>
    <t>USA</t>
  </si>
  <si>
    <r>
      <rPr>
        <rFont val="-apple-system, BlinkMacSystemFont, Roboto, Arial, &quot;Helvetica Neue&quot;, Helvetica, sans-serif"/>
        <color rgb="FF1155CC"/>
        <sz val="9.0"/>
        <u/>
      </rPr>
      <t>Temple Owls</t>
    </r>
  </si>
  <si>
    <t>7-1</t>
  </si>
  <si>
    <t>10-4</t>
  </si>
  <si>
    <t>L1</t>
  </si>
  <si>
    <r>
      <rPr>
        <rFont val="-apple-system, BlinkMacSystemFont, Roboto, Arial, &quot;Helvetica Neue&quot;, Helvetica, sans-serif"/>
        <sz val="9.0"/>
      </rPr>
      <t>19</t>
    </r>
    <r>
      <rPr>
        <rFont val="-apple-system, BlinkMacSystemFont, Roboto, Arial, &quot;Helvetica Neue&quot;, Helvetica, sans-serif"/>
        <color rgb="FF1155CC"/>
        <sz val="9.0"/>
        <u/>
      </rPr>
      <t>South Florida Bulls</t>
    </r>
  </si>
  <si>
    <t>11-2</t>
  </si>
  <si>
    <t>W5</t>
  </si>
  <si>
    <t>0-2</t>
  </si>
  <si>
    <r>
      <rPr>
        <rFont val="-apple-system, BlinkMacSystemFont, Roboto, Arial, &quot;Helvetica Neue&quot;, Helvetica, sans-serif"/>
        <color rgb="FF1155CC"/>
        <sz val="9.0"/>
        <u/>
      </rPr>
      <t>UCF Knights</t>
    </r>
  </si>
  <si>
    <t>4-4</t>
  </si>
  <si>
    <t>6-7</t>
  </si>
  <si>
    <t>L3</t>
  </si>
  <si>
    <t>0-3</t>
  </si>
  <si>
    <r>
      <rPr>
        <rFont val="-apple-system, BlinkMacSystemFont, Roboto, Arial, &quot;Helvetica Neue&quot;, Helvetica, sans-serif"/>
        <color rgb="FF1155CC"/>
        <sz val="9.0"/>
        <u/>
      </rPr>
      <t>Cincinnati Bearcats</t>
    </r>
  </si>
  <si>
    <t>1-7</t>
  </si>
  <si>
    <t>4-8</t>
  </si>
  <si>
    <t>L5</t>
  </si>
  <si>
    <t>0-1</t>
  </si>
  <si>
    <r>
      <rPr>
        <rFont val="-apple-system, BlinkMacSystemFont, Roboto, Arial, &quot;Helvetica Neue&quot;, Helvetica, sans-serif"/>
        <color rgb="FF1155CC"/>
        <sz val="9.0"/>
        <u/>
      </rPr>
      <t>East Carolina Pirates</t>
    </r>
  </si>
  <si>
    <t>3-9</t>
  </si>
  <si>
    <t>0-6</t>
  </si>
  <si>
    <t>L4</t>
  </si>
  <si>
    <r>
      <rPr>
        <rFont val="-apple-system, BlinkMacSystemFont, Roboto, Arial, &quot;Helvetica Neue&quot;, Helvetica, sans-serif"/>
        <color rgb="FF1155CC"/>
        <sz val="9.0"/>
        <u/>
      </rPr>
      <t>Connecticut Huskies</t>
    </r>
  </si>
  <si>
    <t>0-5</t>
  </si>
  <si>
    <t>L6</t>
  </si>
  <si>
    <t>West</t>
  </si>
  <si>
    <r>
      <rPr>
        <rFont val="-apple-system, BlinkMacSystemFont, Roboto, Arial, &quot;Helvetica Neue&quot;, Helvetica, sans-serif"/>
        <color rgb="FF1155CC"/>
        <sz val="9.0"/>
        <u/>
      </rPr>
      <t>Navy Midshipmen</t>
    </r>
  </si>
  <si>
    <t>9-5</t>
  </si>
  <si>
    <r>
      <rPr>
        <rFont val="-apple-system, BlinkMacSystemFont, Roboto, Arial, &quot;Helvetica Neue&quot;, Helvetica, sans-serif"/>
        <color rgb="FF1155CC"/>
        <sz val="9.0"/>
        <u/>
      </rPr>
      <t>Tulsa Golden Hurricane</t>
    </r>
  </si>
  <si>
    <t>6-2</t>
  </si>
  <si>
    <t>10-3</t>
  </si>
  <si>
    <t>6-0</t>
  </si>
  <si>
    <t>W3</t>
  </si>
  <si>
    <r>
      <rPr>
        <rFont val="-apple-system, BlinkMacSystemFont, Roboto, Arial, &quot;Helvetica Neue&quot;, Helvetica, sans-serif"/>
        <color rgb="FF1155CC"/>
        <sz val="9.0"/>
        <u/>
      </rPr>
      <t>Memphis Tigers</t>
    </r>
  </si>
  <si>
    <t>5-3</t>
  </si>
  <si>
    <t>8-5</t>
  </si>
  <si>
    <r>
      <rPr>
        <rFont val="-apple-system, BlinkMacSystemFont, Roboto, Arial, &quot;Helvetica Neue&quot;, Helvetica, sans-serif"/>
        <color rgb="FF1155CC"/>
        <sz val="9.0"/>
        <u/>
      </rPr>
      <t>Houston Cougars</t>
    </r>
  </si>
  <si>
    <t>9-4</t>
  </si>
  <si>
    <t>L2</t>
  </si>
  <si>
    <t>2-0</t>
  </si>
  <si>
    <r>
      <rPr>
        <rFont val="-apple-system, BlinkMacSystemFont, Roboto, Arial, &quot;Helvetica Neue&quot;, Helvetica, sans-serif"/>
        <color rgb="FF1155CC"/>
        <sz val="9.0"/>
        <u/>
      </rPr>
      <t>SMU Mustangs</t>
    </r>
  </si>
  <si>
    <t>3-5</t>
  </si>
  <si>
    <t>5-7</t>
  </si>
  <si>
    <t>1-0</t>
  </si>
  <si>
    <r>
      <rPr>
        <rFont val="-apple-system, BlinkMacSystemFont, Roboto, Arial, &quot;Helvetica Neue&quot;, Helvetica, sans-serif"/>
        <color rgb="FF1155CC"/>
        <sz val="9.0"/>
        <u/>
      </rPr>
      <t>Tulane Green Wave</t>
    </r>
  </si>
  <si>
    <t>W</t>
  </si>
  <si>
    <t>W1</t>
  </si>
  <si>
    <t>Atlantic Coast Conference</t>
  </si>
  <si>
    <t>L</t>
  </si>
  <si>
    <t>Network</t>
  </si>
  <si>
    <t>Match Up</t>
  </si>
  <si>
    <t>Time Left/Start</t>
  </si>
  <si>
    <t>Line</t>
  </si>
  <si>
    <t>Over/Under</t>
  </si>
  <si>
    <t>Opponent</t>
  </si>
  <si>
    <t>Sort</t>
  </si>
  <si>
    <t>Atlantic</t>
  </si>
  <si>
    <t>TCU</t>
  </si>
  <si>
    <r>
      <rPr>
        <rFont val="-apple-system, BlinkMacSystemFont, Roboto, Arial, &quot;Helvetica Neue&quot;, Helvetica, sans-serif"/>
        <sz val="9.0"/>
      </rPr>
      <t>1</t>
    </r>
    <r>
      <rPr>
        <rFont val="-apple-system, BlinkMacSystemFont, Roboto, Arial, &quot;Helvetica Neue&quot;, Helvetica, sans-serif"/>
        <color rgb="FF1155CC"/>
        <sz val="9.0"/>
        <u/>
      </rPr>
      <t>Clemson Tigers</t>
    </r>
  </si>
  <si>
    <t>14-1</t>
  </si>
  <si>
    <t>5-0</t>
  </si>
  <si>
    <r>
      <rPr>
        <rFont val="-apple-system, BlinkMacSystemFont, Roboto, Arial, &quot;Helvetica Neue&quot;, Helvetica, sans-serif"/>
        <sz val="9.0"/>
      </rPr>
      <t>21</t>
    </r>
    <r>
      <rPr>
        <rFont val="-apple-system, BlinkMacSystemFont, Roboto, Arial, &quot;Helvetica Neue&quot;, Helvetica, sans-serif"/>
        <color rgb="FF1155CC"/>
        <sz val="9.0"/>
        <u/>
      </rPr>
      <t>Louisville Cardinals</t>
    </r>
  </si>
  <si>
    <t>ESPN</t>
  </si>
  <si>
    <t>BYE</t>
  </si>
  <si>
    <r>
      <rPr>
        <rFont val="-apple-system, BlinkMacSystemFont, Roboto, Arial, &quot;Helvetica Neue&quot;, Helvetica, sans-serif"/>
        <sz val="9.0"/>
      </rPr>
      <t>8</t>
    </r>
    <r>
      <rPr>
        <rFont val="-apple-system, BlinkMacSystemFont, Roboto, Arial, &quot;Helvetica Neue&quot;, Helvetica, sans-serif"/>
        <color rgb="FF1155CC"/>
        <sz val="9.0"/>
        <u/>
      </rPr>
      <t>Florida State Seminoles</t>
    </r>
  </si>
  <si>
    <t xml:space="preserve"> No Line</t>
  </si>
  <si>
    <t>Florida</t>
  </si>
  <si>
    <t>CBS</t>
  </si>
  <si>
    <t>-2½</t>
  </si>
  <si>
    <t>Texas State</t>
  </si>
  <si>
    <r>
      <rPr>
        <rFont val="-apple-system, BlinkMacSystemFont, Roboto, Arial, &quot;Helvetica Neue&quot;, Helvetica, sans-serif"/>
        <color rgb="FF1155CC"/>
        <sz val="9.0"/>
        <u/>
      </rPr>
      <t>NC State Wolfpack</t>
    </r>
  </si>
  <si>
    <t>NA</t>
  </si>
  <si>
    <t>bye</t>
  </si>
  <si>
    <t>7-6</t>
  </si>
  <si>
    <t>W2</t>
  </si>
  <si>
    <t>-3½</t>
  </si>
  <si>
    <r>
      <rPr>
        <rFont val="-apple-system, BlinkMacSystemFont, Roboto, Arial, &quot;Helvetica Neue&quot;, Helvetica, sans-serif"/>
        <color rgb="FF1155CC"/>
        <sz val="9.0"/>
        <u/>
      </rPr>
      <t>Wake Forest Demon Deacons</t>
    </r>
  </si>
  <si>
    <t>Kent State</t>
  </si>
  <si>
    <t>ESPN3</t>
  </si>
  <si>
    <r>
      <rPr>
        <rFont val="-apple-system, BlinkMacSystemFont, Roboto, Arial, &quot;Helvetica Neue&quot;, Helvetica, sans-serif"/>
        <color rgb="FF1155CC"/>
        <sz val="9.0"/>
        <u/>
      </rPr>
      <t>Syracuse Orange</t>
    </r>
  </si>
  <si>
    <t>Iowa</t>
  </si>
  <si>
    <t>BTN</t>
  </si>
  <si>
    <t>2½</t>
  </si>
  <si>
    <t>2-6</t>
  </si>
  <si>
    <t>Cincinnati</t>
  </si>
  <si>
    <r>
      <rPr>
        <rFont val="-apple-system, BlinkMacSystemFont, Roboto, Arial, &quot;Helvetica Neue&quot;, Helvetica, sans-serif"/>
        <color rgb="FF1155CC"/>
        <sz val="9.0"/>
        <u/>
      </rPr>
      <t>Boston College Eagles</t>
    </r>
  </si>
  <si>
    <t>Arizona State</t>
  </si>
  <si>
    <t>FS1</t>
  </si>
  <si>
    <t>0-4</t>
  </si>
  <si>
    <t>Coastal</t>
  </si>
  <si>
    <t>Marshall</t>
  </si>
  <si>
    <r>
      <rPr>
        <rFont val="-apple-system, BlinkMacSystemFont, Roboto, Arial, &quot;Helvetica Neue&quot;, Helvetica, sans-serif"/>
        <sz val="9.0"/>
      </rPr>
      <t>16</t>
    </r>
    <r>
      <rPr>
        <rFont val="-apple-system, BlinkMacSystemFont, Roboto, Arial, &quot;Helvetica Neue&quot;, Helvetica, sans-serif"/>
        <color rgb="FF1155CC"/>
        <sz val="9.0"/>
        <u/>
      </rPr>
      <t>Virginia Tech Hokies</t>
    </r>
  </si>
  <si>
    <t>beIN Sports</t>
  </si>
  <si>
    <t>New Mexico</t>
  </si>
  <si>
    <t>AggieVision</t>
  </si>
  <si>
    <r>
      <rPr>
        <rFont val="-apple-system, BlinkMacSystemFont, Roboto, Arial, &quot;Helvetica Neue&quot;, Helvetica, sans-serif"/>
        <color rgb="FF1155CC"/>
        <sz val="9.0"/>
        <u/>
      </rPr>
      <t>North Carolina Tar Heels</t>
    </r>
  </si>
  <si>
    <t>Troy</t>
  </si>
  <si>
    <r>
      <rPr>
        <rFont val="-apple-system, BlinkMacSystemFont, Roboto, Arial, &quot;Helvetica Neue&quot;, Helvetica, sans-serif"/>
        <sz val="9.0"/>
      </rPr>
      <t>20</t>
    </r>
    <r>
      <rPr>
        <rFont val="-apple-system, BlinkMacSystemFont, Roboto, Arial, &quot;Helvetica Neue&quot;, Helvetica, sans-serif"/>
        <color rgb="FF1155CC"/>
        <sz val="9.0"/>
        <u/>
      </rPr>
      <t>Miami Hurricanes</t>
    </r>
  </si>
  <si>
    <t>Akron</t>
  </si>
  <si>
    <r>
      <rPr>
        <rFont val="-apple-system, BlinkMacSystemFont, Roboto, Arial, &quot;Helvetica Neue&quot;, Helvetica, sans-serif"/>
        <color rgb="FF1155CC"/>
        <sz val="9.0"/>
        <u/>
      </rPr>
      <t>Pittsburgh Panthers</t>
    </r>
  </si>
  <si>
    <t>American Sports</t>
  </si>
  <si>
    <t>Air Force</t>
  </si>
  <si>
    <r>
      <rPr>
        <rFont val="-apple-system, BlinkMacSystemFont, Roboto, Arial, &quot;Helvetica Neue&quot;, Helvetica, sans-serif"/>
        <color rgb="FF1155CC"/>
        <sz val="9.0"/>
        <u/>
      </rPr>
      <t>Georgia Tech Yellow Jackets</t>
    </r>
  </si>
  <si>
    <t>W4</t>
  </si>
  <si>
    <r>
      <rPr>
        <rFont val="-apple-system, BlinkMacSystemFont, Roboto, Arial, &quot;Helvetica Neue&quot;, Helvetica, sans-serif"/>
        <color rgb="FF1155CC"/>
        <sz val="9.0"/>
        <u/>
      </rPr>
      <t>Virginia Cavaliers</t>
    </r>
  </si>
  <si>
    <t>Campus Insiders</t>
  </si>
  <si>
    <t>-12½</t>
  </si>
  <si>
    <t>Texas</t>
  </si>
  <si>
    <t>2-10</t>
  </si>
  <si>
    <t>Longhorn</t>
  </si>
  <si>
    <t>L7</t>
  </si>
  <si>
    <r>
      <rPr>
        <rFont val="-apple-system, BlinkMacSystemFont, Roboto, Arial, &quot;Helvetica Neue&quot;, Helvetica, sans-serif"/>
        <color rgb="FF1155CC"/>
        <sz val="9.0"/>
        <u/>
      </rPr>
      <t>Duke Blue Devils</t>
    </r>
  </si>
  <si>
    <t>Arizona</t>
  </si>
  <si>
    <t>Pac-12</t>
  </si>
  <si>
    <t>Auburn</t>
  </si>
  <si>
    <t>Big 12 Conference</t>
  </si>
  <si>
    <t>4½</t>
  </si>
  <si>
    <t>Minnesota</t>
  </si>
  <si>
    <t>ESPNEWS</t>
  </si>
  <si>
    <t>-6½</t>
  </si>
  <si>
    <t>Miami</t>
  </si>
  <si>
    <r>
      <rPr>
        <rFont val="-apple-system, BlinkMacSystemFont, Roboto, Arial, &quot;Helvetica Neue&quot;, Helvetica, sans-serif"/>
        <sz val="9.0"/>
      </rPr>
      <t>5</t>
    </r>
    <r>
      <rPr>
        <rFont val="-apple-system, BlinkMacSystemFont, Roboto, Arial, &quot;Helvetica Neue&quot;, Helvetica, sans-serif"/>
        <color rgb="FF1155CC"/>
        <sz val="9.0"/>
        <u/>
      </rPr>
      <t>Oklahoma Sooners</t>
    </r>
  </si>
  <si>
    <t>ACC Extra</t>
  </si>
  <si>
    <t>Middle Tennessee</t>
  </si>
  <si>
    <t>9-0</t>
  </si>
  <si>
    <t>4-0</t>
  </si>
  <si>
    <t>W10</t>
  </si>
  <si>
    <t>SEC Alternate</t>
  </si>
  <si>
    <r>
      <rPr>
        <rFont val="-apple-system, BlinkMacSystemFont, Roboto, Arial, &quot;Helvetica Neue&quot;, Helvetica, sans-serif"/>
        <sz val="9.0"/>
      </rPr>
      <t>11</t>
    </r>
    <r>
      <rPr>
        <rFont val="-apple-system, BlinkMacSystemFont, Roboto, Arial, &quot;Helvetica Neue&quot;, Helvetica, sans-serif"/>
        <color rgb="FF1155CC"/>
        <sz val="9.0"/>
        <u/>
      </rPr>
      <t>Oklahoma State Cowboys</t>
    </r>
  </si>
  <si>
    <t>7-2</t>
  </si>
  <si>
    <t>Louisiana Lafayette</t>
  </si>
  <si>
    <r>
      <rPr>
        <rFont val="-apple-system, BlinkMacSystemFont, Roboto, Arial, &quot;Helvetica Neue&quot;, Helvetica, sans-serif"/>
        <sz val="9.0"/>
      </rPr>
      <t>18</t>
    </r>
    <r>
      <rPr>
        <rFont val="-apple-system, BlinkMacSystemFont, Roboto, Arial, &quot;Helvetica Neue&quot;, Helvetica, sans-serif"/>
        <color rgb="FF1155CC"/>
        <sz val="9.0"/>
        <u/>
      </rPr>
      <t>West Virginia Mountaineers</t>
    </r>
  </si>
  <si>
    <t>KLAF</t>
  </si>
  <si>
    <t>West Virginia</t>
  </si>
  <si>
    <t>ROOT Sports Pittsburgh</t>
  </si>
  <si>
    <t>ESPN2</t>
  </si>
  <si>
    <t>-16½</t>
  </si>
  <si>
    <r>
      <rPr>
        <rFont val="-apple-system, BlinkMacSystemFont, Roboto, Arial, &quot;Helvetica Neue&quot;, Helvetica, sans-serif"/>
        <color rgb="FF1155CC"/>
        <sz val="9.0"/>
        <u/>
      </rPr>
      <t>Kansas State Wildcats</t>
    </r>
  </si>
  <si>
    <t>Penn State</t>
  </si>
  <si>
    <t>Southern Mississippi</t>
  </si>
  <si>
    <t>6-3</t>
  </si>
  <si>
    <t>Toledo</t>
  </si>
  <si>
    <r>
      <rPr>
        <rFont val="-apple-system, BlinkMacSystemFont, Roboto, Arial, &quot;Helvetica Neue&quot;, Helvetica, sans-serif"/>
        <color rgb="FF1155CC"/>
        <sz val="9.0"/>
        <u/>
      </rPr>
      <t>TCU Horned Frogs</t>
    </r>
  </si>
  <si>
    <t>Tulsa</t>
  </si>
  <si>
    <t>ABC</t>
  </si>
  <si>
    <t>Georgia Tech</t>
  </si>
  <si>
    <t>4-5</t>
  </si>
  <si>
    <r>
      <rPr>
        <rFont val="-apple-system, BlinkMacSystemFont, Roboto, Arial, &quot;Helvetica Neue&quot;, Helvetica, sans-serif"/>
        <color rgb="FF1155CC"/>
        <sz val="9.0"/>
        <u/>
      </rPr>
      <t>Texas Longhorns</t>
    </r>
  </si>
  <si>
    <t>California</t>
  </si>
  <si>
    <t>CBS Sports</t>
  </si>
  <si>
    <t>3-6</t>
  </si>
  <si>
    <t>Colorado State</t>
  </si>
  <si>
    <r>
      <rPr>
        <rFont val="-apple-system, BlinkMacSystemFont, Roboto, Arial, &quot;Helvetica Neue&quot;, Helvetica, sans-serif"/>
        <color rgb="FF1155CC"/>
        <sz val="9.0"/>
        <u/>
      </rPr>
      <t>Texas Tech Red Raiders</t>
    </r>
  </si>
  <si>
    <t>13½</t>
  </si>
  <si>
    <r>
      <rPr>
        <rFont val="-apple-system, BlinkMacSystemFont, Roboto, Arial, &quot;Helvetica Neue&quot;, Helvetica, sans-serif"/>
        <color rgb="FF1155CC"/>
        <sz val="9.0"/>
        <u/>
      </rPr>
      <t>Baylor Bears</t>
    </r>
  </si>
  <si>
    <t>Western Kentucky</t>
  </si>
  <si>
    <r>
      <rPr>
        <rFont val="-apple-system, BlinkMacSystemFont, Roboto, Arial, &quot;Helvetica Neue&quot;, Helvetica, sans-serif"/>
        <color rgb="FF1155CC"/>
        <sz val="9.0"/>
        <u/>
      </rPr>
      <t>Iowa State Cyclones</t>
    </r>
  </si>
  <si>
    <t>FSN PPV</t>
  </si>
  <si>
    <t>-4½</t>
  </si>
  <si>
    <t>2-7</t>
  </si>
  <si>
    <t>Idaho</t>
  </si>
  <si>
    <r>
      <rPr>
        <rFont val="-apple-system, BlinkMacSystemFont, Roboto, Arial, &quot;Helvetica Neue&quot;, Helvetica, sans-serif"/>
        <color rgb="FF1155CC"/>
        <sz val="9.0"/>
        <u/>
      </rPr>
      <t>Kansas Jayhawks</t>
    </r>
  </si>
  <si>
    <t>-13½</t>
  </si>
  <si>
    <t>Bowling Green</t>
  </si>
  <si>
    <t>1-8</t>
  </si>
  <si>
    <t>Big Ten Conference</t>
  </si>
  <si>
    <t>Nebraska</t>
  </si>
  <si>
    <t>Georgia</t>
  </si>
  <si>
    <r>
      <rPr>
        <rFont val="-apple-system, BlinkMacSystemFont, Roboto, Arial, &quot;Helvetica Neue&quot;, Helvetica, sans-serif"/>
        <sz val="9.0"/>
      </rPr>
      <t>7</t>
    </r>
    <r>
      <rPr>
        <rFont val="-apple-system, BlinkMacSystemFont, Roboto, Arial, &quot;Helvetica Neue&quot;, Helvetica, sans-serif"/>
        <color rgb="FF1155CC"/>
        <sz val="9.0"/>
        <u/>
      </rPr>
      <t>Penn State Nittany Lions</t>
    </r>
  </si>
  <si>
    <t>ESPNU</t>
  </si>
  <si>
    <t>Pittsburgh</t>
  </si>
  <si>
    <t>8-1</t>
  </si>
  <si>
    <t>11-3</t>
  </si>
  <si>
    <t>7-0</t>
  </si>
  <si>
    <t>Fresno State</t>
  </si>
  <si>
    <r>
      <rPr>
        <rFont val="-apple-system, BlinkMacSystemFont, Roboto, Arial, &quot;Helvetica Neue&quot;, Helvetica, sans-serif"/>
        <sz val="9.0"/>
      </rPr>
      <t>6</t>
    </r>
    <r>
      <rPr>
        <rFont val="-apple-system, BlinkMacSystemFont, Roboto, Arial, &quot;Helvetica Neue&quot;, Helvetica, sans-serif"/>
        <color rgb="FF1155CC"/>
        <sz val="9.0"/>
        <u/>
      </rPr>
      <t>Ohio State Buckeyes</t>
    </r>
  </si>
  <si>
    <t>Connecticut</t>
  </si>
  <si>
    <t>UCLA</t>
  </si>
  <si>
    <r>
      <rPr>
        <rFont val="-apple-system, BlinkMacSystemFont, Roboto, Arial, &quot;Helvetica Neue&quot;, Helvetica, sans-serif"/>
        <sz val="9.0"/>
      </rPr>
      <t>10</t>
    </r>
    <r>
      <rPr>
        <rFont val="-apple-system, BlinkMacSystemFont, Roboto, Arial, &quot;Helvetica Neue&quot;, Helvetica, sans-serif"/>
        <color rgb="FF1155CC"/>
        <sz val="9.0"/>
        <u/>
      </rPr>
      <t>Michigan Wolverines</t>
    </r>
  </si>
  <si>
    <t>Temple</t>
  </si>
  <si>
    <t>ESPN3~01</t>
  </si>
  <si>
    <t>8-0</t>
  </si>
  <si>
    <t>Wisconsin</t>
  </si>
  <si>
    <r>
      <rPr>
        <rFont val="-apple-system, BlinkMacSystemFont, Roboto, Arial, &quot;Helvetica Neue&quot;, Helvetica, sans-serif"/>
        <color rgb="FF1155CC"/>
        <sz val="9.0"/>
        <u/>
      </rPr>
      <t>Indiana Hoosiers</t>
    </r>
  </si>
  <si>
    <t>-7½</t>
  </si>
  <si>
    <t>Central Michigan</t>
  </si>
  <si>
    <r>
      <rPr>
        <rFont val="-apple-system, BlinkMacSystemFont, Roboto, Arial, &quot;Helvetica Neue&quot;, Helvetica, sans-serif"/>
        <color rgb="FF1155CC"/>
        <sz val="9.0"/>
        <u/>
      </rPr>
      <t>Maryland Terrapins</t>
    </r>
  </si>
  <si>
    <t>Boise State</t>
  </si>
  <si>
    <r>
      <rPr>
        <rFont val="-apple-system, BlinkMacSystemFont, Roboto, Arial, &quot;Helvetica Neue&quot;, Helvetica, sans-serif"/>
        <color rgb="FF1155CC"/>
        <sz val="9.0"/>
        <u/>
      </rPr>
      <t>Michigan State Spartans</t>
    </r>
  </si>
  <si>
    <t>Kansas</t>
  </si>
  <si>
    <t>South FloridaUSF</t>
  </si>
  <si>
    <t>East CarolinaECU</t>
  </si>
  <si>
    <t>TempleTEM</t>
  </si>
  <si>
    <t>FSN</t>
  </si>
  <si>
    <t>CincinnatiCIN</t>
  </si>
  <si>
    <t>ConnecticutCONN</t>
  </si>
  <si>
    <t>UCFUCF</t>
  </si>
  <si>
    <t>TulsaTLSA</t>
  </si>
  <si>
    <t>MemphisMEM</t>
  </si>
  <si>
    <t>HoustonHOU</t>
  </si>
  <si>
    <t>NavyNAVY</t>
  </si>
  <si>
    <t>SMUSMU</t>
  </si>
  <si>
    <t>Boston College</t>
  </si>
  <si>
    <t>TulaneTULN</t>
  </si>
  <si>
    <t>SyracuseSYR</t>
  </si>
  <si>
    <t>ClemsonCLEM</t>
  </si>
  <si>
    <t>Florida StateFSU</t>
  </si>
  <si>
    <t>LouisvilleLOU</t>
  </si>
  <si>
    <t>Boston CollegeBC</t>
  </si>
  <si>
    <r>
      <rPr>
        <rFont val="-apple-system, BlinkMacSystemFont, Roboto, Arial, &quot;Helvetica Neue&quot;, Helvetica, sans-serif"/>
        <color rgb="FF1155CC"/>
        <sz val="9.0"/>
        <u/>
      </rPr>
      <t>Rutgers Scarlet Knights</t>
    </r>
  </si>
  <si>
    <t>NC StateNCST</t>
  </si>
  <si>
    <t>Wake ForestWAKE</t>
  </si>
  <si>
    <t>PittsburghPITT</t>
  </si>
  <si>
    <t>VirginiaUVA</t>
  </si>
  <si>
    <t>Virginia TechVT</t>
  </si>
  <si>
    <t>Miami (FL)MIA</t>
  </si>
  <si>
    <t>Georgia TechGT</t>
  </si>
  <si>
    <t>DukeDUKE</t>
  </si>
  <si>
    <t>North CarolinaUNC</t>
  </si>
  <si>
    <t>Texas TechTTU</t>
  </si>
  <si>
    <t>Iowa StateISU</t>
  </si>
  <si>
    <t>OklahomaOKLA</t>
  </si>
  <si>
    <t>BaylorBAY</t>
  </si>
  <si>
    <t>TexasTEX</t>
  </si>
  <si>
    <t>West VirginiaWVU</t>
  </si>
  <si>
    <t>KansasKU</t>
  </si>
  <si>
    <t>Kansas StateKSU</t>
  </si>
  <si>
    <t>0-9</t>
  </si>
  <si>
    <t>Oklahoma StateOKST</t>
  </si>
  <si>
    <t>TCUTCU</t>
  </si>
  <si>
    <t>IndianaIND</t>
  </si>
  <si>
    <t>MarylandMD</t>
  </si>
  <si>
    <t>Michigan StateMSU</t>
  </si>
  <si>
    <t>RutgersRUTG</t>
  </si>
  <si>
    <t>Ohio StateOSU</t>
  </si>
  <si>
    <t>L9</t>
  </si>
  <si>
    <t>Penn StatePSU</t>
  </si>
  <si>
    <t>MichiganMICH</t>
  </si>
  <si>
    <t>NebraskaNEB</t>
  </si>
  <si>
    <t>WisconsinWIS</t>
  </si>
  <si>
    <t>IllinoisILL</t>
  </si>
  <si>
    <t>IowaIOWA</t>
  </si>
  <si>
    <t>Florida Intl</t>
  </si>
  <si>
    <t>PurduePUR</t>
  </si>
  <si>
    <t>NorthwesternNW</t>
  </si>
  <si>
    <t>MinnesotaMINN</t>
  </si>
  <si>
    <t>MarshallMRSH</t>
  </si>
  <si>
    <t>Old DominionODU</t>
  </si>
  <si>
    <t>Florida AtlanticFAU</t>
  </si>
  <si>
    <t>Middle TennesseeMTSU</t>
  </si>
  <si>
    <r>
      <rPr>
        <rFont val="-apple-system, BlinkMacSystemFont, Roboto, Arial, &quot;Helvetica Neue&quot;, Helvetica, sans-serif"/>
        <sz val="9.0"/>
      </rPr>
      <t>9</t>
    </r>
    <r>
      <rPr>
        <rFont val="-apple-system, BlinkMacSystemFont, Roboto, Arial, &quot;Helvetica Neue&quot;, Helvetica, sans-serif"/>
        <color rgb="FF1155CC"/>
        <sz val="9.0"/>
        <u/>
      </rPr>
      <t>Wisconsin Badgers</t>
    </r>
  </si>
  <si>
    <t>Florida IntlFIU</t>
  </si>
  <si>
    <t>CharlotteCHAR</t>
  </si>
  <si>
    <t>Western KentuckyWestern Kentucky</t>
  </si>
  <si>
    <t>RiceRICE</t>
  </si>
  <si>
    <t>North TexasUNT</t>
  </si>
  <si>
    <t>Louisiana TechLT</t>
  </si>
  <si>
    <t>Southern MississippiissippiUSM</t>
  </si>
  <si>
    <t>UTEPUTEP</t>
  </si>
  <si>
    <t>Texas San AntonioUTSA</t>
  </si>
  <si>
    <t>Notre DameND</t>
  </si>
  <si>
    <t>Mississippi State</t>
  </si>
  <si>
    <t>BYUBYU</t>
  </si>
  <si>
    <t>ArmyARMY</t>
  </si>
  <si>
    <t>AkronAKR</t>
  </si>
  <si>
    <t>BuffaloBUFF</t>
  </si>
  <si>
    <t>Kent StateKENT</t>
  </si>
  <si>
    <t>MassachusettsUMASS</t>
  </si>
  <si>
    <t>Bowling GreenBGSU</t>
  </si>
  <si>
    <t>Miami (OH)M-OH</t>
  </si>
  <si>
    <t>OhioOHIO</t>
  </si>
  <si>
    <t>Eastern MichiganEMU</t>
  </si>
  <si>
    <t>Northern IllinoisNIU</t>
  </si>
  <si>
    <t>ToledoTOL</t>
  </si>
  <si>
    <t>Western MichiganWMU</t>
  </si>
  <si>
    <t>Ball StateBALL</t>
  </si>
  <si>
    <t>Central MichiganCMU</t>
  </si>
  <si>
    <t>StanfordSTAN</t>
  </si>
  <si>
    <t>CaliforniaCAL</t>
  </si>
  <si>
    <t>Oregon StateORST</t>
  </si>
  <si>
    <t>WashingtonWASH</t>
  </si>
  <si>
    <t>Washington StateWSU</t>
  </si>
  <si>
    <t>OregonORE</t>
  </si>
  <si>
    <t>Arizona StateASU</t>
  </si>
  <si>
    <t>Appalachian State</t>
  </si>
  <si>
    <t>UCLAUCLA</t>
  </si>
  <si>
    <r>
      <rPr>
        <rFont val="-apple-system, BlinkMacSystemFont, Roboto, Arial, &quot;Helvetica Neue&quot;, Helvetica, sans-serif"/>
        <color rgb="FF1155CC"/>
        <sz val="9.0"/>
        <u/>
      </rPr>
      <t>Iowa Hawkeyes</t>
    </r>
  </si>
  <si>
    <t>USCUSC</t>
  </si>
  <si>
    <t>ArizonaARIZ</t>
  </si>
  <si>
    <t>UtahUTAH</t>
  </si>
  <si>
    <t>ColoradoCOLO</t>
  </si>
  <si>
    <t>TennesseeTENN</t>
  </si>
  <si>
    <t>FloridaFLA</t>
  </si>
  <si>
    <t>GeorgiaUGA</t>
  </si>
  <si>
    <t>KentuckyUK</t>
  </si>
  <si>
    <t>MissouriMIZZ</t>
  </si>
  <si>
    <t>South CarolinaSC</t>
  </si>
  <si>
    <t>VanderbiltVAN</t>
  </si>
  <si>
    <t>AuburnAUB</t>
  </si>
  <si>
    <t>ArkansasARK</t>
  </si>
  <si>
    <t>LSULSU</t>
  </si>
  <si>
    <t>Ole MissMISS</t>
  </si>
  <si>
    <t>Texas A&amp;MTAM</t>
  </si>
  <si>
    <t>AlabamaALA</t>
  </si>
  <si>
    <t>Oregon</t>
  </si>
  <si>
    <t>Mississippi StateMSST</t>
  </si>
  <si>
    <t>New Mexico StateNMSU</t>
  </si>
  <si>
    <t>Georgia SouthernGASO</t>
  </si>
  <si>
    <t>Louisiana LafayetteULL</t>
  </si>
  <si>
    <t>Texas StateTXST</t>
  </si>
  <si>
    <t>Appalachian StateAPP</t>
  </si>
  <si>
    <t>Arkansas StateARST</t>
  </si>
  <si>
    <t>South AlabamaUSA</t>
  </si>
  <si>
    <t>Louisiana MonroeULM</t>
  </si>
  <si>
    <t>TroyTROY</t>
  </si>
  <si>
    <t>Georgia StateGAST</t>
  </si>
  <si>
    <t>IdahoIDHO</t>
  </si>
  <si>
    <t>Air ForceAFA</t>
  </si>
  <si>
    <t>WyomingWYO</t>
  </si>
  <si>
    <r>
      <rPr>
        <rFont val="-apple-system, BlinkMacSystemFont, Roboto, Arial, &quot;Helvetica Neue&quot;, Helvetica, sans-serif"/>
        <color rgb="FF1155CC"/>
        <sz val="9.0"/>
        <u/>
      </rPr>
      <t>Nebraska Cornhuskers</t>
    </r>
  </si>
  <si>
    <t>Colorado StateCSU</t>
  </si>
  <si>
    <t>Boise StateBSU</t>
  </si>
  <si>
    <t>New MexicoUNM</t>
  </si>
  <si>
    <t>Utah StateUSU</t>
  </si>
  <si>
    <t>UNLVUNLV</t>
  </si>
  <si>
    <t>San Diego StateSDSU</t>
  </si>
  <si>
    <t>San José StateSJSU</t>
  </si>
  <si>
    <t>Fresno StateFRES</t>
  </si>
  <si>
    <t>NevadaNEV</t>
  </si>
  <si>
    <t>HawaiiHAW</t>
  </si>
  <si>
    <t>South Florida</t>
  </si>
  <si>
    <t>East Carolina</t>
  </si>
  <si>
    <t>Navy</t>
  </si>
  <si>
    <t>UCON</t>
  </si>
  <si>
    <t>UCF</t>
  </si>
  <si>
    <t>Memphis</t>
  </si>
  <si>
    <t>SMU</t>
  </si>
  <si>
    <t>Tulane</t>
  </si>
  <si>
    <t>Syracuse</t>
  </si>
  <si>
    <t>Florida State</t>
  </si>
  <si>
    <t>Louisville</t>
  </si>
  <si>
    <t xml:space="preserve">Navy   at Army  </t>
  </si>
  <si>
    <t>SAT, DEC 10 3:00 PM ET</t>
  </si>
  <si>
    <t>Undrafted</t>
  </si>
  <si>
    <t>Georgia State</t>
  </si>
  <si>
    <t>San Diego State</t>
  </si>
  <si>
    <t>Texas A&amp;M</t>
  </si>
  <si>
    <t>Buffalo</t>
  </si>
  <si>
    <t>Texas Tech</t>
  </si>
  <si>
    <t>Michigan State</t>
  </si>
  <si>
    <t>MWC</t>
  </si>
  <si>
    <t>Old Dominion</t>
  </si>
  <si>
    <t>Utah</t>
  </si>
  <si>
    <t>FOX</t>
  </si>
  <si>
    <t>ACC RSNs</t>
  </si>
  <si>
    <t>Kansas State</t>
  </si>
  <si>
    <t>Louisiana Monroe</t>
  </si>
  <si>
    <t>LSU</t>
  </si>
  <si>
    <t>Northern Illinois</t>
  </si>
  <si>
    <t>Northwestern</t>
  </si>
  <si>
    <t>USC</t>
  </si>
  <si>
    <t>UNLV</t>
  </si>
  <si>
    <t>Florida Atlantic</t>
  </si>
  <si>
    <t>Ohio State</t>
  </si>
  <si>
    <t>Big Ten</t>
  </si>
  <si>
    <t>Georgia Southern</t>
  </si>
  <si>
    <t>Louisiana Tech</t>
  </si>
  <si>
    <t>CUSA.TV</t>
  </si>
  <si>
    <t>Oklahoma State</t>
  </si>
  <si>
    <t>Stanford</t>
  </si>
  <si>
    <t>Pac12</t>
  </si>
  <si>
    <t>Ball State</t>
  </si>
  <si>
    <t>North Carolina</t>
  </si>
  <si>
    <t>Washington State</t>
  </si>
  <si>
    <t>6½</t>
  </si>
  <si>
    <t>3½</t>
  </si>
  <si>
    <t>Baylor</t>
  </si>
  <si>
    <t>San José State</t>
  </si>
  <si>
    <t>Ole Miss</t>
  </si>
  <si>
    <t>Western Michigan</t>
  </si>
  <si>
    <t>Michigan</t>
  </si>
  <si>
    <t>7½</t>
  </si>
  <si>
    <t>New Mexico State</t>
  </si>
  <si>
    <t>Virginia Tech</t>
  </si>
  <si>
    <t>Purdue</t>
  </si>
  <si>
    <t>10½</t>
  </si>
  <si>
    <t>Iowa State</t>
  </si>
  <si>
    <t>Tennessee</t>
  </si>
  <si>
    <t>Rice</t>
  </si>
  <si>
    <t>Utah State</t>
  </si>
  <si>
    <t>Ohio</t>
  </si>
  <si>
    <t>Washington</t>
  </si>
  <si>
    <t>16½</t>
  </si>
  <si>
    <t>Arkansas State</t>
  </si>
  <si>
    <t>NC State</t>
  </si>
  <si>
    <t>Arkansas</t>
  </si>
  <si>
    <t>Nevada</t>
  </si>
  <si>
    <t>NBC</t>
  </si>
  <si>
    <t>UTEP</t>
  </si>
  <si>
    <t>Colorado</t>
  </si>
  <si>
    <t>Wyoming</t>
  </si>
  <si>
    <t>Eastern Michigan</t>
  </si>
  <si>
    <t>Kentucky</t>
  </si>
  <si>
    <t>Wake Forest</t>
  </si>
  <si>
    <t>Indiana</t>
  </si>
  <si>
    <t>Maryland</t>
  </si>
  <si>
    <t>Miami-OH</t>
  </si>
  <si>
    <t>South Carolina</t>
  </si>
  <si>
    <t>Vanderbilt</t>
  </si>
  <si>
    <t>Hawaii</t>
  </si>
  <si>
    <t>North Texas</t>
  </si>
  <si>
    <t>UTSA</t>
  </si>
  <si>
    <t>Duke</t>
  </si>
  <si>
    <t>Sun Belt</t>
  </si>
  <si>
    <t>South Alabama</t>
  </si>
  <si>
    <t>Charlotte</t>
  </si>
  <si>
    <t>Oregon State</t>
  </si>
  <si>
    <t>Missouri</t>
  </si>
  <si>
    <t>Illinois</t>
  </si>
  <si>
    <t>Virginia</t>
  </si>
  <si>
    <t>Rutgers</t>
  </si>
  <si>
    <t>CUSA</t>
  </si>
  <si>
    <t>Virfinia</t>
  </si>
  <si>
    <t>Miami (FL)</t>
  </si>
  <si>
    <r>
      <rPr>
        <rFont val="-apple-system, BlinkMacSystemFont, Roboto, Arial, &quot;Helvetica Neue&quot;, Helvetica, sans-serif"/>
        <color rgb="FF1155CC"/>
        <sz val="9.0"/>
        <u/>
      </rPr>
      <t>Minnesota Golden Gophers</t>
    </r>
  </si>
  <si>
    <t>5-4</t>
  </si>
  <si>
    <r>
      <rPr>
        <rFont val="-apple-system, BlinkMacSystemFont, Roboto, Arial, &quot;Helvetica Neue&quot;, Helvetica, sans-serif"/>
        <color rgb="FF1155CC"/>
        <sz val="9.0"/>
        <u/>
      </rPr>
      <t>Northwestern Wildcats</t>
    </r>
  </si>
  <si>
    <t>Southern Mississippiissippi</t>
  </si>
  <si>
    <t>Notre Dame</t>
  </si>
  <si>
    <t>BYU</t>
  </si>
  <si>
    <t>Army</t>
  </si>
  <si>
    <t>Massachusetts</t>
  </si>
  <si>
    <r>
      <rPr>
        <rFont val="-apple-system, BlinkMacSystemFont, Roboto, Arial, &quot;Helvetica Neue&quot;, Helvetica, sans-serif"/>
        <color rgb="FF1155CC"/>
        <sz val="9.0"/>
        <u/>
      </rPr>
      <t>Illinois Fighting Illini</t>
    </r>
  </si>
  <si>
    <t>Miami (OH)</t>
  </si>
  <si>
    <r>
      <rPr>
        <rFont val="-apple-system, BlinkMacSystemFont, Roboto, Arial, &quot;Helvetica Neue&quot;, Helvetica, sans-serif"/>
        <color rgb="FF1155CC"/>
        <sz val="9.0"/>
        <u/>
      </rPr>
      <t>Purdue Boilermakers</t>
    </r>
  </si>
  <si>
    <t>Conference USA</t>
  </si>
  <si>
    <t>MAC</t>
  </si>
  <si>
    <r>
      <rPr>
        <rFont val="-apple-system, BlinkMacSystemFont, Roboto, Arial, &quot;Helvetica Neue&quot;, Helvetica, sans-serif"/>
        <color rgb="FF1155CC"/>
        <sz val="9.0"/>
        <u/>
      </rPr>
      <t>Western Kentucky Hilltoppers</t>
    </r>
  </si>
  <si>
    <t>W8</t>
  </si>
  <si>
    <r>
      <rPr>
        <rFont val="-apple-system, BlinkMacSystemFont, Roboto, Arial, &quot;Helvetica Neue&quot;, Helvetica, sans-serif"/>
        <color rgb="FF1155CC"/>
        <sz val="9.0"/>
        <u/>
      </rPr>
      <t>Old Dominion Monarchs</t>
    </r>
  </si>
  <si>
    <t>W6</t>
  </si>
  <si>
    <t>--</t>
  </si>
  <si>
    <r>
      <rPr>
        <rFont val="-apple-system, BlinkMacSystemFont, Roboto, Arial, &quot;Helvetica Neue&quot;, Helvetica, sans-serif"/>
        <color rgb="FF1155CC"/>
        <sz val="9.0"/>
        <u/>
      </rPr>
      <t>Middle Tennessee Blue Raiders</t>
    </r>
  </si>
  <si>
    <r>
      <rPr>
        <rFont val="-apple-system, BlinkMacSystemFont, Roboto, Arial, &quot;Helvetica Neue&quot;, Helvetica, sans-serif"/>
        <color rgb="FF1155CC"/>
        <sz val="9.0"/>
        <u/>
      </rPr>
      <t>Florida Intl Golden Panthers</t>
    </r>
  </si>
  <si>
    <t>draft</t>
  </si>
  <si>
    <t>rnd</t>
  </si>
  <si>
    <r>
      <rPr>
        <rFont val="-apple-system, BlinkMacSystemFont, Roboto, Arial, &quot;Helvetica Neue&quot;, Helvetica, sans-serif"/>
        <color rgb="FF1155CC"/>
        <sz val="9.0"/>
        <u/>
      </rPr>
      <t>Charlotte 49ers</t>
    </r>
  </si>
  <si>
    <t>pick</t>
  </si>
  <si>
    <t>player</t>
  </si>
  <si>
    <t>conf</t>
  </si>
  <si>
    <r>
      <rPr>
        <rFont val="-apple-system, BlinkMacSystemFont, Roboto, Arial, &quot;Helvetica Neue&quot;, Helvetica, sans-serif"/>
        <color rgb="FF1155CC"/>
        <sz val="9.0"/>
        <u/>
      </rPr>
      <t>Florida Atlantic Owls</t>
    </r>
  </si>
  <si>
    <t>team</t>
  </si>
  <si>
    <t>Error Check</t>
  </si>
  <si>
    <t>Same confs picked within 10 after</t>
  </si>
  <si>
    <t>Same confs picked within 20 after</t>
  </si>
  <si>
    <t>Same confs picked within 10 before</t>
  </si>
  <si>
    <t>Same confs picked within 20 before</t>
  </si>
  <si>
    <t>wins</t>
  </si>
  <si>
    <t>picks_better_than</t>
  </si>
  <si>
    <t>no_teams_slept_on</t>
  </si>
  <si>
    <t>matchup</t>
  </si>
  <si>
    <t>Status (Time ET)</t>
  </si>
  <si>
    <r>
      <rPr>
        <rFont val="-apple-system, BlinkMacSystemFont, Roboto, Arial, &quot;Helvetica Neue&quot;, Helvetica, sans-serif"/>
        <color rgb="FF1155CC"/>
        <sz val="9.0"/>
        <u/>
      </rPr>
      <t>Marshall Thundering Herd</t>
    </r>
  </si>
  <si>
    <t>opponent</t>
  </si>
  <si>
    <t>network</t>
  </si>
  <si>
    <t>Opening Spread</t>
  </si>
  <si>
    <t>Spread</t>
  </si>
  <si>
    <t>Current Total</t>
  </si>
  <si>
    <t>Total</t>
  </si>
  <si>
    <t>wins_missed</t>
  </si>
  <si>
    <t>bestpick</t>
  </si>
  <si>
    <t>wins_gained</t>
  </si>
  <si>
    <t>teams_slept_on</t>
  </si>
  <si>
    <t>wins_missed_conf</t>
  </si>
  <si>
    <t>picks_better_than_conf</t>
  </si>
  <si>
    <t>no_teams_slept_on_conf</t>
  </si>
  <si>
    <t>bestpick_conf</t>
  </si>
  <si>
    <t>wins_gained_conf</t>
  </si>
  <si>
    <t>teams_slept_on_conf</t>
  </si>
  <si>
    <t>confs_avail</t>
  </si>
  <si>
    <t>wins_missed_confs_avail</t>
  </si>
  <si>
    <t>picks_better_than_confs_avail</t>
  </si>
  <si>
    <r>
      <rPr>
        <rFont val="-apple-system, BlinkMacSystemFont, Roboto, Arial, &quot;Helvetica Neue&quot;, Helvetica, sans-serif"/>
        <color rgb="FF1155CC"/>
        <sz val="9.0"/>
        <u/>
      </rPr>
      <t>Louisiana Tech Bulldogs</t>
    </r>
  </si>
  <si>
    <t>no_teams_slept_on_confs_avail</t>
  </si>
  <si>
    <t>bestpick_confs_avail</t>
  </si>
  <si>
    <t>wins_gained_confs_avail</t>
  </si>
  <si>
    <t>teams_slept_on_confs_avail</t>
  </si>
  <si>
    <r>
      <rPr>
        <rFont val="-apple-system, BlinkMacSystemFont, Roboto, Arial, &quot;Helvetica Neue&quot;, Helvetica, sans-serif"/>
        <color rgb="FF1155CC"/>
        <sz val="9.0"/>
        <u/>
      </rPr>
      <t>UT San Antonio Roadrunners</t>
    </r>
  </si>
  <si>
    <r>
      <rPr>
        <rFont val="-apple-system, BlinkMacSystemFont, Roboto, Arial, &quot;Helvetica Neue&quot;, Helvetica, sans-serif"/>
        <color rgb="FF1155CC"/>
        <sz val="9.0"/>
        <u/>
      </rPr>
      <t>Southern Mississippi Golden Eagles</t>
    </r>
  </si>
  <si>
    <r>
      <rPr>
        <rFont val="-apple-system, BlinkMacSystemFont, Roboto, Arial, &quot;Helvetica Neue&quot;, Helvetica, sans-serif"/>
        <color rgb="FF1155CC"/>
        <sz val="9.0"/>
        <u/>
      </rPr>
      <t>North Texas Mean Green</t>
    </r>
  </si>
  <si>
    <t>5-8</t>
  </si>
  <si>
    <r>
      <rPr>
        <rFont val="-apple-system, BlinkMacSystemFont, Roboto, Arial, &quot;Helvetica Neue&quot;, Helvetica, sans-serif"/>
        <color rgb="FF1155CC"/>
        <sz val="9.0"/>
        <u/>
      </rPr>
      <t>Rice Owls</t>
    </r>
  </si>
  <si>
    <r>
      <rPr>
        <rFont val="-apple-system, BlinkMacSystemFont, Roboto, Arial, &quot;Helvetica Neue&quot;, Helvetica, sans-serif"/>
        <color rgb="FF1155CC"/>
        <sz val="9.0"/>
        <u/>
      </rPr>
      <t>UTEP Miners</t>
    </r>
  </si>
  <si>
    <t>FBS Independents</t>
  </si>
  <si>
    <r>
      <rPr>
        <rFont val="-apple-system, BlinkMacSystemFont, Roboto, Arial, &quot;Helvetica Neue&quot;, Helvetica, sans-serif"/>
        <color rgb="FF1155CC"/>
        <sz val="9.0"/>
        <u/>
      </rPr>
      <t>BYU Cougars</t>
    </r>
  </si>
  <si>
    <r>
      <rPr>
        <rFont val="-apple-system, BlinkMacSystemFont, Roboto, Arial, &quot;Helvetica Neue&quot;, Helvetica, sans-serif"/>
        <color rgb="FF1155CC"/>
        <sz val="9.0"/>
        <u/>
      </rPr>
      <t>Notre Dame Fighting Irish</t>
    </r>
  </si>
  <si>
    <r>
      <rPr>
        <rFont val="-apple-system, BlinkMacSystemFont, Roboto, Arial, &quot;Helvetica Neue&quot;, Helvetica, sans-serif"/>
        <color rgb="FF1155CC"/>
        <sz val="9.0"/>
        <u/>
      </rPr>
      <t>Army Black Knights</t>
    </r>
  </si>
  <si>
    <r>
      <rPr>
        <rFont val="-apple-system, BlinkMacSystemFont, Roboto, Arial, &quot;Helvetica Neue&quot;, Helvetica, sans-serif"/>
        <color rgb="FF1155CC"/>
        <sz val="9.0"/>
        <u/>
      </rPr>
      <t>Massachusetts Minutemen</t>
    </r>
  </si>
  <si>
    <t>Mid-American Conference</t>
  </si>
  <si>
    <r>
      <rPr>
        <rFont val="-apple-system, BlinkMacSystemFont, Roboto, Arial, &quot;Helvetica Neue&quot;, Helvetica, sans-serif"/>
        <color rgb="FF1155CC"/>
        <sz val="9.0"/>
        <u/>
      </rPr>
      <t>Ohio Bobcats</t>
    </r>
  </si>
  <si>
    <t>8-6</t>
  </si>
  <si>
    <r>
      <rPr>
        <rFont val="-apple-system, BlinkMacSystemFont, Roboto, Arial, &quot;Helvetica Neue&quot;, Helvetica, sans-serif"/>
        <color rgb="FF1155CC"/>
        <sz val="9.0"/>
        <u/>
      </rPr>
      <t>Miami (OH) RedHawks</t>
    </r>
  </si>
  <si>
    <r>
      <rPr>
        <rFont val="-apple-system, BlinkMacSystemFont, Roboto, Arial, &quot;Helvetica Neue&quot;, Helvetica, sans-serif"/>
        <color rgb="FF1155CC"/>
        <sz val="9.0"/>
        <u/>
      </rPr>
      <t>Bowling Green Falcons</t>
    </r>
  </si>
  <si>
    <r>
      <rPr>
        <rFont val="-apple-system, BlinkMacSystemFont, Roboto, Arial, &quot;Helvetica Neue&quot;, Helvetica, sans-serif"/>
        <color rgb="FF1155CC"/>
        <sz val="9.0"/>
        <u/>
      </rPr>
      <t>Akron Zips</t>
    </r>
  </si>
  <si>
    <r>
      <rPr>
        <rFont val="-apple-system, BlinkMacSystemFont, Roboto, Arial, &quot;Helvetica Neue&quot;, Helvetica, sans-serif"/>
        <color rgb="FF1155CC"/>
        <sz val="9.0"/>
        <u/>
      </rPr>
      <t>Kent State Golden Flashes</t>
    </r>
  </si>
  <si>
    <r>
      <rPr>
        <rFont val="-apple-system, BlinkMacSystemFont, Roboto, Arial, &quot;Helvetica Neue&quot;, Helvetica, sans-serif"/>
        <color rgb="FF1155CC"/>
        <sz val="9.0"/>
        <u/>
      </rPr>
      <t>Buffalo Bulls</t>
    </r>
  </si>
  <si>
    <r>
      <rPr>
        <rFont val="-apple-system, BlinkMacSystemFont, Roboto, Arial, &quot;Helvetica Neue&quot;, Helvetica, sans-serif"/>
        <sz val="9.0"/>
      </rPr>
      <t>15</t>
    </r>
    <r>
      <rPr>
        <rFont val="-apple-system, BlinkMacSystemFont, Roboto, Arial, &quot;Helvetica Neue&quot;, Helvetica, sans-serif"/>
        <color rgb="FF1155CC"/>
        <sz val="9.0"/>
        <u/>
      </rPr>
      <t>Western Michigan Broncos</t>
    </r>
  </si>
  <si>
    <t>13-1</t>
  </si>
  <si>
    <r>
      <rPr>
        <rFont val="-apple-system, BlinkMacSystemFont, Roboto, Arial, &quot;Helvetica Neue&quot;, Helvetica, sans-serif"/>
        <color rgb="FF1155CC"/>
        <sz val="9.0"/>
        <u/>
      </rPr>
      <t>Toledo Rockets</t>
    </r>
  </si>
  <si>
    <r>
      <rPr>
        <rFont val="-apple-system, BlinkMacSystemFont, Roboto, Arial, &quot;Helvetica Neue&quot;, Helvetica, sans-serif"/>
        <color rgb="FF1155CC"/>
        <sz val="9.0"/>
        <u/>
      </rPr>
      <t>Northern Illinois Huskies</t>
    </r>
  </si>
  <si>
    <r>
      <rPr>
        <rFont val="-apple-system, BlinkMacSystemFont, Roboto, Arial, &quot;Helvetica Neue&quot;, Helvetica, sans-serif"/>
        <color rgb="FF1155CC"/>
        <sz val="9.0"/>
        <u/>
      </rPr>
      <t>Eastern Michigan Eagles</t>
    </r>
  </si>
  <si>
    <r>
      <rPr>
        <rFont val="-apple-system, BlinkMacSystemFont, Roboto, Arial, &quot;Helvetica Neue&quot;, Helvetica, sans-serif"/>
        <color rgb="FF1155CC"/>
        <sz val="9.0"/>
        <u/>
      </rPr>
      <t>Central Michigan Chippewas</t>
    </r>
  </si>
  <si>
    <r>
      <rPr>
        <rFont val="-apple-system, BlinkMacSystemFont, Roboto, Arial, &quot;Helvetica Neue&quot;, Helvetica, sans-serif"/>
        <color rgb="FF1155CC"/>
        <sz val="9.0"/>
        <u/>
      </rPr>
      <t>Ball State Cardinals</t>
    </r>
  </si>
  <si>
    <t>Mountain West Conference</t>
  </si>
  <si>
    <t>Mountain</t>
  </si>
  <si>
    <r>
      <rPr>
        <rFont val="-apple-system, BlinkMacSystemFont, Roboto, Arial, &quot;Helvetica Neue&quot;, Helvetica, sans-serif"/>
        <color rgb="FF1155CC"/>
        <sz val="9.0"/>
        <u/>
      </rPr>
      <t>Boise State Broncos</t>
    </r>
  </si>
  <si>
    <r>
      <rPr>
        <rFont val="-apple-system, BlinkMacSystemFont, Roboto, Arial, &quot;Helvetica Neue&quot;, Helvetica, sans-serif"/>
        <color rgb="FF1155CC"/>
        <sz val="9.0"/>
        <u/>
      </rPr>
      <t>New Mexico Lobos</t>
    </r>
  </si>
  <si>
    <r>
      <rPr>
        <rFont val="-apple-system, BlinkMacSystemFont, Roboto, Arial, &quot;Helvetica Neue&quot;, Helvetica, sans-serif"/>
        <color rgb="FF1155CC"/>
        <sz val="9.0"/>
        <u/>
      </rPr>
      <t>Wyoming Cowboys</t>
    </r>
  </si>
  <si>
    <r>
      <rPr>
        <rFont val="-apple-system, BlinkMacSystemFont, Roboto, Arial, &quot;Helvetica Neue&quot;, Helvetica, sans-serif"/>
        <color rgb="FF1155CC"/>
        <sz val="9.0"/>
        <u/>
      </rPr>
      <t>Air Force Falcons</t>
    </r>
  </si>
  <si>
    <r>
      <rPr>
        <rFont val="-apple-system, BlinkMacSystemFont, Roboto, Arial, &quot;Helvetica Neue&quot;, Helvetica, sans-serif"/>
        <color rgb="FF1155CC"/>
        <sz val="9.0"/>
        <u/>
      </rPr>
      <t>Colorado State Rams</t>
    </r>
  </si>
  <si>
    <r>
      <rPr>
        <rFont val="-apple-system, BlinkMacSystemFont, Roboto, Arial, &quot;Helvetica Neue&quot;, Helvetica, sans-serif"/>
        <color rgb="FF1155CC"/>
        <sz val="9.0"/>
        <u/>
      </rPr>
      <t>Utah State Aggies</t>
    </r>
  </si>
  <si>
    <r>
      <rPr>
        <rFont val="-apple-system, BlinkMacSystemFont, Roboto, Arial, &quot;Helvetica Neue&quot;, Helvetica, sans-serif"/>
        <sz val="9.0"/>
      </rPr>
      <t>25</t>
    </r>
    <r>
      <rPr>
        <rFont val="-apple-system, BlinkMacSystemFont, Roboto, Arial, &quot;Helvetica Neue&quot;, Helvetica, sans-serif"/>
        <color rgb="FF1155CC"/>
        <sz val="9.0"/>
        <u/>
      </rPr>
      <t>San Diego State Aztecs</t>
    </r>
  </si>
  <si>
    <r>
      <rPr>
        <rFont val="-apple-system, BlinkMacSystemFont, Roboto, Arial, &quot;Helvetica Neue&quot;, Helvetica, sans-serif"/>
        <color rgb="FF1155CC"/>
        <sz val="9.0"/>
        <u/>
      </rPr>
      <t>Hawai'i Rainbow Warriors</t>
    </r>
  </si>
  <si>
    <t>7-7</t>
  </si>
  <si>
    <r>
      <rPr>
        <rFont val="-apple-system, BlinkMacSystemFont, Roboto, Arial, &quot;Helvetica Neue&quot;, Helvetica, sans-serif"/>
        <color rgb="FF1155CC"/>
        <sz val="9.0"/>
        <u/>
      </rPr>
      <t>San Jose State Spartans</t>
    </r>
  </si>
  <si>
    <r>
      <rPr>
        <rFont val="-apple-system, BlinkMacSystemFont, Roboto, Arial, &quot;Helvetica Neue&quot;, Helvetica, sans-serif"/>
        <color rgb="FF1155CC"/>
        <sz val="9.0"/>
        <u/>
      </rPr>
      <t>Nevada Wolf Pack</t>
    </r>
  </si>
  <si>
    <r>
      <rPr>
        <rFont val="-apple-system, BlinkMacSystemFont, Roboto, Arial, &quot;Helvetica Neue&quot;, Helvetica, sans-serif"/>
        <color rgb="FF1155CC"/>
        <sz val="9.0"/>
        <u/>
      </rPr>
      <t>UNLV Rebels</t>
    </r>
  </si>
  <si>
    <r>
      <rPr>
        <rFont val="-apple-system, BlinkMacSystemFont, Roboto, Arial, &quot;Helvetica Neue&quot;, Helvetica, sans-serif"/>
        <color rgb="FF1155CC"/>
        <sz val="9.0"/>
        <u/>
      </rPr>
      <t>Fresno State Bulldogs</t>
    </r>
  </si>
  <si>
    <t>0-8</t>
  </si>
  <si>
    <t>1-11</t>
  </si>
  <si>
    <t>L10</t>
  </si>
  <si>
    <t>Pac-12 Conference</t>
  </si>
  <si>
    <t>North</t>
  </si>
  <si>
    <r>
      <rPr>
        <rFont val="-apple-system, BlinkMacSystemFont, Roboto, Arial, &quot;Helvetica Neue&quot;, Helvetica, sans-serif"/>
        <sz val="9.0"/>
      </rPr>
      <t>4</t>
    </r>
    <r>
      <rPr>
        <rFont val="-apple-system, BlinkMacSystemFont, Roboto, Arial, &quot;Helvetica Neue&quot;, Helvetica, sans-serif"/>
        <color rgb="FF1155CC"/>
        <sz val="9.0"/>
        <u/>
      </rPr>
      <t>Washington Huskies</t>
    </r>
  </si>
  <si>
    <t>12-2</t>
  </si>
  <si>
    <r>
      <rPr>
        <rFont val="-apple-system, BlinkMacSystemFont, Roboto, Arial, &quot;Helvetica Neue&quot;, Helvetica, sans-serif"/>
        <color rgb="FF1155CC"/>
        <sz val="9.0"/>
        <u/>
      </rPr>
      <t>Washington State Cougars</t>
    </r>
  </si>
  <si>
    <r>
      <rPr>
        <rFont val="-apple-system, BlinkMacSystemFont, Roboto, Arial, &quot;Helvetica Neue&quot;, Helvetica, sans-serif"/>
        <sz val="9.0"/>
      </rPr>
      <t>12</t>
    </r>
    <r>
      <rPr>
        <rFont val="-apple-system, BlinkMacSystemFont, Roboto, Arial, &quot;Helvetica Neue&quot;, Helvetica, sans-serif"/>
        <color rgb="FF1155CC"/>
        <sz val="9.0"/>
        <u/>
      </rPr>
      <t>Stanford Cardinal</t>
    </r>
  </si>
  <si>
    <r>
      <rPr>
        <rFont val="-apple-system, BlinkMacSystemFont, Roboto, Arial, &quot;Helvetica Neue&quot;, Helvetica, sans-serif"/>
        <color rgb="FF1155CC"/>
        <sz val="9.0"/>
        <u/>
      </rPr>
      <t>Oregon State Beavers</t>
    </r>
  </si>
  <si>
    <r>
      <rPr>
        <rFont val="-apple-system, BlinkMacSystemFont, Roboto, Arial, &quot;Helvetica Neue&quot;, Helvetica, sans-serif"/>
        <color rgb="FF1155CC"/>
        <sz val="9.0"/>
        <u/>
      </rPr>
      <t>California Golden Bears</t>
    </r>
  </si>
  <si>
    <r>
      <rPr>
        <rFont val="-apple-system, BlinkMacSystemFont, Roboto, Arial, &quot;Helvetica Neue&quot;, Helvetica, sans-serif"/>
        <color rgb="FF1155CC"/>
        <sz val="9.0"/>
        <u/>
      </rPr>
      <t>Oregon Ducks</t>
    </r>
  </si>
  <si>
    <t>South</t>
  </si>
  <si>
    <r>
      <rPr>
        <rFont val="-apple-system, BlinkMacSystemFont, Roboto, Arial, &quot;Helvetica Neue&quot;, Helvetica, sans-serif"/>
        <sz val="9.0"/>
      </rPr>
      <t>17</t>
    </r>
    <r>
      <rPr>
        <rFont val="-apple-system, BlinkMacSystemFont, Roboto, Arial, &quot;Helvetica Neue&quot;, Helvetica, sans-serif"/>
        <color rgb="FF1155CC"/>
        <sz val="9.0"/>
        <u/>
      </rPr>
      <t>Colorado Buffaloes</t>
    </r>
  </si>
  <si>
    <r>
      <rPr>
        <rFont val="-apple-system, BlinkMacSystemFont, Roboto, Arial, &quot;Helvetica Neue&quot;, Helvetica, sans-serif"/>
        <sz val="9.0"/>
      </rPr>
      <t>3</t>
    </r>
    <r>
      <rPr>
        <rFont val="-apple-system, BlinkMacSystemFont, Roboto, Arial, &quot;Helvetica Neue&quot;, Helvetica, sans-serif"/>
        <color rgb="FF1155CC"/>
        <sz val="9.0"/>
        <u/>
      </rPr>
      <t>USC Trojans</t>
    </r>
  </si>
  <si>
    <t>W9</t>
  </si>
  <si>
    <r>
      <rPr>
        <rFont val="-apple-system, BlinkMacSystemFont, Roboto, Arial, &quot;Helvetica Neue&quot;, Helvetica, sans-serif"/>
        <sz val="9.0"/>
      </rPr>
      <t>23</t>
    </r>
    <r>
      <rPr>
        <rFont val="-apple-system, BlinkMacSystemFont, Roboto, Arial, &quot;Helvetica Neue&quot;, Helvetica, sans-serif"/>
        <color rgb="FF1155CC"/>
        <sz val="9.0"/>
        <u/>
      </rPr>
      <t>Utah Utes</t>
    </r>
  </si>
  <si>
    <r>
      <rPr>
        <rFont val="-apple-system, BlinkMacSystemFont, Roboto, Arial, &quot;Helvetica Neue&quot;, Helvetica, sans-serif"/>
        <color rgb="FF1155CC"/>
        <sz val="9.0"/>
        <u/>
      </rPr>
      <t>Arizona State Sun Devils</t>
    </r>
  </si>
  <si>
    <r>
      <rPr>
        <rFont val="-apple-system, BlinkMacSystemFont, Roboto, Arial, &quot;Helvetica Neue&quot;, Helvetica, sans-serif"/>
        <color rgb="FF1155CC"/>
        <sz val="9.0"/>
        <u/>
      </rPr>
      <t>UCLA Bruins</t>
    </r>
  </si>
  <si>
    <r>
      <rPr>
        <rFont val="-apple-system, BlinkMacSystemFont, Roboto, Arial, &quot;Helvetica Neue&quot;, Helvetica, sans-serif"/>
        <color rgb="FF1155CC"/>
        <sz val="9.0"/>
        <u/>
      </rPr>
      <t>Arizona Wildcats</t>
    </r>
  </si>
  <si>
    <t>Southeastern Conference</t>
  </si>
  <si>
    <r>
      <rPr>
        <rFont val="-apple-system, BlinkMacSystemFont, Roboto, Arial, &quot;Helvetica Neue&quot;, Helvetica, sans-serif"/>
        <sz val="9.0"/>
      </rPr>
      <t>14</t>
    </r>
    <r>
      <rPr>
        <rFont val="-apple-system, BlinkMacSystemFont, Roboto, Arial, &quot;Helvetica Neue&quot;, Helvetica, sans-serif"/>
        <color rgb="FF1155CC"/>
        <sz val="9.0"/>
        <u/>
      </rPr>
      <t>Florida Gators</t>
    </r>
  </si>
  <si>
    <r>
      <rPr>
        <rFont val="-apple-system, BlinkMacSystemFont, Roboto, Arial, &quot;Helvetica Neue&quot;, Helvetica, sans-serif"/>
        <sz val="9.0"/>
      </rPr>
      <t>22</t>
    </r>
    <r>
      <rPr>
        <rFont val="-apple-system, BlinkMacSystemFont, Roboto, Arial, &quot;Helvetica Neue&quot;, Helvetica, sans-serif"/>
        <color rgb="FF1155CC"/>
        <sz val="9.0"/>
        <u/>
      </rPr>
      <t>Tennessee Volunteers</t>
    </r>
  </si>
  <si>
    <r>
      <rPr>
        <rFont val="-apple-system, BlinkMacSystemFont, Roboto, Arial, &quot;Helvetica Neue&quot;, Helvetica, sans-serif"/>
        <color rgb="FF1155CC"/>
        <sz val="9.0"/>
        <u/>
      </rPr>
      <t>Georgia Bulldogs</t>
    </r>
  </si>
  <si>
    <r>
      <rPr>
        <rFont val="-apple-system, BlinkMacSystemFont, Roboto, Arial, &quot;Helvetica Neue&quot;, Helvetica, sans-serif"/>
        <color rgb="FF1155CC"/>
        <sz val="9.0"/>
        <u/>
      </rPr>
      <t>Kentucky Wildcats</t>
    </r>
  </si>
  <si>
    <r>
      <rPr>
        <rFont val="-apple-system, BlinkMacSystemFont, Roboto, Arial, &quot;Helvetica Neue&quot;, Helvetica, sans-serif"/>
        <color rgb="FF1155CC"/>
        <sz val="9.0"/>
        <u/>
      </rPr>
      <t>South Carolina Gamecocks</t>
    </r>
  </si>
  <si>
    <r>
      <rPr>
        <rFont val="-apple-system, BlinkMacSystemFont, Roboto, Arial, &quot;Helvetica Neue&quot;, Helvetica, sans-serif"/>
        <color rgb="FF1155CC"/>
        <sz val="9.0"/>
        <u/>
      </rPr>
      <t>Vanderbilt Commodores</t>
    </r>
  </si>
  <si>
    <r>
      <rPr>
        <rFont val="-apple-system, BlinkMacSystemFont, Roboto, Arial, &quot;Helvetica Neue&quot;, Helvetica, sans-serif"/>
        <color rgb="FF1155CC"/>
        <sz val="9.0"/>
        <u/>
      </rPr>
      <t>Missouri Tigers</t>
    </r>
  </si>
  <si>
    <r>
      <rPr>
        <rFont val="-apple-system, BlinkMacSystemFont, Roboto, Arial, &quot;Helvetica Neue&quot;, Helvetica, sans-serif"/>
        <sz val="9.0"/>
      </rPr>
      <t>2</t>
    </r>
    <r>
      <rPr>
        <rFont val="-apple-system, BlinkMacSystemFont, Roboto, Arial, &quot;Helvetica Neue&quot;, Helvetica, sans-serif"/>
        <color rgb="FF1155CC"/>
        <sz val="9.0"/>
        <u/>
      </rPr>
      <t>Alabama Crimson Tide</t>
    </r>
  </si>
  <si>
    <r>
      <rPr>
        <rFont val="-apple-system, BlinkMacSystemFont, Roboto, Arial, &quot;Helvetica Neue&quot;, Helvetica, sans-serif"/>
        <sz val="9.0"/>
      </rPr>
      <t>24</t>
    </r>
    <r>
      <rPr>
        <rFont val="-apple-system, BlinkMacSystemFont, Roboto, Arial, &quot;Helvetica Neue&quot;, Helvetica, sans-serif"/>
        <color rgb="FF1155CC"/>
        <sz val="9.0"/>
        <u/>
      </rPr>
      <t>Auburn Tigers</t>
    </r>
  </si>
  <si>
    <r>
      <rPr>
        <rFont val="-apple-system, BlinkMacSystemFont, Roboto, Arial, &quot;Helvetica Neue&quot;, Helvetica, sans-serif"/>
        <sz val="9.0"/>
      </rPr>
      <t>13</t>
    </r>
    <r>
      <rPr>
        <rFont val="-apple-system, BlinkMacSystemFont, Roboto, Arial, &quot;Helvetica Neue&quot;, Helvetica, sans-serif"/>
        <color rgb="FF1155CC"/>
        <sz val="9.0"/>
        <u/>
      </rPr>
      <t>LSU Tigers</t>
    </r>
  </si>
  <si>
    <t>8-4</t>
  </si>
  <si>
    <r>
      <rPr>
        <rFont val="-apple-system, BlinkMacSystemFont, Roboto, Arial, &quot;Helvetica Neue&quot;, Helvetica, sans-serif"/>
        <color rgb="FF1155CC"/>
        <sz val="9.0"/>
        <u/>
      </rPr>
      <t>Texas A&amp;M Aggies</t>
    </r>
  </si>
  <si>
    <r>
      <rPr>
        <rFont val="-apple-system, BlinkMacSystemFont, Roboto, Arial, &quot;Helvetica Neue&quot;, Helvetica, sans-serif"/>
        <color rgb="FF1155CC"/>
        <sz val="9.0"/>
        <u/>
      </rPr>
      <t>Arkansas Razorbacks</t>
    </r>
  </si>
  <si>
    <r>
      <rPr>
        <rFont val="-apple-system, BlinkMacSystemFont, Roboto, Arial, &quot;Helvetica Neue&quot;, Helvetica, sans-serif"/>
        <color rgb="FF1155CC"/>
        <sz val="9.0"/>
        <u/>
      </rPr>
      <t>Mississippi State Bulldogs</t>
    </r>
  </si>
  <si>
    <r>
      <rPr>
        <rFont val="-apple-system, BlinkMacSystemFont, Roboto, Arial, &quot;Helvetica Neue&quot;, Helvetica, sans-serif"/>
        <color rgb="FF1155CC"/>
        <sz val="9.0"/>
        <u/>
      </rPr>
      <t>Ole Miss Rebels</t>
    </r>
  </si>
  <si>
    <t>Sun Belt Conference</t>
  </si>
  <si>
    <r>
      <rPr>
        <rFont val="-apple-system, BlinkMacSystemFont, Roboto, Arial, &quot;Helvetica Neue&quot;, Helvetica, sans-serif"/>
        <color rgb="FF1155CC"/>
        <sz val="9.0"/>
        <u/>
      </rPr>
      <t>Appalachian State Mountaineers</t>
    </r>
  </si>
  <si>
    <r>
      <rPr>
        <rFont val="-apple-system, BlinkMacSystemFont, Roboto, Arial, &quot;Helvetica Neue&quot;, Helvetica, sans-serif"/>
        <color rgb="FF1155CC"/>
        <sz val="9.0"/>
        <u/>
      </rPr>
      <t>Arkansas State Red Wolves</t>
    </r>
  </si>
  <si>
    <r>
      <rPr>
        <rFont val="-apple-system, BlinkMacSystemFont, Roboto, Arial, &quot;Helvetica Neue&quot;, Helvetica, sans-serif"/>
        <color rgb="FF1155CC"/>
        <sz val="9.0"/>
        <u/>
      </rPr>
      <t>Troy Trojans</t>
    </r>
  </si>
  <si>
    <r>
      <rPr>
        <rFont val="-apple-system, BlinkMacSystemFont, Roboto, Arial, &quot;Helvetica Neue&quot;, Helvetica, sans-serif"/>
        <color rgb="FF1155CC"/>
        <sz val="9.0"/>
        <u/>
      </rPr>
      <t>Idaho Vandals</t>
    </r>
  </si>
  <si>
    <r>
      <rPr>
        <rFont val="-apple-system, BlinkMacSystemFont, Roboto, Arial, &quot;Helvetica Neue&quot;, Helvetica, sans-serif"/>
        <color rgb="FF1155CC"/>
        <sz val="9.0"/>
        <u/>
      </rPr>
      <t>Louisiana Ragin' Cajuns</t>
    </r>
  </si>
  <si>
    <r>
      <rPr>
        <rFont val="-apple-system, BlinkMacSystemFont, Roboto, Arial, &quot;Helvetica Neue&quot;, Helvetica, sans-serif"/>
        <color rgb="FF1155CC"/>
        <sz val="9.0"/>
        <u/>
      </rPr>
      <t>Georgia Southern Eagles</t>
    </r>
  </si>
  <si>
    <r>
      <rPr>
        <rFont val="-apple-system, BlinkMacSystemFont, Roboto, Arial, &quot;Helvetica Neue&quot;, Helvetica, sans-serif"/>
        <color rgb="FF1155CC"/>
        <sz val="9.0"/>
        <u/>
      </rPr>
      <t>Louisiana Monroe Warhawks</t>
    </r>
  </si>
  <si>
    <r>
      <rPr>
        <rFont val="-apple-system, BlinkMacSystemFont, Roboto, Arial, &quot;Helvetica Neue&quot;, Helvetica, sans-serif"/>
        <color rgb="FF1155CC"/>
        <sz val="9.0"/>
        <u/>
      </rPr>
      <t>South Alabama Jaguars</t>
    </r>
  </si>
  <si>
    <r>
      <rPr>
        <rFont val="-apple-system, BlinkMacSystemFont, Roboto, Arial, &quot;Helvetica Neue&quot;, Helvetica, sans-serif"/>
        <color rgb="FF1155CC"/>
        <sz val="9.0"/>
        <u/>
      </rPr>
      <t>Georgia State Panthers</t>
    </r>
  </si>
  <si>
    <r>
      <rPr>
        <rFont val="-apple-system, BlinkMacSystemFont, Roboto, Arial, &quot;Helvetica Neue&quot;, Helvetica, sans-serif"/>
        <color rgb="FF1155CC"/>
        <sz val="9.0"/>
        <u/>
      </rPr>
      <t>New Mexico State Aggies</t>
    </r>
  </si>
  <si>
    <t>0-7</t>
  </si>
  <si>
    <r>
      <rPr>
        <rFont val="-apple-system, BlinkMacSystemFont, Roboto, Arial, &quot;Helvetica Neue&quot;, Helvetica, sans-serif"/>
        <color rgb="FF1155CC"/>
        <sz val="9.0"/>
        <u/>
      </rPr>
      <t>Texas State Bobcats</t>
    </r>
  </si>
  <si>
    <t>L8</t>
  </si>
  <si>
    <t>Order Rnd()</t>
  </si>
  <si>
    <t>% of Wins</t>
  </si>
  <si>
    <t>Wk1</t>
  </si>
  <si>
    <t>Wk2</t>
  </si>
  <si>
    <t>Wk3</t>
  </si>
  <si>
    <t>Wk4</t>
  </si>
  <si>
    <t>Wk5</t>
  </si>
  <si>
    <t>Wk6</t>
  </si>
  <si>
    <t>Wk7</t>
  </si>
  <si>
    <t>Wk8</t>
  </si>
  <si>
    <t>Wk9</t>
  </si>
  <si>
    <t>Wk10</t>
  </si>
  <si>
    <t>Wk11</t>
  </si>
  <si>
    <t>Wk12</t>
  </si>
  <si>
    <t>Wk13</t>
  </si>
  <si>
    <t>Wk14</t>
  </si>
  <si>
    <t>Total Wins</t>
  </si>
  <si>
    <t>Games</t>
  </si>
  <si>
    <t>Match up</t>
  </si>
  <si>
    <t>open</t>
  </si>
  <si>
    <t>Consensus</t>
  </si>
  <si>
    <t/>
  </si>
  <si>
    <t>Picked</t>
  </si>
  <si>
    <t>Notre Dame at Texas</t>
  </si>
  <si>
    <t>zLookup</t>
  </si>
  <si>
    <t>Hampton at Old Dominion</t>
  </si>
  <si>
    <t>Florida St. vs. Ole Miss</t>
  </si>
  <si>
    <t>SC</t>
  </si>
  <si>
    <t>ABC/ESPN2</t>
  </si>
  <si>
    <t>Altitude</t>
  </si>
  <si>
    <t>American Ath.</t>
  </si>
  <si>
    <t>BCSN</t>
  </si>
  <si>
    <t>CBS SportsU</t>
  </si>
  <si>
    <t>College Sports Direct</t>
  </si>
  <si>
    <t>CollegeSportsDirect.com</t>
  </si>
  <si>
    <t>Cox 4-Louisiana</t>
  </si>
  <si>
    <t>Cox-Hampton</t>
  </si>
  <si>
    <t>Crimson Tide PPV</t>
  </si>
  <si>
    <t>CSN Chicago</t>
  </si>
  <si>
    <t>CSS</t>
  </si>
  <si>
    <t>CSS PPV</t>
  </si>
  <si>
    <t>CST</t>
  </si>
  <si>
    <t>ESPN Plus</t>
  </si>
  <si>
    <t>ESPN2/ESPNU</t>
  </si>
  <si>
    <t>FOX College</t>
  </si>
  <si>
    <t>Gamecocks PPV</t>
  </si>
  <si>
    <t>Jayhawk TV</t>
  </si>
  <si>
    <t>K.StateHD.TV</t>
  </si>
  <si>
    <t>Mountain West</t>
  </si>
  <si>
    <t>MW</t>
  </si>
  <si>
    <t>NBC Sports</t>
  </si>
  <si>
    <t>Oceanic PPV</t>
  </si>
  <si>
    <t>ROOT Sports</t>
  </si>
  <si>
    <t>SEC TV</t>
  </si>
  <si>
    <t>SEC/CSS</t>
  </si>
  <si>
    <t>SEC/FSN Regional</t>
  </si>
  <si>
    <t>Sun Sports PPV</t>
  </si>
  <si>
    <t>TigerVision PPV</t>
  </si>
  <si>
    <t>TW Sports</t>
  </si>
  <si>
    <t>TW Sports-Buffalo</t>
  </si>
  <si>
    <t>TW-Ohio</t>
  </si>
  <si>
    <t>TW-Texas</t>
  </si>
  <si>
    <t>USDToreros.com</t>
  </si>
  <si>
    <t>WITN</t>
  </si>
  <si>
    <t>WOAI</t>
  </si>
  <si>
    <t>WSB</t>
  </si>
  <si>
    <t>WUXP</t>
  </si>
  <si>
    <t>first week week num</t>
  </si>
  <si>
    <t>current week</t>
  </si>
  <si>
    <t>color1</t>
  </si>
  <si>
    <t>color2</t>
  </si>
  <si>
    <t>Script Flow</t>
  </si>
  <si>
    <t>#0055fa</t>
  </si>
  <si>
    <t>#8a8d8e</t>
  </si>
  <si>
    <t>Clear Base</t>
  </si>
  <si>
    <t>#00285e</t>
  </si>
  <si>
    <t>Add new networks</t>
  </si>
  <si>
    <t>#c9b280</t>
  </si>
  <si>
    <t>Go dow schedule add games</t>
  </si>
  <si>
    <t>#7d110c</t>
  </si>
  <si>
    <t>#FFFFFF</t>
  </si>
  <si>
    <t>#ffce00</t>
  </si>
  <si>
    <t>#000000</t>
  </si>
  <si>
    <t>#cc0033</t>
  </si>
  <si>
    <t>#003366</t>
  </si>
  <si>
    <t>#802249</t>
  </si>
  <si>
    <t>#ffb310</t>
  </si>
  <si>
    <t>#cd1429</t>
  </si>
  <si>
    <t>#d4bf91</t>
  </si>
  <si>
    <t>#002b5c</t>
  </si>
  <si>
    <t>#ff571f</t>
  </si>
  <si>
    <t>#ba0c2f</t>
  </si>
  <si>
    <t>#0d4018</t>
  </si>
  <si>
    <t>#ffb517</t>
  </si>
  <si>
    <t>#98002e</t>
  </si>
  <si>
    <t>#bfa464</t>
  </si>
  <si>
    <t>#ff5200</t>
  </si>
  <si>
    <t>#4f2c1d</t>
  </si>
  <si>
    <t>#041a9b</t>
  </si>
  <si>
    <t>#002255</t>
  </si>
  <si>
    <t>#0030a4</t>
  </si>
  <si>
    <t>#002675</t>
  </si>
  <si>
    <t>#ffc72c</t>
  </si>
  <si>
    <t>#71273d</t>
  </si>
  <si>
    <t>#00703c</t>
  </si>
  <si>
    <t>#9a8348</t>
  </si>
  <si>
    <t>#e00122</t>
  </si>
  <si>
    <t>#f66733</t>
  </si>
  <si>
    <t>#522d80</t>
  </si>
  <si>
    <t>Coastal Carolina</t>
  </si>
  <si>
    <t>#006f71</t>
  </si>
  <si>
    <t>#a27752</t>
  </si>
  <si>
    <t>#d2c694</t>
  </si>
  <si>
    <t>#187031</t>
  </si>
  <si>
    <t>#8d744a</t>
  </si>
  <si>
    <t>#0736a4</t>
  </si>
  <si>
    <t>#592a86</t>
  </si>
  <si>
    <t>#ffc800</t>
  </si>
  <si>
    <t>EMU</t>
  </si>
  <si>
    <t>#006a34</t>
  </si>
  <si>
    <t>#003087</t>
  </si>
  <si>
    <t>#ff5113</t>
  </si>
  <si>
    <t>#cc0000</t>
  </si>
  <si>
    <t>#002d62</t>
  </si>
  <si>
    <t>#c5960c</t>
  </si>
  <si>
    <t>#540115</t>
  </si>
  <si>
    <t>#CDC092</t>
  </si>
  <si>
    <t>#da062e</t>
  </si>
  <si>
    <t>#002e6f</t>
  </si>
  <si>
    <t>#da291c</t>
  </si>
  <si>
    <t>#2c2a29</t>
  </si>
  <si>
    <t>#000066</t>
  </si>
  <si>
    <t>#0039a6</t>
  </si>
  <si>
    <t>#bba16a</t>
  </si>
  <si>
    <t>#00254c</t>
  </si>
  <si>
    <t>#024731</t>
  </si>
  <si>
    <t>#c4c1ba</t>
  </si>
  <si>
    <t>#e34e35</t>
  </si>
  <si>
    <t>#ffe100</t>
  </si>
  <si>
    <t>#a71930</t>
  </si>
  <si>
    <t>#fdc82f</t>
  </si>
  <si>
    <t>#0022b4</t>
  </si>
  <si>
    <t>#e8000d</t>
  </si>
  <si>
    <t>#512888</t>
  </si>
  <si>
    <t>#a8adad</t>
  </si>
  <si>
    <t>#003876</t>
  </si>
  <si>
    <t>#f0b310</t>
  </si>
  <si>
    <t>Liberty</t>
  </si>
  <si>
    <t>#990000</t>
  </si>
  <si>
    <t>#0A254E</t>
  </si>
  <si>
    <t>#e31b23</t>
  </si>
  <si>
    <t>#002f8b</t>
  </si>
  <si>
    <t>#ad0000</t>
  </si>
  <si>
    <t>#472f92</t>
  </si>
  <si>
    <t>#fdd023</t>
  </si>
  <si>
    <t>#00b140</t>
  </si>
  <si>
    <t>#f5002f</t>
  </si>
  <si>
    <t>#f6d565</t>
  </si>
  <si>
    <t>#0a1691</t>
  </si>
  <si>
    <t>#cbcbcb</t>
  </si>
  <si>
    <t>#005030</t>
  </si>
  <si>
    <t>#f47321</t>
  </si>
  <si>
    <t>#050403</t>
  </si>
  <si>
    <t>#00274c</t>
  </si>
  <si>
    <t>#ffcb05</t>
  </si>
  <si>
    <t>#18453b</t>
  </si>
  <si>
    <t>#0066cc</t>
  </si>
  <si>
    <t>#72c6ef</t>
  </si>
  <si>
    <t>#7a0019</t>
  </si>
  <si>
    <t>#ffcc33</t>
  </si>
  <si>
    <t>#660000</t>
  </si>
  <si>
    <t>#f1b82d</t>
  </si>
  <si>
    <t>#1d1756</t>
  </si>
  <si>
    <t>#ba8b00</t>
  </si>
  <si>
    <t>#cb092e</t>
  </si>
  <si>
    <t>#807f84</t>
  </si>
  <si>
    <t>#c10037</t>
  </si>
  <si>
    <t>#5e5d60</t>
  </si>
  <si>
    <t>#8b2346</t>
  </si>
  <si>
    <t>#6699cc</t>
  </si>
  <si>
    <t>#00a651</t>
  </si>
  <si>
    <t>#a5a7a8</t>
  </si>
  <si>
    <t>#520063</t>
  </si>
  <si>
    <t>#00246b</t>
  </si>
  <si>
    <t>#b18d03</t>
  </si>
  <si>
    <t>#00694e</t>
  </si>
  <si>
    <t>#bb0000</t>
  </si>
  <si>
    <t>#666666</t>
  </si>
  <si>
    <t>#841617</t>
  </si>
  <si>
    <t>#fe5c00</t>
  </si>
  <si>
    <t>#bebebe</t>
  </si>
  <si>
    <t>#004677</t>
  </si>
  <si>
    <t>#cc092f</t>
  </si>
  <si>
    <t>#002663</t>
  </si>
  <si>
    <t>#094c3a</t>
  </si>
  <si>
    <t>#fff200</t>
  </si>
  <si>
    <t>#c34500</t>
  </si>
  <si>
    <t>#011e41</t>
  </si>
  <si>
    <t>#003594</t>
  </si>
  <si>
    <t>#ffb81c</t>
  </si>
  <si>
    <t>#5e6062</t>
  </si>
  <si>
    <t>#d21034</t>
  </si>
  <si>
    <t>#5f6a72</t>
  </si>
  <si>
    <t>#a81933</t>
  </si>
  <si>
    <t>#005a8b</t>
  </si>
  <si>
    <t>#c79900</t>
  </si>
  <si>
    <t>#e51932</t>
  </si>
  <si>
    <t>#005da9</t>
  </si>
  <si>
    <t>#bf0d3e</t>
  </si>
  <si>
    <t>#00205b</t>
  </si>
  <si>
    <t>#73000a</t>
  </si>
  <si>
    <t>#00573c</t>
  </si>
  <si>
    <t>#dfd0a5</t>
  </si>
  <si>
    <t>#ffab00</t>
  </si>
  <si>
    <t>#8c1515</t>
  </si>
  <si>
    <t>#4d4f53</t>
  </si>
  <si>
    <t>#ff5a00</t>
  </si>
  <si>
    <t>#0d1d37</t>
  </si>
  <si>
    <t>#4d1979</t>
  </si>
  <si>
    <t>#990033</t>
  </si>
  <si>
    <t>#f77f00</t>
  </si>
  <si>
    <t>#cc5500</t>
  </si>
  <si>
    <t>#500000</t>
  </si>
  <si>
    <t>#717073</t>
  </si>
  <si>
    <t>#571c1f</t>
  </si>
  <si>
    <t>#ac9055</t>
  </si>
  <si>
    <t>#002569</t>
  </si>
  <si>
    <t>#892034</t>
  </si>
  <si>
    <t>#84888b</t>
  </si>
  <si>
    <t>#00331a</t>
  </si>
  <si>
    <t>#224568</t>
  </si>
  <si>
    <t>#004a8f</t>
  </si>
  <si>
    <t>#ffe075</t>
  </si>
  <si>
    <t>UAB</t>
  </si>
  <si>
    <t>#144B39</t>
  </si>
  <si>
    <t>#FFD400</t>
  </si>
  <si>
    <t>#0073CF</t>
  </si>
  <si>
    <t>UConn</t>
  </si>
  <si>
    <t>#192b5f</t>
  </si>
  <si>
    <t>#7c878e</t>
  </si>
  <si>
    <t>UL Lafayette</t>
  </si>
  <si>
    <t>#cf202f</t>
  </si>
  <si>
    <t>#c1c5c9</t>
  </si>
  <si>
    <t>UL Monroe</t>
  </si>
  <si>
    <t>#872434</t>
  </si>
  <si>
    <t>UMASS</t>
  </si>
  <si>
    <t>#828a8f</t>
  </si>
  <si>
    <t>#ffcc00</t>
  </si>
  <si>
    <t>#003359</t>
  </si>
  <si>
    <t>#a4aeb5</t>
  </si>
  <si>
    <t>#ff5600</t>
  </si>
  <si>
    <t>#002147</t>
  </si>
  <si>
    <t>#002244</t>
  </si>
  <si>
    <t>#997f3d</t>
  </si>
  <si>
    <t>#0d3268</t>
  </si>
  <si>
    <t>#ff7003</t>
  </si>
  <si>
    <t>#ff6600</t>
  </si>
  <si>
    <t>#9e7e38</t>
  </si>
  <si>
    <t>#363c74</t>
  </si>
  <si>
    <t>#e8d3a2</t>
  </si>
  <si>
    <t>#981e32</t>
  </si>
  <si>
    <t>#5e6a71</t>
  </si>
  <si>
    <t>#00447c</t>
  </si>
  <si>
    <t>#eeb111</t>
  </si>
  <si>
    <t>#b01e24</t>
  </si>
  <si>
    <t>#95774d</t>
  </si>
  <si>
    <t>#4a1a00</t>
  </si>
  <si>
    <t>#c4012f</t>
  </si>
  <si>
    <t>#492f24</t>
  </si>
  <si>
    <t>#ffc425</t>
  </si>
  <si>
    <t>Bottom Conference</t>
  </si>
  <si>
    <t>Power Conference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</si>
</sst>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m-d"/>
    <numFmt numFmtId="165" formatCode="h:mm am/pm"/>
    <numFmt numFmtId="166" formatCode="ddd, mm/dd, h:mm am/pm"/>
    <numFmt numFmtId="167" formatCode="m/d/yyyy h:mm:ss"/>
  </numFmts>
  <fonts count="38">
    <font>
      <sz val="10.0"/>
      <color rgb="FF000000"/>
      <name val="Arial"/>
    </font>
    <font>
      <b/>
    </font>
    <font>
      <name val="Arial"/>
    </font>
    <font>
      <b/>
      <name val="Arial"/>
    </font>
    <font/>
    <font>
      <sz val="10.0"/>
      <color rgb="FF262626"/>
    </font>
    <font>
      <sz val="11.0"/>
      <color rgb="FF000000"/>
      <name val="Inconsolata"/>
    </font>
    <font>
      <sz val="12.0"/>
      <color rgb="FF2B2C2D"/>
      <name val="-apple-system"/>
    </font>
    <font>
      <b/>
      <sz val="8.0"/>
      <color rgb="FF48494A"/>
      <name val="-apple-system"/>
    </font>
    <font>
      <sz val="8.0"/>
      <color rgb="FF151617"/>
      <name val="-apple-system"/>
    </font>
    <font>
      <u/>
      <sz val="9.0"/>
      <color rgb="FF0000FF"/>
      <name val="-apple-system"/>
    </font>
    <font>
      <sz val="9.0"/>
      <color rgb="FF6C6D6F"/>
      <name val="-apple-system"/>
    </font>
    <font>
      <sz val="10.0"/>
    </font>
    <font>
      <sz val="8.0"/>
      <color rgb="FF48494A"/>
      <name val="-apple-system"/>
    </font>
    <font>
      <sz val="10.0"/>
      <color rgb="FF000000"/>
    </font>
    <font>
      <u/>
      <sz val="10.0"/>
      <color rgb="FF000000"/>
    </font>
    <font>
      <sz val="10.0"/>
      <color rgb="FF0000FF"/>
    </font>
    <font>
      <strike/>
    </font>
    <font>
      <b/>
      <sz val="11.0"/>
      <color rgb="FF000000"/>
      <name val="Arial"/>
    </font>
    <font>
      <color rgb="FF000000"/>
      <name val="Arial"/>
    </font>
    <font>
      <sz val="9.0"/>
    </font>
    <font>
      <u/>
      <sz val="9.0"/>
      <color rgb="FF0000FF"/>
      <name val="-apple-system"/>
    </font>
    <font>
      <color rgb="FFFFFFFF"/>
    </font>
    <font>
      <b/>
      <sz val="10.0"/>
    </font>
    <font>
      <sz val="11.0"/>
      <color rgb="FFF7981D"/>
    </font>
    <font>
      <u/>
      <sz val="10.0"/>
      <color rgb="FF000000"/>
    </font>
    <font>
      <u/>
      <sz val="10.0"/>
      <color rgb="FF000000"/>
    </font>
    <font>
      <u/>
      <sz val="10.0"/>
      <color rgb="FF000000"/>
    </font>
    <font>
      <sz val="10.0"/>
      <color rgb="FF222222"/>
    </font>
    <font>
      <u/>
      <color rgb="FF0000FF"/>
      <name val="Arial"/>
    </font>
    <font>
      <u/>
      <color rgb="FF1155CC"/>
      <name val="Arial"/>
    </font>
    <font>
      <u/>
      <color rgb="FF000000"/>
      <name val="Arial"/>
    </font>
    <font>
      <u/>
      <color rgb="FF1155CC"/>
      <name val="Arial"/>
    </font>
    <font>
      <u/>
      <color rgb="FF000000"/>
      <name val="Arial"/>
    </font>
    <font>
      <sz val="11.0"/>
    </font>
    <font>
      <u/>
      <color rgb="FF0000FF"/>
      <name val="Arial"/>
    </font>
    <font>
      <color rgb="FF222222"/>
      <name val="Arial"/>
    </font>
    <font>
      <u/>
      <color rgb="FF1155CC"/>
      <name val="Arial"/>
    </font>
  </fonts>
  <fills count="15">
    <fill>
      <patternFill patternType="none"/>
    </fill>
    <fill>
      <patternFill patternType="lightGray"/>
    </fill>
    <fill>
      <patternFill patternType="solid">
        <fgColor rgb="FFD9EAD3"/>
        <bgColor rgb="FFD9EAD3"/>
      </patternFill>
    </fill>
    <fill>
      <patternFill patternType="solid">
        <fgColor rgb="FF000000"/>
        <bgColor rgb="FF000000"/>
      </patternFill>
    </fill>
    <fill>
      <patternFill patternType="solid">
        <fgColor rgb="FFFFFFFF"/>
        <bgColor rgb="FFFFFFFF"/>
      </patternFill>
    </fill>
    <fill>
      <patternFill patternType="solid">
        <fgColor rgb="FFF3F3F3"/>
        <bgColor rgb="FFF3F3F3"/>
      </patternFill>
    </fill>
    <fill>
      <patternFill patternType="solid">
        <fgColor rgb="FFE1DDCF"/>
        <bgColor rgb="FFE1DDCF"/>
      </patternFill>
    </fill>
    <fill>
      <patternFill patternType="solid">
        <fgColor rgb="FFFFFF00"/>
        <bgColor rgb="FFFFFF00"/>
      </patternFill>
    </fill>
    <fill>
      <patternFill patternType="solid">
        <fgColor rgb="FFFFCE07"/>
        <bgColor rgb="FFFFCE07"/>
      </patternFill>
    </fill>
    <fill>
      <patternFill patternType="solid">
        <fgColor rgb="FFD9D9D9"/>
        <bgColor rgb="FFD9D9D9"/>
      </patternFill>
    </fill>
    <fill>
      <patternFill patternType="solid">
        <fgColor rgb="FF00FF00"/>
        <bgColor rgb="FF00FF00"/>
      </patternFill>
    </fill>
    <fill>
      <patternFill patternType="solid">
        <fgColor rgb="FFC9DAF8"/>
        <bgColor rgb="FFC9DAF8"/>
      </patternFill>
    </fill>
    <fill>
      <patternFill patternType="solid">
        <fgColor rgb="FFFF9900"/>
        <bgColor rgb="FFFF9900"/>
      </patternFill>
    </fill>
    <fill>
      <patternFill patternType="solid">
        <fgColor rgb="FFFFCC99"/>
        <bgColor rgb="FFFFCC99"/>
      </patternFill>
    </fill>
    <fill>
      <patternFill patternType="solid">
        <fgColor rgb="FF2CEFFF"/>
        <bgColor rgb="FF2CEFFF"/>
      </patternFill>
    </fill>
  </fills>
  <borders count="17">
    <border/>
    <border>
      <bottom style="thin">
        <color rgb="FF000000"/>
      </bottom>
    </border>
    <border>
      <right/>
    </border>
    <border>
      <right style="thin">
        <color rgb="FFDCDDDF"/>
      </right>
      <top style="thin">
        <color rgb="FFDCDDDF"/>
      </top>
      <bottom style="thin">
        <color rgb="FFDCDDDF"/>
      </bottom>
    </border>
    <border>
      <top style="thin">
        <color rgb="FFDCDDDF"/>
      </top>
      <bottom style="thin">
        <color rgb="FFDCDDDF"/>
      </bottom>
    </border>
    <border>
      <right style="thin">
        <color rgb="FFDCDDDF"/>
      </right>
      <top style="thin">
        <color rgb="FFDCDDDF"/>
      </top>
      <bottom style="thin">
        <color rgb="FFF1F2F3"/>
      </bottom>
    </border>
    <border>
      <top style="thin">
        <color rgb="FFDCDDDF"/>
      </top>
      <bottom style="thin">
        <color rgb="FFF1F2F3"/>
      </bottom>
    </border>
    <border>
      <right style="thin">
        <color rgb="FFDCDDDF"/>
      </right>
      <bottom style="thin">
        <color rgb="FFF1F2F3"/>
      </bottom>
    </border>
    <border>
      <bottom style="thin">
        <color rgb="FFF1F2F3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</border>
    <border>
      <top style="thin">
        <color rgb="FF000000"/>
      </top>
    </border>
    <border>
      <right style="thin">
        <color rgb="FFDCDDDF"/>
      </right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</borders>
  <cellStyleXfs count="1">
    <xf borderId="0" fillId="0" fontId="0" numFmtId="0" applyAlignment="1" applyFont="1"/>
  </cellStyleXfs>
  <cellXfs count="19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/>
    </xf>
    <xf borderId="0" fillId="0" fontId="2" numFmtId="0" xfId="0" applyAlignment="1" applyFont="1">
      <alignment vertical="bottom"/>
    </xf>
    <xf borderId="0" fillId="3" fontId="1" numFmtId="0" xfId="0" applyAlignment="1" applyFill="1" applyFont="1">
      <alignment readingOrder="0"/>
    </xf>
    <xf borderId="0" fillId="0" fontId="3" numFmtId="0" xfId="0" applyAlignment="1" applyFont="1">
      <alignment vertical="bottom"/>
    </xf>
    <xf borderId="0" fillId="2" fontId="1" numFmtId="0" xfId="0" applyAlignment="1" applyFont="1">
      <alignment readingOrder="0"/>
    </xf>
    <xf borderId="2" fillId="0" fontId="3" numFmtId="0" xfId="0" applyAlignment="1" applyBorder="1" applyFont="1">
      <alignment shrinkToFit="0" vertical="bottom" wrapText="0"/>
    </xf>
    <xf borderId="0" fillId="0" fontId="2" numFmtId="0" xfId="0" applyAlignment="1" applyFont="1">
      <alignment readingOrder="0" vertical="bottom"/>
    </xf>
    <xf borderId="0" fillId="0" fontId="2" numFmtId="0" xfId="0" applyAlignment="1" applyFont="1">
      <alignment horizontal="right" vertical="bottom"/>
    </xf>
    <xf borderId="0" fillId="0" fontId="4" numFmtId="3" xfId="0" applyFont="1" applyNumberFormat="1"/>
    <xf borderId="0" fillId="0" fontId="4" numFmtId="1" xfId="0" applyFont="1" applyNumberFormat="1"/>
    <xf borderId="0" fillId="3" fontId="4" numFmtId="0" xfId="0" applyFont="1"/>
    <xf borderId="0" fillId="0" fontId="5" numFmtId="0" xfId="0" applyAlignment="1" applyFont="1">
      <alignment horizontal="left" readingOrder="0"/>
    </xf>
    <xf borderId="0" fillId="0" fontId="4" numFmtId="0" xfId="0" applyAlignment="1" applyFont="1">
      <alignment readingOrder="0"/>
    </xf>
    <xf borderId="0" fillId="3" fontId="4" numFmtId="0" xfId="0" applyAlignment="1" applyFont="1">
      <alignment readingOrder="0"/>
    </xf>
    <xf borderId="0" fillId="0" fontId="4" numFmtId="0" xfId="0" applyAlignment="1" applyFont="1">
      <alignment readingOrder="0"/>
    </xf>
    <xf borderId="0" fillId="4" fontId="6" numFmtId="0" xfId="0" applyAlignment="1" applyFill="1" applyFont="1">
      <alignment horizontal="right" vertical="bottom"/>
    </xf>
    <xf borderId="0" fillId="0" fontId="4" numFmtId="1" xfId="0" applyAlignment="1" applyFont="1" applyNumberFormat="1">
      <alignment readingOrder="0"/>
    </xf>
    <xf borderId="0" fillId="4" fontId="7" numFmtId="0" xfId="0" applyAlignment="1" applyFont="1">
      <alignment horizontal="left" readingOrder="0"/>
    </xf>
    <xf borderId="0" fillId="0" fontId="4" numFmtId="49" xfId="0" applyFont="1" applyNumberFormat="1"/>
    <xf borderId="3" fillId="0" fontId="8" numFmtId="0" xfId="0" applyAlignment="1" applyBorder="1" applyFont="1">
      <alignment horizontal="left" shrinkToFit="0" wrapText="0"/>
    </xf>
    <xf borderId="4" fillId="0" fontId="8" numFmtId="49" xfId="0" applyAlignment="1" applyBorder="1" applyFont="1" applyNumberFormat="1">
      <alignment horizontal="right" readingOrder="0" shrinkToFit="0" wrapText="0"/>
    </xf>
    <xf borderId="4" fillId="0" fontId="4" numFmtId="0" xfId="0" applyBorder="1" applyFont="1"/>
    <xf borderId="4" fillId="0" fontId="8" numFmtId="0" xfId="0" applyAlignment="1" applyBorder="1" applyFont="1">
      <alignment horizontal="right" readingOrder="0" shrinkToFit="0" wrapText="0"/>
    </xf>
    <xf borderId="5" fillId="0" fontId="9" numFmtId="0" xfId="0" applyAlignment="1" applyBorder="1" applyFont="1">
      <alignment horizontal="left" readingOrder="0" shrinkToFit="0" wrapText="0"/>
    </xf>
    <xf borderId="6" fillId="0" fontId="9" numFmtId="49" xfId="0" applyAlignment="1" applyBorder="1" applyFont="1" applyNumberFormat="1">
      <alignment readingOrder="0" shrinkToFit="0" wrapText="0"/>
    </xf>
    <xf borderId="6" fillId="0" fontId="9" numFmtId="0" xfId="0" applyAlignment="1" applyBorder="1" applyFont="1">
      <alignment readingOrder="0" shrinkToFit="0" wrapText="0"/>
    </xf>
    <xf borderId="7" fillId="0" fontId="10" numFmtId="0" xfId="0" applyAlignment="1" applyBorder="1" applyFont="1">
      <alignment horizontal="left" readingOrder="0" shrinkToFit="0" wrapText="0"/>
    </xf>
    <xf borderId="8" fillId="0" fontId="11" numFmtId="49" xfId="0" applyAlignment="1" applyBorder="1" applyFont="1" applyNumberFormat="1">
      <alignment horizontal="right" readingOrder="0" shrinkToFit="0" wrapText="0"/>
    </xf>
    <xf borderId="8" fillId="0" fontId="11" numFmtId="0" xfId="0" applyAlignment="1" applyBorder="1" applyFont="1">
      <alignment horizontal="right" readingOrder="0" shrinkToFit="0" wrapText="0"/>
    </xf>
    <xf borderId="8" fillId="0" fontId="11" numFmtId="164" xfId="0" applyAlignment="1" applyBorder="1" applyFont="1" applyNumberFormat="1">
      <alignment horizontal="right" readingOrder="0" shrinkToFit="0" wrapText="0"/>
    </xf>
    <xf borderId="8" fillId="3" fontId="11" numFmtId="49" xfId="0" applyAlignment="1" applyBorder="1" applyFill="1" applyFont="1" applyNumberFormat="1">
      <alignment horizontal="right" readingOrder="0" shrinkToFit="0" wrapText="0"/>
    </xf>
    <xf borderId="8" fillId="3" fontId="11" numFmtId="0" xfId="0" applyAlignment="1" applyBorder="1" applyFont="1">
      <alignment horizontal="right" readingOrder="0" shrinkToFit="0" wrapText="0"/>
    </xf>
    <xf borderId="8" fillId="3" fontId="11" numFmtId="164" xfId="0" applyAlignment="1" applyBorder="1" applyFont="1" applyNumberFormat="1">
      <alignment horizontal="right" readingOrder="0" shrinkToFit="0" wrapText="0"/>
    </xf>
    <xf borderId="9" fillId="2" fontId="12" numFmtId="0" xfId="0" applyAlignment="1" applyBorder="1" applyFont="1">
      <alignment horizontal="left" readingOrder="0" vertical="bottom"/>
    </xf>
    <xf borderId="10" fillId="2" fontId="12" numFmtId="0" xfId="0" applyAlignment="1" applyBorder="1" applyFont="1">
      <alignment horizontal="left" readingOrder="0" vertical="bottom"/>
    </xf>
    <xf borderId="1" fillId="2" fontId="12" numFmtId="3" xfId="0" applyAlignment="1" applyBorder="1" applyFont="1" applyNumberFormat="1">
      <alignment horizontal="left" readingOrder="0" vertical="bottom"/>
    </xf>
    <xf borderId="0" fillId="4" fontId="7" numFmtId="0" xfId="0" applyAlignment="1" applyFont="1">
      <alignment horizontal="left" readingOrder="0" vertical="top"/>
    </xf>
    <xf borderId="1" fillId="2" fontId="12" numFmtId="0" xfId="0" applyAlignment="1" applyBorder="1" applyFont="1">
      <alignment horizontal="center" readingOrder="0" vertical="bottom"/>
    </xf>
    <xf borderId="1" fillId="2" fontId="12" numFmtId="0" xfId="0" applyAlignment="1" applyBorder="1" applyFont="1">
      <alignment horizontal="left" readingOrder="0" vertical="bottom"/>
    </xf>
    <xf borderId="0" fillId="2" fontId="12" numFmtId="0" xfId="0" applyAlignment="1" applyFont="1">
      <alignment horizontal="center" readingOrder="0" vertical="bottom"/>
    </xf>
    <xf borderId="11" fillId="4" fontId="4" numFmtId="0" xfId="0" applyAlignment="1" applyBorder="1" applyFont="1">
      <alignment horizontal="center" readingOrder="0"/>
    </xf>
    <xf borderId="0" fillId="4" fontId="4" numFmtId="0" xfId="0" applyAlignment="1" applyFont="1">
      <alignment readingOrder="0"/>
    </xf>
    <xf borderId="0" fillId="4" fontId="4" numFmtId="3" xfId="0" applyAlignment="1" applyFont="1" applyNumberFormat="1">
      <alignment horizontal="center" readingOrder="0"/>
    </xf>
    <xf borderId="0" fillId="4" fontId="12" numFmtId="0" xfId="0" applyAlignment="1" applyFont="1">
      <alignment readingOrder="0" vertical="bottom"/>
    </xf>
    <xf borderId="0" fillId="5" fontId="12" numFmtId="0" xfId="0" applyAlignment="1" applyFill="1" applyFont="1">
      <alignment readingOrder="0" vertical="bottom"/>
    </xf>
    <xf borderId="0" fillId="4" fontId="12" numFmtId="0" xfId="0" applyAlignment="1" applyFont="1">
      <alignment horizontal="left" readingOrder="0" vertical="bottom"/>
    </xf>
    <xf borderId="0" fillId="4" fontId="4" numFmtId="0" xfId="0" applyAlignment="1" applyFont="1">
      <alignment readingOrder="0" shrinkToFit="0" wrapText="1"/>
    </xf>
    <xf borderId="0" fillId="4" fontId="12" numFmtId="3" xfId="0" applyAlignment="1" applyFont="1" applyNumberFormat="1">
      <alignment readingOrder="0" vertical="bottom"/>
    </xf>
    <xf borderId="3" fillId="4" fontId="8" numFmtId="0" xfId="0" applyAlignment="1" applyBorder="1" applyFont="1">
      <alignment horizontal="left" shrinkToFit="0" wrapText="0"/>
    </xf>
    <xf borderId="4" fillId="0" fontId="13" numFmtId="49" xfId="0" applyAlignment="1" applyBorder="1" applyFont="1" applyNumberFormat="1">
      <alignment readingOrder="0" shrinkToFit="0" wrapText="0"/>
    </xf>
    <xf borderId="4" fillId="0" fontId="13" numFmtId="0" xfId="0" applyAlignment="1" applyBorder="1" applyFont="1">
      <alignment readingOrder="0" shrinkToFit="0" wrapText="0"/>
    </xf>
    <xf borderId="0" fillId="0" fontId="14" numFmtId="0" xfId="0" applyAlignment="1" applyFont="1">
      <alignment horizontal="right" readingOrder="0" vertical="bottom"/>
    </xf>
    <xf borderId="0" fillId="0" fontId="14" numFmtId="165" xfId="0" applyAlignment="1" applyFont="1" applyNumberFormat="1">
      <alignment horizontal="center" readingOrder="0" vertical="bottom"/>
    </xf>
    <xf borderId="0" fillId="0" fontId="14" numFmtId="0" xfId="0" applyAlignment="1" applyFont="1">
      <alignment horizontal="right" readingOrder="0" vertical="bottom"/>
    </xf>
    <xf borderId="0" fillId="4" fontId="14" numFmtId="165" xfId="0" applyAlignment="1" applyFont="1" applyNumberFormat="1">
      <alignment horizontal="center" readingOrder="0" vertical="bottom"/>
    </xf>
    <xf borderId="0" fillId="6" fontId="15" numFmtId="0" xfId="0" applyAlignment="1" applyFill="1" applyFont="1">
      <alignment horizontal="center" readingOrder="0" vertical="bottom"/>
    </xf>
    <xf borderId="0" fillId="4" fontId="16" numFmtId="0" xfId="0" applyAlignment="1" applyFont="1">
      <alignment readingOrder="0" vertical="bottom"/>
    </xf>
    <xf borderId="0" fillId="4" fontId="4" numFmtId="0" xfId="0" applyAlignment="1" applyFont="1">
      <alignment horizontal="center" readingOrder="0"/>
    </xf>
    <xf borderId="0" fillId="4" fontId="12" numFmtId="0" xfId="0" applyAlignment="1" applyFont="1">
      <alignment horizontal="left" vertical="bottom"/>
    </xf>
    <xf borderId="0" fillId="4" fontId="12" numFmtId="0" xfId="0" applyAlignment="1" applyFont="1">
      <alignment vertical="bottom"/>
    </xf>
    <xf borderId="0" fillId="4" fontId="4" numFmtId="0" xfId="0" applyAlignment="1" applyFont="1">
      <alignment horizontal="left"/>
    </xf>
    <xf borderId="0" fillId="5" fontId="12" numFmtId="0" xfId="0" applyAlignment="1" applyFont="1">
      <alignment horizontal="left" vertical="bottom"/>
    </xf>
    <xf borderId="0" fillId="4" fontId="17" numFmtId="0" xfId="0" applyAlignment="1" applyFont="1">
      <alignment readingOrder="0"/>
    </xf>
    <xf borderId="0" fillId="4" fontId="1" numFmtId="0" xfId="0" applyAlignment="1" applyFont="1">
      <alignment readingOrder="0"/>
    </xf>
    <xf borderId="0" fillId="0" fontId="3" numFmtId="0" xfId="0" applyAlignment="1" applyFont="1">
      <alignment vertical="bottom"/>
    </xf>
    <xf borderId="0" fillId="7" fontId="3" numFmtId="0" xfId="0" applyAlignment="1" applyFill="1" applyFont="1">
      <alignment vertical="bottom"/>
    </xf>
    <xf borderId="0" fillId="7" fontId="3" numFmtId="0" xfId="0" applyAlignment="1" applyFont="1">
      <alignment vertical="bottom"/>
    </xf>
    <xf borderId="1" fillId="2" fontId="2" numFmtId="0" xfId="0" applyAlignment="1" applyBorder="1" applyFont="1">
      <alignment vertical="bottom"/>
    </xf>
    <xf borderId="9" fillId="2" fontId="2" numFmtId="0" xfId="0" applyAlignment="1" applyBorder="1" applyFont="1">
      <alignment vertical="bottom"/>
    </xf>
    <xf borderId="10" fillId="2" fontId="3" numFmtId="0" xfId="0" applyAlignment="1" applyBorder="1" applyFont="1">
      <alignment vertical="bottom"/>
    </xf>
    <xf borderId="1" fillId="2" fontId="3" numFmtId="0" xfId="0" applyAlignment="1" applyBorder="1" applyFont="1">
      <alignment vertical="bottom"/>
    </xf>
    <xf borderId="9" fillId="2" fontId="3" numFmtId="0" xfId="0" applyAlignment="1" applyBorder="1" applyFont="1">
      <alignment vertical="bottom"/>
    </xf>
    <xf borderId="1" fillId="2" fontId="3" numFmtId="0" xfId="0" applyAlignment="1" applyBorder="1" applyFont="1">
      <alignment shrinkToFit="0" vertical="bottom" wrapText="1"/>
    </xf>
    <xf borderId="0" fillId="4" fontId="18" numFmtId="0" xfId="0" applyAlignment="1" applyFont="1">
      <alignment vertical="bottom"/>
    </xf>
    <xf borderId="0" fillId="0" fontId="3" numFmtId="0" xfId="0" applyAlignment="1" applyFont="1">
      <alignment vertical="bottom"/>
    </xf>
    <xf borderId="12" fillId="0" fontId="4" numFmtId="0" xfId="0" applyAlignment="1" applyBorder="1" applyFont="1">
      <alignment readingOrder="0"/>
    </xf>
    <xf borderId="12" fillId="0" fontId="2" numFmtId="0" xfId="0" applyAlignment="1" applyBorder="1" applyFont="1">
      <alignment readingOrder="0" vertical="bottom"/>
    </xf>
    <xf borderId="12" fillId="0" fontId="12" numFmtId="0" xfId="0" applyAlignment="1" applyBorder="1" applyFont="1">
      <alignment horizontal="left" readingOrder="0" vertical="bottom"/>
    </xf>
    <xf borderId="0" fillId="4" fontId="12" numFmtId="0" xfId="0" applyAlignment="1" applyFont="1">
      <alignment vertical="bottom"/>
    </xf>
    <xf borderId="12" fillId="0" fontId="4" numFmtId="0" xfId="0" applyAlignment="1" applyBorder="1" applyFont="1">
      <alignment readingOrder="0" shrinkToFit="0" wrapText="1"/>
    </xf>
    <xf borderId="0" fillId="0" fontId="2" numFmtId="0" xfId="0" applyAlignment="1" applyFont="1">
      <alignment horizontal="right" shrinkToFit="0" vertical="bottom" wrapText="1"/>
    </xf>
    <xf borderId="0" fillId="0" fontId="2" numFmtId="0" xfId="0" applyAlignment="1" applyFont="1">
      <alignment vertical="bottom"/>
    </xf>
    <xf borderId="0" fillId="0" fontId="2" numFmtId="3" xfId="0" applyAlignment="1" applyFont="1" applyNumberFormat="1">
      <alignment horizontal="right" shrinkToFit="0" vertical="bottom" wrapText="1"/>
    </xf>
    <xf borderId="0" fillId="0" fontId="2" numFmtId="166" xfId="0" applyAlignment="1" applyFont="1" applyNumberFormat="1">
      <alignment horizontal="right" vertical="bottom"/>
    </xf>
    <xf borderId="0" fillId="0" fontId="2" numFmtId="0" xfId="0" applyAlignment="1" applyFont="1">
      <alignment horizontal="right" vertical="bottom"/>
    </xf>
    <xf borderId="11" fillId="0" fontId="19" numFmtId="3" xfId="0" applyAlignment="1" applyBorder="1" applyFont="1" applyNumberFormat="1">
      <alignment horizontal="right" vertical="bottom"/>
    </xf>
    <xf borderId="0" fillId="4" fontId="6" numFmtId="0" xfId="0" applyAlignment="1" applyFont="1">
      <alignment horizontal="right" vertical="bottom"/>
    </xf>
    <xf borderId="0" fillId="0" fontId="2" numFmtId="3" xfId="0" applyAlignment="1" applyFont="1" applyNumberFormat="1">
      <alignment horizontal="right" vertical="bottom"/>
    </xf>
    <xf borderId="0" fillId="0" fontId="2" numFmtId="3" xfId="0" applyAlignment="1" applyFont="1" applyNumberFormat="1">
      <alignment vertical="bottom"/>
    </xf>
    <xf borderId="0" fillId="0" fontId="2" numFmtId="0" xfId="0" applyAlignment="1" applyFont="1">
      <alignment readingOrder="0" vertical="bottom"/>
    </xf>
    <xf borderId="0" fillId="0" fontId="12" numFmtId="0" xfId="0" applyAlignment="1" applyFont="1">
      <alignment horizontal="left" readingOrder="0" vertical="bottom"/>
    </xf>
    <xf borderId="0" fillId="4" fontId="12" numFmtId="0" xfId="0" applyAlignment="1" applyFont="1">
      <alignment horizontal="left" readingOrder="0"/>
    </xf>
    <xf borderId="0" fillId="0" fontId="4" numFmtId="0" xfId="0" applyAlignment="1" applyFont="1">
      <alignment readingOrder="0" shrinkToFit="0" wrapText="1"/>
    </xf>
    <xf borderId="8" fillId="8" fontId="11" numFmtId="49" xfId="0" applyAlignment="1" applyBorder="1" applyFill="1" applyFont="1" applyNumberFormat="1">
      <alignment horizontal="right" readingOrder="0" shrinkToFit="0" wrapText="0"/>
    </xf>
    <xf borderId="8" fillId="8" fontId="11" numFmtId="0" xfId="0" applyAlignment="1" applyBorder="1" applyFont="1">
      <alignment horizontal="right" readingOrder="0" shrinkToFit="0" wrapText="0"/>
    </xf>
    <xf borderId="8" fillId="8" fontId="11" numFmtId="164" xfId="0" applyAlignment="1" applyBorder="1" applyFont="1" applyNumberFormat="1">
      <alignment horizontal="right" readingOrder="0" shrinkToFit="0" wrapText="0"/>
    </xf>
    <xf borderId="0" fillId="0" fontId="2" numFmtId="0" xfId="0" applyAlignment="1" applyFont="1">
      <alignment horizontal="right" shrinkToFit="0" vertical="bottom" wrapText="1"/>
    </xf>
    <xf borderId="0" fillId="0" fontId="20" numFmtId="0" xfId="0" applyAlignment="1" applyFont="1">
      <alignment readingOrder="0" vertical="bottom"/>
    </xf>
    <xf borderId="13" fillId="0" fontId="21" numFmtId="0" xfId="0" applyAlignment="1" applyBorder="1" applyFont="1">
      <alignment horizontal="left" readingOrder="0" shrinkToFit="0" wrapText="0"/>
    </xf>
    <xf borderId="11" fillId="0" fontId="12" numFmtId="0" xfId="0" applyAlignment="1" applyBorder="1" applyFont="1">
      <alignment horizontal="left" readingOrder="0" vertical="bottom"/>
    </xf>
    <xf borderId="1" fillId="0" fontId="12" numFmtId="0" xfId="0" applyAlignment="1" applyBorder="1" applyFont="1">
      <alignment horizontal="left" readingOrder="0" vertical="bottom"/>
    </xf>
    <xf borderId="1" fillId="4" fontId="4" numFmtId="0" xfId="0" applyAlignment="1" applyBorder="1" applyFont="1">
      <alignment horizontal="center" readingOrder="0" shrinkToFit="0" wrapText="1"/>
    </xf>
    <xf borderId="0" fillId="0" fontId="22" numFmtId="2" xfId="0" applyAlignment="1" applyFont="1" applyNumberFormat="1">
      <alignment horizontal="center"/>
    </xf>
    <xf borderId="0" fillId="4" fontId="20" numFmtId="0" xfId="0" applyAlignment="1" applyFont="1">
      <alignment horizontal="left" readingOrder="0"/>
    </xf>
    <xf borderId="1" fillId="9" fontId="23" numFmtId="0" xfId="0" applyAlignment="1" applyBorder="1" applyFill="1" applyFont="1">
      <alignment readingOrder="0"/>
    </xf>
    <xf borderId="0" fillId="0" fontId="12" numFmtId="0" xfId="0" applyFont="1"/>
    <xf borderId="0" fillId="4" fontId="12" numFmtId="0" xfId="0" applyFont="1"/>
    <xf borderId="0" fillId="4" fontId="23" numFmtId="0" xfId="0" applyFont="1"/>
    <xf borderId="1" fillId="9" fontId="1" numFmtId="0" xfId="0" applyBorder="1" applyFont="1"/>
    <xf borderId="0" fillId="5" fontId="23" numFmtId="0" xfId="0" applyAlignment="1" applyFont="1">
      <alignment horizontal="left" readingOrder="0" vertical="bottom"/>
    </xf>
    <xf borderId="0" fillId="5" fontId="23" numFmtId="0" xfId="0" applyAlignment="1" applyFont="1">
      <alignment vertical="bottom"/>
    </xf>
    <xf borderId="0" fillId="5" fontId="23" numFmtId="0" xfId="0" applyAlignment="1" applyFont="1">
      <alignment readingOrder="0" vertical="bottom"/>
    </xf>
    <xf borderId="0" fillId="0" fontId="20" numFmtId="0" xfId="0" applyAlignment="1" applyFont="1">
      <alignment vertical="bottom"/>
    </xf>
    <xf borderId="0" fillId="0" fontId="12" numFmtId="0" xfId="0" applyAlignment="1" applyFont="1">
      <alignment readingOrder="0" vertical="bottom"/>
    </xf>
    <xf borderId="0" fillId="0" fontId="12" numFmtId="0" xfId="0" applyAlignment="1" applyFont="1">
      <alignment vertical="bottom"/>
    </xf>
    <xf borderId="14" fillId="10" fontId="23" numFmtId="0" xfId="0" applyAlignment="1" applyBorder="1" applyFill="1" applyFont="1">
      <alignment horizontal="center" readingOrder="0" vertical="bottom"/>
    </xf>
    <xf borderId="15" fillId="0" fontId="4" numFmtId="0" xfId="0" applyBorder="1" applyFont="1"/>
    <xf borderId="16" fillId="7" fontId="23" numFmtId="0" xfId="0" applyAlignment="1" applyBorder="1" applyFont="1">
      <alignment horizontal="center" readingOrder="0" vertical="bottom"/>
    </xf>
    <xf borderId="11" fillId="7" fontId="23" numFmtId="0" xfId="0" applyAlignment="1" applyBorder="1" applyFont="1">
      <alignment horizontal="center" readingOrder="0" vertical="bottom"/>
    </xf>
    <xf borderId="9" fillId="7" fontId="23" numFmtId="0" xfId="0" applyAlignment="1" applyBorder="1" applyFont="1">
      <alignment horizontal="center" readingOrder="0" vertical="bottom"/>
    </xf>
    <xf borderId="10" fillId="7" fontId="23" numFmtId="0" xfId="0" applyAlignment="1" applyBorder="1" applyFont="1">
      <alignment horizontal="center" readingOrder="0" vertical="bottom"/>
    </xf>
    <xf borderId="15" fillId="0" fontId="12" numFmtId="0" xfId="0" applyAlignment="1" applyBorder="1" applyFont="1">
      <alignment horizontal="left" readingOrder="0" vertical="bottom"/>
    </xf>
    <xf borderId="16" fillId="0" fontId="12" numFmtId="0" xfId="0" applyAlignment="1" applyBorder="1" applyFont="1">
      <alignment horizontal="left" readingOrder="0" vertical="bottom"/>
    </xf>
    <xf borderId="9" fillId="11" fontId="12" numFmtId="0" xfId="0" applyAlignment="1" applyBorder="1" applyFill="1" applyFont="1">
      <alignment horizontal="right" readingOrder="0" vertical="bottom"/>
    </xf>
    <xf borderId="1" fillId="11" fontId="12" numFmtId="0" xfId="0" applyAlignment="1" applyBorder="1" applyFont="1">
      <alignment readingOrder="0" vertical="bottom"/>
    </xf>
    <xf borderId="0" fillId="0" fontId="12" numFmtId="4" xfId="0" applyAlignment="1" applyFont="1" applyNumberFormat="1">
      <alignment horizontal="right" vertical="bottom"/>
    </xf>
    <xf borderId="0" fillId="0" fontId="12" numFmtId="0" xfId="0" applyAlignment="1" applyFont="1">
      <alignment horizontal="right" readingOrder="0" vertical="bottom"/>
    </xf>
    <xf borderId="0" fillId="0" fontId="12" numFmtId="0" xfId="0" applyAlignment="1" applyFont="1">
      <alignment readingOrder="0"/>
    </xf>
    <xf borderId="11" fillId="0" fontId="12" numFmtId="0" xfId="0" applyAlignment="1" applyBorder="1" applyFont="1">
      <alignment horizontal="right" readingOrder="0" vertical="bottom"/>
    </xf>
    <xf borderId="0" fillId="10" fontId="23" numFmtId="0" xfId="0" applyAlignment="1" applyFont="1">
      <alignment horizontal="center" readingOrder="0" vertical="bottom"/>
    </xf>
    <xf borderId="0" fillId="7" fontId="23" numFmtId="0" xfId="0" applyAlignment="1" applyFont="1">
      <alignment horizontal="center" readingOrder="0" vertical="bottom"/>
    </xf>
    <xf borderId="14" fillId="0" fontId="4" numFmtId="0" xfId="0" applyBorder="1" applyFont="1"/>
    <xf borderId="15" fillId="0" fontId="12" numFmtId="0" xfId="0" applyAlignment="1" applyBorder="1" applyFont="1">
      <alignment horizontal="left" readingOrder="0" vertical="bottom"/>
    </xf>
    <xf borderId="16" fillId="0" fontId="4" numFmtId="0" xfId="0" applyBorder="1" applyFont="1"/>
    <xf borderId="11" fillId="0" fontId="12" numFmtId="0" xfId="0" applyAlignment="1" applyBorder="1" applyFont="1">
      <alignment horizontal="left" readingOrder="0" vertical="bottom"/>
    </xf>
    <xf borderId="10" fillId="0" fontId="4" numFmtId="0" xfId="0" applyBorder="1" applyFont="1"/>
    <xf borderId="9" fillId="0" fontId="12" numFmtId="0" xfId="0" applyAlignment="1" applyBorder="1" applyFont="1">
      <alignment horizontal="left" readingOrder="0" vertical="bottom"/>
    </xf>
    <xf borderId="0" fillId="4" fontId="24" numFmtId="0" xfId="0" applyFont="1"/>
    <xf borderId="0" fillId="5" fontId="12" numFmtId="0" xfId="0" applyAlignment="1" applyFont="1">
      <alignment horizontal="left" readingOrder="0" vertical="bottom"/>
    </xf>
    <xf borderId="0" fillId="5" fontId="12" numFmtId="0" xfId="0" applyAlignment="1" applyFont="1">
      <alignment vertical="bottom"/>
    </xf>
    <xf borderId="0" fillId="5" fontId="12" numFmtId="0" xfId="0" applyAlignment="1" applyFont="1">
      <alignment readingOrder="0" vertical="bottom"/>
    </xf>
    <xf borderId="0" fillId="0" fontId="20" numFmtId="0" xfId="0" applyAlignment="1" applyFont="1">
      <alignment readingOrder="0" vertical="bottom"/>
    </xf>
    <xf borderId="1" fillId="12" fontId="4" numFmtId="0" xfId="0" applyAlignment="1" applyBorder="1" applyFill="1" applyFont="1">
      <alignment horizontal="center" readingOrder="0"/>
    </xf>
    <xf borderId="9" fillId="12" fontId="4" numFmtId="0" xfId="0" applyAlignment="1" applyBorder="1" applyFont="1">
      <alignment horizontal="center" readingOrder="0"/>
    </xf>
    <xf borderId="11" fillId="0" fontId="4" numFmtId="0" xfId="0" applyBorder="1" applyFont="1"/>
    <xf borderId="0" fillId="13" fontId="25" numFmtId="0" xfId="0" applyAlignment="1" applyFill="1" applyFont="1">
      <alignment horizontal="center" readingOrder="0" vertical="bottom"/>
    </xf>
    <xf borderId="1" fillId="4" fontId="12" numFmtId="0" xfId="0" applyAlignment="1" applyBorder="1" applyFont="1">
      <alignment vertical="bottom"/>
    </xf>
    <xf borderId="0" fillId="14" fontId="26" numFmtId="0" xfId="0" applyAlignment="1" applyFill="1" applyFont="1">
      <alignment horizontal="center" readingOrder="0" vertical="bottom"/>
    </xf>
    <xf borderId="12" fillId="0" fontId="4" numFmtId="0" xfId="0" applyBorder="1" applyFont="1"/>
    <xf borderId="0" fillId="0" fontId="4" numFmtId="0" xfId="0" applyAlignment="1" applyFont="1">
      <alignment horizontal="left" readingOrder="0"/>
    </xf>
    <xf borderId="1" fillId="0" fontId="4" numFmtId="0" xfId="0" applyAlignment="1" applyBorder="1" applyFont="1">
      <alignment readingOrder="0"/>
    </xf>
    <xf borderId="1" fillId="0" fontId="20" numFmtId="0" xfId="0" applyAlignment="1" applyBorder="1" applyFont="1">
      <alignment readingOrder="0" vertical="bottom"/>
    </xf>
    <xf borderId="0" fillId="0" fontId="4" numFmtId="0" xfId="0" applyAlignment="1" applyFont="1">
      <alignment horizontal="left"/>
    </xf>
    <xf borderId="0" fillId="4" fontId="12" numFmtId="0" xfId="0" applyAlignment="1" applyFont="1">
      <alignment horizontal="left" vertical="bottom"/>
    </xf>
    <xf borderId="0" fillId="4" fontId="12" numFmtId="0" xfId="0" applyAlignment="1" applyFont="1">
      <alignment readingOrder="0" vertical="bottom"/>
    </xf>
    <xf borderId="1" fillId="4" fontId="12" numFmtId="0" xfId="0" applyAlignment="1" applyBorder="1" applyFont="1">
      <alignment horizontal="left" readingOrder="0" vertical="bottom"/>
    </xf>
    <xf borderId="1" fillId="0" fontId="4" numFmtId="0" xfId="0" applyBorder="1" applyFont="1"/>
    <xf borderId="0" fillId="13" fontId="14" numFmtId="0" xfId="0" applyAlignment="1" applyFont="1">
      <alignment horizontal="center" readingOrder="0" vertical="bottom"/>
    </xf>
    <xf borderId="0" fillId="0" fontId="27" numFmtId="0" xfId="0" applyAlignment="1" applyFont="1">
      <alignment horizontal="right" readingOrder="0" vertical="bottom"/>
    </xf>
    <xf borderId="0" fillId="6" fontId="14" numFmtId="0" xfId="0" applyAlignment="1" applyFont="1">
      <alignment horizontal="center" readingOrder="0" vertical="bottom"/>
    </xf>
    <xf borderId="0" fillId="4" fontId="28" numFmtId="0" xfId="0" applyAlignment="1" applyFont="1">
      <alignment readingOrder="0"/>
    </xf>
    <xf borderId="0" fillId="0" fontId="2" numFmtId="0" xfId="0" applyAlignment="1" applyFont="1">
      <alignment horizontal="left" shrinkToFit="0" vertical="bottom" wrapText="0"/>
    </xf>
    <xf borderId="0" fillId="0" fontId="2" numFmtId="0" xfId="0" applyAlignment="1" applyFont="1">
      <alignment shrinkToFit="0" vertical="bottom" wrapText="0"/>
    </xf>
    <xf borderId="0" fillId="0" fontId="2" numFmtId="0" xfId="0" applyAlignment="1" applyFont="1">
      <alignment horizontal="right" shrinkToFit="0" vertical="bottom" wrapText="0"/>
    </xf>
    <xf borderId="0" fillId="0" fontId="19" numFmtId="0" xfId="0" applyAlignment="1" applyFont="1">
      <alignment horizontal="left" vertical="bottom"/>
    </xf>
    <xf borderId="0" fillId="0" fontId="19" numFmtId="0" xfId="0" applyAlignment="1" applyFont="1">
      <alignment horizontal="right" vertical="bottom"/>
    </xf>
    <xf borderId="0" fillId="0" fontId="19" numFmtId="0" xfId="0" applyAlignment="1" applyFont="1">
      <alignment horizontal="right" vertical="bottom"/>
    </xf>
    <xf borderId="0" fillId="0" fontId="2" numFmtId="0" xfId="0" applyAlignment="1" applyFont="1">
      <alignment horizontal="right" shrinkToFit="0" vertical="bottom" wrapText="0"/>
    </xf>
    <xf borderId="0" fillId="0" fontId="29" numFmtId="0" xfId="0" applyAlignment="1" applyFont="1">
      <alignment horizontal="left" shrinkToFit="0" vertical="bottom" wrapText="0"/>
    </xf>
    <xf borderId="0" fillId="0" fontId="30" numFmtId="0" xfId="0" applyAlignment="1" applyFont="1">
      <alignment horizontal="left" vertical="bottom"/>
    </xf>
    <xf borderId="0" fillId="0" fontId="2" numFmtId="0" xfId="0" applyAlignment="1" applyFont="1">
      <alignment horizontal="right" shrinkToFit="0" vertical="bottom" wrapText="0"/>
    </xf>
    <xf borderId="0" fillId="0" fontId="31" numFmtId="0" xfId="0" applyAlignment="1" applyFont="1">
      <alignment horizontal="left" vertical="bottom"/>
    </xf>
    <xf borderId="0" fillId="0" fontId="32" numFmtId="0" xfId="0" applyAlignment="1" applyFont="1">
      <alignment horizontal="left" shrinkToFit="0" vertical="bottom" wrapText="0"/>
    </xf>
    <xf borderId="0" fillId="0" fontId="2" numFmtId="0" xfId="0" applyAlignment="1" applyFont="1">
      <alignment shrinkToFit="0" vertical="bottom" wrapText="0"/>
    </xf>
    <xf borderId="0" fillId="0" fontId="33" numFmtId="0" xfId="0" applyAlignment="1" applyFont="1">
      <alignment horizontal="left" vertical="bottom"/>
    </xf>
    <xf borderId="0" fillId="0" fontId="4" numFmtId="0" xfId="0" applyFont="1"/>
    <xf borderId="0" fillId="0" fontId="4" numFmtId="0" xfId="0" applyAlignment="1" applyFont="1">
      <alignment readingOrder="0"/>
    </xf>
    <xf borderId="0" fillId="0" fontId="14" numFmtId="167" xfId="0" applyAlignment="1" applyFont="1" applyNumberFormat="1">
      <alignment horizontal="center" vertical="bottom"/>
    </xf>
    <xf borderId="0" fillId="4" fontId="4" numFmtId="0" xfId="0" applyFont="1"/>
    <xf borderId="0" fillId="0" fontId="4" numFmtId="0" xfId="0" applyFont="1"/>
    <xf borderId="0" fillId="0" fontId="4" numFmtId="14" xfId="0" applyAlignment="1" applyFont="1" applyNumberFormat="1">
      <alignment readingOrder="0"/>
    </xf>
    <xf borderId="0" fillId="0" fontId="4" numFmtId="14" xfId="0" applyFont="1" applyNumberFormat="1"/>
    <xf borderId="0" fillId="4" fontId="34" numFmtId="0" xfId="0" applyFont="1"/>
    <xf borderId="1" fillId="4" fontId="4" numFmtId="0" xfId="0" applyBorder="1" applyFont="1"/>
    <xf borderId="0" fillId="0" fontId="35" numFmtId="0" xfId="0" applyAlignment="1" applyFont="1">
      <alignment vertical="bottom"/>
    </xf>
    <xf borderId="0" fillId="4" fontId="4" numFmtId="0" xfId="0" applyAlignment="1" applyFont="1">
      <alignment readingOrder="0"/>
    </xf>
    <xf borderId="12" fillId="4" fontId="4" numFmtId="0" xfId="0" applyBorder="1" applyFont="1"/>
    <xf borderId="0" fillId="0" fontId="12" numFmtId="0" xfId="0" applyAlignment="1" applyFont="1">
      <alignment horizontal="left" vertical="bottom"/>
    </xf>
    <xf borderId="0" fillId="4" fontId="12" numFmtId="0" xfId="0" applyFont="1"/>
    <xf borderId="0" fillId="4" fontId="36" numFmtId="0" xfId="0" applyAlignment="1" applyFont="1">
      <alignment readingOrder="0"/>
    </xf>
    <xf borderId="0" fillId="4" fontId="12" numFmtId="0" xfId="0" applyAlignment="1" applyFont="1">
      <alignment readingOrder="0"/>
    </xf>
    <xf borderId="0" fillId="0" fontId="37" numFmtId="0" xfId="0" applyAlignment="1" applyFont="1">
      <alignment vertical="bottom"/>
    </xf>
    <xf borderId="11" fillId="0" fontId="2" numFmtId="3" xfId="0" applyAlignment="1" applyBorder="1" applyFont="1" applyNumberForma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31" Type="http://schemas.openxmlformats.org/officeDocument/2006/relationships/worksheet" Target="worksheets/sheet25.xml"/><Relationship Id="rId30" Type="http://schemas.openxmlformats.org/officeDocument/2006/relationships/worksheet" Target="worksheets/sheet24.xml"/><Relationship Id="rId33" Type="http://schemas.openxmlformats.org/officeDocument/2006/relationships/worksheet" Target="worksheets/sheet27.xml"/><Relationship Id="rId32" Type="http://schemas.openxmlformats.org/officeDocument/2006/relationships/worksheet" Target="worksheets/sheet26.xml"/><Relationship Id="rId34" Type="http://schemas.openxmlformats.org/officeDocument/2006/relationships/worksheet" Target="worksheets/sheet28.xml"/><Relationship Id="rId20" Type="http://schemas.openxmlformats.org/officeDocument/2006/relationships/worksheet" Target="worksheets/sheet16.xml"/><Relationship Id="rId22" Type="http://schemas.openxmlformats.org/officeDocument/2006/relationships/worksheet" Target="worksheets/sheet18.xml"/><Relationship Id="rId21" Type="http://schemas.openxmlformats.org/officeDocument/2006/relationships/worksheet" Target="worksheets/sheet17.xml"/><Relationship Id="rId24" Type="http://schemas.openxmlformats.org/officeDocument/2006/relationships/worksheet" Target="worksheets/sheet20.xml"/><Relationship Id="rId23" Type="http://schemas.openxmlformats.org/officeDocument/2006/relationships/worksheet" Target="worksheets/sheet19.xml"/><Relationship Id="rId26" Type="http://schemas.openxmlformats.org/officeDocument/2006/relationships/worksheet" Target="worksheets/sheet22.xml"/><Relationship Id="rId25" Type="http://schemas.openxmlformats.org/officeDocument/2006/relationships/worksheet" Target="worksheets/sheet21.xml"/><Relationship Id="rId28" Type="http://schemas.openxmlformats.org/officeDocument/2006/relationships/chartsheet" Target="chartsheets/sheet2.xml"/><Relationship Id="rId27" Type="http://schemas.openxmlformats.org/officeDocument/2006/relationships/worksheet" Target="worksheets/sheet23.xml"/><Relationship Id="rId29" Type="http://schemas.openxmlformats.org/officeDocument/2006/relationships/chartsheet" Target="chartsheets/sheet3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19" Type="http://schemas.openxmlformats.org/officeDocument/2006/relationships/worksheet" Target="worksheets/sheet15.xml"/><Relationship Id="rId18" Type="http://schemas.openxmlformats.org/officeDocument/2006/relationships/worksheet" Target="worksheets/sheet14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chartsheet" Target="chartsheets/sheet1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ser>
          <c:idx val="0"/>
          <c:order val="0"/>
          <c:spPr>
            <a:solidFill>
              <a:srgbClr val="3366CC"/>
            </a:solidFill>
            <a:ln cmpd="sng">
              <a:noFill/>
            </a:ln>
          </c:spPr>
          <c:cat>
            <c:strRef>
              <c:f>'Current Week'!$B$2:$B$10</c:f>
            </c:strRef>
          </c:cat>
          <c:val>
            <c:numRef>
              <c:f>'Current Week'!$C$2:$C$10</c:f>
              <c:numCache/>
            </c:numRef>
          </c:val>
        </c:ser>
        <c:axId val="1776851984"/>
        <c:axId val="1406353051"/>
      </c:barChart>
      <c:catAx>
        <c:axId val="177685198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1406353051"/>
      </c:catAx>
      <c:valAx>
        <c:axId val="140635305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1776851984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000000"/>
              </a:solidFill>
              <a:latin typeface="Roboto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>
        <c:manualLayout>
          <c:xMode val="edge"/>
          <c:yMode val="edge"/>
          <c:x val="0.06832"/>
          <c:y val="0.02963"/>
          <c:w val="0.74167"/>
          <c:h val="0.86253"/>
        </c:manualLayout>
      </c:layout>
      <c:areaChart>
        <c:axId val="1733291048"/>
        <c:axId val="572764952"/>
      </c:areaChart>
      <c:catAx>
        <c:axId val="1733291048"/>
        <c:scaling>
          <c:orientation val="minMax"/>
        </c:scaling>
        <c:delete val="0"/>
        <c:axPos val="b"/>
        <c:crossAx val="572764952"/>
      </c:catAx>
      <c:valAx>
        <c:axId val="572764952"/>
        <c:scaling>
          <c:orientation val="minMax"/>
        </c:scaling>
        <c:delete val="0"/>
        <c:axPos val="l"/>
        <c:tickLblPos val="nextTo"/>
        <c:spPr>
          <a:ln>
            <a:noFill/>
          </a:ln>
        </c:spPr>
        <c:crossAx val="1733291048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000000"/>
              </a:solidFill>
              <a:latin typeface="Roboto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>
        <c:manualLayout>
          <c:xMode val="edge"/>
          <c:yMode val="edge"/>
          <c:x val="0.048330000000000005"/>
          <c:y val="0.02965"/>
          <c:w val="0.7616700000000001"/>
          <c:h val="0.87062"/>
        </c:manualLayout>
      </c:layout>
      <c:barChart>
        <c:barDir val="col"/>
        <c:ser>
          <c:idx val="0"/>
          <c:order val="0"/>
          <c:tx>
            <c:strRef>
              <c:f>'Conferences Graphs'!$A$26</c:f>
            </c:strRef>
          </c:tx>
          <c:cat>
            <c:strRef>
              <c:f>'Conferences Graphs'!$B$25:$K$25</c:f>
            </c:strRef>
          </c:cat>
          <c:val>
            <c:numRef>
              <c:f>'Conferences Graphs'!$B$26:$K$26</c:f>
              <c:numCache/>
            </c:numRef>
          </c:val>
        </c:ser>
        <c:ser>
          <c:idx val="1"/>
          <c:order val="1"/>
          <c:tx>
            <c:strRef>
              <c:f>'Conferences Graphs'!$A$27</c:f>
            </c:strRef>
          </c:tx>
          <c:cat>
            <c:strRef>
              <c:f>'Conferences Graphs'!$B$25:$K$25</c:f>
            </c:strRef>
          </c:cat>
          <c:val>
            <c:numRef>
              <c:f>'Conferences Graphs'!$B$27:$K$27</c:f>
              <c:numCache/>
            </c:numRef>
          </c:val>
        </c:ser>
        <c:ser>
          <c:idx val="2"/>
          <c:order val="2"/>
          <c:tx>
            <c:strRef>
              <c:f>'Conferences Graphs'!$A$28</c:f>
            </c:strRef>
          </c:tx>
          <c:cat>
            <c:strRef>
              <c:f>'Conferences Graphs'!$B$25:$K$25</c:f>
            </c:strRef>
          </c:cat>
          <c:val>
            <c:numRef>
              <c:f>'Conferences Graphs'!$B$28:$K$28</c:f>
              <c:numCache/>
            </c:numRef>
          </c:val>
        </c:ser>
        <c:ser>
          <c:idx val="3"/>
          <c:order val="3"/>
          <c:tx>
            <c:strRef>
              <c:f>'Conferences Graphs'!$A$29</c:f>
            </c:strRef>
          </c:tx>
          <c:cat>
            <c:strRef>
              <c:f>'Conferences Graphs'!$B$25:$K$25</c:f>
            </c:strRef>
          </c:cat>
          <c:val>
            <c:numRef>
              <c:f>'Conferences Graphs'!$B$29:$K$29</c:f>
              <c:numCache/>
            </c:numRef>
          </c:val>
        </c:ser>
        <c:ser>
          <c:idx val="4"/>
          <c:order val="4"/>
          <c:tx>
            <c:strRef>
              <c:f>'Conferences Graphs'!$A$30</c:f>
            </c:strRef>
          </c:tx>
          <c:cat>
            <c:strRef>
              <c:f>'Conferences Graphs'!$B$25:$K$25</c:f>
            </c:strRef>
          </c:cat>
          <c:val>
            <c:numRef>
              <c:f>'Conferences Graphs'!$B$30:$K$30</c:f>
              <c:numCache/>
            </c:numRef>
          </c:val>
        </c:ser>
        <c:ser>
          <c:idx val="5"/>
          <c:order val="5"/>
          <c:tx>
            <c:strRef>
              <c:f>'Conferences Graphs'!$A$31</c:f>
            </c:strRef>
          </c:tx>
          <c:cat>
            <c:strRef>
              <c:f>'Conferences Graphs'!$B$25:$K$25</c:f>
            </c:strRef>
          </c:cat>
          <c:val>
            <c:numRef>
              <c:f>'Conferences Graphs'!$B$31:$K$31</c:f>
              <c:numCache/>
            </c:numRef>
          </c:val>
        </c:ser>
        <c:ser>
          <c:idx val="6"/>
          <c:order val="6"/>
          <c:tx>
            <c:strRef>
              <c:f>'Conferences Graphs'!$A$32</c:f>
            </c:strRef>
          </c:tx>
          <c:cat>
            <c:strRef>
              <c:f>'Conferences Graphs'!$B$25:$K$25</c:f>
            </c:strRef>
          </c:cat>
          <c:val>
            <c:numRef>
              <c:f>'Conferences Graphs'!$B$32:$K$32</c:f>
              <c:numCache/>
            </c:numRef>
          </c:val>
        </c:ser>
        <c:ser>
          <c:idx val="7"/>
          <c:order val="7"/>
          <c:tx>
            <c:strRef>
              <c:f>'Conferences Graphs'!$A$33</c:f>
            </c:strRef>
          </c:tx>
          <c:cat>
            <c:strRef>
              <c:f>'Conferences Graphs'!$B$25:$K$25</c:f>
            </c:strRef>
          </c:cat>
          <c:val>
            <c:numRef>
              <c:f>'Conferences Graphs'!$B$33:$K$33</c:f>
              <c:numCache/>
            </c:numRef>
          </c:val>
        </c:ser>
        <c:ser>
          <c:idx val="8"/>
          <c:order val="8"/>
          <c:tx>
            <c:strRef>
              <c:f>'Conferences Graphs'!$A$34</c:f>
            </c:strRef>
          </c:tx>
          <c:cat>
            <c:strRef>
              <c:f>'Conferences Graphs'!$B$25:$K$25</c:f>
            </c:strRef>
          </c:cat>
          <c:val>
            <c:numRef>
              <c:f>'Conferences Graphs'!$B$34:$K$34</c:f>
              <c:numCache/>
            </c:numRef>
          </c:val>
        </c:ser>
        <c:ser>
          <c:idx val="9"/>
          <c:order val="9"/>
          <c:tx>
            <c:strRef>
              <c:f>'Conferences Graphs'!$A$35</c:f>
            </c:strRef>
          </c:tx>
          <c:cat>
            <c:strRef>
              <c:f>'Conferences Graphs'!$B$25:$K$25</c:f>
            </c:strRef>
          </c:cat>
          <c:val>
            <c:numRef>
              <c:f>'Conferences Graphs'!$B$35:$K$35</c:f>
              <c:numCache/>
            </c:numRef>
          </c:val>
        </c:ser>
        <c:axId val="1508139300"/>
        <c:axId val="2031934071"/>
      </c:barChart>
      <c:catAx>
        <c:axId val="1508139300"/>
        <c:scaling>
          <c:orientation val="minMax"/>
        </c:scaling>
        <c:delete val="0"/>
        <c:axPos val="b"/>
        <c:crossAx val="2031934071"/>
      </c:catAx>
      <c:valAx>
        <c:axId val="2031934071"/>
        <c:scaling>
          <c:orientation val="minMax"/>
        </c:scaling>
        <c:delete val="0"/>
        <c:axPos val="l"/>
        <c:tickLblPos val="nextTo"/>
        <c:spPr>
          <a:ln>
            <a:noFill/>
          </a:ln>
        </c:spPr>
        <c:crossAx val="1508139300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000000"/>
              </a:solidFill>
              <a:latin typeface="Roboto"/>
            </a:defRPr>
          </a:pPr>
        </a:p>
      </c:txPr>
    </c:legend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1600">
                <a:solidFill>
                  <a:srgbClr val="000000"/>
                </a:solidFill>
                <a:latin typeface="Roboto"/>
              </a:defRPr>
            </a:pPr>
            <a:r>
              <a:rPr b="1" sz="1600">
                <a:solidFill>
                  <a:srgbClr val="000000"/>
                </a:solidFill>
                <a:latin typeface="Roboto"/>
              </a:rPr>
              <a:t>Conferences Taken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dPt>
            <c:idx val="0"/>
            <c:spPr>
              <a:solidFill>
                <a:srgbClr val="3366CC"/>
              </a:solidFill>
            </c:spPr>
          </c:dPt>
          <c:dPt>
            <c:idx val="1"/>
            <c:spPr>
              <a:solidFill>
                <a:srgbClr val="DC3912"/>
              </a:solidFill>
            </c:spPr>
          </c:dPt>
          <c:dPt>
            <c:idx val="2"/>
            <c:spPr>
              <a:solidFill>
                <a:srgbClr val="FF9900"/>
              </a:solidFill>
            </c:spPr>
          </c:dPt>
          <c:dPt>
            <c:idx val="3"/>
            <c:spPr>
              <a:solidFill>
                <a:srgbClr val="CCCCCC"/>
              </a:solidFill>
            </c:spPr>
          </c:dPt>
          <c:dPt>
            <c:idx val="4"/>
            <c:spPr>
              <a:solidFill>
                <a:srgbClr val="990099"/>
              </a:solidFill>
            </c:spPr>
          </c:dPt>
          <c:dPt>
            <c:idx val="5"/>
            <c:spPr>
              <a:solidFill>
                <a:srgbClr val="0099C6"/>
              </a:solidFill>
            </c:spPr>
          </c:dPt>
          <c:dPt>
            <c:idx val="6"/>
            <c:spPr>
              <a:solidFill>
                <a:srgbClr val="DD4477"/>
              </a:solidFill>
            </c:spPr>
          </c:dPt>
          <c:dPt>
            <c:idx val="7"/>
            <c:spPr>
              <a:solidFill>
                <a:srgbClr val="66AA00"/>
              </a:solidFill>
            </c:spPr>
          </c:dPt>
          <c:dPt>
            <c:idx val="8"/>
            <c:spPr>
              <a:solidFill>
                <a:srgbClr val="B82E2E"/>
              </a:solidFill>
            </c:spPr>
          </c:dPt>
          <c:dPt>
            <c:idx val="9"/>
            <c:spPr>
              <a:solidFill>
                <a:srgbClr val="000000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'Conferences Graphs'!$A$38:$A$47</c:f>
            </c:strRef>
          </c:cat>
          <c:val>
            <c:numRef>
              <c:f>'Conferences Graphs'!$B$38:$B$47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000000"/>
              </a:solidFill>
              <a:latin typeface="Roboto"/>
            </a:defRPr>
          </a:pPr>
        </a:p>
      </c:txPr>
    </c:legend>
    <c:plotVisOnly val="1"/>
  </c:chart>
</c:chartSpace>
</file>

<file path=xl/charts/chart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1600">
                <a:solidFill>
                  <a:srgbClr val="000000"/>
                </a:solidFill>
                <a:latin typeface="Roboto"/>
              </a:defRPr>
            </a:pPr>
            <a:r>
              <a:rPr b="1" sz="1600">
                <a:solidFill>
                  <a:srgbClr val="000000"/>
                </a:solidFill>
                <a:latin typeface="Roboto"/>
              </a:rPr>
              <a:t>Power vs Bottom Conferences</a:t>
            </a:r>
          </a:p>
        </c:rich>
      </c:tx>
      <c:overlay val="0"/>
    </c:title>
    <c:plotArea>
      <c:layout/>
      <c:areaChart>
        <c:grouping val="stacked"/>
        <c:axId val="2102186538"/>
        <c:axId val="286171322"/>
      </c:areaChart>
      <c:catAx>
        <c:axId val="2102186538"/>
        <c:scaling>
          <c:orientation val="minMax"/>
        </c:scaling>
        <c:delete val="0"/>
        <c:axPos val="b"/>
        <c:crossAx val="286171322"/>
      </c:catAx>
      <c:valAx>
        <c:axId val="286171322"/>
        <c:scaling>
          <c:orientation val="minMax"/>
        </c:scaling>
        <c:delete val="0"/>
        <c:axPos val="l"/>
        <c:tickLblPos val="nextTo"/>
        <c:spPr>
          <a:ln>
            <a:noFill/>
          </a:ln>
        </c:spPr>
        <c:crossAx val="2102186538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000000"/>
              </a:solidFill>
              <a:latin typeface="Roboto"/>
            </a:defRPr>
          </a:pPr>
        </a:p>
      </c:txPr>
    </c:legend>
    <c:plotVisOnly val="1"/>
  </c:chart>
</c:chartSpace>
</file>

<file path=xl/charts/chart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1600">
                <a:solidFill>
                  <a:srgbClr val="000000"/>
                </a:solidFill>
                <a:latin typeface="Roboto"/>
              </a:defRPr>
            </a:pPr>
            <a:r>
              <a:rPr b="1" sz="1600">
                <a:solidFill>
                  <a:srgbClr val="000000"/>
                </a:solidFill>
                <a:latin typeface="Roboto"/>
              </a:rPr>
              <a:t>Power vs Bottom by Player</a:t>
            </a:r>
          </a:p>
        </c:rich>
      </c:tx>
      <c:overlay val="0"/>
    </c:title>
    <c:plotArea>
      <c:layout/>
      <c:barChart>
        <c:barDir val="col"/>
        <c:grouping val="stacked"/>
        <c:ser>
          <c:idx val="0"/>
          <c:order val="0"/>
          <c:tx>
            <c:strRef>
              <c:f>'Conferences Graphs'!$B$65</c:f>
            </c:strRef>
          </c:tx>
          <c:spPr>
            <a:solidFill>
              <a:srgbClr val="3366CC"/>
            </a:solidFill>
            <a:ln cmpd="sng">
              <a:noFill/>
            </a:ln>
          </c:spPr>
          <c:cat>
            <c:strRef>
              <c:f>'Conferences Graphs'!$A$66:$A$75</c:f>
            </c:strRef>
          </c:cat>
          <c:val>
            <c:numRef>
              <c:f>'Conferences Graphs'!$B$66:$B$75</c:f>
              <c:numCache/>
            </c:numRef>
          </c:val>
        </c:ser>
        <c:ser>
          <c:idx val="1"/>
          <c:order val="1"/>
          <c:tx>
            <c:strRef>
              <c:f>'Conferences Graphs'!$C$65</c:f>
            </c:strRef>
          </c:tx>
          <c:spPr>
            <a:solidFill>
              <a:srgbClr val="DC3912"/>
            </a:solidFill>
            <a:ln cmpd="sng">
              <a:noFill/>
            </a:ln>
          </c:spPr>
          <c:cat>
            <c:strRef>
              <c:f>'Conferences Graphs'!$A$66:$A$75</c:f>
            </c:strRef>
          </c:cat>
          <c:val>
            <c:numRef>
              <c:f>'Conferences Graphs'!$C$66:$C$75</c:f>
              <c:numCache/>
            </c:numRef>
          </c:val>
        </c:ser>
        <c:overlap val="100"/>
        <c:axId val="11128794"/>
        <c:axId val="781953186"/>
      </c:barChart>
      <c:catAx>
        <c:axId val="1112879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Column 1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781953186"/>
      </c:catAx>
      <c:valAx>
        <c:axId val="78195318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11128794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000000"/>
              </a:solidFill>
              <a:latin typeface="Roboto"/>
            </a:defRPr>
          </a:pPr>
        </a:p>
      </c:txPr>
    </c:legend>
    <c:plotVisOnly val="1"/>
  </c:chart>
</c:chartSpace>
</file>

<file path=xl/charts/chart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>
        <c:manualLayout>
          <c:xMode val="edge"/>
          <c:yMode val="edge"/>
          <c:x val="0.02656"/>
          <c:y val="0.07919"/>
          <c:w val="0.97344"/>
          <c:h val="0.8674"/>
        </c:manualLayout>
      </c:layout>
      <c:lineChart>
        <c:ser>
          <c:idx val="0"/>
          <c:order val="0"/>
          <c:tx>
            <c:strRef>
              <c:f>'Ws X Week Data'!$A$13</c:f>
            </c:strRef>
          </c:tx>
          <c:spPr>
            <a:ln cmpd="sng">
              <a:solidFill>
                <a:srgbClr val="FFFF00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'Ws X Week Data'!$B$12:$P$12</c:f>
            </c:strRef>
          </c:cat>
          <c:val>
            <c:numRef>
              <c:f>'Ws X Week Data'!$B$13:$P$13</c:f>
              <c:numCache/>
            </c:numRef>
          </c:val>
          <c:smooth val="1"/>
        </c:ser>
        <c:ser>
          <c:idx val="1"/>
          <c:order val="1"/>
          <c:tx>
            <c:strRef>
              <c:f>'Ws X Week Data'!$A$14</c:f>
            </c:strRef>
          </c:tx>
          <c:spPr>
            <a:ln cmpd="sng">
              <a:solidFill>
                <a:srgbClr val="0000FF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'Ws X Week Data'!$B$12:$P$12</c:f>
            </c:strRef>
          </c:cat>
          <c:val>
            <c:numRef>
              <c:f>'Ws X Week Data'!$B$14:$P$14</c:f>
              <c:numCache/>
            </c:numRef>
          </c:val>
          <c:smooth val="1"/>
        </c:ser>
        <c:ser>
          <c:idx val="2"/>
          <c:order val="2"/>
          <c:tx>
            <c:strRef>
              <c:f>'Ws X Week Data'!$A$15</c:f>
            </c:strRef>
          </c:tx>
          <c:spPr>
            <a:ln cmpd="sng">
              <a:solidFill>
                <a:srgbClr val="FF00FF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'Ws X Week Data'!$B$12:$P$12</c:f>
            </c:strRef>
          </c:cat>
          <c:val>
            <c:numRef>
              <c:f>'Ws X Week Data'!$B$15:$P$15</c:f>
              <c:numCache/>
            </c:numRef>
          </c:val>
          <c:smooth val="1"/>
        </c:ser>
        <c:ser>
          <c:idx val="3"/>
          <c:order val="3"/>
          <c:tx>
            <c:strRef>
              <c:f>'Ws X Week Data'!$A$16</c:f>
            </c:strRef>
          </c:tx>
          <c:spPr>
            <a:ln cmpd="sng">
              <a:solidFill>
                <a:srgbClr val="109618"/>
              </a:solidFill>
            </a:ln>
          </c:spPr>
          <c:marker>
            <c:symbol val="none"/>
          </c:marker>
          <c:cat>
            <c:strRef>
              <c:f>'Ws X Week Data'!$B$12:$P$12</c:f>
            </c:strRef>
          </c:cat>
          <c:val>
            <c:numRef>
              <c:f>'Ws X Week Data'!$B$16:$P$16</c:f>
              <c:numCache/>
            </c:numRef>
          </c:val>
          <c:smooth val="1"/>
        </c:ser>
        <c:ser>
          <c:idx val="4"/>
          <c:order val="4"/>
          <c:tx>
            <c:strRef>
              <c:f>'Ws X Week Data'!$A$17</c:f>
            </c:strRef>
          </c:tx>
          <c:spPr>
            <a:ln cmpd="sng">
              <a:solidFill>
                <a:srgbClr val="FF0000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'Ws X Week Data'!$B$12:$P$12</c:f>
            </c:strRef>
          </c:cat>
          <c:val>
            <c:numRef>
              <c:f>'Ws X Week Data'!$B$17:$P$17</c:f>
              <c:numCache/>
            </c:numRef>
          </c:val>
          <c:smooth val="1"/>
        </c:ser>
        <c:ser>
          <c:idx val="5"/>
          <c:order val="5"/>
          <c:tx>
            <c:strRef>
              <c:f>'Ws X Week Data'!$A$18</c:f>
            </c:strRef>
          </c:tx>
          <c:spPr>
            <a:ln cmpd="sng">
              <a:solidFill>
                <a:srgbClr val="0099C6"/>
              </a:solidFill>
            </a:ln>
          </c:spPr>
          <c:marker>
            <c:symbol val="none"/>
          </c:marker>
          <c:cat>
            <c:strRef>
              <c:f>'Ws X Week Data'!$B$12:$P$12</c:f>
            </c:strRef>
          </c:cat>
          <c:val>
            <c:numRef>
              <c:f>'Ws X Week Data'!$B$18:$P$18</c:f>
              <c:numCache/>
            </c:numRef>
          </c:val>
          <c:smooth val="1"/>
        </c:ser>
        <c:ser>
          <c:idx val="6"/>
          <c:order val="6"/>
          <c:tx>
            <c:strRef>
              <c:f>'Ws X Week Data'!$A$19</c:f>
            </c:strRef>
          </c:tx>
          <c:spPr>
            <a:ln cmpd="sng">
              <a:solidFill>
                <a:srgbClr val="CCCCCC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'Ws X Week Data'!$B$12:$P$12</c:f>
            </c:strRef>
          </c:cat>
          <c:val>
            <c:numRef>
              <c:f>'Ws X Week Data'!$B$19:$P$19</c:f>
              <c:numCache/>
            </c:numRef>
          </c:val>
          <c:smooth val="1"/>
        </c:ser>
        <c:ser>
          <c:idx val="7"/>
          <c:order val="7"/>
          <c:tx>
            <c:strRef>
              <c:f>'Ws X Week Data'!$A$20</c:f>
            </c:strRef>
          </c:tx>
          <c:spPr>
            <a:ln cmpd="sng">
              <a:solidFill>
                <a:srgbClr val="9900FF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'Ws X Week Data'!$B$12:$P$12</c:f>
            </c:strRef>
          </c:cat>
          <c:val>
            <c:numRef>
              <c:f>'Ws X Week Data'!$B$20:$P$20</c:f>
              <c:numCache/>
            </c:numRef>
          </c:val>
          <c:smooth val="1"/>
        </c:ser>
        <c:ser>
          <c:idx val="8"/>
          <c:order val="8"/>
          <c:tx>
            <c:strRef>
              <c:f>'Ws X Week Data'!$A$21</c:f>
            </c:strRef>
          </c:tx>
          <c:spPr>
            <a:ln cmpd="sng">
              <a:solidFill>
                <a:srgbClr val="B45F06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'Ws X Week Data'!$B$12:$P$12</c:f>
            </c:strRef>
          </c:cat>
          <c:val>
            <c:numRef>
              <c:f>'Ws X Week Data'!$B$21:$P$21</c:f>
              <c:numCache/>
            </c:numRef>
          </c:val>
          <c:smooth val="1"/>
        </c:ser>
        <c:ser>
          <c:idx val="9"/>
          <c:order val="9"/>
          <c:tx>
            <c:strRef>
              <c:f>'Ws X Week Data'!$A$22</c:f>
            </c:strRef>
          </c:tx>
          <c:spPr>
            <a:ln cmpd="sng">
              <a:solidFill>
                <a:srgbClr val="FF0000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'Ws X Week Data'!$B$12:$P$12</c:f>
            </c:strRef>
          </c:cat>
          <c:val>
            <c:numRef>
              <c:f>'Ws X Week Data'!$B$22:$P$22</c:f>
              <c:numCache/>
            </c:numRef>
          </c:val>
          <c:smooth val="1"/>
        </c:ser>
        <c:axId val="1162769056"/>
        <c:axId val="1264588485"/>
      </c:lineChart>
      <c:catAx>
        <c:axId val="116276905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1264588485"/>
      </c:catAx>
      <c:valAx>
        <c:axId val="126458848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1162769056"/>
      </c:valAx>
    </c:plotArea>
    <c:legend>
      <c:legendPos val="t"/>
      <c:overlay val="0"/>
      <c:txPr>
        <a:bodyPr/>
        <a:lstStyle/>
        <a:p>
          <a:pPr lvl="0">
            <a:defRPr b="0">
              <a:solidFill>
                <a:srgbClr val="000000"/>
              </a:solidFill>
              <a:latin typeface="Roboto"/>
            </a:defRPr>
          </a:pPr>
        </a:p>
      </c:txPr>
    </c:legend>
  </c:chart>
</c:chartSpace>
</file>

<file path=xl/charts/chart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>
        <c:manualLayout>
          <c:xMode val="edge"/>
          <c:yMode val="edge"/>
          <c:x val="0.05842"/>
          <c:y val="0.06198000000000001"/>
          <c:w val="0.93986"/>
          <c:h val="0.8656999999999999"/>
        </c:manualLayout>
      </c:layout>
      <c:lineChart>
        <c:ser>
          <c:idx val="0"/>
          <c:order val="0"/>
          <c:tx>
            <c:strRef>
              <c:f>'Ws X Week Data'!$A$2</c:f>
            </c:strRef>
          </c:tx>
          <c:spPr>
            <a:ln cmpd="sng">
              <a:solidFill>
                <a:srgbClr val="FFFF00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'Ws X Week Data'!$B$1:$P$1</c:f>
            </c:strRef>
          </c:cat>
          <c:val>
            <c:numRef>
              <c:f>'Ws X Week Data'!$B$2:$P$2</c:f>
              <c:numCache/>
            </c:numRef>
          </c:val>
          <c:smooth val="1"/>
        </c:ser>
        <c:ser>
          <c:idx val="1"/>
          <c:order val="1"/>
          <c:tx>
            <c:strRef>
              <c:f>'Ws X Week Data'!$A$3</c:f>
            </c:strRef>
          </c:tx>
          <c:spPr>
            <a:ln cmpd="sng">
              <a:solidFill>
                <a:srgbClr val="0000FF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'Ws X Week Data'!$B$1:$P$1</c:f>
            </c:strRef>
          </c:cat>
          <c:val>
            <c:numRef>
              <c:f>'Ws X Week Data'!$B$3:$P$3</c:f>
              <c:numCache/>
            </c:numRef>
          </c:val>
          <c:smooth val="1"/>
        </c:ser>
        <c:ser>
          <c:idx val="2"/>
          <c:order val="2"/>
          <c:tx>
            <c:strRef>
              <c:f>'Ws X Week Data'!$A$4</c:f>
            </c:strRef>
          </c:tx>
          <c:spPr>
            <a:ln cmpd="sng">
              <a:solidFill>
                <a:srgbClr val="FF00FF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'Ws X Week Data'!$B$1:$P$1</c:f>
            </c:strRef>
          </c:cat>
          <c:val>
            <c:numRef>
              <c:f>'Ws X Week Data'!$B$4:$P$4</c:f>
              <c:numCache/>
            </c:numRef>
          </c:val>
          <c:smooth val="1"/>
        </c:ser>
        <c:ser>
          <c:idx val="3"/>
          <c:order val="3"/>
          <c:tx>
            <c:strRef>
              <c:f>'Ws X Week Data'!$A$5</c:f>
            </c:strRef>
          </c:tx>
          <c:spPr>
            <a:ln cmpd="sng">
              <a:solidFill>
                <a:srgbClr val="109618"/>
              </a:solidFill>
            </a:ln>
          </c:spPr>
          <c:marker>
            <c:symbol val="none"/>
          </c:marker>
          <c:cat>
            <c:strRef>
              <c:f>'Ws X Week Data'!$B$1:$P$1</c:f>
            </c:strRef>
          </c:cat>
          <c:val>
            <c:numRef>
              <c:f>'Ws X Week Data'!$B$5:$P$5</c:f>
              <c:numCache/>
            </c:numRef>
          </c:val>
          <c:smooth val="1"/>
        </c:ser>
        <c:ser>
          <c:idx val="4"/>
          <c:order val="4"/>
          <c:tx>
            <c:strRef>
              <c:f>'Ws X Week Data'!$A$6</c:f>
            </c:strRef>
          </c:tx>
          <c:spPr>
            <a:ln cmpd="sng">
              <a:solidFill>
                <a:srgbClr val="FF0000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'Ws X Week Data'!$B$1:$P$1</c:f>
            </c:strRef>
          </c:cat>
          <c:val>
            <c:numRef>
              <c:f>'Ws X Week Data'!$B$6:$P$6</c:f>
              <c:numCache/>
            </c:numRef>
          </c:val>
          <c:smooth val="1"/>
        </c:ser>
        <c:ser>
          <c:idx val="5"/>
          <c:order val="5"/>
          <c:tx>
            <c:strRef>
              <c:f>'Ws X Week Data'!$A$7</c:f>
            </c:strRef>
          </c:tx>
          <c:spPr>
            <a:ln cmpd="sng">
              <a:solidFill>
                <a:srgbClr val="0099C6"/>
              </a:solidFill>
            </a:ln>
          </c:spPr>
          <c:marker>
            <c:symbol val="none"/>
          </c:marker>
          <c:cat>
            <c:strRef>
              <c:f>'Ws X Week Data'!$B$1:$P$1</c:f>
            </c:strRef>
          </c:cat>
          <c:val>
            <c:numRef>
              <c:f>'Ws X Week Data'!$B$7:$P$7</c:f>
              <c:numCache/>
            </c:numRef>
          </c:val>
          <c:smooth val="1"/>
        </c:ser>
        <c:ser>
          <c:idx val="6"/>
          <c:order val="6"/>
          <c:tx>
            <c:strRef>
              <c:f>'Ws X Week Data'!$A$8</c:f>
            </c:strRef>
          </c:tx>
          <c:spPr>
            <a:ln cmpd="sng">
              <a:solidFill>
                <a:srgbClr val="CCCCCC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'Ws X Week Data'!$B$1:$P$1</c:f>
            </c:strRef>
          </c:cat>
          <c:val>
            <c:numRef>
              <c:f>'Ws X Week Data'!$B$8:$P$8</c:f>
              <c:numCache/>
            </c:numRef>
          </c:val>
          <c:smooth val="1"/>
        </c:ser>
        <c:ser>
          <c:idx val="7"/>
          <c:order val="7"/>
          <c:tx>
            <c:strRef>
              <c:f>'Ws X Week Data'!$A$9</c:f>
            </c:strRef>
          </c:tx>
          <c:spPr>
            <a:ln cmpd="sng">
              <a:solidFill>
                <a:srgbClr val="9900FF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'Ws X Week Data'!$B$1:$P$1</c:f>
            </c:strRef>
          </c:cat>
          <c:val>
            <c:numRef>
              <c:f>'Ws X Week Data'!$B$9:$P$9</c:f>
              <c:numCache/>
            </c:numRef>
          </c:val>
          <c:smooth val="1"/>
        </c:ser>
        <c:ser>
          <c:idx val="8"/>
          <c:order val="8"/>
          <c:tx>
            <c:strRef>
              <c:f>'Ws X Week Data'!$A$10</c:f>
            </c:strRef>
          </c:tx>
          <c:spPr>
            <a:ln cmpd="sng">
              <a:solidFill>
                <a:srgbClr val="B45F06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'Ws X Week Data'!$B$1:$P$1</c:f>
            </c:strRef>
          </c:cat>
          <c:val>
            <c:numRef>
              <c:f>'Ws X Week Data'!$B$10:$P$10</c:f>
              <c:numCache/>
            </c:numRef>
          </c:val>
          <c:smooth val="1"/>
        </c:ser>
        <c:ser>
          <c:idx val="9"/>
          <c:order val="9"/>
          <c:tx>
            <c:strRef>
              <c:f>'Ws X Week Data'!$A$11</c:f>
            </c:strRef>
          </c:tx>
          <c:spPr>
            <a:ln cmpd="sng">
              <a:solidFill>
                <a:srgbClr val="FF0000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'Ws X Week Data'!$B$1:$P$1</c:f>
            </c:strRef>
          </c:cat>
          <c:val>
            <c:numRef>
              <c:f>'Ws X Week Data'!$B$11:$P$11</c:f>
              <c:numCache/>
            </c:numRef>
          </c:val>
          <c:smooth val="1"/>
        </c:ser>
        <c:axId val="1386893902"/>
        <c:axId val="179299286"/>
      </c:lineChart>
      <c:catAx>
        <c:axId val="138689390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179299286"/>
      </c:catAx>
      <c:valAx>
        <c:axId val="17929928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% of Ws at the end of each Wk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1386893902"/>
      </c:valAx>
    </c:plotArea>
    <c:legend>
      <c:legendPos val="t"/>
      <c:overlay val="0"/>
      <c:txPr>
        <a:bodyPr/>
        <a:lstStyle/>
        <a:p>
          <a:pPr lvl="0">
            <a:defRPr b="0">
              <a:solidFill>
                <a:srgbClr val="000000"/>
              </a:solidFill>
              <a:latin typeface="Roboto"/>
            </a:defRPr>
          </a:pPr>
        </a:p>
      </c:txPr>
    </c:legend>
  </c:chart>
</c:chartSpace>
</file>

<file path=xl/chart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chart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chart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chartsheets/sheet1.xml><?xml version="1.0" encoding="utf-8"?>
<chart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drawing r:id="rId1"/>
</chartsheet>
</file>

<file path=xl/chartsheets/sheet2.xml><?xml version="1.0" encoding="utf-8"?>
<chart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262626"/>
  </sheetPr>
  <sheetViews>
    <sheetView workbookViewId="0"/>
  </sheetViews>
  <drawing r:id="rId1"/>
</chartsheet>
</file>

<file path=xl/chartsheets/sheet3.xml><?xml version="1.0" encoding="utf-8"?>
<chart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262626"/>
  </sheetPr>
  <sheetViews>
    <sheetView workbookViewId="0"/>
  </sheetViews>
  <drawing r:id="rId1"/>
</chartsheet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Relationship Id="rId2" Type="http://schemas.openxmlformats.org/officeDocument/2006/relationships/chart" Target="../charts/chart3.xml"/><Relationship Id="rId3" Type="http://schemas.openxmlformats.org/officeDocument/2006/relationships/chart" Target="../charts/chart4.xml"/><Relationship Id="rId4" Type="http://schemas.openxmlformats.org/officeDocument/2006/relationships/chart" Target="../charts/chart5.xml"/><Relationship Id="rId5" Type="http://schemas.openxmlformats.org/officeDocument/2006/relationships/chart" Target="../charts/chart6.xml"/></Relationships>
</file>

<file path=xl/drawings/_rels/drawing25.xml.rels><?xml version="1.0" encoding="UTF-8" standalone="yes"?>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26.xml.rels><?xml version="1.0" encoding="UTF-8" standalone="yes"?><Relationships xmlns="http://schemas.openxmlformats.org/package/2006/relationships"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absoluteAnchor>
    <xdr:pos x="0" y="0"/>
    <xdr:ext cx="8610600" cy="62769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absolute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13</xdr:col>
      <xdr:colOff>866775</xdr:colOff>
      <xdr:row>0</xdr:row>
      <xdr:rowOff>0</xdr:rowOff>
    </xdr:from>
    <xdr:ext cx="5715000" cy="35337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13</xdr:col>
      <xdr:colOff>647700</xdr:colOff>
      <xdr:row>18</xdr:row>
      <xdr:rowOff>95250</xdr:rowOff>
    </xdr:from>
    <xdr:ext cx="5715000" cy="3533775"/>
    <xdr:graphicFrame>
      <xdr:nvGraphicFramePr>
        <xdr:cNvPr id="3" name="Chart 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14</xdr:col>
      <xdr:colOff>523875</xdr:colOff>
      <xdr:row>36</xdr:row>
      <xdr:rowOff>114300</xdr:rowOff>
    </xdr:from>
    <xdr:ext cx="5715000" cy="3533775"/>
    <xdr:graphicFrame>
      <xdr:nvGraphicFramePr>
        <xdr:cNvPr id="4" name="Chart 4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15</xdr:col>
      <xdr:colOff>638175</xdr:colOff>
      <xdr:row>47</xdr:row>
      <xdr:rowOff>190500</xdr:rowOff>
    </xdr:from>
    <xdr:ext cx="5715000" cy="3533775"/>
    <xdr:graphicFrame>
      <xdr:nvGraphicFramePr>
        <xdr:cNvPr id="5" name="Chart 5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  <xdr:oneCellAnchor>
    <xdr:from>
      <xdr:col>15</xdr:col>
      <xdr:colOff>104775</xdr:colOff>
      <xdr:row>66</xdr:row>
      <xdr:rowOff>114300</xdr:rowOff>
    </xdr:from>
    <xdr:ext cx="5715000" cy="3533775"/>
    <xdr:graphicFrame>
      <xdr:nvGraphicFramePr>
        <xdr:cNvPr id="7" name="Chart 7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5"/>
        </a:graphicData>
      </a:graphic>
    </xdr:graphicFrame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absoluteAnchor>
    <xdr:pos x="0" y="0"/>
    <xdr:ext cx="8610600" cy="6276975"/>
    <xdr:graphicFrame>
      <xdr:nvGraphicFramePr>
        <xdr:cNvPr id="6" name="Chart 6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absoluteAnchor>
</xdr:wsDr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absoluteAnchor>
    <xdr:pos x="0" y="0"/>
    <xdr:ext cx="8610600" cy="6276975"/>
    <xdr:graphicFrame>
      <xdr:nvGraphicFramePr>
        <xdr:cNvPr id="8" name="Chart 8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absoluteAnchor>
</xdr:wsDr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://cusa.tv" TargetMode="Externa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espn.com/college-football/team/_/id/84/indiana-hoosiers" TargetMode="External"/><Relationship Id="rId42" Type="http://schemas.openxmlformats.org/officeDocument/2006/relationships/hyperlink" Target="https://www.espn.com/college-football/team/_/id/127/michigan-state-spartans" TargetMode="External"/><Relationship Id="rId41" Type="http://schemas.openxmlformats.org/officeDocument/2006/relationships/hyperlink" Target="https://www.espn.com/college-football/team/_/id/120/maryland-terrapins" TargetMode="External"/><Relationship Id="rId44" Type="http://schemas.openxmlformats.org/officeDocument/2006/relationships/hyperlink" Target="https://www.espn.com/college-football/team/_/id/275/wisconsin-badgers" TargetMode="External"/><Relationship Id="rId43" Type="http://schemas.openxmlformats.org/officeDocument/2006/relationships/hyperlink" Target="https://www.espn.com/college-football/team/_/id/164/rutgers-scarlet-knights" TargetMode="External"/><Relationship Id="rId46" Type="http://schemas.openxmlformats.org/officeDocument/2006/relationships/hyperlink" Target="https://www.espn.com/college-football/team/_/id/158/nebraska-cornhuskers" TargetMode="External"/><Relationship Id="rId45" Type="http://schemas.openxmlformats.org/officeDocument/2006/relationships/hyperlink" Target="https://www.espn.com/college-football/team/_/id/2294/iowa-hawkeyes" TargetMode="External"/><Relationship Id="rId107" Type="http://schemas.openxmlformats.org/officeDocument/2006/relationships/hyperlink" Target="https://www.espn.com/college-football/team/_/id/96/kentucky-wildcats" TargetMode="External"/><Relationship Id="rId106" Type="http://schemas.openxmlformats.org/officeDocument/2006/relationships/hyperlink" Target="https://www.espn.com/college-football/team/_/id/61/georgia-bulldogs" TargetMode="External"/><Relationship Id="rId105" Type="http://schemas.openxmlformats.org/officeDocument/2006/relationships/hyperlink" Target="https://www.espn.com/college-football/team/_/id/2633/tennessee-volunteers" TargetMode="External"/><Relationship Id="rId104" Type="http://schemas.openxmlformats.org/officeDocument/2006/relationships/hyperlink" Target="https://www.espn.com/college-football/team/_/id/57/florida-gators" TargetMode="External"/><Relationship Id="rId109" Type="http://schemas.openxmlformats.org/officeDocument/2006/relationships/hyperlink" Target="https://www.espn.com/college-football/team/_/id/238/vanderbilt-commodores" TargetMode="External"/><Relationship Id="rId108" Type="http://schemas.openxmlformats.org/officeDocument/2006/relationships/hyperlink" Target="https://www.espn.com/college-football/team/_/id/2579/south-carolina-gamecocks" TargetMode="External"/><Relationship Id="rId48" Type="http://schemas.openxmlformats.org/officeDocument/2006/relationships/hyperlink" Target="https://www.espn.com/college-football/team/_/id/77/northwestern-wildcats" TargetMode="External"/><Relationship Id="rId47" Type="http://schemas.openxmlformats.org/officeDocument/2006/relationships/hyperlink" Target="https://www.espn.com/college-football/team/_/id/135/minnesota-golden-gophers" TargetMode="External"/><Relationship Id="rId49" Type="http://schemas.openxmlformats.org/officeDocument/2006/relationships/hyperlink" Target="https://www.espn.com/college-football/team/_/id/356/illinois-fighting-illini" TargetMode="External"/><Relationship Id="rId103" Type="http://schemas.openxmlformats.org/officeDocument/2006/relationships/hyperlink" Target="https://www.espn.com/college-football/team/_/id/12/arizona-wildcats" TargetMode="External"/><Relationship Id="rId102" Type="http://schemas.openxmlformats.org/officeDocument/2006/relationships/hyperlink" Target="https://www.espn.com/college-football/team/_/id/26/ucla-bruins" TargetMode="External"/><Relationship Id="rId101" Type="http://schemas.openxmlformats.org/officeDocument/2006/relationships/hyperlink" Target="https://www.espn.com/college-football/team/_/id/9/arizona-state-sun-devils" TargetMode="External"/><Relationship Id="rId100" Type="http://schemas.openxmlformats.org/officeDocument/2006/relationships/hyperlink" Target="https://www.espn.com/college-football/team/_/id/254/utah-utes" TargetMode="External"/><Relationship Id="rId31" Type="http://schemas.openxmlformats.org/officeDocument/2006/relationships/hyperlink" Target="https://www.espn.com/college-football/team/_/id/2628/tcu-horned-frogs" TargetMode="External"/><Relationship Id="rId30" Type="http://schemas.openxmlformats.org/officeDocument/2006/relationships/hyperlink" Target="https://www.espn.com/college-football/team/_/id/2306/kansas-state-wildcats" TargetMode="External"/><Relationship Id="rId33" Type="http://schemas.openxmlformats.org/officeDocument/2006/relationships/hyperlink" Target="https://www.espn.com/college-football/team/_/id/2641/texas-tech-red-raiders" TargetMode="External"/><Relationship Id="rId32" Type="http://schemas.openxmlformats.org/officeDocument/2006/relationships/hyperlink" Target="https://www.espn.com/college-football/team/_/id/251/texas-longhorns" TargetMode="External"/><Relationship Id="rId35" Type="http://schemas.openxmlformats.org/officeDocument/2006/relationships/hyperlink" Target="https://www.espn.com/college-football/team/_/id/66/iowa-state-cyclones" TargetMode="External"/><Relationship Id="rId34" Type="http://schemas.openxmlformats.org/officeDocument/2006/relationships/hyperlink" Target="https://www.espn.com/college-football/team/_/id/239/baylor-bears" TargetMode="External"/><Relationship Id="rId37" Type="http://schemas.openxmlformats.org/officeDocument/2006/relationships/hyperlink" Target="https://www.espn.com/college-football/team/_/id/213/penn-state-nittany-lions" TargetMode="External"/><Relationship Id="rId36" Type="http://schemas.openxmlformats.org/officeDocument/2006/relationships/hyperlink" Target="https://www.espn.com/college-football/team/_/id/2305/kansas-jayhawks" TargetMode="External"/><Relationship Id="rId39" Type="http://schemas.openxmlformats.org/officeDocument/2006/relationships/hyperlink" Target="https://www.espn.com/college-football/team/_/id/130/michigan-wolverines" TargetMode="External"/><Relationship Id="rId38" Type="http://schemas.openxmlformats.org/officeDocument/2006/relationships/hyperlink" Target="https://www.espn.com/college-football/team/_/id/194/ohio-state-buckeyes" TargetMode="External"/><Relationship Id="rId20" Type="http://schemas.openxmlformats.org/officeDocument/2006/relationships/hyperlink" Target="https://www.espn.com/college-football/team/_/id/259/virginia-tech-hokies" TargetMode="External"/><Relationship Id="rId22" Type="http://schemas.openxmlformats.org/officeDocument/2006/relationships/hyperlink" Target="https://www.espn.com/college-football/team/_/id/2390/miami-hurricanes" TargetMode="External"/><Relationship Id="rId21" Type="http://schemas.openxmlformats.org/officeDocument/2006/relationships/hyperlink" Target="https://www.espn.com/college-football/team/_/id/153/north-carolina-tar-heels" TargetMode="External"/><Relationship Id="rId24" Type="http://schemas.openxmlformats.org/officeDocument/2006/relationships/hyperlink" Target="https://www.espn.com/college-football/team/_/id/59/georgia-tech-yellow-jackets" TargetMode="External"/><Relationship Id="rId23" Type="http://schemas.openxmlformats.org/officeDocument/2006/relationships/hyperlink" Target="https://www.espn.com/college-football/team/_/id/221/pittsburgh-panthers" TargetMode="External"/><Relationship Id="rId129" Type="http://schemas.openxmlformats.org/officeDocument/2006/relationships/drawing" Target="../drawings/drawing4.xml"/><Relationship Id="rId128" Type="http://schemas.openxmlformats.org/officeDocument/2006/relationships/hyperlink" Target="https://www.espn.com/college-football/team/_/id/326/texas-state-bobcats" TargetMode="External"/><Relationship Id="rId127" Type="http://schemas.openxmlformats.org/officeDocument/2006/relationships/hyperlink" Target="https://www.espn.com/college-football/team/_/id/166/new-mexico-state-aggies" TargetMode="External"/><Relationship Id="rId126" Type="http://schemas.openxmlformats.org/officeDocument/2006/relationships/hyperlink" Target="https://www.espn.com/college-football/team/_/id/2247/georgia-state-panthers" TargetMode="External"/><Relationship Id="rId26" Type="http://schemas.openxmlformats.org/officeDocument/2006/relationships/hyperlink" Target="https://www.espn.com/college-football/team/_/id/150/duke-blue-devils" TargetMode="External"/><Relationship Id="rId121" Type="http://schemas.openxmlformats.org/officeDocument/2006/relationships/hyperlink" Target="https://www.espn.com/college-football/team/_/id/70/idaho-vandals" TargetMode="External"/><Relationship Id="rId25" Type="http://schemas.openxmlformats.org/officeDocument/2006/relationships/hyperlink" Target="https://www.espn.com/college-football/team/_/id/258/virginia-cavaliers" TargetMode="External"/><Relationship Id="rId120" Type="http://schemas.openxmlformats.org/officeDocument/2006/relationships/hyperlink" Target="https://www.espn.com/college-football/team/_/id/2653/troy-trojans" TargetMode="External"/><Relationship Id="rId28" Type="http://schemas.openxmlformats.org/officeDocument/2006/relationships/hyperlink" Target="https://www.espn.com/college-football/team/_/id/197/oklahoma-state-cowboys" TargetMode="External"/><Relationship Id="rId27" Type="http://schemas.openxmlformats.org/officeDocument/2006/relationships/hyperlink" Target="https://www.espn.com/college-football/team/_/id/201/oklahoma-sooners" TargetMode="External"/><Relationship Id="rId125" Type="http://schemas.openxmlformats.org/officeDocument/2006/relationships/hyperlink" Target="https://www.espn.com/college-football/team/_/id/6/south-alabama-jaguars" TargetMode="External"/><Relationship Id="rId29" Type="http://schemas.openxmlformats.org/officeDocument/2006/relationships/hyperlink" Target="https://www.espn.com/college-football/team/_/id/277/west-virginia-mountaineers" TargetMode="External"/><Relationship Id="rId124" Type="http://schemas.openxmlformats.org/officeDocument/2006/relationships/hyperlink" Target="https://www.espn.com/college-football/team/_/id/2433/ul-monroe-warhawks" TargetMode="External"/><Relationship Id="rId123" Type="http://schemas.openxmlformats.org/officeDocument/2006/relationships/hyperlink" Target="https://www.espn.com/college-football/team/_/id/290/georgia-southern-eagles" TargetMode="External"/><Relationship Id="rId122" Type="http://schemas.openxmlformats.org/officeDocument/2006/relationships/hyperlink" Target="https://www.espn.com/college-football/team/_/id/309/louisiana-ragin-cajuns" TargetMode="External"/><Relationship Id="rId95" Type="http://schemas.openxmlformats.org/officeDocument/2006/relationships/hyperlink" Target="https://www.espn.com/college-football/team/_/id/204/oregon-state-beavers" TargetMode="External"/><Relationship Id="rId94" Type="http://schemas.openxmlformats.org/officeDocument/2006/relationships/hyperlink" Target="https://www.espn.com/college-football/team/_/id/24/stanford-cardinal" TargetMode="External"/><Relationship Id="rId97" Type="http://schemas.openxmlformats.org/officeDocument/2006/relationships/hyperlink" Target="https://www.espn.com/college-football/team/_/id/2483/oregon-ducks" TargetMode="External"/><Relationship Id="rId96" Type="http://schemas.openxmlformats.org/officeDocument/2006/relationships/hyperlink" Target="https://www.espn.com/college-football/team/_/id/25/california-golden-bears" TargetMode="External"/><Relationship Id="rId11" Type="http://schemas.openxmlformats.org/officeDocument/2006/relationships/hyperlink" Target="https://www.espn.com/college-football/team/_/id/2567/smu-mustangs" TargetMode="External"/><Relationship Id="rId99" Type="http://schemas.openxmlformats.org/officeDocument/2006/relationships/hyperlink" Target="https://www.espn.com/college-football/team/_/id/30/usc-trojans" TargetMode="External"/><Relationship Id="rId10" Type="http://schemas.openxmlformats.org/officeDocument/2006/relationships/hyperlink" Target="https://www.espn.com/college-football/team/_/id/248/houston-cougars" TargetMode="External"/><Relationship Id="rId98" Type="http://schemas.openxmlformats.org/officeDocument/2006/relationships/hyperlink" Target="https://www.espn.com/college-football/team/_/id/38/colorado-buffaloes" TargetMode="External"/><Relationship Id="rId13" Type="http://schemas.openxmlformats.org/officeDocument/2006/relationships/hyperlink" Target="https://www.espn.com/college-football/team/_/id/228/clemson-tigers" TargetMode="External"/><Relationship Id="rId12" Type="http://schemas.openxmlformats.org/officeDocument/2006/relationships/hyperlink" Target="https://www.espn.com/college-football/team/_/id/2655/tulane-green-wave" TargetMode="External"/><Relationship Id="rId91" Type="http://schemas.openxmlformats.org/officeDocument/2006/relationships/hyperlink" Target="https://www.espn.com/college-football/team/_/id/278/fresno-state-bulldogs" TargetMode="External"/><Relationship Id="rId90" Type="http://schemas.openxmlformats.org/officeDocument/2006/relationships/hyperlink" Target="https://www.espn.com/college-football/team/_/id/2439/unlv-rebels" TargetMode="External"/><Relationship Id="rId93" Type="http://schemas.openxmlformats.org/officeDocument/2006/relationships/hyperlink" Target="https://www.espn.com/college-football/team/_/id/265/washington-state-cougars" TargetMode="External"/><Relationship Id="rId92" Type="http://schemas.openxmlformats.org/officeDocument/2006/relationships/hyperlink" Target="https://www.espn.com/college-football/team/_/id/264/washington-huskies" TargetMode="External"/><Relationship Id="rId118" Type="http://schemas.openxmlformats.org/officeDocument/2006/relationships/hyperlink" Target="https://www.espn.com/college-football/team/_/id/2026/app-state-mountaineers" TargetMode="External"/><Relationship Id="rId117" Type="http://schemas.openxmlformats.org/officeDocument/2006/relationships/hyperlink" Target="https://www.espn.com/college-football/team/_/id/145/ole-miss-rebels" TargetMode="External"/><Relationship Id="rId116" Type="http://schemas.openxmlformats.org/officeDocument/2006/relationships/hyperlink" Target="https://www.espn.com/college-football/team/_/id/344/mississippi-state-bulldogs" TargetMode="External"/><Relationship Id="rId115" Type="http://schemas.openxmlformats.org/officeDocument/2006/relationships/hyperlink" Target="https://www.espn.com/college-football/team/_/id/8/arkansas-razorbacks" TargetMode="External"/><Relationship Id="rId119" Type="http://schemas.openxmlformats.org/officeDocument/2006/relationships/hyperlink" Target="https://www.espn.com/college-football/team/_/id/2032/arkansas-state-red-wolves" TargetMode="External"/><Relationship Id="rId15" Type="http://schemas.openxmlformats.org/officeDocument/2006/relationships/hyperlink" Target="https://www.espn.com/college-football/team/_/id/52/florida-state-seminoles" TargetMode="External"/><Relationship Id="rId110" Type="http://schemas.openxmlformats.org/officeDocument/2006/relationships/hyperlink" Target="https://www.espn.com/college-football/team/_/id/142/missouri-tigers" TargetMode="External"/><Relationship Id="rId14" Type="http://schemas.openxmlformats.org/officeDocument/2006/relationships/hyperlink" Target="https://www.espn.com/college-football/team/_/id/97/louisville-cardinals" TargetMode="External"/><Relationship Id="rId17" Type="http://schemas.openxmlformats.org/officeDocument/2006/relationships/hyperlink" Target="https://www.espn.com/college-football/team/_/id/154/wake-forest-demon-deacons" TargetMode="External"/><Relationship Id="rId16" Type="http://schemas.openxmlformats.org/officeDocument/2006/relationships/hyperlink" Target="https://www.espn.com/college-football/team/_/id/152/nc-state-wolfpack" TargetMode="External"/><Relationship Id="rId19" Type="http://schemas.openxmlformats.org/officeDocument/2006/relationships/hyperlink" Target="https://www.espn.com/college-football/team/_/id/103/boston-college-eagles" TargetMode="External"/><Relationship Id="rId114" Type="http://schemas.openxmlformats.org/officeDocument/2006/relationships/hyperlink" Target="https://www.espn.com/college-football/team/_/id/245/texas-am-aggies" TargetMode="External"/><Relationship Id="rId18" Type="http://schemas.openxmlformats.org/officeDocument/2006/relationships/hyperlink" Target="https://www.espn.com/college-football/team/_/id/183/syracuse-orange" TargetMode="External"/><Relationship Id="rId113" Type="http://schemas.openxmlformats.org/officeDocument/2006/relationships/hyperlink" Target="https://www.espn.com/college-football/team/_/id/99/lsu-tigers" TargetMode="External"/><Relationship Id="rId112" Type="http://schemas.openxmlformats.org/officeDocument/2006/relationships/hyperlink" Target="https://www.espn.com/college-football/team/_/id/2/auburn-tigers" TargetMode="External"/><Relationship Id="rId111" Type="http://schemas.openxmlformats.org/officeDocument/2006/relationships/hyperlink" Target="https://www.espn.com/college-football/team/_/id/333/alabama-crimson-tide" TargetMode="External"/><Relationship Id="rId84" Type="http://schemas.openxmlformats.org/officeDocument/2006/relationships/hyperlink" Target="https://www.espn.com/college-football/team/_/id/36/colorado-state-rams" TargetMode="External"/><Relationship Id="rId83" Type="http://schemas.openxmlformats.org/officeDocument/2006/relationships/hyperlink" Target="https://www.espn.com/college-football/team/_/id/2005/air-force-falcons" TargetMode="External"/><Relationship Id="rId86" Type="http://schemas.openxmlformats.org/officeDocument/2006/relationships/hyperlink" Target="https://www.espn.com/college-football/team/_/id/21/san-diego-state-aztecs" TargetMode="External"/><Relationship Id="rId85" Type="http://schemas.openxmlformats.org/officeDocument/2006/relationships/hyperlink" Target="https://www.espn.com/college-football/team/_/id/328/utah-state-aggies" TargetMode="External"/><Relationship Id="rId88" Type="http://schemas.openxmlformats.org/officeDocument/2006/relationships/hyperlink" Target="https://www.espn.com/college-football/team/_/id/23/san-jose-state-spartans" TargetMode="External"/><Relationship Id="rId87" Type="http://schemas.openxmlformats.org/officeDocument/2006/relationships/hyperlink" Target="https://www.espn.com/college-football/team/_/id/62/hawaii-rainbow-warriors" TargetMode="External"/><Relationship Id="rId89" Type="http://schemas.openxmlformats.org/officeDocument/2006/relationships/hyperlink" Target="https://www.espn.com/college-football/team/_/id/2440/nevada-wolf-pack" TargetMode="External"/><Relationship Id="rId80" Type="http://schemas.openxmlformats.org/officeDocument/2006/relationships/hyperlink" Target="https://www.espn.com/college-football/team/_/id/68/boise-state-broncos" TargetMode="External"/><Relationship Id="rId82" Type="http://schemas.openxmlformats.org/officeDocument/2006/relationships/hyperlink" Target="https://www.espn.com/college-football/team/_/id/2751/wyoming-cowboys" TargetMode="External"/><Relationship Id="rId81" Type="http://schemas.openxmlformats.org/officeDocument/2006/relationships/hyperlink" Target="https://www.espn.com/college-football/team/_/id/167/new-mexico-lobos" TargetMode="External"/><Relationship Id="rId1" Type="http://schemas.openxmlformats.org/officeDocument/2006/relationships/hyperlink" Target="https://www.espn.com/college-football/team/_/id/218/temple-owls" TargetMode="External"/><Relationship Id="rId2" Type="http://schemas.openxmlformats.org/officeDocument/2006/relationships/hyperlink" Target="https://www.espn.com/college-football/team/_/id/58/south-florida-bulls" TargetMode="External"/><Relationship Id="rId3" Type="http://schemas.openxmlformats.org/officeDocument/2006/relationships/hyperlink" Target="https://www.espn.com/college-football/team/_/id/2116/ucf-knights" TargetMode="External"/><Relationship Id="rId4" Type="http://schemas.openxmlformats.org/officeDocument/2006/relationships/hyperlink" Target="https://www.espn.com/college-football/team/_/id/2132/cincinnati-bearcats" TargetMode="External"/><Relationship Id="rId9" Type="http://schemas.openxmlformats.org/officeDocument/2006/relationships/hyperlink" Target="https://www.espn.com/college-football/team/_/id/235/memphis-tigers" TargetMode="External"/><Relationship Id="rId5" Type="http://schemas.openxmlformats.org/officeDocument/2006/relationships/hyperlink" Target="https://www.espn.com/college-football/team/_/id/151/east-carolina-pirates" TargetMode="External"/><Relationship Id="rId6" Type="http://schemas.openxmlformats.org/officeDocument/2006/relationships/hyperlink" Target="https://www.espn.com/college-football/team/_/id/41/uconn-huskies" TargetMode="External"/><Relationship Id="rId7" Type="http://schemas.openxmlformats.org/officeDocument/2006/relationships/hyperlink" Target="https://www.espn.com/college-football/team/_/id/2426/navy-midshipmen" TargetMode="External"/><Relationship Id="rId8" Type="http://schemas.openxmlformats.org/officeDocument/2006/relationships/hyperlink" Target="https://www.espn.com/college-football/team/_/id/202/tulsa-golden-hurricane" TargetMode="External"/><Relationship Id="rId73" Type="http://schemas.openxmlformats.org/officeDocument/2006/relationships/hyperlink" Target="https://www.espn.com/college-football/team/_/id/2084/buffalo-bulls" TargetMode="External"/><Relationship Id="rId72" Type="http://schemas.openxmlformats.org/officeDocument/2006/relationships/hyperlink" Target="https://www.espn.com/college-football/team/_/id/2309/kent-state-golden-flashes" TargetMode="External"/><Relationship Id="rId75" Type="http://schemas.openxmlformats.org/officeDocument/2006/relationships/hyperlink" Target="https://www.espn.com/college-football/team/_/id/2649/toledo-rockets" TargetMode="External"/><Relationship Id="rId74" Type="http://schemas.openxmlformats.org/officeDocument/2006/relationships/hyperlink" Target="https://www.espn.com/college-football/team/_/id/2711/western-michigan-broncos" TargetMode="External"/><Relationship Id="rId77" Type="http://schemas.openxmlformats.org/officeDocument/2006/relationships/hyperlink" Target="https://www.espn.com/college-football/team/_/id/2199/eastern-michigan-eagles" TargetMode="External"/><Relationship Id="rId76" Type="http://schemas.openxmlformats.org/officeDocument/2006/relationships/hyperlink" Target="https://www.espn.com/college-football/team/_/id/2459/northern-illinois-huskies" TargetMode="External"/><Relationship Id="rId79" Type="http://schemas.openxmlformats.org/officeDocument/2006/relationships/hyperlink" Target="https://www.espn.com/college-football/team/_/id/2050/ball-state-cardinals" TargetMode="External"/><Relationship Id="rId78" Type="http://schemas.openxmlformats.org/officeDocument/2006/relationships/hyperlink" Target="https://www.espn.com/college-football/team/_/id/2117/central-michigan-chippewas" TargetMode="External"/><Relationship Id="rId71" Type="http://schemas.openxmlformats.org/officeDocument/2006/relationships/hyperlink" Target="https://www.espn.com/college-football/team/_/id/2006/akron-zips" TargetMode="External"/><Relationship Id="rId70" Type="http://schemas.openxmlformats.org/officeDocument/2006/relationships/hyperlink" Target="https://www.espn.com/college-football/team/_/id/189/bowling-green-falcons" TargetMode="External"/><Relationship Id="rId62" Type="http://schemas.openxmlformats.org/officeDocument/2006/relationships/hyperlink" Target="https://www.espn.com/college-football/team/_/id/242/rice-owls" TargetMode="External"/><Relationship Id="rId61" Type="http://schemas.openxmlformats.org/officeDocument/2006/relationships/hyperlink" Target="https://www.espn.com/college-football/team/_/id/249/north-texas-mean-green" TargetMode="External"/><Relationship Id="rId64" Type="http://schemas.openxmlformats.org/officeDocument/2006/relationships/hyperlink" Target="https://www.espn.com/college-football/team/_/id/252/byu-cougars" TargetMode="External"/><Relationship Id="rId63" Type="http://schemas.openxmlformats.org/officeDocument/2006/relationships/hyperlink" Target="https://www.espn.com/college-football/team/_/id/2638/utep-miners" TargetMode="External"/><Relationship Id="rId66" Type="http://schemas.openxmlformats.org/officeDocument/2006/relationships/hyperlink" Target="https://www.espn.com/college-football/team/_/id/349/army-black-knights" TargetMode="External"/><Relationship Id="rId65" Type="http://schemas.openxmlformats.org/officeDocument/2006/relationships/hyperlink" Target="https://www.espn.com/college-football/team/_/id/87/notre-dame-fighting-irish" TargetMode="External"/><Relationship Id="rId68" Type="http://schemas.openxmlformats.org/officeDocument/2006/relationships/hyperlink" Target="https://www.espn.com/college-football/team/_/id/195/ohio-bobcats" TargetMode="External"/><Relationship Id="rId67" Type="http://schemas.openxmlformats.org/officeDocument/2006/relationships/hyperlink" Target="https://www.espn.com/college-football/team/_/id/113/massachusetts-minutemen" TargetMode="External"/><Relationship Id="rId60" Type="http://schemas.openxmlformats.org/officeDocument/2006/relationships/hyperlink" Target="https://www.espn.com/college-football/team/_/id/2572/southern-miss-golden-eagles" TargetMode="External"/><Relationship Id="rId69" Type="http://schemas.openxmlformats.org/officeDocument/2006/relationships/hyperlink" Target="https://www.espn.com/college-football/team/_/id/193/miami-oh-redhawks" TargetMode="External"/><Relationship Id="rId51" Type="http://schemas.openxmlformats.org/officeDocument/2006/relationships/hyperlink" Target="https://www.espn.com/college-football/team/_/id/98/western-kentucky-hilltoppers" TargetMode="External"/><Relationship Id="rId50" Type="http://schemas.openxmlformats.org/officeDocument/2006/relationships/hyperlink" Target="https://www.espn.com/college-football/team/_/id/2509/purdue-boilermakers" TargetMode="External"/><Relationship Id="rId53" Type="http://schemas.openxmlformats.org/officeDocument/2006/relationships/hyperlink" Target="https://www.espn.com/college-football/team/_/id/2393/middle-tennessee-blue-raiders" TargetMode="External"/><Relationship Id="rId52" Type="http://schemas.openxmlformats.org/officeDocument/2006/relationships/hyperlink" Target="https://www.espn.com/college-football/team/_/id/295/old-dominion-monarchs" TargetMode="External"/><Relationship Id="rId55" Type="http://schemas.openxmlformats.org/officeDocument/2006/relationships/hyperlink" Target="https://www.espn.com/college-football/team/_/id/2429/charlotte-49ers" TargetMode="External"/><Relationship Id="rId54" Type="http://schemas.openxmlformats.org/officeDocument/2006/relationships/hyperlink" Target="https://www.espn.com/college-football/team/_/id/2229/florida-international-panthers" TargetMode="External"/><Relationship Id="rId57" Type="http://schemas.openxmlformats.org/officeDocument/2006/relationships/hyperlink" Target="https://www.espn.com/college-football/team/_/id/276/marshall-thundering-herd" TargetMode="External"/><Relationship Id="rId56" Type="http://schemas.openxmlformats.org/officeDocument/2006/relationships/hyperlink" Target="https://www.espn.com/college-football/team/_/id/2226/florida-atlantic-owls" TargetMode="External"/><Relationship Id="rId59" Type="http://schemas.openxmlformats.org/officeDocument/2006/relationships/hyperlink" Target="https://www.espn.com/college-football/team/_/id/2636/utsa-roadrunners" TargetMode="External"/><Relationship Id="rId58" Type="http://schemas.openxmlformats.org/officeDocument/2006/relationships/hyperlink" Target="https://www.espn.com/college-football/team/_/id/2348/louisiana-tech-bulldogs" TargetMode="Externa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hyperlink" Target="http://cusa.tv" TargetMode="External"/><Relationship Id="rId3" Type="http://schemas.openxmlformats.org/officeDocument/2006/relationships/drawing" Target="../drawings/drawing8.xml"/><Relationship Id="rId4" Type="http://schemas.openxmlformats.org/officeDocument/2006/relationships/vmlDrawing" Target="../drawings/vmlDrawing1.v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hyperlink" Target="http://cusa.tv" TargetMode="External"/><Relationship Id="rId2" Type="http://schemas.openxmlformats.org/officeDocument/2006/relationships/drawing" Target="../drawings/drawing27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hyperlink" Target="http://collegesportsdirect.com" TargetMode="External"/><Relationship Id="rId2" Type="http://schemas.openxmlformats.org/officeDocument/2006/relationships/hyperlink" Target="http://collegesportsdirect.com" TargetMode="External"/><Relationship Id="rId3" Type="http://schemas.openxmlformats.org/officeDocument/2006/relationships/hyperlink" Target="http://k.statehd.tv" TargetMode="External"/><Relationship Id="rId4" Type="http://schemas.openxmlformats.org/officeDocument/2006/relationships/hyperlink" Target="http://k.statehd.tv" TargetMode="External"/><Relationship Id="rId5" Type="http://schemas.openxmlformats.org/officeDocument/2006/relationships/hyperlink" Target="http://usdtoreros.com" TargetMode="External"/><Relationship Id="rId6" Type="http://schemas.openxmlformats.org/officeDocument/2006/relationships/hyperlink" Target="http://usdtoreros.com" TargetMode="External"/><Relationship Id="rId7" Type="http://schemas.openxmlformats.org/officeDocument/2006/relationships/drawing" Target="../drawings/drawing29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8761D"/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6.38"/>
    <col customWidth="1" min="2" max="2" width="4.75"/>
    <col customWidth="1" hidden="1" min="3" max="3" width="4.63"/>
    <col customWidth="1" hidden="1" min="4" max="4" width="95.13"/>
  </cols>
  <sheetData>
    <row r="1">
      <c r="A1" s="1" t="s">
        <v>0</v>
      </c>
      <c r="B1" s="1" t="s">
        <v>2</v>
      </c>
      <c r="C1" s="3"/>
      <c r="D1" s="5" t="s">
        <v>7</v>
      </c>
    </row>
    <row r="2">
      <c r="A2" t="str">
        <f t="array" ref="A2:B11">sort(A13:B22,2,false)</f>
        <v>Jacob</v>
      </c>
      <c r="B2" s="10">
        <v>82.0</v>
      </c>
      <c r="C2" s="11"/>
      <c r="D2" s="12" t="s">
        <v>13</v>
      </c>
    </row>
    <row r="3">
      <c r="A3" t="s">
        <v>14</v>
      </c>
      <c r="B3" s="10">
        <v>72.0</v>
      </c>
      <c r="C3" s="11"/>
      <c r="D3" s="13" t="s">
        <v>15</v>
      </c>
    </row>
    <row r="4">
      <c r="A4" t="s">
        <v>16</v>
      </c>
      <c r="B4" s="10">
        <v>70.0</v>
      </c>
      <c r="C4" s="11"/>
    </row>
    <row r="5">
      <c r="A5" t="s">
        <v>17</v>
      </c>
      <c r="B5" s="10">
        <v>65.0</v>
      </c>
      <c r="C5" s="11"/>
    </row>
    <row r="6">
      <c r="A6" t="s">
        <v>18</v>
      </c>
      <c r="B6" s="10">
        <v>65.0</v>
      </c>
      <c r="C6" s="11"/>
    </row>
    <row r="7">
      <c r="A7" t="s">
        <v>19</v>
      </c>
      <c r="B7" s="10">
        <v>65.0</v>
      </c>
      <c r="C7" s="11"/>
    </row>
    <row r="8">
      <c r="A8" t="s">
        <v>20</v>
      </c>
      <c r="B8" s="10">
        <v>63.0</v>
      </c>
      <c r="C8" s="11"/>
    </row>
    <row r="9">
      <c r="A9" t="s">
        <v>21</v>
      </c>
      <c r="B9" s="10">
        <v>63.0</v>
      </c>
      <c r="C9" s="11"/>
    </row>
    <row r="10">
      <c r="A10" t="s">
        <v>22</v>
      </c>
      <c r="B10" s="10">
        <v>63.0</v>
      </c>
      <c r="C10" s="11"/>
    </row>
    <row r="11">
      <c r="A11" t="s">
        <v>12</v>
      </c>
      <c r="B11" s="10">
        <v>58.0</v>
      </c>
      <c r="C11" s="11"/>
    </row>
    <row r="12" hidden="1">
      <c r="A12" s="13">
        <v>50582.0</v>
      </c>
      <c r="B12" s="13">
        <v>0.0</v>
      </c>
      <c r="C12" s="14"/>
      <c r="D12" s="13"/>
    </row>
    <row r="13" hidden="1">
      <c r="A13" s="15" t="s">
        <v>20</v>
      </c>
      <c r="B13" s="17">
        <f>sumif('Current Week'!A:A,A13,'Current Week'!C:C)</f>
        <v>63</v>
      </c>
      <c r="C13" s="14"/>
      <c r="D13" s="13"/>
    </row>
    <row r="14" hidden="1">
      <c r="A14" s="15" t="s">
        <v>21</v>
      </c>
      <c r="B14" s="17">
        <f>sumif('Current Week'!A:A,A14,'Current Week'!C:C)</f>
        <v>63</v>
      </c>
      <c r="C14" s="14"/>
      <c r="D14" s="13"/>
    </row>
    <row r="15" hidden="1">
      <c r="A15" s="15" t="s">
        <v>17</v>
      </c>
      <c r="B15" s="17">
        <f>sumif('Current Week'!A:A,A15,'Current Week'!C:C)</f>
        <v>65</v>
      </c>
      <c r="C15" s="14"/>
      <c r="D15" s="13"/>
    </row>
    <row r="16" hidden="1">
      <c r="A16" s="15" t="s">
        <v>16</v>
      </c>
      <c r="B16" s="17">
        <f>sumif('Current Week'!A:A,A16,'Current Week'!C:C)</f>
        <v>70</v>
      </c>
      <c r="C16" s="14"/>
      <c r="D16" s="13"/>
    </row>
    <row r="17" hidden="1">
      <c r="A17" s="15" t="s">
        <v>25</v>
      </c>
      <c r="B17" s="17">
        <f>sumif('Current Week'!A:A,A17,'Current Week'!C:C)</f>
        <v>82</v>
      </c>
      <c r="C17" s="14"/>
      <c r="D17" s="13"/>
    </row>
    <row r="18" hidden="1">
      <c r="A18" s="15" t="s">
        <v>18</v>
      </c>
      <c r="B18" s="17">
        <f>sumif('Current Week'!A:A,A18,'Current Week'!C:C)</f>
        <v>65</v>
      </c>
      <c r="C18" s="14"/>
      <c r="D18" s="13"/>
    </row>
    <row r="19" hidden="1">
      <c r="A19" s="15" t="s">
        <v>12</v>
      </c>
      <c r="B19" s="17">
        <f>sumif('Current Week'!A:A,A19,'Current Week'!C:C)</f>
        <v>58</v>
      </c>
      <c r="C19" s="14"/>
      <c r="D19" s="13"/>
    </row>
    <row r="20" hidden="1">
      <c r="A20" s="15" t="s">
        <v>14</v>
      </c>
      <c r="B20" s="17">
        <f>sumif('Current Week'!A:A,A20,'Current Week'!C:C)</f>
        <v>72</v>
      </c>
      <c r="C20" s="14"/>
      <c r="D20" s="13"/>
    </row>
    <row r="21" hidden="1">
      <c r="A21" s="15" t="s">
        <v>19</v>
      </c>
      <c r="B21" s="17">
        <f>sumif('Current Week'!A:A,A21,'Current Week'!C:C)</f>
        <v>65</v>
      </c>
      <c r="C21" s="14"/>
      <c r="D21" s="13"/>
    </row>
    <row r="22" hidden="1">
      <c r="A22" s="15" t="s">
        <v>22</v>
      </c>
      <c r="B22" s="17">
        <f>sumif('Current Week'!A:A,A22,'Current Week'!C:C)</f>
        <v>63</v>
      </c>
      <c r="C22" s="14"/>
      <c r="D22" s="13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1</v>
      </c>
      <c r="B1" s="2" t="s">
        <v>3</v>
      </c>
      <c r="C1" s="2" t="s">
        <v>4</v>
      </c>
      <c r="D1" s="2" t="s">
        <v>5</v>
      </c>
      <c r="E1" s="4" t="s">
        <v>6</v>
      </c>
      <c r="F1" s="4" t="s">
        <v>8</v>
      </c>
      <c r="G1" s="6" t="s">
        <v>9</v>
      </c>
    </row>
    <row r="2">
      <c r="A2" s="2" t="s">
        <v>10</v>
      </c>
      <c r="B2" s="2" t="s">
        <v>11</v>
      </c>
      <c r="C2" s="7" t="s">
        <v>12</v>
      </c>
      <c r="D2" s="8">
        <v>1.0</v>
      </c>
      <c r="E2" s="9">
        <f>VLOOKUP(A2,'Current Week'!B:C,2,0)</f>
        <v>11</v>
      </c>
      <c r="F2" s="8">
        <f>iferror(VLOOKUP(A2,DraftTracker!F:AU,3,0)+if((VLOOKUP(A2,DraftTracker!F:AU,4,0)-VLOOKUP(A2,DraftTracker!F:AU,3,0))&gt;0,(VLOOKUP(A2,DraftTracker!F:AU,4,0)-VLOOKUP(A2,DraftTracker!F:AU,3,0)),0)*0.5,"")</f>
        <v>1.5</v>
      </c>
      <c r="G2" s="16">
        <f>iferror(VLOOKUP(A2,DraftTracker!F:AW,5,0)+if((VLOOKUP(A2,DraftTracker!F:AW,6,0)-VLOOKUP(A2,DraftTracker!F:AW,5,0))&gt;0,(VLOOKUP(A2,DraftTracker!F:AW,6,0)-VLOOKUP(A2,DraftTracker!F:AW,5,0)),0)*0.5,"")</f>
        <v>0</v>
      </c>
    </row>
    <row r="3">
      <c r="A3" s="15" t="s">
        <v>23</v>
      </c>
      <c r="B3" s="15" t="s">
        <v>24</v>
      </c>
      <c r="C3" s="15" t="s">
        <v>14</v>
      </c>
      <c r="D3">
        <v>2.0</v>
      </c>
      <c r="E3" s="9">
        <f>VLOOKUP(A3,'Current Week'!B:C,2,0)</f>
        <v>9</v>
      </c>
      <c r="F3" s="8">
        <f>iferror(VLOOKUP(A3,DraftTracker!F:AU,3,0)+if((VLOOKUP(A3,DraftTracker!F:AU,4,0)-VLOOKUP(A3,DraftTracker!F:AU,3,0))&gt;0,(VLOOKUP(A3,DraftTracker!F:AU,4,0)-VLOOKUP(A3,DraftTracker!F:AU,3,0)),0)*0.5,"")</f>
        <v>0</v>
      </c>
      <c r="G3" s="16">
        <f>iferror(VLOOKUP(A3,DraftTracker!F:AW,5,0)+if((VLOOKUP(A3,DraftTracker!F:AW,6,0)-VLOOKUP(A3,DraftTracker!F:AW,5,0))&gt;0,(VLOOKUP(A3,DraftTracker!F:AW,6,0)-VLOOKUP(A3,DraftTracker!F:AW,5,0)),0)*0.5,"")</f>
        <v>0</v>
      </c>
    </row>
    <row r="4">
      <c r="A4" t="s">
        <v>26</v>
      </c>
      <c r="B4" t="s">
        <v>27</v>
      </c>
      <c r="C4" s="15" t="s">
        <v>25</v>
      </c>
      <c r="D4">
        <v>3.0</v>
      </c>
      <c r="E4" s="9">
        <f>VLOOKUP(A4,'Current Week'!B:C,2,0)</f>
        <v>12</v>
      </c>
      <c r="F4" s="8">
        <f>iferror(VLOOKUP(A4,DraftTracker!F:AU,3,0)+if((VLOOKUP(A4,DraftTracker!F:AU,4,0)-VLOOKUP(A4,DraftTracker!F:AU,3,0))&gt;0,(VLOOKUP(A4,DraftTracker!F:AU,4,0)-VLOOKUP(A4,DraftTracker!F:AU,3,0)),0)*0.5,"")</f>
        <v>2</v>
      </c>
      <c r="G4" s="16">
        <f>iferror(VLOOKUP(A4,DraftTracker!F:AW,5,0)+if((VLOOKUP(A4,DraftTracker!F:AW,6,0)-VLOOKUP(A4,DraftTracker!F:AW,5,0))&gt;0,(VLOOKUP(A4,DraftTracker!F:AW,6,0)-VLOOKUP(A4,DraftTracker!F:AW,5,0)),0)*0.5,"")</f>
        <v>0</v>
      </c>
    </row>
    <row r="5">
      <c r="A5" t="s">
        <v>28</v>
      </c>
      <c r="B5" t="s">
        <v>29</v>
      </c>
      <c r="C5" s="15" t="s">
        <v>21</v>
      </c>
      <c r="D5">
        <v>4.0</v>
      </c>
      <c r="E5" s="9">
        <f>VLOOKUP(A5,'Current Week'!B:C,2,0)</f>
        <v>10</v>
      </c>
      <c r="F5" s="8">
        <f>iferror(VLOOKUP(A5,DraftTracker!F:AU,3,0)+if((VLOOKUP(A5,DraftTracker!F:AU,4,0)-VLOOKUP(A5,DraftTracker!F:AU,3,0))&gt;0,(VLOOKUP(A5,DraftTracker!F:AU,4,0)-VLOOKUP(A5,DraftTracker!F:AU,3,0)),0)*0.5,"")</f>
        <v>4</v>
      </c>
      <c r="G5" s="16">
        <f>iferror(VLOOKUP(A5,DraftTracker!F:AW,5,0)+if((VLOOKUP(A5,DraftTracker!F:AW,6,0)-VLOOKUP(A5,DraftTracker!F:AW,5,0))&gt;0,(VLOOKUP(A5,DraftTracker!F:AW,6,0)-VLOOKUP(A5,DraftTracker!F:AW,5,0)),0)*0.5,"")</f>
        <v>0</v>
      </c>
    </row>
    <row r="6">
      <c r="A6" s="15" t="s">
        <v>230</v>
      </c>
      <c r="B6" t="s">
        <v>393</v>
      </c>
      <c r="C6" s="15" t="s">
        <v>19</v>
      </c>
      <c r="D6">
        <v>5.0</v>
      </c>
      <c r="E6" s="9">
        <f>VLOOKUP(A6,'Current Week'!B:C,2,0)</f>
        <v>10</v>
      </c>
      <c r="F6" s="8">
        <f>iferror(VLOOKUP(A6,DraftTracker!F:AU,3,0)+if((VLOOKUP(A6,DraftTracker!F:AU,4,0)-VLOOKUP(A6,DraftTracker!F:AU,3,0))&gt;0,(VLOOKUP(A6,DraftTracker!F:AU,4,0)-VLOOKUP(A6,DraftTracker!F:AU,3,0)),0)*0.5,"")</f>
        <v>1.5</v>
      </c>
      <c r="G6" s="16">
        <f>iferror(VLOOKUP(A6,DraftTracker!F:AW,5,0)+if((VLOOKUP(A6,DraftTracker!F:AW,6,0)-VLOOKUP(A6,DraftTracker!F:AW,5,0))&gt;0,(VLOOKUP(A6,DraftTracker!F:AW,6,0)-VLOOKUP(A6,DraftTracker!F:AW,5,0)),0)*0.5,"")</f>
        <v>0</v>
      </c>
    </row>
    <row r="7">
      <c r="A7" s="15" t="s">
        <v>382</v>
      </c>
      <c r="B7" t="s">
        <v>11</v>
      </c>
      <c r="C7" s="15" t="s">
        <v>17</v>
      </c>
      <c r="D7">
        <v>6.0</v>
      </c>
      <c r="E7" s="9">
        <f>VLOOKUP(A7,'Current Week'!B:C,2,0)</f>
        <v>9</v>
      </c>
      <c r="F7" s="8">
        <f>iferror(VLOOKUP(A7,DraftTracker!F:AU,3,0)+if((VLOOKUP(A7,DraftTracker!F:AU,4,0)-VLOOKUP(A7,DraftTracker!F:AU,3,0))&gt;0,(VLOOKUP(A7,DraftTracker!F:AU,4,0)-VLOOKUP(A7,DraftTracker!F:AU,3,0)),0)*0.5,"")</f>
        <v>1</v>
      </c>
      <c r="G7" s="16">
        <f>iferror(VLOOKUP(A7,DraftTracker!F:AW,5,0)+if((VLOOKUP(A7,DraftTracker!F:AW,6,0)-VLOOKUP(A7,DraftTracker!F:AW,5,0))&gt;0,(VLOOKUP(A7,DraftTracker!F:AW,6,0)-VLOOKUP(A7,DraftTracker!F:AW,5,0)),0)*0.5,"")</f>
        <v>0</v>
      </c>
    </row>
    <row r="8">
      <c r="A8" s="15" t="s">
        <v>400</v>
      </c>
      <c r="B8" t="s">
        <v>27</v>
      </c>
      <c r="C8" s="15" t="s">
        <v>22</v>
      </c>
      <c r="D8">
        <v>7.0</v>
      </c>
      <c r="E8" s="9">
        <f>VLOOKUP(A8,'Current Week'!B:C,2,0)</f>
        <v>7</v>
      </c>
      <c r="F8" s="8">
        <f>iferror(VLOOKUP(A8,DraftTracker!F:AU,3,0)+if((VLOOKUP(A8,DraftTracker!F:AU,4,0)-VLOOKUP(A8,DraftTracker!F:AU,3,0))&gt;0,(VLOOKUP(A8,DraftTracker!F:AU,4,0)-VLOOKUP(A8,DraftTracker!F:AU,3,0)),0)*0.5,"")</f>
        <v>1</v>
      </c>
      <c r="G8" s="16">
        <f>iferror(VLOOKUP(A8,DraftTracker!F:AW,5,0)+if((VLOOKUP(A8,DraftTracker!F:AW,6,0)-VLOOKUP(A8,DraftTracker!F:AW,5,0))&gt;0,(VLOOKUP(A8,DraftTracker!F:AW,6,0)-VLOOKUP(A8,DraftTracker!F:AW,5,0)),0)*0.5,"")</f>
        <v>0</v>
      </c>
    </row>
    <row r="9">
      <c r="A9" s="15" t="s">
        <v>406</v>
      </c>
      <c r="B9" t="s">
        <v>407</v>
      </c>
      <c r="C9" s="15" t="s">
        <v>18</v>
      </c>
      <c r="D9">
        <v>8.0</v>
      </c>
      <c r="E9" s="9">
        <f>VLOOKUP(A9,'Current Week'!B:C,2,0)</f>
        <v>11</v>
      </c>
      <c r="F9" s="8">
        <f>iferror(VLOOKUP(A9,DraftTracker!F:AU,3,0)+if((VLOOKUP(A9,DraftTracker!F:AU,4,0)-VLOOKUP(A9,DraftTracker!F:AU,3,0))&gt;0,(VLOOKUP(A9,DraftTracker!F:AU,4,0)-VLOOKUP(A9,DraftTracker!F:AU,3,0)),0)*0.5,"")</f>
        <v>2</v>
      </c>
      <c r="G9" s="16">
        <f>iferror(VLOOKUP(A9,DraftTracker!F:AW,5,0)+if((VLOOKUP(A9,DraftTracker!F:AW,6,0)-VLOOKUP(A9,DraftTracker!F:AW,5,0))&gt;0,(VLOOKUP(A9,DraftTracker!F:AW,6,0)-VLOOKUP(A9,DraftTracker!F:AW,5,0)),0)*0.5,"")</f>
        <v>0</v>
      </c>
    </row>
    <row r="10">
      <c r="A10" s="15" t="s">
        <v>412</v>
      </c>
      <c r="B10" t="s">
        <v>413</v>
      </c>
      <c r="C10" s="15" t="s">
        <v>20</v>
      </c>
      <c r="D10">
        <v>9.0</v>
      </c>
      <c r="E10" s="9">
        <f>VLOOKUP(A10,'Current Week'!B:C,2,0)</f>
        <v>9</v>
      </c>
      <c r="F10" s="8">
        <f>iferror(VLOOKUP(A10,DraftTracker!F:AU,3,0)+if((VLOOKUP(A10,DraftTracker!F:AU,4,0)-VLOOKUP(A10,DraftTracker!F:AU,3,0))&gt;0,(VLOOKUP(A10,DraftTracker!F:AU,4,0)-VLOOKUP(A10,DraftTracker!F:AU,3,0)),0)*0.5,"")</f>
        <v>1</v>
      </c>
      <c r="G10" s="16">
        <f>iferror(VLOOKUP(A10,DraftTracker!F:AW,5,0)+if((VLOOKUP(A10,DraftTracker!F:AW,6,0)-VLOOKUP(A10,DraftTracker!F:AW,5,0))&gt;0,(VLOOKUP(A10,DraftTracker!F:AW,6,0)-VLOOKUP(A10,DraftTracker!F:AW,5,0)),0)*0.5,"")</f>
        <v>0</v>
      </c>
    </row>
    <row r="11">
      <c r="A11" s="15" t="s">
        <v>419</v>
      </c>
      <c r="B11" t="s">
        <v>29</v>
      </c>
      <c r="C11" s="15" t="s">
        <v>16</v>
      </c>
      <c r="D11">
        <v>10.0</v>
      </c>
      <c r="E11" s="9">
        <f>VLOOKUP(A11,'Current Week'!B:C,2,0)</f>
        <v>6</v>
      </c>
      <c r="F11" s="8">
        <f>iferror(VLOOKUP(A11,DraftTracker!F:AU,3,0)+if((VLOOKUP(A11,DraftTracker!F:AU,4,0)-VLOOKUP(A11,DraftTracker!F:AU,3,0))&gt;0,(VLOOKUP(A11,DraftTracker!F:AU,4,0)-VLOOKUP(A11,DraftTracker!F:AU,3,0)),0)*0.5,"")</f>
        <v>3.5</v>
      </c>
      <c r="G11" s="16">
        <f>iferror(VLOOKUP(A11,DraftTracker!F:AW,5,0)+if((VLOOKUP(A11,DraftTracker!F:AW,6,0)-VLOOKUP(A11,DraftTracker!F:AW,5,0))&gt;0,(VLOOKUP(A11,DraftTracker!F:AW,6,0)-VLOOKUP(A11,DraftTracker!F:AW,5,0)),0)*0.5,"")</f>
        <v>0</v>
      </c>
    </row>
    <row r="12">
      <c r="A12" s="15" t="s">
        <v>423</v>
      </c>
      <c r="B12" t="s">
        <v>407</v>
      </c>
      <c r="C12" s="15" t="s">
        <v>16</v>
      </c>
      <c r="D12">
        <v>11.0</v>
      </c>
      <c r="E12" s="9">
        <f>VLOOKUP(A12,'Current Week'!B:C,2,0)</f>
        <v>10</v>
      </c>
      <c r="F12" s="8">
        <f>iferror(VLOOKUP(A12,DraftTracker!F:AU,3,0)+if((VLOOKUP(A12,DraftTracker!F:AU,4,0)-VLOOKUP(A12,DraftTracker!F:AU,3,0))&gt;0,(VLOOKUP(A12,DraftTracker!F:AU,4,0)-VLOOKUP(A12,DraftTracker!F:AU,3,0)),0)*0.5,"")</f>
        <v>1.5</v>
      </c>
      <c r="G12" s="16">
        <f>iferror(VLOOKUP(A12,DraftTracker!F:AW,5,0)+if((VLOOKUP(A12,DraftTracker!F:AW,6,0)-VLOOKUP(A12,DraftTracker!F:AW,5,0))&gt;0,(VLOOKUP(A12,DraftTracker!F:AW,6,0)-VLOOKUP(A12,DraftTracker!F:AW,5,0)),0)*0.5,"")</f>
        <v>1</v>
      </c>
    </row>
    <row r="13">
      <c r="A13" s="15" t="s">
        <v>430</v>
      </c>
      <c r="B13" s="15" t="s">
        <v>27</v>
      </c>
      <c r="C13" s="15" t="s">
        <v>20</v>
      </c>
      <c r="D13">
        <v>12.0</v>
      </c>
      <c r="E13" s="9">
        <f>VLOOKUP(A13,'Current Week'!B:C,2,0)</f>
        <v>8</v>
      </c>
      <c r="F13" s="8">
        <f>iferror(VLOOKUP(A13,DraftTracker!F:AU,3,0)+if((VLOOKUP(A13,DraftTracker!F:AU,4,0)-VLOOKUP(A13,DraftTracker!F:AU,3,0))&gt;0,(VLOOKUP(A13,DraftTracker!F:AU,4,0)-VLOOKUP(A13,DraftTracker!F:AU,3,0)),0)*0.5,"")</f>
        <v>0</v>
      </c>
      <c r="G13" s="16">
        <f>iferror(VLOOKUP(A13,DraftTracker!F:AW,5,0)+if((VLOOKUP(A13,DraftTracker!F:AW,6,0)-VLOOKUP(A13,DraftTracker!F:AW,5,0))&gt;0,(VLOOKUP(A13,DraftTracker!F:AW,6,0)-VLOOKUP(A13,DraftTracker!F:AW,5,0)),0)*0.5,"")</f>
        <v>2</v>
      </c>
    </row>
    <row r="14">
      <c r="A14" s="15" t="s">
        <v>411</v>
      </c>
      <c r="B14" s="15" t="s">
        <v>29</v>
      </c>
      <c r="C14" s="15" t="s">
        <v>18</v>
      </c>
      <c r="D14">
        <v>13.0</v>
      </c>
      <c r="E14" s="9">
        <f>VLOOKUP(A14,'Current Week'!B:C,2,0)</f>
        <v>9</v>
      </c>
      <c r="F14" s="8">
        <f>iferror(VLOOKUP(A14,DraftTracker!F:AU,3,0)+if((VLOOKUP(A14,DraftTracker!F:AU,4,0)-VLOOKUP(A14,DraftTracker!F:AU,3,0))&gt;0,(VLOOKUP(A14,DraftTracker!F:AU,4,0)-VLOOKUP(A14,DraftTracker!F:AU,3,0)),0)*0.5,"")</f>
        <v>4</v>
      </c>
      <c r="G14" s="16">
        <f>iferror(VLOOKUP(A14,DraftTracker!F:AW,5,0)+if((VLOOKUP(A14,DraftTracker!F:AW,6,0)-VLOOKUP(A14,DraftTracker!F:AW,5,0))&gt;0,(VLOOKUP(A14,DraftTracker!F:AW,6,0)-VLOOKUP(A14,DraftTracker!F:AW,5,0)),0)*0.5,"")</f>
        <v>2</v>
      </c>
    </row>
    <row r="15">
      <c r="A15" s="15" t="s">
        <v>383</v>
      </c>
      <c r="B15" t="s">
        <v>11</v>
      </c>
      <c r="C15" s="15" t="s">
        <v>22</v>
      </c>
      <c r="D15">
        <v>14.0</v>
      </c>
      <c r="E15" s="9">
        <f>VLOOKUP(A15,'Current Week'!B:C,2,0)</f>
        <v>9</v>
      </c>
      <c r="F15" s="8">
        <f>iferror(VLOOKUP(A15,DraftTracker!F:AU,3,0)+if((VLOOKUP(A15,DraftTracker!F:AU,4,0)-VLOOKUP(A15,DraftTracker!F:AU,3,0))&gt;0,(VLOOKUP(A15,DraftTracker!F:AU,4,0)-VLOOKUP(A15,DraftTracker!F:AU,3,0)),0)*0.5,"")</f>
        <v>0.5</v>
      </c>
      <c r="G15" s="16">
        <f>iferror(VLOOKUP(A15,DraftTracker!F:AW,5,0)+if((VLOOKUP(A15,DraftTracker!F:AW,6,0)-VLOOKUP(A15,DraftTracker!F:AW,5,0))&gt;0,(VLOOKUP(A15,DraftTracker!F:AW,6,0)-VLOOKUP(A15,DraftTracker!F:AW,5,0)),0)*0.5,"")</f>
        <v>1</v>
      </c>
    </row>
    <row r="16">
      <c r="A16" s="15" t="s">
        <v>388</v>
      </c>
      <c r="B16" t="s">
        <v>393</v>
      </c>
      <c r="C16" s="15" t="s">
        <v>17</v>
      </c>
      <c r="D16">
        <v>15.0</v>
      </c>
      <c r="E16" s="9">
        <f>VLOOKUP(A16,'Current Week'!B:C,2,0)</f>
        <v>9</v>
      </c>
      <c r="F16" s="8">
        <f>iferror(VLOOKUP(A16,DraftTracker!F:AU,3,0)+if((VLOOKUP(A16,DraftTracker!F:AU,4,0)-VLOOKUP(A16,DraftTracker!F:AU,3,0))&gt;0,(VLOOKUP(A16,DraftTracker!F:AU,4,0)-VLOOKUP(A16,DraftTracker!F:AU,3,0)),0)*0.5,"")</f>
        <v>1</v>
      </c>
      <c r="G16" s="16">
        <f>iferror(VLOOKUP(A16,DraftTracker!F:AW,5,0)+if((VLOOKUP(A16,DraftTracker!F:AW,6,0)-VLOOKUP(A16,DraftTracker!F:AW,5,0))&gt;0,(VLOOKUP(A16,DraftTracker!F:AW,6,0)-VLOOKUP(A16,DraftTracker!F:AW,5,0)),0)*0.5,"")</f>
        <v>1</v>
      </c>
    </row>
    <row r="17">
      <c r="A17" s="15" t="s">
        <v>327</v>
      </c>
      <c r="B17" s="15" t="s">
        <v>456</v>
      </c>
      <c r="C17" s="15" t="s">
        <v>19</v>
      </c>
      <c r="D17">
        <v>16.0</v>
      </c>
      <c r="E17" s="9">
        <f>VLOOKUP(A17,'Current Week'!B:C,2,0)</f>
        <v>9</v>
      </c>
      <c r="F17" s="8">
        <f>iferror(VLOOKUP(A17,DraftTracker!F:AU,3,0)+if((VLOOKUP(A17,DraftTracker!F:AU,4,0)-VLOOKUP(A17,DraftTracker!F:AU,3,0))&gt;0,(VLOOKUP(A17,DraftTracker!F:AU,4,0)-VLOOKUP(A17,DraftTracker!F:AU,3,0)),0)*0.5,"")</f>
        <v>1</v>
      </c>
      <c r="G17" s="16">
        <f>iferror(VLOOKUP(A17,DraftTracker!F:AW,5,0)+if((VLOOKUP(A17,DraftTracker!F:AW,6,0)-VLOOKUP(A17,DraftTracker!F:AW,5,0))&gt;0,(VLOOKUP(A17,DraftTracker!F:AW,6,0)-VLOOKUP(A17,DraftTracker!F:AW,5,0)),0)*0.5,"")</f>
        <v>0</v>
      </c>
    </row>
    <row r="18">
      <c r="A18" s="15" t="s">
        <v>198</v>
      </c>
      <c r="B18" t="s">
        <v>464</v>
      </c>
      <c r="C18" s="15" t="s">
        <v>21</v>
      </c>
      <c r="D18">
        <v>17.0</v>
      </c>
      <c r="E18" s="9">
        <f>VLOOKUP(A18,'Current Week'!B:C,2,0)</f>
        <v>9</v>
      </c>
      <c r="F18" s="8">
        <f>iferror(VLOOKUP(A18,DraftTracker!F:AU,3,0)+if((VLOOKUP(A18,DraftTracker!F:AU,4,0)-VLOOKUP(A18,DraftTracker!F:AU,3,0))&gt;0,(VLOOKUP(A18,DraftTracker!F:AU,4,0)-VLOOKUP(A18,DraftTracker!F:AU,3,0)),0)*0.5,"")</f>
        <v>1</v>
      </c>
      <c r="G18" s="16">
        <f>iferror(VLOOKUP(A18,DraftTracker!F:AW,5,0)+if((VLOOKUP(A18,DraftTracker!F:AW,6,0)-VLOOKUP(A18,DraftTracker!F:AW,5,0))&gt;0,(VLOOKUP(A18,DraftTracker!F:AW,6,0)-VLOOKUP(A18,DraftTracker!F:AW,5,0)),0)*0.5,"")</f>
        <v>0</v>
      </c>
    </row>
    <row r="19">
      <c r="A19" s="15" t="s">
        <v>182</v>
      </c>
      <c r="B19" t="s">
        <v>464</v>
      </c>
      <c r="C19" s="15" t="s">
        <v>25</v>
      </c>
      <c r="D19">
        <v>18.0</v>
      </c>
      <c r="E19" s="9">
        <f>VLOOKUP(A19,'Current Week'!B:C,2,0)</f>
        <v>6</v>
      </c>
      <c r="F19" s="8">
        <f>iferror(VLOOKUP(A19,DraftTracker!F:AU,3,0)+if((VLOOKUP(A19,DraftTracker!F:AU,4,0)-VLOOKUP(A19,DraftTracker!F:AU,3,0))&gt;0,(VLOOKUP(A19,DraftTracker!F:AU,4,0)-VLOOKUP(A19,DraftTracker!F:AU,3,0)),0)*0.5,"")</f>
        <v>0</v>
      </c>
      <c r="G19" s="16">
        <f>iferror(VLOOKUP(A19,DraftTracker!F:AW,5,0)+if((VLOOKUP(A19,DraftTracker!F:AW,6,0)-VLOOKUP(A19,DraftTracker!F:AW,5,0))&gt;0,(VLOOKUP(A19,DraftTracker!F:AW,6,0)-VLOOKUP(A19,DraftTracker!F:AW,5,0)),0)*0.5,"")</f>
        <v>1</v>
      </c>
    </row>
    <row r="20">
      <c r="A20" t="s">
        <v>144</v>
      </c>
      <c r="B20" t="s">
        <v>393</v>
      </c>
      <c r="C20" s="15" t="s">
        <v>14</v>
      </c>
      <c r="D20">
        <v>19.0</v>
      </c>
      <c r="E20" s="9">
        <f>VLOOKUP(A20,'Current Week'!B:C,2,0)</f>
        <v>9</v>
      </c>
      <c r="F20" s="8">
        <f>iferror(VLOOKUP(A20,DraftTracker!F:AU,3,0)+if((VLOOKUP(A20,DraftTracker!F:AU,4,0)-VLOOKUP(A20,DraftTracker!F:AU,3,0))&gt;0,(VLOOKUP(A20,DraftTracker!F:AU,4,0)-VLOOKUP(A20,DraftTracker!F:AU,3,0)),0)*0.5,"")</f>
        <v>0</v>
      </c>
      <c r="G20" s="16">
        <f>iferror(VLOOKUP(A20,DraftTracker!F:AW,5,0)+if((VLOOKUP(A20,DraftTracker!F:AW,6,0)-VLOOKUP(A20,DraftTracker!F:AW,5,0))&gt;0,(VLOOKUP(A20,DraftTracker!F:AW,6,0)-VLOOKUP(A20,DraftTracker!F:AW,5,0)),0)*0.5,"")</f>
        <v>1</v>
      </c>
    </row>
    <row r="21">
      <c r="A21" s="15" t="s">
        <v>100</v>
      </c>
      <c r="B21" t="s">
        <v>29</v>
      </c>
      <c r="C21" s="15" t="s">
        <v>12</v>
      </c>
      <c r="D21">
        <v>20.0</v>
      </c>
      <c r="E21" s="9">
        <f>VLOOKUP(A21,'Current Week'!B:C,2,0)</f>
        <v>6</v>
      </c>
      <c r="F21" s="8">
        <f>iferror(VLOOKUP(A21,DraftTracker!F:AU,3,0)+if((VLOOKUP(A21,DraftTracker!F:AU,4,0)-VLOOKUP(A21,DraftTracker!F:AU,3,0))&gt;0,(VLOOKUP(A21,DraftTracker!F:AU,4,0)-VLOOKUP(A21,DraftTracker!F:AU,3,0)),0)*0.5,"")</f>
        <v>3.5</v>
      </c>
      <c r="G21" s="16">
        <f>iferror(VLOOKUP(A21,DraftTracker!F:AW,5,0)+if((VLOOKUP(A21,DraftTracker!F:AW,6,0)-VLOOKUP(A21,DraftTracker!F:AW,5,0))&gt;0,(VLOOKUP(A21,DraftTracker!F:AW,6,0)-VLOOKUP(A21,DraftTracker!F:AW,5,0)),0)*0.5,"")</f>
        <v>2</v>
      </c>
    </row>
    <row r="22">
      <c r="A22" s="15" t="s">
        <v>123</v>
      </c>
      <c r="B22" s="15" t="s">
        <v>407</v>
      </c>
      <c r="C22" s="15" t="s">
        <v>12</v>
      </c>
      <c r="D22">
        <v>21.0</v>
      </c>
      <c r="E22" s="9">
        <f>VLOOKUP(A22,'Current Week'!B:C,2,0)</f>
        <v>8</v>
      </c>
      <c r="F22" s="8">
        <f>iferror(VLOOKUP(A22,DraftTracker!F:AU,3,0)+if((VLOOKUP(A22,DraftTracker!F:AU,4,0)-VLOOKUP(A22,DraftTracker!F:AU,3,0))&gt;0,(VLOOKUP(A22,DraftTracker!F:AU,4,0)-VLOOKUP(A22,DraftTracker!F:AU,3,0)),0)*0.5,"")</f>
        <v>1.5</v>
      </c>
      <c r="G22" s="16">
        <f>iferror(VLOOKUP(A22,DraftTracker!F:AW,5,0)+if((VLOOKUP(A22,DraftTracker!F:AW,6,0)-VLOOKUP(A22,DraftTracker!F:AW,5,0))&gt;0,(VLOOKUP(A22,DraftTracker!F:AW,6,0)-VLOOKUP(A22,DraftTracker!F:AW,5,0)),0)*0.5,"")</f>
        <v>1</v>
      </c>
    </row>
    <row r="23">
      <c r="A23" s="15" t="s">
        <v>150</v>
      </c>
      <c r="B23" s="15" t="s">
        <v>29</v>
      </c>
      <c r="C23" s="15" t="s">
        <v>14</v>
      </c>
      <c r="D23">
        <v>22.0</v>
      </c>
      <c r="E23" s="9">
        <f>VLOOKUP(A23,'Current Week'!B:C,2,0)</f>
        <v>5</v>
      </c>
      <c r="F23" s="8">
        <f>iferror(VLOOKUP(A23,DraftTracker!F:AU,3,0)+if((VLOOKUP(A23,DraftTracker!F:AU,4,0)-VLOOKUP(A23,DraftTracker!F:AU,3,0))&gt;0,(VLOOKUP(A23,DraftTracker!F:AU,4,0)-VLOOKUP(A23,DraftTracker!F:AU,3,0)),0)*0.5,"")</f>
        <v>2.5</v>
      </c>
      <c r="G23" s="16">
        <f>iferror(VLOOKUP(A23,DraftTracker!F:AW,5,0)+if((VLOOKUP(A23,DraftTracker!F:AW,6,0)-VLOOKUP(A23,DraftTracker!F:AW,5,0))&gt;0,(VLOOKUP(A23,DraftTracker!F:AW,6,0)-VLOOKUP(A23,DraftTracker!F:AW,5,0)),0)*0.5,"")</f>
        <v>3.5</v>
      </c>
    </row>
    <row r="24">
      <c r="A24" s="15" t="s">
        <v>176</v>
      </c>
      <c r="B24" s="15" t="s">
        <v>29</v>
      </c>
      <c r="C24" s="15" t="s">
        <v>25</v>
      </c>
      <c r="D24">
        <v>23.0</v>
      </c>
      <c r="E24" s="9">
        <f>VLOOKUP(A24,'Current Week'!B:C,2,0)</f>
        <v>10</v>
      </c>
      <c r="F24" s="8">
        <f>iferror(VLOOKUP(A24,DraftTracker!F:AU,3,0)+if((VLOOKUP(A24,DraftTracker!F:AU,4,0)-VLOOKUP(A24,DraftTracker!F:AU,3,0))&gt;0,(VLOOKUP(A24,DraftTracker!F:AU,4,0)-VLOOKUP(A24,DraftTracker!F:AU,3,0)),0)*0.5,"")</f>
        <v>1.5</v>
      </c>
      <c r="G24" s="16">
        <f>iferror(VLOOKUP(A24,DraftTracker!F:AW,5,0)+if((VLOOKUP(A24,DraftTracker!F:AW,6,0)-VLOOKUP(A24,DraftTracker!F:AW,5,0))&gt;0,(VLOOKUP(A24,DraftTracker!F:AW,6,0)-VLOOKUP(A24,DraftTracker!F:AW,5,0)),0)*0.5,"")</f>
        <v>3</v>
      </c>
    </row>
    <row r="25">
      <c r="A25" t="s">
        <v>209</v>
      </c>
      <c r="B25" t="s">
        <v>407</v>
      </c>
      <c r="C25" s="15" t="s">
        <v>21</v>
      </c>
      <c r="D25">
        <v>24.0</v>
      </c>
      <c r="E25" s="9">
        <f>VLOOKUP(A25,'Current Week'!B:C,2,0)</f>
        <v>9</v>
      </c>
      <c r="F25" s="8">
        <f>iferror(VLOOKUP(A25,DraftTracker!F:AU,3,0)+if((VLOOKUP(A25,DraftTracker!F:AU,4,0)-VLOOKUP(A25,DraftTracker!F:AU,3,0))&gt;0,(VLOOKUP(A25,DraftTracker!F:AU,4,0)-VLOOKUP(A25,DraftTracker!F:AU,3,0)),0)*0.5,"")</f>
        <v>1</v>
      </c>
      <c r="G25" s="16">
        <f>iferror(VLOOKUP(A25,DraftTracker!F:AW,5,0)+if((VLOOKUP(A25,DraftTracker!F:AW,6,0)-VLOOKUP(A25,DraftTracker!F:AW,5,0))&gt;0,(VLOOKUP(A25,DraftTracker!F:AW,6,0)-VLOOKUP(A25,DraftTracker!F:AW,5,0)),0)*0.5,"")</f>
        <v>1</v>
      </c>
    </row>
    <row r="26">
      <c r="A26" s="15" t="s">
        <v>347</v>
      </c>
      <c r="B26" t="s">
        <v>413</v>
      </c>
      <c r="C26" s="15" t="s">
        <v>19</v>
      </c>
      <c r="D26">
        <v>25.0</v>
      </c>
      <c r="E26" s="9">
        <f>VLOOKUP(A26,'Current Week'!B:C,2,0)</f>
        <v>4</v>
      </c>
      <c r="F26" s="8">
        <f>iferror(VLOOKUP(A26,DraftTracker!F:AU,3,0)+if((VLOOKUP(A26,DraftTracker!F:AU,4,0)-VLOOKUP(A26,DraftTracker!F:AU,3,0))&gt;0,(VLOOKUP(A26,DraftTracker!F:AU,4,0)-VLOOKUP(A26,DraftTracker!F:AU,3,0)),0)*0.5,"")</f>
        <v>2</v>
      </c>
      <c r="G26" s="16">
        <f>iferror(VLOOKUP(A26,DraftTracker!F:AW,5,0)+if((VLOOKUP(A26,DraftTracker!F:AW,6,0)-VLOOKUP(A26,DraftTracker!F:AW,5,0))&gt;0,(VLOOKUP(A26,DraftTracker!F:AW,6,0)-VLOOKUP(A26,DraftTracker!F:AW,5,0)),0)*0.5,"")</f>
        <v>0</v>
      </c>
    </row>
    <row r="27">
      <c r="A27" s="15" t="s">
        <v>391</v>
      </c>
      <c r="B27" t="s">
        <v>29</v>
      </c>
      <c r="C27" s="15" t="s">
        <v>17</v>
      </c>
      <c r="D27">
        <v>26.0</v>
      </c>
      <c r="E27" s="9">
        <f>VLOOKUP(A27,'Current Week'!B:C,2,0)</f>
        <v>5</v>
      </c>
      <c r="F27" s="8">
        <f>iferror(VLOOKUP(A27,DraftTracker!F:AU,3,0)+if((VLOOKUP(A27,DraftTracker!F:AU,4,0)-VLOOKUP(A27,DraftTracker!F:AU,3,0))&gt;0,(VLOOKUP(A27,DraftTracker!F:AU,4,0)-VLOOKUP(A27,DraftTracker!F:AU,3,0)),0)*0.5,"")</f>
        <v>1</v>
      </c>
      <c r="G27" s="16">
        <f>iferror(VLOOKUP(A27,DraftTracker!F:AW,5,0)+if((VLOOKUP(A27,DraftTracker!F:AW,6,0)-VLOOKUP(A27,DraftTracker!F:AW,5,0))&gt;0,(VLOOKUP(A27,DraftTracker!F:AW,6,0)-VLOOKUP(A27,DraftTracker!F:AW,5,0)),0)*0.5,"")</f>
        <v>3</v>
      </c>
    </row>
    <row r="28">
      <c r="A28" s="15" t="s">
        <v>401</v>
      </c>
      <c r="B28" t="s">
        <v>479</v>
      </c>
      <c r="C28" s="15" t="s">
        <v>22</v>
      </c>
      <c r="D28">
        <v>27.0</v>
      </c>
      <c r="E28" s="9">
        <f>VLOOKUP(A28,'Current Week'!B:C,2,0)</f>
        <v>5</v>
      </c>
      <c r="F28" s="8">
        <f>iferror(VLOOKUP(A28,DraftTracker!F:AU,3,0)+if((VLOOKUP(A28,DraftTracker!F:AU,4,0)-VLOOKUP(A28,DraftTracker!F:AU,3,0))&gt;0,(VLOOKUP(A28,DraftTracker!F:AU,4,0)-VLOOKUP(A28,DraftTracker!F:AU,3,0)),0)*0.5,"")</f>
        <v>1.5</v>
      </c>
      <c r="G28" s="16">
        <f>iferror(VLOOKUP(A28,DraftTracker!F:AW,5,0)+if((VLOOKUP(A28,DraftTracker!F:AW,6,0)-VLOOKUP(A28,DraftTracker!F:AW,5,0))&gt;0,(VLOOKUP(A28,DraftTracker!F:AW,6,0)-VLOOKUP(A28,DraftTracker!F:AW,5,0)),0)*0.5,"")</f>
        <v>0.5</v>
      </c>
    </row>
    <row r="29">
      <c r="A29" s="15" t="s">
        <v>408</v>
      </c>
      <c r="B29" s="15" t="s">
        <v>456</v>
      </c>
      <c r="C29" s="15" t="s">
        <v>18</v>
      </c>
      <c r="D29">
        <v>28.0</v>
      </c>
      <c r="E29" s="9">
        <f>VLOOKUP(A29,'Current Week'!B:C,2,0)</f>
        <v>5</v>
      </c>
      <c r="F29" s="8">
        <f>iferror(VLOOKUP(A29,DraftTracker!F:AU,3,0)+if((VLOOKUP(A29,DraftTracker!F:AU,4,0)-VLOOKUP(A29,DraftTracker!F:AU,3,0))&gt;0,(VLOOKUP(A29,DraftTracker!F:AU,4,0)-VLOOKUP(A29,DraftTracker!F:AU,3,0)),0)*0.5,"")</f>
        <v>2</v>
      </c>
      <c r="G29" s="16">
        <f>iferror(VLOOKUP(A29,DraftTracker!F:AW,5,0)+if((VLOOKUP(A29,DraftTracker!F:AW,6,0)-VLOOKUP(A29,DraftTracker!F:AW,5,0))&gt;0,(VLOOKUP(A29,DraftTracker!F:AW,6,0)-VLOOKUP(A29,DraftTracker!F:AW,5,0)),0)*0.5,"")</f>
        <v>0.5</v>
      </c>
    </row>
    <row r="30">
      <c r="A30" s="15" t="s">
        <v>422</v>
      </c>
      <c r="B30" s="15" t="s">
        <v>479</v>
      </c>
      <c r="C30" s="15" t="s">
        <v>20</v>
      </c>
      <c r="D30">
        <v>29.0</v>
      </c>
      <c r="E30" s="9">
        <f>VLOOKUP(A30,'Current Week'!B:C,2,0)</f>
        <v>12</v>
      </c>
      <c r="F30" s="8">
        <f>iferror(VLOOKUP(A30,DraftTracker!F:AU,3,0)+if((VLOOKUP(A30,DraftTracker!F:AU,4,0)-VLOOKUP(A30,DraftTracker!F:AU,3,0))&gt;0,(VLOOKUP(A30,DraftTracker!F:AU,4,0)-VLOOKUP(A30,DraftTracker!F:AU,3,0)),0)*0.5,"")</f>
        <v>1.5</v>
      </c>
      <c r="G30" s="16">
        <f>iferror(VLOOKUP(A30,DraftTracker!F:AW,5,0)+if((VLOOKUP(A30,DraftTracker!F:AW,6,0)-VLOOKUP(A30,DraftTracker!F:AW,5,0))&gt;0,(VLOOKUP(A30,DraftTracker!F:AW,6,0)-VLOOKUP(A30,DraftTracker!F:AW,5,0)),0)*0.5,"")</f>
        <v>1.5</v>
      </c>
    </row>
    <row r="31">
      <c r="A31" s="15" t="s">
        <v>436</v>
      </c>
      <c r="B31" s="15" t="s">
        <v>456</v>
      </c>
      <c r="C31" s="15" t="s">
        <v>16</v>
      </c>
      <c r="D31">
        <v>30.0</v>
      </c>
      <c r="E31" s="9">
        <f>VLOOKUP(A31,'Current Week'!B:C,2,0)</f>
        <v>7</v>
      </c>
      <c r="F31" s="8">
        <f>iferror(VLOOKUP(A31,DraftTracker!F:AU,3,0)+if((VLOOKUP(A31,DraftTracker!F:AU,4,0)-VLOOKUP(A31,DraftTracker!F:AU,3,0))&gt;0,(VLOOKUP(A31,DraftTracker!F:AU,4,0)-VLOOKUP(A31,DraftTracker!F:AU,3,0)),0)*0.5,"")</f>
        <v>1.5</v>
      </c>
      <c r="G31" s="16">
        <f>iferror(VLOOKUP(A31,DraftTracker!F:AW,5,0)+if((VLOOKUP(A31,DraftTracker!F:AW,6,0)-VLOOKUP(A31,DraftTracker!F:AW,5,0))&gt;0,(VLOOKUP(A31,DraftTracker!F:AW,6,0)-VLOOKUP(A31,DraftTracker!F:AW,5,0)),0)*0.5,"")</f>
        <v>1.5</v>
      </c>
    </row>
    <row r="32">
      <c r="A32" s="15" t="s">
        <v>434</v>
      </c>
      <c r="B32" s="15" t="s">
        <v>413</v>
      </c>
      <c r="C32" s="15" t="s">
        <v>16</v>
      </c>
      <c r="D32">
        <v>31.0</v>
      </c>
      <c r="E32" s="9">
        <f>VLOOKUP(A32,'Current Week'!B:C,2,0)</f>
        <v>11</v>
      </c>
      <c r="F32" s="8">
        <f>iferror(VLOOKUP(A32,DraftTracker!F:AU,3,0)+if((VLOOKUP(A32,DraftTracker!F:AU,4,0)-VLOOKUP(A32,DraftTracker!F:AU,3,0))&gt;0,(VLOOKUP(A32,DraftTracker!F:AU,4,0)-VLOOKUP(A32,DraftTracker!F:AU,3,0)),0)*0.5,"")</f>
        <v>2</v>
      </c>
      <c r="G32" s="16">
        <f>iferror(VLOOKUP(A32,DraftTracker!F:AW,5,0)+if((VLOOKUP(A32,DraftTracker!F:AW,6,0)-VLOOKUP(A32,DraftTracker!F:AW,5,0))&gt;0,(VLOOKUP(A32,DraftTracker!F:AW,6,0)-VLOOKUP(A32,DraftTracker!F:AW,5,0)),0)*0.5,"")</f>
        <v>1</v>
      </c>
    </row>
    <row r="33">
      <c r="A33" s="15" t="s">
        <v>373</v>
      </c>
      <c r="B33" s="15" t="s">
        <v>24</v>
      </c>
      <c r="C33" s="15" t="s">
        <v>20</v>
      </c>
      <c r="D33">
        <v>32.0</v>
      </c>
      <c r="E33" s="9">
        <f>VLOOKUP(A33,'Current Week'!B:C,2,0)</f>
        <v>10</v>
      </c>
      <c r="F33" s="8">
        <f>iferror(VLOOKUP(A33,DraftTracker!F:AU,3,0)+if((VLOOKUP(A33,DraftTracker!F:AU,4,0)-VLOOKUP(A33,DraftTracker!F:AU,3,0))&gt;0,(VLOOKUP(A33,DraftTracker!F:AU,4,0)-VLOOKUP(A33,DraftTracker!F:AU,3,0)),0)*0.5,"")</f>
        <v>3</v>
      </c>
      <c r="G33" s="16">
        <f>iferror(VLOOKUP(A33,DraftTracker!F:AW,5,0)+if((VLOOKUP(A33,DraftTracker!F:AW,6,0)-VLOOKUP(A33,DraftTracker!F:AW,5,0))&gt;0,(VLOOKUP(A33,DraftTracker!F:AW,6,0)-VLOOKUP(A33,DraftTracker!F:AW,5,0)),0)*0.5,"")</f>
        <v>0.5</v>
      </c>
    </row>
    <row r="34">
      <c r="A34" s="15" t="s">
        <v>415</v>
      </c>
      <c r="B34" t="s">
        <v>11</v>
      </c>
      <c r="C34" s="15" t="s">
        <v>18</v>
      </c>
      <c r="D34">
        <v>33.0</v>
      </c>
      <c r="E34" s="9">
        <f>VLOOKUP(A34,'Current Week'!B:C,2,0)</f>
        <v>8</v>
      </c>
      <c r="F34" s="8">
        <f>iferror(VLOOKUP(A34,DraftTracker!F:AU,3,0)+if((VLOOKUP(A34,DraftTracker!F:AU,4,0)-VLOOKUP(A34,DraftTracker!F:AU,3,0))&gt;0,(VLOOKUP(A34,DraftTracker!F:AU,4,0)-VLOOKUP(A34,DraftTracker!F:AU,3,0)),0)*0.5,"")</f>
        <v>0.5</v>
      </c>
      <c r="G34" s="16">
        <f>iferror(VLOOKUP(A34,DraftTracker!F:AW,5,0)+if((VLOOKUP(A34,DraftTracker!F:AW,6,0)-VLOOKUP(A34,DraftTracker!F:AW,5,0))&gt;0,(VLOOKUP(A34,DraftTracker!F:AW,6,0)-VLOOKUP(A34,DraftTracker!F:AW,5,0)),0)*0.5,"")</f>
        <v>1</v>
      </c>
    </row>
    <row r="35">
      <c r="A35" s="15" t="s">
        <v>398</v>
      </c>
      <c r="B35" s="15" t="s">
        <v>29</v>
      </c>
      <c r="C35" s="15" t="s">
        <v>22</v>
      </c>
      <c r="D35">
        <v>34.0</v>
      </c>
      <c r="E35" s="9">
        <f>VLOOKUP(A35,'Current Week'!B:C,2,0)</f>
        <v>8</v>
      </c>
      <c r="F35" s="8">
        <f>iferror(VLOOKUP(A35,DraftTracker!F:AU,3,0)+if((VLOOKUP(A35,DraftTracker!F:AU,4,0)-VLOOKUP(A35,DraftTracker!F:AU,3,0))&gt;0,(VLOOKUP(A35,DraftTracker!F:AU,4,0)-VLOOKUP(A35,DraftTracker!F:AU,3,0)),0)*0.5,"")</f>
        <v>0</v>
      </c>
      <c r="G35" s="16">
        <f>iferror(VLOOKUP(A35,DraftTracker!F:AW,5,0)+if((VLOOKUP(A35,DraftTracker!F:AW,6,0)-VLOOKUP(A35,DraftTracker!F:AW,5,0))&gt;0,(VLOOKUP(A35,DraftTracker!F:AW,6,0)-VLOOKUP(A35,DraftTracker!F:AW,5,0)),0)*0.5,"")</f>
        <v>1</v>
      </c>
    </row>
    <row r="36">
      <c r="A36" s="15" t="s">
        <v>392</v>
      </c>
      <c r="B36" t="s">
        <v>407</v>
      </c>
      <c r="C36" s="15" t="s">
        <v>17</v>
      </c>
      <c r="D36">
        <v>35.0</v>
      </c>
      <c r="E36" s="9">
        <f>VLOOKUP(A36,'Current Week'!B:C,2,0)</f>
        <v>3</v>
      </c>
      <c r="F36" s="8">
        <f>iferror(VLOOKUP(A36,DraftTracker!F:AU,3,0)+if((VLOOKUP(A36,DraftTracker!F:AU,4,0)-VLOOKUP(A36,DraftTracker!F:AU,3,0))&gt;0,(VLOOKUP(A36,DraftTracker!F:AU,4,0)-VLOOKUP(A36,DraftTracker!F:AU,3,0)),0)*0.5,"")</f>
        <v>1</v>
      </c>
      <c r="G36" s="16">
        <f>iferror(VLOOKUP(A36,DraftTracker!F:AW,5,0)+if((VLOOKUP(A36,DraftTracker!F:AW,6,0)-VLOOKUP(A36,DraftTracker!F:AW,5,0))&gt;0,(VLOOKUP(A36,DraftTracker!F:AW,6,0)-VLOOKUP(A36,DraftTracker!F:AW,5,0)),0)*0.5,"")</f>
        <v>2.5</v>
      </c>
    </row>
    <row r="37">
      <c r="A37" s="15" t="s">
        <v>222</v>
      </c>
      <c r="B37" t="s">
        <v>24</v>
      </c>
      <c r="C37" s="15" t="s">
        <v>19</v>
      </c>
      <c r="D37">
        <v>36.0</v>
      </c>
      <c r="E37" s="9">
        <f>VLOOKUP(A37,'Current Week'!B:C,2,0)</f>
        <v>9</v>
      </c>
      <c r="F37" s="8">
        <f>iferror(VLOOKUP(A37,DraftTracker!F:AU,3,0)+if((VLOOKUP(A37,DraftTracker!F:AU,4,0)-VLOOKUP(A37,DraftTracker!F:AU,3,0))&gt;0,(VLOOKUP(A37,DraftTracker!F:AU,4,0)-VLOOKUP(A37,DraftTracker!F:AU,3,0)),0)*0.5,"")</f>
        <v>2.5</v>
      </c>
      <c r="G37" s="16">
        <f>iferror(VLOOKUP(A37,DraftTracker!F:AW,5,0)+if((VLOOKUP(A37,DraftTracker!F:AW,6,0)-VLOOKUP(A37,DraftTracker!F:AW,5,0))&gt;0,(VLOOKUP(A37,DraftTracker!F:AW,6,0)-VLOOKUP(A37,DraftTracker!F:AW,5,0)),0)*0.5,"")</f>
        <v>1.5</v>
      </c>
    </row>
    <row r="38">
      <c r="A38" s="15" t="s">
        <v>220</v>
      </c>
      <c r="B38" t="s">
        <v>413</v>
      </c>
      <c r="C38" s="15" t="s">
        <v>21</v>
      </c>
      <c r="D38">
        <v>37.0</v>
      </c>
      <c r="E38" s="9">
        <f>VLOOKUP(A38,'Current Week'!B:C,2,0)</f>
        <v>4</v>
      </c>
      <c r="F38" s="8">
        <f>iferror(VLOOKUP(A38,DraftTracker!F:AU,3,0)+if((VLOOKUP(A38,DraftTracker!F:AU,4,0)-VLOOKUP(A38,DraftTracker!F:AU,3,0))&gt;0,(VLOOKUP(A38,DraftTracker!F:AU,4,0)-VLOOKUP(A38,DraftTracker!F:AU,3,0)),0)*0.5,"")</f>
        <v>2</v>
      </c>
      <c r="G38" s="16">
        <f>iferror(VLOOKUP(A38,DraftTracker!F:AW,5,0)+if((VLOOKUP(A38,DraftTracker!F:AW,6,0)-VLOOKUP(A38,DraftTracker!F:AW,5,0))&gt;0,(VLOOKUP(A38,DraftTracker!F:AW,6,0)-VLOOKUP(A38,DraftTracker!F:AW,5,0)),0)*0.5,"")</f>
        <v>1.5</v>
      </c>
    </row>
    <row r="39">
      <c r="A39" s="15" t="s">
        <v>184</v>
      </c>
      <c r="B39" t="s">
        <v>479</v>
      </c>
      <c r="C39" s="15" t="s">
        <v>25</v>
      </c>
      <c r="D39">
        <v>38.0</v>
      </c>
      <c r="E39" s="9">
        <f>VLOOKUP(A39,'Current Week'!B:C,2,0)</f>
        <v>9</v>
      </c>
      <c r="F39" s="8">
        <f>iferror(VLOOKUP(A39,DraftTracker!F:AU,3,0)+if((VLOOKUP(A39,DraftTracker!F:AU,4,0)-VLOOKUP(A39,DraftTracker!F:AU,3,0))&gt;0,(VLOOKUP(A39,DraftTracker!F:AU,4,0)-VLOOKUP(A39,DraftTracker!F:AU,3,0)),0)*0.5,"")</f>
        <v>2</v>
      </c>
      <c r="G39" s="16">
        <f>iferror(VLOOKUP(A39,DraftTracker!F:AW,5,0)+if((VLOOKUP(A39,DraftTracker!F:AW,6,0)-VLOOKUP(A39,DraftTracker!F:AW,5,0))&gt;0,(VLOOKUP(A39,DraftTracker!F:AW,6,0)-VLOOKUP(A39,DraftTracker!F:AW,5,0)),0)*0.5,"")</f>
        <v>1.5</v>
      </c>
    </row>
    <row r="40">
      <c r="A40" s="15" t="s">
        <v>139</v>
      </c>
      <c r="B40" t="s">
        <v>456</v>
      </c>
      <c r="C40" s="15" t="s">
        <v>14</v>
      </c>
      <c r="D40">
        <v>39.0</v>
      </c>
      <c r="E40" s="9">
        <f>VLOOKUP(A40,'Current Week'!B:C,2,0)</f>
        <v>9</v>
      </c>
      <c r="F40" s="8">
        <f>iferror(VLOOKUP(A40,DraftTracker!F:AU,3,0)+if((VLOOKUP(A40,DraftTracker!F:AU,4,0)-VLOOKUP(A40,DraftTracker!F:AU,3,0))&gt;0,(VLOOKUP(A40,DraftTracker!F:AU,4,0)-VLOOKUP(A40,DraftTracker!F:AU,3,0)),0)*0.5,"")</f>
        <v>1</v>
      </c>
      <c r="G40" s="16">
        <f>iferror(VLOOKUP(A40,DraftTracker!F:AW,5,0)+if((VLOOKUP(A40,DraftTracker!F:AW,6,0)-VLOOKUP(A40,DraftTracker!F:AW,5,0))&gt;0,(VLOOKUP(A40,DraftTracker!F:AW,6,0)-VLOOKUP(A40,DraftTracker!F:AW,5,0)),0)*0.5,"")</f>
        <v>1</v>
      </c>
    </row>
    <row r="41">
      <c r="A41" s="15" t="s">
        <v>127</v>
      </c>
      <c r="B41" t="s">
        <v>24</v>
      </c>
      <c r="C41" s="15" t="s">
        <v>12</v>
      </c>
      <c r="D41">
        <v>40.0</v>
      </c>
      <c r="E41" s="9">
        <f>VLOOKUP(A41,'Current Week'!B:C,2,0)</f>
        <v>4</v>
      </c>
      <c r="F41" s="8">
        <f>iferror(VLOOKUP(A41,DraftTracker!F:AU,3,0)+if((VLOOKUP(A41,DraftTracker!F:AU,4,0)-VLOOKUP(A41,DraftTracker!F:AU,3,0))&gt;0,(VLOOKUP(A41,DraftTracker!F:AU,4,0)-VLOOKUP(A41,DraftTracker!F:AU,3,0)),0)*0.5,"")</f>
        <v>1.5</v>
      </c>
      <c r="G41" s="16">
        <f>iferror(VLOOKUP(A41,DraftTracker!F:AW,5,0)+if((VLOOKUP(A41,DraftTracker!F:AW,6,0)-VLOOKUP(A41,DraftTracker!F:AW,5,0))&gt;0,(VLOOKUP(A41,DraftTracker!F:AW,6,0)-VLOOKUP(A41,DraftTracker!F:AW,5,0)),0)*0.5,"")</f>
        <v>2</v>
      </c>
    </row>
    <row r="42">
      <c r="A42" s="15" t="s">
        <v>133</v>
      </c>
      <c r="B42" t="s">
        <v>464</v>
      </c>
      <c r="C42" s="15" t="s">
        <v>12</v>
      </c>
      <c r="D42">
        <v>41.0</v>
      </c>
      <c r="E42" s="9">
        <f>VLOOKUP(A42,'Current Week'!B:C,2,0)</f>
        <v>3</v>
      </c>
      <c r="F42" s="8">
        <f>iferror(VLOOKUP(A42,DraftTracker!F:AU,3,0)+if((VLOOKUP(A42,DraftTracker!F:AU,4,0)-VLOOKUP(A42,DraftTracker!F:AU,3,0))&gt;0,(VLOOKUP(A42,DraftTracker!F:AU,4,0)-VLOOKUP(A42,DraftTracker!F:AU,3,0)),0)*0.5,"")</f>
        <v>2</v>
      </c>
      <c r="G42" s="16">
        <f>iferror(VLOOKUP(A42,DraftTracker!F:AW,5,0)+if((VLOOKUP(A42,DraftTracker!F:AW,6,0)-VLOOKUP(A42,DraftTracker!F:AW,5,0))&gt;0,(VLOOKUP(A42,DraftTracker!F:AW,6,0)-VLOOKUP(A42,DraftTracker!F:AW,5,0)),0)*0.5,"")</f>
        <v>0.5</v>
      </c>
    </row>
    <row r="43">
      <c r="A43" t="s">
        <v>166</v>
      </c>
      <c r="B43" t="s">
        <v>464</v>
      </c>
      <c r="C43" s="15" t="s">
        <v>14</v>
      </c>
      <c r="D43">
        <v>42.0</v>
      </c>
      <c r="E43" s="9">
        <f>VLOOKUP(A43,'Current Week'!B:C,2,0)</f>
        <v>8</v>
      </c>
      <c r="F43" s="8">
        <f>iferror(VLOOKUP(A43,DraftTracker!F:AU,3,0)+if((VLOOKUP(A43,DraftTracker!F:AU,4,0)-VLOOKUP(A43,DraftTracker!F:AU,3,0))&gt;0,(VLOOKUP(A43,DraftTracker!F:AU,4,0)-VLOOKUP(A43,DraftTracker!F:AU,3,0)),0)*0.5,"")</f>
        <v>1</v>
      </c>
      <c r="G43" s="16">
        <f>iferror(VLOOKUP(A43,DraftTracker!F:AW,5,0)+if((VLOOKUP(A43,DraftTracker!F:AW,6,0)-VLOOKUP(A43,DraftTracker!F:AW,5,0))&gt;0,(VLOOKUP(A43,DraftTracker!F:AW,6,0)-VLOOKUP(A43,DraftTracker!F:AW,5,0)),0)*0.5,"")</f>
        <v>2</v>
      </c>
    </row>
    <row r="44">
      <c r="A44" s="15" t="s">
        <v>173</v>
      </c>
      <c r="B44" t="s">
        <v>456</v>
      </c>
      <c r="C44" s="15" t="s">
        <v>25</v>
      </c>
      <c r="D44">
        <v>43.0</v>
      </c>
      <c r="E44" s="9">
        <f>VLOOKUP(A44,'Current Week'!B:C,2,0)</f>
        <v>6</v>
      </c>
      <c r="F44" s="8">
        <f>iferror(VLOOKUP(A44,DraftTracker!F:AU,3,0)+if((VLOOKUP(A44,DraftTracker!F:AU,4,0)-VLOOKUP(A44,DraftTracker!F:AU,3,0))&gt;0,(VLOOKUP(A44,DraftTracker!F:AU,4,0)-VLOOKUP(A44,DraftTracker!F:AU,3,0)),0)*0.5,"")</f>
        <v>0</v>
      </c>
      <c r="G44" s="16">
        <f>iferror(VLOOKUP(A44,DraftTracker!F:AW,5,0)+if((VLOOKUP(A44,DraftTracker!F:AW,6,0)-VLOOKUP(A44,DraftTracker!F:AW,5,0))&gt;0,(VLOOKUP(A44,DraftTracker!F:AW,6,0)-VLOOKUP(A44,DraftTracker!F:AW,5,0)),0)*0.5,"")</f>
        <v>1</v>
      </c>
    </row>
    <row r="45">
      <c r="A45" s="15" t="s">
        <v>210</v>
      </c>
      <c r="B45" t="s">
        <v>27</v>
      </c>
      <c r="C45" s="15" t="s">
        <v>21</v>
      </c>
      <c r="D45">
        <v>44.0</v>
      </c>
      <c r="E45" s="9">
        <f>VLOOKUP(A45,'Current Week'!B:C,2,0)</f>
        <v>7</v>
      </c>
      <c r="F45" s="8">
        <f>iferror(VLOOKUP(A45,DraftTracker!F:AU,3,0)+if((VLOOKUP(A45,DraftTracker!F:AU,4,0)-VLOOKUP(A45,DraftTracker!F:AU,3,0))&gt;0,(VLOOKUP(A45,DraftTracker!F:AU,4,0)-VLOOKUP(A45,DraftTracker!F:AU,3,0)),0)*0.5,"")</f>
        <v>0.5</v>
      </c>
      <c r="G45" s="16">
        <f>iferror(VLOOKUP(A45,DraftTracker!F:AW,5,0)+if((VLOOKUP(A45,DraftTracker!F:AW,6,0)-VLOOKUP(A45,DraftTracker!F:AW,5,0))&gt;0,(VLOOKUP(A45,DraftTracker!F:AW,6,0)-VLOOKUP(A45,DraftTracker!F:AW,5,0)),0)*0.5,"")</f>
        <v>1</v>
      </c>
    </row>
    <row r="46">
      <c r="A46" s="15" t="s">
        <v>225</v>
      </c>
      <c r="B46" t="s">
        <v>407</v>
      </c>
      <c r="C46" s="15" t="s">
        <v>19</v>
      </c>
      <c r="D46">
        <v>45.0</v>
      </c>
      <c r="E46" s="9">
        <f>VLOOKUP(A46,'Current Week'!B:C,2,0)</f>
        <v>10</v>
      </c>
      <c r="F46" s="8">
        <f>iferror(VLOOKUP(A46,DraftTracker!F:AU,3,0)+if((VLOOKUP(A46,DraftTracker!F:AU,4,0)-VLOOKUP(A46,DraftTracker!F:AU,3,0))&gt;0,(VLOOKUP(A46,DraftTracker!F:AU,4,0)-VLOOKUP(A46,DraftTracker!F:AU,3,0)),0)*0.5,"")</f>
        <v>0.5</v>
      </c>
      <c r="G46" s="16">
        <f>iferror(VLOOKUP(A46,DraftTracker!F:AW,5,0)+if((VLOOKUP(A46,DraftTracker!F:AW,6,0)-VLOOKUP(A46,DraftTracker!F:AW,5,0))&gt;0,(VLOOKUP(A46,DraftTracker!F:AW,6,0)-VLOOKUP(A46,DraftTracker!F:AW,5,0)),0)*0.5,"")</f>
        <v>2</v>
      </c>
    </row>
    <row r="47">
      <c r="A47" s="15" t="s">
        <v>375</v>
      </c>
      <c r="B47" t="s">
        <v>24</v>
      </c>
      <c r="C47" s="15" t="s">
        <v>17</v>
      </c>
      <c r="D47">
        <v>46.0</v>
      </c>
      <c r="E47" s="9">
        <f>VLOOKUP(A47,'Current Week'!B:C,2,0)</f>
        <v>9</v>
      </c>
      <c r="F47" s="8">
        <f>iferror(VLOOKUP(A47,DraftTracker!F:AU,3,0)+if((VLOOKUP(A47,DraftTracker!F:AU,4,0)-VLOOKUP(A47,DraftTracker!F:AU,3,0))&gt;0,(VLOOKUP(A47,DraftTracker!F:AU,4,0)-VLOOKUP(A47,DraftTracker!F:AU,3,0)),0)*0.5,"")</f>
        <v>1.5</v>
      </c>
      <c r="G47" s="16">
        <f>iferror(VLOOKUP(A47,DraftTracker!F:AW,5,0)+if((VLOOKUP(A47,DraftTracker!F:AW,6,0)-VLOOKUP(A47,DraftTracker!F:AW,5,0))&gt;0,(VLOOKUP(A47,DraftTracker!F:AW,6,0)-VLOOKUP(A47,DraftTracker!F:AW,5,0)),0)*0.5,"")</f>
        <v>2</v>
      </c>
    </row>
    <row r="48">
      <c r="A48" s="15" t="s">
        <v>403</v>
      </c>
      <c r="B48" t="s">
        <v>413</v>
      </c>
      <c r="C48" s="15" t="s">
        <v>22</v>
      </c>
      <c r="D48">
        <v>47.0</v>
      </c>
      <c r="E48" s="9">
        <f>VLOOKUP(A48,'Current Week'!B:C,2,0)</f>
        <v>9</v>
      </c>
      <c r="F48" s="8">
        <f>iferror(VLOOKUP(A48,DraftTracker!F:AU,3,0)+if((VLOOKUP(A48,DraftTracker!F:AU,4,0)-VLOOKUP(A48,DraftTracker!F:AU,3,0))&gt;0,(VLOOKUP(A48,DraftTracker!F:AU,4,0)-VLOOKUP(A48,DraftTracker!F:AU,3,0)),0)*0.5,"")</f>
        <v>2</v>
      </c>
      <c r="G48" s="16">
        <f>iferror(VLOOKUP(A48,DraftTracker!F:AW,5,0)+if((VLOOKUP(A48,DraftTracker!F:AW,6,0)-VLOOKUP(A48,DraftTracker!F:AW,5,0))&gt;0,(VLOOKUP(A48,DraftTracker!F:AW,6,0)-VLOOKUP(A48,DraftTracker!F:AW,5,0)),0)*0.5,"")</f>
        <v>1.5</v>
      </c>
    </row>
    <row r="49">
      <c r="A49" t="s">
        <v>409</v>
      </c>
      <c r="B49" t="s">
        <v>464</v>
      </c>
      <c r="C49" s="15" t="s">
        <v>18</v>
      </c>
      <c r="D49">
        <v>48.0</v>
      </c>
      <c r="E49" s="9">
        <f>VLOOKUP(A49,'Current Week'!B:C,2,0)</f>
        <v>8</v>
      </c>
      <c r="F49" s="8">
        <f>iferror(VLOOKUP(A49,DraftTracker!F:AU,3,0)+if((VLOOKUP(A49,DraftTracker!F:AU,4,0)-VLOOKUP(A49,DraftTracker!F:AU,3,0))&gt;0,(VLOOKUP(A49,DraftTracker!F:AU,4,0)-VLOOKUP(A49,DraftTracker!F:AU,3,0)),0)*0.5,"")</f>
        <v>0.5</v>
      </c>
      <c r="G49" s="16">
        <f>iferror(VLOOKUP(A49,DraftTracker!F:AW,5,0)+if((VLOOKUP(A49,DraftTracker!F:AW,6,0)-VLOOKUP(A49,DraftTracker!F:AW,5,0))&gt;0,(VLOOKUP(A49,DraftTracker!F:AW,6,0)-VLOOKUP(A49,DraftTracker!F:AW,5,0)),0)*0.5,"")</f>
        <v>2</v>
      </c>
    </row>
    <row r="50">
      <c r="A50" s="15" t="s">
        <v>432</v>
      </c>
      <c r="B50" s="15" t="s">
        <v>393</v>
      </c>
      <c r="C50" s="15" t="s">
        <v>20</v>
      </c>
      <c r="D50">
        <v>49.0</v>
      </c>
      <c r="E50" s="9">
        <f>VLOOKUP(A50,'Current Week'!B:C,2,0)</f>
        <v>3</v>
      </c>
      <c r="F50" s="8">
        <f>iferror(VLOOKUP(A50,DraftTracker!F:AU,3,0)+if((VLOOKUP(A50,DraftTracker!F:AU,4,0)-VLOOKUP(A50,DraftTracker!F:AU,3,0))&gt;0,(VLOOKUP(A50,DraftTracker!F:AU,4,0)-VLOOKUP(A50,DraftTracker!F:AU,3,0)),0)*0.5,"")</f>
        <v>2.5</v>
      </c>
      <c r="G50" s="16">
        <f>iferror(VLOOKUP(A50,DraftTracker!F:AW,5,0)+if((VLOOKUP(A50,DraftTracker!F:AW,6,0)-VLOOKUP(A50,DraftTracker!F:AW,5,0))&gt;0,(VLOOKUP(A50,DraftTracker!F:AW,6,0)-VLOOKUP(A50,DraftTracker!F:AW,5,0)),0)*0.5,"")</f>
        <v>0.5</v>
      </c>
    </row>
    <row r="51">
      <c r="A51" s="15" t="s">
        <v>433</v>
      </c>
      <c r="B51" t="s">
        <v>479</v>
      </c>
      <c r="C51" s="15" t="s">
        <v>16</v>
      </c>
      <c r="D51">
        <v>50.0</v>
      </c>
      <c r="E51" s="9">
        <f>VLOOKUP(A51,'Current Week'!B:C,2,0)</f>
        <v>8</v>
      </c>
      <c r="F51" s="8">
        <f>iferror(VLOOKUP(A51,DraftTracker!F:AU,3,0)+if((VLOOKUP(A51,DraftTracker!F:AU,4,0)-VLOOKUP(A51,DraftTracker!F:AU,3,0))&gt;0,(VLOOKUP(A51,DraftTracker!F:AU,4,0)-VLOOKUP(A51,DraftTracker!F:AU,3,0)),0)*0.5,"")</f>
        <v>3</v>
      </c>
      <c r="G51" s="16">
        <f>iferror(VLOOKUP(A51,DraftTracker!F:AW,5,0)+if((VLOOKUP(A51,DraftTracker!F:AW,6,0)-VLOOKUP(A51,DraftTracker!F:AW,5,0))&gt;0,(VLOOKUP(A51,DraftTracker!F:AW,6,0)-VLOOKUP(A51,DraftTracker!F:AW,5,0)),0)*0.5,"")</f>
        <v>0.5</v>
      </c>
    </row>
    <row r="52">
      <c r="A52" s="15" t="s">
        <v>439</v>
      </c>
      <c r="B52" t="s">
        <v>393</v>
      </c>
      <c r="C52" s="15" t="s">
        <v>16</v>
      </c>
      <c r="D52">
        <v>51.0</v>
      </c>
      <c r="E52" s="9">
        <f>VLOOKUP(A52,'Current Week'!B:C,2,0)</f>
        <v>5</v>
      </c>
      <c r="F52" s="8">
        <f>iferror(VLOOKUP(A52,DraftTracker!F:AU,3,0)+if((VLOOKUP(A52,DraftTracker!F:AU,4,0)-VLOOKUP(A52,DraftTracker!F:AU,3,0))&gt;0,(VLOOKUP(A52,DraftTracker!F:AU,4,0)-VLOOKUP(A52,DraftTracker!F:AU,3,0)),0)*0.5,"")</f>
        <v>2.5</v>
      </c>
      <c r="G52" s="16">
        <f>iferror(VLOOKUP(A52,DraftTracker!F:AW,5,0)+if((VLOOKUP(A52,DraftTracker!F:AW,6,0)-VLOOKUP(A52,DraftTracker!F:AW,5,0))&gt;0,(VLOOKUP(A52,DraftTracker!F:AW,6,0)-VLOOKUP(A52,DraftTracker!F:AW,5,0)),0)*0.5,"")</f>
        <v>1.5</v>
      </c>
    </row>
    <row r="53">
      <c r="A53" s="15" t="s">
        <v>426</v>
      </c>
      <c r="B53" t="s">
        <v>11</v>
      </c>
      <c r="C53" s="15" t="s">
        <v>20</v>
      </c>
      <c r="D53">
        <v>52.0</v>
      </c>
      <c r="E53" s="9">
        <f>VLOOKUP(A53,'Current Week'!B:C,2,0)</f>
        <v>9</v>
      </c>
      <c r="F53" s="8">
        <f>iferror(VLOOKUP(A53,DraftTracker!F:AU,3,0)+if((VLOOKUP(A53,DraftTracker!F:AU,4,0)-VLOOKUP(A53,DraftTracker!F:AU,3,0))&gt;0,(VLOOKUP(A53,DraftTracker!F:AU,4,0)-VLOOKUP(A53,DraftTracker!F:AU,3,0)),0)*0.5,"")</f>
        <v>1.5</v>
      </c>
      <c r="G53" s="16">
        <f>iferror(VLOOKUP(A53,DraftTracker!F:AW,5,0)+if((VLOOKUP(A53,DraftTracker!F:AW,6,0)-VLOOKUP(A53,DraftTracker!F:AW,5,0))&gt;0,(VLOOKUP(A53,DraftTracker!F:AW,6,0)-VLOOKUP(A53,DraftTracker!F:AW,5,0)),0)*0.5,"")</f>
        <v>0</v>
      </c>
    </row>
    <row r="54">
      <c r="A54" s="15" t="s">
        <v>416</v>
      </c>
      <c r="B54" t="s">
        <v>413</v>
      </c>
      <c r="C54" s="15" t="s">
        <v>18</v>
      </c>
      <c r="D54">
        <v>53.0</v>
      </c>
      <c r="E54" s="9">
        <f>VLOOKUP(A54,'Current Week'!B:C,2,0)</f>
        <v>8</v>
      </c>
      <c r="F54" s="8">
        <f>iferror(VLOOKUP(A54,DraftTracker!F:AU,3,0)+if((VLOOKUP(A54,DraftTracker!F:AU,4,0)-VLOOKUP(A54,DraftTracker!F:AU,3,0))&gt;0,(VLOOKUP(A54,DraftTracker!F:AU,4,0)-VLOOKUP(A54,DraftTracker!F:AU,3,0)),0)*0.5,"")</f>
        <v>1</v>
      </c>
      <c r="G54" s="16">
        <f>iferror(VLOOKUP(A54,DraftTracker!F:AW,5,0)+if((VLOOKUP(A54,DraftTracker!F:AW,6,0)-VLOOKUP(A54,DraftTracker!F:AW,5,0))&gt;0,(VLOOKUP(A54,DraftTracker!F:AW,6,0)-VLOOKUP(A54,DraftTracker!F:AW,5,0)),0)*0.5,"")</f>
        <v>2</v>
      </c>
    </row>
    <row r="55">
      <c r="A55" s="15" t="s">
        <v>378</v>
      </c>
      <c r="B55" t="s">
        <v>24</v>
      </c>
      <c r="C55" s="15" t="s">
        <v>22</v>
      </c>
      <c r="D55">
        <v>54.0</v>
      </c>
      <c r="E55" s="9">
        <f>VLOOKUP(A55,'Current Week'!B:C,2,0)</f>
        <v>8</v>
      </c>
      <c r="F55" s="8">
        <f>iferror(VLOOKUP(A55,DraftTracker!F:AU,3,0)+if((VLOOKUP(A55,DraftTracker!F:AU,4,0)-VLOOKUP(A55,DraftTracker!F:AU,3,0))&gt;0,(VLOOKUP(A55,DraftTracker!F:AU,4,0)-VLOOKUP(A55,DraftTracker!F:AU,3,0)),0)*0.5,"")</f>
        <v>1</v>
      </c>
      <c r="G55" s="16">
        <f>iferror(VLOOKUP(A55,DraftTracker!F:AW,5,0)+if((VLOOKUP(A55,DraftTracker!F:AW,6,0)-VLOOKUP(A55,DraftTracker!F:AW,5,0))&gt;0,(VLOOKUP(A55,DraftTracker!F:AW,6,0)-VLOOKUP(A55,DraftTracker!F:AW,5,0)),0)*0.5,"")</f>
        <v>2</v>
      </c>
    </row>
    <row r="56">
      <c r="A56" s="15" t="s">
        <v>395</v>
      </c>
      <c r="B56" t="s">
        <v>413</v>
      </c>
      <c r="C56" s="15" t="s">
        <v>17</v>
      </c>
      <c r="D56">
        <v>55.0</v>
      </c>
      <c r="E56" s="9">
        <f>VLOOKUP(A56,'Current Week'!B:C,2,0)</f>
        <v>8</v>
      </c>
      <c r="F56" s="8">
        <f>iferror(VLOOKUP(A56,DraftTracker!F:AU,3,0)+if((VLOOKUP(A56,DraftTracker!F:AU,4,0)-VLOOKUP(A56,DraftTracker!F:AU,3,0))&gt;0,(VLOOKUP(A56,DraftTracker!F:AU,4,0)-VLOOKUP(A56,DraftTracker!F:AU,3,0)),0)*0.5,"")</f>
        <v>0</v>
      </c>
      <c r="G56" s="16">
        <f>iferror(VLOOKUP(A56,DraftTracker!F:AW,5,0)+if((VLOOKUP(A56,DraftTracker!F:AW,6,0)-VLOOKUP(A56,DraftTracker!F:AW,5,0))&gt;0,(VLOOKUP(A56,DraftTracker!F:AW,6,0)-VLOOKUP(A56,DraftTracker!F:AW,5,0)),0)*0.5,"")</f>
        <v>2</v>
      </c>
    </row>
    <row r="57">
      <c r="A57" t="s">
        <v>228</v>
      </c>
      <c r="B57" t="s">
        <v>479</v>
      </c>
      <c r="C57" s="15" t="s">
        <v>19</v>
      </c>
      <c r="D57">
        <v>56.0</v>
      </c>
      <c r="E57" s="9">
        <f>VLOOKUP(A57,'Current Week'!B:C,2,0)</f>
        <v>6</v>
      </c>
      <c r="F57" s="8">
        <f>iferror(VLOOKUP(A57,DraftTracker!F:AU,3,0)+if((VLOOKUP(A57,DraftTracker!F:AU,4,0)-VLOOKUP(A57,DraftTracker!F:AU,3,0))&gt;0,(VLOOKUP(A57,DraftTracker!F:AU,4,0)-VLOOKUP(A57,DraftTracker!F:AU,3,0)),0)*0.5,"")</f>
        <v>2.5</v>
      </c>
      <c r="G57" s="16">
        <f>iferror(VLOOKUP(A57,DraftTracker!F:AW,5,0)+if((VLOOKUP(A57,DraftTracker!F:AW,6,0)-VLOOKUP(A57,DraftTracker!F:AW,5,0))&gt;0,(VLOOKUP(A57,DraftTracker!F:AW,6,0)-VLOOKUP(A57,DraftTracker!F:AW,5,0)),0)*0.5,"")</f>
        <v>2</v>
      </c>
    </row>
    <row r="58">
      <c r="A58" t="s">
        <v>206</v>
      </c>
      <c r="B58" t="s">
        <v>479</v>
      </c>
      <c r="C58" s="15" t="s">
        <v>21</v>
      </c>
      <c r="D58">
        <v>57.0</v>
      </c>
      <c r="E58" s="9">
        <f>VLOOKUP(A58,'Current Week'!B:C,2,0)</f>
        <v>4</v>
      </c>
      <c r="F58" s="8">
        <f>iferror(VLOOKUP(A58,DraftTracker!F:AU,3,0)+if((VLOOKUP(A58,DraftTracker!F:AU,4,0)-VLOOKUP(A58,DraftTracker!F:AU,3,0))&gt;0,(VLOOKUP(A58,DraftTracker!F:AU,4,0)-VLOOKUP(A58,DraftTracker!F:AU,3,0)),0)*0.5,"")</f>
        <v>1.5</v>
      </c>
      <c r="G58" s="16">
        <f>iferror(VLOOKUP(A58,DraftTracker!F:AW,5,0)+if((VLOOKUP(A58,DraftTracker!F:AW,6,0)-VLOOKUP(A58,DraftTracker!F:AW,5,0))&gt;0,(VLOOKUP(A58,DraftTracker!F:AW,6,0)-VLOOKUP(A58,DraftTracker!F:AW,5,0)),0)*0.5,"")</f>
        <v>2</v>
      </c>
    </row>
    <row r="59">
      <c r="A59" s="15" t="s">
        <v>194</v>
      </c>
      <c r="B59" t="s">
        <v>393</v>
      </c>
      <c r="C59" s="15" t="s">
        <v>25</v>
      </c>
      <c r="D59">
        <v>58.0</v>
      </c>
      <c r="E59" s="9">
        <f>VLOOKUP(A59,'Current Week'!B:C,2,0)</f>
        <v>7</v>
      </c>
      <c r="F59" s="8">
        <f>iferror(VLOOKUP(A59,DraftTracker!F:AU,3,0)+if((VLOOKUP(A59,DraftTracker!F:AU,4,0)-VLOOKUP(A59,DraftTracker!F:AU,3,0))&gt;0,(VLOOKUP(A59,DraftTracker!F:AU,4,0)-VLOOKUP(A59,DraftTracker!F:AU,3,0)),0)*0.5,"")</f>
        <v>2</v>
      </c>
      <c r="G59" s="16">
        <f>iferror(VLOOKUP(A59,DraftTracker!F:AW,5,0)+if((VLOOKUP(A59,DraftTracker!F:AW,6,0)-VLOOKUP(A59,DraftTracker!F:AW,5,0))&gt;0,(VLOOKUP(A59,DraftTracker!F:AW,6,0)-VLOOKUP(A59,DraftTracker!F:AW,5,0)),0)*0.5,"")</f>
        <v>3</v>
      </c>
    </row>
    <row r="60">
      <c r="A60" s="15" t="s">
        <v>141</v>
      </c>
      <c r="B60" t="s">
        <v>479</v>
      </c>
      <c r="C60" s="15" t="s">
        <v>14</v>
      </c>
      <c r="D60">
        <v>59.0</v>
      </c>
      <c r="E60" s="9">
        <f>VLOOKUP(A60,'Current Week'!B:C,2,0)</f>
        <v>5</v>
      </c>
      <c r="F60" s="8">
        <f>iferror(VLOOKUP(A60,DraftTracker!F:AU,3,0)+if((VLOOKUP(A60,DraftTracker!F:AU,4,0)-VLOOKUP(A60,DraftTracker!F:AU,3,0))&gt;0,(VLOOKUP(A60,DraftTracker!F:AU,4,0)-VLOOKUP(A60,DraftTracker!F:AU,3,0)),0)*0.5,"")</f>
        <v>0.5</v>
      </c>
      <c r="G60" s="16">
        <f>iferror(VLOOKUP(A60,DraftTracker!F:AW,5,0)+if((VLOOKUP(A60,DraftTracker!F:AW,6,0)-VLOOKUP(A60,DraftTracker!F:AW,5,0))&gt;0,(VLOOKUP(A60,DraftTracker!F:AW,6,0)-VLOOKUP(A60,DraftTracker!F:AW,5,0)),0)*0.5,"")</f>
        <v>3</v>
      </c>
    </row>
    <row r="61">
      <c r="A61" s="15" t="s">
        <v>136</v>
      </c>
      <c r="B61" t="s">
        <v>393</v>
      </c>
      <c r="C61" s="15" t="s">
        <v>12</v>
      </c>
      <c r="D61">
        <v>60.0</v>
      </c>
      <c r="E61" s="9">
        <f>VLOOKUP(A61,'Current Week'!B:C,2,0)</f>
        <v>8</v>
      </c>
      <c r="F61" s="8">
        <f>iferror(VLOOKUP(A61,DraftTracker!F:AU,3,0)+if((VLOOKUP(A61,DraftTracker!F:AU,4,0)-VLOOKUP(A61,DraftTracker!F:AU,3,0))&gt;0,(VLOOKUP(A61,DraftTracker!F:AU,4,0)-VLOOKUP(A61,DraftTracker!F:AU,3,0)),0)*0.5,"")</f>
        <v>1</v>
      </c>
      <c r="G61" s="16">
        <f>iferror(VLOOKUP(A61,DraftTracker!F:AW,5,0)+if((VLOOKUP(A61,DraftTracker!F:AW,6,0)-VLOOKUP(A61,DraftTracker!F:AW,5,0))&gt;0,(VLOOKUP(A61,DraftTracker!F:AW,6,0)-VLOOKUP(A61,DraftTracker!F:AW,5,0)),0)*0.5,"")</f>
        <v>2</v>
      </c>
    </row>
    <row r="62">
      <c r="A62" s="15" t="s">
        <v>109</v>
      </c>
      <c r="B62" t="s">
        <v>27</v>
      </c>
      <c r="C62" s="15" t="s">
        <v>12</v>
      </c>
      <c r="D62">
        <v>61.0</v>
      </c>
      <c r="E62" s="9">
        <f>VLOOKUP(A62,'Current Week'!B:C,2,0)</f>
        <v>8</v>
      </c>
      <c r="F62" s="8">
        <f>iferror(VLOOKUP(A62,DraftTracker!F:AU,3,0)+if((VLOOKUP(A62,DraftTracker!F:AU,4,0)-VLOOKUP(A62,DraftTracker!F:AU,3,0))&gt;0,(VLOOKUP(A62,DraftTracker!F:AU,4,0)-VLOOKUP(A62,DraftTracker!F:AU,3,0)),0)*0.5,"")</f>
        <v>2.5</v>
      </c>
      <c r="G62" s="16">
        <f>iferror(VLOOKUP(A62,DraftTracker!F:AW,5,0)+if((VLOOKUP(A62,DraftTracker!F:AW,6,0)-VLOOKUP(A62,DraftTracker!F:AW,5,0))&gt;0,(VLOOKUP(A62,DraftTracker!F:AW,6,0)-VLOOKUP(A62,DraftTracker!F:AW,5,0)),0)*0.5,"")</f>
        <v>0.5</v>
      </c>
    </row>
    <row r="63">
      <c r="A63" t="s">
        <v>163</v>
      </c>
      <c r="B63" t="s">
        <v>11</v>
      </c>
      <c r="C63" s="15" t="s">
        <v>14</v>
      </c>
      <c r="D63">
        <v>62.0</v>
      </c>
      <c r="E63" s="9">
        <f>VLOOKUP(A63,'Current Week'!B:C,2,0)</f>
        <v>8</v>
      </c>
      <c r="F63" s="8">
        <f>iferror(VLOOKUP(A63,DraftTracker!F:AU,3,0)+if((VLOOKUP(A63,DraftTracker!F:AU,4,0)-VLOOKUP(A63,DraftTracker!F:AU,3,0))&gt;0,(VLOOKUP(A63,DraftTracker!F:AU,4,0)-VLOOKUP(A63,DraftTracker!F:AU,3,0)),0)*0.5,"")</f>
        <v>1.5</v>
      </c>
      <c r="G63" s="16">
        <f>iferror(VLOOKUP(A63,DraftTracker!F:AW,5,0)+if((VLOOKUP(A63,DraftTracker!F:AW,6,0)-VLOOKUP(A63,DraftTracker!F:AW,5,0))&gt;0,(VLOOKUP(A63,DraftTracker!F:AW,6,0)-VLOOKUP(A63,DraftTracker!F:AW,5,0)),0)*0.5,"")</f>
        <v>1.5</v>
      </c>
    </row>
    <row r="64">
      <c r="A64" s="15" t="s">
        <v>186</v>
      </c>
      <c r="B64" t="s">
        <v>24</v>
      </c>
      <c r="C64" s="15" t="s">
        <v>25</v>
      </c>
      <c r="D64">
        <v>63.0</v>
      </c>
      <c r="E64" s="9">
        <f>VLOOKUP(A64,'Current Week'!B:C,2,0)</f>
        <v>9</v>
      </c>
      <c r="F64" s="8">
        <f>iferror(VLOOKUP(A64,DraftTracker!F:AU,3,0)+if((VLOOKUP(A64,DraftTracker!F:AU,4,0)-VLOOKUP(A64,DraftTracker!F:AU,3,0))&gt;0,(VLOOKUP(A64,DraftTracker!F:AU,4,0)-VLOOKUP(A64,DraftTracker!F:AU,3,0)),0)*0.5,"")</f>
        <v>0.5</v>
      </c>
      <c r="G64" s="16">
        <f>iferror(VLOOKUP(A64,DraftTracker!F:AW,5,0)+if((VLOOKUP(A64,DraftTracker!F:AW,6,0)-VLOOKUP(A64,DraftTracker!F:AW,5,0))&gt;0,(VLOOKUP(A64,DraftTracker!F:AW,6,0)-VLOOKUP(A64,DraftTracker!F:AW,5,0)),0)*0.5,"")</f>
        <v>1.5</v>
      </c>
    </row>
    <row r="65">
      <c r="A65" s="15" t="s">
        <v>213</v>
      </c>
      <c r="B65" t="s">
        <v>11</v>
      </c>
      <c r="C65" s="15" t="s">
        <v>21</v>
      </c>
      <c r="D65">
        <v>64.0</v>
      </c>
      <c r="E65" s="9">
        <f>VLOOKUP(A65,'Current Week'!B:C,2,0)</f>
        <v>8</v>
      </c>
      <c r="F65" s="8">
        <f>iferror(VLOOKUP(A65,DraftTracker!F:AU,3,0)+if((VLOOKUP(A65,DraftTracker!F:AU,4,0)-VLOOKUP(A65,DraftTracker!F:AU,3,0))&gt;0,(VLOOKUP(A65,DraftTracker!F:AU,4,0)-VLOOKUP(A65,DraftTracker!F:AU,3,0)),0)*0.5,"")</f>
        <v>1</v>
      </c>
      <c r="G65" s="16">
        <f>iferror(VLOOKUP(A65,DraftTracker!F:AW,5,0)+if((VLOOKUP(A65,DraftTracker!F:AW,6,0)-VLOOKUP(A65,DraftTracker!F:AW,5,0))&gt;0,(VLOOKUP(A65,DraftTracker!F:AW,6,0)-VLOOKUP(A65,DraftTracker!F:AW,5,0)),0)*0.5,"")</f>
        <v>1</v>
      </c>
    </row>
    <row r="66">
      <c r="A66" s="15" t="s">
        <v>285</v>
      </c>
      <c r="B66" t="s">
        <v>464</v>
      </c>
      <c r="C66" s="15" t="s">
        <v>19</v>
      </c>
      <c r="D66">
        <v>65.0</v>
      </c>
      <c r="E66" s="9">
        <f>VLOOKUP(A66,'Current Week'!B:C,2,0)</f>
        <v>4</v>
      </c>
      <c r="F66" s="8">
        <f>iferror(VLOOKUP(A66,DraftTracker!F:AU,3,0)+if((VLOOKUP(A66,DraftTracker!F:AU,4,0)-VLOOKUP(A66,DraftTracker!F:AU,3,0))&gt;0,(VLOOKUP(A66,DraftTracker!F:AU,4,0)-VLOOKUP(A66,DraftTracker!F:AU,3,0)),0)*0.5,"")</f>
        <v>1.5</v>
      </c>
      <c r="G66" s="16">
        <f>iferror(VLOOKUP(A66,DraftTracker!F:AW,5,0)+if((VLOOKUP(A66,DraftTracker!F:AW,6,0)-VLOOKUP(A66,DraftTracker!F:AW,5,0))&gt;0,(VLOOKUP(A66,DraftTracker!F:AW,6,0)-VLOOKUP(A66,DraftTracker!F:AW,5,0)),0)*0.5,"")</f>
        <v>0</v>
      </c>
    </row>
    <row r="67">
      <c r="A67" s="15" t="s">
        <v>387</v>
      </c>
      <c r="B67" t="s">
        <v>456</v>
      </c>
      <c r="C67" s="15" t="s">
        <v>17</v>
      </c>
      <c r="D67">
        <v>66.0</v>
      </c>
      <c r="E67" s="9">
        <f>VLOOKUP(A67,'Current Week'!B:C,2,0)</f>
        <v>3</v>
      </c>
      <c r="F67" s="8">
        <f>iferror(VLOOKUP(A67,DraftTracker!F:AU,3,0)+if((VLOOKUP(A67,DraftTracker!F:AU,4,0)-VLOOKUP(A67,DraftTracker!F:AU,3,0))&gt;0,(VLOOKUP(A67,DraftTracker!F:AU,4,0)-VLOOKUP(A67,DraftTracker!F:AU,3,0)),0)*0.5,"")</f>
        <v>1</v>
      </c>
      <c r="G67" s="16">
        <f>iferror(VLOOKUP(A67,DraftTracker!F:AW,5,0)+if((VLOOKUP(A67,DraftTracker!F:AW,6,0)-VLOOKUP(A67,DraftTracker!F:AW,5,0))&gt;0,(VLOOKUP(A67,DraftTracker!F:AW,6,0)-VLOOKUP(A67,DraftTracker!F:AW,5,0)),0)*0.5,"")</f>
        <v>0</v>
      </c>
    </row>
    <row r="68">
      <c r="A68" s="15" t="s">
        <v>402</v>
      </c>
      <c r="B68" t="s">
        <v>407</v>
      </c>
      <c r="C68" s="15" t="s">
        <v>22</v>
      </c>
      <c r="D68">
        <v>67.0</v>
      </c>
      <c r="E68" s="9">
        <f>VLOOKUP(A68,'Current Week'!B:C,2,0)</f>
        <v>6</v>
      </c>
      <c r="F68" s="8">
        <f>iferror(VLOOKUP(A68,DraftTracker!F:AU,3,0)+if((VLOOKUP(A68,DraftTracker!F:AU,4,0)-VLOOKUP(A68,DraftTracker!F:AU,3,0))&gt;0,(VLOOKUP(A68,DraftTracker!F:AU,4,0)-VLOOKUP(A68,DraftTracker!F:AU,3,0)),0)*0.5,"")</f>
        <v>2</v>
      </c>
      <c r="G68" s="16">
        <f>iferror(VLOOKUP(A68,DraftTracker!F:AW,5,0)+if((VLOOKUP(A68,DraftTracker!F:AW,6,0)-VLOOKUP(A68,DraftTracker!F:AW,5,0))&gt;0,(VLOOKUP(A68,DraftTracker!F:AW,6,0)-VLOOKUP(A68,DraftTracker!F:AW,5,0)),0)*0.5,"")</f>
        <v>0.5</v>
      </c>
    </row>
    <row r="69">
      <c r="A69" t="s">
        <v>421</v>
      </c>
      <c r="B69" t="s">
        <v>27</v>
      </c>
      <c r="C69" s="15" t="s">
        <v>18</v>
      </c>
      <c r="D69">
        <v>68.0</v>
      </c>
      <c r="E69" s="9">
        <f>VLOOKUP(A69,'Current Week'!B:C,2,0)</f>
        <v>5</v>
      </c>
      <c r="F69" s="8">
        <f>iferror(VLOOKUP(A69,DraftTracker!F:AU,3,0)+if((VLOOKUP(A69,DraftTracker!F:AU,4,0)-VLOOKUP(A69,DraftTracker!F:AU,3,0))&gt;0,(VLOOKUP(A69,DraftTracker!F:AU,4,0)-VLOOKUP(A69,DraftTracker!F:AU,3,0)),0)*0.5,"")</f>
        <v>2.5</v>
      </c>
      <c r="G69" s="16">
        <f>iferror(VLOOKUP(A69,DraftTracker!F:AW,5,0)+if((VLOOKUP(A69,DraftTracker!F:AW,6,0)-VLOOKUP(A69,DraftTracker!F:AW,5,0))&gt;0,(VLOOKUP(A69,DraftTracker!F:AW,6,0)-VLOOKUP(A69,DraftTracker!F:AW,5,0)),0)*0.5,"")</f>
        <v>1</v>
      </c>
    </row>
    <row r="70">
      <c r="A70" s="15" t="s">
        <v>427</v>
      </c>
      <c r="B70" t="s">
        <v>407</v>
      </c>
      <c r="C70" s="15" t="s">
        <v>20</v>
      </c>
      <c r="D70">
        <v>69.0</v>
      </c>
      <c r="E70" s="9">
        <f>VLOOKUP(A70,'Current Week'!B:C,2,0)</f>
        <v>3</v>
      </c>
      <c r="F70" s="8">
        <f>iferror(VLOOKUP(A70,DraftTracker!F:AU,3,0)+if((VLOOKUP(A70,DraftTracker!F:AU,4,0)-VLOOKUP(A70,DraftTracker!F:AU,3,0))&gt;0,(VLOOKUP(A70,DraftTracker!F:AU,4,0)-VLOOKUP(A70,DraftTracker!F:AU,3,0)),0)*0.5,"")</f>
        <v>1.5</v>
      </c>
      <c r="G70" s="16">
        <f>iferror(VLOOKUP(A70,DraftTracker!F:AW,5,0)+if((VLOOKUP(A70,DraftTracker!F:AW,6,0)-VLOOKUP(A70,DraftTracker!F:AW,5,0))&gt;0,(VLOOKUP(A70,DraftTracker!F:AW,6,0)-VLOOKUP(A70,DraftTracker!F:AW,5,0)),0)*0.5,"")</f>
        <v>1.5</v>
      </c>
    </row>
    <row r="71">
      <c r="A71" s="15" t="s">
        <v>438</v>
      </c>
      <c r="B71" t="s">
        <v>27</v>
      </c>
      <c r="C71" s="15" t="s">
        <v>16</v>
      </c>
      <c r="D71">
        <v>70.0</v>
      </c>
      <c r="E71" s="9">
        <f>VLOOKUP(A71,'Current Week'!B:C,2,0)</f>
        <v>7</v>
      </c>
      <c r="F71" s="8">
        <f>iferror(VLOOKUP(A71,DraftTracker!F:AU,3,0)+if((VLOOKUP(A71,DraftTracker!F:AU,4,0)-VLOOKUP(A71,DraftTracker!F:AU,3,0))&gt;0,(VLOOKUP(A71,DraftTracker!F:AU,4,0)-VLOOKUP(A71,DraftTracker!F:AU,3,0)),0)*0.5,"")</f>
        <v>1.5</v>
      </c>
      <c r="G71" s="16">
        <f>iferror(VLOOKUP(A71,DraftTracker!F:AW,5,0)+if((VLOOKUP(A71,DraftTracker!F:AW,6,0)-VLOOKUP(A71,DraftTracker!F:AW,5,0))&gt;0,(VLOOKUP(A71,DraftTracker!F:AW,6,0)-VLOOKUP(A71,DraftTracker!F:AW,5,0)),0)*0.5,"")</f>
        <v>2</v>
      </c>
    </row>
    <row r="72">
      <c r="A72" s="15" t="s">
        <v>441</v>
      </c>
      <c r="B72" t="s">
        <v>464</v>
      </c>
      <c r="C72" s="15" t="s">
        <v>16</v>
      </c>
      <c r="D72">
        <v>71.0</v>
      </c>
      <c r="E72" s="9">
        <f>VLOOKUP(A72,'Current Week'!B:C,2,0)</f>
        <v>4</v>
      </c>
      <c r="F72" s="8">
        <f>iferror(VLOOKUP(A72,DraftTracker!F:AU,3,0)+if((VLOOKUP(A72,DraftTracker!F:AU,4,0)-VLOOKUP(A72,DraftTracker!F:AU,3,0))&gt;0,(VLOOKUP(A72,DraftTracker!F:AU,4,0)-VLOOKUP(A72,DraftTracker!F:AU,3,0)),0)*0.5,"")</f>
        <v>1</v>
      </c>
      <c r="G72" s="16">
        <f>iferror(VLOOKUP(A72,DraftTracker!F:AW,5,0)+if((VLOOKUP(A72,DraftTracker!F:AW,6,0)-VLOOKUP(A72,DraftTracker!F:AW,5,0))&gt;0,(VLOOKUP(A72,DraftTracker!F:AW,6,0)-VLOOKUP(A72,DraftTracker!F:AW,5,0)),0)*0.5,"")</f>
        <v>1</v>
      </c>
    </row>
    <row r="73">
      <c r="A73" s="15" t="s">
        <v>429</v>
      </c>
      <c r="B73" t="s">
        <v>29</v>
      </c>
      <c r="C73" s="15" t="s">
        <v>20</v>
      </c>
      <c r="D73">
        <v>72.0</v>
      </c>
      <c r="E73" s="9">
        <f>VLOOKUP(A73,'Current Week'!B:C,2,0)</f>
        <v>3</v>
      </c>
      <c r="F73" s="8">
        <f>iferror(VLOOKUP(A73,DraftTracker!F:AU,3,0)+if((VLOOKUP(A73,DraftTracker!F:AU,4,0)-VLOOKUP(A73,DraftTracker!F:AU,3,0))&gt;0,(VLOOKUP(A73,DraftTracker!F:AU,4,0)-VLOOKUP(A73,DraftTracker!F:AU,3,0)),0)*0.5,"")</f>
        <v>0</v>
      </c>
      <c r="G73" s="16">
        <f>iferror(VLOOKUP(A73,DraftTracker!F:AW,5,0)+if((VLOOKUP(A73,DraftTracker!F:AW,6,0)-VLOOKUP(A73,DraftTracker!F:AW,5,0))&gt;0,(VLOOKUP(A73,DraftTracker!F:AW,6,0)-VLOOKUP(A73,DraftTracker!F:AW,5,0)),0)*0.5,"")</f>
        <v>1</v>
      </c>
    </row>
    <row r="74">
      <c r="A74" s="15" t="s">
        <v>420</v>
      </c>
      <c r="B74" t="s">
        <v>393</v>
      </c>
      <c r="C74" s="15" t="s">
        <v>18</v>
      </c>
      <c r="D74">
        <v>73.0</v>
      </c>
      <c r="E74" s="9">
        <f>VLOOKUP(A74,'Current Week'!B:C,2,0)</f>
        <v>4</v>
      </c>
      <c r="F74" s="8">
        <f>iferror(VLOOKUP(A74,DraftTracker!F:AU,3,0)+if((VLOOKUP(A74,DraftTracker!F:AU,4,0)-VLOOKUP(A74,DraftTracker!F:AU,3,0))&gt;0,(VLOOKUP(A74,DraftTracker!F:AU,4,0)-VLOOKUP(A74,DraftTracker!F:AU,3,0)),0)*0.5,"")</f>
        <v>1</v>
      </c>
      <c r="G74" s="16">
        <f>iferror(VLOOKUP(A74,DraftTracker!F:AW,5,0)+if((VLOOKUP(A74,DraftTracker!F:AW,6,0)-VLOOKUP(A74,DraftTracker!F:AW,5,0))&gt;0,(VLOOKUP(A74,DraftTracker!F:AW,6,0)-VLOOKUP(A74,DraftTracker!F:AW,5,0)),0)*0.5,"")</f>
        <v>1.5</v>
      </c>
    </row>
    <row r="75">
      <c r="A75" s="15" t="s">
        <v>404</v>
      </c>
      <c r="B75" t="s">
        <v>393</v>
      </c>
      <c r="C75" s="15" t="s">
        <v>22</v>
      </c>
      <c r="D75">
        <v>74.0</v>
      </c>
      <c r="E75" s="9">
        <f>VLOOKUP(A75,'Current Week'!B:C,2,0)</f>
        <v>4</v>
      </c>
      <c r="F75" s="8">
        <f>iferror(VLOOKUP(A75,DraftTracker!F:AU,3,0)+if((VLOOKUP(A75,DraftTracker!F:AU,4,0)-VLOOKUP(A75,DraftTracker!F:AU,3,0))&gt;0,(VLOOKUP(A75,DraftTracker!F:AU,4,0)-VLOOKUP(A75,DraftTracker!F:AU,3,0)),0)*0.5,"")</f>
        <v>0</v>
      </c>
      <c r="G75" s="16">
        <f>iferror(VLOOKUP(A75,DraftTracker!F:AW,5,0)+if((VLOOKUP(A75,DraftTracker!F:AW,6,0)-VLOOKUP(A75,DraftTracker!F:AW,5,0))&gt;0,(VLOOKUP(A75,DraftTracker!F:AW,6,0)-VLOOKUP(A75,DraftTracker!F:AW,5,0)),0)*0.5,"")</f>
        <v>2</v>
      </c>
    </row>
    <row r="76">
      <c r="A76" s="15" t="s">
        <v>390</v>
      </c>
      <c r="B76" t="s">
        <v>479</v>
      </c>
      <c r="C76" s="15" t="s">
        <v>17</v>
      </c>
      <c r="D76">
        <v>75.0</v>
      </c>
      <c r="E76" s="9">
        <f>VLOOKUP(A76,'Current Week'!B:C,2,0)</f>
        <v>2</v>
      </c>
      <c r="F76" s="8">
        <f>iferror(VLOOKUP(A76,DraftTracker!F:AU,3,0)+if((VLOOKUP(A76,DraftTracker!F:AU,4,0)-VLOOKUP(A76,DraftTracker!F:AU,3,0))&gt;0,(VLOOKUP(A76,DraftTracker!F:AU,4,0)-VLOOKUP(A76,DraftTracker!F:AU,3,0)),0)*0.5,"")</f>
        <v>0.5</v>
      </c>
      <c r="G76" s="16">
        <f>iferror(VLOOKUP(A76,DraftTracker!F:AW,5,0)+if((VLOOKUP(A76,DraftTracker!F:AW,6,0)-VLOOKUP(A76,DraftTracker!F:AW,5,0))&gt;0,(VLOOKUP(A76,DraftTracker!F:AW,6,0)-VLOOKUP(A76,DraftTracker!F:AW,5,0)),0)*0.5,"")</f>
        <v>1.5</v>
      </c>
    </row>
    <row r="77">
      <c r="A77" s="15" t="s">
        <v>304</v>
      </c>
      <c r="B77" t="s">
        <v>27</v>
      </c>
      <c r="C77" s="15" t="s">
        <v>19</v>
      </c>
      <c r="D77">
        <v>76.0</v>
      </c>
      <c r="E77" s="9">
        <f>VLOOKUP(A77,'Current Week'!B:C,2,0)</f>
        <v>5</v>
      </c>
      <c r="F77" s="8">
        <f>iferror(VLOOKUP(A77,DraftTracker!F:AU,3,0)+if((VLOOKUP(A77,DraftTracker!F:AU,4,0)-VLOOKUP(A77,DraftTracker!F:AU,3,0))&gt;0,(VLOOKUP(A77,DraftTracker!F:AU,4,0)-VLOOKUP(A77,DraftTracker!F:AU,3,0)),0)*0.5,"")</f>
        <v>1</v>
      </c>
      <c r="G77" s="16">
        <f>iferror(VLOOKUP(A77,DraftTracker!F:AW,5,0)+if((VLOOKUP(A77,DraftTracker!F:AW,6,0)-VLOOKUP(A77,DraftTracker!F:AW,5,0))&gt;0,(VLOOKUP(A77,DraftTracker!F:AW,6,0)-VLOOKUP(A77,DraftTracker!F:AW,5,0)),0)*0.5,"")</f>
        <v>2</v>
      </c>
    </row>
    <row r="78">
      <c r="A78" s="15" t="s">
        <v>203</v>
      </c>
      <c r="B78" s="15" t="s">
        <v>456</v>
      </c>
      <c r="C78" s="15" t="s">
        <v>21</v>
      </c>
      <c r="D78">
        <v>77.0</v>
      </c>
      <c r="E78" s="9">
        <f>VLOOKUP(A78,'Current Week'!B:C,2,0)</f>
        <v>8</v>
      </c>
      <c r="F78" s="8">
        <f>iferror(VLOOKUP(A78,DraftTracker!F:AU,3,0)+if((VLOOKUP(A78,DraftTracker!F:AU,4,0)-VLOOKUP(A78,DraftTracker!F:AU,3,0))&gt;0,(VLOOKUP(A78,DraftTracker!F:AU,4,0)-VLOOKUP(A78,DraftTracker!F:AU,3,0)),0)*0.5,"")</f>
        <v>2</v>
      </c>
      <c r="G78" s="16">
        <f>iferror(VLOOKUP(A78,DraftTracker!F:AW,5,0)+if((VLOOKUP(A78,DraftTracker!F:AW,6,0)-VLOOKUP(A78,DraftTracker!F:AW,5,0))&gt;0,(VLOOKUP(A78,DraftTracker!F:AW,6,0)-VLOOKUP(A78,DraftTracker!F:AW,5,0)),0)*0.5,"")</f>
        <v>0</v>
      </c>
    </row>
    <row r="79">
      <c r="A79" s="15" t="s">
        <v>181</v>
      </c>
      <c r="B79" t="s">
        <v>407</v>
      </c>
      <c r="C79" s="15" t="s">
        <v>25</v>
      </c>
      <c r="D79">
        <v>78.0</v>
      </c>
      <c r="E79" s="9">
        <f>VLOOKUP(A79,'Current Week'!B:C,2,0)</f>
        <v>10</v>
      </c>
      <c r="F79" s="8">
        <f>iferror(VLOOKUP(A79,DraftTracker!F:AU,3,0)+if((VLOOKUP(A79,DraftTracker!F:AU,4,0)-VLOOKUP(A79,DraftTracker!F:AU,3,0))&gt;0,(VLOOKUP(A79,DraftTracker!F:AU,4,0)-VLOOKUP(A79,DraftTracker!F:AU,3,0)),0)*0.5,"")</f>
        <v>1</v>
      </c>
      <c r="G79" s="16">
        <f>iferror(VLOOKUP(A79,DraftTracker!F:AW,5,0)+if((VLOOKUP(A79,DraftTracker!F:AW,6,0)-VLOOKUP(A79,DraftTracker!F:AW,5,0))&gt;0,(VLOOKUP(A79,DraftTracker!F:AW,6,0)-VLOOKUP(A79,DraftTracker!F:AW,5,0)),0)*0.5,"")</f>
        <v>1</v>
      </c>
    </row>
    <row r="80">
      <c r="A80" s="15" t="s">
        <v>155</v>
      </c>
      <c r="B80" t="s">
        <v>413</v>
      </c>
      <c r="C80" s="15" t="s">
        <v>14</v>
      </c>
      <c r="D80">
        <v>79.0</v>
      </c>
      <c r="E80" s="9">
        <f>VLOOKUP(A80,'Current Week'!B:C,2,0)</f>
        <v>3</v>
      </c>
      <c r="F80" s="8">
        <f>iferror(VLOOKUP(A80,DraftTracker!F:AU,3,0)+if((VLOOKUP(A80,DraftTracker!F:AU,4,0)-VLOOKUP(A80,DraftTracker!F:AU,3,0))&gt;0,(VLOOKUP(A80,DraftTracker!F:AU,4,0)-VLOOKUP(A80,DraftTracker!F:AU,3,0)),0)*0.5,"")</f>
        <v>2</v>
      </c>
      <c r="G80" s="16">
        <f>iferror(VLOOKUP(A80,DraftTracker!F:AW,5,0)+if((VLOOKUP(A80,DraftTracker!F:AW,6,0)-VLOOKUP(A80,DraftTracker!F:AW,5,0))&gt;0,(VLOOKUP(A80,DraftTracker!F:AW,6,0)-VLOOKUP(A80,DraftTracker!F:AW,5,0)),0)*0.5,"")</f>
        <v>1</v>
      </c>
    </row>
    <row r="81">
      <c r="A81" s="15" t="s">
        <v>112</v>
      </c>
      <c r="B81" t="s">
        <v>456</v>
      </c>
      <c r="C81" s="15" t="s">
        <v>12</v>
      </c>
      <c r="D81">
        <v>80.0</v>
      </c>
      <c r="E81" s="9">
        <f>VLOOKUP(A81,'Current Week'!B:C,2,0)</f>
        <v>2</v>
      </c>
      <c r="F81" s="8">
        <f>iferror(VLOOKUP(A81,DraftTracker!F:AU,3,0)+if((VLOOKUP(A81,DraftTracker!F:AU,4,0)-VLOOKUP(A81,DraftTracker!F:AU,3,0))&gt;0,(VLOOKUP(A81,DraftTracker!F:AU,4,0)-VLOOKUP(A81,DraftTracker!F:AU,3,0)),0)*0.5,"")</f>
        <v>1.5</v>
      </c>
      <c r="G81" s="16">
        <f>iferror(VLOOKUP(A81,DraftTracker!F:AW,5,0)+if((VLOOKUP(A81,DraftTracker!F:AW,6,0)-VLOOKUP(A81,DraftTracker!F:AW,5,0))&gt;0,(VLOOKUP(A81,DraftTracker!F:AW,6,0)-VLOOKUP(A81,DraftTracker!F:AW,5,0)),0)*0.5,"")</f>
        <v>1</v>
      </c>
    </row>
    <row r="82">
      <c r="A82" s="15" t="s">
        <v>129</v>
      </c>
      <c r="B82" t="s">
        <v>413</v>
      </c>
      <c r="C82" s="15" t="s">
        <v>12</v>
      </c>
      <c r="D82">
        <v>81.0</v>
      </c>
      <c r="E82" s="9">
        <f>VLOOKUP(A82,'Current Week'!B:C,2,0)</f>
        <v>5</v>
      </c>
      <c r="F82" s="8">
        <f>iferror(VLOOKUP(A82,DraftTracker!F:AU,3,0)+if((VLOOKUP(A82,DraftTracker!F:AU,4,0)-VLOOKUP(A82,DraftTracker!F:AU,3,0))&gt;0,(VLOOKUP(A82,DraftTracker!F:AU,4,0)-VLOOKUP(A82,DraftTracker!F:AU,3,0)),0)*0.5,"")</f>
        <v>1</v>
      </c>
      <c r="G82" s="16">
        <f>iferror(VLOOKUP(A82,DraftTracker!F:AW,5,0)+if((VLOOKUP(A82,DraftTracker!F:AW,6,0)-VLOOKUP(A82,DraftTracker!F:AW,5,0))&gt;0,(VLOOKUP(A82,DraftTracker!F:AW,6,0)-VLOOKUP(A82,DraftTracker!F:AW,5,0)),0)*0.5,"")</f>
        <v>2</v>
      </c>
    </row>
    <row r="83">
      <c r="A83" s="15" t="s">
        <v>160</v>
      </c>
      <c r="B83" t="s">
        <v>407</v>
      </c>
      <c r="C83" s="15" t="s">
        <v>14</v>
      </c>
      <c r="D83">
        <v>82.0</v>
      </c>
      <c r="E83" s="9">
        <f>VLOOKUP(A83,'Current Week'!B:C,2,0)</f>
        <v>8</v>
      </c>
      <c r="F83" s="8">
        <f>iferror(VLOOKUP(A83,DraftTracker!F:AU,3,0)+if((VLOOKUP(A83,DraftTracker!F:AU,4,0)-VLOOKUP(A83,DraftTracker!F:AU,3,0))&gt;0,(VLOOKUP(A83,DraftTracker!F:AU,4,0)-VLOOKUP(A83,DraftTracker!F:AU,3,0)),0)*0.5,"")</f>
        <v>0</v>
      </c>
      <c r="G83" s="16">
        <f>iferror(VLOOKUP(A83,DraftTracker!F:AW,5,0)+if((VLOOKUP(A83,DraftTracker!F:AW,6,0)-VLOOKUP(A83,DraftTracker!F:AW,5,0))&gt;0,(VLOOKUP(A83,DraftTracker!F:AW,6,0)-VLOOKUP(A83,DraftTracker!F:AW,5,0)),0)*0.5,"")</f>
        <v>1.5</v>
      </c>
    </row>
    <row r="84">
      <c r="A84" s="15" t="s">
        <v>188</v>
      </c>
      <c r="B84" t="s">
        <v>11</v>
      </c>
      <c r="C84" s="15" t="s">
        <v>25</v>
      </c>
      <c r="D84">
        <v>83.0</v>
      </c>
      <c r="E84" s="9">
        <f>VLOOKUP(A84,'Current Week'!B:C,2,0)</f>
        <v>8</v>
      </c>
      <c r="F84" s="8">
        <f>iferror(VLOOKUP(A84,DraftTracker!F:AU,3,0)+if((VLOOKUP(A84,DraftTracker!F:AU,4,0)-VLOOKUP(A84,DraftTracker!F:AU,3,0))&gt;0,(VLOOKUP(A84,DraftTracker!F:AU,4,0)-VLOOKUP(A84,DraftTracker!F:AU,3,0)),0)*0.5,"")</f>
        <v>2.5</v>
      </c>
      <c r="G84" s="16">
        <f>iferror(VLOOKUP(A84,DraftTracker!F:AW,5,0)+if((VLOOKUP(A84,DraftTracker!F:AW,6,0)-VLOOKUP(A84,DraftTracker!F:AW,5,0))&gt;0,(VLOOKUP(A84,DraftTracker!F:AW,6,0)-VLOOKUP(A84,DraftTracker!F:AW,5,0)),0)*0.5,"")</f>
        <v>0.5</v>
      </c>
    </row>
    <row r="85">
      <c r="A85" s="15" t="s">
        <v>219</v>
      </c>
      <c r="B85" s="15" t="s">
        <v>24</v>
      </c>
      <c r="C85" s="15" t="s">
        <v>21</v>
      </c>
      <c r="D85">
        <v>84.0</v>
      </c>
      <c r="E85" s="9">
        <f>VLOOKUP(A85,'Current Week'!B:C,2,0)</f>
        <v>3</v>
      </c>
      <c r="F85" s="8">
        <f>iferror(VLOOKUP(A85,DraftTracker!F:AU,3,0)+if((VLOOKUP(A85,DraftTracker!F:AU,4,0)-VLOOKUP(A85,DraftTracker!F:AU,3,0))&gt;0,(VLOOKUP(A85,DraftTracker!F:AU,4,0)-VLOOKUP(A85,DraftTracker!F:AU,3,0)),0)*0.5,"")</f>
        <v>2</v>
      </c>
      <c r="G85" s="16">
        <f>iferror(VLOOKUP(A85,DraftTracker!F:AW,5,0)+if((VLOOKUP(A85,DraftTracker!F:AW,6,0)-VLOOKUP(A85,DraftTracker!F:AW,5,0))&gt;0,(VLOOKUP(A85,DraftTracker!F:AW,6,0)-VLOOKUP(A85,DraftTracker!F:AW,5,0)),0)*0.5,"")</f>
        <v>1</v>
      </c>
    </row>
    <row r="86">
      <c r="A86" s="15" t="s">
        <v>245</v>
      </c>
      <c r="B86" t="s">
        <v>11</v>
      </c>
      <c r="C86" s="15" t="s">
        <v>19</v>
      </c>
      <c r="D86">
        <v>85.0</v>
      </c>
      <c r="E86" s="9">
        <f>VLOOKUP(A86,'Current Week'!B:C,2,0)</f>
        <v>6</v>
      </c>
      <c r="F86" s="8">
        <f>iferror(VLOOKUP(A86,DraftTracker!F:AU,3,0)+if((VLOOKUP(A86,DraftTracker!F:AU,4,0)-VLOOKUP(A86,DraftTracker!F:AU,3,0))&gt;0,(VLOOKUP(A86,DraftTracker!F:AU,4,0)-VLOOKUP(A86,DraftTracker!F:AU,3,0)),0)*0.5,"")</f>
        <v>1.5</v>
      </c>
      <c r="G86" s="16">
        <f>iferror(VLOOKUP(A86,DraftTracker!F:AW,5,0)+if((VLOOKUP(A86,DraftTracker!F:AW,6,0)-VLOOKUP(A86,DraftTracker!F:AW,5,0))&gt;0,(VLOOKUP(A86,DraftTracker!F:AW,6,0)-VLOOKUP(A86,DraftTracker!F:AW,5,0)),0)*0.5,"")</f>
        <v>2</v>
      </c>
    </row>
    <row r="87">
      <c r="A87" t="s">
        <v>389</v>
      </c>
      <c r="B87" t="s">
        <v>27</v>
      </c>
      <c r="C87" s="15" t="s">
        <v>17</v>
      </c>
      <c r="D87">
        <v>86.0</v>
      </c>
      <c r="E87" s="9">
        <f>VLOOKUP(A87,'Current Week'!B:C,2,0)</f>
        <v>8</v>
      </c>
      <c r="F87" s="8">
        <f>iferror(VLOOKUP(A87,DraftTracker!F:AU,3,0)+if((VLOOKUP(A87,DraftTracker!F:AU,4,0)-VLOOKUP(A87,DraftTracker!F:AU,3,0))&gt;0,(VLOOKUP(A87,DraftTracker!F:AU,4,0)-VLOOKUP(A87,DraftTracker!F:AU,3,0)),0)*0.5,"")</f>
        <v>1</v>
      </c>
      <c r="G87" s="16">
        <f>iferror(VLOOKUP(A87,DraftTracker!F:AW,5,0)+if((VLOOKUP(A87,DraftTracker!F:AW,6,0)-VLOOKUP(A87,DraftTracker!F:AW,5,0))&gt;0,(VLOOKUP(A87,DraftTracker!F:AW,6,0)-VLOOKUP(A87,DraftTracker!F:AW,5,0)),0)*0.5,"")</f>
        <v>1</v>
      </c>
    </row>
    <row r="88">
      <c r="A88" s="15" t="s">
        <v>405</v>
      </c>
      <c r="B88" t="s">
        <v>464</v>
      </c>
      <c r="C88" s="15" t="s">
        <v>22</v>
      </c>
      <c r="D88">
        <v>87.0</v>
      </c>
      <c r="E88" s="9">
        <f>VLOOKUP(A88,'Current Week'!B:C,2,0)</f>
        <v>3</v>
      </c>
      <c r="F88" s="8">
        <f>iferror(VLOOKUP(A88,DraftTracker!F:AU,3,0)+if((VLOOKUP(A88,DraftTracker!F:AU,4,0)-VLOOKUP(A88,DraftTracker!F:AU,3,0))&gt;0,(VLOOKUP(A88,DraftTracker!F:AU,4,0)-VLOOKUP(A88,DraftTracker!F:AU,3,0)),0)*0.5,"")</f>
        <v>2</v>
      </c>
      <c r="G88" s="16">
        <f>iferror(VLOOKUP(A88,DraftTracker!F:AW,5,0)+if((VLOOKUP(A88,DraftTracker!F:AW,6,0)-VLOOKUP(A88,DraftTracker!F:AW,5,0))&gt;0,(VLOOKUP(A88,DraftTracker!F:AW,6,0)-VLOOKUP(A88,DraftTracker!F:AW,5,0)),0)*0.5,"")</f>
        <v>0.5</v>
      </c>
    </row>
    <row r="89">
      <c r="A89" t="s">
        <v>374</v>
      </c>
      <c r="B89" t="s">
        <v>24</v>
      </c>
      <c r="C89" s="15" t="s">
        <v>18</v>
      </c>
      <c r="D89">
        <v>88.0</v>
      </c>
      <c r="E89" s="9">
        <f>VLOOKUP(A89,'Current Week'!B:C,2,0)</f>
        <v>3</v>
      </c>
      <c r="F89" s="8">
        <f>iferror(VLOOKUP(A89,DraftTracker!F:AU,3,0)+if((VLOOKUP(A89,DraftTracker!F:AU,4,0)-VLOOKUP(A89,DraftTracker!F:AU,3,0))&gt;0,(VLOOKUP(A89,DraftTracker!F:AU,4,0)-VLOOKUP(A89,DraftTracker!F:AU,3,0)),0)*0.5,"")</f>
        <v>1</v>
      </c>
      <c r="G89" s="16">
        <f>iferror(VLOOKUP(A89,DraftTracker!F:AW,5,0)+if((VLOOKUP(A89,DraftTracker!F:AW,6,0)-VLOOKUP(A89,DraftTracker!F:AW,5,0))&gt;0,(VLOOKUP(A89,DraftTracker!F:AW,6,0)-VLOOKUP(A89,DraftTracker!F:AW,5,0)),0)*0.5,"")</f>
        <v>1.5</v>
      </c>
    </row>
    <row r="90">
      <c r="A90" s="15" t="s">
        <v>425</v>
      </c>
      <c r="B90" t="s">
        <v>456</v>
      </c>
      <c r="C90" s="15" t="s">
        <v>20</v>
      </c>
      <c r="D90">
        <v>89.0</v>
      </c>
      <c r="E90" s="9">
        <f>VLOOKUP(A90,'Current Week'!B:C,2,0)</f>
        <v>3</v>
      </c>
      <c r="F90" s="8">
        <f>iferror(VLOOKUP(A90,DraftTracker!F:AU,3,0)+if((VLOOKUP(A90,DraftTracker!F:AU,4,0)-VLOOKUP(A90,DraftTracker!F:AU,3,0))&gt;0,(VLOOKUP(A90,DraftTracker!F:AU,4,0)-VLOOKUP(A90,DraftTracker!F:AU,3,0)),0)*0.5,"")</f>
        <v>1</v>
      </c>
      <c r="G90" s="16">
        <f>iferror(VLOOKUP(A90,DraftTracker!F:AW,5,0)+if((VLOOKUP(A90,DraftTracker!F:AW,6,0)-VLOOKUP(A90,DraftTracker!F:AW,5,0))&gt;0,(VLOOKUP(A90,DraftTracker!F:AW,6,0)-VLOOKUP(A90,DraftTracker!F:AW,5,0)),0)*0.5,"")</f>
        <v>1.5</v>
      </c>
    </row>
    <row r="91">
      <c r="A91" s="15" t="s">
        <v>377</v>
      </c>
      <c r="B91" t="s">
        <v>24</v>
      </c>
      <c r="C91" s="15" t="s">
        <v>16</v>
      </c>
      <c r="D91">
        <v>90.0</v>
      </c>
      <c r="E91" s="9">
        <f>VLOOKUP(A91,'Current Week'!B:C,2,0)</f>
        <v>6</v>
      </c>
      <c r="F91" s="8">
        <f>iferror(VLOOKUP(A91,DraftTracker!F:AU,3,0)+if((VLOOKUP(A91,DraftTracker!F:AU,4,0)-VLOOKUP(A91,DraftTracker!F:AU,3,0))&gt;0,(VLOOKUP(A91,DraftTracker!F:AU,4,0)-VLOOKUP(A91,DraftTracker!F:AU,3,0)),0)*0.5,"")</f>
        <v>0.5</v>
      </c>
      <c r="G91" s="16">
        <f>iferror(VLOOKUP(A91,DraftTracker!F:AW,5,0)+if((VLOOKUP(A91,DraftTracker!F:AW,6,0)-VLOOKUP(A91,DraftTracker!F:AW,5,0))&gt;0,(VLOOKUP(A91,DraftTracker!F:AW,6,0)-VLOOKUP(A91,DraftTracker!F:AW,5,0)),0)*0.5,"")</f>
        <v>2</v>
      </c>
    </row>
    <row r="92">
      <c r="A92" s="15" t="s">
        <v>437</v>
      </c>
      <c r="B92" t="s">
        <v>11</v>
      </c>
      <c r="C92" s="15" t="s">
        <v>16</v>
      </c>
      <c r="D92">
        <v>91.0</v>
      </c>
      <c r="E92" s="9">
        <f>VLOOKUP(A92,'Current Week'!B:C,2,0)</f>
        <v>6</v>
      </c>
      <c r="F92" s="8">
        <f>iferror(VLOOKUP(A92,DraftTracker!F:AU,3,0)+if((VLOOKUP(A92,DraftTracker!F:AU,4,0)-VLOOKUP(A92,DraftTracker!F:AU,3,0))&gt;0,(VLOOKUP(A92,DraftTracker!F:AU,4,0)-VLOOKUP(A92,DraftTracker!F:AU,3,0)),0)*0.5,"")</f>
        <v>0.5</v>
      </c>
      <c r="G92" s="16">
        <f>iferror(VLOOKUP(A92,DraftTracker!F:AW,5,0)+if((VLOOKUP(A92,DraftTracker!F:AW,6,0)-VLOOKUP(A92,DraftTracker!F:AW,5,0))&gt;0,(VLOOKUP(A92,DraftTracker!F:AW,6,0)-VLOOKUP(A92,DraftTracker!F:AW,5,0)),0)*0.5,"")</f>
        <v>2</v>
      </c>
    </row>
    <row r="93">
      <c r="A93" s="15" t="s">
        <v>431</v>
      </c>
      <c r="B93" t="s">
        <v>464</v>
      </c>
      <c r="C93" s="15" t="s">
        <v>20</v>
      </c>
      <c r="D93">
        <v>92.0</v>
      </c>
      <c r="E93" s="9">
        <f>VLOOKUP(A93,'Current Week'!B:C,2,0)</f>
        <v>3</v>
      </c>
      <c r="F93" s="8">
        <f>iferror(VLOOKUP(A93,DraftTracker!F:AU,3,0)+if((VLOOKUP(A93,DraftTracker!F:AU,4,0)-VLOOKUP(A93,DraftTracker!F:AU,3,0))&gt;0,(VLOOKUP(A93,DraftTracker!F:AU,4,0)-VLOOKUP(A93,DraftTracker!F:AU,3,0)),0)*0.5,"")</f>
        <v>2</v>
      </c>
      <c r="G93" s="16">
        <f>iferror(VLOOKUP(A93,DraftTracker!F:AW,5,0)+if((VLOOKUP(A93,DraftTracker!F:AW,6,0)-VLOOKUP(A93,DraftTracker!F:AW,5,0))&gt;0,(VLOOKUP(A93,DraftTracker!F:AW,6,0)-VLOOKUP(A93,DraftTracker!F:AW,5,0)),0)*0.5,"")</f>
        <v>1</v>
      </c>
    </row>
    <row r="94">
      <c r="A94" s="15" t="s">
        <v>414</v>
      </c>
      <c r="B94" t="s">
        <v>479</v>
      </c>
      <c r="C94" s="15" t="s">
        <v>18</v>
      </c>
      <c r="D94">
        <v>93.0</v>
      </c>
      <c r="E94" s="9">
        <f>VLOOKUP(A94,'Current Week'!B:C,2,0)</f>
        <v>4</v>
      </c>
      <c r="F94" s="8">
        <f>iferror(VLOOKUP(A94,DraftTracker!F:AU,3,0)+if((VLOOKUP(A94,DraftTracker!F:AU,4,0)-VLOOKUP(A94,DraftTracker!F:AU,3,0))&gt;0,(VLOOKUP(A94,DraftTracker!F:AU,4,0)-VLOOKUP(A94,DraftTracker!F:AU,3,0)),0)*0.5,"")</f>
        <v>2.5</v>
      </c>
      <c r="G94" s="16">
        <f>iferror(VLOOKUP(A94,DraftTracker!F:AW,5,0)+if((VLOOKUP(A94,DraftTracker!F:AW,6,0)-VLOOKUP(A94,DraftTracker!F:AW,5,0))&gt;0,(VLOOKUP(A94,DraftTracker!F:AW,6,0)-VLOOKUP(A94,DraftTracker!F:AW,5,0)),0)*0.5,"")</f>
        <v>1.5</v>
      </c>
    </row>
    <row r="95">
      <c r="A95" t="s">
        <v>399</v>
      </c>
      <c r="B95" t="s">
        <v>456</v>
      </c>
      <c r="C95" s="15" t="s">
        <v>22</v>
      </c>
      <c r="D95">
        <v>94.0</v>
      </c>
      <c r="E95" s="9">
        <f>VLOOKUP(A95,'Current Week'!B:C,2,0)</f>
        <v>4</v>
      </c>
      <c r="F95" s="8">
        <f>iferror(VLOOKUP(A95,DraftTracker!F:AU,3,0)+if((VLOOKUP(A95,DraftTracker!F:AU,4,0)-VLOOKUP(A95,DraftTracker!F:AU,3,0))&gt;0,(VLOOKUP(A95,DraftTracker!F:AU,4,0)-VLOOKUP(A95,DraftTracker!F:AU,3,0)),0)*0.5,"")</f>
        <v>0</v>
      </c>
      <c r="G95" s="16">
        <f>iferror(VLOOKUP(A95,DraftTracker!F:AW,5,0)+if((VLOOKUP(A95,DraftTracker!F:AW,6,0)-VLOOKUP(A95,DraftTracker!F:AW,5,0))&gt;0,(VLOOKUP(A95,DraftTracker!F:AW,6,0)-VLOOKUP(A95,DraftTracker!F:AW,5,0)),0)*0.5,"")</f>
        <v>1.5</v>
      </c>
    </row>
    <row r="96">
      <c r="A96" t="s">
        <v>394</v>
      </c>
      <c r="B96" t="s">
        <v>464</v>
      </c>
      <c r="C96" s="15" t="s">
        <v>17</v>
      </c>
      <c r="D96">
        <v>95.0</v>
      </c>
      <c r="E96" s="9">
        <f>VLOOKUP(A96,'Current Week'!B:C,2,0)</f>
        <v>9</v>
      </c>
      <c r="F96" s="8">
        <f>iferror(VLOOKUP(A96,DraftTracker!F:AU,3,0)+if((VLOOKUP(A96,DraftTracker!F:AU,4,0)-VLOOKUP(A96,DraftTracker!F:AU,3,0))&gt;0,(VLOOKUP(A96,DraftTracker!F:AU,4,0)-VLOOKUP(A96,DraftTracker!F:AU,3,0)),0)*0.5,"")</f>
        <v>1</v>
      </c>
      <c r="G96" s="16">
        <f>iferror(VLOOKUP(A96,DraftTracker!F:AW,5,0)+if((VLOOKUP(A96,DraftTracker!F:AW,6,0)-VLOOKUP(A96,DraftTracker!F:AW,5,0))&gt;0,(VLOOKUP(A96,DraftTracker!F:AW,6,0)-VLOOKUP(A96,DraftTracker!F:AW,5,0)),0)*0.5,"")</f>
        <v>2</v>
      </c>
    </row>
    <row r="97">
      <c r="A97" s="15" t="s">
        <v>232</v>
      </c>
      <c r="B97" t="s">
        <v>29</v>
      </c>
      <c r="C97" s="15" t="s">
        <v>19</v>
      </c>
      <c r="D97">
        <v>96.0</v>
      </c>
      <c r="E97" s="9">
        <f>VLOOKUP(A97,'Current Week'!B:C,2,0)</f>
        <v>2</v>
      </c>
      <c r="F97" s="8">
        <f>iferror(VLOOKUP(A97,DraftTracker!F:AU,3,0)+if((VLOOKUP(A97,DraftTracker!F:AU,4,0)-VLOOKUP(A97,DraftTracker!F:AU,3,0))&gt;0,(VLOOKUP(A97,DraftTracker!F:AU,4,0)-VLOOKUP(A97,DraftTracker!F:AU,3,0)),0)*0.5,"")</f>
        <v>0</v>
      </c>
      <c r="G97" s="16">
        <f>iferror(VLOOKUP(A97,DraftTracker!F:AW,5,0)+if((VLOOKUP(A97,DraftTracker!F:AW,6,0)-VLOOKUP(A97,DraftTracker!F:AW,5,0))&gt;0,(VLOOKUP(A97,DraftTracker!F:AW,6,0)-VLOOKUP(A97,DraftTracker!F:AW,5,0)),0)*0.5,"")</f>
        <v>0</v>
      </c>
    </row>
    <row r="98">
      <c r="A98" s="15" t="s">
        <v>217</v>
      </c>
      <c r="B98" t="s">
        <v>393</v>
      </c>
      <c r="C98" s="15" t="s">
        <v>21</v>
      </c>
      <c r="D98">
        <v>97.0</v>
      </c>
      <c r="E98" s="9">
        <f>VLOOKUP(A98,'Current Week'!B:C,2,0)</f>
        <v>1</v>
      </c>
      <c r="F98" s="8">
        <f>iferror(VLOOKUP(A98,DraftTracker!F:AU,3,0)+if((VLOOKUP(A98,DraftTracker!F:AU,4,0)-VLOOKUP(A98,DraftTracker!F:AU,3,0))&gt;0,(VLOOKUP(A98,DraftTracker!F:AU,4,0)-VLOOKUP(A98,DraftTracker!F:AU,3,0)),0)*0.5,"")</f>
        <v>1.5</v>
      </c>
      <c r="G98" s="16">
        <f>iferror(VLOOKUP(A98,DraftTracker!F:AW,5,0)+if((VLOOKUP(A98,DraftTracker!F:AW,6,0)-VLOOKUP(A98,DraftTracker!F:AW,5,0))&gt;0,(VLOOKUP(A98,DraftTracker!F:AW,6,0)-VLOOKUP(A98,DraftTracker!F:AW,5,0)),0)*0.5,"")</f>
        <v>1</v>
      </c>
    </row>
    <row r="99">
      <c r="A99" s="15" t="s">
        <v>191</v>
      </c>
      <c r="B99" t="s">
        <v>413</v>
      </c>
      <c r="C99" s="15" t="s">
        <v>25</v>
      </c>
      <c r="D99">
        <v>98.0</v>
      </c>
      <c r="E99" s="9">
        <f>VLOOKUP(A99,'Current Week'!B:C,2,0)</f>
        <v>5</v>
      </c>
      <c r="F99" s="8">
        <f>iferror(VLOOKUP(A99,DraftTracker!F:AU,3,0)+if((VLOOKUP(A99,DraftTracker!F:AU,4,0)-VLOOKUP(A99,DraftTracker!F:AU,3,0))&gt;0,(VLOOKUP(A99,DraftTracker!F:AU,4,0)-VLOOKUP(A99,DraftTracker!F:AU,3,0)),0)*0.5,"")</f>
        <v>1.5</v>
      </c>
      <c r="G99" s="16">
        <f>iferror(VLOOKUP(A99,DraftTracker!F:AW,5,0)+if((VLOOKUP(A99,DraftTracker!F:AW,6,0)-VLOOKUP(A99,DraftTracker!F:AW,5,0))&gt;0,(VLOOKUP(A99,DraftTracker!F:AW,6,0)-VLOOKUP(A99,DraftTracker!F:AW,5,0)),0)*0.5,"")</f>
        <v>0.5</v>
      </c>
    </row>
    <row r="100">
      <c r="A100" s="15" t="s">
        <v>157</v>
      </c>
      <c r="B100" t="s">
        <v>27</v>
      </c>
      <c r="C100" s="15" t="s">
        <v>14</v>
      </c>
      <c r="D100">
        <v>99.0</v>
      </c>
      <c r="E100" s="9">
        <f>VLOOKUP(A100,'Current Week'!B:C,2,0)</f>
        <v>8</v>
      </c>
      <c r="F100" s="8">
        <f>iferror(VLOOKUP(A100,DraftTracker!F:AU,3,0)+if((VLOOKUP(A100,DraftTracker!F:AU,4,0)-VLOOKUP(A100,DraftTracker!F:AU,3,0))&gt;0,(VLOOKUP(A100,DraftTracker!F:AU,4,0)-VLOOKUP(A100,DraftTracker!F:AU,3,0)),0)*0.5,"")</f>
        <v>3</v>
      </c>
      <c r="G100" s="16">
        <f>iferror(VLOOKUP(A100,DraftTracker!F:AW,5,0)+if((VLOOKUP(A100,DraftTracker!F:AW,6,0)-VLOOKUP(A100,DraftTracker!F:AW,5,0))&gt;0,(VLOOKUP(A100,DraftTracker!F:AW,6,0)-VLOOKUP(A100,DraftTracker!F:AW,5,0)),0)*0.5,"")</f>
        <v>0.5</v>
      </c>
    </row>
    <row r="101">
      <c r="A101" s="15" t="s">
        <v>120</v>
      </c>
      <c r="B101" t="s">
        <v>479</v>
      </c>
      <c r="C101" s="15" t="s">
        <v>12</v>
      </c>
      <c r="D101">
        <v>100.0</v>
      </c>
      <c r="E101" s="9">
        <f>VLOOKUP(A101,'Current Week'!B:C,2,0)</f>
        <v>3</v>
      </c>
      <c r="F101" s="8">
        <f>iferror(VLOOKUP(A101,DraftTracker!F:AU,3,0)+if((VLOOKUP(A101,DraftTracker!F:AU,4,0)-VLOOKUP(A101,DraftTracker!F:AU,3,0))&gt;0,(VLOOKUP(A101,DraftTracker!F:AU,4,0)-VLOOKUP(A101,DraftTracker!F:AU,3,0)),0)*0.5,"")</f>
        <v>2</v>
      </c>
      <c r="G101" s="16">
        <f>iferror(VLOOKUP(A101,DraftTracker!F:AW,5,0)+if((VLOOKUP(A101,DraftTracker!F:AW,6,0)-VLOOKUP(A101,DraftTracker!F:AW,5,0))&gt;0,(VLOOKUP(A101,DraftTracker!F:AW,6,0)-VLOOKUP(A101,DraftTracker!F:AW,5,0)),0)*0.5,"")</f>
        <v>1.5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8761D"/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7.38"/>
    <col customWidth="1" min="2" max="2" width="15.38"/>
    <col customWidth="1" min="3" max="3" width="3.88"/>
    <col customWidth="1" min="4" max="5" width="9.63"/>
    <col customWidth="1" min="6" max="6" width="38.5"/>
    <col customWidth="1" min="7" max="7" width="20.38"/>
    <col customWidth="1" min="8" max="10" width="9.63"/>
    <col customWidth="1" hidden="1" min="11" max="11" width="9.63"/>
    <col customWidth="1" min="12" max="12" width="9.63"/>
  </cols>
  <sheetData>
    <row r="1">
      <c r="A1" s="34" t="s">
        <v>4</v>
      </c>
      <c r="B1" s="35" t="s">
        <v>1</v>
      </c>
      <c r="C1" s="36" t="s">
        <v>88</v>
      </c>
      <c r="D1" s="38" t="s">
        <v>91</v>
      </c>
      <c r="E1" s="38" t="s">
        <v>92</v>
      </c>
      <c r="F1" s="39" t="s">
        <v>93</v>
      </c>
      <c r="G1" s="39" t="s">
        <v>94</v>
      </c>
      <c r="H1" s="39" t="s">
        <v>95</v>
      </c>
      <c r="I1" s="39" t="s">
        <v>96</v>
      </c>
      <c r="J1" s="39" t="s">
        <v>97</v>
      </c>
      <c r="K1" s="40" t="s">
        <v>98</v>
      </c>
      <c r="L1" s="40"/>
    </row>
    <row r="2">
      <c r="A2" s="41" t="s">
        <v>12</v>
      </c>
      <c r="B2" s="42" t="s">
        <v>100</v>
      </c>
      <c r="C2" s="43">
        <v>6.0</v>
      </c>
      <c r="D2" s="44">
        <f>IFERROR(__xludf.DUMMYFUNCTION("index(split(FILTER(Sheet34!B:B,arrayformula(not(iserror(find(B2,Sheet34!A:A)))),arrayformula(value(iferror(REGEXEXTRACT(Sheet34!E:E,""(\d{1,2})-""),99))=value(C2))),""-""),1,2)"),5.0)</f>
        <v>5</v>
      </c>
      <c r="E2" s="44" t="s">
        <v>105</v>
      </c>
      <c r="F2" s="44" t="s">
        <v>106</v>
      </c>
      <c r="G2" s="45"/>
      <c r="H2" s="46">
        <v>1.0</v>
      </c>
      <c r="I2" s="46" t="s">
        <v>108</v>
      </c>
      <c r="J2" s="44"/>
      <c r="K2" s="44">
        <v>9999.0</v>
      </c>
      <c r="L2" s="44"/>
    </row>
    <row r="3">
      <c r="A3" s="41" t="s">
        <v>12</v>
      </c>
      <c r="B3" s="42" t="s">
        <v>109</v>
      </c>
      <c r="C3" s="43">
        <v>8.0</v>
      </c>
      <c r="D3" s="44">
        <v>4.0</v>
      </c>
      <c r="E3" s="44" t="s">
        <v>110</v>
      </c>
      <c r="F3" s="44" t="s">
        <v>106</v>
      </c>
      <c r="G3" s="45"/>
      <c r="H3" s="46" t="s">
        <v>111</v>
      </c>
      <c r="I3" s="46" t="s">
        <v>108</v>
      </c>
      <c r="J3" s="44"/>
      <c r="K3" s="44">
        <v>9999.0</v>
      </c>
      <c r="L3" s="44"/>
    </row>
    <row r="4">
      <c r="A4" s="41" t="s">
        <v>12</v>
      </c>
      <c r="B4" s="42" t="s">
        <v>112</v>
      </c>
      <c r="C4" s="43">
        <v>2.0</v>
      </c>
      <c r="D4" s="44">
        <f>IFERROR(__xludf.DUMMYFUNCTION("index(split(FILTER(Sheet34!B:B,arrayformula(not(iserror(find(B4,Sheet34!A:A)))),arrayformula(value(iferror(REGEXEXTRACT(Sheet34!E:E,""(\d{1,2})-""),99))=value(C4))),""-""),1,2)"),8.0)</f>
        <v>8</v>
      </c>
      <c r="E4" s="44" t="s">
        <v>114</v>
      </c>
      <c r="F4" s="44" t="s">
        <v>106</v>
      </c>
      <c r="G4" s="45"/>
      <c r="H4" s="46" t="s">
        <v>115</v>
      </c>
      <c r="I4" s="46" t="s">
        <v>115</v>
      </c>
      <c r="J4" s="44"/>
      <c r="K4" s="44">
        <v>9999.0</v>
      </c>
      <c r="L4" s="44"/>
    </row>
    <row r="5">
      <c r="A5" s="41" t="s">
        <v>12</v>
      </c>
      <c r="B5" s="47" t="s">
        <v>10</v>
      </c>
      <c r="C5" s="43">
        <v>11.0</v>
      </c>
      <c r="D5" s="44">
        <v>1.0</v>
      </c>
      <c r="E5" s="44" t="s">
        <v>11</v>
      </c>
      <c r="F5" s="44" t="s">
        <v>106</v>
      </c>
      <c r="G5" s="45"/>
      <c r="H5" s="46" t="s">
        <v>118</v>
      </c>
      <c r="I5" s="46" t="s">
        <v>108</v>
      </c>
      <c r="J5" s="44"/>
      <c r="K5" s="44">
        <v>9999.0</v>
      </c>
      <c r="L5" s="44"/>
    </row>
    <row r="6">
      <c r="A6" s="41" t="s">
        <v>12</v>
      </c>
      <c r="B6" s="42" t="s">
        <v>120</v>
      </c>
      <c r="C6" s="43">
        <v>3.0</v>
      </c>
      <c r="D6" s="44">
        <f>IFERROR(__xludf.DUMMYFUNCTION("index(split(FILTER(Sheet34!B:B,arrayformula(not(iserror(find(B6,Sheet34!A:A)))),arrayformula(value(iferror(REGEXEXTRACT(Sheet34!E:E,""(\d{1,2})-""),99))=value(C6))),""-""),1,2)"),6.0)</f>
        <v>6</v>
      </c>
      <c r="E6" s="44" t="s">
        <v>121</v>
      </c>
      <c r="F6" s="44" t="s">
        <v>106</v>
      </c>
      <c r="G6" s="45"/>
      <c r="H6" s="46" t="s">
        <v>115</v>
      </c>
      <c r="I6" s="46" t="s">
        <v>115</v>
      </c>
      <c r="J6" s="44"/>
      <c r="K6" s="44">
        <v>9999.0</v>
      </c>
      <c r="L6" s="44"/>
    </row>
    <row r="7">
      <c r="A7" s="41" t="s">
        <v>12</v>
      </c>
      <c r="B7" s="42" t="s">
        <v>123</v>
      </c>
      <c r="C7" s="43">
        <v>8.0</v>
      </c>
      <c r="D7" s="44">
        <f>IFERROR(__xludf.DUMMYFUNCTION("index(split(FILTER(Sheet34!B:B,arrayformula(not(iserror(find(B7,Sheet34!A:A)))),arrayformula(value(iferror(REGEXEXTRACT(Sheet34!E:E,""(\d{1,2})-""),99))=value(C7))),""-""),1,2)"),3.0)</f>
        <v>3</v>
      </c>
      <c r="E7" s="44" t="s">
        <v>124</v>
      </c>
      <c r="F7" s="44" t="s">
        <v>106</v>
      </c>
      <c r="G7" s="45"/>
      <c r="H7" s="46" t="s">
        <v>125</v>
      </c>
      <c r="I7" s="46" t="s">
        <v>108</v>
      </c>
      <c r="J7" s="44"/>
      <c r="K7" s="44">
        <v>9999.0</v>
      </c>
      <c r="L7" s="44"/>
    </row>
    <row r="8">
      <c r="A8" s="41" t="s">
        <v>12</v>
      </c>
      <c r="B8" s="42" t="s">
        <v>127</v>
      </c>
      <c r="C8" s="43">
        <v>4.0</v>
      </c>
      <c r="D8" s="44">
        <f>IFERROR(__xludf.DUMMYFUNCTION("index(split(FILTER(Sheet34!B:B,arrayformula(not(iserror(find(B8,Sheet34!A:A)))),arrayformula(value(iferror(REGEXEXTRACT(Sheet34!E:E,""(\d{1,2})-""),99))=value(C8))),""-""),1,2)"),7.0)</f>
        <v>7</v>
      </c>
      <c r="E8" s="44" t="s">
        <v>124</v>
      </c>
      <c r="F8" s="44" t="s">
        <v>106</v>
      </c>
      <c r="G8" s="45"/>
      <c r="H8" s="46" t="s">
        <v>115</v>
      </c>
      <c r="I8" s="46" t="s">
        <v>115</v>
      </c>
      <c r="J8" s="44"/>
      <c r="K8" s="44">
        <v>9999.0</v>
      </c>
      <c r="L8" s="44"/>
    </row>
    <row r="9">
      <c r="A9" s="41" t="s">
        <v>12</v>
      </c>
      <c r="B9" s="42" t="s">
        <v>129</v>
      </c>
      <c r="C9" s="43">
        <v>5.0</v>
      </c>
      <c r="D9" s="44">
        <f>IFERROR(__xludf.DUMMYFUNCTION("index(split(FILTER(Sheet34!B:B,arrayformula(not(iserror(find(B9,Sheet34!A:A)))),arrayformula(value(iferror(REGEXEXTRACT(Sheet34!E:E,""(\d{1,2})-""),99))=value(C9))),""-""),1,2)"),7.0)</f>
        <v>7</v>
      </c>
      <c r="E9" s="44" t="s">
        <v>130</v>
      </c>
      <c r="F9" s="44" t="s">
        <v>106</v>
      </c>
      <c r="G9" s="45"/>
      <c r="H9" s="46" t="s">
        <v>115</v>
      </c>
      <c r="I9" s="46" t="s">
        <v>115</v>
      </c>
      <c r="J9" s="44"/>
      <c r="K9" s="44">
        <v>9999.0</v>
      </c>
      <c r="L9" s="44"/>
    </row>
    <row r="10">
      <c r="A10" s="41" t="s">
        <v>12</v>
      </c>
      <c r="B10" s="42" t="s">
        <v>133</v>
      </c>
      <c r="C10" s="43">
        <v>3.0</v>
      </c>
      <c r="D10" s="44">
        <f>IFERROR(__xludf.DUMMYFUNCTION("index(split(FILTER(Sheet34!B:B,arrayformula(not(iserror(find(B10,Sheet34!A:A)))),arrayformula(value(iferror(REGEXEXTRACT(Sheet34!E:E,""(\d{1,2})-""),99))=value(C10))),""-""),1,2)"),6.0)</f>
        <v>6</v>
      </c>
      <c r="E10" s="44" t="s">
        <v>135</v>
      </c>
      <c r="F10" s="44" t="s">
        <v>106</v>
      </c>
      <c r="G10" s="45"/>
      <c r="H10" s="46" t="s">
        <v>115</v>
      </c>
      <c r="I10" s="46" t="s">
        <v>115</v>
      </c>
      <c r="J10" s="44"/>
      <c r="K10" s="44">
        <v>9999.0</v>
      </c>
      <c r="L10" s="44"/>
    </row>
    <row r="11">
      <c r="A11" s="41" t="s">
        <v>12</v>
      </c>
      <c r="B11" s="42" t="s">
        <v>136</v>
      </c>
      <c r="C11" s="43">
        <v>8.0</v>
      </c>
      <c r="D11" s="44">
        <v>4.0</v>
      </c>
      <c r="E11" s="44" t="s">
        <v>137</v>
      </c>
      <c r="F11" s="44" t="s">
        <v>106</v>
      </c>
      <c r="G11" s="45"/>
      <c r="H11" s="46">
        <v>-7.0</v>
      </c>
      <c r="I11" s="46" t="s">
        <v>108</v>
      </c>
      <c r="J11" s="44"/>
      <c r="K11" s="44">
        <v>9999.0</v>
      </c>
      <c r="L11" s="44"/>
    </row>
    <row r="12">
      <c r="A12" s="34" t="s">
        <v>4</v>
      </c>
      <c r="B12" s="35" t="s">
        <v>1</v>
      </c>
      <c r="C12" s="36" t="s">
        <v>88</v>
      </c>
      <c r="D12" s="38"/>
      <c r="E12" s="38" t="s">
        <v>92</v>
      </c>
      <c r="F12" s="39" t="s">
        <v>93</v>
      </c>
      <c r="G12" s="39" t="s">
        <v>94</v>
      </c>
      <c r="H12" s="39" t="s">
        <v>95</v>
      </c>
      <c r="I12" s="39" t="s">
        <v>96</v>
      </c>
      <c r="J12" s="39" t="s">
        <v>97</v>
      </c>
      <c r="K12" s="40" t="s">
        <v>98</v>
      </c>
      <c r="L12" s="40"/>
    </row>
    <row r="13">
      <c r="A13" s="41" t="s">
        <v>14</v>
      </c>
      <c r="B13" s="42" t="s">
        <v>139</v>
      </c>
      <c r="C13" s="43">
        <v>9.0</v>
      </c>
      <c r="D13" s="44">
        <v>3.0</v>
      </c>
      <c r="E13" s="44" t="s">
        <v>11</v>
      </c>
      <c r="F13" s="44" t="s">
        <v>106</v>
      </c>
      <c r="G13" s="45"/>
      <c r="H13" s="46" t="s">
        <v>118</v>
      </c>
      <c r="I13" s="46" t="s">
        <v>108</v>
      </c>
      <c r="J13" s="44"/>
      <c r="K13" s="44">
        <v>9999.0</v>
      </c>
      <c r="L13" s="44"/>
    </row>
    <row r="14">
      <c r="A14" s="41" t="s">
        <v>14</v>
      </c>
      <c r="B14" s="42" t="s">
        <v>141</v>
      </c>
      <c r="C14" s="43">
        <v>5.0</v>
      </c>
      <c r="D14" s="44">
        <f>IFERROR(__xludf.DUMMYFUNCTION("index(split(FILTER(Sheet34!B:B,arrayformula(not(iserror(find(B14,Sheet34!A:A)))),arrayformula(value(iferror(REGEXEXTRACT(Sheet34!E:E,""(\d{1,2})-""),99))=value(C14))),""-""),1,2)"),5.0)</f>
        <v>5</v>
      </c>
      <c r="E14" s="44" t="s">
        <v>124</v>
      </c>
      <c r="F14" s="44" t="s">
        <v>106</v>
      </c>
      <c r="G14" s="45"/>
      <c r="H14" s="46" t="s">
        <v>115</v>
      </c>
      <c r="I14" s="46" t="s">
        <v>115</v>
      </c>
      <c r="J14" s="44"/>
      <c r="K14" s="44">
        <v>9999.0</v>
      </c>
      <c r="L14" s="44"/>
    </row>
    <row r="15">
      <c r="A15" s="41" t="s">
        <v>14</v>
      </c>
      <c r="B15" s="42" t="s">
        <v>23</v>
      </c>
      <c r="C15" s="43">
        <v>9.0</v>
      </c>
      <c r="D15" s="44">
        <f>IFERROR(__xludf.DUMMYFUNCTION("index(split(FILTER(Sheet34!B:B,arrayformula(not(iserror(find(B15,Sheet34!A:A)))),arrayformula(value(iferror(REGEXEXTRACT(Sheet34!E:E,""(\d{1,2})-""),99))=value(C15))),""-""),1,2)"),3.0)</f>
        <v>3</v>
      </c>
      <c r="E15" s="44" t="s">
        <v>143</v>
      </c>
      <c r="F15" s="44" t="s">
        <v>106</v>
      </c>
      <c r="G15" s="45"/>
      <c r="H15" s="46">
        <v>3.0</v>
      </c>
      <c r="I15" s="46" t="s">
        <v>108</v>
      </c>
      <c r="J15" s="44"/>
      <c r="K15" s="44">
        <v>9999.0</v>
      </c>
      <c r="L15" s="44"/>
    </row>
    <row r="16">
      <c r="A16" s="41" t="s">
        <v>14</v>
      </c>
      <c r="B16" s="47" t="s">
        <v>144</v>
      </c>
      <c r="C16" s="43">
        <v>9.0</v>
      </c>
      <c r="D16" s="48">
        <f>IFERROR(__xludf.DUMMYFUNCTION("iferror(index(split(FILTER(Sheet34!B:B,arrayformula(not(iserror(find(B16,Sheet34!A:A)))),arrayformula(value(iferror(REGEXEXTRACT(Sheet34!E:E,""(\d{1,2})-""),99))=value(C16))),""-""),1,2),12-C16)"),3.0)</f>
        <v>3</v>
      </c>
      <c r="E16" s="44" t="s">
        <v>148</v>
      </c>
      <c r="F16" s="44" t="s">
        <v>106</v>
      </c>
      <c r="G16" s="45"/>
      <c r="H16" s="46" t="s">
        <v>149</v>
      </c>
      <c r="I16" s="46" t="s">
        <v>108</v>
      </c>
      <c r="J16" s="44"/>
      <c r="K16" s="44">
        <v>9999.0</v>
      </c>
      <c r="L16" s="44"/>
    </row>
    <row r="17">
      <c r="A17" s="41" t="s">
        <v>14</v>
      </c>
      <c r="B17" s="42" t="s">
        <v>150</v>
      </c>
      <c r="C17" s="43">
        <v>5.0</v>
      </c>
      <c r="D17" s="44">
        <f>IFERROR(__xludf.DUMMYFUNCTION("iferror(index(split(FILTER(Sheet34!B:B,arrayformula(not(iserror(find(B17,Sheet34!A:A)))),arrayformula(value(iferror(REGEXEXTRACT(Sheet34!E:E,""(\d{1,2})-""),99))=value(C17))),""-""),1,2),12-C17)"),6.0)</f>
        <v>6</v>
      </c>
      <c r="E17" s="44" t="s">
        <v>152</v>
      </c>
      <c r="F17" s="44" t="s">
        <v>106</v>
      </c>
      <c r="G17" s="45"/>
      <c r="H17" s="46" t="s">
        <v>115</v>
      </c>
      <c r="I17" s="46" t="s">
        <v>115</v>
      </c>
      <c r="J17" s="44"/>
      <c r="K17" s="44">
        <v>9999.0</v>
      </c>
      <c r="L17" s="44"/>
    </row>
    <row r="18">
      <c r="A18" s="41" t="s">
        <v>14</v>
      </c>
      <c r="B18" s="42" t="s">
        <v>155</v>
      </c>
      <c r="C18" s="43">
        <v>3.0</v>
      </c>
      <c r="D18" s="44">
        <f>IFERROR(__xludf.DUMMYFUNCTION("iferror(index(split(FILTER(Sheet34!B:B,arrayformula(not(iserror(find(B18,Sheet34!A:A)))),arrayformula(value(iferror(REGEXEXTRACT(Sheet34!E:E,""(\d{1,2})-""),99))=value(C18))),""-""),1,2),12-C18)"),8.0)</f>
        <v>8</v>
      </c>
      <c r="E18" s="44" t="s">
        <v>156</v>
      </c>
      <c r="F18" s="44" t="s">
        <v>106</v>
      </c>
      <c r="G18" s="45"/>
      <c r="H18" s="46" t="s">
        <v>115</v>
      </c>
      <c r="I18" s="46" t="s">
        <v>115</v>
      </c>
      <c r="J18" s="44"/>
      <c r="K18" s="44">
        <v>9999.0</v>
      </c>
      <c r="L18" s="44"/>
    </row>
    <row r="19">
      <c r="A19" s="41" t="s">
        <v>14</v>
      </c>
      <c r="B19" s="42" t="s">
        <v>157</v>
      </c>
      <c r="C19" s="43">
        <v>8.0</v>
      </c>
      <c r="D19" s="44">
        <f>IFERROR(__xludf.DUMMYFUNCTION("iferror(index(split(FILTER(Sheet34!B:B,arrayformula(not(iserror(find(B19,Sheet34!A:A)))),arrayformula(value(iferror(REGEXEXTRACT(Sheet34!E:E,""(\d{1,2})-""),99))=value(C19))),""-""),1,2),12-C19)"),3.0)</f>
        <v>3</v>
      </c>
      <c r="E19" s="44" t="s">
        <v>27</v>
      </c>
      <c r="F19" s="44" t="s">
        <v>106</v>
      </c>
      <c r="G19" s="45"/>
      <c r="H19" s="46" t="s">
        <v>159</v>
      </c>
      <c r="I19" s="46" t="s">
        <v>108</v>
      </c>
      <c r="J19" s="44"/>
      <c r="K19" s="44">
        <v>9999.0</v>
      </c>
      <c r="L19" s="44"/>
    </row>
    <row r="20">
      <c r="A20" s="41" t="s">
        <v>14</v>
      </c>
      <c r="B20" s="42" t="s">
        <v>160</v>
      </c>
      <c r="C20" s="43">
        <v>8.0</v>
      </c>
      <c r="D20" s="48">
        <f>IFERROR(__xludf.DUMMYFUNCTION("iferror(index(split(FILTER(Sheet34!B:B,arrayformula(not(iserror(find(B20,Sheet34!A:A)))),arrayformula(value(iferror(REGEXEXTRACT(Sheet34!E:E,""(\d{1,2})-""),99))=value(C20))),""-""),1,2),12-C20)"),4.0)</f>
        <v>4</v>
      </c>
      <c r="E20" s="44" t="s">
        <v>161</v>
      </c>
      <c r="F20" s="44" t="s">
        <v>106</v>
      </c>
      <c r="G20" s="45"/>
      <c r="H20" s="46" t="s">
        <v>162</v>
      </c>
      <c r="I20" s="46" t="s">
        <v>108</v>
      </c>
      <c r="J20" s="44"/>
      <c r="K20" s="44">
        <v>9999.0</v>
      </c>
      <c r="L20" s="44"/>
    </row>
    <row r="21">
      <c r="A21" s="41" t="s">
        <v>14</v>
      </c>
      <c r="B21" s="42" t="s">
        <v>163</v>
      </c>
      <c r="C21" s="43">
        <v>8.0</v>
      </c>
      <c r="D21" s="48">
        <f>IFERROR(__xludf.DUMMYFUNCTION("iferror(index(split(FILTER(Sheet34!B:B,arrayformula(not(iserror(find(B21,Sheet34!A:A)))),arrayformula(value(iferror(REGEXEXTRACT(Sheet34!E:E,""(\d{1,2})-""),99))=value(C21))),""-""),1,2),12-C21)"),4.0)</f>
        <v>4</v>
      </c>
      <c r="E21" s="44" t="s">
        <v>165</v>
      </c>
      <c r="F21" s="44" t="s">
        <v>106</v>
      </c>
      <c r="G21" s="45"/>
      <c r="H21" s="46" t="s">
        <v>115</v>
      </c>
      <c r="I21" s="46" t="s">
        <v>115</v>
      </c>
      <c r="J21" s="44"/>
      <c r="K21" s="44">
        <v>9999.0</v>
      </c>
      <c r="L21" s="44"/>
    </row>
    <row r="22">
      <c r="A22" s="41" t="s">
        <v>14</v>
      </c>
      <c r="B22" s="42" t="s">
        <v>166</v>
      </c>
      <c r="C22" s="43">
        <v>8.0</v>
      </c>
      <c r="D22" s="44">
        <f>IFERROR(__xludf.DUMMYFUNCTION("iferror(index(split(FILTER(Sheet34!B:B,arrayformula(not(iserror(find(B22,Sheet34!A:A)))),arrayformula(value(iferror(REGEXEXTRACT(Sheet34!E:E,""(\d{1,2})-""),99))=value(C22))),""-""),1,2),12-C22)"),3.0)</f>
        <v>3</v>
      </c>
      <c r="E22" s="44" t="s">
        <v>170</v>
      </c>
      <c r="F22" s="44" t="s">
        <v>106</v>
      </c>
      <c r="G22" s="45"/>
      <c r="H22" s="46"/>
      <c r="I22" s="46" t="s">
        <v>108</v>
      </c>
      <c r="J22" s="44"/>
      <c r="K22" s="44">
        <v>9999.0</v>
      </c>
      <c r="L22" s="44"/>
    </row>
    <row r="23">
      <c r="A23" s="34" t="s">
        <v>4</v>
      </c>
      <c r="B23" s="35" t="s">
        <v>1</v>
      </c>
      <c r="C23" s="36" t="s">
        <v>88</v>
      </c>
      <c r="D23" s="38"/>
      <c r="E23" s="38" t="s">
        <v>92</v>
      </c>
      <c r="F23" s="39" t="s">
        <v>93</v>
      </c>
      <c r="G23" s="39" t="s">
        <v>94</v>
      </c>
      <c r="H23" s="39" t="s">
        <v>95</v>
      </c>
      <c r="I23" s="39" t="s">
        <v>96</v>
      </c>
      <c r="J23" s="39" t="s">
        <v>97</v>
      </c>
      <c r="K23" s="40" t="s">
        <v>98</v>
      </c>
      <c r="L23" s="40"/>
    </row>
    <row r="24">
      <c r="A24" s="41" t="s">
        <v>25</v>
      </c>
      <c r="B24" s="42" t="s">
        <v>173</v>
      </c>
      <c r="C24" s="43">
        <v>6.0</v>
      </c>
      <c r="D24" s="48">
        <f>IFERROR(__xludf.DUMMYFUNCTION("iferror(index(split(FILTER(Sheet34!B:B,arrayformula(not(iserror(find(B24,Sheet34!A:A)))),arrayformula(value(iferror(REGEXEXTRACT(Sheet34!E:E,""(\d{1,2})-""),99))=value(C24))),""-""),1,2),12-C24)"),6.0)</f>
        <v>6</v>
      </c>
      <c r="E24" s="44" t="s">
        <v>175</v>
      </c>
      <c r="F24" s="44" t="s">
        <v>106</v>
      </c>
      <c r="G24" s="45"/>
      <c r="H24" s="46">
        <v>-3.0</v>
      </c>
      <c r="I24" s="46" t="s">
        <v>108</v>
      </c>
      <c r="J24" s="44"/>
      <c r="K24" s="44">
        <v>9999.0</v>
      </c>
      <c r="L24" s="44"/>
    </row>
    <row r="25">
      <c r="A25" s="41" t="s">
        <v>25</v>
      </c>
      <c r="B25" s="42" t="s">
        <v>176</v>
      </c>
      <c r="C25" s="43">
        <v>10.0</v>
      </c>
      <c r="D25" s="44">
        <f>IFERROR(__xludf.DUMMYFUNCTION("iferror(index(split(FILTER(Sheet34!B:B,arrayformula(not(iserror(find(B25,Sheet34!A:A)))),arrayformula(value(iferror(REGEXEXTRACT(Sheet34!E:E,""(\d{1,2})-""),99))=value(C25))),""-""),1,2),12-C25)"),2.0)</f>
        <v>2</v>
      </c>
      <c r="E25" s="44" t="s">
        <v>177</v>
      </c>
      <c r="F25" s="44" t="s">
        <v>106</v>
      </c>
      <c r="G25" s="45"/>
      <c r="H25" s="46">
        <v>3.0</v>
      </c>
      <c r="I25" s="46" t="s">
        <v>108</v>
      </c>
      <c r="J25" s="44"/>
      <c r="K25" s="44">
        <v>9999.0</v>
      </c>
      <c r="L25" s="44"/>
    </row>
    <row r="26">
      <c r="A26" s="41" t="s">
        <v>25</v>
      </c>
      <c r="B26" s="42" t="s">
        <v>26</v>
      </c>
      <c r="C26" s="43">
        <v>12.0</v>
      </c>
      <c r="D26" s="48">
        <f>IFERROR(__xludf.DUMMYFUNCTION("iferror(index(split(FILTER(Sheet34!B:B,arrayformula(not(iserror(find(B26,Sheet34!A:A)))),arrayformula(value(iferror(REGEXEXTRACT(Sheet34!E:E,""(\d{1,2})-""),99))=value(C26))),""-""),1,2),12-C26)"),0.0)</f>
        <v>0</v>
      </c>
      <c r="E26" s="44" t="s">
        <v>178</v>
      </c>
      <c r="F26" s="44" t="s">
        <v>106</v>
      </c>
      <c r="G26" s="45"/>
      <c r="H26" s="46" t="s">
        <v>179</v>
      </c>
      <c r="I26" s="46" t="s">
        <v>108</v>
      </c>
      <c r="J26" s="44"/>
      <c r="K26" s="44">
        <v>9999.0</v>
      </c>
      <c r="L26" s="44"/>
    </row>
    <row r="27">
      <c r="A27" s="41" t="s">
        <v>25</v>
      </c>
      <c r="B27" s="47" t="s">
        <v>181</v>
      </c>
      <c r="C27" s="43">
        <v>10.0</v>
      </c>
      <c r="D27" s="48">
        <f>IFERROR(__xludf.DUMMYFUNCTION("iferror(index(split(FILTER(Sheet34!B:B,arrayformula(not(iserror(find(B27,Sheet34!A:A)))),arrayformula(value(iferror(REGEXEXTRACT(Sheet34!E:E,""(\d{1,2})-""),99))=value(C27))),""-""),1,2),12-C27)"),2.0)</f>
        <v>2</v>
      </c>
      <c r="E27" s="44" t="s">
        <v>105</v>
      </c>
      <c r="F27" s="44" t="s">
        <v>106</v>
      </c>
      <c r="G27" s="45"/>
      <c r="H27" s="46">
        <v>-7.0</v>
      </c>
      <c r="I27" s="46" t="s">
        <v>108</v>
      </c>
      <c r="J27" s="44"/>
      <c r="K27" s="44">
        <v>9999.0</v>
      </c>
      <c r="L27" s="44"/>
    </row>
    <row r="28">
      <c r="A28" s="41" t="s">
        <v>25</v>
      </c>
      <c r="B28" s="42" t="s">
        <v>182</v>
      </c>
      <c r="C28" s="43">
        <v>6.0</v>
      </c>
      <c r="D28" s="48">
        <f>IFERROR(__xludf.DUMMYFUNCTION("iferror(index(split(FILTER(Sheet34!B:B,arrayformula(not(iserror(find(B28,Sheet34!A:A)))),arrayformula(value(iferror(REGEXEXTRACT(Sheet34!E:E,""(\d{1,2})-""),99))=value(C28))),""-""),1,2),12-C28)"),6.0)</f>
        <v>6</v>
      </c>
      <c r="E28" s="44" t="s">
        <v>114</v>
      </c>
      <c r="F28" s="44" t="s">
        <v>106</v>
      </c>
      <c r="G28" s="45"/>
      <c r="H28" s="46" t="s">
        <v>115</v>
      </c>
      <c r="I28" s="46" t="s">
        <v>115</v>
      </c>
      <c r="J28" s="44"/>
      <c r="K28" s="44">
        <v>9999.0</v>
      </c>
      <c r="L28" s="44"/>
    </row>
    <row r="29">
      <c r="A29" s="41" t="s">
        <v>25</v>
      </c>
      <c r="B29" s="42" t="s">
        <v>184</v>
      </c>
      <c r="C29" s="43">
        <v>9.0</v>
      </c>
      <c r="D29" s="44">
        <f>IFERROR(__xludf.DUMMYFUNCTION("iferror(index(split(FILTER(Sheet34!B:B,arrayformula(not(iserror(find(B29,Sheet34!A:A)))),arrayformula(value(iferror(REGEXEXTRACT(Sheet34!E:E,""(\d{1,2})-""),99))=value(C29))),""-""),1,2),12-C29)"),2.0)</f>
        <v>2</v>
      </c>
      <c r="E29" s="44" t="s">
        <v>121</v>
      </c>
      <c r="F29" s="44" t="s">
        <v>106</v>
      </c>
      <c r="G29" s="45"/>
      <c r="H29" s="46">
        <v>-1.0</v>
      </c>
      <c r="I29" s="46" t="s">
        <v>108</v>
      </c>
      <c r="J29" s="44"/>
      <c r="K29" s="44">
        <v>9999.0</v>
      </c>
      <c r="L29" s="44"/>
    </row>
    <row r="30">
      <c r="A30" s="41" t="s">
        <v>25</v>
      </c>
      <c r="B30" s="42" t="s">
        <v>186</v>
      </c>
      <c r="C30" s="43">
        <v>9.0</v>
      </c>
      <c r="D30" s="48">
        <f>IFERROR(__xludf.DUMMYFUNCTION("iferror(index(split(FILTER(Sheet34!B:B,arrayformula(not(iserror(find(B30,Sheet34!A:A)))),arrayformula(value(iferror(REGEXEXTRACT(Sheet34!E:E,""(\d{1,2})-""),99))=value(C30))),""-""),1,2),12-C30)"),3.0)</f>
        <v>3</v>
      </c>
      <c r="E30" s="44" t="s">
        <v>187</v>
      </c>
      <c r="F30" s="44" t="s">
        <v>106</v>
      </c>
      <c r="G30" s="45"/>
      <c r="H30" s="46">
        <v>-12.0</v>
      </c>
      <c r="I30" s="46" t="s">
        <v>108</v>
      </c>
      <c r="J30" s="44"/>
      <c r="K30" s="44">
        <v>9999.0</v>
      </c>
      <c r="L30" s="44"/>
    </row>
    <row r="31">
      <c r="A31" s="41" t="s">
        <v>25</v>
      </c>
      <c r="B31" s="42" t="s">
        <v>188</v>
      </c>
      <c r="C31" s="43">
        <v>8.0</v>
      </c>
      <c r="D31" s="48">
        <f>IFERROR(__xludf.DUMMYFUNCTION("iferror(index(split(FILTER(Sheet34!B:B,arrayformula(not(iserror(find(B31,Sheet34!A:A)))),arrayformula(value(iferror(REGEXEXTRACT(Sheet34!E:E,""(\d{1,2})-""),99))=value(C31))),""-""),1,2),12-C31)"),4.0)</f>
        <v>4</v>
      </c>
      <c r="E31" s="44" t="s">
        <v>165</v>
      </c>
      <c r="F31" s="44" t="s">
        <v>106</v>
      </c>
      <c r="G31" s="45"/>
      <c r="H31" s="46">
        <v>-4.0</v>
      </c>
      <c r="I31" s="46" t="s">
        <v>108</v>
      </c>
      <c r="J31" s="44"/>
      <c r="K31" s="44">
        <v>9999.0</v>
      </c>
      <c r="L31" s="44"/>
    </row>
    <row r="32">
      <c r="A32" s="41" t="s">
        <v>25</v>
      </c>
      <c r="B32" s="42" t="s">
        <v>191</v>
      </c>
      <c r="C32" s="43">
        <v>5.0</v>
      </c>
      <c r="D32" s="44">
        <f>IFERROR(__xludf.DUMMYFUNCTION("iferror(index(split(FILTER(Sheet34!B:B,arrayformula(not(iserror(find(B32,Sheet34!A:A)))),arrayformula(value(iferror(REGEXEXTRACT(Sheet34!E:E,""(\d{1,2})-""),99))=value(C32))),""-""),1,2),12-C32)"),6.0)</f>
        <v>6</v>
      </c>
      <c r="E32" s="44" t="s">
        <v>192</v>
      </c>
      <c r="F32" s="44" t="s">
        <v>106</v>
      </c>
      <c r="G32" s="45"/>
      <c r="H32" s="46" t="s">
        <v>115</v>
      </c>
      <c r="I32" s="46" t="s">
        <v>115</v>
      </c>
      <c r="J32" s="44"/>
      <c r="K32" s="44">
        <v>9999.0</v>
      </c>
      <c r="L32" s="44"/>
    </row>
    <row r="33">
      <c r="A33" s="41" t="s">
        <v>25</v>
      </c>
      <c r="B33" s="42" t="s">
        <v>194</v>
      </c>
      <c r="C33" s="43">
        <v>7.0</v>
      </c>
      <c r="D33" s="44">
        <f>IFERROR(__xludf.DUMMYFUNCTION("iferror(index(split(FILTER(Sheet34!B:B,arrayformula(not(iserror(find(B33,Sheet34!A:A)))),arrayformula(value(iferror(REGEXEXTRACT(Sheet34!E:E,""(\d{1,2})-""),99))=value(C33))),""-""),1,2),12-C33)"),3.0)</f>
        <v>3</v>
      </c>
      <c r="E33" s="44" t="s">
        <v>148</v>
      </c>
      <c r="F33" s="44" t="s">
        <v>106</v>
      </c>
      <c r="G33" s="45"/>
      <c r="H33" s="46" t="s">
        <v>196</v>
      </c>
      <c r="I33" s="46" t="s">
        <v>108</v>
      </c>
      <c r="J33" s="44"/>
      <c r="K33" s="44">
        <v>9999.0</v>
      </c>
      <c r="L33" s="44"/>
    </row>
    <row r="34">
      <c r="A34" s="34" t="s">
        <v>4</v>
      </c>
      <c r="B34" s="35" t="s">
        <v>1</v>
      </c>
      <c r="C34" s="36" t="s">
        <v>88</v>
      </c>
      <c r="D34" s="38"/>
      <c r="E34" s="38" t="s">
        <v>92</v>
      </c>
      <c r="F34" s="39" t="s">
        <v>93</v>
      </c>
      <c r="G34" s="39" t="s">
        <v>94</v>
      </c>
      <c r="H34" s="39" t="s">
        <v>95</v>
      </c>
      <c r="I34" s="39" t="s">
        <v>96</v>
      </c>
      <c r="J34" s="39" t="s">
        <v>97</v>
      </c>
      <c r="K34" s="40" t="s">
        <v>98</v>
      </c>
      <c r="L34" s="40"/>
    </row>
    <row r="35">
      <c r="A35" s="41" t="s">
        <v>21</v>
      </c>
      <c r="B35" s="42" t="s">
        <v>198</v>
      </c>
      <c r="C35" s="43">
        <v>9.0</v>
      </c>
      <c r="D35" s="48">
        <f>IFERROR(__xludf.DUMMYFUNCTION("iferror(index(split(FILTER(Sheet34!B:B,arrayformula(not(iserror(find(B35,Sheet34!A:A)))),arrayformula(value(iferror(REGEXEXTRACT(Sheet34!E:E,""(\d{1,2})-""),99))=value(C35))),""-""),1,2),12-C35)"),3.0)</f>
        <v>3</v>
      </c>
      <c r="E35" s="44" t="s">
        <v>178</v>
      </c>
      <c r="F35" s="44" t="s">
        <v>106</v>
      </c>
      <c r="G35" s="45"/>
      <c r="H35" s="46">
        <v>-4.0</v>
      </c>
      <c r="I35" s="46" t="s">
        <v>108</v>
      </c>
      <c r="J35" s="44"/>
      <c r="K35" s="44">
        <v>9999.0</v>
      </c>
      <c r="L35" s="44"/>
    </row>
    <row r="36">
      <c r="A36" s="41" t="s">
        <v>21</v>
      </c>
      <c r="B36" s="42" t="s">
        <v>28</v>
      </c>
      <c r="C36" s="43">
        <v>10.0</v>
      </c>
      <c r="D36" s="44">
        <f>IFERROR(__xludf.DUMMYFUNCTION("iferror(index(split(FILTER(Sheet34!B:B,arrayformula(not(iserror(find(B36,Sheet34!A:A)))),arrayformula(value(iferror(REGEXEXTRACT(Sheet34!E:E,""(\d{1,2})-""),99))=value(C36))),""-""),1,2),12-C36)"),2.0)</f>
        <v>2</v>
      </c>
      <c r="E36" s="44" t="s">
        <v>200</v>
      </c>
      <c r="F36" s="44" t="s">
        <v>106</v>
      </c>
      <c r="G36" s="45"/>
      <c r="H36" s="46" t="s">
        <v>201</v>
      </c>
      <c r="I36" s="46" t="s">
        <v>108</v>
      </c>
      <c r="J36" s="44"/>
      <c r="K36" s="44">
        <v>9999.0</v>
      </c>
      <c r="L36" s="44"/>
    </row>
    <row r="37">
      <c r="A37" s="41" t="s">
        <v>21</v>
      </c>
      <c r="B37" s="42" t="s">
        <v>203</v>
      </c>
      <c r="C37" s="43">
        <v>8.0</v>
      </c>
      <c r="D37" s="48">
        <f>IFERROR(__xludf.DUMMYFUNCTION("iferror(index(split(FILTER(Sheet34!B:B,arrayformula(not(iserror(find(B37,Sheet34!A:A)))),arrayformula(value(iferror(REGEXEXTRACT(Sheet34!E:E,""(\d{1,2})-""),99))=value(C37))),""-""),1,2),12-C37)"),4.0)</f>
        <v>4</v>
      </c>
      <c r="E37" s="44" t="s">
        <v>156</v>
      </c>
      <c r="F37" s="44" t="s">
        <v>106</v>
      </c>
      <c r="G37" s="45"/>
      <c r="H37" s="46" t="s">
        <v>205</v>
      </c>
      <c r="I37" s="46" t="s">
        <v>108</v>
      </c>
      <c r="J37" s="44"/>
      <c r="K37" s="44">
        <v>9999.0</v>
      </c>
      <c r="L37" s="44"/>
    </row>
    <row r="38">
      <c r="A38" s="41" t="s">
        <v>21</v>
      </c>
      <c r="B38" s="47" t="s">
        <v>206</v>
      </c>
      <c r="C38" s="43">
        <v>4.0</v>
      </c>
      <c r="D38" s="44">
        <f>IFERROR(__xludf.DUMMYFUNCTION("iferror(index(split(FILTER(Sheet34!B:B,arrayformula(not(iserror(find(B38,Sheet34!A:A)))),arrayformula(value(iferror(REGEXEXTRACT(Sheet34!E:E,""(\d{1,2})-""),99))=value(C38))),""-""),1,2),12-C38)"),5.0)</f>
        <v>5</v>
      </c>
      <c r="E38" s="44" t="s">
        <v>143</v>
      </c>
      <c r="F38" s="44" t="s">
        <v>106</v>
      </c>
      <c r="G38" s="45"/>
      <c r="H38" s="46" t="s">
        <v>115</v>
      </c>
      <c r="I38" s="46" t="s">
        <v>115</v>
      </c>
      <c r="J38" s="44"/>
      <c r="K38" s="44">
        <v>9999.0</v>
      </c>
      <c r="L38" s="44"/>
    </row>
    <row r="39">
      <c r="A39" s="41" t="s">
        <v>21</v>
      </c>
      <c r="B39" s="42" t="s">
        <v>209</v>
      </c>
      <c r="C39" s="43">
        <v>9.0</v>
      </c>
      <c r="D39" s="44">
        <f>IFERROR(__xludf.DUMMYFUNCTION("iferror(index(split(FILTER(Sheet34!B:B,arrayformula(not(iserror(find(B39,Sheet34!A:A)))),arrayformula(value(iferror(REGEXEXTRACT(Sheet34!E:E,""(\d{1,2})-""),99))=value(C39))),""-""),1,2),12-C39)"),3.0)</f>
        <v>3</v>
      </c>
      <c r="E39" s="44" t="s">
        <v>178</v>
      </c>
      <c r="F39" s="44" t="s">
        <v>106</v>
      </c>
      <c r="G39" s="45"/>
      <c r="H39" s="46">
        <v>3.0</v>
      </c>
      <c r="I39" s="46" t="s">
        <v>108</v>
      </c>
      <c r="J39" s="44"/>
      <c r="K39" s="44">
        <v>9999.0</v>
      </c>
      <c r="L39" s="44"/>
    </row>
    <row r="40">
      <c r="A40" s="41" t="s">
        <v>21</v>
      </c>
      <c r="B40" s="42" t="s">
        <v>210</v>
      </c>
      <c r="C40" s="43">
        <v>7.0</v>
      </c>
      <c r="D40" s="48">
        <f>IFERROR(__xludf.DUMMYFUNCTION("iferror(index(split(FILTER(Sheet34!B:B,arrayformula(not(iserror(find(B40,Sheet34!A:A)))),arrayformula(value(iferror(REGEXEXTRACT(Sheet34!E:E,""(\d{1,2})-""),99))=value(C40))),""-""),1,2),12-C40)"),5.0)</f>
        <v>5</v>
      </c>
      <c r="E40" s="44" t="s">
        <v>27</v>
      </c>
      <c r="F40" s="44" t="s">
        <v>106</v>
      </c>
      <c r="G40" s="45"/>
      <c r="H40" s="46">
        <v>-1.0</v>
      </c>
      <c r="I40" s="46" t="s">
        <v>108</v>
      </c>
      <c r="J40" s="44"/>
      <c r="K40" s="44">
        <v>9999.0</v>
      </c>
      <c r="L40" s="44"/>
    </row>
    <row r="41">
      <c r="A41" s="41" t="s">
        <v>21</v>
      </c>
      <c r="B41" s="42" t="s">
        <v>213</v>
      </c>
      <c r="C41" s="43">
        <v>8.0</v>
      </c>
      <c r="D41" s="44">
        <f>IFERROR(__xludf.DUMMYFUNCTION("iferror(index(split(FILTER(Sheet34!B:B,arrayformula(not(iserror(find(B41,Sheet34!A:A)))),arrayformula(value(iferror(REGEXEXTRACT(Sheet34!E:E,""(\d{1,2})-""),99))=value(C41))),""-""),1,2),12-C41)"),3.0)</f>
        <v>3</v>
      </c>
      <c r="E41" s="44" t="s">
        <v>105</v>
      </c>
      <c r="F41" s="44" t="s">
        <v>106</v>
      </c>
      <c r="G41" s="45"/>
      <c r="H41" s="46">
        <v>-5.0</v>
      </c>
      <c r="I41" s="46" t="s">
        <v>108</v>
      </c>
      <c r="J41" s="44"/>
      <c r="K41" s="44">
        <v>9999.0</v>
      </c>
      <c r="L41" s="44"/>
    </row>
    <row r="42">
      <c r="A42" s="41" t="s">
        <v>21</v>
      </c>
      <c r="B42" s="42" t="s">
        <v>217</v>
      </c>
      <c r="C42" s="43">
        <v>1.0</v>
      </c>
      <c r="D42" s="44">
        <f>IFERROR(__xludf.DUMMYFUNCTION("iferror(index(split(FILTER(Sheet34!B:B,arrayformula(not(iserror(find(B42,Sheet34!A:A)))),arrayformula(value(iferror(REGEXEXTRACT(Sheet34!E:E,""(\d{1,2})-""),99))=value(C42))),""-""),1,2),12-C42)"),8.0)</f>
        <v>8</v>
      </c>
      <c r="E42" s="44" t="s">
        <v>114</v>
      </c>
      <c r="F42" s="44" t="s">
        <v>106</v>
      </c>
      <c r="G42" s="45"/>
      <c r="H42" s="46" t="s">
        <v>115</v>
      </c>
      <c r="I42" s="46" t="s">
        <v>115</v>
      </c>
      <c r="J42" s="44"/>
      <c r="K42" s="44">
        <v>9999.0</v>
      </c>
      <c r="L42" s="44"/>
    </row>
    <row r="43">
      <c r="A43" s="41" t="s">
        <v>21</v>
      </c>
      <c r="B43" s="42" t="s">
        <v>219</v>
      </c>
      <c r="C43" s="43">
        <v>3.0</v>
      </c>
      <c r="D43" s="44">
        <f>IFERROR(__xludf.DUMMYFUNCTION("iferror(index(split(FILTER(Sheet34!B:B,arrayformula(not(iserror(find(B43,Sheet34!A:A)))),arrayformula(value(iferror(REGEXEXTRACT(Sheet34!E:E,""(\d{1,2})-""),99))=value(C43))),""-""),1,2),12-C43)"),7.0)</f>
        <v>7</v>
      </c>
      <c r="E43" s="44" t="s">
        <v>192</v>
      </c>
      <c r="F43" s="44" t="s">
        <v>106</v>
      </c>
      <c r="G43" s="45"/>
      <c r="H43" s="46" t="s">
        <v>115</v>
      </c>
      <c r="I43" s="46" t="s">
        <v>115</v>
      </c>
      <c r="J43" s="44"/>
      <c r="K43" s="44">
        <v>9999.0</v>
      </c>
      <c r="L43" s="44"/>
    </row>
    <row r="44">
      <c r="A44" s="41" t="s">
        <v>21</v>
      </c>
      <c r="B44" s="42" t="s">
        <v>220</v>
      </c>
      <c r="C44" s="43">
        <v>4.0</v>
      </c>
      <c r="D44" s="44">
        <f>IFERROR(__xludf.DUMMYFUNCTION("iferror(index(split(FILTER(Sheet34!B:B,arrayformula(not(iserror(find(B44,Sheet34!A:A)))),arrayformula(value(iferror(REGEXEXTRACT(Sheet34!E:E,""(\d{1,2})-""),99))=value(C44))),""-""),1,2),12-C44)"),7.0)</f>
        <v>7</v>
      </c>
      <c r="E44" s="44" t="s">
        <v>156</v>
      </c>
      <c r="F44" s="44" t="s">
        <v>106</v>
      </c>
      <c r="G44" s="45"/>
      <c r="H44" s="46" t="s">
        <v>115</v>
      </c>
      <c r="I44" s="46" t="s">
        <v>115</v>
      </c>
      <c r="J44" s="44"/>
      <c r="K44" s="44">
        <v>9999.0</v>
      </c>
      <c r="L44" s="44"/>
    </row>
    <row r="45">
      <c r="A45" s="34" t="s">
        <v>4</v>
      </c>
      <c r="B45" s="35" t="s">
        <v>1</v>
      </c>
      <c r="C45" s="36" t="s">
        <v>88</v>
      </c>
      <c r="D45" s="38"/>
      <c r="E45" s="38" t="s">
        <v>92</v>
      </c>
      <c r="F45" s="39" t="s">
        <v>93</v>
      </c>
      <c r="G45" s="39" t="s">
        <v>94</v>
      </c>
      <c r="H45" s="39" t="s">
        <v>95</v>
      </c>
      <c r="I45" s="39" t="s">
        <v>96</v>
      </c>
      <c r="J45" s="39" t="s">
        <v>97</v>
      </c>
      <c r="K45" s="40" t="s">
        <v>98</v>
      </c>
      <c r="L45" s="40"/>
    </row>
    <row r="46">
      <c r="A46" s="41" t="s">
        <v>19</v>
      </c>
      <c r="B46" s="42" t="s">
        <v>222</v>
      </c>
      <c r="C46" s="43">
        <v>9.0</v>
      </c>
      <c r="D46" s="48">
        <f>IFERROR(__xludf.DUMMYFUNCTION("iferror(index(split(FILTER(Sheet34!B:B,arrayformula(not(iserror(find(B46,Sheet34!A:A)))),arrayformula(value(iferror(REGEXEXTRACT(Sheet34!E:E,""(\d{1,2})-""),99))=value(C46))),""-""),1,2),12-C46)"),3.0)</f>
        <v>3</v>
      </c>
      <c r="E46" s="44" t="s">
        <v>121</v>
      </c>
      <c r="F46" s="44" t="s">
        <v>106</v>
      </c>
      <c r="G46" s="45"/>
      <c r="H46" s="46">
        <v>-13.0</v>
      </c>
      <c r="I46" s="46" t="s">
        <v>108</v>
      </c>
      <c r="J46" s="44"/>
      <c r="K46" s="44">
        <v>9999.0</v>
      </c>
      <c r="L46" s="44"/>
    </row>
    <row r="47">
      <c r="A47" s="41" t="s">
        <v>19</v>
      </c>
      <c r="B47" s="42" t="s">
        <v>225</v>
      </c>
      <c r="C47" s="43">
        <v>10.0</v>
      </c>
      <c r="D47" s="48">
        <f>IFERROR(__xludf.DUMMYFUNCTION("iferror(index(split(FILTER(Sheet34!B:B,arrayformula(not(iserror(find(B47,Sheet34!A:A)))),arrayformula(value(iferror(REGEXEXTRACT(Sheet34!E:E,""(\d{1,2})-""),99))=value(C47))),""-""),1,2),12-C47)"),2.0)</f>
        <v>2</v>
      </c>
      <c r="E47" s="44" t="s">
        <v>124</v>
      </c>
      <c r="F47" s="44" t="s">
        <v>106</v>
      </c>
      <c r="G47" s="45"/>
      <c r="H47" s="46" t="s">
        <v>227</v>
      </c>
      <c r="I47" s="46" t="s">
        <v>108</v>
      </c>
      <c r="J47" s="44"/>
      <c r="K47" s="44">
        <v>9999.0</v>
      </c>
      <c r="L47" s="44"/>
    </row>
    <row r="48">
      <c r="A48" s="41" t="s">
        <v>19</v>
      </c>
      <c r="B48" s="42" t="s">
        <v>228</v>
      </c>
      <c r="C48" s="43">
        <v>6.0</v>
      </c>
      <c r="D48" s="44">
        <f>IFERROR(__xludf.DUMMYFUNCTION("iferror(index(split(FILTER(Sheet34!B:B,arrayformula(not(iserror(find(B48,Sheet34!A:A)))),arrayformula(value(iferror(REGEXEXTRACT(Sheet34!E:E,""(\d{1,2})-""),99))=value(C48))),""-""),1,2),12-C48)"),5.0)</f>
        <v>5</v>
      </c>
      <c r="E48" s="44" t="s">
        <v>130</v>
      </c>
      <c r="F48" s="44" t="s">
        <v>106</v>
      </c>
      <c r="G48" s="45"/>
      <c r="H48" s="46">
        <v>12.0</v>
      </c>
      <c r="I48" s="46" t="s">
        <v>108</v>
      </c>
      <c r="J48" s="44"/>
      <c r="K48" s="44">
        <v>9999.0</v>
      </c>
      <c r="L48" s="44"/>
    </row>
    <row r="49">
      <c r="A49" s="41" t="s">
        <v>19</v>
      </c>
      <c r="B49" s="47" t="s">
        <v>230</v>
      </c>
      <c r="C49" s="43">
        <v>10.0</v>
      </c>
      <c r="D49" s="44">
        <f>IFERROR(__xludf.DUMMYFUNCTION("iferror(index(split(FILTER(Sheet34!B:B,arrayformula(not(iserror(find(B49,Sheet34!A:A)))),arrayformula(value(iferror(REGEXEXTRACT(Sheet34!E:E,""(\d{1,2})-""),99))=value(C49))),""-""),1,2),12-C49)"),2.0)</f>
        <v>2</v>
      </c>
      <c r="E49" s="44" t="s">
        <v>114</v>
      </c>
      <c r="F49" s="44" t="s">
        <v>106</v>
      </c>
      <c r="G49" s="45"/>
      <c r="H49" s="46">
        <v>-9.0</v>
      </c>
      <c r="I49" s="46" t="s">
        <v>108</v>
      </c>
      <c r="J49" s="44"/>
      <c r="K49" s="44">
        <v>9999.0</v>
      </c>
      <c r="L49" s="44"/>
    </row>
    <row r="50">
      <c r="A50" s="41" t="s">
        <v>19</v>
      </c>
      <c r="B50" s="42" t="s">
        <v>232</v>
      </c>
      <c r="C50" s="43">
        <v>2.0</v>
      </c>
      <c r="D50" s="44">
        <f>IFERROR(__xludf.DUMMYFUNCTION("iferror(index(split(FILTER(Sheet34!B:B,arrayformula(not(iserror(find(B50,Sheet34!A:A)))),arrayformula(value(iferror(REGEXEXTRACT(Sheet34!E:E,""(\d{1,2})-""),99))=value(C50))),""-""),1,2),12-C50)"),8.0)</f>
        <v>8</v>
      </c>
      <c r="E50" s="44" t="s">
        <v>236</v>
      </c>
      <c r="F50" s="44" t="s">
        <v>106</v>
      </c>
      <c r="G50" s="45"/>
      <c r="H50" s="46" t="s">
        <v>115</v>
      </c>
      <c r="I50" s="46" t="s">
        <v>115</v>
      </c>
      <c r="J50" s="44"/>
      <c r="K50" s="44">
        <v>9999.0</v>
      </c>
      <c r="L50" s="44"/>
    </row>
    <row r="51">
      <c r="A51" s="41" t="s">
        <v>19</v>
      </c>
      <c r="B51" s="42" t="s">
        <v>245</v>
      </c>
      <c r="C51" s="43">
        <v>6.0</v>
      </c>
      <c r="D51" s="48">
        <f>IFERROR(__xludf.DUMMYFUNCTION("iferror(index(split(FILTER(Sheet34!B:B,arrayformula(not(iserror(find(B51,Sheet34!A:A)))),arrayformula(value(iferror(REGEXEXTRACT(Sheet34!E:E,""(\d{1,2})-""),99))=value(C51))),""-""),1,2),12-C51)"),6.0)</f>
        <v>6</v>
      </c>
      <c r="E51" s="44" t="s">
        <v>143</v>
      </c>
      <c r="F51" s="44" t="s">
        <v>106</v>
      </c>
      <c r="G51" s="45"/>
      <c r="H51" s="46">
        <v>-2.0</v>
      </c>
      <c r="I51" s="46" t="s">
        <v>108</v>
      </c>
      <c r="J51" s="44"/>
      <c r="K51" s="44">
        <v>9999.0</v>
      </c>
      <c r="L51" s="44"/>
    </row>
    <row r="52">
      <c r="A52" s="41" t="s">
        <v>19</v>
      </c>
      <c r="B52" s="42" t="s">
        <v>285</v>
      </c>
      <c r="C52" s="43">
        <v>4.0</v>
      </c>
      <c r="D52" s="44">
        <f>IFERROR(__xludf.DUMMYFUNCTION("iferror(index(split(FILTER(Sheet34!B:B,arrayformula(not(iserror(find(B52,Sheet34!A:A)))),arrayformula(value(iferror(REGEXEXTRACT(Sheet34!E:E,""(\d{1,2})-""),99))=value(C52))),""-""),1,2),12-C52)"),4.0)</f>
        <v>4</v>
      </c>
      <c r="E52" s="44" t="s">
        <v>192</v>
      </c>
      <c r="F52" s="44" t="s">
        <v>106</v>
      </c>
      <c r="G52" s="45"/>
      <c r="H52" s="46" t="s">
        <v>115</v>
      </c>
      <c r="I52" s="46" t="s">
        <v>115</v>
      </c>
      <c r="J52" s="44"/>
      <c r="K52" s="44">
        <v>9999.0</v>
      </c>
      <c r="L52" s="44"/>
    </row>
    <row r="53">
      <c r="A53" s="41" t="s">
        <v>19</v>
      </c>
      <c r="B53" s="42" t="s">
        <v>304</v>
      </c>
      <c r="C53" s="43">
        <v>5.0</v>
      </c>
      <c r="D53" s="48">
        <f>IFERROR(__xludf.DUMMYFUNCTION("iferror(index(split(FILTER(Sheet34!B:B,arrayformula(not(iserror(find(B53,Sheet34!A:A)))),arrayformula(value(iferror(REGEXEXTRACT(Sheet34!E:E,""(\d{1,2})-""),99))=value(C53))),""-""),1,2),12-C53)"),7.0)</f>
        <v>7</v>
      </c>
      <c r="E53" s="44" t="s">
        <v>178</v>
      </c>
      <c r="F53" s="44" t="s">
        <v>106</v>
      </c>
      <c r="G53" s="45"/>
      <c r="H53" s="46" t="s">
        <v>115</v>
      </c>
      <c r="I53" s="46" t="s">
        <v>115</v>
      </c>
      <c r="J53" s="44"/>
      <c r="K53" s="44">
        <v>9999.0</v>
      </c>
      <c r="L53" s="44"/>
    </row>
    <row r="54">
      <c r="A54" s="41" t="s">
        <v>19</v>
      </c>
      <c r="B54" s="42" t="s">
        <v>327</v>
      </c>
      <c r="C54" s="43">
        <v>9.0</v>
      </c>
      <c r="D54" s="48">
        <f>IFERROR(__xludf.DUMMYFUNCTION("iferror(index(split(FILTER(Sheet34!B:B,arrayformula(not(iserror(find(B54,Sheet34!A:A)))),arrayformula(value(iferror(REGEXEXTRACT(Sheet34!E:E,""(\d{1,2})-""),99))=value(C54))),""-""),1,2),12-C54)"),3.0)</f>
        <v>3</v>
      </c>
      <c r="E54" s="44" t="s">
        <v>143</v>
      </c>
      <c r="F54" s="44" t="s">
        <v>106</v>
      </c>
      <c r="G54" s="45"/>
      <c r="H54" s="46">
        <v>1.0</v>
      </c>
      <c r="I54" s="46" t="s">
        <v>108</v>
      </c>
      <c r="J54" s="44"/>
      <c r="K54" s="44">
        <v>9999.0</v>
      </c>
      <c r="L54" s="44"/>
    </row>
    <row r="55">
      <c r="A55" s="41" t="s">
        <v>19</v>
      </c>
      <c r="B55" s="42" t="s">
        <v>347</v>
      </c>
      <c r="C55" s="43">
        <v>4.0</v>
      </c>
      <c r="D55" s="44">
        <f>IFERROR(__xludf.DUMMYFUNCTION("iferror(index(split(FILTER(Sheet34!B:B,arrayformula(not(iserror(find(B55,Sheet34!A:A)))),arrayformula(value(iferror(REGEXEXTRACT(Sheet34!E:E,""(\d{1,2})-""),99))=value(C55))),""-""),1,2),12-C55)"),6.0)</f>
        <v>6</v>
      </c>
      <c r="E55" s="44" t="s">
        <v>105</v>
      </c>
      <c r="F55" s="44" t="s">
        <v>106</v>
      </c>
      <c r="G55" s="45"/>
      <c r="H55" s="46" t="s">
        <v>115</v>
      </c>
      <c r="I55" s="46" t="s">
        <v>115</v>
      </c>
      <c r="J55" s="44"/>
      <c r="K55" s="44">
        <v>9999.0</v>
      </c>
      <c r="L55" s="44"/>
    </row>
    <row r="56">
      <c r="A56" s="34" t="s">
        <v>4</v>
      </c>
      <c r="B56" s="35" t="s">
        <v>1</v>
      </c>
      <c r="C56" s="36" t="s">
        <v>88</v>
      </c>
      <c r="D56" s="38"/>
      <c r="E56" s="38" t="s">
        <v>92</v>
      </c>
      <c r="F56" s="39" t="s">
        <v>93</v>
      </c>
      <c r="G56" s="39" t="s">
        <v>94</v>
      </c>
      <c r="H56" s="39" t="s">
        <v>95</v>
      </c>
      <c r="I56" s="39" t="s">
        <v>96</v>
      </c>
      <c r="J56" s="39" t="s">
        <v>97</v>
      </c>
      <c r="K56" s="40" t="s">
        <v>98</v>
      </c>
      <c r="L56" s="40"/>
    </row>
    <row r="57">
      <c r="A57" s="41" t="s">
        <v>17</v>
      </c>
      <c r="B57" s="42" t="s">
        <v>375</v>
      </c>
      <c r="C57" s="43">
        <v>9.0</v>
      </c>
      <c r="D57" s="44">
        <f>IFERROR(__xludf.DUMMYFUNCTION("iferror(index(split(FILTER(Sheet34!B:B,arrayformula(not(iserror(find(B57,Sheet34!A:A)))),arrayformula(value(iferror(REGEXEXTRACT(Sheet34!E:E,""(\d{1,2})-""),99))=value(C57))),""-""),1,2),12-C57)"),1.0)</f>
        <v>1</v>
      </c>
      <c r="E57" s="44" t="s">
        <v>192</v>
      </c>
      <c r="F57" s="44" t="s">
        <v>384</v>
      </c>
      <c r="G57" s="44" t="s">
        <v>385</v>
      </c>
      <c r="H57" s="46">
        <v>-7.0</v>
      </c>
      <c r="I57" s="46">
        <v>48.0</v>
      </c>
      <c r="J57" s="44" t="s">
        <v>386</v>
      </c>
      <c r="K57" s="44">
        <v>9999.0</v>
      </c>
      <c r="L57" s="44"/>
    </row>
    <row r="58">
      <c r="A58" s="41" t="s">
        <v>17</v>
      </c>
      <c r="B58" s="42" t="s">
        <v>387</v>
      </c>
      <c r="C58" s="43">
        <v>3.0</v>
      </c>
      <c r="D58" s="44">
        <f>IFERROR(__xludf.DUMMYFUNCTION("iferror(index(split(FILTER(Sheet34!B:B,arrayformula(not(iserror(find(B58,Sheet34!A:A)))),arrayformula(value(iferror(REGEXEXTRACT(Sheet34!E:E,""(\d{1,2})-""),99))=value(C58))),""-""),1,2),12-C58)"),6.0)</f>
        <v>6</v>
      </c>
      <c r="E58" s="44" t="s">
        <v>148</v>
      </c>
      <c r="F58" s="44" t="s">
        <v>106</v>
      </c>
      <c r="G58" s="45"/>
      <c r="H58" s="46" t="s">
        <v>115</v>
      </c>
      <c r="I58" s="46" t="s">
        <v>115</v>
      </c>
      <c r="J58" s="44"/>
      <c r="K58" s="44">
        <v>9999.0</v>
      </c>
      <c r="L58" s="44"/>
    </row>
    <row r="59">
      <c r="A59" s="41" t="s">
        <v>17</v>
      </c>
      <c r="B59" s="42" t="s">
        <v>388</v>
      </c>
      <c r="C59" s="43">
        <v>9.0</v>
      </c>
      <c r="D59" s="48">
        <f>IFERROR(__xludf.DUMMYFUNCTION("iferror(index(split(FILTER(Sheet34!B:B,arrayformula(not(iserror(find(B59,Sheet34!A:A)))),arrayformula(value(iferror(REGEXEXTRACT(Sheet34!E:E,""(\d{1,2})-""),99))=value(C59))),""-""),1,2),12-C59)"),3.0)</f>
        <v>3</v>
      </c>
      <c r="E59" s="44" t="s">
        <v>192</v>
      </c>
      <c r="F59" s="44" t="s">
        <v>106</v>
      </c>
      <c r="G59" s="45"/>
      <c r="H59" s="46">
        <v>-3.0</v>
      </c>
      <c r="I59" s="46" t="s">
        <v>108</v>
      </c>
      <c r="J59" s="44"/>
      <c r="K59" s="44">
        <v>9999.0</v>
      </c>
      <c r="L59" s="44"/>
    </row>
    <row r="60">
      <c r="A60" s="41" t="s">
        <v>17</v>
      </c>
      <c r="B60" s="47" t="s">
        <v>389</v>
      </c>
      <c r="C60" s="43">
        <v>8.0</v>
      </c>
      <c r="D60" s="44">
        <f>IFERROR(__xludf.DUMMYFUNCTION("iferror(index(split(FILTER(Sheet34!B:B,arrayformula(not(iserror(find(B60,Sheet34!A:A)))),arrayformula(value(iferror(REGEXEXTRACT(Sheet34!E:E,""(\d{1,2})-""),99))=value(C60))),""-""),1,2),12-C60)"),4.0)</f>
        <v>4</v>
      </c>
      <c r="E60" s="44" t="s">
        <v>170</v>
      </c>
      <c r="F60" s="44" t="s">
        <v>106</v>
      </c>
      <c r="G60" s="45"/>
      <c r="H60" s="46">
        <v>-2.0</v>
      </c>
      <c r="I60" s="46" t="s">
        <v>108</v>
      </c>
      <c r="J60" s="44"/>
      <c r="K60" s="44">
        <v>9999.0</v>
      </c>
      <c r="L60" s="44"/>
    </row>
    <row r="61">
      <c r="A61" s="41" t="s">
        <v>17</v>
      </c>
      <c r="B61" s="42" t="s">
        <v>390</v>
      </c>
      <c r="C61" s="43">
        <v>2.0</v>
      </c>
      <c r="D61" s="44">
        <f>IFERROR(__xludf.DUMMYFUNCTION("iferror(index(split(FILTER(Sheet34!B:B,arrayformula(not(iserror(find(B61,Sheet34!A:A)))),arrayformula(value(iferror(REGEXEXTRACT(Sheet34!E:E,""(\d{1,2})-""),99))=value(C61))),""-""),1,2),12-C61)"),7.0)</f>
        <v>7</v>
      </c>
      <c r="E61" s="44" t="s">
        <v>114</v>
      </c>
      <c r="F61" s="44" t="s">
        <v>106</v>
      </c>
      <c r="G61" s="45"/>
      <c r="H61" s="46" t="s">
        <v>115</v>
      </c>
      <c r="I61" s="46" t="s">
        <v>115</v>
      </c>
      <c r="J61" s="44"/>
      <c r="K61" s="44">
        <v>9999.0</v>
      </c>
      <c r="L61" s="44"/>
    </row>
    <row r="62">
      <c r="A62" s="41" t="s">
        <v>17</v>
      </c>
      <c r="B62" s="42" t="s">
        <v>391</v>
      </c>
      <c r="C62" s="43">
        <v>5.0</v>
      </c>
      <c r="D62" s="44">
        <f>IFERROR(__xludf.DUMMYFUNCTION("iferror(index(split(FILTER(Sheet34!B:B,arrayformula(not(iserror(find(B62,Sheet34!A:A)))),arrayformula(value(iferror(REGEXEXTRACT(Sheet34!E:E,""(\d{1,2})-""),99))=value(C62))),""-""),1,2),12-C62)"),6.0)</f>
        <v>6</v>
      </c>
      <c r="E62" s="44" t="s">
        <v>130</v>
      </c>
      <c r="F62" s="44" t="s">
        <v>106</v>
      </c>
      <c r="G62" s="45"/>
      <c r="H62" s="46" t="s">
        <v>115</v>
      </c>
      <c r="I62" s="46" t="s">
        <v>115</v>
      </c>
      <c r="J62" s="44"/>
      <c r="K62" s="44">
        <v>9999.0</v>
      </c>
      <c r="L62" s="44"/>
    </row>
    <row r="63">
      <c r="A63" s="41" t="s">
        <v>17</v>
      </c>
      <c r="B63" s="42" t="s">
        <v>392</v>
      </c>
      <c r="C63" s="43">
        <v>3.0</v>
      </c>
      <c r="D63" s="44">
        <f>IFERROR(__xludf.DUMMYFUNCTION("iferror(index(split(FILTER(Sheet34!B:B,arrayformula(not(iserror(find(B63,Sheet34!A:A)))),arrayformula(value(iferror(REGEXEXTRACT(Sheet34!E:E,""(\d{1,2})-""),99))=value(C63))),""-""),1,2),12-C63)"),8.0)</f>
        <v>8</v>
      </c>
      <c r="E63" s="44" t="s">
        <v>114</v>
      </c>
      <c r="F63" s="44" t="s">
        <v>106</v>
      </c>
      <c r="G63" s="45"/>
      <c r="H63" s="46" t="s">
        <v>115</v>
      </c>
      <c r="I63" s="46" t="s">
        <v>115</v>
      </c>
      <c r="J63" s="44"/>
      <c r="K63" s="44">
        <v>9999.0</v>
      </c>
      <c r="L63" s="44"/>
    </row>
    <row r="64">
      <c r="A64" s="41" t="s">
        <v>17</v>
      </c>
      <c r="B64" s="42" t="s">
        <v>394</v>
      </c>
      <c r="C64" s="43">
        <v>9.0</v>
      </c>
      <c r="D64" s="48">
        <f>IFERROR(__xludf.DUMMYFUNCTION("iferror(index(split(FILTER(Sheet34!B:B,arrayformula(not(iserror(find(B64,Sheet34!A:A)))),arrayformula(value(iferror(REGEXEXTRACT(Sheet34!E:E,""(\d{1,2})-""),99))=value(C64))),""-""),1,2),12-C64)"),3.0)</f>
        <v>3</v>
      </c>
      <c r="E64" s="44" t="s">
        <v>143</v>
      </c>
      <c r="F64" s="44" t="s">
        <v>106</v>
      </c>
      <c r="G64" s="45"/>
      <c r="H64" s="46" t="s">
        <v>118</v>
      </c>
      <c r="I64" s="46" t="s">
        <v>108</v>
      </c>
      <c r="J64" s="44"/>
      <c r="K64" s="44">
        <v>9999.0</v>
      </c>
      <c r="L64" s="44"/>
    </row>
    <row r="65">
      <c r="A65" s="41" t="s">
        <v>17</v>
      </c>
      <c r="B65" s="42" t="s">
        <v>395</v>
      </c>
      <c r="C65" s="43">
        <v>8.0</v>
      </c>
      <c r="D65" s="48">
        <f>IFERROR(__xludf.DUMMYFUNCTION("iferror(index(split(FILTER(Sheet34!B:B,arrayformula(not(iserror(find(B65,Sheet34!A:A)))),arrayformula(value(iferror(REGEXEXTRACT(Sheet34!E:E,""(\d{1,2})-""),99))=value(C65))),""-""),1,2),12-C65)"),4.0)</f>
        <v>4</v>
      </c>
      <c r="E65" s="44" t="s">
        <v>396</v>
      </c>
      <c r="F65" s="44" t="s">
        <v>106</v>
      </c>
      <c r="G65" s="45"/>
      <c r="H65" s="46">
        <v>-8.0</v>
      </c>
      <c r="I65" s="46" t="s">
        <v>108</v>
      </c>
      <c r="J65" s="44"/>
      <c r="K65" s="44">
        <v>9999.0</v>
      </c>
      <c r="L65" s="44"/>
    </row>
    <row r="66">
      <c r="A66" s="41" t="s">
        <v>17</v>
      </c>
      <c r="B66" s="42" t="s">
        <v>382</v>
      </c>
      <c r="C66" s="43">
        <v>9.0</v>
      </c>
      <c r="D66" s="48">
        <f>IFERROR(__xludf.DUMMYFUNCTION("iferror(index(split(FILTER(Sheet34!B:B,arrayformula(not(iserror(find(B66,Sheet34!A:A)))),arrayformula(value(iferror(REGEXEXTRACT(Sheet34!E:E,""(\d{1,2})-""),99))=value(C66))),""-""),1,2),12-C66)"),3.0)</f>
        <v>3</v>
      </c>
      <c r="E66" s="44" t="s">
        <v>397</v>
      </c>
      <c r="F66" s="44" t="s">
        <v>106</v>
      </c>
      <c r="G66" s="45"/>
      <c r="H66" s="46">
        <v>7.0</v>
      </c>
      <c r="I66" s="46" t="s">
        <v>108</v>
      </c>
      <c r="J66" s="44"/>
      <c r="K66" s="44">
        <v>9999.0</v>
      </c>
      <c r="L66" s="44"/>
    </row>
    <row r="67">
      <c r="A67" s="34" t="s">
        <v>4</v>
      </c>
      <c r="B67" s="35" t="s">
        <v>1</v>
      </c>
      <c r="C67" s="36" t="s">
        <v>88</v>
      </c>
      <c r="D67" s="38"/>
      <c r="E67" s="38" t="s">
        <v>92</v>
      </c>
      <c r="F67" s="39" t="s">
        <v>93</v>
      </c>
      <c r="G67" s="39" t="s">
        <v>94</v>
      </c>
      <c r="H67" s="39" t="s">
        <v>95</v>
      </c>
      <c r="I67" s="39" t="s">
        <v>96</v>
      </c>
      <c r="J67" s="39" t="s">
        <v>97</v>
      </c>
      <c r="K67" s="40" t="s">
        <v>98</v>
      </c>
      <c r="L67" s="40"/>
    </row>
    <row r="68">
      <c r="A68" s="41" t="s">
        <v>22</v>
      </c>
      <c r="B68" s="42" t="s">
        <v>398</v>
      </c>
      <c r="C68" s="43">
        <v>8.0</v>
      </c>
      <c r="D68" s="48">
        <f>IFERROR(__xludf.DUMMYFUNCTION("iferror(index(split(FILTER(Sheet34!B:B,arrayformula(not(iserror(find(B68,Sheet34!A:A)))),arrayformula(value(iferror(REGEXEXTRACT(Sheet34!E:E,""(\d{1,2})-""),99))=value(C68))),""-""),1,2),12-C68)"),4.0)</f>
        <v>4</v>
      </c>
      <c r="E68" s="44" t="s">
        <v>114</v>
      </c>
      <c r="F68" s="44" t="s">
        <v>106</v>
      </c>
      <c r="G68" s="45"/>
      <c r="H68" s="46">
        <v>2.0</v>
      </c>
      <c r="I68" s="46" t="s">
        <v>108</v>
      </c>
      <c r="J68" s="44"/>
      <c r="K68" s="44">
        <v>9999.0</v>
      </c>
      <c r="L68" s="44"/>
    </row>
    <row r="69">
      <c r="A69" s="41" t="s">
        <v>22</v>
      </c>
      <c r="B69" s="42" t="s">
        <v>399</v>
      </c>
      <c r="C69" s="43">
        <v>4.0</v>
      </c>
      <c r="D69" s="44">
        <f>IFERROR(__xludf.DUMMYFUNCTION("iferror(index(split(FILTER(Sheet34!B:B,arrayformula(not(iserror(find(B69,Sheet34!A:A)))),arrayformula(value(iferror(REGEXEXTRACT(Sheet34!E:E,""(\d{1,2})-""),99))=value(C69))),""-""),1,2),12-C69)"),5.0)</f>
        <v>5</v>
      </c>
      <c r="E69" s="44" t="s">
        <v>200</v>
      </c>
      <c r="F69" s="44" t="s">
        <v>106</v>
      </c>
      <c r="G69" s="45"/>
      <c r="H69" s="46" t="s">
        <v>115</v>
      </c>
      <c r="I69" s="46" t="s">
        <v>115</v>
      </c>
      <c r="J69" s="44"/>
      <c r="K69" s="44">
        <v>9999.0</v>
      </c>
      <c r="L69" s="44"/>
    </row>
    <row r="70">
      <c r="A70" s="41" t="s">
        <v>22</v>
      </c>
      <c r="B70" s="42" t="s">
        <v>400</v>
      </c>
      <c r="C70" s="43">
        <v>7.0</v>
      </c>
      <c r="D70" s="48">
        <f>IFERROR(__xludf.DUMMYFUNCTION("iferror(index(split(FILTER(Sheet34!B:B,arrayformula(not(iserror(find(B70,Sheet34!A:A)))),arrayformula(value(iferror(REGEXEXTRACT(Sheet34!E:E,""(\d{1,2})-""),99))=value(C70))),""-""),1,2),12-C70)"),5.0)</f>
        <v>5</v>
      </c>
      <c r="E70" s="44" t="s">
        <v>212</v>
      </c>
      <c r="F70" s="44" t="s">
        <v>106</v>
      </c>
      <c r="G70" s="45"/>
      <c r="H70" s="46">
        <v>3.0</v>
      </c>
      <c r="I70" s="46" t="s">
        <v>108</v>
      </c>
      <c r="J70" s="44"/>
      <c r="K70" s="44">
        <v>9999.0</v>
      </c>
      <c r="L70" s="44"/>
    </row>
    <row r="71">
      <c r="A71" s="41" t="s">
        <v>22</v>
      </c>
      <c r="B71" s="47" t="s">
        <v>378</v>
      </c>
      <c r="C71" s="43">
        <v>8.0</v>
      </c>
      <c r="D71" s="44">
        <f>IFERROR(__xludf.DUMMYFUNCTION("iferror(index(split(FILTER(Sheet34!B:B,arrayformula(not(iserror(find(B71,Sheet34!A:A)))),arrayformula(value(iferror(REGEXEXTRACT(Sheet34!E:E,""(\d{1,2})-""),99))=value(C71))),""-""),1,2),12-C71)"),3.0)</f>
        <v>3</v>
      </c>
      <c r="E71" s="44" t="s">
        <v>114</v>
      </c>
      <c r="F71" s="44" t="s">
        <v>106</v>
      </c>
      <c r="G71" s="45"/>
      <c r="H71" s="46">
        <v>4.0</v>
      </c>
      <c r="I71" s="46" t="s">
        <v>108</v>
      </c>
      <c r="J71" s="44"/>
      <c r="K71" s="44">
        <v>9999.0</v>
      </c>
      <c r="L71" s="44"/>
    </row>
    <row r="72">
      <c r="A72" s="41" t="s">
        <v>22</v>
      </c>
      <c r="B72" s="42" t="s">
        <v>401</v>
      </c>
      <c r="C72" s="43">
        <v>5.0</v>
      </c>
      <c r="D72" s="44">
        <f>IFERROR(__xludf.DUMMYFUNCTION("iferror(index(split(FILTER(Sheet34!B:B,arrayformula(not(iserror(find(B72,Sheet34!A:A)))),arrayformula(value(iferror(REGEXEXTRACT(Sheet34!E:E,""(\d{1,2})-""),99))=value(C72))),""-""),1,2),12-C72)"),3.0)</f>
        <v>3</v>
      </c>
      <c r="E72" s="44" t="s">
        <v>192</v>
      </c>
      <c r="F72" s="44" t="s">
        <v>106</v>
      </c>
      <c r="G72" s="45"/>
      <c r="H72" s="46" t="s">
        <v>115</v>
      </c>
      <c r="I72" s="46" t="s">
        <v>115</v>
      </c>
      <c r="J72" s="44"/>
      <c r="K72" s="44">
        <v>9999.0</v>
      </c>
      <c r="L72" s="44"/>
    </row>
    <row r="73">
      <c r="A73" s="41" t="s">
        <v>22</v>
      </c>
      <c r="B73" s="42" t="s">
        <v>383</v>
      </c>
      <c r="C73" s="43">
        <v>9.0</v>
      </c>
      <c r="D73" s="44">
        <f>IFERROR(__xludf.DUMMYFUNCTION("iferror(index(split(FILTER(Sheet34!B:B,arrayformula(not(iserror(find(B73,Sheet34!A:A)))),arrayformula(value(iferror(REGEXEXTRACT(Sheet34!E:E,""(\d{1,2})-""),99))=value(C73))),""-""),1,2),12-C73)"),1.0)</f>
        <v>1</v>
      </c>
      <c r="E73" s="44" t="s">
        <v>178</v>
      </c>
      <c r="F73" s="44" t="s">
        <v>106</v>
      </c>
      <c r="G73" s="45"/>
      <c r="H73" s="46">
        <v>-3.0</v>
      </c>
      <c r="I73" s="46" t="s">
        <v>108</v>
      </c>
      <c r="J73" s="44"/>
      <c r="K73" s="44">
        <v>9999.0</v>
      </c>
      <c r="L73" s="44"/>
    </row>
    <row r="74">
      <c r="A74" s="41" t="s">
        <v>22</v>
      </c>
      <c r="B74" s="42" t="s">
        <v>402</v>
      </c>
      <c r="C74" s="43">
        <v>6.0</v>
      </c>
      <c r="D74" s="48">
        <f>IFERROR(__xludf.DUMMYFUNCTION("iferror(index(split(FILTER(Sheet34!B:B,arrayformula(not(iserror(find(B74,Sheet34!A:A)))),arrayformula(value(iferror(REGEXEXTRACT(Sheet34!E:E,""(\d{1,2})-""),99))=value(C74))),""-""),1,2),12-C74)"),6.0)</f>
        <v>6</v>
      </c>
      <c r="E74" s="44" t="s">
        <v>124</v>
      </c>
      <c r="F74" s="44" t="s">
        <v>106</v>
      </c>
      <c r="G74" s="45"/>
      <c r="H74" s="46">
        <v>5.0</v>
      </c>
      <c r="I74" s="46" t="s">
        <v>108</v>
      </c>
      <c r="J74" s="44"/>
      <c r="K74" s="44">
        <v>9999.0</v>
      </c>
      <c r="L74" s="44"/>
    </row>
    <row r="75">
      <c r="A75" s="41" t="s">
        <v>22</v>
      </c>
      <c r="B75" s="42" t="s">
        <v>403</v>
      </c>
      <c r="C75" s="43">
        <v>9.0</v>
      </c>
      <c r="D75" s="48">
        <f>IFERROR(__xludf.DUMMYFUNCTION("iferror(index(split(FILTER(Sheet34!B:B,arrayformula(not(iserror(find(B75,Sheet34!A:A)))),arrayformula(value(iferror(REGEXEXTRACT(Sheet34!E:E,""(\d{1,2})-""),99))=value(C75))),""-""),1,2),12-C75)"),3.0)</f>
        <v>3</v>
      </c>
      <c r="E75" s="44" t="s">
        <v>156</v>
      </c>
      <c r="F75" s="44" t="s">
        <v>106</v>
      </c>
      <c r="G75" s="45"/>
      <c r="H75" s="46">
        <v>7.0</v>
      </c>
      <c r="I75" s="46" t="s">
        <v>108</v>
      </c>
      <c r="J75" s="44"/>
      <c r="K75" s="44">
        <v>9999.0</v>
      </c>
      <c r="L75" s="44"/>
    </row>
    <row r="76">
      <c r="A76" s="41" t="s">
        <v>22</v>
      </c>
      <c r="B76" s="42" t="s">
        <v>404</v>
      </c>
      <c r="C76" s="43">
        <v>4.0</v>
      </c>
      <c r="D76" s="44">
        <f>IFERROR(__xludf.DUMMYFUNCTION("iferror(index(split(FILTER(Sheet34!B:B,arrayformula(not(iserror(find(B76,Sheet34!A:A)))),arrayformula(value(iferror(REGEXEXTRACT(Sheet34!E:E,""(\d{1,2})-""),99))=value(C76))),""-""),1,2),12-C76)"),5.0)</f>
        <v>5</v>
      </c>
      <c r="E76" s="44" t="s">
        <v>156</v>
      </c>
      <c r="F76" s="44" t="s">
        <v>106</v>
      </c>
      <c r="G76" s="45"/>
      <c r="H76" s="46" t="s">
        <v>115</v>
      </c>
      <c r="I76" s="46" t="s">
        <v>115</v>
      </c>
      <c r="J76" s="44"/>
      <c r="K76" s="44">
        <v>9999.0</v>
      </c>
      <c r="L76" s="44"/>
    </row>
    <row r="77">
      <c r="A77" s="41" t="s">
        <v>22</v>
      </c>
      <c r="B77" s="42" t="s">
        <v>405</v>
      </c>
      <c r="C77" s="43">
        <v>3.0</v>
      </c>
      <c r="D77" s="44">
        <f>IFERROR(__xludf.DUMMYFUNCTION("iferror(index(split(FILTER(Sheet34!B:B,arrayformula(not(iserror(find(B77,Sheet34!A:A)))),arrayformula(value(iferror(REGEXEXTRACT(Sheet34!E:E,""(\d{1,2})-""),99))=value(C77))),""-""),1,2),12-C77)"),6.0)</f>
        <v>6</v>
      </c>
      <c r="E77" s="44" t="s">
        <v>165</v>
      </c>
      <c r="F77" s="44" t="s">
        <v>106</v>
      </c>
      <c r="G77" s="45"/>
      <c r="H77" s="46" t="s">
        <v>115</v>
      </c>
      <c r="I77" s="46" t="s">
        <v>115</v>
      </c>
      <c r="J77" s="44"/>
      <c r="K77" s="44">
        <v>9999.0</v>
      </c>
      <c r="L77" s="44"/>
    </row>
    <row r="78">
      <c r="A78" s="34" t="s">
        <v>4</v>
      </c>
      <c r="B78" s="35" t="s">
        <v>1</v>
      </c>
      <c r="C78" s="36" t="s">
        <v>88</v>
      </c>
      <c r="D78" s="38"/>
      <c r="E78" s="38" t="s">
        <v>92</v>
      </c>
      <c r="F78" s="39" t="s">
        <v>93</v>
      </c>
      <c r="G78" s="39" t="s">
        <v>94</v>
      </c>
      <c r="H78" s="39" t="s">
        <v>95</v>
      </c>
      <c r="I78" s="39" t="s">
        <v>96</v>
      </c>
      <c r="J78" s="39" t="s">
        <v>97</v>
      </c>
      <c r="K78" s="40" t="s">
        <v>98</v>
      </c>
      <c r="L78" s="40"/>
    </row>
    <row r="79">
      <c r="A79" s="41" t="s">
        <v>18</v>
      </c>
      <c r="B79" s="42" t="s">
        <v>408</v>
      </c>
      <c r="C79" s="43">
        <v>5.0</v>
      </c>
      <c r="D79" s="44">
        <f>IFERROR(__xludf.DUMMYFUNCTION("iferror(index(split(FILTER(Sheet34!B:B,arrayformula(not(iserror(find(B79,Sheet34!A:A)))),arrayformula(value(iferror(REGEXEXTRACT(Sheet34!E:E,""(\d{1,2})-""),99))=value(C79))),""-""),1,2),12-C79)"),4.0)</f>
        <v>4</v>
      </c>
      <c r="E79" s="44" t="s">
        <v>143</v>
      </c>
      <c r="F79" s="44" t="s">
        <v>106</v>
      </c>
      <c r="G79" s="45"/>
      <c r="H79" s="46" t="s">
        <v>115</v>
      </c>
      <c r="I79" s="46" t="s">
        <v>115</v>
      </c>
      <c r="J79" s="44"/>
      <c r="K79" s="44">
        <v>9999.0</v>
      </c>
      <c r="L79" s="44"/>
    </row>
    <row r="80">
      <c r="A80" s="41" t="s">
        <v>18</v>
      </c>
      <c r="B80" s="42" t="s">
        <v>409</v>
      </c>
      <c r="C80" s="43">
        <v>8.0</v>
      </c>
      <c r="D80" s="48">
        <f>IFERROR(__xludf.DUMMYFUNCTION("iferror(index(split(FILTER(Sheet34!B:B,arrayformula(not(iserror(find(B80,Sheet34!A:A)))),arrayformula(value(iferror(REGEXEXTRACT(Sheet34!E:E,""(\d{1,2})-""),99))=value(C80))),""-""),1,2),12-C80)"),4.0)</f>
        <v>4</v>
      </c>
      <c r="E80" s="57" t="s">
        <v>410</v>
      </c>
      <c r="F80" s="44" t="s">
        <v>106</v>
      </c>
      <c r="G80" s="45"/>
      <c r="H80" s="46">
        <v>1.0</v>
      </c>
      <c r="I80" s="46" t="s">
        <v>108</v>
      </c>
      <c r="J80" s="44"/>
      <c r="K80" s="44">
        <v>9999.0</v>
      </c>
      <c r="L80" s="44"/>
    </row>
    <row r="81">
      <c r="A81" s="41" t="s">
        <v>18</v>
      </c>
      <c r="B81" s="42" t="s">
        <v>411</v>
      </c>
      <c r="C81" s="43">
        <v>9.0</v>
      </c>
      <c r="D81" s="48">
        <f>IFERROR(__xludf.DUMMYFUNCTION("iferror(index(split(FILTER(Sheet34!B:B,arrayformula(not(iserror(find(B81,Sheet34!A:A)))),arrayformula(value(iferror(REGEXEXTRACT(Sheet34!E:E,""(\d{1,2})-""),99))=value(C81))),""-""),1,2),12-C81)"),3.0)</f>
        <v>3</v>
      </c>
      <c r="E81" s="44" t="s">
        <v>130</v>
      </c>
      <c r="F81" s="44" t="s">
        <v>106</v>
      </c>
      <c r="G81" s="45"/>
      <c r="H81" s="46">
        <v>3.0</v>
      </c>
      <c r="I81" s="46" t="s">
        <v>108</v>
      </c>
      <c r="J81" s="44"/>
      <c r="K81" s="44">
        <v>9999.0</v>
      </c>
      <c r="L81" s="44"/>
    </row>
    <row r="82">
      <c r="A82" s="41" t="s">
        <v>18</v>
      </c>
      <c r="B82" s="47" t="s">
        <v>414</v>
      </c>
      <c r="C82" s="43">
        <v>4.0</v>
      </c>
      <c r="D82" s="44">
        <f>IFERROR(__xludf.DUMMYFUNCTION("iferror(index(split(FILTER(Sheet34!B:B,arrayformula(not(iserror(find(B82,Sheet34!A:A)))),arrayformula(value(iferror(REGEXEXTRACT(Sheet34!E:E,""(\d{1,2})-""),99))=value(C82))),""-""),1,2),12-C82)"),7.0)</f>
        <v>7</v>
      </c>
      <c r="E82" s="44" t="s">
        <v>161</v>
      </c>
      <c r="F82" s="44" t="s">
        <v>106</v>
      </c>
      <c r="G82" s="45"/>
      <c r="H82" s="46" t="s">
        <v>115</v>
      </c>
      <c r="I82" s="46" t="s">
        <v>115</v>
      </c>
      <c r="J82" s="44"/>
      <c r="K82" s="44">
        <v>9999.0</v>
      </c>
      <c r="L82" s="44"/>
    </row>
    <row r="83">
      <c r="A83" s="41" t="s">
        <v>18</v>
      </c>
      <c r="B83" s="42" t="s">
        <v>415</v>
      </c>
      <c r="C83" s="43">
        <v>8.0</v>
      </c>
      <c r="D83" s="44">
        <f>IFERROR(__xludf.DUMMYFUNCTION("iferror(index(split(FILTER(Sheet34!B:B,arrayformula(not(iserror(find(B83,Sheet34!A:A)))),arrayformula(value(iferror(REGEXEXTRACT(Sheet34!E:E,""(\d{1,2})-""),99))=value(C83))),""-""),1,2),12-C83)"),3.0)</f>
        <v>3</v>
      </c>
      <c r="E83" s="44" t="s">
        <v>124</v>
      </c>
      <c r="F83" s="44" t="s">
        <v>106</v>
      </c>
      <c r="G83" s="45"/>
      <c r="H83" s="46">
        <v>3.0</v>
      </c>
      <c r="I83" s="46" t="s">
        <v>108</v>
      </c>
      <c r="J83" s="44"/>
      <c r="K83" s="44">
        <v>9999.0</v>
      </c>
      <c r="L83" s="44"/>
    </row>
    <row r="84">
      <c r="A84" s="41" t="s">
        <v>18</v>
      </c>
      <c r="B84" s="42" t="s">
        <v>416</v>
      </c>
      <c r="C84" s="43">
        <v>8.0</v>
      </c>
      <c r="D84" s="44">
        <f>IFERROR(__xludf.DUMMYFUNCTION("iferror(index(split(FILTER(Sheet34!B:B,arrayformula(not(iserror(find(B84,Sheet34!A:A)))),arrayformula(value(iferror(REGEXEXTRACT(Sheet34!E:E,""(\d{1,2})-""),99))=value(C84))),""-""),1,2),12-C84)"),2.0)</f>
        <v>2</v>
      </c>
      <c r="E84" s="44" t="s">
        <v>178</v>
      </c>
      <c r="F84" s="44" t="s">
        <v>106</v>
      </c>
      <c r="G84" s="45"/>
      <c r="H84" s="46" t="s">
        <v>417</v>
      </c>
      <c r="I84" s="46" t="s">
        <v>108</v>
      </c>
      <c r="J84" s="44"/>
      <c r="K84" s="44">
        <v>9999.0</v>
      </c>
      <c r="L84" s="44"/>
    </row>
    <row r="85">
      <c r="A85" s="41" t="s">
        <v>18</v>
      </c>
      <c r="B85" s="42" t="s">
        <v>406</v>
      </c>
      <c r="C85" s="43">
        <v>11.0</v>
      </c>
      <c r="D85" s="44">
        <f>IFERROR(__xludf.DUMMYFUNCTION("iferror(index(split(FILTER(Sheet34!B:B,arrayformula(not(iserror(find(B85,Sheet34!A:A)))),arrayformula(value(iferror(REGEXEXTRACT(Sheet34!E:E,""(\d{1,2})-""),99))=value(C85))),""-""),1,2),12-C85)"),1.0)</f>
        <v>1</v>
      </c>
      <c r="E85" s="44" t="s">
        <v>187</v>
      </c>
      <c r="F85" s="44" t="s">
        <v>106</v>
      </c>
      <c r="G85" s="45"/>
      <c r="H85" s="46" t="s">
        <v>418</v>
      </c>
      <c r="I85" s="46" t="s">
        <v>108</v>
      </c>
      <c r="J85" s="44"/>
      <c r="K85" s="44">
        <v>9999.0</v>
      </c>
      <c r="L85" s="44"/>
    </row>
    <row r="86">
      <c r="A86" s="41" t="s">
        <v>18</v>
      </c>
      <c r="B86" s="42" t="s">
        <v>420</v>
      </c>
      <c r="C86" s="43">
        <v>4.0</v>
      </c>
      <c r="D86" s="48">
        <f>IFERROR(__xludf.DUMMYFUNCTION("iferror(index(split(FILTER(Sheet34!B:B,arrayformula(not(iserror(find(B86,Sheet34!A:A)))),arrayformula(value(iferror(REGEXEXTRACT(Sheet34!E:E,""(\d{1,2})-""),99))=value(C86))),""-""),1,2),12-C86)"),8.0)</f>
        <v>8</v>
      </c>
      <c r="E86" s="44" t="s">
        <v>114</v>
      </c>
      <c r="F86" s="44" t="s">
        <v>106</v>
      </c>
      <c r="G86" s="45"/>
      <c r="H86" s="46" t="s">
        <v>115</v>
      </c>
      <c r="I86" s="46" t="s">
        <v>115</v>
      </c>
      <c r="J86" s="44"/>
      <c r="K86" s="44">
        <v>9999.0</v>
      </c>
      <c r="L86" s="44"/>
    </row>
    <row r="87">
      <c r="A87" s="41" t="s">
        <v>18</v>
      </c>
      <c r="B87" s="42" t="s">
        <v>421</v>
      </c>
      <c r="C87" s="43">
        <v>5.0</v>
      </c>
      <c r="D87" s="44">
        <f>IFERROR(__xludf.DUMMYFUNCTION("iferror(index(split(FILTER(Sheet34!B:B,arrayformula(not(iserror(find(B87,Sheet34!A:A)))),arrayformula(value(iferror(REGEXEXTRACT(Sheet34!E:E,""(\d{1,2})-""),99))=value(C87))),""-""),1,2),12-C87)"),6.0)</f>
        <v>6</v>
      </c>
      <c r="E87" s="44" t="s">
        <v>27</v>
      </c>
      <c r="F87" s="44" t="s">
        <v>106</v>
      </c>
      <c r="G87" s="45"/>
      <c r="H87" s="46" t="s">
        <v>115</v>
      </c>
      <c r="I87" s="46" t="s">
        <v>115</v>
      </c>
      <c r="J87" s="44"/>
      <c r="K87" s="44">
        <v>9999.0</v>
      </c>
      <c r="L87" s="44"/>
    </row>
    <row r="88">
      <c r="A88" s="41" t="s">
        <v>18</v>
      </c>
      <c r="B88" s="42" t="s">
        <v>374</v>
      </c>
      <c r="C88" s="43">
        <v>3.0</v>
      </c>
      <c r="D88" s="44">
        <f>IFERROR(__xludf.DUMMYFUNCTION("iferror(index(split(FILTER(Sheet34!B:B,arrayformula(not(iserror(find(B88,Sheet34!A:A)))),arrayformula(value(iferror(REGEXEXTRACT(Sheet34!E:E,""(\d{1,2})-""),99))=value(C88))),""-""),1,2),12-C88)"),7.0)</f>
        <v>7</v>
      </c>
      <c r="E88" s="44" t="s">
        <v>212</v>
      </c>
      <c r="F88" s="44" t="s">
        <v>106</v>
      </c>
      <c r="G88" s="45"/>
      <c r="H88" s="46" t="s">
        <v>115</v>
      </c>
      <c r="I88" s="46" t="s">
        <v>115</v>
      </c>
      <c r="J88" s="44"/>
      <c r="K88" s="44">
        <v>9999.0</v>
      </c>
      <c r="L88" s="44"/>
    </row>
    <row r="89">
      <c r="A89" s="34" t="s">
        <v>4</v>
      </c>
      <c r="B89" s="35" t="s">
        <v>1</v>
      </c>
      <c r="C89" s="36" t="s">
        <v>88</v>
      </c>
      <c r="D89" s="38"/>
      <c r="E89" s="38" t="s">
        <v>92</v>
      </c>
      <c r="F89" s="39" t="s">
        <v>93</v>
      </c>
      <c r="G89" s="39" t="s">
        <v>94</v>
      </c>
      <c r="H89" s="39" t="s">
        <v>95</v>
      </c>
      <c r="I89" s="39" t="s">
        <v>96</v>
      </c>
      <c r="J89" s="39" t="s">
        <v>97</v>
      </c>
      <c r="K89" s="40" t="s">
        <v>98</v>
      </c>
      <c r="L89" s="40"/>
    </row>
    <row r="90">
      <c r="A90" s="41" t="s">
        <v>20</v>
      </c>
      <c r="B90" s="42" t="s">
        <v>422</v>
      </c>
      <c r="C90" s="43">
        <v>12.0</v>
      </c>
      <c r="D90" s="48">
        <f>IFERROR(__xludf.DUMMYFUNCTION("iferror(index(split(FILTER(Sheet34!B:B,arrayformula(not(iserror(find(B90,Sheet34!A:A)))),arrayformula(value(iferror(REGEXEXTRACT(Sheet34!E:E,""(\d{1,2})-""),99))=value(C90))),""-""),1,2),12-C90)"),0.0)</f>
        <v>0</v>
      </c>
      <c r="E90" s="44" t="s">
        <v>121</v>
      </c>
      <c r="F90" s="44" t="s">
        <v>106</v>
      </c>
      <c r="G90" s="45"/>
      <c r="H90" s="46" t="s">
        <v>424</v>
      </c>
      <c r="I90" s="46" t="s">
        <v>108</v>
      </c>
      <c r="J90" s="44"/>
      <c r="K90" s="44">
        <v>9999.0</v>
      </c>
      <c r="L90" s="44"/>
    </row>
    <row r="91">
      <c r="A91" s="41" t="s">
        <v>20</v>
      </c>
      <c r="B91" s="42" t="s">
        <v>425</v>
      </c>
      <c r="C91" s="43">
        <v>3.0</v>
      </c>
      <c r="D91" s="44">
        <f>IFERROR(__xludf.DUMMYFUNCTION("iferror(index(split(FILTER(Sheet34!B:B,arrayformula(not(iserror(find(B91,Sheet34!A:A)))),arrayformula(value(iferror(REGEXEXTRACT(Sheet34!E:E,""(\d{1,2})-""),99))=value(C91))),""-""),1,2),12-C91)"),6.0)</f>
        <v>6</v>
      </c>
      <c r="E91" s="44" t="s">
        <v>137</v>
      </c>
      <c r="F91" s="44" t="s">
        <v>106</v>
      </c>
      <c r="G91" s="45"/>
      <c r="H91" s="46" t="s">
        <v>115</v>
      </c>
      <c r="I91" s="46" t="s">
        <v>115</v>
      </c>
      <c r="J91" s="44"/>
      <c r="K91" s="44">
        <v>9999.0</v>
      </c>
      <c r="L91" s="44"/>
    </row>
    <row r="92">
      <c r="A92" s="41" t="s">
        <v>20</v>
      </c>
      <c r="B92" s="42" t="s">
        <v>426</v>
      </c>
      <c r="C92" s="43">
        <v>9.0</v>
      </c>
      <c r="D92" s="48">
        <f>IFERROR(__xludf.DUMMYFUNCTION("iferror(index(split(FILTER(Sheet34!B:B,arrayformula(not(iserror(find(B92,Sheet34!A:A)))),arrayformula(value(iferror(REGEXEXTRACT(Sheet34!E:E,""(\d{1,2})-""),99))=value(C92))),""-""),1,2),12-C92)"),3.0)</f>
        <v>3</v>
      </c>
      <c r="E92" s="44" t="s">
        <v>187</v>
      </c>
      <c r="F92" s="44" t="s">
        <v>106</v>
      </c>
      <c r="G92" s="45"/>
      <c r="H92" s="46" t="s">
        <v>162</v>
      </c>
      <c r="I92" s="46" t="s">
        <v>108</v>
      </c>
      <c r="J92" s="44"/>
      <c r="K92" s="44">
        <v>9999.0</v>
      </c>
      <c r="L92" s="44"/>
    </row>
    <row r="93">
      <c r="A93" s="41" t="s">
        <v>20</v>
      </c>
      <c r="B93" s="47" t="s">
        <v>427</v>
      </c>
      <c r="C93" s="43">
        <v>3.0</v>
      </c>
      <c r="D93" s="44">
        <f>IFERROR(__xludf.DUMMYFUNCTION("iferror(index(split(FILTER(Sheet34!B:B,arrayformula(not(iserror(find(B93,Sheet34!A:A)))),arrayformula(value(iferror(REGEXEXTRACT(Sheet34!E:E,""(\d{1,2})-""),99))=value(C93))),""-""),1,2),12-C93)"),8.0)</f>
        <v>8</v>
      </c>
      <c r="E93" s="44" t="s">
        <v>124</v>
      </c>
      <c r="F93" s="44" t="s">
        <v>106</v>
      </c>
      <c r="G93" s="45"/>
      <c r="H93" s="46" t="s">
        <v>115</v>
      </c>
      <c r="I93" s="46" t="s">
        <v>115</v>
      </c>
      <c r="J93" s="44"/>
      <c r="K93" s="44">
        <v>9999.0</v>
      </c>
      <c r="L93" s="44"/>
    </row>
    <row r="94">
      <c r="A94" s="41" t="s">
        <v>20</v>
      </c>
      <c r="B94" s="42" t="s">
        <v>373</v>
      </c>
      <c r="C94" s="43">
        <v>10.0</v>
      </c>
      <c r="D94" s="48">
        <f>IFERROR(__xludf.DUMMYFUNCTION("iferror(index(split(FILTER(Sheet34!B:B,arrayformula(not(iserror(find(B94,Sheet34!A:A)))),arrayformula(value(iferror(REGEXEXTRACT(Sheet34!E:E,""(\d{1,2})-""),99))=value(C94))),""-""),1,2),12-C94)"),2.0)</f>
        <v>2</v>
      </c>
      <c r="E94" s="44" t="s">
        <v>192</v>
      </c>
      <c r="F94" s="44" t="s">
        <v>106</v>
      </c>
      <c r="G94" s="45"/>
      <c r="H94" s="46" t="s">
        <v>428</v>
      </c>
      <c r="I94" s="46" t="s">
        <v>108</v>
      </c>
      <c r="J94" s="44"/>
      <c r="K94" s="44">
        <v>9999.0</v>
      </c>
      <c r="L94" s="44"/>
    </row>
    <row r="95">
      <c r="A95" s="41" t="s">
        <v>20</v>
      </c>
      <c r="B95" s="42" t="s">
        <v>429</v>
      </c>
      <c r="C95" s="43">
        <v>3.0</v>
      </c>
      <c r="D95" s="44">
        <f>IFERROR(__xludf.DUMMYFUNCTION("iferror(index(split(FILTER(Sheet34!B:B,arrayformula(not(iserror(find(B95,Sheet34!A:A)))),arrayformula(value(iferror(REGEXEXTRACT(Sheet34!E:E,""(\d{1,2})-""),99))=value(C95))),""-""),1,2),12-C95)"),7.0)</f>
        <v>7</v>
      </c>
      <c r="E95" s="44" t="s">
        <v>124</v>
      </c>
      <c r="F95" s="44" t="s">
        <v>106</v>
      </c>
      <c r="G95" s="45"/>
      <c r="H95" s="46" t="s">
        <v>115</v>
      </c>
      <c r="I95" s="46" t="s">
        <v>115</v>
      </c>
      <c r="J95" s="44"/>
      <c r="K95" s="44">
        <v>9999.0</v>
      </c>
      <c r="L95" s="44"/>
    </row>
    <row r="96">
      <c r="A96" s="41" t="s">
        <v>20</v>
      </c>
      <c r="B96" s="42" t="s">
        <v>430</v>
      </c>
      <c r="C96" s="43">
        <v>8.0</v>
      </c>
      <c r="D96" s="44">
        <f>IFERROR(__xludf.DUMMYFUNCTION("iferror(index(split(FILTER(Sheet34!B:B,arrayformula(not(iserror(find(B96,Sheet34!A:A)))),arrayformula(value(iferror(REGEXEXTRACT(Sheet34!E:E,""(\d{1,2})-""),99))=value(C96))),""-""),1,2),12-C96)"),3.0)</f>
        <v>3</v>
      </c>
      <c r="E96" s="44" t="s">
        <v>187</v>
      </c>
      <c r="F96" s="44" t="s">
        <v>106</v>
      </c>
      <c r="G96" s="45"/>
      <c r="H96" s="46">
        <v>-3.0</v>
      </c>
      <c r="I96" s="46" t="s">
        <v>108</v>
      </c>
      <c r="J96" s="44"/>
      <c r="K96" s="44">
        <v>9999.0</v>
      </c>
      <c r="L96" s="44"/>
    </row>
    <row r="97">
      <c r="A97" s="41" t="s">
        <v>20</v>
      </c>
      <c r="B97" s="42" t="s">
        <v>431</v>
      </c>
      <c r="C97" s="43">
        <v>3.0</v>
      </c>
      <c r="D97" s="44">
        <f>IFERROR(__xludf.DUMMYFUNCTION("iferror(index(split(FILTER(Sheet34!B:B,arrayformula(not(iserror(find(B97,Sheet34!A:A)))),arrayformula(value(iferror(REGEXEXTRACT(Sheet34!E:E,""(\d{1,2})-""),99))=value(C97))),""-""),1,2),12-C97)"),6.0)</f>
        <v>6</v>
      </c>
      <c r="E97" s="44" t="s">
        <v>192</v>
      </c>
      <c r="F97" s="44" t="s">
        <v>106</v>
      </c>
      <c r="G97" s="45"/>
      <c r="H97" s="46" t="s">
        <v>115</v>
      </c>
      <c r="I97" s="46" t="s">
        <v>115</v>
      </c>
      <c r="J97" s="44"/>
      <c r="K97" s="44">
        <v>9999.0</v>
      </c>
      <c r="L97" s="44"/>
    </row>
    <row r="98">
      <c r="A98" s="41" t="s">
        <v>20</v>
      </c>
      <c r="B98" s="42" t="s">
        <v>412</v>
      </c>
      <c r="C98" s="43">
        <v>9.0</v>
      </c>
      <c r="D98" s="48">
        <f>IFERROR(__xludf.DUMMYFUNCTION("iferror(index(split(FILTER(Sheet34!B:B,arrayformula(not(iserror(find(B98,Sheet34!A:A)))),arrayformula(value(iferror(REGEXEXTRACT(Sheet34!E:E,""(\d{1,2})-""),99))=value(C98))),""-""),1,2),12-C98)"),3.0)</f>
        <v>3</v>
      </c>
      <c r="E98" s="44" t="s">
        <v>114</v>
      </c>
      <c r="F98" s="44" t="s">
        <v>106</v>
      </c>
      <c r="G98" s="45"/>
      <c r="H98" s="46">
        <v>-3.0</v>
      </c>
      <c r="I98" s="46" t="s">
        <v>108</v>
      </c>
      <c r="J98" s="44"/>
      <c r="K98" s="44">
        <v>9999.0</v>
      </c>
      <c r="L98" s="44"/>
    </row>
    <row r="99">
      <c r="A99" s="41" t="s">
        <v>20</v>
      </c>
      <c r="B99" s="42" t="s">
        <v>432</v>
      </c>
      <c r="C99" s="43">
        <v>3.0</v>
      </c>
      <c r="D99" s="44">
        <f>IFERROR(__xludf.DUMMYFUNCTION("iferror(index(split(FILTER(Sheet34!B:B,arrayformula(not(iserror(find(B99,Sheet34!A:A)))),arrayformula(value(iferror(REGEXEXTRACT(Sheet34!E:E,""(\d{1,2})-""),99))=value(C99))),""-""),1,2),12-C99)"),7.0)</f>
        <v>7</v>
      </c>
      <c r="E99" s="44" t="s">
        <v>156</v>
      </c>
      <c r="F99" s="44" t="s">
        <v>106</v>
      </c>
      <c r="G99" s="45"/>
      <c r="H99" s="46" t="s">
        <v>115</v>
      </c>
      <c r="I99" s="46" t="s">
        <v>115</v>
      </c>
      <c r="J99" s="44"/>
      <c r="K99" s="44">
        <v>9999.0</v>
      </c>
      <c r="L99" s="44"/>
    </row>
    <row r="100">
      <c r="A100" s="34" t="s">
        <v>4</v>
      </c>
      <c r="B100" s="35" t="s">
        <v>1</v>
      </c>
      <c r="C100" s="36" t="s">
        <v>88</v>
      </c>
      <c r="D100" s="38"/>
      <c r="E100" s="38" t="s">
        <v>92</v>
      </c>
      <c r="F100" s="39" t="s">
        <v>93</v>
      </c>
      <c r="G100" s="39" t="s">
        <v>94</v>
      </c>
      <c r="H100" s="39" t="s">
        <v>95</v>
      </c>
      <c r="I100" s="39" t="s">
        <v>96</v>
      </c>
      <c r="J100" s="39" t="s">
        <v>97</v>
      </c>
      <c r="K100" s="40" t="s">
        <v>98</v>
      </c>
      <c r="L100" s="40"/>
    </row>
    <row r="101">
      <c r="A101" s="41" t="s">
        <v>16</v>
      </c>
      <c r="B101" s="42" t="s">
        <v>433</v>
      </c>
      <c r="C101" s="43">
        <v>8.0</v>
      </c>
      <c r="D101" s="44">
        <f>IFERROR(__xludf.DUMMYFUNCTION("iferror(index(split(FILTER(Sheet34!B:B,arrayformula(not(iserror(find(B101,Sheet34!A:A)))),arrayformula(value(iferror(REGEXEXTRACT(Sheet34!E:E,""(\d{1,2})-""),99))=value(C101))),""-""),1,2),12-C101)"),2.0)</f>
        <v>2</v>
      </c>
      <c r="E101" s="44" t="s">
        <v>236</v>
      </c>
      <c r="F101" s="44" t="s">
        <v>106</v>
      </c>
      <c r="G101" s="45"/>
      <c r="H101" s="46" t="s">
        <v>418</v>
      </c>
      <c r="I101" s="46" t="s">
        <v>108</v>
      </c>
      <c r="J101" s="44"/>
      <c r="K101" s="44">
        <v>9999.0</v>
      </c>
      <c r="L101" s="44"/>
    </row>
    <row r="102">
      <c r="A102" s="41" t="s">
        <v>16</v>
      </c>
      <c r="B102" s="42" t="s">
        <v>434</v>
      </c>
      <c r="C102" s="43">
        <v>11.0</v>
      </c>
      <c r="D102" s="48">
        <f>IFERROR(__xludf.DUMMYFUNCTION("iferror(index(split(FILTER(Sheet34!B:B,arrayformula(not(iserror(find(B102,Sheet34!A:A)))),arrayformula(value(iferror(REGEXEXTRACT(Sheet34!E:E,""(\d{1,2})-""),99))=value(C102))),""-""),1,2),12-C102)"),1.0)</f>
        <v>1</v>
      </c>
      <c r="E102" s="44" t="s">
        <v>156</v>
      </c>
      <c r="F102" s="44" t="s">
        <v>106</v>
      </c>
      <c r="G102" s="45"/>
      <c r="H102" s="46" t="s">
        <v>435</v>
      </c>
      <c r="I102" s="46" t="s">
        <v>108</v>
      </c>
      <c r="J102" s="44"/>
      <c r="K102" s="44">
        <v>9999.0</v>
      </c>
      <c r="L102" s="44"/>
    </row>
    <row r="103">
      <c r="A103" s="41" t="s">
        <v>16</v>
      </c>
      <c r="B103" s="42" t="s">
        <v>419</v>
      </c>
      <c r="C103" s="43">
        <v>6.0</v>
      </c>
      <c r="D103" s="48">
        <f>IFERROR(__xludf.DUMMYFUNCTION("iferror(index(split(FILTER(Sheet34!B:B,arrayformula(not(iserror(find(B103,Sheet34!A:A)))),arrayformula(value(iferror(REGEXEXTRACT(Sheet34!E:E,""(\d{1,2})-""),99))=value(C103))),""-""),1,2),12-C103)"),6.0)</f>
        <v>6</v>
      </c>
      <c r="E103" s="44" t="s">
        <v>130</v>
      </c>
      <c r="F103" s="44" t="s">
        <v>106</v>
      </c>
      <c r="G103" s="45"/>
      <c r="H103" s="46">
        <v>9.0</v>
      </c>
      <c r="I103" s="46" t="s">
        <v>108</v>
      </c>
      <c r="J103" s="44"/>
      <c r="K103" s="44">
        <v>9999.0</v>
      </c>
      <c r="L103" s="44"/>
    </row>
    <row r="104">
      <c r="A104" s="41" t="s">
        <v>16</v>
      </c>
      <c r="B104" s="47" t="s">
        <v>436</v>
      </c>
      <c r="C104" s="43">
        <v>7.0</v>
      </c>
      <c r="D104" s="48">
        <f>IFERROR(__xludf.DUMMYFUNCTION("iferror(index(split(FILTER(Sheet34!B:B,arrayformula(not(iserror(find(B104,Sheet34!A:A)))),arrayformula(value(iferror(REGEXEXTRACT(Sheet34!E:E,""(\d{1,2})-""),99))=value(C104))),""-""),1,2),12-C104)"),5.0)</f>
        <v>5</v>
      </c>
      <c r="E104" s="44" t="s">
        <v>27</v>
      </c>
      <c r="F104" s="44" t="s">
        <v>106</v>
      </c>
      <c r="G104" s="45"/>
      <c r="H104" s="46">
        <v>6.0</v>
      </c>
      <c r="I104" s="46" t="s">
        <v>108</v>
      </c>
      <c r="J104" s="44"/>
      <c r="K104" s="44">
        <v>9999.0</v>
      </c>
      <c r="L104" s="44"/>
    </row>
    <row r="105">
      <c r="A105" s="41" t="s">
        <v>16</v>
      </c>
      <c r="B105" s="42" t="s">
        <v>437</v>
      </c>
      <c r="C105" s="43">
        <v>6.0</v>
      </c>
      <c r="D105" s="48">
        <f>IFERROR(__xludf.DUMMYFUNCTION("iferror(index(split(FILTER(Sheet34!B:B,arrayformula(not(iserror(find(B105,Sheet34!A:A)))),arrayformula(value(iferror(REGEXEXTRACT(Sheet34!E:E,""(\d{1,2})-""),99))=value(C105))),""-""),1,2),12-C105)"),6.0)</f>
        <v>6</v>
      </c>
      <c r="E105" s="44" t="s">
        <v>212</v>
      </c>
      <c r="F105" s="44" t="s">
        <v>106</v>
      </c>
      <c r="G105" s="45"/>
      <c r="H105" s="46">
        <v>-4.0</v>
      </c>
      <c r="I105" s="46" t="s">
        <v>108</v>
      </c>
      <c r="J105" s="44"/>
      <c r="K105" s="44">
        <v>9999.0</v>
      </c>
      <c r="L105" s="44"/>
    </row>
    <row r="106">
      <c r="A106" s="41" t="s">
        <v>16</v>
      </c>
      <c r="B106" s="42" t="s">
        <v>438</v>
      </c>
      <c r="C106" s="43">
        <v>7.0</v>
      </c>
      <c r="D106" s="44">
        <f>IFERROR(__xludf.DUMMYFUNCTION("iferror(index(split(FILTER(Sheet34!B:B,arrayformula(not(iserror(find(B106,Sheet34!A:A)))),arrayformula(value(iferror(REGEXEXTRACT(Sheet34!E:E,""(\d{1,2})-""),99))=value(C106))),""-""),1,2),12-C106)"),5.0)</f>
        <v>5</v>
      </c>
      <c r="E106" s="44" t="s">
        <v>105</v>
      </c>
      <c r="F106" s="44" t="s">
        <v>106</v>
      </c>
      <c r="G106" s="45"/>
      <c r="H106" s="46" t="s">
        <v>417</v>
      </c>
      <c r="I106" s="46" t="s">
        <v>108</v>
      </c>
      <c r="J106" s="44"/>
      <c r="K106" s="44">
        <v>9999.0</v>
      </c>
      <c r="L106" s="44"/>
    </row>
    <row r="107">
      <c r="A107" s="41" t="s">
        <v>16</v>
      </c>
      <c r="B107" s="42" t="s">
        <v>423</v>
      </c>
      <c r="C107" s="43">
        <v>10.0</v>
      </c>
      <c r="D107" s="44">
        <f>IFERROR(__xludf.DUMMYFUNCTION("iferror(index(split(FILTER(Sheet34!B:B,arrayformula(not(iserror(find(B107,Sheet34!A:A)))),arrayformula(value(iferror(REGEXEXTRACT(Sheet34!E:E,""(\d{1,2})-""),99))=value(C107))),""-""),1,2),12-C107)"),2.0)</f>
        <v>2</v>
      </c>
      <c r="E107" s="44" t="s">
        <v>187</v>
      </c>
      <c r="F107" s="44" t="s">
        <v>106</v>
      </c>
      <c r="G107" s="45"/>
      <c r="H107" s="46">
        <v>-7.0</v>
      </c>
      <c r="I107" s="46" t="s">
        <v>108</v>
      </c>
      <c r="J107" s="44"/>
      <c r="K107" s="44">
        <v>9999.0</v>
      </c>
      <c r="L107" s="44"/>
    </row>
    <row r="108">
      <c r="A108" s="41" t="s">
        <v>16</v>
      </c>
      <c r="B108" s="42" t="s">
        <v>377</v>
      </c>
      <c r="C108" s="43">
        <v>6.0</v>
      </c>
      <c r="D108" s="44">
        <f>IFERROR(__xludf.DUMMYFUNCTION("iferror(index(split(FILTER(Sheet34!B:B,arrayformula(not(iserror(find(B108,Sheet34!A:A)))),arrayformula(value(iferror(REGEXEXTRACT(Sheet34!E:E,""(\d{1,2})-""),99))=value(C108))),""-""),1,2),12-C108)"),4.0)</f>
        <v>4</v>
      </c>
      <c r="E108" s="44" t="s">
        <v>187</v>
      </c>
      <c r="F108" s="44" t="s">
        <v>106</v>
      </c>
      <c r="G108" s="45"/>
      <c r="H108" s="46">
        <v>-6.0</v>
      </c>
      <c r="I108" s="46" t="s">
        <v>108</v>
      </c>
      <c r="J108" s="44"/>
      <c r="K108" s="44">
        <v>9999.0</v>
      </c>
      <c r="L108" s="44"/>
    </row>
    <row r="109">
      <c r="A109" s="41" t="s">
        <v>16</v>
      </c>
      <c r="B109" s="42" t="s">
        <v>439</v>
      </c>
      <c r="C109" s="43">
        <v>5.0</v>
      </c>
      <c r="D109" s="44">
        <f>IFERROR(__xludf.DUMMYFUNCTION("iferror(index(split(FILTER(Sheet34!B:B,arrayformula(not(iserror(find(B109,Sheet34!A:A)))),arrayformula(value(iferror(REGEXEXTRACT(Sheet34!E:E,""(\d{1,2})-""),99))=value(C109))),""-""),1,2),12-C109)"),5.0)</f>
        <v>5</v>
      </c>
      <c r="E109" s="44" t="s">
        <v>440</v>
      </c>
      <c r="F109" s="44" t="s">
        <v>106</v>
      </c>
      <c r="G109" s="45"/>
      <c r="H109" s="46" t="s">
        <v>115</v>
      </c>
      <c r="I109" s="46" t="s">
        <v>115</v>
      </c>
      <c r="J109" s="44"/>
      <c r="K109" s="44">
        <v>9999.0</v>
      </c>
      <c r="L109" s="44"/>
    </row>
    <row r="110">
      <c r="A110" s="41" t="s">
        <v>16</v>
      </c>
      <c r="B110" s="42" t="s">
        <v>441</v>
      </c>
      <c r="C110" s="43">
        <v>4.0</v>
      </c>
      <c r="D110" s="44">
        <f>IFERROR(__xludf.DUMMYFUNCTION("iferror(index(split(FILTER(Sheet34!B:B,arrayformula(not(iserror(find(B110,Sheet34!A:A)))),arrayformula(value(iferror(REGEXEXTRACT(Sheet34!E:E,""(\d{1,2})-""),99))=value(C110))),""-""),1,2),12-C110)"),6.0)</f>
        <v>6</v>
      </c>
      <c r="E110" s="44" t="s">
        <v>152</v>
      </c>
      <c r="F110" s="44" t="s">
        <v>106</v>
      </c>
      <c r="G110" s="45"/>
      <c r="H110" s="46" t="s">
        <v>115</v>
      </c>
      <c r="I110" s="46" t="s">
        <v>115</v>
      </c>
      <c r="J110" s="44"/>
      <c r="K110" s="44">
        <v>9999.0</v>
      </c>
      <c r="L110" s="44"/>
    </row>
    <row r="111">
      <c r="A111" s="58"/>
      <c r="B111" s="59"/>
      <c r="C111" s="13"/>
      <c r="D111" s="13"/>
      <c r="F111" s="60"/>
      <c r="G111" s="60"/>
      <c r="H111" s="60"/>
      <c r="I111" s="46"/>
      <c r="J111" s="44"/>
      <c r="K111" s="44"/>
      <c r="L111" s="44"/>
    </row>
    <row r="112">
      <c r="A112" s="58" t="s">
        <v>386</v>
      </c>
      <c r="B112" s="59" t="s">
        <v>442</v>
      </c>
      <c r="C112" s="13">
        <v>10.0</v>
      </c>
      <c r="D112" s="13">
        <v>2.0</v>
      </c>
      <c r="F112" s="60"/>
      <c r="G112" s="60"/>
      <c r="H112" s="60"/>
      <c r="I112" s="46"/>
      <c r="J112" s="44"/>
      <c r="K112" s="44"/>
      <c r="L112" s="44"/>
    </row>
    <row r="113">
      <c r="A113" s="58" t="s">
        <v>386</v>
      </c>
      <c r="B113" s="59" t="s">
        <v>443</v>
      </c>
      <c r="C113" s="13">
        <v>8.0</v>
      </c>
      <c r="D113" s="13">
        <v>5.0</v>
      </c>
      <c r="G113" s="60"/>
      <c r="H113" s="60"/>
      <c r="I113" s="46"/>
      <c r="J113" s="44"/>
      <c r="K113" s="44"/>
      <c r="L113" s="44"/>
    </row>
    <row r="114">
      <c r="A114" s="58" t="s">
        <v>386</v>
      </c>
      <c r="B114" s="59" t="s">
        <v>444</v>
      </c>
      <c r="C114" s="13">
        <v>7.0</v>
      </c>
      <c r="D114" s="13">
        <v>5.0</v>
      </c>
      <c r="H114" s="60"/>
      <c r="I114" s="46"/>
      <c r="J114" s="44"/>
      <c r="K114" s="44"/>
      <c r="L114" s="44"/>
    </row>
    <row r="115">
      <c r="A115" s="58" t="s">
        <v>386</v>
      </c>
      <c r="B115" s="59" t="s">
        <v>445</v>
      </c>
      <c r="C115" s="13">
        <v>7.0</v>
      </c>
      <c r="D115" s="44">
        <v>5.0</v>
      </c>
      <c r="F115" s="60"/>
      <c r="G115" s="60"/>
      <c r="H115" s="60"/>
      <c r="I115" s="46"/>
      <c r="J115" s="44"/>
      <c r="K115" s="44"/>
      <c r="L115" s="44"/>
    </row>
    <row r="116">
      <c r="A116" s="58" t="s">
        <v>386</v>
      </c>
      <c r="B116" s="61" t="s">
        <v>446</v>
      </c>
      <c r="C116" s="44">
        <v>6.0</v>
      </c>
      <c r="D116" s="13">
        <v>6.0</v>
      </c>
      <c r="K116" s="60"/>
      <c r="L116" s="44"/>
    </row>
    <row r="117">
      <c r="A117" s="58" t="s">
        <v>386</v>
      </c>
      <c r="B117" s="59" t="s">
        <v>447</v>
      </c>
      <c r="C117" s="13">
        <v>6.0</v>
      </c>
      <c r="D117" s="13">
        <v>6.0</v>
      </c>
      <c r="I117" s="46"/>
      <c r="J117" s="44"/>
      <c r="K117" s="44"/>
      <c r="L117" s="44"/>
    </row>
    <row r="118">
      <c r="A118" s="58" t="s">
        <v>386</v>
      </c>
      <c r="B118" s="59" t="s">
        <v>448</v>
      </c>
      <c r="C118" s="13">
        <v>6.0</v>
      </c>
      <c r="D118" s="13">
        <v>6.0</v>
      </c>
      <c r="I118" s="46"/>
      <c r="J118" s="44"/>
      <c r="K118" s="44"/>
      <c r="L118" s="44"/>
    </row>
    <row r="119">
      <c r="A119" s="58" t="s">
        <v>386</v>
      </c>
      <c r="B119" s="46" t="s">
        <v>449</v>
      </c>
      <c r="C119" s="13">
        <v>6.0</v>
      </c>
      <c r="D119" s="13">
        <v>6.0</v>
      </c>
      <c r="G119" s="60"/>
      <c r="H119" s="60"/>
      <c r="I119" s="46"/>
      <c r="J119" s="44"/>
      <c r="K119" s="44"/>
      <c r="L119" s="44"/>
    </row>
    <row r="120">
      <c r="A120" s="58" t="s">
        <v>386</v>
      </c>
      <c r="B120" s="59" t="s">
        <v>450</v>
      </c>
      <c r="C120" s="44">
        <v>6.0</v>
      </c>
      <c r="D120" s="44">
        <v>6.0</v>
      </c>
      <c r="F120" s="60"/>
      <c r="G120" s="60"/>
      <c r="H120" s="60"/>
      <c r="I120" s="46"/>
      <c r="J120" s="44"/>
      <c r="K120" s="44"/>
      <c r="L120" s="44"/>
    </row>
    <row r="121">
      <c r="A121" s="58" t="s">
        <v>386</v>
      </c>
      <c r="B121" s="59" t="s">
        <v>451</v>
      </c>
      <c r="C121" s="44">
        <v>6.0</v>
      </c>
      <c r="D121" s="44">
        <v>6.0</v>
      </c>
      <c r="F121" s="60"/>
      <c r="G121" s="60"/>
      <c r="H121" s="60"/>
      <c r="I121" s="46"/>
      <c r="J121" s="44"/>
      <c r="K121" s="44"/>
      <c r="L121" s="44"/>
    </row>
    <row r="122">
      <c r="A122" s="58" t="s">
        <v>386</v>
      </c>
      <c r="B122" s="59" t="s">
        <v>452</v>
      </c>
      <c r="C122" s="13">
        <v>6.0</v>
      </c>
      <c r="D122" s="13">
        <v>7.0</v>
      </c>
      <c r="G122" s="60"/>
      <c r="H122" s="60"/>
      <c r="I122" s="46"/>
      <c r="J122" s="44"/>
      <c r="K122" s="44"/>
      <c r="L122" s="44"/>
    </row>
    <row r="123">
      <c r="A123" s="58" t="s">
        <v>386</v>
      </c>
      <c r="B123" s="61" t="s">
        <v>379</v>
      </c>
      <c r="C123" s="13">
        <v>5.0</v>
      </c>
      <c r="D123" s="13">
        <v>7.0</v>
      </c>
    </row>
    <row r="124">
      <c r="A124" s="58" t="s">
        <v>386</v>
      </c>
      <c r="B124" s="62" t="s">
        <v>453</v>
      </c>
      <c r="C124" s="13">
        <v>5.0</v>
      </c>
      <c r="D124" s="13">
        <v>7.0</v>
      </c>
      <c r="H124" s="60"/>
      <c r="I124" s="46"/>
      <c r="J124" s="44"/>
      <c r="K124" s="44"/>
      <c r="L124" s="44"/>
    </row>
    <row r="125">
      <c r="A125" s="58" t="s">
        <v>386</v>
      </c>
      <c r="B125" s="62" t="s">
        <v>454</v>
      </c>
      <c r="C125" s="13">
        <v>5.0</v>
      </c>
      <c r="D125" s="13">
        <v>7.0</v>
      </c>
      <c r="H125" s="60"/>
      <c r="I125" s="46"/>
      <c r="J125" s="44"/>
      <c r="K125" s="44"/>
      <c r="L125" s="44"/>
    </row>
    <row r="126">
      <c r="A126" s="58" t="s">
        <v>386</v>
      </c>
      <c r="B126" s="61" t="s">
        <v>380</v>
      </c>
      <c r="C126" s="13">
        <v>4.0</v>
      </c>
      <c r="D126" s="13">
        <v>8.0</v>
      </c>
    </row>
    <row r="127">
      <c r="A127" s="58" t="s">
        <v>386</v>
      </c>
      <c r="B127" s="61" t="s">
        <v>455</v>
      </c>
      <c r="C127" s="44">
        <v>4.0</v>
      </c>
      <c r="D127" s="13">
        <v>8.0</v>
      </c>
      <c r="K127" s="60" t="s">
        <v>457</v>
      </c>
    </row>
    <row r="128">
      <c r="A128" s="58" t="s">
        <v>386</v>
      </c>
      <c r="B128" s="61" t="s">
        <v>381</v>
      </c>
      <c r="C128" s="44">
        <v>4.0</v>
      </c>
      <c r="D128" s="13">
        <v>8.0</v>
      </c>
      <c r="K128" s="60"/>
    </row>
    <row r="129">
      <c r="A129" s="58" t="s">
        <v>386</v>
      </c>
      <c r="B129" s="62" t="s">
        <v>458</v>
      </c>
      <c r="C129" s="13">
        <v>4.0</v>
      </c>
      <c r="D129" s="13">
        <v>8.0</v>
      </c>
      <c r="H129" s="60"/>
      <c r="I129" s="46"/>
      <c r="J129" s="44"/>
      <c r="K129" s="44"/>
      <c r="L129" s="44"/>
    </row>
    <row r="130">
      <c r="A130" s="58" t="s">
        <v>386</v>
      </c>
      <c r="B130" s="59" t="s">
        <v>459</v>
      </c>
      <c r="C130" s="13">
        <v>4.0</v>
      </c>
      <c r="D130" s="13">
        <v>8.0</v>
      </c>
      <c r="F130" s="60"/>
      <c r="G130" s="60"/>
      <c r="H130" s="60"/>
      <c r="I130" s="46"/>
      <c r="J130" s="44"/>
      <c r="K130" s="44"/>
      <c r="L130" s="44"/>
    </row>
    <row r="131">
      <c r="A131" s="58" t="s">
        <v>386</v>
      </c>
      <c r="B131" s="59" t="s">
        <v>460</v>
      </c>
      <c r="C131" s="13">
        <v>4.0</v>
      </c>
      <c r="D131" s="44">
        <v>8.0</v>
      </c>
      <c r="F131" s="60"/>
      <c r="G131" s="60"/>
      <c r="H131" s="60"/>
      <c r="I131" s="46"/>
      <c r="J131" s="44"/>
      <c r="K131" s="44"/>
      <c r="L131" s="44"/>
    </row>
    <row r="132">
      <c r="A132" s="58" t="s">
        <v>386</v>
      </c>
      <c r="B132" s="59" t="s">
        <v>461</v>
      </c>
      <c r="C132" s="13">
        <v>3.0</v>
      </c>
      <c r="D132" s="13">
        <v>9.0</v>
      </c>
      <c r="I132" s="46"/>
      <c r="J132" s="44"/>
      <c r="K132" s="44"/>
      <c r="L132" s="44"/>
    </row>
    <row r="133">
      <c r="A133" s="58" t="s">
        <v>386</v>
      </c>
      <c r="B133" s="61" t="s">
        <v>462</v>
      </c>
      <c r="C133" s="44">
        <v>2.0</v>
      </c>
      <c r="D133" s="13">
        <v>10.0</v>
      </c>
      <c r="K133" s="60"/>
      <c r="L133" s="44"/>
    </row>
    <row r="134">
      <c r="A134" s="58" t="s">
        <v>386</v>
      </c>
      <c r="B134" s="59" t="s">
        <v>463</v>
      </c>
      <c r="C134" s="13">
        <v>2.0</v>
      </c>
      <c r="D134" s="13">
        <v>10.0</v>
      </c>
      <c r="I134" s="46"/>
      <c r="J134" s="44"/>
      <c r="K134" s="44"/>
      <c r="L134" s="44"/>
    </row>
  </sheetData>
  <autoFilter ref="$A$1:$K$110"/>
  <customSheetViews>
    <customSheetView guid="{B7460378-9892-44B9-B013-01C152EE3918}" filter="1" showAutoFilter="1">
      <autoFilter ref="$A$1:$K$110">
        <filterColumn colId="6">
          <customFilters>
            <customFilter val="*THU*"/>
          </customFilters>
        </filterColumn>
      </autoFilter>
    </customSheetView>
    <customSheetView guid="{27676B16-975B-49AE-853C-68BA8CFD918C}" filter="1" showAutoFilter="1">
      <autoFilter ref="$A$1:$K$110">
        <filterColumn colId="0">
          <filters>
            <filter val="Jacob"/>
          </filters>
        </filterColumn>
      </autoFilter>
    </customSheetView>
    <customSheetView guid="{535E0D46-8847-4633-844D-C089A43D1B4C}" filter="1" showAutoFilter="1">
      <autoFilter ref="$A$1:$K$110">
        <filterColumn colId="0">
          <filters>
            <filter val="Josh T."/>
          </filters>
        </filterColumn>
      </autoFilter>
    </customSheetView>
    <customSheetView guid="{194E4940-9400-49EF-9F4A-BFDAC96CCC62}" filter="1" showAutoFilter="1">
      <autoFilter ref="$A$1:$K$110">
        <filterColumn colId="0">
          <filters>
            <filter val="Gary"/>
          </filters>
        </filterColumn>
      </autoFilter>
    </customSheetView>
    <customSheetView guid="{193FB749-43EB-4523-A0B3-AAD17329D392}" filter="1" showAutoFilter="1">
      <autoFilter ref="$A$1:$K$110">
        <filterColumn colId="0">
          <filters>
            <filter val="Frank"/>
          </filters>
        </filterColumn>
      </autoFilter>
    </customSheetView>
    <customSheetView guid="{AE55B295-CEF4-4A40-BB7C-D576940BF4E7}" filter="1" showAutoFilter="1">
      <autoFilter ref="$A$1:$K$110">
        <filterColumn colId="10">
          <filters/>
        </filterColumn>
        <sortState ref="A1:K110">
          <sortCondition ref="K1:K110"/>
        </sortState>
      </autoFilter>
    </customSheetView>
    <customSheetView guid="{37E4B235-E89E-44B8-8E0A-01717A5BDB1E}" filter="1" showAutoFilter="1">
      <autoFilter ref="$A$1:$K$110">
        <filterColumn colId="0">
          <filters>
            <filter val="Nico"/>
          </filters>
        </filterColumn>
      </autoFilter>
    </customSheetView>
    <customSheetView guid="{8390DCC2-86D8-4BD6-9E51-E950801D5FB8}" filter="1" showAutoFilter="1">
      <autoFilter ref="$A$1:$K$110">
        <filterColumn colId="6">
          <customFilters>
            <customFilter val="*SAT*"/>
          </customFilters>
        </filterColumn>
      </autoFilter>
    </customSheetView>
    <customSheetView guid="{D11FFB2D-66CF-4858-97A0-1CE26A0860B1}" filter="1" showAutoFilter="1">
      <autoFilter ref="$A$1:$K$110">
        <filterColumn colId="0">
          <filters>
            <filter val="Josh R."/>
          </filters>
        </filterColumn>
      </autoFilter>
    </customSheetView>
    <customSheetView guid="{2DF76E01-F51D-4D47-A0AA-C0DC512D5890}" filter="1" showAutoFilter="1">
      <autoFilter ref="$A$1:$K$110">
        <filterColumn colId="0">
          <filters>
            <filter val="Brad"/>
          </filters>
        </filterColumn>
      </autoFilter>
    </customSheetView>
    <customSheetView guid="{6BD80865-E998-46CF-9105-7CB427D3B637}" filter="1" showAutoFilter="1">
      <autoFilter ref="$A$1:$K$110">
        <filterColumn colId="0">
          <filters>
            <filter val="Vu"/>
          </filters>
        </filterColumn>
      </autoFilter>
    </customSheetView>
    <customSheetView guid="{69387685-F1CD-445A-B41C-E677B3EEDF19}" filter="1" showAutoFilter="1">
      <autoFilter ref="$A$1:$K$110">
        <filterColumn colId="6">
          <customFilters>
            <customFilter val="*FRI*"/>
          </customFilters>
        </filterColumn>
      </autoFilter>
    </customSheetView>
    <customSheetView guid="{34BDDEE1-435E-4038-8214-E938AC183EE2}" filter="1" showAutoFilter="1">
      <autoFilter ref="$A$1:$K$110">
        <filterColumn colId="0">
          <filters>
            <filter val="Nick A."/>
          </filters>
        </filterColumn>
      </autoFilter>
    </customSheetView>
    <customSheetView guid="{3CE4AD46-7F5D-4CFC-B91A-A75EA38BDA5B}" filter="1" showAutoFilter="1">
      <autoFilter ref="$A$1:$K$110">
        <filterColumn colId="0">
          <filters>
            <filter val="Justin"/>
          </filters>
        </filterColumn>
      </autoFilter>
    </customSheetView>
  </customSheetViews>
  <hyperlinks>
    <hyperlink r:id="rId1" ref="E80"/>
  </hyperlin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8" t="s">
        <v>30</v>
      </c>
      <c r="B1" s="19"/>
      <c r="E1" s="19"/>
    </row>
    <row r="2">
      <c r="A2" s="20"/>
      <c r="B2" s="21" t="s">
        <v>31</v>
      </c>
      <c r="C2" s="22"/>
      <c r="D2" s="22"/>
      <c r="E2" s="21" t="s">
        <v>32</v>
      </c>
      <c r="F2" s="22"/>
      <c r="G2" s="22"/>
      <c r="H2" s="22"/>
      <c r="I2" s="22"/>
      <c r="J2" s="22"/>
      <c r="K2" s="23" t="s">
        <v>33</v>
      </c>
      <c r="L2" s="22"/>
    </row>
    <row r="3">
      <c r="A3" s="24" t="s">
        <v>34</v>
      </c>
      <c r="B3" s="25" t="s">
        <v>35</v>
      </c>
      <c r="C3" s="26" t="s">
        <v>36</v>
      </c>
      <c r="D3" s="26" t="s">
        <v>37</v>
      </c>
      <c r="E3" s="25" t="s">
        <v>35</v>
      </c>
      <c r="F3" s="26" t="s">
        <v>36</v>
      </c>
      <c r="G3" s="26" t="s">
        <v>37</v>
      </c>
      <c r="H3" s="26" t="s">
        <v>38</v>
      </c>
      <c r="I3" s="26" t="s">
        <v>39</v>
      </c>
      <c r="J3" s="26" t="s">
        <v>40</v>
      </c>
      <c r="K3" s="26" t="s">
        <v>41</v>
      </c>
      <c r="L3" s="26" t="s">
        <v>42</v>
      </c>
    </row>
    <row r="4">
      <c r="A4" s="27" t="s">
        <v>43</v>
      </c>
      <c r="B4" s="28" t="s">
        <v>44</v>
      </c>
      <c r="C4" s="29">
        <v>267.0</v>
      </c>
      <c r="D4" s="29">
        <v>132.0</v>
      </c>
      <c r="E4" s="28" t="s">
        <v>45</v>
      </c>
      <c r="F4" s="29">
        <v>453.0</v>
      </c>
      <c r="G4" s="29">
        <v>258.0</v>
      </c>
      <c r="H4" s="30">
        <v>45809.0</v>
      </c>
      <c r="I4" s="30">
        <v>45749.0</v>
      </c>
      <c r="J4" s="29" t="s">
        <v>46</v>
      </c>
      <c r="K4" s="30">
        <v>45658.0</v>
      </c>
      <c r="L4" s="30">
        <v>45658.0</v>
      </c>
    </row>
    <row r="5">
      <c r="A5" s="27" t="s">
        <v>47</v>
      </c>
      <c r="B5" s="31" t="s">
        <v>44</v>
      </c>
      <c r="C5" s="32">
        <v>339.0</v>
      </c>
      <c r="D5" s="32">
        <v>260.0</v>
      </c>
      <c r="E5" s="31" t="s">
        <v>48</v>
      </c>
      <c r="F5" s="32">
        <v>569.0</v>
      </c>
      <c r="G5" s="32">
        <v>411.0</v>
      </c>
      <c r="H5" s="33">
        <v>45809.0</v>
      </c>
      <c r="I5" s="33">
        <v>45748.0</v>
      </c>
      <c r="J5" s="32" t="s">
        <v>49</v>
      </c>
      <c r="K5" s="32" t="s">
        <v>50</v>
      </c>
      <c r="L5" s="32" t="s">
        <v>50</v>
      </c>
    </row>
    <row r="6">
      <c r="A6" s="27" t="s">
        <v>51</v>
      </c>
      <c r="B6" s="28" t="s">
        <v>52</v>
      </c>
      <c r="C6" s="29">
        <v>232.0</v>
      </c>
      <c r="D6" s="29">
        <v>194.0</v>
      </c>
      <c r="E6" s="28" t="s">
        <v>53</v>
      </c>
      <c r="F6" s="29">
        <v>374.0</v>
      </c>
      <c r="G6" s="29">
        <v>320.0</v>
      </c>
      <c r="H6" s="30">
        <v>45720.0</v>
      </c>
      <c r="I6" s="30">
        <v>45719.0</v>
      </c>
      <c r="J6" s="29" t="s">
        <v>54</v>
      </c>
      <c r="K6" s="29" t="s">
        <v>55</v>
      </c>
      <c r="L6" s="29" t="s">
        <v>55</v>
      </c>
    </row>
    <row r="7">
      <c r="A7" s="27" t="s">
        <v>56</v>
      </c>
      <c r="B7" s="31" t="s">
        <v>57</v>
      </c>
      <c r="C7" s="32">
        <v>136.0</v>
      </c>
      <c r="D7" s="32">
        <v>256.0</v>
      </c>
      <c r="E7" s="31" t="s">
        <v>58</v>
      </c>
      <c r="F7" s="32">
        <v>232.0</v>
      </c>
      <c r="G7" s="32">
        <v>323.0</v>
      </c>
      <c r="H7" s="33">
        <v>45720.0</v>
      </c>
      <c r="I7" s="33">
        <v>45661.0</v>
      </c>
      <c r="J7" s="32" t="s">
        <v>59</v>
      </c>
      <c r="K7" s="32" t="s">
        <v>60</v>
      </c>
      <c r="L7" s="32" t="s">
        <v>60</v>
      </c>
    </row>
    <row r="8">
      <c r="A8" s="27" t="s">
        <v>61</v>
      </c>
      <c r="B8" s="28" t="s">
        <v>57</v>
      </c>
      <c r="C8" s="29">
        <v>207.0</v>
      </c>
      <c r="D8" s="29">
        <v>322.0</v>
      </c>
      <c r="E8" s="28" t="s">
        <v>62</v>
      </c>
      <c r="F8" s="29">
        <v>324.0</v>
      </c>
      <c r="G8" s="29">
        <v>433.0</v>
      </c>
      <c r="H8" s="30">
        <v>45719.0</v>
      </c>
      <c r="I8" s="29" t="s">
        <v>63</v>
      </c>
      <c r="J8" s="29" t="s">
        <v>64</v>
      </c>
      <c r="K8" s="29" t="s">
        <v>60</v>
      </c>
      <c r="L8" s="29" t="s">
        <v>60</v>
      </c>
    </row>
    <row r="9">
      <c r="A9" s="27" t="s">
        <v>65</v>
      </c>
      <c r="B9" s="31" t="s">
        <v>57</v>
      </c>
      <c r="C9" s="32">
        <v>117.0</v>
      </c>
      <c r="D9" s="32">
        <v>245.0</v>
      </c>
      <c r="E9" s="31" t="s">
        <v>62</v>
      </c>
      <c r="F9" s="32">
        <v>178.0</v>
      </c>
      <c r="G9" s="32">
        <v>337.0</v>
      </c>
      <c r="H9" s="33">
        <v>45720.0</v>
      </c>
      <c r="I9" s="32" t="s">
        <v>66</v>
      </c>
      <c r="J9" s="32" t="s">
        <v>67</v>
      </c>
      <c r="K9" s="32" t="s">
        <v>60</v>
      </c>
      <c r="L9" s="32" t="s">
        <v>60</v>
      </c>
    </row>
    <row r="10">
      <c r="A10" s="24" t="s">
        <v>68</v>
      </c>
      <c r="B10" s="25" t="s">
        <v>35</v>
      </c>
      <c r="C10" s="26" t="s">
        <v>36</v>
      </c>
      <c r="D10" s="26" t="s">
        <v>37</v>
      </c>
      <c r="E10" s="25" t="s">
        <v>35</v>
      </c>
      <c r="F10" s="26" t="s">
        <v>36</v>
      </c>
      <c r="G10" s="26" t="s">
        <v>37</v>
      </c>
      <c r="H10" s="26" t="s">
        <v>38</v>
      </c>
      <c r="I10" s="26" t="s">
        <v>39</v>
      </c>
      <c r="J10" s="26" t="s">
        <v>40</v>
      </c>
      <c r="K10" s="26" t="s">
        <v>41</v>
      </c>
      <c r="L10" s="26" t="s">
        <v>42</v>
      </c>
    </row>
    <row r="11">
      <c r="A11" s="27" t="s">
        <v>69</v>
      </c>
      <c r="B11" s="28" t="s">
        <v>44</v>
      </c>
      <c r="C11" s="29">
        <v>365.0</v>
      </c>
      <c r="D11" s="29">
        <v>260.0</v>
      </c>
      <c r="E11" s="28" t="s">
        <v>70</v>
      </c>
      <c r="F11" s="29">
        <v>531.0</v>
      </c>
      <c r="G11" s="29">
        <v>434.0</v>
      </c>
      <c r="H11" s="30">
        <v>45778.0</v>
      </c>
      <c r="I11" s="30">
        <v>45718.0</v>
      </c>
      <c r="J11" s="29" t="s">
        <v>54</v>
      </c>
      <c r="K11" s="29" t="s">
        <v>50</v>
      </c>
      <c r="L11" s="29" t="s">
        <v>50</v>
      </c>
    </row>
    <row r="12">
      <c r="A12" s="27" t="s">
        <v>71</v>
      </c>
      <c r="B12" s="31" t="s">
        <v>72</v>
      </c>
      <c r="C12" s="32">
        <v>343.0</v>
      </c>
      <c r="D12" s="32">
        <v>258.0</v>
      </c>
      <c r="E12" s="31" t="s">
        <v>73</v>
      </c>
      <c r="F12" s="32">
        <v>552.0</v>
      </c>
      <c r="G12" s="32">
        <v>388.0</v>
      </c>
      <c r="H12" s="32" t="s">
        <v>74</v>
      </c>
      <c r="I12" s="33">
        <v>45719.0</v>
      </c>
      <c r="J12" s="32" t="s">
        <v>75</v>
      </c>
      <c r="K12" s="32" t="s">
        <v>60</v>
      </c>
      <c r="L12" s="32" t="s">
        <v>60</v>
      </c>
    </row>
    <row r="13">
      <c r="A13" s="27" t="s">
        <v>76</v>
      </c>
      <c r="B13" s="28" t="s">
        <v>77</v>
      </c>
      <c r="C13" s="29">
        <v>291.0</v>
      </c>
      <c r="D13" s="29">
        <v>249.0</v>
      </c>
      <c r="E13" s="28" t="s">
        <v>78</v>
      </c>
      <c r="F13" s="29">
        <v>505.0</v>
      </c>
      <c r="G13" s="29">
        <v>375.0</v>
      </c>
      <c r="H13" s="30">
        <v>45779.0</v>
      </c>
      <c r="I13" s="30">
        <v>45718.0</v>
      </c>
      <c r="J13" s="29" t="s">
        <v>46</v>
      </c>
      <c r="K13" s="30">
        <v>45658.0</v>
      </c>
      <c r="L13" s="30">
        <v>45658.0</v>
      </c>
    </row>
    <row r="14">
      <c r="A14" s="27" t="s">
        <v>79</v>
      </c>
      <c r="B14" s="31" t="s">
        <v>77</v>
      </c>
      <c r="C14" s="32">
        <v>281.0</v>
      </c>
      <c r="D14" s="32">
        <v>235.0</v>
      </c>
      <c r="E14" s="31" t="s">
        <v>80</v>
      </c>
      <c r="F14" s="32">
        <v>466.0</v>
      </c>
      <c r="G14" s="32">
        <v>305.0</v>
      </c>
      <c r="H14" s="32" t="s">
        <v>74</v>
      </c>
      <c r="I14" s="33">
        <v>45691.0</v>
      </c>
      <c r="J14" s="32" t="s">
        <v>81</v>
      </c>
      <c r="K14" s="32" t="s">
        <v>82</v>
      </c>
      <c r="L14" s="32" t="s">
        <v>82</v>
      </c>
    </row>
    <row r="15">
      <c r="A15" s="27" t="s">
        <v>83</v>
      </c>
      <c r="B15" s="28" t="s">
        <v>84</v>
      </c>
      <c r="C15" s="29">
        <v>253.0</v>
      </c>
      <c r="D15" s="29">
        <v>327.0</v>
      </c>
      <c r="E15" s="28" t="s">
        <v>85</v>
      </c>
      <c r="F15" s="29">
        <v>332.0</v>
      </c>
      <c r="G15" s="29">
        <v>435.0</v>
      </c>
      <c r="H15" s="30">
        <v>45692.0</v>
      </c>
      <c r="I15" s="30">
        <v>45719.0</v>
      </c>
      <c r="J15" s="29" t="s">
        <v>81</v>
      </c>
      <c r="K15" s="29" t="s">
        <v>86</v>
      </c>
      <c r="L15" s="29" t="s">
        <v>86</v>
      </c>
    </row>
    <row r="16">
      <c r="A16" s="27" t="s">
        <v>87</v>
      </c>
      <c r="B16" s="31" t="s">
        <v>57</v>
      </c>
      <c r="C16" s="32">
        <v>148.0</v>
      </c>
      <c r="D16" s="32">
        <v>241.0</v>
      </c>
      <c r="E16" s="31" t="s">
        <v>58</v>
      </c>
      <c r="F16" s="32">
        <v>289.0</v>
      </c>
      <c r="G16" s="32">
        <v>332.0</v>
      </c>
      <c r="H16" s="33">
        <v>45692.0</v>
      </c>
      <c r="I16" s="33">
        <v>45692.0</v>
      </c>
      <c r="J16" s="32" t="s">
        <v>89</v>
      </c>
      <c r="K16" s="32" t="s">
        <v>60</v>
      </c>
      <c r="L16" s="32" t="s">
        <v>60</v>
      </c>
    </row>
    <row r="17">
      <c r="A17" s="37" t="s">
        <v>90</v>
      </c>
      <c r="B17" s="19"/>
      <c r="E17" s="19"/>
    </row>
    <row r="18">
      <c r="A18" s="20"/>
      <c r="B18" s="21" t="s">
        <v>31</v>
      </c>
      <c r="C18" s="22"/>
      <c r="D18" s="22"/>
      <c r="E18" s="21" t="s">
        <v>32</v>
      </c>
      <c r="F18" s="22"/>
      <c r="G18" s="22"/>
      <c r="H18" s="22"/>
      <c r="I18" s="22"/>
      <c r="J18" s="22"/>
      <c r="K18" s="23" t="s">
        <v>33</v>
      </c>
      <c r="L18" s="22"/>
    </row>
    <row r="19">
      <c r="A19" s="24" t="s">
        <v>99</v>
      </c>
      <c r="B19" s="25" t="s">
        <v>35</v>
      </c>
      <c r="C19" s="26" t="s">
        <v>36</v>
      </c>
      <c r="D19" s="26" t="s">
        <v>37</v>
      </c>
      <c r="E19" s="25" t="s">
        <v>35</v>
      </c>
      <c r="F19" s="26" t="s">
        <v>36</v>
      </c>
      <c r="G19" s="26" t="s">
        <v>37</v>
      </c>
      <c r="H19" s="26" t="s">
        <v>38</v>
      </c>
      <c r="I19" s="26" t="s">
        <v>39</v>
      </c>
      <c r="J19" s="26" t="s">
        <v>40</v>
      </c>
      <c r="K19" s="26" t="s">
        <v>41</v>
      </c>
      <c r="L19" s="26" t="s">
        <v>42</v>
      </c>
    </row>
    <row r="20">
      <c r="A20" s="27" t="s">
        <v>101</v>
      </c>
      <c r="B20" s="28" t="s">
        <v>44</v>
      </c>
      <c r="C20" s="29">
        <v>316.0</v>
      </c>
      <c r="D20" s="29">
        <v>160.0</v>
      </c>
      <c r="E20" s="28" t="s">
        <v>102</v>
      </c>
      <c r="F20" s="29">
        <v>588.0</v>
      </c>
      <c r="G20" s="29">
        <v>270.0</v>
      </c>
      <c r="H20" s="30">
        <v>45809.0</v>
      </c>
      <c r="I20" s="29" t="s">
        <v>103</v>
      </c>
      <c r="J20" s="29" t="s">
        <v>49</v>
      </c>
      <c r="K20" s="30">
        <v>45809.0</v>
      </c>
      <c r="L20" s="29" t="s">
        <v>74</v>
      </c>
    </row>
    <row r="21">
      <c r="A21" s="27" t="s">
        <v>104</v>
      </c>
      <c r="B21" s="31" t="s">
        <v>44</v>
      </c>
      <c r="C21" s="32">
        <v>367.0</v>
      </c>
      <c r="D21" s="32">
        <v>161.0</v>
      </c>
      <c r="E21" s="31" t="s">
        <v>80</v>
      </c>
      <c r="F21" s="32">
        <v>553.0</v>
      </c>
      <c r="G21" s="32">
        <v>309.0</v>
      </c>
      <c r="H21" s="33">
        <v>45778.0</v>
      </c>
      <c r="I21" s="33">
        <v>45749.0</v>
      </c>
      <c r="J21" s="32" t="s">
        <v>54</v>
      </c>
      <c r="K21" s="33">
        <v>45659.0</v>
      </c>
      <c r="L21" s="33">
        <v>45659.0</v>
      </c>
    </row>
    <row r="22">
      <c r="A22" s="27" t="s">
        <v>107</v>
      </c>
      <c r="B22" s="28" t="s">
        <v>77</v>
      </c>
      <c r="C22" s="29">
        <v>240.0</v>
      </c>
      <c r="D22" s="29">
        <v>203.0</v>
      </c>
      <c r="E22" s="28" t="s">
        <v>73</v>
      </c>
      <c r="F22" s="29">
        <v>456.0</v>
      </c>
      <c r="G22" s="29">
        <v>325.0</v>
      </c>
      <c r="H22" s="30">
        <v>45749.0</v>
      </c>
      <c r="I22" s="30">
        <v>45748.0</v>
      </c>
      <c r="J22" s="29" t="s">
        <v>49</v>
      </c>
      <c r="K22" s="30">
        <v>45718.0</v>
      </c>
      <c r="L22" s="30">
        <v>45718.0</v>
      </c>
    </row>
    <row r="23">
      <c r="A23" s="27" t="s">
        <v>113</v>
      </c>
      <c r="B23" s="31" t="s">
        <v>84</v>
      </c>
      <c r="C23" s="32">
        <v>173.0</v>
      </c>
      <c r="D23" s="32">
        <v>207.0</v>
      </c>
      <c r="E23" s="31" t="s">
        <v>116</v>
      </c>
      <c r="F23" s="32">
        <v>351.0</v>
      </c>
      <c r="G23" s="32">
        <v>296.0</v>
      </c>
      <c r="H23" s="33">
        <v>45750.0</v>
      </c>
      <c r="I23" s="33">
        <v>45691.0</v>
      </c>
      <c r="J23" s="32" t="s">
        <v>117</v>
      </c>
      <c r="K23" s="32" t="s">
        <v>55</v>
      </c>
      <c r="L23" s="32" t="s">
        <v>55</v>
      </c>
    </row>
    <row r="24">
      <c r="A24" s="27" t="s">
        <v>119</v>
      </c>
      <c r="B24" s="28" t="s">
        <v>84</v>
      </c>
      <c r="C24" s="29">
        <v>140.0</v>
      </c>
      <c r="D24" s="29">
        <v>189.0</v>
      </c>
      <c r="E24" s="28" t="s">
        <v>116</v>
      </c>
      <c r="F24" s="29">
        <v>265.0</v>
      </c>
      <c r="G24" s="29">
        <v>288.0</v>
      </c>
      <c r="H24" s="30">
        <v>45750.0</v>
      </c>
      <c r="I24" s="30">
        <v>45691.0</v>
      </c>
      <c r="J24" s="29" t="s">
        <v>89</v>
      </c>
      <c r="K24" s="30">
        <v>45660.0</v>
      </c>
      <c r="L24" s="30">
        <v>45660.0</v>
      </c>
    </row>
    <row r="25">
      <c r="A25" s="27" t="s">
        <v>122</v>
      </c>
      <c r="B25" s="31" t="s">
        <v>126</v>
      </c>
      <c r="C25" s="32">
        <v>191.0</v>
      </c>
      <c r="D25" s="32">
        <v>337.0</v>
      </c>
      <c r="E25" s="31" t="s">
        <v>58</v>
      </c>
      <c r="F25" s="32">
        <v>308.0</v>
      </c>
      <c r="G25" s="32">
        <v>463.0</v>
      </c>
      <c r="H25" s="33">
        <v>45692.0</v>
      </c>
      <c r="I25" s="33">
        <v>45691.0</v>
      </c>
      <c r="J25" s="32" t="s">
        <v>64</v>
      </c>
      <c r="K25" s="32" t="s">
        <v>55</v>
      </c>
      <c r="L25" s="32" t="s">
        <v>55</v>
      </c>
    </row>
    <row r="26">
      <c r="A26" s="27" t="s">
        <v>128</v>
      </c>
      <c r="B26" s="28" t="s">
        <v>126</v>
      </c>
      <c r="C26" s="29">
        <v>96.0</v>
      </c>
      <c r="D26" s="29">
        <v>275.0</v>
      </c>
      <c r="E26" s="28" t="s">
        <v>116</v>
      </c>
      <c r="F26" s="29">
        <v>265.0</v>
      </c>
      <c r="G26" s="29">
        <v>325.0</v>
      </c>
      <c r="H26" s="30">
        <v>45719.0</v>
      </c>
      <c r="I26" s="30">
        <v>45718.0</v>
      </c>
      <c r="J26" s="29" t="s">
        <v>75</v>
      </c>
      <c r="K26" s="29" t="s">
        <v>131</v>
      </c>
      <c r="L26" s="29" t="s">
        <v>131</v>
      </c>
    </row>
    <row r="27">
      <c r="A27" s="24" t="s">
        <v>132</v>
      </c>
      <c r="B27" s="25" t="s">
        <v>35</v>
      </c>
      <c r="C27" s="26" t="s">
        <v>36</v>
      </c>
      <c r="D27" s="26" t="s">
        <v>37</v>
      </c>
      <c r="E27" s="25" t="s">
        <v>35</v>
      </c>
      <c r="F27" s="26" t="s">
        <v>36</v>
      </c>
      <c r="G27" s="26" t="s">
        <v>37</v>
      </c>
      <c r="H27" s="26" t="s">
        <v>38</v>
      </c>
      <c r="I27" s="26" t="s">
        <v>39</v>
      </c>
      <c r="J27" s="26" t="s">
        <v>40</v>
      </c>
      <c r="K27" s="26" t="s">
        <v>41</v>
      </c>
      <c r="L27" s="26" t="s">
        <v>42</v>
      </c>
    </row>
    <row r="28">
      <c r="A28" s="27" t="s">
        <v>134</v>
      </c>
      <c r="B28" s="28" t="s">
        <v>72</v>
      </c>
      <c r="C28" s="29">
        <v>272.0</v>
      </c>
      <c r="D28" s="29">
        <v>147.0</v>
      </c>
      <c r="E28" s="28" t="s">
        <v>45</v>
      </c>
      <c r="F28" s="29">
        <v>490.0</v>
      </c>
      <c r="G28" s="29">
        <v>319.0</v>
      </c>
      <c r="H28" s="30">
        <v>45778.0</v>
      </c>
      <c r="I28" s="30">
        <v>45748.0</v>
      </c>
      <c r="J28" s="29" t="s">
        <v>89</v>
      </c>
      <c r="K28" s="30">
        <v>45658.0</v>
      </c>
      <c r="L28" s="29" t="s">
        <v>60</v>
      </c>
    </row>
    <row r="29">
      <c r="A29" s="27" t="s">
        <v>138</v>
      </c>
      <c r="B29" s="31" t="s">
        <v>77</v>
      </c>
      <c r="C29" s="32">
        <v>228.0</v>
      </c>
      <c r="D29" s="32">
        <v>208.0</v>
      </c>
      <c r="E29" s="31" t="s">
        <v>78</v>
      </c>
      <c r="F29" s="32">
        <v>420.0</v>
      </c>
      <c r="G29" s="32">
        <v>324.0</v>
      </c>
      <c r="H29" s="33">
        <v>45749.0</v>
      </c>
      <c r="I29" s="33">
        <v>45748.0</v>
      </c>
      <c r="J29" s="32" t="s">
        <v>81</v>
      </c>
      <c r="K29" s="33">
        <v>45690.0</v>
      </c>
      <c r="L29" s="33">
        <v>45659.0</v>
      </c>
    </row>
    <row r="30">
      <c r="A30" s="27" t="s">
        <v>140</v>
      </c>
      <c r="B30" s="28" t="s">
        <v>77</v>
      </c>
      <c r="C30" s="29">
        <v>235.0</v>
      </c>
      <c r="D30" s="29">
        <v>174.0</v>
      </c>
      <c r="E30" s="28" t="s">
        <v>80</v>
      </c>
      <c r="F30" s="29">
        <v>446.0</v>
      </c>
      <c r="G30" s="29">
        <v>241.0</v>
      </c>
      <c r="H30" s="30">
        <v>45749.0</v>
      </c>
      <c r="I30" s="30">
        <v>45749.0</v>
      </c>
      <c r="J30" s="29" t="s">
        <v>49</v>
      </c>
      <c r="K30" s="30">
        <v>45690.0</v>
      </c>
      <c r="L30" s="30">
        <v>45659.0</v>
      </c>
    </row>
    <row r="31">
      <c r="A31" s="27" t="s">
        <v>142</v>
      </c>
      <c r="B31" s="31" t="s">
        <v>77</v>
      </c>
      <c r="C31" s="32">
        <v>357.0</v>
      </c>
      <c r="D31" s="32">
        <v>309.0</v>
      </c>
      <c r="E31" s="31" t="s">
        <v>78</v>
      </c>
      <c r="F31" s="32">
        <v>532.0</v>
      </c>
      <c r="G31" s="32">
        <v>458.0</v>
      </c>
      <c r="H31" s="33">
        <v>45809.0</v>
      </c>
      <c r="I31" s="33">
        <v>45691.0</v>
      </c>
      <c r="J31" s="32" t="s">
        <v>46</v>
      </c>
      <c r="K31" s="33">
        <v>45690.0</v>
      </c>
      <c r="L31" s="33">
        <v>45690.0</v>
      </c>
    </row>
    <row r="32">
      <c r="A32" s="27" t="s">
        <v>145</v>
      </c>
      <c r="B32" s="28" t="s">
        <v>52</v>
      </c>
      <c r="C32" s="29">
        <v>198.0</v>
      </c>
      <c r="D32" s="29">
        <v>232.0</v>
      </c>
      <c r="E32" s="28" t="s">
        <v>80</v>
      </c>
      <c r="F32" s="29">
        <v>367.0</v>
      </c>
      <c r="G32" s="29">
        <v>318.0</v>
      </c>
      <c r="H32" s="30">
        <v>45779.0</v>
      </c>
      <c r="I32" s="30">
        <v>45690.0</v>
      </c>
      <c r="J32" s="29" t="s">
        <v>146</v>
      </c>
      <c r="K32" s="30">
        <v>45659.0</v>
      </c>
      <c r="L32" s="30">
        <v>45658.0</v>
      </c>
    </row>
    <row r="33">
      <c r="A33" s="27" t="s">
        <v>147</v>
      </c>
      <c r="B33" s="31" t="s">
        <v>57</v>
      </c>
      <c r="C33" s="32">
        <v>165.0</v>
      </c>
      <c r="D33" s="32">
        <v>276.0</v>
      </c>
      <c r="E33" s="31" t="s">
        <v>151</v>
      </c>
      <c r="F33" s="32">
        <v>270.0</v>
      </c>
      <c r="G33" s="32">
        <v>405.0</v>
      </c>
      <c r="H33" s="33">
        <v>45662.0</v>
      </c>
      <c r="I33" s="33">
        <v>45662.0</v>
      </c>
      <c r="J33" s="32" t="s">
        <v>153</v>
      </c>
      <c r="K33" s="32" t="s">
        <v>60</v>
      </c>
      <c r="L33" s="32" t="s">
        <v>50</v>
      </c>
    </row>
    <row r="34">
      <c r="A34" s="27" t="s">
        <v>154</v>
      </c>
      <c r="B34" s="28" t="s">
        <v>57</v>
      </c>
      <c r="C34" s="29">
        <v>167.0</v>
      </c>
      <c r="D34" s="29">
        <v>267.0</v>
      </c>
      <c r="E34" s="28" t="s">
        <v>58</v>
      </c>
      <c r="F34" s="29">
        <v>280.0</v>
      </c>
      <c r="G34" s="29">
        <v>338.0</v>
      </c>
      <c r="H34" s="30">
        <v>45719.0</v>
      </c>
      <c r="I34" s="30">
        <v>45662.0</v>
      </c>
      <c r="J34" s="29" t="s">
        <v>81</v>
      </c>
      <c r="K34" s="29" t="s">
        <v>60</v>
      </c>
      <c r="L34" s="30">
        <v>45658.0</v>
      </c>
    </row>
    <row r="35">
      <c r="A35" s="37" t="s">
        <v>158</v>
      </c>
      <c r="B35" s="19"/>
      <c r="E35" s="19"/>
    </row>
    <row r="36">
      <c r="A36" s="49"/>
      <c r="B36" s="21" t="s">
        <v>31</v>
      </c>
      <c r="C36" s="22"/>
      <c r="D36" s="22"/>
      <c r="E36" s="21" t="s">
        <v>32</v>
      </c>
      <c r="F36" s="22"/>
      <c r="G36" s="22"/>
      <c r="H36" s="22"/>
      <c r="I36" s="22"/>
      <c r="J36" s="22"/>
      <c r="K36" s="23" t="s">
        <v>33</v>
      </c>
      <c r="L36" s="22"/>
    </row>
    <row r="37">
      <c r="A37" s="49"/>
      <c r="B37" s="50" t="s">
        <v>35</v>
      </c>
      <c r="C37" s="51" t="s">
        <v>36</v>
      </c>
      <c r="D37" s="51" t="s">
        <v>37</v>
      </c>
      <c r="E37" s="50" t="s">
        <v>35</v>
      </c>
      <c r="F37" s="51" t="s">
        <v>36</v>
      </c>
      <c r="G37" s="51" t="s">
        <v>37</v>
      </c>
      <c r="H37" s="51" t="s">
        <v>38</v>
      </c>
      <c r="I37" s="51" t="s">
        <v>39</v>
      </c>
      <c r="J37" s="51" t="s">
        <v>40</v>
      </c>
      <c r="K37" s="51" t="s">
        <v>41</v>
      </c>
      <c r="L37" s="51" t="s">
        <v>42</v>
      </c>
    </row>
    <row r="38">
      <c r="A38" s="27" t="s">
        <v>164</v>
      </c>
      <c r="B38" s="28" t="s">
        <v>167</v>
      </c>
      <c r="C38" s="29">
        <v>430.0</v>
      </c>
      <c r="D38" s="29">
        <v>261.0</v>
      </c>
      <c r="E38" s="28" t="s">
        <v>48</v>
      </c>
      <c r="F38" s="29">
        <v>571.0</v>
      </c>
      <c r="G38" s="29">
        <v>375.0</v>
      </c>
      <c r="H38" s="30">
        <v>45778.0</v>
      </c>
      <c r="I38" s="29" t="s">
        <v>168</v>
      </c>
      <c r="J38" s="29" t="s">
        <v>169</v>
      </c>
      <c r="K38" s="30">
        <v>45717.0</v>
      </c>
      <c r="L38" s="30">
        <v>45717.0</v>
      </c>
    </row>
    <row r="39">
      <c r="A39" s="27" t="s">
        <v>171</v>
      </c>
      <c r="B39" s="31" t="s">
        <v>172</v>
      </c>
      <c r="C39" s="32">
        <v>331.0</v>
      </c>
      <c r="D39" s="32">
        <v>262.0</v>
      </c>
      <c r="E39" s="31" t="s">
        <v>73</v>
      </c>
      <c r="F39" s="32">
        <v>502.0</v>
      </c>
      <c r="G39" s="32">
        <v>345.0</v>
      </c>
      <c r="H39" s="33">
        <v>45809.0</v>
      </c>
      <c r="I39" s="33">
        <v>45718.0</v>
      </c>
      <c r="J39" s="32" t="s">
        <v>89</v>
      </c>
      <c r="K39" s="33">
        <v>45717.0</v>
      </c>
      <c r="L39" s="33">
        <v>45689.0</v>
      </c>
    </row>
    <row r="40">
      <c r="A40" s="27" t="s">
        <v>174</v>
      </c>
      <c r="B40" s="28" t="s">
        <v>172</v>
      </c>
      <c r="C40" s="29">
        <v>292.0</v>
      </c>
      <c r="D40" s="29">
        <v>217.0</v>
      </c>
      <c r="E40" s="28" t="s">
        <v>73</v>
      </c>
      <c r="F40" s="29">
        <v>405.0</v>
      </c>
      <c r="G40" s="29">
        <v>312.0</v>
      </c>
      <c r="H40" s="30">
        <v>45809.0</v>
      </c>
      <c r="I40" s="30">
        <v>45717.0</v>
      </c>
      <c r="J40" s="29" t="s">
        <v>46</v>
      </c>
      <c r="K40" s="29" t="s">
        <v>50</v>
      </c>
      <c r="L40" s="29" t="s">
        <v>50</v>
      </c>
    </row>
    <row r="41">
      <c r="A41" s="27" t="s">
        <v>180</v>
      </c>
      <c r="B41" s="31" t="s">
        <v>183</v>
      </c>
      <c r="C41" s="32">
        <v>275.0</v>
      </c>
      <c r="D41" s="32">
        <v>229.0</v>
      </c>
      <c r="E41" s="31" t="s">
        <v>80</v>
      </c>
      <c r="F41" s="32">
        <v>419.0</v>
      </c>
      <c r="G41" s="32">
        <v>290.0</v>
      </c>
      <c r="H41" s="33">
        <v>45778.0</v>
      </c>
      <c r="I41" s="33">
        <v>45719.0</v>
      </c>
      <c r="J41" s="32" t="s">
        <v>146</v>
      </c>
      <c r="K41" s="32" t="s">
        <v>131</v>
      </c>
      <c r="L41" s="32" t="s">
        <v>131</v>
      </c>
    </row>
    <row r="42">
      <c r="A42" s="27" t="s">
        <v>185</v>
      </c>
      <c r="B42" s="28" t="s">
        <v>189</v>
      </c>
      <c r="C42" s="29">
        <v>250.0</v>
      </c>
      <c r="D42" s="29">
        <v>248.0</v>
      </c>
      <c r="E42" s="28" t="s">
        <v>53</v>
      </c>
      <c r="F42" s="29">
        <v>403.0</v>
      </c>
      <c r="G42" s="29">
        <v>364.0</v>
      </c>
      <c r="H42" s="30">
        <v>45693.0</v>
      </c>
      <c r="I42" s="30">
        <v>45748.0</v>
      </c>
      <c r="J42" s="29" t="s">
        <v>81</v>
      </c>
      <c r="K42" s="29" t="s">
        <v>55</v>
      </c>
      <c r="L42" s="29" t="s">
        <v>55</v>
      </c>
    </row>
    <row r="43">
      <c r="A43" s="27" t="s">
        <v>190</v>
      </c>
      <c r="B43" s="31" t="s">
        <v>193</v>
      </c>
      <c r="C43" s="32">
        <v>249.0</v>
      </c>
      <c r="D43" s="32">
        <v>274.0</v>
      </c>
      <c r="E43" s="31" t="s">
        <v>85</v>
      </c>
      <c r="F43" s="32">
        <v>383.0</v>
      </c>
      <c r="G43" s="32">
        <v>378.0</v>
      </c>
      <c r="H43" s="33">
        <v>45749.0</v>
      </c>
      <c r="I43" s="33">
        <v>45661.0</v>
      </c>
      <c r="J43" s="32" t="s">
        <v>54</v>
      </c>
      <c r="K43" s="32" t="s">
        <v>55</v>
      </c>
      <c r="L43" s="32" t="s">
        <v>55</v>
      </c>
    </row>
    <row r="44">
      <c r="A44" s="27" t="s">
        <v>195</v>
      </c>
      <c r="B44" s="28" t="s">
        <v>193</v>
      </c>
      <c r="C44" s="29">
        <v>341.0</v>
      </c>
      <c r="D44" s="29">
        <v>392.0</v>
      </c>
      <c r="E44" s="28" t="s">
        <v>85</v>
      </c>
      <c r="F44" s="29">
        <v>524.0</v>
      </c>
      <c r="G44" s="29">
        <v>522.0</v>
      </c>
      <c r="H44" s="30">
        <v>45719.0</v>
      </c>
      <c r="I44" s="30">
        <v>45661.0</v>
      </c>
      <c r="J44" s="29" t="s">
        <v>89</v>
      </c>
      <c r="K44" s="29" t="s">
        <v>55</v>
      </c>
      <c r="L44" s="29" t="s">
        <v>55</v>
      </c>
    </row>
    <row r="45">
      <c r="A45" s="27" t="s">
        <v>197</v>
      </c>
      <c r="B45" s="31" t="s">
        <v>193</v>
      </c>
      <c r="C45" s="32">
        <v>286.0</v>
      </c>
      <c r="D45" s="32">
        <v>335.0</v>
      </c>
      <c r="E45" s="31" t="s">
        <v>116</v>
      </c>
      <c r="F45" s="32">
        <v>450.0</v>
      </c>
      <c r="G45" s="32">
        <v>377.0</v>
      </c>
      <c r="H45" s="33">
        <v>45749.0</v>
      </c>
      <c r="I45" s="33">
        <v>45691.0</v>
      </c>
      <c r="J45" s="32" t="s">
        <v>89</v>
      </c>
      <c r="K45" s="33">
        <v>45659.0</v>
      </c>
      <c r="L45" s="33">
        <v>45659.0</v>
      </c>
    </row>
    <row r="46">
      <c r="A46" s="27" t="s">
        <v>199</v>
      </c>
      <c r="B46" s="28" t="s">
        <v>202</v>
      </c>
      <c r="C46" s="29">
        <v>265.0</v>
      </c>
      <c r="D46" s="29">
        <v>299.0</v>
      </c>
      <c r="E46" s="28" t="s">
        <v>62</v>
      </c>
      <c r="F46" s="29">
        <v>332.0</v>
      </c>
      <c r="G46" s="29">
        <v>376.0</v>
      </c>
      <c r="H46" s="30">
        <v>45693.0</v>
      </c>
      <c r="I46" s="30">
        <v>45661.0</v>
      </c>
      <c r="J46" s="29" t="s">
        <v>46</v>
      </c>
      <c r="K46" s="29" t="s">
        <v>55</v>
      </c>
      <c r="L46" s="29" t="s">
        <v>55</v>
      </c>
    </row>
    <row r="47">
      <c r="A47" s="27" t="s">
        <v>204</v>
      </c>
      <c r="B47" s="31" t="s">
        <v>207</v>
      </c>
      <c r="C47" s="32">
        <v>160.0</v>
      </c>
      <c r="D47" s="32">
        <v>362.0</v>
      </c>
      <c r="E47" s="31" t="s">
        <v>151</v>
      </c>
      <c r="F47" s="32">
        <v>243.0</v>
      </c>
      <c r="G47" s="32">
        <v>448.0</v>
      </c>
      <c r="H47" s="33">
        <v>45692.0</v>
      </c>
      <c r="I47" s="32" t="s">
        <v>63</v>
      </c>
      <c r="J47" s="32" t="s">
        <v>46</v>
      </c>
      <c r="K47" s="32" t="s">
        <v>55</v>
      </c>
      <c r="L47" s="32" t="s">
        <v>55</v>
      </c>
    </row>
    <row r="48">
      <c r="A48" s="37" t="s">
        <v>208</v>
      </c>
      <c r="B48" s="19"/>
      <c r="E48" s="19"/>
    </row>
    <row r="49">
      <c r="A49" s="20"/>
      <c r="B49" s="21" t="s">
        <v>31</v>
      </c>
      <c r="C49" s="22"/>
      <c r="D49" s="22"/>
      <c r="E49" s="21" t="s">
        <v>32</v>
      </c>
      <c r="F49" s="22"/>
      <c r="G49" s="22"/>
      <c r="H49" s="22"/>
      <c r="I49" s="22"/>
      <c r="J49" s="22"/>
      <c r="K49" s="23" t="s">
        <v>33</v>
      </c>
      <c r="L49" s="22"/>
    </row>
    <row r="50">
      <c r="A50" s="24" t="s">
        <v>34</v>
      </c>
      <c r="B50" s="25" t="s">
        <v>35</v>
      </c>
      <c r="C50" s="26" t="s">
        <v>36</v>
      </c>
      <c r="D50" s="26" t="s">
        <v>37</v>
      </c>
      <c r="E50" s="25" t="s">
        <v>35</v>
      </c>
      <c r="F50" s="26" t="s">
        <v>36</v>
      </c>
      <c r="G50" s="26" t="s">
        <v>37</v>
      </c>
      <c r="H50" s="26" t="s">
        <v>38</v>
      </c>
      <c r="I50" s="26" t="s">
        <v>39</v>
      </c>
      <c r="J50" s="26" t="s">
        <v>40</v>
      </c>
      <c r="K50" s="26" t="s">
        <v>41</v>
      </c>
      <c r="L50" s="26" t="s">
        <v>42</v>
      </c>
    </row>
    <row r="51">
      <c r="A51" s="27" t="s">
        <v>211</v>
      </c>
      <c r="B51" s="28" t="s">
        <v>214</v>
      </c>
      <c r="C51" s="29">
        <v>333.0</v>
      </c>
      <c r="D51" s="29">
        <v>191.0</v>
      </c>
      <c r="E51" s="28" t="s">
        <v>215</v>
      </c>
      <c r="F51" s="29">
        <v>526.0</v>
      </c>
      <c r="G51" s="29">
        <v>356.0</v>
      </c>
      <c r="H51" s="29" t="s">
        <v>216</v>
      </c>
      <c r="I51" s="30">
        <v>45718.0</v>
      </c>
      <c r="J51" s="29" t="s">
        <v>46</v>
      </c>
      <c r="K51" s="30">
        <v>45750.0</v>
      </c>
      <c r="L51" s="30">
        <v>45749.0</v>
      </c>
    </row>
    <row r="52">
      <c r="A52" s="27" t="s">
        <v>218</v>
      </c>
      <c r="B52" s="31" t="s">
        <v>214</v>
      </c>
      <c r="C52" s="32">
        <v>342.0</v>
      </c>
      <c r="D52" s="32">
        <v>133.0</v>
      </c>
      <c r="E52" s="31" t="s">
        <v>48</v>
      </c>
      <c r="F52" s="32">
        <v>512.0</v>
      </c>
      <c r="G52" s="32">
        <v>201.0</v>
      </c>
      <c r="H52" s="32" t="s">
        <v>216</v>
      </c>
      <c r="I52" s="33">
        <v>45748.0</v>
      </c>
      <c r="J52" s="32" t="s">
        <v>46</v>
      </c>
      <c r="K52" s="33">
        <v>45749.0</v>
      </c>
      <c r="L52" s="33">
        <v>45749.0</v>
      </c>
    </row>
    <row r="53">
      <c r="A53" s="27" t="s">
        <v>221</v>
      </c>
      <c r="B53" s="28" t="s">
        <v>172</v>
      </c>
      <c r="C53" s="29">
        <v>333.0</v>
      </c>
      <c r="D53" s="29">
        <v>105.0</v>
      </c>
      <c r="E53" s="28" t="s">
        <v>73</v>
      </c>
      <c r="F53" s="29">
        <v>524.0</v>
      </c>
      <c r="G53" s="29">
        <v>183.0</v>
      </c>
      <c r="H53" s="29" t="s">
        <v>224</v>
      </c>
      <c r="I53" s="30">
        <v>45690.0</v>
      </c>
      <c r="J53" s="29" t="s">
        <v>81</v>
      </c>
      <c r="K53" s="30">
        <v>45719.0</v>
      </c>
      <c r="L53" s="30">
        <v>45719.0</v>
      </c>
    </row>
    <row r="54">
      <c r="A54" s="27" t="s">
        <v>226</v>
      </c>
      <c r="B54" s="31" t="s">
        <v>189</v>
      </c>
      <c r="C54" s="32">
        <v>219.0</v>
      </c>
      <c r="D54" s="32">
        <v>262.0</v>
      </c>
      <c r="E54" s="31" t="s">
        <v>53</v>
      </c>
      <c r="F54" s="32">
        <v>335.0</v>
      </c>
      <c r="G54" s="32">
        <v>354.0</v>
      </c>
      <c r="H54" s="33">
        <v>45750.0</v>
      </c>
      <c r="I54" s="33">
        <v>45691.0</v>
      </c>
      <c r="J54" s="32" t="s">
        <v>46</v>
      </c>
      <c r="K54" s="32" t="s">
        <v>131</v>
      </c>
      <c r="L54" s="32" t="s">
        <v>66</v>
      </c>
    </row>
    <row r="55">
      <c r="A55" s="27" t="s">
        <v>229</v>
      </c>
      <c r="B55" s="28" t="s">
        <v>193</v>
      </c>
      <c r="C55" s="29">
        <v>182.0</v>
      </c>
      <c r="D55" s="29">
        <v>297.0</v>
      </c>
      <c r="E55" s="28" t="s">
        <v>53</v>
      </c>
      <c r="F55" s="29">
        <v>335.0</v>
      </c>
      <c r="G55" s="29">
        <v>384.0</v>
      </c>
      <c r="H55" s="30">
        <v>45749.0</v>
      </c>
      <c r="I55" s="30">
        <v>45692.0</v>
      </c>
      <c r="J55" s="29" t="s">
        <v>46</v>
      </c>
      <c r="K55" s="29" t="s">
        <v>131</v>
      </c>
      <c r="L55" s="29" t="s">
        <v>131</v>
      </c>
    </row>
    <row r="56">
      <c r="A56" s="27" t="s">
        <v>231</v>
      </c>
      <c r="B56" s="31" t="s">
        <v>207</v>
      </c>
      <c r="C56" s="32">
        <v>211.0</v>
      </c>
      <c r="D56" s="32">
        <v>261.0</v>
      </c>
      <c r="E56" s="31" t="s">
        <v>62</v>
      </c>
      <c r="F56" s="32">
        <v>289.0</v>
      </c>
      <c r="G56" s="32">
        <v>333.0</v>
      </c>
      <c r="H56" s="33">
        <v>45693.0</v>
      </c>
      <c r="I56" s="33">
        <v>45661.0</v>
      </c>
      <c r="J56" s="32" t="s">
        <v>81</v>
      </c>
      <c r="K56" s="32" t="s">
        <v>131</v>
      </c>
      <c r="L56" s="32" t="s">
        <v>131</v>
      </c>
    </row>
    <row r="57">
      <c r="A57" s="27" t="s">
        <v>252</v>
      </c>
      <c r="B57" s="28" t="s">
        <v>270</v>
      </c>
      <c r="C57" s="29">
        <v>86.0</v>
      </c>
      <c r="D57" s="29">
        <v>360.0</v>
      </c>
      <c r="E57" s="28" t="s">
        <v>151</v>
      </c>
      <c r="F57" s="29">
        <v>188.0</v>
      </c>
      <c r="G57" s="29">
        <v>450.0</v>
      </c>
      <c r="H57" s="30">
        <v>45693.0</v>
      </c>
      <c r="I57" s="29" t="s">
        <v>66</v>
      </c>
      <c r="J57" s="29" t="s">
        <v>278</v>
      </c>
      <c r="K57" s="29" t="s">
        <v>131</v>
      </c>
      <c r="L57" s="29" t="s">
        <v>131</v>
      </c>
    </row>
    <row r="58">
      <c r="A58" s="24" t="s">
        <v>68</v>
      </c>
      <c r="B58" s="25" t="s">
        <v>35</v>
      </c>
      <c r="C58" s="26" t="s">
        <v>36</v>
      </c>
      <c r="D58" s="26" t="s">
        <v>37</v>
      </c>
      <c r="E58" s="25" t="s">
        <v>35</v>
      </c>
      <c r="F58" s="26" t="s">
        <v>36</v>
      </c>
      <c r="G58" s="26" t="s">
        <v>37</v>
      </c>
      <c r="H58" s="26" t="s">
        <v>38</v>
      </c>
      <c r="I58" s="26" t="s">
        <v>39</v>
      </c>
      <c r="J58" s="26" t="s">
        <v>40</v>
      </c>
      <c r="K58" s="26" t="s">
        <v>41</v>
      </c>
      <c r="L58" s="26" t="s">
        <v>42</v>
      </c>
    </row>
    <row r="59">
      <c r="A59" s="27" t="s">
        <v>293</v>
      </c>
      <c r="B59" s="28" t="s">
        <v>172</v>
      </c>
      <c r="C59" s="29">
        <v>249.0</v>
      </c>
      <c r="D59" s="29">
        <v>123.0</v>
      </c>
      <c r="E59" s="28" t="s">
        <v>215</v>
      </c>
      <c r="F59" s="29">
        <v>397.0</v>
      </c>
      <c r="G59" s="29">
        <v>218.0</v>
      </c>
      <c r="H59" s="30">
        <v>45778.0</v>
      </c>
      <c r="I59" s="30">
        <v>45748.0</v>
      </c>
      <c r="J59" s="29" t="s">
        <v>89</v>
      </c>
      <c r="K59" s="30">
        <v>45750.0</v>
      </c>
      <c r="L59" s="30">
        <v>45750.0</v>
      </c>
    </row>
    <row r="60">
      <c r="A60" s="27" t="s">
        <v>329</v>
      </c>
      <c r="B60" s="31" t="s">
        <v>183</v>
      </c>
      <c r="C60" s="32">
        <v>213.0</v>
      </c>
      <c r="D60" s="32">
        <v>168.0</v>
      </c>
      <c r="E60" s="31" t="s">
        <v>78</v>
      </c>
      <c r="F60" s="32">
        <v>324.0</v>
      </c>
      <c r="G60" s="32">
        <v>245.0</v>
      </c>
      <c r="H60" s="33">
        <v>45750.0</v>
      </c>
      <c r="I60" s="33">
        <v>45748.0</v>
      </c>
      <c r="J60" s="32" t="s">
        <v>46</v>
      </c>
      <c r="K60" s="33">
        <v>45691.0</v>
      </c>
      <c r="L60" s="33">
        <v>45691.0</v>
      </c>
    </row>
    <row r="61">
      <c r="A61" s="27" t="s">
        <v>362</v>
      </c>
      <c r="B61" s="28" t="s">
        <v>183</v>
      </c>
      <c r="C61" s="29">
        <v>191.0</v>
      </c>
      <c r="D61" s="29">
        <v>214.0</v>
      </c>
      <c r="E61" s="28" t="s">
        <v>80</v>
      </c>
      <c r="F61" s="29">
        <v>345.0</v>
      </c>
      <c r="G61" s="29">
        <v>311.0</v>
      </c>
      <c r="H61" s="29" t="s">
        <v>216</v>
      </c>
      <c r="I61" s="30">
        <v>45691.0</v>
      </c>
      <c r="J61" s="29" t="s">
        <v>81</v>
      </c>
      <c r="K61" s="29" t="s">
        <v>55</v>
      </c>
      <c r="L61" s="29" t="s">
        <v>55</v>
      </c>
    </row>
    <row r="62">
      <c r="A62" s="27" t="s">
        <v>467</v>
      </c>
      <c r="B62" s="31" t="s">
        <v>468</v>
      </c>
      <c r="C62" s="32">
        <v>245.0</v>
      </c>
      <c r="D62" s="32">
        <v>200.0</v>
      </c>
      <c r="E62" s="31" t="s">
        <v>80</v>
      </c>
      <c r="F62" s="32">
        <v>381.0</v>
      </c>
      <c r="G62" s="32">
        <v>287.0</v>
      </c>
      <c r="H62" s="33">
        <v>45809.0</v>
      </c>
      <c r="I62" s="33">
        <v>45691.0</v>
      </c>
      <c r="J62" s="32" t="s">
        <v>89</v>
      </c>
      <c r="K62" s="32" t="s">
        <v>131</v>
      </c>
      <c r="L62" s="32" t="s">
        <v>131</v>
      </c>
    </row>
    <row r="63">
      <c r="A63" s="27" t="s">
        <v>469</v>
      </c>
      <c r="B63" s="28" t="s">
        <v>468</v>
      </c>
      <c r="C63" s="29">
        <v>255.0</v>
      </c>
      <c r="D63" s="29">
        <v>221.0</v>
      </c>
      <c r="E63" s="28" t="s">
        <v>116</v>
      </c>
      <c r="F63" s="29">
        <v>338.0</v>
      </c>
      <c r="G63" s="29">
        <v>289.0</v>
      </c>
      <c r="H63" s="30">
        <v>45720.0</v>
      </c>
      <c r="I63" s="30">
        <v>45718.0</v>
      </c>
      <c r="J63" s="29" t="s">
        <v>117</v>
      </c>
      <c r="K63" s="30">
        <v>45692.0</v>
      </c>
      <c r="L63" s="30">
        <v>45661.0</v>
      </c>
    </row>
    <row r="64">
      <c r="A64" s="27" t="s">
        <v>475</v>
      </c>
      <c r="B64" s="31" t="s">
        <v>202</v>
      </c>
      <c r="C64" s="32">
        <v>151.0</v>
      </c>
      <c r="D64" s="32">
        <v>298.0</v>
      </c>
      <c r="E64" s="31" t="s">
        <v>62</v>
      </c>
      <c r="F64" s="32">
        <v>236.0</v>
      </c>
      <c r="G64" s="32">
        <v>383.0</v>
      </c>
      <c r="H64" s="33">
        <v>45693.0</v>
      </c>
      <c r="I64" s="33">
        <v>45661.0</v>
      </c>
      <c r="J64" s="32" t="s">
        <v>54</v>
      </c>
      <c r="K64" s="32" t="s">
        <v>131</v>
      </c>
      <c r="L64" s="32" t="s">
        <v>66</v>
      </c>
    </row>
    <row r="65">
      <c r="A65" s="27" t="s">
        <v>477</v>
      </c>
      <c r="B65" s="28" t="s">
        <v>207</v>
      </c>
      <c r="C65" s="29">
        <v>206.0</v>
      </c>
      <c r="D65" s="29">
        <v>383.0</v>
      </c>
      <c r="E65" s="28" t="s">
        <v>62</v>
      </c>
      <c r="F65" s="29">
        <v>295.0</v>
      </c>
      <c r="G65" s="29">
        <v>459.0</v>
      </c>
      <c r="H65" s="30">
        <v>45693.0</v>
      </c>
      <c r="I65" s="30">
        <v>45661.0</v>
      </c>
      <c r="J65" s="29" t="s">
        <v>153</v>
      </c>
      <c r="K65" s="29" t="s">
        <v>55</v>
      </c>
      <c r="L65" s="29" t="s">
        <v>55</v>
      </c>
    </row>
    <row r="66">
      <c r="A66" s="37" t="s">
        <v>478</v>
      </c>
      <c r="B66" s="19"/>
      <c r="E66" s="19"/>
    </row>
    <row r="67">
      <c r="A67" s="20"/>
      <c r="B67" s="21" t="s">
        <v>31</v>
      </c>
      <c r="C67" s="22"/>
      <c r="D67" s="22"/>
      <c r="E67" s="21" t="s">
        <v>32</v>
      </c>
      <c r="F67" s="22"/>
      <c r="G67" s="22"/>
      <c r="H67" s="22"/>
      <c r="I67" s="22"/>
      <c r="J67" s="22"/>
      <c r="K67" s="23" t="s">
        <v>33</v>
      </c>
      <c r="L67" s="22"/>
    </row>
    <row r="68">
      <c r="A68" s="24" t="s">
        <v>34</v>
      </c>
      <c r="B68" s="25" t="s">
        <v>35</v>
      </c>
      <c r="C68" s="26" t="s">
        <v>36</v>
      </c>
      <c r="D68" s="26" t="s">
        <v>37</v>
      </c>
      <c r="E68" s="25" t="s">
        <v>35</v>
      </c>
      <c r="F68" s="26" t="s">
        <v>36</v>
      </c>
      <c r="G68" s="26" t="s">
        <v>37</v>
      </c>
      <c r="H68" s="26" t="s">
        <v>38</v>
      </c>
      <c r="I68" s="26" t="s">
        <v>39</v>
      </c>
      <c r="J68" s="26" t="s">
        <v>40</v>
      </c>
      <c r="K68" s="26" t="s">
        <v>41</v>
      </c>
      <c r="L68" s="26" t="s">
        <v>42</v>
      </c>
    </row>
    <row r="69">
      <c r="A69" s="27" t="s">
        <v>480</v>
      </c>
      <c r="B69" s="28" t="s">
        <v>44</v>
      </c>
      <c r="C69" s="29">
        <v>407.0</v>
      </c>
      <c r="D69" s="29">
        <v>173.0</v>
      </c>
      <c r="E69" s="28" t="s">
        <v>215</v>
      </c>
      <c r="F69" s="29">
        <v>637.0</v>
      </c>
      <c r="G69" s="29">
        <v>344.0</v>
      </c>
      <c r="H69" s="30">
        <v>45809.0</v>
      </c>
      <c r="I69" s="30">
        <v>45749.0</v>
      </c>
      <c r="J69" s="29" t="s">
        <v>481</v>
      </c>
      <c r="K69" s="29" t="s">
        <v>60</v>
      </c>
      <c r="L69" s="29" t="s">
        <v>60</v>
      </c>
    </row>
    <row r="70">
      <c r="A70" s="27" t="s">
        <v>482</v>
      </c>
      <c r="B70" s="31" t="s">
        <v>44</v>
      </c>
      <c r="C70" s="32">
        <v>313.0</v>
      </c>
      <c r="D70" s="32">
        <v>217.0</v>
      </c>
      <c r="E70" s="31" t="s">
        <v>73</v>
      </c>
      <c r="F70" s="32">
        <v>456.0</v>
      </c>
      <c r="G70" s="32">
        <v>354.0</v>
      </c>
      <c r="H70" s="32" t="s">
        <v>74</v>
      </c>
      <c r="I70" s="33">
        <v>45719.0</v>
      </c>
      <c r="J70" s="32" t="s">
        <v>483</v>
      </c>
      <c r="K70" s="32" t="s">
        <v>484</v>
      </c>
      <c r="L70" s="32" t="s">
        <v>484</v>
      </c>
    </row>
    <row r="71">
      <c r="A71" s="27" t="s">
        <v>485</v>
      </c>
      <c r="B71" s="28" t="s">
        <v>77</v>
      </c>
      <c r="C71" s="29">
        <v>310.0</v>
      </c>
      <c r="D71" s="29">
        <v>300.0</v>
      </c>
      <c r="E71" s="28" t="s">
        <v>78</v>
      </c>
      <c r="F71" s="29">
        <v>516.0</v>
      </c>
      <c r="G71" s="29">
        <v>465.0</v>
      </c>
      <c r="H71" s="30">
        <v>45718.0</v>
      </c>
      <c r="I71" s="30">
        <v>45779.0</v>
      </c>
      <c r="J71" s="29" t="s">
        <v>46</v>
      </c>
      <c r="K71" s="29" t="s">
        <v>484</v>
      </c>
      <c r="L71" s="29" t="s">
        <v>484</v>
      </c>
    </row>
    <row r="72">
      <c r="A72" s="27" t="s">
        <v>486</v>
      </c>
      <c r="B72" s="31" t="s">
        <v>52</v>
      </c>
      <c r="C72" s="32">
        <v>234.0</v>
      </c>
      <c r="D72" s="32">
        <v>269.0</v>
      </c>
      <c r="E72" s="31" t="s">
        <v>58</v>
      </c>
      <c r="F72" s="32">
        <v>288.0</v>
      </c>
      <c r="G72" s="32">
        <v>418.0</v>
      </c>
      <c r="H72" s="33">
        <v>45693.0</v>
      </c>
      <c r="I72" s="33">
        <v>45691.0</v>
      </c>
      <c r="J72" s="32" t="s">
        <v>46</v>
      </c>
      <c r="K72" s="32" t="s">
        <v>484</v>
      </c>
      <c r="L72" s="32" t="s">
        <v>484</v>
      </c>
    </row>
    <row r="73">
      <c r="A73" s="27" t="s">
        <v>489</v>
      </c>
      <c r="B73" s="28" t="s">
        <v>84</v>
      </c>
      <c r="C73" s="29">
        <v>202.0</v>
      </c>
      <c r="D73" s="29">
        <v>246.0</v>
      </c>
      <c r="E73" s="28" t="s">
        <v>58</v>
      </c>
      <c r="F73" s="29">
        <v>302.0</v>
      </c>
      <c r="G73" s="29">
        <v>415.0</v>
      </c>
      <c r="H73" s="30">
        <v>45662.0</v>
      </c>
      <c r="I73" s="30">
        <v>45719.0</v>
      </c>
      <c r="J73" s="29" t="s">
        <v>54</v>
      </c>
      <c r="K73" s="29" t="s">
        <v>60</v>
      </c>
      <c r="L73" s="29" t="s">
        <v>60</v>
      </c>
    </row>
    <row r="74">
      <c r="A74" s="27" t="s">
        <v>493</v>
      </c>
      <c r="B74" s="31" t="s">
        <v>126</v>
      </c>
      <c r="C74" s="32">
        <v>235.0</v>
      </c>
      <c r="D74" s="32">
        <v>315.0</v>
      </c>
      <c r="E74" s="31" t="s">
        <v>62</v>
      </c>
      <c r="F74" s="32">
        <v>317.0</v>
      </c>
      <c r="G74" s="32">
        <v>477.0</v>
      </c>
      <c r="H74" s="33">
        <v>45692.0</v>
      </c>
      <c r="I74" s="33">
        <v>45662.0</v>
      </c>
      <c r="J74" s="32" t="s">
        <v>81</v>
      </c>
      <c r="K74" s="32" t="s">
        <v>60</v>
      </c>
      <c r="L74" s="32" t="s">
        <v>60</v>
      </c>
    </row>
    <row r="75">
      <c r="A75" s="27" t="s">
        <v>505</v>
      </c>
      <c r="B75" s="28" t="s">
        <v>126</v>
      </c>
      <c r="C75" s="29">
        <v>162.0</v>
      </c>
      <c r="D75" s="29">
        <v>256.0</v>
      </c>
      <c r="E75" s="28" t="s">
        <v>62</v>
      </c>
      <c r="F75" s="29">
        <v>317.0</v>
      </c>
      <c r="G75" s="29">
        <v>423.0</v>
      </c>
      <c r="H75" s="30">
        <v>45720.0</v>
      </c>
      <c r="I75" s="29" t="s">
        <v>66</v>
      </c>
      <c r="J75" s="29" t="s">
        <v>81</v>
      </c>
      <c r="K75" s="29" t="s">
        <v>60</v>
      </c>
      <c r="L75" s="29" t="s">
        <v>60</v>
      </c>
    </row>
    <row r="76">
      <c r="A76" s="24" t="s">
        <v>68</v>
      </c>
      <c r="B76" s="25" t="s">
        <v>35</v>
      </c>
      <c r="C76" s="26" t="s">
        <v>36</v>
      </c>
      <c r="D76" s="26" t="s">
        <v>37</v>
      </c>
      <c r="E76" s="25" t="s">
        <v>35</v>
      </c>
      <c r="F76" s="26" t="s">
        <v>36</v>
      </c>
      <c r="G76" s="26" t="s">
        <v>37</v>
      </c>
      <c r="H76" s="26" t="s">
        <v>38</v>
      </c>
      <c r="I76" s="26" t="s">
        <v>39</v>
      </c>
      <c r="J76" s="26" t="s">
        <v>40</v>
      </c>
      <c r="K76" s="26" t="s">
        <v>41</v>
      </c>
      <c r="L76" s="26" t="s">
        <v>42</v>
      </c>
    </row>
    <row r="77">
      <c r="A77" s="27" t="s">
        <v>525</v>
      </c>
      <c r="B77" s="28" t="s">
        <v>72</v>
      </c>
      <c r="C77" s="29">
        <v>354.0</v>
      </c>
      <c r="D77" s="29">
        <v>235.0</v>
      </c>
      <c r="E77" s="28" t="s">
        <v>70</v>
      </c>
      <c r="F77" s="29">
        <v>620.0</v>
      </c>
      <c r="G77" s="29">
        <v>470.0</v>
      </c>
      <c r="H77" s="29" t="s">
        <v>103</v>
      </c>
      <c r="I77" s="30">
        <v>45721.0</v>
      </c>
      <c r="J77" s="29" t="s">
        <v>89</v>
      </c>
      <c r="K77" s="29" t="s">
        <v>60</v>
      </c>
      <c r="L77" s="29" t="s">
        <v>60</v>
      </c>
    </row>
    <row r="78">
      <c r="A78" s="27" t="s">
        <v>530</v>
      </c>
      <c r="B78" s="31" t="s">
        <v>77</v>
      </c>
      <c r="C78" s="32">
        <v>281.0</v>
      </c>
      <c r="D78" s="32">
        <v>249.0</v>
      </c>
      <c r="E78" s="31" t="s">
        <v>53</v>
      </c>
      <c r="F78" s="32">
        <v>379.0</v>
      </c>
      <c r="G78" s="32">
        <v>363.0</v>
      </c>
      <c r="H78" s="33">
        <v>45749.0</v>
      </c>
      <c r="I78" s="33">
        <v>45692.0</v>
      </c>
      <c r="J78" s="32" t="s">
        <v>46</v>
      </c>
      <c r="K78" s="32" t="s">
        <v>60</v>
      </c>
      <c r="L78" s="32" t="s">
        <v>60</v>
      </c>
    </row>
    <row r="79">
      <c r="A79" s="27" t="s">
        <v>531</v>
      </c>
      <c r="B79" s="28" t="s">
        <v>52</v>
      </c>
      <c r="C79" s="29">
        <v>258.0</v>
      </c>
      <c r="D79" s="29">
        <v>246.0</v>
      </c>
      <c r="E79" s="28" t="s">
        <v>116</v>
      </c>
      <c r="F79" s="29">
        <v>427.0</v>
      </c>
      <c r="G79" s="29">
        <v>384.0</v>
      </c>
      <c r="H79" s="30">
        <v>45749.0</v>
      </c>
      <c r="I79" s="30">
        <v>45692.0</v>
      </c>
      <c r="J79" s="29" t="s">
        <v>117</v>
      </c>
      <c r="K79" s="29" t="s">
        <v>60</v>
      </c>
      <c r="L79" s="29" t="s">
        <v>60</v>
      </c>
    </row>
    <row r="80">
      <c r="A80" s="27" t="s">
        <v>532</v>
      </c>
      <c r="B80" s="31" t="s">
        <v>84</v>
      </c>
      <c r="C80" s="32">
        <v>194.0</v>
      </c>
      <c r="D80" s="32">
        <v>282.0</v>
      </c>
      <c r="E80" s="31" t="s">
        <v>533</v>
      </c>
      <c r="F80" s="32">
        <v>322.0</v>
      </c>
      <c r="G80" s="32">
        <v>424.0</v>
      </c>
      <c r="H80" s="33">
        <v>45719.0</v>
      </c>
      <c r="I80" s="33">
        <v>45692.0</v>
      </c>
      <c r="J80" s="32" t="s">
        <v>81</v>
      </c>
      <c r="K80" s="32" t="s">
        <v>60</v>
      </c>
      <c r="L80" s="32" t="s">
        <v>60</v>
      </c>
    </row>
    <row r="81">
      <c r="A81" s="27" t="s">
        <v>534</v>
      </c>
      <c r="B81" s="28" t="s">
        <v>126</v>
      </c>
      <c r="C81" s="29">
        <v>197.0</v>
      </c>
      <c r="D81" s="29">
        <v>294.0</v>
      </c>
      <c r="E81" s="28" t="s">
        <v>62</v>
      </c>
      <c r="F81" s="29">
        <v>303.0</v>
      </c>
      <c r="G81" s="29">
        <v>448.0</v>
      </c>
      <c r="H81" s="30">
        <v>45692.0</v>
      </c>
      <c r="I81" s="30">
        <v>45662.0</v>
      </c>
      <c r="J81" s="29" t="s">
        <v>46</v>
      </c>
      <c r="K81" s="29" t="s">
        <v>60</v>
      </c>
      <c r="L81" s="29" t="s">
        <v>60</v>
      </c>
    </row>
    <row r="82">
      <c r="A82" s="27" t="s">
        <v>535</v>
      </c>
      <c r="B82" s="31" t="s">
        <v>126</v>
      </c>
      <c r="C82" s="32">
        <v>215.0</v>
      </c>
      <c r="D82" s="32">
        <v>280.0</v>
      </c>
      <c r="E82" s="31" t="s">
        <v>58</v>
      </c>
      <c r="F82" s="32">
        <v>316.0</v>
      </c>
      <c r="G82" s="32">
        <v>419.0</v>
      </c>
      <c r="H82" s="33">
        <v>45720.0</v>
      </c>
      <c r="I82" s="33">
        <v>45661.0</v>
      </c>
      <c r="J82" s="32" t="s">
        <v>89</v>
      </c>
      <c r="K82" s="32" t="s">
        <v>60</v>
      </c>
      <c r="L82" s="32" t="s">
        <v>60</v>
      </c>
    </row>
    <row r="83">
      <c r="A83" s="37" t="s">
        <v>536</v>
      </c>
      <c r="B83" s="19"/>
      <c r="E83" s="19"/>
    </row>
    <row r="84">
      <c r="A84" s="49"/>
      <c r="B84" s="21" t="s">
        <v>31</v>
      </c>
      <c r="C84" s="22"/>
      <c r="D84" s="22"/>
      <c r="E84" s="21" t="s">
        <v>32</v>
      </c>
      <c r="F84" s="22"/>
      <c r="G84" s="22"/>
      <c r="H84" s="22"/>
      <c r="I84" s="22"/>
      <c r="J84" s="22"/>
      <c r="K84" s="23" t="s">
        <v>33</v>
      </c>
      <c r="L84" s="22"/>
    </row>
    <row r="85">
      <c r="A85" s="49"/>
      <c r="B85" s="50" t="s">
        <v>35</v>
      </c>
      <c r="C85" s="51" t="s">
        <v>36</v>
      </c>
      <c r="D85" s="51" t="s">
        <v>37</v>
      </c>
      <c r="E85" s="50" t="s">
        <v>35</v>
      </c>
      <c r="F85" s="51" t="s">
        <v>36</v>
      </c>
      <c r="G85" s="51" t="s">
        <v>37</v>
      </c>
      <c r="H85" s="51" t="s">
        <v>38</v>
      </c>
      <c r="I85" s="51" t="s">
        <v>39</v>
      </c>
      <c r="J85" s="51" t="s">
        <v>40</v>
      </c>
      <c r="K85" s="51" t="s">
        <v>41</v>
      </c>
      <c r="L85" s="51" t="s">
        <v>42</v>
      </c>
    </row>
    <row r="86">
      <c r="A86" s="27" t="s">
        <v>537</v>
      </c>
      <c r="B86" s="28" t="s">
        <v>484</v>
      </c>
      <c r="C86" s="29" t="s">
        <v>484</v>
      </c>
      <c r="D86" s="29" t="s">
        <v>484</v>
      </c>
      <c r="E86" s="28" t="s">
        <v>80</v>
      </c>
      <c r="F86" s="29">
        <v>384.0</v>
      </c>
      <c r="G86" s="29">
        <v>254.0</v>
      </c>
      <c r="H86" s="30">
        <v>45778.0</v>
      </c>
      <c r="I86" s="30">
        <v>45690.0</v>
      </c>
      <c r="J86" s="29" t="s">
        <v>49</v>
      </c>
      <c r="K86" s="29" t="s">
        <v>60</v>
      </c>
      <c r="L86" s="29" t="s">
        <v>50</v>
      </c>
    </row>
    <row r="87">
      <c r="A87" s="27" t="s">
        <v>538</v>
      </c>
      <c r="B87" s="31" t="s">
        <v>484</v>
      </c>
      <c r="C87" s="32" t="s">
        <v>484</v>
      </c>
      <c r="D87" s="32" t="s">
        <v>484</v>
      </c>
      <c r="E87" s="31" t="s">
        <v>58</v>
      </c>
      <c r="F87" s="32">
        <v>371.0</v>
      </c>
      <c r="G87" s="32">
        <v>334.0</v>
      </c>
      <c r="H87" s="33">
        <v>45692.0</v>
      </c>
      <c r="I87" s="32" t="s">
        <v>55</v>
      </c>
      <c r="J87" s="32" t="s">
        <v>81</v>
      </c>
      <c r="K87" s="32" t="s">
        <v>60</v>
      </c>
      <c r="L87" s="32" t="s">
        <v>60</v>
      </c>
    </row>
    <row r="88">
      <c r="A88" s="27" t="s">
        <v>539</v>
      </c>
      <c r="B88" s="28" t="s">
        <v>484</v>
      </c>
      <c r="C88" s="29" t="s">
        <v>484</v>
      </c>
      <c r="D88" s="29" t="s">
        <v>484</v>
      </c>
      <c r="E88" s="28" t="s">
        <v>78</v>
      </c>
      <c r="F88" s="29">
        <v>389.0</v>
      </c>
      <c r="G88" s="29">
        <v>258.0</v>
      </c>
      <c r="H88" s="30">
        <v>45718.0</v>
      </c>
      <c r="I88" s="30">
        <v>45718.0</v>
      </c>
      <c r="J88" s="29" t="s">
        <v>75</v>
      </c>
      <c r="K88" s="29" t="s">
        <v>86</v>
      </c>
      <c r="L88" s="29" t="s">
        <v>86</v>
      </c>
    </row>
    <row r="89">
      <c r="A89" s="27" t="s">
        <v>540</v>
      </c>
      <c r="B89" s="31" t="s">
        <v>484</v>
      </c>
      <c r="C89" s="32" t="s">
        <v>484</v>
      </c>
      <c r="D89" s="32" t="s">
        <v>484</v>
      </c>
      <c r="E89" s="31" t="s">
        <v>151</v>
      </c>
      <c r="F89" s="32">
        <v>280.0</v>
      </c>
      <c r="G89" s="32">
        <v>426.0</v>
      </c>
      <c r="H89" s="33">
        <v>45692.0</v>
      </c>
      <c r="I89" s="32" t="s">
        <v>63</v>
      </c>
      <c r="J89" s="32" t="s">
        <v>54</v>
      </c>
      <c r="K89" s="32" t="s">
        <v>60</v>
      </c>
      <c r="L89" s="32" t="s">
        <v>60</v>
      </c>
    </row>
    <row r="90">
      <c r="A90" s="37" t="s">
        <v>541</v>
      </c>
      <c r="B90" s="19"/>
      <c r="E90" s="19"/>
    </row>
    <row r="91">
      <c r="A91" s="20"/>
      <c r="B91" s="21" t="s">
        <v>31</v>
      </c>
      <c r="C91" s="22"/>
      <c r="D91" s="22"/>
      <c r="E91" s="21" t="s">
        <v>32</v>
      </c>
      <c r="F91" s="22"/>
      <c r="G91" s="22"/>
      <c r="H91" s="22"/>
      <c r="I91" s="22"/>
      <c r="J91" s="22"/>
      <c r="K91" s="23" t="s">
        <v>33</v>
      </c>
      <c r="L91" s="22"/>
    </row>
    <row r="92">
      <c r="A92" s="24" t="s">
        <v>34</v>
      </c>
      <c r="B92" s="25" t="s">
        <v>35</v>
      </c>
      <c r="C92" s="26" t="s">
        <v>36</v>
      </c>
      <c r="D92" s="26" t="s">
        <v>37</v>
      </c>
      <c r="E92" s="25" t="s">
        <v>35</v>
      </c>
      <c r="F92" s="26" t="s">
        <v>36</v>
      </c>
      <c r="G92" s="26" t="s">
        <v>37</v>
      </c>
      <c r="H92" s="26" t="s">
        <v>38</v>
      </c>
      <c r="I92" s="26" t="s">
        <v>39</v>
      </c>
      <c r="J92" s="26" t="s">
        <v>40</v>
      </c>
      <c r="K92" s="26" t="s">
        <v>41</v>
      </c>
      <c r="L92" s="26" t="s">
        <v>42</v>
      </c>
    </row>
    <row r="93">
      <c r="A93" s="27" t="s">
        <v>542</v>
      </c>
      <c r="B93" s="28" t="s">
        <v>72</v>
      </c>
      <c r="C93" s="29">
        <v>175.0</v>
      </c>
      <c r="D93" s="29">
        <v>134.0</v>
      </c>
      <c r="E93" s="28" t="s">
        <v>543</v>
      </c>
      <c r="F93" s="29">
        <v>368.0</v>
      </c>
      <c r="G93" s="29">
        <v>317.0</v>
      </c>
      <c r="H93" s="30">
        <v>45749.0</v>
      </c>
      <c r="I93" s="30">
        <v>45749.0</v>
      </c>
      <c r="J93" s="29" t="s">
        <v>81</v>
      </c>
      <c r="K93" s="29" t="s">
        <v>60</v>
      </c>
      <c r="L93" s="29" t="s">
        <v>60</v>
      </c>
    </row>
    <row r="94">
      <c r="A94" s="27" t="s">
        <v>544</v>
      </c>
      <c r="B94" s="31" t="s">
        <v>72</v>
      </c>
      <c r="C94" s="32">
        <v>199.0</v>
      </c>
      <c r="D94" s="32">
        <v>168.0</v>
      </c>
      <c r="E94" s="31" t="s">
        <v>53</v>
      </c>
      <c r="F94" s="32">
        <v>297.0</v>
      </c>
      <c r="G94" s="32">
        <v>309.0</v>
      </c>
      <c r="H94" s="33">
        <v>45719.0</v>
      </c>
      <c r="I94" s="33">
        <v>45719.0</v>
      </c>
      <c r="J94" s="32" t="s">
        <v>46</v>
      </c>
      <c r="K94" s="32" t="s">
        <v>60</v>
      </c>
      <c r="L94" s="32" t="s">
        <v>60</v>
      </c>
    </row>
    <row r="95">
      <c r="A95" s="27" t="s">
        <v>545</v>
      </c>
      <c r="B95" s="28" t="s">
        <v>84</v>
      </c>
      <c r="C95" s="29">
        <v>237.0</v>
      </c>
      <c r="D95" s="29">
        <v>239.0</v>
      </c>
      <c r="E95" s="28" t="s">
        <v>58</v>
      </c>
      <c r="F95" s="29">
        <v>298.0</v>
      </c>
      <c r="G95" s="29">
        <v>460.0</v>
      </c>
      <c r="H95" s="30">
        <v>45719.0</v>
      </c>
      <c r="I95" s="30">
        <v>45662.0</v>
      </c>
      <c r="J95" s="29" t="s">
        <v>75</v>
      </c>
      <c r="K95" s="29" t="s">
        <v>60</v>
      </c>
      <c r="L95" s="29" t="s">
        <v>60</v>
      </c>
    </row>
    <row r="96">
      <c r="A96" s="27" t="s">
        <v>546</v>
      </c>
      <c r="B96" s="31" t="s">
        <v>84</v>
      </c>
      <c r="C96" s="32">
        <v>169.0</v>
      </c>
      <c r="D96" s="32">
        <v>242.0</v>
      </c>
      <c r="E96" s="31" t="s">
        <v>85</v>
      </c>
      <c r="F96" s="32">
        <v>329.0</v>
      </c>
      <c r="G96" s="32">
        <v>403.0</v>
      </c>
      <c r="H96" s="33">
        <v>45692.0</v>
      </c>
      <c r="I96" s="33">
        <v>45719.0</v>
      </c>
      <c r="J96" s="32" t="s">
        <v>64</v>
      </c>
      <c r="K96" s="32" t="s">
        <v>50</v>
      </c>
      <c r="L96" s="32" t="s">
        <v>50</v>
      </c>
    </row>
    <row r="97">
      <c r="A97" s="27" t="s">
        <v>547</v>
      </c>
      <c r="B97" s="28" t="s">
        <v>126</v>
      </c>
      <c r="C97" s="29">
        <v>171.0</v>
      </c>
      <c r="D97" s="29">
        <v>217.0</v>
      </c>
      <c r="E97" s="28" t="s">
        <v>62</v>
      </c>
      <c r="F97" s="29">
        <v>247.0</v>
      </c>
      <c r="G97" s="29">
        <v>344.0</v>
      </c>
      <c r="H97" s="30">
        <v>45662.0</v>
      </c>
      <c r="I97" s="30">
        <v>45692.0</v>
      </c>
      <c r="J97" s="29" t="s">
        <v>54</v>
      </c>
      <c r="K97" s="29" t="s">
        <v>55</v>
      </c>
      <c r="L97" s="29" t="s">
        <v>55</v>
      </c>
    </row>
    <row r="98">
      <c r="A98" s="27" t="s">
        <v>548</v>
      </c>
      <c r="B98" s="31" t="s">
        <v>57</v>
      </c>
      <c r="C98" s="32">
        <v>142.0</v>
      </c>
      <c r="D98" s="32">
        <v>273.0</v>
      </c>
      <c r="E98" s="31" t="s">
        <v>151</v>
      </c>
      <c r="F98" s="32">
        <v>198.0</v>
      </c>
      <c r="G98" s="32">
        <v>388.0</v>
      </c>
      <c r="H98" s="33">
        <v>45692.0</v>
      </c>
      <c r="I98" s="32" t="s">
        <v>63</v>
      </c>
      <c r="J98" s="32" t="s">
        <v>64</v>
      </c>
      <c r="K98" s="32" t="s">
        <v>60</v>
      </c>
      <c r="L98" s="32" t="s">
        <v>60</v>
      </c>
    </row>
    <row r="99">
      <c r="A99" s="24" t="s">
        <v>68</v>
      </c>
      <c r="B99" s="25" t="s">
        <v>35</v>
      </c>
      <c r="C99" s="26" t="s">
        <v>36</v>
      </c>
      <c r="D99" s="26" t="s">
        <v>37</v>
      </c>
      <c r="E99" s="25" t="s">
        <v>35</v>
      </c>
      <c r="F99" s="26" t="s">
        <v>36</v>
      </c>
      <c r="G99" s="26" t="s">
        <v>37</v>
      </c>
      <c r="H99" s="26" t="s">
        <v>38</v>
      </c>
      <c r="I99" s="26" t="s">
        <v>39</v>
      </c>
      <c r="J99" s="26" t="s">
        <v>40</v>
      </c>
      <c r="K99" s="26" t="s">
        <v>41</v>
      </c>
      <c r="L99" s="26" t="s">
        <v>42</v>
      </c>
    </row>
    <row r="100">
      <c r="A100" s="27" t="s">
        <v>549</v>
      </c>
      <c r="B100" s="28" t="s">
        <v>224</v>
      </c>
      <c r="C100" s="29">
        <v>362.0</v>
      </c>
      <c r="D100" s="29">
        <v>147.0</v>
      </c>
      <c r="E100" s="28" t="s">
        <v>550</v>
      </c>
      <c r="F100" s="29">
        <v>582.0</v>
      </c>
      <c r="G100" s="29">
        <v>277.0</v>
      </c>
      <c r="H100" s="29" t="s">
        <v>74</v>
      </c>
      <c r="I100" s="29" t="s">
        <v>74</v>
      </c>
      <c r="J100" s="29" t="s">
        <v>46</v>
      </c>
      <c r="K100" s="29" t="s">
        <v>60</v>
      </c>
      <c r="L100" s="29" t="s">
        <v>60</v>
      </c>
    </row>
    <row r="101">
      <c r="A101" s="27" t="s">
        <v>551</v>
      </c>
      <c r="B101" s="31" t="s">
        <v>72</v>
      </c>
      <c r="C101" s="32">
        <v>285.0</v>
      </c>
      <c r="D101" s="32">
        <v>218.0</v>
      </c>
      <c r="E101" s="31" t="s">
        <v>80</v>
      </c>
      <c r="F101" s="32">
        <v>494.0</v>
      </c>
      <c r="G101" s="32">
        <v>334.0</v>
      </c>
      <c r="H101" s="33">
        <v>45778.0</v>
      </c>
      <c r="I101" s="33">
        <v>45718.0</v>
      </c>
      <c r="J101" s="32" t="s">
        <v>81</v>
      </c>
      <c r="K101" s="32" t="s">
        <v>60</v>
      </c>
      <c r="L101" s="32" t="s">
        <v>60</v>
      </c>
    </row>
    <row r="102">
      <c r="A102" s="27" t="s">
        <v>552</v>
      </c>
      <c r="B102" s="28" t="s">
        <v>77</v>
      </c>
      <c r="C102" s="29">
        <v>264.0</v>
      </c>
      <c r="D102" s="29">
        <v>206.0</v>
      </c>
      <c r="E102" s="28" t="s">
        <v>85</v>
      </c>
      <c r="F102" s="29">
        <v>366.0</v>
      </c>
      <c r="G102" s="29">
        <v>364.0</v>
      </c>
      <c r="H102" s="30">
        <v>45691.0</v>
      </c>
      <c r="I102" s="30">
        <v>45719.0</v>
      </c>
      <c r="J102" s="29" t="s">
        <v>117</v>
      </c>
      <c r="K102" s="29" t="s">
        <v>60</v>
      </c>
      <c r="L102" s="29" t="s">
        <v>60</v>
      </c>
    </row>
    <row r="103">
      <c r="A103" s="27" t="s">
        <v>553</v>
      </c>
      <c r="B103" s="31" t="s">
        <v>52</v>
      </c>
      <c r="C103" s="32">
        <v>219.0</v>
      </c>
      <c r="D103" s="32">
        <v>246.0</v>
      </c>
      <c r="E103" s="31" t="s">
        <v>116</v>
      </c>
      <c r="F103" s="32">
        <v>385.0</v>
      </c>
      <c r="G103" s="32">
        <v>388.0</v>
      </c>
      <c r="H103" s="33">
        <v>45719.0</v>
      </c>
      <c r="I103" s="33">
        <v>45749.0</v>
      </c>
      <c r="J103" s="32" t="s">
        <v>46</v>
      </c>
      <c r="K103" s="32" t="s">
        <v>60</v>
      </c>
      <c r="L103" s="32" t="s">
        <v>60</v>
      </c>
    </row>
    <row r="104">
      <c r="A104" s="27" t="s">
        <v>554</v>
      </c>
      <c r="B104" s="28" t="s">
        <v>84</v>
      </c>
      <c r="C104" s="29">
        <v>174.0</v>
      </c>
      <c r="D104" s="29">
        <v>239.0</v>
      </c>
      <c r="E104" s="28" t="s">
        <v>53</v>
      </c>
      <c r="F104" s="29">
        <v>342.0</v>
      </c>
      <c r="G104" s="29">
        <v>394.0</v>
      </c>
      <c r="H104" s="30">
        <v>45749.0</v>
      </c>
      <c r="I104" s="30">
        <v>45692.0</v>
      </c>
      <c r="J104" s="29" t="s">
        <v>81</v>
      </c>
      <c r="K104" s="30">
        <v>45658.0</v>
      </c>
      <c r="L104" s="30">
        <v>45658.0</v>
      </c>
    </row>
    <row r="105">
      <c r="A105" s="27" t="s">
        <v>555</v>
      </c>
      <c r="B105" s="31" t="s">
        <v>57</v>
      </c>
      <c r="C105" s="32">
        <v>201.0</v>
      </c>
      <c r="D105" s="32">
        <v>269.0</v>
      </c>
      <c r="E105" s="31" t="s">
        <v>58</v>
      </c>
      <c r="F105" s="32">
        <v>324.0</v>
      </c>
      <c r="G105" s="32">
        <v>361.0</v>
      </c>
      <c r="H105" s="33">
        <v>45661.0</v>
      </c>
      <c r="I105" s="33">
        <v>45720.0</v>
      </c>
      <c r="J105" s="32" t="s">
        <v>59</v>
      </c>
      <c r="K105" s="32" t="s">
        <v>60</v>
      </c>
      <c r="L105" s="32" t="s">
        <v>60</v>
      </c>
    </row>
    <row r="106">
      <c r="A106" s="37" t="s">
        <v>556</v>
      </c>
      <c r="B106" s="19"/>
      <c r="E106" s="19"/>
    </row>
    <row r="107">
      <c r="A107" s="20"/>
      <c r="B107" s="21" t="s">
        <v>31</v>
      </c>
      <c r="C107" s="22"/>
      <c r="D107" s="22"/>
      <c r="E107" s="21" t="s">
        <v>32</v>
      </c>
      <c r="F107" s="22"/>
      <c r="G107" s="22"/>
      <c r="H107" s="22"/>
      <c r="I107" s="22"/>
      <c r="J107" s="22"/>
      <c r="K107" s="23" t="s">
        <v>33</v>
      </c>
      <c r="L107" s="22"/>
    </row>
    <row r="108">
      <c r="A108" s="24" t="s">
        <v>557</v>
      </c>
      <c r="B108" s="25" t="s">
        <v>35</v>
      </c>
      <c r="C108" s="26" t="s">
        <v>36</v>
      </c>
      <c r="D108" s="26" t="s">
        <v>37</v>
      </c>
      <c r="E108" s="25" t="s">
        <v>35</v>
      </c>
      <c r="F108" s="26" t="s">
        <v>36</v>
      </c>
      <c r="G108" s="26" t="s">
        <v>37</v>
      </c>
      <c r="H108" s="26" t="s">
        <v>38</v>
      </c>
      <c r="I108" s="26" t="s">
        <v>39</v>
      </c>
      <c r="J108" s="26" t="s">
        <v>40</v>
      </c>
      <c r="K108" s="26" t="s">
        <v>41</v>
      </c>
      <c r="L108" s="26" t="s">
        <v>42</v>
      </c>
    </row>
    <row r="109">
      <c r="A109" s="27" t="s">
        <v>558</v>
      </c>
      <c r="B109" s="28" t="s">
        <v>72</v>
      </c>
      <c r="C109" s="29">
        <v>285.0</v>
      </c>
      <c r="D109" s="29">
        <v>183.0</v>
      </c>
      <c r="E109" s="28" t="s">
        <v>73</v>
      </c>
      <c r="F109" s="29">
        <v>439.0</v>
      </c>
      <c r="G109" s="29">
        <v>303.0</v>
      </c>
      <c r="H109" s="29" t="s">
        <v>74</v>
      </c>
      <c r="I109" s="30">
        <v>45749.0</v>
      </c>
      <c r="J109" s="29" t="s">
        <v>81</v>
      </c>
      <c r="K109" s="29" t="s">
        <v>86</v>
      </c>
      <c r="L109" s="29" t="s">
        <v>86</v>
      </c>
    </row>
    <row r="110">
      <c r="A110" s="27" t="s">
        <v>559</v>
      </c>
      <c r="B110" s="31" t="s">
        <v>72</v>
      </c>
      <c r="C110" s="32">
        <v>288.0</v>
      </c>
      <c r="D110" s="32">
        <v>282.0</v>
      </c>
      <c r="E110" s="31" t="s">
        <v>80</v>
      </c>
      <c r="F110" s="32">
        <v>477.0</v>
      </c>
      <c r="G110" s="32">
        <v>409.0</v>
      </c>
      <c r="H110" s="33">
        <v>45778.0</v>
      </c>
      <c r="I110" s="33">
        <v>45691.0</v>
      </c>
      <c r="J110" s="32" t="s">
        <v>117</v>
      </c>
      <c r="K110" s="32" t="s">
        <v>60</v>
      </c>
      <c r="L110" s="32" t="s">
        <v>60</v>
      </c>
    </row>
    <row r="111">
      <c r="A111" s="27" t="s">
        <v>560</v>
      </c>
      <c r="B111" s="28" t="s">
        <v>72</v>
      </c>
      <c r="C111" s="29">
        <v>332.0</v>
      </c>
      <c r="D111" s="29">
        <v>291.0</v>
      </c>
      <c r="E111" s="28" t="s">
        <v>543</v>
      </c>
      <c r="F111" s="29">
        <v>503.0</v>
      </c>
      <c r="G111" s="29">
        <v>477.0</v>
      </c>
      <c r="H111" s="30">
        <v>45809.0</v>
      </c>
      <c r="I111" s="30">
        <v>45692.0</v>
      </c>
      <c r="J111" s="29" t="s">
        <v>54</v>
      </c>
      <c r="K111" s="29" t="s">
        <v>60</v>
      </c>
      <c r="L111" s="29" t="s">
        <v>60</v>
      </c>
    </row>
    <row r="112">
      <c r="A112" s="27" t="s">
        <v>561</v>
      </c>
      <c r="B112" s="31" t="s">
        <v>77</v>
      </c>
      <c r="C112" s="32">
        <v>268.0</v>
      </c>
      <c r="D112" s="32">
        <v>259.0</v>
      </c>
      <c r="E112" s="31" t="s">
        <v>73</v>
      </c>
      <c r="F112" s="32">
        <v>457.0</v>
      </c>
      <c r="G112" s="32">
        <v>341.0</v>
      </c>
      <c r="H112" s="33">
        <v>45778.0</v>
      </c>
      <c r="I112" s="33">
        <v>45748.0</v>
      </c>
      <c r="J112" s="32" t="s">
        <v>483</v>
      </c>
      <c r="K112" s="32" t="s">
        <v>86</v>
      </c>
      <c r="L112" s="32" t="s">
        <v>86</v>
      </c>
    </row>
    <row r="113">
      <c r="A113" s="27" t="s">
        <v>562</v>
      </c>
      <c r="B113" s="28" t="s">
        <v>77</v>
      </c>
      <c r="C113" s="29">
        <v>308.0</v>
      </c>
      <c r="D113" s="29">
        <v>224.0</v>
      </c>
      <c r="E113" s="28" t="s">
        <v>116</v>
      </c>
      <c r="F113" s="29">
        <v>459.0</v>
      </c>
      <c r="G113" s="29">
        <v>395.0</v>
      </c>
      <c r="H113" s="30">
        <v>45778.0</v>
      </c>
      <c r="I113" s="30">
        <v>45691.0</v>
      </c>
      <c r="J113" s="29" t="s">
        <v>46</v>
      </c>
      <c r="K113" s="29" t="s">
        <v>60</v>
      </c>
      <c r="L113" s="29" t="s">
        <v>60</v>
      </c>
    </row>
    <row r="114">
      <c r="A114" s="27" t="s">
        <v>563</v>
      </c>
      <c r="B114" s="31" t="s">
        <v>57</v>
      </c>
      <c r="C114" s="32">
        <v>191.0</v>
      </c>
      <c r="D114" s="32">
        <v>253.0</v>
      </c>
      <c r="E114" s="31" t="s">
        <v>62</v>
      </c>
      <c r="F114" s="32">
        <v>287.0</v>
      </c>
      <c r="G114" s="32">
        <v>352.0</v>
      </c>
      <c r="H114" s="33">
        <v>45719.0</v>
      </c>
      <c r="I114" s="32" t="s">
        <v>63</v>
      </c>
      <c r="J114" s="32" t="s">
        <v>59</v>
      </c>
      <c r="K114" s="32" t="s">
        <v>50</v>
      </c>
      <c r="L114" s="32" t="s">
        <v>50</v>
      </c>
    </row>
    <row r="115">
      <c r="A115" s="24" t="s">
        <v>68</v>
      </c>
      <c r="B115" s="25" t="s">
        <v>35</v>
      </c>
      <c r="C115" s="26" t="s">
        <v>36</v>
      </c>
      <c r="D115" s="26" t="s">
        <v>37</v>
      </c>
      <c r="E115" s="25" t="s">
        <v>35</v>
      </c>
      <c r="F115" s="26" t="s">
        <v>36</v>
      </c>
      <c r="G115" s="26" t="s">
        <v>37</v>
      </c>
      <c r="H115" s="26" t="s">
        <v>38</v>
      </c>
      <c r="I115" s="26" t="s">
        <v>39</v>
      </c>
      <c r="J115" s="26" t="s">
        <v>40</v>
      </c>
      <c r="K115" s="26" t="s">
        <v>41</v>
      </c>
      <c r="L115" s="26" t="s">
        <v>42</v>
      </c>
    </row>
    <row r="116">
      <c r="A116" s="27" t="s">
        <v>564</v>
      </c>
      <c r="B116" s="28" t="s">
        <v>72</v>
      </c>
      <c r="C116" s="29">
        <v>290.0</v>
      </c>
      <c r="D116" s="29">
        <v>139.0</v>
      </c>
      <c r="E116" s="28" t="s">
        <v>215</v>
      </c>
      <c r="F116" s="29">
        <v>493.0</v>
      </c>
      <c r="G116" s="29">
        <v>283.0</v>
      </c>
      <c r="H116" s="30">
        <v>45778.0</v>
      </c>
      <c r="I116" s="30">
        <v>45779.0</v>
      </c>
      <c r="J116" s="29" t="s">
        <v>117</v>
      </c>
      <c r="K116" s="29" t="s">
        <v>484</v>
      </c>
      <c r="L116" s="29" t="s">
        <v>484</v>
      </c>
    </row>
    <row r="117">
      <c r="A117" s="27" t="s">
        <v>565</v>
      </c>
      <c r="B117" s="31" t="s">
        <v>52</v>
      </c>
      <c r="C117" s="32">
        <v>195.0</v>
      </c>
      <c r="D117" s="32">
        <v>250.0</v>
      </c>
      <c r="E117" s="31" t="s">
        <v>566</v>
      </c>
      <c r="F117" s="32">
        <v>396.0</v>
      </c>
      <c r="G117" s="32">
        <v>522.0</v>
      </c>
      <c r="H117" s="33">
        <v>45719.0</v>
      </c>
      <c r="I117" s="33">
        <v>45719.0</v>
      </c>
      <c r="J117" s="32" t="s">
        <v>75</v>
      </c>
      <c r="K117" s="32" t="s">
        <v>60</v>
      </c>
      <c r="L117" s="32" t="s">
        <v>60</v>
      </c>
    </row>
    <row r="118">
      <c r="A118" s="27" t="s">
        <v>567</v>
      </c>
      <c r="B118" s="28" t="s">
        <v>84</v>
      </c>
      <c r="C118" s="29">
        <v>190.0</v>
      </c>
      <c r="D118" s="29">
        <v>258.0</v>
      </c>
      <c r="E118" s="28" t="s">
        <v>58</v>
      </c>
      <c r="F118" s="29">
        <v>293.0</v>
      </c>
      <c r="G118" s="29">
        <v>416.0</v>
      </c>
      <c r="H118" s="30">
        <v>45719.0</v>
      </c>
      <c r="I118" s="30">
        <v>45662.0</v>
      </c>
      <c r="J118" s="29" t="s">
        <v>89</v>
      </c>
      <c r="K118" s="29" t="s">
        <v>50</v>
      </c>
      <c r="L118" s="29" t="s">
        <v>50</v>
      </c>
    </row>
    <row r="119">
      <c r="A119" s="27" t="s">
        <v>568</v>
      </c>
      <c r="B119" s="31" t="s">
        <v>84</v>
      </c>
      <c r="C119" s="32">
        <v>213.0</v>
      </c>
      <c r="D119" s="32">
        <v>244.0</v>
      </c>
      <c r="E119" s="31" t="s">
        <v>85</v>
      </c>
      <c r="F119" s="32">
        <v>305.0</v>
      </c>
      <c r="G119" s="32">
        <v>348.0</v>
      </c>
      <c r="H119" s="33">
        <v>45749.0</v>
      </c>
      <c r="I119" s="33">
        <v>45662.0</v>
      </c>
      <c r="J119" s="32" t="s">
        <v>117</v>
      </c>
      <c r="K119" s="32" t="s">
        <v>60</v>
      </c>
      <c r="L119" s="32" t="s">
        <v>60</v>
      </c>
    </row>
    <row r="120">
      <c r="A120" s="27" t="s">
        <v>569</v>
      </c>
      <c r="B120" s="28" t="s">
        <v>84</v>
      </c>
      <c r="C120" s="29">
        <v>244.0</v>
      </c>
      <c r="D120" s="29">
        <v>309.0</v>
      </c>
      <c r="E120" s="28" t="s">
        <v>58</v>
      </c>
      <c r="F120" s="29">
        <v>379.0</v>
      </c>
      <c r="G120" s="29">
        <v>441.0</v>
      </c>
      <c r="H120" s="30">
        <v>45719.0</v>
      </c>
      <c r="I120" s="30">
        <v>45662.0</v>
      </c>
      <c r="J120" s="29" t="s">
        <v>81</v>
      </c>
      <c r="K120" s="29" t="s">
        <v>60</v>
      </c>
      <c r="L120" s="29" t="s">
        <v>60</v>
      </c>
    </row>
    <row r="121">
      <c r="A121" s="27" t="s">
        <v>570</v>
      </c>
      <c r="B121" s="31" t="s">
        <v>571</v>
      </c>
      <c r="C121" s="32">
        <v>113.0</v>
      </c>
      <c r="D121" s="32">
        <v>225.0</v>
      </c>
      <c r="E121" s="31" t="s">
        <v>572</v>
      </c>
      <c r="F121" s="32">
        <v>212.0</v>
      </c>
      <c r="G121" s="32">
        <v>371.0</v>
      </c>
      <c r="H121" s="33">
        <v>45662.0</v>
      </c>
      <c r="I121" s="32" t="s">
        <v>63</v>
      </c>
      <c r="J121" s="32" t="s">
        <v>573</v>
      </c>
      <c r="K121" s="32" t="s">
        <v>60</v>
      </c>
      <c r="L121" s="32" t="s">
        <v>60</v>
      </c>
    </row>
    <row r="122">
      <c r="A122" s="37" t="s">
        <v>574</v>
      </c>
      <c r="B122" s="19"/>
      <c r="E122" s="19"/>
    </row>
    <row r="123">
      <c r="A123" s="20"/>
      <c r="B123" s="21" t="s">
        <v>31</v>
      </c>
      <c r="C123" s="22"/>
      <c r="D123" s="22"/>
      <c r="E123" s="21" t="s">
        <v>32</v>
      </c>
      <c r="F123" s="22"/>
      <c r="G123" s="22"/>
      <c r="H123" s="22"/>
      <c r="I123" s="22"/>
      <c r="J123" s="22"/>
      <c r="K123" s="23" t="s">
        <v>33</v>
      </c>
      <c r="L123" s="22"/>
    </row>
    <row r="124">
      <c r="A124" s="24" t="s">
        <v>575</v>
      </c>
      <c r="B124" s="25" t="s">
        <v>35</v>
      </c>
      <c r="C124" s="26" t="s">
        <v>36</v>
      </c>
      <c r="D124" s="26" t="s">
        <v>37</v>
      </c>
      <c r="E124" s="25" t="s">
        <v>35</v>
      </c>
      <c r="F124" s="26" t="s">
        <v>36</v>
      </c>
      <c r="G124" s="26" t="s">
        <v>37</v>
      </c>
      <c r="H124" s="26" t="s">
        <v>38</v>
      </c>
      <c r="I124" s="26" t="s">
        <v>39</v>
      </c>
      <c r="J124" s="26" t="s">
        <v>40</v>
      </c>
      <c r="K124" s="26" t="s">
        <v>41</v>
      </c>
      <c r="L124" s="26" t="s">
        <v>42</v>
      </c>
    </row>
    <row r="125">
      <c r="A125" s="27" t="s">
        <v>576</v>
      </c>
      <c r="B125" s="28" t="s">
        <v>214</v>
      </c>
      <c r="C125" s="29">
        <v>389.0</v>
      </c>
      <c r="D125" s="29">
        <v>184.0</v>
      </c>
      <c r="E125" s="28" t="s">
        <v>577</v>
      </c>
      <c r="F125" s="29">
        <v>585.0</v>
      </c>
      <c r="G125" s="29">
        <v>248.0</v>
      </c>
      <c r="H125" s="30">
        <v>45809.0</v>
      </c>
      <c r="I125" s="29" t="s">
        <v>103</v>
      </c>
      <c r="J125" s="29" t="s">
        <v>46</v>
      </c>
      <c r="K125" s="30">
        <v>45690.0</v>
      </c>
      <c r="L125" s="30">
        <v>45718.0</v>
      </c>
    </row>
    <row r="126">
      <c r="A126" s="27" t="s">
        <v>578</v>
      </c>
      <c r="B126" s="31" t="s">
        <v>172</v>
      </c>
      <c r="C126" s="32">
        <v>358.0</v>
      </c>
      <c r="D126" s="32">
        <v>244.0</v>
      </c>
      <c r="E126" s="31" t="s">
        <v>78</v>
      </c>
      <c r="F126" s="32">
        <v>496.0</v>
      </c>
      <c r="G126" s="32">
        <v>343.0</v>
      </c>
      <c r="H126" s="33">
        <v>45779.0</v>
      </c>
      <c r="I126" s="33">
        <v>45718.0</v>
      </c>
      <c r="J126" s="32" t="s">
        <v>54</v>
      </c>
      <c r="K126" s="33">
        <v>45659.0</v>
      </c>
      <c r="L126" s="33">
        <v>45659.0</v>
      </c>
    </row>
    <row r="127">
      <c r="A127" s="27" t="s">
        <v>579</v>
      </c>
      <c r="B127" s="28" t="s">
        <v>183</v>
      </c>
      <c r="C127" s="29">
        <v>233.0</v>
      </c>
      <c r="D127" s="29">
        <v>202.0</v>
      </c>
      <c r="E127" s="28" t="s">
        <v>73</v>
      </c>
      <c r="F127" s="29">
        <v>342.0</v>
      </c>
      <c r="G127" s="29">
        <v>265.0</v>
      </c>
      <c r="H127" s="30">
        <v>45749.0</v>
      </c>
      <c r="I127" s="30">
        <v>45778.0</v>
      </c>
      <c r="J127" s="29" t="s">
        <v>483</v>
      </c>
      <c r="K127" s="30">
        <v>45659.0</v>
      </c>
      <c r="L127" s="30">
        <v>45659.0</v>
      </c>
    </row>
    <row r="128">
      <c r="A128" s="27" t="s">
        <v>580</v>
      </c>
      <c r="B128" s="31" t="s">
        <v>193</v>
      </c>
      <c r="C128" s="32">
        <v>230.0</v>
      </c>
      <c r="D128" s="32">
        <v>291.0</v>
      </c>
      <c r="E128" s="31" t="s">
        <v>58</v>
      </c>
      <c r="F128" s="32">
        <v>314.0</v>
      </c>
      <c r="G128" s="32">
        <v>366.0</v>
      </c>
      <c r="H128" s="33">
        <v>45750.0</v>
      </c>
      <c r="I128" s="32" t="s">
        <v>66</v>
      </c>
      <c r="J128" s="32" t="s">
        <v>117</v>
      </c>
      <c r="K128" s="32" t="s">
        <v>66</v>
      </c>
      <c r="L128" s="32" t="s">
        <v>66</v>
      </c>
    </row>
    <row r="129">
      <c r="A129" s="27" t="s">
        <v>581</v>
      </c>
      <c r="B129" s="28" t="s">
        <v>193</v>
      </c>
      <c r="C129" s="29">
        <v>304.0</v>
      </c>
      <c r="D129" s="29">
        <v>392.0</v>
      </c>
      <c r="E129" s="28" t="s">
        <v>85</v>
      </c>
      <c r="F129" s="29">
        <v>445.0</v>
      </c>
      <c r="G129" s="29">
        <v>511.0</v>
      </c>
      <c r="H129" s="30">
        <v>45749.0</v>
      </c>
      <c r="I129" s="29" t="s">
        <v>66</v>
      </c>
      <c r="J129" s="29" t="s">
        <v>89</v>
      </c>
      <c r="K129" s="30">
        <v>45660.0</v>
      </c>
      <c r="L129" s="30">
        <v>45660.0</v>
      </c>
    </row>
    <row r="130">
      <c r="A130" s="27" t="s">
        <v>582</v>
      </c>
      <c r="B130" s="94" t="s">
        <v>202</v>
      </c>
      <c r="C130" s="95">
        <v>296.0</v>
      </c>
      <c r="D130" s="95">
        <v>408.0</v>
      </c>
      <c r="E130" s="94" t="s">
        <v>58</v>
      </c>
      <c r="F130" s="95">
        <v>425.0</v>
      </c>
      <c r="G130" s="95">
        <v>497.0</v>
      </c>
      <c r="H130" s="96">
        <v>45719.0</v>
      </c>
      <c r="I130" s="96">
        <v>45662.0</v>
      </c>
      <c r="J130" s="95" t="s">
        <v>46</v>
      </c>
      <c r="K130" s="96">
        <v>45662.0</v>
      </c>
      <c r="L130" s="96">
        <v>45662.0</v>
      </c>
    </row>
    <row r="131">
      <c r="A131" s="24" t="s">
        <v>583</v>
      </c>
      <c r="B131" s="25" t="s">
        <v>35</v>
      </c>
      <c r="C131" s="26" t="s">
        <v>36</v>
      </c>
      <c r="D131" s="26" t="s">
        <v>37</v>
      </c>
      <c r="E131" s="25" t="s">
        <v>35</v>
      </c>
      <c r="F131" s="26" t="s">
        <v>36</v>
      </c>
      <c r="G131" s="26" t="s">
        <v>37</v>
      </c>
      <c r="H131" s="26" t="s">
        <v>38</v>
      </c>
      <c r="I131" s="26" t="s">
        <v>39</v>
      </c>
      <c r="J131" s="26" t="s">
        <v>40</v>
      </c>
      <c r="K131" s="26" t="s">
        <v>41</v>
      </c>
      <c r="L131" s="26" t="s">
        <v>42</v>
      </c>
    </row>
    <row r="132">
      <c r="A132" s="27" t="s">
        <v>584</v>
      </c>
      <c r="B132" s="28" t="s">
        <v>214</v>
      </c>
      <c r="C132" s="29">
        <v>289.0</v>
      </c>
      <c r="D132" s="29">
        <v>166.0</v>
      </c>
      <c r="E132" s="28" t="s">
        <v>45</v>
      </c>
      <c r="F132" s="29">
        <v>435.0</v>
      </c>
      <c r="G132" s="29">
        <v>304.0</v>
      </c>
      <c r="H132" s="29" t="s">
        <v>74</v>
      </c>
      <c r="I132" s="30">
        <v>45718.0</v>
      </c>
      <c r="J132" s="29" t="s">
        <v>81</v>
      </c>
      <c r="K132" s="30">
        <v>45661.0</v>
      </c>
      <c r="L132" s="30">
        <v>45692.0</v>
      </c>
    </row>
    <row r="133">
      <c r="A133" s="27" t="s">
        <v>585</v>
      </c>
      <c r="B133" s="31" t="s">
        <v>172</v>
      </c>
      <c r="C133" s="32">
        <v>299.0</v>
      </c>
      <c r="D133" s="32">
        <v>180.0</v>
      </c>
      <c r="E133" s="31" t="s">
        <v>73</v>
      </c>
      <c r="F133" s="32">
        <v>447.0</v>
      </c>
      <c r="G133" s="32">
        <v>315.0</v>
      </c>
      <c r="H133" s="32" t="s">
        <v>74</v>
      </c>
      <c r="I133" s="33">
        <v>45718.0</v>
      </c>
      <c r="J133" s="32" t="s">
        <v>586</v>
      </c>
      <c r="K133" s="33">
        <v>45718.0</v>
      </c>
      <c r="L133" s="33">
        <v>45719.0</v>
      </c>
    </row>
    <row r="134">
      <c r="A134" s="27" t="s">
        <v>587</v>
      </c>
      <c r="B134" s="28" t="s">
        <v>468</v>
      </c>
      <c r="C134" s="29">
        <v>284.0</v>
      </c>
      <c r="D134" s="29">
        <v>251.0</v>
      </c>
      <c r="E134" s="28" t="s">
        <v>80</v>
      </c>
      <c r="F134" s="29">
        <v>388.0</v>
      </c>
      <c r="G134" s="29">
        <v>311.0</v>
      </c>
      <c r="H134" s="30">
        <v>45749.0</v>
      </c>
      <c r="I134" s="30">
        <v>45749.0</v>
      </c>
      <c r="J134" s="29" t="s">
        <v>89</v>
      </c>
      <c r="K134" s="30">
        <v>45659.0</v>
      </c>
      <c r="L134" s="30">
        <v>45659.0</v>
      </c>
    </row>
    <row r="135">
      <c r="A135" s="27" t="s">
        <v>588</v>
      </c>
      <c r="B135" s="31" t="s">
        <v>202</v>
      </c>
      <c r="C135" s="32">
        <v>256.0</v>
      </c>
      <c r="D135" s="32">
        <v>382.0</v>
      </c>
      <c r="E135" s="31" t="s">
        <v>85</v>
      </c>
      <c r="F135" s="32">
        <v>400.0</v>
      </c>
      <c r="G135" s="32">
        <v>478.0</v>
      </c>
      <c r="H135" s="33">
        <v>45749.0</v>
      </c>
      <c r="I135" s="33">
        <v>45662.0</v>
      </c>
      <c r="J135" s="32" t="s">
        <v>67</v>
      </c>
      <c r="K135" s="32" t="s">
        <v>66</v>
      </c>
      <c r="L135" s="32" t="s">
        <v>66</v>
      </c>
    </row>
    <row r="136">
      <c r="A136" s="27" t="s">
        <v>589</v>
      </c>
      <c r="B136" s="28" t="s">
        <v>202</v>
      </c>
      <c r="C136" s="29">
        <v>216.0</v>
      </c>
      <c r="D136" s="29">
        <v>264.0</v>
      </c>
      <c r="E136" s="28" t="s">
        <v>58</v>
      </c>
      <c r="F136" s="29">
        <v>299.0</v>
      </c>
      <c r="G136" s="29">
        <v>330.0</v>
      </c>
      <c r="H136" s="30">
        <v>45719.0</v>
      </c>
      <c r="I136" s="30">
        <v>45662.0</v>
      </c>
      <c r="J136" s="29" t="s">
        <v>81</v>
      </c>
      <c r="K136" s="29" t="s">
        <v>66</v>
      </c>
      <c r="L136" s="29" t="s">
        <v>66</v>
      </c>
    </row>
    <row r="137">
      <c r="A137" s="27" t="s">
        <v>590</v>
      </c>
      <c r="B137" s="31" t="s">
        <v>207</v>
      </c>
      <c r="C137" s="32">
        <v>203.0</v>
      </c>
      <c r="D137" s="32">
        <v>393.0</v>
      </c>
      <c r="E137" s="31" t="s">
        <v>62</v>
      </c>
      <c r="F137" s="32">
        <v>297.0</v>
      </c>
      <c r="G137" s="32">
        <v>460.0</v>
      </c>
      <c r="H137" s="33">
        <v>45720.0</v>
      </c>
      <c r="I137" s="32" t="s">
        <v>131</v>
      </c>
      <c r="J137" s="32" t="s">
        <v>89</v>
      </c>
      <c r="K137" s="32" t="s">
        <v>66</v>
      </c>
      <c r="L137" s="32" t="s">
        <v>66</v>
      </c>
    </row>
    <row r="138">
      <c r="A138" s="37" t="s">
        <v>591</v>
      </c>
      <c r="B138" s="19"/>
      <c r="E138" s="19"/>
    </row>
    <row r="139">
      <c r="A139" s="20"/>
      <c r="B139" s="21" t="s">
        <v>31</v>
      </c>
      <c r="C139" s="22"/>
      <c r="D139" s="22"/>
      <c r="E139" s="21" t="s">
        <v>32</v>
      </c>
      <c r="F139" s="22"/>
      <c r="G139" s="22"/>
      <c r="H139" s="22"/>
      <c r="I139" s="22"/>
      <c r="J139" s="22"/>
      <c r="K139" s="23" t="s">
        <v>33</v>
      </c>
      <c r="L139" s="22"/>
    </row>
    <row r="140">
      <c r="A140" s="24" t="s">
        <v>34</v>
      </c>
      <c r="B140" s="25" t="s">
        <v>35</v>
      </c>
      <c r="C140" s="26" t="s">
        <v>36</v>
      </c>
      <c r="D140" s="26" t="s">
        <v>37</v>
      </c>
      <c r="E140" s="25" t="s">
        <v>35</v>
      </c>
      <c r="F140" s="26" t="s">
        <v>36</v>
      </c>
      <c r="G140" s="26" t="s">
        <v>37</v>
      </c>
      <c r="H140" s="26" t="s">
        <v>38</v>
      </c>
      <c r="I140" s="26" t="s">
        <v>39</v>
      </c>
      <c r="J140" s="26" t="s">
        <v>40</v>
      </c>
      <c r="K140" s="26" t="s">
        <v>41</v>
      </c>
      <c r="L140" s="26" t="s">
        <v>42</v>
      </c>
    </row>
    <row r="141">
      <c r="A141" s="27" t="s">
        <v>592</v>
      </c>
      <c r="B141" s="28" t="s">
        <v>72</v>
      </c>
      <c r="C141" s="29">
        <v>196.0</v>
      </c>
      <c r="D141" s="29">
        <v>123.0</v>
      </c>
      <c r="E141" s="28" t="s">
        <v>80</v>
      </c>
      <c r="F141" s="29">
        <v>311.0</v>
      </c>
      <c r="G141" s="29">
        <v>218.0</v>
      </c>
      <c r="H141" s="29" t="s">
        <v>103</v>
      </c>
      <c r="I141" s="30">
        <v>45691.0</v>
      </c>
      <c r="J141" s="29" t="s">
        <v>89</v>
      </c>
      <c r="K141" s="30">
        <v>45690.0</v>
      </c>
      <c r="L141" s="30">
        <v>45690.0</v>
      </c>
    </row>
    <row r="142">
      <c r="A142" s="27" t="s">
        <v>593</v>
      </c>
      <c r="B142" s="31" t="s">
        <v>52</v>
      </c>
      <c r="C142" s="32">
        <v>287.0</v>
      </c>
      <c r="D142" s="32">
        <v>295.0</v>
      </c>
      <c r="E142" s="31" t="s">
        <v>80</v>
      </c>
      <c r="F142" s="32">
        <v>473.0</v>
      </c>
      <c r="G142" s="32">
        <v>375.0</v>
      </c>
      <c r="H142" s="33">
        <v>45809.0</v>
      </c>
      <c r="I142" s="33">
        <v>45660.0</v>
      </c>
      <c r="J142" s="32" t="s">
        <v>89</v>
      </c>
      <c r="K142" s="33">
        <v>45717.0</v>
      </c>
      <c r="L142" s="33">
        <v>45717.0</v>
      </c>
    </row>
    <row r="143">
      <c r="A143" s="27" t="s">
        <v>594</v>
      </c>
      <c r="B143" s="28" t="s">
        <v>52</v>
      </c>
      <c r="C143" s="29">
        <v>167.0</v>
      </c>
      <c r="D143" s="29">
        <v>192.0</v>
      </c>
      <c r="E143" s="28" t="s">
        <v>78</v>
      </c>
      <c r="F143" s="29">
        <v>319.0</v>
      </c>
      <c r="G143" s="29">
        <v>312.0</v>
      </c>
      <c r="H143" s="30">
        <v>45719.0</v>
      </c>
      <c r="I143" s="30">
        <v>45717.0</v>
      </c>
      <c r="J143" s="29" t="s">
        <v>89</v>
      </c>
      <c r="K143" s="30">
        <v>45658.0</v>
      </c>
      <c r="L143" s="30">
        <v>45658.0</v>
      </c>
    </row>
    <row r="144">
      <c r="A144" s="27" t="s">
        <v>595</v>
      </c>
      <c r="B144" s="31" t="s">
        <v>52</v>
      </c>
      <c r="C144" s="32">
        <v>185.0</v>
      </c>
      <c r="D144" s="32">
        <v>237.0</v>
      </c>
      <c r="E144" s="31" t="s">
        <v>116</v>
      </c>
      <c r="F144" s="32">
        <v>390.0</v>
      </c>
      <c r="G144" s="32">
        <v>407.0</v>
      </c>
      <c r="H144" s="33">
        <v>45779.0</v>
      </c>
      <c r="I144" s="33">
        <v>45691.0</v>
      </c>
      <c r="J144" s="32" t="s">
        <v>46</v>
      </c>
      <c r="K144" s="33">
        <v>45659.0</v>
      </c>
      <c r="L144" s="33">
        <v>45659.0</v>
      </c>
    </row>
    <row r="145">
      <c r="A145" s="27" t="s">
        <v>596</v>
      </c>
      <c r="B145" s="28" t="s">
        <v>84</v>
      </c>
      <c r="C145" s="29">
        <v>126.0</v>
      </c>
      <c r="D145" s="29">
        <v>168.0</v>
      </c>
      <c r="E145" s="28" t="s">
        <v>53</v>
      </c>
      <c r="F145" s="29">
        <v>270.0</v>
      </c>
      <c r="G145" s="29">
        <v>344.0</v>
      </c>
      <c r="H145" s="30">
        <v>45779.0</v>
      </c>
      <c r="I145" s="30">
        <v>45661.0</v>
      </c>
      <c r="J145" s="29" t="s">
        <v>81</v>
      </c>
      <c r="K145" s="29" t="s">
        <v>55</v>
      </c>
      <c r="L145" s="29" t="s">
        <v>55</v>
      </c>
    </row>
    <row r="146">
      <c r="A146" s="27" t="s">
        <v>597</v>
      </c>
      <c r="B146" s="31" t="s">
        <v>84</v>
      </c>
      <c r="C146" s="32">
        <v>162.0</v>
      </c>
      <c r="D146" s="32">
        <v>162.0</v>
      </c>
      <c r="E146" s="31" t="s">
        <v>53</v>
      </c>
      <c r="F146" s="32">
        <v>299.0</v>
      </c>
      <c r="G146" s="32">
        <v>312.0</v>
      </c>
      <c r="H146" s="33">
        <v>45749.0</v>
      </c>
      <c r="I146" s="33">
        <v>45692.0</v>
      </c>
      <c r="J146" s="32" t="s">
        <v>46</v>
      </c>
      <c r="K146" s="32" t="s">
        <v>50</v>
      </c>
      <c r="L146" s="32" t="s">
        <v>50</v>
      </c>
    </row>
    <row r="147">
      <c r="A147" s="27" t="s">
        <v>598</v>
      </c>
      <c r="B147" s="28" t="s">
        <v>126</v>
      </c>
      <c r="C147" s="29">
        <v>181.0</v>
      </c>
      <c r="D147" s="29">
        <v>280.0</v>
      </c>
      <c r="E147" s="28" t="s">
        <v>58</v>
      </c>
      <c r="F147" s="29">
        <v>377.0</v>
      </c>
      <c r="G147" s="29">
        <v>378.0</v>
      </c>
      <c r="H147" s="30">
        <v>45750.0</v>
      </c>
      <c r="I147" s="29" t="s">
        <v>66</v>
      </c>
      <c r="J147" s="29" t="s">
        <v>89</v>
      </c>
      <c r="K147" s="29" t="s">
        <v>131</v>
      </c>
      <c r="L147" s="29" t="s">
        <v>55</v>
      </c>
    </row>
    <row r="148">
      <c r="A148" s="24" t="s">
        <v>68</v>
      </c>
      <c r="B148" s="25" t="s">
        <v>35</v>
      </c>
      <c r="C148" s="26" t="s">
        <v>36</v>
      </c>
      <c r="D148" s="26" t="s">
        <v>37</v>
      </c>
      <c r="E148" s="25" t="s">
        <v>35</v>
      </c>
      <c r="F148" s="26" t="s">
        <v>36</v>
      </c>
      <c r="G148" s="26" t="s">
        <v>37</v>
      </c>
      <c r="H148" s="26" t="s">
        <v>38</v>
      </c>
      <c r="I148" s="26" t="s">
        <v>39</v>
      </c>
      <c r="J148" s="26" t="s">
        <v>40</v>
      </c>
      <c r="K148" s="26" t="s">
        <v>41</v>
      </c>
      <c r="L148" s="26" t="s">
        <v>42</v>
      </c>
    </row>
    <row r="149">
      <c r="A149" s="27" t="s">
        <v>599</v>
      </c>
      <c r="B149" s="28" t="s">
        <v>224</v>
      </c>
      <c r="C149" s="29">
        <v>304.0</v>
      </c>
      <c r="D149" s="29">
        <v>118.0</v>
      </c>
      <c r="E149" s="28" t="s">
        <v>102</v>
      </c>
      <c r="F149" s="29">
        <v>582.0</v>
      </c>
      <c r="G149" s="29">
        <v>195.0</v>
      </c>
      <c r="H149" s="29" t="s">
        <v>216</v>
      </c>
      <c r="I149" s="29" t="s">
        <v>168</v>
      </c>
      <c r="J149" s="29" t="s">
        <v>46</v>
      </c>
      <c r="K149" s="30">
        <v>45778.0</v>
      </c>
      <c r="L149" s="30">
        <v>45778.0</v>
      </c>
    </row>
    <row r="150">
      <c r="A150" s="27" t="s">
        <v>600</v>
      </c>
      <c r="B150" s="31" t="s">
        <v>77</v>
      </c>
      <c r="C150" s="32">
        <v>210.0</v>
      </c>
      <c r="D150" s="32">
        <v>147.0</v>
      </c>
      <c r="E150" s="31" t="s">
        <v>78</v>
      </c>
      <c r="F150" s="32">
        <v>406.0</v>
      </c>
      <c r="G150" s="32">
        <v>222.0</v>
      </c>
      <c r="H150" s="33">
        <v>45810.0</v>
      </c>
      <c r="I150" s="33">
        <v>45690.0</v>
      </c>
      <c r="J150" s="32" t="s">
        <v>81</v>
      </c>
      <c r="K150" s="33">
        <v>45660.0</v>
      </c>
      <c r="L150" s="33">
        <v>45660.0</v>
      </c>
    </row>
    <row r="151">
      <c r="A151" s="27" t="s">
        <v>601</v>
      </c>
      <c r="B151" s="28" t="s">
        <v>77</v>
      </c>
      <c r="C151" s="29">
        <v>218.0</v>
      </c>
      <c r="D151" s="29">
        <v>141.0</v>
      </c>
      <c r="E151" s="28" t="s">
        <v>602</v>
      </c>
      <c r="F151" s="29">
        <v>340.0</v>
      </c>
      <c r="G151" s="29">
        <v>189.0</v>
      </c>
      <c r="H151" s="30">
        <v>45779.0</v>
      </c>
      <c r="I151" s="30">
        <v>45689.0</v>
      </c>
      <c r="J151" s="29" t="s">
        <v>117</v>
      </c>
      <c r="K151" s="30">
        <v>45661.0</v>
      </c>
      <c r="L151" s="30">
        <v>45661.0</v>
      </c>
    </row>
    <row r="152">
      <c r="A152" s="27" t="s">
        <v>603</v>
      </c>
      <c r="B152" s="31" t="s">
        <v>52</v>
      </c>
      <c r="C152" s="32">
        <v>252.0</v>
      </c>
      <c r="D152" s="32">
        <v>242.0</v>
      </c>
      <c r="E152" s="31" t="s">
        <v>78</v>
      </c>
      <c r="F152" s="32">
        <v>453.0</v>
      </c>
      <c r="G152" s="32">
        <v>319.0</v>
      </c>
      <c r="H152" s="33">
        <v>45779.0</v>
      </c>
      <c r="I152" s="33">
        <v>45690.0</v>
      </c>
      <c r="J152" s="32" t="s">
        <v>81</v>
      </c>
      <c r="K152" s="33">
        <v>45659.0</v>
      </c>
      <c r="L152" s="33">
        <v>45659.0</v>
      </c>
    </row>
    <row r="153">
      <c r="A153" s="27" t="s">
        <v>604</v>
      </c>
      <c r="B153" s="28" t="s">
        <v>84</v>
      </c>
      <c r="C153" s="29">
        <v>214.0</v>
      </c>
      <c r="D153" s="29">
        <v>298.0</v>
      </c>
      <c r="E153" s="28" t="s">
        <v>116</v>
      </c>
      <c r="F153" s="29">
        <v>394.0</v>
      </c>
      <c r="G153" s="29">
        <v>404.0</v>
      </c>
      <c r="H153" s="30">
        <v>45779.0</v>
      </c>
      <c r="I153" s="30">
        <v>45690.0</v>
      </c>
      <c r="J153" s="29" t="s">
        <v>81</v>
      </c>
      <c r="K153" s="30">
        <v>45661.0</v>
      </c>
      <c r="L153" s="30">
        <v>45661.0</v>
      </c>
    </row>
    <row r="154">
      <c r="A154" s="27" t="s">
        <v>605</v>
      </c>
      <c r="B154" s="31" t="s">
        <v>84</v>
      </c>
      <c r="C154" s="32">
        <v>234.0</v>
      </c>
      <c r="D154" s="32">
        <v>272.0</v>
      </c>
      <c r="E154" s="31" t="s">
        <v>53</v>
      </c>
      <c r="F154" s="32">
        <v>395.0</v>
      </c>
      <c r="G154" s="32">
        <v>413.0</v>
      </c>
      <c r="H154" s="33">
        <v>45719.0</v>
      </c>
      <c r="I154" s="33">
        <v>45692.0</v>
      </c>
      <c r="J154" s="32" t="s">
        <v>117</v>
      </c>
      <c r="K154" s="32" t="s">
        <v>55</v>
      </c>
      <c r="L154" s="32" t="s">
        <v>55</v>
      </c>
    </row>
    <row r="155">
      <c r="A155" s="27" t="s">
        <v>606</v>
      </c>
      <c r="B155" s="28" t="s">
        <v>126</v>
      </c>
      <c r="C155" s="29">
        <v>234.0</v>
      </c>
      <c r="D155" s="29">
        <v>295.0</v>
      </c>
      <c r="E155" s="28" t="s">
        <v>85</v>
      </c>
      <c r="F155" s="29">
        <v>391.0</v>
      </c>
      <c r="G155" s="29">
        <v>408.0</v>
      </c>
      <c r="H155" s="30">
        <v>45750.0</v>
      </c>
      <c r="I155" s="30">
        <v>45660.0</v>
      </c>
      <c r="J155" s="29" t="s">
        <v>81</v>
      </c>
      <c r="K155" s="30">
        <v>45661.0</v>
      </c>
      <c r="L155" s="30">
        <v>45660.0</v>
      </c>
    </row>
    <row r="156">
      <c r="A156" s="37" t="s">
        <v>607</v>
      </c>
      <c r="B156" s="19"/>
      <c r="E156" s="19"/>
    </row>
    <row r="157">
      <c r="A157" s="49"/>
      <c r="B157" s="21" t="s">
        <v>31</v>
      </c>
      <c r="C157" s="22"/>
      <c r="D157" s="22"/>
      <c r="E157" s="21" t="s">
        <v>32</v>
      </c>
      <c r="F157" s="22"/>
      <c r="G157" s="22"/>
      <c r="H157" s="22"/>
      <c r="I157" s="22"/>
      <c r="J157" s="22"/>
      <c r="K157" s="23" t="s">
        <v>33</v>
      </c>
      <c r="L157" s="22"/>
    </row>
    <row r="158">
      <c r="A158" s="49"/>
      <c r="B158" s="50" t="s">
        <v>35</v>
      </c>
      <c r="C158" s="51" t="s">
        <v>36</v>
      </c>
      <c r="D158" s="51" t="s">
        <v>37</v>
      </c>
      <c r="E158" s="50" t="s">
        <v>35</v>
      </c>
      <c r="F158" s="51" t="s">
        <v>36</v>
      </c>
      <c r="G158" s="51" t="s">
        <v>37</v>
      </c>
      <c r="H158" s="51" t="s">
        <v>38</v>
      </c>
      <c r="I158" s="51" t="s">
        <v>39</v>
      </c>
      <c r="J158" s="51" t="s">
        <v>40</v>
      </c>
      <c r="K158" s="51" t="s">
        <v>41</v>
      </c>
      <c r="L158" s="51" t="s">
        <v>42</v>
      </c>
    </row>
    <row r="159">
      <c r="A159" s="27" t="s">
        <v>608</v>
      </c>
      <c r="B159" s="28" t="s">
        <v>44</v>
      </c>
      <c r="C159" s="29">
        <v>250.0</v>
      </c>
      <c r="D159" s="29">
        <v>94.0</v>
      </c>
      <c r="E159" s="28" t="s">
        <v>73</v>
      </c>
      <c r="F159" s="29">
        <v>380.0</v>
      </c>
      <c r="G159" s="29">
        <v>232.0</v>
      </c>
      <c r="H159" s="30">
        <v>45778.0</v>
      </c>
      <c r="I159" s="30">
        <v>45749.0</v>
      </c>
      <c r="J159" s="29" t="s">
        <v>75</v>
      </c>
      <c r="K159" s="29" t="s">
        <v>60</v>
      </c>
      <c r="L159" s="29" t="s">
        <v>60</v>
      </c>
    </row>
    <row r="160">
      <c r="A160" s="27" t="s">
        <v>609</v>
      </c>
      <c r="B160" s="31" t="s">
        <v>44</v>
      </c>
      <c r="C160" s="32">
        <v>257.0</v>
      </c>
      <c r="D160" s="32">
        <v>122.0</v>
      </c>
      <c r="E160" s="31" t="s">
        <v>78</v>
      </c>
      <c r="F160" s="32">
        <v>355.0</v>
      </c>
      <c r="G160" s="32">
        <v>279.0</v>
      </c>
      <c r="H160" s="33">
        <v>45749.0</v>
      </c>
      <c r="I160" s="33">
        <v>45750.0</v>
      </c>
      <c r="J160" s="32" t="s">
        <v>117</v>
      </c>
      <c r="K160" s="32" t="s">
        <v>60</v>
      </c>
      <c r="L160" s="32" t="s">
        <v>60</v>
      </c>
    </row>
    <row r="161">
      <c r="A161" s="27" t="s">
        <v>610</v>
      </c>
      <c r="B161" s="28" t="s">
        <v>72</v>
      </c>
      <c r="C161" s="29">
        <v>240.0</v>
      </c>
      <c r="D161" s="29">
        <v>155.0</v>
      </c>
      <c r="E161" s="28" t="s">
        <v>73</v>
      </c>
      <c r="F161" s="29">
        <v>438.0</v>
      </c>
      <c r="G161" s="29">
        <v>287.0</v>
      </c>
      <c r="H161" s="30">
        <v>45778.0</v>
      </c>
      <c r="I161" s="30">
        <v>45749.0</v>
      </c>
      <c r="J161" s="29" t="s">
        <v>89</v>
      </c>
      <c r="K161" s="29" t="s">
        <v>60</v>
      </c>
      <c r="L161" s="29" t="s">
        <v>60</v>
      </c>
    </row>
    <row r="162">
      <c r="A162" s="27" t="s">
        <v>611</v>
      </c>
      <c r="B162" s="31" t="s">
        <v>72</v>
      </c>
      <c r="C162" s="32">
        <v>266.0</v>
      </c>
      <c r="D162" s="32">
        <v>195.0</v>
      </c>
      <c r="E162" s="31" t="s">
        <v>80</v>
      </c>
      <c r="F162" s="32">
        <v>400.0</v>
      </c>
      <c r="G162" s="32">
        <v>407.0</v>
      </c>
      <c r="H162" s="33">
        <v>45748.0</v>
      </c>
      <c r="I162" s="33">
        <v>45750.0</v>
      </c>
      <c r="J162" s="32" t="s">
        <v>49</v>
      </c>
      <c r="K162" s="32" t="s">
        <v>60</v>
      </c>
      <c r="L162" s="32" t="s">
        <v>60</v>
      </c>
    </row>
    <row r="163">
      <c r="A163" s="27" t="s">
        <v>612</v>
      </c>
      <c r="B163" s="28" t="s">
        <v>77</v>
      </c>
      <c r="C163" s="29">
        <v>186.0</v>
      </c>
      <c r="D163" s="29">
        <v>158.0</v>
      </c>
      <c r="E163" s="28" t="s">
        <v>53</v>
      </c>
      <c r="F163" s="29">
        <v>307.0</v>
      </c>
      <c r="G163" s="29">
        <v>329.0</v>
      </c>
      <c r="H163" s="30">
        <v>45719.0</v>
      </c>
      <c r="I163" s="30">
        <v>45719.0</v>
      </c>
      <c r="J163" s="29" t="s">
        <v>46</v>
      </c>
      <c r="K163" s="29" t="s">
        <v>60</v>
      </c>
      <c r="L163" s="29" t="s">
        <v>60</v>
      </c>
    </row>
    <row r="164">
      <c r="A164" s="27" t="s">
        <v>613</v>
      </c>
      <c r="B164" s="31" t="s">
        <v>52</v>
      </c>
      <c r="C164" s="32">
        <v>183.0</v>
      </c>
      <c r="D164" s="32">
        <v>197.0</v>
      </c>
      <c r="E164" s="31" t="s">
        <v>85</v>
      </c>
      <c r="F164" s="32">
        <v>319.0</v>
      </c>
      <c r="G164" s="32">
        <v>318.0</v>
      </c>
      <c r="H164" s="33">
        <v>45718.0</v>
      </c>
      <c r="I164" s="33">
        <v>45693.0</v>
      </c>
      <c r="J164" s="32" t="s">
        <v>89</v>
      </c>
      <c r="K164" s="32" t="s">
        <v>60</v>
      </c>
      <c r="L164" s="32" t="s">
        <v>60</v>
      </c>
    </row>
    <row r="165">
      <c r="A165" s="27" t="s">
        <v>614</v>
      </c>
      <c r="B165" s="28" t="s">
        <v>84</v>
      </c>
      <c r="C165" s="29">
        <v>201.0</v>
      </c>
      <c r="D165" s="29">
        <v>272.0</v>
      </c>
      <c r="E165" s="28" t="s">
        <v>58</v>
      </c>
      <c r="F165" s="29">
        <v>280.0</v>
      </c>
      <c r="G165" s="29">
        <v>469.0</v>
      </c>
      <c r="H165" s="30">
        <v>45718.0</v>
      </c>
      <c r="I165" s="30">
        <v>45663.0</v>
      </c>
      <c r="J165" s="29" t="s">
        <v>81</v>
      </c>
      <c r="K165" s="29" t="s">
        <v>50</v>
      </c>
      <c r="L165" s="29" t="s">
        <v>50</v>
      </c>
    </row>
    <row r="166">
      <c r="A166" s="27" t="s">
        <v>615</v>
      </c>
      <c r="B166" s="31" t="s">
        <v>126</v>
      </c>
      <c r="C166" s="32">
        <v>174.0</v>
      </c>
      <c r="D166" s="32">
        <v>215.0</v>
      </c>
      <c r="E166" s="31" t="s">
        <v>53</v>
      </c>
      <c r="F166" s="32">
        <v>330.0</v>
      </c>
      <c r="G166" s="32">
        <v>351.0</v>
      </c>
      <c r="H166" s="33">
        <v>45779.0</v>
      </c>
      <c r="I166" s="33">
        <v>45661.0</v>
      </c>
      <c r="J166" s="32" t="s">
        <v>46</v>
      </c>
      <c r="K166" s="33">
        <v>45658.0</v>
      </c>
      <c r="L166" s="32" t="s">
        <v>86</v>
      </c>
    </row>
    <row r="167">
      <c r="A167" s="27" t="s">
        <v>616</v>
      </c>
      <c r="B167" s="28" t="s">
        <v>126</v>
      </c>
      <c r="C167" s="29">
        <v>156.0</v>
      </c>
      <c r="D167" s="29">
        <v>211.0</v>
      </c>
      <c r="E167" s="28" t="s">
        <v>62</v>
      </c>
      <c r="F167" s="29">
        <v>239.0</v>
      </c>
      <c r="G167" s="29">
        <v>319.0</v>
      </c>
      <c r="H167" s="30">
        <v>45719.0</v>
      </c>
      <c r="I167" s="29" t="s">
        <v>63</v>
      </c>
      <c r="J167" s="29" t="s">
        <v>46</v>
      </c>
      <c r="K167" s="29" t="s">
        <v>60</v>
      </c>
      <c r="L167" s="29" t="s">
        <v>60</v>
      </c>
    </row>
    <row r="168">
      <c r="A168" s="27" t="s">
        <v>617</v>
      </c>
      <c r="B168" s="31" t="s">
        <v>126</v>
      </c>
      <c r="C168" s="32">
        <v>192.0</v>
      </c>
      <c r="D168" s="32">
        <v>283.0</v>
      </c>
      <c r="E168" s="31" t="s">
        <v>62</v>
      </c>
      <c r="F168" s="32">
        <v>298.0</v>
      </c>
      <c r="G168" s="32">
        <v>466.0</v>
      </c>
      <c r="H168" s="33">
        <v>45718.0</v>
      </c>
      <c r="I168" s="32" t="s">
        <v>618</v>
      </c>
      <c r="J168" s="32" t="s">
        <v>81</v>
      </c>
      <c r="K168" s="32" t="s">
        <v>60</v>
      </c>
      <c r="L168" s="32" t="s">
        <v>60</v>
      </c>
    </row>
    <row r="169">
      <c r="A169" s="99" t="s">
        <v>619</v>
      </c>
      <c r="B169" s="28" t="s">
        <v>571</v>
      </c>
      <c r="C169" s="29">
        <v>113.0</v>
      </c>
      <c r="D169" s="29">
        <v>316.0</v>
      </c>
      <c r="E169" s="28" t="s">
        <v>151</v>
      </c>
      <c r="F169" s="29">
        <v>223.0</v>
      </c>
      <c r="G169" s="29">
        <v>493.0</v>
      </c>
      <c r="H169" s="30">
        <v>45662.0</v>
      </c>
      <c r="I169" s="30">
        <v>45662.0</v>
      </c>
      <c r="J169" s="29" t="s">
        <v>620</v>
      </c>
      <c r="K169" s="29" t="s">
        <v>60</v>
      </c>
      <c r="L169" s="29" t="s">
        <v>60</v>
      </c>
    </row>
  </sheetData>
  <mergeCells count="33">
    <mergeCell ref="E36:J36"/>
    <mergeCell ref="K36:L36"/>
    <mergeCell ref="B2:D2"/>
    <mergeCell ref="E2:J2"/>
    <mergeCell ref="K2:L2"/>
    <mergeCell ref="B18:D18"/>
    <mergeCell ref="E18:J18"/>
    <mergeCell ref="K18:L18"/>
    <mergeCell ref="B36:D36"/>
    <mergeCell ref="E84:J84"/>
    <mergeCell ref="K84:L84"/>
    <mergeCell ref="B49:D49"/>
    <mergeCell ref="E49:J49"/>
    <mergeCell ref="K49:L49"/>
    <mergeCell ref="B67:D67"/>
    <mergeCell ref="E67:J67"/>
    <mergeCell ref="K67:L67"/>
    <mergeCell ref="B84:D84"/>
    <mergeCell ref="E123:J123"/>
    <mergeCell ref="K123:L123"/>
    <mergeCell ref="B139:D139"/>
    <mergeCell ref="E139:J139"/>
    <mergeCell ref="K139:L139"/>
    <mergeCell ref="B157:D157"/>
    <mergeCell ref="E157:J157"/>
    <mergeCell ref="K157:L157"/>
    <mergeCell ref="B91:D91"/>
    <mergeCell ref="E91:J91"/>
    <mergeCell ref="K91:L91"/>
    <mergeCell ref="B107:D107"/>
    <mergeCell ref="E107:J107"/>
    <mergeCell ref="K107:L107"/>
    <mergeCell ref="B123:D123"/>
  </mergeCells>
  <hyperlinks>
    <hyperlink r:id="rId1" ref="A4"/>
    <hyperlink r:id="rId2" ref="A5"/>
    <hyperlink r:id="rId3" ref="A6"/>
    <hyperlink r:id="rId4" ref="A7"/>
    <hyperlink r:id="rId5" ref="A8"/>
    <hyperlink r:id="rId6" ref="A9"/>
    <hyperlink r:id="rId7" ref="A11"/>
    <hyperlink r:id="rId8" ref="A12"/>
    <hyperlink r:id="rId9" ref="A13"/>
    <hyperlink r:id="rId10" ref="A14"/>
    <hyperlink r:id="rId11" ref="A15"/>
    <hyperlink r:id="rId12" ref="A16"/>
    <hyperlink r:id="rId13" ref="A20"/>
    <hyperlink r:id="rId14" ref="A21"/>
    <hyperlink r:id="rId15" ref="A22"/>
    <hyperlink r:id="rId16" ref="A23"/>
    <hyperlink r:id="rId17" ref="A24"/>
    <hyperlink r:id="rId18" ref="A25"/>
    <hyperlink r:id="rId19" ref="A26"/>
    <hyperlink r:id="rId20" ref="A28"/>
    <hyperlink r:id="rId21" ref="A29"/>
    <hyperlink r:id="rId22" ref="A30"/>
    <hyperlink r:id="rId23" ref="A31"/>
    <hyperlink r:id="rId24" ref="A32"/>
    <hyperlink r:id="rId25" ref="A33"/>
    <hyperlink r:id="rId26" ref="A34"/>
    <hyperlink r:id="rId27" ref="A38"/>
    <hyperlink r:id="rId28" ref="A39"/>
    <hyperlink r:id="rId29" ref="A40"/>
    <hyperlink r:id="rId30" ref="A41"/>
    <hyperlink r:id="rId31" ref="A42"/>
    <hyperlink r:id="rId32" ref="A43"/>
    <hyperlink r:id="rId33" ref="A44"/>
    <hyperlink r:id="rId34" ref="A45"/>
    <hyperlink r:id="rId35" ref="A46"/>
    <hyperlink r:id="rId36" ref="A47"/>
    <hyperlink r:id="rId37" ref="A51"/>
    <hyperlink r:id="rId38" ref="A52"/>
    <hyperlink r:id="rId39" ref="A53"/>
    <hyperlink r:id="rId40" ref="A54"/>
    <hyperlink r:id="rId41" ref="A55"/>
    <hyperlink r:id="rId42" ref="A56"/>
    <hyperlink r:id="rId43" ref="A57"/>
    <hyperlink r:id="rId44" ref="A59"/>
    <hyperlink r:id="rId45" ref="A60"/>
    <hyperlink r:id="rId46" ref="A61"/>
    <hyperlink r:id="rId47" ref="A62"/>
    <hyperlink r:id="rId48" ref="A63"/>
    <hyperlink r:id="rId49" ref="A64"/>
    <hyperlink r:id="rId50" ref="A65"/>
    <hyperlink r:id="rId51" ref="A69"/>
    <hyperlink r:id="rId52" ref="A70"/>
    <hyperlink r:id="rId53" ref="A71"/>
    <hyperlink r:id="rId54" ref="A72"/>
    <hyperlink r:id="rId55" ref="A73"/>
    <hyperlink r:id="rId56" ref="A74"/>
    <hyperlink r:id="rId57" ref="A75"/>
    <hyperlink r:id="rId58" ref="A77"/>
    <hyperlink r:id="rId59" ref="A78"/>
    <hyperlink r:id="rId60" ref="A79"/>
    <hyperlink r:id="rId61" ref="A80"/>
    <hyperlink r:id="rId62" ref="A81"/>
    <hyperlink r:id="rId63" ref="A82"/>
    <hyperlink r:id="rId64" ref="A86"/>
    <hyperlink r:id="rId65" ref="A87"/>
    <hyperlink r:id="rId66" ref="A88"/>
    <hyperlink r:id="rId67" ref="A89"/>
    <hyperlink r:id="rId68" ref="A93"/>
    <hyperlink r:id="rId69" ref="A94"/>
    <hyperlink r:id="rId70" ref="A95"/>
    <hyperlink r:id="rId71" ref="A96"/>
    <hyperlink r:id="rId72" ref="A97"/>
    <hyperlink r:id="rId73" ref="A98"/>
    <hyperlink r:id="rId74" ref="A100"/>
    <hyperlink r:id="rId75" ref="A101"/>
    <hyperlink r:id="rId76" ref="A102"/>
    <hyperlink r:id="rId77" ref="A103"/>
    <hyperlink r:id="rId78" ref="A104"/>
    <hyperlink r:id="rId79" ref="A105"/>
    <hyperlink r:id="rId80" ref="A109"/>
    <hyperlink r:id="rId81" ref="A110"/>
    <hyperlink r:id="rId82" ref="A111"/>
    <hyperlink r:id="rId83" ref="A112"/>
    <hyperlink r:id="rId84" ref="A113"/>
    <hyperlink r:id="rId85" ref="A114"/>
    <hyperlink r:id="rId86" ref="A116"/>
    <hyperlink r:id="rId87" ref="A117"/>
    <hyperlink r:id="rId88" ref="A118"/>
    <hyperlink r:id="rId89" ref="A119"/>
    <hyperlink r:id="rId90" ref="A120"/>
    <hyperlink r:id="rId91" ref="A121"/>
    <hyperlink r:id="rId92" ref="A125"/>
    <hyperlink r:id="rId93" ref="A126"/>
    <hyperlink r:id="rId94" ref="A127"/>
    <hyperlink r:id="rId95" ref="A128"/>
    <hyperlink r:id="rId96" ref="A129"/>
    <hyperlink r:id="rId97" ref="A130"/>
    <hyperlink r:id="rId98" ref="A132"/>
    <hyperlink r:id="rId99" ref="A133"/>
    <hyperlink r:id="rId100" ref="A134"/>
    <hyperlink r:id="rId101" ref="A135"/>
    <hyperlink r:id="rId102" ref="A136"/>
    <hyperlink r:id="rId103" ref="A137"/>
    <hyperlink r:id="rId104" ref="A141"/>
    <hyperlink r:id="rId105" ref="A142"/>
    <hyperlink r:id="rId106" ref="A143"/>
    <hyperlink r:id="rId107" ref="A144"/>
    <hyperlink r:id="rId108" ref="A145"/>
    <hyperlink r:id="rId109" ref="A146"/>
    <hyperlink r:id="rId110" ref="A147"/>
    <hyperlink r:id="rId111" ref="A149"/>
    <hyperlink r:id="rId112" ref="A150"/>
    <hyperlink r:id="rId113" ref="A151"/>
    <hyperlink r:id="rId114" ref="A152"/>
    <hyperlink r:id="rId115" ref="A153"/>
    <hyperlink r:id="rId116" ref="A154"/>
    <hyperlink r:id="rId117" ref="A155"/>
    <hyperlink r:id="rId118" ref="A159"/>
    <hyperlink r:id="rId119" ref="A160"/>
    <hyperlink r:id="rId120" ref="A161"/>
    <hyperlink r:id="rId121" ref="A162"/>
    <hyperlink r:id="rId122" ref="A163"/>
    <hyperlink r:id="rId123" ref="A164"/>
    <hyperlink r:id="rId124" ref="A165"/>
    <hyperlink r:id="rId125" ref="A166"/>
    <hyperlink r:id="rId126" ref="A167"/>
    <hyperlink r:id="rId127" ref="A168"/>
    <hyperlink r:id="rId128" ref="A169"/>
  </hyperlinks>
  <drawing r:id="rId129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outlinePr summaryBelow="0" summaryRight="0"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2.63" defaultRowHeight="15.75"/>
  <cols>
    <col customWidth="1" hidden="1" min="1" max="1" width="7.13"/>
    <col customWidth="1" min="2" max="2" width="14.25"/>
    <col customWidth="1" hidden="1" min="3" max="11" width="5.5"/>
    <col customWidth="1" hidden="1" min="12" max="12" width="9.25"/>
    <col customWidth="1" hidden="1" min="13" max="26" width="5.5"/>
    <col customWidth="1" min="27" max="32" width="5.5"/>
    <col customWidth="1" hidden="1" min="33" max="44" width="5.5"/>
  </cols>
  <sheetData>
    <row r="1">
      <c r="A1" s="52">
        <v>0.0</v>
      </c>
      <c r="B1" s="52" t="s">
        <v>92</v>
      </c>
      <c r="C1" s="53">
        <v>0.2916666666666667</v>
      </c>
      <c r="D1" s="53">
        <v>0.3125</v>
      </c>
      <c r="E1" s="53">
        <v>0.3333333333333333</v>
      </c>
      <c r="F1" s="53">
        <v>0.3541666666666667</v>
      </c>
      <c r="G1" s="53">
        <v>0.375</v>
      </c>
      <c r="H1" s="53">
        <v>0.3958333333333333</v>
      </c>
      <c r="I1" s="53">
        <v>0.4166666666666667</v>
      </c>
      <c r="J1" s="53">
        <v>0.4375</v>
      </c>
      <c r="K1" s="53">
        <v>0.4583333333333333</v>
      </c>
      <c r="L1" s="53">
        <v>0.4791666666666667</v>
      </c>
      <c r="M1" s="53">
        <v>0.5</v>
      </c>
      <c r="N1" s="53">
        <v>0.5208333333333334</v>
      </c>
      <c r="O1" s="53">
        <v>0.5416666666666666</v>
      </c>
      <c r="P1" s="53">
        <v>0.5625</v>
      </c>
      <c r="Q1" s="53">
        <v>0.5833333333333334</v>
      </c>
      <c r="R1" s="53">
        <v>0.6041666666666666</v>
      </c>
      <c r="S1" s="53">
        <v>0.625</v>
      </c>
      <c r="T1" s="53">
        <v>0.6458333333333334</v>
      </c>
      <c r="U1" s="53">
        <v>0.6666666666666666</v>
      </c>
      <c r="V1" s="53">
        <v>0.6875</v>
      </c>
      <c r="W1" s="53">
        <v>0.7083333333333334</v>
      </c>
      <c r="X1" s="53">
        <v>0.7291666666666666</v>
      </c>
      <c r="Y1" s="53">
        <v>0.75</v>
      </c>
      <c r="Z1" s="53">
        <v>0.7708333333333334</v>
      </c>
      <c r="AA1" s="53">
        <v>0.7916666666666666</v>
      </c>
      <c r="AB1" s="53">
        <v>0.8125</v>
      </c>
      <c r="AC1" s="53">
        <v>0.8333333333333334</v>
      </c>
      <c r="AD1" s="53">
        <v>0.8541666666666666</v>
      </c>
      <c r="AE1" s="53">
        <v>0.875</v>
      </c>
      <c r="AF1" s="53">
        <v>0.8958333333333334</v>
      </c>
      <c r="AG1" s="53">
        <v>0.9166666666666666</v>
      </c>
      <c r="AH1" s="53">
        <v>0.9375</v>
      </c>
      <c r="AI1" s="53">
        <v>0.9583333333333334</v>
      </c>
      <c r="AJ1" s="53">
        <v>0.9791666666666666</v>
      </c>
      <c r="AK1" s="53">
        <v>0.0</v>
      </c>
      <c r="AL1" s="53">
        <v>0.020833333333333332</v>
      </c>
      <c r="AM1" s="53">
        <v>0.041666666666666664</v>
      </c>
      <c r="AN1" s="53">
        <v>0.0625</v>
      </c>
      <c r="AO1" s="53">
        <v>0.08333333333333333</v>
      </c>
      <c r="AP1" s="53">
        <v>0.10416666666666667</v>
      </c>
      <c r="AQ1" s="53">
        <v>0.125</v>
      </c>
      <c r="AR1" s="53">
        <v>0.14583333333333334</v>
      </c>
    </row>
    <row r="2">
      <c r="A2" s="52">
        <v>9.0</v>
      </c>
      <c r="B2" s="54" t="s">
        <v>212</v>
      </c>
      <c r="C2" s="55"/>
      <c r="D2" s="55"/>
      <c r="E2" s="55"/>
      <c r="F2" s="55"/>
      <c r="G2" s="55"/>
      <c r="H2" s="55"/>
      <c r="I2" s="55"/>
      <c r="J2" s="55"/>
      <c r="K2" s="55"/>
      <c r="L2" s="55"/>
      <c r="M2" s="55"/>
      <c r="N2" s="55"/>
      <c r="O2" s="55"/>
      <c r="P2" s="55"/>
      <c r="Q2" s="55"/>
      <c r="R2" s="55"/>
      <c r="S2" s="55"/>
      <c r="T2" s="55"/>
      <c r="U2" s="55"/>
      <c r="V2" s="55"/>
      <c r="W2" s="55"/>
      <c r="X2" s="55"/>
      <c r="Y2" s="55"/>
      <c r="Z2" s="55"/>
      <c r="AA2" s="56" t="str">
        <f>HYPERLINK("http://www.espn.com/college-football/game?gameId=400869335","Akron 3 at Ohio 9")</f>
        <v>Akron 3 at Ohio 9</v>
      </c>
      <c r="AG2" s="55"/>
      <c r="AH2" s="55"/>
      <c r="AI2" s="55"/>
      <c r="AJ2" s="53"/>
      <c r="AK2" s="53"/>
      <c r="AL2" s="53"/>
      <c r="AM2" s="53"/>
      <c r="AN2" s="53"/>
      <c r="AO2" s="53"/>
      <c r="AP2" s="53"/>
      <c r="AQ2" s="53"/>
      <c r="AR2" s="53"/>
    </row>
    <row r="3">
      <c r="A3" s="52">
        <v>17.5</v>
      </c>
      <c r="B3" s="54" t="s">
        <v>121</v>
      </c>
      <c r="C3" s="55"/>
      <c r="D3" s="55"/>
      <c r="E3" s="55"/>
      <c r="F3" s="55"/>
      <c r="G3" s="55"/>
      <c r="H3" s="55"/>
      <c r="I3" s="55"/>
      <c r="J3" s="55"/>
      <c r="K3" s="55"/>
      <c r="L3" s="55"/>
      <c r="M3" s="55"/>
      <c r="N3" s="55"/>
      <c r="O3" s="55"/>
      <c r="P3" s="55"/>
      <c r="Q3" s="55"/>
      <c r="R3" s="55"/>
      <c r="S3" s="55"/>
      <c r="T3" s="55"/>
      <c r="U3" s="55"/>
      <c r="V3" s="55"/>
      <c r="W3" s="55"/>
      <c r="X3" s="55"/>
      <c r="Y3" s="55"/>
      <c r="Z3" s="55"/>
      <c r="AA3" s="56" t="str">
        <f>HYPERLINK("http://www.espn.com/college-football/game?gameId=400869337","CMU 21 at EMU 26")</f>
        <v>CMU 21 at EMU 26</v>
      </c>
      <c r="AG3" s="55"/>
      <c r="AH3" s="55"/>
      <c r="AI3" s="55"/>
      <c r="AJ3" s="53"/>
      <c r="AK3" s="53"/>
      <c r="AL3" s="53"/>
      <c r="AM3" s="53"/>
      <c r="AN3" s="53"/>
      <c r="AO3" s="53"/>
      <c r="AP3" s="53"/>
      <c r="AQ3" s="53"/>
      <c r="AR3" s="53"/>
    </row>
    <row r="4">
      <c r="A4" s="52">
        <v>17.5</v>
      </c>
      <c r="B4" s="54" t="s">
        <v>223</v>
      </c>
      <c r="C4" s="55"/>
      <c r="D4" s="55"/>
      <c r="E4" s="55"/>
      <c r="F4" s="55"/>
      <c r="G4" s="55"/>
      <c r="H4" s="55"/>
      <c r="I4" s="55"/>
      <c r="J4" s="55"/>
      <c r="K4" s="55"/>
      <c r="L4" s="55"/>
      <c r="M4" s="55"/>
      <c r="N4" s="55"/>
      <c r="O4" s="55"/>
      <c r="P4" s="55"/>
      <c r="Q4" s="55"/>
      <c r="R4" s="55"/>
      <c r="S4" s="55"/>
      <c r="T4" s="55"/>
      <c r="U4" s="55"/>
      <c r="V4" s="55"/>
      <c r="W4" s="55"/>
      <c r="X4" s="55"/>
      <c r="Y4" s="55"/>
      <c r="Z4" s="55"/>
      <c r="AA4" s="56" t="str">
        <f>HYPERLINK("http://www.espn.com/college-football/game?gameId=400869336","Ball St. 20 at Miami (OH) 21")</f>
        <v>Ball St. 20 at Miami (OH) 21</v>
      </c>
      <c r="AG4" s="55"/>
      <c r="AH4" s="55"/>
      <c r="AI4" s="55"/>
      <c r="AJ4" s="53"/>
      <c r="AK4" s="53"/>
      <c r="AL4" s="53"/>
      <c r="AM4" s="53"/>
      <c r="AN4" s="53"/>
      <c r="AO4" s="53"/>
      <c r="AP4" s="53"/>
      <c r="AQ4" s="53"/>
      <c r="AR4" s="53"/>
    </row>
  </sheetData>
  <mergeCells count="3">
    <mergeCell ref="AA2:AF2"/>
    <mergeCell ref="AA3:AF3"/>
    <mergeCell ref="AA4:AF4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03" max="103" width="18.25"/>
  </cols>
  <sheetData>
    <row r="1">
      <c r="A1" t="s">
        <v>233</v>
      </c>
      <c r="B1" t="s">
        <v>234</v>
      </c>
      <c r="C1" s="13" t="s">
        <v>235</v>
      </c>
      <c r="D1" t="s">
        <v>237</v>
      </c>
      <c r="E1" t="s">
        <v>238</v>
      </c>
      <c r="F1" t="s">
        <v>239</v>
      </c>
      <c r="G1" t="s">
        <v>240</v>
      </c>
      <c r="H1" t="s">
        <v>241</v>
      </c>
      <c r="I1" t="s">
        <v>242</v>
      </c>
      <c r="J1" t="s">
        <v>243</v>
      </c>
      <c r="K1" t="s">
        <v>244</v>
      </c>
      <c r="L1" t="s">
        <v>246</v>
      </c>
      <c r="M1" t="s">
        <v>247</v>
      </c>
      <c r="N1" t="s">
        <v>248</v>
      </c>
      <c r="O1" s="13" t="s">
        <v>249</v>
      </c>
      <c r="P1" t="s">
        <v>250</v>
      </c>
      <c r="Q1" t="s">
        <v>251</v>
      </c>
      <c r="R1" s="13" t="s">
        <v>253</v>
      </c>
      <c r="S1" t="s">
        <v>254</v>
      </c>
      <c r="T1" t="s">
        <v>255</v>
      </c>
      <c r="U1" t="s">
        <v>256</v>
      </c>
      <c r="V1" t="s">
        <v>257</v>
      </c>
      <c r="W1" t="s">
        <v>258</v>
      </c>
      <c r="X1" t="s">
        <v>259</v>
      </c>
      <c r="Y1" t="s">
        <v>260</v>
      </c>
      <c r="Z1" t="s">
        <v>261</v>
      </c>
      <c r="AA1" t="s">
        <v>262</v>
      </c>
      <c r="AB1" s="13" t="s">
        <v>263</v>
      </c>
      <c r="AC1" t="s">
        <v>264</v>
      </c>
      <c r="AD1" t="s">
        <v>265</v>
      </c>
      <c r="AE1" t="s">
        <v>266</v>
      </c>
      <c r="AF1" t="s">
        <v>267</v>
      </c>
      <c r="AG1" t="s">
        <v>268</v>
      </c>
      <c r="AH1" s="13" t="s">
        <v>269</v>
      </c>
      <c r="AI1" s="13" t="s">
        <v>271</v>
      </c>
      <c r="AJ1" t="s">
        <v>272</v>
      </c>
      <c r="AK1" t="s">
        <v>273</v>
      </c>
      <c r="AL1" t="s">
        <v>274</v>
      </c>
      <c r="AM1" s="13" t="s">
        <v>275</v>
      </c>
      <c r="AN1" t="s">
        <v>276</v>
      </c>
      <c r="AO1" s="13" t="s">
        <v>277</v>
      </c>
      <c r="AP1" s="13" t="s">
        <v>279</v>
      </c>
      <c r="AQ1" t="s">
        <v>280</v>
      </c>
      <c r="AR1" t="s">
        <v>281</v>
      </c>
      <c r="AS1" t="s">
        <v>282</v>
      </c>
      <c r="AT1" t="s">
        <v>283</v>
      </c>
      <c r="AU1" t="s">
        <v>284</v>
      </c>
      <c r="AV1" t="s">
        <v>286</v>
      </c>
      <c r="AW1" t="s">
        <v>287</v>
      </c>
      <c r="AX1" t="s">
        <v>288</v>
      </c>
      <c r="AY1" t="s">
        <v>289</v>
      </c>
      <c r="AZ1" t="s">
        <v>290</v>
      </c>
      <c r="BA1" t="s">
        <v>291</v>
      </c>
      <c r="BB1" t="s">
        <v>292</v>
      </c>
      <c r="BC1" t="s">
        <v>294</v>
      </c>
      <c r="BD1" t="s">
        <v>295</v>
      </c>
      <c r="BE1" s="13" t="s">
        <v>296</v>
      </c>
      <c r="BF1" t="s">
        <v>297</v>
      </c>
      <c r="BG1" t="s">
        <v>298</v>
      </c>
      <c r="BH1" t="s">
        <v>299</v>
      </c>
      <c r="BI1" s="13" t="s">
        <v>300</v>
      </c>
      <c r="BJ1" t="s">
        <v>301</v>
      </c>
      <c r="BK1" t="s">
        <v>302</v>
      </c>
      <c r="BL1" t="s">
        <v>303</v>
      </c>
      <c r="BM1" t="s">
        <v>305</v>
      </c>
      <c r="BN1" t="s">
        <v>306</v>
      </c>
      <c r="BO1" t="s">
        <v>307</v>
      </c>
      <c r="BP1" t="s">
        <v>308</v>
      </c>
      <c r="BQ1" s="13" t="s">
        <v>309</v>
      </c>
      <c r="BR1" t="s">
        <v>310</v>
      </c>
      <c r="BS1" t="s">
        <v>311</v>
      </c>
      <c r="BT1" t="s">
        <v>312</v>
      </c>
      <c r="BU1" t="s">
        <v>313</v>
      </c>
      <c r="BV1" t="s">
        <v>314</v>
      </c>
      <c r="BW1" t="s">
        <v>315</v>
      </c>
      <c r="BX1" t="s">
        <v>316</v>
      </c>
      <c r="BY1" t="s">
        <v>317</v>
      </c>
      <c r="BZ1" s="13" t="s">
        <v>318</v>
      </c>
      <c r="CA1" t="s">
        <v>319</v>
      </c>
      <c r="CB1" t="s">
        <v>320</v>
      </c>
      <c r="CC1" t="s">
        <v>321</v>
      </c>
      <c r="CD1" s="13" t="s">
        <v>322</v>
      </c>
      <c r="CE1" t="s">
        <v>323</v>
      </c>
      <c r="CF1" s="13" t="s">
        <v>324</v>
      </c>
      <c r="CG1" t="s">
        <v>325</v>
      </c>
      <c r="CH1" s="13" t="s">
        <v>326</v>
      </c>
      <c r="CI1" s="13" t="s">
        <v>328</v>
      </c>
      <c r="CJ1" t="s">
        <v>330</v>
      </c>
      <c r="CK1" t="s">
        <v>331</v>
      </c>
      <c r="CL1" t="s">
        <v>332</v>
      </c>
      <c r="CM1" t="s">
        <v>333</v>
      </c>
      <c r="CN1" t="s">
        <v>334</v>
      </c>
      <c r="CO1" t="s">
        <v>335</v>
      </c>
      <c r="CP1" t="s">
        <v>336</v>
      </c>
      <c r="CQ1" t="s">
        <v>337</v>
      </c>
      <c r="CR1" t="s">
        <v>338</v>
      </c>
      <c r="CS1" t="s">
        <v>339</v>
      </c>
      <c r="CT1" t="s">
        <v>340</v>
      </c>
      <c r="CU1" t="s">
        <v>341</v>
      </c>
      <c r="CV1" t="s">
        <v>342</v>
      </c>
      <c r="CW1" t="s">
        <v>343</v>
      </c>
      <c r="CX1" t="s">
        <v>344</v>
      </c>
      <c r="CY1" s="13" t="s">
        <v>345</v>
      </c>
      <c r="CZ1" t="s">
        <v>346</v>
      </c>
      <c r="DA1" s="13" t="s">
        <v>348</v>
      </c>
      <c r="DB1" s="13" t="s">
        <v>349</v>
      </c>
      <c r="DC1" s="13" t="s">
        <v>350</v>
      </c>
      <c r="DD1" t="s">
        <v>351</v>
      </c>
      <c r="DE1" s="13" t="s">
        <v>352</v>
      </c>
      <c r="DF1" s="13" t="s">
        <v>353</v>
      </c>
      <c r="DG1" s="13" t="s">
        <v>354</v>
      </c>
      <c r="DH1" t="s">
        <v>355</v>
      </c>
      <c r="DI1" t="s">
        <v>356</v>
      </c>
      <c r="DJ1" t="s">
        <v>357</v>
      </c>
      <c r="DK1" s="13" t="s">
        <v>358</v>
      </c>
      <c r="DL1" t="s">
        <v>359</v>
      </c>
      <c r="DM1" t="s">
        <v>360</v>
      </c>
      <c r="DN1" t="s">
        <v>361</v>
      </c>
      <c r="DO1" s="13" t="s">
        <v>363</v>
      </c>
      <c r="DP1" s="13" t="s">
        <v>364</v>
      </c>
      <c r="DQ1" t="s">
        <v>365</v>
      </c>
      <c r="DR1" s="13" t="s">
        <v>366</v>
      </c>
      <c r="DS1" t="s">
        <v>367</v>
      </c>
      <c r="DT1" s="13" t="s">
        <v>368</v>
      </c>
      <c r="DU1" s="13" t="s">
        <v>369</v>
      </c>
      <c r="DV1" s="13" t="s">
        <v>370</v>
      </c>
      <c r="DW1" t="s">
        <v>371</v>
      </c>
      <c r="DX1" t="s">
        <v>372</v>
      </c>
    </row>
    <row r="2">
      <c r="A2" s="42" t="s">
        <v>373</v>
      </c>
      <c r="B2" s="42" t="s">
        <v>374</v>
      </c>
      <c r="C2" s="13" t="s">
        <v>222</v>
      </c>
      <c r="D2" s="13" t="s">
        <v>127</v>
      </c>
      <c r="E2" s="13" t="s">
        <v>376</v>
      </c>
      <c r="F2" s="13" t="s">
        <v>377</v>
      </c>
      <c r="G2" s="13" t="s">
        <v>186</v>
      </c>
      <c r="H2" s="13" t="s">
        <v>378</v>
      </c>
      <c r="I2" s="13" t="s">
        <v>23</v>
      </c>
      <c r="J2" s="13" t="s">
        <v>375</v>
      </c>
      <c r="K2" s="13" t="s">
        <v>379</v>
      </c>
      <c r="L2" s="13" t="s">
        <v>380</v>
      </c>
      <c r="M2" s="13" t="s">
        <v>381</v>
      </c>
      <c r="N2" s="13" t="s">
        <v>10</v>
      </c>
      <c r="O2" s="13" t="s">
        <v>382</v>
      </c>
      <c r="P2" s="13" t="s">
        <v>383</v>
      </c>
      <c r="Q2" s="13" t="s">
        <v>245</v>
      </c>
      <c r="R2" s="13" t="s">
        <v>437</v>
      </c>
      <c r="S2" s="13" t="s">
        <v>446</v>
      </c>
      <c r="T2" s="13" t="s">
        <v>213</v>
      </c>
      <c r="U2" s="13" t="s">
        <v>465</v>
      </c>
      <c r="V2" s="42" t="s">
        <v>426</v>
      </c>
      <c r="W2" s="42" t="s">
        <v>466</v>
      </c>
      <c r="X2" s="13" t="s">
        <v>188</v>
      </c>
      <c r="Y2" s="13" t="s">
        <v>455</v>
      </c>
      <c r="Z2" s="63" t="s">
        <v>415</v>
      </c>
      <c r="AA2" s="13" t="s">
        <v>391</v>
      </c>
      <c r="AB2" s="13" t="s">
        <v>429</v>
      </c>
      <c r="AC2" s="13" t="s">
        <v>28</v>
      </c>
      <c r="AD2" s="13" t="s">
        <v>419</v>
      </c>
      <c r="AE2" s="13" t="s">
        <v>150</v>
      </c>
      <c r="AF2" s="13" t="s">
        <v>176</v>
      </c>
      <c r="AG2" s="13" t="s">
        <v>232</v>
      </c>
      <c r="AH2" s="13" t="s">
        <v>398</v>
      </c>
      <c r="AI2" s="13" t="s">
        <v>411</v>
      </c>
      <c r="AJ2" s="13" t="s">
        <v>100</v>
      </c>
      <c r="AK2" s="13" t="s">
        <v>447</v>
      </c>
      <c r="AL2" s="13" t="s">
        <v>448</v>
      </c>
      <c r="AM2" s="13" t="s">
        <v>392</v>
      </c>
      <c r="AN2" s="13" t="s">
        <v>463</v>
      </c>
      <c r="AO2" s="13" t="s">
        <v>406</v>
      </c>
      <c r="AP2" s="13" t="s">
        <v>181</v>
      </c>
      <c r="AQ2" s="13" t="s">
        <v>423</v>
      </c>
      <c r="AR2" s="13" t="s">
        <v>209</v>
      </c>
      <c r="AS2" s="13" t="s">
        <v>225</v>
      </c>
      <c r="AT2" s="13" t="s">
        <v>461</v>
      </c>
      <c r="AU2" s="13" t="s">
        <v>123</v>
      </c>
      <c r="AV2" s="13" t="s">
        <v>427</v>
      </c>
      <c r="AW2" s="13" t="s">
        <v>402</v>
      </c>
      <c r="AX2" s="13" t="s">
        <v>160</v>
      </c>
      <c r="AY2" s="13" t="s">
        <v>133</v>
      </c>
      <c r="AZ2" s="13" t="s">
        <v>394</v>
      </c>
      <c r="BA2" s="13" t="s">
        <v>405</v>
      </c>
      <c r="BB2" s="42" t="s">
        <v>166</v>
      </c>
      <c r="BC2" s="64" t="s">
        <v>285</v>
      </c>
      <c r="BD2" s="13" t="s">
        <v>458</v>
      </c>
      <c r="BE2" s="13" t="s">
        <v>198</v>
      </c>
      <c r="BF2" s="13" t="s">
        <v>431</v>
      </c>
      <c r="BG2" s="13" t="s">
        <v>453</v>
      </c>
      <c r="BH2" s="13" t="s">
        <v>409</v>
      </c>
      <c r="BI2" s="13" t="s">
        <v>470</v>
      </c>
      <c r="BJ2" s="13" t="s">
        <v>441</v>
      </c>
      <c r="BK2" s="13" t="s">
        <v>454</v>
      </c>
      <c r="BL2" s="13" t="s">
        <v>471</v>
      </c>
      <c r="BM2" s="13" t="s">
        <v>472</v>
      </c>
      <c r="BN2" s="13" t="s">
        <v>473</v>
      </c>
      <c r="BO2" s="13" t="s">
        <v>141</v>
      </c>
      <c r="BP2" s="13" t="s">
        <v>390</v>
      </c>
      <c r="BQ2" s="13" t="s">
        <v>120</v>
      </c>
      <c r="BR2" s="42" t="s">
        <v>474</v>
      </c>
      <c r="BS2" s="42" t="s">
        <v>206</v>
      </c>
      <c r="BT2" s="13" t="s">
        <v>476</v>
      </c>
      <c r="BU2" s="13" t="s">
        <v>433</v>
      </c>
      <c r="BV2" s="13" t="s">
        <v>444</v>
      </c>
      <c r="BW2" s="13" t="s">
        <v>401</v>
      </c>
      <c r="BX2" s="13" t="s">
        <v>184</v>
      </c>
      <c r="BY2" s="13" t="s">
        <v>422</v>
      </c>
      <c r="BZ2" s="13" t="s">
        <v>414</v>
      </c>
      <c r="CA2" s="13" t="s">
        <v>228</v>
      </c>
      <c r="CB2" s="13" t="s">
        <v>412</v>
      </c>
      <c r="CC2" s="13" t="s">
        <v>191</v>
      </c>
      <c r="CD2" s="13" t="s">
        <v>459</v>
      </c>
      <c r="CE2" s="13" t="s">
        <v>434</v>
      </c>
      <c r="CF2" s="13" t="s">
        <v>416</v>
      </c>
      <c r="CG2" s="13" t="s">
        <v>347</v>
      </c>
      <c r="CH2" s="13" t="s">
        <v>129</v>
      </c>
      <c r="CI2" s="13" t="s">
        <v>220</v>
      </c>
      <c r="CJ2" s="13" t="s">
        <v>403</v>
      </c>
      <c r="CK2" s="13" t="s">
        <v>155</v>
      </c>
      <c r="CL2" s="13" t="s">
        <v>395</v>
      </c>
      <c r="CM2" s="13" t="s">
        <v>442</v>
      </c>
      <c r="CN2" s="13" t="s">
        <v>430</v>
      </c>
      <c r="CO2" s="13" t="s">
        <v>109</v>
      </c>
      <c r="CP2" s="13" t="s">
        <v>210</v>
      </c>
      <c r="CQ2" s="13" t="s">
        <v>445</v>
      </c>
      <c r="CR2" s="13" t="s">
        <v>460</v>
      </c>
      <c r="CS2" s="13" t="s">
        <v>450</v>
      </c>
      <c r="CT2" s="13" t="s">
        <v>451</v>
      </c>
      <c r="CU2" s="13" t="s">
        <v>157</v>
      </c>
      <c r="CV2" s="13" t="s">
        <v>438</v>
      </c>
      <c r="CW2" s="13" t="s">
        <v>400</v>
      </c>
      <c r="CX2" s="13" t="s">
        <v>421</v>
      </c>
      <c r="CY2" s="13" t="s">
        <v>389</v>
      </c>
      <c r="CZ2" s="13" t="s">
        <v>26</v>
      </c>
      <c r="DA2" s="13" t="s">
        <v>304</v>
      </c>
      <c r="DB2" s="13" t="s">
        <v>425</v>
      </c>
      <c r="DC2" s="13" t="s">
        <v>408</v>
      </c>
      <c r="DD2" s="13" t="s">
        <v>173</v>
      </c>
      <c r="DE2" s="13" t="s">
        <v>112</v>
      </c>
      <c r="DF2" s="13" t="s">
        <v>327</v>
      </c>
      <c r="DG2" s="13" t="s">
        <v>436</v>
      </c>
      <c r="DH2" s="13" t="s">
        <v>457</v>
      </c>
      <c r="DI2" s="13" t="s">
        <v>399</v>
      </c>
      <c r="DJ2" s="13" t="s">
        <v>139</v>
      </c>
      <c r="DK2" s="13" t="s">
        <v>387</v>
      </c>
      <c r="DL2" s="13" t="s">
        <v>203</v>
      </c>
      <c r="DM2" s="13" t="s">
        <v>144</v>
      </c>
      <c r="DN2" s="13" t="s">
        <v>443</v>
      </c>
      <c r="DO2" s="13" t="s">
        <v>194</v>
      </c>
      <c r="DP2" s="13" t="s">
        <v>230</v>
      </c>
      <c r="DQ2" s="13" t="s">
        <v>136</v>
      </c>
      <c r="DR2" s="13" t="s">
        <v>432</v>
      </c>
      <c r="DS2" s="13" t="s">
        <v>404</v>
      </c>
      <c r="DT2" s="13" t="s">
        <v>388</v>
      </c>
      <c r="DU2" s="13" t="s">
        <v>420</v>
      </c>
      <c r="DV2" s="13" t="s">
        <v>217</v>
      </c>
      <c r="DW2" s="13" t="s">
        <v>439</v>
      </c>
      <c r="DX2" s="13" t="s">
        <v>452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.75"/>
    <col customWidth="1" min="2" max="2" width="4.25"/>
    <col customWidth="1" min="3" max="4" width="8.0"/>
    <col customWidth="1" min="5" max="5" width="9.0"/>
    <col customWidth="1" min="6" max="6" width="17.5"/>
    <col customWidth="1" min="7" max="45" width="36.0"/>
  </cols>
  <sheetData>
    <row r="1" ht="1.5" customHeight="1">
      <c r="A1" s="65" t="s">
        <v>487</v>
      </c>
      <c r="B1" s="66" t="s">
        <v>488</v>
      </c>
      <c r="C1" s="66" t="s">
        <v>490</v>
      </c>
      <c r="D1" s="66" t="s">
        <v>491</v>
      </c>
      <c r="E1" s="66" t="s">
        <v>492</v>
      </c>
      <c r="F1" s="66" t="s">
        <v>494</v>
      </c>
      <c r="G1" s="67" t="s">
        <v>495</v>
      </c>
      <c r="H1" s="67" t="s">
        <v>496</v>
      </c>
      <c r="I1" s="67" t="s">
        <v>497</v>
      </c>
      <c r="J1" s="67" t="s">
        <v>498</v>
      </c>
      <c r="K1" s="67" t="s">
        <v>499</v>
      </c>
      <c r="L1" s="67" t="s">
        <v>500</v>
      </c>
      <c r="M1" s="67" t="s">
        <v>501</v>
      </c>
      <c r="N1" s="67" t="s">
        <v>502</v>
      </c>
      <c r="O1" s="68" t="s">
        <v>88</v>
      </c>
      <c r="P1" s="69" t="s">
        <v>91</v>
      </c>
      <c r="Q1" s="70" t="s">
        <v>503</v>
      </c>
      <c r="R1" s="71" t="s">
        <v>504</v>
      </c>
      <c r="S1" s="71" t="s">
        <v>506</v>
      </c>
      <c r="T1" s="72" t="s">
        <v>507</v>
      </c>
      <c r="U1" s="70" t="s">
        <v>508</v>
      </c>
      <c r="V1" s="71" t="s">
        <v>509</v>
      </c>
      <c r="W1" s="73" t="s">
        <v>510</v>
      </c>
      <c r="X1" s="73" t="s">
        <v>511</v>
      </c>
      <c r="Y1" s="68" t="s">
        <v>36</v>
      </c>
      <c r="Z1" s="68" t="s">
        <v>37</v>
      </c>
      <c r="AA1" s="74" t="s">
        <v>512</v>
      </c>
      <c r="AB1" s="75" t="s">
        <v>501</v>
      </c>
      <c r="AC1" s="75" t="s">
        <v>502</v>
      </c>
      <c r="AD1" s="75" t="s">
        <v>513</v>
      </c>
      <c r="AE1" s="74" t="s">
        <v>514</v>
      </c>
      <c r="AF1" s="74" t="s">
        <v>515</v>
      </c>
      <c r="AG1" s="74" t="s">
        <v>516</v>
      </c>
      <c r="AH1" s="75" t="s">
        <v>517</v>
      </c>
      <c r="AI1" s="75" t="s">
        <v>518</v>
      </c>
      <c r="AJ1" s="75" t="s">
        <v>519</v>
      </c>
      <c r="AK1" s="74" t="s">
        <v>520</v>
      </c>
      <c r="AL1" s="74" t="s">
        <v>521</v>
      </c>
      <c r="AM1" s="74" t="s">
        <v>522</v>
      </c>
      <c r="AN1" s="74" t="s">
        <v>523</v>
      </c>
      <c r="AO1" s="75" t="s">
        <v>524</v>
      </c>
      <c r="AP1" s="75" t="s">
        <v>526</v>
      </c>
      <c r="AQ1" s="75" t="s">
        <v>527</v>
      </c>
      <c r="AR1" s="74" t="s">
        <v>528</v>
      </c>
      <c r="AS1" s="74" t="s">
        <v>529</v>
      </c>
    </row>
    <row r="2">
      <c r="A2" s="76">
        <v>1.0</v>
      </c>
      <c r="B2" s="76">
        <v>1.0</v>
      </c>
      <c r="C2" s="77">
        <v>1.0</v>
      </c>
      <c r="D2" s="78" t="str">
        <f>'Draft Order'!B2</f>
        <v>Gary</v>
      </c>
      <c r="E2" s="79" t="str">
        <f>if(F2&lt;&gt;"",VLOOKUP(F2,'Teams-Conference, for lookup'!A:B,2,0),"")</f>
        <v>ACC</v>
      </c>
      <c r="F2" t="s">
        <v>10</v>
      </c>
      <c r="G2" s="80" t="str">
        <f t="shared" ref="G2:G36" si="1">if(F2&lt;&gt;"",if(match(F2,F:F,0)&lt;ROW(F2),"ERROR: Team already selected in row " &amp; ROW(F2)&amp;".  ","")&amp;if(COUNTIFS(E:E,"="&amp;E2,D:D,"="&amp;D2)&gt;1,"ERROR: Player picked from conference more than once.",""),"")</f>
        <v/>
      </c>
      <c r="H2" s="81">
        <f t="shared" ref="H2:H114" si="2">countif(E3:E12,E2)</f>
        <v>1</v>
      </c>
      <c r="I2" s="81">
        <f t="shared" ref="I2:I102" si="3">countif(E3:E24,E2)</f>
        <v>2</v>
      </c>
      <c r="J2" s="82"/>
      <c r="K2" s="82"/>
      <c r="L2" s="82" t="str">
        <f t="array" ref="L2:L124">iferror(VLOOKUP(F2:F124,'Current Week'!C:E,2,0),"")</f>
        <v/>
      </c>
      <c r="M2" s="81">
        <f>IFERROR(__xludf.DUMMYFUNCTION("counta(iferror(filter(L1:L$2,E1:E$2=E2,L1:L$2&lt;L2)))"),0.0)</f>
        <v>0</v>
      </c>
      <c r="N2" s="81">
        <f>IFERROR(__xludf.DUMMYFUNCTION("counta(iferror(filter(L3:L$124,E3:E$124=E2,L3:L$125&gt;L2)))"),0.0)</f>
        <v>0</v>
      </c>
      <c r="O2" s="83">
        <f t="array" ref="O2:X2">XLOOKUP(F2,'Current Week'!B:B,'Current Week'!C:O)</f>
        <v>11</v>
      </c>
      <c r="P2" s="81">
        <v>1.0</v>
      </c>
      <c r="Q2" s="82" t="s">
        <v>11</v>
      </c>
      <c r="R2" s="84" t="s">
        <v>106</v>
      </c>
      <c r="S2" s="82"/>
      <c r="T2" s="85" t="s">
        <v>118</v>
      </c>
      <c r="U2" s="85" t="s">
        <v>108</v>
      </c>
      <c r="V2" s="82"/>
      <c r="W2" s="85">
        <v>9999.0</v>
      </c>
      <c r="X2" s="82"/>
      <c r="Y2" s="82"/>
      <c r="Z2" s="82"/>
      <c r="AA2" s="86">
        <f t="shared" ref="AA2:AA124" si="4">$O2-max($O2:$O$386)</f>
        <v>-1</v>
      </c>
      <c r="AB2" s="85">
        <f t="shared" ref="AB2:AB124" si="5">countif($O1:$O$2,"&lt;"&amp;$O2)</f>
        <v>0</v>
      </c>
      <c r="AC2" s="85">
        <f>IFERROR(__xludf.DUMMYFUNCTION("iferror(COUNT(filter($O3:$O$386,$O3:$O$386&gt;$O2)))"),2.0)</f>
        <v>2</v>
      </c>
      <c r="AD2" s="87">
        <f t="shared" ref="AD2:AD124" si="6">if(AA2=0,1,0)</f>
        <v>0</v>
      </c>
      <c r="AE2" s="88">
        <f t="shared" ref="AE2:AE124" si="7">$O2-min($O$2:$O2)</f>
        <v>0</v>
      </c>
      <c r="AF2" s="82" t="str">
        <f>IFERROR(__xludf.DUMMYFUNCTION("iferror(join("","",index(sort(filter($F3:$F$386,$O3:$O$386&gt;$O2),2,false),0,1)))"),"Alabama,Western Michigan")</f>
        <v>Alabama,Western Michigan</v>
      </c>
      <c r="AG2" s="86">
        <f>IFERROR(__xludf.DUMMYFUNCTION("iferror($O2-max(filter($O2:$O$386,$E2:$E$386=$E$2)))"),0.0)</f>
        <v>0</v>
      </c>
      <c r="AH2" s="85">
        <f t="shared" ref="AH2:AH124" si="8">countifs($O1:$O$2,"&lt;"&amp;$O2,$E1:$E$2,$E$2)</f>
        <v>0</v>
      </c>
      <c r="AI2" s="85">
        <f>IFERROR(__xludf.DUMMYFUNCTION("iferror(COUNT(filter($O3:$O$386,$O3:$O$386&gt;$O2,$E2:$E$386=$E$2)))"),0.0)</f>
        <v>0</v>
      </c>
      <c r="AJ2" s="87">
        <f t="shared" ref="AJ2:AJ124" si="9">if(AG2=0,1,0)</f>
        <v>1</v>
      </c>
      <c r="AK2" s="88">
        <f>IFERROR(__xludf.DUMMYFUNCTION("iferror($O2-min(filter($O2:$O$386,$E2:$E$386=$E$2)))"),9.0)</f>
        <v>9</v>
      </c>
      <c r="AL2" s="82" t="str">
        <f>IFERROR(__xludf.DUMMYFUNCTION("iferror(join("","",index(sort(filter($F3:$F$386,$O3:$O$386&gt;$O2,$E3:$E$386=$E$2),2,false),0,1)))"),"")</f>
        <v/>
      </c>
      <c r="AM2" s="82" t="str">
        <f>IFERROR(__xludf.DUMMYFUNCTION("REGEXREPLACE(join("","",unique({let(conf_picked,filter(E$1:E1,D$1:D1=D2), byrow(unique(TRANSPOSe(Teams!$1:$1)),lambda(rw,if(ISERROR(match(rw,conf_picked,0)),rw,))));iferror(if(#REF!,,transpose(split(#REF!,"","",1,1))))})), ""^,"", """")"),"AAC,ACC,Big 12,Big Ten,CUSA,MAC,MWC,Pac12,SEC,Sun Belt,")</f>
        <v>AAC,ACC,Big 12,Big Ten,CUSA,MAC,MWC,Pac12,SEC,Sun Belt,</v>
      </c>
      <c r="AN2" s="86">
        <f>IFERROR(__xludf.DUMMYFUNCTION("iferror($O2-max(filter($O2:$O$386,arrayformula(isnumber(FIND($E2:$E$386,AM2))))))"),-1.0)</f>
        <v>-1</v>
      </c>
      <c r="AO2" s="85">
        <f t="array" ref="AO2">countifs($O1:$O$2,"&lt;"&amp;$O2,isnumber(FIND($E1:$E$2,AM2)),TRUE)</f>
        <v>0</v>
      </c>
      <c r="AP2" s="85">
        <f>IFERROR(__xludf.DUMMYFUNCTION("iferror(COUNT(filter($O3:$O$386,$O3:$O$386&gt;$O2,arrayformula(isnumber(FIND($E3:$E$386,AM2))))))"),2.0)</f>
        <v>2</v>
      </c>
      <c r="AQ2" s="87">
        <f t="shared" ref="AQ2:AQ124" si="10">if(AN2=0,1,0)</f>
        <v>0</v>
      </c>
      <c r="AR2" s="88">
        <f>IFERROR(__xludf.DUMMYFUNCTION("iferror($O2-min(filter($O2:$O$386,arrayformula(isnumber(FIND($E2:$E$386,AM2))))))"),10.0)</f>
        <v>10</v>
      </c>
      <c r="AS2" s="89" t="str">
        <f>IFERROR(__xludf.DUMMYFUNCTION("iferror(join("","",index(sort(filter($F3:$F$386,$O3:$O$386&gt;$O2,arrayformula(isnumber(FIND($E3:$E$386,AM2)))),2,false),0,1)))"),"Alabama,Western Michigan")</f>
        <v>Alabama,Western Michigan</v>
      </c>
    </row>
    <row r="3">
      <c r="A3" s="13">
        <f t="shared" ref="A3:A124" si="11">A2+1</f>
        <v>2</v>
      </c>
      <c r="B3" s="13">
        <v>1.0</v>
      </c>
      <c r="C3" s="90">
        <v>2.0</v>
      </c>
      <c r="D3" s="91" t="str">
        <f>'Draft Order'!B3</f>
        <v>Josh R.</v>
      </c>
      <c r="E3" s="92" t="str">
        <f>if(F3&lt;&gt;"",VLOOKUP(F3,'Teams-Conference, for lookup'!A:B,2,0),"")</f>
        <v>AAC</v>
      </c>
      <c r="F3" s="91" t="s">
        <v>23</v>
      </c>
      <c r="G3" s="93" t="str">
        <f t="shared" si="1"/>
        <v/>
      </c>
      <c r="H3" s="81">
        <f t="shared" si="2"/>
        <v>0</v>
      </c>
      <c r="I3" s="81">
        <f t="shared" si="3"/>
        <v>0</v>
      </c>
      <c r="J3" s="82"/>
      <c r="K3" s="82"/>
      <c r="L3" s="82"/>
      <c r="M3" s="81">
        <f>IFERROR(__xludf.DUMMYFUNCTION("counta(iferror(filter(L2:L$2,E2:E$2=E3,L2:L$2&lt;L3)))"),0.0)</f>
        <v>0</v>
      </c>
      <c r="N3" s="81">
        <f>IFERROR(__xludf.DUMMYFUNCTION("counta(iferror(filter(L4:L$124,E4:E$124=E3,L4:L$125&gt;L3)))"),0.0)</f>
        <v>0</v>
      </c>
      <c r="O3" s="83">
        <f t="array" ref="O3:X3">XLOOKUP(F3,'Current Week'!B:B,'Current Week'!C:O)</f>
        <v>9</v>
      </c>
      <c r="P3" s="81">
        <v>3.0</v>
      </c>
      <c r="Q3" s="82" t="s">
        <v>143</v>
      </c>
      <c r="R3" s="84" t="s">
        <v>106</v>
      </c>
      <c r="S3" s="82"/>
      <c r="T3" s="85">
        <v>3.0</v>
      </c>
      <c r="U3" s="85" t="s">
        <v>108</v>
      </c>
      <c r="V3" s="85"/>
      <c r="W3" s="85">
        <v>9999.0</v>
      </c>
      <c r="X3" s="82"/>
      <c r="Y3" s="82"/>
      <c r="Z3" s="82"/>
      <c r="AA3" s="86">
        <f t="shared" si="4"/>
        <v>-3</v>
      </c>
      <c r="AB3" s="85">
        <f t="shared" si="5"/>
        <v>0</v>
      </c>
      <c r="AC3" s="85">
        <f>IFERROR(__xludf.DUMMYFUNCTION("iferror(COUNT(filter($O4:$O$386,$O4:$O$386&gt;$O3)))"),12.0)</f>
        <v>12</v>
      </c>
      <c r="AD3" s="87">
        <f t="shared" si="6"/>
        <v>0</v>
      </c>
      <c r="AE3" s="88">
        <f t="shared" si="7"/>
        <v>0</v>
      </c>
      <c r="AF3" s="82" t="str">
        <f>IFERROR(__xludf.DUMMYFUNCTION("iferror(join("","",index(sort(filter($F4:$F$387,$O4:$O$387&gt;$O3),2,false),0,1)))"),"Alabama,Oklahoma,Boise State,Ohio State,Michigan,West Virginia,Western Michigan,Washington,South Florida,Wisconsin,Penn State,Colorado")</f>
        <v>Alabama,Oklahoma,Boise State,Ohio State,Michigan,West Virginia,Western Michigan,Washington,South Florida,Wisconsin,Penn State,Colorado</v>
      </c>
      <c r="AG3" s="86">
        <f>IFERROR(__xludf.DUMMYFUNCTION("iferror($O3-max(filter($O3:$O$386,$E3:$E$386=$E$2)))"),0.0)</f>
        <v>0</v>
      </c>
      <c r="AH3" s="85">
        <f t="shared" si="8"/>
        <v>0</v>
      </c>
      <c r="AI3" s="85">
        <f>IFERROR(__xludf.DUMMYFUNCTION("iferror(COUNT(filter($O4:$O$386,$O4:$O$386&gt;$O3,$E3:$E$386=$E$2)))"),0.0)</f>
        <v>0</v>
      </c>
      <c r="AJ3" s="87">
        <f t="shared" si="9"/>
        <v>1</v>
      </c>
      <c r="AK3" s="88">
        <f>IFERROR(__xludf.DUMMYFUNCTION("iferror($O3-min(filter($O3:$O$386,$E3:$E$386=$E$2)))"),7.0)</f>
        <v>7</v>
      </c>
      <c r="AL3" s="82" t="str">
        <f>IFERROR(__xludf.DUMMYFUNCTION("iferror(join("","",index(sort(filter($F4:$F$386,$O4:$O$386&gt;$O3,$E4:$E$386=$E$2),2,false),0,1)))"),"")</f>
        <v/>
      </c>
      <c r="AM3" s="82" t="str">
        <f>IFERROR(__xludf.DUMMYFUNCTION("REGEXREPLACE(join("","",unique({let(conf_picked,filter(E$1:E2,D$1:D2=D3), byrow(unique(TRANSPOSe(Teams!$1:$1)),lambda(rw,if(ISERROR(match(rw,conf_picked,0)),rw,))));iferror(if(#REF!,,transpose(split(#REF!,"","",1,1))))})), ""^,"", """")"),"AAC,ACC,Big 12,Big Ten,CUSA,MAC,MWC,Pac12,SEC,Sun Belt,")</f>
        <v>AAC,ACC,Big 12,Big Ten,CUSA,MAC,MWC,Pac12,SEC,Sun Belt,</v>
      </c>
      <c r="AN3" s="86">
        <f>IFERROR(__xludf.DUMMYFUNCTION("iferror($O3-max(filter($O3:$O$386,arrayformula(isnumber(FIND($E3:$E$386,AM3))))))"),-3.0)</f>
        <v>-3</v>
      </c>
      <c r="AO3" s="85">
        <f t="array" ref="AO3">countifs($O2:$O$2,"&lt;"&amp;$O3,isnumber(FIND($E2:$E$2,AM3)),TRUE)</f>
        <v>0</v>
      </c>
      <c r="AP3" s="85">
        <f>IFERROR(__xludf.DUMMYFUNCTION("iferror(COUNT(filter($O4:$O$386,$O4:$O$386&gt;$O3,arrayformula(isnumber(FIND($E4:$E$386,AM3))))))"),12.0)</f>
        <v>12</v>
      </c>
      <c r="AQ3" s="87">
        <f t="shared" si="10"/>
        <v>0</v>
      </c>
      <c r="AR3" s="88">
        <f>IFERROR(__xludf.DUMMYFUNCTION("iferror($O3-min(filter($O3:$O$386,arrayformula(isnumber(FIND($E3:$E$386,AM3))))))"),8.0)</f>
        <v>8</v>
      </c>
      <c r="AS3" s="89" t="str">
        <f>IFERROR(__xludf.DUMMYFUNCTION("iferror(join("","",index(sort(filter($F4:$F$386,$O4:$O$386&gt;$O3,arrayformula(isnumber(FIND($E4:$E$386,AM3)))),2,false),0,1)))"),"Alabama,Oklahoma,Boise State,Ohio State,Michigan,West Virginia,Western Michigan,Washington,South Florida,Wisconsin,Penn State,Colorado")</f>
        <v>Alabama,Oklahoma,Boise State,Ohio State,Michigan,West Virginia,Western Michigan,Washington,South Florida,Wisconsin,Penn State,Colorado</v>
      </c>
    </row>
    <row r="4">
      <c r="A4" s="13">
        <f t="shared" si="11"/>
        <v>3</v>
      </c>
      <c r="B4" s="13">
        <v>1.0</v>
      </c>
      <c r="C4" s="90">
        <v>3.0</v>
      </c>
      <c r="D4" s="13" t="str">
        <f>'Draft Order'!B4</f>
        <v>Jacob</v>
      </c>
      <c r="E4" s="79" t="str">
        <f>if(F4&lt;&gt;"",VLOOKUP(F4,'Teams-Conference, for lookup'!A:B,2,0),"")</f>
        <v>SEC</v>
      </c>
      <c r="F4" t="s">
        <v>26</v>
      </c>
      <c r="G4" s="93" t="str">
        <f t="shared" si="1"/>
        <v/>
      </c>
      <c r="H4" s="81">
        <f t="shared" si="2"/>
        <v>2</v>
      </c>
      <c r="I4" s="81">
        <f t="shared" si="3"/>
        <v>2</v>
      </c>
      <c r="J4" s="82"/>
      <c r="K4" s="82"/>
      <c r="L4" s="82"/>
      <c r="M4" s="81">
        <f>IFERROR(__xludf.DUMMYFUNCTION("counta(iferror(filter(L$2:L3,E$2:E3=E4,L$2:L3&lt;L4)))"),0.0)</f>
        <v>0</v>
      </c>
      <c r="N4" s="81">
        <f>IFERROR(__xludf.DUMMYFUNCTION("counta(iferror(filter(L5:L$124,E5:E$124=E4,L5:L$125&gt;L4)))"),0.0)</f>
        <v>0</v>
      </c>
      <c r="O4" s="83">
        <f t="array" ref="O4:X4">XLOOKUP(F4,'Current Week'!B:B,'Current Week'!C:O)</f>
        <v>12</v>
      </c>
      <c r="P4" s="83">
        <v>0.0</v>
      </c>
      <c r="Q4" s="82" t="s">
        <v>178</v>
      </c>
      <c r="R4" s="84" t="s">
        <v>106</v>
      </c>
      <c r="S4" s="82"/>
      <c r="T4" s="82" t="s">
        <v>179</v>
      </c>
      <c r="U4" s="85" t="s">
        <v>108</v>
      </c>
      <c r="V4" s="82"/>
      <c r="W4" s="85">
        <v>9999.0</v>
      </c>
      <c r="X4" s="82"/>
      <c r="Y4" s="82"/>
      <c r="Z4" s="82"/>
      <c r="AA4" s="86">
        <f t="shared" si="4"/>
        <v>0</v>
      </c>
      <c r="AB4" s="85">
        <f t="shared" si="5"/>
        <v>2</v>
      </c>
      <c r="AC4" s="85">
        <f>IFERROR(__xludf.DUMMYFUNCTION("iferror(COUNT(filter($O5:$O$386,$O5:$O$386&gt;$O4)))"),0.0)</f>
        <v>0</v>
      </c>
      <c r="AD4" s="87">
        <f t="shared" si="6"/>
        <v>1</v>
      </c>
      <c r="AE4" s="88">
        <f t="shared" si="7"/>
        <v>3</v>
      </c>
      <c r="AF4" s="82" t="str">
        <f>IFERROR(__xludf.DUMMYFUNCTION("iferror(join("","",index(sort(filter($F5:$F$387,$O5:$O$387&gt;$O4),2,false),0,1)))"),"")</f>
        <v/>
      </c>
      <c r="AG4" s="86">
        <f>IFERROR(__xludf.DUMMYFUNCTION("iferror($O4-max(filter($O4:$O$386,$E4:$E$386=$E$2)))"),3.0)</f>
        <v>3</v>
      </c>
      <c r="AH4" s="85">
        <f t="shared" si="8"/>
        <v>1</v>
      </c>
      <c r="AI4" s="85">
        <f>IFERROR(__xludf.DUMMYFUNCTION("iferror(COUNT(filter($O5:$O$386,$O5:$O$386&gt;$O4,$E4:$E$386=$E$2)))"),0.0)</f>
        <v>0</v>
      </c>
      <c r="AJ4" s="87">
        <f t="shared" si="9"/>
        <v>0</v>
      </c>
      <c r="AK4" s="88">
        <f>IFERROR(__xludf.DUMMYFUNCTION("iferror($O4-min(filter($O4:$O$386,$E4:$E$386=$E$2)))"),10.0)</f>
        <v>10</v>
      </c>
      <c r="AL4" s="82" t="str">
        <f>IFERROR(__xludf.DUMMYFUNCTION("iferror(join("","",index(sort(filter($F5:$F$386,$O5:$O$386&gt;$O4,$E5:$E$386=$E$2),2,false),0,1)))"),"")</f>
        <v/>
      </c>
      <c r="AM4" s="82" t="str">
        <f>IFERROR(__xludf.DUMMYFUNCTION("REGEXREPLACE(join("","",unique({let(conf_picked,filter(E$1:E3,D$1:D3=D4), byrow(unique(TRANSPOSe(Teams!$1:$1)),lambda(rw,if(ISERROR(match(rw,conf_picked,0)),rw,))));iferror(if(#REF!,,transpose(split(#REF!,"","",1,1))))})), ""^,"", """")"),"AAC,ACC,Big 12,Big Ten,CUSA,MAC,MWC,Pac12,SEC,Sun Belt,")</f>
        <v>AAC,ACC,Big 12,Big Ten,CUSA,MAC,MWC,Pac12,SEC,Sun Belt,</v>
      </c>
      <c r="AN4" s="86">
        <f>IFERROR(__xludf.DUMMYFUNCTION("iferror($O4-max(filter($O4:$O$386,arrayformula(isnumber(FIND($E4:$E$386,AM4))))))"),0.0)</f>
        <v>0</v>
      </c>
      <c r="AO4" s="85">
        <f t="array" ref="AO4">countifs($O$2:$O3,"&lt;"&amp;$O4,isnumber(FIND($E$2:$E3,AM4)),TRUE)</f>
        <v>2</v>
      </c>
      <c r="AP4" s="85">
        <f>IFERROR(__xludf.DUMMYFUNCTION("iferror(COUNT(filter($O5:$O$386,$O5:$O$386&gt;$O4,arrayformula(isnumber(FIND($E5:$E$386,AM4))))))"),0.0)</f>
        <v>0</v>
      </c>
      <c r="AQ4" s="87">
        <f t="shared" si="10"/>
        <v>1</v>
      </c>
      <c r="AR4" s="88">
        <f>IFERROR(__xludf.DUMMYFUNCTION("iferror($O4-min(filter($O4:$O$386,arrayformula(isnumber(FIND($E4:$E$386,AM4))))))"),11.0)</f>
        <v>11</v>
      </c>
      <c r="AS4" s="89" t="str">
        <f>IFERROR(__xludf.DUMMYFUNCTION("iferror(join("","",index(sort(filter($F5:$F$386,$O5:$O$386&gt;$O4,arrayformula(isnumber(FIND($E5:$E$386,AM4)))),2,false),0,1)))"),"")</f>
        <v/>
      </c>
    </row>
    <row r="5">
      <c r="A5" s="13">
        <f t="shared" si="11"/>
        <v>4</v>
      </c>
      <c r="B5" s="13">
        <v>1.0</v>
      </c>
      <c r="C5" s="90">
        <v>4.0</v>
      </c>
      <c r="D5" s="91" t="str">
        <f>'Draft Order'!B5</f>
        <v>Brad</v>
      </c>
      <c r="E5" s="79" t="str">
        <f>if(F5&lt;&gt;"",VLOOKUP(F5,'Teams-Conference, for lookup'!A:B,2,0),"")</f>
        <v>Big 12</v>
      </c>
      <c r="F5" t="s">
        <v>28</v>
      </c>
      <c r="G5" s="13" t="str">
        <f t="shared" si="1"/>
        <v/>
      </c>
      <c r="H5" s="81">
        <f t="shared" si="2"/>
        <v>2</v>
      </c>
      <c r="I5" s="81">
        <f t="shared" si="3"/>
        <v>6</v>
      </c>
      <c r="J5" s="82"/>
      <c r="K5" s="82"/>
      <c r="L5" s="82"/>
      <c r="M5" s="81">
        <f>IFERROR(__xludf.DUMMYFUNCTION("counta(iferror(filter(L$2:L4,E$2:E4=E5,L$2:L4&lt;L5)))"),0.0)</f>
        <v>0</v>
      </c>
      <c r="N5" s="81">
        <f>IFERROR(__xludf.DUMMYFUNCTION("counta(iferror(filter(L6:L$124,E6:E$124=E5,L6:L$125&gt;L5)))"),0.0)</f>
        <v>0</v>
      </c>
      <c r="O5" s="83">
        <f t="array" ref="O5:X5">XLOOKUP(F5,'Current Week'!B:B,'Current Week'!C:O)</f>
        <v>10</v>
      </c>
      <c r="P5" s="81">
        <v>2.0</v>
      </c>
      <c r="Q5" s="82" t="s">
        <v>200</v>
      </c>
      <c r="R5" s="84" t="s">
        <v>106</v>
      </c>
      <c r="S5" s="82"/>
      <c r="T5" s="82" t="s">
        <v>201</v>
      </c>
      <c r="U5" s="85" t="s">
        <v>108</v>
      </c>
      <c r="V5" s="85"/>
      <c r="W5" s="85">
        <v>9999.0</v>
      </c>
      <c r="X5" s="82"/>
      <c r="Y5" s="82"/>
      <c r="Z5" s="82"/>
      <c r="AA5" s="86">
        <f t="shared" si="4"/>
        <v>-2</v>
      </c>
      <c r="AB5" s="85">
        <f t="shared" si="5"/>
        <v>1</v>
      </c>
      <c r="AC5" s="85">
        <f>IFERROR(__xludf.DUMMYFUNCTION("iferror(COUNT(filter($O6:$O$386,$O6:$O$386&gt;$O5)))"),3.0)</f>
        <v>3</v>
      </c>
      <c r="AD5" s="87">
        <f t="shared" si="6"/>
        <v>0</v>
      </c>
      <c r="AE5" s="88">
        <f t="shared" si="7"/>
        <v>1</v>
      </c>
      <c r="AF5" s="82" t="str">
        <f>IFERROR(__xludf.DUMMYFUNCTION("iferror(join("","",index(sort(filter($F6:$F$387,$O6:$O$387&gt;$O5),2,false),0,1)))"),"Ohio State,Western Michigan,Washington")</f>
        <v>Ohio State,Western Michigan,Washington</v>
      </c>
      <c r="AG5" s="86">
        <f>IFERROR(__xludf.DUMMYFUNCTION("iferror($O5-max(filter($O5:$O$386,$E5:$E$386=$E$2)))"),1.0)</f>
        <v>1</v>
      </c>
      <c r="AH5" s="85">
        <f t="shared" si="8"/>
        <v>0</v>
      </c>
      <c r="AI5" s="85">
        <f>IFERROR(__xludf.DUMMYFUNCTION("iferror(COUNT(filter($O6:$O$386,$O6:$O$386&gt;$O5,$E5:$E$386=$E$2)))"),0.0)</f>
        <v>0</v>
      </c>
      <c r="AJ5" s="87">
        <f t="shared" si="9"/>
        <v>0</v>
      </c>
      <c r="AK5" s="88">
        <f>IFERROR(__xludf.DUMMYFUNCTION("iferror($O5-min(filter($O5:$O$386,$E5:$E$386=$E$2)))"),8.0)</f>
        <v>8</v>
      </c>
      <c r="AL5" s="82" t="str">
        <f>IFERROR(__xludf.DUMMYFUNCTION("iferror(join("","",index(sort(filter($F6:$F$386,$O6:$O$386&gt;$O5,$E6:$E$386=$E$2),2,false),0,1)))"),"")</f>
        <v/>
      </c>
      <c r="AM5" s="82" t="str">
        <f>IFERROR(__xludf.DUMMYFUNCTION("REGEXREPLACE(join("","",unique({let(conf_picked,filter(E$1:E4,D$1:D4=D5), byrow(unique(TRANSPOSe(Teams!$1:$1)),lambda(rw,if(ISERROR(match(rw,conf_picked,0)),rw,))));iferror(if(#REF!,,transpose(split(#REF!,"","",1,1))))})), ""^,"", """")"),"AAC,ACC,Big 12,Big Ten,CUSA,MAC,MWC,Pac12,SEC,Sun Belt,")</f>
        <v>AAC,ACC,Big 12,Big Ten,CUSA,MAC,MWC,Pac12,SEC,Sun Belt,</v>
      </c>
      <c r="AN5" s="86">
        <f>IFERROR(__xludf.DUMMYFUNCTION("iferror($O5-max(filter($O5:$O$386,arrayformula(isnumber(FIND($E5:$E$386,AM5))))))"),-2.0)</f>
        <v>-2</v>
      </c>
      <c r="AO5" s="85">
        <f t="array" ref="AO5">countifs($O$2:$O4,"&lt;"&amp;$O5,isnumber(FIND($E$2:$E4,AM5)),TRUE)</f>
        <v>1</v>
      </c>
      <c r="AP5" s="85">
        <f>IFERROR(__xludf.DUMMYFUNCTION("iferror(COUNT(filter($O6:$O$386,$O6:$O$386&gt;$O5,arrayformula(isnumber(FIND($E6:$E$386,AM5))))))"),3.0)</f>
        <v>3</v>
      </c>
      <c r="AQ5" s="87">
        <f t="shared" si="10"/>
        <v>0</v>
      </c>
      <c r="AR5" s="88">
        <f>IFERROR(__xludf.DUMMYFUNCTION("iferror($O5-min(filter($O5:$O$386,arrayformula(isnumber(FIND($E5:$E$386,AM5))))))"),9.0)</f>
        <v>9</v>
      </c>
      <c r="AS5" s="89" t="str">
        <f>IFERROR(__xludf.DUMMYFUNCTION("iferror(join("","",index(sort(filter($F6:$F$386,$O6:$O$386&gt;$O5,arrayformula(isnumber(FIND($E6:$E$386,AM5)))),2,false),0,1)))"),"Ohio State,Western Michigan,Washington")</f>
        <v>Ohio State,Western Michigan,Washington</v>
      </c>
    </row>
    <row r="6">
      <c r="A6" s="13">
        <f t="shared" si="11"/>
        <v>5</v>
      </c>
      <c r="B6" s="13">
        <v>1.0</v>
      </c>
      <c r="C6" s="90">
        <v>5.0</v>
      </c>
      <c r="D6" s="91" t="str">
        <f>'Draft Order'!B6</f>
        <v>Nico</v>
      </c>
      <c r="E6" s="79" t="str">
        <f>if(F6&lt;&gt;"",VLOOKUP(F6,'Teams-Conference, for lookup'!A:B,2,0),"")</f>
        <v>MWC</v>
      </c>
      <c r="F6" s="13" t="s">
        <v>230</v>
      </c>
      <c r="G6" t="str">
        <f t="shared" si="1"/>
        <v/>
      </c>
      <c r="H6" s="97">
        <f t="shared" si="2"/>
        <v>1</v>
      </c>
      <c r="I6" s="97">
        <f t="shared" si="3"/>
        <v>2</v>
      </c>
      <c r="J6" s="2"/>
      <c r="K6" s="2"/>
      <c r="L6" s="2"/>
      <c r="M6" s="97">
        <f>IFERROR(__xludf.DUMMYFUNCTION("counta(iferror(filter(L$2:L5,E$2:E5=E6,L$2:L5&lt;L6)))"),0.0)</f>
        <v>0</v>
      </c>
      <c r="N6" s="97">
        <f>IFERROR(__xludf.DUMMYFUNCTION("counta(iferror(filter(L7:L$124,E7:E$124=E6,L7:L$125&gt;L6)))"),0.0)</f>
        <v>0</v>
      </c>
      <c r="O6" s="83">
        <f t="array" ref="O6:X6">XLOOKUP(F6,'Current Week'!B:B,'Current Week'!C:O)</f>
        <v>10</v>
      </c>
      <c r="P6" s="97">
        <v>2.0</v>
      </c>
      <c r="Q6" s="2" t="s">
        <v>114</v>
      </c>
      <c r="R6" s="84" t="s">
        <v>106</v>
      </c>
      <c r="S6" s="2"/>
      <c r="T6" s="8">
        <v>-9.0</v>
      </c>
      <c r="U6" s="8" t="s">
        <v>108</v>
      </c>
      <c r="V6" s="8"/>
      <c r="W6" s="8">
        <v>9999.0</v>
      </c>
      <c r="X6" s="2"/>
      <c r="Y6" s="2"/>
      <c r="Z6" s="2"/>
      <c r="AA6" s="86">
        <f t="shared" si="4"/>
        <v>-2</v>
      </c>
      <c r="AB6" s="8">
        <f t="shared" si="5"/>
        <v>1</v>
      </c>
      <c r="AC6" s="8">
        <f>IFERROR(__xludf.DUMMYFUNCTION("iferror(COUNT(filter($O7:$O$386,$O7:$O$386&gt;$O6)))"),3.0)</f>
        <v>3</v>
      </c>
      <c r="AD6" s="16">
        <f t="shared" si="6"/>
        <v>0</v>
      </c>
      <c r="AE6" s="88">
        <f t="shared" si="7"/>
        <v>1</v>
      </c>
      <c r="AF6" s="2" t="str">
        <f>IFERROR(__xludf.DUMMYFUNCTION("iferror(join("","",index(sort(filter($F7:$F$387,$O7:$O$387&gt;$O6),2,false),0,1)))"),"Ohio State,Western Michigan,Washington")</f>
        <v>Ohio State,Western Michigan,Washington</v>
      </c>
      <c r="AG6" s="86">
        <f>IFERROR(__xludf.DUMMYFUNCTION("iferror($O6-max(filter($O6:$O$386,$E6:$E$386=$E$2)))"),1.0)</f>
        <v>1</v>
      </c>
      <c r="AH6" s="8">
        <f t="shared" si="8"/>
        <v>0</v>
      </c>
      <c r="AI6" s="8">
        <f>IFERROR(__xludf.DUMMYFUNCTION("iferror(COUNT(filter($O7:$O$386,$O7:$O$386&gt;$O6,$E6:$E$386=$E$2)))"),0.0)</f>
        <v>0</v>
      </c>
      <c r="AJ6" s="16">
        <f t="shared" si="9"/>
        <v>0</v>
      </c>
      <c r="AK6" s="88">
        <f>IFERROR(__xludf.DUMMYFUNCTION("iferror($O6-min(filter($O6:$O$386,$E6:$E$386=$E$2)))"),8.0)</f>
        <v>8</v>
      </c>
      <c r="AL6" s="2" t="str">
        <f>IFERROR(__xludf.DUMMYFUNCTION("iferror(join("","",index(sort(filter($F7:$F$386,$O7:$O$386&gt;$O6,$E7:$E$386=$E$2),2,false),0,1)))"),"")</f>
        <v/>
      </c>
      <c r="AM6" s="2" t="str">
        <f>IFERROR(__xludf.DUMMYFUNCTION("REGEXREPLACE(join("","",unique({let(conf_picked,filter(E$1:E5,D$1:D5=D6), byrow(unique(TRANSPOSe(Teams!$1:$1)),lambda(rw,if(ISERROR(match(rw,conf_picked,0)),rw,))));iferror(if(#REF!,,transpose(split(#REF!,"","",1,1))))})), ""^,"", """")"),"AAC,ACC,Big 12,Big Ten,CUSA,MAC,MWC,Pac12,SEC,Sun Belt,")</f>
        <v>AAC,ACC,Big 12,Big Ten,CUSA,MAC,MWC,Pac12,SEC,Sun Belt,</v>
      </c>
      <c r="AN6" s="86">
        <f>IFERROR(__xludf.DUMMYFUNCTION("iferror($O6-max(filter($O6:$O$386,arrayformula(isnumber(FIND($E6:$E$386,AM6))))))"),-2.0)</f>
        <v>-2</v>
      </c>
      <c r="AO6" s="8">
        <f t="array" ref="AO6">countifs($O$2:$O5,"&lt;"&amp;$O6,isnumber(FIND($E$2:$E5,AM6)),TRUE)</f>
        <v>1</v>
      </c>
      <c r="AP6" s="8">
        <f>IFERROR(__xludf.DUMMYFUNCTION("iferror(COUNT(filter($O7:$O$386,$O7:$O$386&gt;$O6,arrayformula(isnumber(FIND($E7:$E$386,AM6))))))"),3.0)</f>
        <v>3</v>
      </c>
      <c r="AQ6" s="16">
        <f t="shared" si="10"/>
        <v>0</v>
      </c>
      <c r="AR6" s="88">
        <f>IFERROR(__xludf.DUMMYFUNCTION("iferror($O6-min(filter($O6:$O$386,arrayformula(isnumber(FIND($E6:$E$386,AM6))))))"),9.0)</f>
        <v>9</v>
      </c>
      <c r="AS6" s="89" t="str">
        <f>IFERROR(__xludf.DUMMYFUNCTION("iferror(join("","",index(sort(filter($F7:$F$386,$O7:$O$386&gt;$O6,arrayformula(isnumber(FIND($E7:$E$386,AM6)))),2,false),0,1)))"),"Ohio State,Western Michigan,Washington")</f>
        <v>Ohio State,Western Michigan,Washington</v>
      </c>
    </row>
    <row r="7">
      <c r="A7" s="13">
        <f t="shared" si="11"/>
        <v>6</v>
      </c>
      <c r="B7" s="13">
        <v>1.0</v>
      </c>
      <c r="C7" s="90">
        <v>6.0</v>
      </c>
      <c r="D7" s="91" t="str">
        <f>'Draft Order'!B7</f>
        <v>Vu</v>
      </c>
      <c r="E7" s="79" t="str">
        <f>if(F7&lt;&gt;"",VLOOKUP(F7,'Teams-Conference, for lookup'!A:B,2,0),"")</f>
        <v>ACC</v>
      </c>
      <c r="F7" s="98" t="s">
        <v>382</v>
      </c>
      <c r="G7" t="str">
        <f t="shared" si="1"/>
        <v/>
      </c>
      <c r="H7" s="97">
        <f t="shared" si="2"/>
        <v>1</v>
      </c>
      <c r="I7" s="97">
        <f t="shared" si="3"/>
        <v>1</v>
      </c>
      <c r="J7" s="2"/>
      <c r="K7" s="2"/>
      <c r="L7" s="2"/>
      <c r="M7" s="97">
        <f>IFERROR(__xludf.DUMMYFUNCTION("counta(iferror(filter(L$2:L6,E$2:E6=E7,L$2:L6&lt;L7)))"),0.0)</f>
        <v>0</v>
      </c>
      <c r="N7" s="97">
        <f>IFERROR(__xludf.DUMMYFUNCTION("counta(iferror(filter(L8:L$124,E8:E$124=E7,L8:L$125&gt;L7)))"),0.0)</f>
        <v>0</v>
      </c>
      <c r="O7" s="83">
        <f t="array" ref="O7:X7">XLOOKUP(F7,'Current Week'!B:B,'Current Week'!C:O)</f>
        <v>9</v>
      </c>
      <c r="P7" s="83">
        <v>3.0</v>
      </c>
      <c r="Q7" s="2" t="s">
        <v>397</v>
      </c>
      <c r="R7" s="2" t="s">
        <v>106</v>
      </c>
      <c r="S7" s="2"/>
      <c r="T7" s="8">
        <v>7.0</v>
      </c>
      <c r="U7" s="8" t="s">
        <v>108</v>
      </c>
      <c r="V7" s="2"/>
      <c r="W7" s="8">
        <v>9999.0</v>
      </c>
      <c r="X7" s="2"/>
      <c r="Y7" s="2"/>
      <c r="Z7" s="2"/>
      <c r="AA7" s="86">
        <f t="shared" si="4"/>
        <v>-3</v>
      </c>
      <c r="AB7" s="8">
        <f t="shared" si="5"/>
        <v>0</v>
      </c>
      <c r="AC7" s="8">
        <f>IFERROR(__xludf.DUMMYFUNCTION("iferror(COUNT(filter($O8:$O$386,$O8:$O$386&gt;$O7)))"),9.0)</f>
        <v>9</v>
      </c>
      <c r="AD7" s="16">
        <f t="shared" si="6"/>
        <v>0</v>
      </c>
      <c r="AE7" s="88">
        <f t="shared" si="7"/>
        <v>0</v>
      </c>
      <c r="AF7" s="2" t="str">
        <f>IFERROR(__xludf.DUMMYFUNCTION("iferror(join("","",index(sort(filter($F8:$F$387,$O8:$O$387&gt;$O7),2,false),0,1)))"),"Ohio State,Michigan,West Virginia,Western Michigan,Washington,South Florida,Wisconsin,Penn State,Colorado")</f>
        <v>Ohio State,Michigan,West Virginia,Western Michigan,Washington,South Florida,Wisconsin,Penn State,Colorado</v>
      </c>
      <c r="AG7" s="86">
        <f>IFERROR(__xludf.DUMMYFUNCTION("iferror($O7-max(filter($O7:$O$386,$E7:$E$386=$E$2)))"),0.0)</f>
        <v>0</v>
      </c>
      <c r="AH7" s="8">
        <f t="shared" si="8"/>
        <v>0</v>
      </c>
      <c r="AI7" s="8">
        <f>IFERROR(__xludf.DUMMYFUNCTION("iferror(COUNT(filter($O8:$O$386,$O8:$O$386&gt;$O7,$E7:$E$386=$E$2)))"),0.0)</f>
        <v>0</v>
      </c>
      <c r="AJ7" s="16">
        <f t="shared" si="9"/>
        <v>1</v>
      </c>
      <c r="AK7" s="88">
        <f>IFERROR(__xludf.DUMMYFUNCTION("iferror($O7-min(filter($O7:$O$386,$E7:$E$386=$E$2)))"),7.0)</f>
        <v>7</v>
      </c>
      <c r="AL7" s="2" t="str">
        <f>IFERROR(__xludf.DUMMYFUNCTION("iferror(join("","",index(sort(filter($F8:$F$386,$O8:$O$386&gt;$O7,$E8:$E$386=$E$2),2,false),0,1)))"),"")</f>
        <v/>
      </c>
      <c r="AM7" s="2" t="str">
        <f>IFERROR(__xludf.DUMMYFUNCTION("REGEXREPLACE(join("","",unique({let(conf_picked,filter(E$1:E6,D$1:D6=D7), byrow(unique(TRANSPOSe(Teams!$1:$1)),lambda(rw,if(ISERROR(match(rw,conf_picked,0)),rw,))));iferror(if(#REF!,,transpose(split(#REF!,"","",1,1))))})), ""^,"", """")"),"AAC,ACC,Big 12,Big Ten,CUSA,MAC,MWC,Pac12,SEC,Sun Belt,")</f>
        <v>AAC,ACC,Big 12,Big Ten,CUSA,MAC,MWC,Pac12,SEC,Sun Belt,</v>
      </c>
      <c r="AN7" s="86">
        <f>IFERROR(__xludf.DUMMYFUNCTION("iferror($O7-max(filter($O7:$O$386,arrayformula(isnumber(FIND($E7:$E$386,AM7))))))"),-3.0)</f>
        <v>-3</v>
      </c>
      <c r="AO7" s="8">
        <f t="array" ref="AO7">countifs($O$2:$O6,"&lt;"&amp;$O7,isnumber(FIND($E$2:$E6,AM7)),TRUE)</f>
        <v>0</v>
      </c>
      <c r="AP7" s="8">
        <f>IFERROR(__xludf.DUMMYFUNCTION("iferror(COUNT(filter($O8:$O$386,$O8:$O$386&gt;$O7,arrayformula(isnumber(FIND($E8:$E$386,AM7))))))"),9.0)</f>
        <v>9</v>
      </c>
      <c r="AQ7" s="16">
        <f t="shared" si="10"/>
        <v>0</v>
      </c>
      <c r="AR7" s="88">
        <f>IFERROR(__xludf.DUMMYFUNCTION("iferror($O7-min(filter($O7:$O$386,arrayformula(isnumber(FIND($E7:$E$386,AM7))))))"),8.0)</f>
        <v>8</v>
      </c>
      <c r="AS7" s="89" t="str">
        <f>IFERROR(__xludf.DUMMYFUNCTION("iferror(join("","",index(sort(filter($F8:$F$386,$O8:$O$386&gt;$O7,arrayformula(isnumber(FIND($E8:$E$386,AM7)))),2,false),0,1)))"),"Ohio State,Michigan,West Virginia,Western Michigan,Washington,South Florida,Wisconsin,Penn State,Colorado")</f>
        <v>Ohio State,Michigan,West Virginia,Western Michigan,Washington,South Florida,Wisconsin,Penn State,Colorado</v>
      </c>
    </row>
    <row r="8">
      <c r="A8" s="13">
        <f t="shared" si="11"/>
        <v>7</v>
      </c>
      <c r="B8" s="13">
        <v>1.0</v>
      </c>
      <c r="C8" s="90">
        <v>7.0</v>
      </c>
      <c r="D8" s="91" t="str">
        <f>'Draft Order'!B8</f>
        <v>Josh T.</v>
      </c>
      <c r="E8" s="79" t="str">
        <f>if(F8&lt;&gt;"",VLOOKUP(F8,'Teams-Conference, for lookup'!A:B,2,0),"")</f>
        <v>SEC</v>
      </c>
      <c r="F8" s="98" t="s">
        <v>400</v>
      </c>
      <c r="G8" t="str">
        <f t="shared" si="1"/>
        <v/>
      </c>
      <c r="H8" s="97">
        <f t="shared" si="2"/>
        <v>1</v>
      </c>
      <c r="I8" s="97">
        <f t="shared" si="3"/>
        <v>1</v>
      </c>
      <c r="J8" s="2"/>
      <c r="K8" s="2"/>
      <c r="L8" s="2"/>
      <c r="M8" s="97">
        <f>IFERROR(__xludf.DUMMYFUNCTION("counta(iferror(filter(L$2:L7,E$2:E7=E8,L$2:L7&lt;L8)))"),0.0)</f>
        <v>0</v>
      </c>
      <c r="N8" s="97">
        <f>IFERROR(__xludf.DUMMYFUNCTION("counta(iferror(filter(L9:L$124,E9:E$124=E8,L9:L$125&gt;L8)))"),0.0)</f>
        <v>0</v>
      </c>
      <c r="O8" s="83">
        <f t="array" ref="O8:X8">XLOOKUP(F8,'Current Week'!B:B,'Current Week'!C:O)</f>
        <v>7</v>
      </c>
      <c r="P8" s="83">
        <v>5.0</v>
      </c>
      <c r="Q8" s="2" t="s">
        <v>212</v>
      </c>
      <c r="R8" s="2" t="s">
        <v>106</v>
      </c>
      <c r="S8" s="2"/>
      <c r="T8" s="2">
        <v>3.0</v>
      </c>
      <c r="U8" s="8" t="s">
        <v>108</v>
      </c>
      <c r="V8" s="8"/>
      <c r="W8" s="8">
        <v>9999.0</v>
      </c>
      <c r="X8" s="2"/>
      <c r="Y8" s="2"/>
      <c r="Z8" s="2"/>
      <c r="AA8" s="86">
        <f t="shared" si="4"/>
        <v>-5</v>
      </c>
      <c r="AB8" s="8">
        <f t="shared" si="5"/>
        <v>0</v>
      </c>
      <c r="AC8" s="8">
        <f>IFERROR(__xludf.DUMMYFUNCTION("iferror(COUNT(filter($O9:$O$386,$O9:$O$386&gt;$O8)))"),45.0)</f>
        <v>45</v>
      </c>
      <c r="AD8" s="16">
        <f t="shared" si="6"/>
        <v>0</v>
      </c>
      <c r="AE8" s="88">
        <f t="shared" si="7"/>
        <v>0</v>
      </c>
      <c r="AF8" s="2" t="str">
        <f>IFERROR(__xludf.DUMMYFUNCTION("iferror(join("","",index(sort(filter($F9:$F$387,$O9:$O$387&gt;$O8),2,false),0,1)))"),"Ohio State,Stanford,Michigan,Tennessee,Oklahoma State,Louisville,San Diego State,Appalachian State,Western Kentucky,Air Force,Iowa,West Virginia,Nebraska,Western Michigan,Washington,South Florida,North Carolina,Kansas State,Temple,Toledo,Troy,Middle Tenne"&amp;"ssee,Wisconsin,Navy,USC,Louisiana Tech,Ohio,Virginia Tech,Washington State,Memphis,Utah,New Mexico,Florida,Miami,Tulsa,Pittsburgh,Idaho,Penn State,Minnesota,Georgia Tech,Texas A&amp;M,Old Dominion,Auburn,Colorado,Wyoming")</f>
        <v>Ohio State,Stanford,Michigan,Tennessee,Oklahoma State,Louisville,San Diego State,Appalachian State,Western Kentucky,Air Force,Iowa,West Virginia,Nebraska,Western Michigan,Washington,South Florida,North Carolina,Kansas State,Temple,Toledo,Troy,Middle Tennessee,Wisconsin,Navy,USC,Louisiana Tech,Ohio,Virginia Tech,Washington State,Memphis,Utah,New Mexico,Florida,Miami,Tulsa,Pittsburgh,Idaho,Penn State,Minnesota,Georgia Tech,Texas A&amp;M,Old Dominion,Auburn,Colorado,Wyoming</v>
      </c>
      <c r="AG8" s="86">
        <f>IFERROR(__xludf.DUMMYFUNCTION("iferror($O8-max(filter($O8:$O$386,$E8:$E$386=$E$2)))"),-2.0)</f>
        <v>-2</v>
      </c>
      <c r="AH8" s="8">
        <f t="shared" si="8"/>
        <v>0</v>
      </c>
      <c r="AI8" s="8">
        <f>IFERROR(__xludf.DUMMYFUNCTION("iferror(COUNT(filter($O9:$O$386,$O9:$O$386&gt;$O8,$E8:$E$386=$E$2)))"),0.0)</f>
        <v>0</v>
      </c>
      <c r="AJ8" s="16">
        <f t="shared" si="9"/>
        <v>0</v>
      </c>
      <c r="AK8" s="88">
        <f>IFERROR(__xludf.DUMMYFUNCTION("iferror($O8-min(filter($O8:$O$386,$E8:$E$386=$E$2)))"),5.0)</f>
        <v>5</v>
      </c>
      <c r="AL8" s="2" t="str">
        <f>IFERROR(__xludf.DUMMYFUNCTION("iferror(join("","",index(sort(filter($F9:$F$386,$O9:$O$386&gt;$O8,$E9:$E$386=$E$2),2,false),0,1)))"),"Louisville,North Carolina,Virginia Tech,Miami,Pittsburgh,Georgia Tech")</f>
        <v>Louisville,North Carolina,Virginia Tech,Miami,Pittsburgh,Georgia Tech</v>
      </c>
      <c r="AM8" s="2" t="str">
        <f>IFERROR(__xludf.DUMMYFUNCTION("REGEXREPLACE(join("","",unique({let(conf_picked,filter(E$1:E7,D$1:D7=D8), byrow(unique(TRANSPOSe(Teams!$1:$1)),lambda(rw,if(ISERROR(match(rw,conf_picked,0)),rw,))));iferror(if(#REF!,,transpose(split(#REF!,"","",1,1))))})), ""^,"", """")"),"AAC,ACC,Big 12,Big Ten,CUSA,MAC,MWC,Pac12,SEC,Sun Belt,")</f>
        <v>AAC,ACC,Big 12,Big Ten,CUSA,MAC,MWC,Pac12,SEC,Sun Belt,</v>
      </c>
      <c r="AN8" s="86">
        <f>IFERROR(__xludf.DUMMYFUNCTION("iferror($O8-max(filter($O8:$O$386,arrayformula(isnumber(FIND($E8:$E$386,AM8))))))"),-5.0)</f>
        <v>-5</v>
      </c>
      <c r="AO8" s="8">
        <f t="array" ref="AO8">countifs($O$2:$O7,"&lt;"&amp;$O8,isnumber(FIND($E$2:$E7,AM8)),TRUE)</f>
        <v>0</v>
      </c>
      <c r="AP8" s="8">
        <f>IFERROR(__xludf.DUMMYFUNCTION("iferror(COUNT(filter($O9:$O$386,$O9:$O$386&gt;$O8,arrayformula(isnumber(FIND($E9:$E$386,AM8))))))"),45.0)</f>
        <v>45</v>
      </c>
      <c r="AQ8" s="16">
        <f t="shared" si="10"/>
        <v>0</v>
      </c>
      <c r="AR8" s="88">
        <f>IFERROR(__xludf.DUMMYFUNCTION("iferror($O8-min(filter($O8:$O$386,arrayformula(isnumber(FIND($E8:$E$386,AM8))))))"),6.0)</f>
        <v>6</v>
      </c>
      <c r="AS8" s="89" t="str">
        <f>IFERROR(__xludf.DUMMYFUNCTION("iferror(join("","",index(sort(filter($F9:$F$386,$O9:$O$386&gt;$O8,arrayformula(isnumber(FIND($E9:$E$386,AM8)))),2,false),0,1)))"),"Ohio State,Stanford,Michigan,Tennessee,Oklahoma State,Louisville,San Diego State,Appalachian State,Western Kentucky,Air Force,Iowa,West Virginia,Nebraska,Western Michigan,Washington,South Florida,North Carolina,Kansas State,Temple,Toledo,Troy,Middle Tenne"&amp;"ssee,Wisconsin,Navy,USC,Louisiana Tech,Ohio,Virginia Tech,Washington State,Memphis,Utah,New Mexico,Florida,Miami,Tulsa,Pittsburgh,Idaho,Penn State,Minnesota,Georgia Tech,Texas A&amp;M,Old Dominion,Auburn,Colorado,Wyoming")</f>
        <v>Ohio State,Stanford,Michigan,Tennessee,Oklahoma State,Louisville,San Diego State,Appalachian State,Western Kentucky,Air Force,Iowa,West Virginia,Nebraska,Western Michigan,Washington,South Florida,North Carolina,Kansas State,Temple,Toledo,Troy,Middle Tennessee,Wisconsin,Navy,USC,Louisiana Tech,Ohio,Virginia Tech,Washington State,Memphis,Utah,New Mexico,Florida,Miami,Tulsa,Pittsburgh,Idaho,Penn State,Minnesota,Georgia Tech,Texas A&amp;M,Old Dominion,Auburn,Colorado,Wyoming</v>
      </c>
    </row>
    <row r="9">
      <c r="A9" s="13">
        <f t="shared" si="11"/>
        <v>8</v>
      </c>
      <c r="B9" s="13">
        <v>1.0</v>
      </c>
      <c r="C9" s="90">
        <v>8.0</v>
      </c>
      <c r="D9" s="91" t="str">
        <f>'Draft Order'!B9</f>
        <v>Justin</v>
      </c>
      <c r="E9" s="79" t="str">
        <f>if(F9&lt;&gt;"",VLOOKUP(F9,'Teams-Conference, for lookup'!A:B,2,0),"")</f>
        <v>Big Ten</v>
      </c>
      <c r="F9" s="104" t="s">
        <v>406</v>
      </c>
      <c r="G9" t="str">
        <f t="shared" si="1"/>
        <v/>
      </c>
      <c r="H9" s="97">
        <f t="shared" si="2"/>
        <v>1</v>
      </c>
      <c r="I9" s="97">
        <f t="shared" si="3"/>
        <v>3</v>
      </c>
      <c r="J9" s="2"/>
      <c r="K9" s="2"/>
      <c r="L9" s="2"/>
      <c r="M9" s="97">
        <f>IFERROR(__xludf.DUMMYFUNCTION("counta(iferror(filter(L$2:L8,E$2:E8=E9,L$2:L8&lt;L9)))"),0.0)</f>
        <v>0</v>
      </c>
      <c r="N9" s="97">
        <f>IFERROR(__xludf.DUMMYFUNCTION("counta(iferror(filter(L10:L$124,E10:E$124=E9,L10:L$125&gt;L9)))"),0.0)</f>
        <v>0</v>
      </c>
      <c r="O9" s="83">
        <f t="array" ref="O9:X9">XLOOKUP(F9,'Current Week'!B:B,'Current Week'!C:O)</f>
        <v>11</v>
      </c>
      <c r="P9" s="97">
        <v>1.0</v>
      </c>
      <c r="Q9" s="2" t="s">
        <v>187</v>
      </c>
      <c r="R9" s="2" t="s">
        <v>106</v>
      </c>
      <c r="S9" s="2"/>
      <c r="T9" s="8" t="s">
        <v>418</v>
      </c>
      <c r="U9" s="8" t="s">
        <v>108</v>
      </c>
      <c r="V9" s="2"/>
      <c r="W9" s="8">
        <v>9999.0</v>
      </c>
      <c r="X9" s="2"/>
      <c r="Y9" s="2"/>
      <c r="Z9" s="2"/>
      <c r="AA9" s="86">
        <f t="shared" si="4"/>
        <v>-1</v>
      </c>
      <c r="AB9" s="8">
        <f t="shared" si="5"/>
        <v>5</v>
      </c>
      <c r="AC9" s="8">
        <f>IFERROR(__xludf.DUMMYFUNCTION("iferror(COUNT(filter($O10:$O$386,$O10:$O$386&gt;$O9)))"),1.0)</f>
        <v>1</v>
      </c>
      <c r="AD9" s="16">
        <f t="shared" si="6"/>
        <v>0</v>
      </c>
      <c r="AE9" s="88">
        <f t="shared" si="7"/>
        <v>4</v>
      </c>
      <c r="AF9" s="2" t="str">
        <f>IFERROR(__xludf.DUMMYFUNCTION("iferror(join("","",index(sort(filter($F10:$F$387,$O10:$O$387&gt;$O9),2,false),0,1)))"),"Western Michigan")</f>
        <v>Western Michigan</v>
      </c>
      <c r="AG9" s="86">
        <f>IFERROR(__xludf.DUMMYFUNCTION("iferror($O9-max(filter($O9:$O$386,$E9:$E$386=$E$2)))"),2.0)</f>
        <v>2</v>
      </c>
      <c r="AH9" s="8">
        <f t="shared" si="8"/>
        <v>1</v>
      </c>
      <c r="AI9" s="8">
        <f>IFERROR(__xludf.DUMMYFUNCTION("iferror(COUNT(filter($O10:$O$386,$O10:$O$386&gt;$O9,$E9:$E$386=$E$2)))"),0.0)</f>
        <v>0</v>
      </c>
      <c r="AJ9" s="16">
        <f t="shared" si="9"/>
        <v>0</v>
      </c>
      <c r="AK9" s="88">
        <f>IFERROR(__xludf.DUMMYFUNCTION("iferror($O9-min(filter($O9:$O$386,$E9:$E$386=$E$2)))"),9.0)</f>
        <v>9</v>
      </c>
      <c r="AL9" s="2" t="str">
        <f>IFERROR(__xludf.DUMMYFUNCTION("iferror(join("","",index(sort(filter($F10:$F$386,$O10:$O$386&gt;$O9,$E10:$E$386=$E$2),2,false),0,1)))"),"")</f>
        <v/>
      </c>
      <c r="AM9" s="2" t="str">
        <f>IFERROR(__xludf.DUMMYFUNCTION("REGEXREPLACE(join("","",unique({let(conf_picked,filter(E$1:E8,D$1:D8=D9), byrow(unique(TRANSPOSe(Teams!$1:$1)),lambda(rw,if(ISERROR(match(rw,conf_picked,0)),rw,))));iferror(if(#REF!,,transpose(split(#REF!,"","",1,1))))})), ""^,"", """")"),"AAC,ACC,Big 12,Big Ten,CUSA,MAC,MWC,Pac12,SEC,Sun Belt,")</f>
        <v>AAC,ACC,Big 12,Big Ten,CUSA,MAC,MWC,Pac12,SEC,Sun Belt,</v>
      </c>
      <c r="AN9" s="86">
        <f>IFERROR(__xludf.DUMMYFUNCTION("iferror($O9-max(filter($O9:$O$386,arrayformula(isnumber(FIND($E9:$E$386,AM9))))))"),-1.0)</f>
        <v>-1</v>
      </c>
      <c r="AO9" s="8">
        <f t="array" ref="AO9">countifs($O$2:$O8,"&lt;"&amp;$O9,isnumber(FIND($E$2:$E8,AM9)),TRUE)</f>
        <v>5</v>
      </c>
      <c r="AP9" s="8">
        <f>IFERROR(__xludf.DUMMYFUNCTION("iferror(COUNT(filter($O10:$O$386,$O10:$O$386&gt;$O9,arrayformula(isnumber(FIND($E10:$E$386,AM9))))))"),1.0)</f>
        <v>1</v>
      </c>
      <c r="AQ9" s="16">
        <f t="shared" si="10"/>
        <v>0</v>
      </c>
      <c r="AR9" s="88">
        <f>IFERROR(__xludf.DUMMYFUNCTION("iferror($O9-min(filter($O9:$O$386,arrayformula(isnumber(FIND($E9:$E$386,AM9))))))"),10.0)</f>
        <v>10</v>
      </c>
      <c r="AS9" s="89" t="str">
        <f>IFERROR(__xludf.DUMMYFUNCTION("iferror(join("","",index(sort(filter($F10:$F$386,$O10:$O$386&gt;$O9,arrayformula(isnumber(FIND($E10:$E$386,AM9)))),2,false),0,1)))"),"Western Michigan")</f>
        <v>Western Michigan</v>
      </c>
    </row>
    <row r="10">
      <c r="A10" s="13">
        <f t="shared" si="11"/>
        <v>9</v>
      </c>
      <c r="B10" s="13">
        <v>1.0</v>
      </c>
      <c r="C10" s="90">
        <v>9.0</v>
      </c>
      <c r="D10" s="91" t="str">
        <f>'Draft Order'!B10</f>
        <v>Frank</v>
      </c>
      <c r="E10" s="79" t="str">
        <f>if(F10&lt;&gt;"",VLOOKUP(F10,'Teams-Conference, for lookup'!A:B,2,0),"")</f>
        <v>Pac12</v>
      </c>
      <c r="F10" s="104" t="s">
        <v>412</v>
      </c>
      <c r="G10" t="str">
        <f t="shared" si="1"/>
        <v/>
      </c>
      <c r="H10" s="97">
        <f t="shared" si="2"/>
        <v>0</v>
      </c>
      <c r="I10" s="97">
        <f t="shared" si="3"/>
        <v>2</v>
      </c>
      <c r="J10" s="2"/>
      <c r="K10" s="2"/>
      <c r="L10" s="2"/>
      <c r="M10" s="97">
        <f>IFERROR(__xludf.DUMMYFUNCTION("counta(iferror(filter(L$2:L10,E$2:E10=E10,L$2:L10&lt;L10)))"),0.0)</f>
        <v>0</v>
      </c>
      <c r="N10" s="97">
        <f>IFERROR(__xludf.DUMMYFUNCTION("counta(iferror(filter(L11:L$124,E11:E$124=E10,L11:L$125&gt;L10)))"),0.0)</f>
        <v>0</v>
      </c>
      <c r="O10" s="83">
        <f t="array" ref="O10:X10">XLOOKUP(F10,'Current Week'!B:B,'Current Week'!C:O)</f>
        <v>9</v>
      </c>
      <c r="P10" s="83">
        <v>3.0</v>
      </c>
      <c r="Q10" s="2" t="s">
        <v>114</v>
      </c>
      <c r="R10" s="84" t="s">
        <v>106</v>
      </c>
      <c r="S10" s="2"/>
      <c r="T10" s="2">
        <v>-3.0</v>
      </c>
      <c r="U10" s="8" t="s">
        <v>108</v>
      </c>
      <c r="V10" s="2"/>
      <c r="W10" s="8">
        <v>9999.0</v>
      </c>
      <c r="X10" s="2"/>
      <c r="Y10" s="2"/>
      <c r="Z10" s="2"/>
      <c r="AA10" s="86">
        <f t="shared" si="4"/>
        <v>-3</v>
      </c>
      <c r="AB10" s="8">
        <f t="shared" si="5"/>
        <v>1</v>
      </c>
      <c r="AC10" s="8">
        <f>IFERROR(__xludf.DUMMYFUNCTION("iferror(COUNT(filter($O11:$O$386,$O11:$O$386&gt;$O10)))"),8.0)</f>
        <v>8</v>
      </c>
      <c r="AD10" s="16">
        <f t="shared" si="6"/>
        <v>0</v>
      </c>
      <c r="AE10" s="88">
        <f t="shared" si="7"/>
        <v>2</v>
      </c>
      <c r="AF10" s="2" t="str">
        <f>IFERROR(__xludf.DUMMYFUNCTION("iferror(join("","",index(sort(filter($F11:$F$387,$O11:$O$387&gt;$O10),2,false),0,1)))"),"Michigan,West Virginia,Western Michigan,Washington,South Florida,Wisconsin,Penn State,Colorado")</f>
        <v>Michigan,West Virginia,Western Michigan,Washington,South Florida,Wisconsin,Penn State,Colorado</v>
      </c>
      <c r="AG10" s="86">
        <f>IFERROR(__xludf.DUMMYFUNCTION("iferror($O10-max(filter($O10:$O$386,$E10:$E$386=$E$2)))"),0.0)</f>
        <v>0</v>
      </c>
      <c r="AH10" s="8">
        <f t="shared" si="8"/>
        <v>0</v>
      </c>
      <c r="AI10" s="8">
        <f>IFERROR(__xludf.DUMMYFUNCTION("iferror(COUNT(filter($O11:$O$386,$O11:$O$386&gt;$O10,$E10:$E$386=$E$2)))"),0.0)</f>
        <v>0</v>
      </c>
      <c r="AJ10" s="16">
        <f t="shared" si="9"/>
        <v>1</v>
      </c>
      <c r="AK10" s="88">
        <f>IFERROR(__xludf.DUMMYFUNCTION("iferror($O10-min(filter($O10:$O$386,$E10:$E$386=$E$2)))"),7.0)</f>
        <v>7</v>
      </c>
      <c r="AL10" s="2" t="str">
        <f>IFERROR(__xludf.DUMMYFUNCTION("iferror(join("","",index(sort(filter($F11:$F$386,$O11:$O$386&gt;$O10,$E11:$E$386=$E$2),2,false),0,1)))"),"")</f>
        <v/>
      </c>
      <c r="AM10" s="2" t="str">
        <f>IFERROR(__xludf.DUMMYFUNCTION("REGEXREPLACE(join("","",unique({let(conf_picked,filter(E$1:E9,D$1:D9=D10), byrow(unique(TRANSPOSe(Teams!$1:$1)),lambda(rw,if(ISERROR(match(rw,conf_picked,0)),rw,))));iferror(if(#REF!,,transpose(split(#REF!,"","",1,1))))})), ""^,"", """")"),"AAC,ACC,Big 12,Big Ten,CUSA,MAC,MWC,Pac12,SEC,Sun Belt,")</f>
        <v>AAC,ACC,Big 12,Big Ten,CUSA,MAC,MWC,Pac12,SEC,Sun Belt,</v>
      </c>
      <c r="AN10" s="86">
        <f>IFERROR(__xludf.DUMMYFUNCTION("iferror($O10-max(filter($O10:$O$386,arrayformula(isnumber(FIND($E10:$E$386,AM10))))))"),-3.0)</f>
        <v>-3</v>
      </c>
      <c r="AO10" s="8">
        <f t="array" ref="AO10">countifs($O$2:$O9,"&lt;"&amp;$O10,isnumber(FIND($E$2:$E9,AM10)),TRUE)</f>
        <v>1</v>
      </c>
      <c r="AP10" s="8">
        <f>IFERROR(__xludf.DUMMYFUNCTION("iferror(COUNT(filter($O11:$O$386,$O11:$O$386&gt;$O10,arrayformula(isnumber(FIND($E11:$E$386,AM10))))))"),8.0)</f>
        <v>8</v>
      </c>
      <c r="AQ10" s="16">
        <f t="shared" si="10"/>
        <v>0</v>
      </c>
      <c r="AR10" s="88">
        <f>IFERROR(__xludf.DUMMYFUNCTION("iferror($O10-min(filter($O10:$O$386,arrayformula(isnumber(FIND($E10:$E$386,AM10))))))"),8.0)</f>
        <v>8</v>
      </c>
      <c r="AS10" s="89" t="str">
        <f>IFERROR(__xludf.DUMMYFUNCTION("iferror(join("","",index(sort(filter($F11:$F$386,$O11:$O$386&gt;$O10,arrayformula(isnumber(FIND($E11:$E$386,AM10)))),2,false),0,1)))"),"Michigan,West Virginia,Western Michigan,Washington,South Florida,Wisconsin,Penn State,Colorado")</f>
        <v>Michigan,West Virginia,Western Michigan,Washington,South Florida,Wisconsin,Penn State,Colorado</v>
      </c>
    </row>
    <row r="11" ht="1.5" customHeight="1">
      <c r="A11" s="13">
        <f t="shared" si="11"/>
        <v>10</v>
      </c>
      <c r="B11" s="13">
        <v>1.0</v>
      </c>
      <c r="C11" s="90">
        <v>10.0</v>
      </c>
      <c r="D11" s="91" t="str">
        <f>'Draft Order'!B11</f>
        <v>Nick A.</v>
      </c>
      <c r="E11" s="147" t="str">
        <f>if(F11&lt;&gt;"",VLOOKUP(F11,'Teams-Conference, for lookup'!A:B,2,0),"")</f>
        <v>Big 12</v>
      </c>
      <c r="F11" s="101" t="s">
        <v>419</v>
      </c>
      <c r="G11" t="str">
        <f t="shared" si="1"/>
        <v/>
      </c>
      <c r="H11" s="97">
        <f t="shared" si="2"/>
        <v>2</v>
      </c>
      <c r="I11" s="97">
        <f t="shared" si="3"/>
        <v>5</v>
      </c>
      <c r="J11" s="2"/>
      <c r="K11" s="2"/>
      <c r="L11" s="2"/>
      <c r="M11" s="97">
        <f>IFERROR(__xludf.DUMMYFUNCTION("counta(iferror(filter(L$2:L10,E$2:E10=E11,L$2:L10&lt;L11)))"),0.0)</f>
        <v>0</v>
      </c>
      <c r="N11" s="97">
        <f>IFERROR(__xludf.DUMMYFUNCTION("counta(iferror(filter(L12:L$124,E12:E$124=E11,L12:L$125&gt;L11)))"),0.0)</f>
        <v>0</v>
      </c>
      <c r="O11" s="83">
        <f t="array" ref="O11:X11">XLOOKUP(F11,'Current Week'!B:B,'Current Week'!C:O)</f>
        <v>6</v>
      </c>
      <c r="P11" s="83">
        <v>6.0</v>
      </c>
      <c r="Q11" s="2" t="s">
        <v>130</v>
      </c>
      <c r="R11" s="2" t="s">
        <v>106</v>
      </c>
      <c r="S11" s="2"/>
      <c r="T11" s="8">
        <v>9.0</v>
      </c>
      <c r="U11" s="8" t="s">
        <v>108</v>
      </c>
      <c r="V11" s="8"/>
      <c r="W11" s="8">
        <v>9999.0</v>
      </c>
      <c r="X11" s="2"/>
      <c r="Y11" s="2"/>
      <c r="Z11" s="2"/>
      <c r="AA11" s="86">
        <f t="shared" si="4"/>
        <v>-6</v>
      </c>
      <c r="AB11" s="8">
        <f t="shared" si="5"/>
        <v>0</v>
      </c>
      <c r="AC11" s="8">
        <f>IFERROR(__xludf.DUMMYFUNCTION("iferror(COUNT(filter($O12:$O$386,$O12:$O$386&gt;$O11)))"),49.0)</f>
        <v>49</v>
      </c>
      <c r="AD11" s="16">
        <f t="shared" si="6"/>
        <v>0</v>
      </c>
      <c r="AE11" s="88">
        <f t="shared" si="7"/>
        <v>0</v>
      </c>
      <c r="AF11" s="2" t="str">
        <f>IFERROR(__xludf.DUMMYFUNCTION("iferror(join("","",index(sort(filter($F12:$F$387,$O12:$O$387&gt;$O11),2,false),0,1)))"),"Michigan,Tennessee,Oklahoma State,Louisville,San Diego State,Appalachian State,Western Kentucky,Air Force,Iowa,West Virginia,Nebraska,Western Michigan,Arkansas State,Washington,South Florida,North Carolina,Kansas State,Temple,Toledo,Troy,Middle Tennessee,"&amp;"Georgia,Wisconsin,Navy,USC,Louisiana Tech,Ohio,Virginia Tech,Washington State,Memphis,Utah,Colorado State,New Mexico,Florida,Miami,Tulsa,Pittsburgh,Arkansas,Idaho,Penn State,Minnesota,Georgia Tech,Texas A&amp;M,Old Dominion,Auburn,Colorado,Wyoming,Eastern Mic"&amp;"higan,Kentucky")</f>
        <v>Michigan,Tennessee,Oklahoma State,Louisville,San Diego State,Appalachian State,Western Kentucky,Air Force,Iowa,West Virginia,Nebraska,Western Michigan,Arkansas State,Washington,South Florida,North Carolina,Kansas State,Temple,Toledo,Troy,Middle Tennessee,Georgia,Wisconsin,Navy,USC,Louisiana Tech,Ohio,Virginia Tech,Washington State,Memphis,Utah,Colorado State,New Mexico,Florida,Miami,Tulsa,Pittsburgh,Arkansas,Idaho,Penn State,Minnesota,Georgia Tech,Texas A&amp;M,Old Dominion,Auburn,Colorado,Wyoming,Eastern Michigan,Kentucky</v>
      </c>
      <c r="AG11" s="86">
        <f>IFERROR(__xludf.DUMMYFUNCTION("iferror($O11-max(filter($O11:$O$386,$E11:$E$386=$E$2)))"),-3.0)</f>
        <v>-3</v>
      </c>
      <c r="AH11" s="8">
        <f t="shared" si="8"/>
        <v>0</v>
      </c>
      <c r="AI11" s="8">
        <f>IFERROR(__xludf.DUMMYFUNCTION("iferror(COUNT(filter($O12:$O$386,$O12:$O$386&gt;$O11,$E11:$E$386=$E$2)))"),0.0)</f>
        <v>0</v>
      </c>
      <c r="AJ11" s="16">
        <f t="shared" si="9"/>
        <v>0</v>
      </c>
      <c r="AK11" s="88">
        <f>IFERROR(__xludf.DUMMYFUNCTION("iferror($O11-min(filter($O11:$O$386,$E11:$E$386=$E$2)))"),4.0)</f>
        <v>4</v>
      </c>
      <c r="AL11" s="2" t="str">
        <f>IFERROR(__xludf.DUMMYFUNCTION("iferror(join("","",index(sort(filter($F12:$F$386,$O12:$O$386&gt;$O11,$E12:$E$386=$E$2),2,false),0,1)))"),"Louisville,North Carolina,Virginia Tech,Miami,Pittsburgh,Georgia Tech")</f>
        <v>Louisville,North Carolina,Virginia Tech,Miami,Pittsburgh,Georgia Tech</v>
      </c>
      <c r="AM11" s="2" t="str">
        <f>IFERROR(__xludf.DUMMYFUNCTION("REGEXREPLACE(join("","",unique({let(conf_picked,filter(E$1:E10,D$1:D10=D11), byrow(unique(TRANSPOSe(Teams!$1:$1)),lambda(rw,if(ISERROR(match(rw,conf_picked,0)),rw,))));iferror(if(#REF!,,transpose(split(#REF!,"","",1,1))))})), ""^,"", """")"),"AAC,ACC,Big 12,Big Ten,CUSA,MAC,MWC,Pac12,SEC,Sun Belt,")</f>
        <v>AAC,ACC,Big 12,Big Ten,CUSA,MAC,MWC,Pac12,SEC,Sun Belt,</v>
      </c>
      <c r="AN11" s="86">
        <f>IFERROR(__xludf.DUMMYFUNCTION("iferror($O11-max(filter($O11:$O$386,arrayformula(isnumber(FIND($E11:$E$386,AM11))))))"),-6.0)</f>
        <v>-6</v>
      </c>
      <c r="AO11" s="8">
        <f t="array" ref="AO11">countifs($O$2:$O10,"&lt;"&amp;$O11,isnumber(FIND($E$2:$E10,AM11)),TRUE)</f>
        <v>0</v>
      </c>
      <c r="AP11" s="8">
        <f>IFERROR(__xludf.DUMMYFUNCTION("iferror(COUNT(filter($O12:$O$386,$O12:$O$386&gt;$O11,arrayformula(isnumber(FIND($E12:$E$386,AM11))))))"),49.0)</f>
        <v>49</v>
      </c>
      <c r="AQ11" s="16">
        <f t="shared" si="10"/>
        <v>0</v>
      </c>
      <c r="AR11" s="88">
        <f>IFERROR(__xludf.DUMMYFUNCTION("iferror($O11-min(filter($O11:$O$386,arrayformula(isnumber(FIND($E11:$E$386,AM11))))))"),5.0)</f>
        <v>5</v>
      </c>
      <c r="AS11" s="89" t="str">
        <f>IFERROR(__xludf.DUMMYFUNCTION("iferror(join("","",index(sort(filter($F12:$F$386,$O12:$O$386&gt;$O11,arrayformula(isnumber(FIND($E12:$E$386,AM11)))),2,false),0,1)))"),"Michigan,Tennessee,Oklahoma State,Louisville,San Diego State,Appalachian State,Western Kentucky,Air Force,Iowa,West Virginia,Nebraska,Western Michigan,Arkansas State,Washington,South Florida,North Carolina,Kansas State,Temple,Toledo,Troy,Middle Tennessee,"&amp;"Georgia,Wisconsin,Navy,USC,Louisiana Tech,Ohio,Virginia Tech,Washington State,Memphis,Utah,Colorado State,New Mexico,Florida,Miami,Tulsa,Pittsburgh,Arkansas,Idaho,Penn State,Minnesota,Georgia Tech,Texas A&amp;M,Old Dominion,Auburn,Colorado,Wyoming,Eastern Mic"&amp;"higan,Kentucky")</f>
        <v>Michigan,Tennessee,Oklahoma State,Louisville,San Diego State,Appalachian State,Western Kentucky,Air Force,Iowa,West Virginia,Nebraska,Western Michigan,Arkansas State,Washington,South Florida,North Carolina,Kansas State,Temple,Toledo,Troy,Middle Tennessee,Georgia,Wisconsin,Navy,USC,Louisiana Tech,Ohio,Virginia Tech,Washington State,Memphis,Utah,Colorado State,New Mexico,Florida,Miami,Tulsa,Pittsburgh,Arkansas,Idaho,Penn State,Minnesota,Georgia Tech,Texas A&amp;M,Old Dominion,Auburn,Colorado,Wyoming,Eastern Michigan,Kentucky</v>
      </c>
    </row>
    <row r="12">
      <c r="A12" s="76">
        <f t="shared" si="11"/>
        <v>11</v>
      </c>
      <c r="B12" s="76">
        <v>2.0</v>
      </c>
      <c r="C12" s="90">
        <v>1.0</v>
      </c>
      <c r="D12" s="76" t="str">
        <f>D11</f>
        <v>Nick A.</v>
      </c>
      <c r="E12" s="79" t="str">
        <f>if(F12&lt;&gt;"",VLOOKUP(F12,'Teams-Conference, for lookup'!A:B,2,0),"")</f>
        <v>Big Ten</v>
      </c>
      <c r="F12" s="104" t="s">
        <v>423</v>
      </c>
      <c r="G12" s="149" t="str">
        <f t="shared" si="1"/>
        <v/>
      </c>
      <c r="H12" s="97">
        <f t="shared" si="2"/>
        <v>1</v>
      </c>
      <c r="I12" s="97">
        <f t="shared" si="3"/>
        <v>2</v>
      </c>
      <c r="J12" s="97">
        <f t="shared" ref="J12:J124" si="12">countif(E2:E11,E12)</f>
        <v>1</v>
      </c>
      <c r="K12" s="2"/>
      <c r="L12" s="2"/>
      <c r="M12" s="97">
        <f>IFERROR(__xludf.DUMMYFUNCTION("counta(iferror(filter(L$2:L11,E$2:E11=E12,L$2:L11&lt;L12)))"),0.0)</f>
        <v>0</v>
      </c>
      <c r="N12" s="97">
        <f>IFERROR(__xludf.DUMMYFUNCTION("counta(iferror(filter(L13:L$124,E13:E$124=E12,L13:L$125&gt;L12)))"),0.0)</f>
        <v>0</v>
      </c>
      <c r="O12" s="83">
        <f t="array" ref="O12:X12">XLOOKUP(F12,'Current Week'!B:B,'Current Week'!C:O)</f>
        <v>10</v>
      </c>
      <c r="P12" s="97">
        <v>2.0</v>
      </c>
      <c r="Q12" s="2" t="s">
        <v>187</v>
      </c>
      <c r="R12" s="2" t="s">
        <v>106</v>
      </c>
      <c r="S12" s="2"/>
      <c r="T12" s="8">
        <v>-7.0</v>
      </c>
      <c r="U12" s="8" t="s">
        <v>108</v>
      </c>
      <c r="V12" s="2"/>
      <c r="W12" s="8">
        <v>9999.0</v>
      </c>
      <c r="X12" s="2"/>
      <c r="Y12" s="2"/>
      <c r="Z12" s="2"/>
      <c r="AA12" s="86">
        <f t="shared" si="4"/>
        <v>-2</v>
      </c>
      <c r="AB12" s="8">
        <f t="shared" si="5"/>
        <v>5</v>
      </c>
      <c r="AC12" s="8">
        <f>IFERROR(__xludf.DUMMYFUNCTION("iferror(COUNT(filter($O13:$O$386,$O13:$O$386&gt;$O12)))"),2.0)</f>
        <v>2</v>
      </c>
      <c r="AD12" s="16">
        <f t="shared" si="6"/>
        <v>0</v>
      </c>
      <c r="AE12" s="88">
        <f t="shared" si="7"/>
        <v>4</v>
      </c>
      <c r="AF12" s="2" t="str">
        <f>IFERROR(__xludf.DUMMYFUNCTION("iferror(join("","",index(sort(filter($F13:$F$387,$O13:$O$387&gt;$O12),2,false),0,1)))"),"Western Michigan,Washington")</f>
        <v>Western Michigan,Washington</v>
      </c>
      <c r="AG12" s="86">
        <f>IFERROR(__xludf.DUMMYFUNCTION("iferror($O12-max(filter($O12:$O$386,$E12:$E$386=$E$2)))"),1.0)</f>
        <v>1</v>
      </c>
      <c r="AH12" s="8">
        <f t="shared" si="8"/>
        <v>1</v>
      </c>
      <c r="AI12" s="8">
        <f>IFERROR(__xludf.DUMMYFUNCTION("iferror(COUNT(filter($O13:$O$386,$O13:$O$386&gt;$O12,$E12:$E$386=$E$2)))"),0.0)</f>
        <v>0</v>
      </c>
      <c r="AJ12" s="16">
        <f t="shared" si="9"/>
        <v>0</v>
      </c>
      <c r="AK12" s="88">
        <f>IFERROR(__xludf.DUMMYFUNCTION("iferror($O12-min(filter($O12:$O$386,$E12:$E$386=$E$2)))"),8.0)</f>
        <v>8</v>
      </c>
      <c r="AL12" s="2" t="str">
        <f>IFERROR(__xludf.DUMMYFUNCTION("iferror(join("","",index(sort(filter($F13:$F$386,$O13:$O$386&gt;$O12,$E13:$E$386=$E$2),2,false),0,1)))"),"")</f>
        <v/>
      </c>
      <c r="AM12" s="2" t="str">
        <f>IFERROR(__xludf.DUMMYFUNCTION("REGEXREPLACE(join("","",unique({let(conf_picked,filter(E$1:E11,D$1:D11=D12), byrow(unique(TRANSPOSe(Teams!$1:$1)),lambda(rw,if(ISERROR(match(rw,conf_picked,0)),rw,))));iferror(if(#REF!,,transpose(split(#REF!,"","",1,1))))})), ""^,"", """")"),"AAC,ACC,,Big Ten,CUSA,MAC,MWC,Pac12,SEC,Sun Belt")</f>
        <v>AAC,ACC,,Big Ten,CUSA,MAC,MWC,Pac12,SEC,Sun Belt</v>
      </c>
      <c r="AN12" s="86">
        <f>IFERROR(__xludf.DUMMYFUNCTION("iferror($O12-max(filter($O12:$O$386,arrayformula(isnumber(FIND($E12:$E$386,AM12))))))"),-2.0)</f>
        <v>-2</v>
      </c>
      <c r="AO12" s="8">
        <f t="array" ref="AO12">countifs($O$2:$O11,"&lt;"&amp;$O12,isnumber(FIND($E$2:$E11,AM12)),TRUE)</f>
        <v>4</v>
      </c>
      <c r="AP12" s="8">
        <f>IFERROR(__xludf.DUMMYFUNCTION("iferror(COUNT(filter($O13:$O$386,$O13:$O$386&gt;$O12,arrayformula(isnumber(FIND($E13:$E$386,AM12))))))"),2.0)</f>
        <v>2</v>
      </c>
      <c r="AQ12" s="16">
        <f t="shared" si="10"/>
        <v>0</v>
      </c>
      <c r="AR12" s="88">
        <f>IFERROR(__xludf.DUMMYFUNCTION("iferror($O12-min(filter($O12:$O$386,arrayformula(isnumber(FIND($E12:$E$386,AM12))))))"),9.0)</f>
        <v>9</v>
      </c>
      <c r="AS12" s="89" t="str">
        <f>IFERROR(__xludf.DUMMYFUNCTION("iferror(join("","",index(sort(filter($F13:$F$386,$O13:$O$386&gt;$O12,arrayformula(isnumber(FIND($E13:$E$386,AM12)))),2,false),0,1)))"),"Western Michigan,Washington")</f>
        <v>Western Michigan,Washington</v>
      </c>
    </row>
    <row r="13">
      <c r="A13" s="13">
        <f t="shared" si="11"/>
        <v>12</v>
      </c>
      <c r="B13" s="13">
        <v>2.0</v>
      </c>
      <c r="C13" s="90">
        <v>2.0</v>
      </c>
      <c r="D13" s="13" t="str">
        <f>D10</f>
        <v>Frank</v>
      </c>
      <c r="E13" s="92" t="str">
        <f>if(F13&lt;&gt;"",VLOOKUP(F13,'Teams-Conference, for lookup'!A:B,2,0),"")</f>
        <v>SEC</v>
      </c>
      <c r="F13" s="150" t="s">
        <v>430</v>
      </c>
      <c r="G13" t="str">
        <f t="shared" si="1"/>
        <v/>
      </c>
      <c r="H13" s="97">
        <f t="shared" si="2"/>
        <v>0</v>
      </c>
      <c r="I13" s="97">
        <f t="shared" si="3"/>
        <v>0</v>
      </c>
      <c r="J13" s="97">
        <f t="shared" si="12"/>
        <v>2</v>
      </c>
      <c r="K13" s="2"/>
      <c r="L13" s="2"/>
      <c r="M13" s="97">
        <f>IFERROR(__xludf.DUMMYFUNCTION("counta(iferror(filter(L$2:L12,E$2:E12=E13,L$2:L12&lt;L13)))"),0.0)</f>
        <v>0</v>
      </c>
      <c r="N13" s="97">
        <f>IFERROR(__xludf.DUMMYFUNCTION("counta(iferror(filter(L14:L$124,E14:E$124=E13,L14:L$125&gt;L13)))"),0.0)</f>
        <v>0</v>
      </c>
      <c r="O13" s="83">
        <f t="array" ref="O13:X13">XLOOKUP(F13,'Current Week'!B:B,'Current Week'!C:O)</f>
        <v>8</v>
      </c>
      <c r="P13" s="97">
        <v>3.0</v>
      </c>
      <c r="Q13" s="2" t="s">
        <v>187</v>
      </c>
      <c r="R13" s="84" t="s">
        <v>106</v>
      </c>
      <c r="S13" s="2"/>
      <c r="T13" s="2">
        <v>-3.0</v>
      </c>
      <c r="U13" s="8" t="s">
        <v>108</v>
      </c>
      <c r="V13" s="8"/>
      <c r="W13" s="8">
        <v>9999.0</v>
      </c>
      <c r="X13" s="2"/>
      <c r="Y13" s="2"/>
      <c r="Z13" s="2"/>
      <c r="AA13" s="86">
        <f t="shared" si="4"/>
        <v>-4</v>
      </c>
      <c r="AB13" s="8">
        <f t="shared" si="5"/>
        <v>2</v>
      </c>
      <c r="AC13" s="8">
        <f>IFERROR(__xludf.DUMMYFUNCTION("iferror(COUNT(filter($O14:$O$386,$O14:$O$386&gt;$O13)))"),22.0)</f>
        <v>22</v>
      </c>
      <c r="AD13" s="16">
        <f t="shared" si="6"/>
        <v>0</v>
      </c>
      <c r="AE13" s="88">
        <f t="shared" si="7"/>
        <v>2</v>
      </c>
      <c r="AF13" s="2" t="str">
        <f>IFERROR(__xludf.DUMMYFUNCTION("iferror(join("","",index(sort(filter($F14:$F$387,$O14:$O$387&gt;$O13),2,false),0,1)))"),"Oklahoma State,Louisville,San Diego State,Appalachian State,Western Kentucky,Air Force,West Virginia,Nebraska,Western Michigan,Washington,South Florida,Temple,Toledo,Troy,Wisconsin,Navy,USC,Virginia Tech,Tulsa,Penn State,Old Dominion,Colorado")</f>
        <v>Oklahoma State,Louisville,San Diego State,Appalachian State,Western Kentucky,Air Force,West Virginia,Nebraska,Western Michigan,Washington,South Florida,Temple,Toledo,Troy,Wisconsin,Navy,USC,Virginia Tech,Tulsa,Penn State,Old Dominion,Colorado</v>
      </c>
      <c r="AG13" s="86">
        <f>IFERROR(__xludf.DUMMYFUNCTION("iferror($O13-max(filter($O13:$O$386,$E13:$E$386=$E$2)))"),-1.0)</f>
        <v>-1</v>
      </c>
      <c r="AH13" s="8">
        <f t="shared" si="8"/>
        <v>0</v>
      </c>
      <c r="AI13" s="8">
        <f>IFERROR(__xludf.DUMMYFUNCTION("iferror(COUNT(filter($O14:$O$386,$O14:$O$386&gt;$O13,$E13:$E$386=$E$2)))"),0.0)</f>
        <v>0</v>
      </c>
      <c r="AJ13" s="16">
        <f t="shared" si="9"/>
        <v>0</v>
      </c>
      <c r="AK13" s="88">
        <f>IFERROR(__xludf.DUMMYFUNCTION("iferror($O13-min(filter($O13:$O$386,$E13:$E$386=$E$2)))"),6.0)</f>
        <v>6</v>
      </c>
      <c r="AL13" s="2" t="str">
        <f>IFERROR(__xludf.DUMMYFUNCTION("iferror(join("","",index(sort(filter($F14:$F$386,$O14:$O$386&gt;$O13,$E14:$E$386=$E$2),2,false),0,1)))"),"Louisville,Virginia Tech")</f>
        <v>Louisville,Virginia Tech</v>
      </c>
      <c r="AM13" s="2" t="str">
        <f>IFERROR(__xludf.DUMMYFUNCTION("REGEXREPLACE(join("","",unique({let(conf_picked,filter(E$1:E12,D$1:D12=D13), byrow(unique(TRANSPOSe(Teams!$1:$1)),lambda(rw,if(ISERROR(match(rw,conf_picked,0)),rw,))));iferror(if(#REF!,,transpose(split(#REF!,"","",1,1))))})), ""^,"", """")"),"AAC,ACC,Big 12,Big Ten,CUSA,MAC,MWC,,SEC,Sun Belt")</f>
        <v>AAC,ACC,Big 12,Big Ten,CUSA,MAC,MWC,,SEC,Sun Belt</v>
      </c>
      <c r="AN13" s="86">
        <f>IFERROR(__xludf.DUMMYFUNCTION("iferror($O13-max(filter($O13:$O$386,arrayformula(isnumber(FIND($E13:$E$386,AM13))))))"),-4.0)</f>
        <v>-4</v>
      </c>
      <c r="AO13" s="8">
        <f t="array" ref="AO13">countifs($O$2:$O12,"&lt;"&amp;$O13,isnumber(FIND($E$2:$E12,AM13)),TRUE)</f>
        <v>2</v>
      </c>
      <c r="AP13" s="8">
        <f>IFERROR(__xludf.DUMMYFUNCTION("iferror(COUNT(filter($O14:$O$386,$O14:$O$386&gt;$O13,arrayformula(isnumber(FIND($E14:$E$386,AM13))))))"),19.0)</f>
        <v>19</v>
      </c>
      <c r="AQ13" s="16">
        <f t="shared" si="10"/>
        <v>0</v>
      </c>
      <c r="AR13" s="88">
        <f>IFERROR(__xludf.DUMMYFUNCTION("iferror($O13-min(filter($O13:$O$386,arrayformula(isnumber(FIND($E13:$E$386,AM13))))))"),7.0)</f>
        <v>7</v>
      </c>
      <c r="AS13" s="89" t="str">
        <f>IFERROR(__xludf.DUMMYFUNCTION("iferror(join("","",index(sort(filter($F14:$F$386,$O14:$O$386&gt;$O13,arrayformula(isnumber(FIND($E14:$E$386,AM13)))),2,false),0,1)))"),"Oklahoma State,Louisville,San Diego State,Appalachian State,Western Kentucky,Air Force,West Virginia,Nebraska,Western Michigan,South Florida,Temple,Toledo,Troy,Wisconsin,Navy,Virginia Tech,Tulsa,Penn State,Old Dominion")</f>
        <v>Oklahoma State,Louisville,San Diego State,Appalachian State,Western Kentucky,Air Force,West Virginia,Nebraska,Western Michigan,South Florida,Temple,Toledo,Troy,Wisconsin,Navy,Virginia Tech,Tulsa,Penn State,Old Dominion</v>
      </c>
    </row>
    <row r="14">
      <c r="A14" s="13">
        <f t="shared" si="11"/>
        <v>13</v>
      </c>
      <c r="B14" s="13">
        <v>2.0</v>
      </c>
      <c r="C14" s="90">
        <v>3.0</v>
      </c>
      <c r="D14" s="13" t="str">
        <f>D9</f>
        <v>Justin</v>
      </c>
      <c r="E14" s="92" t="str">
        <f>if(F14&lt;&gt;"",VLOOKUP(F14,'Teams-Conference, for lookup'!A:B,2,0),"")</f>
        <v>Big 12</v>
      </c>
      <c r="F14" s="150" t="s">
        <v>411</v>
      </c>
      <c r="G14" t="str">
        <f t="shared" si="1"/>
        <v/>
      </c>
      <c r="H14" s="97">
        <f t="shared" si="2"/>
        <v>3</v>
      </c>
      <c r="I14" s="97">
        <f t="shared" si="3"/>
        <v>5</v>
      </c>
      <c r="J14" s="97">
        <f t="shared" si="12"/>
        <v>2</v>
      </c>
      <c r="K14" s="2"/>
      <c r="L14" s="2"/>
      <c r="M14" s="97">
        <f>IFERROR(__xludf.DUMMYFUNCTION("counta(iferror(filter(L$2:L13,E$2:E13=E14,L$2:L13&lt;L14)))"),0.0)</f>
        <v>0</v>
      </c>
      <c r="N14" s="97">
        <f>IFERROR(__xludf.DUMMYFUNCTION("counta(iferror(filter(L15:L$124,E15:E$124=E14,L15:L$125&gt;L14)))"),0.0)</f>
        <v>0</v>
      </c>
      <c r="O14" s="83">
        <f t="array" ref="O14:X14">XLOOKUP(F14,'Current Week'!B:B,'Current Week'!C:O)</f>
        <v>9</v>
      </c>
      <c r="P14" s="83">
        <v>3.0</v>
      </c>
      <c r="Q14" s="2" t="s">
        <v>130</v>
      </c>
      <c r="R14" s="2" t="s">
        <v>106</v>
      </c>
      <c r="S14" s="2"/>
      <c r="T14" s="8">
        <v>3.0</v>
      </c>
      <c r="U14" s="8" t="s">
        <v>108</v>
      </c>
      <c r="V14" s="2"/>
      <c r="W14" s="8">
        <v>9999.0</v>
      </c>
      <c r="X14" s="2"/>
      <c r="Y14" s="2"/>
      <c r="Z14" s="2"/>
      <c r="AA14" s="86">
        <f t="shared" si="4"/>
        <v>-3</v>
      </c>
      <c r="AB14" s="8">
        <f t="shared" si="5"/>
        <v>3</v>
      </c>
      <c r="AC14" s="8">
        <f>IFERROR(__xludf.DUMMYFUNCTION("iferror(COUNT(filter($O15:$O$386,$O15:$O$386&gt;$O14)))"),7.0)</f>
        <v>7</v>
      </c>
      <c r="AD14" s="16">
        <f t="shared" si="6"/>
        <v>0</v>
      </c>
      <c r="AE14" s="88">
        <f t="shared" si="7"/>
        <v>3</v>
      </c>
      <c r="AF14" s="2" t="str">
        <f>IFERROR(__xludf.DUMMYFUNCTION("iferror(join("","",index(sort(filter($F15:$F$387,$O15:$O$387&gt;$O14),2,false),0,1)))"),"West Virginia,Western Michigan,Washington,South Florida,Wisconsin,Penn State,Colorado")</f>
        <v>West Virginia,Western Michigan,Washington,South Florida,Wisconsin,Penn State,Colorado</v>
      </c>
      <c r="AG14" s="86">
        <f>IFERROR(__xludf.DUMMYFUNCTION("iferror($O14-max(filter($O14:$O$386,$E14:$E$386=$E$2)))"),0.0)</f>
        <v>0</v>
      </c>
      <c r="AH14" s="8">
        <f t="shared" si="8"/>
        <v>0</v>
      </c>
      <c r="AI14" s="8">
        <f>IFERROR(__xludf.DUMMYFUNCTION("iferror(COUNT(filter($O15:$O$386,$O15:$O$386&gt;$O14,$E14:$E$386=$E$2)))"),0.0)</f>
        <v>0</v>
      </c>
      <c r="AJ14" s="16">
        <f t="shared" si="9"/>
        <v>1</v>
      </c>
      <c r="AK14" s="88">
        <f>IFERROR(__xludf.DUMMYFUNCTION("iferror($O14-min(filter($O14:$O$386,$E14:$E$386=$E$2)))"),7.0)</f>
        <v>7</v>
      </c>
      <c r="AL14" s="2" t="str">
        <f>IFERROR(__xludf.DUMMYFUNCTION("iferror(join("","",index(sort(filter($F15:$F$386,$O15:$O$386&gt;$O14,$E15:$E$386=$E$2),2,false),0,1)))"),"")</f>
        <v/>
      </c>
      <c r="AM14" s="2" t="str">
        <f>IFERROR(__xludf.DUMMYFUNCTION("REGEXREPLACE(join("","",unique({let(conf_picked,filter(E$1:E13,D$1:D13=D14), byrow(unique(TRANSPOSe(Teams!$1:$1)),lambda(rw,if(ISERROR(match(rw,conf_picked,0)),rw,))));iferror(if(#REF!,,transpose(split(#REF!,"","",1,1))))})), ""^,"", """")"),"AAC,ACC,Big 12,,CUSA,MAC,MWC,Pac12,SEC,Sun Belt")</f>
        <v>AAC,ACC,Big 12,,CUSA,MAC,MWC,Pac12,SEC,Sun Belt</v>
      </c>
      <c r="AN14" s="86">
        <f>IFERROR(__xludf.DUMMYFUNCTION("iferror($O14-max(filter($O14:$O$386,arrayformula(isnumber(FIND($E14:$E$386,AM14))))))"),-3.0)</f>
        <v>-3</v>
      </c>
      <c r="AO14" s="8">
        <f t="array" ref="AO14">countifs($O$2:$O13,"&lt;"&amp;$O14,isnumber(FIND($E$2:$E13,AM14)),TRUE)</f>
        <v>3</v>
      </c>
      <c r="AP14" s="8">
        <f>IFERROR(__xludf.DUMMYFUNCTION("iferror(COUNT(filter($O15:$O$386,$O15:$O$386&gt;$O14,arrayformula(isnumber(FIND($E15:$E$386,AM14))))))"),5.0)</f>
        <v>5</v>
      </c>
      <c r="AQ14" s="16">
        <f t="shared" si="10"/>
        <v>0</v>
      </c>
      <c r="AR14" s="88">
        <f>IFERROR(__xludf.DUMMYFUNCTION("iferror($O14-min(filter($O14:$O$386,arrayformula(isnumber(FIND($E14:$E$386,AM14))))))"),8.0)</f>
        <v>8</v>
      </c>
      <c r="AS14" s="89" t="str">
        <f>IFERROR(__xludf.DUMMYFUNCTION("iferror(join("","",index(sort(filter($F15:$F$386,$O15:$O$386&gt;$O14,arrayformula(isnumber(FIND($E15:$E$386,AM14)))),2,false),0,1)))"),"West Virginia,Western Michigan,Washington,South Florida,Colorado")</f>
        <v>West Virginia,Western Michigan,Washington,South Florida,Colorado</v>
      </c>
    </row>
    <row r="15">
      <c r="A15" s="13">
        <f t="shared" si="11"/>
        <v>14</v>
      </c>
      <c r="B15" s="13">
        <v>2.0</v>
      </c>
      <c r="C15" s="90">
        <v>4.0</v>
      </c>
      <c r="D15" s="13" t="str">
        <f>D8</f>
        <v>Josh T.</v>
      </c>
      <c r="E15" s="79" t="str">
        <f>if(F15&lt;&gt;"",VLOOKUP(F15,'Teams-Conference, for lookup'!A:B,2,0),"")</f>
        <v>ACC</v>
      </c>
      <c r="F15" s="13" t="s">
        <v>383</v>
      </c>
      <c r="G15" t="str">
        <f t="shared" si="1"/>
        <v/>
      </c>
      <c r="H15" s="97">
        <f t="shared" si="2"/>
        <v>0</v>
      </c>
      <c r="I15" s="97">
        <f t="shared" si="3"/>
        <v>1</v>
      </c>
      <c r="J15" s="97">
        <f t="shared" si="12"/>
        <v>1</v>
      </c>
      <c r="K15" s="2"/>
      <c r="L15" s="2"/>
      <c r="M15" s="97">
        <f>IFERROR(__xludf.DUMMYFUNCTION("counta(iferror(filter(L$2:L14,E$2:E14=E15,L$2:L14&lt;L15)))"),0.0)</f>
        <v>0</v>
      </c>
      <c r="N15" s="97">
        <f>IFERROR(__xludf.DUMMYFUNCTION("counta(iferror(filter(L16:L$124,E16:E$124=E15,L16:L$125&gt;L15)))"),0.0)</f>
        <v>0</v>
      </c>
      <c r="O15" s="83">
        <f t="array" ref="O15:X15">XLOOKUP(F15,'Current Week'!B:B,'Current Week'!C:O)</f>
        <v>9</v>
      </c>
      <c r="P15" s="97">
        <v>1.0</v>
      </c>
      <c r="Q15" s="2" t="s">
        <v>178</v>
      </c>
      <c r="R15" s="2" t="s">
        <v>106</v>
      </c>
      <c r="S15" s="2"/>
      <c r="T15" s="2">
        <v>-3.0</v>
      </c>
      <c r="U15" s="8" t="s">
        <v>108</v>
      </c>
      <c r="V15" s="2"/>
      <c r="W15" s="8">
        <v>9999.0</v>
      </c>
      <c r="X15" s="2"/>
      <c r="Y15" s="2"/>
      <c r="Z15" s="2"/>
      <c r="AA15" s="86">
        <f t="shared" si="4"/>
        <v>-3</v>
      </c>
      <c r="AB15" s="8">
        <f t="shared" si="5"/>
        <v>3</v>
      </c>
      <c r="AC15" s="8">
        <f>IFERROR(__xludf.DUMMYFUNCTION("iferror(COUNT(filter($O16:$O$386,$O16:$O$386&gt;$O15)))"),7.0)</f>
        <v>7</v>
      </c>
      <c r="AD15" s="16">
        <f t="shared" si="6"/>
        <v>0</v>
      </c>
      <c r="AE15" s="88">
        <f t="shared" si="7"/>
        <v>3</v>
      </c>
      <c r="AF15" s="2" t="str">
        <f>IFERROR(__xludf.DUMMYFUNCTION("iferror(join("","",index(sort(filter($F16:$F$387,$O16:$O$387&gt;$O15),2,false),0,1)))"),"West Virginia,Western Michigan,Washington,South Florida,Wisconsin,Penn State,Colorado")</f>
        <v>West Virginia,Western Michigan,Washington,South Florida,Wisconsin,Penn State,Colorado</v>
      </c>
      <c r="AG15" s="86">
        <f>IFERROR(__xludf.DUMMYFUNCTION("iferror($O15-max(filter($O15:$O$386,$E15:$E$386=$E$2)))"),0.0)</f>
        <v>0</v>
      </c>
      <c r="AH15" s="8">
        <f t="shared" si="8"/>
        <v>0</v>
      </c>
      <c r="AI15" s="8">
        <f>IFERROR(__xludf.DUMMYFUNCTION("iferror(COUNT(filter($O16:$O$386,$O16:$O$386&gt;$O15,$E15:$E$386=$E$2)))"),0.0)</f>
        <v>0</v>
      </c>
      <c r="AJ15" s="16">
        <f t="shared" si="9"/>
        <v>1</v>
      </c>
      <c r="AK15" s="88">
        <f>IFERROR(__xludf.DUMMYFUNCTION("iferror($O15-min(filter($O15:$O$386,$E15:$E$386=$E$2)))"),7.0)</f>
        <v>7</v>
      </c>
      <c r="AL15" s="2" t="str">
        <f>IFERROR(__xludf.DUMMYFUNCTION("iferror(join("","",index(sort(filter($F16:$F$386,$O16:$O$386&gt;$O15,$E16:$E$386=$E$2),2,false),0,1)))"),"")</f>
        <v/>
      </c>
      <c r="AM15" s="2" t="str">
        <f>IFERROR(__xludf.DUMMYFUNCTION("REGEXREPLACE(join("","",unique({let(conf_picked,filter(E$1:E14,D$1:D14=D15), byrow(unique(TRANSPOSe(Teams!$1:$1)),lambda(rw,if(ISERROR(match(rw,conf_picked,0)),rw,))));iferror(if(#REF!,,transpose(split(#REF!,"","",1,1))))})), ""^,"", """")"),"AAC,ACC,Big 12,Big Ten,CUSA,MAC,MWC,Pac12,,Sun Belt")</f>
        <v>AAC,ACC,Big 12,Big Ten,CUSA,MAC,MWC,Pac12,,Sun Belt</v>
      </c>
      <c r="AN15" s="86">
        <f>IFERROR(__xludf.DUMMYFUNCTION("iferror($O15-max(filter($O15:$O$386,arrayformula(isnumber(FIND($E15:$E$386,AM15))))))"),-3.0)</f>
        <v>-3</v>
      </c>
      <c r="AO15" s="8">
        <f t="array" ref="AO15">countifs($O$2:$O14,"&lt;"&amp;$O15,isnumber(FIND($E$2:$E14,AM15)),TRUE)</f>
        <v>1</v>
      </c>
      <c r="AP15" s="8">
        <f>IFERROR(__xludf.DUMMYFUNCTION("iferror(COUNT(filter($O16:$O$386,$O16:$O$386&gt;$O15,arrayformula(isnumber(FIND($E16:$E$386,AM15))))))"),7.0)</f>
        <v>7</v>
      </c>
      <c r="AQ15" s="16">
        <f t="shared" si="10"/>
        <v>0</v>
      </c>
      <c r="AR15" s="88">
        <f>IFERROR(__xludf.DUMMYFUNCTION("iferror($O15-min(filter($O15:$O$386,arrayformula(isnumber(FIND($E15:$E$386,AM15))))))"),8.0)</f>
        <v>8</v>
      </c>
      <c r="AS15" s="89" t="str">
        <f>IFERROR(__xludf.DUMMYFUNCTION("iferror(join("","",index(sort(filter($F16:$F$386,$O16:$O$386&gt;$O15,arrayformula(isnumber(FIND($E16:$E$386,AM15)))),2,false),0,1)))"),"West Virginia,Western Michigan,Washington,South Florida,Wisconsin,Penn State,Colorado")</f>
        <v>West Virginia,Western Michigan,Washington,South Florida,Wisconsin,Penn State,Colorado</v>
      </c>
    </row>
    <row r="16">
      <c r="A16" s="13">
        <f t="shared" si="11"/>
        <v>15</v>
      </c>
      <c r="B16" s="13">
        <v>2.0</v>
      </c>
      <c r="C16" s="90">
        <v>5.0</v>
      </c>
      <c r="D16" s="13" t="str">
        <f>D7</f>
        <v>Vu</v>
      </c>
      <c r="E16" s="79" t="str">
        <f>if(F16&lt;&gt;"",VLOOKUP(F16,'Teams-Conference, for lookup'!A:B,2,0),"")</f>
        <v>MWC</v>
      </c>
      <c r="F16" s="13" t="s">
        <v>388</v>
      </c>
      <c r="G16" t="str">
        <f t="shared" si="1"/>
        <v/>
      </c>
      <c r="H16" s="97">
        <f t="shared" si="2"/>
        <v>1</v>
      </c>
      <c r="I16" s="97">
        <f t="shared" si="3"/>
        <v>1</v>
      </c>
      <c r="J16" s="97">
        <f t="shared" si="12"/>
        <v>1</v>
      </c>
      <c r="K16" s="2"/>
      <c r="L16" s="2"/>
      <c r="M16" s="97">
        <f>IFERROR(__xludf.DUMMYFUNCTION("counta(iferror(filter(L$2:L15,E$2:E15=E16,L$2:L15&lt;L16)))"),0.0)</f>
        <v>0</v>
      </c>
      <c r="N16" s="97">
        <f>IFERROR(__xludf.DUMMYFUNCTION("counta(iferror(filter(L17:L$124,E17:E$124=E16,L17:L$125&gt;L16)))"),0.0)</f>
        <v>0</v>
      </c>
      <c r="O16" s="83">
        <f t="array" ref="O16:X16">XLOOKUP(F16,'Current Week'!B:B,'Current Week'!C:O)</f>
        <v>9</v>
      </c>
      <c r="P16" s="83">
        <v>3.0</v>
      </c>
      <c r="Q16" s="2" t="s">
        <v>192</v>
      </c>
      <c r="R16" s="84" t="s">
        <v>106</v>
      </c>
      <c r="S16" s="2"/>
      <c r="T16" s="2">
        <v>-3.0</v>
      </c>
      <c r="U16" s="8" t="s">
        <v>108</v>
      </c>
      <c r="V16" s="2"/>
      <c r="W16" s="8">
        <v>9999.0</v>
      </c>
      <c r="X16" s="2"/>
      <c r="Y16" s="2"/>
      <c r="Z16" s="2"/>
      <c r="AA16" s="86">
        <f t="shared" si="4"/>
        <v>-3</v>
      </c>
      <c r="AB16" s="8">
        <f t="shared" si="5"/>
        <v>3</v>
      </c>
      <c r="AC16" s="8">
        <f>IFERROR(__xludf.DUMMYFUNCTION("iferror(COUNT(filter($O17:$O$386,$O17:$O$386&gt;$O16)))"),7.0)</f>
        <v>7</v>
      </c>
      <c r="AD16" s="16">
        <f t="shared" si="6"/>
        <v>0</v>
      </c>
      <c r="AE16" s="88">
        <f t="shared" si="7"/>
        <v>3</v>
      </c>
      <c r="AF16" s="2" t="str">
        <f>IFERROR(__xludf.DUMMYFUNCTION("iferror(join("","",index(sort(filter($F17:$F$387,$O17:$O$387&gt;$O16),2,false),0,1)))"),"West Virginia,Western Michigan,Washington,South Florida,Wisconsin,Penn State,Colorado")</f>
        <v>West Virginia,Western Michigan,Washington,South Florida,Wisconsin,Penn State,Colorado</v>
      </c>
      <c r="AG16" s="86">
        <f>IFERROR(__xludf.DUMMYFUNCTION("iferror($O16-max(filter($O16:$O$386,$E16:$E$386=$E$2)))"),0.0)</f>
        <v>0</v>
      </c>
      <c r="AH16" s="8">
        <f t="shared" si="8"/>
        <v>0</v>
      </c>
      <c r="AI16" s="8">
        <f>IFERROR(__xludf.DUMMYFUNCTION("iferror(COUNT(filter($O17:$O$386,$O17:$O$386&gt;$O16,$E16:$E$386=$E$2)))"),0.0)</f>
        <v>0</v>
      </c>
      <c r="AJ16" s="16">
        <f t="shared" si="9"/>
        <v>1</v>
      </c>
      <c r="AK16" s="88">
        <f>IFERROR(__xludf.DUMMYFUNCTION("iferror($O16-min(filter($O16:$O$386,$E16:$E$386=$E$2)))"),7.0)</f>
        <v>7</v>
      </c>
      <c r="AL16" s="2" t="str">
        <f>IFERROR(__xludf.DUMMYFUNCTION("iferror(join("","",index(sort(filter($F17:$F$386,$O17:$O$386&gt;$O16,$E17:$E$386=$E$2),2,false),0,1)))"),"")</f>
        <v/>
      </c>
      <c r="AM16" s="2" t="str">
        <f>IFERROR(__xludf.DUMMYFUNCTION("REGEXREPLACE(join("","",unique({let(conf_picked,filter(E$1:E15,D$1:D15=D16), byrow(unique(TRANSPOSe(Teams!$1:$1)),lambda(rw,if(ISERROR(match(rw,conf_picked,0)),rw,))));iferror(if(#REF!,,transpose(split(#REF!,"","",1,1))))})), ""^,"", """")"),"AAC,,Big 12,Big Ten,CUSA,MAC,MWC,Pac12,SEC,Sun Belt")</f>
        <v>AAC,,Big 12,Big Ten,CUSA,MAC,MWC,Pac12,SEC,Sun Belt</v>
      </c>
      <c r="AN16" s="86">
        <f>IFERROR(__xludf.DUMMYFUNCTION("iferror($O16-max(filter($O16:$O$386,arrayformula(isnumber(FIND($E16:$E$386,AM16))))))"),-3.0)</f>
        <v>-3</v>
      </c>
      <c r="AO16" s="8">
        <f t="array" ref="AO16">countifs($O$2:$O15,"&lt;"&amp;$O16,isnumber(FIND($E$2:$E15,AM16)),TRUE)</f>
        <v>3</v>
      </c>
      <c r="AP16" s="8">
        <f>IFERROR(__xludf.DUMMYFUNCTION("iferror(COUNT(filter($O17:$O$386,$O17:$O$386&gt;$O16,arrayformula(isnumber(FIND($E17:$E$386,AM16))))))"),7.0)</f>
        <v>7</v>
      </c>
      <c r="AQ16" s="16">
        <f t="shared" si="10"/>
        <v>0</v>
      </c>
      <c r="AR16" s="88">
        <f>IFERROR(__xludf.DUMMYFUNCTION("iferror($O16-min(filter($O16:$O$386,arrayformula(isnumber(FIND($E16:$E$386,AM16))))))"),8.0)</f>
        <v>8</v>
      </c>
      <c r="AS16" s="89" t="str">
        <f>IFERROR(__xludf.DUMMYFUNCTION("iferror(join("","",index(sort(filter($F17:$F$386,$O17:$O$386&gt;$O16,arrayformula(isnumber(FIND($E17:$E$386,AM16)))),2,false),0,1)))"),"West Virginia,Western Michigan,Washington,South Florida,Wisconsin,Penn State,Colorado")</f>
        <v>West Virginia,Western Michigan,Washington,South Florida,Wisconsin,Penn State,Colorado</v>
      </c>
    </row>
    <row r="17">
      <c r="A17" s="13">
        <f t="shared" si="11"/>
        <v>16</v>
      </c>
      <c r="B17" s="13">
        <v>2.0</v>
      </c>
      <c r="C17" s="90">
        <v>6.0</v>
      </c>
      <c r="D17" s="13" t="str">
        <f>D6</f>
        <v>Nico</v>
      </c>
      <c r="E17" s="92" t="str">
        <f>if(F17&lt;&gt;"",VLOOKUP(F17,'Teams-Conference, for lookup'!A:B,2,0),"")</f>
        <v>Sun Belt</v>
      </c>
      <c r="F17" s="13" t="s">
        <v>327</v>
      </c>
      <c r="G17" t="str">
        <f t="shared" si="1"/>
        <v/>
      </c>
      <c r="H17" s="97">
        <f t="shared" si="2"/>
        <v>0</v>
      </c>
      <c r="I17" s="97">
        <f t="shared" si="3"/>
        <v>2</v>
      </c>
      <c r="J17" s="97">
        <f t="shared" si="12"/>
        <v>0</v>
      </c>
      <c r="K17" s="2"/>
      <c r="L17" s="2"/>
      <c r="M17" s="97">
        <f>IFERROR(__xludf.DUMMYFUNCTION("counta(iferror(filter(L$2:L16,E$2:E16=E17,L$2:L16&lt;L17)))"),0.0)</f>
        <v>0</v>
      </c>
      <c r="N17" s="97">
        <f>IFERROR(__xludf.DUMMYFUNCTION("counta(iferror(filter(L18:L$124,E18:E$124=E17,L18:L$125&gt;L17)))"),0.0)</f>
        <v>0</v>
      </c>
      <c r="O17" s="83">
        <f t="array" ref="O17:X17">XLOOKUP(F17,'Current Week'!B:B,'Current Week'!C:O)</f>
        <v>9</v>
      </c>
      <c r="P17" s="83">
        <v>3.0</v>
      </c>
      <c r="Q17" s="2" t="s">
        <v>143</v>
      </c>
      <c r="R17" s="2" t="s">
        <v>106</v>
      </c>
      <c r="S17" s="2"/>
      <c r="T17" s="8">
        <v>1.0</v>
      </c>
      <c r="U17" s="8" t="s">
        <v>108</v>
      </c>
      <c r="V17" s="2"/>
      <c r="W17" s="8">
        <v>9999.0</v>
      </c>
      <c r="X17" s="2"/>
      <c r="Y17" s="2"/>
      <c r="Z17" s="2"/>
      <c r="AA17" s="86">
        <f t="shared" si="4"/>
        <v>-3</v>
      </c>
      <c r="AB17" s="8">
        <f t="shared" si="5"/>
        <v>3</v>
      </c>
      <c r="AC17" s="8">
        <f>IFERROR(__xludf.DUMMYFUNCTION("iferror(COUNT(filter($O18:$O$386,$O18:$O$386&gt;$O17)))"),7.0)</f>
        <v>7</v>
      </c>
      <c r="AD17" s="16">
        <f t="shared" si="6"/>
        <v>0</v>
      </c>
      <c r="AE17" s="88">
        <f t="shared" si="7"/>
        <v>3</v>
      </c>
      <c r="AF17" s="2" t="str">
        <f>IFERROR(__xludf.DUMMYFUNCTION("iferror(join("","",index(sort(filter($F18:$F$387,$O18:$O$387&gt;$O17),2,false),0,1)))"),"West Virginia,Western Michigan,Washington,South Florida,Wisconsin,Penn State,Colorado")</f>
        <v>West Virginia,Western Michigan,Washington,South Florida,Wisconsin,Penn State,Colorado</v>
      </c>
      <c r="AG17" s="86">
        <f>IFERROR(__xludf.DUMMYFUNCTION("iferror($O17-max(filter($O17:$O$386,$E17:$E$386=$E$2)))"),0.0)</f>
        <v>0</v>
      </c>
      <c r="AH17" s="8">
        <f t="shared" si="8"/>
        <v>0</v>
      </c>
      <c r="AI17" s="8">
        <f>IFERROR(__xludf.DUMMYFUNCTION("iferror(COUNT(filter($O18:$O$386,$O18:$O$386&gt;$O17,$E17:$E$386=$E$2)))"),0.0)</f>
        <v>0</v>
      </c>
      <c r="AJ17" s="16">
        <f t="shared" si="9"/>
        <v>1</v>
      </c>
      <c r="AK17" s="88">
        <f>IFERROR(__xludf.DUMMYFUNCTION("iferror($O17-min(filter($O17:$O$386,$E17:$E$386=$E$2)))"),7.0)</f>
        <v>7</v>
      </c>
      <c r="AL17" s="2" t="str">
        <f>IFERROR(__xludf.DUMMYFUNCTION("iferror(join("","",index(sort(filter($F18:$F$386,$O18:$O$386&gt;$O17,$E18:$E$386=$E$2),2,false),0,1)))"),"")</f>
        <v/>
      </c>
      <c r="AM17" s="2" t="str">
        <f>IFERROR(__xludf.DUMMYFUNCTION("REGEXREPLACE(join("","",unique({let(conf_picked,filter(E$1:E16,D$1:D16=D17), byrow(unique(TRANSPOSe(Teams!$1:$1)),lambda(rw,if(ISERROR(match(rw,conf_picked,0)),rw,))));iferror(if(#REF!,,transpose(split(#REF!,"","",1,1))))})), ""^,"", """")"),"AAC,ACC,Big 12,Big Ten,CUSA,MAC,,Pac12,SEC,Sun Belt")</f>
        <v>AAC,ACC,Big 12,Big Ten,CUSA,MAC,,Pac12,SEC,Sun Belt</v>
      </c>
      <c r="AN17" s="86">
        <f>IFERROR(__xludf.DUMMYFUNCTION("iferror($O17-max(filter($O17:$O$386,arrayformula(isnumber(FIND($E17:$E$386,AM17))))))"),-3.0)</f>
        <v>-3</v>
      </c>
      <c r="AO17" s="8">
        <f t="array" ref="AO17">countifs($O$2:$O16,"&lt;"&amp;$O17,isnumber(FIND($E$2:$E16,AM17)),TRUE)</f>
        <v>3</v>
      </c>
      <c r="AP17" s="8">
        <f>IFERROR(__xludf.DUMMYFUNCTION("iferror(COUNT(filter($O18:$O$386,$O18:$O$386&gt;$O17,arrayformula(isnumber(FIND($E18:$E$386,AM17))))))"),7.0)</f>
        <v>7</v>
      </c>
      <c r="AQ17" s="16">
        <f t="shared" si="10"/>
        <v>0</v>
      </c>
      <c r="AR17" s="88">
        <f>IFERROR(__xludf.DUMMYFUNCTION("iferror($O17-min(filter($O17:$O$386,arrayformula(isnumber(FIND($E17:$E$386,AM17))))))"),7.0)</f>
        <v>7</v>
      </c>
      <c r="AS17" s="89" t="str">
        <f>IFERROR(__xludf.DUMMYFUNCTION("iferror(join("","",index(sort(filter($F18:$F$386,$O18:$O$386&gt;$O17,arrayformula(isnumber(FIND($E18:$E$386,AM17)))),2,false),0,1)))"),"West Virginia,Western Michigan,Washington,South Florida,Wisconsin,Penn State,Colorado")</f>
        <v>West Virginia,Western Michigan,Washington,South Florida,Wisconsin,Penn State,Colorado</v>
      </c>
    </row>
    <row r="18">
      <c r="A18" s="13">
        <f t="shared" si="11"/>
        <v>17</v>
      </c>
      <c r="B18" s="13">
        <v>2.0</v>
      </c>
      <c r="C18" s="90">
        <v>7.0</v>
      </c>
      <c r="D18" s="13" t="str">
        <f>D5</f>
        <v>Brad</v>
      </c>
      <c r="E18" s="79" t="str">
        <f>if(F18&lt;&gt;"",VLOOKUP(F18,'Teams-Conference, for lookup'!A:B,2,0),"")</f>
        <v>CUSA</v>
      </c>
      <c r="F18" s="13" t="s">
        <v>198</v>
      </c>
      <c r="G18" t="str">
        <f t="shared" si="1"/>
        <v/>
      </c>
      <c r="H18" s="97">
        <f t="shared" si="2"/>
        <v>1</v>
      </c>
      <c r="I18" s="97">
        <f t="shared" si="3"/>
        <v>1</v>
      </c>
      <c r="J18" s="97">
        <f t="shared" si="12"/>
        <v>0</v>
      </c>
      <c r="K18" s="2"/>
      <c r="L18" s="2"/>
      <c r="M18" s="97">
        <f>IFERROR(__xludf.DUMMYFUNCTION("counta(iferror(filter(L$2:L17,E$2:E17=E18,L$2:L17&lt;L18)))"),0.0)</f>
        <v>0</v>
      </c>
      <c r="N18" s="97">
        <f>IFERROR(__xludf.DUMMYFUNCTION("counta(iferror(filter(L19:L$124,E19:E$124=E18,L19:L$125&gt;L18)))"),0.0)</f>
        <v>0</v>
      </c>
      <c r="O18" s="83">
        <f t="array" ref="O18:X18">XLOOKUP(F18,'Current Week'!B:B,'Current Week'!C:O)</f>
        <v>9</v>
      </c>
      <c r="P18" s="83">
        <v>3.0</v>
      </c>
      <c r="Q18" s="2" t="s">
        <v>178</v>
      </c>
      <c r="R18" s="2" t="s">
        <v>106</v>
      </c>
      <c r="S18" s="2"/>
      <c r="T18" s="2">
        <v>-4.0</v>
      </c>
      <c r="U18" s="8" t="s">
        <v>108</v>
      </c>
      <c r="V18" s="2"/>
      <c r="W18" s="8">
        <v>9999.0</v>
      </c>
      <c r="X18" s="2"/>
      <c r="Y18" s="2"/>
      <c r="Z18" s="2"/>
      <c r="AA18" s="86">
        <f t="shared" si="4"/>
        <v>-3</v>
      </c>
      <c r="AB18" s="8">
        <f t="shared" si="5"/>
        <v>3</v>
      </c>
      <c r="AC18" s="8">
        <f>IFERROR(__xludf.DUMMYFUNCTION("iferror(COUNT(filter($O19:$O$386,$O19:$O$386&gt;$O18)))"),7.0)</f>
        <v>7</v>
      </c>
      <c r="AD18" s="16">
        <f t="shared" si="6"/>
        <v>0</v>
      </c>
      <c r="AE18" s="88">
        <f t="shared" si="7"/>
        <v>3</v>
      </c>
      <c r="AF18" s="2" t="str">
        <f>IFERROR(__xludf.DUMMYFUNCTION("iferror(join("","",index(sort(filter($F19:$F$387,$O19:$O$387&gt;$O18),2,false),0,1)))"),"West Virginia,Western Michigan,Washington,South Florida,Wisconsin,Penn State,Colorado")</f>
        <v>West Virginia,Western Michigan,Washington,South Florida,Wisconsin,Penn State,Colorado</v>
      </c>
      <c r="AG18" s="86">
        <f>IFERROR(__xludf.DUMMYFUNCTION("iferror($O18-max(filter($O18:$O$386,$E18:$E$386=$E$2)))"),0.0)</f>
        <v>0</v>
      </c>
      <c r="AH18" s="8">
        <f t="shared" si="8"/>
        <v>0</v>
      </c>
      <c r="AI18" s="8">
        <f>IFERROR(__xludf.DUMMYFUNCTION("iferror(COUNT(filter($O19:$O$386,$O19:$O$386&gt;$O18,$E18:$E$386=$E$2)))"),0.0)</f>
        <v>0</v>
      </c>
      <c r="AJ18" s="16">
        <f t="shared" si="9"/>
        <v>1</v>
      </c>
      <c r="AK18" s="88">
        <f>IFERROR(__xludf.DUMMYFUNCTION("iferror($O18-min(filter($O18:$O$386,$E18:$E$386=$E$2)))"),7.0)</f>
        <v>7</v>
      </c>
      <c r="AL18" s="2" t="str">
        <f>IFERROR(__xludf.DUMMYFUNCTION("iferror(join("","",index(sort(filter($F19:$F$386,$O19:$O$386&gt;$O18,$E19:$E$386=$E$2),2,false),0,1)))"),"")</f>
        <v/>
      </c>
      <c r="AM18" s="2" t="str">
        <f>IFERROR(__xludf.DUMMYFUNCTION("REGEXREPLACE(join("","",unique({let(conf_picked,filter(E$1:E17,D$1:D17=D18), byrow(unique(TRANSPOSe(Teams!$1:$1)),lambda(rw,if(ISERROR(match(rw,conf_picked,0)),rw,))));iferror(if(#REF!,,transpose(split(#REF!,"","",1,1))))})), ""^,"", """")"),"AAC,ACC,,Big Ten,CUSA,MAC,MWC,Pac12,SEC,Sun Belt")</f>
        <v>AAC,ACC,,Big Ten,CUSA,MAC,MWC,Pac12,SEC,Sun Belt</v>
      </c>
      <c r="AN18" s="86">
        <f>IFERROR(__xludf.DUMMYFUNCTION("iferror($O18-max(filter($O18:$O$386,arrayformula(isnumber(FIND($E18:$E$386,AM18))))))"),-3.0)</f>
        <v>-3</v>
      </c>
      <c r="AO18" s="8">
        <f t="array" ref="AO18">countifs($O$2:$O17,"&lt;"&amp;$O18,isnumber(FIND($E$2:$E17,AM18)),TRUE)</f>
        <v>2</v>
      </c>
      <c r="AP18" s="8">
        <f>IFERROR(__xludf.DUMMYFUNCTION("iferror(COUNT(filter($O19:$O$386,$O19:$O$386&gt;$O18,arrayformula(isnumber(FIND($E19:$E$386,AM18))))))"),6.0)</f>
        <v>6</v>
      </c>
      <c r="AQ18" s="16">
        <f t="shared" si="10"/>
        <v>0</v>
      </c>
      <c r="AR18" s="88">
        <f>IFERROR(__xludf.DUMMYFUNCTION("iferror($O18-min(filter($O18:$O$386,arrayformula(isnumber(FIND($E18:$E$386,AM18))))))"),8.0)</f>
        <v>8</v>
      </c>
      <c r="AS18" s="89" t="str">
        <f>IFERROR(__xludf.DUMMYFUNCTION("iferror(join("","",index(sort(filter($F19:$F$386,$O19:$O$386&gt;$O18,arrayformula(isnumber(FIND($E19:$E$386,AM18)))),2,false),0,1)))"),"Western Michigan,Washington,South Florida,Wisconsin,Penn State,Colorado")</f>
        <v>Western Michigan,Washington,South Florida,Wisconsin,Penn State,Colorado</v>
      </c>
    </row>
    <row r="19">
      <c r="A19" s="13">
        <f t="shared" si="11"/>
        <v>18</v>
      </c>
      <c r="B19" s="13">
        <v>2.0</v>
      </c>
      <c r="C19" s="90">
        <v>8.0</v>
      </c>
      <c r="D19" s="91" t="str">
        <f>D4</f>
        <v>Jacob</v>
      </c>
      <c r="E19" s="79" t="str">
        <f>if(F19&lt;&gt;"",VLOOKUP(F19,'Teams-Conference, for lookup'!A:B,2,0),"")</f>
        <v>CUSA</v>
      </c>
      <c r="F19" s="13" t="s">
        <v>182</v>
      </c>
      <c r="G19" t="str">
        <f t="shared" si="1"/>
        <v/>
      </c>
      <c r="H19" s="97">
        <f t="shared" si="2"/>
        <v>0</v>
      </c>
      <c r="I19" s="97">
        <f t="shared" si="3"/>
        <v>0</v>
      </c>
      <c r="J19" s="97">
        <f t="shared" si="12"/>
        <v>1</v>
      </c>
      <c r="K19" s="2"/>
      <c r="L19" s="2"/>
      <c r="M19" s="97">
        <f>IFERROR(__xludf.DUMMYFUNCTION("counta(iferror(filter(L$2:L18,E$2:E18=E19,L$2:L18&lt;L19)))"),0.0)</f>
        <v>0</v>
      </c>
      <c r="N19" s="97">
        <f>IFERROR(__xludf.DUMMYFUNCTION("counta(iferror(filter(L20:L$124,E20:E$124=E19,L20:L$125&gt;L19)))"),0.0)</f>
        <v>0</v>
      </c>
      <c r="O19" s="83">
        <f t="array" ref="O19:X19">XLOOKUP(F19,'Current Week'!B:B,'Current Week'!C:O)</f>
        <v>6</v>
      </c>
      <c r="P19" s="83">
        <v>6.0</v>
      </c>
      <c r="Q19" s="2" t="s">
        <v>114</v>
      </c>
      <c r="R19" s="84" t="s">
        <v>106</v>
      </c>
      <c r="S19" s="2"/>
      <c r="T19" s="8" t="s">
        <v>115</v>
      </c>
      <c r="U19" s="8" t="s">
        <v>115</v>
      </c>
      <c r="V19" s="2"/>
      <c r="W19" s="8">
        <v>9999.0</v>
      </c>
      <c r="X19" s="2"/>
      <c r="Y19" s="2"/>
      <c r="Z19" s="2"/>
      <c r="AA19" s="86">
        <f t="shared" si="4"/>
        <v>-6</v>
      </c>
      <c r="AB19" s="8">
        <f t="shared" si="5"/>
        <v>0</v>
      </c>
      <c r="AC19" s="8">
        <f>IFERROR(__xludf.DUMMYFUNCTION("iferror(COUNT(filter($O20:$O$386,$O20:$O$386&gt;$O19)))"),42.0)</f>
        <v>42</v>
      </c>
      <c r="AD19" s="16">
        <f t="shared" si="6"/>
        <v>0</v>
      </c>
      <c r="AE19" s="88">
        <f t="shared" si="7"/>
        <v>0</v>
      </c>
      <c r="AF19" s="2" t="str">
        <f>IFERROR(__xludf.DUMMYFUNCTION("iferror(join("","",index(sort(filter($F20:$F$387,$O20:$O$387&gt;$O19),2,false),0,1)))"),"Air Force,Iowa,West Virginia,Nebraska,Western Michigan,Arkansas State,Washington,South Florida,North Carolina,Kansas State,Temple,Toledo,Troy,Middle Tennessee,Georgia,Wisconsin,Navy,USC,Louisiana Tech,Ohio,Virginia Tech,Washington State,Memphis,Utah,Color"&amp;"ado State,New Mexico,Florida,Miami,Tulsa,Pittsburgh,Arkansas,Idaho,Penn State,Minnesota,Georgia Tech,Texas A&amp;M,Old Dominion,Auburn,Colorado,Wyoming,Eastern Michigan,Kentucky")</f>
        <v>Air Force,Iowa,West Virginia,Nebraska,Western Michigan,Arkansas State,Washington,South Florida,North Carolina,Kansas State,Temple,Toledo,Troy,Middle Tennessee,Georgia,Wisconsin,Navy,USC,Louisiana Tech,Ohio,Virginia Tech,Washington State,Memphis,Utah,Colorado State,New Mexico,Florida,Miami,Tulsa,Pittsburgh,Arkansas,Idaho,Penn State,Minnesota,Georgia Tech,Texas A&amp;M,Old Dominion,Auburn,Colorado,Wyoming,Eastern Michigan,Kentucky</v>
      </c>
      <c r="AG19" s="86">
        <f>IFERROR(__xludf.DUMMYFUNCTION("iferror($O19-max(filter($O19:$O$386,$E19:$E$386=$E$2)))"),-3.0)</f>
        <v>-3</v>
      </c>
      <c r="AH19" s="8">
        <f t="shared" si="8"/>
        <v>0</v>
      </c>
      <c r="AI19" s="8">
        <f>IFERROR(__xludf.DUMMYFUNCTION("iferror(COUNT(filter($O20:$O$386,$O20:$O$386&gt;$O19,$E19:$E$386=$E$2)))"),0.0)</f>
        <v>0</v>
      </c>
      <c r="AJ19" s="16">
        <f t="shared" si="9"/>
        <v>0</v>
      </c>
      <c r="AK19" s="88">
        <f>IFERROR(__xludf.DUMMYFUNCTION("iferror($O19-min(filter($O19:$O$386,$E19:$E$386=$E$2)))"),4.0)</f>
        <v>4</v>
      </c>
      <c r="AL19" s="2" t="str">
        <f>IFERROR(__xludf.DUMMYFUNCTION("iferror(join("","",index(sort(filter($F20:$F$386,$O20:$O$386&gt;$O19,$E20:$E$386=$E$2),2,false),0,1)))"),"North Carolina,Virginia Tech,Miami,Pittsburgh,Georgia Tech")</f>
        <v>North Carolina,Virginia Tech,Miami,Pittsburgh,Georgia Tech</v>
      </c>
      <c r="AM19" s="2" t="str">
        <f>IFERROR(__xludf.DUMMYFUNCTION("REGEXREPLACE(join("","",unique({let(conf_picked,filter(E$1:E18,D$1:D18=D19), byrow(unique(TRANSPOSe(Teams!$1:$1)),lambda(rw,if(ISERROR(match(rw,conf_picked,0)),rw,))));iferror(if(#REF!,,transpose(split(#REF!,"","",1,1))))})), ""^,"", """")"),"AAC,ACC,Big 12,Big Ten,CUSA,MAC,MWC,Pac12,,Sun Belt")</f>
        <v>AAC,ACC,Big 12,Big Ten,CUSA,MAC,MWC,Pac12,,Sun Belt</v>
      </c>
      <c r="AN19" s="86">
        <f>IFERROR(__xludf.DUMMYFUNCTION("iferror($O19-max(filter($O19:$O$386,arrayformula(isnumber(FIND($E19:$E$386,AM19))))))"),-6.0)</f>
        <v>-6</v>
      </c>
      <c r="AO19" s="8">
        <f t="array" ref="AO19">countifs($O$2:$O18,"&lt;"&amp;$O19,isnumber(FIND($E$2:$E18,AM19)),TRUE)</f>
        <v>0</v>
      </c>
      <c r="AP19" s="8">
        <f>IFERROR(__xludf.DUMMYFUNCTION("iferror(COUNT(filter($O20:$O$386,$O20:$O$386&gt;$O19,arrayformula(isnumber(FIND($E20:$E$386,AM19))))))"),36.0)</f>
        <v>36</v>
      </c>
      <c r="AQ19" s="16">
        <f t="shared" si="10"/>
        <v>0</v>
      </c>
      <c r="AR19" s="88">
        <f>IFERROR(__xludf.DUMMYFUNCTION("iferror($O19-min(filter($O19:$O$386,arrayformula(isnumber(FIND($E19:$E$386,AM19))))))"),5.0)</f>
        <v>5</v>
      </c>
      <c r="AS19" s="89" t="str">
        <f>IFERROR(__xludf.DUMMYFUNCTION("iferror(join("","",index(sort(filter($F20:$F$386,$O20:$O$386&gt;$O19,arrayformula(isnumber(FIND($E20:$E$386,AM19)))),2,false),0,1)))"),"Air Force,Iowa,West Virginia,Nebraska,Western Michigan,Arkansas State,Washington,South Florida,North Carolina,Kansas State,Temple,Toledo,Troy,Middle Tennessee,Wisconsin,Navy,USC,Louisiana Tech,Ohio,Virginia Tech,Washington State,Memphis,Utah,Colorado Stat"&amp;"e,New Mexico,Miami,Tulsa,Pittsburgh,Idaho,Penn State,Minnesota,Georgia Tech,Old Dominion,Colorado,Wyoming,Eastern Michigan")</f>
        <v>Air Force,Iowa,West Virginia,Nebraska,Western Michigan,Arkansas State,Washington,South Florida,North Carolina,Kansas State,Temple,Toledo,Troy,Middle Tennessee,Wisconsin,Navy,USC,Louisiana Tech,Ohio,Virginia Tech,Washington State,Memphis,Utah,Colorado State,New Mexico,Miami,Tulsa,Pittsburgh,Idaho,Penn State,Minnesota,Georgia Tech,Old Dominion,Colorado,Wyoming,Eastern Michigan</v>
      </c>
    </row>
    <row r="20">
      <c r="A20" s="13">
        <f t="shared" si="11"/>
        <v>19</v>
      </c>
      <c r="B20" s="13">
        <v>2.0</v>
      </c>
      <c r="C20" s="90">
        <v>9.0</v>
      </c>
      <c r="D20" s="91" t="str">
        <f>D3</f>
        <v>Josh R.</v>
      </c>
      <c r="E20" s="79" t="str">
        <f>if(F20&lt;&gt;"",VLOOKUP(F20,'Teams-Conference, for lookup'!A:B,2,0),"")</f>
        <v>MWC</v>
      </c>
      <c r="F20" t="s">
        <v>144</v>
      </c>
      <c r="G20" t="str">
        <f t="shared" si="1"/>
        <v/>
      </c>
      <c r="H20" s="97">
        <f t="shared" si="2"/>
        <v>0</v>
      </c>
      <c r="I20" s="97">
        <f t="shared" si="3"/>
        <v>0</v>
      </c>
      <c r="J20" s="97">
        <f t="shared" si="12"/>
        <v>1</v>
      </c>
      <c r="K20" s="2"/>
      <c r="L20" s="2"/>
      <c r="M20" s="97">
        <f>IFERROR(__xludf.DUMMYFUNCTION("counta(iferror(filter(L$2:L19,E$2:E19=E20,L$2:L19&lt;L20)))"),0.0)</f>
        <v>0</v>
      </c>
      <c r="N20" s="97">
        <f>IFERROR(__xludf.DUMMYFUNCTION("counta(iferror(filter(L21:L$124,E21:E$124=E20,L21:L$125&gt;L20)))"),0.0)</f>
        <v>0</v>
      </c>
      <c r="O20" s="83">
        <f t="array" ref="O20:X20">XLOOKUP(F20,'Current Week'!B:B,'Current Week'!C:O)</f>
        <v>9</v>
      </c>
      <c r="P20" s="83">
        <v>3.0</v>
      </c>
      <c r="Q20" s="2" t="s">
        <v>148</v>
      </c>
      <c r="R20" s="2" t="s">
        <v>106</v>
      </c>
      <c r="S20" s="2"/>
      <c r="T20" s="2" t="s">
        <v>149</v>
      </c>
      <c r="U20" s="8" t="s">
        <v>108</v>
      </c>
      <c r="V20" s="2"/>
      <c r="W20" s="8">
        <v>9999.0</v>
      </c>
      <c r="X20" s="2"/>
      <c r="Y20" s="2"/>
      <c r="Z20" s="2"/>
      <c r="AA20" s="86">
        <f t="shared" si="4"/>
        <v>-3</v>
      </c>
      <c r="AB20" s="8">
        <f t="shared" si="5"/>
        <v>4</v>
      </c>
      <c r="AC20" s="8">
        <f>IFERROR(__xludf.DUMMYFUNCTION("iferror(COUNT(filter($O21:$O$386,$O21:$O$386&gt;$O20)))"),7.0)</f>
        <v>7</v>
      </c>
      <c r="AD20" s="16">
        <f t="shared" si="6"/>
        <v>0</v>
      </c>
      <c r="AE20" s="88">
        <f t="shared" si="7"/>
        <v>3</v>
      </c>
      <c r="AF20" s="2" t="str">
        <f>IFERROR(__xludf.DUMMYFUNCTION("iferror(join("","",index(sort(filter($F21:$F$387,$O21:$O$387&gt;$O20),2,false),0,1)))"),"West Virginia,Western Michigan,Washington,South Florida,Wisconsin,Penn State,Colorado")</f>
        <v>West Virginia,Western Michigan,Washington,South Florida,Wisconsin,Penn State,Colorado</v>
      </c>
      <c r="AG20" s="86">
        <f>IFERROR(__xludf.DUMMYFUNCTION("iferror($O20-max(filter($O20:$O$386,$E20:$E$386=$E$2)))"),0.0)</f>
        <v>0</v>
      </c>
      <c r="AH20" s="8">
        <f t="shared" si="8"/>
        <v>0</v>
      </c>
      <c r="AI20" s="8">
        <f>IFERROR(__xludf.DUMMYFUNCTION("iferror(COUNT(filter($O21:$O$386,$O21:$O$386&gt;$O20,$E20:$E$386=$E$2)))"),0.0)</f>
        <v>0</v>
      </c>
      <c r="AJ20" s="16">
        <f t="shared" si="9"/>
        <v>1</v>
      </c>
      <c r="AK20" s="88">
        <f>IFERROR(__xludf.DUMMYFUNCTION("iferror($O20-min(filter($O20:$O$386,$E20:$E$386=$E$2)))"),7.0)</f>
        <v>7</v>
      </c>
      <c r="AL20" s="2" t="str">
        <f>IFERROR(__xludf.DUMMYFUNCTION("iferror(join("","",index(sort(filter($F21:$F$386,$O21:$O$386&gt;$O20,$E21:$E$386=$E$2),2,false),0,1)))"),"")</f>
        <v/>
      </c>
      <c r="AM20" s="2" t="str">
        <f>IFERROR(__xludf.DUMMYFUNCTION("REGEXREPLACE(join("","",unique({let(conf_picked,filter(E$1:E19,D$1:D19=D20), byrow(unique(TRANSPOSe(Teams!$1:$1)),lambda(rw,if(ISERROR(match(rw,conf_picked,0)),rw,))));iferror(if(#REF!,,transpose(split(#REF!,"","",1,1))))})), ""^,"", """")"),"ACC,Big 12,Big Ten,CUSA,MAC,MWC,Pac12,SEC,Sun Belt")</f>
        <v>ACC,Big 12,Big Ten,CUSA,MAC,MWC,Pac12,SEC,Sun Belt</v>
      </c>
      <c r="AN20" s="86">
        <f>IFERROR(__xludf.DUMMYFUNCTION("iferror($O20-max(filter($O20:$O$386,arrayformula(isnumber(FIND($E20:$E$386,AM20))))))"),-3.0)</f>
        <v>-3</v>
      </c>
      <c r="AO20" s="8">
        <f t="array" ref="AO20">countifs($O$2:$O19,"&lt;"&amp;$O20,isnumber(FIND($E$2:$E19,AM20)),TRUE)</f>
        <v>4</v>
      </c>
      <c r="AP20" s="8">
        <f>IFERROR(__xludf.DUMMYFUNCTION("iferror(COUNT(filter($O21:$O$386,$O21:$O$386&gt;$O20,arrayformula(isnumber(FIND($E21:$E$386,AM20))))))"),6.0)</f>
        <v>6</v>
      </c>
      <c r="AQ20" s="16">
        <f t="shared" si="10"/>
        <v>0</v>
      </c>
      <c r="AR20" s="88">
        <f>IFERROR(__xludf.DUMMYFUNCTION("iferror($O20-min(filter($O20:$O$386,arrayformula(isnumber(FIND($E20:$E$386,AM20))))))"),8.0)</f>
        <v>8</v>
      </c>
      <c r="AS20" s="89" t="str">
        <f>IFERROR(__xludf.DUMMYFUNCTION("iferror(join("","",index(sort(filter($F21:$F$386,$O21:$O$386&gt;$O20,arrayformula(isnumber(FIND($E21:$E$386,AM20)))),2,false),0,1)))"),"West Virginia,Western Michigan,Washington,Wisconsin,Penn State,Colorado")</f>
        <v>West Virginia,Western Michigan,Washington,Wisconsin,Penn State,Colorado</v>
      </c>
    </row>
    <row r="21">
      <c r="A21" s="151">
        <f t="shared" si="11"/>
        <v>20</v>
      </c>
      <c r="B21" s="151">
        <v>2.0</v>
      </c>
      <c r="C21" s="90">
        <v>10.0</v>
      </c>
      <c r="D21" s="151" t="str">
        <f>D2</f>
        <v>Gary</v>
      </c>
      <c r="E21" s="147" t="str">
        <f>if(F21&lt;&gt;"",VLOOKUP(F21,'Teams-Conference, for lookup'!A:B,2,0),"")</f>
        <v>Big 12</v>
      </c>
      <c r="F21" s="152" t="s">
        <v>100</v>
      </c>
      <c r="G21" s="151" t="str">
        <f t="shared" si="1"/>
        <v/>
      </c>
      <c r="H21" s="81">
        <f t="shared" si="2"/>
        <v>3</v>
      </c>
      <c r="I21" s="81">
        <f t="shared" si="3"/>
        <v>4</v>
      </c>
      <c r="J21" s="81">
        <f t="shared" si="12"/>
        <v>2</v>
      </c>
      <c r="K21" s="82"/>
      <c r="L21" s="82"/>
      <c r="M21" s="81">
        <f>IFERROR(__xludf.DUMMYFUNCTION("counta(iferror(filter(L$2:L20,E$2:E20=E21,L$2:L20&lt;L21)))"),0.0)</f>
        <v>0</v>
      </c>
      <c r="N21" s="81">
        <f>IFERROR(__xludf.DUMMYFUNCTION("counta(iferror(filter(L22:L$124,E22:E$124=E21,L22:L$125&gt;L21)))"),0.0)</f>
        <v>0</v>
      </c>
      <c r="O21" s="83">
        <f t="array" ref="O21:X21">XLOOKUP(F21,'Current Week'!B:B,'Current Week'!C:O)</f>
        <v>6</v>
      </c>
      <c r="P21" s="81">
        <v>5.0</v>
      </c>
      <c r="Q21" s="82" t="s">
        <v>105</v>
      </c>
      <c r="R21" s="82" t="s">
        <v>106</v>
      </c>
      <c r="S21" s="82"/>
      <c r="T21" s="85">
        <v>1.0</v>
      </c>
      <c r="U21" s="85" t="s">
        <v>108</v>
      </c>
      <c r="V21" s="82"/>
      <c r="W21" s="85">
        <v>9999.0</v>
      </c>
      <c r="X21" s="82"/>
      <c r="Y21" s="82"/>
      <c r="Z21" s="82"/>
      <c r="AA21" s="86">
        <f t="shared" si="4"/>
        <v>-6</v>
      </c>
      <c r="AB21" s="85">
        <f t="shared" si="5"/>
        <v>0</v>
      </c>
      <c r="AC21" s="85">
        <f>IFERROR(__xludf.DUMMYFUNCTION("iferror(COUNT(filter($O22:$O$386,$O22:$O$386&gt;$O21)))"),41.0)</f>
        <v>41</v>
      </c>
      <c r="AD21" s="87">
        <f t="shared" si="6"/>
        <v>0</v>
      </c>
      <c r="AE21" s="88">
        <f t="shared" si="7"/>
        <v>0</v>
      </c>
      <c r="AF21" s="82" t="str">
        <f>IFERROR(__xludf.DUMMYFUNCTION("iferror(join("","",index(sort(filter($F22:$F$387,$O22:$O$387&gt;$O21),2,false),0,1)))"),"Iowa,West Virginia,Nebraska,Western Michigan,Arkansas State,Washington,South Florida,North Carolina,Kansas State,Temple,Toledo,Troy,Middle Tennessee,Georgia,Wisconsin,Navy,USC,Louisiana Tech,Ohio,Virginia Tech,Washington State,Memphis,Utah,Colorado State,"&amp;"New Mexico,Florida,Miami,Tulsa,Pittsburgh,Arkansas,Idaho,Penn State,Minnesota,Georgia Tech,Texas A&amp;M,Old Dominion,Auburn,Colorado,Wyoming,Eastern Michigan,Kentucky")</f>
        <v>Iowa,West Virginia,Nebraska,Western Michigan,Arkansas State,Washington,South Florida,North Carolina,Kansas State,Temple,Toledo,Troy,Middle Tennessee,Georgia,Wisconsin,Navy,USC,Louisiana Tech,Ohio,Virginia Tech,Washington State,Memphis,Utah,Colorado State,New Mexico,Florida,Miami,Tulsa,Pittsburgh,Arkansas,Idaho,Penn State,Minnesota,Georgia Tech,Texas A&amp;M,Old Dominion,Auburn,Colorado,Wyoming,Eastern Michigan,Kentucky</v>
      </c>
      <c r="AG21" s="86">
        <f>IFERROR(__xludf.DUMMYFUNCTION("iferror($O21-max(filter($O21:$O$386,$E21:$E$386=$E$2)))"),-3.0)</f>
        <v>-3</v>
      </c>
      <c r="AH21" s="85">
        <f t="shared" si="8"/>
        <v>0</v>
      </c>
      <c r="AI21" s="85">
        <f>IFERROR(__xludf.DUMMYFUNCTION("iferror(COUNT(filter($O22:$O$386,$O22:$O$386&gt;$O21,$E21:$E$386=$E$2)))"),0.0)</f>
        <v>0</v>
      </c>
      <c r="AJ21" s="87">
        <f t="shared" si="9"/>
        <v>0</v>
      </c>
      <c r="AK21" s="88">
        <f>IFERROR(__xludf.DUMMYFUNCTION("iferror($O21-min(filter($O21:$O$386,$E21:$E$386=$E$2)))"),4.0)</f>
        <v>4</v>
      </c>
      <c r="AL21" s="82" t="str">
        <f>IFERROR(__xludf.DUMMYFUNCTION("iferror(join("","",index(sort(filter($F22:$F$386,$O22:$O$386&gt;$O21,$E22:$E$386=$E$2),2,false),0,1)))"),"North Carolina,Virginia Tech,Miami,Pittsburgh,Georgia Tech")</f>
        <v>North Carolina,Virginia Tech,Miami,Pittsburgh,Georgia Tech</v>
      </c>
      <c r="AM21" s="82" t="str">
        <f>IFERROR(__xludf.DUMMYFUNCTION("REGEXREPLACE(join("","",unique({let(conf_picked,filter(E$1:E20,D$1:D20=D21), byrow(unique(TRANSPOSe(Teams!$1:$1)),lambda(rw,if(ISERROR(match(rw,conf_picked,0)),rw,))));iferror(if(#REF!,,transpose(split(#REF!,"","",1,1))))})), ""^,"", """")"),"AAC,,Big 12,Big Ten,CUSA,MAC,MWC,Pac12,SEC,Sun Belt")</f>
        <v>AAC,,Big 12,Big Ten,CUSA,MAC,MWC,Pac12,SEC,Sun Belt</v>
      </c>
      <c r="AN21" s="86">
        <f>IFERROR(__xludf.DUMMYFUNCTION("iferror($O21-max(filter($O21:$O$386,arrayformula(isnumber(FIND($E21:$E$386,AM21))))))"),-6.0)</f>
        <v>-6</v>
      </c>
      <c r="AO21" s="85">
        <f t="array" ref="AO21">countifs($O$2:$O20,"&lt;"&amp;$O21,isnumber(FIND($E$2:$E20,AM21)),TRUE)</f>
        <v>0</v>
      </c>
      <c r="AP21" s="85">
        <f>IFERROR(__xludf.DUMMYFUNCTION("iferror(COUNT(filter($O22:$O$386,$O22:$O$386&gt;$O21,arrayformula(isnumber(FIND($E22:$E$386,AM21))))))"),36.0)</f>
        <v>36</v>
      </c>
      <c r="AQ21" s="87">
        <f t="shared" si="10"/>
        <v>0</v>
      </c>
      <c r="AR21" s="88">
        <f>IFERROR(__xludf.DUMMYFUNCTION("iferror($O21-min(filter($O21:$O$386,arrayformula(isnumber(FIND($E21:$E$386,AM21))))))"),5.0)</f>
        <v>5</v>
      </c>
      <c r="AS21" s="89" t="str">
        <f>IFERROR(__xludf.DUMMYFUNCTION("iferror(join("","",index(sort(filter($F22:$F$386,$O22:$O$386&gt;$O21,arrayformula(isnumber(FIND($E22:$E$386,AM21)))),2,false),0,1)))"),"Iowa,West Virginia,Nebraska,Western Michigan,Arkansas State,Washington,South Florida,Kansas State,Temple,Toledo,Troy,Middle Tennessee,Georgia,Wisconsin,Navy,USC,Louisiana Tech,Ohio,Washington State,Memphis,Utah,Colorado State,New Mexico,Florida,Tulsa,Arka"&amp;"nsas,Idaho,Penn State,Minnesota,Texas A&amp;M,Old Dominion,Auburn,Colorado,Wyoming,Eastern Michigan,Kentucky")</f>
        <v>Iowa,West Virginia,Nebraska,Western Michigan,Arkansas State,Washington,South Florida,Kansas State,Temple,Toledo,Troy,Middle Tennessee,Georgia,Wisconsin,Navy,USC,Louisiana Tech,Ohio,Washington State,Memphis,Utah,Colorado State,New Mexico,Florida,Tulsa,Arkansas,Idaho,Penn State,Minnesota,Texas A&amp;M,Old Dominion,Auburn,Colorado,Wyoming,Eastern Michigan,Kentucky</v>
      </c>
    </row>
    <row r="22">
      <c r="A22" s="13">
        <f t="shared" si="11"/>
        <v>21</v>
      </c>
      <c r="B22" s="13">
        <v>3.0</v>
      </c>
      <c r="C22" s="90">
        <v>1.0</v>
      </c>
      <c r="D22" s="78" t="str">
        <f t="shared" ref="D22:D31" si="13">D2</f>
        <v>Gary</v>
      </c>
      <c r="E22" s="92" t="str">
        <f>if(F22&lt;&gt;"",VLOOKUP(F22,'Teams-Conference, for lookup'!A:B,2,0),"")</f>
        <v>Big Ten</v>
      </c>
      <c r="F22" s="98" t="s">
        <v>123</v>
      </c>
      <c r="G22" t="str">
        <f t="shared" si="1"/>
        <v/>
      </c>
      <c r="H22" s="97">
        <f t="shared" si="2"/>
        <v>1</v>
      </c>
      <c r="I22" s="97">
        <f t="shared" si="3"/>
        <v>2</v>
      </c>
      <c r="J22" s="97">
        <f t="shared" si="12"/>
        <v>1</v>
      </c>
      <c r="K22" s="2"/>
      <c r="L22" s="2"/>
      <c r="M22" s="97">
        <f>IFERROR(__xludf.DUMMYFUNCTION("counta(iferror(filter(L$2:L21,E$2:E21=E22,L$2:L21&lt;L22)))"),0.0)</f>
        <v>0</v>
      </c>
      <c r="N22" s="97">
        <f>IFERROR(__xludf.DUMMYFUNCTION("counta(iferror(filter(L23:L$124,E23:E$124=E22,L23:L$125&gt;L22)))"),0.0)</f>
        <v>0</v>
      </c>
      <c r="O22" s="83">
        <f t="array" ref="O22:X22">XLOOKUP(F22,'Current Week'!B:B,'Current Week'!C:O)</f>
        <v>8</v>
      </c>
      <c r="P22" s="97">
        <v>3.0</v>
      </c>
      <c r="Q22" s="2" t="s">
        <v>124</v>
      </c>
      <c r="R22" s="2" t="s">
        <v>106</v>
      </c>
      <c r="S22" s="2"/>
      <c r="T22" s="2" t="s">
        <v>125</v>
      </c>
      <c r="U22" s="8" t="s">
        <v>108</v>
      </c>
      <c r="V22" s="2"/>
      <c r="W22" s="8">
        <v>9999.0</v>
      </c>
      <c r="X22" s="2"/>
      <c r="Y22" s="2"/>
      <c r="Z22" s="2"/>
      <c r="AA22" s="86">
        <f t="shared" si="4"/>
        <v>-4</v>
      </c>
      <c r="AB22" s="8">
        <f t="shared" si="5"/>
        <v>4</v>
      </c>
      <c r="AC22" s="8">
        <f>IFERROR(__xludf.DUMMYFUNCTION("iferror(COUNT(filter($O23:$O$386,$O23:$O$386&gt;$O22)))"),16.0)</f>
        <v>16</v>
      </c>
      <c r="AD22" s="16">
        <f t="shared" si="6"/>
        <v>0</v>
      </c>
      <c r="AE22" s="88">
        <f t="shared" si="7"/>
        <v>2</v>
      </c>
      <c r="AF22" s="2" t="str">
        <f>IFERROR(__xludf.DUMMYFUNCTION("iferror(join("","",index(sort(filter($F23:$F$387,$O23:$O$387&gt;$O22),2,false),0,1)))"),"West Virginia,Nebraska,Western Michigan,Washington,South Florida,Temple,Toledo,Troy,Wisconsin,Navy,USC,Virginia Tech,Tulsa,Penn State,Old Dominion,Colorado")</f>
        <v>West Virginia,Nebraska,Western Michigan,Washington,South Florida,Temple,Toledo,Troy,Wisconsin,Navy,USC,Virginia Tech,Tulsa,Penn State,Old Dominion,Colorado</v>
      </c>
      <c r="AG22" s="86">
        <f>IFERROR(__xludf.DUMMYFUNCTION("iferror($O22-max(filter($O22:$O$386,$E22:$E$386=$E$2)))"),-1.0)</f>
        <v>-1</v>
      </c>
      <c r="AH22" s="8">
        <f t="shared" si="8"/>
        <v>0</v>
      </c>
      <c r="AI22" s="8">
        <f>IFERROR(__xludf.DUMMYFUNCTION("iferror(COUNT(filter($O23:$O$386,$O23:$O$386&gt;$O22,$E22:$E$386=$E$2)))"),0.0)</f>
        <v>0</v>
      </c>
      <c r="AJ22" s="16">
        <f t="shared" si="9"/>
        <v>0</v>
      </c>
      <c r="AK22" s="88">
        <f>IFERROR(__xludf.DUMMYFUNCTION("iferror($O22-min(filter($O22:$O$386,$E22:$E$386=$E$2)))"),6.0)</f>
        <v>6</v>
      </c>
      <c r="AL22" s="2" t="str">
        <f>IFERROR(__xludf.DUMMYFUNCTION("iferror(join("","",index(sort(filter($F23:$F$386,$O23:$O$386&gt;$O22,$E23:$E$386=$E$2),2,false),0,1)))"),"Virginia Tech")</f>
        <v>Virginia Tech</v>
      </c>
      <c r="AM22" s="2" t="str">
        <f>IFERROR(__xludf.DUMMYFUNCTION("REGEXREPLACE(join("","",unique({let(conf_picked,filter(E$1:E21,D$1:D21=D22), byrow(unique(TRANSPOSe(Teams!$1:$1)),lambda(rw,if(ISERROR(match(rw,conf_picked,0)),rw,))));iferror(if(#REF!,,transpose(split(#REF!,"","",1,1))))})), ""^,"", """")"),"AAC,,Big Ten,CUSA,MAC,MWC,Pac12,SEC,Sun Belt")</f>
        <v>AAC,,Big Ten,CUSA,MAC,MWC,Pac12,SEC,Sun Belt</v>
      </c>
      <c r="AN22" s="86">
        <f>IFERROR(__xludf.DUMMYFUNCTION("iferror($O22-max(filter($O22:$O$386,arrayformula(isnumber(FIND($E22:$E$386,AM22))))))"),-4.0)</f>
        <v>-4</v>
      </c>
      <c r="AO22" s="8">
        <f t="array" ref="AO22">countifs($O$2:$O21,"&lt;"&amp;$O22,isnumber(FIND($E$2:$E21,AM22)),TRUE)</f>
        <v>2</v>
      </c>
      <c r="AP22" s="8">
        <f>IFERROR(__xludf.DUMMYFUNCTION("iferror(COUNT(filter($O23:$O$386,$O23:$O$386&gt;$O22,arrayformula(isnumber(FIND($E23:$E$386,AM22))))))"),14.0)</f>
        <v>14</v>
      </c>
      <c r="AQ22" s="16">
        <f t="shared" si="10"/>
        <v>0</v>
      </c>
      <c r="AR22" s="88">
        <f>IFERROR(__xludf.DUMMYFUNCTION("iferror($O22-min(filter($O22:$O$386,arrayformula(isnumber(FIND($E22:$E$386,AM22))))))"),7.0)</f>
        <v>7</v>
      </c>
      <c r="AS22" s="89" t="str">
        <f>IFERROR(__xludf.DUMMYFUNCTION("iferror(join("","",index(sort(filter($F23:$F$386,$O23:$O$386&gt;$O22,arrayformula(isnumber(FIND($E23:$E$386,AM22)))),2,false),0,1)))"),"Nebraska,Western Michigan,Washington,South Florida,Temple,Toledo,Troy,Wisconsin,Navy,USC,Tulsa,Penn State,Old Dominion,Colorado")</f>
        <v>Nebraska,Western Michigan,Washington,South Florida,Temple,Toledo,Troy,Wisconsin,Navy,USC,Tulsa,Penn State,Old Dominion,Colorado</v>
      </c>
    </row>
    <row r="23">
      <c r="A23" s="13">
        <f t="shared" si="11"/>
        <v>22</v>
      </c>
      <c r="B23" s="13">
        <v>3.0</v>
      </c>
      <c r="C23" s="90">
        <v>2.0</v>
      </c>
      <c r="D23" s="91" t="str">
        <f t="shared" si="13"/>
        <v>Josh R.</v>
      </c>
      <c r="E23" s="92" t="str">
        <f>if(F23&lt;&gt;"",VLOOKUP(F23,'Teams-Conference, for lookup'!A:B,2,0),"")</f>
        <v>Big 12</v>
      </c>
      <c r="F23" s="91" t="s">
        <v>150</v>
      </c>
      <c r="G23" t="str">
        <f t="shared" si="1"/>
        <v/>
      </c>
      <c r="H23" s="97">
        <f t="shared" si="2"/>
        <v>2</v>
      </c>
      <c r="I23" s="97">
        <f t="shared" si="3"/>
        <v>3</v>
      </c>
      <c r="J23" s="97">
        <f t="shared" si="12"/>
        <v>2</v>
      </c>
      <c r="K23" s="97">
        <f t="shared" ref="K23:K25" si="14">countif(E3:E23,E24)</f>
        <v>5</v>
      </c>
      <c r="L23" s="2"/>
      <c r="M23" s="97">
        <f>IFERROR(__xludf.DUMMYFUNCTION("counta(iferror(filter(L$2:L22,E$2:E22=E23,L$2:L22&lt;L23)))"),0.0)</f>
        <v>0</v>
      </c>
      <c r="N23" s="97">
        <f>IFERROR(__xludf.DUMMYFUNCTION("counta(iferror(filter(L24:L$124,E24:E$124=E23,L24:L$125&gt;L23)))"),0.0)</f>
        <v>0</v>
      </c>
      <c r="O23" s="83">
        <f t="array" ref="O23:X23">XLOOKUP(F23,'Current Week'!B:B,'Current Week'!C:O)</f>
        <v>5</v>
      </c>
      <c r="P23" s="97">
        <v>6.0</v>
      </c>
      <c r="Q23" s="2" t="s">
        <v>152</v>
      </c>
      <c r="R23" s="84" t="s">
        <v>106</v>
      </c>
      <c r="S23" s="2"/>
      <c r="T23" s="2" t="s">
        <v>115</v>
      </c>
      <c r="U23" s="8" t="s">
        <v>115</v>
      </c>
      <c r="V23" s="2"/>
      <c r="W23" s="8">
        <v>9999.0</v>
      </c>
      <c r="X23" s="2"/>
      <c r="Y23" s="2"/>
      <c r="Z23" s="2"/>
      <c r="AA23" s="86">
        <f t="shared" si="4"/>
        <v>-7</v>
      </c>
      <c r="AB23" s="8">
        <f t="shared" si="5"/>
        <v>0</v>
      </c>
      <c r="AC23" s="8">
        <f>IFERROR(__xludf.DUMMYFUNCTION("iferror(COUNT(filter($O24:$O$386,$O24:$O$386&gt;$O23)))"),53.0)</f>
        <v>53</v>
      </c>
      <c r="AD23" s="16">
        <f t="shared" si="6"/>
        <v>0</v>
      </c>
      <c r="AE23" s="88">
        <f t="shared" si="7"/>
        <v>0</v>
      </c>
      <c r="AF23" s="2" t="str">
        <f>IFERROR(__xludf.DUMMYFUNCTION("iferror(join("","",index(sort(filter($F24:$F$387,$O24:$O$387&gt;$O23),2,false),0,1)))"),"West Virginia,Nebraska,Western Michigan,Arkansas State,Washington,South Florida,North Carolina,Kansas State,Temple,Toledo,Troy,Middle Tennessee,Louisiana Lafayette,Georgia,Wisconsin,Navy,USC,Louisiana Tech,Ohio,Virginia Tech,Washington State,Memphis,Utah,"&amp;"Central Michigan,Colorado State,New Mexico,Florida,Miami,Tulsa,Pittsburgh,Northwestern,Arkansas,Idaho,Penn State,Minnesota,Georgia Tech,Boston College,Texas A&amp;M,UCF,NC State,Old Dominion,Auburn,Colorado,Wyoming,Eastern Michigan,Kentucky,Wake Forest,Indian"&amp;"a,Maryland,Miami-OH,South Carolina,Vanderbilt,Hawaii")</f>
        <v>West Virginia,Nebraska,Western Michigan,Arkansas State,Washington,South Florida,North Carolina,Kansas State,Temple,Toledo,Troy,Middle Tennessee,Louisiana Lafayette,Georgia,Wisconsin,Navy,USC,Louisiana Tech,Ohio,Virginia Tech,Washington State,Memphis,Utah,Central Michigan,Colorado State,New Mexico,Florida,Miami,Tulsa,Pittsburgh,Northwestern,Arkansas,Idaho,Penn State,Minnesota,Georgia Tech,Boston College,Texas A&amp;M,UCF,NC State,Old Dominion,Auburn,Colorado,Wyoming,Eastern Michigan,Kentucky,Wake Forest,Indiana,Maryland,Miami-OH,South Carolina,Vanderbilt,Hawaii</v>
      </c>
      <c r="AG23" s="86">
        <f>IFERROR(__xludf.DUMMYFUNCTION("iferror($O23-max(filter($O23:$O$386,$E23:$E$386=$E$2)))"),-4.0)</f>
        <v>-4</v>
      </c>
      <c r="AH23" s="8">
        <f t="shared" si="8"/>
        <v>0</v>
      </c>
      <c r="AI23" s="8">
        <f>IFERROR(__xludf.DUMMYFUNCTION("iferror(COUNT(filter($O24:$O$386,$O24:$O$386&gt;$O23,$E23:$E$386=$E$2)))"),0.0)</f>
        <v>0</v>
      </c>
      <c r="AJ23" s="16">
        <f t="shared" si="9"/>
        <v>0</v>
      </c>
      <c r="AK23" s="88">
        <f>IFERROR(__xludf.DUMMYFUNCTION("iferror($O23-min(filter($O23:$O$386,$E23:$E$386=$E$2)))"),3.0)</f>
        <v>3</v>
      </c>
      <c r="AL23" s="2" t="str">
        <f>IFERROR(__xludf.DUMMYFUNCTION("iferror(join("","",index(sort(filter($F24:$F$386,$O24:$O$386&gt;$O23,$E24:$E$386=$E$2),2,false),0,1)))"),"North Carolina,Virginia Tech,Miami,Pittsburgh,Georgia Tech,Boston College,NC State,Wake Forest")</f>
        <v>North Carolina,Virginia Tech,Miami,Pittsburgh,Georgia Tech,Boston College,NC State,Wake Forest</v>
      </c>
      <c r="AM23" s="2" t="str">
        <f>IFERROR(__xludf.DUMMYFUNCTION("REGEXREPLACE(join("","",unique({let(conf_picked,filter(E$1:E22,D$1:D22=D23), byrow(unique(TRANSPOSe(Teams!$1:$1)),lambda(rw,if(ISERROR(match(rw,conf_picked,0)),rw,))));iferror(if(#REF!,,transpose(split(#REF!,"","",1,1))))})), ""^,"", """")"),"ACC,Big 12,Big Ten,CUSA,MAC,Pac12,SEC,Sun Belt")</f>
        <v>ACC,Big 12,Big Ten,CUSA,MAC,Pac12,SEC,Sun Belt</v>
      </c>
      <c r="AN23" s="86">
        <f>IFERROR(__xludf.DUMMYFUNCTION("iferror($O23-max(filter($O23:$O$386,arrayformula(isnumber(FIND($E23:$E$386,AM23))))))"),-7.0)</f>
        <v>-7</v>
      </c>
      <c r="AO23" s="8">
        <f t="array" ref="AO23">countifs($O$2:$O22,"&lt;"&amp;$O23,isnumber(FIND($E$2:$E22,AM23)),TRUE)</f>
        <v>0</v>
      </c>
      <c r="AP23" s="8">
        <f>IFERROR(__xludf.DUMMYFUNCTION("iferror(COUNT(filter($O24:$O$386,$O24:$O$386&gt;$O23,arrayformula(isnumber(FIND($E24:$E$386,AM23))))))"),43.0)</f>
        <v>43</v>
      </c>
      <c r="AQ23" s="16">
        <f t="shared" si="10"/>
        <v>0</v>
      </c>
      <c r="AR23" s="88">
        <f>IFERROR(__xludf.DUMMYFUNCTION("iferror($O23-min(filter($O23:$O$386,arrayformula(isnumber(FIND($E23:$E$386,AM23))))))"),3.0)</f>
        <v>3</v>
      </c>
      <c r="AS23" s="89" t="str">
        <f>IFERROR(__xludf.DUMMYFUNCTION("iferror(join("","",index(sort(filter($F24:$F$386,$O24:$O$386&gt;$O23,arrayformula(isnumber(FIND($E24:$E$386,AM23)))),2,false),0,1)))"),"West Virginia,Nebraska,Western Michigan,Arkansas State,Washington,North Carolina,Kansas State,Toledo,Troy,Middle Tennessee,Louisiana Lafayette,Georgia,Wisconsin,USC,Louisiana Tech,Ohio,Virginia Tech,Washington State,Utah,Central Michigan,Florida,Miami,Pit"&amp;"tsburgh,Northwestern,Arkansas,Idaho,Penn State,Minnesota,Georgia Tech,Boston College,Texas A&amp;M,NC State,Old Dominion,Auburn,Colorado,Eastern Michigan,Kentucky,Wake Forest,Indiana,Maryland,Miami-OH,South Carolina,Vanderbilt")</f>
        <v>West Virginia,Nebraska,Western Michigan,Arkansas State,Washington,North Carolina,Kansas State,Toledo,Troy,Middle Tennessee,Louisiana Lafayette,Georgia,Wisconsin,USC,Louisiana Tech,Ohio,Virginia Tech,Washington State,Utah,Central Michigan,Florida,Miami,Pittsburgh,Northwestern,Arkansas,Idaho,Penn State,Minnesota,Georgia Tech,Boston College,Texas A&amp;M,NC State,Old Dominion,Auburn,Colorado,Eastern Michigan,Kentucky,Wake Forest,Indiana,Maryland,Miami-OH,South Carolina,Vanderbilt</v>
      </c>
    </row>
    <row r="24">
      <c r="A24" s="13">
        <f t="shared" si="11"/>
        <v>23</v>
      </c>
      <c r="B24" s="13">
        <v>3.0</v>
      </c>
      <c r="C24" s="90">
        <v>3.0</v>
      </c>
      <c r="D24" s="13" t="str">
        <f t="shared" si="13"/>
        <v>Jacob</v>
      </c>
      <c r="E24" s="92" t="str">
        <f>if(F24&lt;&gt;"",VLOOKUP(F24,'Teams-Conference, for lookup'!A:B,2,0),"")</f>
        <v>Big 12</v>
      </c>
      <c r="F24" s="104" t="s">
        <v>176</v>
      </c>
      <c r="G24" t="str">
        <f t="shared" si="1"/>
        <v/>
      </c>
      <c r="H24" s="97">
        <f t="shared" si="2"/>
        <v>1</v>
      </c>
      <c r="I24" s="97">
        <f t="shared" si="3"/>
        <v>2</v>
      </c>
      <c r="J24" s="97">
        <f t="shared" si="12"/>
        <v>3</v>
      </c>
      <c r="K24" s="97">
        <f t="shared" si="14"/>
        <v>3</v>
      </c>
      <c r="L24" s="2"/>
      <c r="M24" s="97">
        <f>IFERROR(__xludf.DUMMYFUNCTION("counta(iferror(filter(L$2:L23,E$2:E23=E24,L$2:L23&lt;L24)))"),0.0)</f>
        <v>0</v>
      </c>
      <c r="N24" s="97">
        <f>IFERROR(__xludf.DUMMYFUNCTION("counta(iferror(filter(L25:L$124,E25:E$124=E24,L25:L$125&gt;L24)))"),0.0)</f>
        <v>0</v>
      </c>
      <c r="O24" s="83">
        <f t="array" ref="O24:X24">XLOOKUP(F24,'Current Week'!B:B,'Current Week'!C:O)</f>
        <v>10</v>
      </c>
      <c r="P24" s="97">
        <v>2.0</v>
      </c>
      <c r="Q24" s="2" t="s">
        <v>177</v>
      </c>
      <c r="R24" s="2" t="s">
        <v>106</v>
      </c>
      <c r="S24" s="2"/>
      <c r="T24" s="2">
        <v>3.0</v>
      </c>
      <c r="U24" s="8" t="s">
        <v>108</v>
      </c>
      <c r="V24" s="2"/>
      <c r="W24" s="8">
        <v>9999.0</v>
      </c>
      <c r="X24" s="2"/>
      <c r="Y24" s="2"/>
      <c r="Z24" s="2"/>
      <c r="AA24" s="86">
        <f t="shared" si="4"/>
        <v>-2</v>
      </c>
      <c r="AB24" s="8">
        <f t="shared" si="5"/>
        <v>16</v>
      </c>
      <c r="AC24" s="8">
        <f>IFERROR(__xludf.DUMMYFUNCTION("iferror(COUNT(filter($O25:$O$386,$O25:$O$386&gt;$O24)))"),2.0)</f>
        <v>2</v>
      </c>
      <c r="AD24" s="16">
        <f t="shared" si="6"/>
        <v>0</v>
      </c>
      <c r="AE24" s="88">
        <f t="shared" si="7"/>
        <v>5</v>
      </c>
      <c r="AF24" s="2" t="str">
        <f>IFERROR(__xludf.DUMMYFUNCTION("iferror(join("","",index(sort(filter($F25:$F$387,$O25:$O$387&gt;$O24),2,false),0,1)))"),"Western Michigan,Washington")</f>
        <v>Western Michigan,Washington</v>
      </c>
      <c r="AG24" s="86">
        <f>IFERROR(__xludf.DUMMYFUNCTION("iferror($O24-max(filter($O24:$O$386,$E24:$E$386=$E$2)))"),1.0)</f>
        <v>1</v>
      </c>
      <c r="AH24" s="8">
        <f t="shared" si="8"/>
        <v>2</v>
      </c>
      <c r="AI24" s="8">
        <f>IFERROR(__xludf.DUMMYFUNCTION("iferror(COUNT(filter($O25:$O$386,$O25:$O$386&gt;$O24,$E24:$E$386=$E$2)))"),0.0)</f>
        <v>0</v>
      </c>
      <c r="AJ24" s="16">
        <f t="shared" si="9"/>
        <v>0</v>
      </c>
      <c r="AK24" s="88">
        <f>IFERROR(__xludf.DUMMYFUNCTION("iferror($O24-min(filter($O24:$O$386,$E24:$E$386=$E$2)))"),8.0)</f>
        <v>8</v>
      </c>
      <c r="AL24" s="2" t="str">
        <f>IFERROR(__xludf.DUMMYFUNCTION("iferror(join("","",index(sort(filter($F25:$F$386,$O25:$O$386&gt;$O24,$E25:$E$386=$E$2),2,false),0,1)))"),"")</f>
        <v/>
      </c>
      <c r="AM24" s="2" t="str">
        <f>IFERROR(__xludf.DUMMYFUNCTION("REGEXREPLACE(join("","",unique({let(conf_picked,filter(E$1:E23,D$1:D23=D24), byrow(unique(TRANSPOSe(Teams!$1:$1)),lambda(rw,if(ISERROR(match(rw,conf_picked,0)),rw,))));iferror(if(#REF!,,transpose(split(#REF!,"","",1,1))))})), ""^,"", """")"),"AAC,ACC,Big 12,Big Ten,,MAC,MWC,Pac12,Sun Belt")</f>
        <v>AAC,ACC,Big 12,Big Ten,,MAC,MWC,Pac12,Sun Belt</v>
      </c>
      <c r="AN24" s="86">
        <f>IFERROR(__xludf.DUMMYFUNCTION("iferror($O24-max(filter($O24:$O$386,arrayformula(isnumber(FIND($E24:$E$386,AM24))))))"),-2.0)</f>
        <v>-2</v>
      </c>
      <c r="AO24" s="8">
        <f t="array" ref="AO24">countifs($O$2:$O23,"&lt;"&amp;$O24,isnumber(FIND($E$2:$E23,AM24)),TRUE)</f>
        <v>12</v>
      </c>
      <c r="AP24" s="8">
        <f>IFERROR(__xludf.DUMMYFUNCTION("iferror(COUNT(filter($O25:$O$386,$O25:$O$386&gt;$O24,arrayformula(isnumber(FIND($E25:$E$386,AM24))))))"),2.0)</f>
        <v>2</v>
      </c>
      <c r="AQ24" s="16">
        <f t="shared" si="10"/>
        <v>0</v>
      </c>
      <c r="AR24" s="88">
        <f>IFERROR(__xludf.DUMMYFUNCTION("iferror($O24-min(filter($O24:$O$386,arrayformula(isnumber(FIND($E24:$E$386,AM24))))))"),9.0)</f>
        <v>9</v>
      </c>
      <c r="AS24" s="89" t="str">
        <f>IFERROR(__xludf.DUMMYFUNCTION("iferror(join("","",index(sort(filter($F25:$F$386,$O25:$O$386&gt;$O24,arrayformula(isnumber(FIND($E25:$E$386,AM24)))),2,false),0,1)))"),"Western Michigan,Washington")</f>
        <v>Western Michigan,Washington</v>
      </c>
    </row>
    <row r="25">
      <c r="A25" s="13">
        <f t="shared" si="11"/>
        <v>24</v>
      </c>
      <c r="B25" s="13">
        <v>3.0</v>
      </c>
      <c r="C25" s="90">
        <v>4.0</v>
      </c>
      <c r="D25" s="91" t="str">
        <f t="shared" si="13"/>
        <v>Brad</v>
      </c>
      <c r="E25" s="79" t="str">
        <f>if(F25&lt;&gt;"",VLOOKUP(F25,'Teams-Conference, for lookup'!A:B,2,0),"")</f>
        <v>Big Ten</v>
      </c>
      <c r="F25" s="153" t="s">
        <v>209</v>
      </c>
      <c r="G25" t="str">
        <f t="shared" si="1"/>
        <v/>
      </c>
      <c r="H25" s="97">
        <f t="shared" si="2"/>
        <v>0</v>
      </c>
      <c r="I25" s="97">
        <f t="shared" si="3"/>
        <v>2</v>
      </c>
      <c r="J25" s="97">
        <f t="shared" si="12"/>
        <v>1</v>
      </c>
      <c r="K25" s="97">
        <f t="shared" si="14"/>
        <v>1</v>
      </c>
      <c r="L25" s="2"/>
      <c r="M25" s="97">
        <f>IFERROR(__xludf.DUMMYFUNCTION("counta(iferror(filter(L$2:L24,E$2:E24=E25,L$2:L24&lt;L25)))"),0.0)</f>
        <v>0</v>
      </c>
      <c r="N25" s="97">
        <f>IFERROR(__xludf.DUMMYFUNCTION("counta(iferror(filter(L26:L$124,E26:E$124=E25,L26:L$125&gt;L25)))"),0.0)</f>
        <v>0</v>
      </c>
      <c r="O25" s="83">
        <f t="array" ref="O25:X25">XLOOKUP(F25,'Current Week'!B:B,'Current Week'!C:O)</f>
        <v>9</v>
      </c>
      <c r="P25" s="97">
        <v>3.0</v>
      </c>
      <c r="Q25" s="2" t="s">
        <v>178</v>
      </c>
      <c r="R25" s="2" t="s">
        <v>106</v>
      </c>
      <c r="S25" s="2"/>
      <c r="T25" s="2">
        <v>3.0</v>
      </c>
      <c r="U25" s="8" t="s">
        <v>108</v>
      </c>
      <c r="V25" s="2"/>
      <c r="W25" s="8">
        <v>9999.0</v>
      </c>
      <c r="X25" s="2"/>
      <c r="Y25" s="2"/>
      <c r="Z25" s="2"/>
      <c r="AA25" s="86">
        <f t="shared" si="4"/>
        <v>-3</v>
      </c>
      <c r="AB25" s="8">
        <f t="shared" si="5"/>
        <v>7</v>
      </c>
      <c r="AC25" s="8">
        <f>IFERROR(__xludf.DUMMYFUNCTION("iferror(COUNT(filter($O26:$O$386,$O26:$O$386&gt;$O25)))"),6.0)</f>
        <v>6</v>
      </c>
      <c r="AD25" s="16">
        <f t="shared" si="6"/>
        <v>0</v>
      </c>
      <c r="AE25" s="88">
        <f t="shared" si="7"/>
        <v>4</v>
      </c>
      <c r="AF25" s="2" t="str">
        <f>IFERROR(__xludf.DUMMYFUNCTION("iferror(join("","",index(sort(filter($F26:$F$387,$O26:$O$387&gt;$O25),2,false),0,1)))"),"Western Michigan,Washington,South Florida,Wisconsin,Penn State,Colorado")</f>
        <v>Western Michigan,Washington,South Florida,Wisconsin,Penn State,Colorado</v>
      </c>
      <c r="AG25" s="86">
        <f>IFERROR(__xludf.DUMMYFUNCTION("iferror($O25-max(filter($O25:$O$386,$E25:$E$386=$E$2)))"),0.0)</f>
        <v>0</v>
      </c>
      <c r="AH25" s="8">
        <f t="shared" si="8"/>
        <v>0</v>
      </c>
      <c r="AI25" s="8">
        <f>IFERROR(__xludf.DUMMYFUNCTION("iferror(COUNT(filter($O26:$O$386,$O26:$O$386&gt;$O25,$E25:$E$386=$E$2)))"),0.0)</f>
        <v>0</v>
      </c>
      <c r="AJ25" s="16">
        <f t="shared" si="9"/>
        <v>1</v>
      </c>
      <c r="AK25" s="88">
        <f>IFERROR(__xludf.DUMMYFUNCTION("iferror($O25-min(filter($O25:$O$386,$E25:$E$386=$E$2)))"),7.0)</f>
        <v>7</v>
      </c>
      <c r="AL25" s="2" t="str">
        <f>IFERROR(__xludf.DUMMYFUNCTION("iferror(join("","",index(sort(filter($F26:$F$386,$O26:$O$386&gt;$O25,$E26:$E$386=$E$2),2,false),0,1)))"),"")</f>
        <v/>
      </c>
      <c r="AM25" s="2" t="str">
        <f>IFERROR(__xludf.DUMMYFUNCTION("REGEXREPLACE(join("","",unique({let(conf_picked,filter(E$1:E24,D$1:D24=D25), byrow(unique(TRANSPOSe(Teams!$1:$1)),lambda(rw,if(ISERROR(match(rw,conf_picked,0)),rw,))));iferror(if(#REF!,,transpose(split(#REF!,"","",1,1))))})), ""^,"", """")"),"AAC,ACC,,Big Ten,MAC,MWC,Pac12,SEC,Sun Belt")</f>
        <v>AAC,ACC,,Big Ten,MAC,MWC,Pac12,SEC,Sun Belt</v>
      </c>
      <c r="AN25" s="86">
        <f>IFERROR(__xludf.DUMMYFUNCTION("iferror($O25-max(filter($O25:$O$386,arrayformula(isnumber(FIND($E25:$E$386,AM25))))))"),-3.0)</f>
        <v>-3</v>
      </c>
      <c r="AO25" s="8">
        <f t="array" ref="AO25">countifs($O$2:$O24,"&lt;"&amp;$O25,isnumber(FIND($E$2:$E24,AM25)),TRUE)</f>
        <v>3</v>
      </c>
      <c r="AP25" s="8">
        <f>IFERROR(__xludf.DUMMYFUNCTION("iferror(COUNT(filter($O26:$O$386,$O26:$O$386&gt;$O25,arrayformula(isnumber(FIND($E26:$E$386,AM25))))))"),6.0)</f>
        <v>6</v>
      </c>
      <c r="AQ25" s="16">
        <f t="shared" si="10"/>
        <v>0</v>
      </c>
      <c r="AR25" s="88">
        <f>IFERROR(__xludf.DUMMYFUNCTION("iferror($O25-min(filter($O25:$O$386,arrayformula(isnumber(FIND($E25:$E$386,AM25))))))"),8.0)</f>
        <v>8</v>
      </c>
      <c r="AS25" s="89" t="str">
        <f>IFERROR(__xludf.DUMMYFUNCTION("iferror(join("","",index(sort(filter($F26:$F$386,$O26:$O$386&gt;$O25,arrayformula(isnumber(FIND($E26:$E$386,AM25)))),2,false),0,1)))"),"Western Michigan,Washington,South Florida,Wisconsin,Penn State,Colorado")</f>
        <v>Western Michigan,Washington,South Florida,Wisconsin,Penn State,Colorado</v>
      </c>
    </row>
    <row r="26">
      <c r="A26" s="13">
        <f t="shared" si="11"/>
        <v>25</v>
      </c>
      <c r="B26" s="13">
        <v>3.0</v>
      </c>
      <c r="C26" s="90">
        <v>5.0</v>
      </c>
      <c r="D26" s="91" t="str">
        <f t="shared" si="13"/>
        <v>Nico</v>
      </c>
      <c r="E26" s="79" t="str">
        <f>if(F26&lt;&gt;"",VLOOKUP(F26,'Teams-Conference, for lookup'!A:B,2,0),"")</f>
        <v>Pac12</v>
      </c>
      <c r="F26" s="98" t="s">
        <v>347</v>
      </c>
      <c r="G26" t="str">
        <f t="shared" si="1"/>
        <v/>
      </c>
      <c r="H26" s="97">
        <f t="shared" si="2"/>
        <v>1</v>
      </c>
      <c r="I26" s="97">
        <f t="shared" si="3"/>
        <v>3</v>
      </c>
      <c r="J26" s="97">
        <f t="shared" si="12"/>
        <v>0</v>
      </c>
      <c r="K26" s="97">
        <f>countif(E6:E26,E28)</f>
        <v>0</v>
      </c>
      <c r="L26" s="2"/>
      <c r="M26" s="97">
        <f>IFERROR(__xludf.DUMMYFUNCTION("counta(iferror(filter(L$2:L25,E$2:E25=E26,L$2:L25&lt;L26)))"),0.0)</f>
        <v>0</v>
      </c>
      <c r="N26" s="97">
        <f>IFERROR(__xludf.DUMMYFUNCTION("counta(iferror(filter(L27:L$124,E27:E$124=E26,L27:L$125&gt;L26)))"),0.0)</f>
        <v>0</v>
      </c>
      <c r="O26" s="83">
        <f t="array" ref="O26:X26">XLOOKUP(F26,'Current Week'!B:B,'Current Week'!C:O)</f>
        <v>4</v>
      </c>
      <c r="P26" s="97">
        <v>6.0</v>
      </c>
      <c r="Q26" s="2" t="s">
        <v>105</v>
      </c>
      <c r="R26" s="2" t="s">
        <v>106</v>
      </c>
      <c r="S26" s="2"/>
      <c r="T26" s="8" t="s">
        <v>115</v>
      </c>
      <c r="U26" s="8" t="s">
        <v>115</v>
      </c>
      <c r="V26" s="2"/>
      <c r="W26" s="8">
        <v>9999.0</v>
      </c>
      <c r="X26" s="2"/>
      <c r="Y26" s="2"/>
      <c r="Z26" s="2"/>
      <c r="AA26" s="86">
        <f t="shared" si="4"/>
        <v>-8</v>
      </c>
      <c r="AB26" s="8">
        <f t="shared" si="5"/>
        <v>0</v>
      </c>
      <c r="AC26" s="8">
        <f>IFERROR(__xludf.DUMMYFUNCTION("iferror(COUNT(filter($O27:$O$386,$O27:$O$386&gt;$O26)))"),63.0)</f>
        <v>63</v>
      </c>
      <c r="AD26" s="16">
        <f t="shared" si="6"/>
        <v>0</v>
      </c>
      <c r="AE26" s="88">
        <f t="shared" si="7"/>
        <v>0</v>
      </c>
      <c r="AF26" s="2" t="str">
        <f>IFERROR(__xludf.DUMMYFUNCTION("iferror(join("","",index(sort(filter($F27:$F$387,$O27:$O$387&gt;$O26),2,false),0,1)))"),"Texas Tech,Northern Illinois,Georgia Southern,Western Michigan,Arkansas State,Washington,South Florida,North Carolina,Kansas State,Temple,Toledo,Troy,Middle Tennessee,Louisiana Lafayette,Georgia,Wisconsin,Navy,USC,Louisiana Tech,Ohio,Nevada,Virginia Tech,"&amp;"Washington State,Memphis,Utah,Central Michigan,Colorado State,Akron,New Mexico,Florida,Miami,Tulsa,Pittsburgh,Northwestern,Ole Miss,Arkansas,Mississippi State,Idaho,Penn State,Arizona State,Minnesota,Georgia Tech,Boston College,Texas A&amp;M,UCF,NC State,Old "&amp;"Dominion,California,Auburn,Colorado,Wyoming,Eastern Michigan,Kentucky,Wake Forest,Indiana,Maryland,Miami-OH,South Carolina,Vanderbilt,Hawaii,SMU,North Texas,UTSA")</f>
        <v>Texas Tech,Northern Illinois,Georgia Southern,Western Michigan,Arkansas State,Washington,South Florida,North Carolina,Kansas State,Temple,Toledo,Troy,Middle Tennessee,Louisiana Lafayette,Georgia,Wisconsin,Navy,USC,Louisiana Tech,Ohio,Nevada,Virginia Tech,Washington State,Memphis,Utah,Central Michigan,Colorado State,Akron,New Mexico,Florida,Miami,Tulsa,Pittsburgh,Northwestern,Ole Miss,Arkansas,Mississippi State,Idaho,Penn State,Arizona State,Minnesota,Georgia Tech,Boston College,Texas A&amp;M,UCF,NC State,Old Dominion,California,Auburn,Colorado,Wyoming,Eastern Michigan,Kentucky,Wake Forest,Indiana,Maryland,Miami-OH,South Carolina,Vanderbilt,Hawaii,SMU,North Texas,UTSA</v>
      </c>
      <c r="AG26" s="86">
        <f>IFERROR(__xludf.DUMMYFUNCTION("iferror($O26-max(filter($O26:$O$386,$E26:$E$386=$E$2)))"),-5.0)</f>
        <v>-5</v>
      </c>
      <c r="AH26" s="8">
        <f t="shared" si="8"/>
        <v>0</v>
      </c>
      <c r="AI26" s="8">
        <f>IFERROR(__xludf.DUMMYFUNCTION("iferror(COUNT(filter($O27:$O$386,$O27:$O$386&gt;$O26,$E26:$E$386=$E$2)))"),0.0)</f>
        <v>0</v>
      </c>
      <c r="AJ26" s="16">
        <f t="shared" si="9"/>
        <v>0</v>
      </c>
      <c r="AK26" s="88">
        <f>IFERROR(__xludf.DUMMYFUNCTION("iferror($O26-min(filter($O26:$O$386,$E26:$E$386=$E$2)))"),2.0)</f>
        <v>2</v>
      </c>
      <c r="AL26" s="2" t="str">
        <f>IFERROR(__xludf.DUMMYFUNCTION("iferror(join("","",index(sort(filter($F27:$F$386,$O27:$O$386&gt;$O26,$E27:$E$386=$E$2),2,false),0,1)))"),"North Carolina,Virginia Tech,Miami,Pittsburgh,Georgia Tech,Boston College,NC State,Wake Forest")</f>
        <v>North Carolina,Virginia Tech,Miami,Pittsburgh,Georgia Tech,Boston College,NC State,Wake Forest</v>
      </c>
      <c r="AM26" s="2" t="str">
        <f>IFERROR(__xludf.DUMMYFUNCTION("REGEXREPLACE(join("","",unique({let(conf_picked,filter(E$1:E25,D$1:D25=D26), byrow(unique(TRANSPOSe(Teams!$1:$1)),lambda(rw,if(ISERROR(match(rw,conf_picked,0)),rw,))));iferror(if(#REF!,,transpose(split(#REF!,"","",1,1))))})), ""^,"", """")"),"AAC,ACC,Big 12,Big Ten,CUSA,MAC,,Pac12,SEC")</f>
        <v>AAC,ACC,Big 12,Big Ten,CUSA,MAC,,Pac12,SEC</v>
      </c>
      <c r="AN26" s="86">
        <f>IFERROR(__xludf.DUMMYFUNCTION("iferror($O26-max(filter($O26:$O$386,arrayformula(isnumber(FIND($E26:$E$386,AM26))))))"),-8.0)</f>
        <v>-8</v>
      </c>
      <c r="AO26" s="8">
        <f t="array" ref="AO26">countifs($O$2:$O25,"&lt;"&amp;$O26,isnumber(FIND($E$2:$E25,AM26)),TRUE)</f>
        <v>0</v>
      </c>
      <c r="AP26" s="8">
        <f>IFERROR(__xludf.DUMMYFUNCTION("iferror(COUNT(filter($O27:$O$386,$O27:$O$386&gt;$O26,arrayformula(isnumber(FIND($E27:$E$386,AM26))))))"),53.0)</f>
        <v>53</v>
      </c>
      <c r="AQ26" s="16">
        <f t="shared" si="10"/>
        <v>0</v>
      </c>
      <c r="AR26" s="88">
        <f>IFERROR(__xludf.DUMMYFUNCTION("iferror($O26-min(filter($O26:$O$386,arrayformula(isnumber(FIND($E26:$E$386,AM26))))))"),2.0)</f>
        <v>2</v>
      </c>
      <c r="AS26" s="89" t="str">
        <f>IFERROR(__xludf.DUMMYFUNCTION("iferror(join("","",index(sort(filter($F27:$F$386,$O27:$O$386&gt;$O26,arrayformula(isnumber(FIND($E27:$E$386,AM26)))),2,false),0,1)))"),"Texas Tech,Northern Illinois,Western Michigan,Washington,South Florida,North Carolina,Kansas State,Temple,Toledo,Middle Tennessee,Georgia,Wisconsin,Navy,USC,Louisiana Tech,Ohio,Virginia Tech,Washington State,Memphis,Utah,Central Michigan,Akron,Florida,Mia"&amp;"mi,Tulsa,Pittsburgh,Northwestern,Ole Miss,Arkansas,Mississippi State,Penn State,Arizona State,Minnesota,Georgia Tech,Boston College,Texas A&amp;M,UCF,NC State,Old Dominion,California,Auburn,Colorado,Eastern Michigan,Kentucky,Wake Forest,Indiana,Maryland,Miami"&amp;"-OH,South Carolina,Vanderbilt,SMU,North Texas,UTSA")</f>
        <v>Texas Tech,Northern Illinois,Western Michigan,Washington,South Florida,North Carolina,Kansas State,Temple,Toledo,Middle Tennessee,Georgia,Wisconsin,Navy,USC,Louisiana Tech,Ohio,Virginia Tech,Washington State,Memphis,Utah,Central Michigan,Akron,Florida,Miami,Tulsa,Pittsburgh,Northwestern,Ole Miss,Arkansas,Mississippi State,Penn State,Arizona State,Minnesota,Georgia Tech,Boston College,Texas A&amp;M,UCF,NC State,Old Dominion,California,Auburn,Colorado,Eastern Michigan,Kentucky,Wake Forest,Indiana,Maryland,Miami-OH,South Carolina,Vanderbilt,SMU,North Texas,UTSA</v>
      </c>
    </row>
    <row r="27">
      <c r="A27" s="13">
        <f t="shared" si="11"/>
        <v>26</v>
      </c>
      <c r="B27" s="13">
        <v>3.0</v>
      </c>
      <c r="C27" s="90">
        <v>6.0</v>
      </c>
      <c r="D27" s="91" t="str">
        <f t="shared" si="13"/>
        <v>Vu</v>
      </c>
      <c r="E27" s="154" t="str">
        <f>if(F27&lt;&gt;"",VLOOKUP(F27,'Teams-Conference, for lookup'!A:B,2,0),"")</f>
        <v>Big 12</v>
      </c>
      <c r="F27" s="104" t="s">
        <v>391</v>
      </c>
      <c r="G27" t="str">
        <f t="shared" si="1"/>
        <v/>
      </c>
      <c r="H27" s="97">
        <f t="shared" si="2"/>
        <v>1</v>
      </c>
      <c r="I27" s="97">
        <f t="shared" si="3"/>
        <v>1</v>
      </c>
      <c r="J27" s="97">
        <f t="shared" si="12"/>
        <v>3</v>
      </c>
      <c r="K27" s="2"/>
      <c r="L27" s="2"/>
      <c r="M27" s="97">
        <f>IFERROR(__xludf.DUMMYFUNCTION("counta(iferror(filter(L$2:L26,E$2:E26=E27,L$2:L26&lt;L27)))"),0.0)</f>
        <v>0</v>
      </c>
      <c r="N27" s="97">
        <f>IFERROR(__xludf.DUMMYFUNCTION("counta(iferror(filter(L28:L$124,E28:E$124=E27,L28:L$125&gt;L27)))"),0.0)</f>
        <v>0</v>
      </c>
      <c r="O27" s="83">
        <f t="array" ref="O27:X27">XLOOKUP(F27,'Current Week'!B:B,'Current Week'!C:O)</f>
        <v>5</v>
      </c>
      <c r="P27" s="97">
        <v>6.0</v>
      </c>
      <c r="Q27" s="2" t="s">
        <v>130</v>
      </c>
      <c r="R27" s="84" t="s">
        <v>106</v>
      </c>
      <c r="S27" s="2"/>
      <c r="T27" s="2" t="s">
        <v>115</v>
      </c>
      <c r="U27" s="8" t="s">
        <v>115</v>
      </c>
      <c r="V27" s="2"/>
      <c r="W27" s="8">
        <v>9999.0</v>
      </c>
      <c r="X27" s="2"/>
      <c r="Y27" s="2"/>
      <c r="Z27" s="2"/>
      <c r="AA27" s="86">
        <f t="shared" si="4"/>
        <v>-7</v>
      </c>
      <c r="AB27" s="8">
        <f t="shared" si="5"/>
        <v>1</v>
      </c>
      <c r="AC27" s="8">
        <f>IFERROR(__xludf.DUMMYFUNCTION("iferror(COUNT(filter($O28:$O$386,$O28:$O$386&gt;$O27)))"),51.0)</f>
        <v>51</v>
      </c>
      <c r="AD27" s="16">
        <f t="shared" si="6"/>
        <v>0</v>
      </c>
      <c r="AE27" s="88">
        <f t="shared" si="7"/>
        <v>1</v>
      </c>
      <c r="AF27" s="2" t="str">
        <f>IFERROR(__xludf.DUMMYFUNCTION("iferror(join("","",index(sort(filter($F28:$F$387,$O28:$O$387&gt;$O27),2,false),0,1)))"),"Western Michigan,Arkansas State,Washington,South Florida,North Carolina,Kansas State,Temple,Toledo,Troy,Middle Tennessee,Louisiana Lafayette,Georgia,Wisconsin,Navy,USC,Louisiana Tech,Ohio,Virginia Tech,Washington State,Memphis,Utah,Central Michigan,Colora"&amp;"do State,New Mexico,Florida,Miami,Tulsa,Pittsburgh,Northwestern,Arkansas,Idaho,Penn State,Minnesota,Georgia Tech,Boston College,Texas A&amp;M,UCF,NC State,Old Dominion,Auburn,Colorado,Wyoming,Eastern Michigan,Kentucky,Wake Forest,Indiana,Maryland,Miami-OH,Sou"&amp;"th Carolina,Vanderbilt,Hawaii")</f>
        <v>Western Michigan,Arkansas State,Washington,South Florida,North Carolina,Kansas State,Temple,Toledo,Troy,Middle Tennessee,Louisiana Lafayette,Georgia,Wisconsin,Navy,USC,Louisiana Tech,Ohio,Virginia Tech,Washington State,Memphis,Utah,Central Michigan,Colorado State,New Mexico,Florida,Miami,Tulsa,Pittsburgh,Northwestern,Arkansas,Idaho,Penn State,Minnesota,Georgia Tech,Boston College,Texas A&amp;M,UCF,NC State,Old Dominion,Auburn,Colorado,Wyoming,Eastern Michigan,Kentucky,Wake Forest,Indiana,Maryland,Miami-OH,South Carolina,Vanderbilt,Hawaii</v>
      </c>
      <c r="AG27" s="86">
        <f>IFERROR(__xludf.DUMMYFUNCTION("iferror($O27-max(filter($O27:$O$386,$E27:$E$386=$E$2)))"),-4.0)</f>
        <v>-4</v>
      </c>
      <c r="AH27" s="8">
        <f t="shared" si="8"/>
        <v>0</v>
      </c>
      <c r="AI27" s="8">
        <f>IFERROR(__xludf.DUMMYFUNCTION("iferror(COUNT(filter($O28:$O$386,$O28:$O$386&gt;$O27,$E27:$E$386=$E$2)))"),0.0)</f>
        <v>0</v>
      </c>
      <c r="AJ27" s="16">
        <f t="shared" si="9"/>
        <v>0</v>
      </c>
      <c r="AK27" s="88">
        <f>IFERROR(__xludf.DUMMYFUNCTION("iferror($O27-min(filter($O27:$O$386,$E27:$E$386=$E$2)))"),3.0)</f>
        <v>3</v>
      </c>
      <c r="AL27" s="2" t="str">
        <f>IFERROR(__xludf.DUMMYFUNCTION("iferror(join("","",index(sort(filter($F28:$F$386,$O28:$O$386&gt;$O27,$E28:$E$386=$E$2),2,false),0,1)))"),"North Carolina,Virginia Tech,Miami,Pittsburgh,Georgia Tech,Boston College,NC State,Wake Forest")</f>
        <v>North Carolina,Virginia Tech,Miami,Pittsburgh,Georgia Tech,Boston College,NC State,Wake Forest</v>
      </c>
      <c r="AM27" s="2" t="str">
        <f>IFERROR(__xludf.DUMMYFUNCTION("REGEXREPLACE(join("","",unique({let(conf_picked,filter(E$1:E26,D$1:D26=D27), byrow(unique(TRANSPOSe(Teams!$1:$1)),lambda(rw,if(ISERROR(match(rw,conf_picked,0)),rw,))));iferror(if(#REF!,,transpose(split(#REF!,"","",1,1))))})), ""^,"", """")"),"AAC,,Big 12,Big Ten,CUSA,MAC,Pac12,SEC,Sun Belt")</f>
        <v>AAC,,Big 12,Big Ten,CUSA,MAC,Pac12,SEC,Sun Belt</v>
      </c>
      <c r="AN27" s="86">
        <f>IFERROR(__xludf.DUMMYFUNCTION("iferror($O27-max(filter($O27:$O$386,arrayformula(isnumber(FIND($E27:$E$386,AM27))))))"),-7.0)</f>
        <v>-7</v>
      </c>
      <c r="AO27" s="8">
        <f t="array" ref="AO27">countifs($O$2:$O26,"&lt;"&amp;$O27,isnumber(FIND($E$2:$E26,AM27)),TRUE)</f>
        <v>1</v>
      </c>
      <c r="AP27" s="8">
        <f>IFERROR(__xludf.DUMMYFUNCTION("iferror(COUNT(filter($O28:$O$386,$O28:$O$386&gt;$O27,arrayformula(isnumber(FIND($E28:$E$386,AM27))))))"),39.0)</f>
        <v>39</v>
      </c>
      <c r="AQ27" s="16">
        <f t="shared" si="10"/>
        <v>0</v>
      </c>
      <c r="AR27" s="88">
        <f>IFERROR(__xludf.DUMMYFUNCTION("iferror($O27-min(filter($O27:$O$386,arrayformula(isnumber(FIND($E27:$E$386,AM27))))))"),3.0)</f>
        <v>3</v>
      </c>
      <c r="AS27" s="89" t="str">
        <f>IFERROR(__xludf.DUMMYFUNCTION("iferror(join("","",index(sort(filter($F28:$F$386,$O28:$O$386&gt;$O27,arrayformula(isnumber(FIND($E28:$E$386,AM27)))),2,false),0,1)))"),"Western Michigan,Arkansas State,Washington,South Florida,Kansas State,Temple,Toledo,Troy,Middle Tennessee,Louisiana Lafayette,Georgia,Wisconsin,Navy,USC,Louisiana Tech,Ohio,Washington State,Memphis,Utah,Central Michigan,Florida,Tulsa,Northwestern,Arkansas"&amp;",Idaho,Penn State,Minnesota,Texas A&amp;M,UCF,Old Dominion,Auburn,Colorado,Eastern Michigan,Kentucky,Indiana,Maryland,Miami-OH,South Carolina,Vanderbilt")</f>
        <v>Western Michigan,Arkansas State,Washington,South Florida,Kansas State,Temple,Toledo,Troy,Middle Tennessee,Louisiana Lafayette,Georgia,Wisconsin,Navy,USC,Louisiana Tech,Ohio,Washington State,Memphis,Utah,Central Michigan,Florida,Tulsa,Northwestern,Arkansas,Idaho,Penn State,Minnesota,Texas A&amp;M,UCF,Old Dominion,Auburn,Colorado,Eastern Michigan,Kentucky,Indiana,Maryland,Miami-OH,South Carolina,Vanderbilt</v>
      </c>
    </row>
    <row r="28">
      <c r="A28" s="13">
        <f t="shared" si="11"/>
        <v>27</v>
      </c>
      <c r="B28" s="13">
        <v>3.0</v>
      </c>
      <c r="C28" s="90">
        <v>7.0</v>
      </c>
      <c r="D28" s="91" t="str">
        <f t="shared" si="13"/>
        <v>Josh T.</v>
      </c>
      <c r="E28" s="79" t="str">
        <f>if(F28&lt;&gt;"",VLOOKUP(F28,'Teams-Conference, for lookup'!A:B,2,0),"")</f>
        <v>MAC</v>
      </c>
      <c r="F28" s="98" t="s">
        <v>401</v>
      </c>
      <c r="G28" t="str">
        <f t="shared" si="1"/>
        <v/>
      </c>
      <c r="H28" s="97">
        <f t="shared" si="2"/>
        <v>1</v>
      </c>
      <c r="I28" s="97">
        <f t="shared" si="3"/>
        <v>2</v>
      </c>
      <c r="J28" s="97">
        <f t="shared" si="12"/>
        <v>0</v>
      </c>
      <c r="K28" s="97">
        <f t="shared" ref="K28:K33" si="15">countif(E7:E28,E29)</f>
        <v>1</v>
      </c>
      <c r="L28" s="2"/>
      <c r="M28" s="97">
        <f>IFERROR(__xludf.DUMMYFUNCTION("counta(iferror(filter(L$2:L27,E$2:E27=E28,L$2:L27&lt;L28)))"),0.0)</f>
        <v>0</v>
      </c>
      <c r="N28" s="97">
        <f>IFERROR(__xludf.DUMMYFUNCTION("counta(iferror(filter(L29:L$124,E29:E$124=E28,L29:L$125&gt;L28)))"),0.0)</f>
        <v>0</v>
      </c>
      <c r="O28" s="83">
        <f t="array" ref="O28:X28">XLOOKUP(F28,'Current Week'!B:B,'Current Week'!C:O)</f>
        <v>5</v>
      </c>
      <c r="P28" s="97">
        <v>3.0</v>
      </c>
      <c r="Q28" s="2" t="s">
        <v>192</v>
      </c>
      <c r="R28" s="2" t="s">
        <v>106</v>
      </c>
      <c r="S28" s="2"/>
      <c r="T28" s="2" t="s">
        <v>115</v>
      </c>
      <c r="U28" s="8" t="s">
        <v>115</v>
      </c>
      <c r="V28" s="2"/>
      <c r="W28" s="8">
        <v>9999.0</v>
      </c>
      <c r="X28" s="2"/>
      <c r="Y28" s="2"/>
      <c r="Z28" s="2"/>
      <c r="AA28" s="86">
        <f t="shared" si="4"/>
        <v>-7</v>
      </c>
      <c r="AB28" s="8">
        <f t="shared" si="5"/>
        <v>1</v>
      </c>
      <c r="AC28" s="8">
        <f>IFERROR(__xludf.DUMMYFUNCTION("iferror(COUNT(filter($O29:$O$386,$O29:$O$386&gt;$O28)))"),51.0)</f>
        <v>51</v>
      </c>
      <c r="AD28" s="16">
        <f t="shared" si="6"/>
        <v>0</v>
      </c>
      <c r="AE28" s="88">
        <f t="shared" si="7"/>
        <v>1</v>
      </c>
      <c r="AF28" s="2" t="str">
        <f>IFERROR(__xludf.DUMMYFUNCTION("iferror(join("","",index(sort(filter($F29:$F$387,$O29:$O$387&gt;$O28),2,false),0,1)))"),"Western Michigan,Arkansas State,Washington,South Florida,North Carolina,Kansas State,Temple,Toledo,Troy,Middle Tennessee,Louisiana Lafayette,Georgia,Wisconsin,Navy,USC,Louisiana Tech,Ohio,Virginia Tech,Washington State,Memphis,Utah,Central Michigan,Colora"&amp;"do State,New Mexico,Florida,Miami,Tulsa,Pittsburgh,Northwestern,Arkansas,Idaho,Penn State,Minnesota,Georgia Tech,Boston College,Texas A&amp;M,UCF,NC State,Old Dominion,Auburn,Colorado,Wyoming,Eastern Michigan,Kentucky,Wake Forest,Indiana,Maryland,Miami-OH,Sou"&amp;"th Carolina,Vanderbilt,Hawaii")</f>
        <v>Western Michigan,Arkansas State,Washington,South Florida,North Carolina,Kansas State,Temple,Toledo,Troy,Middle Tennessee,Louisiana Lafayette,Georgia,Wisconsin,Navy,USC,Louisiana Tech,Ohio,Virginia Tech,Washington State,Memphis,Utah,Central Michigan,Colorado State,New Mexico,Florida,Miami,Tulsa,Pittsburgh,Northwestern,Arkansas,Idaho,Penn State,Minnesota,Georgia Tech,Boston College,Texas A&amp;M,UCF,NC State,Old Dominion,Auburn,Colorado,Wyoming,Eastern Michigan,Kentucky,Wake Forest,Indiana,Maryland,Miami-OH,South Carolina,Vanderbilt,Hawaii</v>
      </c>
      <c r="AG28" s="86">
        <f>IFERROR(__xludf.DUMMYFUNCTION("iferror($O28-max(filter($O28:$O$386,$E28:$E$386=$E$2)))"),-4.0)</f>
        <v>-4</v>
      </c>
      <c r="AH28" s="8">
        <f t="shared" si="8"/>
        <v>0</v>
      </c>
      <c r="AI28" s="8">
        <f>IFERROR(__xludf.DUMMYFUNCTION("iferror(COUNT(filter($O29:$O$386,$O29:$O$386&gt;$O28,$E28:$E$386=$E$2)))"),0.0)</f>
        <v>0</v>
      </c>
      <c r="AJ28" s="16">
        <f t="shared" si="9"/>
        <v>0</v>
      </c>
      <c r="AK28" s="88">
        <f>IFERROR(__xludf.DUMMYFUNCTION("iferror($O28-min(filter($O28:$O$386,$E28:$E$386=$E$2)))"),3.0)</f>
        <v>3</v>
      </c>
      <c r="AL28" s="2" t="str">
        <f>IFERROR(__xludf.DUMMYFUNCTION("iferror(join("","",index(sort(filter($F29:$F$386,$O29:$O$386&gt;$O28,$E29:$E$386=$E$2),2,false),0,1)))"),"North Carolina,Virginia Tech,Miami,Pittsburgh,Georgia Tech,Boston College,NC State,Wake Forest")</f>
        <v>North Carolina,Virginia Tech,Miami,Pittsburgh,Georgia Tech,Boston College,NC State,Wake Forest</v>
      </c>
      <c r="AM28" s="2" t="str">
        <f>IFERROR(__xludf.DUMMYFUNCTION("REGEXREPLACE(join("","",unique({let(conf_picked,filter(E$1:E27,D$1:D27=D28), byrow(unique(TRANSPOSe(Teams!$1:$1)),lambda(rw,if(ISERROR(match(rw,conf_picked,0)),rw,))));iferror(if(#REF!,,transpose(split(#REF!,"","",1,1))))})), ""^,"", """")"),"AAC,,Big 12,Big Ten,CUSA,MAC,MWC,Pac12,Sun Belt")</f>
        <v>AAC,,Big 12,Big Ten,CUSA,MAC,MWC,Pac12,Sun Belt</v>
      </c>
      <c r="AN28" s="86">
        <f>IFERROR(__xludf.DUMMYFUNCTION("iferror($O28-max(filter($O28:$O$386,arrayformula(isnumber(FIND($E28:$E$386,AM28))))))"),-7.0)</f>
        <v>-7</v>
      </c>
      <c r="AO28" s="8">
        <f t="array" ref="AO28">countifs($O$2:$O27,"&lt;"&amp;$O28,isnumber(FIND($E$2:$E27,AM28)),TRUE)</f>
        <v>1</v>
      </c>
      <c r="AP28" s="8">
        <f>IFERROR(__xludf.DUMMYFUNCTION("iferror(COUNT(filter($O29:$O$386,$O29:$O$386&gt;$O28,arrayformula(isnumber(FIND($E29:$E$386,AM28))))))"),35.0)</f>
        <v>35</v>
      </c>
      <c r="AQ28" s="16">
        <f t="shared" si="10"/>
        <v>0</v>
      </c>
      <c r="AR28" s="88">
        <f>IFERROR(__xludf.DUMMYFUNCTION("iferror($O28-min(filter($O28:$O$386,arrayformula(isnumber(FIND($E28:$E$386,AM28))))))"),4.0)</f>
        <v>4</v>
      </c>
      <c r="AS28" s="89" t="str">
        <f>IFERROR(__xludf.DUMMYFUNCTION("iferror(join("","",index(sort(filter($F29:$F$386,$O29:$O$386&gt;$O28,arrayformula(isnumber(FIND($E29:$E$386,AM28)))),2,false),0,1)))"),"Western Michigan,Arkansas State,Washington,South Florida,Kansas State,Temple,Toledo,Troy,Middle Tennessee,Louisiana Lafayette,Wisconsin,Navy,USC,Louisiana Tech,Ohio,Washington State,Memphis,Utah,Central Michigan,Colorado State,New Mexico,Tulsa,Northwester"&amp;"n,Idaho,Penn State,Minnesota,UCF,Old Dominion,Colorado,Wyoming,Eastern Michigan,Indiana,Maryland,Miami-OH,Hawaii")</f>
        <v>Western Michigan,Arkansas State,Washington,South Florida,Kansas State,Temple,Toledo,Troy,Middle Tennessee,Louisiana Lafayette,Wisconsin,Navy,USC,Louisiana Tech,Ohio,Washington State,Memphis,Utah,Central Michigan,Colorado State,New Mexico,Tulsa,Northwestern,Idaho,Penn State,Minnesota,UCF,Old Dominion,Colorado,Wyoming,Eastern Michigan,Indiana,Maryland,Miami-OH,Hawaii</v>
      </c>
    </row>
    <row r="29">
      <c r="A29" s="13">
        <f t="shared" si="11"/>
        <v>28</v>
      </c>
      <c r="B29" s="13">
        <v>3.0</v>
      </c>
      <c r="C29" s="90">
        <v>8.0</v>
      </c>
      <c r="D29" s="91" t="str">
        <f t="shared" si="13"/>
        <v>Justin</v>
      </c>
      <c r="E29" s="92" t="str">
        <f>if(F29&lt;&gt;"",VLOOKUP(F29,'Teams-Conference, for lookup'!A:B,2,0),"")</f>
        <v>Sun Belt</v>
      </c>
      <c r="F29" s="98" t="s">
        <v>408</v>
      </c>
      <c r="G29" t="str">
        <f t="shared" si="1"/>
        <v/>
      </c>
      <c r="H29" s="97">
        <f t="shared" si="2"/>
        <v>1</v>
      </c>
      <c r="I29" s="97">
        <f t="shared" si="3"/>
        <v>3</v>
      </c>
      <c r="J29" s="97">
        <f t="shared" si="12"/>
        <v>0</v>
      </c>
      <c r="K29" s="97">
        <f t="shared" si="15"/>
        <v>1</v>
      </c>
      <c r="L29" s="2"/>
      <c r="M29" s="97">
        <f>IFERROR(__xludf.DUMMYFUNCTION("counta(iferror(filter(L$2:L28,E$2:E28=E29,L$2:L28&lt;L29)))"),0.0)</f>
        <v>0</v>
      </c>
      <c r="N29" s="97">
        <f>IFERROR(__xludf.DUMMYFUNCTION("counta(iferror(filter(L30:L$124,E30:E$124=E29,L30:L$125&gt;L29)))"),0.0)</f>
        <v>0</v>
      </c>
      <c r="O29" s="83">
        <f t="array" ref="O29:X29">XLOOKUP(F29,'Current Week'!B:B,'Current Week'!C:O)</f>
        <v>5</v>
      </c>
      <c r="P29" s="97">
        <v>4.0</v>
      </c>
      <c r="Q29" s="2" t="s">
        <v>143</v>
      </c>
      <c r="R29" s="2" t="s">
        <v>106</v>
      </c>
      <c r="S29" s="2"/>
      <c r="T29" s="2" t="s">
        <v>115</v>
      </c>
      <c r="U29" s="8" t="s">
        <v>115</v>
      </c>
      <c r="V29" s="2"/>
      <c r="W29" s="8">
        <v>9999.0</v>
      </c>
      <c r="X29" s="2"/>
      <c r="Y29" s="2"/>
      <c r="Z29" s="2"/>
      <c r="AA29" s="86">
        <f t="shared" si="4"/>
        <v>-7</v>
      </c>
      <c r="AB29" s="8">
        <f t="shared" si="5"/>
        <v>1</v>
      </c>
      <c r="AC29" s="8">
        <f>IFERROR(__xludf.DUMMYFUNCTION("iferror(COUNT(filter($O30:$O$386,$O30:$O$386&gt;$O29)))"),51.0)</f>
        <v>51</v>
      </c>
      <c r="AD29" s="16">
        <f t="shared" si="6"/>
        <v>0</v>
      </c>
      <c r="AE29" s="88">
        <f t="shared" si="7"/>
        <v>1</v>
      </c>
      <c r="AF29" s="2" t="str">
        <f>IFERROR(__xludf.DUMMYFUNCTION("iferror(join("","",index(sort(filter($F30:$F$387,$O30:$O$387&gt;$O29),2,false),0,1)))"),"Western Michigan,Arkansas State,Washington,South Florida,North Carolina,Kansas State,Temple,Toledo,Troy,Middle Tennessee,Louisiana Lafayette,Georgia,Wisconsin,Navy,USC,Louisiana Tech,Ohio,Virginia Tech,Washington State,Memphis,Utah,Central Michigan,Colora"&amp;"do State,New Mexico,Florida,Miami,Tulsa,Pittsburgh,Northwestern,Arkansas,Idaho,Penn State,Minnesota,Georgia Tech,Boston College,Texas A&amp;M,UCF,NC State,Old Dominion,Auburn,Colorado,Wyoming,Eastern Michigan,Kentucky,Wake Forest,Indiana,Maryland,Miami-OH,Sou"&amp;"th Carolina,Vanderbilt,Hawaii")</f>
        <v>Western Michigan,Arkansas State,Washington,South Florida,North Carolina,Kansas State,Temple,Toledo,Troy,Middle Tennessee,Louisiana Lafayette,Georgia,Wisconsin,Navy,USC,Louisiana Tech,Ohio,Virginia Tech,Washington State,Memphis,Utah,Central Michigan,Colorado State,New Mexico,Florida,Miami,Tulsa,Pittsburgh,Northwestern,Arkansas,Idaho,Penn State,Minnesota,Georgia Tech,Boston College,Texas A&amp;M,UCF,NC State,Old Dominion,Auburn,Colorado,Wyoming,Eastern Michigan,Kentucky,Wake Forest,Indiana,Maryland,Miami-OH,South Carolina,Vanderbilt,Hawaii</v>
      </c>
      <c r="AG29" s="86">
        <f>IFERROR(__xludf.DUMMYFUNCTION("iferror($O29-max(filter($O29:$O$386,$E29:$E$386=$E$2)))"),-4.0)</f>
        <v>-4</v>
      </c>
      <c r="AH29" s="8">
        <f t="shared" si="8"/>
        <v>0</v>
      </c>
      <c r="AI29" s="8">
        <f>IFERROR(__xludf.DUMMYFUNCTION("iferror(COUNT(filter($O30:$O$386,$O30:$O$386&gt;$O29,$E29:$E$386=$E$2)))"),0.0)</f>
        <v>0</v>
      </c>
      <c r="AJ29" s="16">
        <f t="shared" si="9"/>
        <v>0</v>
      </c>
      <c r="AK29" s="88">
        <f>IFERROR(__xludf.DUMMYFUNCTION("iferror($O29-min(filter($O29:$O$386,$E29:$E$386=$E$2)))"),3.0)</f>
        <v>3</v>
      </c>
      <c r="AL29" s="2" t="str">
        <f>IFERROR(__xludf.DUMMYFUNCTION("iferror(join("","",index(sort(filter($F30:$F$386,$O30:$O$386&gt;$O29,$E30:$E$386=$E$2),2,false),0,1)))"),"North Carolina,Virginia Tech,Miami,Pittsburgh,Georgia Tech,Boston College,NC State,Wake Forest")</f>
        <v>North Carolina,Virginia Tech,Miami,Pittsburgh,Georgia Tech,Boston College,NC State,Wake Forest</v>
      </c>
      <c r="AM29" s="2" t="str">
        <f>IFERROR(__xludf.DUMMYFUNCTION("REGEXREPLACE(join("","",unique({let(conf_picked,filter(E$1:E28,D$1:D28=D29), byrow(unique(TRANSPOSe(Teams!$1:$1)),lambda(rw,if(ISERROR(match(rw,conf_picked,0)),rw,))));iferror(if(#REF!,,transpose(split(#REF!,"","",1,1))))})), ""^,"", """")"),"AAC,ACC,,CUSA,MAC,MWC,Pac12,SEC,Sun Belt")</f>
        <v>AAC,ACC,,CUSA,MAC,MWC,Pac12,SEC,Sun Belt</v>
      </c>
      <c r="AN29" s="86">
        <f>IFERROR(__xludf.DUMMYFUNCTION("iferror($O29-max(filter($O29:$O$386,arrayformula(isnumber(FIND($E29:$E$386,AM29))))))"),-7.0)</f>
        <v>-7</v>
      </c>
      <c r="AO29" s="8">
        <f t="array" ref="AO29">countifs($O$2:$O28,"&lt;"&amp;$O29,isnumber(FIND($E$2:$E28,AM29)),TRUE)</f>
        <v>1</v>
      </c>
      <c r="AP29" s="8">
        <f>IFERROR(__xludf.DUMMYFUNCTION("iferror(COUNT(filter($O30:$O$386,$O30:$O$386&gt;$O29,arrayformula(isnumber(FIND($E30:$E$386,AM29))))))"),44.0)</f>
        <v>44</v>
      </c>
      <c r="AQ29" s="16">
        <f t="shared" si="10"/>
        <v>0</v>
      </c>
      <c r="AR29" s="88">
        <f>IFERROR(__xludf.DUMMYFUNCTION("iferror($O29-min(filter($O29:$O$386,arrayformula(isnumber(FIND($E29:$E$386,AM29))))))"),4.0)</f>
        <v>4</v>
      </c>
      <c r="AS29" s="89" t="str">
        <f>IFERROR(__xludf.DUMMYFUNCTION("iferror(join("","",index(sort(filter($F30:$F$386,$O30:$O$386&gt;$O29,arrayformula(isnumber(FIND($E30:$E$386,AM29)))),2,false),0,1)))"),"Western Michigan,Arkansas State,Washington,South Florida,North Carolina,Temple,Toledo,Troy,Middle Tennessee,Louisiana Lafayette,Georgia,Navy,USC,Louisiana Tech,Ohio,Virginia Tech,Washington State,Memphis,Utah,Central Michigan,Colorado State,New Mexico,Flo"&amp;"rida,Miami,Tulsa,Pittsburgh,Arkansas,Idaho,Georgia Tech,Boston College,Texas A&amp;M,UCF,NC State,Old Dominion,Auburn,Colorado,Wyoming,Eastern Michigan,Kentucky,Wake Forest,Miami-OH,South Carolina,Vanderbilt,Hawaii")</f>
        <v>Western Michigan,Arkansas State,Washington,South Florida,North Carolina,Temple,Toledo,Troy,Middle Tennessee,Louisiana Lafayette,Georgia,Navy,USC,Louisiana Tech,Ohio,Virginia Tech,Washington State,Memphis,Utah,Central Michigan,Colorado State,New Mexico,Florida,Miami,Tulsa,Pittsburgh,Arkansas,Idaho,Georgia Tech,Boston College,Texas A&amp;M,UCF,NC State,Old Dominion,Auburn,Colorado,Wyoming,Eastern Michigan,Kentucky,Wake Forest,Miami-OH,South Carolina,Vanderbilt,Hawaii</v>
      </c>
    </row>
    <row r="30">
      <c r="A30" s="13">
        <f t="shared" si="11"/>
        <v>29</v>
      </c>
      <c r="B30" s="13">
        <v>3.0</v>
      </c>
      <c r="C30" s="90">
        <v>9.0</v>
      </c>
      <c r="D30" s="91" t="str">
        <f t="shared" si="13"/>
        <v>Frank</v>
      </c>
      <c r="E30" s="155" t="str">
        <f>if(F30&lt;&gt;"",VLOOKUP(F30,'Teams-Conference, for lookup'!A:B,2,0),"")</f>
        <v>MAC</v>
      </c>
      <c r="F30" s="98" t="s">
        <v>422</v>
      </c>
      <c r="G30" t="str">
        <f t="shared" si="1"/>
        <v/>
      </c>
      <c r="H30" s="97">
        <f t="shared" si="2"/>
        <v>1</v>
      </c>
      <c r="I30" s="97">
        <f t="shared" si="3"/>
        <v>2</v>
      </c>
      <c r="J30" s="97">
        <f t="shared" si="12"/>
        <v>1</v>
      </c>
      <c r="K30" s="97">
        <f t="shared" si="15"/>
        <v>2</v>
      </c>
      <c r="L30" s="2"/>
      <c r="M30" s="97">
        <f>IFERROR(__xludf.DUMMYFUNCTION("counta(iferror(filter(L$2:L29,E$2:E29=E30,L$2:L29&lt;L30)))"),0.0)</f>
        <v>0</v>
      </c>
      <c r="N30" s="97">
        <f>IFERROR(__xludf.DUMMYFUNCTION("counta(iferror(filter(L31:L$124,E31:E$124=E30,L31:L$125&gt;L30)))"),0.0)</f>
        <v>0</v>
      </c>
      <c r="O30" s="83">
        <f t="array" ref="O30:X30">XLOOKUP(F30,'Current Week'!B:B,'Current Week'!C:O)</f>
        <v>12</v>
      </c>
      <c r="P30" s="83">
        <v>0.0</v>
      </c>
      <c r="Q30" s="2" t="s">
        <v>121</v>
      </c>
      <c r="R30" s="2" t="s">
        <v>106</v>
      </c>
      <c r="S30" s="2"/>
      <c r="T30" s="2" t="s">
        <v>424</v>
      </c>
      <c r="U30" s="8" t="s">
        <v>108</v>
      </c>
      <c r="V30" s="2"/>
      <c r="W30" s="8">
        <v>9999.0</v>
      </c>
      <c r="X30" s="2"/>
      <c r="Y30" s="2"/>
      <c r="Z30" s="2"/>
      <c r="AA30" s="86">
        <f t="shared" si="4"/>
        <v>0</v>
      </c>
      <c r="AB30" s="8">
        <f t="shared" si="5"/>
        <v>27</v>
      </c>
      <c r="AC30" s="8">
        <f>IFERROR(__xludf.DUMMYFUNCTION("iferror(COUNT(filter($O31:$O$386,$O31:$O$386&gt;$O30)))"),0.0)</f>
        <v>0</v>
      </c>
      <c r="AD30" s="16">
        <f t="shared" si="6"/>
        <v>1</v>
      </c>
      <c r="AE30" s="88">
        <f t="shared" si="7"/>
        <v>8</v>
      </c>
      <c r="AF30" s="2" t="str">
        <f>IFERROR(__xludf.DUMMYFUNCTION("iferror(join("","",index(sort(filter($F31:$F$387,$O31:$O$387&gt;$O30),2,false),0,1)))"),"")</f>
        <v/>
      </c>
      <c r="AG30" s="86">
        <f>IFERROR(__xludf.DUMMYFUNCTION("iferror($O30-max(filter($O30:$O$386,$E30:$E$386=$E$2)))"),3.0)</f>
        <v>3</v>
      </c>
      <c r="AH30" s="8">
        <f t="shared" si="8"/>
        <v>3</v>
      </c>
      <c r="AI30" s="8">
        <f>IFERROR(__xludf.DUMMYFUNCTION("iferror(COUNT(filter($O31:$O$386,$O31:$O$386&gt;$O30,$E30:$E$386=$E$2)))"),0.0)</f>
        <v>0</v>
      </c>
      <c r="AJ30" s="16">
        <f t="shared" si="9"/>
        <v>0</v>
      </c>
      <c r="AK30" s="88">
        <f>IFERROR(__xludf.DUMMYFUNCTION("iferror($O30-min(filter($O30:$O$386,$E30:$E$386=$E$2)))"),10.0)</f>
        <v>10</v>
      </c>
      <c r="AL30" s="2" t="str">
        <f>IFERROR(__xludf.DUMMYFUNCTION("iferror(join("","",index(sort(filter($F31:$F$386,$O31:$O$386&gt;$O30,$E31:$E$386=$E$2),2,false),0,1)))"),"")</f>
        <v/>
      </c>
      <c r="AM30" s="2" t="str">
        <f>IFERROR(__xludf.DUMMYFUNCTION("REGEXREPLACE(join("","",unique({let(conf_picked,filter(E$1:E29,D$1:D29=D30), byrow(unique(TRANSPOSe(Teams!$1:$1)),lambda(rw,if(ISERROR(match(rw,conf_picked,0)),rw,))));iferror(if(#REF!,,transpose(split(#REF!,"","",1,1))))})), ""^,"", """")"),"AAC,ACC,Big 12,Big Ten,CUSA,MAC,MWC,,Sun Belt")</f>
        <v>AAC,ACC,Big 12,Big Ten,CUSA,MAC,MWC,,Sun Belt</v>
      </c>
      <c r="AN30" s="86">
        <f>IFERROR(__xludf.DUMMYFUNCTION("iferror($O30-max(filter($O30:$O$386,arrayformula(isnumber(FIND($E30:$E$386,AM30))))))"),0.0)</f>
        <v>0</v>
      </c>
      <c r="AO30" s="8">
        <f t="array" ref="AO30">countifs($O$2:$O29,"&lt;"&amp;$O30,isnumber(FIND($E$2:$E29,AM30)),TRUE)</f>
        <v>23</v>
      </c>
      <c r="AP30" s="8">
        <f>IFERROR(__xludf.DUMMYFUNCTION("iferror(COUNT(filter($O31:$O$386,$O31:$O$386&gt;$O30,arrayformula(isnumber(FIND($E31:$E$386,AM30))))))"),0.0)</f>
        <v>0</v>
      </c>
      <c r="AQ30" s="16">
        <f t="shared" si="10"/>
        <v>1</v>
      </c>
      <c r="AR30" s="88">
        <f>IFERROR(__xludf.DUMMYFUNCTION("iferror($O30-min(filter($O30:$O$386,arrayformula(isnumber(FIND($E30:$E$386,AM30))))))"),11.0)</f>
        <v>11</v>
      </c>
      <c r="AS30" s="89" t="str">
        <f>IFERROR(__xludf.DUMMYFUNCTION("iferror(join("","",index(sort(filter($F31:$F$386,$O31:$O$386&gt;$O30,arrayformula(isnumber(FIND($E31:$E$386,AM30)))),2,false),0,1)))"),"")</f>
        <v/>
      </c>
    </row>
    <row r="31">
      <c r="A31" s="151">
        <f t="shared" si="11"/>
        <v>30</v>
      </c>
      <c r="B31" s="151">
        <v>3.0</v>
      </c>
      <c r="C31" s="90">
        <v>10.0</v>
      </c>
      <c r="D31" s="101" t="str">
        <f t="shared" si="13"/>
        <v>Nick A.</v>
      </c>
      <c r="E31" s="156" t="str">
        <f>if(F31&lt;&gt;"",VLOOKUP(F31,'Teams-Conference, for lookup'!A:B,2,0),"")</f>
        <v>Sun Belt</v>
      </c>
      <c r="F31" s="152" t="s">
        <v>436</v>
      </c>
      <c r="G31" s="157" t="str">
        <f t="shared" si="1"/>
        <v/>
      </c>
      <c r="H31" s="97">
        <f t="shared" si="2"/>
        <v>1</v>
      </c>
      <c r="I31" s="97">
        <f t="shared" si="3"/>
        <v>2</v>
      </c>
      <c r="J31" s="97">
        <f t="shared" si="12"/>
        <v>1</v>
      </c>
      <c r="K31" s="97">
        <f t="shared" si="15"/>
        <v>2</v>
      </c>
      <c r="L31" s="2"/>
      <c r="M31" s="97">
        <f>IFERROR(__xludf.DUMMYFUNCTION("counta(iferror(filter(L$2:L30,E$2:E30=E31,L$2:L30&lt;L31)))"),0.0)</f>
        <v>0</v>
      </c>
      <c r="N31" s="97">
        <f>IFERROR(__xludf.DUMMYFUNCTION("counta(iferror(filter(L32:L$124,E32:E$124=E31,L32:L$125&gt;L31)))"),0.0)</f>
        <v>0</v>
      </c>
      <c r="O31" s="83">
        <f t="array" ref="O31:X31">XLOOKUP(F31,'Current Week'!B:B,'Current Week'!C:O)</f>
        <v>7</v>
      </c>
      <c r="P31" s="83">
        <v>5.0</v>
      </c>
      <c r="Q31" s="2" t="s">
        <v>27</v>
      </c>
      <c r="R31" s="84" t="s">
        <v>106</v>
      </c>
      <c r="S31" s="2"/>
      <c r="T31" s="2">
        <v>6.0</v>
      </c>
      <c r="U31" s="8" t="s">
        <v>108</v>
      </c>
      <c r="V31" s="2"/>
      <c r="W31" s="8">
        <v>9999.0</v>
      </c>
      <c r="X31" s="2"/>
      <c r="Y31" s="2"/>
      <c r="Z31" s="2"/>
      <c r="AA31" s="86">
        <f t="shared" si="4"/>
        <v>-4</v>
      </c>
      <c r="AB31" s="8">
        <f t="shared" si="5"/>
        <v>8</v>
      </c>
      <c r="AC31" s="8">
        <f>IFERROR(__xludf.DUMMYFUNCTION("iferror(COUNT(filter($O32:$O$386,$O32:$O$386&gt;$O31)))"),31.0)</f>
        <v>31</v>
      </c>
      <c r="AD31" s="16">
        <f t="shared" si="6"/>
        <v>0</v>
      </c>
      <c r="AE31" s="88">
        <f t="shared" si="7"/>
        <v>3</v>
      </c>
      <c r="AF31" s="2" t="str">
        <f>IFERROR(__xludf.DUMMYFUNCTION("iferror(join("","",index(sort(filter($F32:$F$387,$O32:$O$387&gt;$O31),2,false),0,1)))"),"Washington,South Florida,North Carolina,Kansas State,Temple,Toledo,Troy,Middle Tennessee,Wisconsin,Navy,USC,Louisiana Tech,Ohio,Virginia Tech,Washington State,Memphis,Utah,New Mexico,Florida,Miami,Tulsa,Pittsburgh,Idaho,Penn State,Minnesota,Georgia Tech,T"&amp;"exas A&amp;M,Old Dominion,Auburn,Colorado,Wyoming")</f>
        <v>Washington,South Florida,North Carolina,Kansas State,Temple,Toledo,Troy,Middle Tennessee,Wisconsin,Navy,USC,Louisiana Tech,Ohio,Virginia Tech,Washington State,Memphis,Utah,New Mexico,Florida,Miami,Tulsa,Pittsburgh,Idaho,Penn State,Minnesota,Georgia Tech,Texas A&amp;M,Old Dominion,Auburn,Colorado,Wyoming</v>
      </c>
      <c r="AG31" s="86">
        <f>IFERROR(__xludf.DUMMYFUNCTION("iferror($O31-max(filter($O31:$O$386,$E31:$E$386=$E$2)))"),-2.0)</f>
        <v>-2</v>
      </c>
      <c r="AH31" s="8">
        <f t="shared" si="8"/>
        <v>0</v>
      </c>
      <c r="AI31" s="8">
        <f>IFERROR(__xludf.DUMMYFUNCTION("iferror(COUNT(filter($O32:$O$386,$O32:$O$386&gt;$O31,$E31:$E$386=$E$2)))"),0.0)</f>
        <v>0</v>
      </c>
      <c r="AJ31" s="16">
        <f t="shared" si="9"/>
        <v>0</v>
      </c>
      <c r="AK31" s="88">
        <f>IFERROR(__xludf.DUMMYFUNCTION("iferror($O31-min(filter($O31:$O$386,$E31:$E$386=$E$2)))"),5.0)</f>
        <v>5</v>
      </c>
      <c r="AL31" s="2" t="str">
        <f>IFERROR(__xludf.DUMMYFUNCTION("iferror(join("","",index(sort(filter($F32:$F$386,$O32:$O$386&gt;$O31,$E32:$E$386=$E$2),2,false),0,1)))"),"North Carolina,Virginia Tech,Miami,Pittsburgh,Georgia Tech")</f>
        <v>North Carolina,Virginia Tech,Miami,Pittsburgh,Georgia Tech</v>
      </c>
      <c r="AM31" s="2" t="str">
        <f>IFERROR(__xludf.DUMMYFUNCTION("REGEXREPLACE(join("","",unique({let(conf_picked,filter(E$1:E30,D$1:D30=D31), byrow(unique(TRANSPOSe(Teams!$1:$1)),lambda(rw,if(ISERROR(match(rw,conf_picked,0)),rw,))));iferror(if(#REF!,,transpose(split(#REF!,"","",1,1))))})), ""^,"", """")"),"AAC,ACC,,CUSA,MAC,MWC,Pac12,SEC,Sun Belt")</f>
        <v>AAC,ACC,,CUSA,MAC,MWC,Pac12,SEC,Sun Belt</v>
      </c>
      <c r="AN31" s="86">
        <f>IFERROR(__xludf.DUMMYFUNCTION("iferror($O31-max(filter($O31:$O$386,arrayformula(isnumber(FIND($E31:$E$386,AM31))))))"),-4.0)</f>
        <v>-4</v>
      </c>
      <c r="AO31" s="8">
        <f t="array" ref="AO31">countifs($O$2:$O30,"&lt;"&amp;$O31,isnumber(FIND($E$2:$E30,AM31)),TRUE)</f>
        <v>4</v>
      </c>
      <c r="AP31" s="8">
        <f>IFERROR(__xludf.DUMMYFUNCTION("iferror(COUNT(filter($O32:$O$386,$O32:$O$386&gt;$O31,arrayformula(isnumber(FIND($E32:$E$386,AM31))))))"),27.0)</f>
        <v>27</v>
      </c>
      <c r="AQ31" s="16">
        <f t="shared" si="10"/>
        <v>0</v>
      </c>
      <c r="AR31" s="88">
        <f>IFERROR(__xludf.DUMMYFUNCTION("iferror($O31-min(filter($O31:$O$386,arrayformula(isnumber(FIND($E31:$E$386,AM31))))))"),6.0)</f>
        <v>6</v>
      </c>
      <c r="AS31" s="89" t="str">
        <f>IFERROR(__xludf.DUMMYFUNCTION("iferror(join("","",index(sort(filter($F32:$F$386,$O32:$O$386&gt;$O31,arrayformula(isnumber(FIND($E32:$E$386,AM31)))),2,false),0,1)))"),"Washington,South Florida,North Carolina,Temple,Toledo,Troy,Middle Tennessee,Navy,USC,Louisiana Tech,Ohio,Virginia Tech,Washington State,Memphis,Utah,New Mexico,Florida,Miami,Tulsa,Pittsburgh,Idaho,Georgia Tech,Texas A&amp;M,Old Dominion,Auburn,Colorado,Wyomin"&amp;"g")</f>
        <v>Washington,South Florida,North Carolina,Temple,Toledo,Troy,Middle Tennessee,Navy,USC,Louisiana Tech,Ohio,Virginia Tech,Washington State,Memphis,Utah,New Mexico,Florida,Miami,Tulsa,Pittsburgh,Idaho,Georgia Tech,Texas A&amp;M,Old Dominion,Auburn,Colorado,Wyoming</v>
      </c>
    </row>
    <row r="32">
      <c r="A32" s="13">
        <f t="shared" si="11"/>
        <v>31</v>
      </c>
      <c r="B32" s="13">
        <v>4.0</v>
      </c>
      <c r="C32" s="90">
        <v>1.0</v>
      </c>
      <c r="D32" s="76" t="str">
        <f>D31</f>
        <v>Nick A.</v>
      </c>
      <c r="E32" s="155" t="str">
        <f>if(F32&lt;&gt;"",VLOOKUP(F32,'Teams-Conference, for lookup'!A:B,2,0),"")</f>
        <v>Pac12</v>
      </c>
      <c r="F32" s="98" t="s">
        <v>434</v>
      </c>
      <c r="G32" t="str">
        <f t="shared" si="1"/>
        <v/>
      </c>
      <c r="H32" s="97">
        <f t="shared" si="2"/>
        <v>1</v>
      </c>
      <c r="I32" s="97">
        <f t="shared" si="3"/>
        <v>3</v>
      </c>
      <c r="J32" s="97">
        <f t="shared" si="12"/>
        <v>1</v>
      </c>
      <c r="K32" s="97">
        <f t="shared" si="15"/>
        <v>0</v>
      </c>
      <c r="L32" s="2"/>
      <c r="M32" s="97">
        <f>IFERROR(__xludf.DUMMYFUNCTION("counta(iferror(filter(L$2:L31,E$2:E31=E32,L$2:L31&lt;L32)))"),0.0)</f>
        <v>0</v>
      </c>
      <c r="N32" s="97">
        <f>IFERROR(__xludf.DUMMYFUNCTION("counta(iferror(filter(L33:L$124,E33:E$124=E32,L33:L$125&gt;L32)))"),0.0)</f>
        <v>0</v>
      </c>
      <c r="O32" s="83">
        <f t="array" ref="O32:X32">XLOOKUP(F32,'Current Week'!B:B,'Current Week'!C:O)</f>
        <v>11</v>
      </c>
      <c r="P32" s="83">
        <v>1.0</v>
      </c>
      <c r="Q32" s="2" t="s">
        <v>156</v>
      </c>
      <c r="R32" s="84" t="s">
        <v>106</v>
      </c>
      <c r="S32" s="2"/>
      <c r="T32" s="2" t="s">
        <v>435</v>
      </c>
      <c r="U32" s="8" t="s">
        <v>108</v>
      </c>
      <c r="V32" s="2"/>
      <c r="W32" s="8">
        <v>9999.0</v>
      </c>
      <c r="X32" s="2"/>
      <c r="Y32" s="2"/>
      <c r="Z32" s="2"/>
      <c r="AA32" s="86">
        <f t="shared" si="4"/>
        <v>0</v>
      </c>
      <c r="AB32" s="8">
        <f t="shared" si="5"/>
        <v>26</v>
      </c>
      <c r="AC32" s="8">
        <f>IFERROR(__xludf.DUMMYFUNCTION("iferror(COUNT(filter($O33:$O$386,$O33:$O$386&gt;$O32)))"),0.0)</f>
        <v>0</v>
      </c>
      <c r="AD32" s="16">
        <f t="shared" si="6"/>
        <v>1</v>
      </c>
      <c r="AE32" s="88">
        <f t="shared" si="7"/>
        <v>7</v>
      </c>
      <c r="AF32" s="2" t="str">
        <f>IFERROR(__xludf.DUMMYFUNCTION("iferror(join("","",index(sort(filter($F33:$F$387,$O33:$O$387&gt;$O32),2,false),0,1)))"),"")</f>
        <v/>
      </c>
      <c r="AG32" s="86">
        <f>IFERROR(__xludf.DUMMYFUNCTION("iferror($O32-max(filter($O32:$O$386,$E32:$E$386=$E$2)))"),2.0)</f>
        <v>2</v>
      </c>
      <c r="AH32" s="8">
        <f t="shared" si="8"/>
        <v>2</v>
      </c>
      <c r="AI32" s="8">
        <f>IFERROR(__xludf.DUMMYFUNCTION("iferror(COUNT(filter($O33:$O$386,$O33:$O$386&gt;$O32,$E32:$E$386=$E$2)))"),0.0)</f>
        <v>0</v>
      </c>
      <c r="AJ32" s="16">
        <f t="shared" si="9"/>
        <v>0</v>
      </c>
      <c r="AK32" s="88">
        <f>IFERROR(__xludf.DUMMYFUNCTION("iferror($O32-min(filter($O32:$O$386,$E32:$E$386=$E$2)))"),9.0)</f>
        <v>9</v>
      </c>
      <c r="AL32" s="2" t="str">
        <f>IFERROR(__xludf.DUMMYFUNCTION("iferror(join("","",index(sort(filter($F33:$F$386,$O33:$O$386&gt;$O32,$E33:$E$386=$E$2),2,false),0,1)))"),"")</f>
        <v/>
      </c>
      <c r="AM32" s="2" t="str">
        <f>IFERROR(__xludf.DUMMYFUNCTION("REGEXREPLACE(join("","",unique({let(conf_picked,filter(E$1:E31,D$1:D31=D32), byrow(unique(TRANSPOSe(Teams!$1:$1)),lambda(rw,if(ISERROR(match(rw,conf_picked,0)),rw,))));iferror(if(#REF!,,transpose(split(#REF!,"","",1,1))))})), ""^,"", """")"),"AAC,ACC,,CUSA,MAC,MWC,Pac12,SEC")</f>
        <v>AAC,ACC,,CUSA,MAC,MWC,Pac12,SEC</v>
      </c>
      <c r="AN32" s="86">
        <f>IFERROR(__xludf.DUMMYFUNCTION("iferror($O32-max(filter($O32:$O$386,arrayformula(isnumber(FIND($E32:$E$386,AM32))))))"),0.0)</f>
        <v>0</v>
      </c>
      <c r="AO32" s="8">
        <f t="array" ref="AO32">countifs($O$2:$O31,"&lt;"&amp;$O32,isnumber(FIND($E$2:$E31,AM32)),TRUE)</f>
        <v>13</v>
      </c>
      <c r="AP32" s="8">
        <f>IFERROR(__xludf.DUMMYFUNCTION("iferror(COUNT(filter($O33:$O$386,$O33:$O$386&gt;$O32,arrayformula(isnumber(FIND($E33:$E$386,AM32))))))"),0.0)</f>
        <v>0</v>
      </c>
      <c r="AQ32" s="16">
        <f t="shared" si="10"/>
        <v>1</v>
      </c>
      <c r="AR32" s="88">
        <f>IFERROR(__xludf.DUMMYFUNCTION("iferror($O32-min(filter($O32:$O$386,arrayformula(isnumber(FIND($E32:$E$386,AM32))))))"),10.0)</f>
        <v>10</v>
      </c>
      <c r="AS32" s="89" t="str">
        <f>IFERROR(__xludf.DUMMYFUNCTION("iferror(join("","",index(sort(filter($F33:$F$386,$O33:$O$386&gt;$O32,arrayformula(isnumber(FIND($E33:$E$386,AM32)))),2,false),0,1)))"),"")</f>
        <v/>
      </c>
    </row>
    <row r="33">
      <c r="A33" s="13">
        <f t="shared" si="11"/>
        <v>32</v>
      </c>
      <c r="B33" s="13">
        <v>4.0</v>
      </c>
      <c r="C33" s="90">
        <v>2.0</v>
      </c>
      <c r="D33" s="13" t="str">
        <f>D30</f>
        <v>Frank</v>
      </c>
      <c r="E33" s="155" t="str">
        <f>if(F33&lt;&gt;"",VLOOKUP(F33,'Teams-Conference, for lookup'!A:B,2,0),"")</f>
        <v>AAC</v>
      </c>
      <c r="F33" s="98" t="s">
        <v>373</v>
      </c>
      <c r="G33" t="str">
        <f t="shared" si="1"/>
        <v/>
      </c>
      <c r="H33" s="97">
        <f t="shared" si="2"/>
        <v>2</v>
      </c>
      <c r="I33" s="97">
        <f t="shared" si="3"/>
        <v>4</v>
      </c>
      <c r="J33" s="97">
        <f t="shared" si="12"/>
        <v>0</v>
      </c>
      <c r="K33" s="97">
        <f t="shared" si="15"/>
        <v>1</v>
      </c>
      <c r="L33" s="2"/>
      <c r="M33" s="97">
        <f>IFERROR(__xludf.DUMMYFUNCTION("counta(iferror(filter(L$2:L32,E$2:E32=E33,L$2:L32&lt;L33)))"),0.0)</f>
        <v>0</v>
      </c>
      <c r="N33" s="97">
        <f>IFERROR(__xludf.DUMMYFUNCTION("counta(iferror(filter(L34:L$124,E34:E$124=E33,L34:L$125&gt;L33)))"),0.0)</f>
        <v>0</v>
      </c>
      <c r="O33" s="83">
        <f t="array" ref="O33:X33">XLOOKUP(F33,'Current Week'!B:B,'Current Week'!C:O)</f>
        <v>10</v>
      </c>
      <c r="P33" s="83">
        <v>2.0</v>
      </c>
      <c r="Q33" s="2" t="s">
        <v>192</v>
      </c>
      <c r="R33" s="2" t="s">
        <v>106</v>
      </c>
      <c r="S33" s="2"/>
      <c r="T33" s="2" t="s">
        <v>428</v>
      </c>
      <c r="U33" s="8" t="s">
        <v>108</v>
      </c>
      <c r="V33" s="2"/>
      <c r="W33" s="8">
        <v>9999.0</v>
      </c>
      <c r="X33" s="2"/>
      <c r="Y33" s="2"/>
      <c r="Z33" s="2"/>
      <c r="AA33" s="86">
        <f t="shared" si="4"/>
        <v>0</v>
      </c>
      <c r="AB33" s="8">
        <f t="shared" si="5"/>
        <v>22</v>
      </c>
      <c r="AC33" s="8">
        <f>IFERROR(__xludf.DUMMYFUNCTION("iferror(COUNT(filter($O34:$O$386,$O34:$O$386&gt;$O33)))"),0.0)</f>
        <v>0</v>
      </c>
      <c r="AD33" s="16">
        <f t="shared" si="6"/>
        <v>1</v>
      </c>
      <c r="AE33" s="88">
        <f t="shared" si="7"/>
        <v>6</v>
      </c>
      <c r="AF33" s="2" t="str">
        <f>IFERROR(__xludf.DUMMYFUNCTION("iferror(join("","",index(sort(filter($F34:$F$387,$O34:$O$387&gt;$O33),2,false),0,1)))"),"")</f>
        <v/>
      </c>
      <c r="AG33" s="86">
        <f>IFERROR(__xludf.DUMMYFUNCTION("iferror($O33-max(filter($O33:$O$386,$E33:$E$386=$E$2)))"),1.0)</f>
        <v>1</v>
      </c>
      <c r="AH33" s="8">
        <f t="shared" si="8"/>
        <v>2</v>
      </c>
      <c r="AI33" s="8">
        <f>IFERROR(__xludf.DUMMYFUNCTION("iferror(COUNT(filter($O34:$O$386,$O34:$O$386&gt;$O33,$E33:$E$386=$E$2)))"),0.0)</f>
        <v>0</v>
      </c>
      <c r="AJ33" s="16">
        <f t="shared" si="9"/>
        <v>0</v>
      </c>
      <c r="AK33" s="88">
        <f>IFERROR(__xludf.DUMMYFUNCTION("iferror($O33-min(filter($O33:$O$386,$E33:$E$386=$E$2)))"),8.0)</f>
        <v>8</v>
      </c>
      <c r="AL33" s="2" t="str">
        <f>IFERROR(__xludf.DUMMYFUNCTION("iferror(join("","",index(sort(filter($F34:$F$386,$O34:$O$386&gt;$O33,$E34:$E$386=$E$2),2,false),0,1)))"),"")</f>
        <v/>
      </c>
      <c r="AM33" s="2" t="str">
        <f>IFERROR(__xludf.DUMMYFUNCTION("REGEXREPLACE(join("","",unique({let(conf_picked,filter(E$1:E32,D$1:D32=D33), byrow(unique(TRANSPOSe(Teams!$1:$1)),lambda(rw,if(ISERROR(match(rw,conf_picked,0)),rw,))));iferror(if(#REF!,,transpose(split(#REF!,"","",1,1))))})), ""^,"", """")"),"AAC,ACC,Big 12,Big Ten,CUSA,,MWC,Sun Belt")</f>
        <v>AAC,ACC,Big 12,Big Ten,CUSA,,MWC,Sun Belt</v>
      </c>
      <c r="AN33" s="86">
        <f>IFERROR(__xludf.DUMMYFUNCTION("iferror($O33-max(filter($O33:$O$386,arrayformula(isnumber(FIND($E33:$E$386,AM33))))))"),0.0)</f>
        <v>0</v>
      </c>
      <c r="AO33" s="8">
        <f t="array" ref="AO33">countifs($O$2:$O32,"&lt;"&amp;$O33,isnumber(FIND($E$2:$E32,AM33)),TRUE)</f>
        <v>17</v>
      </c>
      <c r="AP33" s="8">
        <f>IFERROR(__xludf.DUMMYFUNCTION("iferror(COUNT(filter($O34:$O$386,$O34:$O$386&gt;$O33,arrayformula(isnumber(FIND($E34:$E$386,AM33))))))"),0.0)</f>
        <v>0</v>
      </c>
      <c r="AQ33" s="16">
        <f t="shared" si="10"/>
        <v>1</v>
      </c>
      <c r="AR33" s="88">
        <f>IFERROR(__xludf.DUMMYFUNCTION("iferror($O33-min(filter($O33:$O$386,arrayformula(isnumber(FIND($E33:$E$386,AM33))))))"),9.0)</f>
        <v>9</v>
      </c>
      <c r="AS33" s="89" t="str">
        <f>IFERROR(__xludf.DUMMYFUNCTION("iferror(join("","",index(sort(filter($F34:$F$386,$O34:$O$386&gt;$O33,arrayformula(isnumber(FIND($E34:$E$386,AM33)))),2,false),0,1)))"),"")</f>
        <v/>
      </c>
    </row>
    <row r="34">
      <c r="A34" s="13">
        <f t="shared" si="11"/>
        <v>33</v>
      </c>
      <c r="B34" s="13">
        <v>4.0</v>
      </c>
      <c r="C34" s="90">
        <v>3.0</v>
      </c>
      <c r="D34" s="13" t="str">
        <f>D29</f>
        <v>Justin</v>
      </c>
      <c r="E34" s="79" t="str">
        <f>if(F34&lt;&gt;"",VLOOKUP(F34,'Teams-Conference, for lookup'!A:B,2,0),"")</f>
        <v>ACC</v>
      </c>
      <c r="F34" s="161" t="s">
        <v>415</v>
      </c>
      <c r="G34" t="str">
        <f t="shared" si="1"/>
        <v/>
      </c>
      <c r="H34" s="97">
        <f t="shared" si="2"/>
        <v>0</v>
      </c>
      <c r="I34" s="97">
        <f t="shared" si="3"/>
        <v>1</v>
      </c>
      <c r="J34" s="97">
        <f t="shared" si="12"/>
        <v>0</v>
      </c>
      <c r="K34" s="97">
        <f>countif(E15:E34,E36)</f>
        <v>2</v>
      </c>
      <c r="L34" s="2"/>
      <c r="M34" s="97">
        <f>IFERROR(__xludf.DUMMYFUNCTION("counta(iferror(filter(L$2:L33,E$2:E33=E34,L$2:L33&lt;L34)))"),0.0)</f>
        <v>0</v>
      </c>
      <c r="N34" s="97">
        <f>IFERROR(__xludf.DUMMYFUNCTION("counta(iferror(filter(L36:L$124,E36:E$124=E34,L36:L$125&gt;L34)))"),0.0)</f>
        <v>0</v>
      </c>
      <c r="O34" s="83">
        <f t="array" ref="O34:X34">XLOOKUP(F34,'Current Week'!B:B,'Current Week'!C:O)</f>
        <v>8</v>
      </c>
      <c r="P34" s="97">
        <v>3.0</v>
      </c>
      <c r="Q34" s="2" t="s">
        <v>124</v>
      </c>
      <c r="R34" s="2" t="s">
        <v>106</v>
      </c>
      <c r="S34" s="2"/>
      <c r="T34" s="2">
        <v>3.0</v>
      </c>
      <c r="U34" s="8" t="s">
        <v>108</v>
      </c>
      <c r="V34" s="2"/>
      <c r="W34" s="8">
        <v>9999.0</v>
      </c>
      <c r="X34" s="2"/>
      <c r="Y34" s="2"/>
      <c r="Z34" s="2"/>
      <c r="AA34" s="86">
        <f t="shared" si="4"/>
        <v>-2</v>
      </c>
      <c r="AB34" s="8">
        <f t="shared" si="5"/>
        <v>10</v>
      </c>
      <c r="AC34" s="8">
        <f>IFERROR(__xludf.DUMMYFUNCTION("iferror(COUNT(filter($O35:$O$386,$O35:$O$386&gt;$O34)))"),11.0)</f>
        <v>11</v>
      </c>
      <c r="AD34" s="16">
        <f t="shared" si="6"/>
        <v>0</v>
      </c>
      <c r="AE34" s="88">
        <f t="shared" si="7"/>
        <v>4</v>
      </c>
      <c r="AF34" s="2" t="str">
        <f>IFERROR(__xludf.DUMMYFUNCTION("iferror(join("","",index(sort(filter($F35:$F$387,$O35:$O$387&gt;$O34),2,false),0,1)))"),"Temple,Toledo,Troy,Wisconsin,Navy,USC,Virginia Tech,Tulsa,Penn State,Old Dominion,Colorado")</f>
        <v>Temple,Toledo,Troy,Wisconsin,Navy,USC,Virginia Tech,Tulsa,Penn State,Old Dominion,Colorado</v>
      </c>
      <c r="AG34" s="86">
        <f>IFERROR(__xludf.DUMMYFUNCTION("iferror($O34-max(filter($O34:$O$386,$E34:$E$386=$E$2)))"),-1.0)</f>
        <v>-1</v>
      </c>
      <c r="AH34" s="8">
        <f t="shared" si="8"/>
        <v>0</v>
      </c>
      <c r="AI34" s="8">
        <f>IFERROR(__xludf.DUMMYFUNCTION("iferror(COUNT(filter($O35:$O$386,$O35:$O$386&gt;$O34,$E34:$E$386=$E$2)))"),0.0)</f>
        <v>0</v>
      </c>
      <c r="AJ34" s="16">
        <f t="shared" si="9"/>
        <v>0</v>
      </c>
      <c r="AK34" s="88">
        <f>IFERROR(__xludf.DUMMYFUNCTION("iferror($O34-min(filter($O34:$O$386,$E34:$E$386=$E$2)))"),6.0)</f>
        <v>6</v>
      </c>
      <c r="AL34" s="2" t="str">
        <f>IFERROR(__xludf.DUMMYFUNCTION("iferror(join("","",index(sort(filter($F35:$F$386,$O35:$O$386&gt;$O34,$E35:$E$386=$E$2),2,false),0,1)))"),"Virginia Tech")</f>
        <v>Virginia Tech</v>
      </c>
      <c r="AM34" s="2" t="str">
        <f>IFERROR(__xludf.DUMMYFUNCTION("REGEXREPLACE(join("","",unique({let(conf_picked,filter(E$1:E33,D$1:D33=D34), byrow(unique(TRANSPOSe(Teams!$1:$1)),lambda(rw,if(ISERROR(match(rw,conf_picked,0)),rw,))));iferror(if(#REF!,,transpose(split(#REF!,"","",1,1))))})), ""^,"", """")"),"AAC,ACC,,CUSA,MAC,MWC,Pac12,SEC")</f>
        <v>AAC,ACC,,CUSA,MAC,MWC,Pac12,SEC</v>
      </c>
      <c r="AN34" s="86">
        <f>IFERROR(__xludf.DUMMYFUNCTION("iferror($O34-max(filter($O34:$O$386,arrayformula(isnumber(FIND($E34:$E$386,AM34))))))"),-2.0)</f>
        <v>-2</v>
      </c>
      <c r="AO34" s="8">
        <f t="array" ref="AO34">countifs($O$2:$O33,"&lt;"&amp;$O34,isnumber(FIND($E$2:$E33,AM34)),TRUE)</f>
        <v>4</v>
      </c>
      <c r="AP34" s="8">
        <f>IFERROR(__xludf.DUMMYFUNCTION("iferror(COUNT(filter($O35:$O$386,$O35:$O$386&gt;$O34,arrayformula(isnumber(FIND($E35:$E$386,AM34))))))"),8.0)</f>
        <v>8</v>
      </c>
      <c r="AQ34" s="16">
        <f t="shared" si="10"/>
        <v>0</v>
      </c>
      <c r="AR34" s="88">
        <f>IFERROR(__xludf.DUMMYFUNCTION("iferror($O34-min(filter($O34:$O$386,arrayformula(isnumber(FIND($E34:$E$386,AM34))))))"),7.0)</f>
        <v>7</v>
      </c>
      <c r="AS34" s="89" t="str">
        <f>IFERROR(__xludf.DUMMYFUNCTION("iferror(join("","",index(sort(filter($F35:$F$386,$O35:$O$386&gt;$O34,arrayformula(isnumber(FIND($E35:$E$386,AM34)))),2,false),0,1)))"),"Temple,Toledo,Navy,USC,Virginia Tech,Tulsa,Old Dominion,Colorado")</f>
        <v>Temple,Toledo,Navy,USC,Virginia Tech,Tulsa,Old Dominion,Colorado</v>
      </c>
    </row>
    <row r="35">
      <c r="A35" s="13">
        <f t="shared" si="11"/>
        <v>34</v>
      </c>
      <c r="B35" s="13">
        <v>4.0</v>
      </c>
      <c r="C35" s="90">
        <v>4.0</v>
      </c>
      <c r="D35" s="13" t="str">
        <f>D28</f>
        <v>Josh T.</v>
      </c>
      <c r="E35" s="92" t="str">
        <f>if(F35&lt;&gt;"",VLOOKUP(F35,'Teams-Conference, for lookup'!A:B,2,0),"")</f>
        <v>Big 12</v>
      </c>
      <c r="F35" s="98" t="s">
        <v>398</v>
      </c>
      <c r="G35" t="str">
        <f t="shared" si="1"/>
        <v/>
      </c>
      <c r="H35" s="97">
        <f t="shared" si="2"/>
        <v>0</v>
      </c>
      <c r="I35" s="97">
        <f t="shared" si="3"/>
        <v>0</v>
      </c>
      <c r="J35" s="97">
        <f t="shared" si="12"/>
        <v>1</v>
      </c>
      <c r="K35" s="97">
        <f>countif(E17:E36,E37)</f>
        <v>1</v>
      </c>
      <c r="L35" s="2"/>
      <c r="M35" s="97">
        <f>IFERROR(__xludf.DUMMYFUNCTION("counta(iferror(filter(L$2:L36,E$2:E36=E35,L$2:L36&lt;L35)))"),0.0)</f>
        <v>0</v>
      </c>
      <c r="N35" s="97">
        <f>IFERROR(__xludf.DUMMYFUNCTION("counta(iferror(filter(L37:L$124,E37:E$124=E35,L37:L$125&gt;L35)))"),0.0)</f>
        <v>0</v>
      </c>
      <c r="O35" s="83">
        <f t="array" ref="O35:X35">XLOOKUP(F35,'Current Week'!B:B,'Current Week'!C:O)</f>
        <v>8</v>
      </c>
      <c r="P35" s="83">
        <v>4.0</v>
      </c>
      <c r="Q35" s="2" t="s">
        <v>114</v>
      </c>
      <c r="R35" s="2" t="s">
        <v>106</v>
      </c>
      <c r="S35" s="2"/>
      <c r="T35" s="2">
        <v>2.0</v>
      </c>
      <c r="U35" s="8" t="s">
        <v>108</v>
      </c>
      <c r="V35" s="2"/>
      <c r="W35" s="8">
        <v>9999.0</v>
      </c>
      <c r="X35" s="2"/>
      <c r="Y35" s="2"/>
      <c r="Z35" s="2"/>
      <c r="AA35" s="86">
        <f t="shared" si="4"/>
        <v>-2</v>
      </c>
      <c r="AB35" s="8">
        <f t="shared" si="5"/>
        <v>10</v>
      </c>
      <c r="AC35" s="8">
        <f>IFERROR(__xludf.DUMMYFUNCTION("iferror(COUNT(filter($O36:$O$386,$O36:$O$386&gt;$O35)))"),11.0)</f>
        <v>11</v>
      </c>
      <c r="AD35" s="16">
        <f t="shared" si="6"/>
        <v>0</v>
      </c>
      <c r="AE35" s="88">
        <f t="shared" si="7"/>
        <v>4</v>
      </c>
      <c r="AF35" s="2" t="str">
        <f>IFERROR(__xludf.DUMMYFUNCTION("iferror(join("","",index(sort(filter($F36:$F$387,$O36:$O$387&gt;$O35),2,false),0,1)))"),"Temple,Toledo,Troy,Wisconsin,Navy,USC,Virginia Tech,Tulsa,Penn State,Old Dominion,Colorado")</f>
        <v>Temple,Toledo,Troy,Wisconsin,Navy,USC,Virginia Tech,Tulsa,Penn State,Old Dominion,Colorado</v>
      </c>
      <c r="AG35" s="86">
        <f>IFERROR(__xludf.DUMMYFUNCTION("iferror($O35-max(filter($O35:$O$386,$E35:$E$386=$E$2)))"),-1.0)</f>
        <v>-1</v>
      </c>
      <c r="AH35" s="8">
        <f t="shared" si="8"/>
        <v>0</v>
      </c>
      <c r="AI35" s="8">
        <f>IFERROR(__xludf.DUMMYFUNCTION("iferror(COUNT(filter($O36:$O$386,$O36:$O$386&gt;$O35,$E35:$E$386=$E$2)))"),0.0)</f>
        <v>0</v>
      </c>
      <c r="AJ35" s="16">
        <f t="shared" si="9"/>
        <v>0</v>
      </c>
      <c r="AK35" s="88">
        <f>IFERROR(__xludf.DUMMYFUNCTION("iferror($O35-min(filter($O35:$O$386,$E35:$E$386=$E$2)))"),6.0)</f>
        <v>6</v>
      </c>
      <c r="AL35" s="2" t="str">
        <f>IFERROR(__xludf.DUMMYFUNCTION("iferror(join("","",index(sort(filter($F36:$F$386,$O36:$O$386&gt;$O35,$E36:$E$386=$E$2),2,false),0,1)))"),"Virginia Tech")</f>
        <v>Virginia Tech</v>
      </c>
      <c r="AM35" s="2" t="str">
        <f>IFERROR(__xludf.DUMMYFUNCTION("REGEXREPLACE(join("","",unique({let(conf_picked,filter(E$1:E34,D$1:D34=D35), byrow(unique(TRANSPOSe(Teams!$1:$1)),lambda(rw,if(ISERROR(match(rw,conf_picked,0)),rw,))));iferror(if(#REF!,,transpose(split(#REF!,"","",1,1))))})), ""^,"", """")"),"AAC,,Big 12,Big Ten,CUSA,MWC,Pac12,Sun Belt")</f>
        <v>AAC,,Big 12,Big Ten,CUSA,MWC,Pac12,Sun Belt</v>
      </c>
      <c r="AN35" s="86">
        <f>IFERROR(__xludf.DUMMYFUNCTION("iferror($O35-max(filter($O35:$O$386,arrayformula(isnumber(FIND($E35:$E$386,AM35))))))"),-2.0)</f>
        <v>-2</v>
      </c>
      <c r="AO35" s="8">
        <f t="array" ref="AO35">countifs($O$2:$O34,"&lt;"&amp;$O35,isnumber(FIND($E$2:$E34,AM35)),TRUE)</f>
        <v>8</v>
      </c>
      <c r="AP35" s="8">
        <f>IFERROR(__xludf.DUMMYFUNCTION("iferror(COUNT(filter($O36:$O$386,$O36:$O$386&gt;$O35,arrayformula(isnumber(FIND($E36:$E$386,AM35))))))"),9.0)</f>
        <v>9</v>
      </c>
      <c r="AQ35" s="16">
        <f t="shared" si="10"/>
        <v>0</v>
      </c>
      <c r="AR35" s="88">
        <f>IFERROR(__xludf.DUMMYFUNCTION("iferror($O35-min(filter($O35:$O$386,arrayformula(isnumber(FIND($E35:$E$386,AM35))))))"),7.0)</f>
        <v>7</v>
      </c>
      <c r="AS35" s="89" t="str">
        <f>IFERROR(__xludf.DUMMYFUNCTION("iferror(join("","",index(sort(filter($F36:$F$386,$O36:$O$386&gt;$O35,arrayformula(isnumber(FIND($E36:$E$386,AM35)))),2,false),0,1)))"),"Temple,Troy,Wisconsin,Navy,USC,Tulsa,Penn State,Old Dominion,Colorado")</f>
        <v>Temple,Troy,Wisconsin,Navy,USC,Tulsa,Penn State,Old Dominion,Colorado</v>
      </c>
    </row>
    <row r="36">
      <c r="A36" s="13">
        <f t="shared" si="11"/>
        <v>35</v>
      </c>
      <c r="B36" s="13">
        <v>4.0</v>
      </c>
      <c r="C36" s="90">
        <v>5.0</v>
      </c>
      <c r="D36" s="13" t="str">
        <f>D27</f>
        <v>Vu</v>
      </c>
      <c r="E36" s="79" t="str">
        <f>if(F36&lt;&gt;"",VLOOKUP(F36,'Teams-Conference, for lookup'!A:B,2,0),"")</f>
        <v>Big Ten</v>
      </c>
      <c r="F36" s="98" t="s">
        <v>392</v>
      </c>
      <c r="G36" t="str">
        <f t="shared" si="1"/>
        <v/>
      </c>
      <c r="H36" s="97">
        <f t="shared" si="2"/>
        <v>1</v>
      </c>
      <c r="I36" s="97">
        <f t="shared" si="3"/>
        <v>1</v>
      </c>
      <c r="J36" s="97">
        <f t="shared" si="12"/>
        <v>0</v>
      </c>
      <c r="K36" s="97">
        <f>countif(E16:E36,E35)</f>
        <v>5</v>
      </c>
      <c r="L36" s="2"/>
      <c r="M36" s="97">
        <f>IFERROR(__xludf.DUMMYFUNCTION("counta(iferror(filter(L$2:L34,E$2:E34=E36,L$2:L34&lt;L36)))"),0.0)</f>
        <v>0</v>
      </c>
      <c r="N36" s="97">
        <f>IFERROR(__xludf.DUMMYFUNCTION("counta(iferror(filter(L35:L$124,E35:E$124=E36,L35:L$125&gt;L36)))"),0.0)</f>
        <v>0</v>
      </c>
      <c r="O36" s="83">
        <f t="array" ref="O36:X36">XLOOKUP(F36,'Current Week'!B:B,'Current Week'!C:O)</f>
        <v>3</v>
      </c>
      <c r="P36" s="97">
        <v>8.0</v>
      </c>
      <c r="Q36" s="2" t="s">
        <v>114</v>
      </c>
      <c r="R36" s="2" t="s">
        <v>106</v>
      </c>
      <c r="S36" s="2"/>
      <c r="T36" s="2" t="s">
        <v>115</v>
      </c>
      <c r="U36" s="8" t="s">
        <v>115</v>
      </c>
      <c r="V36" s="2"/>
      <c r="W36" s="8">
        <v>9999.0</v>
      </c>
      <c r="X36" s="2"/>
      <c r="Y36" s="2"/>
      <c r="Z36" s="2"/>
      <c r="AA36" s="86">
        <f t="shared" si="4"/>
        <v>-7</v>
      </c>
      <c r="AB36" s="8">
        <f t="shared" si="5"/>
        <v>0</v>
      </c>
      <c r="AC36" s="8">
        <f>IFERROR(__xludf.DUMMYFUNCTION("iferror(COUNT(filter($O37:$O$386,$O37:$O$386&gt;$O36)))"),69.0)</f>
        <v>69</v>
      </c>
      <c r="AD36" s="16">
        <f t="shared" si="6"/>
        <v>0</v>
      </c>
      <c r="AE36" s="88">
        <f t="shared" si="7"/>
        <v>0</v>
      </c>
      <c r="AF36" s="2" t="str">
        <f>IFERROR(__xludf.DUMMYFUNCTION("iferror(join("","",index(sort(filter($F37:$F$387,$O37:$O$387&gt;$O36),2,false),0,1)))"),"Temple,UCLA,Toledo,Troy,Cincinnati,Middle Tennessee,Louisiana Lafayette,Georgia,Wisconsin,Navy,USC,Louisiana Tech,Ohio,Nevada,Virginia Tech,Washington State,Memphis,Utah,Central Michigan,Bowling Green,Colorado State,Akron,New Mexico,Florida,Miami,Tulsa,Pi"&amp;"ttsburgh,Florida Intl,Northwestern,Ole Miss,Arkansas,UTEP,San José State,UNLV,Mississippi State,Idaho,Penn State,Arizona State,Minnesota,Georgia Tech,Boston College,Texas A&amp;M,UCF,NC State,Ball State,Louisiana Monroe,Old Dominion,California,Auburn,Colorado"&amp;",Wyoming,Eastern Michigan,Kentucky,Wake Forest,Indiana,Maryland,Miami-OH,South Carolina,Vanderbilt,Hawaii,SMU,North Texas,UTSA,Tulane,Duke,Syracuse,Charlotte,Oregon State,Missouri")</f>
        <v>Temple,UCLA,Toledo,Troy,Cincinnati,Middle Tennessee,Louisiana Lafayette,Georgia,Wisconsin,Navy,USC,Louisiana Tech,Ohio,Nevada,Virginia Tech,Washington State,Memphis,Utah,Central Michigan,Bowling Green,Colorado State,Akron,New Mexico,Florida,Miami,Tulsa,Pittsburgh,Florida Intl,Northwestern,Ole Miss,Arkansas,UTEP,San José State,UNLV,Mississippi State,Idaho,Penn State,Arizona State,Minnesota,Georgia Tech,Boston College,Texas A&amp;M,UCF,NC State,Ball State,Louisiana Monroe,Old Dominion,California,Auburn,Colorado,Wyoming,Eastern Michigan,Kentucky,Wake Forest,Indiana,Maryland,Miami-OH,South Carolina,Vanderbilt,Hawaii,SMU,North Texas,UTSA,Tulane,Duke,Syracuse,Charlotte,Oregon State,Missouri</v>
      </c>
      <c r="AG36" s="86">
        <f>IFERROR(__xludf.DUMMYFUNCTION("iferror($O36-max(filter($O36:$O$386,$E36:$E$386=$E$2)))"),-6.0)</f>
        <v>-6</v>
      </c>
      <c r="AH36" s="8">
        <f t="shared" si="8"/>
        <v>0</v>
      </c>
      <c r="AI36" s="8">
        <f>IFERROR(__xludf.DUMMYFUNCTION("iferror(COUNT(filter($O37:$O$386,$O37:$O$386&gt;$O36,$E36:$E$386=$E$2)))"),0.0)</f>
        <v>0</v>
      </c>
      <c r="AJ36" s="16">
        <f t="shared" si="9"/>
        <v>0</v>
      </c>
      <c r="AK36" s="88">
        <f>IFERROR(__xludf.DUMMYFUNCTION("iferror($O36-min(filter($O36:$O$386,$E36:$E$386=$E$2)))"),1.0)</f>
        <v>1</v>
      </c>
      <c r="AL36" s="2" t="str">
        <f>IFERROR(__xludf.DUMMYFUNCTION("iferror(join("","",index(sort(filter($F37:$F$386,$O37:$O$386&gt;$O36,$E37:$E$386=$E$2),2,false),0,1)))"),"Virginia Tech,Miami,Pittsburgh,Georgia Tech,Boston College,NC State,Wake Forest,Duke,Syracuse")</f>
        <v>Virginia Tech,Miami,Pittsburgh,Georgia Tech,Boston College,NC State,Wake Forest,Duke,Syracuse</v>
      </c>
      <c r="AM36" s="2" t="str">
        <f>IFERROR(__xludf.DUMMYFUNCTION("REGEXREPLACE(join("","",unique({let(conf_picked,filter(E$1:E35,D$1:D35=D36), byrow(unique(TRANSPOSe(Teams!$1:$1)),lambda(rw,if(ISERROR(match(rw,conf_picked,0)),rw,))));iferror(if(#REF!,,transpose(split(#REF!,"","",1,1))))})), ""^,"", """")"),"AAC,,Big Ten,CUSA,MAC,Pac12,SEC,Sun Belt")</f>
        <v>AAC,,Big Ten,CUSA,MAC,Pac12,SEC,Sun Belt</v>
      </c>
      <c r="AN36" s="86">
        <f>IFERROR(__xludf.DUMMYFUNCTION("iferror($O36-max(filter($O36:$O$386,arrayformula(isnumber(FIND($E36:$E$386,AM36))))))"),-7.0)</f>
        <v>-7</v>
      </c>
      <c r="AO36" s="8">
        <f t="array" ref="AO36">countifs($O$2:$O35,"&lt;"&amp;$O36,isnumber(FIND($E$2:$E35,AM36)),TRUE)</f>
        <v>0</v>
      </c>
      <c r="AP36" s="8">
        <f>IFERROR(__xludf.DUMMYFUNCTION("iferror(COUNT(filter($O37:$O$386,$O37:$O$386&gt;$O36,arrayformula(isnumber(FIND($E37:$E$386,AM36))))))"),53.0)</f>
        <v>53</v>
      </c>
      <c r="AQ36" s="16">
        <f t="shared" si="10"/>
        <v>0</v>
      </c>
      <c r="AR36" s="88">
        <f>IFERROR(__xludf.DUMMYFUNCTION("iferror($O36-min(filter($O36:$O$386,arrayformula(isnumber(FIND($E36:$E$386,AM36))))))"),1.0)</f>
        <v>1</v>
      </c>
      <c r="AS36" s="89" t="str">
        <f>IFERROR(__xludf.DUMMYFUNCTION("iferror(join("","",index(sort(filter($F37:$F$386,$O37:$O$386&gt;$O36,arrayformula(isnumber(FIND($E37:$E$386,AM36)))),2,false),0,1)))"),"Temple,UCLA,Toledo,Troy,Cincinnati,Middle Tennessee,Louisiana Lafayette,Georgia,Wisconsin,Navy,USC,Louisiana Tech,Ohio,Washington State,Memphis,Utah,Central Michigan,Bowling Green,Akron,Florida,Tulsa,Florida Intl,Northwestern,Ole Miss,Arkansas,UTEP,Missis"&amp;"sippi State,Idaho,Penn State,Arizona State,Minnesota,Texas A&amp;M,UCF,Ball State,Louisiana Monroe,Old Dominion,California,Auburn,Colorado,Eastern Michigan,Kentucky,Indiana,Maryland,Miami-OH,South Carolina,Vanderbilt,SMU,North Texas,UTSA,Tulane,Charlotte,Oreg"&amp;"on State,Missouri")</f>
        <v>Temple,UCLA,Toledo,Troy,Cincinnati,Middle Tennessee,Louisiana Lafayette,Georgia,Wisconsin,Navy,USC,Louisiana Tech,Ohio,Washington State,Memphis,Utah,Central Michigan,Bowling Green,Akron,Florida,Tulsa,Florida Intl,Northwestern,Ole Miss,Arkansas,UTEP,Mississippi State,Idaho,Penn State,Arizona State,Minnesota,Texas A&amp;M,UCF,Ball State,Louisiana Monroe,Old Dominion,California,Auburn,Colorado,Eastern Michigan,Kentucky,Indiana,Maryland,Miami-OH,South Carolina,Vanderbilt,SMU,North Texas,UTSA,Tulane,Charlotte,Oregon State,Missouri</v>
      </c>
    </row>
    <row r="37">
      <c r="A37" s="13">
        <f t="shared" si="11"/>
        <v>36</v>
      </c>
      <c r="B37" s="13">
        <v>4.0</v>
      </c>
      <c r="C37" s="90">
        <v>6.0</v>
      </c>
      <c r="D37" s="13" t="str">
        <f>D26</f>
        <v>Nico</v>
      </c>
      <c r="E37" s="79" t="str">
        <f>if(F37&lt;&gt;"",VLOOKUP(F37,'Teams-Conference, for lookup'!A:B,2,0),"")</f>
        <v>AAC</v>
      </c>
      <c r="F37" s="13" t="s">
        <v>222</v>
      </c>
      <c r="H37" s="97">
        <f t="shared" si="2"/>
        <v>2</v>
      </c>
      <c r="I37" s="97">
        <f t="shared" si="3"/>
        <v>3</v>
      </c>
      <c r="J37" s="97">
        <f t="shared" si="12"/>
        <v>1</v>
      </c>
      <c r="K37" s="97">
        <f t="shared" ref="K37:K38" si="16">countif(E18:E37,E38)</f>
        <v>2</v>
      </c>
      <c r="L37" s="2"/>
      <c r="M37" s="97">
        <f>IFERROR(__xludf.DUMMYFUNCTION("counta(iferror(filter(L$2:L36,E$2:E36=E37,L$2:L36&lt;L37)))"),0.0)</f>
        <v>0</v>
      </c>
      <c r="N37" s="97">
        <f>IFERROR(__xludf.DUMMYFUNCTION("counta(iferror(filter(L38:L$124,E38:E$124=E37,L38:L$125&gt;L37)))"),0.0)</f>
        <v>0</v>
      </c>
      <c r="O37" s="83">
        <f t="array" ref="O37:X37">XLOOKUP(F37,'Current Week'!B:B,'Current Week'!C:O)</f>
        <v>9</v>
      </c>
      <c r="P37" s="83">
        <v>3.0</v>
      </c>
      <c r="Q37" s="2" t="s">
        <v>121</v>
      </c>
      <c r="R37" s="2" t="s">
        <v>106</v>
      </c>
      <c r="S37" s="2"/>
      <c r="T37" s="2">
        <v>-13.0</v>
      </c>
      <c r="U37" s="8" t="s">
        <v>108</v>
      </c>
      <c r="V37" s="2"/>
      <c r="W37" s="8">
        <v>9999.0</v>
      </c>
      <c r="X37" s="2"/>
      <c r="Y37" s="2"/>
      <c r="Z37" s="2"/>
      <c r="AA37" s="86">
        <f t="shared" si="4"/>
        <v>-1</v>
      </c>
      <c r="AB37" s="8">
        <f t="shared" si="5"/>
        <v>15</v>
      </c>
      <c r="AC37" s="8">
        <f>IFERROR(__xludf.DUMMYFUNCTION("iferror(COUNT(filter($O38:$O$386,$O38:$O$386&gt;$O37)))"),3.0)</f>
        <v>3</v>
      </c>
      <c r="AD37" s="16">
        <f t="shared" si="6"/>
        <v>0</v>
      </c>
      <c r="AE37" s="88">
        <f t="shared" si="7"/>
        <v>6</v>
      </c>
      <c r="AF37" s="2" t="str">
        <f>IFERROR(__xludf.DUMMYFUNCTION("iferror(join("","",index(sort(filter($F38:$F$387,$O38:$O$387&gt;$O37),2,false),0,1)))"),"Wisconsin,Penn State,Colorado")</f>
        <v>Wisconsin,Penn State,Colorado</v>
      </c>
      <c r="AG37" s="86">
        <f>IFERROR(__xludf.DUMMYFUNCTION("iferror($O37-max(filter($O37:$O$386,$E37:$E$386=$E$2)))"),0.0)</f>
        <v>0</v>
      </c>
      <c r="AH37" s="8">
        <f t="shared" si="8"/>
        <v>1</v>
      </c>
      <c r="AI37" s="8">
        <f>IFERROR(__xludf.DUMMYFUNCTION("iferror(COUNT(filter($O38:$O$386,$O38:$O$386&gt;$O37,$E37:$E$386=$E$2)))"),0.0)</f>
        <v>0</v>
      </c>
      <c r="AJ37" s="16">
        <f t="shared" si="9"/>
        <v>1</v>
      </c>
      <c r="AK37" s="88">
        <f>IFERROR(__xludf.DUMMYFUNCTION("iferror($O37-min(filter($O37:$O$386,$E37:$E$386=$E$2)))"),7.0)</f>
        <v>7</v>
      </c>
      <c r="AL37" s="2" t="str">
        <f>IFERROR(__xludf.DUMMYFUNCTION("iferror(join("","",index(sort(filter($F38:$F$386,$O38:$O$386&gt;$O37,$E38:$E$386=$E$2),2,false),0,1)))"),"")</f>
        <v/>
      </c>
      <c r="AM37" s="2" t="str">
        <f>IFERROR(__xludf.DUMMYFUNCTION("REGEXREPLACE(join("","",unique({let(conf_picked,filter(E$1:E36,D$1:D36=D37), byrow(unique(TRANSPOSe(Teams!$1:$1)),lambda(rw,if(ISERROR(match(rw,conf_picked,0)),rw,))));iferror(if(#REF!,,transpose(split(#REF!,"","",1,1))))})), ""^,"", """")"),"AAC,ACC,Big 12,Big Ten,CUSA,MAC,,SEC")</f>
        <v>AAC,ACC,Big 12,Big Ten,CUSA,MAC,,SEC</v>
      </c>
      <c r="AN37" s="86">
        <f>IFERROR(__xludf.DUMMYFUNCTION("iferror($O37-max(filter($O37:$O$386,arrayformula(isnumber(FIND($E37:$E$386,AM37))))))"),-1.0)</f>
        <v>-1</v>
      </c>
      <c r="AO37" s="8">
        <f t="array" ref="AO37">countifs($O$2:$O36,"&lt;"&amp;$O37,isnumber(FIND($E$2:$E36,AM37)),TRUE)</f>
        <v>12</v>
      </c>
      <c r="AP37" s="8">
        <f>IFERROR(__xludf.DUMMYFUNCTION("iferror(COUNT(filter($O38:$O$386,$O38:$O$386&gt;$O37,arrayformula(isnumber(FIND($E38:$E$386,AM37))))))"),2.0)</f>
        <v>2</v>
      </c>
      <c r="AQ37" s="16">
        <f t="shared" si="10"/>
        <v>0</v>
      </c>
      <c r="AR37" s="88">
        <f>IFERROR(__xludf.DUMMYFUNCTION("iferror($O37-min(filter($O37:$O$386,arrayformula(isnumber(FIND($E37:$E$386,AM37))))))"),7.0)</f>
        <v>7</v>
      </c>
      <c r="AS37" s="89" t="str">
        <f>IFERROR(__xludf.DUMMYFUNCTION("iferror(join("","",index(sort(filter($F38:$F$386,$O38:$O$386&gt;$O37,arrayformula(isnumber(FIND($E38:$E$386,AM37)))),2,false),0,1)))"),"Wisconsin,Penn State")</f>
        <v>Wisconsin,Penn State</v>
      </c>
    </row>
    <row r="38">
      <c r="A38" s="13">
        <f t="shared" si="11"/>
        <v>37</v>
      </c>
      <c r="B38" s="13">
        <v>4.0</v>
      </c>
      <c r="C38" s="90">
        <v>7.0</v>
      </c>
      <c r="D38" s="13" t="str">
        <f>D25</f>
        <v>Brad</v>
      </c>
      <c r="E38" s="79" t="str">
        <f>if(F38&lt;&gt;"",VLOOKUP(F38,'Teams-Conference, for lookup'!A:B,2,0),"")</f>
        <v>Pac12</v>
      </c>
      <c r="F38" s="13" t="s">
        <v>220</v>
      </c>
      <c r="G38" t="str">
        <f t="shared" ref="G38:G80" si="17">if(F38&lt;&gt;"",if(match(F38,F:F,0)&lt;ROW(F38),"ERROR: Team already selected in row " &amp; ROW(F38)&amp;".  ","")&amp;if(COUNTIFS(E:E,"="&amp;E38,D:D,"="&amp;D38)&gt;1,"ERROR: Player picked from conference more than once.",""),"")</f>
        <v/>
      </c>
      <c r="H38" s="97">
        <f t="shared" si="2"/>
        <v>1</v>
      </c>
      <c r="I38" s="97">
        <f t="shared" si="3"/>
        <v>3</v>
      </c>
      <c r="J38" s="97">
        <f t="shared" si="12"/>
        <v>1</v>
      </c>
      <c r="K38" s="97">
        <f t="shared" si="16"/>
        <v>2</v>
      </c>
      <c r="L38" s="2"/>
      <c r="M38" s="97">
        <f>IFERROR(__xludf.DUMMYFUNCTION("counta(iferror(filter(L$2:L37,E$2:E37=E38,L$2:L37&lt;L38)))"),0.0)</f>
        <v>0</v>
      </c>
      <c r="N38" s="97">
        <f>IFERROR(__xludf.DUMMYFUNCTION("counta(iferror(filter(L39:L$124,E39:E$124=E38,L39:L$125&gt;L38)))"),0.0)</f>
        <v>0</v>
      </c>
      <c r="O38" s="83">
        <f t="array" ref="O38:X38">XLOOKUP(F38,'Current Week'!B:B,'Current Week'!C:O)</f>
        <v>4</v>
      </c>
      <c r="P38" s="97">
        <v>7.0</v>
      </c>
      <c r="Q38" s="2" t="s">
        <v>156</v>
      </c>
      <c r="R38" s="2" t="s">
        <v>106</v>
      </c>
      <c r="S38" s="2"/>
      <c r="T38" s="2" t="s">
        <v>115</v>
      </c>
      <c r="U38" s="8" t="s">
        <v>115</v>
      </c>
      <c r="V38" s="2"/>
      <c r="W38" s="8">
        <v>9999.0</v>
      </c>
      <c r="X38" s="2"/>
      <c r="Y38" s="2"/>
      <c r="Z38" s="2"/>
      <c r="AA38" s="86">
        <f t="shared" si="4"/>
        <v>-6</v>
      </c>
      <c r="AB38" s="8">
        <f t="shared" si="5"/>
        <v>1</v>
      </c>
      <c r="AC38" s="8">
        <f>IFERROR(__xludf.DUMMYFUNCTION("iferror(COUNT(filter($O39:$O$386,$O39:$O$386&gt;$O38)))"),53.0)</f>
        <v>53</v>
      </c>
      <c r="AD38" s="16">
        <f t="shared" si="6"/>
        <v>0</v>
      </c>
      <c r="AE38" s="88">
        <f t="shared" si="7"/>
        <v>1</v>
      </c>
      <c r="AF38" s="2" t="str">
        <f>IFERROR(__xludf.DUMMYFUNCTION("iferror(join("","",index(sort(filter($F39:$F$387,$O39:$O$387&gt;$O38),2,false),0,1)))"),"Toledo,Troy,Middle Tennessee,Louisiana Lafayette,Georgia,Wisconsin,Navy,USC,Louisiana Tech,Ohio,Nevada,Virginia Tech,Washington State,Memphis,Utah,Central Michigan,Colorado State,Akron,New Mexico,Florida,Miami,Tulsa,Pittsburgh,Northwestern,Ole Miss,Arkans"&amp;"as,Mississippi State,Idaho,Penn State,Arizona State,Minnesota,Georgia Tech,Boston College,Texas A&amp;M,UCF,NC State,Old Dominion,California,Auburn,Colorado,Wyoming,Eastern Michigan,Kentucky,Wake Forest,Indiana,Maryland,Miami-OH,South Carolina,Vanderbilt,Hawa"&amp;"ii,SMU,North Texas,UTSA")</f>
        <v>Toledo,Troy,Middle Tennessee,Louisiana Lafayette,Georgia,Wisconsin,Navy,USC,Louisiana Tech,Ohio,Nevada,Virginia Tech,Washington State,Memphis,Utah,Central Michigan,Colorado State,Akron,New Mexico,Florida,Miami,Tulsa,Pittsburgh,Northwestern,Ole Miss,Arkansas,Mississippi State,Idaho,Penn State,Arizona State,Minnesota,Georgia Tech,Boston College,Texas A&amp;M,UCF,NC State,Old Dominion,California,Auburn,Colorado,Wyoming,Eastern Michigan,Kentucky,Wake Forest,Indiana,Maryland,Miami-OH,South Carolina,Vanderbilt,Hawaii,SMU,North Texas,UTSA</v>
      </c>
      <c r="AG38" s="86">
        <f>IFERROR(__xludf.DUMMYFUNCTION("iferror($O38-max(filter($O38:$O$386,$E38:$E$386=$E$2)))"),-5.0)</f>
        <v>-5</v>
      </c>
      <c r="AH38" s="8">
        <f t="shared" si="8"/>
        <v>0</v>
      </c>
      <c r="AI38" s="8">
        <f>IFERROR(__xludf.DUMMYFUNCTION("iferror(COUNT(filter($O39:$O$386,$O39:$O$386&gt;$O38,$E38:$E$386=$E$2)))"),0.0)</f>
        <v>0</v>
      </c>
      <c r="AJ38" s="16">
        <f t="shared" si="9"/>
        <v>0</v>
      </c>
      <c r="AK38" s="88">
        <f>IFERROR(__xludf.DUMMYFUNCTION("iferror($O38-min(filter($O38:$O$386,$E38:$E$386=$E$2)))"),2.0)</f>
        <v>2</v>
      </c>
      <c r="AL38" s="2" t="str">
        <f>IFERROR(__xludf.DUMMYFUNCTION("iferror(join("","",index(sort(filter($F39:$F$386,$O39:$O$386&gt;$O38,$E39:$E$386=$E$2),2,false),0,1)))"),"Virginia Tech,Miami,Pittsburgh,Georgia Tech,Boston College,NC State,Wake Forest")</f>
        <v>Virginia Tech,Miami,Pittsburgh,Georgia Tech,Boston College,NC State,Wake Forest</v>
      </c>
      <c r="AM38" s="2" t="str">
        <f>IFERROR(__xludf.DUMMYFUNCTION("REGEXREPLACE(join("","",unique({let(conf_picked,filter(E$1:E37,D$1:D37=D38), byrow(unique(TRANSPOSe(Teams!$1:$1)),lambda(rw,if(ISERROR(match(rw,conf_picked,0)),rw,))));iferror(if(#REF!,,transpose(split(#REF!,"","",1,1))))})), ""^,"", """")"),"AAC,ACC,,MAC,MWC,Pac12,SEC,Sun Belt")</f>
        <v>AAC,ACC,,MAC,MWC,Pac12,SEC,Sun Belt</v>
      </c>
      <c r="AN38" s="86">
        <f>IFERROR(__xludf.DUMMYFUNCTION("iferror($O38-max(filter($O38:$O$386,arrayformula(isnumber(FIND($E38:$E$386,AM38))))))"),-6.0)</f>
        <v>-6</v>
      </c>
      <c r="AO38" s="8">
        <f t="array" ref="AO38">countifs($O$2:$O37,"&lt;"&amp;$O38,isnumber(FIND($E$2:$E37,AM38)),TRUE)</f>
        <v>0</v>
      </c>
      <c r="AP38" s="8">
        <f>IFERROR(__xludf.DUMMYFUNCTION("iferror(COUNT(filter($O39:$O$386,$O39:$O$386&gt;$O38,arrayformula(isnumber(FIND($E39:$E$386,AM38))))))"),42.0)</f>
        <v>42</v>
      </c>
      <c r="AQ38" s="16">
        <f t="shared" si="10"/>
        <v>0</v>
      </c>
      <c r="AR38" s="88">
        <f>IFERROR(__xludf.DUMMYFUNCTION("iferror($O38-min(filter($O38:$O$386,arrayformula(isnumber(FIND($E38:$E$386,AM38))))))"),3.0)</f>
        <v>3</v>
      </c>
      <c r="AS38" s="89" t="str">
        <f>IFERROR(__xludf.DUMMYFUNCTION("iferror(join("","",index(sort(filter($F39:$F$386,$O39:$O$386&gt;$O38,arrayformula(isnumber(FIND($E39:$E$386,AM38)))),2,false),0,1)))"),"Toledo,Troy,Louisiana Lafayette,Georgia,Navy,USC,Ohio,Nevada,Virginia Tech,Washington State,Memphis,Utah,Central Michigan,Colorado State,Akron,New Mexico,Florida,Miami,Tulsa,Pittsburgh,Ole Miss,Arkansas,Mississippi State,Idaho,Arizona State,Georgia Tech,B"&amp;"oston College,Texas A&amp;M,UCF,NC State,California,Auburn,Colorado,Wyoming,Eastern Michigan,Kentucky,Wake Forest,Miami-OH,South Carolina,Vanderbilt,Hawaii,SMU")</f>
        <v>Toledo,Troy,Louisiana Lafayette,Georgia,Navy,USC,Ohio,Nevada,Virginia Tech,Washington State,Memphis,Utah,Central Michigan,Colorado State,Akron,New Mexico,Florida,Miami,Tulsa,Pittsburgh,Ole Miss,Arkansas,Mississippi State,Idaho,Arizona State,Georgia Tech,Boston College,Texas A&amp;M,UCF,NC State,California,Auburn,Colorado,Wyoming,Eastern Michigan,Kentucky,Wake Forest,Miami-OH,South Carolina,Vanderbilt,Hawaii,SMU</v>
      </c>
    </row>
    <row r="39">
      <c r="A39" s="13">
        <f t="shared" si="11"/>
        <v>38</v>
      </c>
      <c r="B39" s="13">
        <v>4.0</v>
      </c>
      <c r="C39" s="90">
        <v>8.0</v>
      </c>
      <c r="D39" s="91" t="str">
        <f>D24</f>
        <v>Jacob</v>
      </c>
      <c r="E39" s="179" t="str">
        <f>if(F39&lt;&gt;"",VLOOKUP(F39,'Teams-Conference, for lookup'!A:B,2,0),"")</f>
        <v>MAC</v>
      </c>
      <c r="F39" s="13" t="s">
        <v>184</v>
      </c>
      <c r="G39" t="str">
        <f t="shared" si="17"/>
        <v/>
      </c>
      <c r="H39" s="97">
        <f t="shared" si="2"/>
        <v>0</v>
      </c>
      <c r="I39" s="97">
        <f t="shared" si="3"/>
        <v>4</v>
      </c>
      <c r="J39" s="97">
        <f t="shared" si="12"/>
        <v>1</v>
      </c>
      <c r="K39" s="97">
        <f>countif(E20:E39,E41)</f>
        <v>2</v>
      </c>
      <c r="L39" s="2"/>
      <c r="M39" s="97">
        <f>IFERROR(__xludf.DUMMYFUNCTION("counta(iferror(filter(L$2:L38,E$2:E38=E39,L$2:L38&lt;L39)))"),0.0)</f>
        <v>0</v>
      </c>
      <c r="N39" s="97">
        <f>IFERROR(__xludf.DUMMYFUNCTION("counta(iferror(filter(L40:L$124,E40:E$124=E39,L40:L$125&gt;L39)))"),0.0)</f>
        <v>0</v>
      </c>
      <c r="O39" s="83">
        <f t="array" ref="O39:X39">XLOOKUP(F39,'Current Week'!B:B,'Current Week'!C:O)</f>
        <v>9</v>
      </c>
      <c r="P39" s="97">
        <v>2.0</v>
      </c>
      <c r="Q39" s="2" t="s">
        <v>121</v>
      </c>
      <c r="R39" s="2" t="s">
        <v>106</v>
      </c>
      <c r="S39" s="2"/>
      <c r="T39" s="2">
        <v>-1.0</v>
      </c>
      <c r="U39" s="8" t="s">
        <v>108</v>
      </c>
      <c r="V39" s="2"/>
      <c r="W39" s="8">
        <v>9999.0</v>
      </c>
      <c r="X39" s="2"/>
      <c r="Y39" s="2"/>
      <c r="Z39" s="2"/>
      <c r="AA39" s="86">
        <f t="shared" si="4"/>
        <v>-1</v>
      </c>
      <c r="AB39" s="8">
        <f t="shared" si="5"/>
        <v>16</v>
      </c>
      <c r="AC39" s="8">
        <f>IFERROR(__xludf.DUMMYFUNCTION("iferror(COUNT(filter($O40:$O$386,$O40:$O$386&gt;$O39)))"),3.0)</f>
        <v>3</v>
      </c>
      <c r="AD39" s="16">
        <f t="shared" si="6"/>
        <v>0</v>
      </c>
      <c r="AE39" s="88">
        <f t="shared" si="7"/>
        <v>6</v>
      </c>
      <c r="AF39" s="2" t="str">
        <f>IFERROR(__xludf.DUMMYFUNCTION("iferror(join("","",index(sort(filter($F40:$F$387,$O40:$O$387&gt;$O39),2,false),0,1)))"),"Wisconsin,Penn State,Colorado")</f>
        <v>Wisconsin,Penn State,Colorado</v>
      </c>
      <c r="AG39" s="86">
        <f>IFERROR(__xludf.DUMMYFUNCTION("iferror($O39-max(filter($O39:$O$386,$E39:$E$386=$E$2)))"),0.0)</f>
        <v>0</v>
      </c>
      <c r="AH39" s="8">
        <f t="shared" si="8"/>
        <v>1</v>
      </c>
      <c r="AI39" s="8">
        <f>IFERROR(__xludf.DUMMYFUNCTION("iferror(COUNT(filter($O40:$O$386,$O40:$O$386&gt;$O39,$E39:$E$386=$E$2)))"),0.0)</f>
        <v>0</v>
      </c>
      <c r="AJ39" s="16">
        <f t="shared" si="9"/>
        <v>1</v>
      </c>
      <c r="AK39" s="88">
        <f>IFERROR(__xludf.DUMMYFUNCTION("iferror($O39-min(filter($O39:$O$386,$E39:$E$386=$E$2)))"),7.0)</f>
        <v>7</v>
      </c>
      <c r="AL39" s="2" t="str">
        <f>IFERROR(__xludf.DUMMYFUNCTION("iferror(join("","",index(sort(filter($F40:$F$386,$O40:$O$386&gt;$O39,$E40:$E$386=$E$2),2,false),0,1)))"),"")</f>
        <v/>
      </c>
      <c r="AM39" s="2" t="str">
        <f>IFERROR(__xludf.DUMMYFUNCTION("REGEXREPLACE(join("","",unique({let(conf_picked,filter(E$1:E38,D$1:D38=D39), byrow(unique(TRANSPOSe(Teams!$1:$1)),lambda(rw,if(ISERROR(match(rw,conf_picked,0)),rw,))));iferror(if(#REF!,,transpose(split(#REF!,"","",1,1))))})), ""^,"", """")"),"AAC,ACC,,Big Ten,MAC,MWC,Pac12,Sun Belt")</f>
        <v>AAC,ACC,,Big Ten,MAC,MWC,Pac12,Sun Belt</v>
      </c>
      <c r="AN39" s="86">
        <f>IFERROR(__xludf.DUMMYFUNCTION("iferror($O39-max(filter($O39:$O$386,arrayformula(isnumber(FIND($E39:$E$386,AM39))))))"),-1.0)</f>
        <v>-1</v>
      </c>
      <c r="AO39" s="8">
        <f t="array" ref="AO39">countifs($O$2:$O38,"&lt;"&amp;$O39,isnumber(FIND($E$2:$E38,AM39)),TRUE)</f>
        <v>8</v>
      </c>
      <c r="AP39" s="8">
        <f>IFERROR(__xludf.DUMMYFUNCTION("iferror(COUNT(filter($O40:$O$386,$O40:$O$386&gt;$O39,arrayformula(isnumber(FIND($E40:$E$386,AM39))))))"),3.0)</f>
        <v>3</v>
      </c>
      <c r="AQ39" s="16">
        <f t="shared" si="10"/>
        <v>0</v>
      </c>
      <c r="AR39" s="88">
        <f>IFERROR(__xludf.DUMMYFUNCTION("iferror($O39-min(filter($O39:$O$386,arrayformula(isnumber(FIND($E39:$E$386,AM39))))))"),8.0)</f>
        <v>8</v>
      </c>
      <c r="AS39" s="89" t="str">
        <f>IFERROR(__xludf.DUMMYFUNCTION("iferror(join("","",index(sort(filter($F40:$F$386,$O40:$O$386&gt;$O39,arrayformula(isnumber(FIND($E40:$E$386,AM39)))),2,false),0,1)))"),"Wisconsin,Penn State,Colorado")</f>
        <v>Wisconsin,Penn State,Colorado</v>
      </c>
    </row>
    <row r="40">
      <c r="A40" s="13">
        <f t="shared" si="11"/>
        <v>39</v>
      </c>
      <c r="B40" s="13">
        <v>4.0</v>
      </c>
      <c r="C40" s="90">
        <v>9.0</v>
      </c>
      <c r="D40" s="91" t="str">
        <f>D23</f>
        <v>Josh R.</v>
      </c>
      <c r="E40" s="179" t="str">
        <f>if(F40&lt;&gt;"",VLOOKUP(F40,'Teams-Conference, for lookup'!A:B,2,0),"")</f>
        <v>Sun Belt</v>
      </c>
      <c r="F40" s="13" t="s">
        <v>139</v>
      </c>
      <c r="G40" t="str">
        <f t="shared" si="17"/>
        <v/>
      </c>
      <c r="H40" s="97">
        <f t="shared" si="2"/>
        <v>1</v>
      </c>
      <c r="I40" s="97">
        <f t="shared" si="3"/>
        <v>1</v>
      </c>
      <c r="J40" s="97">
        <f t="shared" si="12"/>
        <v>1</v>
      </c>
      <c r="K40" s="2"/>
      <c r="L40" s="2"/>
      <c r="M40" s="97">
        <f>IFERROR(__xludf.DUMMYFUNCTION("counta(iferror(filter(L$2:L39,E$2:E39=E40,L$2:L39&lt;L40)))"),0.0)</f>
        <v>0</v>
      </c>
      <c r="N40" s="97">
        <f>IFERROR(__xludf.DUMMYFUNCTION("counta(iferror(filter(L41:L$124,E41:E$124=E40,L41:L$125&gt;L40)))"),0.0)</f>
        <v>0</v>
      </c>
      <c r="O40" s="83">
        <f t="array" ref="O40:X40">XLOOKUP(F40,'Current Week'!B:B,'Current Week'!C:O)</f>
        <v>9</v>
      </c>
      <c r="P40" s="97">
        <v>3.0</v>
      </c>
      <c r="Q40" s="2" t="s">
        <v>11</v>
      </c>
      <c r="R40" s="84" t="s">
        <v>106</v>
      </c>
      <c r="S40" s="2"/>
      <c r="T40" s="2" t="s">
        <v>118</v>
      </c>
      <c r="U40" s="8" t="s">
        <v>108</v>
      </c>
      <c r="V40" s="2"/>
      <c r="W40" s="8">
        <v>9999.0</v>
      </c>
      <c r="X40" s="2"/>
      <c r="Y40" s="2"/>
      <c r="Z40" s="2"/>
      <c r="AA40" s="86">
        <f t="shared" si="4"/>
        <v>-1</v>
      </c>
      <c r="AB40" s="8">
        <f t="shared" si="5"/>
        <v>16</v>
      </c>
      <c r="AC40" s="8">
        <f>IFERROR(__xludf.DUMMYFUNCTION("iferror(COUNT(filter($O41:$O$386,$O41:$O$386&gt;$O40)))"),3.0)</f>
        <v>3</v>
      </c>
      <c r="AD40" s="16">
        <f t="shared" si="6"/>
        <v>0</v>
      </c>
      <c r="AE40" s="88">
        <f t="shared" si="7"/>
        <v>6</v>
      </c>
      <c r="AF40" s="2" t="str">
        <f>IFERROR(__xludf.DUMMYFUNCTION("iferror(join("","",index(sort(filter($F41:$F$387,$O41:$O$387&gt;$O40),2,false),0,1)))"),"Wisconsin,Penn State,Colorado")</f>
        <v>Wisconsin,Penn State,Colorado</v>
      </c>
      <c r="AG40" s="86">
        <f>IFERROR(__xludf.DUMMYFUNCTION("iferror($O40-max(filter($O40:$O$386,$E40:$E$386=$E$2)))"),0.0)</f>
        <v>0</v>
      </c>
      <c r="AH40" s="8">
        <f t="shared" si="8"/>
        <v>1</v>
      </c>
      <c r="AI40" s="8">
        <f>IFERROR(__xludf.DUMMYFUNCTION("iferror(COUNT(filter($O41:$O$386,$O41:$O$386&gt;$O40,$E40:$E$386=$E$2)))"),0.0)</f>
        <v>0</v>
      </c>
      <c r="AJ40" s="16">
        <f t="shared" si="9"/>
        <v>1</v>
      </c>
      <c r="AK40" s="88">
        <f>IFERROR(__xludf.DUMMYFUNCTION("iferror($O40-min(filter($O40:$O$386,$E40:$E$386=$E$2)))"),7.0)</f>
        <v>7</v>
      </c>
      <c r="AL40" s="2" t="str">
        <f>IFERROR(__xludf.DUMMYFUNCTION("iferror(join("","",index(sort(filter($F41:$F$386,$O41:$O$386&gt;$O40,$E41:$E$386=$E$2),2,false),0,1)))"),"")</f>
        <v/>
      </c>
      <c r="AM40" s="2" t="str">
        <f>IFERROR(__xludf.DUMMYFUNCTION("REGEXREPLACE(join("","",unique({let(conf_picked,filter(E$1:E39,D$1:D39=D40), byrow(unique(TRANSPOSe(Teams!$1:$1)),lambda(rw,if(ISERROR(match(rw,conf_picked,0)),rw,))));iferror(if(#REF!,,transpose(split(#REF!,"","",1,1))))})), ""^,"", """")"),"ACC,Big Ten,CUSA,MAC,Pac12,SEC,Sun Belt")</f>
        <v>ACC,Big Ten,CUSA,MAC,Pac12,SEC,Sun Belt</v>
      </c>
      <c r="AN40" s="86">
        <f>IFERROR(__xludf.DUMMYFUNCTION("iferror($O40-max(filter($O40:$O$386,arrayformula(isnumber(FIND($E40:$E$386,AM40))))))"),-1.0)</f>
        <v>-1</v>
      </c>
      <c r="AO40" s="8">
        <f t="array" ref="AO40">countifs($O$2:$O39,"&lt;"&amp;$O40,isnumber(FIND($E$2:$E39,AM40)),TRUE)</f>
        <v>11</v>
      </c>
      <c r="AP40" s="8">
        <f>IFERROR(__xludf.DUMMYFUNCTION("iferror(COUNT(filter($O41:$O$386,$O41:$O$386&gt;$O40,arrayformula(isnumber(FIND($E41:$E$386,AM40))))))"),3.0)</f>
        <v>3</v>
      </c>
      <c r="AQ40" s="16">
        <f t="shared" si="10"/>
        <v>0</v>
      </c>
      <c r="AR40" s="88">
        <f>IFERROR(__xludf.DUMMYFUNCTION("iferror($O40-min(filter($O40:$O$386,arrayformula(isnumber(FIND($E40:$E$386,AM40))))))"),7.0)</f>
        <v>7</v>
      </c>
      <c r="AS40" s="89" t="str">
        <f>IFERROR(__xludf.DUMMYFUNCTION("iferror(join("","",index(sort(filter($F41:$F$386,$O41:$O$386&gt;$O40,arrayformula(isnumber(FIND($E41:$E$386,AM40)))),2,false),0,1)))"),"Wisconsin,Penn State,Colorado")</f>
        <v>Wisconsin,Penn State,Colorado</v>
      </c>
    </row>
    <row r="41">
      <c r="A41" s="151">
        <f t="shared" si="11"/>
        <v>40</v>
      </c>
      <c r="B41" s="151">
        <v>4.0</v>
      </c>
      <c r="C41" s="90">
        <v>10.0</v>
      </c>
      <c r="D41" s="151" t="str">
        <f>D22</f>
        <v>Gary</v>
      </c>
      <c r="E41" s="184" t="str">
        <f>if(F41&lt;&gt;"",VLOOKUP(F41,'Teams-Conference, for lookup'!A:B,2,0),"")</f>
        <v>AAC</v>
      </c>
      <c r="F41" s="151" t="s">
        <v>127</v>
      </c>
      <c r="G41" s="157" t="str">
        <f t="shared" si="17"/>
        <v/>
      </c>
      <c r="H41" s="97">
        <f t="shared" si="2"/>
        <v>1</v>
      </c>
      <c r="I41" s="97">
        <f t="shared" si="3"/>
        <v>2</v>
      </c>
      <c r="J41" s="97">
        <f t="shared" si="12"/>
        <v>2</v>
      </c>
      <c r="K41" s="97">
        <f t="shared" ref="K41:K46" si="18">countif(E21:E41,E42)</f>
        <v>0</v>
      </c>
      <c r="L41" s="2"/>
      <c r="M41" s="97">
        <f>IFERROR(__xludf.DUMMYFUNCTION("counta(iferror(filter(L$2:L40,E$2:E40=E41,L$2:L40&lt;L41)))"),0.0)</f>
        <v>0</v>
      </c>
      <c r="N41" s="97">
        <f>IFERROR(__xludf.DUMMYFUNCTION("counta(iferror(filter(L42:L$124,E42:E$124=E41,L42:L$125&gt;L41)))"),0.0)</f>
        <v>0</v>
      </c>
      <c r="O41" s="83">
        <f t="array" ref="O41:X41">XLOOKUP(F41,'Current Week'!B:B,'Current Week'!C:O)</f>
        <v>4</v>
      </c>
      <c r="P41" s="97">
        <v>7.0</v>
      </c>
      <c r="Q41" s="2" t="s">
        <v>124</v>
      </c>
      <c r="R41" s="84" t="s">
        <v>106</v>
      </c>
      <c r="S41" s="2"/>
      <c r="T41" s="2" t="s">
        <v>115</v>
      </c>
      <c r="U41" s="8" t="s">
        <v>115</v>
      </c>
      <c r="V41" s="2"/>
      <c r="W41" s="8">
        <v>9999.0</v>
      </c>
      <c r="X41" s="2"/>
      <c r="Y41" s="2"/>
      <c r="Z41" s="2"/>
      <c r="AA41" s="86">
        <f t="shared" si="4"/>
        <v>-6</v>
      </c>
      <c r="AB41" s="8">
        <f t="shared" si="5"/>
        <v>1</v>
      </c>
      <c r="AC41" s="8">
        <f>IFERROR(__xludf.DUMMYFUNCTION("iferror(COUNT(filter($O42:$O$386,$O42:$O$386&gt;$O41)))"),51.0)</f>
        <v>51</v>
      </c>
      <c r="AD41" s="16">
        <f t="shared" si="6"/>
        <v>0</v>
      </c>
      <c r="AE41" s="88">
        <f t="shared" si="7"/>
        <v>1</v>
      </c>
      <c r="AF41" s="2" t="str">
        <f>IFERROR(__xludf.DUMMYFUNCTION("iferror(join("","",index(sort(filter($F42:$F$387,$O42:$O$387&gt;$O41),2,false),0,1)))"),"Middle Tennessee,Louisiana Lafayette,Georgia,Wisconsin,Navy,USC,Louisiana Tech,Ohio,Nevada,Virginia Tech,Washington State,Memphis,Utah,Central Michigan,Colorado State,Akron,New Mexico,Florida,Miami,Tulsa,Pittsburgh,Northwestern,Ole Miss,Arkansas,Mississip"&amp;"pi State,Idaho,Penn State,Arizona State,Minnesota,Georgia Tech,Boston College,Texas A&amp;M,UCF,NC State,Old Dominion,California,Auburn,Colorado,Wyoming,Eastern Michigan,Kentucky,Wake Forest,Indiana,Maryland,Miami-OH,South Carolina,Vanderbilt,Hawaii,SMU,North"&amp;" Texas,UTSA")</f>
        <v>Middle Tennessee,Louisiana Lafayette,Georgia,Wisconsin,Navy,USC,Louisiana Tech,Ohio,Nevada,Virginia Tech,Washington State,Memphis,Utah,Central Michigan,Colorado State,Akron,New Mexico,Florida,Miami,Tulsa,Pittsburgh,Northwestern,Ole Miss,Arkansas,Mississippi State,Idaho,Penn State,Arizona State,Minnesota,Georgia Tech,Boston College,Texas A&amp;M,UCF,NC State,Old Dominion,California,Auburn,Colorado,Wyoming,Eastern Michigan,Kentucky,Wake Forest,Indiana,Maryland,Miami-OH,South Carolina,Vanderbilt,Hawaii,SMU,North Texas,UTSA</v>
      </c>
      <c r="AG41" s="86">
        <f>IFERROR(__xludf.DUMMYFUNCTION("iferror($O41-max(filter($O41:$O$386,$E41:$E$386=$E$2)))"),-5.0)</f>
        <v>-5</v>
      </c>
      <c r="AH41" s="8">
        <f t="shared" si="8"/>
        <v>0</v>
      </c>
      <c r="AI41" s="8">
        <f>IFERROR(__xludf.DUMMYFUNCTION("iferror(COUNT(filter($O42:$O$386,$O42:$O$386&gt;$O41,$E41:$E$386=$E$2)))"),0.0)</f>
        <v>0</v>
      </c>
      <c r="AJ41" s="16">
        <f t="shared" si="9"/>
        <v>0</v>
      </c>
      <c r="AK41" s="88">
        <f>IFERROR(__xludf.DUMMYFUNCTION("iferror($O41-min(filter($O41:$O$386,$E41:$E$386=$E$2)))"),2.0)</f>
        <v>2</v>
      </c>
      <c r="AL41" s="2" t="str">
        <f>IFERROR(__xludf.DUMMYFUNCTION("iferror(join("","",index(sort(filter($F42:$F$386,$O42:$O$386&gt;$O41,$E42:$E$386=$E$2),2,false),0,1)))"),"Virginia Tech,Miami,Pittsburgh,Georgia Tech,Boston College,NC State,Wake Forest")</f>
        <v>Virginia Tech,Miami,Pittsburgh,Georgia Tech,Boston College,NC State,Wake Forest</v>
      </c>
      <c r="AM41" s="2" t="str">
        <f>IFERROR(__xludf.DUMMYFUNCTION("REGEXREPLACE(join("","",unique({let(conf_picked,filter(E$1:E40,D$1:D40=D41), byrow(unique(TRANSPOSe(Teams!$1:$1)),lambda(rw,if(ISERROR(match(rw,conf_picked,0)),rw,))));iferror(if(#REF!,,transpose(split(#REF!,"","",1,1))))})), ""^,"", """")"),"AAC,,CUSA,MAC,MWC,Pac12,SEC,Sun Belt")</f>
        <v>AAC,,CUSA,MAC,MWC,Pac12,SEC,Sun Belt</v>
      </c>
      <c r="AN41" s="86">
        <f>IFERROR(__xludf.DUMMYFUNCTION("iferror($O41-max(filter($O41:$O$386,arrayformula(isnumber(FIND($E41:$E$386,AM41))))))"),-6.0)</f>
        <v>-6</v>
      </c>
      <c r="AO41" s="8">
        <f t="array" ref="AO41">countifs($O$2:$O40,"&lt;"&amp;$O41,isnumber(FIND($E$2:$E40,AM41)),TRUE)</f>
        <v>0</v>
      </c>
      <c r="AP41" s="8">
        <f>IFERROR(__xludf.DUMMYFUNCTION("iferror(COUNT(filter($O42:$O$386,$O42:$O$386&gt;$O41,arrayformula(isnumber(FIND($E42:$E$386,AM41))))))"),38.0)</f>
        <v>38</v>
      </c>
      <c r="AQ41" s="16">
        <f t="shared" si="10"/>
        <v>0</v>
      </c>
      <c r="AR41" s="88">
        <f>IFERROR(__xludf.DUMMYFUNCTION("iferror($O41-min(filter($O41:$O$386,arrayformula(isnumber(FIND($E41:$E$386,AM41))))))"),3.0)</f>
        <v>3</v>
      </c>
      <c r="AS41" s="89" t="str">
        <f>IFERROR(__xludf.DUMMYFUNCTION("iferror(join("","",index(sort(filter($F42:$F$386,$O42:$O$386&gt;$O41,arrayformula(isnumber(FIND($E42:$E$386,AM41)))),2,false),0,1)))"),"Middle Tennessee,Louisiana Lafayette,Georgia,Navy,USC,Louisiana Tech,Ohio,Nevada,Washington State,Memphis,Utah,Central Michigan,Colorado State,Akron,New Mexico,Florida,Tulsa,Ole Miss,Arkansas,Mississippi State,Idaho,Arizona State,Texas A&amp;M,UCF,Old Dominio"&amp;"n,California,Auburn,Colorado,Wyoming,Eastern Michigan,Kentucky,Miami-OH,South Carolina,Vanderbilt,Hawaii,SMU,North Texas,UTSA")</f>
        <v>Middle Tennessee,Louisiana Lafayette,Georgia,Navy,USC,Louisiana Tech,Ohio,Nevada,Washington State,Memphis,Utah,Central Michigan,Colorado State,Akron,New Mexico,Florida,Tulsa,Ole Miss,Arkansas,Mississippi State,Idaho,Arizona State,Texas A&amp;M,UCF,Old Dominion,California,Auburn,Colorado,Wyoming,Eastern Michigan,Kentucky,Miami-OH,South Carolina,Vanderbilt,Hawaii,SMU,North Texas,UTSA</v>
      </c>
    </row>
    <row r="42">
      <c r="A42" s="76">
        <f t="shared" si="11"/>
        <v>41</v>
      </c>
      <c r="B42" s="76">
        <v>5.0</v>
      </c>
      <c r="C42" s="90">
        <v>1.0</v>
      </c>
      <c r="D42" s="78" t="str">
        <f t="shared" ref="D42:D51" si="19">D22</f>
        <v>Gary</v>
      </c>
      <c r="E42" s="179" t="str">
        <f>if(F42&lt;&gt;"",VLOOKUP(F42,'Teams-Conference, for lookup'!A:B,2,0),"")</f>
        <v>CUSA</v>
      </c>
      <c r="F42" s="78" t="s">
        <v>133</v>
      </c>
      <c r="G42" s="149" t="str">
        <f t="shared" si="17"/>
        <v/>
      </c>
      <c r="H42" s="97">
        <f t="shared" si="2"/>
        <v>2</v>
      </c>
      <c r="I42" s="97">
        <f t="shared" si="3"/>
        <v>2</v>
      </c>
      <c r="J42" s="97">
        <f t="shared" si="12"/>
        <v>0</v>
      </c>
      <c r="K42" s="97">
        <f t="shared" si="18"/>
        <v>1</v>
      </c>
      <c r="L42" s="2"/>
      <c r="M42" s="97">
        <f>IFERROR(__xludf.DUMMYFUNCTION("counta(iferror(filter(L$2:L41,E$2:E41=E42,L$2:L41&lt;L42)))"),0.0)</f>
        <v>0</v>
      </c>
      <c r="N42" s="97">
        <f>IFERROR(__xludf.DUMMYFUNCTION("counta(iferror(filter(L43:L$124,E43:E$124=E42,L43:L$125&gt;L42)))"),0.0)</f>
        <v>0</v>
      </c>
      <c r="O42" s="83">
        <f t="array" ref="O42:X42">XLOOKUP(F42,'Current Week'!B:B,'Current Week'!C:O)</f>
        <v>3</v>
      </c>
      <c r="P42" s="97">
        <v>6.0</v>
      </c>
      <c r="Q42" s="2" t="s">
        <v>135</v>
      </c>
      <c r="R42" s="2" t="s">
        <v>106</v>
      </c>
      <c r="S42" s="2"/>
      <c r="T42" s="2" t="s">
        <v>115</v>
      </c>
      <c r="U42" s="8" t="s">
        <v>115</v>
      </c>
      <c r="V42" s="2"/>
      <c r="W42" s="8">
        <v>9999.0</v>
      </c>
      <c r="X42" s="2"/>
      <c r="Y42" s="2"/>
      <c r="Z42" s="2"/>
      <c r="AA42" s="86">
        <f t="shared" si="4"/>
        <v>-7</v>
      </c>
      <c r="AB42" s="8">
        <f t="shared" si="5"/>
        <v>0</v>
      </c>
      <c r="AC42" s="8">
        <f>IFERROR(__xludf.DUMMYFUNCTION("iferror(COUNT(filter($O43:$O$386,$O43:$O$386&gt;$O42)))"),64.0)</f>
        <v>64</v>
      </c>
      <c r="AD42" s="16">
        <f t="shared" si="6"/>
        <v>0</v>
      </c>
      <c r="AE42" s="88">
        <f t="shared" si="7"/>
        <v>0</v>
      </c>
      <c r="AF42" s="2" t="str">
        <f>IFERROR(__xludf.DUMMYFUNCTION("iferror(join("","",index(sort(filter($F43:$F$387,$O43:$O$387&gt;$O42),2,false),0,1)))"),"Middle Tennessee,Louisiana Lafayette,Georgia,Wisconsin,Navy,USC,Louisiana Tech,Ohio,Nevada,Virginia Tech,Washington State,Memphis,Utah,Central Michigan,Bowling Green,Colorado State,Akron,New Mexico,Florida,Miami,Tulsa,Pittsburgh,Florida Intl,Northwestern,"&amp;"Ole Miss,Arkansas,UTEP,San José State,UNLV,Mississippi State,Idaho,Penn State,Arizona State,Minnesota,Georgia Tech,Boston College,Texas A&amp;M,UCF,NC State,Ball State,Louisiana Monroe,Old Dominion,California,Auburn,Colorado,Wyoming,Eastern Michigan,Kentucky,"&amp;"Wake Forest,Indiana,Maryland,Miami-OH,South Carolina,Vanderbilt,Hawaii,SMU,North Texas,UTSA,Tulane,Duke,Syracuse,Charlotte,Oregon State,Missouri")</f>
        <v>Middle Tennessee,Louisiana Lafayette,Georgia,Wisconsin,Navy,USC,Louisiana Tech,Ohio,Nevada,Virginia Tech,Washington State,Memphis,Utah,Central Michigan,Bowling Green,Colorado State,Akron,New Mexico,Florida,Miami,Tulsa,Pittsburgh,Florida Intl,Northwestern,Ole Miss,Arkansas,UTEP,San José State,UNLV,Mississippi State,Idaho,Penn State,Arizona State,Minnesota,Georgia Tech,Boston College,Texas A&amp;M,UCF,NC State,Ball State,Louisiana Monroe,Old Dominion,California,Auburn,Colorado,Wyoming,Eastern Michigan,Kentucky,Wake Forest,Indiana,Maryland,Miami-OH,South Carolina,Vanderbilt,Hawaii,SMU,North Texas,UTSA,Tulane,Duke,Syracuse,Charlotte,Oregon State,Missouri</v>
      </c>
      <c r="AG42" s="86">
        <f>IFERROR(__xludf.DUMMYFUNCTION("iferror($O42-max(filter($O42:$O$386,$E42:$E$386=$E$2)))"),-6.0)</f>
        <v>-6</v>
      </c>
      <c r="AH42" s="8">
        <f t="shared" si="8"/>
        <v>0</v>
      </c>
      <c r="AI42" s="8">
        <f>IFERROR(__xludf.DUMMYFUNCTION("iferror(COUNT(filter($O43:$O$386,$O43:$O$386&gt;$O42,$E42:$E$386=$E$2)))"),0.0)</f>
        <v>0</v>
      </c>
      <c r="AJ42" s="16">
        <f t="shared" si="9"/>
        <v>0</v>
      </c>
      <c r="AK42" s="88">
        <f>IFERROR(__xludf.DUMMYFUNCTION("iferror($O42-min(filter($O42:$O$386,$E42:$E$386=$E$2)))"),1.0)</f>
        <v>1</v>
      </c>
      <c r="AL42" s="2" t="str">
        <f>IFERROR(__xludf.DUMMYFUNCTION("iferror(join("","",index(sort(filter($F43:$F$386,$O43:$O$386&gt;$O42,$E43:$E$386=$E$2),2,false),0,1)))"),"Virginia Tech,Miami,Pittsburgh,Georgia Tech,Boston College,NC State,Wake Forest,Duke,Syracuse")</f>
        <v>Virginia Tech,Miami,Pittsburgh,Georgia Tech,Boston College,NC State,Wake Forest,Duke,Syracuse</v>
      </c>
      <c r="AM42" s="2" t="str">
        <f>IFERROR(__xludf.DUMMYFUNCTION("REGEXREPLACE(join("","",unique({let(conf_picked,filter(E$1:E41,D$1:D41=D42), byrow(unique(TRANSPOSe(Teams!$1:$1)),lambda(rw,if(ISERROR(match(rw,conf_picked,0)),rw,))));iferror(if(#REF!,,transpose(split(#REF!,"","",1,1))))})), ""^,"", """")"),"CUSA,MAC,MWC,Pac12,SEC,Sun Belt")</f>
        <v>CUSA,MAC,MWC,Pac12,SEC,Sun Belt</v>
      </c>
      <c r="AN42" s="86">
        <f>IFERROR(__xludf.DUMMYFUNCTION("iferror($O42-max(filter($O42:$O$386,arrayformula(isnumber(FIND($E42:$E$386,AM42))))))"),-7.0)</f>
        <v>-7</v>
      </c>
      <c r="AO42" s="8">
        <f t="array" ref="AO42">countifs($O$2:$O41,"&lt;"&amp;$O42,isnumber(FIND($E$2:$E41,AM42)),TRUE)</f>
        <v>0</v>
      </c>
      <c r="AP42" s="8">
        <f>IFERROR(__xludf.DUMMYFUNCTION("iferror(COUNT(filter($O43:$O$386,$O43:$O$386&gt;$O42,arrayformula(isnumber(FIND($E43:$E$386,AM42))))))"),43.0)</f>
        <v>43</v>
      </c>
      <c r="AQ42" s="16">
        <f t="shared" si="10"/>
        <v>0</v>
      </c>
      <c r="AR42" s="88">
        <f>IFERROR(__xludf.DUMMYFUNCTION("iferror($O42-min(filter($O42:$O$386,arrayformula(isnumber(FIND($E42:$E$386,AM42))))))"),2.0)</f>
        <v>2</v>
      </c>
      <c r="AS42" s="89" t="str">
        <f>IFERROR(__xludf.DUMMYFUNCTION("iferror(join("","",index(sort(filter($F43:$F$386,$O43:$O$386&gt;$O42,arrayformula(isnumber(FIND($E43:$E$386,AM42)))),2,false),0,1)))"),"Middle Tennessee,Louisiana Lafayette,Georgia,USC,Louisiana Tech,Ohio,Nevada,Washington State,Utah,Central Michigan,Bowling Green,Colorado State,Akron,New Mexico,Florida,Florida Intl,Ole Miss,Arkansas,UTEP,San José State,UNLV,Mississippi State,Idaho,Arizon"&amp;"a State,Texas A&amp;M,Ball State,Louisiana Monroe,Old Dominion,California,Auburn,Colorado,Wyoming,Eastern Michigan,Kentucky,Miami-OH,South Carolina,Vanderbilt,Hawaii,North Texas,UTSA,Charlotte,Oregon State,Missouri")</f>
        <v>Middle Tennessee,Louisiana Lafayette,Georgia,USC,Louisiana Tech,Ohio,Nevada,Washington State,Utah,Central Michigan,Bowling Green,Colorado State,Akron,New Mexico,Florida,Florida Intl,Ole Miss,Arkansas,UTEP,San José State,UNLV,Mississippi State,Idaho,Arizona State,Texas A&amp;M,Ball State,Louisiana Monroe,Old Dominion,California,Auburn,Colorado,Wyoming,Eastern Michigan,Kentucky,Miami-OH,South Carolina,Vanderbilt,Hawaii,North Texas,UTSA,Charlotte,Oregon State,Missouri</v>
      </c>
    </row>
    <row r="43">
      <c r="A43" s="13">
        <f t="shared" si="11"/>
        <v>42</v>
      </c>
      <c r="B43" s="13">
        <v>5.0</v>
      </c>
      <c r="C43" s="90">
        <v>2.0</v>
      </c>
      <c r="D43" s="13" t="str">
        <f t="shared" si="19"/>
        <v>Josh R.</v>
      </c>
      <c r="E43" s="179" t="str">
        <f>if(F43&lt;&gt;"",VLOOKUP(F43,'Teams-Conference, for lookup'!A:B,2,0),"")</f>
        <v>CUSA</v>
      </c>
      <c r="F43" t="s">
        <v>166</v>
      </c>
      <c r="G43" t="str">
        <f t="shared" si="17"/>
        <v/>
      </c>
      <c r="H43" s="97">
        <f t="shared" si="2"/>
        <v>1</v>
      </c>
      <c r="I43" s="97">
        <f t="shared" si="3"/>
        <v>1</v>
      </c>
      <c r="J43" s="97">
        <f t="shared" si="12"/>
        <v>1</v>
      </c>
      <c r="K43" s="97">
        <f t="shared" si="18"/>
        <v>3</v>
      </c>
      <c r="L43" s="2"/>
      <c r="M43" s="97">
        <f>IFERROR(__xludf.DUMMYFUNCTION("counta(iferror(filter(L$2:L42,E$2:E42=E43,L$2:L42&lt;L43)))"),0.0)</f>
        <v>0</v>
      </c>
      <c r="N43" s="97">
        <f>IFERROR(__xludf.DUMMYFUNCTION("counta(iferror(filter(L44:L$124,E44:E$124=E43,L44:L$125&gt;L43)))"),0.0)</f>
        <v>0</v>
      </c>
      <c r="O43" s="83">
        <f t="array" ref="O43:X43">XLOOKUP(F43,'Current Week'!B:B,'Current Week'!C:O)</f>
        <v>8</v>
      </c>
      <c r="P43" s="97">
        <v>3.0</v>
      </c>
      <c r="Q43" s="2" t="s">
        <v>170</v>
      </c>
      <c r="R43" s="2" t="s">
        <v>106</v>
      </c>
      <c r="S43" s="2"/>
      <c r="T43" s="2"/>
      <c r="U43" s="8" t="s">
        <v>108</v>
      </c>
      <c r="V43" s="2"/>
      <c r="W43" s="8">
        <v>9999.0</v>
      </c>
      <c r="X43" s="2"/>
      <c r="Y43" s="2"/>
      <c r="Z43" s="2"/>
      <c r="AA43" s="86">
        <f t="shared" si="4"/>
        <v>-2</v>
      </c>
      <c r="AB43" s="8">
        <f t="shared" si="5"/>
        <v>14</v>
      </c>
      <c r="AC43" s="8">
        <f>IFERROR(__xludf.DUMMYFUNCTION("iferror(COUNT(filter($O44:$O$386,$O44:$O$386&gt;$O43)))"),8.0)</f>
        <v>8</v>
      </c>
      <c r="AD43" s="16">
        <f t="shared" si="6"/>
        <v>0</v>
      </c>
      <c r="AE43" s="88">
        <f t="shared" si="7"/>
        <v>5</v>
      </c>
      <c r="AF43" s="2" t="str">
        <f>IFERROR(__xludf.DUMMYFUNCTION("iferror(join("","",index(sort(filter($F44:$F$387,$O44:$O$387&gt;$O43),2,false),0,1)))"),"Wisconsin,Navy,USC,Virginia Tech,Tulsa,Penn State,Old Dominion,Colorado")</f>
        <v>Wisconsin,Navy,USC,Virginia Tech,Tulsa,Penn State,Old Dominion,Colorado</v>
      </c>
      <c r="AG43" s="86">
        <f>IFERROR(__xludf.DUMMYFUNCTION("iferror($O43-max(filter($O43:$O$386,$E43:$E$386=$E$2)))"),-1.0)</f>
        <v>-1</v>
      </c>
      <c r="AH43" s="8">
        <f t="shared" si="8"/>
        <v>0</v>
      </c>
      <c r="AI43" s="8">
        <f>IFERROR(__xludf.DUMMYFUNCTION("iferror(COUNT(filter($O44:$O$386,$O44:$O$386&gt;$O43,$E43:$E$386=$E$2)))"),0.0)</f>
        <v>0</v>
      </c>
      <c r="AJ43" s="16">
        <f t="shared" si="9"/>
        <v>0</v>
      </c>
      <c r="AK43" s="88">
        <f>IFERROR(__xludf.DUMMYFUNCTION("iferror($O43-min(filter($O43:$O$386,$E43:$E$386=$E$2)))"),6.0)</f>
        <v>6</v>
      </c>
      <c r="AL43" s="2" t="str">
        <f>IFERROR(__xludf.DUMMYFUNCTION("iferror(join("","",index(sort(filter($F44:$F$386,$O44:$O$386&gt;$O43,$E44:$E$386=$E$2),2,false),0,1)))"),"Virginia Tech")</f>
        <v>Virginia Tech</v>
      </c>
      <c r="AM43" s="2" t="str">
        <f>IFERROR(__xludf.DUMMYFUNCTION("REGEXREPLACE(join("","",unique({let(conf_picked,filter(E$1:E42,D$1:D42=D43), byrow(unique(TRANSPOSe(Teams!$1:$1)),lambda(rw,if(ISERROR(match(rw,conf_picked,0)),rw,))));iferror(if(#REF!,,transpose(split(#REF!,"","",1,1))))})), ""^,"", """")"),"ACC,Big Ten,CUSA,MAC,Pac12,SEC")</f>
        <v>ACC,Big Ten,CUSA,MAC,Pac12,SEC</v>
      </c>
      <c r="AN43" s="86">
        <f>IFERROR(__xludf.DUMMYFUNCTION("iferror($O43-max(filter($O43:$O$386,arrayformula(isnumber(FIND($E43:$E$386,AM43))))))"),-2.0)</f>
        <v>-2</v>
      </c>
      <c r="AO43" s="8">
        <f t="array" ref="AO43">countifs($O$2:$O42,"&lt;"&amp;$O43,isnumber(FIND($E$2:$E42,AM43)),TRUE)</f>
        <v>7</v>
      </c>
      <c r="AP43" s="8">
        <f>IFERROR(__xludf.DUMMYFUNCTION("iferror(COUNT(filter($O44:$O$386,$O44:$O$386&gt;$O43,arrayformula(isnumber(FIND($E44:$E$386,AM43))))))"),6.0)</f>
        <v>6</v>
      </c>
      <c r="AQ43" s="16">
        <f t="shared" si="10"/>
        <v>0</v>
      </c>
      <c r="AR43" s="88">
        <f>IFERROR(__xludf.DUMMYFUNCTION("iferror($O43-min(filter($O43:$O$386,arrayformula(isnumber(FIND($E43:$E$386,AM43))))))"),6.0)</f>
        <v>6</v>
      </c>
      <c r="AS43" s="89" t="str">
        <f>IFERROR(__xludf.DUMMYFUNCTION("iferror(join("","",index(sort(filter($F44:$F$386,$O44:$O$386&gt;$O43,arrayformula(isnumber(FIND($E44:$E$386,AM43)))),2,false),0,1)))"),"Wisconsin,USC,Virginia Tech,Penn State,Old Dominion,Colorado")</f>
        <v>Wisconsin,USC,Virginia Tech,Penn State,Old Dominion,Colorado</v>
      </c>
    </row>
    <row r="44">
      <c r="A44" s="13">
        <f t="shared" si="11"/>
        <v>43</v>
      </c>
      <c r="B44" s="13">
        <v>5.0</v>
      </c>
      <c r="C44" s="90">
        <v>3.0</v>
      </c>
      <c r="D44" s="13" t="str">
        <f t="shared" si="19"/>
        <v>Jacob</v>
      </c>
      <c r="E44" s="179" t="str">
        <f>if(F44&lt;&gt;"",VLOOKUP(F44,'Teams-Conference, for lookup'!A:B,2,0),"")</f>
        <v>Sun Belt</v>
      </c>
      <c r="F44" s="13" t="s">
        <v>173</v>
      </c>
      <c r="G44" t="str">
        <f t="shared" si="17"/>
        <v/>
      </c>
      <c r="H44" s="97">
        <f t="shared" si="2"/>
        <v>0</v>
      </c>
      <c r="I44" s="97">
        <f t="shared" si="3"/>
        <v>0</v>
      </c>
      <c r="J44" s="97">
        <f t="shared" si="12"/>
        <v>1</v>
      </c>
      <c r="K44" s="97">
        <f t="shared" si="18"/>
        <v>0</v>
      </c>
      <c r="L44" s="2"/>
      <c r="M44" s="97">
        <f>IFERROR(__xludf.DUMMYFUNCTION("counta(iferror(filter(L$2:L43,E$2:E43=E44,L$2:L43&lt;L44)))"),0.0)</f>
        <v>0</v>
      </c>
      <c r="N44" s="97">
        <f>IFERROR(__xludf.DUMMYFUNCTION("counta(iferror(filter(L45:L$124,E45:E$124=E44,L45:L$125&gt;L44)))"),0.0)</f>
        <v>0</v>
      </c>
      <c r="O44" s="83">
        <f t="array" ref="O44:X44">XLOOKUP(F44,'Current Week'!B:B,'Current Week'!C:O)</f>
        <v>6</v>
      </c>
      <c r="P44" s="83">
        <v>6.0</v>
      </c>
      <c r="Q44" s="2" t="s">
        <v>175</v>
      </c>
      <c r="R44" s="84" t="s">
        <v>106</v>
      </c>
      <c r="S44" s="2"/>
      <c r="T44" s="2">
        <v>-3.0</v>
      </c>
      <c r="U44" s="8" t="s">
        <v>108</v>
      </c>
      <c r="V44" s="2"/>
      <c r="W44" s="8">
        <v>9999.0</v>
      </c>
      <c r="X44" s="2"/>
      <c r="Y44" s="2"/>
      <c r="Z44" s="2"/>
      <c r="AA44" s="86">
        <f t="shared" si="4"/>
        <v>-4</v>
      </c>
      <c r="AB44" s="8">
        <f t="shared" si="5"/>
        <v>9</v>
      </c>
      <c r="AC44" s="8">
        <f>IFERROR(__xludf.DUMMYFUNCTION("iferror(COUNT(filter($O45:$O$386,$O45:$O$386&gt;$O44)))"),28.0)</f>
        <v>28</v>
      </c>
      <c r="AD44" s="16">
        <f t="shared" si="6"/>
        <v>0</v>
      </c>
      <c r="AE44" s="88">
        <f t="shared" si="7"/>
        <v>3</v>
      </c>
      <c r="AF44" s="2" t="str">
        <f>IFERROR(__xludf.DUMMYFUNCTION("iferror(join("","",index(sort(filter($F45:$F$387,$O45:$O$387&gt;$O44),2,false),0,1)))"),"Georgia,Wisconsin,Navy,USC,Louisiana Tech,Ohio,Virginia Tech,Washington State,Memphis,Utah,Colorado State,New Mexico,Florida,Miami,Tulsa,Pittsburgh,Arkansas,Idaho,Penn State,Minnesota,Georgia Tech,Texas A&amp;M,Old Dominion,Auburn,Colorado,Wyoming,Eastern Mic"&amp;"higan,Kentucky")</f>
        <v>Georgia,Wisconsin,Navy,USC,Louisiana Tech,Ohio,Virginia Tech,Washington State,Memphis,Utah,Colorado State,New Mexico,Florida,Miami,Tulsa,Pittsburgh,Arkansas,Idaho,Penn State,Minnesota,Georgia Tech,Texas A&amp;M,Old Dominion,Auburn,Colorado,Wyoming,Eastern Michigan,Kentucky</v>
      </c>
      <c r="AG44" s="86">
        <f>IFERROR(__xludf.DUMMYFUNCTION("iferror($O44-max(filter($O44:$O$386,$E44:$E$386=$E$2)))"),-3.0)</f>
        <v>-3</v>
      </c>
      <c r="AH44" s="8">
        <f t="shared" si="8"/>
        <v>0</v>
      </c>
      <c r="AI44" s="8">
        <f>IFERROR(__xludf.DUMMYFUNCTION("iferror(COUNT(filter($O45:$O$386,$O45:$O$386&gt;$O44,$E44:$E$386=$E$2)))"),0.0)</f>
        <v>0</v>
      </c>
      <c r="AJ44" s="16">
        <f t="shared" si="9"/>
        <v>0</v>
      </c>
      <c r="AK44" s="88">
        <f>IFERROR(__xludf.DUMMYFUNCTION("iferror($O44-min(filter($O44:$O$386,$E44:$E$386=$E$2)))"),4.0)</f>
        <v>4</v>
      </c>
      <c r="AL44" s="2" t="str">
        <f>IFERROR(__xludf.DUMMYFUNCTION("iferror(join("","",index(sort(filter($F45:$F$386,$O45:$O$386&gt;$O44,$E45:$E$386=$E$2),2,false),0,1)))"),"Virginia Tech,Miami,Pittsburgh,Georgia Tech")</f>
        <v>Virginia Tech,Miami,Pittsburgh,Georgia Tech</v>
      </c>
      <c r="AM44" s="2" t="str">
        <f>IFERROR(__xludf.DUMMYFUNCTION("REGEXREPLACE(join("","",unique({let(conf_picked,filter(E$1:E43,D$1:D43=D44), byrow(unique(TRANSPOSe(Teams!$1:$1)),lambda(rw,if(ISERROR(match(rw,conf_picked,0)),rw,))));iferror(if(#REF!,,transpose(split(#REF!,"","",1,1))))})), ""^,"", """")"),"AAC,ACC,,Big Ten,MWC,Pac12,Sun Belt")</f>
        <v>AAC,ACC,,Big Ten,MWC,Pac12,Sun Belt</v>
      </c>
      <c r="AN44" s="86">
        <f>IFERROR(__xludf.DUMMYFUNCTION("iferror($O44-max(filter($O44:$O$386,arrayformula(isnumber(FIND($E44:$E$386,AM44))))))"),-4.0)</f>
        <v>-4</v>
      </c>
      <c r="AO44" s="8">
        <f t="array" ref="AO44">countifs($O$2:$O43,"&lt;"&amp;$O44,isnumber(FIND($E$2:$E43,AM44)),TRUE)</f>
        <v>5</v>
      </c>
      <c r="AP44" s="8">
        <f>IFERROR(__xludf.DUMMYFUNCTION("iferror(COUNT(filter($O45:$O$386,$O45:$O$386&gt;$O44,arrayformula(isnumber(FIND($E45:$E$386,AM44))))))"),18.0)</f>
        <v>18</v>
      </c>
      <c r="AQ44" s="16">
        <f t="shared" si="10"/>
        <v>0</v>
      </c>
      <c r="AR44" s="88">
        <f>IFERROR(__xludf.DUMMYFUNCTION("iferror($O44-min(filter($O44:$O$386,arrayformula(isnumber(FIND($E44:$E$386,AM44))))))"),5.0)</f>
        <v>5</v>
      </c>
      <c r="AS44" s="89" t="str">
        <f>IFERROR(__xludf.DUMMYFUNCTION("iferror(join("","",index(sort(filter($F45:$F$386,$O45:$O$386&gt;$O44,arrayformula(isnumber(FIND($E45:$E$386,AM44)))),2,false),0,1)))"),"Wisconsin,Navy,USC,Virginia Tech,Washington State,Memphis,Utah,Colorado State,New Mexico,Miami,Tulsa,Pittsburgh,Idaho,Penn State,Minnesota,Georgia Tech,Colorado,Wyoming")</f>
        <v>Wisconsin,Navy,USC,Virginia Tech,Washington State,Memphis,Utah,Colorado State,New Mexico,Miami,Tulsa,Pittsburgh,Idaho,Penn State,Minnesota,Georgia Tech,Colorado,Wyoming</v>
      </c>
    </row>
    <row r="45">
      <c r="A45" s="13">
        <f t="shared" si="11"/>
        <v>44</v>
      </c>
      <c r="B45" s="13">
        <v>5.0</v>
      </c>
      <c r="C45" s="90">
        <v>4.0</v>
      </c>
      <c r="D45" s="91" t="str">
        <f t="shared" si="19"/>
        <v>Brad</v>
      </c>
      <c r="E45" s="179" t="str">
        <f>if(F45&lt;&gt;"",VLOOKUP(F45,'Teams-Conference, for lookup'!A:B,2,0),"")</f>
        <v>SEC</v>
      </c>
      <c r="F45" s="91" t="s">
        <v>210</v>
      </c>
      <c r="G45" t="str">
        <f t="shared" si="17"/>
        <v/>
      </c>
      <c r="H45" s="97">
        <f t="shared" si="2"/>
        <v>0</v>
      </c>
      <c r="I45" s="97">
        <f t="shared" si="3"/>
        <v>1</v>
      </c>
      <c r="J45" s="97">
        <f t="shared" si="12"/>
        <v>0</v>
      </c>
      <c r="K45" s="97">
        <f t="shared" si="18"/>
        <v>2</v>
      </c>
      <c r="L45" s="2"/>
      <c r="M45" s="97">
        <f>IFERROR(__xludf.DUMMYFUNCTION("counta(iferror(filter(L$2:L44,E$2:E44=E45,L$2:L44&lt;L45)))"),0.0)</f>
        <v>0</v>
      </c>
      <c r="N45" s="97">
        <f>IFERROR(__xludf.DUMMYFUNCTION("counta(iferror(filter(L46:L$124,E46:E$124=E45,L46:L$125&gt;L45)))"),0.0)</f>
        <v>0</v>
      </c>
      <c r="O45" s="83">
        <f t="array" ref="O45:X45">XLOOKUP(F45,'Current Week'!B:B,'Current Week'!C:O)</f>
        <v>7</v>
      </c>
      <c r="P45" s="83">
        <v>5.0</v>
      </c>
      <c r="Q45" s="2" t="s">
        <v>27</v>
      </c>
      <c r="R45" s="2" t="s">
        <v>106</v>
      </c>
      <c r="S45" s="2"/>
      <c r="T45" s="2">
        <v>-1.0</v>
      </c>
      <c r="U45" s="8" t="s">
        <v>108</v>
      </c>
      <c r="V45" s="2"/>
      <c r="W45" s="8">
        <v>9999.0</v>
      </c>
      <c r="X45" s="2"/>
      <c r="Y45" s="2"/>
      <c r="Z45" s="2"/>
      <c r="AA45" s="86">
        <f t="shared" si="4"/>
        <v>-3</v>
      </c>
      <c r="AB45" s="8">
        <f t="shared" si="5"/>
        <v>13</v>
      </c>
      <c r="AC45" s="8">
        <f>IFERROR(__xludf.DUMMYFUNCTION("iferror(COUNT(filter($O46:$O$386,$O46:$O$386&gt;$O45)))"),23.0)</f>
        <v>23</v>
      </c>
      <c r="AD45" s="16">
        <f t="shared" si="6"/>
        <v>0</v>
      </c>
      <c r="AE45" s="88">
        <f t="shared" si="7"/>
        <v>4</v>
      </c>
      <c r="AF45" s="2" t="str">
        <f>IFERROR(__xludf.DUMMYFUNCTION("iferror(join("","",index(sort(filter($F46:$F$387,$O46:$O$387&gt;$O45),2,false),0,1)))"),"Wisconsin,Navy,USC,Louisiana Tech,Ohio,Virginia Tech,Washington State,Memphis,Utah,New Mexico,Florida,Miami,Tulsa,Pittsburgh,Idaho,Penn State,Minnesota,Georgia Tech,Texas A&amp;M,Old Dominion,Auburn,Colorado,Wyoming")</f>
        <v>Wisconsin,Navy,USC,Louisiana Tech,Ohio,Virginia Tech,Washington State,Memphis,Utah,New Mexico,Florida,Miami,Tulsa,Pittsburgh,Idaho,Penn State,Minnesota,Georgia Tech,Texas A&amp;M,Old Dominion,Auburn,Colorado,Wyoming</v>
      </c>
      <c r="AG45" s="86">
        <f>IFERROR(__xludf.DUMMYFUNCTION("iferror($O45-max(filter($O45:$O$386,$E45:$E$386=$E$2)))"),-2.0)</f>
        <v>-2</v>
      </c>
      <c r="AH45" s="8">
        <f t="shared" si="8"/>
        <v>0</v>
      </c>
      <c r="AI45" s="8">
        <f>IFERROR(__xludf.DUMMYFUNCTION("iferror(COUNT(filter($O46:$O$386,$O46:$O$386&gt;$O45,$E45:$E$386=$E$2)))"),0.0)</f>
        <v>0</v>
      </c>
      <c r="AJ45" s="16">
        <f t="shared" si="9"/>
        <v>0</v>
      </c>
      <c r="AK45" s="88">
        <f>IFERROR(__xludf.DUMMYFUNCTION("iferror($O45-min(filter($O45:$O$386,$E45:$E$386=$E$2)))"),5.0)</f>
        <v>5</v>
      </c>
      <c r="AL45" s="2" t="str">
        <f>IFERROR(__xludf.DUMMYFUNCTION("iferror(join("","",index(sort(filter($F46:$F$386,$O46:$O$386&gt;$O45,$E46:$E$386=$E$2),2,false),0,1)))"),"Virginia Tech,Miami,Pittsburgh,Georgia Tech")</f>
        <v>Virginia Tech,Miami,Pittsburgh,Georgia Tech</v>
      </c>
      <c r="AM45" s="2" t="str">
        <f>IFERROR(__xludf.DUMMYFUNCTION("REGEXREPLACE(join("","",unique({let(conf_picked,filter(E$1:E44,D$1:D44=D45), byrow(unique(TRANSPOSe(Teams!$1:$1)),lambda(rw,if(ISERROR(match(rw,conf_picked,0)),rw,))));iferror(if(#REF!,,transpose(split(#REF!,"","",1,1))))})), ""^,"", """")"),"AAC,ACC,,MAC,MWC,SEC,Sun Belt")</f>
        <v>AAC,ACC,,MAC,MWC,SEC,Sun Belt</v>
      </c>
      <c r="AN45" s="86">
        <f>IFERROR(__xludf.DUMMYFUNCTION("iferror($O45-max(filter($O45:$O$386,arrayformula(isnumber(FIND($E45:$E$386,AM45))))))"),-2.0)</f>
        <v>-2</v>
      </c>
      <c r="AO45" s="8">
        <f t="array" ref="AO45">countifs($O$2:$O44,"&lt;"&amp;$O45,isnumber(FIND($E$2:$E44,AM45)),TRUE)</f>
        <v>4</v>
      </c>
      <c r="AP45" s="8">
        <f>IFERROR(__xludf.DUMMYFUNCTION("iferror(COUNT(filter($O46:$O$386,$O46:$O$386&gt;$O45,arrayformula(isnumber(FIND($E46:$E$386,AM45))))))"),14.0)</f>
        <v>14</v>
      </c>
      <c r="AQ45" s="16">
        <f t="shared" si="10"/>
        <v>0</v>
      </c>
      <c r="AR45" s="88">
        <f>IFERROR(__xludf.DUMMYFUNCTION("iferror($O45-min(filter($O45:$O$386,arrayformula(isnumber(FIND($E45:$E$386,AM45))))))"),6.0)</f>
        <v>6</v>
      </c>
      <c r="AS45" s="89" t="str">
        <f>IFERROR(__xludf.DUMMYFUNCTION("iferror(join("","",index(sort(filter($F46:$F$386,$O46:$O$386&gt;$O45,arrayformula(isnumber(FIND($E46:$E$386,AM45)))),2,false),0,1)))"),"Navy,Ohio,Virginia Tech,Memphis,New Mexico,Florida,Miami,Tulsa,Pittsburgh,Idaho,Georgia Tech,Texas A&amp;M,Auburn,Wyoming")</f>
        <v>Navy,Ohio,Virginia Tech,Memphis,New Mexico,Florida,Miami,Tulsa,Pittsburgh,Idaho,Georgia Tech,Texas A&amp;M,Auburn,Wyoming</v>
      </c>
    </row>
    <row r="46">
      <c r="A46" s="13">
        <f t="shared" si="11"/>
        <v>45</v>
      </c>
      <c r="B46" s="13">
        <v>5.0</v>
      </c>
      <c r="C46" s="90">
        <v>5.0</v>
      </c>
      <c r="D46" s="91" t="str">
        <f t="shared" si="19"/>
        <v>Nico</v>
      </c>
      <c r="E46" s="179" t="str">
        <f>if(F46&lt;&gt;"",VLOOKUP(F46,'Teams-Conference, for lookup'!A:B,2,0),"")</f>
        <v>Big Ten</v>
      </c>
      <c r="F46" s="91" t="s">
        <v>225</v>
      </c>
      <c r="G46" t="str">
        <f t="shared" si="17"/>
        <v/>
      </c>
      <c r="H46" s="97">
        <f t="shared" si="2"/>
        <v>0</v>
      </c>
      <c r="I46" s="97">
        <f t="shared" si="3"/>
        <v>1</v>
      </c>
      <c r="J46" s="97">
        <f t="shared" si="12"/>
        <v>1</v>
      </c>
      <c r="K46" s="97">
        <f t="shared" si="18"/>
        <v>3</v>
      </c>
      <c r="L46" s="2"/>
      <c r="M46" s="97">
        <f>IFERROR(__xludf.DUMMYFUNCTION("counta(iferror(filter(L$2:L45,E$2:E45=E46,L$2:L45&lt;L46)))"),0.0)</f>
        <v>0</v>
      </c>
      <c r="N46" s="97">
        <f>IFERROR(__xludf.DUMMYFUNCTION("counta(iferror(filter(L47:L$124,E47:E$124=E46,L47:L$125&gt;L46)))"),0.0)</f>
        <v>0</v>
      </c>
      <c r="O46" s="83">
        <f t="array" ref="O46:X46">XLOOKUP(F46,'Current Week'!B:B,'Current Week'!C:O)</f>
        <v>10</v>
      </c>
      <c r="P46" s="83">
        <v>2.0</v>
      </c>
      <c r="Q46" s="2" t="s">
        <v>124</v>
      </c>
      <c r="R46" s="2" t="s">
        <v>106</v>
      </c>
      <c r="S46" s="2"/>
      <c r="T46" s="2" t="s">
        <v>227</v>
      </c>
      <c r="U46" s="8" t="s">
        <v>108</v>
      </c>
      <c r="V46" s="2"/>
      <c r="W46" s="8">
        <v>9999.0</v>
      </c>
      <c r="X46" s="2"/>
      <c r="Y46" s="2"/>
      <c r="Z46" s="2"/>
      <c r="AA46" s="86">
        <f t="shared" si="4"/>
        <v>0</v>
      </c>
      <c r="AB46" s="8">
        <f t="shared" si="5"/>
        <v>34</v>
      </c>
      <c r="AC46" s="8">
        <f>IFERROR(__xludf.DUMMYFUNCTION("iferror(COUNT(filter($O47:$O$386,$O47:$O$386&gt;$O46)))"),0.0)</f>
        <v>0</v>
      </c>
      <c r="AD46" s="16">
        <f t="shared" si="6"/>
        <v>1</v>
      </c>
      <c r="AE46" s="88">
        <f t="shared" si="7"/>
        <v>7</v>
      </c>
      <c r="AF46" s="2" t="str">
        <f>IFERROR(__xludf.DUMMYFUNCTION("iferror(join("","",index(sort(filter($F47:$F$387,$O47:$O$387&gt;$O46),2,false),0,1)))"),"")</f>
        <v/>
      </c>
      <c r="AG46" s="86">
        <f>IFERROR(__xludf.DUMMYFUNCTION("iferror($O46-max(filter($O46:$O$386,$E46:$E$386=$E$2)))"),1.0)</f>
        <v>1</v>
      </c>
      <c r="AH46" s="8">
        <f t="shared" si="8"/>
        <v>3</v>
      </c>
      <c r="AI46" s="8">
        <f>IFERROR(__xludf.DUMMYFUNCTION("iferror(COUNT(filter($O47:$O$386,$O47:$O$386&gt;$O46,$E46:$E$386=$E$2)))"),0.0)</f>
        <v>0</v>
      </c>
      <c r="AJ46" s="16">
        <f t="shared" si="9"/>
        <v>0</v>
      </c>
      <c r="AK46" s="88">
        <f>IFERROR(__xludf.DUMMYFUNCTION("iferror($O46-min(filter($O46:$O$386,$E46:$E$386=$E$2)))"),8.0)</f>
        <v>8</v>
      </c>
      <c r="AL46" s="2" t="str">
        <f>IFERROR(__xludf.DUMMYFUNCTION("iferror(join("","",index(sort(filter($F47:$F$386,$O47:$O$386&gt;$O46,$E47:$E$386=$E$2),2,false),0,1)))"),"")</f>
        <v/>
      </c>
      <c r="AM46" s="2" t="str">
        <f>IFERROR(__xludf.DUMMYFUNCTION("REGEXREPLACE(join("","",unique({let(conf_picked,filter(E$1:E45,D$1:D45=D46), byrow(unique(TRANSPOSe(Teams!$1:$1)),lambda(rw,if(ISERROR(match(rw,conf_picked,0)),rw,))));iferror(if(#REF!,,transpose(split(#REF!,"","",1,1))))})), ""^,"", """")"),"ACC,Big 12,Big Ten,CUSA,MAC,SEC")</f>
        <v>ACC,Big 12,Big Ten,CUSA,MAC,SEC</v>
      </c>
      <c r="AN46" s="86">
        <f>IFERROR(__xludf.DUMMYFUNCTION("iferror($O46-max(filter($O46:$O$386,arrayformula(isnumber(FIND($E46:$E$386,AM46))))))"),0.0)</f>
        <v>0</v>
      </c>
      <c r="AO46" s="8">
        <f t="array" ref="AO46">countifs($O$2:$O45,"&lt;"&amp;$O46,isnumber(FIND($E$2:$E45,AM46)),TRUE)</f>
        <v>21</v>
      </c>
      <c r="AP46" s="8">
        <f>IFERROR(__xludf.DUMMYFUNCTION("iferror(COUNT(filter($O47:$O$386,$O47:$O$386&gt;$O46,arrayformula(isnumber(FIND($E47:$E$386,AM46))))))"),0.0)</f>
        <v>0</v>
      </c>
      <c r="AQ46" s="16">
        <f t="shared" si="10"/>
        <v>1</v>
      </c>
      <c r="AR46" s="88">
        <f>IFERROR(__xludf.DUMMYFUNCTION("iferror($O46-min(filter($O46:$O$386,arrayformula(isnumber(FIND($E46:$E$386,AM46))))))"),8.0)</f>
        <v>8</v>
      </c>
      <c r="AS46" s="89" t="str">
        <f>IFERROR(__xludf.DUMMYFUNCTION("iferror(join("","",index(sort(filter($F47:$F$386,$O47:$O$386&gt;$O46,arrayformula(isnumber(FIND($E47:$E$386,AM46)))),2,false),0,1)))"),"")</f>
        <v/>
      </c>
    </row>
    <row r="47">
      <c r="A47" s="13">
        <f t="shared" si="11"/>
        <v>46</v>
      </c>
      <c r="B47" s="13">
        <v>5.0</v>
      </c>
      <c r="C47" s="90">
        <v>6.0</v>
      </c>
      <c r="D47" s="91" t="str">
        <f t="shared" si="19"/>
        <v>Vu</v>
      </c>
      <c r="E47" s="179" t="str">
        <f>if(F47&lt;&gt;"",VLOOKUP(F47,'Teams-Conference, for lookup'!A:B,2,0),"")</f>
        <v>AAC</v>
      </c>
      <c r="F47" s="91" t="s">
        <v>375</v>
      </c>
      <c r="G47" t="str">
        <f t="shared" si="17"/>
        <v/>
      </c>
      <c r="H47" s="97">
        <f t="shared" si="2"/>
        <v>1</v>
      </c>
      <c r="I47" s="97">
        <f t="shared" si="3"/>
        <v>2</v>
      </c>
      <c r="J47" s="97">
        <f t="shared" si="12"/>
        <v>2</v>
      </c>
      <c r="K47" s="97">
        <f t="shared" ref="K47:K51" si="20">countif(E28:E47,E48)</f>
        <v>2</v>
      </c>
      <c r="L47" s="2"/>
      <c r="M47" s="97">
        <f>IFERROR(__xludf.DUMMYFUNCTION("counta(iferror(filter(L$2:L46,E$2:E46=E47,L$2:L46&lt;L47)))"),0.0)</f>
        <v>0</v>
      </c>
      <c r="N47" s="97">
        <f>IFERROR(__xludf.DUMMYFUNCTION("counta(iferror(filter(L48:L$124,E48:E$124=E47,L48:L$125&gt;L47)))"),0.0)</f>
        <v>0</v>
      </c>
      <c r="O47" s="83">
        <f t="array" ref="O47:X47">XLOOKUP(F47,'Current Week'!B:B,'Current Week'!C:O)</f>
        <v>9</v>
      </c>
      <c r="P47" s="97">
        <v>1.0</v>
      </c>
      <c r="Q47" s="2" t="s">
        <v>192</v>
      </c>
      <c r="R47" s="2" t="s">
        <v>384</v>
      </c>
      <c r="S47" s="2" t="s">
        <v>385</v>
      </c>
      <c r="T47" s="8">
        <v>-7.0</v>
      </c>
      <c r="U47" s="8">
        <v>48.0</v>
      </c>
      <c r="V47" s="2" t="s">
        <v>386</v>
      </c>
      <c r="W47" s="8">
        <v>9999.0</v>
      </c>
      <c r="X47" s="2"/>
      <c r="Y47" s="2"/>
      <c r="Z47" s="2"/>
      <c r="AA47" s="86">
        <f t="shared" si="4"/>
        <v>-1</v>
      </c>
      <c r="AB47" s="8">
        <f t="shared" si="5"/>
        <v>21</v>
      </c>
      <c r="AC47" s="8">
        <f>IFERROR(__xludf.DUMMYFUNCTION("iferror(COUNT(filter($O48:$O$386,$O48:$O$386&gt;$O47)))"),2.0)</f>
        <v>2</v>
      </c>
      <c r="AD47" s="16">
        <f t="shared" si="6"/>
        <v>0</v>
      </c>
      <c r="AE47" s="88">
        <f t="shared" si="7"/>
        <v>6</v>
      </c>
      <c r="AF47" s="2" t="str">
        <f>IFERROR(__xludf.DUMMYFUNCTION("iferror(join("","",index(sort(filter($F48:$F$387,$O48:$O$387&gt;$O47),2,false),0,1)))"),"Penn State,Colorado")</f>
        <v>Penn State,Colorado</v>
      </c>
      <c r="AG47" s="86">
        <f>IFERROR(__xludf.DUMMYFUNCTION("iferror($O47-max(filter($O47:$O$386,$E47:$E$386=$E$2)))"),0.0)</f>
        <v>0</v>
      </c>
      <c r="AH47" s="8">
        <f t="shared" si="8"/>
        <v>1</v>
      </c>
      <c r="AI47" s="8">
        <f>IFERROR(__xludf.DUMMYFUNCTION("iferror(COUNT(filter($O48:$O$386,$O48:$O$386&gt;$O47,$E47:$E$386=$E$2)))"),0.0)</f>
        <v>0</v>
      </c>
      <c r="AJ47" s="16">
        <f t="shared" si="9"/>
        <v>1</v>
      </c>
      <c r="AK47" s="88">
        <f>IFERROR(__xludf.DUMMYFUNCTION("iferror($O47-min(filter($O47:$O$386,$E47:$E$386=$E$2)))"),7.0)</f>
        <v>7</v>
      </c>
      <c r="AL47" s="2" t="str">
        <f>IFERROR(__xludf.DUMMYFUNCTION("iferror(join("","",index(sort(filter($F48:$F$386,$O48:$O$386&gt;$O47,$E48:$E$386=$E$2),2,false),0,1)))"),"")</f>
        <v/>
      </c>
      <c r="AM47" s="2" t="str">
        <f>IFERROR(__xludf.DUMMYFUNCTION("REGEXREPLACE(join("","",unique({let(conf_picked,filter(E$1:E46,D$1:D46=D47), byrow(unique(TRANSPOSe(Teams!$1:$1)),lambda(rw,if(ISERROR(match(rw,conf_picked,0)),rw,))));iferror(if(#REF!,,transpose(split(#REF!,"","",1,1))))})), ""^,"", """")"),"AAC,,CUSA,MAC,Pac12,SEC,Sun Belt")</f>
        <v>AAC,,CUSA,MAC,Pac12,SEC,Sun Belt</v>
      </c>
      <c r="AN47" s="86">
        <f>IFERROR(__xludf.DUMMYFUNCTION("iferror($O47-max(filter($O47:$O$386,arrayformula(isnumber(FIND($E47:$E$386,AM47))))))"),-1.0)</f>
        <v>-1</v>
      </c>
      <c r="AO47" s="8">
        <f t="array" ref="AO47">countifs($O$2:$O46,"&lt;"&amp;$O47,isnumber(FIND($E$2:$E46,AM47)),TRUE)</f>
        <v>13</v>
      </c>
      <c r="AP47" s="8">
        <f>IFERROR(__xludf.DUMMYFUNCTION("iferror(COUNT(filter($O48:$O$386,$O48:$O$386&gt;$O47,arrayformula(isnumber(FIND($E48:$E$386,AM47))))))"),1.0)</f>
        <v>1</v>
      </c>
      <c r="AQ47" s="16">
        <f t="shared" si="10"/>
        <v>0</v>
      </c>
      <c r="AR47" s="88">
        <f>IFERROR(__xludf.DUMMYFUNCTION("iferror($O47-min(filter($O47:$O$386,arrayformula(isnumber(FIND($E47:$E$386,AM47))))))"),7.0)</f>
        <v>7</v>
      </c>
      <c r="AS47" s="89" t="str">
        <f>IFERROR(__xludf.DUMMYFUNCTION("iferror(join("","",index(sort(filter($F48:$F$386,$O48:$O$386&gt;$O47,arrayformula(isnumber(FIND($E48:$E$386,AM47)))),2,false),0,1)))"),"Colorado")</f>
        <v>Colorado</v>
      </c>
    </row>
    <row r="48">
      <c r="A48" s="13">
        <f t="shared" si="11"/>
        <v>47</v>
      </c>
      <c r="B48" s="13">
        <v>5.0</v>
      </c>
      <c r="C48" s="90">
        <v>7.0</v>
      </c>
      <c r="D48" s="91" t="str">
        <f t="shared" si="19"/>
        <v>Josh T.</v>
      </c>
      <c r="E48" s="179" t="str">
        <f>if(F48&lt;&gt;"",VLOOKUP(F48,'Teams-Conference, for lookup'!A:B,2,0),"")</f>
        <v>Pac12</v>
      </c>
      <c r="F48" s="13" t="s">
        <v>403</v>
      </c>
      <c r="G48" t="str">
        <f t="shared" si="17"/>
        <v/>
      </c>
      <c r="H48" s="97">
        <f t="shared" si="2"/>
        <v>2</v>
      </c>
      <c r="I48" s="97">
        <f t="shared" si="3"/>
        <v>2</v>
      </c>
      <c r="J48" s="97">
        <f t="shared" si="12"/>
        <v>1</v>
      </c>
      <c r="K48" s="97">
        <f t="shared" si="20"/>
        <v>2</v>
      </c>
      <c r="L48" s="2"/>
      <c r="M48" s="97">
        <f>IFERROR(__xludf.DUMMYFUNCTION("counta(iferror(filter(L$2:L47,E$2:E47=E48,L$2:L47&lt;L48)))"),0.0)</f>
        <v>0</v>
      </c>
      <c r="N48" s="97">
        <f>IFERROR(__xludf.DUMMYFUNCTION("counta(iferror(filter(L49:L$124,E49:E$124=E48,L49:L$125&gt;L48)))"),0.0)</f>
        <v>0</v>
      </c>
      <c r="O48" s="83">
        <f t="array" ref="O48:X48">XLOOKUP(F48,'Current Week'!B:B,'Current Week'!C:O)</f>
        <v>9</v>
      </c>
      <c r="P48" s="83">
        <v>3.0</v>
      </c>
      <c r="Q48" s="2" t="s">
        <v>156</v>
      </c>
      <c r="R48" s="2" t="s">
        <v>106</v>
      </c>
      <c r="S48" s="2"/>
      <c r="T48" s="2">
        <v>7.0</v>
      </c>
      <c r="U48" s="8" t="s">
        <v>108</v>
      </c>
      <c r="V48" s="2"/>
      <c r="W48" s="8">
        <v>9999.0</v>
      </c>
      <c r="X48" s="2"/>
      <c r="Y48" s="2"/>
      <c r="Z48" s="2"/>
      <c r="AA48" s="86">
        <f t="shared" si="4"/>
        <v>-1</v>
      </c>
      <c r="AB48" s="8">
        <f t="shared" si="5"/>
        <v>21</v>
      </c>
      <c r="AC48" s="8">
        <f>IFERROR(__xludf.DUMMYFUNCTION("iferror(COUNT(filter($O49:$O$386,$O49:$O$386&gt;$O48)))"),2.0)</f>
        <v>2</v>
      </c>
      <c r="AD48" s="16">
        <f t="shared" si="6"/>
        <v>0</v>
      </c>
      <c r="AE48" s="88">
        <f t="shared" si="7"/>
        <v>6</v>
      </c>
      <c r="AF48" s="2" t="str">
        <f>IFERROR(__xludf.DUMMYFUNCTION("iferror(join("","",index(sort(filter($F49:$F$387,$O49:$O$387&gt;$O48),2,false),0,1)))"),"Penn State,Colorado")</f>
        <v>Penn State,Colorado</v>
      </c>
      <c r="AG48" s="86">
        <f>IFERROR(__xludf.DUMMYFUNCTION("iferror($O48-max(filter($O48:$O$386,$E48:$E$386=$E$2)))"),0.0)</f>
        <v>0</v>
      </c>
      <c r="AH48" s="8">
        <f t="shared" si="8"/>
        <v>1</v>
      </c>
      <c r="AI48" s="8">
        <f>IFERROR(__xludf.DUMMYFUNCTION("iferror(COUNT(filter($O49:$O$386,$O49:$O$386&gt;$O48,$E48:$E$386=$E$2)))"),0.0)</f>
        <v>0</v>
      </c>
      <c r="AJ48" s="16">
        <f t="shared" si="9"/>
        <v>1</v>
      </c>
      <c r="AK48" s="88">
        <f>IFERROR(__xludf.DUMMYFUNCTION("iferror($O48-min(filter($O48:$O$386,$E48:$E$386=$E$2)))"),7.0)</f>
        <v>7</v>
      </c>
      <c r="AL48" s="2" t="str">
        <f>IFERROR(__xludf.DUMMYFUNCTION("iferror(join("","",index(sort(filter($F49:$F$386,$O49:$O$386&gt;$O48,$E49:$E$386=$E$2),2,false),0,1)))"),"")</f>
        <v/>
      </c>
      <c r="AM48" s="2" t="str">
        <f>IFERROR(__xludf.DUMMYFUNCTION("REGEXREPLACE(join("","",unique({let(conf_picked,filter(E$1:E47,D$1:D47=D48), byrow(unique(TRANSPOSe(Teams!$1:$1)),lambda(rw,if(ISERROR(match(rw,conf_picked,0)),rw,))));iferror(if(#REF!,,transpose(split(#REF!,"","",1,1))))})), ""^,"", """")"),"AAC,,Big Ten,CUSA,MWC,Pac12,Sun Belt")</f>
        <v>AAC,,Big Ten,CUSA,MWC,Pac12,Sun Belt</v>
      </c>
      <c r="AN48" s="86">
        <f>IFERROR(__xludf.DUMMYFUNCTION("iferror($O48-max(filter($O48:$O$386,arrayformula(isnumber(FIND($E48:$E$386,AM48))))))"),-1.0)</f>
        <v>-1</v>
      </c>
      <c r="AO48" s="8">
        <f t="array" ref="AO48">countifs($O$2:$O47,"&lt;"&amp;$O48,isnumber(FIND($E$2:$E47,AM48)),TRUE)</f>
        <v>11</v>
      </c>
      <c r="AP48" s="8">
        <f>IFERROR(__xludf.DUMMYFUNCTION("iferror(COUNT(filter($O49:$O$386,$O49:$O$386&gt;$O48,arrayformula(isnumber(FIND($E49:$E$386,AM48))))))"),2.0)</f>
        <v>2</v>
      </c>
      <c r="AQ48" s="16">
        <f t="shared" si="10"/>
        <v>0</v>
      </c>
      <c r="AR48" s="88">
        <f>IFERROR(__xludf.DUMMYFUNCTION("iferror($O48-min(filter($O48:$O$386,arrayformula(isnumber(FIND($E48:$E$386,AM48))))))"),8.0)</f>
        <v>8</v>
      </c>
      <c r="AS48" s="89" t="str">
        <f>IFERROR(__xludf.DUMMYFUNCTION("iferror(join("","",index(sort(filter($F49:$F$386,$O49:$O$386&gt;$O48,arrayformula(isnumber(FIND($E49:$E$386,AM48)))),2,false),0,1)))"),"Penn State,Colorado")</f>
        <v>Penn State,Colorado</v>
      </c>
    </row>
    <row r="49">
      <c r="A49" s="13">
        <f t="shared" si="11"/>
        <v>48</v>
      </c>
      <c r="B49" s="13">
        <v>5.0</v>
      </c>
      <c r="C49" s="90">
        <v>8.0</v>
      </c>
      <c r="D49" s="91" t="str">
        <f t="shared" si="19"/>
        <v>Justin</v>
      </c>
      <c r="E49" s="179" t="str">
        <f>if(F49&lt;&gt;"",VLOOKUP(F49,'Teams-Conference, for lookup'!A:B,2,0),"")</f>
        <v>CUSA</v>
      </c>
      <c r="F49" t="s">
        <v>409</v>
      </c>
      <c r="G49" t="str">
        <f t="shared" si="17"/>
        <v/>
      </c>
      <c r="H49" s="97">
        <f t="shared" si="2"/>
        <v>0</v>
      </c>
      <c r="I49" s="97">
        <f t="shared" si="3"/>
        <v>1</v>
      </c>
      <c r="J49" s="97">
        <f t="shared" si="12"/>
        <v>2</v>
      </c>
      <c r="K49" s="97">
        <f t="shared" si="20"/>
        <v>0</v>
      </c>
      <c r="L49" s="2"/>
      <c r="M49" s="97">
        <f>IFERROR(__xludf.DUMMYFUNCTION("counta(iferror(filter(L$2:L48,E$2:E48=E49,L$2:L48&lt;L49)))"),0.0)</f>
        <v>0</v>
      </c>
      <c r="N49" s="97">
        <f>IFERROR(__xludf.DUMMYFUNCTION("counta(iferror(filter(L50:L$124,E50:E$124=E49,L50:L$125&gt;L49)))"),0.0)</f>
        <v>0</v>
      </c>
      <c r="O49" s="83">
        <f t="array" ref="O49:X49">XLOOKUP(F49,'Current Week'!B:B,'Current Week'!C:O)</f>
        <v>8</v>
      </c>
      <c r="P49" s="83">
        <v>4.0</v>
      </c>
      <c r="Q49" s="185" t="s">
        <v>410</v>
      </c>
      <c r="R49" s="2" t="s">
        <v>106</v>
      </c>
      <c r="S49" s="2"/>
      <c r="T49" s="2">
        <v>1.0</v>
      </c>
      <c r="U49" s="8" t="s">
        <v>108</v>
      </c>
      <c r="V49" s="2"/>
      <c r="W49" s="8">
        <v>9999.0</v>
      </c>
      <c r="X49" s="2"/>
      <c r="Y49" s="2"/>
      <c r="Z49" s="2"/>
      <c r="AA49" s="86">
        <f t="shared" si="4"/>
        <v>-2</v>
      </c>
      <c r="AB49" s="8">
        <f t="shared" si="5"/>
        <v>16</v>
      </c>
      <c r="AC49" s="8">
        <f>IFERROR(__xludf.DUMMYFUNCTION("iferror(COUNT(filter($O50:$O$386,$O50:$O$386&gt;$O49)))"),5.0)</f>
        <v>5</v>
      </c>
      <c r="AD49" s="16">
        <f t="shared" si="6"/>
        <v>0</v>
      </c>
      <c r="AE49" s="88">
        <f t="shared" si="7"/>
        <v>5</v>
      </c>
      <c r="AF49" s="2" t="str">
        <f>IFERROR(__xludf.DUMMYFUNCTION("iferror(join("","",index(sort(filter($F50:$F$387,$O50:$O$387&gt;$O49),2,false),0,1)))"),"Virginia Tech,Tulsa,Penn State,Old Dominion,Colorado")</f>
        <v>Virginia Tech,Tulsa,Penn State,Old Dominion,Colorado</v>
      </c>
      <c r="AG49" s="86">
        <f>IFERROR(__xludf.DUMMYFUNCTION("iferror($O49-max(filter($O49:$O$386,$E49:$E$386=$E$2)))"),-1.0)</f>
        <v>-1</v>
      </c>
      <c r="AH49" s="8">
        <f t="shared" si="8"/>
        <v>0</v>
      </c>
      <c r="AI49" s="8">
        <f>IFERROR(__xludf.DUMMYFUNCTION("iferror(COUNT(filter($O50:$O$386,$O50:$O$386&gt;$O49,$E49:$E$386=$E$2)))"),0.0)</f>
        <v>0</v>
      </c>
      <c r="AJ49" s="16">
        <f t="shared" si="9"/>
        <v>0</v>
      </c>
      <c r="AK49" s="88">
        <f>IFERROR(__xludf.DUMMYFUNCTION("iferror($O49-min(filter($O49:$O$386,$E49:$E$386=$E$2)))"),6.0)</f>
        <v>6</v>
      </c>
      <c r="AL49" s="2" t="str">
        <f>IFERROR(__xludf.DUMMYFUNCTION("iferror(join("","",index(sort(filter($F50:$F$386,$O50:$O$386&gt;$O49,$E50:$E$386=$E$2),2,false),0,1)))"),"Virginia Tech")</f>
        <v>Virginia Tech</v>
      </c>
      <c r="AM49" s="2" t="str">
        <f>IFERROR(__xludf.DUMMYFUNCTION("REGEXREPLACE(join("","",unique({let(conf_picked,filter(E$1:E48,D$1:D48=D49), byrow(unique(TRANSPOSe(Teams!$1:$1)),lambda(rw,if(ISERROR(match(rw,conf_picked,0)),rw,))));iferror(if(#REF!,,transpose(split(#REF!,"","",1,1))))})), ""^,"", """")"),"AAC,,CUSA,MAC,MWC,Pac12,SEC")</f>
        <v>AAC,,CUSA,MAC,MWC,Pac12,SEC</v>
      </c>
      <c r="AN49" s="86">
        <f>IFERROR(__xludf.DUMMYFUNCTION("iferror($O49-max(filter($O49:$O$386,arrayformula(isnumber(FIND($E49:$E$386,AM49))))))"),-2.0)</f>
        <v>-2</v>
      </c>
      <c r="AO49" s="8">
        <f t="array" ref="AO49">countifs($O$2:$O48,"&lt;"&amp;$O49,isnumber(FIND($E$2:$E48,AM49)),TRUE)</f>
        <v>8</v>
      </c>
      <c r="AP49" s="8">
        <f>IFERROR(__xludf.DUMMYFUNCTION("iferror(COUNT(filter($O50:$O$386,$O50:$O$386&gt;$O49,arrayformula(isnumber(FIND($E50:$E$386,AM49))))))"),3.0)</f>
        <v>3</v>
      </c>
      <c r="AQ49" s="16">
        <f t="shared" si="10"/>
        <v>0</v>
      </c>
      <c r="AR49" s="88">
        <f>IFERROR(__xludf.DUMMYFUNCTION("iferror($O49-min(filter($O49:$O$386,arrayformula(isnumber(FIND($E49:$E$386,AM49))))))"),7.0)</f>
        <v>7</v>
      </c>
      <c r="AS49" s="89" t="str">
        <f>IFERROR(__xludf.DUMMYFUNCTION("iferror(join("","",index(sort(filter($F50:$F$386,$O50:$O$386&gt;$O49,arrayformula(isnumber(FIND($E50:$E$386,AM49)))),2,false),0,1)))"),"Tulsa,Old Dominion,Colorado")</f>
        <v>Tulsa,Old Dominion,Colorado</v>
      </c>
    </row>
    <row r="50">
      <c r="A50" s="13">
        <f t="shared" si="11"/>
        <v>49</v>
      </c>
      <c r="B50" s="13">
        <v>5.0</v>
      </c>
      <c r="C50" s="90">
        <v>9.0</v>
      </c>
      <c r="D50" s="91" t="str">
        <f t="shared" si="19"/>
        <v>Frank</v>
      </c>
      <c r="E50" s="186" t="str">
        <f>if(F50&lt;&gt;"",VLOOKUP(F50,'Teams-Conference, for lookup'!A:B,2,0),"")</f>
        <v>MWC</v>
      </c>
      <c r="F50" s="91" t="s">
        <v>432</v>
      </c>
      <c r="G50" t="str">
        <f t="shared" si="17"/>
        <v/>
      </c>
      <c r="H50" s="97">
        <f t="shared" si="2"/>
        <v>2</v>
      </c>
      <c r="I50" s="97">
        <f t="shared" si="3"/>
        <v>3</v>
      </c>
      <c r="J50" s="97">
        <f t="shared" si="12"/>
        <v>0</v>
      </c>
      <c r="K50" s="97">
        <f t="shared" si="20"/>
        <v>1</v>
      </c>
      <c r="L50" s="2"/>
      <c r="M50" s="97">
        <f>IFERROR(__xludf.DUMMYFUNCTION("counta(iferror(filter(L$2:L49,E$2:E49=E50,L$2:L49&lt;L50)))"),0.0)</f>
        <v>0</v>
      </c>
      <c r="N50" s="97">
        <f>IFERROR(__xludf.DUMMYFUNCTION("counta(iferror(filter(L51:L$124,E51:E$124=E50,L51:L$125&gt;L50)))"),0.0)</f>
        <v>0</v>
      </c>
      <c r="O50" s="83">
        <f t="array" ref="O50:X50">XLOOKUP(F50,'Current Week'!B:B,'Current Week'!C:O)</f>
        <v>3</v>
      </c>
      <c r="P50" s="97">
        <v>7.0</v>
      </c>
      <c r="Q50" s="2" t="s">
        <v>156</v>
      </c>
      <c r="R50" s="84" t="s">
        <v>106</v>
      </c>
      <c r="S50" s="2"/>
      <c r="T50" s="8" t="s">
        <v>115</v>
      </c>
      <c r="U50" s="8" t="s">
        <v>115</v>
      </c>
      <c r="V50" s="2"/>
      <c r="W50" s="8">
        <v>9999.0</v>
      </c>
      <c r="X50" s="2"/>
      <c r="Y50" s="2"/>
      <c r="Z50" s="2"/>
      <c r="AA50" s="86">
        <f t="shared" si="4"/>
        <v>-7</v>
      </c>
      <c r="AB50" s="8">
        <f t="shared" si="5"/>
        <v>0</v>
      </c>
      <c r="AC50" s="8">
        <f>IFERROR(__xludf.DUMMYFUNCTION("iferror(COUNT(filter($O51:$O$386,$O51:$O$386&gt;$O50)))"),57.0)</f>
        <v>57</v>
      </c>
      <c r="AD50" s="16">
        <f t="shared" si="6"/>
        <v>0</v>
      </c>
      <c r="AE50" s="88">
        <f t="shared" si="7"/>
        <v>0</v>
      </c>
      <c r="AF50" s="2" t="str">
        <f>IFERROR(__xludf.DUMMYFUNCTION("iferror(join("","",index(sort(filter($F51:$F$387,$O51:$O$387&gt;$O50),2,false),0,1)))"),"Ohio,Nevada,Virginia Tech,Washington State,Memphis,Utah,Central Michigan,Bowling Green,Colorado State,Akron,New Mexico,Florida,Miami,Tulsa,Pittsburgh,Florida Intl,Northwestern,Ole Miss,Arkansas,UTEP,San José State,UNLV,Mississippi State,Idaho,Penn State,A"&amp;"rizona State,Minnesota,Georgia Tech,Boston College,Texas A&amp;M,UCF,NC State,Ball State,Louisiana Monroe,Old Dominion,California,Auburn,Colorado,Wyoming,Eastern Michigan,Kentucky,Wake Forest,Indiana,Maryland,Miami-OH,South Carolina,Vanderbilt,Hawaii,SMU,Nort"&amp;"h Texas,UTSA,Tulane,Duke,Syracuse,Charlotte,Oregon State,Missouri")</f>
        <v>Ohio,Nevada,Virginia Tech,Washington State,Memphis,Utah,Central Michigan,Bowling Green,Colorado State,Akron,New Mexico,Florida,Miami,Tulsa,Pittsburgh,Florida Intl,Northwestern,Ole Miss,Arkansas,UTEP,San José State,UNLV,Mississippi State,Idaho,Penn State,Arizona State,Minnesota,Georgia Tech,Boston College,Texas A&amp;M,UCF,NC State,Ball State,Louisiana Monroe,Old Dominion,California,Auburn,Colorado,Wyoming,Eastern Michigan,Kentucky,Wake Forest,Indiana,Maryland,Miami-OH,South Carolina,Vanderbilt,Hawaii,SMU,North Texas,UTSA,Tulane,Duke,Syracuse,Charlotte,Oregon State,Missouri</v>
      </c>
      <c r="AG50" s="86">
        <f>IFERROR(__xludf.DUMMYFUNCTION("iferror($O50-max(filter($O50:$O$386,$E50:$E$386=$E$2)))"),-6.0)</f>
        <v>-6</v>
      </c>
      <c r="AH50" s="8">
        <f t="shared" si="8"/>
        <v>0</v>
      </c>
      <c r="AI50" s="8">
        <f>IFERROR(__xludf.DUMMYFUNCTION("iferror(COUNT(filter($O51:$O$386,$O51:$O$386&gt;$O50,$E50:$E$386=$E$2)))"),0.0)</f>
        <v>0</v>
      </c>
      <c r="AJ50" s="16">
        <f t="shared" si="9"/>
        <v>0</v>
      </c>
      <c r="AK50" s="88">
        <f>IFERROR(__xludf.DUMMYFUNCTION("iferror($O50-min(filter($O50:$O$386,$E50:$E$386=$E$2)))"),1.0)</f>
        <v>1</v>
      </c>
      <c r="AL50" s="2" t="str">
        <f>IFERROR(__xludf.DUMMYFUNCTION("iferror(join("","",index(sort(filter($F51:$F$386,$O51:$O$386&gt;$O50,$E51:$E$386=$E$2),2,false),0,1)))"),"Virginia Tech,Miami,Pittsburgh,Georgia Tech,Boston College,NC State,Wake Forest,Duke,Syracuse")</f>
        <v>Virginia Tech,Miami,Pittsburgh,Georgia Tech,Boston College,NC State,Wake Forest,Duke,Syracuse</v>
      </c>
      <c r="AM50" s="2" t="str">
        <f>IFERROR(__xludf.DUMMYFUNCTION("REGEXREPLACE(join("","",unique({let(conf_picked,filter(E$1:E49,D$1:D49=D50), byrow(unique(TRANSPOSe(Teams!$1:$1)),lambda(rw,if(ISERROR(match(rw,conf_picked,0)),rw,))));iferror(if(#REF!,,transpose(split(#REF!,"","",1,1))))})), ""^,"", """")"),"ACC,Big 12,Big Ten,CUSA,MWC,Sun Belt")</f>
        <v>ACC,Big 12,Big Ten,CUSA,MWC,Sun Belt</v>
      </c>
      <c r="AN50" s="86">
        <f>IFERROR(__xludf.DUMMYFUNCTION("iferror($O50-max(filter($O50:$O$386,arrayformula(isnumber(FIND($E50:$E$386,AM50))))))"),-7.0)</f>
        <v>-7</v>
      </c>
      <c r="AO50" s="8">
        <f t="array" ref="AO50">countifs($O$2:$O49,"&lt;"&amp;$O50,isnumber(FIND($E$2:$E49,AM50)),TRUE)</f>
        <v>0</v>
      </c>
      <c r="AP50" s="8">
        <f>IFERROR(__xludf.DUMMYFUNCTION("iferror(COUNT(filter($O51:$O$386,$O51:$O$386&gt;$O50,arrayformula(isnumber(FIND($E51:$E$386,AM50))))))"),29.0)</f>
        <v>29</v>
      </c>
      <c r="AQ50" s="16">
        <f t="shared" si="10"/>
        <v>0</v>
      </c>
      <c r="AR50" s="88">
        <f>IFERROR(__xludf.DUMMYFUNCTION("iferror($O50-min(filter($O50:$O$386,arrayformula(isnumber(FIND($E50:$E$386,AM50))))))"),2.0)</f>
        <v>2</v>
      </c>
      <c r="AS50" s="89" t="str">
        <f>IFERROR(__xludf.DUMMYFUNCTION("iferror(join("","",index(sort(filter($F51:$F$386,$O51:$O$386&gt;$O50,arrayformula(isnumber(FIND($E51:$E$386,AM50)))),2,false),0,1)))"),"Nevada,Virginia Tech,Colorado State,New Mexico,Miami,Pittsburgh,Florida Intl,Northwestern,UTEP,San José State,UNLV,Idaho,Penn State,Minnesota,Georgia Tech,Boston College,NC State,Louisiana Monroe,Old Dominion,Wyoming,Wake Forest,Indiana,Maryland,Hawaii,No"&amp;"rth Texas,UTSA,Duke,Syracuse,Charlotte")</f>
        <v>Nevada,Virginia Tech,Colorado State,New Mexico,Miami,Pittsburgh,Florida Intl,Northwestern,UTEP,San José State,UNLV,Idaho,Penn State,Minnesota,Georgia Tech,Boston College,NC State,Louisiana Monroe,Old Dominion,Wyoming,Wake Forest,Indiana,Maryland,Hawaii,North Texas,UTSA,Duke,Syracuse,Charlotte</v>
      </c>
    </row>
    <row r="51">
      <c r="A51" s="151">
        <f t="shared" si="11"/>
        <v>50</v>
      </c>
      <c r="B51" s="151">
        <v>5.0</v>
      </c>
      <c r="C51" s="90">
        <v>10.0</v>
      </c>
      <c r="D51" s="101" t="str">
        <f t="shared" si="19"/>
        <v>Nick A.</v>
      </c>
      <c r="E51" s="184" t="str">
        <f>if(F51&lt;&gt;"",VLOOKUP(F51,'Teams-Conference, for lookup'!A:B,2,0),"")</f>
        <v>MAC</v>
      </c>
      <c r="F51" s="101" t="s">
        <v>433</v>
      </c>
      <c r="G51" s="157" t="str">
        <f t="shared" si="17"/>
        <v/>
      </c>
      <c r="H51" s="97">
        <f t="shared" si="2"/>
        <v>3</v>
      </c>
      <c r="I51" s="97">
        <f t="shared" si="3"/>
        <v>3</v>
      </c>
      <c r="J51" s="97">
        <f t="shared" si="12"/>
        <v>0</v>
      </c>
      <c r="K51" s="97">
        <f t="shared" si="20"/>
        <v>1</v>
      </c>
      <c r="L51" s="2"/>
      <c r="M51" s="97">
        <f>IFERROR(__xludf.DUMMYFUNCTION("counta(iferror(filter(L$2:L50,E$2:E50=E51,L$2:L50&lt;L51)))"),0.0)</f>
        <v>0</v>
      </c>
      <c r="N51" s="97">
        <f>IFERROR(__xludf.DUMMYFUNCTION("counta(iferror(filter(L52:L$124,E52:E$124=E51,L52:L$125&gt;L51)))"),0.0)</f>
        <v>0</v>
      </c>
      <c r="O51" s="83">
        <f t="array" ref="O51:X51">XLOOKUP(F51,'Current Week'!B:B,'Current Week'!C:O)</f>
        <v>8</v>
      </c>
      <c r="P51" s="97">
        <v>2.0</v>
      </c>
      <c r="Q51" s="2" t="s">
        <v>236</v>
      </c>
      <c r="R51" s="2" t="s">
        <v>106</v>
      </c>
      <c r="S51" s="2"/>
      <c r="T51" s="2" t="s">
        <v>418</v>
      </c>
      <c r="U51" s="8" t="s">
        <v>108</v>
      </c>
      <c r="V51" s="2"/>
      <c r="W51" s="8">
        <v>9999.0</v>
      </c>
      <c r="X51" s="2"/>
      <c r="Y51" s="2"/>
      <c r="Z51" s="2"/>
      <c r="AA51" s="86">
        <f t="shared" si="4"/>
        <v>-2</v>
      </c>
      <c r="AB51" s="8">
        <f t="shared" si="5"/>
        <v>17</v>
      </c>
      <c r="AC51" s="8">
        <f>IFERROR(__xludf.DUMMYFUNCTION("iferror(COUNT(filter($O52:$O$386,$O52:$O$386&gt;$O51)))"),5.0)</f>
        <v>5</v>
      </c>
      <c r="AD51" s="16">
        <f t="shared" si="6"/>
        <v>0</v>
      </c>
      <c r="AE51" s="88">
        <f t="shared" si="7"/>
        <v>5</v>
      </c>
      <c r="AF51" s="2" t="str">
        <f>IFERROR(__xludf.DUMMYFUNCTION("iferror(join("","",index(sort(filter($F52:$F$387,$O52:$O$387&gt;$O51),2,false),0,1)))"),"Virginia Tech,Tulsa,Penn State,Old Dominion,Colorado")</f>
        <v>Virginia Tech,Tulsa,Penn State,Old Dominion,Colorado</v>
      </c>
      <c r="AG51" s="86">
        <f>IFERROR(__xludf.DUMMYFUNCTION("iferror($O51-max(filter($O51:$O$386,$E51:$E$386=$E$2)))"),-1.0)</f>
        <v>-1</v>
      </c>
      <c r="AH51" s="8">
        <f t="shared" si="8"/>
        <v>0</v>
      </c>
      <c r="AI51" s="8">
        <f>IFERROR(__xludf.DUMMYFUNCTION("iferror(COUNT(filter($O52:$O$386,$O52:$O$386&gt;$O51,$E51:$E$386=$E$2)))"),0.0)</f>
        <v>0</v>
      </c>
      <c r="AJ51" s="16">
        <f t="shared" si="9"/>
        <v>0</v>
      </c>
      <c r="AK51" s="88">
        <f>IFERROR(__xludf.DUMMYFUNCTION("iferror($O51-min(filter($O51:$O$386,$E51:$E$386=$E$2)))"),6.0)</f>
        <v>6</v>
      </c>
      <c r="AL51" s="2" t="str">
        <f>IFERROR(__xludf.DUMMYFUNCTION("iferror(join("","",index(sort(filter($F52:$F$386,$O52:$O$386&gt;$O51,$E52:$E$386=$E$2),2,false),0,1)))"),"Virginia Tech")</f>
        <v>Virginia Tech</v>
      </c>
      <c r="AM51" s="2" t="str">
        <f>IFERROR(__xludf.DUMMYFUNCTION("REGEXREPLACE(join("","",unique({let(conf_picked,filter(E$1:E50,D$1:D50=D51), byrow(unique(TRANSPOSe(Teams!$1:$1)),lambda(rw,if(ISERROR(match(rw,conf_picked,0)),rw,))));iferror(if(#REF!,,transpose(split(#REF!,"","",1,1))))})), ""^,"", """")"),"AAC,ACC,,CUSA,MAC,MWC,SEC")</f>
        <v>AAC,ACC,,CUSA,MAC,MWC,SEC</v>
      </c>
      <c r="AN51" s="86">
        <f>IFERROR(__xludf.DUMMYFUNCTION("iferror($O51-max(filter($O51:$O$386,arrayformula(isnumber(FIND($E51:$E$386,AM51))))))"),-1.0)</f>
        <v>-1</v>
      </c>
      <c r="AO51" s="8">
        <f t="array" ref="AO51">countifs($O$2:$O50,"&lt;"&amp;$O51,isnumber(FIND($E$2:$E50,AM51)),TRUE)</f>
        <v>7</v>
      </c>
      <c r="AP51" s="8">
        <f>IFERROR(__xludf.DUMMYFUNCTION("iferror(COUNT(filter($O52:$O$386,$O52:$O$386&gt;$O51,arrayformula(isnumber(FIND($E52:$E$386,AM51))))))"),3.0)</f>
        <v>3</v>
      </c>
      <c r="AQ51" s="16">
        <f t="shared" si="10"/>
        <v>0</v>
      </c>
      <c r="AR51" s="88">
        <f>IFERROR(__xludf.DUMMYFUNCTION("iferror($O51-min(filter($O51:$O$386,arrayformula(isnumber(FIND($E51:$E$386,AM51))))))"),7.0)</f>
        <v>7</v>
      </c>
      <c r="AS51" s="89" t="str">
        <f>IFERROR(__xludf.DUMMYFUNCTION("iferror(join("","",index(sort(filter($F52:$F$386,$O52:$O$386&gt;$O51,arrayformula(isnumber(FIND($E52:$E$386,AM51)))),2,false),0,1)))"),"Virginia Tech,Tulsa,Old Dominion")</f>
        <v>Virginia Tech,Tulsa,Old Dominion</v>
      </c>
    </row>
    <row r="52">
      <c r="A52" s="13">
        <f t="shared" si="11"/>
        <v>51</v>
      </c>
      <c r="B52" s="13">
        <v>6.0</v>
      </c>
      <c r="C52" s="90">
        <v>1.0</v>
      </c>
      <c r="D52" s="76" t="str">
        <f>D51</f>
        <v>Nick A.</v>
      </c>
      <c r="E52" s="179" t="str">
        <f>if(F52&lt;&gt;"",VLOOKUP(F52,'Teams-Conference, for lookup'!A:B,2,0),"")</f>
        <v>MWC</v>
      </c>
      <c r="F52" s="13" t="s">
        <v>439</v>
      </c>
      <c r="G52" t="str">
        <f t="shared" si="17"/>
        <v/>
      </c>
      <c r="H52" s="97">
        <f t="shared" si="2"/>
        <v>2</v>
      </c>
      <c r="I52" s="97">
        <f t="shared" si="3"/>
        <v>3</v>
      </c>
      <c r="J52" s="97">
        <f t="shared" si="12"/>
        <v>1</v>
      </c>
      <c r="K52" s="97">
        <f>countif(E33:E52,E54)</f>
        <v>2</v>
      </c>
      <c r="L52" s="2"/>
      <c r="M52" s="97">
        <f>IFERROR(__xludf.DUMMYFUNCTION("counta(iferror(filter(L$2:L51,E$2:E51=E52,L$2:L51&lt;L52)))"),0.0)</f>
        <v>0</v>
      </c>
      <c r="N52" s="97">
        <f>IFERROR(__xludf.DUMMYFUNCTION("counta(iferror(filter(L53:L$124,E53:E$124=E52,L53:L$125&gt;L52)))"),0.0)</f>
        <v>0</v>
      </c>
      <c r="O52" s="83">
        <f t="array" ref="O52:X52">XLOOKUP(F52,'Current Week'!B:B,'Current Week'!C:O)</f>
        <v>5</v>
      </c>
      <c r="P52" s="97">
        <v>5.0</v>
      </c>
      <c r="Q52" s="2" t="s">
        <v>440</v>
      </c>
      <c r="R52" s="2" t="s">
        <v>106</v>
      </c>
      <c r="S52" s="2"/>
      <c r="T52" s="2" t="s">
        <v>115</v>
      </c>
      <c r="U52" s="8" t="s">
        <v>115</v>
      </c>
      <c r="V52" s="2"/>
      <c r="W52" s="8">
        <v>9999.0</v>
      </c>
      <c r="X52" s="2"/>
      <c r="Y52" s="2"/>
      <c r="Z52" s="2"/>
      <c r="AA52" s="86">
        <f t="shared" si="4"/>
        <v>-5</v>
      </c>
      <c r="AB52" s="8">
        <f t="shared" si="5"/>
        <v>6</v>
      </c>
      <c r="AC52" s="8">
        <f>IFERROR(__xludf.DUMMYFUNCTION("iferror(COUNT(filter($O53:$O$386,$O53:$O$386&gt;$O52)))"),34.0)</f>
        <v>34</v>
      </c>
      <c r="AD52" s="16">
        <f t="shared" si="6"/>
        <v>0</v>
      </c>
      <c r="AE52" s="88">
        <f t="shared" si="7"/>
        <v>2</v>
      </c>
      <c r="AF52" s="2" t="str">
        <f>IFERROR(__xludf.DUMMYFUNCTION("iferror(join("","",index(sort(filter($F53:$F$387,$O53:$O$387&gt;$O52),2,false),0,1)))"),"Virginia Tech,Washington State,Memphis,Utah,Central Michigan,Colorado State,New Mexico,Florida,Miami,Tulsa,Pittsburgh,Northwestern,Arkansas,Idaho,Penn State,Minnesota,Georgia Tech,Boston College,Texas A&amp;M,UCF,NC State,Old Dominion,Auburn,Colorado,Wyoming,"&amp;"Eastern Michigan,Kentucky,Wake Forest,Indiana,Maryland,Miami-OH,South Carolina,Vanderbilt,Hawaii")</f>
        <v>Virginia Tech,Washington State,Memphis,Utah,Central Michigan,Colorado State,New Mexico,Florida,Miami,Tulsa,Pittsburgh,Northwestern,Arkansas,Idaho,Penn State,Minnesota,Georgia Tech,Boston College,Texas A&amp;M,UCF,NC State,Old Dominion,Auburn,Colorado,Wyoming,Eastern Michigan,Kentucky,Wake Forest,Indiana,Maryland,Miami-OH,South Carolina,Vanderbilt,Hawaii</v>
      </c>
      <c r="AG52" s="86">
        <f>IFERROR(__xludf.DUMMYFUNCTION("iferror($O52-max(filter($O52:$O$386,$E52:$E$386=$E$2)))"),-4.0)</f>
        <v>-4</v>
      </c>
      <c r="AH52" s="8">
        <f t="shared" si="8"/>
        <v>0</v>
      </c>
      <c r="AI52" s="8">
        <f>IFERROR(__xludf.DUMMYFUNCTION("iferror(COUNT(filter($O53:$O$386,$O53:$O$386&gt;$O52,$E52:$E$386=$E$2)))"),0.0)</f>
        <v>0</v>
      </c>
      <c r="AJ52" s="16">
        <f t="shared" si="9"/>
        <v>0</v>
      </c>
      <c r="AK52" s="88">
        <f>IFERROR(__xludf.DUMMYFUNCTION("iferror($O52-min(filter($O52:$O$386,$E52:$E$386=$E$2)))"),3.0)</f>
        <v>3</v>
      </c>
      <c r="AL52" s="2" t="str">
        <f>IFERROR(__xludf.DUMMYFUNCTION("iferror(join("","",index(sort(filter($F53:$F$386,$O53:$O$386&gt;$O52,$E53:$E$386=$E$2),2,false),0,1)))"),"Virginia Tech,Miami,Pittsburgh,Georgia Tech,Boston College,NC State,Wake Forest")</f>
        <v>Virginia Tech,Miami,Pittsburgh,Georgia Tech,Boston College,NC State,Wake Forest</v>
      </c>
      <c r="AM52" s="2" t="str">
        <f>IFERROR(__xludf.DUMMYFUNCTION("REGEXREPLACE(join("","",unique({let(conf_picked,filter(E$1:E51,D$1:D51=D52), byrow(unique(TRANSPOSe(Teams!$1:$1)),lambda(rw,if(ISERROR(match(rw,conf_picked,0)),rw,))));iferror(if(#REF!,,transpose(split(#REF!,"","",1,1))))})), ""^,"", """")"),"AAC,ACC,,CUSA,MWC,SEC")</f>
        <v>AAC,ACC,,CUSA,MWC,SEC</v>
      </c>
      <c r="AN52" s="86">
        <f>IFERROR(__xludf.DUMMYFUNCTION("iferror($O52-max(filter($O52:$O$386,arrayformula(isnumber(FIND($E52:$E$386,AM52))))))"),-4.0)</f>
        <v>-4</v>
      </c>
      <c r="AO52" s="8">
        <f t="array" ref="AO52">countifs($O$2:$O51,"&lt;"&amp;$O52,isnumber(FIND($E$2:$E51,AM52)),TRUE)</f>
        <v>3</v>
      </c>
      <c r="AP52" s="8">
        <f>IFERROR(__xludf.DUMMYFUNCTION("iferror(COUNT(filter($O53:$O$386,$O53:$O$386&gt;$O52,arrayformula(isnumber(FIND($E53:$E$386,AM52))))))"),22.0)</f>
        <v>22</v>
      </c>
      <c r="AQ52" s="16">
        <f t="shared" si="10"/>
        <v>0</v>
      </c>
      <c r="AR52" s="88">
        <f>IFERROR(__xludf.DUMMYFUNCTION("iferror($O52-min(filter($O52:$O$386,arrayformula(isnumber(FIND($E52:$E$386,AM52))))))"),4.0)</f>
        <v>4</v>
      </c>
      <c r="AS52" s="89" t="str">
        <f>IFERROR(__xludf.DUMMYFUNCTION("iferror(join("","",index(sort(filter($F53:$F$386,$O53:$O$386&gt;$O52,arrayformula(isnumber(FIND($E53:$E$386,AM52)))),2,false),0,1)))"),"Virginia Tech,Memphis,Colorado State,New Mexico,Florida,Miami,Tulsa,Pittsburgh,Arkansas,Georgia Tech,Boston College,Texas A&amp;M,UCF,NC State,Old Dominion,Auburn,Wyoming,Kentucky,Wake Forest,South Carolina,Vanderbilt,Hawaii")</f>
        <v>Virginia Tech,Memphis,Colorado State,New Mexico,Florida,Miami,Tulsa,Pittsburgh,Arkansas,Georgia Tech,Boston College,Texas A&amp;M,UCF,NC State,Old Dominion,Auburn,Wyoming,Kentucky,Wake Forest,South Carolina,Vanderbilt,Hawaii</v>
      </c>
    </row>
    <row r="53">
      <c r="A53" s="13">
        <f t="shared" si="11"/>
        <v>52</v>
      </c>
      <c r="B53" s="13">
        <v>6.0</v>
      </c>
      <c r="C53" s="90">
        <v>2.0</v>
      </c>
      <c r="D53" s="13" t="str">
        <f>D50</f>
        <v>Frank</v>
      </c>
      <c r="E53" s="179" t="str">
        <f>if(F53&lt;&gt;"",VLOOKUP(F53,'Teams-Conference, for lookup'!A:B,2,0),"")</f>
        <v>ACC</v>
      </c>
      <c r="F53" s="13" t="s">
        <v>426</v>
      </c>
      <c r="G53" t="str">
        <f t="shared" si="17"/>
        <v/>
      </c>
      <c r="H53" s="97">
        <f t="shared" si="2"/>
        <v>1</v>
      </c>
      <c r="I53" s="97">
        <f t="shared" si="3"/>
        <v>2</v>
      </c>
      <c r="J53" s="97">
        <f t="shared" si="12"/>
        <v>0</v>
      </c>
      <c r="K53" s="2"/>
      <c r="L53" s="2"/>
      <c r="M53" s="97">
        <f>IFERROR(__xludf.DUMMYFUNCTION("counta(iferror(filter(L$2:L52,E$2:E52=E53,L$2:L52&lt;L53)))"),0.0)</f>
        <v>0</v>
      </c>
      <c r="N53" s="97">
        <f>IFERROR(__xludf.DUMMYFUNCTION("counta(iferror(filter(L54:L$124,E54:E$124=E53,L54:L$125&gt;L53)))"),0.0)</f>
        <v>0</v>
      </c>
      <c r="O53" s="83">
        <f t="array" ref="O53:X53">XLOOKUP(F53,'Current Week'!B:B,'Current Week'!C:O)</f>
        <v>9</v>
      </c>
      <c r="P53" s="83">
        <v>3.0</v>
      </c>
      <c r="Q53" s="2" t="s">
        <v>187</v>
      </c>
      <c r="R53" s="2" t="s">
        <v>106</v>
      </c>
      <c r="S53" s="2"/>
      <c r="T53" s="2" t="s">
        <v>162</v>
      </c>
      <c r="U53" s="8" t="s">
        <v>108</v>
      </c>
      <c r="V53" s="2"/>
      <c r="W53" s="8">
        <v>9999.0</v>
      </c>
      <c r="X53" s="2"/>
      <c r="Y53" s="2"/>
      <c r="Z53" s="2"/>
      <c r="AA53" s="86">
        <f t="shared" si="4"/>
        <v>-1</v>
      </c>
      <c r="AB53" s="8">
        <f t="shared" si="5"/>
        <v>25</v>
      </c>
      <c r="AC53" s="8">
        <f>IFERROR(__xludf.DUMMYFUNCTION("iferror(COUNT(filter($O54:$O$386,$O54:$O$386&gt;$O53)))"),2.0)</f>
        <v>2</v>
      </c>
      <c r="AD53" s="16">
        <f t="shared" si="6"/>
        <v>0</v>
      </c>
      <c r="AE53" s="88">
        <f t="shared" si="7"/>
        <v>6</v>
      </c>
      <c r="AF53" s="2" t="str">
        <f>IFERROR(__xludf.DUMMYFUNCTION("iferror(join("","",index(sort(filter($F54:$F$387,$O54:$O$387&gt;$O53),2,false),0,1)))"),"Penn State,Colorado")</f>
        <v>Penn State,Colorado</v>
      </c>
      <c r="AG53" s="86">
        <f>IFERROR(__xludf.DUMMYFUNCTION("iferror($O53-max(filter($O53:$O$386,$E53:$E$386=$E$2)))"),0.0)</f>
        <v>0</v>
      </c>
      <c r="AH53" s="8">
        <f t="shared" si="8"/>
        <v>1</v>
      </c>
      <c r="AI53" s="8">
        <f>IFERROR(__xludf.DUMMYFUNCTION("iferror(COUNT(filter($O54:$O$386,$O54:$O$386&gt;$O53,$E53:$E$386=$E$2)))"),0.0)</f>
        <v>0</v>
      </c>
      <c r="AJ53" s="16">
        <f t="shared" si="9"/>
        <v>1</v>
      </c>
      <c r="AK53" s="88">
        <f>IFERROR(__xludf.DUMMYFUNCTION("iferror($O53-min(filter($O53:$O$386,$E53:$E$386=$E$2)))"),7.0)</f>
        <v>7</v>
      </c>
      <c r="AL53" s="2" t="str">
        <f>IFERROR(__xludf.DUMMYFUNCTION("iferror(join("","",index(sort(filter($F54:$F$386,$O54:$O$386&gt;$O53,$E54:$E$386=$E$2),2,false),0,1)))"),"")</f>
        <v/>
      </c>
      <c r="AM53" s="2" t="str">
        <f>IFERROR(__xludf.DUMMYFUNCTION("REGEXREPLACE(join("","",unique({let(conf_picked,filter(E$1:E52,D$1:D52=D53), byrow(unique(TRANSPOSe(Teams!$1:$1)),lambda(rw,if(ISERROR(match(rw,conf_picked,0)),rw,))));iferror(if(#REF!,,transpose(split(#REF!,"","",1,1))))})), ""^,"", """")"),"ACC,Big 12,Big Ten,CUSA,Sun Belt")</f>
        <v>ACC,Big 12,Big Ten,CUSA,Sun Belt</v>
      </c>
      <c r="AN53" s="86">
        <f>IFERROR(__xludf.DUMMYFUNCTION("iferror($O53-max(filter($O53:$O$386,arrayformula(isnumber(FIND($E53:$E$386,AM53))))))"),-1.0)</f>
        <v>-1</v>
      </c>
      <c r="AO53" s="8">
        <f t="array" ref="AO53">countifs($O$2:$O52,"&lt;"&amp;$O53,isnumber(FIND($E$2:$E52,AM53)),TRUE)</f>
        <v>15</v>
      </c>
      <c r="AP53" s="8">
        <f>IFERROR(__xludf.DUMMYFUNCTION("iferror(COUNT(filter($O54:$O$386,$O54:$O$386&gt;$O53,arrayformula(isnumber(FIND($E54:$E$386,AM53))))))"),1.0)</f>
        <v>1</v>
      </c>
      <c r="AQ53" s="16">
        <f t="shared" si="10"/>
        <v>0</v>
      </c>
      <c r="AR53" s="88">
        <f>IFERROR(__xludf.DUMMYFUNCTION("iferror($O53-min(filter($O53:$O$386,arrayformula(isnumber(FIND($E53:$E$386,AM53))))))"),7.0)</f>
        <v>7</v>
      </c>
      <c r="AS53" s="89" t="str">
        <f>IFERROR(__xludf.DUMMYFUNCTION("iferror(join("","",index(sort(filter($F54:$F$386,$O54:$O$386&gt;$O53,arrayformula(isnumber(FIND($E54:$E$386,AM53)))),2,false),0,1)))"),"Penn State")</f>
        <v>Penn State</v>
      </c>
    </row>
    <row r="54">
      <c r="A54" s="13">
        <f t="shared" si="11"/>
        <v>53</v>
      </c>
      <c r="B54" s="13">
        <v>6.0</v>
      </c>
      <c r="C54" s="90">
        <v>3.0</v>
      </c>
      <c r="D54" s="13" t="str">
        <f>D49</f>
        <v>Justin</v>
      </c>
      <c r="E54" s="179" t="str">
        <f>if(F54&lt;&gt;"",VLOOKUP(F54,'Teams-Conference, for lookup'!A:B,2,0),"")</f>
        <v>Pac12</v>
      </c>
      <c r="F54" s="13" t="s">
        <v>416</v>
      </c>
      <c r="G54" t="str">
        <f t="shared" si="17"/>
        <v/>
      </c>
      <c r="H54" s="97">
        <f t="shared" si="2"/>
        <v>1</v>
      </c>
      <c r="I54" s="97">
        <f t="shared" si="3"/>
        <v>1</v>
      </c>
      <c r="J54" s="97">
        <f t="shared" si="12"/>
        <v>1</v>
      </c>
      <c r="K54" s="97">
        <f>countif(E34:E54,E55)</f>
        <v>3</v>
      </c>
      <c r="L54" s="2"/>
      <c r="M54" s="97">
        <f>IFERROR(__xludf.DUMMYFUNCTION("counta(iferror(filter(L$2:L53,E$2:E53=E54,L$2:L53&lt;L54)))"),0.0)</f>
        <v>0</v>
      </c>
      <c r="N54" s="97">
        <f>IFERROR(__xludf.DUMMYFUNCTION("counta(iferror(filter(L55:L$124,E55:E$124=E54,L55:L$125&gt;L54)))"),0.0)</f>
        <v>0</v>
      </c>
      <c r="O54" s="83">
        <f t="array" ref="O54:X54">XLOOKUP(F54,'Current Week'!B:B,'Current Week'!C:O)</f>
        <v>8</v>
      </c>
      <c r="P54" s="97">
        <v>2.0</v>
      </c>
      <c r="Q54" s="2" t="s">
        <v>178</v>
      </c>
      <c r="R54" s="84" t="s">
        <v>106</v>
      </c>
      <c r="S54" s="2"/>
      <c r="T54" s="2" t="s">
        <v>417</v>
      </c>
      <c r="U54" s="8" t="s">
        <v>108</v>
      </c>
      <c r="V54" s="2"/>
      <c r="W54" s="8">
        <v>9999.0</v>
      </c>
      <c r="X54" s="2"/>
      <c r="Y54" s="2"/>
      <c r="Z54" s="2"/>
      <c r="AA54" s="86">
        <f t="shared" si="4"/>
        <v>-2</v>
      </c>
      <c r="AB54" s="8">
        <f t="shared" si="5"/>
        <v>18</v>
      </c>
      <c r="AC54" s="8">
        <f>IFERROR(__xludf.DUMMYFUNCTION("iferror(COUNT(filter($O55:$O$386,$O55:$O$386&gt;$O54)))"),4.0)</f>
        <v>4</v>
      </c>
      <c r="AD54" s="16">
        <f t="shared" si="6"/>
        <v>0</v>
      </c>
      <c r="AE54" s="88">
        <f t="shared" si="7"/>
        <v>5</v>
      </c>
      <c r="AF54" s="2" t="str">
        <f>IFERROR(__xludf.DUMMYFUNCTION("iferror(join("","",index(sort(filter($F55:$F$387,$O55:$O$387&gt;$O54),2,false),0,1)))"),"Tulsa,Penn State,Old Dominion,Colorado")</f>
        <v>Tulsa,Penn State,Old Dominion,Colorado</v>
      </c>
      <c r="AG54" s="86">
        <f>IFERROR(__xludf.DUMMYFUNCTION("iferror($O54-max(filter($O54:$O$386,$E54:$E$386=$E$2)))"),0.0)</f>
        <v>0</v>
      </c>
      <c r="AH54" s="8">
        <f t="shared" si="8"/>
        <v>0</v>
      </c>
      <c r="AI54" s="8">
        <f>IFERROR(__xludf.DUMMYFUNCTION("iferror(COUNT(filter($O55:$O$386,$O55:$O$386&gt;$O54,$E54:$E$386=$E$2)))"),0.0)</f>
        <v>0</v>
      </c>
      <c r="AJ54" s="16">
        <f t="shared" si="9"/>
        <v>1</v>
      </c>
      <c r="AK54" s="88">
        <f>IFERROR(__xludf.DUMMYFUNCTION("iferror($O54-min(filter($O54:$O$386,$E54:$E$386=$E$2)))"),6.0)</f>
        <v>6</v>
      </c>
      <c r="AL54" s="2" t="str">
        <f>IFERROR(__xludf.DUMMYFUNCTION("iferror(join("","",index(sort(filter($F55:$F$386,$O55:$O$386&gt;$O54,$E55:$E$386=$E$2),2,false),0,1)))"),"")</f>
        <v/>
      </c>
      <c r="AM54" s="2" t="str">
        <f>IFERROR(__xludf.DUMMYFUNCTION("REGEXREPLACE(join("","",unique({let(conf_picked,filter(E$1:E53,D$1:D53=D54), byrow(unique(TRANSPOSe(Teams!$1:$1)),lambda(rw,if(ISERROR(match(rw,conf_picked,0)),rw,))));iferror(if(#REF!,,transpose(split(#REF!,"","",1,1))))})), ""^,"", """")"),"AAC,,MAC,MWC,Pac12,SEC")</f>
        <v>AAC,,MAC,MWC,Pac12,SEC</v>
      </c>
      <c r="AN54" s="86">
        <f>IFERROR(__xludf.DUMMYFUNCTION("iferror($O54-max(filter($O54:$O$386,arrayformula(isnumber(FIND($E54:$E$386,AM54))))))"),-2.0)</f>
        <v>-2</v>
      </c>
      <c r="AO54" s="8">
        <f t="array" ref="AO54">countifs($O$2:$O53,"&lt;"&amp;$O54,isnumber(FIND($E$2:$E53,AM54)),TRUE)</f>
        <v>8</v>
      </c>
      <c r="AP54" s="8">
        <f>IFERROR(__xludf.DUMMYFUNCTION("iferror(COUNT(filter($O55:$O$386,$O55:$O$386&gt;$O54,arrayformula(isnumber(FIND($E55:$E$386,AM54))))))"),2.0)</f>
        <v>2</v>
      </c>
      <c r="AQ54" s="16">
        <f t="shared" si="10"/>
        <v>0</v>
      </c>
      <c r="AR54" s="88">
        <f>IFERROR(__xludf.DUMMYFUNCTION("iferror($O54-min(filter($O54:$O$386,arrayformula(isnumber(FIND($E54:$E$386,AM54))))))"),7.0)</f>
        <v>7</v>
      </c>
      <c r="AS54" s="89" t="str">
        <f>IFERROR(__xludf.DUMMYFUNCTION("iferror(join("","",index(sort(filter($F55:$F$386,$O55:$O$386&gt;$O54,arrayformula(isnumber(FIND($E55:$E$386,AM54)))),2,false),0,1)))"),"Tulsa,Colorado")</f>
        <v>Tulsa,Colorado</v>
      </c>
    </row>
    <row r="55">
      <c r="A55" s="13">
        <f t="shared" si="11"/>
        <v>54</v>
      </c>
      <c r="B55" s="13">
        <v>6.0</v>
      </c>
      <c r="C55" s="90">
        <v>4.0</v>
      </c>
      <c r="D55" s="13" t="str">
        <f>D48</f>
        <v>Josh T.</v>
      </c>
      <c r="E55" s="179" t="str">
        <f>if(F55&lt;&gt;"",VLOOKUP(F55,'Teams-Conference, for lookup'!A:B,2,0),"")</f>
        <v>AAC</v>
      </c>
      <c r="F55" s="13" t="s">
        <v>378</v>
      </c>
      <c r="G55" t="str">
        <f t="shared" si="17"/>
        <v/>
      </c>
      <c r="H55" s="97">
        <f t="shared" si="2"/>
        <v>1</v>
      </c>
      <c r="I55" s="97">
        <f t="shared" si="3"/>
        <v>1</v>
      </c>
      <c r="J55" s="97">
        <f t="shared" si="12"/>
        <v>1</v>
      </c>
      <c r="K55" s="97">
        <f>countif(E36:E55,E56)</f>
        <v>3</v>
      </c>
      <c r="L55" s="2"/>
      <c r="M55" s="97">
        <f>IFERROR(__xludf.DUMMYFUNCTION("counta(iferror(filter(L$2:L54,E$2:E54=E55,L$2:L54&lt;L55)))"),0.0)</f>
        <v>0</v>
      </c>
      <c r="N55" s="97">
        <f>IFERROR(__xludf.DUMMYFUNCTION("counta(iferror(filter(L56:L$124,E56:E$124=E55,L56:L$125&gt;L55)))"),0.0)</f>
        <v>0</v>
      </c>
      <c r="O55" s="83">
        <f t="array" ref="O55:X55">XLOOKUP(F55,'Current Week'!B:B,'Current Week'!C:O)</f>
        <v>8</v>
      </c>
      <c r="P55" s="97">
        <v>3.0</v>
      </c>
      <c r="Q55" s="2" t="s">
        <v>114</v>
      </c>
      <c r="R55" s="2" t="s">
        <v>106</v>
      </c>
      <c r="S55" s="2"/>
      <c r="T55" s="2">
        <v>4.0</v>
      </c>
      <c r="U55" s="8" t="s">
        <v>108</v>
      </c>
      <c r="V55" s="2"/>
      <c r="W55" s="8">
        <v>9999.0</v>
      </c>
      <c r="X55" s="2"/>
      <c r="Y55" s="2"/>
      <c r="Z55" s="2"/>
      <c r="AA55" s="86">
        <f t="shared" si="4"/>
        <v>-2</v>
      </c>
      <c r="AB55" s="8">
        <f t="shared" si="5"/>
        <v>18</v>
      </c>
      <c r="AC55" s="8">
        <f>IFERROR(__xludf.DUMMYFUNCTION("iferror(COUNT(filter($O56:$O$386,$O56:$O$386&gt;$O55)))"),4.0)</f>
        <v>4</v>
      </c>
      <c r="AD55" s="16">
        <f t="shared" si="6"/>
        <v>0</v>
      </c>
      <c r="AE55" s="88">
        <f t="shared" si="7"/>
        <v>5</v>
      </c>
      <c r="AF55" s="2" t="str">
        <f>IFERROR(__xludf.DUMMYFUNCTION("iferror(join("","",index(sort(filter($F56:$F$387,$O56:$O$387&gt;$O55),2,false),0,1)))"),"Tulsa,Penn State,Old Dominion,Colorado")</f>
        <v>Tulsa,Penn State,Old Dominion,Colorado</v>
      </c>
      <c r="AG55" s="86">
        <f>IFERROR(__xludf.DUMMYFUNCTION("iferror($O55-max(filter($O55:$O$386,$E55:$E$386=$E$2)))"),0.0)</f>
        <v>0</v>
      </c>
      <c r="AH55" s="8">
        <f t="shared" si="8"/>
        <v>0</v>
      </c>
      <c r="AI55" s="8">
        <f>IFERROR(__xludf.DUMMYFUNCTION("iferror(COUNT(filter($O56:$O$386,$O56:$O$386&gt;$O55,$E55:$E$386=$E$2)))"),0.0)</f>
        <v>0</v>
      </c>
      <c r="AJ55" s="16">
        <f t="shared" si="9"/>
        <v>1</v>
      </c>
      <c r="AK55" s="88">
        <f>IFERROR(__xludf.DUMMYFUNCTION("iferror($O55-min(filter($O55:$O$386,$E55:$E$386=$E$2)))"),6.0)</f>
        <v>6</v>
      </c>
      <c r="AL55" s="2" t="str">
        <f>IFERROR(__xludf.DUMMYFUNCTION("iferror(join("","",index(sort(filter($F56:$F$386,$O56:$O$386&gt;$O55,$E56:$E$386=$E$2),2,false),0,1)))"),"")</f>
        <v/>
      </c>
      <c r="AM55" s="2" t="str">
        <f>IFERROR(__xludf.DUMMYFUNCTION("REGEXREPLACE(join("","",unique({let(conf_picked,filter(E$1:E54,D$1:D54=D55), byrow(unique(TRANSPOSe(Teams!$1:$1)),lambda(rw,if(ISERROR(match(rw,conf_picked,0)),rw,))));iferror(if(#REF!,,transpose(split(#REF!,"","",1,1))))})), ""^,"", """")"),"AAC,,Big Ten,CUSA,MWC,Sun Belt")</f>
        <v>AAC,,Big Ten,CUSA,MWC,Sun Belt</v>
      </c>
      <c r="AN55" s="86">
        <f>IFERROR(__xludf.DUMMYFUNCTION("iferror($O55-max(filter($O55:$O$386,arrayformula(isnumber(FIND($E55:$E$386,AM55))))))"),-2.0)</f>
        <v>-2</v>
      </c>
      <c r="AO55" s="8">
        <f t="array" ref="AO55">countifs($O$2:$O54,"&lt;"&amp;$O55,isnumber(FIND($E$2:$E54,AM55)),TRUE)</f>
        <v>9</v>
      </c>
      <c r="AP55" s="8">
        <f>IFERROR(__xludf.DUMMYFUNCTION("iferror(COUNT(filter($O56:$O$386,$O56:$O$386&gt;$O55,arrayformula(isnumber(FIND($E56:$E$386,AM55))))))"),3.0)</f>
        <v>3</v>
      </c>
      <c r="AQ55" s="16">
        <f t="shared" si="10"/>
        <v>0</v>
      </c>
      <c r="AR55" s="88">
        <f>IFERROR(__xludf.DUMMYFUNCTION("iferror($O55-min(filter($O55:$O$386,arrayformula(isnumber(FIND($E55:$E$386,AM55))))))"),7.0)</f>
        <v>7</v>
      </c>
      <c r="AS55" s="89" t="str">
        <f>IFERROR(__xludf.DUMMYFUNCTION("iferror(join("","",index(sort(filter($F56:$F$386,$O56:$O$386&gt;$O55,arrayformula(isnumber(FIND($E56:$E$386,AM55)))),2,false),0,1)))"),"Tulsa,Penn State,Old Dominion")</f>
        <v>Tulsa,Penn State,Old Dominion</v>
      </c>
    </row>
    <row r="56">
      <c r="A56" s="13">
        <f t="shared" si="11"/>
        <v>55</v>
      </c>
      <c r="B56" s="13">
        <v>6.0</v>
      </c>
      <c r="C56" s="90">
        <v>5.0</v>
      </c>
      <c r="D56" s="13" t="str">
        <f>D47</f>
        <v>Vu</v>
      </c>
      <c r="E56" s="179" t="str">
        <f>if(F56&lt;&gt;"",VLOOKUP(F56,'Teams-Conference, for lookup'!A:B,2,0),"")</f>
        <v>Pac12</v>
      </c>
      <c r="F56" s="98" t="s">
        <v>395</v>
      </c>
      <c r="G56" t="str">
        <f t="shared" si="17"/>
        <v/>
      </c>
      <c r="H56" s="97">
        <f t="shared" si="2"/>
        <v>0</v>
      </c>
      <c r="I56" s="97">
        <f t="shared" si="3"/>
        <v>0</v>
      </c>
      <c r="J56" s="97">
        <f t="shared" si="12"/>
        <v>2</v>
      </c>
      <c r="K56" s="97">
        <f>countif(E35:E56,E57)</f>
        <v>2</v>
      </c>
      <c r="L56" s="2"/>
      <c r="M56" s="97">
        <f>IFERROR(__xludf.DUMMYFUNCTION("counta(iferror(filter(L$2:L55,E$2:E55=E56,L$2:L55&lt;L56)))"),0.0)</f>
        <v>0</v>
      </c>
      <c r="N56" s="97">
        <f>IFERROR(__xludf.DUMMYFUNCTION("counta(iferror(filter(L57:L$124,E57:E$124=E56,L57:L$125&gt;L56)))"),0.0)</f>
        <v>0</v>
      </c>
      <c r="O56" s="83">
        <f t="array" ref="O56:X56">XLOOKUP(F56,'Current Week'!B:B,'Current Week'!C:O)</f>
        <v>8</v>
      </c>
      <c r="P56" s="83">
        <v>4.0</v>
      </c>
      <c r="Q56" s="2" t="s">
        <v>396</v>
      </c>
      <c r="R56" s="2" t="s">
        <v>106</v>
      </c>
      <c r="S56" s="2"/>
      <c r="T56" s="2">
        <v>-8.0</v>
      </c>
      <c r="U56" s="8" t="s">
        <v>108</v>
      </c>
      <c r="V56" s="2"/>
      <c r="W56" s="8">
        <v>9999.0</v>
      </c>
      <c r="X56" s="2"/>
      <c r="Y56" s="2"/>
      <c r="Z56" s="2"/>
      <c r="AA56" s="86">
        <f t="shared" si="4"/>
        <v>-2</v>
      </c>
      <c r="AB56" s="8">
        <f t="shared" si="5"/>
        <v>18</v>
      </c>
      <c r="AC56" s="8">
        <f>IFERROR(__xludf.DUMMYFUNCTION("iferror(COUNT(filter($O57:$O$386,$O57:$O$386&gt;$O56)))"),4.0)</f>
        <v>4</v>
      </c>
      <c r="AD56" s="16">
        <f t="shared" si="6"/>
        <v>0</v>
      </c>
      <c r="AE56" s="88">
        <f t="shared" si="7"/>
        <v>5</v>
      </c>
      <c r="AF56" s="2" t="str">
        <f>IFERROR(__xludf.DUMMYFUNCTION("iferror(join("","",index(sort(filter($F57:$F$387,$O57:$O$387&gt;$O56),2,false),0,1)))"),"Tulsa,Penn State,Old Dominion,Colorado")</f>
        <v>Tulsa,Penn State,Old Dominion,Colorado</v>
      </c>
      <c r="AG56" s="86">
        <f>IFERROR(__xludf.DUMMYFUNCTION("iferror($O56-max(filter($O56:$O$386,$E56:$E$386=$E$2)))"),0.0)</f>
        <v>0</v>
      </c>
      <c r="AH56" s="8">
        <f t="shared" si="8"/>
        <v>0</v>
      </c>
      <c r="AI56" s="8">
        <f>IFERROR(__xludf.DUMMYFUNCTION("iferror(COUNT(filter($O57:$O$386,$O57:$O$386&gt;$O56,$E56:$E$386=$E$2)))"),0.0)</f>
        <v>0</v>
      </c>
      <c r="AJ56" s="16">
        <f t="shared" si="9"/>
        <v>1</v>
      </c>
      <c r="AK56" s="88">
        <f>IFERROR(__xludf.DUMMYFUNCTION("iferror($O56-min(filter($O56:$O$386,$E56:$E$386=$E$2)))"),6.0)</f>
        <v>6</v>
      </c>
      <c r="AL56" s="2" t="str">
        <f>IFERROR(__xludf.DUMMYFUNCTION("iferror(join("","",index(sort(filter($F57:$F$386,$O57:$O$386&gt;$O56,$E57:$E$386=$E$2),2,false),0,1)))"),"")</f>
        <v/>
      </c>
      <c r="AM56" s="2" t="str">
        <f>IFERROR(__xludf.DUMMYFUNCTION("REGEXREPLACE(join("","",unique({let(conf_picked,filter(E$1:E55,D$1:D55=D56), byrow(unique(TRANSPOSe(Teams!$1:$1)),lambda(rw,if(ISERROR(match(rw,conf_picked,0)),rw,))));iferror(if(#REF!,,transpose(split(#REF!,"","",1,1))))})), ""^,"", """")"),"CUSA,MAC,Pac12,SEC,Sun Belt")</f>
        <v>CUSA,MAC,Pac12,SEC,Sun Belt</v>
      </c>
      <c r="AN56" s="86">
        <f>IFERROR(__xludf.DUMMYFUNCTION("iferror($O56-max(filter($O56:$O$386,arrayformula(isnumber(FIND($E56:$E$386,AM56))))))"),-2.0)</f>
        <v>-2</v>
      </c>
      <c r="AO56" s="8">
        <f t="array" ref="AO56">countifs($O$2:$O55,"&lt;"&amp;$O56,isnumber(FIND($E$2:$E55,AM56)),TRUE)</f>
        <v>10</v>
      </c>
      <c r="AP56" s="8">
        <f>IFERROR(__xludf.DUMMYFUNCTION("iferror(COUNT(filter($O57:$O$386,$O57:$O$386&gt;$O56,arrayformula(isnumber(FIND($E57:$E$386,AM56))))))"),2.0)</f>
        <v>2</v>
      </c>
      <c r="AQ56" s="16">
        <f t="shared" si="10"/>
        <v>0</v>
      </c>
      <c r="AR56" s="88">
        <f>IFERROR(__xludf.DUMMYFUNCTION("iferror($O56-min(filter($O56:$O$386,arrayformula(isnumber(FIND($E56:$E$386,AM56))))))"),6.0)</f>
        <v>6</v>
      </c>
      <c r="AS56" s="89" t="str">
        <f>IFERROR(__xludf.DUMMYFUNCTION("iferror(join("","",index(sort(filter($F57:$F$386,$O57:$O$386&gt;$O56,arrayformula(isnumber(FIND($E57:$E$386,AM56)))),2,false),0,1)))"),"Old Dominion,Colorado")</f>
        <v>Old Dominion,Colorado</v>
      </c>
    </row>
    <row r="57">
      <c r="A57" s="13">
        <f t="shared" si="11"/>
        <v>56</v>
      </c>
      <c r="B57" s="13">
        <v>6.0</v>
      </c>
      <c r="C57" s="90">
        <v>6.0</v>
      </c>
      <c r="D57" s="13" t="str">
        <f>D46</f>
        <v>Nico</v>
      </c>
      <c r="E57" s="179" t="str">
        <f>if(F57&lt;&gt;"",VLOOKUP(F57,'Teams-Conference, for lookup'!A:B,2,0),"")</f>
        <v>MAC</v>
      </c>
      <c r="F57" t="s">
        <v>228</v>
      </c>
      <c r="G57" t="str">
        <f t="shared" si="17"/>
        <v/>
      </c>
      <c r="H57" s="97">
        <f t="shared" si="2"/>
        <v>2</v>
      </c>
      <c r="I57" s="97">
        <f t="shared" si="3"/>
        <v>3</v>
      </c>
      <c r="J57" s="97">
        <f t="shared" si="12"/>
        <v>1</v>
      </c>
      <c r="K57" s="97">
        <f t="shared" ref="K57:K59" si="21">countif(E37:E57,E58)</f>
        <v>3</v>
      </c>
      <c r="L57" s="2"/>
      <c r="M57" s="97">
        <f>IFERROR(__xludf.DUMMYFUNCTION("counta(iferror(filter(L$2:L56,E$2:E56=E57,L$2:L56&lt;L57)))"),0.0)</f>
        <v>0</v>
      </c>
      <c r="N57" s="97">
        <f>IFERROR(__xludf.DUMMYFUNCTION("counta(iferror(filter(L58:L$124,E58:E$124=E57,L58:L$125&gt;L57)))"),0.0)</f>
        <v>0</v>
      </c>
      <c r="O57" s="83">
        <f t="array" ref="O57:X57">XLOOKUP(F57,'Current Week'!B:B,'Current Week'!C:O)</f>
        <v>6</v>
      </c>
      <c r="P57" s="97">
        <v>5.0</v>
      </c>
      <c r="Q57" s="2" t="s">
        <v>130</v>
      </c>
      <c r="R57" s="2" t="s">
        <v>106</v>
      </c>
      <c r="S57" s="2"/>
      <c r="T57" s="2">
        <v>12.0</v>
      </c>
      <c r="U57" s="8" t="s">
        <v>108</v>
      </c>
      <c r="V57" s="2"/>
      <c r="W57" s="8">
        <v>9999.0</v>
      </c>
      <c r="X57" s="2"/>
      <c r="Y57" s="2"/>
      <c r="Z57" s="2"/>
      <c r="AA57" s="86">
        <f t="shared" si="4"/>
        <v>-4</v>
      </c>
      <c r="AB57" s="8">
        <f t="shared" si="5"/>
        <v>11</v>
      </c>
      <c r="AC57" s="8">
        <f>IFERROR(__xludf.DUMMYFUNCTION("iferror(COUNT(filter($O58:$O$386,$O58:$O$386&gt;$O57)))"),18.0)</f>
        <v>18</v>
      </c>
      <c r="AD57" s="16">
        <f t="shared" si="6"/>
        <v>0</v>
      </c>
      <c r="AE57" s="88">
        <f t="shared" si="7"/>
        <v>3</v>
      </c>
      <c r="AF57" s="2" t="str">
        <f>IFERROR(__xludf.DUMMYFUNCTION("iferror(join("","",index(sort(filter($F58:$F$387,$O58:$O$387&gt;$O57),2,false),0,1)))"),"Colorado State,New Mexico,Florida,Miami,Tulsa,Pittsburgh,Arkansas,Idaho,Penn State,Minnesota,Georgia Tech,Texas A&amp;M,Old Dominion,Auburn,Colorado,Wyoming,Eastern Michigan,Kentucky")</f>
        <v>Colorado State,New Mexico,Florida,Miami,Tulsa,Pittsburgh,Arkansas,Idaho,Penn State,Minnesota,Georgia Tech,Texas A&amp;M,Old Dominion,Auburn,Colorado,Wyoming,Eastern Michigan,Kentucky</v>
      </c>
      <c r="AG57" s="86">
        <f>IFERROR(__xludf.DUMMYFUNCTION("iferror($O57-max(filter($O57:$O$386,$E57:$E$386=$E$2)))"),-2.0)</f>
        <v>-2</v>
      </c>
      <c r="AH57" s="8">
        <f t="shared" si="8"/>
        <v>0</v>
      </c>
      <c r="AI57" s="8">
        <f>IFERROR(__xludf.DUMMYFUNCTION("iferror(COUNT(filter($O58:$O$386,$O58:$O$386&gt;$O57,$E57:$E$386=$E$2)))"),0.0)</f>
        <v>0</v>
      </c>
      <c r="AJ57" s="16">
        <f t="shared" si="9"/>
        <v>0</v>
      </c>
      <c r="AK57" s="88">
        <f>IFERROR(__xludf.DUMMYFUNCTION("iferror($O57-min(filter($O57:$O$386,$E57:$E$386=$E$2)))"),4.0)</f>
        <v>4</v>
      </c>
      <c r="AL57" s="2" t="str">
        <f>IFERROR(__xludf.DUMMYFUNCTION("iferror(join("","",index(sort(filter($F58:$F$386,$O58:$O$386&gt;$O57,$E58:$E$386=$E$2),2,false),0,1)))"),"Miami,Pittsburgh,Georgia Tech")</f>
        <v>Miami,Pittsburgh,Georgia Tech</v>
      </c>
      <c r="AM57" s="2" t="str">
        <f>IFERROR(__xludf.DUMMYFUNCTION("REGEXREPLACE(join("","",unique({let(conf_picked,filter(E$1:E56,D$1:D56=D57), byrow(unique(TRANSPOSe(Teams!$1:$1)),lambda(rw,if(ISERROR(match(rw,conf_picked,0)),rw,))));iferror(if(#REF!,,transpose(split(#REF!,"","",1,1))))})), ""^,"", """")"),"ACC,Big 12,CUSA,MAC,SEC")</f>
        <v>ACC,Big 12,CUSA,MAC,SEC</v>
      </c>
      <c r="AN57" s="86">
        <f>IFERROR(__xludf.DUMMYFUNCTION("iferror($O57-max(filter($O57:$O$386,arrayformula(isnumber(FIND($E57:$E$386,AM57))))))"),-3.0)</f>
        <v>-3</v>
      </c>
      <c r="AO57" s="8">
        <f t="array" ref="AO57">countifs($O$2:$O56,"&lt;"&amp;$O57,isnumber(FIND($E$2:$E56,AM57)),TRUE)</f>
        <v>4</v>
      </c>
      <c r="AP57" s="8">
        <f>IFERROR(__xludf.DUMMYFUNCTION("iferror(COUNT(filter($O58:$O$386,$O58:$O$386&gt;$O57,arrayformula(isnumber(FIND($E58:$E$386,AM57))))))"),10.0)</f>
        <v>10</v>
      </c>
      <c r="AQ57" s="16">
        <f t="shared" si="10"/>
        <v>0</v>
      </c>
      <c r="AR57" s="88">
        <f>IFERROR(__xludf.DUMMYFUNCTION("iferror($O57-min(filter($O57:$O$386,arrayformula(isnumber(FIND($E57:$E$386,AM57))))))"),4.0)</f>
        <v>4</v>
      </c>
      <c r="AS57" s="89" t="str">
        <f>IFERROR(__xludf.DUMMYFUNCTION("iferror(join("","",index(sort(filter($F58:$F$386,$O58:$O$386&gt;$O57,arrayformula(isnumber(FIND($E58:$E$386,AM57)))),2,false),0,1)))"),"Florida,Miami,Pittsburgh,Arkansas,Georgia Tech,Texas A&amp;M,Old Dominion,Auburn,Eastern Michigan,Kentucky")</f>
        <v>Florida,Miami,Pittsburgh,Arkansas,Georgia Tech,Texas A&amp;M,Old Dominion,Auburn,Eastern Michigan,Kentucky</v>
      </c>
    </row>
    <row r="58">
      <c r="A58" s="13">
        <f t="shared" si="11"/>
        <v>57</v>
      </c>
      <c r="B58" s="13">
        <v>6.0</v>
      </c>
      <c r="C58" s="90">
        <v>7.0</v>
      </c>
      <c r="D58" s="13" t="str">
        <f>D45</f>
        <v>Brad</v>
      </c>
      <c r="E58" s="179" t="str">
        <f>if(F58&lt;&gt;"",VLOOKUP(F58,'Teams-Conference, for lookup'!A:B,2,0),"")</f>
        <v>MAC</v>
      </c>
      <c r="F58" t="s">
        <v>206</v>
      </c>
      <c r="G58" t="str">
        <f t="shared" si="17"/>
        <v/>
      </c>
      <c r="H58" s="97">
        <f t="shared" si="2"/>
        <v>1</v>
      </c>
      <c r="I58" s="97">
        <f t="shared" si="3"/>
        <v>2</v>
      </c>
      <c r="J58" s="97">
        <f t="shared" si="12"/>
        <v>2</v>
      </c>
      <c r="K58" s="97">
        <f t="shared" si="21"/>
        <v>2</v>
      </c>
      <c r="L58" s="2"/>
      <c r="M58" s="97">
        <f>IFERROR(__xludf.DUMMYFUNCTION("counta(iferror(filter(L$2:L57,E$2:E57=E58,L$2:L57&lt;L58)))"),0.0)</f>
        <v>0</v>
      </c>
      <c r="N58" s="97">
        <f>IFERROR(__xludf.DUMMYFUNCTION("counta(iferror(filter(L59:L$124,E59:E$124=E58,L59:L$125&gt;L58)))"),0.0)</f>
        <v>0</v>
      </c>
      <c r="O58" s="83">
        <f t="array" ref="O58:X58">XLOOKUP(F58,'Current Week'!B:B,'Current Week'!C:O)</f>
        <v>4</v>
      </c>
      <c r="P58" s="97">
        <v>5.0</v>
      </c>
      <c r="Q58" s="2" t="s">
        <v>143</v>
      </c>
      <c r="R58" s="2" t="s">
        <v>106</v>
      </c>
      <c r="S58" s="2"/>
      <c r="T58" s="2" t="s">
        <v>115</v>
      </c>
      <c r="U58" s="8" t="s">
        <v>115</v>
      </c>
      <c r="V58" s="2"/>
      <c r="W58" s="8">
        <v>9999.0</v>
      </c>
      <c r="X58" s="2"/>
      <c r="Y58" s="2"/>
      <c r="Z58" s="2"/>
      <c r="AA58" s="86">
        <f t="shared" si="4"/>
        <v>-6</v>
      </c>
      <c r="AB58" s="8">
        <f t="shared" si="5"/>
        <v>3</v>
      </c>
      <c r="AC58" s="8">
        <f>IFERROR(__xludf.DUMMYFUNCTION("iferror(COUNT(filter($O59:$O$386,$O59:$O$386&gt;$O58)))"),37.0)</f>
        <v>37</v>
      </c>
      <c r="AD58" s="16">
        <f t="shared" si="6"/>
        <v>0</v>
      </c>
      <c r="AE58" s="88">
        <f t="shared" si="7"/>
        <v>1</v>
      </c>
      <c r="AF58" s="2" t="str">
        <f>IFERROR(__xludf.DUMMYFUNCTION("iferror(join("","",index(sort(filter($F59:$F$387,$O59:$O$387&gt;$O58),2,false),0,1)))"),"Colorado State,Akron,New Mexico,Florida,Miami,Tulsa,Pittsburgh,Northwestern,Ole Miss,Arkansas,Mississippi State,Idaho,Penn State,Arizona State,Minnesota,Georgia Tech,Boston College,Texas A&amp;M,UCF,NC State,Old Dominion,California,Auburn,Colorado,Wyoming,Eas"&amp;"tern Michigan,Kentucky,Wake Forest,Indiana,Maryland,Miami-OH,South Carolina,Vanderbilt,Hawaii,SMU,North Texas,UTSA")</f>
        <v>Colorado State,Akron,New Mexico,Florida,Miami,Tulsa,Pittsburgh,Northwestern,Ole Miss,Arkansas,Mississippi State,Idaho,Penn State,Arizona State,Minnesota,Georgia Tech,Boston College,Texas A&amp;M,UCF,NC State,Old Dominion,California,Auburn,Colorado,Wyoming,Eastern Michigan,Kentucky,Wake Forest,Indiana,Maryland,Miami-OH,South Carolina,Vanderbilt,Hawaii,SMU,North Texas,UTSA</v>
      </c>
      <c r="AG58" s="86">
        <f>IFERROR(__xludf.DUMMYFUNCTION("iferror($O58-max(filter($O58:$O$386,$E58:$E$386=$E$2)))"),-4.0)</f>
        <v>-4</v>
      </c>
      <c r="AH58" s="8">
        <f t="shared" si="8"/>
        <v>0</v>
      </c>
      <c r="AI58" s="8">
        <f>IFERROR(__xludf.DUMMYFUNCTION("iferror(COUNT(filter($O59:$O$386,$O59:$O$386&gt;$O58,$E58:$E$386=$E$2)))"),0.0)</f>
        <v>0</v>
      </c>
      <c r="AJ58" s="16">
        <f t="shared" si="9"/>
        <v>0</v>
      </c>
      <c r="AK58" s="88">
        <f>IFERROR(__xludf.DUMMYFUNCTION("iferror($O58-min(filter($O58:$O$386,$E58:$E$386=$E$2)))"),2.0)</f>
        <v>2</v>
      </c>
      <c r="AL58" s="2" t="str">
        <f>IFERROR(__xludf.DUMMYFUNCTION("iferror(join("","",index(sort(filter($F59:$F$386,$O59:$O$386&gt;$O58,$E59:$E$386=$E$2),2,false),0,1)))"),"Miami,Pittsburgh,Georgia Tech,Boston College,NC State,Wake Forest")</f>
        <v>Miami,Pittsburgh,Georgia Tech,Boston College,NC State,Wake Forest</v>
      </c>
      <c r="AM58" s="2" t="str">
        <f>IFERROR(__xludf.DUMMYFUNCTION("REGEXREPLACE(join("","",unique({let(conf_picked,filter(E$1:E57,D$1:D57=D58), byrow(unique(TRANSPOSe(Teams!$1:$1)),lambda(rw,if(ISERROR(match(rw,conf_picked,0)),rw,))));iferror(if(#REF!,,transpose(split(#REF!,"","",1,1))))})), ""^,"", """")"),"AAC,ACC,,MAC,MWC,Sun Belt")</f>
        <v>AAC,ACC,,MAC,MWC,Sun Belt</v>
      </c>
      <c r="AN58" s="86">
        <f>IFERROR(__xludf.DUMMYFUNCTION("iferror($O58-max(filter($O58:$O$386,arrayformula(isnumber(FIND($E58:$E$386,AM58))))))"),-5.0)</f>
        <v>-5</v>
      </c>
      <c r="AO58" s="8">
        <f t="array" ref="AO58">countifs($O$2:$O57,"&lt;"&amp;$O58,isnumber(FIND($E$2:$E57,AM58)),TRUE)</f>
        <v>1</v>
      </c>
      <c r="AP58" s="8">
        <f>IFERROR(__xludf.DUMMYFUNCTION("iferror(COUNT(filter($O59:$O$386,$O59:$O$386&gt;$O58,arrayformula(isnumber(FIND($E59:$E$386,AM58))))))"),17.0)</f>
        <v>17</v>
      </c>
      <c r="AQ58" s="16">
        <f t="shared" si="10"/>
        <v>0</v>
      </c>
      <c r="AR58" s="88">
        <f>IFERROR(__xludf.DUMMYFUNCTION("iferror($O58-min(filter($O58:$O$386,arrayformula(isnumber(FIND($E58:$E$386,AM58))))))"),3.0)</f>
        <v>3</v>
      </c>
      <c r="AS58" s="89" t="str">
        <f>IFERROR(__xludf.DUMMYFUNCTION("iferror(join("","",index(sort(filter($F59:$F$386,$O59:$O$386&gt;$O58,arrayformula(isnumber(FIND($E59:$E$386,AM58)))),2,false),0,1)))"),"Colorado State,Akron,New Mexico,Miami,Tulsa,Pittsburgh,Idaho,Georgia Tech,Boston College,UCF,NC State,Wyoming,Eastern Michigan,Wake Forest,Miami-OH,Hawaii,SMU")</f>
        <v>Colorado State,Akron,New Mexico,Miami,Tulsa,Pittsburgh,Idaho,Georgia Tech,Boston College,UCF,NC State,Wyoming,Eastern Michigan,Wake Forest,Miami-OH,Hawaii,SMU</v>
      </c>
    </row>
    <row r="59">
      <c r="A59" s="13">
        <f t="shared" si="11"/>
        <v>58</v>
      </c>
      <c r="B59" s="13">
        <v>6.0</v>
      </c>
      <c r="C59" s="90">
        <v>8.0</v>
      </c>
      <c r="D59" s="91" t="str">
        <f>D44</f>
        <v>Jacob</v>
      </c>
      <c r="E59" s="179" t="str">
        <f>if(F59&lt;&gt;"",VLOOKUP(F59,'Teams-Conference, for lookup'!A:B,2,0),"")</f>
        <v>MWC</v>
      </c>
      <c r="F59" s="150" t="s">
        <v>194</v>
      </c>
      <c r="G59" t="str">
        <f t="shared" si="17"/>
        <v/>
      </c>
      <c r="H59" s="97">
        <f t="shared" si="2"/>
        <v>1</v>
      </c>
      <c r="I59" s="97">
        <f t="shared" si="3"/>
        <v>3</v>
      </c>
      <c r="J59" s="97">
        <f t="shared" si="12"/>
        <v>2</v>
      </c>
      <c r="K59" s="97">
        <f t="shared" si="21"/>
        <v>4</v>
      </c>
      <c r="L59" s="2"/>
      <c r="M59" s="97">
        <f>IFERROR(__xludf.DUMMYFUNCTION("counta(iferror(filter(L$2:L58,E$2:E58=E59,L$2:L58&lt;L59)))"),0.0)</f>
        <v>0</v>
      </c>
      <c r="N59" s="97">
        <f>IFERROR(__xludf.DUMMYFUNCTION("counta(iferror(filter(L60:L$124,E60:E$124=E59,L60:L$125&gt;L59)))"),0.0)</f>
        <v>0</v>
      </c>
      <c r="O59" s="83">
        <f t="array" ref="O59:X59">XLOOKUP(F59,'Current Week'!B:B,'Current Week'!C:O)</f>
        <v>7</v>
      </c>
      <c r="P59" s="97">
        <v>3.0</v>
      </c>
      <c r="Q59" s="2" t="s">
        <v>148</v>
      </c>
      <c r="R59" s="2" t="s">
        <v>106</v>
      </c>
      <c r="S59" s="2"/>
      <c r="T59" s="8" t="s">
        <v>196</v>
      </c>
      <c r="U59" s="8" t="s">
        <v>108</v>
      </c>
      <c r="V59" s="2"/>
      <c r="W59" s="8">
        <v>9999.0</v>
      </c>
      <c r="X59" s="2"/>
      <c r="Y59" s="2"/>
      <c r="Z59" s="2"/>
      <c r="AA59" s="86">
        <f t="shared" si="4"/>
        <v>-3</v>
      </c>
      <c r="AB59" s="8">
        <f t="shared" si="5"/>
        <v>17</v>
      </c>
      <c r="AC59" s="8">
        <f>IFERROR(__xludf.DUMMYFUNCTION("iferror(COUNT(filter($O60:$O$386,$O60:$O$386&gt;$O59)))"),14.0)</f>
        <v>14</v>
      </c>
      <c r="AD59" s="16">
        <f t="shared" si="6"/>
        <v>0</v>
      </c>
      <c r="AE59" s="88">
        <f t="shared" si="7"/>
        <v>4</v>
      </c>
      <c r="AF59" s="2" t="str">
        <f>IFERROR(__xludf.DUMMYFUNCTION("iferror(join("","",index(sort(filter($F60:$F$387,$O60:$O$387&gt;$O59),2,false),0,1)))"),"New Mexico,Florida,Miami,Tulsa,Pittsburgh,Idaho,Penn State,Minnesota,Georgia Tech,Texas A&amp;M,Old Dominion,Auburn,Colorado,Wyoming")</f>
        <v>New Mexico,Florida,Miami,Tulsa,Pittsburgh,Idaho,Penn State,Minnesota,Georgia Tech,Texas A&amp;M,Old Dominion,Auburn,Colorado,Wyoming</v>
      </c>
      <c r="AG59" s="86">
        <f>IFERROR(__xludf.DUMMYFUNCTION("iferror($O59-max(filter($O59:$O$386,$E59:$E$386=$E$2)))"),-1.0)</f>
        <v>-1</v>
      </c>
      <c r="AH59" s="8">
        <f t="shared" si="8"/>
        <v>0</v>
      </c>
      <c r="AI59" s="8">
        <f>IFERROR(__xludf.DUMMYFUNCTION("iferror(COUNT(filter($O60:$O$386,$O60:$O$386&gt;$O59,$E59:$E$386=$E$2)))"),0.0)</f>
        <v>0</v>
      </c>
      <c r="AJ59" s="16">
        <f t="shared" si="9"/>
        <v>0</v>
      </c>
      <c r="AK59" s="88">
        <f>IFERROR(__xludf.DUMMYFUNCTION("iferror($O59-min(filter($O59:$O$386,$E59:$E$386=$E$2)))"),5.0)</f>
        <v>5</v>
      </c>
      <c r="AL59" s="2" t="str">
        <f>IFERROR(__xludf.DUMMYFUNCTION("iferror(join("","",index(sort(filter($F60:$F$386,$O60:$O$386&gt;$O59,$E60:$E$386=$E$2),2,false),0,1)))"),"Miami,Pittsburgh,Georgia Tech")</f>
        <v>Miami,Pittsburgh,Georgia Tech</v>
      </c>
      <c r="AM59" s="2" t="str">
        <f>IFERROR(__xludf.DUMMYFUNCTION("REGEXREPLACE(join("","",unique({let(conf_picked,filter(E$1:E58,D$1:D58=D59), byrow(unique(TRANSPOSe(Teams!$1:$1)),lambda(rw,if(ISERROR(match(rw,conf_picked,0)),rw,))));iferror(if(#REF!,,transpose(split(#REF!,"","",1,1))))})), ""^,"", """")"),"AAC,ACC,,Big Ten,MWC,Pac12")</f>
        <v>AAC,ACC,,Big Ten,MWC,Pac12</v>
      </c>
      <c r="AN59" s="86">
        <f>IFERROR(__xludf.DUMMYFUNCTION("iferror($O59-max(filter($O59:$O$386,arrayformula(isnumber(FIND($E59:$E$386,AM59))))))"),-3.0)</f>
        <v>-3</v>
      </c>
      <c r="AO59" s="8">
        <f t="array" ref="AO59">countifs($O$2:$O58,"&lt;"&amp;$O59,isnumber(FIND($E$2:$E58,AM59)),TRUE)</f>
        <v>6</v>
      </c>
      <c r="AP59" s="8">
        <f>IFERROR(__xludf.DUMMYFUNCTION("iferror(COUNT(filter($O60:$O$386,$O60:$O$386&gt;$O59,arrayformula(isnumber(FIND($E60:$E$386,AM59))))))"),9.0)</f>
        <v>9</v>
      </c>
      <c r="AQ59" s="16">
        <f t="shared" si="10"/>
        <v>0</v>
      </c>
      <c r="AR59" s="88">
        <f>IFERROR(__xludf.DUMMYFUNCTION("iferror($O59-min(filter($O59:$O$386,arrayformula(isnumber(FIND($E59:$E$386,AM59))))))"),6.0)</f>
        <v>6</v>
      </c>
      <c r="AS59" s="89" t="str">
        <f>IFERROR(__xludf.DUMMYFUNCTION("iferror(join("","",index(sort(filter($F60:$F$386,$O60:$O$386&gt;$O59,arrayformula(isnumber(FIND($E60:$E$386,AM59)))),2,false),0,1)))"),"New Mexico,Miami,Tulsa,Pittsburgh,Penn State,Minnesota,Georgia Tech,Colorado,Wyoming")</f>
        <v>New Mexico,Miami,Tulsa,Pittsburgh,Penn State,Minnesota,Georgia Tech,Colorado,Wyoming</v>
      </c>
    </row>
    <row r="60">
      <c r="A60" s="13">
        <f t="shared" si="11"/>
        <v>59</v>
      </c>
      <c r="B60" s="13">
        <v>6.0</v>
      </c>
      <c r="C60" s="90">
        <v>9.0</v>
      </c>
      <c r="D60" s="91" t="str">
        <f>D43</f>
        <v>Josh R.</v>
      </c>
      <c r="E60" s="179" t="str">
        <f>if(F60&lt;&gt;"",VLOOKUP(F60,'Teams-Conference, for lookup'!A:B,2,0),"")</f>
        <v>MAC</v>
      </c>
      <c r="F60" s="150" t="s">
        <v>141</v>
      </c>
      <c r="G60" t="str">
        <f t="shared" si="17"/>
        <v/>
      </c>
      <c r="H60" s="97">
        <f t="shared" si="2"/>
        <v>0</v>
      </c>
      <c r="I60" s="97">
        <f t="shared" si="3"/>
        <v>1</v>
      </c>
      <c r="J60" s="97">
        <f t="shared" si="12"/>
        <v>3</v>
      </c>
      <c r="K60" s="97">
        <f t="shared" ref="K60:K64" si="22">countif(E41:E60,E61)</f>
        <v>3</v>
      </c>
      <c r="L60" s="2"/>
      <c r="M60" s="97">
        <f>IFERROR(__xludf.DUMMYFUNCTION("counta(iferror(filter(L$2:L59,E$2:E59=E60,L$2:L59&lt;L60)))"),0.0)</f>
        <v>0</v>
      </c>
      <c r="N60" s="97">
        <f>IFERROR(__xludf.DUMMYFUNCTION("counta(iferror(filter(L61:L$124,E61:E$124=E60,L61:L$125&gt;L60)))"),0.0)</f>
        <v>0</v>
      </c>
      <c r="O60" s="83">
        <f t="array" ref="O60:X60">XLOOKUP(F60,'Current Week'!B:B,'Current Week'!C:O)</f>
        <v>5</v>
      </c>
      <c r="P60" s="97">
        <v>5.0</v>
      </c>
      <c r="Q60" s="2" t="s">
        <v>124</v>
      </c>
      <c r="R60" s="84" t="s">
        <v>106</v>
      </c>
      <c r="S60" s="2"/>
      <c r="T60" s="2" t="s">
        <v>115</v>
      </c>
      <c r="U60" s="8" t="s">
        <v>115</v>
      </c>
      <c r="V60" s="2"/>
      <c r="W60" s="8">
        <v>9999.0</v>
      </c>
      <c r="X60" s="2"/>
      <c r="Y60" s="2"/>
      <c r="Z60" s="2"/>
      <c r="AA60" s="86">
        <f t="shared" si="4"/>
        <v>-5</v>
      </c>
      <c r="AB60" s="8">
        <f t="shared" si="5"/>
        <v>7</v>
      </c>
      <c r="AC60" s="8">
        <f>IFERROR(__xludf.DUMMYFUNCTION("iferror(COUNT(filter($O61:$O$386,$O61:$O$386&gt;$O60)))"),28.0)</f>
        <v>28</v>
      </c>
      <c r="AD60" s="16">
        <f t="shared" si="6"/>
        <v>0</v>
      </c>
      <c r="AE60" s="88">
        <f t="shared" si="7"/>
        <v>2</v>
      </c>
      <c r="AF60" s="2" t="str">
        <f>IFERROR(__xludf.DUMMYFUNCTION("iferror(join("","",index(sort(filter($F61:$F$387,$O61:$O$387&gt;$O60),2,false),0,1)))"),"New Mexico,Florida,Miami,Tulsa,Pittsburgh,Northwestern,Arkansas,Idaho,Penn State,Minnesota,Georgia Tech,Boston College,Texas A&amp;M,UCF,NC State,Old Dominion,Auburn,Colorado,Wyoming,Eastern Michigan,Kentucky,Wake Forest,Indiana,Maryland,Miami-OH,South Caroli"&amp;"na,Vanderbilt,Hawaii")</f>
        <v>New Mexico,Florida,Miami,Tulsa,Pittsburgh,Northwestern,Arkansas,Idaho,Penn State,Minnesota,Georgia Tech,Boston College,Texas A&amp;M,UCF,NC State,Old Dominion,Auburn,Colorado,Wyoming,Eastern Michigan,Kentucky,Wake Forest,Indiana,Maryland,Miami-OH,South Carolina,Vanderbilt,Hawaii</v>
      </c>
      <c r="AG60" s="86">
        <f>IFERROR(__xludf.DUMMYFUNCTION("iferror($O60-max(filter($O60:$O$386,$E60:$E$386=$E$2)))"),-3.0)</f>
        <v>-3</v>
      </c>
      <c r="AH60" s="8">
        <f t="shared" si="8"/>
        <v>0</v>
      </c>
      <c r="AI60" s="8">
        <f>IFERROR(__xludf.DUMMYFUNCTION("iferror(COUNT(filter($O61:$O$386,$O61:$O$386&gt;$O60,$E60:$E$386=$E$2)))"),0.0)</f>
        <v>0</v>
      </c>
      <c r="AJ60" s="16">
        <f t="shared" si="9"/>
        <v>0</v>
      </c>
      <c r="AK60" s="88">
        <f>IFERROR(__xludf.DUMMYFUNCTION("iferror($O60-min(filter($O60:$O$386,$E60:$E$386=$E$2)))"),3.0)</f>
        <v>3</v>
      </c>
      <c r="AL60" s="2" t="str">
        <f>IFERROR(__xludf.DUMMYFUNCTION("iferror(join("","",index(sort(filter($F61:$F$386,$O61:$O$386&gt;$O60,$E61:$E$386=$E$2),2,false),0,1)))"),"Miami,Pittsburgh,Georgia Tech,Boston College,NC State,Wake Forest")</f>
        <v>Miami,Pittsburgh,Georgia Tech,Boston College,NC State,Wake Forest</v>
      </c>
      <c r="AM60" s="2" t="str">
        <f>IFERROR(__xludf.DUMMYFUNCTION("REGEXREPLACE(join("","",unique({let(conf_picked,filter(E$1:E59,D$1:D59=D60), byrow(unique(TRANSPOSe(Teams!$1:$1)),lambda(rw,if(ISERROR(match(rw,conf_picked,0)),rw,))));iferror(if(#REF!,,transpose(split(#REF!,"","",1,1))))})), ""^,"", """")"),"ACC,Big Ten,MAC,Pac12,SEC")</f>
        <v>ACC,Big Ten,MAC,Pac12,SEC</v>
      </c>
      <c r="AN60" s="86">
        <f>IFERROR(__xludf.DUMMYFUNCTION("iferror($O60-max(filter($O60:$O$386,arrayformula(isnumber(FIND($E60:$E$386,AM60))))))"),-5.0)</f>
        <v>-5</v>
      </c>
      <c r="AO60" s="8">
        <f t="array" ref="AO60">countifs($O$2:$O59,"&lt;"&amp;$O60,isnumber(FIND($E$2:$E59,AM60)),TRUE)</f>
        <v>4</v>
      </c>
      <c r="AP60" s="8">
        <f>IFERROR(__xludf.DUMMYFUNCTION("iferror(COUNT(filter($O61:$O$386,$O61:$O$386&gt;$O60,arrayformula(isnumber(FIND($E61:$E$386,AM60))))))"),21.0)</f>
        <v>21</v>
      </c>
      <c r="AQ60" s="16">
        <f t="shared" si="10"/>
        <v>0</v>
      </c>
      <c r="AR60" s="88">
        <f>IFERROR(__xludf.DUMMYFUNCTION("iferror($O60-min(filter($O60:$O$386,arrayformula(isnumber(FIND($E60:$E$386,AM60))))))"),3.0)</f>
        <v>3</v>
      </c>
      <c r="AS60" s="89" t="str">
        <f>IFERROR(__xludf.DUMMYFUNCTION("iferror(join("","",index(sort(filter($F61:$F$386,$O61:$O$386&gt;$O60,arrayformula(isnumber(FIND($E61:$E$386,AM60)))),2,false),0,1)))"),"Florida,Miami,Pittsburgh,Northwestern,Arkansas,Penn State,Minnesota,Georgia Tech,Boston College,Texas A&amp;M,NC State,Auburn,Colorado,Eastern Michigan,Kentucky,Wake Forest,Indiana,Maryland,Miami-OH,South Carolina,Vanderbilt")</f>
        <v>Florida,Miami,Pittsburgh,Northwestern,Arkansas,Penn State,Minnesota,Georgia Tech,Boston College,Texas A&amp;M,NC State,Auburn,Colorado,Eastern Michigan,Kentucky,Wake Forest,Indiana,Maryland,Miami-OH,South Carolina,Vanderbilt</v>
      </c>
    </row>
    <row r="61">
      <c r="A61" s="151">
        <f t="shared" si="11"/>
        <v>60</v>
      </c>
      <c r="B61" s="151">
        <v>6.0</v>
      </c>
      <c r="C61" s="90">
        <v>10.0</v>
      </c>
      <c r="D61" s="151" t="str">
        <f>D42</f>
        <v>Gary</v>
      </c>
      <c r="E61" s="184" t="str">
        <f>if(F61&lt;&gt;"",VLOOKUP(F61,'Teams-Conference, for lookup'!A:B,2,0),"")</f>
        <v>MWC</v>
      </c>
      <c r="F61" s="151" t="s">
        <v>136</v>
      </c>
      <c r="G61" s="157" t="str">
        <f t="shared" si="17"/>
        <v/>
      </c>
      <c r="H61" s="97">
        <f t="shared" si="2"/>
        <v>0</v>
      </c>
      <c r="I61" s="97">
        <f t="shared" si="3"/>
        <v>2</v>
      </c>
      <c r="J61" s="97">
        <f t="shared" si="12"/>
        <v>2</v>
      </c>
      <c r="K61" s="97">
        <f t="shared" si="22"/>
        <v>1</v>
      </c>
      <c r="L61" s="2"/>
      <c r="M61" s="97">
        <f>IFERROR(__xludf.DUMMYFUNCTION("counta(iferror(filter(L$2:L60,E$2:E60=E61,L$2:L60&lt;L61)))"),0.0)</f>
        <v>0</v>
      </c>
      <c r="N61" s="97">
        <f>IFERROR(__xludf.DUMMYFUNCTION("counta(iferror(filter(L62:L$124,E62:E$124=E61,L62:L$125&gt;L61)))"),0.0)</f>
        <v>0</v>
      </c>
      <c r="O61" s="83">
        <f t="array" ref="O61:X61">XLOOKUP(F61,'Current Week'!B:B,'Current Week'!C:O)</f>
        <v>8</v>
      </c>
      <c r="P61" s="97">
        <v>4.0</v>
      </c>
      <c r="Q61" s="2" t="s">
        <v>137</v>
      </c>
      <c r="R61" s="2" t="s">
        <v>106</v>
      </c>
      <c r="S61" s="2"/>
      <c r="T61" s="2">
        <v>-7.0</v>
      </c>
      <c r="U61" s="8" t="s">
        <v>108</v>
      </c>
      <c r="V61" s="2"/>
      <c r="W61" s="8">
        <v>9999.0</v>
      </c>
      <c r="X61" s="2"/>
      <c r="Y61" s="2"/>
      <c r="Z61" s="2"/>
      <c r="AA61" s="86">
        <f t="shared" si="4"/>
        <v>-2</v>
      </c>
      <c r="AB61" s="8">
        <f t="shared" si="5"/>
        <v>22</v>
      </c>
      <c r="AC61" s="8">
        <f>IFERROR(__xludf.DUMMYFUNCTION("iferror(COUNT(filter($O62:$O$386,$O62:$O$386&gt;$O61)))"),4.0)</f>
        <v>4</v>
      </c>
      <c r="AD61" s="16">
        <f t="shared" si="6"/>
        <v>0</v>
      </c>
      <c r="AE61" s="88">
        <f t="shared" si="7"/>
        <v>5</v>
      </c>
      <c r="AF61" s="2" t="str">
        <f>IFERROR(__xludf.DUMMYFUNCTION("iferror(join("","",index(sort(filter($F62:$F$387,$O62:$O$387&gt;$O61),2,false),0,1)))"),"Tulsa,Penn State,Old Dominion,Colorado")</f>
        <v>Tulsa,Penn State,Old Dominion,Colorado</v>
      </c>
      <c r="AG61" s="86">
        <f>IFERROR(__xludf.DUMMYFUNCTION("iferror($O61-max(filter($O61:$O$386,$E61:$E$386=$E$2)))"),0.0)</f>
        <v>0</v>
      </c>
      <c r="AH61" s="8">
        <f t="shared" si="8"/>
        <v>0</v>
      </c>
      <c r="AI61" s="8">
        <f>IFERROR(__xludf.DUMMYFUNCTION("iferror(COUNT(filter($O62:$O$386,$O62:$O$386&gt;$O61,$E61:$E$386=$E$2)))"),0.0)</f>
        <v>0</v>
      </c>
      <c r="AJ61" s="16">
        <f t="shared" si="9"/>
        <v>1</v>
      </c>
      <c r="AK61" s="88">
        <f>IFERROR(__xludf.DUMMYFUNCTION("iferror($O61-min(filter($O61:$O$386,$E61:$E$386=$E$2)))"),6.0)</f>
        <v>6</v>
      </c>
      <c r="AL61" s="2" t="str">
        <f>IFERROR(__xludf.DUMMYFUNCTION("iferror(join("","",index(sort(filter($F62:$F$386,$O62:$O$386&gt;$O61,$E62:$E$386=$E$2),2,false),0,1)))"),"")</f>
        <v/>
      </c>
      <c r="AM61" s="2" t="str">
        <f>IFERROR(__xludf.DUMMYFUNCTION("REGEXREPLACE(join("","",unique({let(conf_picked,filter(E$1:E60,D$1:D60=D61), byrow(unique(TRANSPOSe(Teams!$1:$1)),lambda(rw,if(ISERROR(match(rw,conf_picked,0)),rw,))));iferror(if(#REF!,,transpose(split(#REF!,"","",1,1))))})), ""^,"", """")"),"MAC,MWC,Pac12,SEC,Sun Belt")</f>
        <v>MAC,MWC,Pac12,SEC,Sun Belt</v>
      </c>
      <c r="AN61" s="86">
        <f>IFERROR(__xludf.DUMMYFUNCTION("iferror($O61-max(filter($O61:$O$386,arrayformula(isnumber(FIND($E61:$E$386,AM61))))))"),-2.0)</f>
        <v>-2</v>
      </c>
      <c r="AO61" s="8">
        <f t="array" ref="AO61">countifs($O$2:$O60,"&lt;"&amp;$O61,isnumber(FIND($E$2:$E60,AM61)),TRUE)</f>
        <v>14</v>
      </c>
      <c r="AP61" s="8">
        <f>IFERROR(__xludf.DUMMYFUNCTION("iferror(COUNT(filter($O62:$O$386,$O62:$O$386&gt;$O61,arrayformula(isnumber(FIND($E62:$E$386,AM61))))))"),1.0)</f>
        <v>1</v>
      </c>
      <c r="AQ61" s="16">
        <f t="shared" si="10"/>
        <v>0</v>
      </c>
      <c r="AR61" s="88">
        <f>IFERROR(__xludf.DUMMYFUNCTION("iferror($O61-min(filter($O61:$O$386,arrayformula(isnumber(FIND($E61:$E$386,AM61))))))"),7.0)</f>
        <v>7</v>
      </c>
      <c r="AS61" s="89" t="str">
        <f>IFERROR(__xludf.DUMMYFUNCTION("iferror(join("","",index(sort(filter($F62:$F$386,$O62:$O$386&gt;$O61,arrayformula(isnumber(FIND($E62:$E$386,AM61)))),2,false),0,1)))"),"Colorado")</f>
        <v>Colorado</v>
      </c>
    </row>
    <row r="62">
      <c r="A62" s="76">
        <f t="shared" si="11"/>
        <v>61</v>
      </c>
      <c r="B62" s="76">
        <v>7.0</v>
      </c>
      <c r="C62" s="90">
        <v>1.0</v>
      </c>
      <c r="D62" s="78" t="str">
        <f t="shared" ref="D62:D71" si="23">D42</f>
        <v>Gary</v>
      </c>
      <c r="E62" s="187" t="str">
        <f>if(F62&lt;&gt;"",VLOOKUP(F62,'Teams-Conference, for lookup'!A:B,2,0),"")</f>
        <v>SEC</v>
      </c>
      <c r="F62" s="78" t="s">
        <v>109</v>
      </c>
      <c r="G62" s="149" t="str">
        <f t="shared" si="17"/>
        <v/>
      </c>
      <c r="H62" s="97">
        <f t="shared" si="2"/>
        <v>2</v>
      </c>
      <c r="I62" s="97">
        <f t="shared" si="3"/>
        <v>3</v>
      </c>
      <c r="J62" s="97">
        <f t="shared" si="12"/>
        <v>0</v>
      </c>
      <c r="K62" s="97">
        <f t="shared" si="22"/>
        <v>1</v>
      </c>
      <c r="L62" s="2"/>
      <c r="M62" s="97">
        <f>IFERROR(__xludf.DUMMYFUNCTION("counta(iferror(filter(L$2:L61,E$2:E61=E62,L$2:L61&lt;L62)))"),0.0)</f>
        <v>0</v>
      </c>
      <c r="N62" s="97">
        <f>IFERROR(__xludf.DUMMYFUNCTION("counta(iferror(filter(L63:L$124,E63:E$124=E62,L63:L$125&gt;L62)))"),0.0)</f>
        <v>0</v>
      </c>
      <c r="O62" s="83">
        <f t="array" ref="O62:X62">XLOOKUP(F62,'Current Week'!B:B,'Current Week'!C:O)</f>
        <v>8</v>
      </c>
      <c r="P62" s="97">
        <v>4.0</v>
      </c>
      <c r="Q62" s="2" t="s">
        <v>110</v>
      </c>
      <c r="R62" s="2" t="s">
        <v>106</v>
      </c>
      <c r="S62" s="2"/>
      <c r="T62" s="2" t="s">
        <v>111</v>
      </c>
      <c r="U62" s="8" t="s">
        <v>108</v>
      </c>
      <c r="V62" s="2"/>
      <c r="W62" s="8">
        <v>9999.0</v>
      </c>
      <c r="X62" s="2"/>
      <c r="Y62" s="2"/>
      <c r="Z62" s="2"/>
      <c r="AA62" s="86">
        <f t="shared" si="4"/>
        <v>-2</v>
      </c>
      <c r="AB62" s="8">
        <f t="shared" si="5"/>
        <v>22</v>
      </c>
      <c r="AC62" s="8">
        <f>IFERROR(__xludf.DUMMYFUNCTION("iferror(COUNT(filter($O63:$O$386,$O63:$O$386&gt;$O62)))"),4.0)</f>
        <v>4</v>
      </c>
      <c r="AD62" s="16">
        <f t="shared" si="6"/>
        <v>0</v>
      </c>
      <c r="AE62" s="88">
        <f t="shared" si="7"/>
        <v>5</v>
      </c>
      <c r="AF62" s="2" t="str">
        <f>IFERROR(__xludf.DUMMYFUNCTION("iferror(join("","",index(sort(filter($F63:$F$387,$O63:$O$387&gt;$O62),2,false),0,1)))"),"Tulsa,Penn State,Old Dominion,Colorado")</f>
        <v>Tulsa,Penn State,Old Dominion,Colorado</v>
      </c>
      <c r="AG62" s="86">
        <f>IFERROR(__xludf.DUMMYFUNCTION("iferror($O62-max(filter($O62:$O$386,$E62:$E$386=$E$2)))"),0.0)</f>
        <v>0</v>
      </c>
      <c r="AH62" s="8">
        <f t="shared" si="8"/>
        <v>0</v>
      </c>
      <c r="AI62" s="8">
        <f>IFERROR(__xludf.DUMMYFUNCTION("iferror(COUNT(filter($O63:$O$386,$O63:$O$386&gt;$O62,$E62:$E$386=$E$2)))"),0.0)</f>
        <v>0</v>
      </c>
      <c r="AJ62" s="16">
        <f t="shared" si="9"/>
        <v>1</v>
      </c>
      <c r="AK62" s="88">
        <f>IFERROR(__xludf.DUMMYFUNCTION("iferror($O62-min(filter($O62:$O$386,$E62:$E$386=$E$2)))"),6.0)</f>
        <v>6</v>
      </c>
      <c r="AL62" s="2" t="str">
        <f>IFERROR(__xludf.DUMMYFUNCTION("iferror(join("","",index(sort(filter($F63:$F$386,$O63:$O$386&gt;$O62,$E63:$E$386=$E$2),2,false),0,1)))"),"")</f>
        <v/>
      </c>
      <c r="AM62" s="2" t="str">
        <f>IFERROR(__xludf.DUMMYFUNCTION("REGEXREPLACE(join("","",unique({let(conf_picked,filter(E$1:E61,D$1:D61=D62), byrow(unique(TRANSPOSe(Teams!$1:$1)),lambda(rw,if(ISERROR(match(rw,conf_picked,0)),rw,))));iferror(if(#REF!,,transpose(split(#REF!,"","",1,1))))})), ""^,"", """")"),"MAC,Pac12,SEC,Sun Belt")</f>
        <v>MAC,Pac12,SEC,Sun Belt</v>
      </c>
      <c r="AN62" s="86">
        <f>IFERROR(__xludf.DUMMYFUNCTION("iferror($O62-max(filter($O62:$O$386,arrayformula(isnumber(FIND($E62:$E$386,AM62))))))"),-2.0)</f>
        <v>-2</v>
      </c>
      <c r="AO62" s="8">
        <f t="array" ref="AO62">countifs($O$2:$O61,"&lt;"&amp;$O62,isnumber(FIND($E$2:$E61,AM62)),TRUE)</f>
        <v>11</v>
      </c>
      <c r="AP62" s="8">
        <f>IFERROR(__xludf.DUMMYFUNCTION("iferror(COUNT(filter($O63:$O$386,$O63:$O$386&gt;$O62,arrayformula(isnumber(FIND($E63:$E$386,AM62))))))"),1.0)</f>
        <v>1</v>
      </c>
      <c r="AQ62" s="16">
        <f t="shared" si="10"/>
        <v>0</v>
      </c>
      <c r="AR62" s="88">
        <f>IFERROR(__xludf.DUMMYFUNCTION("iferror($O62-min(filter($O62:$O$386,arrayformula(isnumber(FIND($E62:$E$386,AM62))))))"),6.0)</f>
        <v>6</v>
      </c>
      <c r="AS62" s="89" t="str">
        <f>IFERROR(__xludf.DUMMYFUNCTION("iferror(join("","",index(sort(filter($F63:$F$386,$O63:$O$386&gt;$O62,arrayformula(isnumber(FIND($E63:$E$386,AM62)))),2,false),0,1)))"),"Colorado")</f>
        <v>Colorado</v>
      </c>
    </row>
    <row r="63">
      <c r="A63" s="13">
        <f t="shared" si="11"/>
        <v>62</v>
      </c>
      <c r="B63" s="13">
        <v>7.0</v>
      </c>
      <c r="C63" s="90">
        <v>2.0</v>
      </c>
      <c r="D63" s="91" t="str">
        <f t="shared" si="23"/>
        <v>Josh R.</v>
      </c>
      <c r="E63" s="179" t="str">
        <f>if(F63&lt;&gt;"",VLOOKUP(F63,'Teams-Conference, for lookup'!A:B,2,0),"")</f>
        <v>ACC</v>
      </c>
      <c r="F63" s="188" t="s">
        <v>163</v>
      </c>
      <c r="G63" t="str">
        <f t="shared" si="17"/>
        <v/>
      </c>
      <c r="H63" s="97">
        <f t="shared" si="2"/>
        <v>1</v>
      </c>
      <c r="I63" s="97">
        <f t="shared" si="3"/>
        <v>2</v>
      </c>
      <c r="J63" s="97">
        <f t="shared" si="12"/>
        <v>1</v>
      </c>
      <c r="K63" s="97">
        <f t="shared" si="22"/>
        <v>2</v>
      </c>
      <c r="L63" s="2"/>
      <c r="M63" s="97">
        <f>IFERROR(__xludf.DUMMYFUNCTION("counta(iferror(filter(L$2:L62,E$2:E62=E63,L$2:L62&lt;L63)))"),0.0)</f>
        <v>0</v>
      </c>
      <c r="N63" s="97">
        <f>IFERROR(__xludf.DUMMYFUNCTION("counta(iferror(filter(L64:L$124,E64:E$124=E63,L64:L$125&gt;L63)))"),0.0)</f>
        <v>0</v>
      </c>
      <c r="O63" s="83">
        <f t="array" ref="O63:X63">XLOOKUP(F63,'Current Week'!B:B,'Current Week'!C:O)</f>
        <v>8</v>
      </c>
      <c r="P63" s="83">
        <v>4.0</v>
      </c>
      <c r="Q63" s="2" t="s">
        <v>165</v>
      </c>
      <c r="R63" s="2" t="s">
        <v>106</v>
      </c>
      <c r="S63" s="2"/>
      <c r="T63" s="2" t="s">
        <v>115</v>
      </c>
      <c r="U63" s="8" t="s">
        <v>115</v>
      </c>
      <c r="V63" s="2"/>
      <c r="W63" s="8">
        <v>9999.0</v>
      </c>
      <c r="X63" s="2"/>
      <c r="Y63" s="2"/>
      <c r="Z63" s="2"/>
      <c r="AA63" s="86">
        <f t="shared" si="4"/>
        <v>-2</v>
      </c>
      <c r="AB63" s="8">
        <f t="shared" si="5"/>
        <v>22</v>
      </c>
      <c r="AC63" s="8">
        <f>IFERROR(__xludf.DUMMYFUNCTION("iferror(COUNT(filter($O64:$O$386,$O64:$O$386&gt;$O63)))"),4.0)</f>
        <v>4</v>
      </c>
      <c r="AD63" s="16">
        <f t="shared" si="6"/>
        <v>0</v>
      </c>
      <c r="AE63" s="88">
        <f t="shared" si="7"/>
        <v>5</v>
      </c>
      <c r="AF63" s="2" t="str">
        <f>IFERROR(__xludf.DUMMYFUNCTION("iferror(join("","",index(sort(filter($F64:$F$387,$O64:$O$387&gt;$O63),2,false),0,1)))"),"Tulsa,Penn State,Old Dominion,Colorado")</f>
        <v>Tulsa,Penn State,Old Dominion,Colorado</v>
      </c>
      <c r="AG63" s="86">
        <f>IFERROR(__xludf.DUMMYFUNCTION("iferror($O63-max(filter($O63:$O$386,$E63:$E$386=$E$2)))"),0.0)</f>
        <v>0</v>
      </c>
      <c r="AH63" s="8">
        <f t="shared" si="8"/>
        <v>0</v>
      </c>
      <c r="AI63" s="8">
        <f>IFERROR(__xludf.DUMMYFUNCTION("iferror(COUNT(filter($O64:$O$386,$O64:$O$386&gt;$O63,$E63:$E$386=$E$2)))"),0.0)</f>
        <v>0</v>
      </c>
      <c r="AJ63" s="16">
        <f t="shared" si="9"/>
        <v>1</v>
      </c>
      <c r="AK63" s="88">
        <f>IFERROR(__xludf.DUMMYFUNCTION("iferror($O63-min(filter($O63:$O$386,$E63:$E$386=$E$2)))"),6.0)</f>
        <v>6</v>
      </c>
      <c r="AL63" s="2" t="str">
        <f>IFERROR(__xludf.DUMMYFUNCTION("iferror(join("","",index(sort(filter($F64:$F$386,$O64:$O$386&gt;$O63,$E64:$E$386=$E$2),2,false),0,1)))"),"")</f>
        <v/>
      </c>
      <c r="AM63" s="2" t="str">
        <f>IFERROR(__xludf.DUMMYFUNCTION("REGEXREPLACE(join("","",unique({let(conf_picked,filter(E$1:E62,D$1:D62=D63), byrow(unique(TRANSPOSe(Teams!$1:$1)),lambda(rw,if(ISERROR(match(rw,conf_picked,0)),rw,))));iferror(if(#REF!,,transpose(split(#REF!,"","",1,1))))})), ""^,"", """")"),"ACC,Big Ten,Pac12,SEC")</f>
        <v>ACC,Big Ten,Pac12,SEC</v>
      </c>
      <c r="AN63" s="86">
        <f>IFERROR(__xludf.DUMMYFUNCTION("iferror($O63-max(filter($O63:$O$386,arrayformula(isnumber(FIND($E63:$E$386,AM63))))))"),-2.0)</f>
        <v>-2</v>
      </c>
      <c r="AO63" s="8">
        <f t="array" ref="AO63">countifs($O$2:$O62,"&lt;"&amp;$O63,isnumber(FIND($E$2:$E62,AM63)),TRUE)</f>
        <v>5</v>
      </c>
      <c r="AP63" s="8">
        <f>IFERROR(__xludf.DUMMYFUNCTION("iferror(COUNT(filter($O64:$O$386,$O64:$O$386&gt;$O63,arrayformula(isnumber(FIND($E64:$E$386,AM63))))))"),2.0)</f>
        <v>2</v>
      </c>
      <c r="AQ63" s="16">
        <f t="shared" si="10"/>
        <v>0</v>
      </c>
      <c r="AR63" s="88">
        <f>IFERROR(__xludf.DUMMYFUNCTION("iferror($O63-min(filter($O63:$O$386,arrayformula(isnumber(FIND($E63:$E$386,AM63))))))"),6.0)</f>
        <v>6</v>
      </c>
      <c r="AS63" s="89" t="str">
        <f>IFERROR(__xludf.DUMMYFUNCTION("iferror(join("","",index(sort(filter($F64:$F$386,$O64:$O$386&gt;$O63,arrayformula(isnumber(FIND($E64:$E$386,AM63)))),2,false),0,1)))"),"Penn State,Colorado")</f>
        <v>Penn State,Colorado</v>
      </c>
    </row>
    <row r="64">
      <c r="A64" s="13">
        <f t="shared" si="11"/>
        <v>63</v>
      </c>
      <c r="B64" s="13">
        <v>7.0</v>
      </c>
      <c r="C64" s="90">
        <v>3.0</v>
      </c>
      <c r="D64" s="13" t="str">
        <f t="shared" si="23"/>
        <v>Jacob</v>
      </c>
      <c r="E64" s="179" t="str">
        <f>if(F64&lt;&gt;"",VLOOKUP(F64,'Teams-Conference, for lookup'!A:B,2,0),"")</f>
        <v>AAC</v>
      </c>
      <c r="F64" s="13" t="s">
        <v>186</v>
      </c>
      <c r="G64" t="str">
        <f t="shared" si="17"/>
        <v/>
      </c>
      <c r="H64" s="97">
        <f t="shared" si="2"/>
        <v>0</v>
      </c>
      <c r="I64" s="97">
        <f t="shared" si="3"/>
        <v>1</v>
      </c>
      <c r="J64" s="97">
        <f t="shared" si="12"/>
        <v>1</v>
      </c>
      <c r="K64" s="97">
        <f t="shared" si="22"/>
        <v>2</v>
      </c>
      <c r="L64" s="2"/>
      <c r="M64" s="97">
        <f>IFERROR(__xludf.DUMMYFUNCTION("counta(iferror(filter(L$2:L63,E$2:E63=E64,L$2:L63&lt;L64)))"),0.0)</f>
        <v>0</v>
      </c>
      <c r="N64" s="97">
        <f>IFERROR(__xludf.DUMMYFUNCTION("counta(iferror(filter(L65:L$124,E65:E$124=E64,L65:L$125&gt;L64)))"),0.0)</f>
        <v>0</v>
      </c>
      <c r="O64" s="83">
        <f t="array" ref="O64:X64">XLOOKUP(F64,'Current Week'!B:B,'Current Week'!C:O)</f>
        <v>9</v>
      </c>
      <c r="P64" s="83">
        <v>3.0</v>
      </c>
      <c r="Q64" s="2" t="s">
        <v>187</v>
      </c>
      <c r="R64" s="2" t="s">
        <v>106</v>
      </c>
      <c r="S64" s="2"/>
      <c r="T64" s="2">
        <v>-12.0</v>
      </c>
      <c r="U64" s="8" t="s">
        <v>108</v>
      </c>
      <c r="V64" s="2"/>
      <c r="W64" s="8">
        <v>9999.0</v>
      </c>
      <c r="X64" s="2"/>
      <c r="Y64" s="2"/>
      <c r="Z64" s="2"/>
      <c r="AA64" s="86">
        <f t="shared" si="4"/>
        <v>-1</v>
      </c>
      <c r="AB64" s="8">
        <f t="shared" si="5"/>
        <v>35</v>
      </c>
      <c r="AC64" s="8">
        <f>IFERROR(__xludf.DUMMYFUNCTION("iferror(COUNT(filter($O65:$O$386,$O65:$O$386&gt;$O64)))"),2.0)</f>
        <v>2</v>
      </c>
      <c r="AD64" s="16">
        <f t="shared" si="6"/>
        <v>0</v>
      </c>
      <c r="AE64" s="88">
        <f t="shared" si="7"/>
        <v>6</v>
      </c>
      <c r="AF64" s="2" t="str">
        <f>IFERROR(__xludf.DUMMYFUNCTION("iferror(join("","",index(sort(filter($F65:$F$387,$O65:$O$387&gt;$O64),2,false),0,1)))"),"Penn State,Colorado")</f>
        <v>Penn State,Colorado</v>
      </c>
      <c r="AG64" s="86">
        <f>IFERROR(__xludf.DUMMYFUNCTION("iferror($O64-max(filter($O64:$O$386,$E64:$E$386=$E$2)))"),1.0)</f>
        <v>1</v>
      </c>
      <c r="AH64" s="8">
        <f t="shared" si="8"/>
        <v>2</v>
      </c>
      <c r="AI64" s="8">
        <f>IFERROR(__xludf.DUMMYFUNCTION("iferror(COUNT(filter($O65:$O$386,$O65:$O$386&gt;$O64,$E64:$E$386=$E$2)))"),0.0)</f>
        <v>0</v>
      </c>
      <c r="AJ64" s="16">
        <f t="shared" si="9"/>
        <v>0</v>
      </c>
      <c r="AK64" s="88">
        <f>IFERROR(__xludf.DUMMYFUNCTION("iferror($O64-min(filter($O64:$O$386,$E64:$E$386=$E$2)))"),7.0)</f>
        <v>7</v>
      </c>
      <c r="AL64" s="2" t="str">
        <f>IFERROR(__xludf.DUMMYFUNCTION("iferror(join("","",index(sort(filter($F65:$F$386,$O65:$O$386&gt;$O64,$E65:$E$386=$E$2),2,false),0,1)))"),"")</f>
        <v/>
      </c>
      <c r="AM64" s="2" t="str">
        <f>IFERROR(__xludf.DUMMYFUNCTION("REGEXREPLACE(join("","",unique({let(conf_picked,filter(E$1:E63,D$1:D63=D64), byrow(unique(TRANSPOSe(Teams!$1:$1)),lambda(rw,if(ISERROR(match(rw,conf_picked,0)),rw,))));iferror(if(#REF!,,transpose(split(#REF!,"","",1,1))))})), ""^,"", """")"),"AAC,ACC,,Big Ten,Pac12")</f>
        <v>AAC,ACC,,Big Ten,Pac12</v>
      </c>
      <c r="AN64" s="86">
        <f>IFERROR(__xludf.DUMMYFUNCTION("iferror($O64-max(filter($O64:$O$386,arrayformula(isnumber(FIND($E64:$E$386,AM64))))))"),-1.0)</f>
        <v>-1</v>
      </c>
      <c r="AO64" s="8">
        <f t="array" ref="AO64">countifs($O$2:$O63,"&lt;"&amp;$O64,isnumber(FIND($E$2:$E63,AM64)),TRUE)</f>
        <v>10</v>
      </c>
      <c r="AP64" s="8">
        <f>IFERROR(__xludf.DUMMYFUNCTION("iferror(COUNT(filter($O65:$O$386,$O65:$O$386&gt;$O64,arrayformula(isnumber(FIND($E65:$E$386,AM64))))))"),2.0)</f>
        <v>2</v>
      </c>
      <c r="AQ64" s="16">
        <f t="shared" si="10"/>
        <v>0</v>
      </c>
      <c r="AR64" s="88">
        <f>IFERROR(__xludf.DUMMYFUNCTION("iferror($O64-min(filter($O64:$O$386,arrayformula(isnumber(FIND($E64:$E$386,AM64))))))"),7.0)</f>
        <v>7</v>
      </c>
      <c r="AS64" s="89" t="str">
        <f>IFERROR(__xludf.DUMMYFUNCTION("iferror(join("","",index(sort(filter($F65:$F$386,$O65:$O$386&gt;$O64,arrayformula(isnumber(FIND($E65:$E$386,AM64)))),2,false),0,1)))"),"Penn State,Colorado")</f>
        <v>Penn State,Colorado</v>
      </c>
    </row>
    <row r="65">
      <c r="A65" s="13">
        <f t="shared" si="11"/>
        <v>64</v>
      </c>
      <c r="B65" s="13">
        <v>7.0</v>
      </c>
      <c r="C65" s="90">
        <v>4.0</v>
      </c>
      <c r="D65" s="91" t="str">
        <f t="shared" si="23"/>
        <v>Brad</v>
      </c>
      <c r="E65" s="179" t="str">
        <f>if(F65&lt;&gt;"",VLOOKUP(F65,'Teams-Conference, for lookup'!A:B,2,0),"")</f>
        <v>ACC</v>
      </c>
      <c r="F65" s="13" t="s">
        <v>213</v>
      </c>
      <c r="G65" t="str">
        <f t="shared" si="17"/>
        <v/>
      </c>
      <c r="H65" s="97">
        <f t="shared" si="2"/>
        <v>0</v>
      </c>
      <c r="I65" s="97">
        <f t="shared" si="3"/>
        <v>2</v>
      </c>
      <c r="J65" s="97">
        <f t="shared" si="12"/>
        <v>1</v>
      </c>
      <c r="K65" s="97">
        <f>countif(E46:E65,E67)</f>
        <v>0</v>
      </c>
      <c r="L65" s="2"/>
      <c r="M65" s="97">
        <f>IFERROR(__xludf.DUMMYFUNCTION("counta(iferror(filter(L$2:L64,E$2:E64=E65,L$2:L64&lt;L65)))"),0.0)</f>
        <v>0</v>
      </c>
      <c r="N65" s="97">
        <f>IFERROR(__xludf.DUMMYFUNCTION("counta(iferror(filter(L66:L$124,E66:E$124=E65,L66:L$125&gt;L65)))"),0.0)</f>
        <v>0</v>
      </c>
      <c r="O65" s="83">
        <f t="array" ref="O65:X65">XLOOKUP(F65,'Current Week'!B:B,'Current Week'!C:O)</f>
        <v>8</v>
      </c>
      <c r="P65" s="97">
        <v>3.0</v>
      </c>
      <c r="Q65" s="2" t="s">
        <v>105</v>
      </c>
      <c r="R65" s="2" t="s">
        <v>106</v>
      </c>
      <c r="S65" s="2"/>
      <c r="T65" s="2">
        <v>-5.0</v>
      </c>
      <c r="U65" s="8" t="s">
        <v>108</v>
      </c>
      <c r="V65" s="2"/>
      <c r="W65" s="8">
        <v>9999.0</v>
      </c>
      <c r="X65" s="2"/>
      <c r="Y65" s="2"/>
      <c r="Z65" s="2"/>
      <c r="AA65" s="86">
        <f t="shared" si="4"/>
        <v>-2</v>
      </c>
      <c r="AB65" s="8">
        <f t="shared" si="5"/>
        <v>22</v>
      </c>
      <c r="AC65" s="8">
        <f>IFERROR(__xludf.DUMMYFUNCTION("iferror(COUNT(filter($O66:$O$386,$O66:$O$386&gt;$O65)))"),3.0)</f>
        <v>3</v>
      </c>
      <c r="AD65" s="16">
        <f t="shared" si="6"/>
        <v>0</v>
      </c>
      <c r="AE65" s="88">
        <f t="shared" si="7"/>
        <v>5</v>
      </c>
      <c r="AF65" s="2" t="str">
        <f>IFERROR(__xludf.DUMMYFUNCTION("iferror(join("","",index(sort(filter($F66:$F$387,$O66:$O$387&gt;$O65),2,false),0,1)))"),"Penn State,Old Dominion,Colorado")</f>
        <v>Penn State,Old Dominion,Colorado</v>
      </c>
      <c r="AG65" s="86">
        <f>IFERROR(__xludf.DUMMYFUNCTION("iferror($O65-max(filter($O65:$O$386,$E65:$E$386=$E$2)))"),0.0)</f>
        <v>0</v>
      </c>
      <c r="AH65" s="8">
        <f t="shared" si="8"/>
        <v>0</v>
      </c>
      <c r="AI65" s="8">
        <f>IFERROR(__xludf.DUMMYFUNCTION("iferror(COUNT(filter($O66:$O$386,$O66:$O$386&gt;$O65,$E65:$E$386=$E$2)))"),0.0)</f>
        <v>0</v>
      </c>
      <c r="AJ65" s="16">
        <f t="shared" si="9"/>
        <v>1</v>
      </c>
      <c r="AK65" s="88">
        <f>IFERROR(__xludf.DUMMYFUNCTION("iferror($O65-min(filter($O65:$O$386,$E65:$E$386=$E$2)))"),6.0)</f>
        <v>6</v>
      </c>
      <c r="AL65" s="2" t="str">
        <f>IFERROR(__xludf.DUMMYFUNCTION("iferror(join("","",index(sort(filter($F66:$F$386,$O66:$O$386&gt;$O65,$E66:$E$386=$E$2),2,false),0,1)))"),"")</f>
        <v/>
      </c>
      <c r="AM65" s="2" t="str">
        <f>IFERROR(__xludf.DUMMYFUNCTION("REGEXREPLACE(join("","",unique({let(conf_picked,filter(E$1:E64,D$1:D64=D65), byrow(unique(TRANSPOSe(Teams!$1:$1)),lambda(rw,if(ISERROR(match(rw,conf_picked,0)),rw,))));iferror(if(#REF!,,transpose(split(#REF!,"","",1,1))))})), ""^,"", """")"),"AAC,ACC,,MWC,Sun Belt")</f>
        <v>AAC,ACC,,MWC,Sun Belt</v>
      </c>
      <c r="AN65" s="86">
        <f>IFERROR(__xludf.DUMMYFUNCTION("iferror($O65-max(filter($O65:$O$386,arrayformula(isnumber(FIND($E65:$E$386,AM65))))))"),0.0)</f>
        <v>0</v>
      </c>
      <c r="AO65" s="8">
        <f t="array" ref="AO65">countifs($O$2:$O64,"&lt;"&amp;$O65,isnumber(FIND($E$2:$E64,AM65)),TRUE)</f>
        <v>7</v>
      </c>
      <c r="AP65" s="8">
        <f>IFERROR(__xludf.DUMMYFUNCTION("iferror(COUNT(filter($O66:$O$386,$O66:$O$386&gt;$O65,arrayformula(isnumber(FIND($E66:$E$386,AM65))))))"),0.0)</f>
        <v>0</v>
      </c>
      <c r="AQ65" s="16">
        <f t="shared" si="10"/>
        <v>1</v>
      </c>
      <c r="AR65" s="88">
        <f>IFERROR(__xludf.DUMMYFUNCTION("iferror($O65-min(filter($O65:$O$386,arrayformula(isnumber(FIND($E65:$E$386,AM65))))))"),7.0)</f>
        <v>7</v>
      </c>
      <c r="AS65" s="89" t="str">
        <f>IFERROR(__xludf.DUMMYFUNCTION("iferror(join("","",index(sort(filter($F66:$F$386,$O66:$O$386&gt;$O65,arrayformula(isnumber(FIND($E66:$E$386,AM65)))),2,false),0,1)))"),"")</f>
        <v/>
      </c>
    </row>
    <row r="66">
      <c r="A66" s="13">
        <f t="shared" si="11"/>
        <v>65</v>
      </c>
      <c r="B66" s="13">
        <v>7.0</v>
      </c>
      <c r="C66" s="90">
        <v>5.0</v>
      </c>
      <c r="D66" s="91" t="str">
        <f t="shared" si="23"/>
        <v>Nico</v>
      </c>
      <c r="E66" s="179" t="str">
        <f>if(F66&lt;&gt;"",VLOOKUP(F66,'Teams-Conference, for lookup'!A:B,2,0),"")</f>
        <v>CUSA</v>
      </c>
      <c r="F66" s="91" t="s">
        <v>285</v>
      </c>
      <c r="G66" t="str">
        <f t="shared" si="17"/>
        <v/>
      </c>
      <c r="H66" s="97">
        <f t="shared" si="2"/>
        <v>1</v>
      </c>
      <c r="I66" s="97">
        <f t="shared" si="3"/>
        <v>2</v>
      </c>
      <c r="J66" s="97">
        <f t="shared" si="12"/>
        <v>0</v>
      </c>
      <c r="K66" s="2"/>
      <c r="L66" s="2"/>
      <c r="M66" s="97">
        <f>IFERROR(__xludf.DUMMYFUNCTION("counta(iferror(filter(L$2:L65,E$2:E65=E66,L$2:L65&lt;L66)))"),0.0)</f>
        <v>0</v>
      </c>
      <c r="N66" s="97">
        <f>IFERROR(__xludf.DUMMYFUNCTION("counta(iferror(filter(L67:L$124,E67:E$124=E66,L67:L$125&gt;L66)))"),0.0)</f>
        <v>0</v>
      </c>
      <c r="O66" s="83">
        <f t="array" ref="O66:X66">XLOOKUP(F66,'Current Week'!B:B,'Current Week'!C:O)</f>
        <v>4</v>
      </c>
      <c r="P66" s="97">
        <v>4.0</v>
      </c>
      <c r="Q66" s="2" t="s">
        <v>192</v>
      </c>
      <c r="R66" s="2" t="s">
        <v>106</v>
      </c>
      <c r="S66" s="2"/>
      <c r="T66" s="2" t="s">
        <v>115</v>
      </c>
      <c r="U66" s="8" t="s">
        <v>115</v>
      </c>
      <c r="V66" s="2"/>
      <c r="W66" s="8">
        <v>9999.0</v>
      </c>
      <c r="X66" s="2"/>
      <c r="Y66" s="2"/>
      <c r="Z66" s="2"/>
      <c r="AA66" s="86">
        <f t="shared" si="4"/>
        <v>-6</v>
      </c>
      <c r="AB66" s="8">
        <f t="shared" si="5"/>
        <v>3</v>
      </c>
      <c r="AC66" s="8">
        <f>IFERROR(__xludf.DUMMYFUNCTION("iferror(COUNT(filter($O67:$O$386,$O67:$O$386&gt;$O66)))"),30.0)</f>
        <v>30</v>
      </c>
      <c r="AD66" s="16">
        <f t="shared" si="6"/>
        <v>0</v>
      </c>
      <c r="AE66" s="88">
        <f t="shared" si="7"/>
        <v>1</v>
      </c>
      <c r="AF66" s="2" t="str">
        <f>IFERROR(__xludf.DUMMYFUNCTION("iferror(join("","",index(sort(filter($F67:$F$387,$O67:$O$387&gt;$O66),2,false),0,1)))"),"Northwestern,Ole Miss,Arkansas,Mississippi State,Idaho,Penn State,Arizona State,Minnesota,Georgia Tech,Boston College,Texas A&amp;M,UCF,NC State,Old Dominion,California,Auburn,Colorado,Wyoming,Eastern Michigan,Kentucky,Wake Forest,Indiana,Maryland,Miami-OH,So"&amp;"uth Carolina,Vanderbilt,Hawaii,SMU,North Texas,UTSA")</f>
        <v>Northwestern,Ole Miss,Arkansas,Mississippi State,Idaho,Penn State,Arizona State,Minnesota,Georgia Tech,Boston College,Texas A&amp;M,UCF,NC State,Old Dominion,California,Auburn,Colorado,Wyoming,Eastern Michigan,Kentucky,Wake Forest,Indiana,Maryland,Miami-OH,South Carolina,Vanderbilt,Hawaii,SMU,North Texas,UTSA</v>
      </c>
      <c r="AG66" s="86">
        <f>IFERROR(__xludf.DUMMYFUNCTION("iferror($O66-max(filter($O66:$O$386,$E66:$E$386=$E$2)))"),-4.0)</f>
        <v>-4</v>
      </c>
      <c r="AH66" s="8">
        <f t="shared" si="8"/>
        <v>0</v>
      </c>
      <c r="AI66" s="8">
        <f>IFERROR(__xludf.DUMMYFUNCTION("iferror(COUNT(filter($O67:$O$386,$O67:$O$386&gt;$O66,$E66:$E$386=$E$2)))"),0.0)</f>
        <v>0</v>
      </c>
      <c r="AJ66" s="16">
        <f t="shared" si="9"/>
        <v>0</v>
      </c>
      <c r="AK66" s="88">
        <f>IFERROR(__xludf.DUMMYFUNCTION("iferror($O66-min(filter($O66:$O$386,$E66:$E$386=$E$2)))"),2.0)</f>
        <v>2</v>
      </c>
      <c r="AL66" s="2" t="str">
        <f>IFERROR(__xludf.DUMMYFUNCTION("iferror(join("","",index(sort(filter($F67:$F$386,$O67:$O$386&gt;$O66,$E67:$E$386=$E$2),2,false),0,1)))"),"Georgia Tech,Boston College,NC State,Wake Forest")</f>
        <v>Georgia Tech,Boston College,NC State,Wake Forest</v>
      </c>
      <c r="AM66" s="2" t="str">
        <f>IFERROR(__xludf.DUMMYFUNCTION("REGEXREPLACE(join("","",unique({let(conf_picked,filter(E$1:E65,D$1:D65=D66), byrow(unique(TRANSPOSe(Teams!$1:$1)),lambda(rw,if(ISERROR(match(rw,conf_picked,0)),rw,))));iferror(if(#REF!,,transpose(split(#REF!,"","",1,1))))})), ""^,"", """")"),"ACC,Big 12,CUSA,SEC")</f>
        <v>ACC,Big 12,CUSA,SEC</v>
      </c>
      <c r="AN66" s="86">
        <f>IFERROR(__xludf.DUMMYFUNCTION("iferror($O66-max(filter($O66:$O$386,arrayformula(isnumber(FIND($E66:$E$386,AM66))))))"),-5.0)</f>
        <v>-5</v>
      </c>
      <c r="AO66" s="8">
        <f t="array" ref="AO66">countifs($O$2:$O65,"&lt;"&amp;$O66,isnumber(FIND($E$2:$E65,AM66)),TRUE)</f>
        <v>1</v>
      </c>
      <c r="AP66" s="8">
        <f>IFERROR(__xludf.DUMMYFUNCTION("iferror(COUNT(filter($O67:$O$386,$O67:$O$386&gt;$O66,arrayformula(isnumber(FIND($E67:$E$386,AM66))))))"),15.0)</f>
        <v>15</v>
      </c>
      <c r="AQ66" s="16">
        <f t="shared" si="10"/>
        <v>0</v>
      </c>
      <c r="AR66" s="88">
        <f>IFERROR(__xludf.DUMMYFUNCTION("iferror($O66-min(filter($O66:$O$386,arrayformula(isnumber(FIND($E66:$E$386,AM66))))))"),2.0)</f>
        <v>2</v>
      </c>
      <c r="AS66" s="89" t="str">
        <f>IFERROR(__xludf.DUMMYFUNCTION("iferror(join("","",index(sort(filter($F67:$F$386,$O67:$O$386&gt;$O66,arrayformula(isnumber(FIND($E67:$E$386,AM66)))),2,false),0,1)))"),"Ole Miss,Arkansas,Mississippi State,Georgia Tech,Boston College,Texas A&amp;M,NC State,Old Dominion,Auburn,Kentucky,Wake Forest,South Carolina,Vanderbilt,North Texas,UTSA")</f>
        <v>Ole Miss,Arkansas,Mississippi State,Georgia Tech,Boston College,Texas A&amp;M,NC State,Old Dominion,Auburn,Kentucky,Wake Forest,South Carolina,Vanderbilt,North Texas,UTSA</v>
      </c>
    </row>
    <row r="67">
      <c r="A67" s="13">
        <f t="shared" si="11"/>
        <v>66</v>
      </c>
      <c r="B67" s="13">
        <v>7.0</v>
      </c>
      <c r="C67" s="90">
        <v>6.0</v>
      </c>
      <c r="D67" s="91" t="str">
        <f t="shared" si="23"/>
        <v>Vu</v>
      </c>
      <c r="E67" s="179" t="str">
        <f>if(F67&lt;&gt;"",VLOOKUP(F67,'Teams-Conference, for lookup'!A:B,2,0),"")</f>
        <v>Sun Belt</v>
      </c>
      <c r="F67" s="91" t="s">
        <v>387</v>
      </c>
      <c r="G67" t="str">
        <f t="shared" si="17"/>
        <v/>
      </c>
      <c r="H67" s="97">
        <f t="shared" si="2"/>
        <v>0</v>
      </c>
      <c r="I67" s="97">
        <f t="shared" si="3"/>
        <v>2</v>
      </c>
      <c r="J67" s="97">
        <f t="shared" si="12"/>
        <v>0</v>
      </c>
      <c r="K67" s="97">
        <f t="shared" ref="K67:K72" si="24">countif(E47:E67,E68)</f>
        <v>0</v>
      </c>
      <c r="L67" s="2"/>
      <c r="M67" s="97">
        <f>IFERROR(__xludf.DUMMYFUNCTION("counta(iferror(filter(L$2:L66,E$2:E66=E67,L$2:L66&lt;L67)))"),0.0)</f>
        <v>0</v>
      </c>
      <c r="N67" s="97">
        <f>IFERROR(__xludf.DUMMYFUNCTION("counta(iferror(filter(L68:L$124,E68:E$124=E67,L68:L$125&gt;L67)))"),0.0)</f>
        <v>0</v>
      </c>
      <c r="O67" s="83">
        <f t="array" ref="O67:X67">XLOOKUP(F67,'Current Week'!B:B,'Current Week'!C:O)</f>
        <v>3</v>
      </c>
      <c r="P67" s="97">
        <v>6.0</v>
      </c>
      <c r="Q67" s="2" t="s">
        <v>148</v>
      </c>
      <c r="R67" s="2" t="s">
        <v>106</v>
      </c>
      <c r="S67" s="2"/>
      <c r="T67" s="8" t="s">
        <v>115</v>
      </c>
      <c r="U67" s="8" t="s">
        <v>115</v>
      </c>
      <c r="V67" s="2"/>
      <c r="W67" s="8">
        <v>9999.0</v>
      </c>
      <c r="X67" s="2"/>
      <c r="Y67" s="2"/>
      <c r="Z67" s="2"/>
      <c r="AA67" s="86">
        <f t="shared" si="4"/>
        <v>-7</v>
      </c>
      <c r="AB67" s="8">
        <f t="shared" si="5"/>
        <v>0</v>
      </c>
      <c r="AC67" s="8">
        <f>IFERROR(__xludf.DUMMYFUNCTION("iferror(COUNT(filter($O68:$O$386,$O68:$O$386&gt;$O67)))"),41.0)</f>
        <v>41</v>
      </c>
      <c r="AD67" s="16">
        <f t="shared" si="6"/>
        <v>0</v>
      </c>
      <c r="AE67" s="88">
        <f t="shared" si="7"/>
        <v>0</v>
      </c>
      <c r="AF67" s="2" t="str">
        <f>IFERROR(__xludf.DUMMYFUNCTION("iferror(join("","",index(sort(filter($F68:$F$387,$O68:$O$387&gt;$O67),2,false),0,1)))"),"Northwestern,Ole Miss,Arkansas,UTEP,San José State,UNLV,Mississippi State,Idaho,Penn State,Arizona State,Minnesota,Georgia Tech,Boston College,Texas A&amp;M,UCF,NC State,Ball State,Louisiana Monroe,Old Dominion,California,Auburn,Colorado,Wyoming,Eastern Michi"&amp;"gan,Kentucky,Wake Forest,Indiana,Maryland,Miami-OH,South Carolina,Vanderbilt,Hawaii,SMU,North Texas,UTSA,Tulane,Duke,Syracuse,Charlotte,Oregon State,Missouri")</f>
        <v>Northwestern,Ole Miss,Arkansas,UTEP,San José State,UNLV,Mississippi State,Idaho,Penn State,Arizona State,Minnesota,Georgia Tech,Boston College,Texas A&amp;M,UCF,NC State,Ball State,Louisiana Monroe,Old Dominion,California,Auburn,Colorado,Wyoming,Eastern Michigan,Kentucky,Wake Forest,Indiana,Maryland,Miami-OH,South Carolina,Vanderbilt,Hawaii,SMU,North Texas,UTSA,Tulane,Duke,Syracuse,Charlotte,Oregon State,Missouri</v>
      </c>
      <c r="AG67" s="86">
        <f>IFERROR(__xludf.DUMMYFUNCTION("iferror($O67-max(filter($O67:$O$386,$E67:$E$386=$E$2)))"),-5.0)</f>
        <v>-5</v>
      </c>
      <c r="AH67" s="8">
        <f t="shared" si="8"/>
        <v>0</v>
      </c>
      <c r="AI67" s="8">
        <f>IFERROR(__xludf.DUMMYFUNCTION("iferror(COUNT(filter($O68:$O$386,$O68:$O$386&gt;$O67,$E67:$E$386=$E$2)))"),0.0)</f>
        <v>0</v>
      </c>
      <c r="AJ67" s="16">
        <f t="shared" si="9"/>
        <v>0</v>
      </c>
      <c r="AK67" s="88">
        <f>IFERROR(__xludf.DUMMYFUNCTION("iferror($O67-min(filter($O67:$O$386,$E67:$E$386=$E$2)))"),1.0)</f>
        <v>1</v>
      </c>
      <c r="AL67" s="2" t="str">
        <f>IFERROR(__xludf.DUMMYFUNCTION("iferror(join("","",index(sort(filter($F68:$F$386,$O68:$O$386&gt;$O67,$E68:$E$386=$E$2),2,false),0,1)))"),"Georgia Tech,Boston College,NC State,Wake Forest,Duke,Syracuse")</f>
        <v>Georgia Tech,Boston College,NC State,Wake Forest,Duke,Syracuse</v>
      </c>
      <c r="AM67" s="2" t="str">
        <f>IFERROR(__xludf.DUMMYFUNCTION("REGEXREPLACE(join("","",unique({let(conf_picked,filter(E$1:E66,D$1:D66=D67), byrow(unique(TRANSPOSe(Teams!$1:$1)),lambda(rw,if(ISERROR(match(rw,conf_picked,0)),rw,))));iferror(if(#REF!,,transpose(split(#REF!,"","",1,1))))})), ""^,"", """")"),"CUSA,MAC,SEC,Sun Belt")</f>
        <v>CUSA,MAC,SEC,Sun Belt</v>
      </c>
      <c r="AN67" s="86">
        <f>IFERROR(__xludf.DUMMYFUNCTION("iferror($O67-max(filter($O67:$O$386,arrayformula(isnumber(FIND($E67:$E$386,AM67))))))"),-6.0)</f>
        <v>-6</v>
      </c>
      <c r="AO67" s="8">
        <f t="array" ref="AO67">countifs($O$2:$O66,"&lt;"&amp;$O67,isnumber(FIND($E$2:$E66,AM67)),TRUE)</f>
        <v>0</v>
      </c>
      <c r="AP67" s="8">
        <f>IFERROR(__xludf.DUMMYFUNCTION("iferror(COUNT(filter($O68:$O$386,$O68:$O$386&gt;$O67,arrayformula(isnumber(FIND($E68:$E$386,AM67))))))"),19.0)</f>
        <v>19</v>
      </c>
      <c r="AQ67" s="16">
        <f t="shared" si="10"/>
        <v>0</v>
      </c>
      <c r="AR67" s="88">
        <f>IFERROR(__xludf.DUMMYFUNCTION("iferror($O67-min(filter($O67:$O$386,arrayformula(isnumber(FIND($E67:$E$386,AM67))))))"),1.0)</f>
        <v>1</v>
      </c>
      <c r="AS67" s="89" t="str">
        <f>IFERROR(__xludf.DUMMYFUNCTION("iferror(join("","",index(sort(filter($F68:$F$386,$O68:$O$386&gt;$O67,arrayformula(isnumber(FIND($E68:$E$386,AM67)))),2,false),0,1)))"),"Ole Miss,Arkansas,UTEP,Mississippi State,Idaho,Texas A&amp;M,Ball State,Louisiana Monroe,Old Dominion,Auburn,Eastern Michigan,Kentucky,Miami-OH,South Carolina,Vanderbilt,North Texas,UTSA,Charlotte,Missouri")</f>
        <v>Ole Miss,Arkansas,UTEP,Mississippi State,Idaho,Texas A&amp;M,Ball State,Louisiana Monroe,Old Dominion,Auburn,Eastern Michigan,Kentucky,Miami-OH,South Carolina,Vanderbilt,North Texas,UTSA,Charlotte,Missouri</v>
      </c>
    </row>
    <row r="68">
      <c r="A68" s="13">
        <f t="shared" si="11"/>
        <v>67</v>
      </c>
      <c r="B68" s="13">
        <v>7.0</v>
      </c>
      <c r="C68" s="90">
        <v>7.0</v>
      </c>
      <c r="D68" s="91" t="str">
        <f t="shared" si="23"/>
        <v>Josh T.</v>
      </c>
      <c r="E68" s="179" t="str">
        <f>if(F68&lt;&gt;"",VLOOKUP(F68,'Teams-Conference, for lookup'!A:B,2,0),"")</f>
        <v>Big Ten</v>
      </c>
      <c r="F68" s="13" t="s">
        <v>402</v>
      </c>
      <c r="G68" t="str">
        <f t="shared" si="17"/>
        <v/>
      </c>
      <c r="H68" s="97">
        <f t="shared" si="2"/>
        <v>1</v>
      </c>
      <c r="I68" s="97">
        <f t="shared" si="3"/>
        <v>3</v>
      </c>
      <c r="J68" s="97">
        <f t="shared" si="12"/>
        <v>0</v>
      </c>
      <c r="K68" s="97">
        <f t="shared" si="24"/>
        <v>1</v>
      </c>
      <c r="L68" s="2"/>
      <c r="M68" s="97">
        <f>IFERROR(__xludf.DUMMYFUNCTION("counta(iferror(filter(L$2:L67,E$2:E67=E68,L$2:L67&lt;L68)))"),0.0)</f>
        <v>0</v>
      </c>
      <c r="N68" s="97">
        <f>IFERROR(__xludf.DUMMYFUNCTION("counta(iferror(filter(L69:L$124,E69:E$124=E68,L69:L$125&gt;L68)))"),0.0)</f>
        <v>0</v>
      </c>
      <c r="O68" s="83">
        <f t="array" ref="O68:X68">XLOOKUP(F68,'Current Week'!B:B,'Current Week'!C:O)</f>
        <v>6</v>
      </c>
      <c r="P68" s="83">
        <v>6.0</v>
      </c>
      <c r="Q68" s="2" t="s">
        <v>124</v>
      </c>
      <c r="R68" s="2" t="s">
        <v>106</v>
      </c>
      <c r="S68" s="2"/>
      <c r="T68" s="2">
        <v>5.0</v>
      </c>
      <c r="U68" s="8" t="s">
        <v>108</v>
      </c>
      <c r="V68" s="2"/>
      <c r="W68" s="8">
        <v>9999.0</v>
      </c>
      <c r="X68" s="2"/>
      <c r="Y68" s="2"/>
      <c r="Z68" s="2"/>
      <c r="AA68" s="86">
        <f t="shared" si="4"/>
        <v>-4</v>
      </c>
      <c r="AB68" s="8">
        <f t="shared" si="5"/>
        <v>15</v>
      </c>
      <c r="AC68" s="8">
        <f>IFERROR(__xludf.DUMMYFUNCTION("iferror(COUNT(filter($O69:$O$386,$O69:$O$386&gt;$O68)))"),12.0)</f>
        <v>12</v>
      </c>
      <c r="AD68" s="16">
        <f t="shared" si="6"/>
        <v>0</v>
      </c>
      <c r="AE68" s="88">
        <f t="shared" si="7"/>
        <v>3</v>
      </c>
      <c r="AF68" s="2" t="str">
        <f>IFERROR(__xludf.DUMMYFUNCTION("iferror(join("","",index(sort(filter($F69:$F$387,$O69:$O$387&gt;$O68),2,false),0,1)))"),"Arkansas,Idaho,Penn State,Minnesota,Georgia Tech,Texas A&amp;M,Old Dominion,Auburn,Colorado,Wyoming,Eastern Michigan,Kentucky")</f>
        <v>Arkansas,Idaho,Penn State,Minnesota,Georgia Tech,Texas A&amp;M,Old Dominion,Auburn,Colorado,Wyoming,Eastern Michigan,Kentucky</v>
      </c>
      <c r="AG68" s="86">
        <f>IFERROR(__xludf.DUMMYFUNCTION("iferror($O68-max(filter($O68:$O$386,$E68:$E$386=$E$2)))"),-2.0)</f>
        <v>-2</v>
      </c>
      <c r="AH68" s="8">
        <f t="shared" si="8"/>
        <v>0</v>
      </c>
      <c r="AI68" s="8">
        <f>IFERROR(__xludf.DUMMYFUNCTION("iferror(COUNT(filter($O69:$O$386,$O69:$O$386&gt;$O68,$E68:$E$386=$E$2)))"),0.0)</f>
        <v>0</v>
      </c>
      <c r="AJ68" s="16">
        <f t="shared" si="9"/>
        <v>0</v>
      </c>
      <c r="AK68" s="88">
        <f>IFERROR(__xludf.DUMMYFUNCTION("iferror($O68-min(filter($O68:$O$386,$E68:$E$386=$E$2)))"),4.0)</f>
        <v>4</v>
      </c>
      <c r="AL68" s="2" t="str">
        <f>IFERROR(__xludf.DUMMYFUNCTION("iferror(join("","",index(sort(filter($F69:$F$386,$O69:$O$386&gt;$O68,$E69:$E$386=$E$2),2,false),0,1)))"),"Georgia Tech")</f>
        <v>Georgia Tech</v>
      </c>
      <c r="AM68" s="2" t="str">
        <f>IFERROR(__xludf.DUMMYFUNCTION("REGEXREPLACE(join("","",unique({let(conf_picked,filter(E$1:E67,D$1:D67=D68), byrow(unique(TRANSPOSe(Teams!$1:$1)),lambda(rw,if(ISERROR(match(rw,conf_picked,0)),rw,))));iferror(if(#REF!,,transpose(split(#REF!,"","",1,1))))})), ""^,"", """")"),"Big Ten,CUSA,MWC,Sun Belt")</f>
        <v>Big Ten,CUSA,MWC,Sun Belt</v>
      </c>
      <c r="AN68" s="86">
        <f>IFERROR(__xludf.DUMMYFUNCTION("iferror($O68-max(filter($O68:$O$386,arrayformula(isnumber(FIND($E68:$E$386,AM68))))))"),-4.0)</f>
        <v>-4</v>
      </c>
      <c r="AO68" s="8">
        <f t="array" ref="AO68">countifs($O$2:$O67,"&lt;"&amp;$O68,isnumber(FIND($E$2:$E67,AM68)),TRUE)</f>
        <v>7</v>
      </c>
      <c r="AP68" s="8">
        <f>IFERROR(__xludf.DUMMYFUNCTION("iferror(COUNT(filter($O69:$O$386,$O69:$O$386&gt;$O68,arrayformula(isnumber(FIND($E69:$E$386,AM68))))))"),5.0)</f>
        <v>5</v>
      </c>
      <c r="AQ68" s="16">
        <f t="shared" si="10"/>
        <v>0</v>
      </c>
      <c r="AR68" s="88">
        <f>IFERROR(__xludf.DUMMYFUNCTION("iferror($O68-min(filter($O68:$O$386,arrayformula(isnumber(FIND($E68:$E$386,AM68))))))"),5.0)</f>
        <v>5</v>
      </c>
      <c r="AS68" s="89" t="str">
        <f>IFERROR(__xludf.DUMMYFUNCTION("iferror(join("","",index(sort(filter($F69:$F$386,$O69:$O$386&gt;$O68,arrayformula(isnumber(FIND($E69:$E$386,AM68)))),2,false),0,1)))"),"Idaho,Penn State,Minnesota,Old Dominion,Wyoming")</f>
        <v>Idaho,Penn State,Minnesota,Old Dominion,Wyoming</v>
      </c>
    </row>
    <row r="69">
      <c r="A69" s="13">
        <f t="shared" si="11"/>
        <v>68</v>
      </c>
      <c r="B69" s="13">
        <v>7.0</v>
      </c>
      <c r="C69" s="90">
        <v>8.0</v>
      </c>
      <c r="D69" s="91" t="str">
        <f t="shared" si="23"/>
        <v>Justin</v>
      </c>
      <c r="E69" s="179" t="str">
        <f>if(F69&lt;&gt;"",VLOOKUP(F69,'Teams-Conference, for lookup'!A:B,2,0),"")</f>
        <v>SEC</v>
      </c>
      <c r="F69" s="189" t="s">
        <v>421</v>
      </c>
      <c r="G69" t="str">
        <f t="shared" si="17"/>
        <v/>
      </c>
      <c r="H69" s="97">
        <f t="shared" si="2"/>
        <v>2</v>
      </c>
      <c r="I69" s="97">
        <f t="shared" si="3"/>
        <v>3</v>
      </c>
      <c r="J69" s="97">
        <f t="shared" si="12"/>
        <v>1</v>
      </c>
      <c r="K69" s="97">
        <f t="shared" si="24"/>
        <v>1</v>
      </c>
      <c r="L69" s="2"/>
      <c r="M69" s="97">
        <f>IFERROR(__xludf.DUMMYFUNCTION("counta(iferror(filter(L$2:L68,E$2:E68=E69,L$2:L68&lt;L69)))"),0.0)</f>
        <v>0</v>
      </c>
      <c r="N69" s="97">
        <f>IFERROR(__xludf.DUMMYFUNCTION("counta(iferror(filter(L70:L$124,E70:E$124=E69,L70:L$125&gt;L69)))"),0.0)</f>
        <v>0</v>
      </c>
      <c r="O69" s="83">
        <f t="array" ref="O69:X69">XLOOKUP(F69,'Current Week'!B:B,'Current Week'!C:O)</f>
        <v>5</v>
      </c>
      <c r="P69" s="97">
        <v>6.0</v>
      </c>
      <c r="Q69" s="2" t="s">
        <v>27</v>
      </c>
      <c r="R69" s="2" t="s">
        <v>106</v>
      </c>
      <c r="S69" s="2"/>
      <c r="T69" s="2" t="s">
        <v>115</v>
      </c>
      <c r="U69" s="8" t="s">
        <v>115</v>
      </c>
      <c r="V69" s="2"/>
      <c r="W69" s="8">
        <v>9999.0</v>
      </c>
      <c r="X69" s="2"/>
      <c r="Y69" s="2"/>
      <c r="Z69" s="2"/>
      <c r="AA69" s="86">
        <f t="shared" si="4"/>
        <v>-5</v>
      </c>
      <c r="AB69" s="8">
        <f t="shared" si="5"/>
        <v>9</v>
      </c>
      <c r="AC69" s="8">
        <f>IFERROR(__xludf.DUMMYFUNCTION("iferror(COUNT(filter($O70:$O$386,$O70:$O$386&gt;$O69)))"),22.0)</f>
        <v>22</v>
      </c>
      <c r="AD69" s="16">
        <f t="shared" si="6"/>
        <v>0</v>
      </c>
      <c r="AE69" s="88">
        <f t="shared" si="7"/>
        <v>2</v>
      </c>
      <c r="AF69" s="2" t="str">
        <f>IFERROR(__xludf.DUMMYFUNCTION("iferror(join("","",index(sort(filter($F70:$F$387,$O70:$O$387&gt;$O69),2,false),0,1)))"),"Arkansas,Idaho,Penn State,Minnesota,Georgia Tech,Boston College,Texas A&amp;M,UCF,NC State,Old Dominion,Auburn,Colorado,Wyoming,Eastern Michigan,Kentucky,Wake Forest,Indiana,Maryland,Miami-OH,South Carolina,Vanderbilt,Hawaii")</f>
        <v>Arkansas,Idaho,Penn State,Minnesota,Georgia Tech,Boston College,Texas A&amp;M,UCF,NC State,Old Dominion,Auburn,Colorado,Wyoming,Eastern Michigan,Kentucky,Wake Forest,Indiana,Maryland,Miami-OH,South Carolina,Vanderbilt,Hawaii</v>
      </c>
      <c r="AG69" s="86">
        <f>IFERROR(__xludf.DUMMYFUNCTION("iferror($O69-max(filter($O69:$O$386,$E69:$E$386=$E$2)))"),-3.0)</f>
        <v>-3</v>
      </c>
      <c r="AH69" s="8">
        <f t="shared" si="8"/>
        <v>0</v>
      </c>
      <c r="AI69" s="8">
        <f>IFERROR(__xludf.DUMMYFUNCTION("iferror(COUNT(filter($O70:$O$386,$O70:$O$386&gt;$O69,$E69:$E$386=$E$2)))"),0.0)</f>
        <v>0</v>
      </c>
      <c r="AJ69" s="16">
        <f t="shared" si="9"/>
        <v>0</v>
      </c>
      <c r="AK69" s="88">
        <f>IFERROR(__xludf.DUMMYFUNCTION("iferror($O69-min(filter($O69:$O$386,$E69:$E$386=$E$2)))"),3.0)</f>
        <v>3</v>
      </c>
      <c r="AL69" s="2" t="str">
        <f>IFERROR(__xludf.DUMMYFUNCTION("iferror(join("","",index(sort(filter($F70:$F$386,$O70:$O$386&gt;$O69,$E70:$E$386=$E$2),2,false),0,1)))"),"Georgia Tech,Boston College,NC State,Wake Forest")</f>
        <v>Georgia Tech,Boston College,NC State,Wake Forest</v>
      </c>
      <c r="AM69" s="2" t="str">
        <f>IFERROR(__xludf.DUMMYFUNCTION("REGEXREPLACE(join("","",unique({let(conf_picked,filter(E$1:E68,D$1:D68=D69), byrow(unique(TRANSPOSe(Teams!$1:$1)),lambda(rw,if(ISERROR(match(rw,conf_picked,0)),rw,))));iferror(if(#REF!,,transpose(split(#REF!,"","",1,1))))})), ""^,"", """")"),"AAC,,MAC,MWC,SEC")</f>
        <v>AAC,,MAC,MWC,SEC</v>
      </c>
      <c r="AN69" s="86">
        <f>IFERROR(__xludf.DUMMYFUNCTION("iferror($O69-max(filter($O69:$O$386,arrayformula(isnumber(FIND($E69:$E$386,AM69))))))"),-3.0)</f>
        <v>-3</v>
      </c>
      <c r="AO69" s="8">
        <f t="array" ref="AO69">countifs($O$2:$O68,"&lt;"&amp;$O69,isnumber(FIND($E$2:$E68,AM69)),TRUE)</f>
        <v>3</v>
      </c>
      <c r="AP69" s="8">
        <f>IFERROR(__xludf.DUMMYFUNCTION("iferror(COUNT(filter($O70:$O$386,$O70:$O$386&gt;$O69,arrayformula(isnumber(FIND($E70:$E$386,AM69))))))"),11.0)</f>
        <v>11</v>
      </c>
      <c r="AQ69" s="16">
        <f t="shared" si="10"/>
        <v>0</v>
      </c>
      <c r="AR69" s="88">
        <f>IFERROR(__xludf.DUMMYFUNCTION("iferror($O69-min(filter($O69:$O$386,arrayformula(isnumber(FIND($E69:$E$386,AM69))))))"),4.0)</f>
        <v>4</v>
      </c>
      <c r="AS69" s="89" t="str">
        <f>IFERROR(__xludf.DUMMYFUNCTION("iferror(join("","",index(sort(filter($F70:$F$386,$O70:$O$386&gt;$O69,arrayformula(isnumber(FIND($E70:$E$386,AM69)))),2,false),0,1)))"),"Arkansas,Texas A&amp;M,UCF,Auburn,Wyoming,Eastern Michigan,Kentucky,Miami-OH,South Carolina,Vanderbilt,Hawaii")</f>
        <v>Arkansas,Texas A&amp;M,UCF,Auburn,Wyoming,Eastern Michigan,Kentucky,Miami-OH,South Carolina,Vanderbilt,Hawaii</v>
      </c>
    </row>
    <row r="70">
      <c r="A70" s="13">
        <f t="shared" si="11"/>
        <v>69</v>
      </c>
      <c r="B70" s="13">
        <v>7.0</v>
      </c>
      <c r="C70" s="90">
        <v>9.0</v>
      </c>
      <c r="D70" s="91" t="str">
        <f t="shared" si="23"/>
        <v>Frank</v>
      </c>
      <c r="E70" s="179" t="str">
        <f>if(F70&lt;&gt;"",VLOOKUP(F70,'Teams-Conference, for lookup'!A:B,2,0),"")</f>
        <v>Big Ten</v>
      </c>
      <c r="F70" s="190" t="s">
        <v>427</v>
      </c>
      <c r="G70" t="str">
        <f t="shared" si="17"/>
        <v/>
      </c>
      <c r="H70" s="97">
        <f t="shared" si="2"/>
        <v>1</v>
      </c>
      <c r="I70" s="97">
        <f t="shared" si="3"/>
        <v>2</v>
      </c>
      <c r="J70" s="97">
        <f t="shared" si="12"/>
        <v>1</v>
      </c>
      <c r="K70" s="97">
        <f t="shared" si="24"/>
        <v>2</v>
      </c>
      <c r="L70" s="2"/>
      <c r="M70" s="97">
        <f>IFERROR(__xludf.DUMMYFUNCTION("counta(iferror(filter(L$2:L69,E$2:E69=E70,L$2:L69&lt;L70)))"),0.0)</f>
        <v>0</v>
      </c>
      <c r="N70" s="97">
        <f>IFERROR(__xludf.DUMMYFUNCTION("counta(iferror(filter(L71:L$124,E71:E$124=E70,L71:L$125&gt;L70)))"),0.0)</f>
        <v>0</v>
      </c>
      <c r="O70" s="83">
        <f t="array" ref="O70:X70">XLOOKUP(F70,'Current Week'!B:B,'Current Week'!C:O)</f>
        <v>3</v>
      </c>
      <c r="P70" s="97">
        <v>8.0</v>
      </c>
      <c r="Q70" s="2" t="s">
        <v>124</v>
      </c>
      <c r="R70" s="2" t="s">
        <v>106</v>
      </c>
      <c r="S70" s="2"/>
      <c r="T70" s="8" t="s">
        <v>115</v>
      </c>
      <c r="U70" s="8" t="s">
        <v>115</v>
      </c>
      <c r="V70" s="2"/>
      <c r="W70" s="8">
        <v>9999.0</v>
      </c>
      <c r="X70" s="2"/>
      <c r="Y70" s="2"/>
      <c r="Z70" s="2"/>
      <c r="AA70" s="86">
        <f t="shared" si="4"/>
        <v>-7</v>
      </c>
      <c r="AB70" s="8">
        <f t="shared" si="5"/>
        <v>0</v>
      </c>
      <c r="AC70" s="8">
        <f>IFERROR(__xludf.DUMMYFUNCTION("iferror(COUNT(filter($O71:$O$386,$O71:$O$386&gt;$O70)))"),39.0)</f>
        <v>39</v>
      </c>
      <c r="AD70" s="16">
        <f t="shared" si="6"/>
        <v>0</v>
      </c>
      <c r="AE70" s="88">
        <f t="shared" si="7"/>
        <v>0</v>
      </c>
      <c r="AF70" s="2" t="str">
        <f>IFERROR(__xludf.DUMMYFUNCTION("iferror(join("","",index(sort(filter($F71:$F$387,$O71:$O$387&gt;$O70),2,false),0,1)))"),"Arkansas,UTEP,San José State,UNLV,Mississippi State,Idaho,Penn State,Arizona State,Minnesota,Georgia Tech,Boston College,Texas A&amp;M,UCF,NC State,Ball State,Louisiana Monroe,Old Dominion,California,Auburn,Colorado,Wyoming,Eastern Michigan,Kentucky,Wake Fore"&amp;"st,Indiana,Maryland,Miami-OH,South Carolina,Vanderbilt,Hawaii,SMU,North Texas,UTSA,Tulane,Duke,Syracuse,Charlotte,Oregon State,Missouri")</f>
        <v>Arkansas,UTEP,San José State,UNLV,Mississippi State,Idaho,Penn State,Arizona State,Minnesota,Georgia Tech,Boston College,Texas A&amp;M,UCF,NC State,Ball State,Louisiana Monroe,Old Dominion,California,Auburn,Colorado,Wyoming,Eastern Michigan,Kentucky,Wake Forest,Indiana,Maryland,Miami-OH,South Carolina,Vanderbilt,Hawaii,SMU,North Texas,UTSA,Tulane,Duke,Syracuse,Charlotte,Oregon State,Missouri</v>
      </c>
      <c r="AG70" s="86">
        <f>IFERROR(__xludf.DUMMYFUNCTION("iferror($O70-max(filter($O70:$O$386,$E70:$E$386=$E$2)))"),-5.0)</f>
        <v>-5</v>
      </c>
      <c r="AH70" s="8">
        <f t="shared" si="8"/>
        <v>0</v>
      </c>
      <c r="AI70" s="8">
        <f>IFERROR(__xludf.DUMMYFUNCTION("iferror(COUNT(filter($O71:$O$386,$O71:$O$386&gt;$O70,$E70:$E$386=$E$2)))"),0.0)</f>
        <v>0</v>
      </c>
      <c r="AJ70" s="16">
        <f t="shared" si="9"/>
        <v>0</v>
      </c>
      <c r="AK70" s="88">
        <f>IFERROR(__xludf.DUMMYFUNCTION("iferror($O70-min(filter($O70:$O$386,$E70:$E$386=$E$2)))"),1.0)</f>
        <v>1</v>
      </c>
      <c r="AL70" s="2" t="str">
        <f>IFERROR(__xludf.DUMMYFUNCTION("iferror(join("","",index(sort(filter($F71:$F$386,$O71:$O$386&gt;$O70,$E71:$E$386=$E$2),2,false),0,1)))"),"Georgia Tech,Boston College,NC State,Wake Forest,Duke,Syracuse")</f>
        <v>Georgia Tech,Boston College,NC State,Wake Forest,Duke,Syracuse</v>
      </c>
      <c r="AM70" s="2" t="str">
        <f>IFERROR(__xludf.DUMMYFUNCTION("REGEXREPLACE(join("","",unique({let(conf_picked,filter(E$1:E69,D$1:D69=D70), byrow(unique(TRANSPOSe(Teams!$1:$1)),lambda(rw,if(ISERROR(match(rw,conf_picked,0)),rw,))));iferror(if(#REF!,,transpose(split(#REF!,"","",1,1))))})), ""^,"", """")"),"Big 12,Big Ten,CUSA,Sun Belt")</f>
        <v>Big 12,Big Ten,CUSA,Sun Belt</v>
      </c>
      <c r="AN70" s="86">
        <f>IFERROR(__xludf.DUMMYFUNCTION("iferror($O70-max(filter($O70:$O$386,arrayformula(isnumber(FIND($E70:$E$386,AM70))))))"),-7.0)</f>
        <v>-7</v>
      </c>
      <c r="AO70" s="8">
        <f t="array" ref="AO70">countifs($O$2:$O69,"&lt;"&amp;$O70,isnumber(FIND($E$2:$E69,AM70)),TRUE)</f>
        <v>0</v>
      </c>
      <c r="AP70" s="8">
        <f>IFERROR(__xludf.DUMMYFUNCTION("iferror(COUNT(filter($O71:$O$386,$O71:$O$386&gt;$O70,arrayformula(isnumber(FIND($E71:$E$386,AM70))))))"),11.0)</f>
        <v>11</v>
      </c>
      <c r="AQ70" s="16">
        <f t="shared" si="10"/>
        <v>0</v>
      </c>
      <c r="AR70" s="88">
        <f>IFERROR(__xludf.DUMMYFUNCTION("iferror($O70-min(filter($O70:$O$386,arrayformula(isnumber(FIND($E70:$E$386,AM70))))))"),1.0)</f>
        <v>1</v>
      </c>
      <c r="AS70" s="89" t="str">
        <f>IFERROR(__xludf.DUMMYFUNCTION("iferror(join("","",index(sort(filter($F71:$F$386,$O71:$O$386&gt;$O70,arrayformula(isnumber(FIND($E71:$E$386,AM70)))),2,false),0,1)))"),"UTEP,Idaho,Penn State,Minnesota,Louisiana Monroe,Old Dominion,Indiana,Maryland,North Texas,UTSA,Charlotte")</f>
        <v>UTEP,Idaho,Penn State,Minnesota,Louisiana Monroe,Old Dominion,Indiana,Maryland,North Texas,UTSA,Charlotte</v>
      </c>
    </row>
    <row r="71">
      <c r="A71" s="151">
        <f t="shared" si="11"/>
        <v>70</v>
      </c>
      <c r="B71" s="151">
        <v>7.0</v>
      </c>
      <c r="C71" s="90">
        <v>10.0</v>
      </c>
      <c r="D71" s="101" t="str">
        <f t="shared" si="23"/>
        <v>Nick A.</v>
      </c>
      <c r="E71" s="184" t="str">
        <f>if(F71&lt;&gt;"",VLOOKUP(F71,'Teams-Conference, for lookup'!A:B,2,0),"")</f>
        <v>SEC</v>
      </c>
      <c r="F71" s="101" t="s">
        <v>438</v>
      </c>
      <c r="G71" s="157" t="str">
        <f t="shared" si="17"/>
        <v/>
      </c>
      <c r="H71" s="97">
        <f t="shared" si="2"/>
        <v>1</v>
      </c>
      <c r="I71" s="97">
        <f t="shared" si="3"/>
        <v>2</v>
      </c>
      <c r="J71" s="97">
        <f t="shared" si="12"/>
        <v>2</v>
      </c>
      <c r="K71" s="97">
        <f t="shared" si="24"/>
        <v>1</v>
      </c>
      <c r="L71" s="2"/>
      <c r="M71" s="97">
        <f>IFERROR(__xludf.DUMMYFUNCTION("counta(iferror(filter(L$2:L70,E$2:E70=E71,L$2:L70&lt;L71)))"),0.0)</f>
        <v>0</v>
      </c>
      <c r="N71" s="97">
        <f>IFERROR(__xludf.DUMMYFUNCTION("counta(iferror(filter(L72:L$124,E72:E$124=E71,L72:L$125&gt;L71)))"),0.0)</f>
        <v>0</v>
      </c>
      <c r="O71" s="83">
        <f t="array" ref="O71:X71">XLOOKUP(F71,'Current Week'!B:B,'Current Week'!C:O)</f>
        <v>7</v>
      </c>
      <c r="P71" s="97">
        <v>5.0</v>
      </c>
      <c r="Q71" s="2" t="s">
        <v>105</v>
      </c>
      <c r="R71" s="2" t="s">
        <v>106</v>
      </c>
      <c r="S71" s="2"/>
      <c r="T71" s="2" t="s">
        <v>417</v>
      </c>
      <c r="U71" s="8" t="s">
        <v>108</v>
      </c>
      <c r="V71" s="2"/>
      <c r="W71" s="8">
        <v>9999.0</v>
      </c>
      <c r="X71" s="2"/>
      <c r="Y71" s="2"/>
      <c r="Z71" s="2"/>
      <c r="AA71" s="86">
        <f t="shared" si="4"/>
        <v>-3</v>
      </c>
      <c r="AB71" s="8">
        <f t="shared" si="5"/>
        <v>23</v>
      </c>
      <c r="AC71" s="8">
        <f>IFERROR(__xludf.DUMMYFUNCTION("iferror(COUNT(filter($O72:$O$386,$O72:$O$386&gt;$O71)))"),9.0)</f>
        <v>9</v>
      </c>
      <c r="AD71" s="16">
        <f t="shared" si="6"/>
        <v>0</v>
      </c>
      <c r="AE71" s="88">
        <f t="shared" si="7"/>
        <v>4</v>
      </c>
      <c r="AF71" s="2" t="str">
        <f>IFERROR(__xludf.DUMMYFUNCTION("iferror(join("","",index(sort(filter($F72:$F$387,$O72:$O$387&gt;$O71),2,false),0,1)))"),"Idaho,Penn State,Minnesota,Georgia Tech,Texas A&amp;M,Old Dominion,Auburn,Colorado,Wyoming")</f>
        <v>Idaho,Penn State,Minnesota,Georgia Tech,Texas A&amp;M,Old Dominion,Auburn,Colorado,Wyoming</v>
      </c>
      <c r="AG71" s="86">
        <f>IFERROR(__xludf.DUMMYFUNCTION("iferror($O71-max(filter($O71:$O$386,$E71:$E$386=$E$2)))"),-1.0)</f>
        <v>-1</v>
      </c>
      <c r="AH71" s="8">
        <f t="shared" si="8"/>
        <v>0</v>
      </c>
      <c r="AI71" s="8">
        <f>IFERROR(__xludf.DUMMYFUNCTION("iferror(COUNT(filter($O72:$O$386,$O72:$O$386&gt;$O71,$E71:$E$386=$E$2)))"),0.0)</f>
        <v>0</v>
      </c>
      <c r="AJ71" s="16">
        <f t="shared" si="9"/>
        <v>0</v>
      </c>
      <c r="AK71" s="88">
        <f>IFERROR(__xludf.DUMMYFUNCTION("iferror($O71-min(filter($O71:$O$386,$E71:$E$386=$E$2)))"),5.0)</f>
        <v>5</v>
      </c>
      <c r="AL71" s="2" t="str">
        <f>IFERROR(__xludf.DUMMYFUNCTION("iferror(join("","",index(sort(filter($F72:$F$386,$O72:$O$386&gt;$O71,$E72:$E$386=$E$2),2,false),0,1)))"),"Georgia Tech")</f>
        <v>Georgia Tech</v>
      </c>
      <c r="AM71" s="2" t="str">
        <f>IFERROR(__xludf.DUMMYFUNCTION("REGEXREPLACE(join("","",unique({let(conf_picked,filter(E$1:E70,D$1:D70=D71), byrow(unique(TRANSPOSe(Teams!$1:$1)),lambda(rw,if(ISERROR(match(rw,conf_picked,0)),rw,))));iferror(if(#REF!,,transpose(split(#REF!,"","",1,1))))})), ""^,"", """")"),"AAC,ACC,,CUSA,SEC")</f>
        <v>AAC,ACC,,CUSA,SEC</v>
      </c>
      <c r="AN71" s="86">
        <f>IFERROR(__xludf.DUMMYFUNCTION("iferror($O71-max(filter($O71:$O$386,arrayformula(isnumber(FIND($E71:$E$386,AM71))))))"),-2.0)</f>
        <v>-2</v>
      </c>
      <c r="AO71" s="8">
        <f t="array" ref="AO71">countifs($O$2:$O70,"&lt;"&amp;$O71,isnumber(FIND($E$2:$E70,AM71)),TRUE)</f>
        <v>5</v>
      </c>
      <c r="AP71" s="8">
        <f>IFERROR(__xludf.DUMMYFUNCTION("iferror(COUNT(filter($O72:$O$386,$O72:$O$386&gt;$O71,arrayformula(isnumber(FIND($E72:$E$386,AM71))))))"),4.0)</f>
        <v>4</v>
      </c>
      <c r="AQ71" s="16">
        <f t="shared" si="10"/>
        <v>0</v>
      </c>
      <c r="AR71" s="88">
        <f>IFERROR(__xludf.DUMMYFUNCTION("iferror($O71-min(filter($O71:$O$386,arrayformula(isnumber(FIND($E71:$E$386,AM71))))))"),5.0)</f>
        <v>5</v>
      </c>
      <c r="AS71" s="89" t="str">
        <f>IFERROR(__xludf.DUMMYFUNCTION("iferror(join("","",index(sort(filter($F72:$F$386,$O72:$O$386&gt;$O71,arrayformula(isnumber(FIND($E72:$E$386,AM71)))),2,false),0,1)))"),"Georgia Tech,Texas A&amp;M,Old Dominion,Auburn")</f>
        <v>Georgia Tech,Texas A&amp;M,Old Dominion,Auburn</v>
      </c>
    </row>
    <row r="72">
      <c r="A72" s="13">
        <f t="shared" si="11"/>
        <v>71</v>
      </c>
      <c r="B72" s="13">
        <v>8.0</v>
      </c>
      <c r="C72" s="90">
        <v>1.0</v>
      </c>
      <c r="D72" s="76" t="str">
        <f>D71</f>
        <v>Nick A.</v>
      </c>
      <c r="E72" s="179" t="str">
        <f>if(F72&lt;&gt;"",VLOOKUP(F72,'Teams-Conference, for lookup'!A:B,2,0),"")</f>
        <v>CUSA</v>
      </c>
      <c r="F72" s="13" t="s">
        <v>441</v>
      </c>
      <c r="G72" t="str">
        <f t="shared" si="17"/>
        <v/>
      </c>
      <c r="H72" s="97">
        <f t="shared" si="2"/>
        <v>0</v>
      </c>
      <c r="I72" s="97">
        <f t="shared" si="3"/>
        <v>2</v>
      </c>
      <c r="J72" s="97">
        <f t="shared" si="12"/>
        <v>1</v>
      </c>
      <c r="K72" s="97">
        <f t="shared" si="24"/>
        <v>0</v>
      </c>
      <c r="L72" s="2"/>
      <c r="M72" s="97">
        <f>IFERROR(__xludf.DUMMYFUNCTION("counta(iferror(filter(L$2:L71,E$2:E71=E72,L$2:L71&lt;L72)))"),0.0)</f>
        <v>0</v>
      </c>
      <c r="N72" s="97">
        <f>IFERROR(__xludf.DUMMYFUNCTION("counta(iferror(filter(L73:L$124,E73:E$124=E72,L73:L$125&gt;L72)))"),0.0)</f>
        <v>0</v>
      </c>
      <c r="O72" s="83">
        <f t="array" ref="O72:X72">XLOOKUP(F72,'Current Week'!B:B,'Current Week'!C:O)</f>
        <v>4</v>
      </c>
      <c r="P72" s="97">
        <v>6.0</v>
      </c>
      <c r="Q72" s="2" t="s">
        <v>152</v>
      </c>
      <c r="R72" s="2" t="s">
        <v>106</v>
      </c>
      <c r="S72" s="2"/>
      <c r="T72" s="2" t="s">
        <v>115</v>
      </c>
      <c r="U72" s="8" t="s">
        <v>115</v>
      </c>
      <c r="V72" s="2"/>
      <c r="W72" s="8">
        <v>9999.0</v>
      </c>
      <c r="X72" s="2"/>
      <c r="Y72" s="2"/>
      <c r="Z72" s="2"/>
      <c r="AA72" s="86">
        <f t="shared" si="4"/>
        <v>-6</v>
      </c>
      <c r="AB72" s="8">
        <f t="shared" si="5"/>
        <v>5</v>
      </c>
      <c r="AC72" s="8">
        <f>IFERROR(__xludf.DUMMYFUNCTION("iferror(COUNT(filter($O73:$O$386,$O73:$O$386&gt;$O72)))"),27.0)</f>
        <v>27</v>
      </c>
      <c r="AD72" s="16">
        <f t="shared" si="6"/>
        <v>0</v>
      </c>
      <c r="AE72" s="88">
        <f t="shared" si="7"/>
        <v>1</v>
      </c>
      <c r="AF72" s="2" t="str">
        <f>IFERROR(__xludf.DUMMYFUNCTION("iferror(join("","",index(sort(filter($F73:$F$387,$O73:$O$387&gt;$O72),2,false),0,1)))"),"Mississippi State,Idaho,Penn State,Arizona State,Minnesota,Georgia Tech,Boston College,Texas A&amp;M,UCF,NC State,Old Dominion,California,Auburn,Colorado,Wyoming,Eastern Michigan,Kentucky,Wake Forest,Indiana,Maryland,Miami-OH,South Carolina,Vanderbilt,Hawaii,"&amp;"SMU,North Texas,UTSA")</f>
        <v>Mississippi State,Idaho,Penn State,Arizona State,Minnesota,Georgia Tech,Boston College,Texas A&amp;M,UCF,NC State,Old Dominion,California,Auburn,Colorado,Wyoming,Eastern Michigan,Kentucky,Wake Forest,Indiana,Maryland,Miami-OH,South Carolina,Vanderbilt,Hawaii,SMU,North Texas,UTSA</v>
      </c>
      <c r="AG72" s="86">
        <f>IFERROR(__xludf.DUMMYFUNCTION("iferror($O72-max(filter($O72:$O$386,$E72:$E$386=$E$2)))"),-4.0)</f>
        <v>-4</v>
      </c>
      <c r="AH72" s="8">
        <f t="shared" si="8"/>
        <v>0</v>
      </c>
      <c r="AI72" s="8">
        <f>IFERROR(__xludf.DUMMYFUNCTION("iferror(COUNT(filter($O73:$O$386,$O73:$O$386&gt;$O72,$E72:$E$386=$E$2)))"),0.0)</f>
        <v>0</v>
      </c>
      <c r="AJ72" s="16">
        <f t="shared" si="9"/>
        <v>0</v>
      </c>
      <c r="AK72" s="88">
        <f>IFERROR(__xludf.DUMMYFUNCTION("iferror($O72-min(filter($O72:$O$386,$E72:$E$386=$E$2)))"),2.0)</f>
        <v>2</v>
      </c>
      <c r="AL72" s="2" t="str">
        <f>IFERROR(__xludf.DUMMYFUNCTION("iferror(join("","",index(sort(filter($F73:$F$386,$O73:$O$386&gt;$O72,$E73:$E$386=$E$2),2,false),0,1)))"),"Georgia Tech,Boston College,NC State,Wake Forest")</f>
        <v>Georgia Tech,Boston College,NC State,Wake Forest</v>
      </c>
      <c r="AM72" s="2" t="str">
        <f>IFERROR(__xludf.DUMMYFUNCTION("REGEXREPLACE(join("","",unique({let(conf_picked,filter(E$1:E71,D$1:D71=D72), byrow(unique(TRANSPOSe(Teams!$1:$1)),lambda(rw,if(ISERROR(match(rw,conf_picked,0)),rw,))));iferror(if(#REF!,,transpose(split(#REF!,"","",1,1))))})), ""^,"", """")"),"AAC,ACC,,CUSA")</f>
        <v>AAC,ACC,,CUSA</v>
      </c>
      <c r="AN72" s="86">
        <f>IFERROR(__xludf.DUMMYFUNCTION("iferror($O72-max(filter($O72:$O$386,arrayformula(isnumber(FIND($E72:$E$386,AM72))))))"),-5.0)</f>
        <v>-5</v>
      </c>
      <c r="AO72" s="8">
        <f t="array" ref="AO72">countifs($O$2:$O71,"&lt;"&amp;$O72,isnumber(FIND($E$2:$E71,AM72)),TRUE)</f>
        <v>1</v>
      </c>
      <c r="AP72" s="8">
        <f>IFERROR(__xludf.DUMMYFUNCTION("iferror(COUNT(filter($O73:$O$386,$O73:$O$386&gt;$O72,arrayformula(isnumber(FIND($E73:$E$386,AM72))))))"),9.0)</f>
        <v>9</v>
      </c>
      <c r="AQ72" s="16">
        <f t="shared" si="10"/>
        <v>0</v>
      </c>
      <c r="AR72" s="88">
        <f>IFERROR(__xludf.DUMMYFUNCTION("iferror($O72-min(filter($O72:$O$386,arrayformula(isnumber(FIND($E72:$E$386,AM72))))))"),2.0)</f>
        <v>2</v>
      </c>
      <c r="AS72" s="89" t="str">
        <f>IFERROR(__xludf.DUMMYFUNCTION("iferror(join("","",index(sort(filter($F73:$F$386,$O73:$O$386&gt;$O72,arrayformula(isnumber(FIND($E73:$E$386,AM72)))),2,false),0,1)))"),"Georgia Tech,Boston College,UCF,NC State,Old Dominion,Wake Forest,SMU,North Texas,UTSA")</f>
        <v>Georgia Tech,Boston College,UCF,NC State,Old Dominion,Wake Forest,SMU,North Texas,UTSA</v>
      </c>
    </row>
    <row r="73">
      <c r="A73" s="13">
        <f t="shared" si="11"/>
        <v>72</v>
      </c>
      <c r="B73" s="13">
        <v>8.0</v>
      </c>
      <c r="C73" s="90">
        <v>2.0</v>
      </c>
      <c r="D73" s="13" t="str">
        <f>D70</f>
        <v>Frank</v>
      </c>
      <c r="E73" s="179" t="str">
        <f>if(F73&lt;&gt;"",VLOOKUP(F73,'Teams-Conference, for lookup'!A:B,2,0),"")</f>
        <v>Big 12</v>
      </c>
      <c r="F73" s="13" t="s">
        <v>429</v>
      </c>
      <c r="G73" t="str">
        <f t="shared" si="17"/>
        <v/>
      </c>
      <c r="H73" s="97">
        <f t="shared" si="2"/>
        <v>0</v>
      </c>
      <c r="I73" s="97">
        <f t="shared" si="3"/>
        <v>0</v>
      </c>
      <c r="J73" s="97">
        <f t="shared" si="12"/>
        <v>0</v>
      </c>
      <c r="K73" s="97">
        <f t="shared" ref="K73:K77" si="25">countif(E54:E73,E74)</f>
        <v>2</v>
      </c>
      <c r="L73" s="2"/>
      <c r="M73" s="97">
        <f>IFERROR(__xludf.DUMMYFUNCTION("counta(iferror(filter(L$2:L72,E$2:E72=E73,L$2:L72&lt;L73)))"),0.0)</f>
        <v>0</v>
      </c>
      <c r="N73" s="97">
        <f>IFERROR(__xludf.DUMMYFUNCTION("counta(iferror(filter(L74:L$124,E74:E$124=E73,L74:L$125&gt;L73)))"),0.0)</f>
        <v>0</v>
      </c>
      <c r="O73" s="83">
        <f t="array" ref="O73:X73">XLOOKUP(F73,'Current Week'!B:B,'Current Week'!C:O)</f>
        <v>3</v>
      </c>
      <c r="P73" s="97">
        <v>7.0</v>
      </c>
      <c r="Q73" s="2" t="s">
        <v>124</v>
      </c>
      <c r="R73" s="84" t="s">
        <v>106</v>
      </c>
      <c r="S73" s="2"/>
      <c r="T73" s="2" t="s">
        <v>115</v>
      </c>
      <c r="U73" s="8" t="s">
        <v>115</v>
      </c>
      <c r="V73" s="2"/>
      <c r="W73" s="8">
        <v>9999.0</v>
      </c>
      <c r="X73" s="2"/>
      <c r="Y73" s="2"/>
      <c r="Z73" s="2"/>
      <c r="AA73" s="86">
        <f t="shared" si="4"/>
        <v>-7</v>
      </c>
      <c r="AB73" s="8">
        <f t="shared" si="5"/>
        <v>0</v>
      </c>
      <c r="AC73" s="8">
        <f>IFERROR(__xludf.DUMMYFUNCTION("iferror(COUNT(filter($O74:$O$386,$O74:$O$386&gt;$O73)))"),37.0)</f>
        <v>37</v>
      </c>
      <c r="AD73" s="16">
        <f t="shared" si="6"/>
        <v>0</v>
      </c>
      <c r="AE73" s="88">
        <f t="shared" si="7"/>
        <v>0</v>
      </c>
      <c r="AF73" s="2" t="str">
        <f>IFERROR(__xludf.DUMMYFUNCTION("iferror(join("","",index(sort(filter($F74:$F$387,$O74:$O$387&gt;$O73),2,false),0,1)))"),"San José State,UNLV,Mississippi State,Idaho,Penn State,Arizona State,Minnesota,Georgia Tech,Boston College,Texas A&amp;M,UCF,NC State,Ball State,Louisiana Monroe,Old Dominion,California,Auburn,Colorado,Wyoming,Eastern Michigan,Kentucky,Wake Forest,Indiana,Mar"&amp;"yland,Miami-OH,South Carolina,Vanderbilt,Hawaii,SMU,North Texas,UTSA,Tulane,Duke,Syracuse,Charlotte,Oregon State,Missouri")</f>
        <v>San José State,UNLV,Mississippi State,Idaho,Penn State,Arizona State,Minnesota,Georgia Tech,Boston College,Texas A&amp;M,UCF,NC State,Ball State,Louisiana Monroe,Old Dominion,California,Auburn,Colorado,Wyoming,Eastern Michigan,Kentucky,Wake Forest,Indiana,Maryland,Miami-OH,South Carolina,Vanderbilt,Hawaii,SMU,North Texas,UTSA,Tulane,Duke,Syracuse,Charlotte,Oregon State,Missouri</v>
      </c>
      <c r="AG73" s="86">
        <f>IFERROR(__xludf.DUMMYFUNCTION("iferror($O73-max(filter($O73:$O$386,$E73:$E$386=$E$2)))"),-5.0)</f>
        <v>-5</v>
      </c>
      <c r="AH73" s="8">
        <f t="shared" si="8"/>
        <v>0</v>
      </c>
      <c r="AI73" s="8">
        <f>IFERROR(__xludf.DUMMYFUNCTION("iferror(COUNT(filter($O74:$O$386,$O74:$O$386&gt;$O73,$E73:$E$386=$E$2)))"),0.0)</f>
        <v>0</v>
      </c>
      <c r="AJ73" s="16">
        <f t="shared" si="9"/>
        <v>0</v>
      </c>
      <c r="AK73" s="88">
        <f>IFERROR(__xludf.DUMMYFUNCTION("iferror($O73-min(filter($O73:$O$386,$E73:$E$386=$E$2)))"),1.0)</f>
        <v>1</v>
      </c>
      <c r="AL73" s="2" t="str">
        <f>IFERROR(__xludf.DUMMYFUNCTION("iferror(join("","",index(sort(filter($F74:$F$386,$O74:$O$386&gt;$O73,$E74:$E$386=$E$2),2,false),0,1)))"),"Georgia Tech,Boston College,NC State,Wake Forest,Duke,Syracuse")</f>
        <v>Georgia Tech,Boston College,NC State,Wake Forest,Duke,Syracuse</v>
      </c>
      <c r="AM73" s="2" t="str">
        <f>IFERROR(__xludf.DUMMYFUNCTION("REGEXREPLACE(join("","",unique({let(conf_picked,filter(E$1:E72,D$1:D72=D73), byrow(unique(TRANSPOSe(Teams!$1:$1)),lambda(rw,if(ISERROR(match(rw,conf_picked,0)),rw,))));iferror(if(#REF!,,transpose(split(#REF!,"","",1,1))))})), ""^,"", """")"),"Big 12,CUSA,Sun Belt")</f>
        <v>Big 12,CUSA,Sun Belt</v>
      </c>
      <c r="AN73" s="86">
        <f>IFERROR(__xludf.DUMMYFUNCTION("iferror($O73-max(filter($O73:$O$386,arrayformula(isnumber(FIND($E73:$E$386,AM73))))))"),-6.0)</f>
        <v>-6</v>
      </c>
      <c r="AO73" s="8">
        <f t="array" ref="AO73">countifs($O$2:$O72,"&lt;"&amp;$O73,isnumber(FIND($E$2:$E72,AM73)),TRUE)</f>
        <v>0</v>
      </c>
      <c r="AP73" s="8">
        <f>IFERROR(__xludf.DUMMYFUNCTION("iferror(COUNT(filter($O74:$O$386,$O74:$O$386&gt;$O73,arrayformula(isnumber(FIND($E74:$E$386,AM73))))))"),6.0)</f>
        <v>6</v>
      </c>
      <c r="AQ73" s="16">
        <f t="shared" si="10"/>
        <v>0</v>
      </c>
      <c r="AR73" s="88">
        <f>IFERROR(__xludf.DUMMYFUNCTION("iferror($O73-min(filter($O73:$O$386,arrayformula(isnumber(FIND($E73:$E$386,AM73))))))"),1.0)</f>
        <v>1</v>
      </c>
      <c r="AS73" s="89" t="str">
        <f>IFERROR(__xludf.DUMMYFUNCTION("iferror(join("","",index(sort(filter($F74:$F$386,$O74:$O$386&gt;$O73,arrayformula(isnumber(FIND($E74:$E$386,AM73)))),2,false),0,1)))"),"Idaho,Louisiana Monroe,Old Dominion,North Texas,UTSA,Charlotte")</f>
        <v>Idaho,Louisiana Monroe,Old Dominion,North Texas,UTSA,Charlotte</v>
      </c>
    </row>
    <row r="74">
      <c r="A74" s="13">
        <f t="shared" si="11"/>
        <v>73</v>
      </c>
      <c r="B74" s="13">
        <v>8.0</v>
      </c>
      <c r="C74" s="90">
        <v>3.0</v>
      </c>
      <c r="D74" s="13" t="str">
        <f>D69</f>
        <v>Justin</v>
      </c>
      <c r="E74" s="179" t="str">
        <f>if(F74&lt;&gt;"",VLOOKUP(F74,'Teams-Conference, for lookup'!A:B,2,0),"")</f>
        <v>MWC</v>
      </c>
      <c r="F74" s="13" t="s">
        <v>420</v>
      </c>
      <c r="G74" t="str">
        <f t="shared" si="17"/>
        <v/>
      </c>
      <c r="H74" s="97">
        <f t="shared" si="2"/>
        <v>1</v>
      </c>
      <c r="I74" s="97">
        <f t="shared" si="3"/>
        <v>1</v>
      </c>
      <c r="J74" s="97">
        <f t="shared" si="12"/>
        <v>0</v>
      </c>
      <c r="K74" s="97">
        <f t="shared" si="25"/>
        <v>3</v>
      </c>
      <c r="L74" s="2"/>
      <c r="M74" s="97">
        <f>IFERROR(__xludf.DUMMYFUNCTION("counta(iferror(filter(L$2:L73,E$2:E73=E74,L$2:L73&lt;L74)))"),0.0)</f>
        <v>0</v>
      </c>
      <c r="N74" s="97">
        <f>IFERROR(__xludf.DUMMYFUNCTION("counta(iferror(filter(L75:L$124,E75:E$124=E74,L75:L$125&gt;L74)))"),0.0)</f>
        <v>0</v>
      </c>
      <c r="O74" s="83">
        <f t="array" ref="O74:X74">XLOOKUP(F74,'Current Week'!B:B,'Current Week'!C:O)</f>
        <v>4</v>
      </c>
      <c r="P74" s="83">
        <v>8.0</v>
      </c>
      <c r="Q74" s="2" t="s">
        <v>114</v>
      </c>
      <c r="R74" s="2" t="s">
        <v>106</v>
      </c>
      <c r="S74" s="2"/>
      <c r="T74" s="2" t="s">
        <v>115</v>
      </c>
      <c r="U74" s="2" t="s">
        <v>115</v>
      </c>
      <c r="V74" s="2"/>
      <c r="W74" s="8">
        <v>9999.0</v>
      </c>
      <c r="X74" s="2"/>
      <c r="Y74" s="2"/>
      <c r="Z74" s="2"/>
      <c r="AA74" s="86">
        <f t="shared" si="4"/>
        <v>-6</v>
      </c>
      <c r="AB74" s="8">
        <f t="shared" si="5"/>
        <v>6</v>
      </c>
      <c r="AC74" s="8">
        <f>IFERROR(__xludf.DUMMYFUNCTION("iferror(COUNT(filter($O75:$O$386,$O75:$O$386&gt;$O74)))"),27.0)</f>
        <v>27</v>
      </c>
      <c r="AD74" s="16">
        <f t="shared" si="6"/>
        <v>0</v>
      </c>
      <c r="AE74" s="88">
        <f t="shared" si="7"/>
        <v>1</v>
      </c>
      <c r="AF74" s="2" t="str">
        <f>IFERROR(__xludf.DUMMYFUNCTION("iferror(join("","",index(sort(filter($F75:$F$387,$O75:$O$387&gt;$O74),2,false),0,1)))"),"Mississippi State,Idaho,Penn State,Arizona State,Minnesota,Georgia Tech,Boston College,Texas A&amp;M,UCF,NC State,Old Dominion,California,Auburn,Colorado,Wyoming,Eastern Michigan,Kentucky,Wake Forest,Indiana,Maryland,Miami-OH,South Carolina,Vanderbilt,Hawaii,"&amp;"SMU,North Texas,UTSA")</f>
        <v>Mississippi State,Idaho,Penn State,Arizona State,Minnesota,Georgia Tech,Boston College,Texas A&amp;M,UCF,NC State,Old Dominion,California,Auburn,Colorado,Wyoming,Eastern Michigan,Kentucky,Wake Forest,Indiana,Maryland,Miami-OH,South Carolina,Vanderbilt,Hawaii,SMU,North Texas,UTSA</v>
      </c>
      <c r="AG74" s="86">
        <f>IFERROR(__xludf.DUMMYFUNCTION("iferror($O74-max(filter($O74:$O$386,$E74:$E$386=$E$2)))"),-4.0)</f>
        <v>-4</v>
      </c>
      <c r="AH74" s="8">
        <f t="shared" si="8"/>
        <v>0</v>
      </c>
      <c r="AI74" s="8">
        <f>IFERROR(__xludf.DUMMYFUNCTION("iferror(COUNT(filter($O75:$O$386,$O75:$O$386&gt;$O74,$E74:$E$386=$E$2)))"),0.0)</f>
        <v>0</v>
      </c>
      <c r="AJ74" s="16">
        <f t="shared" si="9"/>
        <v>0</v>
      </c>
      <c r="AK74" s="88">
        <f>IFERROR(__xludf.DUMMYFUNCTION("iferror($O74-min(filter($O74:$O$386,$E74:$E$386=$E$2)))"),2.0)</f>
        <v>2</v>
      </c>
      <c r="AL74" s="2" t="str">
        <f>IFERROR(__xludf.DUMMYFUNCTION("iferror(join("","",index(sort(filter($F75:$F$386,$O75:$O$386&gt;$O74,$E75:$E$386=$E$2),2,false),0,1)))"),"Georgia Tech,Boston College,NC State,Wake Forest")</f>
        <v>Georgia Tech,Boston College,NC State,Wake Forest</v>
      </c>
      <c r="AM74" s="2" t="str">
        <f>IFERROR(__xludf.DUMMYFUNCTION("REGEXREPLACE(join("","",unique({let(conf_picked,filter(E$1:E73,D$1:D73=D74), byrow(unique(TRANSPOSe(Teams!$1:$1)),lambda(rw,if(ISERROR(match(rw,conf_picked,0)),rw,))));iferror(if(#REF!,,transpose(split(#REF!,"","",1,1))))})), ""^,"", """")"),"AAC,,MAC,MWC")</f>
        <v>AAC,,MAC,MWC</v>
      </c>
      <c r="AN74" s="86">
        <f>IFERROR(__xludf.DUMMYFUNCTION("iferror($O74-max(filter($O74:$O$386,arrayformula(isnumber(FIND($E74:$E$386,AM74))))))"),-4.0)</f>
        <v>-4</v>
      </c>
      <c r="AO74" s="8">
        <f t="array" ref="AO74">countifs($O$2:$O73,"&lt;"&amp;$O74,isnumber(FIND($E$2:$E73,AM74)),TRUE)</f>
        <v>1</v>
      </c>
      <c r="AP74" s="8">
        <f>IFERROR(__xludf.DUMMYFUNCTION("iferror(COUNT(filter($O75:$O$386,$O75:$O$386&gt;$O74,arrayformula(isnumber(FIND($E75:$E$386,AM74))))))"),6.0)</f>
        <v>6</v>
      </c>
      <c r="AQ74" s="16">
        <f t="shared" si="10"/>
        <v>0</v>
      </c>
      <c r="AR74" s="88">
        <f>IFERROR(__xludf.DUMMYFUNCTION("iferror($O74-min(filter($O74:$O$386,arrayformula(isnumber(FIND($E74:$E$386,AM74))))))"),3.0)</f>
        <v>3</v>
      </c>
      <c r="AS74" s="89" t="str">
        <f>IFERROR(__xludf.DUMMYFUNCTION("iferror(join("","",index(sort(filter($F75:$F$386,$O75:$O$386&gt;$O74,arrayformula(isnumber(FIND($E75:$E$386,AM74)))),2,false),0,1)))"),"UCF,Wyoming,Eastern Michigan,Miami-OH,Hawaii,SMU")</f>
        <v>UCF,Wyoming,Eastern Michigan,Miami-OH,Hawaii,SMU</v>
      </c>
    </row>
    <row r="75">
      <c r="A75" s="13">
        <f t="shared" si="11"/>
        <v>74</v>
      </c>
      <c r="B75" s="13">
        <v>8.0</v>
      </c>
      <c r="C75" s="90">
        <v>4.0</v>
      </c>
      <c r="D75" s="13" t="str">
        <f>D68</f>
        <v>Josh T.</v>
      </c>
      <c r="E75" s="179" t="str">
        <f>if(F75&lt;&gt;"",VLOOKUP(F75,'Teams-Conference, for lookup'!A:B,2,0),"")</f>
        <v>MWC</v>
      </c>
      <c r="F75" s="13" t="s">
        <v>404</v>
      </c>
      <c r="G75" t="str">
        <f t="shared" si="17"/>
        <v/>
      </c>
      <c r="H75" s="97">
        <f t="shared" si="2"/>
        <v>0</v>
      </c>
      <c r="I75" s="97">
        <f t="shared" si="3"/>
        <v>0</v>
      </c>
      <c r="J75" s="97">
        <f t="shared" si="12"/>
        <v>1</v>
      </c>
      <c r="K75" s="97">
        <f t="shared" si="25"/>
        <v>3</v>
      </c>
      <c r="L75" s="2"/>
      <c r="M75" s="97">
        <f>IFERROR(__xludf.DUMMYFUNCTION("counta(iferror(filter(L$2:L74,E$2:E74=E75,L$2:L74&lt;L75)))"),0.0)</f>
        <v>0</v>
      </c>
      <c r="N75" s="97">
        <f>IFERROR(__xludf.DUMMYFUNCTION("counta(iferror(filter(L76:L$124,E76:E$124=E75,L76:L$125&gt;L75)))"),0.0)</f>
        <v>0</v>
      </c>
      <c r="O75" s="83">
        <f t="array" ref="O75:X75">XLOOKUP(F75,'Current Week'!B:B,'Current Week'!C:O)</f>
        <v>4</v>
      </c>
      <c r="P75" s="97">
        <v>5.0</v>
      </c>
      <c r="Q75" s="2" t="s">
        <v>156</v>
      </c>
      <c r="R75" s="2" t="s">
        <v>106</v>
      </c>
      <c r="S75" s="2"/>
      <c r="T75" s="8" t="s">
        <v>115</v>
      </c>
      <c r="U75" s="8" t="s">
        <v>115</v>
      </c>
      <c r="V75" s="2"/>
      <c r="W75" s="8">
        <v>9999.0</v>
      </c>
      <c r="X75" s="2"/>
      <c r="Y75" s="2"/>
      <c r="Z75" s="2"/>
      <c r="AA75" s="86">
        <f t="shared" si="4"/>
        <v>-6</v>
      </c>
      <c r="AB75" s="8">
        <f t="shared" si="5"/>
        <v>6</v>
      </c>
      <c r="AC75" s="8">
        <f>IFERROR(__xludf.DUMMYFUNCTION("iferror(COUNT(filter($O76:$O$386,$O76:$O$386&gt;$O75)))"),27.0)</f>
        <v>27</v>
      </c>
      <c r="AD75" s="16">
        <f t="shared" si="6"/>
        <v>0</v>
      </c>
      <c r="AE75" s="88">
        <f t="shared" si="7"/>
        <v>1</v>
      </c>
      <c r="AF75" s="2" t="str">
        <f>IFERROR(__xludf.DUMMYFUNCTION("iferror(join("","",index(sort(filter($F76:$F$387,$O76:$O$387&gt;$O75),2,false),0,1)))"),"Mississippi State,Idaho,Penn State,Arizona State,Minnesota,Georgia Tech,Boston College,Texas A&amp;M,UCF,NC State,Old Dominion,California,Auburn,Colorado,Wyoming,Eastern Michigan,Kentucky,Wake Forest,Indiana,Maryland,Miami-OH,South Carolina,Vanderbilt,Hawaii,"&amp;"SMU,North Texas,UTSA")</f>
        <v>Mississippi State,Idaho,Penn State,Arizona State,Minnesota,Georgia Tech,Boston College,Texas A&amp;M,UCF,NC State,Old Dominion,California,Auburn,Colorado,Wyoming,Eastern Michigan,Kentucky,Wake Forest,Indiana,Maryland,Miami-OH,South Carolina,Vanderbilt,Hawaii,SMU,North Texas,UTSA</v>
      </c>
      <c r="AG75" s="86">
        <f>IFERROR(__xludf.DUMMYFUNCTION("iferror($O75-max(filter($O75:$O$386,$E75:$E$386=$E$2)))"),-4.0)</f>
        <v>-4</v>
      </c>
      <c r="AH75" s="8">
        <f t="shared" si="8"/>
        <v>0</v>
      </c>
      <c r="AI75" s="8">
        <f>IFERROR(__xludf.DUMMYFUNCTION("iferror(COUNT(filter($O76:$O$386,$O76:$O$386&gt;$O75,$E75:$E$386=$E$2)))"),0.0)</f>
        <v>0</v>
      </c>
      <c r="AJ75" s="16">
        <f t="shared" si="9"/>
        <v>0</v>
      </c>
      <c r="AK75" s="88">
        <f>IFERROR(__xludf.DUMMYFUNCTION("iferror($O75-min(filter($O75:$O$386,$E75:$E$386=$E$2)))"),2.0)</f>
        <v>2</v>
      </c>
      <c r="AL75" s="2" t="str">
        <f>IFERROR(__xludf.DUMMYFUNCTION("iferror(join("","",index(sort(filter($F76:$F$386,$O76:$O$386&gt;$O75,$E76:$E$386=$E$2),2,false),0,1)))"),"Georgia Tech,Boston College,NC State,Wake Forest")</f>
        <v>Georgia Tech,Boston College,NC State,Wake Forest</v>
      </c>
      <c r="AM75" s="2" t="str">
        <f>IFERROR(__xludf.DUMMYFUNCTION("REGEXREPLACE(join("","",unique({let(conf_picked,filter(E$1:E74,D$1:D74=D75), byrow(unique(TRANSPOSe(Teams!$1:$1)),lambda(rw,if(ISERROR(match(rw,conf_picked,0)),rw,))));iferror(if(#REF!,,transpose(split(#REF!,"","",1,1))))})), ""^,"", """")"),"CUSA,MWC,Sun Belt")</f>
        <v>CUSA,MWC,Sun Belt</v>
      </c>
      <c r="AN75" s="86">
        <f>IFERROR(__xludf.DUMMYFUNCTION("iferror($O75-max(filter($O75:$O$386,arrayformula(isnumber(FIND($E75:$E$386,AM75))))))"),-5.0)</f>
        <v>-5</v>
      </c>
      <c r="AO75" s="8">
        <f t="array" ref="AO75">countifs($O$2:$O74,"&lt;"&amp;$O75,isnumber(FIND($E$2:$E74,AM75)),TRUE)</f>
        <v>3</v>
      </c>
      <c r="AP75" s="8">
        <f>IFERROR(__xludf.DUMMYFUNCTION("iferror(COUNT(filter($O76:$O$386,$O76:$O$386&gt;$O75,arrayformula(isnumber(FIND($E76:$E$386,AM75))))))"),6.0)</f>
        <v>6</v>
      </c>
      <c r="AQ75" s="16">
        <f t="shared" si="10"/>
        <v>0</v>
      </c>
      <c r="AR75" s="88">
        <f>IFERROR(__xludf.DUMMYFUNCTION("iferror($O75-min(filter($O75:$O$386,arrayformula(isnumber(FIND($E75:$E$386,AM75))))))"),3.0)</f>
        <v>3</v>
      </c>
      <c r="AS75" s="89" t="str">
        <f>IFERROR(__xludf.DUMMYFUNCTION("iferror(join("","",index(sort(filter($F76:$F$386,$O76:$O$386&gt;$O75,arrayformula(isnumber(FIND($E76:$E$386,AM75)))),2,false),0,1)))"),"Idaho,Old Dominion,Wyoming,Hawaii,North Texas,UTSA")</f>
        <v>Idaho,Old Dominion,Wyoming,Hawaii,North Texas,UTSA</v>
      </c>
    </row>
    <row r="76">
      <c r="A76" s="13">
        <f t="shared" si="11"/>
        <v>75</v>
      </c>
      <c r="B76" s="13">
        <v>8.0</v>
      </c>
      <c r="C76" s="90">
        <v>5.0</v>
      </c>
      <c r="D76" s="13" t="str">
        <f>D67</f>
        <v>Vu</v>
      </c>
      <c r="E76" s="179" t="str">
        <f>if(F76&lt;&gt;"",VLOOKUP(F76,'Teams-Conference, for lookup'!A:B,2,0),"")</f>
        <v>MAC</v>
      </c>
      <c r="F76" s="13" t="s">
        <v>390</v>
      </c>
      <c r="G76" t="str">
        <f t="shared" si="17"/>
        <v/>
      </c>
      <c r="H76" s="97">
        <f t="shared" si="2"/>
        <v>0</v>
      </c>
      <c r="I76" s="97">
        <f t="shared" si="3"/>
        <v>1</v>
      </c>
      <c r="J76" s="97">
        <f t="shared" si="12"/>
        <v>0</v>
      </c>
      <c r="K76" s="97">
        <f t="shared" si="25"/>
        <v>3</v>
      </c>
      <c r="L76" s="2"/>
      <c r="M76" s="97">
        <f>IFERROR(__xludf.DUMMYFUNCTION("counta(iferror(filter(L$2:L75,E$2:E75=E76,L$2:L75&lt;L76)))"),0.0)</f>
        <v>0</v>
      </c>
      <c r="N76" s="97">
        <f>IFERROR(__xludf.DUMMYFUNCTION("counta(iferror(filter(L77:L$124,E77:E$124=E76,L77:L$125&gt;L76)))"),0.0)</f>
        <v>0</v>
      </c>
      <c r="O76" s="83">
        <f t="array" ref="O76:X76">XLOOKUP(F76,'Current Week'!B:B,'Current Week'!C:O)</f>
        <v>2</v>
      </c>
      <c r="P76" s="97">
        <v>7.0</v>
      </c>
      <c r="Q76" s="2" t="s">
        <v>114</v>
      </c>
      <c r="R76" s="2" t="s">
        <v>106</v>
      </c>
      <c r="S76" s="2"/>
      <c r="T76" s="8" t="s">
        <v>115</v>
      </c>
      <c r="U76" s="8" t="s">
        <v>115</v>
      </c>
      <c r="V76" s="2"/>
      <c r="W76" s="8">
        <v>9999.0</v>
      </c>
      <c r="X76" s="2"/>
      <c r="Y76" s="2"/>
      <c r="Z76" s="2"/>
      <c r="AA76" s="86">
        <f t="shared" si="4"/>
        <v>-8</v>
      </c>
      <c r="AB76" s="8">
        <f t="shared" si="5"/>
        <v>0</v>
      </c>
      <c r="AC76" s="8">
        <f>IFERROR(__xludf.DUMMYFUNCTION("iferror(COUNT(filter($O77:$O$386,$O77:$O$386&gt;$O76)))"),43.0)</f>
        <v>43</v>
      </c>
      <c r="AD76" s="16">
        <f t="shared" si="6"/>
        <v>0</v>
      </c>
      <c r="AE76" s="88">
        <f t="shared" si="7"/>
        <v>0</v>
      </c>
      <c r="AF76" s="2" t="str">
        <f>IFERROR(__xludf.DUMMYFUNCTION("iferror(join("","",index(sort(filter($F77:$F$387,$O77:$O$387&gt;$O76),2,false),0,1)))"),"Mississippi State,Idaho,Penn State,Arizona,Arizona State,Minnesota,Georgia Tech,Connecticut,Boston College,Texas A&amp;M,Florida Atlantic,East Carolina,New Mexico State,UCF,NC State,Rice,Ball State,Louisiana Monroe,Old Dominion,California,Auburn,Kent State,Co"&amp;"lorado,Wyoming,Eastern Michigan,Kentucky,Wake Forest,Indiana,Maryland,Miami-OH,South Carolina,Vanderbilt,Hawaii,SMU,North Texas,UTSA,Tulane,Duke,Syracuse,Charlotte,Oregon State,Missouri,Illinois")</f>
        <v>Mississippi State,Idaho,Penn State,Arizona,Arizona State,Minnesota,Georgia Tech,Connecticut,Boston College,Texas A&amp;M,Florida Atlantic,East Carolina,New Mexico State,UCF,NC State,Rice,Ball State,Louisiana Monroe,Old Dominion,California,Auburn,Kent State,Colorado,Wyoming,Eastern Michigan,Kentucky,Wake Forest,Indiana,Maryland,Miami-OH,South Carolina,Vanderbilt,Hawaii,SMU,North Texas,UTSA,Tulane,Duke,Syracuse,Charlotte,Oregon State,Missouri,Illinois</v>
      </c>
      <c r="AG76" s="86">
        <f>IFERROR(__xludf.DUMMYFUNCTION("iferror($O76-max(filter($O76:$O$386,$E76:$E$386=$E$2)))"),-6.0)</f>
        <v>-6</v>
      </c>
      <c r="AH76" s="8">
        <f t="shared" si="8"/>
        <v>0</v>
      </c>
      <c r="AI76" s="8">
        <f>IFERROR(__xludf.DUMMYFUNCTION("iferror(COUNT(filter($O77:$O$386,$O77:$O$386&gt;$O76,$E76:$E$386=$E$2)))"),0.0)</f>
        <v>0</v>
      </c>
      <c r="AJ76" s="16">
        <f t="shared" si="9"/>
        <v>0</v>
      </c>
      <c r="AK76" s="88">
        <f>IFERROR(__xludf.DUMMYFUNCTION("iferror($O76-min(filter($O76:$O$386,$E76:$E$386=$E$2)))"),0.0)</f>
        <v>0</v>
      </c>
      <c r="AL76" s="2" t="str">
        <f>IFERROR(__xludf.DUMMYFUNCTION("iferror(join("","",index(sort(filter($F77:$F$386,$O77:$O$386&gt;$O76,$E77:$E$386=$E$2),2,false),0,1)))"),"Georgia Tech,Boston College,NC State,Wake Forest,Duke,Syracuse")</f>
        <v>Georgia Tech,Boston College,NC State,Wake Forest,Duke,Syracuse</v>
      </c>
      <c r="AM76" s="2" t="str">
        <f>IFERROR(__xludf.DUMMYFUNCTION("REGEXREPLACE(join("","",unique({let(conf_picked,filter(E$1:E75,D$1:D75=D76), byrow(unique(TRANSPOSe(Teams!$1:$1)),lambda(rw,if(ISERROR(match(rw,conf_picked,0)),rw,))));iferror(if(#REF!,,transpose(split(#REF!,"","",1,1))))})), ""^,"", """")"),"CUSA,MAC,SEC")</f>
        <v>CUSA,MAC,SEC</v>
      </c>
      <c r="AN76" s="86">
        <f>IFERROR(__xludf.DUMMYFUNCTION("iferror($O76-max(filter($O76:$O$386,arrayformula(isnumber(FIND($E76:$E$386,AM76))))))"),-7.0)</f>
        <v>-7</v>
      </c>
      <c r="AO76" s="8">
        <f t="array" ref="AO76">countifs($O$2:$O75,"&lt;"&amp;$O76,isnumber(FIND($E$2:$E75,AM76)),TRUE)</f>
        <v>0</v>
      </c>
      <c r="AP76" s="8">
        <f>IFERROR(__xludf.DUMMYFUNCTION("iferror(COUNT(filter($O77:$O$386,$O77:$O$386&gt;$O76,arrayformula(isnumber(FIND($E77:$E$386,AM76))))))"),17.0)</f>
        <v>17</v>
      </c>
      <c r="AQ76" s="16">
        <f t="shared" si="10"/>
        <v>0</v>
      </c>
      <c r="AR76" s="88">
        <f>IFERROR(__xludf.DUMMYFUNCTION("iferror($O76-min(filter($O76:$O$386,arrayformula(isnumber(FIND($E76:$E$386,AM76))))))"),0.0)</f>
        <v>0</v>
      </c>
      <c r="AS76" s="89" t="str">
        <f>IFERROR(__xludf.DUMMYFUNCTION("iferror(join("","",index(sort(filter($F77:$F$386,$O77:$O$386&gt;$O76,arrayformula(isnumber(FIND($E77:$E$386,AM76)))),2,false),0,1)))"),"Mississippi State,Texas A&amp;M,Florida Atlantic,Rice,Ball State,Old Dominion,Auburn,Kent State,Eastern Michigan,Kentucky,Miami-OH,South Carolina,Vanderbilt,North Texas,UTSA,Charlotte,Missouri")</f>
        <v>Mississippi State,Texas A&amp;M,Florida Atlantic,Rice,Ball State,Old Dominion,Auburn,Kent State,Eastern Michigan,Kentucky,Miami-OH,South Carolina,Vanderbilt,North Texas,UTSA,Charlotte,Missouri</v>
      </c>
    </row>
    <row r="77">
      <c r="A77" s="13">
        <f t="shared" si="11"/>
        <v>76</v>
      </c>
      <c r="B77" s="13">
        <v>8.0</v>
      </c>
      <c r="C77" s="90">
        <v>6.0</v>
      </c>
      <c r="D77" s="13" t="str">
        <f>D66</f>
        <v>Nico</v>
      </c>
      <c r="E77" s="179" t="str">
        <f>if(F77&lt;&gt;"",VLOOKUP(F77,'Teams-Conference, for lookup'!A:B,2,0),"")</f>
        <v>SEC</v>
      </c>
      <c r="F77" s="13" t="s">
        <v>304</v>
      </c>
      <c r="G77" t="str">
        <f t="shared" si="17"/>
        <v/>
      </c>
      <c r="H77" s="97">
        <f t="shared" si="2"/>
        <v>1</v>
      </c>
      <c r="I77" s="97">
        <f t="shared" si="3"/>
        <v>1</v>
      </c>
      <c r="J77" s="97">
        <f t="shared" si="12"/>
        <v>2</v>
      </c>
      <c r="K77" s="97">
        <f t="shared" si="25"/>
        <v>1</v>
      </c>
      <c r="L77" s="2"/>
      <c r="M77" s="97">
        <f>IFERROR(__xludf.DUMMYFUNCTION("counta(iferror(filter(L$2:L76,E$2:E76=E77,L$2:L76&lt;L77)))"),0.0)</f>
        <v>0</v>
      </c>
      <c r="N77" s="97">
        <f>IFERROR(__xludf.DUMMYFUNCTION("counta(iferror(filter(L78:L$124,E78:E$124=E77,L78:L$125&gt;L77)))"),0.0)</f>
        <v>0</v>
      </c>
      <c r="O77" s="83">
        <f t="array" ref="O77:X77">XLOOKUP(F77,'Current Week'!B:B,'Current Week'!C:O)</f>
        <v>5</v>
      </c>
      <c r="P77" s="83">
        <v>7.0</v>
      </c>
      <c r="Q77" s="2" t="s">
        <v>178</v>
      </c>
      <c r="R77" s="2" t="s">
        <v>106</v>
      </c>
      <c r="S77" s="2"/>
      <c r="T77" s="2" t="s">
        <v>115</v>
      </c>
      <c r="U77" s="8" t="s">
        <v>115</v>
      </c>
      <c r="V77" s="2"/>
      <c r="W77" s="8">
        <v>9999.0</v>
      </c>
      <c r="X77" s="2"/>
      <c r="Y77" s="2"/>
      <c r="Z77" s="2"/>
      <c r="AA77" s="86">
        <f t="shared" si="4"/>
        <v>-5</v>
      </c>
      <c r="AB77" s="8">
        <f t="shared" si="5"/>
        <v>15</v>
      </c>
      <c r="AC77" s="8">
        <f>IFERROR(__xludf.DUMMYFUNCTION("iferror(COUNT(filter($O78:$O$386,$O78:$O$386&gt;$O77)))"),21.0)</f>
        <v>21</v>
      </c>
      <c r="AD77" s="16">
        <f t="shared" si="6"/>
        <v>0</v>
      </c>
      <c r="AE77" s="88">
        <f t="shared" si="7"/>
        <v>3</v>
      </c>
      <c r="AF77" s="2" t="str">
        <f>IFERROR(__xludf.DUMMYFUNCTION("iferror(join("","",index(sort(filter($F78:$F$387,$O78:$O$387&gt;$O77),2,false),0,1)))"),"Idaho,Penn State,Minnesota,Georgia Tech,Boston College,Texas A&amp;M,UCF,NC State,Old Dominion,Auburn,Colorado,Wyoming,Eastern Michigan,Kentucky,Wake Forest,Indiana,Maryland,Miami-OH,South Carolina,Vanderbilt,Hawaii")</f>
        <v>Idaho,Penn State,Minnesota,Georgia Tech,Boston College,Texas A&amp;M,UCF,NC State,Old Dominion,Auburn,Colorado,Wyoming,Eastern Michigan,Kentucky,Wake Forest,Indiana,Maryland,Miami-OH,South Carolina,Vanderbilt,Hawaii</v>
      </c>
      <c r="AG77" s="86">
        <f>IFERROR(__xludf.DUMMYFUNCTION("iferror($O77-max(filter($O77:$O$386,$E77:$E$386=$E$2)))"),-3.0)</f>
        <v>-3</v>
      </c>
      <c r="AH77" s="8">
        <f t="shared" si="8"/>
        <v>0</v>
      </c>
      <c r="AI77" s="8">
        <f>IFERROR(__xludf.DUMMYFUNCTION("iferror(COUNT(filter($O78:$O$386,$O78:$O$386&gt;$O77,$E77:$E$386=$E$2)))"),0.0)</f>
        <v>0</v>
      </c>
      <c r="AJ77" s="16">
        <f t="shared" si="9"/>
        <v>0</v>
      </c>
      <c r="AK77" s="88">
        <f>IFERROR(__xludf.DUMMYFUNCTION("iferror($O77-min(filter($O77:$O$386,$E77:$E$386=$E$2)))"),3.0)</f>
        <v>3</v>
      </c>
      <c r="AL77" s="2" t="str">
        <f>IFERROR(__xludf.DUMMYFUNCTION("iferror(join("","",index(sort(filter($F78:$F$386,$O78:$O$386&gt;$O77,$E78:$E$386=$E$2),2,false),0,1)))"),"Georgia Tech,Boston College,NC State,Wake Forest")</f>
        <v>Georgia Tech,Boston College,NC State,Wake Forest</v>
      </c>
      <c r="AM77" s="2" t="str">
        <f>IFERROR(__xludf.DUMMYFUNCTION("REGEXREPLACE(join("","",unique({let(conf_picked,filter(E$1:E76,D$1:D76=D77), byrow(unique(TRANSPOSe(Teams!$1:$1)),lambda(rw,if(ISERROR(match(rw,conf_picked,0)),rw,))));iferror(if(#REF!,,transpose(split(#REF!,"","",1,1))))})), ""^,"", """")"),"ACC,Big 12,SEC")</f>
        <v>ACC,Big 12,SEC</v>
      </c>
      <c r="AN77" s="86">
        <f>IFERROR(__xludf.DUMMYFUNCTION("iferror($O77-max(filter($O77:$O$386,arrayformula(isnumber(FIND($E77:$E$386,AM77))))))"),-3.0)</f>
        <v>-3</v>
      </c>
      <c r="AO77" s="8">
        <f t="array" ref="AO77">countifs($O$2:$O76,"&lt;"&amp;$O77,isnumber(FIND($E$2:$E76,AM77)),TRUE)</f>
        <v>1</v>
      </c>
      <c r="AP77" s="8">
        <f>IFERROR(__xludf.DUMMYFUNCTION("iferror(COUNT(filter($O78:$O$386,$O78:$O$386&gt;$O77,arrayformula(isnumber(FIND($E78:$E$386,AM77))))))"),9.0)</f>
        <v>9</v>
      </c>
      <c r="AQ77" s="16">
        <f t="shared" si="10"/>
        <v>0</v>
      </c>
      <c r="AR77" s="88">
        <f>IFERROR(__xludf.DUMMYFUNCTION("iferror($O77-min(filter($O77:$O$386,arrayformula(isnumber(FIND($E77:$E$386,AM77))))))"),3.0)</f>
        <v>3</v>
      </c>
      <c r="AS77" s="89" t="str">
        <f>IFERROR(__xludf.DUMMYFUNCTION("iferror(join("","",index(sort(filter($F78:$F$386,$O78:$O$386&gt;$O77,arrayformula(isnumber(FIND($E78:$E$386,AM77)))),2,false),0,1)))"),"Georgia Tech,Boston College,Texas A&amp;M,NC State,Auburn,Kentucky,Wake Forest,South Carolina,Vanderbilt")</f>
        <v>Georgia Tech,Boston College,Texas A&amp;M,NC State,Auburn,Kentucky,Wake Forest,South Carolina,Vanderbilt</v>
      </c>
    </row>
    <row r="78">
      <c r="A78" s="13">
        <f t="shared" si="11"/>
        <v>77</v>
      </c>
      <c r="B78" s="13">
        <v>8.0</v>
      </c>
      <c r="C78" s="90">
        <v>7.0</v>
      </c>
      <c r="D78" s="13" t="str">
        <f>D65</f>
        <v>Brad</v>
      </c>
      <c r="E78" s="186" t="str">
        <f>if(F78&lt;&gt;"",VLOOKUP(F78,'Teams-Conference, for lookup'!A:B,2,0),"")</f>
        <v>Sun Belt</v>
      </c>
      <c r="F78" s="13" t="s">
        <v>203</v>
      </c>
      <c r="G78" t="str">
        <f t="shared" si="17"/>
        <v/>
      </c>
      <c r="H78" s="97">
        <f t="shared" si="2"/>
        <v>1</v>
      </c>
      <c r="I78" s="97">
        <f t="shared" si="3"/>
        <v>3</v>
      </c>
      <c r="J78" s="97">
        <f t="shared" si="12"/>
        <v>0</v>
      </c>
      <c r="K78" s="97">
        <f>countif(E59:E78,E80)</f>
        <v>0</v>
      </c>
      <c r="L78" s="2"/>
      <c r="M78" s="97">
        <f>IFERROR(__xludf.DUMMYFUNCTION("counta(iferror(filter(L$2:L77,E$2:E77=E78,L$2:L77&lt;L78)))"),0.0)</f>
        <v>0</v>
      </c>
      <c r="N78" s="97">
        <f>IFERROR(__xludf.DUMMYFUNCTION("counta(iferror(filter(L79:L$124,E79:E$124=E78,L79:L$125&gt;L78)))"),0.0)</f>
        <v>0</v>
      </c>
      <c r="O78" s="83">
        <f t="array" ref="O78:X78">XLOOKUP(F78,'Current Week'!B:B,'Current Week'!C:O)</f>
        <v>8</v>
      </c>
      <c r="P78" s="83">
        <v>4.0</v>
      </c>
      <c r="Q78" s="2" t="s">
        <v>156</v>
      </c>
      <c r="R78" s="2" t="s">
        <v>106</v>
      </c>
      <c r="S78" s="2"/>
      <c r="T78" s="2" t="s">
        <v>205</v>
      </c>
      <c r="U78" s="8" t="s">
        <v>108</v>
      </c>
      <c r="V78" s="2"/>
      <c r="W78" s="8">
        <v>9999.0</v>
      </c>
      <c r="X78" s="2"/>
      <c r="Y78" s="2"/>
      <c r="Z78" s="2"/>
      <c r="AA78" s="86">
        <f t="shared" si="4"/>
        <v>-2</v>
      </c>
      <c r="AB78" s="8">
        <f t="shared" si="5"/>
        <v>34</v>
      </c>
      <c r="AC78" s="8">
        <f>IFERROR(__xludf.DUMMYFUNCTION("iferror(COUNT(filter($O79:$O$386,$O79:$O$386&gt;$O78)))"),3.0)</f>
        <v>3</v>
      </c>
      <c r="AD78" s="16">
        <f t="shared" si="6"/>
        <v>0</v>
      </c>
      <c r="AE78" s="88">
        <f t="shared" si="7"/>
        <v>6</v>
      </c>
      <c r="AF78" s="2" t="str">
        <f>IFERROR(__xludf.DUMMYFUNCTION("iferror(join("","",index(sort(filter($F79:$F$387,$O79:$O$387&gt;$O78),2,false),0,1)))"),"Penn State,Old Dominion,Colorado")</f>
        <v>Penn State,Old Dominion,Colorado</v>
      </c>
      <c r="AG78" s="86">
        <f>IFERROR(__xludf.DUMMYFUNCTION("iferror($O78-max(filter($O78:$O$386,$E78:$E$386=$E$2)))"),0.0)</f>
        <v>0</v>
      </c>
      <c r="AH78" s="8">
        <f t="shared" si="8"/>
        <v>0</v>
      </c>
      <c r="AI78" s="8">
        <f>IFERROR(__xludf.DUMMYFUNCTION("iferror(COUNT(filter($O79:$O$386,$O79:$O$386&gt;$O78,$E78:$E$386=$E$2)))"),0.0)</f>
        <v>0</v>
      </c>
      <c r="AJ78" s="16">
        <f t="shared" si="9"/>
        <v>1</v>
      </c>
      <c r="AK78" s="88">
        <f>IFERROR(__xludf.DUMMYFUNCTION("iferror($O78-min(filter($O78:$O$386,$E78:$E$386=$E$2)))"),6.0)</f>
        <v>6</v>
      </c>
      <c r="AL78" s="2" t="str">
        <f>IFERROR(__xludf.DUMMYFUNCTION("iferror(join("","",index(sort(filter($F79:$F$386,$O79:$O$386&gt;$O78,$E79:$E$386=$E$2),2,false),0,1)))"),"")</f>
        <v/>
      </c>
      <c r="AM78" s="2" t="str">
        <f>IFERROR(__xludf.DUMMYFUNCTION("REGEXREPLACE(join("","",unique({let(conf_picked,filter(E$1:E77,D$1:D77=D78), byrow(unique(TRANSPOSe(Teams!$1:$1)),lambda(rw,if(ISERROR(match(rw,conf_picked,0)),rw,))));iferror(if(#REF!,,transpose(split(#REF!,"","",1,1))))})), ""^,"", """")"),"AAC,,MWC,Sun Belt")</f>
        <v>AAC,,MWC,Sun Belt</v>
      </c>
      <c r="AN78" s="86">
        <f>IFERROR(__xludf.DUMMYFUNCTION("iferror($O78-max(filter($O78:$O$386,arrayformula(isnumber(FIND($E78:$E$386,AM78))))))"),0.0)</f>
        <v>0</v>
      </c>
      <c r="AO78" s="8">
        <f t="array" ref="AO78">countifs($O$2:$O77,"&lt;"&amp;$O78,isnumber(FIND($E$2:$E77,AM78)),TRUE)</f>
        <v>10</v>
      </c>
      <c r="AP78" s="8">
        <f>IFERROR(__xludf.DUMMYFUNCTION("iferror(COUNT(filter($O79:$O$386,$O79:$O$386&gt;$O78,arrayformula(isnumber(FIND($E79:$E$386,AM78))))))"),0.0)</f>
        <v>0</v>
      </c>
      <c r="AQ78" s="16">
        <f t="shared" si="10"/>
        <v>1</v>
      </c>
      <c r="AR78" s="88">
        <f>IFERROR(__xludf.DUMMYFUNCTION("iferror($O78-min(filter($O78:$O$386,arrayformula(isnumber(FIND($E78:$E$386,AM78))))))"),7.0)</f>
        <v>7</v>
      </c>
      <c r="AS78" s="89" t="str">
        <f>IFERROR(__xludf.DUMMYFUNCTION("iferror(join("","",index(sort(filter($F79:$F$386,$O79:$O$386&gt;$O78,arrayformula(isnumber(FIND($E79:$E$386,AM78)))),2,false),0,1)))"),"")</f>
        <v/>
      </c>
    </row>
    <row r="79">
      <c r="A79" s="13">
        <f t="shared" si="11"/>
        <v>78</v>
      </c>
      <c r="B79" s="13">
        <v>8.0</v>
      </c>
      <c r="C79" s="90">
        <v>8.0</v>
      </c>
      <c r="D79" s="91" t="str">
        <f>D64</f>
        <v>Jacob</v>
      </c>
      <c r="E79" s="179" t="str">
        <f>if(F79&lt;&gt;"",VLOOKUP(F79,'Teams-Conference, for lookup'!A:B,2,0),"")</f>
        <v>Big Ten</v>
      </c>
      <c r="F79" s="13" t="s">
        <v>181</v>
      </c>
      <c r="G79" t="str">
        <f t="shared" si="17"/>
        <v/>
      </c>
      <c r="H79" s="97">
        <f t="shared" si="2"/>
        <v>1</v>
      </c>
      <c r="I79" s="97">
        <f t="shared" si="3"/>
        <v>1</v>
      </c>
      <c r="J79" s="97">
        <f t="shared" si="12"/>
        <v>1</v>
      </c>
      <c r="K79" s="2"/>
      <c r="L79" s="2"/>
      <c r="M79" s="97">
        <f>IFERROR(__xludf.DUMMYFUNCTION("counta(iferror(filter(L$2:L78,E$2:E78=E79,L$2:L78&lt;L79)))"),0.0)</f>
        <v>0</v>
      </c>
      <c r="N79" s="97">
        <f>IFERROR(__xludf.DUMMYFUNCTION("counta(iferror(filter(L80:L$124,E80:E$124=E79,L80:L$125&gt;L79)))"),0.0)</f>
        <v>0</v>
      </c>
      <c r="O79" s="83">
        <f t="array" ref="O79:X79">XLOOKUP(F79,'Current Week'!B:B,'Current Week'!C:O)</f>
        <v>10</v>
      </c>
      <c r="P79" s="83">
        <v>2.0</v>
      </c>
      <c r="Q79" s="2" t="s">
        <v>105</v>
      </c>
      <c r="R79" s="2" t="s">
        <v>106</v>
      </c>
      <c r="S79" s="2"/>
      <c r="T79" s="2">
        <v>-7.0</v>
      </c>
      <c r="U79" s="8" t="s">
        <v>108</v>
      </c>
      <c r="V79" s="2"/>
      <c r="W79" s="8">
        <v>9999.0</v>
      </c>
      <c r="X79" s="2"/>
      <c r="Y79" s="2"/>
      <c r="Z79" s="2"/>
      <c r="AA79" s="86">
        <f t="shared" si="4"/>
        <v>0</v>
      </c>
      <c r="AB79" s="8">
        <f t="shared" si="5"/>
        <v>66</v>
      </c>
      <c r="AC79" s="8">
        <f>IFERROR(__xludf.DUMMYFUNCTION("iferror(COUNT(filter($O80:$O$386,$O80:$O$386&gt;$O79)))"),0.0)</f>
        <v>0</v>
      </c>
      <c r="AD79" s="16">
        <f t="shared" si="6"/>
        <v>1</v>
      </c>
      <c r="AE79" s="88">
        <f t="shared" si="7"/>
        <v>8</v>
      </c>
      <c r="AF79" s="2" t="str">
        <f>IFERROR(__xludf.DUMMYFUNCTION("iferror(join("","",index(sort(filter($F80:$F$387,$O80:$O$387&gt;$O79),2,false),0,1)))"),"")</f>
        <v/>
      </c>
      <c r="AG79" s="86">
        <f>IFERROR(__xludf.DUMMYFUNCTION("iferror($O79-max(filter($O79:$O$386,$E79:$E$386=$E$2)))"),2.0)</f>
        <v>2</v>
      </c>
      <c r="AH79" s="8">
        <f t="shared" si="8"/>
        <v>6</v>
      </c>
      <c r="AI79" s="8">
        <f>IFERROR(__xludf.DUMMYFUNCTION("iferror(COUNT(filter($O80:$O$386,$O80:$O$386&gt;$O79,$E79:$E$386=$E$2)))"),0.0)</f>
        <v>0</v>
      </c>
      <c r="AJ79" s="16">
        <f t="shared" si="9"/>
        <v>0</v>
      </c>
      <c r="AK79" s="88">
        <f>IFERROR(__xludf.DUMMYFUNCTION("iferror($O79-min(filter($O79:$O$386,$E79:$E$386=$E$2)))"),8.0)</f>
        <v>8</v>
      </c>
      <c r="AL79" s="2" t="str">
        <f>IFERROR(__xludf.DUMMYFUNCTION("iferror(join("","",index(sort(filter($F80:$F$386,$O80:$O$386&gt;$O79,$E80:$E$386=$E$2),2,false),0,1)))"),"")</f>
        <v/>
      </c>
      <c r="AM79" s="2" t="str">
        <f>IFERROR(__xludf.DUMMYFUNCTION("REGEXREPLACE(join("","",unique({let(conf_picked,filter(E$1:E78,D$1:D78=D79), byrow(unique(TRANSPOSe(Teams!$1:$1)),lambda(rw,if(ISERROR(match(rw,conf_picked,0)),rw,))));iferror(if(#REF!,,transpose(split(#REF!,"","",1,1))))})), ""^,"", """")"),"ACC,Big Ten,Pac12")</f>
        <v>ACC,Big Ten,Pac12</v>
      </c>
      <c r="AN79" s="86">
        <f>IFERROR(__xludf.DUMMYFUNCTION("iferror($O79-max(filter($O79:$O$386,arrayformula(isnumber(FIND($E79:$E$386,AM79))))))"),0.0)</f>
        <v>0</v>
      </c>
      <c r="AO79" s="8">
        <f t="array" ref="AO79">countifs($O$2:$O78,"&lt;"&amp;$O79,isnumber(FIND($E$2:$E78,AM79)),TRUE)</f>
        <v>17</v>
      </c>
      <c r="AP79" s="8">
        <f>IFERROR(__xludf.DUMMYFUNCTION("iferror(COUNT(filter($O80:$O$386,$O80:$O$386&gt;$O79,arrayformula(isnumber(FIND($E80:$E$386,AM79))))))"),0.0)</f>
        <v>0</v>
      </c>
      <c r="AQ79" s="16">
        <f t="shared" si="10"/>
        <v>1</v>
      </c>
      <c r="AR79" s="88">
        <f>IFERROR(__xludf.DUMMYFUNCTION("iferror($O79-min(filter($O79:$O$386,arrayformula(isnumber(FIND($E79:$E$386,AM79))))))"),8.0)</f>
        <v>8</v>
      </c>
      <c r="AS79" s="89" t="str">
        <f>IFERROR(__xludf.DUMMYFUNCTION("iferror(join("","",index(sort(filter($F80:$F$386,$O80:$O$386&gt;$O79,arrayformula(isnumber(FIND($E80:$E$386,AM79)))),2,false),0,1)))"),"")</f>
        <v/>
      </c>
    </row>
    <row r="80">
      <c r="A80" s="13">
        <f t="shared" si="11"/>
        <v>79</v>
      </c>
      <c r="B80" s="13">
        <v>8.0</v>
      </c>
      <c r="C80" s="90">
        <v>9.0</v>
      </c>
      <c r="D80" s="91" t="str">
        <f>D63</f>
        <v>Josh R.</v>
      </c>
      <c r="E80" s="179" t="str">
        <f>if(F80&lt;&gt;"",VLOOKUP(F80,'Teams-Conference, for lookup'!A:B,2,0),"")</f>
        <v>Pac12</v>
      </c>
      <c r="F80" s="191" t="s">
        <v>155</v>
      </c>
      <c r="G80" t="str">
        <f t="shared" si="17"/>
        <v/>
      </c>
      <c r="H80" s="97">
        <f t="shared" si="2"/>
        <v>1</v>
      </c>
      <c r="I80" s="97">
        <f t="shared" si="3"/>
        <v>3</v>
      </c>
      <c r="J80" s="97">
        <f t="shared" si="12"/>
        <v>0</v>
      </c>
      <c r="K80" s="97">
        <f t="shared" ref="K80:K85" si="26">countif(E60:E80,E81)</f>
        <v>2</v>
      </c>
      <c r="L80" s="2"/>
      <c r="M80" s="97">
        <f>IFERROR(__xludf.DUMMYFUNCTION("counta(iferror(filter(L$2:L79,E$2:E79=E80,L$2:L79&lt;L80)))"),0.0)</f>
        <v>0</v>
      </c>
      <c r="N80" s="97">
        <f>IFERROR(__xludf.DUMMYFUNCTION("counta(iferror(filter(L81:L$124,E81:E$124=E80,L81:L$125&gt;L80)))"),0.0)</f>
        <v>0</v>
      </c>
      <c r="O80" s="83">
        <f t="array" ref="O80:X80">XLOOKUP(F80,'Current Week'!B:B,'Current Week'!C:O)</f>
        <v>3</v>
      </c>
      <c r="P80" s="97">
        <v>8.0</v>
      </c>
      <c r="Q80" s="2" t="s">
        <v>156</v>
      </c>
      <c r="R80" s="2" t="s">
        <v>106</v>
      </c>
      <c r="S80" s="2"/>
      <c r="T80" s="2" t="s">
        <v>115</v>
      </c>
      <c r="U80" s="8" t="s">
        <v>115</v>
      </c>
      <c r="V80" s="2"/>
      <c r="W80" s="8">
        <v>9999.0</v>
      </c>
      <c r="X80" s="2"/>
      <c r="Y80" s="2"/>
      <c r="Z80" s="2"/>
      <c r="AA80" s="86">
        <f t="shared" si="4"/>
        <v>-7</v>
      </c>
      <c r="AB80" s="8">
        <f t="shared" si="5"/>
        <v>1</v>
      </c>
      <c r="AC80" s="8">
        <f>IFERROR(__xludf.DUMMYFUNCTION("iferror(COUNT(filter($O81:$O$386,$O81:$O$386&gt;$O80)))"),32.0)</f>
        <v>32</v>
      </c>
      <c r="AD80" s="16">
        <f t="shared" si="6"/>
        <v>0</v>
      </c>
      <c r="AE80" s="88">
        <f t="shared" si="7"/>
        <v>1</v>
      </c>
      <c r="AF80" s="2" t="str">
        <f>IFERROR(__xludf.DUMMYFUNCTION("iferror(join("","",index(sort(filter($F81:$F$387,$O81:$O$387&gt;$O80),2,false),0,1)))"),"Arizona State,Minnesota,Georgia Tech,Boston College,Texas A&amp;M,UCF,NC State,Ball State,Louisiana Monroe,Old Dominion,California,Auburn,Colorado,Wyoming,Eastern Michigan,Kentucky,Wake Forest,Indiana,Maryland,Miami-OH,South Carolina,Vanderbilt,Hawaii,SMU,Nor"&amp;"th Texas,UTSA,Tulane,Duke,Syracuse,Charlotte,Oregon State,Missouri")</f>
        <v>Arizona State,Minnesota,Georgia Tech,Boston College,Texas A&amp;M,UCF,NC State,Ball State,Louisiana Monroe,Old Dominion,California,Auburn,Colorado,Wyoming,Eastern Michigan,Kentucky,Wake Forest,Indiana,Maryland,Miami-OH,South Carolina,Vanderbilt,Hawaii,SMU,North Texas,UTSA,Tulane,Duke,Syracuse,Charlotte,Oregon State,Missouri</v>
      </c>
      <c r="AG80" s="86">
        <f>IFERROR(__xludf.DUMMYFUNCTION("iferror($O80-max(filter($O80:$O$386,$E80:$E$386=$E$2)))"),-5.0)</f>
        <v>-5</v>
      </c>
      <c r="AH80" s="8">
        <f t="shared" si="8"/>
        <v>0</v>
      </c>
      <c r="AI80" s="8">
        <f>IFERROR(__xludf.DUMMYFUNCTION("iferror(COUNT(filter($O81:$O$386,$O81:$O$386&gt;$O80,$E80:$E$386=$E$2)))"),0.0)</f>
        <v>0</v>
      </c>
      <c r="AJ80" s="16">
        <f t="shared" si="9"/>
        <v>0</v>
      </c>
      <c r="AK80" s="88">
        <f>IFERROR(__xludf.DUMMYFUNCTION("iferror($O80-min(filter($O80:$O$386,$E80:$E$386=$E$2)))"),1.0)</f>
        <v>1</v>
      </c>
      <c r="AL80" s="2" t="str">
        <f>IFERROR(__xludf.DUMMYFUNCTION("iferror(join("","",index(sort(filter($F81:$F$386,$O81:$O$386&gt;$O80,$E81:$E$386=$E$2),2,false),0,1)))"),"Georgia Tech,Boston College,NC State,Wake Forest,Duke,Syracuse")</f>
        <v>Georgia Tech,Boston College,NC State,Wake Forest,Duke,Syracuse</v>
      </c>
      <c r="AM80" s="2" t="str">
        <f>IFERROR(__xludf.DUMMYFUNCTION("REGEXREPLACE(join("","",unique({let(conf_picked,filter(E$1:E79,D$1:D79=D80), byrow(unique(TRANSPOSe(Teams!$1:$1)),lambda(rw,if(ISERROR(match(rw,conf_picked,0)),rw,))));iferror(if(#REF!,,transpose(split(#REF!,"","",1,1))))})), ""^,"", """")"),"Big Ten,Pac12,SEC")</f>
        <v>Big Ten,Pac12,SEC</v>
      </c>
      <c r="AN80" s="86">
        <f>IFERROR(__xludf.DUMMYFUNCTION("iferror($O80-max(filter($O80:$O$386,arrayformula(isnumber(FIND($E80:$E$386,AM80))))))"),-7.0)</f>
        <v>-7</v>
      </c>
      <c r="AO80" s="8">
        <f t="array" ref="AO80">countifs($O$2:$O79,"&lt;"&amp;$O80,isnumber(FIND($E$2:$E79,AM80)),TRUE)</f>
        <v>0</v>
      </c>
      <c r="AP80" s="8">
        <f>IFERROR(__xludf.DUMMYFUNCTION("iferror(COUNT(filter($O81:$O$386,$O81:$O$386&gt;$O80,arrayformula(isnumber(FIND($E81:$E$386,AM80))))))"),13.0)</f>
        <v>13</v>
      </c>
      <c r="AQ80" s="16">
        <f t="shared" si="10"/>
        <v>0</v>
      </c>
      <c r="AR80" s="88">
        <f>IFERROR(__xludf.DUMMYFUNCTION("iferror($O80-min(filter($O80:$O$386,arrayformula(isnumber(FIND($E80:$E$386,AM80))))))"),1.0)</f>
        <v>1</v>
      </c>
      <c r="AS80" s="89" t="str">
        <f>IFERROR(__xludf.DUMMYFUNCTION("iferror(join("","",index(sort(filter($F81:$F$386,$O81:$O$386&gt;$O80,arrayformula(isnumber(FIND($E81:$E$386,AM80)))),2,false),0,1)))"),"Arizona State,Minnesota,Texas A&amp;M,California,Auburn,Colorado,Kentucky,Indiana,Maryland,South Carolina,Vanderbilt,Oregon State,Missouri")</f>
        <v>Arizona State,Minnesota,Texas A&amp;M,California,Auburn,Colorado,Kentucky,Indiana,Maryland,South Carolina,Vanderbilt,Oregon State,Missouri</v>
      </c>
    </row>
    <row r="81">
      <c r="A81" s="13">
        <f t="shared" si="11"/>
        <v>80</v>
      </c>
      <c r="B81" s="13">
        <v>8.0</v>
      </c>
      <c r="C81" s="90">
        <v>10.0</v>
      </c>
      <c r="D81" s="151" t="str">
        <f>D62</f>
        <v>Gary</v>
      </c>
      <c r="E81" s="179" t="str">
        <f>if(F81&lt;&gt;"",VLOOKUP(F81,'Teams-Conference, for lookup'!A:B,2,0),"")</f>
        <v>Sun Belt</v>
      </c>
      <c r="F81" s="13" t="s">
        <v>112</v>
      </c>
      <c r="H81" s="97">
        <f t="shared" si="2"/>
        <v>1</v>
      </c>
      <c r="I81" s="97">
        <f t="shared" si="3"/>
        <v>2</v>
      </c>
      <c r="J81" s="97">
        <f t="shared" si="12"/>
        <v>1</v>
      </c>
      <c r="K81" s="97">
        <f t="shared" si="26"/>
        <v>1</v>
      </c>
      <c r="L81" s="2"/>
      <c r="M81" s="97">
        <f>IFERROR(__xludf.DUMMYFUNCTION("counta(iferror(filter(L$2:L80,E$2:E80=E81,L$2:L80&lt;L81)))"),0.0)</f>
        <v>0</v>
      </c>
      <c r="N81" s="97">
        <f>IFERROR(__xludf.DUMMYFUNCTION("counta(iferror(filter(L82:L$124,E82:E$124=E81,L82:L$125&gt;L81)))"),0.0)</f>
        <v>0</v>
      </c>
      <c r="O81" s="83">
        <f t="array" ref="O81:X81">XLOOKUP(F81,'Current Week'!B:B,'Current Week'!C:O)</f>
        <v>2</v>
      </c>
      <c r="P81" s="97">
        <v>8.0</v>
      </c>
      <c r="Q81" s="2" t="s">
        <v>114</v>
      </c>
      <c r="R81" s="2" t="s">
        <v>106</v>
      </c>
      <c r="S81" s="2"/>
      <c r="T81" s="2" t="s">
        <v>115</v>
      </c>
      <c r="U81" s="8" t="s">
        <v>115</v>
      </c>
      <c r="V81" s="2"/>
      <c r="W81" s="8">
        <v>9999.0</v>
      </c>
      <c r="X81" s="2"/>
      <c r="Y81" s="2"/>
      <c r="Z81" s="2"/>
      <c r="AA81" s="86">
        <f t="shared" si="4"/>
        <v>-8</v>
      </c>
      <c r="AB81" s="8">
        <f t="shared" si="5"/>
        <v>0</v>
      </c>
      <c r="AC81" s="8">
        <f>IFERROR(__xludf.DUMMYFUNCTION("iferror(COUNT(filter($O82:$O$386,$O82:$O$386&gt;$O81)))"),39.0)</f>
        <v>39</v>
      </c>
      <c r="AD81" s="16">
        <f t="shared" si="6"/>
        <v>0</v>
      </c>
      <c r="AE81" s="88">
        <f t="shared" si="7"/>
        <v>0</v>
      </c>
      <c r="AF81" s="2" t="str">
        <f>IFERROR(__xludf.DUMMYFUNCTION("iferror(join("","",index(sort(filter($F82:$F$387,$O82:$O$387&gt;$O81),2,false),0,1)))"),"Arizona State,Minnesota,Georgia Tech,Connecticut,Boston College,Texas A&amp;M,Florida Atlantic,East Carolina,New Mexico State,UCF,NC State,Rice,Ball State,Louisiana Monroe,Old Dominion,California,Auburn,Kent State,Colorado,Wyoming,Eastern Michigan,Kentucky,Wa"&amp;"ke Forest,Indiana,Maryland,Miami-OH,South Carolina,Vanderbilt,Hawaii,SMU,North Texas,UTSA,Tulane,Duke,Syracuse,Charlotte,Oregon State,Missouri,Illinois")</f>
        <v>Arizona State,Minnesota,Georgia Tech,Connecticut,Boston College,Texas A&amp;M,Florida Atlantic,East Carolina,New Mexico State,UCF,NC State,Rice,Ball State,Louisiana Monroe,Old Dominion,California,Auburn,Kent State,Colorado,Wyoming,Eastern Michigan,Kentucky,Wake Forest,Indiana,Maryland,Miami-OH,South Carolina,Vanderbilt,Hawaii,SMU,North Texas,UTSA,Tulane,Duke,Syracuse,Charlotte,Oregon State,Missouri,Illinois</v>
      </c>
      <c r="AG81" s="86">
        <f>IFERROR(__xludf.DUMMYFUNCTION("iferror($O81-max(filter($O81:$O$386,$E81:$E$386=$E$2)))"),-6.0)</f>
        <v>-6</v>
      </c>
      <c r="AH81" s="8">
        <f t="shared" si="8"/>
        <v>0</v>
      </c>
      <c r="AI81" s="8">
        <f>IFERROR(__xludf.DUMMYFUNCTION("iferror(COUNT(filter($O82:$O$386,$O82:$O$386&gt;$O81,$E81:$E$386=$E$2)))"),0.0)</f>
        <v>0</v>
      </c>
      <c r="AJ81" s="16">
        <f t="shared" si="9"/>
        <v>0</v>
      </c>
      <c r="AK81" s="88">
        <f>IFERROR(__xludf.DUMMYFUNCTION("iferror($O81-min(filter($O81:$O$386,$E81:$E$386=$E$2)))"),0.0)</f>
        <v>0</v>
      </c>
      <c r="AL81" s="2" t="str">
        <f>IFERROR(__xludf.DUMMYFUNCTION("iferror(join("","",index(sort(filter($F82:$F$386,$O82:$O$386&gt;$O81,$E82:$E$386=$E$2),2,false),0,1)))"),"Georgia Tech,Boston College,NC State,Wake Forest,Duke,Syracuse")</f>
        <v>Georgia Tech,Boston College,NC State,Wake Forest,Duke,Syracuse</v>
      </c>
      <c r="AM81" s="2" t="str">
        <f>IFERROR(__xludf.DUMMYFUNCTION("REGEXREPLACE(join("","",unique({let(conf_picked,filter(E$1:E80,D$1:D80=D81), byrow(unique(TRANSPOSe(Teams!$1:$1)),lambda(rw,if(ISERROR(match(rw,conf_picked,0)),rw,))));iferror(if(#REF!,,transpose(split(#REF!,"","",1,1))))})), ""^,"", """")"),"MAC,Pac12,Sun Belt")</f>
        <v>MAC,Pac12,Sun Belt</v>
      </c>
      <c r="AN81" s="86">
        <f>IFERROR(__xludf.DUMMYFUNCTION("iferror($O81-max(filter($O81:$O$386,arrayformula(isnumber(FIND($E81:$E$386,AM81))))))"),-8.0)</f>
        <v>-8</v>
      </c>
      <c r="AO81" s="8">
        <f t="array" ref="AO81">countifs($O$2:$O80,"&lt;"&amp;$O81,isnumber(FIND($E$2:$E80,AM81)),TRUE)</f>
        <v>0</v>
      </c>
      <c r="AP81" s="8">
        <f>IFERROR(__xludf.DUMMYFUNCTION("iferror(COUNT(filter($O82:$O$386,$O82:$O$386&gt;$O81,arrayformula(isnumber(FIND($E82:$E$386,AM81))))))"),10.0)</f>
        <v>10</v>
      </c>
      <c r="AQ81" s="16">
        <f t="shared" si="10"/>
        <v>0</v>
      </c>
      <c r="AR81" s="88">
        <f>IFERROR(__xludf.DUMMYFUNCTION("iferror($O81-min(filter($O81:$O$386,arrayformula(isnumber(FIND($E81:$E$386,AM81))))))"),0.0)</f>
        <v>0</v>
      </c>
      <c r="AS81" s="89" t="str">
        <f>IFERROR(__xludf.DUMMYFUNCTION("iferror(join("","",index(sort(filter($F82:$F$386,$O82:$O$386&gt;$O81,arrayformula(isnumber(FIND($E82:$E$386,AM81)))),2,false),0,1)))"),"Arizona State,New Mexico State,Ball State,Louisiana Monroe,California,Kent State,Colorado,Eastern Michigan,Miami-OH,Oregon State")</f>
        <v>Arizona State,New Mexico State,Ball State,Louisiana Monroe,California,Kent State,Colorado,Eastern Michigan,Miami-OH,Oregon State</v>
      </c>
    </row>
    <row r="82">
      <c r="A82" s="76">
        <f t="shared" si="11"/>
        <v>81</v>
      </c>
      <c r="B82" s="76">
        <v>9.0</v>
      </c>
      <c r="C82" s="90">
        <v>1.0</v>
      </c>
      <c r="D82" s="78" t="str">
        <f t="shared" ref="D82:D91" si="27">D62</f>
        <v>Gary</v>
      </c>
      <c r="E82" s="187" t="str">
        <f>if(F82&lt;&gt;"",VLOOKUP(F82,'Teams-Conference, for lookup'!A:B,2,0),"")</f>
        <v>Pac12</v>
      </c>
      <c r="F82" s="78" t="s">
        <v>129</v>
      </c>
      <c r="G82" s="149" t="str">
        <f t="shared" ref="G82:G101" si="28">if(F82&lt;&gt;"",if(match(F82,F:F,0)&lt;ROW(F82),"ERROR: Team already selected in row " &amp; ROW(F82)&amp;".  ","")&amp;if(COUNTIFS(E:E,"="&amp;E82,D:D,"="&amp;D82)&gt;1,"ERROR: Player picked from conference more than once.",""),"")</f>
        <v/>
      </c>
      <c r="H82" s="97">
        <f t="shared" si="2"/>
        <v>0</v>
      </c>
      <c r="I82" s="97">
        <f t="shared" si="3"/>
        <v>2</v>
      </c>
      <c r="J82" s="97">
        <f t="shared" si="12"/>
        <v>1</v>
      </c>
      <c r="K82" s="97">
        <f t="shared" si="26"/>
        <v>3</v>
      </c>
      <c r="L82" s="2"/>
      <c r="M82" s="97">
        <f>IFERROR(__xludf.DUMMYFUNCTION("counta(iferror(filter(L$2:L81,E$2:E81=E82,L$2:L81&lt;L82)))"),0.0)</f>
        <v>0</v>
      </c>
      <c r="N82" s="97">
        <f>IFERROR(__xludf.DUMMYFUNCTION("counta(iferror(filter(L83:L$124,E83:E$124=E82,L83:L$125&gt;L82)))"),0.0)</f>
        <v>0</v>
      </c>
      <c r="O82" s="83">
        <f t="array" ref="O82:X82">XLOOKUP(F82,'Current Week'!B:B,'Current Week'!C:O)</f>
        <v>5</v>
      </c>
      <c r="P82" s="97">
        <v>7.0</v>
      </c>
      <c r="Q82" s="2" t="s">
        <v>130</v>
      </c>
      <c r="R82" s="2" t="s">
        <v>106</v>
      </c>
      <c r="S82" s="2"/>
      <c r="T82" s="8" t="s">
        <v>115</v>
      </c>
      <c r="U82" s="8" t="s">
        <v>115</v>
      </c>
      <c r="V82" s="2"/>
      <c r="W82" s="8">
        <v>9999.0</v>
      </c>
      <c r="X82" s="2"/>
      <c r="Y82" s="2"/>
      <c r="Z82" s="2"/>
      <c r="AA82" s="86">
        <f t="shared" si="4"/>
        <v>-5</v>
      </c>
      <c r="AB82" s="8">
        <f t="shared" si="5"/>
        <v>17</v>
      </c>
      <c r="AC82" s="8">
        <f>IFERROR(__xludf.DUMMYFUNCTION("iferror(COUNT(filter($O83:$O$386,$O83:$O$386&gt;$O82)))"),19.0)</f>
        <v>19</v>
      </c>
      <c r="AD82" s="16">
        <f t="shared" si="6"/>
        <v>0</v>
      </c>
      <c r="AE82" s="88">
        <f t="shared" si="7"/>
        <v>3</v>
      </c>
      <c r="AF82" s="2" t="str">
        <f>IFERROR(__xludf.DUMMYFUNCTION("iferror(join("","",index(sort(filter($F83:$F$387,$O83:$O$387&gt;$O82),2,false),0,1)))"),"Minnesota,Georgia Tech,Boston College,Texas A&amp;M,UCF,NC State,Old Dominion,Auburn,Colorado,Wyoming,Eastern Michigan,Kentucky,Wake Forest,Indiana,Maryland,Miami-OH,South Carolina,Vanderbilt,Hawaii")</f>
        <v>Minnesota,Georgia Tech,Boston College,Texas A&amp;M,UCF,NC State,Old Dominion,Auburn,Colorado,Wyoming,Eastern Michigan,Kentucky,Wake Forest,Indiana,Maryland,Miami-OH,South Carolina,Vanderbilt,Hawaii</v>
      </c>
      <c r="AG82" s="86">
        <f>IFERROR(__xludf.DUMMYFUNCTION("iferror($O82-max(filter($O82:$O$386,$E82:$E$386=$E$2)))"),-3.0)</f>
        <v>-3</v>
      </c>
      <c r="AH82" s="8">
        <f t="shared" si="8"/>
        <v>0</v>
      </c>
      <c r="AI82" s="8">
        <f>IFERROR(__xludf.DUMMYFUNCTION("iferror(COUNT(filter($O83:$O$386,$O83:$O$386&gt;$O82,$E82:$E$386=$E$2)))"),0.0)</f>
        <v>0</v>
      </c>
      <c r="AJ82" s="16">
        <f t="shared" si="9"/>
        <v>0</v>
      </c>
      <c r="AK82" s="88">
        <f>IFERROR(__xludf.DUMMYFUNCTION("iferror($O82-min(filter($O82:$O$386,$E82:$E$386=$E$2)))"),3.0)</f>
        <v>3</v>
      </c>
      <c r="AL82" s="2" t="str">
        <f>IFERROR(__xludf.DUMMYFUNCTION("iferror(join("","",index(sort(filter($F83:$F$386,$O83:$O$386&gt;$O82,$E83:$E$386=$E$2),2,false),0,1)))"),"Georgia Tech,Boston College,NC State,Wake Forest")</f>
        <v>Georgia Tech,Boston College,NC State,Wake Forest</v>
      </c>
      <c r="AM82" s="2" t="str">
        <f>IFERROR(__xludf.DUMMYFUNCTION("REGEXREPLACE(join("","",unique({let(conf_picked,filter(E$1:E81,D$1:D81=D82), byrow(unique(TRANSPOSe(Teams!$1:$1)),lambda(rw,if(ISERROR(match(rw,conf_picked,0)),rw,))));iferror(if(#REF!,,transpose(split(#REF!,"","",1,1))))})), ""^,"", """")"),"MAC,Pac12")</f>
        <v>MAC,Pac12</v>
      </c>
      <c r="AN82" s="86">
        <f>IFERROR(__xludf.DUMMYFUNCTION("iferror($O82-max(filter($O82:$O$386,arrayformula(isnumber(FIND($E82:$E$386,AM82))))))"),-5.0)</f>
        <v>-5</v>
      </c>
      <c r="AO82" s="8">
        <f t="array" ref="AO82">countifs($O$2:$O81,"&lt;"&amp;$O82,isnumber(FIND($E$2:$E81,AM82)),TRUE)</f>
        <v>5</v>
      </c>
      <c r="AP82" s="8">
        <f>IFERROR(__xludf.DUMMYFUNCTION("iferror(COUNT(filter($O83:$O$386,$O83:$O$386&gt;$O82,arrayformula(isnumber(FIND($E83:$E$386,AM82))))))"),3.0)</f>
        <v>3</v>
      </c>
      <c r="AQ82" s="16">
        <f t="shared" si="10"/>
        <v>0</v>
      </c>
      <c r="AR82" s="88">
        <f>IFERROR(__xludf.DUMMYFUNCTION("iferror($O82-min(filter($O82:$O$386,arrayformula(isnumber(FIND($E82:$E$386,AM82))))))"),2.0)</f>
        <v>2</v>
      </c>
      <c r="AS82" s="89" t="str">
        <f>IFERROR(__xludf.DUMMYFUNCTION("iferror(join("","",index(sort(filter($F83:$F$386,$O83:$O$386&gt;$O82,arrayformula(isnumber(FIND($E83:$E$386,AM82)))),2,false),0,1)))"),"Colorado,Eastern Michigan,Miami-OH")</f>
        <v>Colorado,Eastern Michigan,Miami-OH</v>
      </c>
    </row>
    <row r="83">
      <c r="A83" s="13">
        <f t="shared" si="11"/>
        <v>82</v>
      </c>
      <c r="B83" s="13">
        <v>9.0</v>
      </c>
      <c r="C83" s="90">
        <v>2.0</v>
      </c>
      <c r="D83" s="91" t="str">
        <f t="shared" si="27"/>
        <v>Josh R.</v>
      </c>
      <c r="E83" s="179" t="str">
        <f>if(F83&lt;&gt;"",VLOOKUP(F83,'Teams-Conference, for lookup'!A:B,2,0),"")</f>
        <v>Big Ten</v>
      </c>
      <c r="F83" s="91" t="s">
        <v>160</v>
      </c>
      <c r="G83" t="str">
        <f t="shared" si="28"/>
        <v/>
      </c>
      <c r="H83" s="97">
        <f t="shared" si="2"/>
        <v>0</v>
      </c>
      <c r="I83" s="97">
        <f t="shared" si="3"/>
        <v>0</v>
      </c>
      <c r="J83" s="97">
        <f t="shared" si="12"/>
        <v>1</v>
      </c>
      <c r="K83" s="97">
        <f t="shared" si="26"/>
        <v>2</v>
      </c>
      <c r="L83" s="2"/>
      <c r="M83" s="97">
        <f>IFERROR(__xludf.DUMMYFUNCTION("counta(iferror(filter(L$2:L82,E$2:E82=E83,L$2:L82&lt;L83)))"),0.0)</f>
        <v>0</v>
      </c>
      <c r="N83" s="97">
        <f>IFERROR(__xludf.DUMMYFUNCTION("counta(iferror(filter(L84:L$124,E84:E$124=E83,L84:L$125&gt;L83)))"),0.0)</f>
        <v>0</v>
      </c>
      <c r="O83" s="83">
        <f t="array" ref="O83:X83">XLOOKUP(F83,'Current Week'!B:B,'Current Week'!C:O)</f>
        <v>8</v>
      </c>
      <c r="P83" s="83">
        <v>4.0</v>
      </c>
      <c r="Q83" s="2" t="s">
        <v>161</v>
      </c>
      <c r="R83" s="2" t="s">
        <v>106</v>
      </c>
      <c r="S83" s="2"/>
      <c r="T83" s="2" t="s">
        <v>162</v>
      </c>
      <c r="U83" s="8" t="s">
        <v>108</v>
      </c>
      <c r="V83" s="2"/>
      <c r="W83" s="8">
        <v>9999.0</v>
      </c>
      <c r="X83" s="2"/>
      <c r="Y83" s="2"/>
      <c r="Z83" s="2"/>
      <c r="AA83" s="86">
        <f t="shared" si="4"/>
        <v>-2</v>
      </c>
      <c r="AB83" s="8">
        <f t="shared" si="5"/>
        <v>37</v>
      </c>
      <c r="AC83" s="8">
        <f>IFERROR(__xludf.DUMMYFUNCTION("iferror(COUNT(filter($O84:$O$386,$O84:$O$386&gt;$O83)))"),2.0)</f>
        <v>2</v>
      </c>
      <c r="AD83" s="16">
        <f t="shared" si="6"/>
        <v>0</v>
      </c>
      <c r="AE83" s="88">
        <f t="shared" si="7"/>
        <v>6</v>
      </c>
      <c r="AF83" s="2" t="str">
        <f>IFERROR(__xludf.DUMMYFUNCTION("iferror(join("","",index(sort(filter($F84:$F$387,$O84:$O$387&gt;$O83),2,false),0,1)))"),"Old Dominion,Colorado")</f>
        <v>Old Dominion,Colorado</v>
      </c>
      <c r="AG83" s="86">
        <f>IFERROR(__xludf.DUMMYFUNCTION("iferror($O83-max(filter($O83:$O$386,$E83:$E$386=$E$2)))"),0.0)</f>
        <v>0</v>
      </c>
      <c r="AH83" s="8">
        <f t="shared" si="8"/>
        <v>0</v>
      </c>
      <c r="AI83" s="8">
        <f>IFERROR(__xludf.DUMMYFUNCTION("iferror(COUNT(filter($O84:$O$386,$O84:$O$386&gt;$O83,$E83:$E$386=$E$2)))"),0.0)</f>
        <v>0</v>
      </c>
      <c r="AJ83" s="16">
        <f t="shared" si="9"/>
        <v>1</v>
      </c>
      <c r="AK83" s="88">
        <f>IFERROR(__xludf.DUMMYFUNCTION("iferror($O83-min(filter($O83:$O$386,$E83:$E$386=$E$2)))"),6.0)</f>
        <v>6</v>
      </c>
      <c r="AL83" s="2" t="str">
        <f>IFERROR(__xludf.DUMMYFUNCTION("iferror(join("","",index(sort(filter($F84:$F$386,$O84:$O$386&gt;$O83,$E84:$E$386=$E$2),2,false),0,1)))"),"")</f>
        <v/>
      </c>
      <c r="AM83" s="2" t="str">
        <f>IFERROR(__xludf.DUMMYFUNCTION("REGEXREPLACE(join("","",unique({let(conf_picked,filter(E$1:E82,D$1:D82=D83), byrow(unique(TRANSPOSe(Teams!$1:$1)),lambda(rw,if(ISERROR(match(rw,conf_picked,0)),rw,))));iferror(if(#REF!,,transpose(split(#REF!,"","",1,1))))})), ""^,"", """")"),"Big Ten,SEC")</f>
        <v>Big Ten,SEC</v>
      </c>
      <c r="AN83" s="86">
        <f>IFERROR(__xludf.DUMMYFUNCTION("iferror($O83-max(filter($O83:$O$386,arrayformula(isnumber(FIND($E83:$E$386,AM83))))))"),0.0)</f>
        <v>0</v>
      </c>
      <c r="AO83" s="8">
        <f t="array" ref="AO83">countifs($O$2:$O82,"&lt;"&amp;$O83,isnumber(FIND($E$2:$E82,AM83)),TRUE)</f>
        <v>8</v>
      </c>
      <c r="AP83" s="8">
        <f>IFERROR(__xludf.DUMMYFUNCTION("iferror(COUNT(filter($O84:$O$386,$O84:$O$386&gt;$O83,arrayformula(isnumber(FIND($E84:$E$386,AM83))))))"),0.0)</f>
        <v>0</v>
      </c>
      <c r="AQ83" s="16">
        <f t="shared" si="10"/>
        <v>1</v>
      </c>
      <c r="AR83" s="88">
        <f>IFERROR(__xludf.DUMMYFUNCTION("iferror($O83-min(filter($O83:$O$386,arrayformula(isnumber(FIND($E83:$E$386,AM83))))))"),6.0)</f>
        <v>6</v>
      </c>
      <c r="AS83" s="89" t="str">
        <f>IFERROR(__xludf.DUMMYFUNCTION("iferror(join("","",index(sort(filter($F84:$F$386,$O84:$O$386&gt;$O83,arrayformula(isnumber(FIND($E84:$E$386,AM83)))),2,false),0,1)))"),"")</f>
        <v/>
      </c>
    </row>
    <row r="84">
      <c r="A84" s="13">
        <f t="shared" si="11"/>
        <v>83</v>
      </c>
      <c r="B84" s="13">
        <v>9.0</v>
      </c>
      <c r="C84" s="90">
        <v>3.0</v>
      </c>
      <c r="D84" s="13" t="str">
        <f t="shared" si="27"/>
        <v>Jacob</v>
      </c>
      <c r="E84" s="179" t="str">
        <f>if(F84&lt;&gt;"",VLOOKUP(F84,'Teams-Conference, for lookup'!A:B,2,0),"")</f>
        <v>ACC</v>
      </c>
      <c r="F84" s="191" t="s">
        <v>188</v>
      </c>
      <c r="G84" t="str">
        <f t="shared" si="28"/>
        <v/>
      </c>
      <c r="H84" s="97">
        <f t="shared" si="2"/>
        <v>2</v>
      </c>
      <c r="I84" s="97">
        <f t="shared" si="3"/>
        <v>3</v>
      </c>
      <c r="J84" s="97">
        <f t="shared" si="12"/>
        <v>0</v>
      </c>
      <c r="K84" s="97">
        <f t="shared" si="26"/>
        <v>1</v>
      </c>
      <c r="L84" s="2"/>
      <c r="M84" s="97">
        <f>IFERROR(__xludf.DUMMYFUNCTION("counta(iferror(filter(L$2:L83,E$2:E83=E84,L$2:L83&lt;L84)))"),0.0)</f>
        <v>0</v>
      </c>
      <c r="N84" s="97">
        <f>IFERROR(__xludf.DUMMYFUNCTION("counta(iferror(filter(L85:L$124,E85:E$124=E84,L85:L$125&gt;L84)))"),0.0)</f>
        <v>0</v>
      </c>
      <c r="O84" s="83">
        <f t="array" ref="O84:X84">XLOOKUP(F84,'Current Week'!B:B,'Current Week'!C:O)</f>
        <v>8</v>
      </c>
      <c r="P84" s="83">
        <v>4.0</v>
      </c>
      <c r="Q84" s="2" t="s">
        <v>165</v>
      </c>
      <c r="R84" s="2" t="s">
        <v>106</v>
      </c>
      <c r="S84" s="2"/>
      <c r="T84" s="2">
        <v>-4.0</v>
      </c>
      <c r="U84" s="8" t="s">
        <v>108</v>
      </c>
      <c r="V84" s="2"/>
      <c r="W84" s="8">
        <v>9999.0</v>
      </c>
      <c r="X84" s="2"/>
      <c r="Y84" s="2"/>
      <c r="Z84" s="2"/>
      <c r="AA84" s="86">
        <f t="shared" si="4"/>
        <v>-2</v>
      </c>
      <c r="AB84" s="8">
        <f t="shared" si="5"/>
        <v>37</v>
      </c>
      <c r="AC84" s="8">
        <f>IFERROR(__xludf.DUMMYFUNCTION("iferror(COUNT(filter($O85:$O$386,$O85:$O$386&gt;$O84)))"),2.0)</f>
        <v>2</v>
      </c>
      <c r="AD84" s="16">
        <f t="shared" si="6"/>
        <v>0</v>
      </c>
      <c r="AE84" s="88">
        <f t="shared" si="7"/>
        <v>6</v>
      </c>
      <c r="AF84" s="2" t="str">
        <f>IFERROR(__xludf.DUMMYFUNCTION("iferror(join("","",index(sort(filter($F85:$F$387,$O85:$O$387&gt;$O84),2,false),0,1)))"),"Old Dominion,Colorado")</f>
        <v>Old Dominion,Colorado</v>
      </c>
      <c r="AG84" s="86">
        <f>IFERROR(__xludf.DUMMYFUNCTION("iferror($O84-max(filter($O84:$O$386,$E84:$E$386=$E$2)))"),0.0)</f>
        <v>0</v>
      </c>
      <c r="AH84" s="8">
        <f t="shared" si="8"/>
        <v>0</v>
      </c>
      <c r="AI84" s="8">
        <f>IFERROR(__xludf.DUMMYFUNCTION("iferror(COUNT(filter($O85:$O$386,$O85:$O$386&gt;$O84,$E84:$E$386=$E$2)))"),0.0)</f>
        <v>0</v>
      </c>
      <c r="AJ84" s="16">
        <f t="shared" si="9"/>
        <v>1</v>
      </c>
      <c r="AK84" s="88">
        <f>IFERROR(__xludf.DUMMYFUNCTION("iferror($O84-min(filter($O84:$O$386,$E84:$E$386=$E$2)))"),6.0)</f>
        <v>6</v>
      </c>
      <c r="AL84" s="2" t="str">
        <f>IFERROR(__xludf.DUMMYFUNCTION("iferror(join("","",index(sort(filter($F85:$F$386,$O85:$O$386&gt;$O84,$E85:$E$386=$E$2),2,false),0,1)))"),"")</f>
        <v/>
      </c>
      <c r="AM84" s="2" t="str">
        <f>IFERROR(__xludf.DUMMYFUNCTION("REGEXREPLACE(join("","",unique({let(conf_picked,filter(E$1:E83,D$1:D83=D84), byrow(unique(TRANSPOSe(Teams!$1:$1)),lambda(rw,if(ISERROR(match(rw,conf_picked,0)),rw,))));iferror(if(#REF!,,transpose(split(#REF!,"","",1,1))))})), ""^,"", """")"),"ACC,Pac12")</f>
        <v>ACC,Pac12</v>
      </c>
      <c r="AN84" s="86">
        <f>IFERROR(__xludf.DUMMYFUNCTION("iferror($O84-max(filter($O84:$O$386,arrayformula(isnumber(FIND($E84:$E$386,AM84))))))"),-2.0)</f>
        <v>-2</v>
      </c>
      <c r="AO84" s="8">
        <f t="array" ref="AO84">countifs($O$2:$O83,"&lt;"&amp;$O84,isnumber(FIND($E$2:$E83,AM84)),TRUE)</f>
        <v>4</v>
      </c>
      <c r="AP84" s="8">
        <f>IFERROR(__xludf.DUMMYFUNCTION("iferror(COUNT(filter($O85:$O$386,$O85:$O$386&gt;$O84,arrayformula(isnumber(FIND($E85:$E$386,AM84))))))"),1.0)</f>
        <v>1</v>
      </c>
      <c r="AQ84" s="16">
        <f t="shared" si="10"/>
        <v>0</v>
      </c>
      <c r="AR84" s="88">
        <f>IFERROR(__xludf.DUMMYFUNCTION("iferror($O84-min(filter($O84:$O$386,arrayformula(isnumber(FIND($E84:$E$386,AM84))))))"),6.0)</f>
        <v>6</v>
      </c>
      <c r="AS84" s="89" t="str">
        <f>IFERROR(__xludf.DUMMYFUNCTION("iferror(join("","",index(sort(filter($F85:$F$386,$O85:$O$386&gt;$O84,arrayformula(isnumber(FIND($E85:$E$386,AM84)))),2,false),0,1)))"),"Colorado")</f>
        <v>Colorado</v>
      </c>
    </row>
    <row r="85">
      <c r="A85" s="13">
        <f t="shared" si="11"/>
        <v>84</v>
      </c>
      <c r="B85" s="13">
        <v>9.0</v>
      </c>
      <c r="C85" s="90">
        <v>4.0</v>
      </c>
      <c r="D85" s="91" t="str">
        <f t="shared" si="27"/>
        <v>Brad</v>
      </c>
      <c r="E85" s="186" t="str">
        <f>if(F85&lt;&gt;"",VLOOKUP(F85,'Teams-Conference, for lookup'!A:B,2,0),"")</f>
        <v>AAC</v>
      </c>
      <c r="F85" s="191" t="s">
        <v>219</v>
      </c>
      <c r="G85" t="str">
        <f t="shared" si="28"/>
        <v/>
      </c>
      <c r="H85" s="97">
        <f t="shared" si="2"/>
        <v>2</v>
      </c>
      <c r="I85" s="97">
        <f t="shared" si="3"/>
        <v>2</v>
      </c>
      <c r="J85" s="97">
        <f t="shared" si="12"/>
        <v>0</v>
      </c>
      <c r="K85" s="97">
        <f t="shared" si="26"/>
        <v>2</v>
      </c>
      <c r="L85" s="2"/>
      <c r="M85" s="97">
        <f>IFERROR(__xludf.DUMMYFUNCTION("counta(iferror(filter(L$2:L84,E$2:E84=E85,L$2:L84&lt;L85)))"),0.0)</f>
        <v>0</v>
      </c>
      <c r="N85" s="97">
        <f>IFERROR(__xludf.DUMMYFUNCTION("counta(iferror(filter(L86:L$124,E86:E$124=E85,L86:L$125&gt;L85)))"),0.0)</f>
        <v>0</v>
      </c>
      <c r="O85" s="83">
        <f t="array" ref="O85:X85">XLOOKUP(F85,'Current Week'!B:B,'Current Week'!C:O)</f>
        <v>3</v>
      </c>
      <c r="P85" s="97">
        <v>7.0</v>
      </c>
      <c r="Q85" s="2" t="s">
        <v>192</v>
      </c>
      <c r="R85" s="2" t="s">
        <v>106</v>
      </c>
      <c r="S85" s="2"/>
      <c r="T85" s="2" t="s">
        <v>115</v>
      </c>
      <c r="U85" s="8" t="s">
        <v>115</v>
      </c>
      <c r="V85" s="2"/>
      <c r="W85" s="8">
        <v>9999.0</v>
      </c>
      <c r="X85" s="2"/>
      <c r="Y85" s="2"/>
      <c r="Z85" s="2"/>
      <c r="AA85" s="86">
        <f t="shared" si="4"/>
        <v>-7</v>
      </c>
      <c r="AB85" s="8">
        <f t="shared" si="5"/>
        <v>2</v>
      </c>
      <c r="AC85" s="8">
        <f>IFERROR(__xludf.DUMMYFUNCTION("iferror(COUNT(filter($O86:$O$386,$O86:$O$386&gt;$O85)))"),29.0)</f>
        <v>29</v>
      </c>
      <c r="AD85" s="16">
        <f t="shared" si="6"/>
        <v>0</v>
      </c>
      <c r="AE85" s="88">
        <f t="shared" si="7"/>
        <v>1</v>
      </c>
      <c r="AF85" s="2" t="str">
        <f>IFERROR(__xludf.DUMMYFUNCTION("iferror(join("","",index(sort(filter($F86:$F$387,$O86:$O$387&gt;$O85),2,false),0,1)))"),"Boston College,Texas A&amp;M,UCF,NC State,Ball State,Louisiana Monroe,Old Dominion,California,Auburn,Colorado,Wyoming,Eastern Michigan,Kentucky,Wake Forest,Indiana,Maryland,Miami-OH,South Carolina,Vanderbilt,Hawaii,SMU,North Texas,UTSA,Tulane,Duke,Syracuse,Ch"&amp;"arlotte,Oregon State,Missouri")</f>
        <v>Boston College,Texas A&amp;M,UCF,NC State,Ball State,Louisiana Monroe,Old Dominion,California,Auburn,Colorado,Wyoming,Eastern Michigan,Kentucky,Wake Forest,Indiana,Maryland,Miami-OH,South Carolina,Vanderbilt,Hawaii,SMU,North Texas,UTSA,Tulane,Duke,Syracuse,Charlotte,Oregon State,Missouri</v>
      </c>
      <c r="AG85" s="86">
        <f>IFERROR(__xludf.DUMMYFUNCTION("iferror($O85-max(filter($O85:$O$386,$E85:$E$386=$E$2)))"),-3.0)</f>
        <v>-3</v>
      </c>
      <c r="AH85" s="8">
        <f t="shared" si="8"/>
        <v>0</v>
      </c>
      <c r="AI85" s="8">
        <f>IFERROR(__xludf.DUMMYFUNCTION("iferror(COUNT(filter($O86:$O$386,$O86:$O$386&gt;$O85,$E85:$E$386=$E$2)))"),0.0)</f>
        <v>0</v>
      </c>
      <c r="AJ85" s="16">
        <f t="shared" si="9"/>
        <v>0</v>
      </c>
      <c r="AK85" s="88">
        <f>IFERROR(__xludf.DUMMYFUNCTION("iferror($O85-min(filter($O85:$O$386,$E85:$E$386=$E$2)))"),1.0)</f>
        <v>1</v>
      </c>
      <c r="AL85" s="2" t="str">
        <f>IFERROR(__xludf.DUMMYFUNCTION("iferror(join("","",index(sort(filter($F86:$F$386,$O86:$O$386&gt;$O85,$E86:$E$386=$E$2),2,false),0,1)))"),"Boston College,NC State,Wake Forest,Duke,Syracuse")</f>
        <v>Boston College,NC State,Wake Forest,Duke,Syracuse</v>
      </c>
      <c r="AM85" s="2" t="str">
        <f>IFERROR(__xludf.DUMMYFUNCTION("REGEXREPLACE(join("","",unique({let(conf_picked,filter(E$1:E84,D$1:D84=D85), byrow(unique(TRANSPOSe(Teams!$1:$1)),lambda(rw,if(ISERROR(match(rw,conf_picked,0)),rw,))));iferror(if(#REF!,,transpose(split(#REF!,"","",1,1))))})), ""^,"", """")"),"AAC,,MWC")</f>
        <v>AAC,,MWC</v>
      </c>
      <c r="AN85" s="86">
        <f>IFERROR(__xludf.DUMMYFUNCTION("iferror($O85-max(filter($O85:$O$386,arrayformula(isnumber(FIND($E85:$E$386,AM85))))))"),-5.0)</f>
        <v>-5</v>
      </c>
      <c r="AO85" s="8">
        <f t="array" ref="AO85">countifs($O$2:$O84,"&lt;"&amp;$O85,isnumber(FIND($E$2:$E84,AM85)),TRUE)</f>
        <v>0</v>
      </c>
      <c r="AP85" s="8">
        <f>IFERROR(__xludf.DUMMYFUNCTION("iferror(COUNT(filter($O86:$O$386,$O86:$O$386&gt;$O85,arrayformula(isnumber(FIND($E86:$E$386,AM85))))))"),5.0)</f>
        <v>5</v>
      </c>
      <c r="AQ85" s="16">
        <f t="shared" si="10"/>
        <v>0</v>
      </c>
      <c r="AR85" s="88">
        <f>IFERROR(__xludf.DUMMYFUNCTION("iferror($O85-min(filter($O85:$O$386,arrayformula(isnumber(FIND($E85:$E$386,AM85))))))"),2.0)</f>
        <v>2</v>
      </c>
      <c r="AS85" s="89" t="str">
        <f>IFERROR(__xludf.DUMMYFUNCTION("iferror(join("","",index(sort(filter($F86:$F$386,$O86:$O$386&gt;$O85,arrayformula(isnumber(FIND($E86:$E$386,AM85)))),2,false),0,1)))"),"UCF,Wyoming,Hawaii,SMU,Tulane")</f>
        <v>UCF,Wyoming,Hawaii,SMU,Tulane</v>
      </c>
    </row>
    <row r="86">
      <c r="A86" s="13">
        <f t="shared" si="11"/>
        <v>85</v>
      </c>
      <c r="B86" s="13">
        <v>9.0</v>
      </c>
      <c r="C86" s="90">
        <v>5.0</v>
      </c>
      <c r="D86" s="91" t="str">
        <f t="shared" si="27"/>
        <v>Nico</v>
      </c>
      <c r="E86" s="179" t="str">
        <f>if(F86&lt;&gt;"",VLOOKUP(F86,'Teams-Conference, for lookup'!A:B,2,0),"")</f>
        <v>ACC</v>
      </c>
      <c r="F86" s="91" t="s">
        <v>245</v>
      </c>
      <c r="G86" t="str">
        <f t="shared" si="28"/>
        <v/>
      </c>
      <c r="H86" s="97">
        <f t="shared" si="2"/>
        <v>1</v>
      </c>
      <c r="I86" s="97">
        <f t="shared" si="3"/>
        <v>2</v>
      </c>
      <c r="J86" s="97">
        <f t="shared" si="12"/>
        <v>1</v>
      </c>
      <c r="K86" s="97">
        <f t="shared" ref="K86:K90" si="29">countif(E67:E86,E87)</f>
        <v>3</v>
      </c>
      <c r="L86" s="2"/>
      <c r="M86" s="97">
        <f>IFERROR(__xludf.DUMMYFUNCTION("counta(iferror(filter(L$2:L85,E$2:E85=E86,L$2:L85&lt;L86)))"),0.0)</f>
        <v>0</v>
      </c>
      <c r="N86" s="97">
        <f>IFERROR(__xludf.DUMMYFUNCTION("counta(iferror(filter(L87:L$124,E87:E$124=E86,L87:L$125&gt;L86)))"),0.0)</f>
        <v>0</v>
      </c>
      <c r="O86" s="83">
        <f t="array" ref="O86:X86">XLOOKUP(F86,'Current Week'!B:B,'Current Week'!C:O)</f>
        <v>6</v>
      </c>
      <c r="P86" s="83">
        <v>6.0</v>
      </c>
      <c r="Q86" s="2" t="s">
        <v>143</v>
      </c>
      <c r="R86" s="2" t="s">
        <v>106</v>
      </c>
      <c r="S86" s="2"/>
      <c r="T86" s="8">
        <v>-2.0</v>
      </c>
      <c r="U86" s="8" t="s">
        <v>108</v>
      </c>
      <c r="V86" s="2"/>
      <c r="W86" s="8">
        <v>9999.0</v>
      </c>
      <c r="X86" s="2"/>
      <c r="Y86" s="2"/>
      <c r="Z86" s="2"/>
      <c r="AA86" s="86">
        <f t="shared" si="4"/>
        <v>-4</v>
      </c>
      <c r="AB86" s="8">
        <f t="shared" si="5"/>
        <v>27</v>
      </c>
      <c r="AC86" s="8">
        <f>IFERROR(__xludf.DUMMYFUNCTION("iferror(COUNT(filter($O87:$O$386,$O87:$O$386&gt;$O86)))"),7.0)</f>
        <v>7</v>
      </c>
      <c r="AD86" s="16">
        <f t="shared" si="6"/>
        <v>0</v>
      </c>
      <c r="AE86" s="88">
        <f t="shared" si="7"/>
        <v>4</v>
      </c>
      <c r="AF86" s="2" t="str">
        <f>IFERROR(__xludf.DUMMYFUNCTION("iferror(join("","",index(sort(filter($F87:$F$387,$O87:$O$387&gt;$O86),2,false),0,1)))"),"Texas A&amp;M,Old Dominion,Auburn,Colorado,Wyoming,Eastern Michigan,Kentucky")</f>
        <v>Texas A&amp;M,Old Dominion,Auburn,Colorado,Wyoming,Eastern Michigan,Kentucky</v>
      </c>
      <c r="AG86" s="86">
        <f>IFERROR(__xludf.DUMMYFUNCTION("iferror($O86-max(filter($O86:$O$386,$E86:$E$386=$E$2)))"),0.0)</f>
        <v>0</v>
      </c>
      <c r="AH86" s="8">
        <f t="shared" si="8"/>
        <v>0</v>
      </c>
      <c r="AI86" s="8">
        <f>IFERROR(__xludf.DUMMYFUNCTION("iferror(COUNT(filter($O87:$O$386,$O87:$O$386&gt;$O86,$E86:$E$386=$E$2)))"),0.0)</f>
        <v>0</v>
      </c>
      <c r="AJ86" s="16">
        <f t="shared" si="9"/>
        <v>1</v>
      </c>
      <c r="AK86" s="88">
        <f>IFERROR(__xludf.DUMMYFUNCTION("iferror($O86-min(filter($O86:$O$386,$E86:$E$386=$E$2)))"),4.0)</f>
        <v>4</v>
      </c>
      <c r="AL86" s="2" t="str">
        <f>IFERROR(__xludf.DUMMYFUNCTION("iferror(join("","",index(sort(filter($F87:$F$386,$O87:$O$386&gt;$O86,$E87:$E$386=$E$2),2,false),0,1)))"),"")</f>
        <v/>
      </c>
      <c r="AM86" s="2" t="str">
        <f>IFERROR(__xludf.DUMMYFUNCTION("REGEXREPLACE(join("","",unique({let(conf_picked,filter(E$1:E85,D$1:D85=D86), byrow(unique(TRANSPOSe(Teams!$1:$1)),lambda(rw,if(ISERROR(match(rw,conf_picked,0)),rw,))));iferror(if(#REF!,,transpose(split(#REF!,"","",1,1))))})), ""^,"", """")"),"ACC,Big 12")</f>
        <v>ACC,Big 12</v>
      </c>
      <c r="AN86" s="86">
        <f>IFERROR(__xludf.DUMMYFUNCTION("iferror($O86-max(filter($O86:$O$386,arrayformula(isnumber(FIND($E86:$E$386,AM86))))))"),0.0)</f>
        <v>0</v>
      </c>
      <c r="AO86" s="8">
        <f t="array" ref="AO86">countifs($O$2:$O85,"&lt;"&amp;$O86,isnumber(FIND($E$2:$E85,AM86)),TRUE)</f>
        <v>3</v>
      </c>
      <c r="AP86" s="8">
        <f>IFERROR(__xludf.DUMMYFUNCTION("iferror(COUNT(filter($O87:$O$386,$O87:$O$386&gt;$O86,arrayformula(isnumber(FIND($E87:$E$386,AM86))))))"),0.0)</f>
        <v>0</v>
      </c>
      <c r="AQ86" s="16">
        <f t="shared" si="10"/>
        <v>1</v>
      </c>
      <c r="AR86" s="88">
        <f>IFERROR(__xludf.DUMMYFUNCTION("iferror($O86-min(filter($O86:$O$386,arrayformula(isnumber(FIND($E86:$E$386,AM86))))))"),4.0)</f>
        <v>4</v>
      </c>
      <c r="AS86" s="89" t="str">
        <f>IFERROR(__xludf.DUMMYFUNCTION("iferror(join("","",index(sort(filter($F87:$F$386,$O87:$O$386&gt;$O86,arrayformula(isnumber(FIND($E87:$E$386,AM86)))),2,false),0,1)))"),"")</f>
        <v/>
      </c>
    </row>
    <row r="87">
      <c r="A87" s="13">
        <f t="shared" si="11"/>
        <v>86</v>
      </c>
      <c r="B87" s="13">
        <v>9.0</v>
      </c>
      <c r="C87" s="90">
        <v>6.0</v>
      </c>
      <c r="D87" s="91" t="str">
        <f t="shared" si="27"/>
        <v>Vu</v>
      </c>
      <c r="E87" s="179" t="str">
        <f>if(F87&lt;&gt;"",VLOOKUP(F87,'Teams-Conference, for lookup'!A:B,2,0),"")</f>
        <v>SEC</v>
      </c>
      <c r="F87" t="s">
        <v>389</v>
      </c>
      <c r="G87" t="str">
        <f t="shared" si="28"/>
        <v/>
      </c>
      <c r="H87" s="97">
        <f t="shared" si="2"/>
        <v>0</v>
      </c>
      <c r="I87" s="97">
        <f t="shared" si="3"/>
        <v>2</v>
      </c>
      <c r="J87" s="97">
        <f t="shared" si="12"/>
        <v>1</v>
      </c>
      <c r="K87" s="97">
        <f t="shared" si="29"/>
        <v>1</v>
      </c>
      <c r="L87" s="2"/>
      <c r="M87" s="97">
        <f>IFERROR(__xludf.DUMMYFUNCTION("counta(iferror(filter(L$2:L86,E$2:E86=E87,L$2:L86&lt;L87)))"),0.0)</f>
        <v>0</v>
      </c>
      <c r="N87" s="97">
        <f>IFERROR(__xludf.DUMMYFUNCTION("counta(iferror(filter(L88:L$124,E88:E$124=E87,L88:L$125&gt;L87)))"),0.0)</f>
        <v>0</v>
      </c>
      <c r="O87" s="83">
        <f t="array" ref="O87:X87">XLOOKUP(F87,'Current Week'!B:B,'Current Week'!C:O)</f>
        <v>8</v>
      </c>
      <c r="P87" s="97">
        <v>4.0</v>
      </c>
      <c r="Q87" s="2" t="s">
        <v>170</v>
      </c>
      <c r="R87" s="2" t="s">
        <v>106</v>
      </c>
      <c r="S87" s="2"/>
      <c r="T87" s="2">
        <v>-2.0</v>
      </c>
      <c r="U87" s="8" t="s">
        <v>108</v>
      </c>
      <c r="V87" s="2"/>
      <c r="W87" s="8">
        <v>9999.0</v>
      </c>
      <c r="X87" s="2"/>
      <c r="Y87" s="2"/>
      <c r="Z87" s="2"/>
      <c r="AA87" s="86">
        <f t="shared" si="4"/>
        <v>-2</v>
      </c>
      <c r="AB87" s="8">
        <f t="shared" si="5"/>
        <v>39</v>
      </c>
      <c r="AC87" s="8">
        <f>IFERROR(__xludf.DUMMYFUNCTION("iferror(COUNT(filter($O88:$O$386,$O88:$O$386&gt;$O87)))"),2.0)</f>
        <v>2</v>
      </c>
      <c r="AD87" s="16">
        <f t="shared" si="6"/>
        <v>0</v>
      </c>
      <c r="AE87" s="88">
        <f t="shared" si="7"/>
        <v>6</v>
      </c>
      <c r="AF87" s="2" t="str">
        <f>IFERROR(__xludf.DUMMYFUNCTION("iferror(join("","",index(sort(filter($F88:$F$387,$O88:$O$387&gt;$O87),2,false),0,1)))"),"Old Dominion,Colorado")</f>
        <v>Old Dominion,Colorado</v>
      </c>
      <c r="AG87" s="86">
        <f>IFERROR(__xludf.DUMMYFUNCTION("iferror($O87-max(filter($O87:$O$386,$E87:$E$386=$E$2)))"),2.0)</f>
        <v>2</v>
      </c>
      <c r="AH87" s="8">
        <f t="shared" si="8"/>
        <v>1</v>
      </c>
      <c r="AI87" s="8">
        <f>IFERROR(__xludf.DUMMYFUNCTION("iferror(COUNT(filter($O88:$O$386,$O88:$O$386&gt;$O87,$E87:$E$386=$E$2)))"),0.0)</f>
        <v>0</v>
      </c>
      <c r="AJ87" s="16">
        <f t="shared" si="9"/>
        <v>0</v>
      </c>
      <c r="AK87" s="88">
        <f>IFERROR(__xludf.DUMMYFUNCTION("iferror($O87-min(filter($O87:$O$386,$E87:$E$386=$E$2)))"),6.0)</f>
        <v>6</v>
      </c>
      <c r="AL87" s="2" t="str">
        <f>IFERROR(__xludf.DUMMYFUNCTION("iferror(join("","",index(sort(filter($F88:$F$386,$O88:$O$386&gt;$O87,$E88:$E$386=$E$2),2,false),0,1)))"),"")</f>
        <v/>
      </c>
      <c r="AM87" s="2" t="str">
        <f>IFERROR(__xludf.DUMMYFUNCTION("REGEXREPLACE(join("","",unique({let(conf_picked,filter(E$1:E86,D$1:D86=D87), byrow(unique(TRANSPOSe(Teams!$1:$1)),lambda(rw,if(ISERROR(match(rw,conf_picked,0)),rw,))));iferror(if(#REF!,,transpose(split(#REF!,"","",1,1))))})), ""^,"", """")"),"CUSA,SEC")</f>
        <v>CUSA,SEC</v>
      </c>
      <c r="AN87" s="86">
        <f>IFERROR(__xludf.DUMMYFUNCTION("iferror($O87-max(filter($O87:$O$386,arrayformula(isnumber(FIND($E87:$E$386,AM87))))))"),-1.0)</f>
        <v>-1</v>
      </c>
      <c r="AO87" s="8">
        <f t="array" ref="AO87">countifs($O$2:$O86,"&lt;"&amp;$O87,isnumber(FIND($E$2:$E86,AM87)),TRUE)</f>
        <v>9</v>
      </c>
      <c r="AP87" s="8">
        <f>IFERROR(__xludf.DUMMYFUNCTION("iferror(COUNT(filter($O88:$O$386,$O88:$O$386&gt;$O87,arrayformula(isnumber(FIND($E88:$E$386,AM87))))))"),1.0)</f>
        <v>1</v>
      </c>
      <c r="AQ87" s="16">
        <f t="shared" si="10"/>
        <v>0</v>
      </c>
      <c r="AR87" s="88">
        <f>IFERROR(__xludf.DUMMYFUNCTION("iferror($O87-min(filter($O87:$O$386,arrayformula(isnumber(FIND($E87:$E$386,AM87))))))"),5.0)</f>
        <v>5</v>
      </c>
      <c r="AS87" s="89" t="str">
        <f>IFERROR(__xludf.DUMMYFUNCTION("iferror(join("","",index(sort(filter($F88:$F$386,$O88:$O$386&gt;$O87,arrayformula(isnumber(FIND($E88:$E$386,AM87)))),2,false),0,1)))"),"Old Dominion")</f>
        <v>Old Dominion</v>
      </c>
    </row>
    <row r="88">
      <c r="A88" s="13">
        <f t="shared" si="11"/>
        <v>87</v>
      </c>
      <c r="B88" s="13">
        <v>9.0</v>
      </c>
      <c r="C88" s="90">
        <v>7.0</v>
      </c>
      <c r="D88" s="91" t="str">
        <f t="shared" si="27"/>
        <v>Josh T.</v>
      </c>
      <c r="E88" s="179" t="str">
        <f>if(F88&lt;&gt;"",VLOOKUP(F88,'Teams-Conference, for lookup'!A:B,2,0),"")</f>
        <v>CUSA</v>
      </c>
      <c r="F88" s="191" t="s">
        <v>405</v>
      </c>
      <c r="G88" t="str">
        <f t="shared" si="28"/>
        <v/>
      </c>
      <c r="H88" s="97">
        <f t="shared" si="2"/>
        <v>2</v>
      </c>
      <c r="I88" s="97">
        <f t="shared" si="3"/>
        <v>2</v>
      </c>
      <c r="J88" s="97">
        <f t="shared" si="12"/>
        <v>0</v>
      </c>
      <c r="K88" s="97">
        <f t="shared" si="29"/>
        <v>1</v>
      </c>
      <c r="L88" s="2"/>
      <c r="M88" s="97">
        <f>IFERROR(__xludf.DUMMYFUNCTION("counta(iferror(filter(L$2:L87,E$2:E87=E88,L$2:L87&lt;L88)))"),0.0)</f>
        <v>0</v>
      </c>
      <c r="N88" s="97">
        <f>IFERROR(__xludf.DUMMYFUNCTION("counta(iferror(filter(L89:L$124,E89:E$124=E88,L89:L$125&gt;L88)))"),0.0)</f>
        <v>0</v>
      </c>
      <c r="O88" s="83">
        <f t="array" ref="O88:X88">XLOOKUP(F88,'Current Week'!B:B,'Current Week'!C:O)</f>
        <v>3</v>
      </c>
      <c r="P88" s="97">
        <v>6.0</v>
      </c>
      <c r="Q88" s="2" t="s">
        <v>165</v>
      </c>
      <c r="R88" s="2" t="s">
        <v>106</v>
      </c>
      <c r="S88" s="2"/>
      <c r="T88" s="2" t="s">
        <v>115</v>
      </c>
      <c r="U88" s="8" t="s">
        <v>115</v>
      </c>
      <c r="V88" s="2"/>
      <c r="W88" s="8">
        <v>9999.0</v>
      </c>
      <c r="X88" s="2"/>
      <c r="Y88" s="2"/>
      <c r="Z88" s="2"/>
      <c r="AA88" s="86">
        <f t="shared" si="4"/>
        <v>-7</v>
      </c>
      <c r="AB88" s="8">
        <f t="shared" si="5"/>
        <v>2</v>
      </c>
      <c r="AC88" s="8">
        <f>IFERROR(__xludf.DUMMYFUNCTION("iferror(COUNT(filter($O89:$O$386,$O89:$O$386&gt;$O88)))"),27.0)</f>
        <v>27</v>
      </c>
      <c r="AD88" s="16">
        <f t="shared" si="6"/>
        <v>0</v>
      </c>
      <c r="AE88" s="88">
        <f t="shared" si="7"/>
        <v>1</v>
      </c>
      <c r="AF88" s="2" t="str">
        <f>IFERROR(__xludf.DUMMYFUNCTION("iferror(join("","",index(sort(filter($F89:$F$387,$O89:$O$387&gt;$O88),2,false),0,1)))"),"UCF,NC State,Ball State,Louisiana Monroe,Old Dominion,California,Auburn,Colorado,Wyoming,Eastern Michigan,Kentucky,Wake Forest,Indiana,Maryland,Miami-OH,South Carolina,Vanderbilt,Hawaii,SMU,North Texas,UTSA,Tulane,Duke,Syracuse,Charlotte,Oregon State,Miss"&amp;"ouri")</f>
        <v>UCF,NC State,Ball State,Louisiana Monroe,Old Dominion,California,Auburn,Colorado,Wyoming,Eastern Michigan,Kentucky,Wake Forest,Indiana,Maryland,Miami-OH,South Carolina,Vanderbilt,Hawaii,SMU,North Texas,UTSA,Tulane,Duke,Syracuse,Charlotte,Oregon State,Missouri</v>
      </c>
      <c r="AG88" s="86">
        <f>IFERROR(__xludf.DUMMYFUNCTION("iferror($O88-max(filter($O88:$O$386,$E88:$E$386=$E$2)))"),-3.0)</f>
        <v>-3</v>
      </c>
      <c r="AH88" s="8">
        <f t="shared" si="8"/>
        <v>0</v>
      </c>
      <c r="AI88" s="8">
        <f>IFERROR(__xludf.DUMMYFUNCTION("iferror(COUNT(filter($O89:$O$386,$O89:$O$386&gt;$O88,$E88:$E$386=$E$2)))"),0.0)</f>
        <v>0</v>
      </c>
      <c r="AJ88" s="16">
        <f t="shared" si="9"/>
        <v>0</v>
      </c>
      <c r="AK88" s="88">
        <f>IFERROR(__xludf.DUMMYFUNCTION("iferror($O88-min(filter($O88:$O$386,$E88:$E$386=$E$2)))"),1.0)</f>
        <v>1</v>
      </c>
      <c r="AL88" s="2" t="str">
        <f>IFERROR(__xludf.DUMMYFUNCTION("iferror(join("","",index(sort(filter($F89:$F$386,$O89:$O$386&gt;$O88,$E89:$E$386=$E$2),2,false),0,1)))"),"NC State,Wake Forest,Duke,Syracuse")</f>
        <v>NC State,Wake Forest,Duke,Syracuse</v>
      </c>
      <c r="AM88" s="2" t="str">
        <f>IFERROR(__xludf.DUMMYFUNCTION("REGEXREPLACE(join("","",unique({let(conf_picked,filter(E$1:E87,D$1:D87=D88), byrow(unique(TRANSPOSe(Teams!$1:$1)),lambda(rw,if(ISERROR(match(rw,conf_picked,0)),rw,))));iferror(if(#REF!,,transpose(split(#REF!,"","",1,1))))})), ""^,"", """")"),"CUSA,Sun Belt")</f>
        <v>CUSA,Sun Belt</v>
      </c>
      <c r="AN88" s="86">
        <f>IFERROR(__xludf.DUMMYFUNCTION("iferror($O88-max(filter($O88:$O$386,arrayformula(isnumber(FIND($E88:$E$386,AM88))))))"),-6.0)</f>
        <v>-6</v>
      </c>
      <c r="AO88" s="8">
        <f t="array" ref="AO88">countifs($O$2:$O87,"&lt;"&amp;$O88,isnumber(FIND($E$2:$E87,AM88)),TRUE)</f>
        <v>1</v>
      </c>
      <c r="AP88" s="8">
        <f>IFERROR(__xludf.DUMMYFUNCTION("iferror(COUNT(filter($O89:$O$386,$O89:$O$386&gt;$O88,arrayformula(isnumber(FIND($E89:$E$386,AM88))))))"),5.0)</f>
        <v>5</v>
      </c>
      <c r="AQ88" s="16">
        <f t="shared" si="10"/>
        <v>0</v>
      </c>
      <c r="AR88" s="88">
        <f>IFERROR(__xludf.DUMMYFUNCTION("iferror($O88-min(filter($O88:$O$386,arrayformula(isnumber(FIND($E88:$E$386,AM88))))))"),0.0)</f>
        <v>0</v>
      </c>
      <c r="AS88" s="89" t="str">
        <f>IFERROR(__xludf.DUMMYFUNCTION("iferror(join("","",index(sort(filter($F89:$F$386,$O89:$O$386&gt;$O88,arrayformula(isnumber(FIND($E89:$E$386,AM88)))),2,false),0,1)))"),"Louisiana Monroe,Old Dominion,North Texas,UTSA,Charlotte")</f>
        <v>Louisiana Monroe,Old Dominion,North Texas,UTSA,Charlotte</v>
      </c>
    </row>
    <row r="89">
      <c r="A89" s="13">
        <f t="shared" si="11"/>
        <v>88</v>
      </c>
      <c r="B89" s="13">
        <v>9.0</v>
      </c>
      <c r="C89" s="90">
        <v>8.0</v>
      </c>
      <c r="D89" s="91" t="str">
        <f t="shared" si="27"/>
        <v>Justin</v>
      </c>
      <c r="E89" s="179" t="str">
        <f>if(F89&lt;&gt;"",VLOOKUP(F89,'Teams-Conference, for lookup'!A:B,2,0),"")</f>
        <v>AAC</v>
      </c>
      <c r="F89" t="s">
        <v>374</v>
      </c>
      <c r="G89" t="str">
        <f t="shared" si="28"/>
        <v/>
      </c>
      <c r="H89" s="97">
        <f t="shared" si="2"/>
        <v>1</v>
      </c>
      <c r="I89" s="97">
        <f t="shared" si="3"/>
        <v>1</v>
      </c>
      <c r="J89" s="97">
        <f t="shared" si="12"/>
        <v>1</v>
      </c>
      <c r="K89" s="97">
        <f t="shared" si="29"/>
        <v>2</v>
      </c>
      <c r="L89" s="2"/>
      <c r="M89" s="97">
        <f>IFERROR(__xludf.DUMMYFUNCTION("counta(iferror(filter(L$2:L88,E$2:E88=E89,L$2:L88&lt;L89)))"),0.0)</f>
        <v>0</v>
      </c>
      <c r="N89" s="97">
        <f>IFERROR(__xludf.DUMMYFUNCTION("counta(iferror(filter(L90:L$124,E90:E$124=E89,L90:L$125&gt;L89)))"),0.0)</f>
        <v>0</v>
      </c>
      <c r="O89" s="83">
        <f t="array" ref="O89:X89">XLOOKUP(F89,'Current Week'!B:B,'Current Week'!C:O)</f>
        <v>3</v>
      </c>
      <c r="P89" s="97">
        <v>7.0</v>
      </c>
      <c r="Q89" s="2" t="s">
        <v>212</v>
      </c>
      <c r="R89" s="2" t="s">
        <v>106</v>
      </c>
      <c r="S89" s="2"/>
      <c r="T89" s="2" t="s">
        <v>115</v>
      </c>
      <c r="U89" s="8" t="s">
        <v>115</v>
      </c>
      <c r="V89" s="2"/>
      <c r="W89" s="8">
        <v>9999.0</v>
      </c>
      <c r="X89" s="2"/>
      <c r="Y89" s="2"/>
      <c r="Z89" s="2"/>
      <c r="AA89" s="86">
        <f t="shared" si="4"/>
        <v>-7</v>
      </c>
      <c r="AB89" s="8">
        <f t="shared" si="5"/>
        <v>2</v>
      </c>
      <c r="AC89" s="8">
        <f>IFERROR(__xludf.DUMMYFUNCTION("iferror(COUNT(filter($O90:$O$386,$O90:$O$386&gt;$O89)))"),27.0)</f>
        <v>27</v>
      </c>
      <c r="AD89" s="16">
        <f t="shared" si="6"/>
        <v>0</v>
      </c>
      <c r="AE89" s="88">
        <f t="shared" si="7"/>
        <v>1</v>
      </c>
      <c r="AF89" s="2" t="str">
        <f>IFERROR(__xludf.DUMMYFUNCTION("iferror(join("","",index(sort(filter($F90:$F$387,$O90:$O$387&gt;$O89),2,false),0,1)))"),"UCF,NC State,Ball State,Louisiana Monroe,Old Dominion,California,Auburn,Colorado,Wyoming,Eastern Michigan,Kentucky,Wake Forest,Indiana,Maryland,Miami-OH,South Carolina,Vanderbilt,Hawaii,SMU,North Texas,UTSA,Tulane,Duke,Syracuse,Charlotte,Oregon State,Miss"&amp;"ouri")</f>
        <v>UCF,NC State,Ball State,Louisiana Monroe,Old Dominion,California,Auburn,Colorado,Wyoming,Eastern Michigan,Kentucky,Wake Forest,Indiana,Maryland,Miami-OH,South Carolina,Vanderbilt,Hawaii,SMU,North Texas,UTSA,Tulane,Duke,Syracuse,Charlotte,Oregon State,Missouri</v>
      </c>
      <c r="AG89" s="86">
        <f>IFERROR(__xludf.DUMMYFUNCTION("iferror($O89-max(filter($O89:$O$386,$E89:$E$386=$E$2)))"),-3.0)</f>
        <v>-3</v>
      </c>
      <c r="AH89" s="8">
        <f t="shared" si="8"/>
        <v>0</v>
      </c>
      <c r="AI89" s="8">
        <f>IFERROR(__xludf.DUMMYFUNCTION("iferror(COUNT(filter($O90:$O$386,$O90:$O$386&gt;$O89,$E89:$E$386=$E$2)))"),0.0)</f>
        <v>0</v>
      </c>
      <c r="AJ89" s="16">
        <f t="shared" si="9"/>
        <v>0</v>
      </c>
      <c r="AK89" s="88">
        <f>IFERROR(__xludf.DUMMYFUNCTION("iferror($O89-min(filter($O89:$O$386,$E89:$E$386=$E$2)))"),1.0)</f>
        <v>1</v>
      </c>
      <c r="AL89" s="2" t="str">
        <f>IFERROR(__xludf.DUMMYFUNCTION("iferror(join("","",index(sort(filter($F90:$F$386,$O90:$O$386&gt;$O89,$E90:$E$386=$E$2),2,false),0,1)))"),"NC State,Wake Forest,Duke,Syracuse")</f>
        <v>NC State,Wake Forest,Duke,Syracuse</v>
      </c>
      <c r="AM89" s="2" t="str">
        <f>IFERROR(__xludf.DUMMYFUNCTION("REGEXREPLACE(join("","",unique({let(conf_picked,filter(E$1:E88,D$1:D88=D89), byrow(unique(TRANSPOSe(Teams!$1:$1)),lambda(rw,if(ISERROR(match(rw,conf_picked,0)),rw,))));iferror(if(#REF!,,transpose(split(#REF!,"","",1,1))))})), ""^,"", """")"),"AAC,,MAC")</f>
        <v>AAC,,MAC</v>
      </c>
      <c r="AN89" s="86">
        <f>IFERROR(__xludf.DUMMYFUNCTION("iferror($O89-max(filter($O89:$O$386,arrayformula(isnumber(FIND($E89:$E$386,AM89))))))"),-4.0)</f>
        <v>-4</v>
      </c>
      <c r="AO89" s="8">
        <f t="array" ref="AO89">countifs($O$2:$O88,"&lt;"&amp;$O89,isnumber(FIND($E$2:$E88,AM89)),TRUE)</f>
        <v>1</v>
      </c>
      <c r="AP89" s="8">
        <f>IFERROR(__xludf.DUMMYFUNCTION("iferror(COUNT(filter($O90:$O$386,$O90:$O$386&gt;$O89,arrayformula(isnumber(FIND($E90:$E$386,AM89))))))"),6.0)</f>
        <v>6</v>
      </c>
      <c r="AQ89" s="16">
        <f t="shared" si="10"/>
        <v>0</v>
      </c>
      <c r="AR89" s="88">
        <f>IFERROR(__xludf.DUMMYFUNCTION("iferror($O89-min(filter($O89:$O$386,arrayformula(isnumber(FIND($E89:$E$386,AM89))))))"),0.0)</f>
        <v>0</v>
      </c>
      <c r="AS89" s="89" t="str">
        <f>IFERROR(__xludf.DUMMYFUNCTION("iferror(join("","",index(sort(filter($F90:$F$386,$O90:$O$386&gt;$O89,arrayformula(isnumber(FIND($E90:$E$386,AM89)))),2,false),0,1)))"),"UCF,Ball State,Eastern Michigan,Miami-OH,SMU,Tulane")</f>
        <v>UCF,Ball State,Eastern Michigan,Miami-OH,SMU,Tulane</v>
      </c>
    </row>
    <row r="90">
      <c r="A90" s="13">
        <f t="shared" si="11"/>
        <v>89</v>
      </c>
      <c r="B90" s="13">
        <v>9.0</v>
      </c>
      <c r="C90" s="90">
        <v>9.0</v>
      </c>
      <c r="D90" s="91" t="str">
        <f t="shared" si="27"/>
        <v>Frank</v>
      </c>
      <c r="E90" s="179" t="str">
        <f>if(F90&lt;&gt;"",VLOOKUP(F90,'Teams-Conference, for lookup'!A:B,2,0),"")</f>
        <v>Sun Belt</v>
      </c>
      <c r="F90" s="13" t="s">
        <v>425</v>
      </c>
      <c r="G90" t="str">
        <f t="shared" si="28"/>
        <v/>
      </c>
      <c r="H90" s="97">
        <f t="shared" si="2"/>
        <v>1</v>
      </c>
      <c r="I90" s="97">
        <f t="shared" si="3"/>
        <v>1</v>
      </c>
      <c r="J90" s="97">
        <f t="shared" si="12"/>
        <v>1</v>
      </c>
      <c r="K90" s="97">
        <f t="shared" si="29"/>
        <v>2</v>
      </c>
      <c r="L90" s="2"/>
      <c r="M90" s="97">
        <f>IFERROR(__xludf.DUMMYFUNCTION("counta(iferror(filter(L$2:L89,E$2:E89=E90,L$2:L89&lt;L90)))"),0.0)</f>
        <v>0</v>
      </c>
      <c r="N90" s="97">
        <f>IFERROR(__xludf.DUMMYFUNCTION("counta(iferror(filter(L91:L$124,E91:E$124=E90,L91:L$125&gt;L90)))"),0.0)</f>
        <v>0</v>
      </c>
      <c r="O90" s="83">
        <f t="array" ref="O90:X90">XLOOKUP(F90,'Current Week'!B:B,'Current Week'!C:O)</f>
        <v>3</v>
      </c>
      <c r="P90" s="97">
        <v>6.0</v>
      </c>
      <c r="Q90" s="2" t="s">
        <v>137</v>
      </c>
      <c r="R90" s="2" t="s">
        <v>106</v>
      </c>
      <c r="S90" s="2"/>
      <c r="T90" s="2" t="s">
        <v>115</v>
      </c>
      <c r="U90" s="8" t="s">
        <v>115</v>
      </c>
      <c r="V90" s="2"/>
      <c r="W90" s="8">
        <v>9999.0</v>
      </c>
      <c r="X90" s="2"/>
      <c r="Y90" s="2"/>
      <c r="Z90" s="2"/>
      <c r="AA90" s="86">
        <f t="shared" si="4"/>
        <v>-7</v>
      </c>
      <c r="AB90" s="8">
        <f t="shared" si="5"/>
        <v>2</v>
      </c>
      <c r="AC90" s="8">
        <f>IFERROR(__xludf.DUMMYFUNCTION("iferror(COUNT(filter($O91:$O$386,$O91:$O$386&gt;$O90)))"),27.0)</f>
        <v>27</v>
      </c>
      <c r="AD90" s="16">
        <f t="shared" si="6"/>
        <v>0</v>
      </c>
      <c r="AE90" s="88">
        <f t="shared" si="7"/>
        <v>1</v>
      </c>
      <c r="AF90" s="2" t="str">
        <f>IFERROR(__xludf.DUMMYFUNCTION("iferror(join("","",index(sort(filter($F91:$F$387,$O91:$O$387&gt;$O90),2,false),0,1)))"),"UCF,NC State,Ball State,Louisiana Monroe,Old Dominion,California,Auburn,Colorado,Wyoming,Eastern Michigan,Kentucky,Wake Forest,Indiana,Maryland,Miami-OH,South Carolina,Vanderbilt,Hawaii,SMU,North Texas,UTSA,Tulane,Duke,Syracuse,Charlotte,Oregon State,Miss"&amp;"ouri")</f>
        <v>UCF,NC State,Ball State,Louisiana Monroe,Old Dominion,California,Auburn,Colorado,Wyoming,Eastern Michigan,Kentucky,Wake Forest,Indiana,Maryland,Miami-OH,South Carolina,Vanderbilt,Hawaii,SMU,North Texas,UTSA,Tulane,Duke,Syracuse,Charlotte,Oregon State,Missouri</v>
      </c>
      <c r="AG90" s="86">
        <f>IFERROR(__xludf.DUMMYFUNCTION("iferror($O90-max(filter($O90:$O$386,$E90:$E$386=$E$2)))"),-3.0)</f>
        <v>-3</v>
      </c>
      <c r="AH90" s="8">
        <f t="shared" si="8"/>
        <v>0</v>
      </c>
      <c r="AI90" s="8">
        <f>IFERROR(__xludf.DUMMYFUNCTION("iferror(COUNT(filter($O91:$O$386,$O91:$O$386&gt;$O90,$E90:$E$386=$E$2)))"),0.0)</f>
        <v>0</v>
      </c>
      <c r="AJ90" s="16">
        <f t="shared" si="9"/>
        <v>0</v>
      </c>
      <c r="AK90" s="88">
        <f>IFERROR(__xludf.DUMMYFUNCTION("iferror($O90-min(filter($O90:$O$386,$E90:$E$386=$E$2)))"),1.0)</f>
        <v>1</v>
      </c>
      <c r="AL90" s="2" t="str">
        <f>IFERROR(__xludf.DUMMYFUNCTION("iferror(join("","",index(sort(filter($F91:$F$386,$O91:$O$386&gt;$O90,$E91:$E$386=$E$2),2,false),0,1)))"),"NC State,Wake Forest,Duke,Syracuse")</f>
        <v>NC State,Wake Forest,Duke,Syracuse</v>
      </c>
      <c r="AM90" s="2" t="str">
        <f>IFERROR(__xludf.DUMMYFUNCTION("REGEXREPLACE(join("","",unique({let(conf_picked,filter(E$1:E89,D$1:D89=D90), byrow(unique(TRANSPOSe(Teams!$1:$1)),lambda(rw,if(ISERROR(match(rw,conf_picked,0)),rw,))));iferror(if(#REF!,,transpose(split(#REF!,"","",1,1))))})), ""^,"", """")"),"CUSA,Sun Belt")</f>
        <v>CUSA,Sun Belt</v>
      </c>
      <c r="AN90" s="86">
        <f>IFERROR(__xludf.DUMMYFUNCTION("iferror($O90-max(filter($O90:$O$386,arrayformula(isnumber(FIND($E90:$E$386,AM90))))))"),-6.0)</f>
        <v>-6</v>
      </c>
      <c r="AO90" s="8">
        <f t="array" ref="AO90">countifs($O$2:$O89,"&lt;"&amp;$O90,isnumber(FIND($E$2:$E89,AM90)),TRUE)</f>
        <v>1</v>
      </c>
      <c r="AP90" s="8">
        <f>IFERROR(__xludf.DUMMYFUNCTION("iferror(COUNT(filter($O91:$O$386,$O91:$O$386&gt;$O90,arrayformula(isnumber(FIND($E91:$E$386,AM90))))))"),5.0)</f>
        <v>5</v>
      </c>
      <c r="AQ90" s="16">
        <f t="shared" si="10"/>
        <v>0</v>
      </c>
      <c r="AR90" s="88">
        <f>IFERROR(__xludf.DUMMYFUNCTION("iferror($O90-min(filter($O90:$O$386,arrayformula(isnumber(FIND($E90:$E$386,AM90))))))"),0.0)</f>
        <v>0</v>
      </c>
      <c r="AS90" s="89" t="str">
        <f>IFERROR(__xludf.DUMMYFUNCTION("iferror(join("","",index(sort(filter($F91:$F$386,$O91:$O$386&gt;$O90,arrayformula(isnumber(FIND($E91:$E$386,AM90)))),2,false),0,1)))"),"Louisiana Monroe,Old Dominion,North Texas,UTSA,Charlotte")</f>
        <v>Louisiana Monroe,Old Dominion,North Texas,UTSA,Charlotte</v>
      </c>
    </row>
    <row r="91">
      <c r="A91" s="151">
        <f t="shared" si="11"/>
        <v>90</v>
      </c>
      <c r="B91" s="151">
        <v>9.0</v>
      </c>
      <c r="C91" s="90">
        <v>10.0</v>
      </c>
      <c r="D91" s="101" t="str">
        <f t="shared" si="27"/>
        <v>Nick A.</v>
      </c>
      <c r="E91" s="184" t="str">
        <f>if(F91&lt;&gt;"",VLOOKUP(F91,'Teams-Conference, for lookup'!A:B,2,0),"")</f>
        <v>AAC</v>
      </c>
      <c r="F91" s="101" t="s">
        <v>377</v>
      </c>
      <c r="G91" s="157" t="str">
        <f t="shared" si="28"/>
        <v/>
      </c>
      <c r="H91" s="97">
        <f t="shared" si="2"/>
        <v>0</v>
      </c>
      <c r="I91" s="97">
        <f t="shared" si="3"/>
        <v>1</v>
      </c>
      <c r="J91" s="97">
        <f t="shared" si="12"/>
        <v>2</v>
      </c>
      <c r="K91" s="97">
        <f>countif(E72:E91,E93)</f>
        <v>2</v>
      </c>
      <c r="L91" s="2"/>
      <c r="M91" s="97">
        <f>IFERROR(__xludf.DUMMYFUNCTION("counta(iferror(filter(L$2:L90,E$2:E90=E91,L$2:L90&lt;L91)))"),0.0)</f>
        <v>0</v>
      </c>
      <c r="N91" s="97">
        <f>IFERROR(__xludf.DUMMYFUNCTION("counta(iferror(filter(L92:L$124,E92:E$124=E91,L92:L$125&gt;L91)))"),0.0)</f>
        <v>0</v>
      </c>
      <c r="O91" s="83">
        <f t="array" ref="O91:X91">XLOOKUP(F91,'Current Week'!B:B,'Current Week'!C:O)</f>
        <v>6</v>
      </c>
      <c r="P91" s="97">
        <v>4.0</v>
      </c>
      <c r="Q91" s="2" t="s">
        <v>187</v>
      </c>
      <c r="R91" s="2" t="s">
        <v>106</v>
      </c>
      <c r="S91" s="2"/>
      <c r="T91" s="2">
        <v>-6.0</v>
      </c>
      <c r="U91" s="8" t="s">
        <v>108</v>
      </c>
      <c r="V91" s="2"/>
      <c r="W91" s="8">
        <v>9999.0</v>
      </c>
      <c r="X91" s="2"/>
      <c r="Y91" s="2"/>
      <c r="Z91" s="2"/>
      <c r="AA91" s="86">
        <f t="shared" si="4"/>
        <v>-4</v>
      </c>
      <c r="AB91" s="8">
        <f t="shared" si="5"/>
        <v>30</v>
      </c>
      <c r="AC91" s="8">
        <f>IFERROR(__xludf.DUMMYFUNCTION("iferror(COUNT(filter($O92:$O$386,$O92:$O$386&gt;$O91)))"),6.0)</f>
        <v>6</v>
      </c>
      <c r="AD91" s="16">
        <f t="shared" si="6"/>
        <v>0</v>
      </c>
      <c r="AE91" s="88">
        <f t="shared" si="7"/>
        <v>4</v>
      </c>
      <c r="AF91" s="2" t="str">
        <f>IFERROR(__xludf.DUMMYFUNCTION("iferror(join("","",index(sort(filter($F92:$F$387,$O92:$O$387&gt;$O91),2,false),0,1)))"),"Old Dominion,Auburn,Colorado,Wyoming,Eastern Michigan,Kentucky")</f>
        <v>Old Dominion,Auburn,Colorado,Wyoming,Eastern Michigan,Kentucky</v>
      </c>
      <c r="AG91" s="86">
        <f>IFERROR(__xludf.DUMMYFUNCTION("iferror($O91-max(filter($O91:$O$386,$E91:$E$386=$E$2)))"),0.0)</f>
        <v>0</v>
      </c>
      <c r="AH91" s="8">
        <f t="shared" si="8"/>
        <v>0</v>
      </c>
      <c r="AI91" s="8">
        <f>IFERROR(__xludf.DUMMYFUNCTION("iferror(COUNT(filter($O92:$O$386,$O92:$O$386&gt;$O91,$E91:$E$386=$E$2)))"),0.0)</f>
        <v>0</v>
      </c>
      <c r="AJ91" s="16">
        <f t="shared" si="9"/>
        <v>1</v>
      </c>
      <c r="AK91" s="88">
        <f>IFERROR(__xludf.DUMMYFUNCTION("iferror($O91-min(filter($O91:$O$386,$E91:$E$386=$E$2)))"),4.0)</f>
        <v>4</v>
      </c>
      <c r="AL91" s="2" t="str">
        <f>IFERROR(__xludf.DUMMYFUNCTION("iferror(join("","",index(sort(filter($F92:$F$386,$O92:$O$386&gt;$O91,$E92:$E$386=$E$2),2,false),0,1)))"),"")</f>
        <v/>
      </c>
      <c r="AM91" s="2" t="str">
        <f>IFERROR(__xludf.DUMMYFUNCTION("REGEXREPLACE(join("","",unique({let(conf_picked,filter(E$1:E90,D$1:D90=D91), byrow(unique(TRANSPOSe(Teams!$1:$1)),lambda(rw,if(ISERROR(match(rw,conf_picked,0)),rw,))));iferror(if(#REF!,,transpose(split(#REF!,"","",1,1))))})), ""^,"", """")"),"AAC,ACC,")</f>
        <v>AAC,ACC,</v>
      </c>
      <c r="AN91" s="86">
        <f>IFERROR(__xludf.DUMMYFUNCTION("iferror($O91-max(filter($O91:$O$386,arrayformula(isnumber(FIND($E91:$E$386,AM91))))))"),0.0)</f>
        <v>0</v>
      </c>
      <c r="AO91" s="8">
        <f t="array" ref="AO91">countifs($O$2:$O90,"&lt;"&amp;$O91,isnumber(FIND($E$2:$E90,AM91)),TRUE)</f>
        <v>3</v>
      </c>
      <c r="AP91" s="8">
        <f>IFERROR(__xludf.DUMMYFUNCTION("iferror(COUNT(filter($O92:$O$386,$O92:$O$386&gt;$O91,arrayformula(isnumber(FIND($E92:$E$386,AM91))))))"),0.0)</f>
        <v>0</v>
      </c>
      <c r="AQ91" s="16">
        <f t="shared" si="10"/>
        <v>1</v>
      </c>
      <c r="AR91" s="88">
        <f>IFERROR(__xludf.DUMMYFUNCTION("iferror($O91-min(filter($O91:$O$386,arrayformula(isnumber(FIND($E91:$E$386,AM91))))))"),4.0)</f>
        <v>4</v>
      </c>
      <c r="AS91" s="89" t="str">
        <f>IFERROR(__xludf.DUMMYFUNCTION("iferror(join("","",index(sort(filter($F92:$F$386,$O92:$O$386&gt;$O91,arrayformula(isnumber(FIND($E92:$E$386,AM91)))),2,false),0,1)))"),"")</f>
        <v/>
      </c>
    </row>
    <row r="92">
      <c r="A92" s="13">
        <f t="shared" si="11"/>
        <v>91</v>
      </c>
      <c r="B92" s="13">
        <v>10.0</v>
      </c>
      <c r="C92" s="90">
        <v>1.0</v>
      </c>
      <c r="D92" s="76" t="str">
        <f>D91</f>
        <v>Nick A.</v>
      </c>
      <c r="E92" s="179" t="str">
        <f>if(F92&lt;&gt;"",VLOOKUP(F92,'Teams-Conference, for lookup'!A:B,2,0),"")</f>
        <v>ACC</v>
      </c>
      <c r="F92" s="13" t="s">
        <v>437</v>
      </c>
      <c r="G92" t="str">
        <f t="shared" si="28"/>
        <v/>
      </c>
      <c r="H92" s="97">
        <f t="shared" si="2"/>
        <v>0</v>
      </c>
      <c r="I92" s="97">
        <f t="shared" si="3"/>
        <v>1</v>
      </c>
      <c r="J92" s="97">
        <f t="shared" si="12"/>
        <v>2</v>
      </c>
      <c r="K92" s="2"/>
      <c r="L92" s="2"/>
      <c r="M92" s="97">
        <f>IFERROR(__xludf.DUMMYFUNCTION("counta(iferror(filter(L$2:L91,E$2:E91=E92,L$2:L91&lt;L92)))"),0.0)</f>
        <v>0</v>
      </c>
      <c r="N92" s="97">
        <f>IFERROR(__xludf.DUMMYFUNCTION("counta(iferror(filter(L93:L$124,E93:E$124=E92,L93:L$125&gt;L92)))"),0.0)</f>
        <v>0</v>
      </c>
      <c r="O92" s="83">
        <f t="array" ref="O92:X92">XLOOKUP(F92,'Current Week'!B:B,'Current Week'!C:O)</f>
        <v>6</v>
      </c>
      <c r="P92" s="83">
        <v>6.0</v>
      </c>
      <c r="Q92" s="2" t="s">
        <v>212</v>
      </c>
      <c r="R92" s="2" t="s">
        <v>106</v>
      </c>
      <c r="S92" s="2"/>
      <c r="T92" s="8">
        <v>-4.0</v>
      </c>
      <c r="U92" s="8" t="s">
        <v>108</v>
      </c>
      <c r="V92" s="2"/>
      <c r="W92" s="8">
        <v>9999.0</v>
      </c>
      <c r="X92" s="2"/>
      <c r="Y92" s="2"/>
      <c r="Z92" s="2"/>
      <c r="AA92" s="86">
        <f t="shared" si="4"/>
        <v>-4</v>
      </c>
      <c r="AB92" s="8">
        <f t="shared" si="5"/>
        <v>30</v>
      </c>
      <c r="AC92" s="8">
        <f>IFERROR(__xludf.DUMMYFUNCTION("iferror(COUNT(filter($O93:$O$386,$O93:$O$386&gt;$O92)))"),6.0)</f>
        <v>6</v>
      </c>
      <c r="AD92" s="16">
        <f t="shared" si="6"/>
        <v>0</v>
      </c>
      <c r="AE92" s="88">
        <f t="shared" si="7"/>
        <v>4</v>
      </c>
      <c r="AF92" s="2" t="str">
        <f>IFERROR(__xludf.DUMMYFUNCTION("iferror(join("","",index(sort(filter($F93:$F$387,$O93:$O$387&gt;$O92),2,false),0,1)))"),"Old Dominion,Auburn,Colorado,Wyoming,Eastern Michigan,Kentucky")</f>
        <v>Old Dominion,Auburn,Colorado,Wyoming,Eastern Michigan,Kentucky</v>
      </c>
      <c r="AG92" s="86">
        <f>IFERROR(__xludf.DUMMYFUNCTION("iferror($O92-max(filter($O92:$O$386,$E92:$E$386=$E$2)))"),0.0)</f>
        <v>0</v>
      </c>
      <c r="AH92" s="8">
        <f t="shared" si="8"/>
        <v>0</v>
      </c>
      <c r="AI92" s="8">
        <f>IFERROR(__xludf.DUMMYFUNCTION("iferror(COUNT(filter($O93:$O$386,$O93:$O$386&gt;$O92,$E92:$E$386=$E$2)))"),0.0)</f>
        <v>0</v>
      </c>
      <c r="AJ92" s="16">
        <f t="shared" si="9"/>
        <v>1</v>
      </c>
      <c r="AK92" s="88">
        <f>IFERROR(__xludf.DUMMYFUNCTION("iferror($O92-min(filter($O92:$O$386,$E92:$E$386=$E$2)))"),4.0)</f>
        <v>4</v>
      </c>
      <c r="AL92" s="2" t="str">
        <f>IFERROR(__xludf.DUMMYFUNCTION("iferror(join("","",index(sort(filter($F93:$F$386,$O93:$O$386&gt;$O92,$E93:$E$386=$E$2),2,false),0,1)))"),"")</f>
        <v/>
      </c>
      <c r="AM92" s="2" t="str">
        <f>IFERROR(__xludf.DUMMYFUNCTION("REGEXREPLACE(join("","",unique({let(conf_picked,filter(E$1:E91,D$1:D91=D92), byrow(unique(TRANSPOSe(Teams!$1:$1)),lambda(rw,if(ISERROR(match(rw,conf_picked,0)),rw,))));iferror(if(#REF!,,transpose(split(#REF!,"","",1,1))))})), ""^,"", """")"),"ACC")</f>
        <v>ACC</v>
      </c>
      <c r="AN92" s="86">
        <f>IFERROR(__xludf.DUMMYFUNCTION("iferror($O92-max(filter($O92:$O$386,arrayformula(isnumber(FIND($E92:$E$386,AM92))))))"),0.0)</f>
        <v>0</v>
      </c>
      <c r="AO92" s="8">
        <f t="array" ref="AO92">countifs($O$2:$O91,"&lt;"&amp;$O92,isnumber(FIND($E$2:$E91,AM92)),TRUE)</f>
        <v>0</v>
      </c>
      <c r="AP92" s="8">
        <f>IFERROR(__xludf.DUMMYFUNCTION("iferror(COUNT(filter($O93:$O$386,$O93:$O$386&gt;$O92,arrayformula(isnumber(FIND($E93:$E$386,AM92))))))"),0.0)</f>
        <v>0</v>
      </c>
      <c r="AQ92" s="16">
        <f t="shared" si="10"/>
        <v>1</v>
      </c>
      <c r="AR92" s="88">
        <f>IFERROR(__xludf.DUMMYFUNCTION("iferror($O92-min(filter($O92:$O$386,arrayformula(isnumber(FIND($E92:$E$386,AM92))))))"),4.0)</f>
        <v>4</v>
      </c>
      <c r="AS92" s="89" t="str">
        <f>IFERROR(__xludf.DUMMYFUNCTION("iferror(join("","",index(sort(filter($F93:$F$386,$O93:$O$386&gt;$O92,arrayformula(isnumber(FIND($E93:$E$386,AM92)))),2,false),0,1)))"),"")</f>
        <v/>
      </c>
    </row>
    <row r="93">
      <c r="A93" s="13">
        <f t="shared" si="11"/>
        <v>92</v>
      </c>
      <c r="B93" s="13">
        <v>10.0</v>
      </c>
      <c r="C93" s="90">
        <v>2.0</v>
      </c>
      <c r="D93" s="13" t="str">
        <f>D90</f>
        <v>Frank</v>
      </c>
      <c r="E93" s="179" t="str">
        <f>if(F93&lt;&gt;"",VLOOKUP(F93,'Teams-Conference, for lookup'!A:B,2,0),"")</f>
        <v>CUSA</v>
      </c>
      <c r="F93" s="13" t="s">
        <v>431</v>
      </c>
      <c r="G93" t="str">
        <f t="shared" si="28"/>
        <v/>
      </c>
      <c r="H93" s="97">
        <f t="shared" si="2"/>
        <v>1</v>
      </c>
      <c r="I93" s="97">
        <f t="shared" si="3"/>
        <v>3</v>
      </c>
      <c r="J93" s="97">
        <f t="shared" si="12"/>
        <v>1</v>
      </c>
      <c r="K93" s="97">
        <f t="shared" ref="K93:K98" si="30">countif(E73:E93,E94)</f>
        <v>1</v>
      </c>
      <c r="L93" s="2"/>
      <c r="M93" s="97">
        <f>IFERROR(__xludf.DUMMYFUNCTION("counta(iferror(filter(L$2:L92,E$2:E92=E93,L$2:L92&lt;L93)))"),0.0)</f>
        <v>0</v>
      </c>
      <c r="N93" s="97">
        <f>IFERROR(__xludf.DUMMYFUNCTION("counta(iferror(filter(L94:L$124,E94:E$124=E93,L94:L$125&gt;L93)))"),0.0)</f>
        <v>0</v>
      </c>
      <c r="O93" s="83">
        <f t="array" ref="O93:X93">XLOOKUP(F93,'Current Week'!B:B,'Current Week'!C:O)</f>
        <v>3</v>
      </c>
      <c r="P93" s="97">
        <v>6.0</v>
      </c>
      <c r="Q93" s="2" t="s">
        <v>192</v>
      </c>
      <c r="R93" s="2" t="s">
        <v>106</v>
      </c>
      <c r="S93" s="2"/>
      <c r="T93" s="8" t="s">
        <v>115</v>
      </c>
      <c r="U93" s="8" t="s">
        <v>115</v>
      </c>
      <c r="V93" s="2"/>
      <c r="W93" s="8">
        <v>9999.0</v>
      </c>
      <c r="X93" s="2"/>
      <c r="Y93" s="2"/>
      <c r="Z93" s="2"/>
      <c r="AA93" s="86">
        <f t="shared" si="4"/>
        <v>-7</v>
      </c>
      <c r="AB93" s="8">
        <f t="shared" si="5"/>
        <v>2</v>
      </c>
      <c r="AC93" s="8">
        <f>IFERROR(__xludf.DUMMYFUNCTION("iferror(COUNT(filter($O94:$O$386,$O94:$O$386&gt;$O93)))"),25.0)</f>
        <v>25</v>
      </c>
      <c r="AD93" s="16">
        <f t="shared" si="6"/>
        <v>0</v>
      </c>
      <c r="AE93" s="88">
        <f t="shared" si="7"/>
        <v>1</v>
      </c>
      <c r="AF93" s="2" t="str">
        <f>IFERROR(__xludf.DUMMYFUNCTION("iferror(join("","",index(sort(filter($F94:$F$387,$O94:$O$387&gt;$O93),2,false),0,1)))"),"Ball State,Louisiana Monroe,Old Dominion,California,Auburn,Colorado,Wyoming,Eastern Michigan,Kentucky,Wake Forest,Indiana,Maryland,Miami-OH,South Carolina,Vanderbilt,Hawaii,SMU,North Texas,UTSA,Tulane,Duke,Syracuse,Charlotte,Oregon State,Missouri")</f>
        <v>Ball State,Louisiana Monroe,Old Dominion,California,Auburn,Colorado,Wyoming,Eastern Michigan,Kentucky,Wake Forest,Indiana,Maryland,Miami-OH,South Carolina,Vanderbilt,Hawaii,SMU,North Texas,UTSA,Tulane,Duke,Syracuse,Charlotte,Oregon State,Missouri</v>
      </c>
      <c r="AG93" s="86">
        <f>IFERROR(__xludf.DUMMYFUNCTION("iferror($O93-max(filter($O93:$O$386,$E93:$E$386=$E$2)))"),-3.0)</f>
        <v>-3</v>
      </c>
      <c r="AH93" s="8">
        <f t="shared" si="8"/>
        <v>0</v>
      </c>
      <c r="AI93" s="8">
        <f>IFERROR(__xludf.DUMMYFUNCTION("iferror(COUNT(filter($O94:$O$386,$O94:$O$386&gt;$O93,$E93:$E$386=$E$2)))"),0.0)</f>
        <v>0</v>
      </c>
      <c r="AJ93" s="16">
        <f t="shared" si="9"/>
        <v>0</v>
      </c>
      <c r="AK93" s="88">
        <f>IFERROR(__xludf.DUMMYFUNCTION("iferror($O93-min(filter($O93:$O$386,$E93:$E$386=$E$2)))"),1.0)</f>
        <v>1</v>
      </c>
      <c r="AL93" s="2" t="str">
        <f>IFERROR(__xludf.DUMMYFUNCTION("iferror(join("","",index(sort(filter($F94:$F$386,$O94:$O$386&gt;$O93,$E94:$E$386=$E$2),2,false),0,1)))"),"Wake Forest,Duke,Syracuse")</f>
        <v>Wake Forest,Duke,Syracuse</v>
      </c>
      <c r="AM93" s="2" t="str">
        <f>IFERROR(__xludf.DUMMYFUNCTION("REGEXREPLACE(join("","",unique({let(conf_picked,filter(E$1:E92,D$1:D92=D93), byrow(unique(TRANSPOSe(Teams!$1:$1)),lambda(rw,if(ISERROR(match(rw,conf_picked,0)),rw,))));iferror(if(#REF!,,transpose(split(#REF!,"","",1,1))))})), ""^,"", """")"),"CUSA")</f>
        <v>CUSA</v>
      </c>
      <c r="AN93" s="86">
        <f>IFERROR(__xludf.DUMMYFUNCTION("iferror($O93-max(filter($O93:$O$386,arrayformula(isnumber(FIND($E93:$E$386,AM93))))))"),-6.0)</f>
        <v>-6</v>
      </c>
      <c r="AO93" s="8">
        <f t="array" ref="AO93">countifs($O$2:$O92,"&lt;"&amp;$O93,isnumber(FIND($E$2:$E92,AM93)),TRUE)</f>
        <v>0</v>
      </c>
      <c r="AP93" s="8">
        <f>IFERROR(__xludf.DUMMYFUNCTION("iferror(COUNT(filter($O94:$O$386,$O94:$O$386&gt;$O93,arrayformula(isnumber(FIND($E94:$E$386,AM93))))))"),4.0)</f>
        <v>4</v>
      </c>
      <c r="AQ93" s="16">
        <f t="shared" si="10"/>
        <v>0</v>
      </c>
      <c r="AR93" s="88">
        <f>IFERROR(__xludf.DUMMYFUNCTION("iferror($O93-min(filter($O93:$O$386,arrayformula(isnumber(FIND($E93:$E$386,AM93))))))"),0.0)</f>
        <v>0</v>
      </c>
      <c r="AS93" s="89" t="str">
        <f>IFERROR(__xludf.DUMMYFUNCTION("iferror(join("","",index(sort(filter($F94:$F$386,$O94:$O$386&gt;$O93,arrayformula(isnumber(FIND($E94:$E$386,AM93)))),2,false),0,1)))"),"Old Dominion,North Texas,UTSA,Charlotte")</f>
        <v>Old Dominion,North Texas,UTSA,Charlotte</v>
      </c>
    </row>
    <row r="94">
      <c r="A94" s="13">
        <f t="shared" si="11"/>
        <v>93</v>
      </c>
      <c r="B94" s="13">
        <v>10.0</v>
      </c>
      <c r="C94" s="90">
        <v>3.0</v>
      </c>
      <c r="D94" s="13" t="str">
        <f>D89</f>
        <v>Justin</v>
      </c>
      <c r="E94" s="179" t="str">
        <f>if(F94&lt;&gt;"",VLOOKUP(F94,'Teams-Conference, for lookup'!A:B,2,0),"")</f>
        <v>MAC</v>
      </c>
      <c r="F94" s="13" t="s">
        <v>414</v>
      </c>
      <c r="G94" t="str">
        <f t="shared" si="28"/>
        <v/>
      </c>
      <c r="H94" s="97">
        <f t="shared" si="2"/>
        <v>2</v>
      </c>
      <c r="I94" s="97">
        <f t="shared" si="3"/>
        <v>3</v>
      </c>
      <c r="J94" s="97">
        <f t="shared" si="12"/>
        <v>0</v>
      </c>
      <c r="K94" s="97">
        <f t="shared" si="30"/>
        <v>3</v>
      </c>
      <c r="L94" s="2"/>
      <c r="M94" s="97">
        <f>IFERROR(__xludf.DUMMYFUNCTION("counta(iferror(filter(L$2:L93,E$2:E93=E94,L$2:L93&lt;L94)))"),0.0)</f>
        <v>0</v>
      </c>
      <c r="N94" s="97">
        <f>IFERROR(__xludf.DUMMYFUNCTION("counta(iferror(filter(L95:L$124,E95:E$124=E94,L95:L$125&gt;L94)))"),0.0)</f>
        <v>0</v>
      </c>
      <c r="O94" s="83">
        <f t="array" ref="O94:X94">XLOOKUP(F94,'Current Week'!B:B,'Current Week'!C:O)</f>
        <v>4</v>
      </c>
      <c r="P94" s="97">
        <v>7.0</v>
      </c>
      <c r="Q94" s="2" t="s">
        <v>161</v>
      </c>
      <c r="R94" s="2" t="s">
        <v>106</v>
      </c>
      <c r="S94" s="2"/>
      <c r="T94" s="2" t="s">
        <v>115</v>
      </c>
      <c r="U94" s="8" t="s">
        <v>115</v>
      </c>
      <c r="V94" s="2"/>
      <c r="W94" s="8">
        <v>9999.0</v>
      </c>
      <c r="X94" s="2"/>
      <c r="Y94" s="2"/>
      <c r="Z94" s="2"/>
      <c r="AA94" s="86">
        <f t="shared" si="4"/>
        <v>-6</v>
      </c>
      <c r="AB94" s="8">
        <f t="shared" si="5"/>
        <v>14</v>
      </c>
      <c r="AC94" s="8">
        <f>IFERROR(__xludf.DUMMYFUNCTION("iferror(COUNT(filter($O95:$O$386,$O95:$O$386&gt;$O94)))"),17.0)</f>
        <v>17</v>
      </c>
      <c r="AD94" s="16">
        <f t="shared" si="6"/>
        <v>0</v>
      </c>
      <c r="AE94" s="88">
        <f t="shared" si="7"/>
        <v>2</v>
      </c>
      <c r="AF94" s="2" t="str">
        <f>IFERROR(__xludf.DUMMYFUNCTION("iferror(join("","",index(sort(filter($F95:$F$387,$O95:$O$387&gt;$O94),2,false),0,1)))"),"Old Dominion,California,Auburn,Colorado,Wyoming,Eastern Michigan,Kentucky,Wake Forest,Indiana,Maryland,Miami-OH,South Carolina,Vanderbilt,Hawaii,SMU,North Texas,UTSA")</f>
        <v>Old Dominion,California,Auburn,Colorado,Wyoming,Eastern Michigan,Kentucky,Wake Forest,Indiana,Maryland,Miami-OH,South Carolina,Vanderbilt,Hawaii,SMU,North Texas,UTSA</v>
      </c>
      <c r="AG94" s="86">
        <f>IFERROR(__xludf.DUMMYFUNCTION("iferror($O94-max(filter($O94:$O$386,$E94:$E$386=$E$2)))"),-2.0)</f>
        <v>-2</v>
      </c>
      <c r="AH94" s="8">
        <f t="shared" si="8"/>
        <v>0</v>
      </c>
      <c r="AI94" s="8">
        <f>IFERROR(__xludf.DUMMYFUNCTION("iferror(COUNT(filter($O95:$O$386,$O95:$O$386&gt;$O94,$E94:$E$386=$E$2)))"),0.0)</f>
        <v>0</v>
      </c>
      <c r="AJ94" s="16">
        <f t="shared" si="9"/>
        <v>0</v>
      </c>
      <c r="AK94" s="88">
        <f>IFERROR(__xludf.DUMMYFUNCTION("iferror($O94-min(filter($O94:$O$386,$E94:$E$386=$E$2)))"),2.0)</f>
        <v>2</v>
      </c>
      <c r="AL94" s="2" t="str">
        <f>IFERROR(__xludf.DUMMYFUNCTION("iferror(join("","",index(sort(filter($F95:$F$386,$O95:$O$386&gt;$O94,$E95:$E$386=$E$2),2,false),0,1)))"),"Wake Forest")</f>
        <v>Wake Forest</v>
      </c>
      <c r="AM94" s="2" t="str">
        <f>IFERROR(__xludf.DUMMYFUNCTION("REGEXREPLACE(join("","",unique({let(conf_picked,filter(E$1:E93,D$1:D93=D94), byrow(unique(TRANSPOSe(Teams!$1:$1)),lambda(rw,if(ISERROR(match(rw,conf_picked,0)),rw,))));iferror(if(#REF!,,transpose(split(#REF!,"","",1,1))))})), ""^,"", """")"),"MAC")</f>
        <v>MAC</v>
      </c>
      <c r="AN94" s="86">
        <f>IFERROR(__xludf.DUMMYFUNCTION("iferror($O94-max(filter($O94:$O$386,arrayformula(isnumber(FIND($E94:$E$386,AM94))))))"),-3.0)</f>
        <v>-3</v>
      </c>
      <c r="AO94" s="8">
        <f t="array" ref="AO94">countifs($O$2:$O93,"&lt;"&amp;$O94,isnumber(FIND($E$2:$E93,AM94)),TRUE)</f>
        <v>1</v>
      </c>
      <c r="AP94" s="8">
        <f>IFERROR(__xludf.DUMMYFUNCTION("iferror(COUNT(filter($O95:$O$386,$O95:$O$386&gt;$O94,arrayformula(isnumber(FIND($E95:$E$386,AM94))))))"),2.0)</f>
        <v>2</v>
      </c>
      <c r="AQ94" s="16">
        <f t="shared" si="10"/>
        <v>0</v>
      </c>
      <c r="AR94" s="88">
        <f>IFERROR(__xludf.DUMMYFUNCTION("iferror($O94-min(filter($O94:$O$386,arrayformula(isnumber(FIND($E94:$E$386,AM94))))))"),1.0)</f>
        <v>1</v>
      </c>
      <c r="AS94" s="89" t="str">
        <f>IFERROR(__xludf.DUMMYFUNCTION("iferror(join("","",index(sort(filter($F95:$F$386,$O95:$O$386&gt;$O94,arrayformula(isnumber(FIND($E95:$E$386,AM94)))),2,false),0,1)))"),"Eastern Michigan,Miami-OH")</f>
        <v>Eastern Michigan,Miami-OH</v>
      </c>
    </row>
    <row r="95">
      <c r="A95" s="13">
        <f t="shared" si="11"/>
        <v>94</v>
      </c>
      <c r="B95" s="13">
        <v>10.0</v>
      </c>
      <c r="C95" s="90">
        <v>4.0</v>
      </c>
      <c r="D95" s="13" t="str">
        <f>D88</f>
        <v>Josh T.</v>
      </c>
      <c r="E95" s="179" t="str">
        <f>if(F95&lt;&gt;"",VLOOKUP(F95,'Teams-Conference, for lookup'!A:B,2,0),"")</f>
        <v>Sun Belt</v>
      </c>
      <c r="F95" t="s">
        <v>399</v>
      </c>
      <c r="G95" t="str">
        <f t="shared" si="28"/>
        <v/>
      </c>
      <c r="H95" s="97">
        <f t="shared" si="2"/>
        <v>0</v>
      </c>
      <c r="I95" s="97">
        <f t="shared" si="3"/>
        <v>0</v>
      </c>
      <c r="J95" s="97">
        <f t="shared" si="12"/>
        <v>1</v>
      </c>
      <c r="K95" s="97">
        <f t="shared" si="30"/>
        <v>2</v>
      </c>
      <c r="L95" s="2"/>
      <c r="M95" s="97">
        <f>IFERROR(__xludf.DUMMYFUNCTION("counta(iferror(filter(L$2:L94,E$2:E94=E95,L$2:L94&lt;L95)))"),0.0)</f>
        <v>0</v>
      </c>
      <c r="N95" s="97">
        <f>IFERROR(__xludf.DUMMYFUNCTION("counta(iferror(filter(L96:L$124,E96:E$124=E95,L96:L$125&gt;L95)))"),0.0)</f>
        <v>0</v>
      </c>
      <c r="O95" s="83">
        <f t="array" ref="O95:X95">XLOOKUP(F95,'Current Week'!B:B,'Current Week'!C:O)</f>
        <v>4</v>
      </c>
      <c r="P95" s="97">
        <v>5.0</v>
      </c>
      <c r="Q95" s="2" t="s">
        <v>200</v>
      </c>
      <c r="R95" s="2" t="s">
        <v>106</v>
      </c>
      <c r="S95" s="2"/>
      <c r="T95" s="8" t="s">
        <v>115</v>
      </c>
      <c r="U95" s="8" t="s">
        <v>115</v>
      </c>
      <c r="V95" s="2"/>
      <c r="W95" s="8">
        <v>9999.0</v>
      </c>
      <c r="X95" s="2"/>
      <c r="Y95" s="2"/>
      <c r="Z95" s="2"/>
      <c r="AA95" s="86">
        <f t="shared" si="4"/>
        <v>-6</v>
      </c>
      <c r="AB95" s="8">
        <f t="shared" si="5"/>
        <v>14</v>
      </c>
      <c r="AC95" s="8">
        <f>IFERROR(__xludf.DUMMYFUNCTION("iferror(COUNT(filter($O96:$O$386,$O96:$O$386&gt;$O95)))"),17.0)</f>
        <v>17</v>
      </c>
      <c r="AD95" s="16">
        <f t="shared" si="6"/>
        <v>0</v>
      </c>
      <c r="AE95" s="88">
        <f t="shared" si="7"/>
        <v>2</v>
      </c>
      <c r="AF95" s="2" t="str">
        <f>IFERROR(__xludf.DUMMYFUNCTION("iferror(join("","",index(sort(filter($F96:$F$387,$O96:$O$387&gt;$O95),2,false),0,1)))"),"Old Dominion,California,Auburn,Colorado,Wyoming,Eastern Michigan,Kentucky,Wake Forest,Indiana,Maryland,Miami-OH,South Carolina,Vanderbilt,Hawaii,SMU,North Texas,UTSA")</f>
        <v>Old Dominion,California,Auburn,Colorado,Wyoming,Eastern Michigan,Kentucky,Wake Forest,Indiana,Maryland,Miami-OH,South Carolina,Vanderbilt,Hawaii,SMU,North Texas,UTSA</v>
      </c>
      <c r="AG95" s="86">
        <f>IFERROR(__xludf.DUMMYFUNCTION("iferror($O95-max(filter($O95:$O$386,$E95:$E$386=$E$2)))"),-2.0)</f>
        <v>-2</v>
      </c>
      <c r="AH95" s="8">
        <f t="shared" si="8"/>
        <v>0</v>
      </c>
      <c r="AI95" s="8">
        <f>IFERROR(__xludf.DUMMYFUNCTION("iferror(COUNT(filter($O96:$O$386,$O96:$O$386&gt;$O95,$E95:$E$386=$E$2)))"),0.0)</f>
        <v>0</v>
      </c>
      <c r="AJ95" s="16">
        <f t="shared" si="9"/>
        <v>0</v>
      </c>
      <c r="AK95" s="88">
        <f>IFERROR(__xludf.DUMMYFUNCTION("iferror($O95-min(filter($O95:$O$386,$E95:$E$386=$E$2)))"),2.0)</f>
        <v>2</v>
      </c>
      <c r="AL95" s="2" t="str">
        <f>IFERROR(__xludf.DUMMYFUNCTION("iferror(join("","",index(sort(filter($F96:$F$386,$O96:$O$386&gt;$O95,$E96:$E$386=$E$2),2,false),0,1)))"),"Wake Forest")</f>
        <v>Wake Forest</v>
      </c>
      <c r="AM95" s="2" t="str">
        <f>IFERROR(__xludf.DUMMYFUNCTION("REGEXREPLACE(join("","",unique({let(conf_picked,filter(E$1:E94,D$1:D94=D95), byrow(unique(TRANSPOSe(Teams!$1:$1)),lambda(rw,if(ISERROR(match(rw,conf_picked,0)),rw,))));iferror(if(#REF!,,transpose(split(#REF!,"","",1,1))))})), ""^,"", """")"),"Sun Belt")</f>
        <v>Sun Belt</v>
      </c>
      <c r="AN95" s="86">
        <f>IFERROR(__xludf.DUMMYFUNCTION("iferror($O95-max(filter($O95:$O$386,arrayformula(isnumber(FIND($E95:$E$386,AM95))))))"),0.0)</f>
        <v>0</v>
      </c>
      <c r="AO95" s="8">
        <f t="array" ref="AO95">countifs($O$2:$O94,"&lt;"&amp;$O95,isnumber(FIND($E$2:$E94,AM95)),TRUE)</f>
        <v>3</v>
      </c>
      <c r="AP95" s="8">
        <f>IFERROR(__xludf.DUMMYFUNCTION("iferror(COUNT(filter($O96:$O$386,$O96:$O$386&gt;$O95,arrayformula(isnumber(FIND($E96:$E$386,AM95))))))"),0.0)</f>
        <v>0</v>
      </c>
      <c r="AQ95" s="16">
        <f t="shared" si="10"/>
        <v>1</v>
      </c>
      <c r="AR95" s="88">
        <f>IFERROR(__xludf.DUMMYFUNCTION("iferror($O95-min(filter($O95:$O$386,arrayformula(isnumber(FIND($E95:$E$386,AM95))))))"),0.0)</f>
        <v>0</v>
      </c>
      <c r="AS95" s="89" t="str">
        <f>IFERROR(__xludf.DUMMYFUNCTION("iferror(join("","",index(sort(filter($F96:$F$386,$O96:$O$386&gt;$O95,arrayformula(isnumber(FIND($E96:$E$386,AM95)))),2,false),0,1)))"),"")</f>
        <v/>
      </c>
    </row>
    <row r="96">
      <c r="A96" s="13">
        <f t="shared" si="11"/>
        <v>95</v>
      </c>
      <c r="B96" s="13">
        <v>10.0</v>
      </c>
      <c r="C96" s="90">
        <v>5.0</v>
      </c>
      <c r="D96" s="13" t="str">
        <f>D87</f>
        <v>Vu</v>
      </c>
      <c r="E96" s="179" t="str">
        <f>if(F96&lt;&gt;"",VLOOKUP(F96,'Teams-Conference, for lookup'!A:B,2,0),"")</f>
        <v>CUSA</v>
      </c>
      <c r="F96" s="180" t="s">
        <v>394</v>
      </c>
      <c r="G96" t="str">
        <f t="shared" si="28"/>
        <v/>
      </c>
      <c r="H96" s="97">
        <f t="shared" si="2"/>
        <v>0</v>
      </c>
      <c r="I96" s="97">
        <f t="shared" si="3"/>
        <v>2</v>
      </c>
      <c r="J96" s="97">
        <f t="shared" si="12"/>
        <v>2</v>
      </c>
      <c r="K96" s="97">
        <f t="shared" si="30"/>
        <v>0</v>
      </c>
      <c r="L96" s="2"/>
      <c r="M96" s="97">
        <f>IFERROR(__xludf.DUMMYFUNCTION("counta(iferror(filter(L$2:L95,E$2:E95=E96,L$2:L95&lt;L96)))"),0.0)</f>
        <v>0</v>
      </c>
      <c r="N96" s="97">
        <f>IFERROR(__xludf.DUMMYFUNCTION("counta(iferror(filter(L97:L$124,E97:E$124=E96,L97:L$125&gt;L96)))"),0.0)</f>
        <v>0</v>
      </c>
      <c r="O96" s="83">
        <f t="array" ref="O96:X96">XLOOKUP(F96,'Current Week'!B:B,'Current Week'!C:O)</f>
        <v>9</v>
      </c>
      <c r="P96" s="83">
        <v>3.0</v>
      </c>
      <c r="Q96" s="2" t="s">
        <v>143</v>
      </c>
      <c r="R96" s="2" t="s">
        <v>106</v>
      </c>
      <c r="S96" s="2"/>
      <c r="T96" s="2" t="s">
        <v>118</v>
      </c>
      <c r="U96" s="8" t="s">
        <v>108</v>
      </c>
      <c r="V96" s="2"/>
      <c r="W96" s="8">
        <v>9999.0</v>
      </c>
      <c r="X96" s="2"/>
      <c r="Y96" s="2"/>
      <c r="Z96" s="2"/>
      <c r="AA96" s="86">
        <f t="shared" si="4"/>
        <v>-1</v>
      </c>
      <c r="AB96" s="8">
        <f t="shared" si="5"/>
        <v>65</v>
      </c>
      <c r="AC96" s="8">
        <f>IFERROR(__xludf.DUMMYFUNCTION("iferror(COUNT(filter($O97:$O$386,$O97:$O$386&gt;$O96)))"),1.0)</f>
        <v>1</v>
      </c>
      <c r="AD96" s="16">
        <f t="shared" si="6"/>
        <v>0</v>
      </c>
      <c r="AE96" s="88">
        <f t="shared" si="7"/>
        <v>7</v>
      </c>
      <c r="AF96" s="2" t="str">
        <f>IFERROR(__xludf.DUMMYFUNCTION("iferror(join("","",index(sort(filter($F97:$F$387,$O97:$O$387&gt;$O96),2,false),0,1)))"),"Colorado")</f>
        <v>Colorado</v>
      </c>
      <c r="AG96" s="86">
        <f>IFERROR(__xludf.DUMMYFUNCTION("iferror($O96-max(filter($O96:$O$386,$E96:$E$386=$E$2)))"),3.0)</f>
        <v>3</v>
      </c>
      <c r="AH96" s="8">
        <f t="shared" si="8"/>
        <v>6</v>
      </c>
      <c r="AI96" s="8">
        <f>IFERROR(__xludf.DUMMYFUNCTION("iferror(COUNT(filter($O97:$O$386,$O97:$O$386&gt;$O96,$E96:$E$386=$E$2)))"),0.0)</f>
        <v>0</v>
      </c>
      <c r="AJ96" s="16">
        <f t="shared" si="9"/>
        <v>0</v>
      </c>
      <c r="AK96" s="88">
        <f>IFERROR(__xludf.DUMMYFUNCTION("iferror($O96-min(filter($O96:$O$386,$E96:$E$386=$E$2)))"),7.0)</f>
        <v>7</v>
      </c>
      <c r="AL96" s="2" t="str">
        <f>IFERROR(__xludf.DUMMYFUNCTION("iferror(join("","",index(sort(filter($F97:$F$386,$O97:$O$386&gt;$O96,$E97:$E$386=$E$2),2,false),0,1)))"),"")</f>
        <v/>
      </c>
      <c r="AM96" s="2" t="str">
        <f>IFERROR(__xludf.DUMMYFUNCTION("REGEXREPLACE(join("","",unique({let(conf_picked,filter(E$1:E95,D$1:D95=D96), byrow(unique(TRANSPOSe(Teams!$1:$1)),lambda(rw,if(ISERROR(match(rw,conf_picked,0)),rw,))));iferror(if(#REF!,,transpose(split(#REF!,"","",1,1))))})), ""^,"", """")"),"CUSA")</f>
        <v>CUSA</v>
      </c>
      <c r="AN96" s="86">
        <f>IFERROR(__xludf.DUMMYFUNCTION("iferror($O96-max(filter($O96:$O$386,arrayformula(isnumber(FIND($E96:$E$386,AM96))))))"),0.0)</f>
        <v>0</v>
      </c>
      <c r="AO96" s="8">
        <f t="array" ref="AO96">countifs($O$2:$O95,"&lt;"&amp;$O96,isnumber(FIND($E$2:$E95,AM96)),TRUE)</f>
        <v>8</v>
      </c>
      <c r="AP96" s="8">
        <f>IFERROR(__xludf.DUMMYFUNCTION("iferror(COUNT(filter($O97:$O$386,$O97:$O$386&gt;$O96,arrayformula(isnumber(FIND($E97:$E$386,AM96))))))"),0.0)</f>
        <v>0</v>
      </c>
      <c r="AQ96" s="16">
        <f t="shared" si="10"/>
        <v>1</v>
      </c>
      <c r="AR96" s="88">
        <f>IFERROR(__xludf.DUMMYFUNCTION("iferror($O96-min(filter($O96:$O$386,arrayformula(isnumber(FIND($E96:$E$386,AM96))))))"),5.0)</f>
        <v>5</v>
      </c>
      <c r="AS96" s="89" t="str">
        <f>IFERROR(__xludf.DUMMYFUNCTION("iferror(join("","",index(sort(filter($F97:$F$386,$O97:$O$386&gt;$O96,arrayformula(isnumber(FIND($E97:$E$386,AM96)))),2,false),0,1)))"),"")</f>
        <v/>
      </c>
    </row>
    <row r="97">
      <c r="A97" s="13">
        <f t="shared" si="11"/>
        <v>96</v>
      </c>
      <c r="B97" s="13">
        <v>10.0</v>
      </c>
      <c r="C97" s="90">
        <v>6.0</v>
      </c>
      <c r="D97" s="13" t="str">
        <f>D86</f>
        <v>Nico</v>
      </c>
      <c r="E97" s="179" t="str">
        <f>if(F97&lt;&gt;"",VLOOKUP(F97,'Teams-Conference, for lookup'!A:B,2,0),"")</f>
        <v>Big 12</v>
      </c>
      <c r="F97" s="13" t="s">
        <v>232</v>
      </c>
      <c r="G97" t="str">
        <f t="shared" si="28"/>
        <v/>
      </c>
      <c r="H97" s="97">
        <f t="shared" si="2"/>
        <v>0</v>
      </c>
      <c r="I97" s="97">
        <f t="shared" si="3"/>
        <v>0</v>
      </c>
      <c r="J97" s="97">
        <f t="shared" si="12"/>
        <v>0</v>
      </c>
      <c r="K97" s="97">
        <f t="shared" si="30"/>
        <v>0</v>
      </c>
      <c r="L97" s="2"/>
      <c r="M97" s="97">
        <f>IFERROR(__xludf.DUMMYFUNCTION("counta(iferror(filter(L$2:L96,E$2:E96=E97,L$2:L96&lt;L97)))"),0.0)</f>
        <v>0</v>
      </c>
      <c r="N97" s="97">
        <f>IFERROR(__xludf.DUMMYFUNCTION("counta(iferror(filter(L98:L$124,E98:E$124=E97,L98:L$125&gt;L97)))"),0.0)</f>
        <v>0</v>
      </c>
      <c r="O97" s="83">
        <f t="array" ref="O97:X97">XLOOKUP(F97,'Current Week'!B:B,'Current Week'!C:O)</f>
        <v>2</v>
      </c>
      <c r="P97" s="97">
        <v>8.0</v>
      </c>
      <c r="Q97" s="192" t="s">
        <v>236</v>
      </c>
      <c r="R97" s="2" t="s">
        <v>106</v>
      </c>
      <c r="S97" s="2"/>
      <c r="T97" s="2" t="s">
        <v>115</v>
      </c>
      <c r="U97" s="8" t="s">
        <v>115</v>
      </c>
      <c r="V97" s="2"/>
      <c r="W97" s="8">
        <v>9999.0</v>
      </c>
      <c r="X97" s="2"/>
      <c r="Y97" s="2"/>
      <c r="Z97" s="2"/>
      <c r="AA97" s="86">
        <f t="shared" si="4"/>
        <v>-8</v>
      </c>
      <c r="AB97" s="8">
        <f t="shared" si="5"/>
        <v>0</v>
      </c>
      <c r="AC97" s="8">
        <f>IFERROR(__xludf.DUMMYFUNCTION("iferror(COUNT(filter($O98:$O$386,$O98:$O$386&gt;$O97)))"),24.0)</f>
        <v>24</v>
      </c>
      <c r="AD97" s="16">
        <f t="shared" si="6"/>
        <v>0</v>
      </c>
      <c r="AE97" s="88">
        <f t="shared" si="7"/>
        <v>0</v>
      </c>
      <c r="AF97" s="2" t="str">
        <f>IFERROR(__xludf.DUMMYFUNCTION("iferror(join("","",index(sort(filter($F98:$F$387,$O98:$O$387&gt;$O97),2,false),0,1)))"),"California,Auburn,Kent State,Colorado,Wyoming,Eastern Michigan,Kentucky,Wake Forest,Indiana,Maryland,Miami-OH,South Carolina,Vanderbilt,Hawaii,SMU,North Texas,UTSA,Tulane,Duke,Syracuse,Charlotte,Oregon State,Missouri,Illinois")</f>
        <v>California,Auburn,Kent State,Colorado,Wyoming,Eastern Michigan,Kentucky,Wake Forest,Indiana,Maryland,Miami-OH,South Carolina,Vanderbilt,Hawaii,SMU,North Texas,UTSA,Tulane,Duke,Syracuse,Charlotte,Oregon State,Missouri,Illinois</v>
      </c>
      <c r="AG97" s="86">
        <f>IFERROR(__xludf.DUMMYFUNCTION("iferror($O97-max(filter($O97:$O$386,$E97:$E$386=$E$2)))"),-4.0)</f>
        <v>-4</v>
      </c>
      <c r="AH97" s="8">
        <f t="shared" si="8"/>
        <v>0</v>
      </c>
      <c r="AI97" s="8">
        <f>IFERROR(__xludf.DUMMYFUNCTION("iferror(COUNT(filter($O98:$O$386,$O98:$O$386&gt;$O97,$E97:$E$386=$E$2)))"),0.0)</f>
        <v>0</v>
      </c>
      <c r="AJ97" s="16">
        <f t="shared" si="9"/>
        <v>0</v>
      </c>
      <c r="AK97" s="88">
        <f>IFERROR(__xludf.DUMMYFUNCTION("iferror($O97-min(filter($O97:$O$386,$E97:$E$386=$E$2)))"),0.0)</f>
        <v>0</v>
      </c>
      <c r="AL97" s="2" t="str">
        <f>IFERROR(__xludf.DUMMYFUNCTION("iferror(join("","",index(sort(filter($F98:$F$386,$O98:$O$386&gt;$O97,$E98:$E$386=$E$2),2,false),0,1)))"),"Wake Forest,Duke,Syracuse")</f>
        <v>Wake Forest,Duke,Syracuse</v>
      </c>
      <c r="AM97" s="2" t="str">
        <f>IFERROR(__xludf.DUMMYFUNCTION("REGEXREPLACE(join("","",unique({let(conf_picked,filter(E$1:E96,D$1:D96=D97), byrow(unique(TRANSPOSe(Teams!$1:$1)),lambda(rw,if(ISERROR(match(rw,conf_picked,0)),rw,))));iferror(if(#REF!,,transpose(split(#REF!,"","",1,1))))})), ""^,"", """")"),"Big 12")</f>
        <v>Big 12</v>
      </c>
      <c r="AN97" s="86">
        <f>IFERROR(__xludf.DUMMYFUNCTION("iferror($O97-max(filter($O97:$O$386,arrayformula(isnumber(FIND($E97:$E$386,AM97))))))"),0.0)</f>
        <v>0</v>
      </c>
      <c r="AO97" s="8">
        <f t="array" ref="AO97">countifs($O$2:$O96,"&lt;"&amp;$O97,isnumber(FIND($E$2:$E96,AM97)),TRUE)</f>
        <v>0</v>
      </c>
      <c r="AP97" s="8">
        <f>IFERROR(__xludf.DUMMYFUNCTION("iferror(COUNT(filter($O98:$O$386,$O98:$O$386&gt;$O97,arrayformula(isnumber(FIND($E98:$E$386,AM97))))))"),0.0)</f>
        <v>0</v>
      </c>
      <c r="AQ97" s="16">
        <f t="shared" si="10"/>
        <v>1</v>
      </c>
      <c r="AR97" s="88">
        <f>IFERROR(__xludf.DUMMYFUNCTION("iferror($O97-min(filter($O97:$O$386,arrayformula(isnumber(FIND($E97:$E$386,AM97))))))"),0.0)</f>
        <v>0</v>
      </c>
      <c r="AS97" s="89" t="str">
        <f>IFERROR(__xludf.DUMMYFUNCTION("iferror(join("","",index(sort(filter($F98:$F$386,$O98:$O$386&gt;$O97,arrayformula(isnumber(FIND($E98:$E$386,AM97)))),2,false),0,1)))"),"")</f>
        <v/>
      </c>
    </row>
    <row r="98">
      <c r="A98" s="13">
        <f t="shared" si="11"/>
        <v>97</v>
      </c>
      <c r="B98" s="13">
        <v>10.0</v>
      </c>
      <c r="C98" s="90">
        <v>7.0</v>
      </c>
      <c r="D98" s="13" t="str">
        <f>D85</f>
        <v>Brad</v>
      </c>
      <c r="E98" s="179" t="str">
        <f>if(F98&lt;&gt;"",VLOOKUP(F98,'Teams-Conference, for lookup'!A:B,2,0),"")</f>
        <v>MWC</v>
      </c>
      <c r="F98" s="13" t="s">
        <v>217</v>
      </c>
      <c r="G98" t="str">
        <f t="shared" si="28"/>
        <v/>
      </c>
      <c r="H98" s="97">
        <f t="shared" si="2"/>
        <v>1</v>
      </c>
      <c r="I98" s="97">
        <f t="shared" si="3"/>
        <v>2</v>
      </c>
      <c r="J98" s="97">
        <f t="shared" si="12"/>
        <v>0</v>
      </c>
      <c r="K98" s="97">
        <f t="shared" si="30"/>
        <v>2</v>
      </c>
      <c r="L98" s="2"/>
      <c r="M98" s="97">
        <f>IFERROR(__xludf.DUMMYFUNCTION("counta(iferror(filter(L$2:L97,E$2:E97=E98,L$2:L97&lt;L98)))"),0.0)</f>
        <v>0</v>
      </c>
      <c r="N98" s="97">
        <f>IFERROR(__xludf.DUMMYFUNCTION("counta(iferror(filter(L99:L$124,E99:E$124=E98,L99:L$125&gt;L98)))"),0.0)</f>
        <v>0</v>
      </c>
      <c r="O98" s="83">
        <f t="array" ref="O98:X98">XLOOKUP(F98,'Current Week'!B:B,'Current Week'!C:O)</f>
        <v>1</v>
      </c>
      <c r="P98" s="97">
        <v>8.0</v>
      </c>
      <c r="Q98" s="2" t="s">
        <v>114</v>
      </c>
      <c r="R98" s="2" t="s">
        <v>106</v>
      </c>
      <c r="S98" s="2"/>
      <c r="T98" s="2" t="s">
        <v>115</v>
      </c>
      <c r="U98" s="8" t="s">
        <v>115</v>
      </c>
      <c r="V98" s="2"/>
      <c r="W98" s="8">
        <v>9999.0</v>
      </c>
      <c r="X98" s="2"/>
      <c r="Y98" s="2"/>
      <c r="Z98" s="2"/>
      <c r="AA98" s="86">
        <f t="shared" si="4"/>
        <v>-9</v>
      </c>
      <c r="AB98" s="8">
        <f t="shared" si="5"/>
        <v>0</v>
      </c>
      <c r="AC98" s="8">
        <f>IFERROR(__xludf.DUMMYFUNCTION("iferror(COUNT(filter($O99:$O$386,$O99:$O$386&gt;$O98)))"),26.0)</f>
        <v>26</v>
      </c>
      <c r="AD98" s="16">
        <f t="shared" si="6"/>
        <v>0</v>
      </c>
      <c r="AE98" s="88">
        <f t="shared" si="7"/>
        <v>0</v>
      </c>
      <c r="AF98" s="2" t="str">
        <f>IFERROR(__xludf.DUMMYFUNCTION("iferror(join("","",index(sort(filter($F99:$F$387,$O99:$O$387&gt;$O98),2,false),0,1)))"),"California,Auburn,Kent State,Colorado,Wyoming,Eastern Michigan,Kentucky,Wake Forest,Indiana,Maryland,Miami-OH,South Carolina,Vanderbilt,Hawaii,SMU,North Texas,UTSA,Tulane,Duke,Syracuse,Charlotte,Oregon State,Missouri,Illinois,Virginia,Rutgers")</f>
        <v>California,Auburn,Kent State,Colorado,Wyoming,Eastern Michigan,Kentucky,Wake Forest,Indiana,Maryland,Miami-OH,South Carolina,Vanderbilt,Hawaii,SMU,North Texas,UTSA,Tulane,Duke,Syracuse,Charlotte,Oregon State,Missouri,Illinois,Virginia,Rutgers</v>
      </c>
      <c r="AG98" s="86">
        <f>IFERROR(__xludf.DUMMYFUNCTION("iferror($O98-max(filter($O98:$O$386,$E98:$E$386=$E$2)))"),-5.0)</f>
        <v>-5</v>
      </c>
      <c r="AH98" s="8">
        <f t="shared" si="8"/>
        <v>0</v>
      </c>
      <c r="AI98" s="8">
        <f>IFERROR(__xludf.DUMMYFUNCTION("iferror(COUNT(filter($O99:$O$386,$O99:$O$386&gt;$O98,$E98:$E$386=$E$2)))"),0.0)</f>
        <v>0</v>
      </c>
      <c r="AJ98" s="16">
        <f t="shared" si="9"/>
        <v>0</v>
      </c>
      <c r="AK98" s="88">
        <f>IFERROR(__xludf.DUMMYFUNCTION("iferror($O98-min(filter($O98:$O$386,$E98:$E$386=$E$2)))"),-1.0)</f>
        <v>-1</v>
      </c>
      <c r="AL98" s="2" t="str">
        <f>IFERROR(__xludf.DUMMYFUNCTION("iferror(join("","",index(sort(filter($F99:$F$386,$O99:$O$386&gt;$O98,$E99:$E$386=$E$2),2,false),0,1)))"),"Wake Forest,Duke,Syracuse,Virginia")</f>
        <v>Wake Forest,Duke,Syracuse,Virginia</v>
      </c>
      <c r="AM98" s="2" t="str">
        <f>IFERROR(__xludf.DUMMYFUNCTION("REGEXREPLACE(join("","",unique({let(conf_picked,filter(E$1:E97,D$1:D97=D98), byrow(unique(TRANSPOSe(Teams!$1:$1)),lambda(rw,if(ISERROR(match(rw,conf_picked,0)),rw,))));iferror(if(#REF!,,transpose(split(#REF!,"","",1,1))))})), ""^,"", """")"),"MWC")</f>
        <v>MWC</v>
      </c>
      <c r="AN98" s="86">
        <f>IFERROR(__xludf.DUMMYFUNCTION("iferror($O98-max(filter($O98:$O$386,arrayformula(isnumber(FIND($E98:$E$386,AM98))))))"),-7.0)</f>
        <v>-7</v>
      </c>
      <c r="AO98" s="8">
        <f t="array" ref="AO98">countifs($O$2:$O97,"&lt;"&amp;$O98,isnumber(FIND($E$2:$E97,AM98)),TRUE)</f>
        <v>0</v>
      </c>
      <c r="AP98" s="8">
        <f>IFERROR(__xludf.DUMMYFUNCTION("iferror(COUNT(filter($O99:$O$386,$O99:$O$386&gt;$O98,arrayformula(isnumber(FIND($E99:$E$386,AM98))))))"),2.0)</f>
        <v>2</v>
      </c>
      <c r="AQ98" s="16">
        <f t="shared" si="10"/>
        <v>0</v>
      </c>
      <c r="AR98" s="88">
        <f>IFERROR(__xludf.DUMMYFUNCTION("iferror($O98-min(filter($O98:$O$386,arrayformula(isnumber(FIND($E98:$E$386,AM98))))))"),0.0)</f>
        <v>0</v>
      </c>
      <c r="AS98" s="89" t="str">
        <f>IFERROR(__xludf.DUMMYFUNCTION("iferror(join("","",index(sort(filter($F99:$F$386,$O99:$O$386&gt;$O98,arrayformula(isnumber(FIND($E99:$E$386,AM98)))),2,false),0,1)))"),"Wyoming,Hawaii")</f>
        <v>Wyoming,Hawaii</v>
      </c>
    </row>
    <row r="99">
      <c r="A99" s="13">
        <f t="shared" si="11"/>
        <v>98</v>
      </c>
      <c r="B99" s="13">
        <v>10.0</v>
      </c>
      <c r="C99" s="90">
        <v>8.0</v>
      </c>
      <c r="D99" s="91" t="str">
        <f>D84</f>
        <v>Jacob</v>
      </c>
      <c r="E99" s="179" t="str">
        <f>if(F99&lt;&gt;"",VLOOKUP(F99,'Teams-Conference, for lookup'!A:B,2,0),"")</f>
        <v>Pac12</v>
      </c>
      <c r="F99" s="13" t="s">
        <v>191</v>
      </c>
      <c r="G99" t="str">
        <f t="shared" si="28"/>
        <v/>
      </c>
      <c r="H99" s="97">
        <f t="shared" si="2"/>
        <v>1</v>
      </c>
      <c r="I99" s="97">
        <f t="shared" si="3"/>
        <v>2</v>
      </c>
      <c r="J99" s="97">
        <f t="shared" si="12"/>
        <v>0</v>
      </c>
      <c r="K99" s="97">
        <f t="shared" ref="K99:K103" si="31">countif(E80:E99,E100)</f>
        <v>1</v>
      </c>
      <c r="L99" s="2"/>
      <c r="M99" s="97">
        <f>IFERROR(__xludf.DUMMYFUNCTION("counta(iferror(filter(L$2:L98,E$2:E98=E99,L$2:L98&lt;L99)))"),0.0)</f>
        <v>0</v>
      </c>
      <c r="N99" s="97">
        <f>IFERROR(__xludf.DUMMYFUNCTION("counta(iferror(filter(L100:L$124,E100:E$124=E99,L100:L$125&gt;L99)))"),0.0)</f>
        <v>0</v>
      </c>
      <c r="O99" s="83">
        <f t="array" ref="O99:X99">XLOOKUP(F99,'Current Week'!B:B,'Current Week'!C:O)</f>
        <v>5</v>
      </c>
      <c r="P99" s="97">
        <v>6.0</v>
      </c>
      <c r="Q99" s="2" t="s">
        <v>192</v>
      </c>
      <c r="R99" s="2" t="s">
        <v>106</v>
      </c>
      <c r="S99" s="2"/>
      <c r="T99" s="2" t="s">
        <v>115</v>
      </c>
      <c r="U99" s="8" t="s">
        <v>115</v>
      </c>
      <c r="V99" s="2"/>
      <c r="W99" s="8">
        <v>9999.0</v>
      </c>
      <c r="X99" s="2"/>
      <c r="Y99" s="2"/>
      <c r="Z99" s="2"/>
      <c r="AA99" s="86">
        <f t="shared" si="4"/>
        <v>-5</v>
      </c>
      <c r="AB99" s="8">
        <f t="shared" si="5"/>
        <v>26</v>
      </c>
      <c r="AC99" s="8">
        <f>IFERROR(__xludf.DUMMYFUNCTION("iferror(COUNT(filter($O100:$O$386,$O100:$O$386&gt;$O99)))"),12.0)</f>
        <v>12</v>
      </c>
      <c r="AD99" s="16">
        <f t="shared" si="6"/>
        <v>0</v>
      </c>
      <c r="AE99" s="88">
        <f t="shared" si="7"/>
        <v>4</v>
      </c>
      <c r="AF99" s="2" t="str">
        <f>IFERROR(__xludf.DUMMYFUNCTION("iferror(join("","",index(sort(filter($F100:$F$387,$O100:$O$387&gt;$O99),2,false),0,1)))"),"Auburn,Colorado,Wyoming,Eastern Michigan,Kentucky,Wake Forest,Indiana,Maryland,Miami-OH,South Carolina,Vanderbilt,Hawaii")</f>
        <v>Auburn,Colorado,Wyoming,Eastern Michigan,Kentucky,Wake Forest,Indiana,Maryland,Miami-OH,South Carolina,Vanderbilt,Hawaii</v>
      </c>
      <c r="AG99" s="86">
        <f>IFERROR(__xludf.DUMMYFUNCTION("iferror($O99-max(filter($O99:$O$386,$E99:$E$386=$E$2)))"),-1.0)</f>
        <v>-1</v>
      </c>
      <c r="AH99" s="8">
        <f t="shared" si="8"/>
        <v>0</v>
      </c>
      <c r="AI99" s="8">
        <f>IFERROR(__xludf.DUMMYFUNCTION("iferror(COUNT(filter($O100:$O$386,$O100:$O$386&gt;$O99,$E99:$E$386=$E$2)))"),0.0)</f>
        <v>0</v>
      </c>
      <c r="AJ99" s="16">
        <f t="shared" si="9"/>
        <v>0</v>
      </c>
      <c r="AK99" s="88">
        <f>IFERROR(__xludf.DUMMYFUNCTION("iferror($O99-min(filter($O99:$O$386,$E99:$E$386=$E$2)))"),3.0)</f>
        <v>3</v>
      </c>
      <c r="AL99" s="2" t="str">
        <f>IFERROR(__xludf.DUMMYFUNCTION("iferror(join("","",index(sort(filter($F100:$F$386,$O100:$O$386&gt;$O99,$E100:$E$386=$E$2),2,false),0,1)))"),"Wake Forest")</f>
        <v>Wake Forest</v>
      </c>
      <c r="AM99" s="2" t="str">
        <f>IFERROR(__xludf.DUMMYFUNCTION("REGEXREPLACE(join("","",unique({let(conf_picked,filter(E$1:E98,D$1:D98=D99), byrow(unique(TRANSPOSe(Teams!$1:$1)),lambda(rw,if(ISERROR(match(rw,conf_picked,0)),rw,))));iferror(if(#REF!,,transpose(split(#REF!,"","",1,1))))})), ""^,"", """")"),"Pac12")</f>
        <v>Pac12</v>
      </c>
      <c r="AN99" s="86">
        <f>IFERROR(__xludf.DUMMYFUNCTION("iferror($O99-max(filter($O99:$O$386,arrayformula(isnumber(FIND($E99:$E$386,AM99))))))"),-5.0)</f>
        <v>-5</v>
      </c>
      <c r="AO99" s="8">
        <f t="array" ref="AO99">countifs($O$2:$O98,"&lt;"&amp;$O99,isnumber(FIND($E$2:$E98,AM99)),TRUE)</f>
        <v>3</v>
      </c>
      <c r="AP99" s="8">
        <f>IFERROR(__xludf.DUMMYFUNCTION("iferror(COUNT(filter($O100:$O$386,$O100:$O$386&gt;$O99,arrayformula(isnumber(FIND($E100:$E$386,AM99))))))"),1.0)</f>
        <v>1</v>
      </c>
      <c r="AQ99" s="16">
        <f t="shared" si="10"/>
        <v>0</v>
      </c>
      <c r="AR99" s="88">
        <f>IFERROR(__xludf.DUMMYFUNCTION("iferror($O99-min(filter($O99:$O$386,arrayformula(isnumber(FIND($E99:$E$386,AM99))))))"),1.0)</f>
        <v>1</v>
      </c>
      <c r="AS99" s="89" t="str">
        <f>IFERROR(__xludf.DUMMYFUNCTION("iferror(join("","",index(sort(filter($F100:$F$386,$O100:$O$386&gt;$O99,arrayformula(isnumber(FIND($E100:$E$386,AM99)))),2,false),0,1)))"),"Colorado")</f>
        <v>Colorado</v>
      </c>
    </row>
    <row r="100">
      <c r="A100" s="13">
        <f t="shared" si="11"/>
        <v>99</v>
      </c>
      <c r="B100" s="13">
        <v>10.0</v>
      </c>
      <c r="C100" s="90">
        <v>9.0</v>
      </c>
      <c r="D100" s="91" t="str">
        <f>D83</f>
        <v>Josh R.</v>
      </c>
      <c r="E100" s="179" t="str">
        <f>if(F100&lt;&gt;"",VLOOKUP(F100,'Teams-Conference, for lookup'!A:B,2,0),"")</f>
        <v>SEC</v>
      </c>
      <c r="F100" s="13" t="s">
        <v>157</v>
      </c>
      <c r="G100" t="str">
        <f t="shared" si="28"/>
        <v/>
      </c>
      <c r="H100" s="97">
        <f t="shared" si="2"/>
        <v>2</v>
      </c>
      <c r="I100" s="97">
        <f t="shared" si="3"/>
        <v>4</v>
      </c>
      <c r="J100" s="97">
        <f t="shared" si="12"/>
        <v>0</v>
      </c>
      <c r="K100" s="97">
        <f t="shared" si="31"/>
        <v>1</v>
      </c>
      <c r="L100" s="2"/>
      <c r="M100" s="97">
        <f>IFERROR(__xludf.DUMMYFUNCTION("counta(iferror(filter(L$2:L99,E$2:E99=E100,L$2:L99&lt;L100)))"),0.0)</f>
        <v>0</v>
      </c>
      <c r="N100" s="97">
        <f>IFERROR(__xludf.DUMMYFUNCTION("counta(iferror(filter(L101:L$124,E101:E$124=E100,L101:L$125&gt;L100)))"),0.0)</f>
        <v>0</v>
      </c>
      <c r="O100" s="83">
        <f t="array" ref="O100:X100">XLOOKUP(F100,'Current Week'!B:B,'Current Week'!C:O)</f>
        <v>8</v>
      </c>
      <c r="P100" s="97">
        <v>3.0</v>
      </c>
      <c r="Q100" s="2" t="s">
        <v>27</v>
      </c>
      <c r="R100" s="2" t="s">
        <v>106</v>
      </c>
      <c r="S100" s="2"/>
      <c r="T100" s="2" t="s">
        <v>159</v>
      </c>
      <c r="U100" s="8" t="s">
        <v>108</v>
      </c>
      <c r="V100" s="2"/>
      <c r="W100" s="8">
        <v>9999.0</v>
      </c>
      <c r="X100" s="2"/>
      <c r="Y100" s="2"/>
      <c r="Z100" s="2"/>
      <c r="AA100" s="86">
        <f t="shared" si="4"/>
        <v>-2</v>
      </c>
      <c r="AB100" s="8">
        <f t="shared" si="5"/>
        <v>50</v>
      </c>
      <c r="AC100" s="8">
        <f>IFERROR(__xludf.DUMMYFUNCTION("iferror(COUNT(filter($O101:$O$386,$O101:$O$386&gt;$O100)))"),1.0)</f>
        <v>1</v>
      </c>
      <c r="AD100" s="16">
        <f t="shared" si="6"/>
        <v>0</v>
      </c>
      <c r="AE100" s="88">
        <f t="shared" si="7"/>
        <v>7</v>
      </c>
      <c r="AF100" s="2" t="str">
        <f>IFERROR(__xludf.DUMMYFUNCTION("iferror(join("","",index(sort(filter($F101:$F$387,$O101:$O$387&gt;$O100),2,false),0,1)))"),"Colorado")</f>
        <v>Colorado</v>
      </c>
      <c r="AG100" s="86">
        <f>IFERROR(__xludf.DUMMYFUNCTION("iferror($O100-max(filter($O100:$O$386,$E100:$E$386=$E$2)))"),2.0)</f>
        <v>2</v>
      </c>
      <c r="AH100" s="8">
        <f t="shared" si="8"/>
        <v>2</v>
      </c>
      <c r="AI100" s="8">
        <f>IFERROR(__xludf.DUMMYFUNCTION("iferror(COUNT(filter($O101:$O$386,$O101:$O$386&gt;$O100,$E100:$E$386=$E$2)))"),0.0)</f>
        <v>0</v>
      </c>
      <c r="AJ100" s="16">
        <f t="shared" si="9"/>
        <v>0</v>
      </c>
      <c r="AK100" s="88">
        <f>IFERROR(__xludf.DUMMYFUNCTION("iferror($O100-min(filter($O100:$O$386,$E100:$E$386=$E$2)))"),6.0)</f>
        <v>6</v>
      </c>
      <c r="AL100" s="2" t="str">
        <f>IFERROR(__xludf.DUMMYFUNCTION("iferror(join("","",index(sort(filter($F101:$F$386,$O101:$O$386&gt;$O100,$E101:$E$386=$E$2),2,false),0,1)))"),"")</f>
        <v/>
      </c>
      <c r="AM100" s="2" t="str">
        <f>IFERROR(__xludf.DUMMYFUNCTION("REGEXREPLACE(join("","",unique({let(conf_picked,filter(E$1:E99,D$1:D99=D100), byrow(unique(TRANSPOSe(Teams!$1:$1)),lambda(rw,if(ISERROR(match(rw,conf_picked,0)),rw,))));iferror(if(#REF!,,transpose(split(#REF!,"","",1,1))))})), ""^,"", """")"),"SEC")</f>
        <v>SEC</v>
      </c>
      <c r="AN100" s="86">
        <f>IFERROR(__xludf.DUMMYFUNCTION("iferror($O100-max(filter($O100:$O$386,arrayformula(isnumber(FIND($E100:$E$386,AM100))))))"),0.0)</f>
        <v>0</v>
      </c>
      <c r="AO100" s="8">
        <f t="array" ref="AO100">countifs($O$2:$O99,"&lt;"&amp;$O100,isnumber(FIND($E$2:$E99,AM100)),TRUE)</f>
        <v>5</v>
      </c>
      <c r="AP100" s="8">
        <f>IFERROR(__xludf.DUMMYFUNCTION("iferror(COUNT(filter($O101:$O$386,$O101:$O$386&gt;$O100,arrayformula(isnumber(FIND($E101:$E$386,AM100))))))"),0.0)</f>
        <v>0</v>
      </c>
      <c r="AQ100" s="16">
        <f t="shared" si="10"/>
        <v>1</v>
      </c>
      <c r="AR100" s="88">
        <f>IFERROR(__xludf.DUMMYFUNCTION("iferror($O100-min(filter($O100:$O$386,arrayformula(isnumber(FIND($E100:$E$386,AM100))))))"),4.0)</f>
        <v>4</v>
      </c>
      <c r="AS100" s="89" t="str">
        <f>IFERROR(__xludf.DUMMYFUNCTION("iferror(join("","",index(sort(filter($F101:$F$386,$O101:$O$386&gt;$O100,arrayformula(isnumber(FIND($E101:$E$386,AM100)))),2,false),0,1)))"),"")</f>
        <v/>
      </c>
    </row>
    <row r="101">
      <c r="A101" s="151">
        <f t="shared" si="11"/>
        <v>100</v>
      </c>
      <c r="B101" s="151">
        <v>10.0</v>
      </c>
      <c r="C101" s="90">
        <v>10.0</v>
      </c>
      <c r="D101" s="151" t="str">
        <f>D82</f>
        <v>Gary</v>
      </c>
      <c r="E101" s="184" t="str">
        <f>if(F101&lt;&gt;"",VLOOKUP(F101,'Teams-Conference, for lookup'!A:B,2,0),"")</f>
        <v>MAC</v>
      </c>
      <c r="F101" s="151" t="s">
        <v>120</v>
      </c>
      <c r="G101" s="157" t="str">
        <f t="shared" si="28"/>
        <v/>
      </c>
      <c r="H101" s="97">
        <f t="shared" si="2"/>
        <v>2</v>
      </c>
      <c r="I101" s="97">
        <f t="shared" si="3"/>
        <v>2</v>
      </c>
      <c r="J101" s="97">
        <f t="shared" si="12"/>
        <v>1</v>
      </c>
      <c r="K101" s="97">
        <f t="shared" si="31"/>
        <v>2</v>
      </c>
      <c r="L101" s="2"/>
      <c r="M101" s="97">
        <f>IFERROR(__xludf.DUMMYFUNCTION("counta(iferror(filter(L$2:L100,E$2:E100=E101,L$2:L100&lt;L101)))"),0.0)</f>
        <v>0</v>
      </c>
      <c r="N101" s="97">
        <f>IFERROR(__xludf.DUMMYFUNCTION("counta(iferror(filter(L102:L$124,E102:E$124=E101,L102:L$125&gt;L101)))"),0.0)</f>
        <v>0</v>
      </c>
      <c r="O101" s="83">
        <f t="array" ref="O101:X101">XLOOKUP(F101,'Current Week'!B:B,'Current Week'!C:O)</f>
        <v>3</v>
      </c>
      <c r="P101" s="97">
        <v>6.0</v>
      </c>
      <c r="Q101" s="2" t="s">
        <v>121</v>
      </c>
      <c r="R101" s="2" t="s">
        <v>106</v>
      </c>
      <c r="S101" s="2"/>
      <c r="T101" s="2" t="s">
        <v>115</v>
      </c>
      <c r="U101" s="8" t="s">
        <v>115</v>
      </c>
      <c r="V101" s="2"/>
      <c r="W101" s="8">
        <v>9999.0</v>
      </c>
      <c r="X101" s="2"/>
      <c r="Y101" s="2"/>
      <c r="Z101" s="2"/>
      <c r="AA101" s="86">
        <f t="shared" si="4"/>
        <v>-7</v>
      </c>
      <c r="AB101" s="8">
        <f t="shared" si="5"/>
        <v>4</v>
      </c>
      <c r="AC101" s="8">
        <f>IFERROR(__xludf.DUMMYFUNCTION("iferror(COUNT(filter($O102:$O$386,$O102:$O$386&gt;$O101)))"),20.0)</f>
        <v>20</v>
      </c>
      <c r="AD101" s="16">
        <f t="shared" si="6"/>
        <v>0</v>
      </c>
      <c r="AE101" s="88">
        <f t="shared" si="7"/>
        <v>2</v>
      </c>
      <c r="AF101" s="2" t="str">
        <f>IFERROR(__xludf.DUMMYFUNCTION("iferror(join("","",index(sort(filter($F102:$F$387,$O102:$O$387&gt;$O101),2,false),0,1)))"),"Colorado,Wyoming,Eastern Michigan,Kentucky,Wake Forest,Indiana,Maryland,Miami-OH,South Carolina,Vanderbilt,Hawaii,SMU,North Texas,UTSA,Tulane,Duke,Syracuse,Charlotte,Oregon State,Missouri")</f>
        <v>Colorado,Wyoming,Eastern Michigan,Kentucky,Wake Forest,Indiana,Maryland,Miami-OH,South Carolina,Vanderbilt,Hawaii,SMU,North Texas,UTSA,Tulane,Duke,Syracuse,Charlotte,Oregon State,Missouri</v>
      </c>
      <c r="AG101" s="86">
        <f>IFERROR(__xludf.DUMMYFUNCTION("iferror($O101-max(filter($O101:$O$386,$E101:$E$386=$E$2)))"),-3.0)</f>
        <v>-3</v>
      </c>
      <c r="AH101" s="8">
        <f t="shared" si="8"/>
        <v>0</v>
      </c>
      <c r="AI101" s="8">
        <f>IFERROR(__xludf.DUMMYFUNCTION("iferror(COUNT(filter($O102:$O$386,$O102:$O$386&gt;$O101,$E101:$E$386=$E$2)))"),0.0)</f>
        <v>0</v>
      </c>
      <c r="AJ101" s="16">
        <f t="shared" si="9"/>
        <v>0</v>
      </c>
      <c r="AK101" s="88">
        <f>IFERROR(__xludf.DUMMYFUNCTION("iferror($O101-min(filter($O101:$O$386,$E101:$E$386=$E$2)))"),1.0)</f>
        <v>1</v>
      </c>
      <c r="AL101" s="2" t="str">
        <f>IFERROR(__xludf.DUMMYFUNCTION("iferror(join("","",index(sort(filter($F102:$F$386,$O102:$O$386&gt;$O101,$E102:$E$386=$E$2),2,false),0,1)))"),"Wake Forest,Duke,Syracuse")</f>
        <v>Wake Forest,Duke,Syracuse</v>
      </c>
      <c r="AM101" s="2" t="str">
        <f>IFERROR(__xludf.DUMMYFUNCTION("REGEXREPLACE(join("","",unique({let(conf_picked,filter(E$1:E100,D$1:D100=D101), byrow(unique(TRANSPOSe(Teams!$1:$1)),lambda(rw,if(ISERROR(match(rw,conf_picked,0)),rw,))));iferror(if(#REF!,,transpose(split(#REF!,"","",1,1))))})), ""^,"", """")"),"MAC")</f>
        <v>MAC</v>
      </c>
      <c r="AN101" s="86">
        <f>IFERROR(__xludf.DUMMYFUNCTION("iferror($O101-max(filter($O101:$O$386,arrayformula(isnumber(FIND($E101:$E$386,AM101))))))"),-4.0)</f>
        <v>-4</v>
      </c>
      <c r="AO101" s="8">
        <f t="array" ref="AO101">countifs($O$2:$O100,"&lt;"&amp;$O101,isnumber(FIND($E$2:$E100,AM101)),TRUE)</f>
        <v>1</v>
      </c>
      <c r="AP101" s="8">
        <f>IFERROR(__xludf.DUMMYFUNCTION("iferror(COUNT(filter($O102:$O$386,$O102:$O$386&gt;$O101,arrayformula(isnumber(FIND($E102:$E$386,AM101))))))"),2.0)</f>
        <v>2</v>
      </c>
      <c r="AQ101" s="16">
        <f t="shared" si="10"/>
        <v>0</v>
      </c>
      <c r="AR101" s="88">
        <f>IFERROR(__xludf.DUMMYFUNCTION("iferror($O101-min(filter($O101:$O$386,arrayformula(isnumber(FIND($E101:$E$386,AM101))))))"),0.0)</f>
        <v>0</v>
      </c>
      <c r="AS101" s="89" t="str">
        <f>IFERROR(__xludf.DUMMYFUNCTION("iferror(join("","",index(sort(filter($F102:$F$386,$O102:$O$386&gt;$O101,arrayformula(isnumber(FIND($E102:$E$386,AM101)))),2,false),0,1)))"),"Eastern Michigan,Miami-OH")</f>
        <v>Eastern Michigan,Miami-OH</v>
      </c>
    </row>
    <row r="102">
      <c r="A102" s="13">
        <f t="shared" si="11"/>
        <v>101</v>
      </c>
      <c r="B102" s="13">
        <v>11.0</v>
      </c>
      <c r="C102" s="90">
        <v>1.0</v>
      </c>
      <c r="D102" s="13" t="s">
        <v>386</v>
      </c>
      <c r="E102" s="179" t="str">
        <f>if(F102&lt;&gt;"",VLOOKUP(F102,'Teams-Conference, for lookup'!A:B,2,0),"")</f>
        <v>Pac12</v>
      </c>
      <c r="F102" s="59" t="s">
        <v>442</v>
      </c>
      <c r="H102" s="97">
        <f t="shared" si="2"/>
        <v>0</v>
      </c>
      <c r="I102" s="97">
        <f t="shared" si="3"/>
        <v>1</v>
      </c>
      <c r="J102" s="97">
        <f t="shared" si="12"/>
        <v>1</v>
      </c>
      <c r="K102" s="97">
        <f t="shared" si="31"/>
        <v>1</v>
      </c>
      <c r="L102" s="2"/>
      <c r="M102" s="97">
        <f>IFERROR(__xludf.DUMMYFUNCTION("counta(iferror(filter(L$2:L101,E$2:E101=E102,L$2:L101&lt;L102)))"),0.0)</f>
        <v>0</v>
      </c>
      <c r="N102" s="97">
        <f>IFERROR(__xludf.DUMMYFUNCTION("counta(iferror(filter(L103:L$124,E103:E$124=E102,L103:L$125&gt;L102)))"),0.0)</f>
        <v>0</v>
      </c>
      <c r="O102" s="83">
        <f t="array" ref="O102:X102">XLOOKUP(F102,'Current Week'!B:B,'Current Week'!C:O)</f>
        <v>10</v>
      </c>
      <c r="P102" s="97">
        <v>2.0</v>
      </c>
      <c r="Q102" s="2"/>
      <c r="R102" s="2"/>
      <c r="S102" s="2"/>
      <c r="T102" s="2"/>
      <c r="U102" s="8"/>
      <c r="V102" s="2"/>
      <c r="W102" s="8"/>
      <c r="X102" s="2"/>
      <c r="Y102" s="2"/>
      <c r="Z102" s="2"/>
      <c r="AA102" s="86">
        <f t="shared" si="4"/>
        <v>0</v>
      </c>
      <c r="AB102" s="8">
        <f t="shared" si="5"/>
        <v>88</v>
      </c>
      <c r="AC102" s="8">
        <f>IFERROR(__xludf.DUMMYFUNCTION("iferror(COUNT(filter($O103:$O$386,$O103:$O$386&gt;$O102)))"),0.0)</f>
        <v>0</v>
      </c>
      <c r="AD102" s="16">
        <f t="shared" si="6"/>
        <v>1</v>
      </c>
      <c r="AE102" s="88">
        <f t="shared" si="7"/>
        <v>9</v>
      </c>
      <c r="AF102" s="2" t="str">
        <f>IFERROR(__xludf.DUMMYFUNCTION("iferror(join("","",index(sort(filter($F103:$F$387,$O103:$O$387&gt;$O102),2,false),0,1)))"),"")</f>
        <v/>
      </c>
      <c r="AG102" s="86">
        <f>IFERROR(__xludf.DUMMYFUNCTION("iferror($O102-max(filter($O102:$O$386,$E102:$E$386=$E$2)))"),4.0)</f>
        <v>4</v>
      </c>
      <c r="AH102" s="8">
        <f t="shared" si="8"/>
        <v>9</v>
      </c>
      <c r="AI102" s="8">
        <f>IFERROR(__xludf.DUMMYFUNCTION("iferror(COUNT(filter($O103:$O$386,$O103:$O$386&gt;$O102,$E102:$E$386=$E$2)))"),0.0)</f>
        <v>0</v>
      </c>
      <c r="AJ102" s="16">
        <f t="shared" si="9"/>
        <v>0</v>
      </c>
      <c r="AK102" s="88">
        <f>IFERROR(__xludf.DUMMYFUNCTION("iferror($O102-min(filter($O102:$O$386,$E102:$E$386=$E$2)))"),8.0)</f>
        <v>8</v>
      </c>
      <c r="AL102" s="2" t="str">
        <f>IFERROR(__xludf.DUMMYFUNCTION("iferror(join("","",index(sort(filter($F103:$F$386,$O103:$O$386&gt;$O102,$E103:$E$386=$E$2),2,false),0,1)))"),"")</f>
        <v/>
      </c>
      <c r="AM102" s="2" t="str">
        <f>IFERROR(__xludf.DUMMYFUNCTION("REGEXREPLACE(join("","",unique({let(conf_picked,filter(E$1:E101,D$1:D101=D102), byrow(unique(TRANSPOSe(Teams!$1:$1)),lambda(rw,if(ISERROR(match(rw,conf_picked,0)),rw,))));iferror(if(#REF!,,transpose(split(#REF!,"","",1,1))))})), ""^,"", """")"),"AAC,ACC,Big 12,Big Ten,CUSA,MAC,MWC,Pac12,SEC,Sun Belt,")</f>
        <v>AAC,ACC,Big 12,Big Ten,CUSA,MAC,MWC,Pac12,SEC,Sun Belt,</v>
      </c>
      <c r="AN102" s="86">
        <f>IFERROR(__xludf.DUMMYFUNCTION("iferror($O102-max(filter($O102:$O$386,arrayformula(isnumber(FIND($E102:$E$386,AM102))))))"),0.0)</f>
        <v>0</v>
      </c>
      <c r="AO102" s="8">
        <f t="array" ref="AO102">countifs($O$2:$O101,"&lt;"&amp;$O102,isnumber(FIND($E$2:$E101,AM102)),TRUE)</f>
        <v>88</v>
      </c>
      <c r="AP102" s="8">
        <f>IFERROR(__xludf.DUMMYFUNCTION("iferror(COUNT(filter($O103:$O$386,$O103:$O$386&gt;$O102,arrayformula(isnumber(FIND($E103:$E$386,AM102))))))"),0.0)</f>
        <v>0</v>
      </c>
      <c r="AQ102" s="16">
        <f t="shared" si="10"/>
        <v>1</v>
      </c>
      <c r="AR102" s="88">
        <f>IFERROR(__xludf.DUMMYFUNCTION("iferror($O102-min(filter($O102:$O$386,arrayformula(isnumber(FIND($E102:$E$386,AM102))))))"),8.0)</f>
        <v>8</v>
      </c>
      <c r="AS102" s="89" t="str">
        <f>IFERROR(__xludf.DUMMYFUNCTION("iferror(join("","",index(sort(filter($F103:$F$386,$O103:$O$386&gt;$O102,arrayformula(isnumber(FIND($E103:$E$386,AM102)))),2,false),0,1)))"),"")</f>
        <v/>
      </c>
    </row>
    <row r="103">
      <c r="A103" s="13">
        <f t="shared" si="11"/>
        <v>102</v>
      </c>
      <c r="B103" s="13">
        <v>11.0</v>
      </c>
      <c r="C103" s="90">
        <v>2.0</v>
      </c>
      <c r="D103" s="13" t="s">
        <v>386</v>
      </c>
      <c r="E103" s="179" t="str">
        <f>if(F103&lt;&gt;"",VLOOKUP(F103,'Teams-Conference, for lookup'!A:B,2,0),"")</f>
        <v>MWC</v>
      </c>
      <c r="F103" s="59" t="s">
        <v>443</v>
      </c>
      <c r="H103" s="97">
        <f t="shared" si="2"/>
        <v>1</v>
      </c>
      <c r="I103" s="97">
        <f>countif(E104:E124,E103)</f>
        <v>1</v>
      </c>
      <c r="J103" s="97">
        <f t="shared" si="12"/>
        <v>1</v>
      </c>
      <c r="K103" s="97">
        <f t="shared" si="31"/>
        <v>2</v>
      </c>
      <c r="L103" s="2"/>
      <c r="M103" s="97">
        <f>IFERROR(__xludf.DUMMYFUNCTION("counta(iferror(filter(L$2:L102,E$2:E102=E103,L$2:L102&lt;L103)))"),0.0)</f>
        <v>0</v>
      </c>
      <c r="N103" s="97">
        <f>IFERROR(__xludf.DUMMYFUNCTION("counta(iferror(filter(L104:L$124,E104:E$124=E103,L104:L$125&gt;L103)))"),0.0)</f>
        <v>0</v>
      </c>
      <c r="O103" s="83">
        <f t="array" ref="O103:X103">XLOOKUP(F103,'Current Week'!B:B,'Current Week'!C:O)</f>
        <v>8</v>
      </c>
      <c r="P103" s="97">
        <v>5.0</v>
      </c>
      <c r="Q103" s="2"/>
      <c r="R103" s="2"/>
      <c r="S103" s="2"/>
      <c r="T103" s="2"/>
      <c r="U103" s="8"/>
      <c r="V103" s="2"/>
      <c r="W103" s="8"/>
      <c r="X103" s="2"/>
      <c r="Y103" s="2"/>
      <c r="Z103" s="2"/>
      <c r="AA103" s="86">
        <f t="shared" si="4"/>
        <v>0</v>
      </c>
      <c r="AB103" s="8">
        <f t="shared" si="5"/>
        <v>51</v>
      </c>
      <c r="AC103" s="8">
        <f>IFERROR(__xludf.DUMMYFUNCTION("iferror(COUNT(filter($O104:$O$386,$O104:$O$386&gt;$O103)))"),0.0)</f>
        <v>0</v>
      </c>
      <c r="AD103" s="16">
        <f t="shared" si="6"/>
        <v>1</v>
      </c>
      <c r="AE103" s="88">
        <f t="shared" si="7"/>
        <v>7</v>
      </c>
      <c r="AF103" s="2" t="str">
        <f>IFERROR(__xludf.DUMMYFUNCTION("iferror(join("","",index(sort(filter($F104:$F$387,$O104:$O$387&gt;$O103),2,false),0,1)))"),"")</f>
        <v/>
      </c>
      <c r="AG103" s="86">
        <f>IFERROR(__xludf.DUMMYFUNCTION("iferror($O103-max(filter($O103:$O$386,$E103:$E$386=$E$2)))"),2.0)</f>
        <v>2</v>
      </c>
      <c r="AH103" s="8">
        <f t="shared" si="8"/>
        <v>2</v>
      </c>
      <c r="AI103" s="8">
        <f>IFERROR(__xludf.DUMMYFUNCTION("iferror(COUNT(filter($O104:$O$386,$O104:$O$386&gt;$O103,$E103:$E$386=$E$2)))"),0.0)</f>
        <v>0</v>
      </c>
      <c r="AJ103" s="16">
        <f t="shared" si="9"/>
        <v>0</v>
      </c>
      <c r="AK103" s="88">
        <f>IFERROR(__xludf.DUMMYFUNCTION("iferror($O103-min(filter($O103:$O$386,$E103:$E$386=$E$2)))"),6.0)</f>
        <v>6</v>
      </c>
      <c r="AL103" s="2" t="str">
        <f>IFERROR(__xludf.DUMMYFUNCTION("iferror(join("","",index(sort(filter($F104:$F$386,$O104:$O$386&gt;$O103,$E104:$E$386=$E$2),2,false),0,1)))"),"")</f>
        <v/>
      </c>
      <c r="AM103" s="2" t="str">
        <f>IFERROR(__xludf.DUMMYFUNCTION("REGEXREPLACE(join("","",unique({let(conf_picked,filter(E$1:E102,D$1:D102=D103), byrow(unique(TRANSPOSe(Teams!$1:$1)),lambda(rw,if(ISERROR(match(rw,conf_picked,0)),rw,))));iferror(if(#REF!,,transpose(split(#REF!,"","",1,1))))})), ""^,"", """")"),"AAC,ACC,Big 12,Big Ten,CUSA,MAC,MWC,,SEC,Sun Belt")</f>
        <v>AAC,ACC,Big 12,Big Ten,CUSA,MAC,MWC,,SEC,Sun Belt</v>
      </c>
      <c r="AN103" s="86">
        <f>IFERROR(__xludf.DUMMYFUNCTION("iferror($O103-max(filter($O103:$O$386,arrayformula(isnumber(FIND($E103:$E$386,AM103))))))"),0.0)</f>
        <v>0</v>
      </c>
      <c r="AO103" s="8">
        <f t="array" ref="AO103">countifs($O$2:$O102,"&lt;"&amp;$O103,isnumber(FIND($E$2:$E102,AM103)),TRUE)</f>
        <v>46</v>
      </c>
      <c r="AP103" s="8">
        <f>IFERROR(__xludf.DUMMYFUNCTION("iferror(COUNT(filter($O104:$O$386,$O104:$O$386&gt;$O103,arrayformula(isnumber(FIND($E104:$E$386,AM103))))))"),0.0)</f>
        <v>0</v>
      </c>
      <c r="AQ103" s="16">
        <f t="shared" si="10"/>
        <v>1</v>
      </c>
      <c r="AR103" s="88">
        <f>IFERROR(__xludf.DUMMYFUNCTION("iferror($O103-min(filter($O103:$O$386,arrayformula(isnumber(FIND($E103:$E$386,AM103))))))"),6.0)</f>
        <v>6</v>
      </c>
      <c r="AS103" s="89" t="str">
        <f>IFERROR(__xludf.DUMMYFUNCTION("iferror(join("","",index(sort(filter($F104:$F$386,$O104:$O$386&gt;$O103,arrayformula(isnumber(FIND($E104:$E$386,AM103)))),2,false),0,1)))"),"")</f>
        <v/>
      </c>
    </row>
    <row r="104">
      <c r="A104" s="13">
        <f t="shared" si="11"/>
        <v>103</v>
      </c>
      <c r="B104" s="13">
        <v>11.0</v>
      </c>
      <c r="C104" s="90">
        <v>3.0</v>
      </c>
      <c r="D104" s="13" t="s">
        <v>386</v>
      </c>
      <c r="E104" s="179" t="str">
        <f>if(F104&lt;&gt;"",VLOOKUP(F104,'Teams-Conference, for lookup'!A:B,2,0),"")</f>
        <v>MAC</v>
      </c>
      <c r="F104" s="59" t="s">
        <v>444</v>
      </c>
      <c r="H104" s="97">
        <f t="shared" si="2"/>
        <v>1</v>
      </c>
      <c r="I104" s="97">
        <f>countif(E105:E124,E104)</f>
        <v>1</v>
      </c>
      <c r="J104" s="97">
        <f t="shared" si="12"/>
        <v>2</v>
      </c>
      <c r="K104" s="97">
        <f>countif(E85:E104,E106)</f>
        <v>2</v>
      </c>
      <c r="L104" s="2"/>
      <c r="M104" s="97">
        <f>IFERROR(__xludf.DUMMYFUNCTION("counta(iferror(filter(L$2:L103,E$2:E103=E104,L$2:L103&lt;L104)))"),0.0)</f>
        <v>0</v>
      </c>
      <c r="N104" s="97">
        <f>IFERROR(__xludf.DUMMYFUNCTION("counta(iferror(filter(L105:L$124,E105:E$124=E104,L105:L$125&gt;L104)))"),0.0)</f>
        <v>0</v>
      </c>
      <c r="O104" s="83">
        <f t="array" ref="O104:X104">XLOOKUP(F104,'Current Week'!B:B,'Current Week'!C:O)</f>
        <v>7</v>
      </c>
      <c r="P104" s="97">
        <v>5.0</v>
      </c>
      <c r="Q104" s="2"/>
      <c r="R104" s="2"/>
      <c r="S104" s="2"/>
      <c r="T104" s="2"/>
      <c r="U104" s="8"/>
      <c r="V104" s="2"/>
      <c r="W104" s="8"/>
      <c r="X104" s="2"/>
      <c r="Y104" s="2"/>
      <c r="Z104" s="2"/>
      <c r="AA104" s="86">
        <f t="shared" si="4"/>
        <v>0</v>
      </c>
      <c r="AB104" s="8">
        <f t="shared" si="5"/>
        <v>46</v>
      </c>
      <c r="AC104" s="8">
        <f>IFERROR(__xludf.DUMMYFUNCTION("iferror(COUNT(filter($O105:$O$386,$O105:$O$386&gt;$O104)))"),0.0)</f>
        <v>0</v>
      </c>
      <c r="AD104" s="16">
        <f t="shared" si="6"/>
        <v>1</v>
      </c>
      <c r="AE104" s="88">
        <f t="shared" si="7"/>
        <v>6</v>
      </c>
      <c r="AF104" s="2" t="str">
        <f>IFERROR(__xludf.DUMMYFUNCTION("iferror(join("","",index(sort(filter($F105:$F$387,$O105:$O$387&gt;$O104),2,false),0,1)))"),"")</f>
        <v/>
      </c>
      <c r="AG104" s="86">
        <f>IFERROR(__xludf.DUMMYFUNCTION("iferror($O104-max(filter($O104:$O$386,$E104:$E$386=$E$2)))"),1.0)</f>
        <v>1</v>
      </c>
      <c r="AH104" s="8">
        <f t="shared" si="8"/>
        <v>2</v>
      </c>
      <c r="AI104" s="8">
        <f>IFERROR(__xludf.DUMMYFUNCTION("iferror(COUNT(filter($O105:$O$386,$O105:$O$386&gt;$O104,$E104:$E$386=$E$2)))"),0.0)</f>
        <v>0</v>
      </c>
      <c r="AJ104" s="16">
        <f t="shared" si="9"/>
        <v>0</v>
      </c>
      <c r="AK104" s="88">
        <f>IFERROR(__xludf.DUMMYFUNCTION("iferror($O104-min(filter($O104:$O$386,$E104:$E$386=$E$2)))"),5.0)</f>
        <v>5</v>
      </c>
      <c r="AL104" s="2" t="str">
        <f>IFERROR(__xludf.DUMMYFUNCTION("iferror(join("","",index(sort(filter($F105:$F$386,$O105:$O$386&gt;$O104,$E105:$E$386=$E$2),2,false),0,1)))"),"")</f>
        <v/>
      </c>
      <c r="AM104" s="2" t="str">
        <f>IFERROR(__xludf.DUMMYFUNCTION("REGEXREPLACE(join("","",unique({let(conf_picked,filter(E$1:E103,D$1:D103=D104), byrow(unique(TRANSPOSe(Teams!$1:$1)),lambda(rw,if(ISERROR(match(rw,conf_picked,0)),rw,))));iferror(if(#REF!,,transpose(split(#REF!,"","",1,1))))})), ""^,"", """")"),"AAC,ACC,Big 12,Big Ten,CUSA,MAC,,SEC,Sun Belt")</f>
        <v>AAC,ACC,Big 12,Big Ten,CUSA,MAC,,SEC,Sun Belt</v>
      </c>
      <c r="AN104" s="86">
        <f>IFERROR(__xludf.DUMMYFUNCTION("iferror($O104-max(filter($O104:$O$386,arrayformula(isnumber(FIND($E104:$E$386,AM104))))))"),0.0)</f>
        <v>0</v>
      </c>
      <c r="AO104" s="8">
        <f t="array" ref="AO104">countifs($O$2:$O103,"&lt;"&amp;$O104,isnumber(FIND($E$2:$E103,AM104)),TRUE)</f>
        <v>36</v>
      </c>
      <c r="AP104" s="8">
        <f>IFERROR(__xludf.DUMMYFUNCTION("iferror(COUNT(filter($O105:$O$386,$O105:$O$386&gt;$O104,arrayformula(isnumber(FIND($E105:$E$386,AM104))))))"),0.0)</f>
        <v>0</v>
      </c>
      <c r="AQ104" s="16">
        <f t="shared" si="10"/>
        <v>1</v>
      </c>
      <c r="AR104" s="88">
        <f>IFERROR(__xludf.DUMMYFUNCTION("iferror($O104-min(filter($O104:$O$386,arrayformula(isnumber(FIND($E104:$E$386,AM104))))))"),5.0)</f>
        <v>5</v>
      </c>
      <c r="AS104" s="89" t="str">
        <f>IFERROR(__xludf.DUMMYFUNCTION("iferror(join("","",index(sort(filter($F105:$F$386,$O105:$O$386&gt;$O104,arrayformula(isnumber(FIND($E105:$E$386,AM104)))),2,false),0,1)))"),"")</f>
        <v/>
      </c>
    </row>
    <row r="105">
      <c r="A105" s="13">
        <f t="shared" si="11"/>
        <v>104</v>
      </c>
      <c r="B105" s="13">
        <v>11.0</v>
      </c>
      <c r="C105" s="90">
        <v>4.0</v>
      </c>
      <c r="D105" s="13" t="s">
        <v>386</v>
      </c>
      <c r="E105" s="179" t="str">
        <f>if(F105&lt;&gt;"",VLOOKUP(F105,'Teams-Conference, for lookup'!A:B,2,0),"")</f>
        <v>SEC</v>
      </c>
      <c r="F105" s="59" t="s">
        <v>445</v>
      </c>
      <c r="H105" s="97">
        <f t="shared" si="2"/>
        <v>2</v>
      </c>
      <c r="I105" s="97">
        <f>countif(E106:E124,E105)</f>
        <v>3</v>
      </c>
      <c r="J105" s="97">
        <f t="shared" si="12"/>
        <v>1</v>
      </c>
      <c r="K105" s="2"/>
      <c r="L105" s="2"/>
      <c r="M105" s="97">
        <f>IFERROR(__xludf.DUMMYFUNCTION("counta(iferror(filter(L$2:L104,E$2:E104=E105,L$2:L104&lt;L105)))"),0.0)</f>
        <v>0</v>
      </c>
      <c r="N105" s="97">
        <f>IFERROR(__xludf.DUMMYFUNCTION("counta(iferror(filter(L106:L$124,E106:E$124=E105,L106:L$125&gt;L105)))"),0.0)</f>
        <v>0</v>
      </c>
      <c r="O105" s="83">
        <f t="array" ref="O105:X105">XLOOKUP(F105,'Current Week'!B:B,'Current Week'!C:O)</f>
        <v>7</v>
      </c>
      <c r="P105" s="97">
        <v>5.0</v>
      </c>
      <c r="Q105" s="2"/>
      <c r="R105" s="2"/>
      <c r="S105" s="2"/>
      <c r="T105" s="8"/>
      <c r="U105" s="8"/>
      <c r="V105" s="2"/>
      <c r="W105" s="8"/>
      <c r="X105" s="2"/>
      <c r="Y105" s="2"/>
      <c r="Z105" s="2"/>
      <c r="AA105" s="86">
        <f t="shared" si="4"/>
        <v>0</v>
      </c>
      <c r="AB105" s="8">
        <f t="shared" si="5"/>
        <v>46</v>
      </c>
      <c r="AC105" s="8">
        <f>IFERROR(__xludf.DUMMYFUNCTION("iferror(COUNT(filter($O106:$O$386,$O106:$O$386&gt;$O105)))"),0.0)</f>
        <v>0</v>
      </c>
      <c r="AD105" s="16">
        <f t="shared" si="6"/>
        <v>1</v>
      </c>
      <c r="AE105" s="88">
        <f t="shared" si="7"/>
        <v>6</v>
      </c>
      <c r="AF105" s="2" t="str">
        <f>IFERROR(__xludf.DUMMYFUNCTION("iferror(join("","",index(sort(filter($F106:$F$387,$O106:$O$387&gt;$O105),2,false),0,1)))"),"")</f>
        <v/>
      </c>
      <c r="AG105" s="86">
        <f>IFERROR(__xludf.DUMMYFUNCTION("iferror($O105-max(filter($O105:$O$386,$E105:$E$386=$E$2)))"),1.0)</f>
        <v>1</v>
      </c>
      <c r="AH105" s="8">
        <f t="shared" si="8"/>
        <v>2</v>
      </c>
      <c r="AI105" s="8">
        <f>IFERROR(__xludf.DUMMYFUNCTION("iferror(COUNT(filter($O106:$O$386,$O106:$O$386&gt;$O105,$E105:$E$386=$E$2)))"),0.0)</f>
        <v>0</v>
      </c>
      <c r="AJ105" s="16">
        <f t="shared" si="9"/>
        <v>0</v>
      </c>
      <c r="AK105" s="88">
        <f>IFERROR(__xludf.DUMMYFUNCTION("iferror($O105-min(filter($O105:$O$386,$E105:$E$386=$E$2)))"),5.0)</f>
        <v>5</v>
      </c>
      <c r="AL105" s="2" t="str">
        <f>IFERROR(__xludf.DUMMYFUNCTION("iferror(join("","",index(sort(filter($F106:$F$386,$O106:$O$386&gt;$O105,$E106:$E$386=$E$2),2,false),0,1)))"),"")</f>
        <v/>
      </c>
      <c r="AM105" s="2" t="str">
        <f>IFERROR(__xludf.DUMMYFUNCTION("REGEXREPLACE(join("","",unique({let(conf_picked,filter(E$1:E104,D$1:D104=D105), byrow(unique(TRANSPOSe(Teams!$1:$1)),lambda(rw,if(ISERROR(match(rw,conf_picked,0)),rw,))));iferror(if(#REF!,,transpose(split(#REF!,"","",1,1))))})), ""^,"", """")"),"AAC,ACC,Big 12,Big Ten,CUSA,,SEC,Sun Belt")</f>
        <v>AAC,ACC,Big 12,Big Ten,CUSA,,SEC,Sun Belt</v>
      </c>
      <c r="AN105" s="86">
        <f>IFERROR(__xludf.DUMMYFUNCTION("iferror($O105-max(filter($O105:$O$386,arrayformula(isnumber(FIND($E105:$E$386,AM105))))))"),0.0)</f>
        <v>0</v>
      </c>
      <c r="AO105" s="8">
        <f t="array" ref="AO105">countifs($O$2:$O104,"&lt;"&amp;$O105,isnumber(FIND($E$2:$E104,AM105)),TRUE)</f>
        <v>29</v>
      </c>
      <c r="AP105" s="8">
        <f>IFERROR(__xludf.DUMMYFUNCTION("iferror(COUNT(filter($O106:$O$386,$O106:$O$386&gt;$O105,arrayformula(isnumber(FIND($E106:$E$386,AM105))))))"),0.0)</f>
        <v>0</v>
      </c>
      <c r="AQ105" s="16">
        <f t="shared" si="10"/>
        <v>1</v>
      </c>
      <c r="AR105" s="88">
        <f>IFERROR(__xludf.DUMMYFUNCTION("iferror($O105-min(filter($O105:$O$386,arrayformula(isnumber(FIND($E105:$E$386,AM105))))))"),5.0)</f>
        <v>5</v>
      </c>
      <c r="AS105" s="89" t="str">
        <f>IFERROR(__xludf.DUMMYFUNCTION("iferror(join("","",index(sort(filter($F106:$F$386,$O106:$O$386&gt;$O105,arrayformula(isnumber(FIND($E106:$E$386,AM105)))),2,false),0,1)))"),"")</f>
        <v/>
      </c>
    </row>
    <row r="106">
      <c r="A106" s="13">
        <f t="shared" si="11"/>
        <v>105</v>
      </c>
      <c r="B106" s="13">
        <v>11.0</v>
      </c>
      <c r="C106" s="90">
        <v>5.0</v>
      </c>
      <c r="D106" s="13" t="s">
        <v>386</v>
      </c>
      <c r="E106" s="179" t="str">
        <f>if(F106&lt;&gt;"",VLOOKUP(F106,'Teams-Conference, for lookup'!A:B,2,0),"")</f>
        <v>ACC</v>
      </c>
      <c r="F106" s="61" t="s">
        <v>446</v>
      </c>
      <c r="H106" s="97">
        <f t="shared" si="2"/>
        <v>0</v>
      </c>
      <c r="I106" s="97">
        <f>countif(E107:E124,E106)</f>
        <v>3</v>
      </c>
      <c r="J106" s="97">
        <f t="shared" si="12"/>
        <v>0</v>
      </c>
      <c r="K106" s="97">
        <f t="shared" ref="K106:K111" si="32">countif(E86:E106,E107)</f>
        <v>0</v>
      </c>
      <c r="L106" s="2"/>
      <c r="M106" s="97">
        <f>IFERROR(__xludf.DUMMYFUNCTION("counta(iferror(filter(L$2:L105,E$2:E105=E106,L$2:L105&lt;L106)))"),0.0)</f>
        <v>0</v>
      </c>
      <c r="N106" s="97">
        <f>IFERROR(__xludf.DUMMYFUNCTION("counta(iferror(filter(L107:L$124,E107:E$124=E106,L107:L$125&gt;L106)))"),0.0)</f>
        <v>0</v>
      </c>
      <c r="O106" s="83">
        <f t="array" ref="O106:X106">XLOOKUP(F106,'Current Week'!B:B,'Current Week'!C:O)</f>
        <v>6</v>
      </c>
      <c r="P106" s="97">
        <v>6.0</v>
      </c>
      <c r="Q106" s="2"/>
      <c r="R106" s="2"/>
      <c r="S106" s="2"/>
      <c r="T106" s="2"/>
      <c r="U106" s="8"/>
      <c r="V106" s="2"/>
      <c r="W106" s="8"/>
      <c r="X106" s="2"/>
      <c r="Y106" s="2"/>
      <c r="Z106" s="2"/>
      <c r="AA106" s="86">
        <f t="shared" si="4"/>
        <v>0</v>
      </c>
      <c r="AB106" s="8">
        <f t="shared" si="5"/>
        <v>37</v>
      </c>
      <c r="AC106" s="8">
        <f>IFERROR(__xludf.DUMMYFUNCTION("iferror(COUNT(filter($O107:$O$386,$O107:$O$386&gt;$O106)))"),0.0)</f>
        <v>0</v>
      </c>
      <c r="AD106" s="16">
        <f t="shared" si="6"/>
        <v>1</v>
      </c>
      <c r="AE106" s="88">
        <f t="shared" si="7"/>
        <v>5</v>
      </c>
      <c r="AF106" s="2" t="str">
        <f>IFERROR(__xludf.DUMMYFUNCTION("iferror(join("","",index(sort(filter($F107:$F$387,$O107:$O$387&gt;$O106),2,false),0,1)))"),"")</f>
        <v/>
      </c>
      <c r="AG106" s="86">
        <f>IFERROR(__xludf.DUMMYFUNCTION("iferror($O106-max(filter($O106:$O$386,$E106:$E$386=$E$2)))"),0.0)</f>
        <v>0</v>
      </c>
      <c r="AH106" s="8">
        <f t="shared" si="8"/>
        <v>0</v>
      </c>
      <c r="AI106" s="8">
        <f>IFERROR(__xludf.DUMMYFUNCTION("iferror(COUNT(filter($O107:$O$386,$O107:$O$386&gt;$O106,$E106:$E$386=$E$2)))"),0.0)</f>
        <v>0</v>
      </c>
      <c r="AJ106" s="16">
        <f t="shared" si="9"/>
        <v>1</v>
      </c>
      <c r="AK106" s="88">
        <f>IFERROR(__xludf.DUMMYFUNCTION("iferror($O106-min(filter($O106:$O$386,$E106:$E$386=$E$2)))"),4.0)</f>
        <v>4</v>
      </c>
      <c r="AL106" s="2" t="str">
        <f>IFERROR(__xludf.DUMMYFUNCTION("iferror(join("","",index(sort(filter($F107:$F$386,$O107:$O$386&gt;$O106,$E107:$E$386=$E$2),2,false),0,1)))"),"")</f>
        <v/>
      </c>
      <c r="AM106" s="2" t="str">
        <f>IFERROR(__xludf.DUMMYFUNCTION("REGEXREPLACE(join("","",unique({let(conf_picked,filter(E$1:E105,D$1:D105=D106), byrow(unique(TRANSPOSe(Teams!$1:$1)),lambda(rw,if(ISERROR(match(rw,conf_picked,0)),rw,))));iferror(if(#REF!,,transpose(split(#REF!,"","",1,1))))})), ""^,"", """")"),"AAC,ACC,Big 12,Big Ten,CUSA,,Sun Belt")</f>
        <v>AAC,ACC,Big 12,Big Ten,CUSA,,Sun Belt</v>
      </c>
      <c r="AN106" s="86">
        <f>IFERROR(__xludf.DUMMYFUNCTION("iferror($O106-max(filter($O106:$O$386,arrayformula(isnumber(FIND($E106:$E$386,AM106))))))"),0.0)</f>
        <v>0</v>
      </c>
      <c r="AO106" s="8">
        <f t="array" ref="AO106">countifs($O$2:$O105,"&lt;"&amp;$O106,isnumber(FIND($E$2:$E105,AM106)),TRUE)</f>
        <v>19</v>
      </c>
      <c r="AP106" s="8">
        <f>IFERROR(__xludf.DUMMYFUNCTION("iferror(COUNT(filter($O107:$O$386,$O107:$O$386&gt;$O106,arrayformula(isnumber(FIND($E107:$E$386,AM106))))))"),0.0)</f>
        <v>0</v>
      </c>
      <c r="AQ106" s="16">
        <f t="shared" si="10"/>
        <v>1</v>
      </c>
      <c r="AR106" s="88">
        <f>IFERROR(__xludf.DUMMYFUNCTION("iferror($O106-min(filter($O106:$O$386,arrayformula(isnumber(FIND($E106:$E$386,AM106))))))"),4.0)</f>
        <v>4</v>
      </c>
      <c r="AS106" s="89" t="str">
        <f>IFERROR(__xludf.DUMMYFUNCTION("iferror(join("","",index(sort(filter($F107:$F$386,$O107:$O$386&gt;$O106,arrayformula(isnumber(FIND($E107:$E$386,AM106)))),2,false),0,1)))"),"")</f>
        <v/>
      </c>
    </row>
    <row r="107">
      <c r="A107" s="13">
        <f t="shared" si="11"/>
        <v>106</v>
      </c>
      <c r="B107" s="13">
        <v>11.0</v>
      </c>
      <c r="C107" s="90">
        <v>6.0</v>
      </c>
      <c r="D107" s="13" t="s">
        <v>386</v>
      </c>
      <c r="E107" s="179" t="str">
        <f>if(F107&lt;&gt;"",VLOOKUP(F107,'Teams-Conference, for lookup'!A:B,2,0),"")</f>
        <v>Big Ten</v>
      </c>
      <c r="F107" s="59" t="s">
        <v>447</v>
      </c>
      <c r="H107" s="97">
        <f t="shared" si="2"/>
        <v>1</v>
      </c>
      <c r="I107" s="97">
        <f>countif(E108:E124,E107)</f>
        <v>3</v>
      </c>
      <c r="J107" s="97">
        <f t="shared" si="12"/>
        <v>0</v>
      </c>
      <c r="K107" s="97">
        <f t="shared" si="32"/>
        <v>1</v>
      </c>
      <c r="L107" s="2"/>
      <c r="M107" s="97">
        <f>IFERROR(__xludf.DUMMYFUNCTION("counta(iferror(filter(L$2:L106,E$2:E106=E107,L$2:L106&lt;L107)))"),0.0)</f>
        <v>0</v>
      </c>
      <c r="N107" s="97">
        <f>IFERROR(__xludf.DUMMYFUNCTION("counta(iferror(filter(L108:L$124,E108:E$124=E107,L108:L$125&gt;L107)))"),0.0)</f>
        <v>0</v>
      </c>
      <c r="O107" s="83">
        <f t="array" ref="O107:X107">XLOOKUP(F107,'Current Week'!B:B,'Current Week'!C:O)</f>
        <v>6</v>
      </c>
      <c r="P107" s="97">
        <v>6.0</v>
      </c>
      <c r="Q107" s="2"/>
      <c r="R107" s="2"/>
      <c r="S107" s="2"/>
      <c r="T107" s="2"/>
      <c r="U107" s="8"/>
      <c r="V107" s="2"/>
      <c r="W107" s="8"/>
      <c r="X107" s="2"/>
      <c r="Y107" s="2"/>
      <c r="Z107" s="2"/>
      <c r="AA107" s="86">
        <f t="shared" si="4"/>
        <v>0</v>
      </c>
      <c r="AB107" s="8">
        <f t="shared" si="5"/>
        <v>37</v>
      </c>
      <c r="AC107" s="8">
        <f>IFERROR(__xludf.DUMMYFUNCTION("iferror(COUNT(filter($O108:$O$386,$O108:$O$386&gt;$O107)))"),0.0)</f>
        <v>0</v>
      </c>
      <c r="AD107" s="16">
        <f t="shared" si="6"/>
        <v>1</v>
      </c>
      <c r="AE107" s="88">
        <f t="shared" si="7"/>
        <v>5</v>
      </c>
      <c r="AF107" s="2" t="str">
        <f>IFERROR(__xludf.DUMMYFUNCTION("iferror(join("","",index(sort(filter($F108:$F$387,$O108:$O$387&gt;$O107),2,false),0,1)))"),"")</f>
        <v/>
      </c>
      <c r="AG107" s="86">
        <f>IFERROR(__xludf.DUMMYFUNCTION("iferror($O107-max(filter($O107:$O$386,$E107:$E$386=$E$2)))"),2.0)</f>
        <v>2</v>
      </c>
      <c r="AH107" s="8">
        <f t="shared" si="8"/>
        <v>0</v>
      </c>
      <c r="AI107" s="8">
        <f>IFERROR(__xludf.DUMMYFUNCTION("iferror(COUNT(filter($O108:$O$386,$O108:$O$386&gt;$O107,$E107:$E$386=$E$2)))"),0.0)</f>
        <v>0</v>
      </c>
      <c r="AJ107" s="16">
        <f t="shared" si="9"/>
        <v>0</v>
      </c>
      <c r="AK107" s="88">
        <f>IFERROR(__xludf.DUMMYFUNCTION("iferror($O107-min(filter($O107:$O$386,$E107:$E$386=$E$2)))"),4.0)</f>
        <v>4</v>
      </c>
      <c r="AL107" s="2" t="str">
        <f>IFERROR(__xludf.DUMMYFUNCTION("iferror(join("","",index(sort(filter($F108:$F$386,$O108:$O$386&gt;$O107,$E108:$E$386=$E$2),2,false),0,1)))"),"")</f>
        <v/>
      </c>
      <c r="AM107" s="2" t="str">
        <f>IFERROR(__xludf.DUMMYFUNCTION("REGEXREPLACE(join("","",unique({let(conf_picked,filter(E$1:E106,D$1:D106=D107), byrow(unique(TRANSPOSe(Teams!$1:$1)),lambda(rw,if(ISERROR(match(rw,conf_picked,0)),rw,))));iferror(if(#REF!,,transpose(split(#REF!,"","",1,1))))})), ""^,"", """")"),"AAC,,Big 12,Big Ten,CUSA,Sun Belt")</f>
        <v>AAC,,Big 12,Big Ten,CUSA,Sun Belt</v>
      </c>
      <c r="AN107" s="86">
        <f>IFERROR(__xludf.DUMMYFUNCTION("iferror($O107-max(filter($O107:$O$386,arrayformula(isnumber(FIND($E107:$E$386,AM107))))))"),0.0)</f>
        <v>0</v>
      </c>
      <c r="AO107" s="8">
        <f t="array" ref="AO107">countifs($O$2:$O106,"&lt;"&amp;$O107,isnumber(FIND($E$2:$E106,AM107)),TRUE)</f>
        <v>19</v>
      </c>
      <c r="AP107" s="8">
        <f>IFERROR(__xludf.DUMMYFUNCTION("iferror(COUNT(filter($O108:$O$386,$O108:$O$386&gt;$O107,arrayformula(isnumber(FIND($E108:$E$386,AM107))))))"),0.0)</f>
        <v>0</v>
      </c>
      <c r="AQ107" s="16">
        <f t="shared" si="10"/>
        <v>1</v>
      </c>
      <c r="AR107" s="88">
        <f>IFERROR(__xludf.DUMMYFUNCTION("iferror($O107-min(filter($O107:$O$386,arrayformula(isnumber(FIND($E107:$E$386,AM107))))))"),4.0)</f>
        <v>4</v>
      </c>
      <c r="AS107" s="89" t="str">
        <f>IFERROR(__xludf.DUMMYFUNCTION("iferror(join("","",index(sort(filter($F108:$F$386,$O108:$O$386&gt;$O107,arrayformula(isnumber(FIND($E108:$E$386,AM107)))),2,false),0,1)))"),"")</f>
        <v/>
      </c>
    </row>
    <row r="108">
      <c r="A108" s="13">
        <f t="shared" si="11"/>
        <v>107</v>
      </c>
      <c r="B108" s="13">
        <v>11.0</v>
      </c>
      <c r="C108" s="90">
        <v>7.0</v>
      </c>
      <c r="D108" s="13" t="s">
        <v>386</v>
      </c>
      <c r="E108" s="179" t="str">
        <f>if(F108&lt;&gt;"",VLOOKUP(F108,'Teams-Conference, for lookup'!A:B,2,0),"")</f>
        <v>Big Ten</v>
      </c>
      <c r="F108" s="59" t="s">
        <v>448</v>
      </c>
      <c r="H108" s="97">
        <f t="shared" si="2"/>
        <v>0</v>
      </c>
      <c r="I108" s="97">
        <f>countif(E109:E124,E108)</f>
        <v>2</v>
      </c>
      <c r="J108" s="97">
        <f t="shared" si="12"/>
        <v>1</v>
      </c>
      <c r="K108" s="97">
        <f t="shared" si="32"/>
        <v>3</v>
      </c>
      <c r="L108" s="2"/>
      <c r="M108" s="97">
        <f>IFERROR(__xludf.DUMMYFUNCTION("counta(iferror(filter(L$2:L107,E$2:E107=E108,L$2:L107&lt;L108)))"),0.0)</f>
        <v>0</v>
      </c>
      <c r="N108" s="97">
        <f>IFERROR(__xludf.DUMMYFUNCTION("counta(iferror(filter(L109:L$124,E109:E$124=E108,L109:L$125&gt;L108)))"),0.0)</f>
        <v>0</v>
      </c>
      <c r="O108" s="83">
        <f t="array" ref="O108:X108">XLOOKUP(F108,'Current Week'!B:B,'Current Week'!C:O)</f>
        <v>6</v>
      </c>
      <c r="P108" s="97">
        <v>6.0</v>
      </c>
      <c r="Q108" s="2"/>
      <c r="R108" s="2"/>
      <c r="S108" s="2"/>
      <c r="T108" s="2"/>
      <c r="U108" s="8"/>
      <c r="V108" s="2"/>
      <c r="W108" s="8"/>
      <c r="X108" s="2"/>
      <c r="Y108" s="2"/>
      <c r="Z108" s="2"/>
      <c r="AA108" s="86">
        <f t="shared" si="4"/>
        <v>0</v>
      </c>
      <c r="AB108" s="8">
        <f t="shared" si="5"/>
        <v>37</v>
      </c>
      <c r="AC108" s="8">
        <f>IFERROR(__xludf.DUMMYFUNCTION("iferror(COUNT(filter($O109:$O$386,$O109:$O$386&gt;$O108)))"),0.0)</f>
        <v>0</v>
      </c>
      <c r="AD108" s="16">
        <f t="shared" si="6"/>
        <v>1</v>
      </c>
      <c r="AE108" s="88">
        <f t="shared" si="7"/>
        <v>5</v>
      </c>
      <c r="AF108" s="2" t="str">
        <f>IFERROR(__xludf.DUMMYFUNCTION("iferror(join("","",index(sort(filter($F109:$F$387,$O109:$O$387&gt;$O108),2,false),0,1)))"),"")</f>
        <v/>
      </c>
      <c r="AG108" s="86">
        <f>IFERROR(__xludf.DUMMYFUNCTION("iferror($O108-max(filter($O108:$O$386,$E108:$E$386=$E$2)))"),2.0)</f>
        <v>2</v>
      </c>
      <c r="AH108" s="8">
        <f t="shared" si="8"/>
        <v>0</v>
      </c>
      <c r="AI108" s="8">
        <f>IFERROR(__xludf.DUMMYFUNCTION("iferror(COUNT(filter($O109:$O$386,$O109:$O$386&gt;$O108,$E108:$E$386=$E$2)))"),0.0)</f>
        <v>0</v>
      </c>
      <c r="AJ108" s="16">
        <f t="shared" si="9"/>
        <v>0</v>
      </c>
      <c r="AK108" s="88">
        <f>IFERROR(__xludf.DUMMYFUNCTION("iferror($O108-min(filter($O108:$O$386,$E108:$E$386=$E$2)))"),4.0)</f>
        <v>4</v>
      </c>
      <c r="AL108" s="2" t="str">
        <f>IFERROR(__xludf.DUMMYFUNCTION("iferror(join("","",index(sort(filter($F109:$F$386,$O109:$O$386&gt;$O108,$E109:$E$386=$E$2),2,false),0,1)))"),"")</f>
        <v/>
      </c>
      <c r="AM108" s="2" t="str">
        <f>IFERROR(__xludf.DUMMYFUNCTION("REGEXREPLACE(join("","",unique({let(conf_picked,filter(E$1:E107,D$1:D107=D108), byrow(unique(TRANSPOSe(Teams!$1:$1)),lambda(rw,if(ISERROR(match(rw,conf_picked,0)),rw,))));iferror(if(#REF!,,transpose(split(#REF!,"","",1,1))))})), ""^,"", """")"),"AAC,,Big 12,CUSA,Sun Belt")</f>
        <v>AAC,,Big 12,CUSA,Sun Belt</v>
      </c>
      <c r="AN108" s="86">
        <f>IFERROR(__xludf.DUMMYFUNCTION("iferror($O108-max(filter($O108:$O$386,arrayformula(isnumber(FIND($E108:$E$386,AM108))))))"),1.0)</f>
        <v>1</v>
      </c>
      <c r="AO108" s="8">
        <f t="array" ref="AO108">countifs($O$2:$O107,"&lt;"&amp;$O108,isnumber(FIND($E$2:$E107,AM108)),TRUE)</f>
        <v>17</v>
      </c>
      <c r="AP108" s="8">
        <f>IFERROR(__xludf.DUMMYFUNCTION("iferror(COUNT(filter($O109:$O$386,$O109:$O$386&gt;$O108,arrayformula(isnumber(FIND($E109:$E$386,AM108))))))"),0.0)</f>
        <v>0</v>
      </c>
      <c r="AQ108" s="16">
        <f t="shared" si="10"/>
        <v>0</v>
      </c>
      <c r="AR108" s="88">
        <f>IFERROR(__xludf.DUMMYFUNCTION("iferror($O108-min(filter($O108:$O$386,arrayformula(isnumber(FIND($E108:$E$386,AM108))))))"),2.0)</f>
        <v>2</v>
      </c>
      <c r="AS108" s="89" t="str">
        <f>IFERROR(__xludf.DUMMYFUNCTION("iferror(join("","",index(sort(filter($F109:$F$386,$O109:$O$386&gt;$O108,arrayformula(isnumber(FIND($E109:$E$386,AM108)))),2,false),0,1)))"),"")</f>
        <v/>
      </c>
    </row>
    <row r="109">
      <c r="A109" s="13">
        <f t="shared" si="11"/>
        <v>108</v>
      </c>
      <c r="B109" s="13">
        <v>11.0</v>
      </c>
      <c r="C109" s="90">
        <v>8.0</v>
      </c>
      <c r="D109" s="13" t="s">
        <v>386</v>
      </c>
      <c r="E109" s="179" t="str">
        <f>if(F109&lt;&gt;"",VLOOKUP(F109,'Teams-Conference, for lookup'!A:B,2,0),"")</f>
        <v>MAC</v>
      </c>
      <c r="F109" s="46" t="s">
        <v>449</v>
      </c>
      <c r="H109" s="97">
        <f t="shared" si="2"/>
        <v>0</v>
      </c>
      <c r="I109" s="97">
        <f>countif(E110:E124,E109)</f>
        <v>0</v>
      </c>
      <c r="J109" s="97">
        <f t="shared" si="12"/>
        <v>2</v>
      </c>
      <c r="K109" s="97">
        <f t="shared" si="32"/>
        <v>2</v>
      </c>
      <c r="L109" s="2"/>
      <c r="M109" s="97">
        <f>IFERROR(__xludf.DUMMYFUNCTION("counta(iferror(filter(L$2:L108,E$2:E108=E109,L$2:L108&lt;L109)))"),0.0)</f>
        <v>0</v>
      </c>
      <c r="N109" s="97">
        <f>IFERROR(__xludf.DUMMYFUNCTION("counta(iferror(filter(L110:L$124,E110:E$124=E109,L110:L$125&gt;L109)))"),0.0)</f>
        <v>0</v>
      </c>
      <c r="O109" s="83">
        <f t="array" ref="O109:X109">XLOOKUP(F109,'Current Week'!B:B,'Current Week'!C:O)</f>
        <v>6</v>
      </c>
      <c r="P109" s="97">
        <v>6.0</v>
      </c>
      <c r="Q109" s="2"/>
      <c r="R109" s="2"/>
      <c r="S109" s="2"/>
      <c r="T109" s="2"/>
      <c r="U109" s="8"/>
      <c r="V109" s="2"/>
      <c r="W109" s="8"/>
      <c r="X109" s="2"/>
      <c r="Y109" s="2"/>
      <c r="Z109" s="2"/>
      <c r="AA109" s="86">
        <f t="shared" si="4"/>
        <v>0</v>
      </c>
      <c r="AB109" s="8">
        <f t="shared" si="5"/>
        <v>37</v>
      </c>
      <c r="AC109" s="8">
        <f>IFERROR(__xludf.DUMMYFUNCTION("iferror(COUNT(filter($O110:$O$386,$O110:$O$386&gt;$O109)))"),0.0)</f>
        <v>0</v>
      </c>
      <c r="AD109" s="16">
        <f t="shared" si="6"/>
        <v>1</v>
      </c>
      <c r="AE109" s="88">
        <f t="shared" si="7"/>
        <v>5</v>
      </c>
      <c r="AF109" s="2" t="str">
        <f>IFERROR(__xludf.DUMMYFUNCTION("iferror(join("","",index(sort(filter($F110:$F$387,$O110:$O$387&gt;$O109),2,false),0,1)))"),"")</f>
        <v/>
      </c>
      <c r="AG109" s="86">
        <f>IFERROR(__xludf.DUMMYFUNCTION("iferror($O109-max(filter($O109:$O$386,$E109:$E$386=$E$2)))"),2.0)</f>
        <v>2</v>
      </c>
      <c r="AH109" s="8">
        <f t="shared" si="8"/>
        <v>0</v>
      </c>
      <c r="AI109" s="8">
        <f>IFERROR(__xludf.DUMMYFUNCTION("iferror(COUNT(filter($O110:$O$386,$O110:$O$386&gt;$O109,$E109:$E$386=$E$2)))"),0.0)</f>
        <v>0</v>
      </c>
      <c r="AJ109" s="16">
        <f t="shared" si="9"/>
        <v>0</v>
      </c>
      <c r="AK109" s="88">
        <f>IFERROR(__xludf.DUMMYFUNCTION("iferror($O109-min(filter($O109:$O$386,$E109:$E$386=$E$2)))"),4.0)</f>
        <v>4</v>
      </c>
      <c r="AL109" s="2" t="str">
        <f>IFERROR(__xludf.DUMMYFUNCTION("iferror(join("","",index(sort(filter($F110:$F$386,$O110:$O$386&gt;$O109,$E110:$E$386=$E$2),2,false),0,1)))"),"")</f>
        <v/>
      </c>
      <c r="AM109" s="2" t="str">
        <f>IFERROR(__xludf.DUMMYFUNCTION("REGEXREPLACE(join("","",unique({let(conf_picked,filter(E$1:E108,D$1:D108=D109), byrow(unique(TRANSPOSe(Teams!$1:$1)),lambda(rw,if(ISERROR(match(rw,conf_picked,0)),rw,))));iferror(if(#REF!,,transpose(split(#REF!,"","",1,1))))})), ""^,"", """")"),"AAC,,Big 12,CUSA,Sun Belt")</f>
        <v>AAC,,Big 12,CUSA,Sun Belt</v>
      </c>
      <c r="AN109" s="86">
        <f>IFERROR(__xludf.DUMMYFUNCTION("iferror($O109-max(filter($O109:$O$386,arrayformula(isnumber(FIND($E109:$E$386,AM109))))))"),1.0)</f>
        <v>1</v>
      </c>
      <c r="AO109" s="8">
        <f t="array" ref="AO109">countifs($O$2:$O108,"&lt;"&amp;$O109,isnumber(FIND($E$2:$E108,AM109)),TRUE)</f>
        <v>17</v>
      </c>
      <c r="AP109" s="8">
        <f>IFERROR(__xludf.DUMMYFUNCTION("iferror(COUNT(filter($O110:$O$386,$O110:$O$386&gt;$O109,arrayformula(isnumber(FIND($E110:$E$386,AM109))))))"),0.0)</f>
        <v>0</v>
      </c>
      <c r="AQ109" s="16">
        <f t="shared" si="10"/>
        <v>0</v>
      </c>
      <c r="AR109" s="88">
        <f>IFERROR(__xludf.DUMMYFUNCTION("iferror($O109-min(filter($O109:$O$386,arrayformula(isnumber(FIND($E109:$E$386,AM109))))))"),2.0)</f>
        <v>2</v>
      </c>
      <c r="AS109" s="89" t="str">
        <f>IFERROR(__xludf.DUMMYFUNCTION("iferror(join("","",index(sort(filter($F110:$F$386,$O110:$O$386&gt;$O109,arrayformula(isnumber(FIND($E110:$E$386,AM109)))),2,false),0,1)))"),"")</f>
        <v/>
      </c>
    </row>
    <row r="110">
      <c r="A110" s="13">
        <f t="shared" si="11"/>
        <v>109</v>
      </c>
      <c r="B110" s="13">
        <v>11.0</v>
      </c>
      <c r="C110" s="90">
        <v>9.0</v>
      </c>
      <c r="D110" s="13" t="s">
        <v>386</v>
      </c>
      <c r="E110" s="179" t="str">
        <f>if(F110&lt;&gt;"",VLOOKUP(F110,'Teams-Conference, for lookup'!A:B,2,0),"")</f>
        <v>SEC</v>
      </c>
      <c r="F110" s="59" t="s">
        <v>450</v>
      </c>
      <c r="H110" s="97">
        <f t="shared" si="2"/>
        <v>1</v>
      </c>
      <c r="I110" s="97">
        <f t="shared" ref="I110:I124" si="33">countif(E111:E124,E110)</f>
        <v>2</v>
      </c>
      <c r="J110" s="97">
        <f t="shared" si="12"/>
        <v>2</v>
      </c>
      <c r="K110" s="97">
        <f t="shared" si="32"/>
        <v>3</v>
      </c>
      <c r="L110" s="2"/>
      <c r="M110" s="97">
        <f>IFERROR(__xludf.DUMMYFUNCTION("counta(iferror(filter(L$2:L109,E$2:E109=E110,L$2:L109&lt;L110)))"),0.0)</f>
        <v>0</v>
      </c>
      <c r="N110" s="97">
        <f>IFERROR(__xludf.DUMMYFUNCTION("counta(iferror(filter(L111:L$124,E111:E$124=E110,L111:L$125&gt;L110)))"),0.0)</f>
        <v>0</v>
      </c>
      <c r="O110" s="83">
        <f t="array" ref="O110:X110">XLOOKUP(F110,'Current Week'!B:B,'Current Week'!C:O)</f>
        <v>6</v>
      </c>
      <c r="P110" s="97">
        <v>6.0</v>
      </c>
      <c r="Q110" s="2"/>
      <c r="R110" s="2"/>
      <c r="S110" s="2"/>
      <c r="T110" s="2"/>
      <c r="U110" s="8"/>
      <c r="V110" s="2"/>
      <c r="W110" s="8"/>
      <c r="X110" s="2"/>
      <c r="Y110" s="2"/>
      <c r="Z110" s="2"/>
      <c r="AA110" s="86">
        <f t="shared" si="4"/>
        <v>0</v>
      </c>
      <c r="AB110" s="8">
        <f t="shared" si="5"/>
        <v>37</v>
      </c>
      <c r="AC110" s="8">
        <f>IFERROR(__xludf.DUMMYFUNCTION("iferror(COUNT(filter($O111:$O$386,$O111:$O$386&gt;$O110)))"),0.0)</f>
        <v>0</v>
      </c>
      <c r="AD110" s="16">
        <f t="shared" si="6"/>
        <v>1</v>
      </c>
      <c r="AE110" s="88">
        <f t="shared" si="7"/>
        <v>5</v>
      </c>
      <c r="AF110" s="2" t="str">
        <f>IFERROR(__xludf.DUMMYFUNCTION("iferror(join("","",index(sort(filter($F111:$F$387,$O111:$O$387&gt;$O110),2,false),0,1)))"),"")</f>
        <v/>
      </c>
      <c r="AG110" s="86">
        <f>IFERROR(__xludf.DUMMYFUNCTION("iferror($O110-max(filter($O110:$O$386,$E110:$E$386=$E$2)))"),2.0)</f>
        <v>2</v>
      </c>
      <c r="AH110" s="8">
        <f t="shared" si="8"/>
        <v>0</v>
      </c>
      <c r="AI110" s="8">
        <f>IFERROR(__xludf.DUMMYFUNCTION("iferror(COUNT(filter($O111:$O$386,$O111:$O$386&gt;$O110,$E110:$E$386=$E$2)))"),0.0)</f>
        <v>0</v>
      </c>
      <c r="AJ110" s="16">
        <f t="shared" si="9"/>
        <v>0</v>
      </c>
      <c r="AK110" s="88">
        <f>IFERROR(__xludf.DUMMYFUNCTION("iferror($O110-min(filter($O110:$O$386,$E110:$E$386=$E$2)))"),4.0)</f>
        <v>4</v>
      </c>
      <c r="AL110" s="2" t="str">
        <f>IFERROR(__xludf.DUMMYFUNCTION("iferror(join("","",index(sort(filter($F111:$F$386,$O111:$O$386&gt;$O110,$E111:$E$386=$E$2),2,false),0,1)))"),"")</f>
        <v/>
      </c>
      <c r="AM110" s="2" t="str">
        <f>IFERROR(__xludf.DUMMYFUNCTION("REGEXREPLACE(join("","",unique({let(conf_picked,filter(E$1:E109,D$1:D109=D110), byrow(unique(TRANSPOSe(Teams!$1:$1)),lambda(rw,if(ISERROR(match(rw,conf_picked,0)),rw,))));iferror(if(#REF!,,transpose(split(#REF!,"","",1,1))))})), ""^,"", """")"),"AAC,,Big 12,CUSA,Sun Belt")</f>
        <v>AAC,,Big 12,CUSA,Sun Belt</v>
      </c>
      <c r="AN110" s="86">
        <f>IFERROR(__xludf.DUMMYFUNCTION("iferror($O110-max(filter($O110:$O$386,arrayformula(isnumber(FIND($E110:$E$386,AM110))))))"),1.0)</f>
        <v>1</v>
      </c>
      <c r="AO110" s="8">
        <f t="array" ref="AO110">countifs($O$2:$O109,"&lt;"&amp;$O110,isnumber(FIND($E$2:$E109,AM110)),TRUE)</f>
        <v>17</v>
      </c>
      <c r="AP110" s="8">
        <f>IFERROR(__xludf.DUMMYFUNCTION("iferror(COUNT(filter($O111:$O$386,$O111:$O$386&gt;$O110,arrayformula(isnumber(FIND($E111:$E$386,AM110))))))"),0.0)</f>
        <v>0</v>
      </c>
      <c r="AQ110" s="16">
        <f t="shared" si="10"/>
        <v>0</v>
      </c>
      <c r="AR110" s="88">
        <f>IFERROR(__xludf.DUMMYFUNCTION("iferror($O110-min(filter($O110:$O$386,arrayformula(isnumber(FIND($E110:$E$386,AM110))))))"),2.0)</f>
        <v>2</v>
      </c>
      <c r="AS110" s="89" t="str">
        <f>IFERROR(__xludf.DUMMYFUNCTION("iferror(join("","",index(sort(filter($F111:$F$386,$O111:$O$386&gt;$O110,arrayformula(isnumber(FIND($E111:$E$386,AM110)))),2,false),0,1)))"),"")</f>
        <v/>
      </c>
    </row>
    <row r="111">
      <c r="A111" s="13">
        <f t="shared" si="11"/>
        <v>110</v>
      </c>
      <c r="B111" s="13">
        <v>11.0</v>
      </c>
      <c r="C111" s="90">
        <v>10.0</v>
      </c>
      <c r="D111" s="13" t="s">
        <v>386</v>
      </c>
      <c r="E111" s="179" t="str">
        <f>if(F111&lt;&gt;"",VLOOKUP(F111,'Teams-Conference, for lookup'!A:B,2,0),"")</f>
        <v>SEC</v>
      </c>
      <c r="F111" s="59" t="s">
        <v>451</v>
      </c>
      <c r="H111" s="97">
        <f t="shared" si="2"/>
        <v>1</v>
      </c>
      <c r="I111" s="97">
        <f t="shared" si="33"/>
        <v>1</v>
      </c>
      <c r="J111" s="97">
        <f t="shared" si="12"/>
        <v>2</v>
      </c>
      <c r="K111" s="97">
        <f t="shared" si="32"/>
        <v>2</v>
      </c>
      <c r="L111" s="2"/>
      <c r="M111" s="97">
        <f>IFERROR(__xludf.DUMMYFUNCTION("counta(iferror(filter(L$2:L110,E$2:E110=E111,L$2:L110&lt;L111)))"),0.0)</f>
        <v>0</v>
      </c>
      <c r="N111" s="97">
        <f>IFERROR(__xludf.DUMMYFUNCTION("counta(iferror(filter(L112:L$124,E112:E$124=E111,L112:L$125&gt;L111)))"),0.0)</f>
        <v>0</v>
      </c>
      <c r="O111" s="83">
        <f t="array" ref="O111:X111">XLOOKUP(F111,'Current Week'!B:B,'Current Week'!C:O)</f>
        <v>6</v>
      </c>
      <c r="P111" s="97">
        <v>6.0</v>
      </c>
      <c r="Q111" s="2"/>
      <c r="R111" s="2"/>
      <c r="S111" s="2"/>
      <c r="T111" s="8"/>
      <c r="U111" s="8"/>
      <c r="V111" s="2"/>
      <c r="W111" s="8"/>
      <c r="X111" s="2"/>
      <c r="Y111" s="2"/>
      <c r="Z111" s="2"/>
      <c r="AA111" s="86">
        <f t="shared" si="4"/>
        <v>0</v>
      </c>
      <c r="AB111" s="8">
        <f t="shared" si="5"/>
        <v>37</v>
      </c>
      <c r="AC111" s="8">
        <f>IFERROR(__xludf.DUMMYFUNCTION("iferror(COUNT(filter($O112:$O$386,$O112:$O$386&gt;$O111)))"),0.0)</f>
        <v>0</v>
      </c>
      <c r="AD111" s="16">
        <f t="shared" si="6"/>
        <v>1</v>
      </c>
      <c r="AE111" s="88">
        <f t="shared" si="7"/>
        <v>5</v>
      </c>
      <c r="AF111" s="2" t="str">
        <f>IFERROR(__xludf.DUMMYFUNCTION("iferror(join("","",index(sort(filter($F112:$F$387,$O112:$O$387&gt;$O111),2,false),0,1)))"),"")</f>
        <v/>
      </c>
      <c r="AG111" s="86">
        <f>IFERROR(__xludf.DUMMYFUNCTION("iferror($O111-max(filter($O111:$O$386,$E111:$E$386=$E$2)))"),2.0)</f>
        <v>2</v>
      </c>
      <c r="AH111" s="8">
        <f t="shared" si="8"/>
        <v>0</v>
      </c>
      <c r="AI111" s="8">
        <f>IFERROR(__xludf.DUMMYFUNCTION("iferror(COUNT(filter($O112:$O$386,$O112:$O$386&gt;$O111,$E111:$E$386=$E$2)))"),0.0)</f>
        <v>0</v>
      </c>
      <c r="AJ111" s="16">
        <f t="shared" si="9"/>
        <v>0</v>
      </c>
      <c r="AK111" s="88">
        <f>IFERROR(__xludf.DUMMYFUNCTION("iferror($O111-min(filter($O111:$O$386,$E111:$E$386=$E$2)))"),4.0)</f>
        <v>4</v>
      </c>
      <c r="AL111" s="2" t="str">
        <f>IFERROR(__xludf.DUMMYFUNCTION("iferror(join("","",index(sort(filter($F112:$F$386,$O112:$O$386&gt;$O111,$E112:$E$386=$E$2),2,false),0,1)))"),"")</f>
        <v/>
      </c>
      <c r="AM111" s="2" t="str">
        <f>IFERROR(__xludf.DUMMYFUNCTION("REGEXREPLACE(join("","",unique({let(conf_picked,filter(E$1:E110,D$1:D110=D111), byrow(unique(TRANSPOSe(Teams!$1:$1)),lambda(rw,if(ISERROR(match(rw,conf_picked,0)),rw,))));iferror(if(#REF!,,transpose(split(#REF!,"","",1,1))))})), ""^,"", """")"),"AAC,,Big 12,CUSA,Sun Belt")</f>
        <v>AAC,,Big 12,CUSA,Sun Belt</v>
      </c>
      <c r="AN111" s="86">
        <f>IFERROR(__xludf.DUMMYFUNCTION("iferror($O111-max(filter($O111:$O$386,arrayformula(isnumber(FIND($E111:$E$386,AM111))))))"),1.0)</f>
        <v>1</v>
      </c>
      <c r="AO111" s="8">
        <f t="array" ref="AO111">countifs($O$2:$O110,"&lt;"&amp;$O111,isnumber(FIND($E$2:$E110,AM111)),TRUE)</f>
        <v>17</v>
      </c>
      <c r="AP111" s="8">
        <f>IFERROR(__xludf.DUMMYFUNCTION("iferror(COUNT(filter($O112:$O$386,$O112:$O$386&gt;$O111,arrayformula(isnumber(FIND($E112:$E$386,AM111))))))"),0.0)</f>
        <v>0</v>
      </c>
      <c r="AQ111" s="16">
        <f t="shared" si="10"/>
        <v>0</v>
      </c>
      <c r="AR111" s="88">
        <f>IFERROR(__xludf.DUMMYFUNCTION("iferror($O111-min(filter($O111:$O$386,arrayformula(isnumber(FIND($E111:$E$386,AM111))))))"),2.0)</f>
        <v>2</v>
      </c>
      <c r="AS111" s="89" t="str">
        <f>IFERROR(__xludf.DUMMYFUNCTION("iferror(join("","",index(sort(filter($F112:$F$386,$O112:$O$386&gt;$O111,arrayformula(isnumber(FIND($E112:$E$386,AM111)))),2,false),0,1)))"),"")</f>
        <v/>
      </c>
    </row>
    <row r="112">
      <c r="A112" s="13">
        <f t="shared" si="11"/>
        <v>111</v>
      </c>
      <c r="B112" s="13">
        <v>11.0</v>
      </c>
      <c r="C112" s="90">
        <v>11.0</v>
      </c>
      <c r="D112" s="13" t="s">
        <v>386</v>
      </c>
      <c r="E112" s="179" t="str">
        <f>if(F112&lt;&gt;"",VLOOKUP(F112,'Teams-Conference, for lookup'!A:B,2,0),"")</f>
        <v>MWC</v>
      </c>
      <c r="F112" s="59" t="s">
        <v>452</v>
      </c>
      <c r="H112" s="97">
        <f t="shared" si="2"/>
        <v>0</v>
      </c>
      <c r="I112" s="97">
        <f t="shared" si="33"/>
        <v>0</v>
      </c>
      <c r="J112" s="97">
        <f t="shared" si="12"/>
        <v>1</v>
      </c>
      <c r="K112" s="97">
        <f t="shared" ref="K112:K116" si="34">countif(E93:E112,E113)</f>
        <v>0</v>
      </c>
      <c r="L112" s="2"/>
      <c r="M112" s="97">
        <f>IFERROR(__xludf.DUMMYFUNCTION("counta(iferror(filter(L$2:L111,E$2:E111=E112,L$2:L111&lt;L112)))"),0.0)</f>
        <v>0</v>
      </c>
      <c r="N112" s="97">
        <f>IFERROR(__xludf.DUMMYFUNCTION("counta(iferror(filter(L113:L$124,E113:E$124=E112,L113:L$125&gt;L112)))"),0.0)</f>
        <v>0</v>
      </c>
      <c r="O112" s="83">
        <f t="array" ref="O112:X112">XLOOKUP(F112,'Current Week'!B:B,'Current Week'!C:O)</f>
        <v>6</v>
      </c>
      <c r="P112" s="97">
        <v>7.0</v>
      </c>
      <c r="Q112" s="2"/>
      <c r="R112" s="2"/>
      <c r="S112" s="2"/>
      <c r="T112" s="2"/>
      <c r="U112" s="2"/>
      <c r="V112" s="2"/>
      <c r="W112" s="8"/>
      <c r="X112" s="2"/>
      <c r="Y112" s="2"/>
      <c r="Z112" s="2"/>
      <c r="AA112" s="86">
        <f t="shared" si="4"/>
        <v>0</v>
      </c>
      <c r="AB112" s="8">
        <f t="shared" si="5"/>
        <v>37</v>
      </c>
      <c r="AC112" s="8">
        <f>IFERROR(__xludf.DUMMYFUNCTION("iferror(COUNT(filter($O113:$O$386,$O113:$O$386&gt;$O112)))"),0.0)</f>
        <v>0</v>
      </c>
      <c r="AD112" s="16">
        <f t="shared" si="6"/>
        <v>1</v>
      </c>
      <c r="AE112" s="88">
        <f t="shared" si="7"/>
        <v>5</v>
      </c>
      <c r="AF112" s="2" t="str">
        <f>IFERROR(__xludf.DUMMYFUNCTION("iferror(join("","",index(sort(filter($F113:$F$387,$O113:$O$387&gt;$O112),2,false),0,1)))"),"")</f>
        <v/>
      </c>
      <c r="AG112" s="86">
        <f>IFERROR(__xludf.DUMMYFUNCTION("iferror($O112-max(filter($O112:$O$386,$E112:$E$386=$E$2)))"),2.0)</f>
        <v>2</v>
      </c>
      <c r="AH112" s="8">
        <f t="shared" si="8"/>
        <v>0</v>
      </c>
      <c r="AI112" s="8">
        <f>IFERROR(__xludf.DUMMYFUNCTION("iferror(COUNT(filter($O113:$O$386,$O113:$O$386&gt;$O112,$E112:$E$386=$E$2)))"),0.0)</f>
        <v>0</v>
      </c>
      <c r="AJ112" s="16">
        <f t="shared" si="9"/>
        <v>0</v>
      </c>
      <c r="AK112" s="88">
        <f>IFERROR(__xludf.DUMMYFUNCTION("iferror($O112-min(filter($O112:$O$386,$E112:$E$386=$E$2)))"),4.0)</f>
        <v>4</v>
      </c>
      <c r="AL112" s="2" t="str">
        <f>IFERROR(__xludf.DUMMYFUNCTION("iferror(join("","",index(sort(filter($F113:$F$386,$O113:$O$386&gt;$O112,$E113:$E$386=$E$2),2,false),0,1)))"),"")</f>
        <v/>
      </c>
      <c r="AM112" s="2" t="str">
        <f>IFERROR(__xludf.DUMMYFUNCTION("REGEXREPLACE(join("","",unique({let(conf_picked,filter(E$1:E111,D$1:D111=D112), byrow(unique(TRANSPOSe(Teams!$1:$1)),lambda(rw,if(ISERROR(match(rw,conf_picked,0)),rw,))));iferror(if(#REF!,,transpose(split(#REF!,"","",1,1))))})), ""^,"", """")"),"AAC,,Big 12,CUSA,Sun Belt")</f>
        <v>AAC,,Big 12,CUSA,Sun Belt</v>
      </c>
      <c r="AN112" s="86">
        <f>IFERROR(__xludf.DUMMYFUNCTION("iferror($O112-max(filter($O112:$O$386,arrayformula(isnumber(FIND($E112:$E$386,AM112))))))"),1.0)</f>
        <v>1</v>
      </c>
      <c r="AO112" s="8">
        <f t="array" ref="AO112">countifs($O$2:$O111,"&lt;"&amp;$O112,isnumber(FIND($E$2:$E111,AM112)),TRUE)</f>
        <v>17</v>
      </c>
      <c r="AP112" s="8">
        <f>IFERROR(__xludf.DUMMYFUNCTION("iferror(COUNT(filter($O113:$O$386,$O113:$O$386&gt;$O112,arrayformula(isnumber(FIND($E113:$E$386,AM112))))))"),0.0)</f>
        <v>0</v>
      </c>
      <c r="AQ112" s="16">
        <f t="shared" si="10"/>
        <v>0</v>
      </c>
      <c r="AR112" s="88">
        <f>IFERROR(__xludf.DUMMYFUNCTION("iferror($O112-min(filter($O112:$O$386,arrayformula(isnumber(FIND($E112:$E$386,AM112))))))"),2.0)</f>
        <v>2</v>
      </c>
      <c r="AS112" s="89" t="str">
        <f>IFERROR(__xludf.DUMMYFUNCTION("iferror(join("","",index(sort(filter($F113:$F$386,$O113:$O$386&gt;$O112,arrayformula(isnumber(FIND($E113:$E$386,AM112)))),2,false),0,1)))"),"")</f>
        <v/>
      </c>
    </row>
    <row r="113">
      <c r="A113" s="13">
        <f t="shared" si="11"/>
        <v>112</v>
      </c>
      <c r="B113" s="13">
        <v>11.0</v>
      </c>
      <c r="C113" s="90">
        <v>12.0</v>
      </c>
      <c r="D113" s="13" t="s">
        <v>386</v>
      </c>
      <c r="E113" s="179" t="str">
        <f>if(F113&lt;&gt;"",VLOOKUP(F113,'Teams-Conference, for lookup'!A:B,2,0),"")</f>
        <v>AAC</v>
      </c>
      <c r="F113" s="61" t="s">
        <v>379</v>
      </c>
      <c r="H113" s="97">
        <f t="shared" si="2"/>
        <v>1</v>
      </c>
      <c r="I113" s="97">
        <f t="shared" si="33"/>
        <v>1</v>
      </c>
      <c r="J113" s="97">
        <f t="shared" si="12"/>
        <v>0</v>
      </c>
      <c r="K113" s="97">
        <f t="shared" si="34"/>
        <v>1</v>
      </c>
      <c r="L113" s="2"/>
      <c r="M113" s="97">
        <f>IFERROR(__xludf.DUMMYFUNCTION("counta(iferror(filter(L$2:L112,E$2:E112=E113,L$2:L112&lt;L113)))"),0.0)</f>
        <v>0</v>
      </c>
      <c r="N113" s="97">
        <f>IFERROR(__xludf.DUMMYFUNCTION("counta(iferror(filter(L114:L$124,E114:E$124=E113,L114:L$125&gt;L113)))"),0.0)</f>
        <v>0</v>
      </c>
      <c r="O113" s="83">
        <f t="array" ref="O113:X113">XLOOKUP(F113,'Current Week'!B:B,'Current Week'!C:O)</f>
        <v>5</v>
      </c>
      <c r="P113" s="97">
        <v>7.0</v>
      </c>
      <c r="Q113" s="2"/>
      <c r="R113" s="2"/>
      <c r="S113" s="2"/>
      <c r="T113" s="2"/>
      <c r="U113" s="2"/>
      <c r="V113" s="2"/>
      <c r="W113" s="8"/>
      <c r="X113" s="2"/>
      <c r="Y113" s="2"/>
      <c r="Z113" s="2"/>
      <c r="AA113" s="86">
        <f t="shared" si="4"/>
        <v>0</v>
      </c>
      <c r="AB113" s="8">
        <f t="shared" si="5"/>
        <v>27</v>
      </c>
      <c r="AC113" s="8">
        <f>IFERROR(__xludf.DUMMYFUNCTION("iferror(COUNT(filter($O114:$O$386,$O114:$O$386&gt;$O113)))"),0.0)</f>
        <v>0</v>
      </c>
      <c r="AD113" s="16">
        <f t="shared" si="6"/>
        <v>1</v>
      </c>
      <c r="AE113" s="88">
        <f t="shared" si="7"/>
        <v>4</v>
      </c>
      <c r="AF113" s="2" t="str">
        <f>IFERROR(__xludf.DUMMYFUNCTION("iferror(join("","",index(sort(filter($F114:$F$387,$O114:$O$387&gt;$O113),2,false),0,1)))"),"")</f>
        <v/>
      </c>
      <c r="AG113" s="86">
        <f>IFERROR(__xludf.DUMMYFUNCTION("iferror($O113-max(filter($O113:$O$386,$E113:$E$386=$E$2)))"),1.0)</f>
        <v>1</v>
      </c>
      <c r="AH113" s="8">
        <f t="shared" si="8"/>
        <v>0</v>
      </c>
      <c r="AI113" s="8">
        <f>IFERROR(__xludf.DUMMYFUNCTION("iferror(COUNT(filter($O114:$O$386,$O114:$O$386&gt;$O113,$E113:$E$386=$E$2)))"),0.0)</f>
        <v>0</v>
      </c>
      <c r="AJ113" s="16">
        <f t="shared" si="9"/>
        <v>0</v>
      </c>
      <c r="AK113" s="88">
        <f>IFERROR(__xludf.DUMMYFUNCTION("iferror($O113-min(filter($O113:$O$386,$E113:$E$386=$E$2)))"),3.0)</f>
        <v>3</v>
      </c>
      <c r="AL113" s="2" t="str">
        <f>IFERROR(__xludf.DUMMYFUNCTION("iferror(join("","",index(sort(filter($F114:$F$386,$O114:$O$386&gt;$O113,$E114:$E$386=$E$2),2,false),0,1)))"),"")</f>
        <v/>
      </c>
      <c r="AM113" s="2" t="str">
        <f>IFERROR(__xludf.DUMMYFUNCTION("REGEXREPLACE(join("","",unique({let(conf_picked,filter(E$1:E112,D$1:D112=D113), byrow(unique(TRANSPOSe(Teams!$1:$1)),lambda(rw,if(ISERROR(match(rw,conf_picked,0)),rw,))));iferror(if(#REF!,,transpose(split(#REF!,"","",1,1))))})), ""^,"", """")"),"AAC,,Big 12,CUSA,Sun Belt")</f>
        <v>AAC,,Big 12,CUSA,Sun Belt</v>
      </c>
      <c r="AN113" s="86">
        <f>IFERROR(__xludf.DUMMYFUNCTION("iferror($O113-max(filter($O113:$O$386,arrayformula(isnumber(FIND($E113:$E$386,AM113))))))"),0.0)</f>
        <v>0</v>
      </c>
      <c r="AO113" s="8">
        <f t="array" ref="AO113">countifs($O$2:$O112,"&lt;"&amp;$O113,isnumber(FIND($E$2:$E112,AM113)),TRUE)</f>
        <v>14</v>
      </c>
      <c r="AP113" s="8">
        <f>IFERROR(__xludf.DUMMYFUNCTION("iferror(COUNT(filter($O114:$O$386,$O114:$O$386&gt;$O113,arrayformula(isnumber(FIND($E114:$E$386,AM113))))))"),0.0)</f>
        <v>0</v>
      </c>
      <c r="AQ113" s="16">
        <f t="shared" si="10"/>
        <v>1</v>
      </c>
      <c r="AR113" s="88">
        <f>IFERROR(__xludf.DUMMYFUNCTION("iferror($O113-min(filter($O113:$O$386,arrayformula(isnumber(FIND($E113:$E$386,AM113))))))"),1.0)</f>
        <v>1</v>
      </c>
      <c r="AS113" s="89" t="str">
        <f>IFERROR(__xludf.DUMMYFUNCTION("iferror(join("","",index(sort(filter($F114:$F$386,$O114:$O$386&gt;$O113,arrayformula(isnumber(FIND($E114:$E$386,AM113)))),2,false),0,1)))"),"")</f>
        <v/>
      </c>
    </row>
    <row r="114">
      <c r="A114" s="13">
        <f t="shared" si="11"/>
        <v>113</v>
      </c>
      <c r="B114" s="13">
        <v>11.0</v>
      </c>
      <c r="C114" s="90">
        <v>13.0</v>
      </c>
      <c r="D114" s="13" t="s">
        <v>386</v>
      </c>
      <c r="E114" s="179" t="str">
        <f>if(F114&lt;&gt;"",VLOOKUP(F114,'Teams-Conference, for lookup'!A:B,2,0),"")</f>
        <v>CUSA</v>
      </c>
      <c r="F114" s="62" t="s">
        <v>453</v>
      </c>
      <c r="H114" s="97">
        <f t="shared" si="2"/>
        <v>2</v>
      </c>
      <c r="I114" s="97">
        <f t="shared" si="33"/>
        <v>2</v>
      </c>
      <c r="J114" s="97">
        <f t="shared" si="12"/>
        <v>0</v>
      </c>
      <c r="K114" s="97">
        <f t="shared" si="34"/>
        <v>2</v>
      </c>
      <c r="L114" s="2"/>
      <c r="M114" s="97">
        <f>IFERROR(__xludf.DUMMYFUNCTION("counta(iferror(filter(L$2:L113,E$2:E113=E114,L$2:L113&lt;L114)))"),0.0)</f>
        <v>0</v>
      </c>
      <c r="N114" s="97">
        <f>IFERROR(__xludf.DUMMYFUNCTION("counta(iferror(filter(L115:L$124,E115:E$124=E114,L115:L$125&gt;L114)))"),0.0)</f>
        <v>0</v>
      </c>
      <c r="O114" s="83">
        <f t="array" ref="O114:X114">XLOOKUP(F114,'Current Week'!B:B,'Current Week'!C:O)</f>
        <v>5</v>
      </c>
      <c r="P114" s="97">
        <v>7.0</v>
      </c>
      <c r="Q114" s="2"/>
      <c r="R114" s="2"/>
      <c r="S114" s="2"/>
      <c r="T114" s="2"/>
      <c r="U114" s="2"/>
      <c r="V114" s="2"/>
      <c r="W114" s="8"/>
      <c r="X114" s="2"/>
      <c r="Y114" s="2"/>
      <c r="Z114" s="2"/>
      <c r="AA114" s="86">
        <f t="shared" si="4"/>
        <v>0</v>
      </c>
      <c r="AB114" s="8">
        <f t="shared" si="5"/>
        <v>27</v>
      </c>
      <c r="AC114" s="8">
        <f>IFERROR(__xludf.DUMMYFUNCTION("iferror(COUNT(filter($O115:$O$386,$O115:$O$386&gt;$O114)))"),0.0)</f>
        <v>0</v>
      </c>
      <c r="AD114" s="16">
        <f t="shared" si="6"/>
        <v>1</v>
      </c>
      <c r="AE114" s="88">
        <f t="shared" si="7"/>
        <v>4</v>
      </c>
      <c r="AF114" s="2" t="str">
        <f>IFERROR(__xludf.DUMMYFUNCTION("iferror(join("","",index(sort(filter($F115:$F$387,$O115:$O$387&gt;$O114),2,false),0,1)))"),"")</f>
        <v/>
      </c>
      <c r="AG114" s="86">
        <f>IFERROR(__xludf.DUMMYFUNCTION("iferror($O114-max(filter($O114:$O$386,$E114:$E$386=$E$2)))"),1.0)</f>
        <v>1</v>
      </c>
      <c r="AH114" s="8">
        <f t="shared" si="8"/>
        <v>0</v>
      </c>
      <c r="AI114" s="8">
        <f>IFERROR(__xludf.DUMMYFUNCTION("iferror(COUNT(filter($O115:$O$386,$O115:$O$386&gt;$O114,$E114:$E$386=$E$2)))"),0.0)</f>
        <v>0</v>
      </c>
      <c r="AJ114" s="16">
        <f t="shared" si="9"/>
        <v>0</v>
      </c>
      <c r="AK114" s="88">
        <f>IFERROR(__xludf.DUMMYFUNCTION("iferror($O114-min(filter($O114:$O$386,$E114:$E$386=$E$2)))"),3.0)</f>
        <v>3</v>
      </c>
      <c r="AL114" s="2" t="str">
        <f>IFERROR(__xludf.DUMMYFUNCTION("iferror(join("","",index(sort(filter($F115:$F$386,$O115:$O$386&gt;$O114,$E115:$E$386=$E$2),2,false),0,1)))"),"")</f>
        <v/>
      </c>
      <c r="AM114" s="2" t="str">
        <f>IFERROR(__xludf.DUMMYFUNCTION("REGEXREPLACE(join("","",unique({let(conf_picked,filter(E$1:E113,D$1:D113=D114), byrow(unique(TRANSPOSe(Teams!$1:$1)),lambda(rw,if(ISERROR(match(rw,conf_picked,0)),rw,))));iferror(if(#REF!,,transpose(split(#REF!,"","",1,1))))})), ""^,"", """")"),"Big 12,CUSA,Sun Belt")</f>
        <v>Big 12,CUSA,Sun Belt</v>
      </c>
      <c r="AN114" s="86">
        <f>IFERROR(__xludf.DUMMYFUNCTION("iferror($O114-max(filter($O114:$O$386,arrayformula(isnumber(FIND($E114:$E$386,AM114))))))"),0.0)</f>
        <v>0</v>
      </c>
      <c r="AO114" s="8">
        <f t="array" ref="AO114">countifs($O$2:$O113,"&lt;"&amp;$O114,isnumber(FIND($E$2:$E113,AM114)),TRUE)</f>
        <v>11</v>
      </c>
      <c r="AP114" s="8">
        <f>IFERROR(__xludf.DUMMYFUNCTION("iferror(COUNT(filter($O115:$O$386,$O115:$O$386&gt;$O114,arrayformula(isnumber(FIND($E115:$E$386,AM114))))))"),0.0)</f>
        <v>0</v>
      </c>
      <c r="AQ114" s="16">
        <f t="shared" si="10"/>
        <v>1</v>
      </c>
      <c r="AR114" s="88">
        <f>IFERROR(__xludf.DUMMYFUNCTION("iferror($O114-min(filter($O114:$O$386,arrayformula(isnumber(FIND($E114:$E$386,AM114))))))"),1.0)</f>
        <v>1</v>
      </c>
      <c r="AS114" s="89" t="str">
        <f>IFERROR(__xludf.DUMMYFUNCTION("iferror(join("","",index(sort(filter($F115:$F$386,$O115:$O$386&gt;$O114,arrayformula(isnumber(FIND($E115:$E$386,AM114)))),2,false),0,1)))"),"")</f>
        <v/>
      </c>
    </row>
    <row r="115">
      <c r="A115" s="13">
        <f t="shared" si="11"/>
        <v>114</v>
      </c>
      <c r="B115" s="13">
        <v>11.0</v>
      </c>
      <c r="C115" s="90">
        <v>14.0</v>
      </c>
      <c r="D115" s="13" t="s">
        <v>386</v>
      </c>
      <c r="E115" s="179" t="str">
        <f>if(F115&lt;&gt;"",VLOOKUP(F115,'Teams-Conference, for lookup'!A:B,2,0),"")</f>
        <v>CUSA</v>
      </c>
      <c r="F115" s="62" t="s">
        <v>454</v>
      </c>
      <c r="H115" s="97">
        <f>countif(E116:E124,E115)</f>
        <v>1</v>
      </c>
      <c r="I115" s="97">
        <f t="shared" si="33"/>
        <v>1</v>
      </c>
      <c r="J115" s="97">
        <f t="shared" si="12"/>
        <v>1</v>
      </c>
      <c r="K115" s="97">
        <f t="shared" si="34"/>
        <v>1</v>
      </c>
      <c r="L115" s="2"/>
      <c r="M115" s="97">
        <f>IFERROR(__xludf.DUMMYFUNCTION("counta(iferror(filter(L$2:L114,E$2:E114=E115,L$2:L114&lt;L115)))"),0.0)</f>
        <v>0</v>
      </c>
      <c r="N115" s="97">
        <f>IFERROR(__xludf.DUMMYFUNCTION("counta(iferror(filter(L116:L$124,E116:E$124=E115,L116:L$125&gt;L115)))"),0.0)</f>
        <v>0</v>
      </c>
      <c r="O115" s="83">
        <f t="array" ref="O115:X115">XLOOKUP(F115,'Current Week'!B:B,'Current Week'!C:O)</f>
        <v>5</v>
      </c>
      <c r="P115" s="97">
        <v>7.0</v>
      </c>
      <c r="Q115" s="2"/>
      <c r="R115" s="2"/>
      <c r="S115" s="2"/>
      <c r="T115" s="2"/>
      <c r="U115" s="2"/>
      <c r="V115" s="2"/>
      <c r="W115" s="8"/>
      <c r="X115" s="2"/>
      <c r="Y115" s="2"/>
      <c r="Z115" s="2"/>
      <c r="AA115" s="86">
        <f t="shared" si="4"/>
        <v>0</v>
      </c>
      <c r="AB115" s="8">
        <f t="shared" si="5"/>
        <v>27</v>
      </c>
      <c r="AC115" s="8">
        <f>IFERROR(__xludf.DUMMYFUNCTION("iferror(COUNT(filter($O116:$O$386,$O116:$O$386&gt;$O115)))"),0.0)</f>
        <v>0</v>
      </c>
      <c r="AD115" s="16">
        <f t="shared" si="6"/>
        <v>1</v>
      </c>
      <c r="AE115" s="88">
        <f t="shared" si="7"/>
        <v>4</v>
      </c>
      <c r="AF115" s="2" t="str">
        <f>IFERROR(__xludf.DUMMYFUNCTION("iferror(join("","",index(sort(filter($F116:$F$387,$O116:$O$387&gt;$O115),2,false),0,1)))"),"")</f>
        <v/>
      </c>
      <c r="AG115" s="86">
        <f>IFERROR(__xludf.DUMMYFUNCTION("iferror($O115-max(filter($O115:$O$386,$E115:$E$386=$E$2)))"),1.0)</f>
        <v>1</v>
      </c>
      <c r="AH115" s="8">
        <f t="shared" si="8"/>
        <v>0</v>
      </c>
      <c r="AI115" s="8">
        <f>IFERROR(__xludf.DUMMYFUNCTION("iferror(COUNT(filter($O116:$O$386,$O116:$O$386&gt;$O115,$E115:$E$386=$E$2)))"),0.0)</f>
        <v>0</v>
      </c>
      <c r="AJ115" s="16">
        <f t="shared" si="9"/>
        <v>0</v>
      </c>
      <c r="AK115" s="88">
        <f>IFERROR(__xludf.DUMMYFUNCTION("iferror($O115-min(filter($O115:$O$386,$E115:$E$386=$E$2)))"),3.0)</f>
        <v>3</v>
      </c>
      <c r="AL115" s="2" t="str">
        <f>IFERROR(__xludf.DUMMYFUNCTION("iferror(join("","",index(sort(filter($F116:$F$386,$O116:$O$386&gt;$O115,$E116:$E$386=$E$2),2,false),0,1)))"),"")</f>
        <v/>
      </c>
      <c r="AM115" s="2" t="str">
        <f>IFERROR(__xludf.DUMMYFUNCTION("REGEXREPLACE(join("","",unique({let(conf_picked,filter(E$1:E114,D$1:D114=D115), byrow(unique(TRANSPOSe(Teams!$1:$1)),lambda(rw,if(ISERROR(match(rw,conf_picked,0)),rw,))));iferror(if(#REF!,,transpose(split(#REF!,"","",1,1))))})), ""^,"", """")"),"Big 12,Sun Belt")</f>
        <v>Big 12,Sun Belt</v>
      </c>
      <c r="AN115" s="86" t="str">
        <f>IFERROR(__xludf.DUMMYFUNCTION("iferror($O115-max(filter($O115:$O$386,arrayformula(isnumber(FIND($E115:$E$386,AM115))))))"),"")</f>
        <v/>
      </c>
      <c r="AO115" s="8">
        <f t="array" ref="AO115">countifs($O$2:$O114,"&lt;"&amp;$O115,isnumber(FIND($E$2:$E114,AM115)),TRUE)</f>
        <v>6</v>
      </c>
      <c r="AP115" s="8">
        <f>IFERROR(__xludf.DUMMYFUNCTION("iferror(COUNT(filter($O116:$O$386,$O116:$O$386&gt;$O115,arrayformula(isnumber(FIND($E116:$E$386,AM115))))))"),0.0)</f>
        <v>0</v>
      </c>
      <c r="AQ115" s="16">
        <f t="shared" si="10"/>
        <v>1</v>
      </c>
      <c r="AR115" s="88" t="str">
        <f>IFERROR(__xludf.DUMMYFUNCTION("iferror($O115-min(filter($O115:$O$386,arrayformula(isnumber(FIND($E115:$E$386,AM115))))))"),"")</f>
        <v/>
      </c>
      <c r="AS115" s="89" t="str">
        <f>IFERROR(__xludf.DUMMYFUNCTION("iferror(join("","",index(sort(filter($F116:$F$386,$O116:$O$386&gt;$O115,arrayformula(isnumber(FIND($E116:$E$386,AM115)))),2,false),0,1)))"),"")</f>
        <v/>
      </c>
    </row>
    <row r="116">
      <c r="A116" s="13">
        <f t="shared" si="11"/>
        <v>115</v>
      </c>
      <c r="B116" s="13">
        <v>11.0</v>
      </c>
      <c r="C116" s="90">
        <v>15.0</v>
      </c>
      <c r="D116" s="13" t="s">
        <v>386</v>
      </c>
      <c r="E116" s="179" t="str">
        <f>if(F116&lt;&gt;"",VLOOKUP(F116,'Teams-Conference, for lookup'!A:B,2,0),"")</f>
        <v>AAC</v>
      </c>
      <c r="F116" s="61" t="s">
        <v>380</v>
      </c>
      <c r="H116" s="97">
        <f>countif(E117:E124,E116)</f>
        <v>0</v>
      </c>
      <c r="I116" s="97">
        <f t="shared" si="33"/>
        <v>0</v>
      </c>
      <c r="J116" s="97">
        <f t="shared" si="12"/>
        <v>1</v>
      </c>
      <c r="K116" s="97">
        <f t="shared" si="34"/>
        <v>1</v>
      </c>
      <c r="L116" s="2"/>
      <c r="M116" s="97">
        <f>IFERROR(__xludf.DUMMYFUNCTION("counta(iferror(filter(L$2:L115,E$2:E115=E116,L$2:L115&lt;L116)))"),0.0)</f>
        <v>0</v>
      </c>
      <c r="N116" s="97">
        <f>IFERROR(__xludf.DUMMYFUNCTION("counta(iferror(filter(L117:L$124,E117:E$124=E116,L117:L$125&gt;L116)))"),0.0)</f>
        <v>0</v>
      </c>
      <c r="O116" s="83">
        <f t="array" ref="O116:X116">XLOOKUP(F116,'Current Week'!B:B,'Current Week'!C:O)</f>
        <v>4</v>
      </c>
      <c r="P116" s="97">
        <v>8.0</v>
      </c>
      <c r="Q116" s="2"/>
      <c r="R116" s="2"/>
      <c r="S116" s="2"/>
      <c r="T116" s="2"/>
      <c r="U116" s="2"/>
      <c r="V116" s="2"/>
      <c r="W116" s="8"/>
      <c r="X116" s="2"/>
      <c r="Y116" s="2"/>
      <c r="Z116" s="2"/>
      <c r="AA116" s="86">
        <f t="shared" si="4"/>
        <v>0</v>
      </c>
      <c r="AB116" s="8">
        <f t="shared" si="5"/>
        <v>17</v>
      </c>
      <c r="AC116" s="8">
        <f>IFERROR(__xludf.DUMMYFUNCTION("iferror(COUNT(filter($O117:$O$386,$O117:$O$386&gt;$O116)))"),0.0)</f>
        <v>0</v>
      </c>
      <c r="AD116" s="16">
        <f t="shared" si="6"/>
        <v>1</v>
      </c>
      <c r="AE116" s="88">
        <f t="shared" si="7"/>
        <v>3</v>
      </c>
      <c r="AF116" s="2" t="str">
        <f>IFERROR(__xludf.DUMMYFUNCTION("iferror(join("","",index(sort(filter($F117:$F$387,$O117:$O$387&gt;$O116),2,false),0,1)))"),"")</f>
        <v/>
      </c>
      <c r="AG116" s="86">
        <f>IFERROR(__xludf.DUMMYFUNCTION("iferror($O116-max(filter($O116:$O$386,$E116:$E$386=$E$2)))"),0.0)</f>
        <v>0</v>
      </c>
      <c r="AH116" s="8">
        <f t="shared" si="8"/>
        <v>0</v>
      </c>
      <c r="AI116" s="8">
        <f>IFERROR(__xludf.DUMMYFUNCTION("iferror(COUNT(filter($O117:$O$386,$O117:$O$386&gt;$O116,$E116:$E$386=$E$2)))"),0.0)</f>
        <v>0</v>
      </c>
      <c r="AJ116" s="16">
        <f t="shared" si="9"/>
        <v>1</v>
      </c>
      <c r="AK116" s="88">
        <f>IFERROR(__xludf.DUMMYFUNCTION("iferror($O116-min(filter($O116:$O$386,$E116:$E$386=$E$2)))"),2.0)</f>
        <v>2</v>
      </c>
      <c r="AL116" s="2" t="str">
        <f>IFERROR(__xludf.DUMMYFUNCTION("iferror(join("","",index(sort(filter($F117:$F$386,$O117:$O$386&gt;$O116,$E117:$E$386=$E$2),2,false),0,1)))"),"")</f>
        <v/>
      </c>
      <c r="AM116" s="2" t="str">
        <f>IFERROR(__xludf.DUMMYFUNCTION("REGEXREPLACE(join("","",unique({let(conf_picked,filter(E$1:E115,D$1:D115=D116), byrow(unique(TRANSPOSe(Teams!$1:$1)),lambda(rw,if(ISERROR(match(rw,conf_picked,0)),rw,))));iferror(if(#REF!,,transpose(split(#REF!,"","",1,1))))})), ""^,"", """")"),"Big 12,Sun Belt")</f>
        <v>Big 12,Sun Belt</v>
      </c>
      <c r="AN116" s="86" t="str">
        <f>IFERROR(__xludf.DUMMYFUNCTION("iferror($O116-max(filter($O116:$O$386,arrayformula(isnumber(FIND($E116:$E$386,AM116))))))"),"")</f>
        <v/>
      </c>
      <c r="AO116" s="8">
        <f t="array" ref="AO116">countifs($O$2:$O115,"&lt;"&amp;$O116,isnumber(FIND($E$2:$E115,AM116)),TRUE)</f>
        <v>5</v>
      </c>
      <c r="AP116" s="8">
        <f>IFERROR(__xludf.DUMMYFUNCTION("iferror(COUNT(filter($O117:$O$386,$O117:$O$386&gt;$O116,arrayformula(isnumber(FIND($E117:$E$386,AM116))))))"),0.0)</f>
        <v>0</v>
      </c>
      <c r="AQ116" s="16">
        <f t="shared" si="10"/>
        <v>1</v>
      </c>
      <c r="AR116" s="88" t="str">
        <f>IFERROR(__xludf.DUMMYFUNCTION("iferror($O116-min(filter($O116:$O$386,arrayformula(isnumber(FIND($E116:$E$386,AM116))))))"),"")</f>
        <v/>
      </c>
      <c r="AS116" s="89" t="str">
        <f>IFERROR(__xludf.DUMMYFUNCTION("iferror(join("","",index(sort(filter($F117:$F$386,$O117:$O$386&gt;$O116,arrayformula(isnumber(FIND($E117:$E$386,AM116)))),2,false),0,1)))"),"")</f>
        <v/>
      </c>
    </row>
    <row r="117">
      <c r="A117" s="13">
        <f t="shared" si="11"/>
        <v>116</v>
      </c>
      <c r="B117" s="13">
        <v>11.0</v>
      </c>
      <c r="C117" s="90">
        <v>16.0</v>
      </c>
      <c r="D117" s="13" t="s">
        <v>386</v>
      </c>
      <c r="E117" s="179" t="str">
        <f>if(F117&lt;&gt;"",VLOOKUP(F117,'Teams-Conference, for lookup'!A:B,2,0),"")</f>
        <v>ACC</v>
      </c>
      <c r="F117" s="61" t="s">
        <v>455</v>
      </c>
      <c r="H117" s="97">
        <f>countif(E118:E124,E117)</f>
        <v>2</v>
      </c>
      <c r="I117" s="97">
        <f t="shared" si="33"/>
        <v>2</v>
      </c>
      <c r="J117" s="97">
        <f t="shared" si="12"/>
        <v>0</v>
      </c>
      <c r="K117" s="97">
        <f>countif(E98:E117,E119)</f>
        <v>2</v>
      </c>
      <c r="L117" s="2"/>
      <c r="M117" s="97">
        <f>IFERROR(__xludf.DUMMYFUNCTION("counta(iferror(filter(L$2:L116,E$2:E116=E117,L$2:L116&lt;L117)))"),0.0)</f>
        <v>0</v>
      </c>
      <c r="N117" s="97">
        <f>IFERROR(__xludf.DUMMYFUNCTION("counta(iferror(filter(L118:L$124,E118:E$124=E117,L118:L$125&gt;L117)))"),0.0)</f>
        <v>0</v>
      </c>
      <c r="O117" s="83">
        <f t="array" ref="O117:X117">XLOOKUP(F117,'Current Week'!B:B,'Current Week'!C:O)</f>
        <v>4</v>
      </c>
      <c r="P117" s="97">
        <v>8.0</v>
      </c>
      <c r="Q117" s="2"/>
      <c r="R117" s="2"/>
      <c r="S117" s="2"/>
      <c r="T117" s="2"/>
      <c r="U117" s="2"/>
      <c r="V117" s="2"/>
      <c r="W117" s="8" t="s">
        <v>457</v>
      </c>
      <c r="X117" s="2"/>
      <c r="Y117" s="2"/>
      <c r="Z117" s="2"/>
      <c r="AA117" s="86">
        <f t="shared" si="4"/>
        <v>0</v>
      </c>
      <c r="AB117" s="8">
        <f t="shared" si="5"/>
        <v>17</v>
      </c>
      <c r="AC117" s="8">
        <f>IFERROR(__xludf.DUMMYFUNCTION("iferror(COUNT(filter($O118:$O$386,$O118:$O$386&gt;$O117)))"),0.0)</f>
        <v>0</v>
      </c>
      <c r="AD117" s="16">
        <f t="shared" si="6"/>
        <v>1</v>
      </c>
      <c r="AE117" s="88">
        <f t="shared" si="7"/>
        <v>3</v>
      </c>
      <c r="AF117" s="2" t="str">
        <f>IFERROR(__xludf.DUMMYFUNCTION("iferror(join("","",index(sort(filter($F118:$F$387,$O118:$O$387&gt;$O117),2,false),0,1)))"),"")</f>
        <v/>
      </c>
      <c r="AG117" s="86">
        <f>IFERROR(__xludf.DUMMYFUNCTION("iferror($O117-max(filter($O117:$O$386,$E117:$E$386=$E$2)))"),0.0)</f>
        <v>0</v>
      </c>
      <c r="AH117" s="8">
        <f t="shared" si="8"/>
        <v>0</v>
      </c>
      <c r="AI117" s="8">
        <f>IFERROR(__xludf.DUMMYFUNCTION("iferror(COUNT(filter($O118:$O$386,$O118:$O$386&gt;$O117,$E117:$E$386=$E$2)))"),0.0)</f>
        <v>0</v>
      </c>
      <c r="AJ117" s="16">
        <f t="shared" si="9"/>
        <v>1</v>
      </c>
      <c r="AK117" s="88">
        <f>IFERROR(__xludf.DUMMYFUNCTION("iferror($O117-min(filter($O117:$O$386,$E117:$E$386=$E$2)))"),2.0)</f>
        <v>2</v>
      </c>
      <c r="AL117" s="2" t="str">
        <f>IFERROR(__xludf.DUMMYFUNCTION("iferror(join("","",index(sort(filter($F118:$F$386,$O118:$O$386&gt;$O117,$E118:$E$386=$E$2),2,false),0,1)))"),"")</f>
        <v/>
      </c>
      <c r="AM117" s="2" t="str">
        <f>IFERROR(__xludf.DUMMYFUNCTION("REGEXREPLACE(join("","",unique({let(conf_picked,filter(E$1:E116,D$1:D116=D117), byrow(unique(TRANSPOSe(Teams!$1:$1)),lambda(rw,if(ISERROR(match(rw,conf_picked,0)),rw,))));iferror(if(#REF!,,transpose(split(#REF!,"","",1,1))))})), ""^,"", """")"),"Big 12,Sun Belt")</f>
        <v>Big 12,Sun Belt</v>
      </c>
      <c r="AN117" s="86" t="str">
        <f>IFERROR(__xludf.DUMMYFUNCTION("iferror($O117-max(filter($O117:$O$386,arrayformula(isnumber(FIND($E117:$E$386,AM117))))))"),"")</f>
        <v/>
      </c>
      <c r="AO117" s="8">
        <f t="array" ref="AO117">countifs($O$2:$O116,"&lt;"&amp;$O117,isnumber(FIND($E$2:$E116,AM117)),TRUE)</f>
        <v>5</v>
      </c>
      <c r="AP117" s="8">
        <f>IFERROR(__xludf.DUMMYFUNCTION("iferror(COUNT(filter($O118:$O$386,$O118:$O$386&gt;$O117,arrayformula(isnumber(FIND($E118:$E$386,AM117))))))"),0.0)</f>
        <v>0</v>
      </c>
      <c r="AQ117" s="16">
        <f t="shared" si="10"/>
        <v>1</v>
      </c>
      <c r="AR117" s="88" t="str">
        <f>IFERROR(__xludf.DUMMYFUNCTION("iferror($O117-min(filter($O117:$O$386,arrayformula(isnumber(FIND($E117:$E$386,AM117))))))"),"")</f>
        <v/>
      </c>
      <c r="AS117" s="89" t="str">
        <f>IFERROR(__xludf.DUMMYFUNCTION("iferror(join("","",index(sort(filter($F118:$F$386,$O118:$O$386&gt;$O117,arrayformula(isnumber(FIND($E118:$E$386,AM117)))),2,false),0,1)))"),"")</f>
        <v/>
      </c>
    </row>
    <row r="118">
      <c r="A118" s="13">
        <f t="shared" si="11"/>
        <v>117</v>
      </c>
      <c r="B118" s="13">
        <v>11.0</v>
      </c>
      <c r="C118" s="90">
        <v>17.0</v>
      </c>
      <c r="D118" s="13" t="s">
        <v>386</v>
      </c>
      <c r="E118" s="179" t="str">
        <f>if(F118&lt;&gt;"",VLOOKUP(F118,'Teams-Conference, for lookup'!A:B,2,0),"")</f>
        <v>ACC</v>
      </c>
      <c r="F118" s="61" t="s">
        <v>381</v>
      </c>
      <c r="H118" s="97">
        <f>countif(E119:E124,E118)</f>
        <v>1</v>
      </c>
      <c r="I118" s="97">
        <f t="shared" si="33"/>
        <v>1</v>
      </c>
      <c r="J118" s="97">
        <f t="shared" si="12"/>
        <v>1</v>
      </c>
      <c r="K118" s="2"/>
      <c r="L118" s="2"/>
      <c r="M118" s="97">
        <f>IFERROR(__xludf.DUMMYFUNCTION("counta(iferror(filter(L$2:L117,E$2:E117=E118,L$2:L117&lt;L118)))"),0.0)</f>
        <v>0</v>
      </c>
      <c r="N118" s="97">
        <f>IFERROR(__xludf.DUMMYFUNCTION("counta(iferror(filter(L119:L$124,E119:E$124=E118,L119:L$125&gt;L118)))"),0.0)</f>
        <v>0</v>
      </c>
      <c r="O118" s="83">
        <f t="array" ref="O118:X118">XLOOKUP(F118,'Current Week'!B:B,'Current Week'!C:O)</f>
        <v>4</v>
      </c>
      <c r="P118" s="97">
        <v>8.0</v>
      </c>
      <c r="Q118" s="2"/>
      <c r="R118" s="2"/>
      <c r="S118" s="2"/>
      <c r="T118" s="2"/>
      <c r="U118" s="2"/>
      <c r="V118" s="2"/>
      <c r="W118" s="8"/>
      <c r="X118" s="2"/>
      <c r="Y118" s="2"/>
      <c r="Z118" s="2"/>
      <c r="AA118" s="86">
        <f t="shared" si="4"/>
        <v>0</v>
      </c>
      <c r="AB118" s="8">
        <f t="shared" si="5"/>
        <v>17</v>
      </c>
      <c r="AC118" s="8">
        <f>IFERROR(__xludf.DUMMYFUNCTION("iferror(COUNT(filter($O119:$O$386,$O119:$O$386&gt;$O118)))"),0.0)</f>
        <v>0</v>
      </c>
      <c r="AD118" s="16">
        <f t="shared" si="6"/>
        <v>1</v>
      </c>
      <c r="AE118" s="88">
        <f t="shared" si="7"/>
        <v>3</v>
      </c>
      <c r="AF118" s="2" t="str">
        <f>IFERROR(__xludf.DUMMYFUNCTION("iferror(join("","",index(sort(filter($F119:$F$387,$O119:$O$387&gt;$O118),2,false),0,1)))"),"")</f>
        <v/>
      </c>
      <c r="AG118" s="86">
        <f>IFERROR(__xludf.DUMMYFUNCTION("iferror($O118-max(filter($O118:$O$386,$E118:$E$386=$E$2)))"),0.0)</f>
        <v>0</v>
      </c>
      <c r="AH118" s="8">
        <f t="shared" si="8"/>
        <v>0</v>
      </c>
      <c r="AI118" s="8">
        <f>IFERROR(__xludf.DUMMYFUNCTION("iferror(COUNT(filter($O119:$O$386,$O119:$O$386&gt;$O118,$E118:$E$386=$E$2)))"),0.0)</f>
        <v>0</v>
      </c>
      <c r="AJ118" s="16">
        <f t="shared" si="9"/>
        <v>1</v>
      </c>
      <c r="AK118" s="88">
        <f>IFERROR(__xludf.DUMMYFUNCTION("iferror($O118-min(filter($O118:$O$386,$E118:$E$386=$E$2)))"),2.0)</f>
        <v>2</v>
      </c>
      <c r="AL118" s="2" t="str">
        <f>IFERROR(__xludf.DUMMYFUNCTION("iferror(join("","",index(sort(filter($F119:$F$386,$O119:$O$386&gt;$O118,$E119:$E$386=$E$2),2,false),0,1)))"),"")</f>
        <v/>
      </c>
      <c r="AM118" s="2" t="str">
        <f>IFERROR(__xludf.DUMMYFUNCTION("REGEXREPLACE(join("","",unique({let(conf_picked,filter(E$1:E117,D$1:D117=D118), byrow(unique(TRANSPOSe(Teams!$1:$1)),lambda(rw,if(ISERROR(match(rw,conf_picked,0)),rw,))));iferror(if(#REF!,,transpose(split(#REF!,"","",1,1))))})), ""^,"", """")"),"Big 12,Sun Belt")</f>
        <v>Big 12,Sun Belt</v>
      </c>
      <c r="AN118" s="86" t="str">
        <f>IFERROR(__xludf.DUMMYFUNCTION("iferror($O118-max(filter($O118:$O$386,arrayformula(isnumber(FIND($E118:$E$386,AM118))))))"),"")</f>
        <v/>
      </c>
      <c r="AO118" s="8">
        <f t="array" ref="AO118">countifs($O$2:$O117,"&lt;"&amp;$O118,isnumber(FIND($E$2:$E117,AM118)),TRUE)</f>
        <v>5</v>
      </c>
      <c r="AP118" s="8">
        <f>IFERROR(__xludf.DUMMYFUNCTION("iferror(COUNT(filter($O119:$O$386,$O119:$O$386&gt;$O118,arrayformula(isnumber(FIND($E119:$E$386,AM118))))))"),0.0)</f>
        <v>0</v>
      </c>
      <c r="AQ118" s="16">
        <f t="shared" si="10"/>
        <v>1</v>
      </c>
      <c r="AR118" s="88" t="str">
        <f>IFERROR(__xludf.DUMMYFUNCTION("iferror($O118-min(filter($O118:$O$386,arrayformula(isnumber(FIND($E118:$E$386,AM118))))))"),"")</f>
        <v/>
      </c>
      <c r="AS118" s="89" t="str">
        <f>IFERROR(__xludf.DUMMYFUNCTION("iferror(join("","",index(sort(filter($F119:$F$386,$O119:$O$386&gt;$O118,arrayformula(isnumber(FIND($E119:$E$386,AM118)))),2,false),0,1)))"),"")</f>
        <v/>
      </c>
    </row>
    <row r="119">
      <c r="A119" s="13">
        <f t="shared" si="11"/>
        <v>118</v>
      </c>
      <c r="B119" s="13">
        <v>11.0</v>
      </c>
      <c r="C119" s="90">
        <v>18.0</v>
      </c>
      <c r="D119" s="13" t="s">
        <v>386</v>
      </c>
      <c r="E119" s="179" t="str">
        <f>if(F119&lt;&gt;"",VLOOKUP(F119,'Teams-Conference, for lookup'!A:B,2,0),"")</f>
        <v>CUSA</v>
      </c>
      <c r="F119" s="62" t="s">
        <v>458</v>
      </c>
      <c r="H119" s="97">
        <f>countif(E120:E124,E119)</f>
        <v>0</v>
      </c>
      <c r="I119" s="97">
        <f t="shared" si="33"/>
        <v>0</v>
      </c>
      <c r="J119" s="97">
        <f t="shared" si="12"/>
        <v>2</v>
      </c>
      <c r="K119" s="97">
        <f>countif(E99:E119,E120)</f>
        <v>2</v>
      </c>
      <c r="L119" s="2"/>
      <c r="M119" s="97">
        <f>IFERROR(__xludf.DUMMYFUNCTION("counta(iferror(filter(L$2:L118,E$2:E118=E119,L$2:L118&lt;L119)))"),0.0)</f>
        <v>0</v>
      </c>
      <c r="N119" s="97">
        <f>IFERROR(__xludf.DUMMYFUNCTION("counta(iferror(filter(L120:L$124,E120:E$124=E119,L120:L$125&gt;L119)))"),0.0)</f>
        <v>0</v>
      </c>
      <c r="O119" s="83">
        <f t="array" ref="O119:X119">XLOOKUP(F119,'Current Week'!B:B,'Current Week'!C:O)</f>
        <v>4</v>
      </c>
      <c r="P119" s="97">
        <v>8.0</v>
      </c>
      <c r="Q119" s="2"/>
      <c r="R119" s="2"/>
      <c r="S119" s="2"/>
      <c r="T119" s="2"/>
      <c r="U119" s="2"/>
      <c r="V119" s="2"/>
      <c r="W119" s="8"/>
      <c r="X119" s="2"/>
      <c r="Y119" s="2"/>
      <c r="Z119" s="2"/>
      <c r="AA119" s="86">
        <f t="shared" si="4"/>
        <v>0</v>
      </c>
      <c r="AB119" s="8">
        <f t="shared" si="5"/>
        <v>17</v>
      </c>
      <c r="AC119" s="8">
        <f>IFERROR(__xludf.DUMMYFUNCTION("iferror(COUNT(filter($O120:$O$386,$O120:$O$386&gt;$O119)))"),0.0)</f>
        <v>0</v>
      </c>
      <c r="AD119" s="16">
        <f t="shared" si="6"/>
        <v>1</v>
      </c>
      <c r="AE119" s="88">
        <f t="shared" si="7"/>
        <v>3</v>
      </c>
      <c r="AF119" s="2" t="str">
        <f>IFERROR(__xludf.DUMMYFUNCTION("iferror(join("","",index(sort(filter($F120:$F$387,$O120:$O$387&gt;$O119),2,false),0,1)))"),"")</f>
        <v/>
      </c>
      <c r="AG119" s="86">
        <f>IFERROR(__xludf.DUMMYFUNCTION("iferror($O119-max(filter($O119:$O$386,$E119:$E$386=$E$2)))"),2.0)</f>
        <v>2</v>
      </c>
      <c r="AH119" s="8">
        <f t="shared" si="8"/>
        <v>0</v>
      </c>
      <c r="AI119" s="8">
        <f>IFERROR(__xludf.DUMMYFUNCTION("iferror(COUNT(filter($O120:$O$386,$O120:$O$386&gt;$O119,$E119:$E$386=$E$2)))"),0.0)</f>
        <v>0</v>
      </c>
      <c r="AJ119" s="16">
        <f t="shared" si="9"/>
        <v>0</v>
      </c>
      <c r="AK119" s="88">
        <f>IFERROR(__xludf.DUMMYFUNCTION("iferror($O119-min(filter($O119:$O$386,$E119:$E$386=$E$2)))"),2.0)</f>
        <v>2</v>
      </c>
      <c r="AL119" s="2" t="str">
        <f>IFERROR(__xludf.DUMMYFUNCTION("iferror(join("","",index(sort(filter($F120:$F$386,$O120:$O$386&gt;$O119,$E120:$E$386=$E$2),2,false),0,1)))"),"")</f>
        <v/>
      </c>
      <c r="AM119" s="2" t="str">
        <f>IFERROR(__xludf.DUMMYFUNCTION("REGEXREPLACE(join("","",unique({let(conf_picked,filter(E$1:E118,D$1:D118=D119), byrow(unique(TRANSPOSe(Teams!$1:$1)),lambda(rw,if(ISERROR(match(rw,conf_picked,0)),rw,))));iferror(if(#REF!,,transpose(split(#REF!,"","",1,1))))})), ""^,"", """")"),"Big 12,Sun Belt")</f>
        <v>Big 12,Sun Belt</v>
      </c>
      <c r="AN119" s="86" t="str">
        <f>IFERROR(__xludf.DUMMYFUNCTION("iferror($O119-max(filter($O119:$O$386,arrayformula(isnumber(FIND($E119:$E$386,AM119))))))"),"")</f>
        <v/>
      </c>
      <c r="AO119" s="8">
        <f t="array" ref="AO119">countifs($O$2:$O118,"&lt;"&amp;$O119,isnumber(FIND($E$2:$E118,AM119)),TRUE)</f>
        <v>5</v>
      </c>
      <c r="AP119" s="8">
        <f>IFERROR(__xludf.DUMMYFUNCTION("iferror(COUNT(filter($O120:$O$386,$O120:$O$386&gt;$O119,arrayformula(isnumber(FIND($E120:$E$386,AM119))))))"),0.0)</f>
        <v>0</v>
      </c>
      <c r="AQ119" s="16">
        <f t="shared" si="10"/>
        <v>1</v>
      </c>
      <c r="AR119" s="88" t="str">
        <f>IFERROR(__xludf.DUMMYFUNCTION("iferror($O119-min(filter($O119:$O$386,arrayformula(isnumber(FIND($E119:$E$386,AM119))))))"),"")</f>
        <v/>
      </c>
      <c r="AS119" s="89" t="str">
        <f>IFERROR(__xludf.DUMMYFUNCTION("iferror(join("","",index(sort(filter($F120:$F$386,$O120:$O$386&gt;$O119,arrayformula(isnumber(FIND($E120:$E$386,AM119)))),2,false),0,1)))"),"")</f>
        <v/>
      </c>
    </row>
    <row r="120">
      <c r="A120" s="13">
        <f t="shared" si="11"/>
        <v>119</v>
      </c>
      <c r="B120" s="13">
        <v>11.0</v>
      </c>
      <c r="C120" s="90">
        <v>19.0</v>
      </c>
      <c r="D120" s="13" t="s">
        <v>386</v>
      </c>
      <c r="E120" s="179" t="str">
        <f>if(F120&lt;&gt;"",VLOOKUP(F120,'Teams-Conference, for lookup'!A:B,2,0),"")</f>
        <v>Pac12</v>
      </c>
      <c r="F120" s="59" t="s">
        <v>459</v>
      </c>
      <c r="H120" s="97">
        <f>countif(E121:E124,E120)</f>
        <v>0</v>
      </c>
      <c r="I120" s="97">
        <f t="shared" si="33"/>
        <v>0</v>
      </c>
      <c r="J120" s="97">
        <f t="shared" si="12"/>
        <v>0</v>
      </c>
      <c r="K120" s="97">
        <f>countif(E100:E120,#REF!)</f>
        <v>0</v>
      </c>
      <c r="L120" s="2"/>
      <c r="M120" s="97">
        <f>IFERROR(__xludf.DUMMYFUNCTION("counta(iferror(filter(L$2:L119,E$2:E119=E120,L$2:L119&lt;L120)))"),0.0)</f>
        <v>0</v>
      </c>
      <c r="N120" s="97">
        <f>IFERROR(__xludf.DUMMYFUNCTION("counta(iferror(filter(L121:L$124,E121:E$124=E120,L121:L$125&gt;L120)))"),0.0)</f>
        <v>0</v>
      </c>
      <c r="O120" s="83">
        <f t="array" ref="O120:X120">XLOOKUP(F120,'Current Week'!B:B,'Current Week'!C:O)</f>
        <v>4</v>
      </c>
      <c r="P120" s="97">
        <v>8.0</v>
      </c>
      <c r="Q120" s="2"/>
      <c r="R120" s="2"/>
      <c r="S120" s="2"/>
      <c r="T120" s="2"/>
      <c r="U120" s="2"/>
      <c r="V120" s="2"/>
      <c r="W120" s="8"/>
      <c r="X120" s="2"/>
      <c r="Y120" s="2"/>
      <c r="Z120" s="2"/>
      <c r="AA120" s="86">
        <f t="shared" si="4"/>
        <v>0</v>
      </c>
      <c r="AB120" s="8">
        <f t="shared" si="5"/>
        <v>17</v>
      </c>
      <c r="AC120" s="8">
        <f>IFERROR(__xludf.DUMMYFUNCTION("iferror(COUNT(filter($O121:$O$386,$O121:$O$386&gt;$O120)))"),0.0)</f>
        <v>0</v>
      </c>
      <c r="AD120" s="16">
        <f t="shared" si="6"/>
        <v>1</v>
      </c>
      <c r="AE120" s="88">
        <f t="shared" si="7"/>
        <v>3</v>
      </c>
      <c r="AF120" s="2" t="str">
        <f>IFERROR(__xludf.DUMMYFUNCTION("iferror(join("","",index(sort(filter($F121:$F$387,$O121:$O$387&gt;$O120),2,false),0,1)))"),"")</f>
        <v/>
      </c>
      <c r="AG120" s="86">
        <f>IFERROR(__xludf.DUMMYFUNCTION("iferror($O120-max(filter($O120:$O$386,$E120:$E$386=$E$2)))"),2.0)</f>
        <v>2</v>
      </c>
      <c r="AH120" s="8">
        <f t="shared" si="8"/>
        <v>0</v>
      </c>
      <c r="AI120" s="8">
        <f>IFERROR(__xludf.DUMMYFUNCTION("iferror(COUNT(filter($O121:$O$386,$O121:$O$386&gt;$O120,$E120:$E$386=$E$2)))"),0.0)</f>
        <v>0</v>
      </c>
      <c r="AJ120" s="16">
        <f t="shared" si="9"/>
        <v>0</v>
      </c>
      <c r="AK120" s="88">
        <f>IFERROR(__xludf.DUMMYFUNCTION("iferror($O120-min(filter($O120:$O$386,$E120:$E$386=$E$2)))"),2.0)</f>
        <v>2</v>
      </c>
      <c r="AL120" s="2" t="str">
        <f>IFERROR(__xludf.DUMMYFUNCTION("iferror(join("","",index(sort(filter($F121:$F$386,$O121:$O$386&gt;$O120,$E121:$E$386=$E$2),2,false),0,1)))"),"")</f>
        <v/>
      </c>
      <c r="AM120" s="2" t="str">
        <f>IFERROR(__xludf.DUMMYFUNCTION("REGEXREPLACE(join("","",unique({let(conf_picked,filter(E$1:E119,D$1:D119=D120), byrow(unique(TRANSPOSe(Teams!$1:$1)),lambda(rw,if(ISERROR(match(rw,conf_picked,0)),rw,))));iferror(if(#REF!,,transpose(split(#REF!,"","",1,1))))})), ""^,"", """")"),"Big 12,Sun Belt")</f>
        <v>Big 12,Sun Belt</v>
      </c>
      <c r="AN120" s="86" t="str">
        <f>IFERROR(__xludf.DUMMYFUNCTION("iferror($O120-max(filter($O120:$O$386,arrayformula(isnumber(FIND($E120:$E$386,AM120))))))"),"")</f>
        <v/>
      </c>
      <c r="AO120" s="8">
        <f t="array" ref="AO120">countifs($O$2:$O119,"&lt;"&amp;$O120,isnumber(FIND($E$2:$E119,AM120)),TRUE)</f>
        <v>5</v>
      </c>
      <c r="AP120" s="8">
        <f>IFERROR(__xludf.DUMMYFUNCTION("iferror(COUNT(filter($O121:$O$386,$O121:$O$386&gt;$O120,arrayformula(isnumber(FIND($E121:$E$386,AM120))))))"),0.0)</f>
        <v>0</v>
      </c>
      <c r="AQ120" s="16">
        <f t="shared" si="10"/>
        <v>1</v>
      </c>
      <c r="AR120" s="88" t="str">
        <f>IFERROR(__xludf.DUMMYFUNCTION("iferror($O120-min(filter($O120:$O$386,arrayformula(isnumber(FIND($E120:$E$386,AM120))))))"),"")</f>
        <v/>
      </c>
      <c r="AS120" s="89" t="str">
        <f>IFERROR(__xludf.DUMMYFUNCTION("iferror(join("","",index(sort(filter($F121:$F$386,$O121:$O$386&gt;$O120,arrayformula(isnumber(FIND($E121:$E$386,AM120)))),2,false),0,1)))"),"")</f>
        <v/>
      </c>
    </row>
    <row r="121">
      <c r="A121" s="13">
        <f t="shared" si="11"/>
        <v>120</v>
      </c>
      <c r="B121" s="13">
        <v>11.0</v>
      </c>
      <c r="C121" s="90">
        <v>20.0</v>
      </c>
      <c r="D121" s="13" t="s">
        <v>386</v>
      </c>
      <c r="E121" s="179" t="str">
        <f>if(F121&lt;&gt;"",VLOOKUP(F121,'Teams-Conference, for lookup'!A:B,2,0),"")</f>
        <v>SEC</v>
      </c>
      <c r="F121" s="59" t="s">
        <v>460</v>
      </c>
      <c r="H121" s="97">
        <f>countif(E122:E124,E121)</f>
        <v>0</v>
      </c>
      <c r="I121" s="97">
        <f t="shared" si="33"/>
        <v>0</v>
      </c>
      <c r="J121" s="97">
        <f t="shared" si="12"/>
        <v>1</v>
      </c>
      <c r="K121" s="2"/>
      <c r="L121" s="2"/>
      <c r="M121" s="97">
        <f>IFERROR(__xludf.DUMMYFUNCTION("counta(iferror(filter(L$2:L120,E$2:E120=E121,L$2:L120&lt;L121)))"),0.0)</f>
        <v>0</v>
      </c>
      <c r="N121" s="97">
        <f>IFERROR(__xludf.DUMMYFUNCTION("counta(iferror(filter(L122:L$124,E122:E$124=E121,L122:L$125&gt;L121)))"),0.0)</f>
        <v>0</v>
      </c>
      <c r="O121" s="83">
        <f t="array" ref="O121:X121">XLOOKUP(F121,'Current Week'!B:B,'Current Week'!C:O)</f>
        <v>4</v>
      </c>
      <c r="P121" s="97">
        <v>8.0</v>
      </c>
      <c r="Q121" s="2"/>
      <c r="R121" s="2"/>
      <c r="S121" s="2"/>
      <c r="T121" s="2"/>
      <c r="U121" s="2"/>
      <c r="V121" s="2"/>
      <c r="W121" s="8"/>
      <c r="X121" s="2"/>
      <c r="Y121" s="2"/>
      <c r="Z121" s="2"/>
      <c r="AA121" s="86">
        <f t="shared" si="4"/>
        <v>0</v>
      </c>
      <c r="AB121" s="8">
        <f t="shared" si="5"/>
        <v>17</v>
      </c>
      <c r="AC121" s="8">
        <f>IFERROR(__xludf.DUMMYFUNCTION("iferror(COUNT(filter($O122:$O$386,$O122:$O$386&gt;$O121)))"),0.0)</f>
        <v>0</v>
      </c>
      <c r="AD121" s="16">
        <f t="shared" si="6"/>
        <v>1</v>
      </c>
      <c r="AE121" s="88">
        <f t="shared" si="7"/>
        <v>3</v>
      </c>
      <c r="AF121" s="2" t="str">
        <f>IFERROR(__xludf.DUMMYFUNCTION("iferror(join("","",index(sort(filter($F122:$F$387,$O122:$O$387&gt;$O121),2,false),0,1)))"),"")</f>
        <v/>
      </c>
      <c r="AG121" s="86">
        <f>IFERROR(__xludf.DUMMYFUNCTION("iferror($O121-max(filter($O121:$O$386,$E121:$E$386=$E$2)))"),2.0)</f>
        <v>2</v>
      </c>
      <c r="AH121" s="8">
        <f t="shared" si="8"/>
        <v>0</v>
      </c>
      <c r="AI121" s="8">
        <f>IFERROR(__xludf.DUMMYFUNCTION("iferror(COUNT(filter($O122:$O$386,$O122:$O$386&gt;$O121,$E121:$E$386=$E$2)))"),0.0)</f>
        <v>0</v>
      </c>
      <c r="AJ121" s="16">
        <f t="shared" si="9"/>
        <v>0</v>
      </c>
      <c r="AK121" s="88">
        <f>IFERROR(__xludf.DUMMYFUNCTION("iferror($O121-min(filter($O121:$O$386,$E121:$E$386=$E$2)))"),2.0)</f>
        <v>2</v>
      </c>
      <c r="AL121" s="2" t="str">
        <f>IFERROR(__xludf.DUMMYFUNCTION("iferror(join("","",index(sort(filter($F122:$F$386,$O122:$O$386&gt;$O121,$E122:$E$386=$E$2),2,false),0,1)))"),"")</f>
        <v/>
      </c>
      <c r="AM121" s="2" t="str">
        <f>IFERROR(__xludf.DUMMYFUNCTION("REGEXREPLACE(join("","",unique({let(conf_picked,filter(E$1:E120,D$1:D120=D121), byrow(unique(TRANSPOSe(Teams!$1:$1)),lambda(rw,if(ISERROR(match(rw,conf_picked,0)),rw,))));iferror(if(#REF!,,transpose(split(#REF!,"","",1,1))))})), ""^,"", """")"),"Big 12,Sun Belt")</f>
        <v>Big 12,Sun Belt</v>
      </c>
      <c r="AN121" s="86" t="str">
        <f>IFERROR(__xludf.DUMMYFUNCTION("iferror($O121-max(filter($O121:$O$386,arrayformula(isnumber(FIND($E121:$E$386,AM121))))))"),"")</f>
        <v/>
      </c>
      <c r="AO121" s="8">
        <f t="array" ref="AO121">countifs($O$2:$O120,"&lt;"&amp;$O121,isnumber(FIND($E$2:$E120,AM121)),TRUE)</f>
        <v>5</v>
      </c>
      <c r="AP121" s="8">
        <f>IFERROR(__xludf.DUMMYFUNCTION("iferror(COUNT(filter($O122:$O$386,$O122:$O$386&gt;$O121,arrayformula(isnumber(FIND($E122:$E$386,AM121))))))"),0.0)</f>
        <v>0</v>
      </c>
      <c r="AQ121" s="16">
        <f t="shared" si="10"/>
        <v>1</v>
      </c>
      <c r="AR121" s="88" t="str">
        <f>IFERROR(__xludf.DUMMYFUNCTION("iferror($O121-min(filter($O121:$O$386,arrayformula(isnumber(FIND($E121:$E$386,AM121))))))"),"")</f>
        <v/>
      </c>
      <c r="AS121" s="89" t="str">
        <f>IFERROR(__xludf.DUMMYFUNCTION("iferror(join("","",index(sort(filter($F122:$F$386,$O122:$O$386&gt;$O121,arrayformula(isnumber(FIND($E122:$E$386,AM121)))),2,false),0,1)))"),"")</f>
        <v/>
      </c>
    </row>
    <row r="122">
      <c r="A122" s="13">
        <f t="shared" si="11"/>
        <v>121</v>
      </c>
      <c r="B122" s="13">
        <v>11.0</v>
      </c>
      <c r="C122" s="90">
        <v>21.0</v>
      </c>
      <c r="D122" s="13" t="s">
        <v>386</v>
      </c>
      <c r="E122" s="179" t="str">
        <f>if(F122&lt;&gt;"",VLOOKUP(F122,'Teams-Conference, for lookup'!A:B,2,0),"")</f>
        <v>Big Ten</v>
      </c>
      <c r="F122" s="59" t="s">
        <v>461</v>
      </c>
      <c r="H122" s="97">
        <f t="shared" ref="H122:H124" si="35">countif(E123:E124,E122)</f>
        <v>1</v>
      </c>
      <c r="I122" s="97">
        <f t="shared" si="33"/>
        <v>1</v>
      </c>
      <c r="J122" s="97">
        <f t="shared" si="12"/>
        <v>0</v>
      </c>
      <c r="K122" s="2"/>
      <c r="L122" s="2"/>
      <c r="M122" s="97">
        <f>IFERROR(__xludf.DUMMYFUNCTION("counta(iferror(filter(L$2:L121,E$2:E121=E122,L$2:L121&lt;L122)))"),0.0)</f>
        <v>0</v>
      </c>
      <c r="N122" s="97">
        <f>IFERROR(__xludf.DUMMYFUNCTION("counta(iferror(filter(L123:L$124,E123:E$124=E122,L123:L$125&gt;L122)))"),0.0)</f>
        <v>0</v>
      </c>
      <c r="O122" s="83">
        <f t="array" ref="O122:X122">XLOOKUP(F122,'Current Week'!B:B,'Current Week'!C:O)</f>
        <v>3</v>
      </c>
      <c r="P122" s="97">
        <v>9.0</v>
      </c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86">
        <f t="shared" si="4"/>
        <v>0</v>
      </c>
      <c r="AB122" s="8">
        <f t="shared" si="5"/>
        <v>4</v>
      </c>
      <c r="AC122" s="8">
        <f>IFERROR(__xludf.DUMMYFUNCTION("iferror(COUNT(filter($O123:$O$386,$O123:$O$386&gt;$O122)))"),0.0)</f>
        <v>0</v>
      </c>
      <c r="AD122" s="16">
        <f t="shared" si="6"/>
        <v>1</v>
      </c>
      <c r="AE122" s="88">
        <f t="shared" si="7"/>
        <v>2</v>
      </c>
      <c r="AF122" s="2" t="str">
        <f>IFERROR(__xludf.DUMMYFUNCTION("iferror(join("","",index(sort(filter($F123:$F$387,$O123:$O$387&gt;$O122),2,false),0,1)))"),"")</f>
        <v/>
      </c>
      <c r="AG122" s="86">
        <f>IFERROR(__xludf.DUMMYFUNCTION("iferror($O122-max(filter($O122:$O$386,$E122:$E$386=$E$2)))"),1.0)</f>
        <v>1</v>
      </c>
      <c r="AH122" s="8">
        <f t="shared" si="8"/>
        <v>0</v>
      </c>
      <c r="AI122" s="8">
        <f>IFERROR(__xludf.DUMMYFUNCTION("iferror(COUNT(filter($O123:$O$386,$O123:$O$386&gt;$O122,$E122:$E$386=$E$2)))"),0.0)</f>
        <v>0</v>
      </c>
      <c r="AJ122" s="16">
        <f t="shared" si="9"/>
        <v>0</v>
      </c>
      <c r="AK122" s="88">
        <f>IFERROR(__xludf.DUMMYFUNCTION("iferror($O122-min(filter($O122:$O$386,$E122:$E$386=$E$2)))"),1.0)</f>
        <v>1</v>
      </c>
      <c r="AL122" s="2" t="str">
        <f>IFERROR(__xludf.DUMMYFUNCTION("iferror(join("","",index(sort(filter($F123:$F$386,$O123:$O$386&gt;$O122,$E123:$E$386=$E$2),2,false),0,1)))"),"")</f>
        <v/>
      </c>
      <c r="AM122" s="2" t="str">
        <f>IFERROR(__xludf.DUMMYFUNCTION("REGEXREPLACE(join("","",unique({let(conf_picked,filter(E$1:E121,D$1:D121=D122), byrow(unique(TRANSPOSe(Teams!$1:$1)),lambda(rw,if(ISERROR(match(rw,conf_picked,0)),rw,))));iferror(if(#REF!,,transpose(split(#REF!,"","",1,1))))})), ""^,"", """")"),"Big 12,Sun Belt")</f>
        <v>Big 12,Sun Belt</v>
      </c>
      <c r="AN122" s="86" t="str">
        <f>IFERROR(__xludf.DUMMYFUNCTION("iferror($O122-max(filter($O122:$O$386,arrayformula(isnumber(FIND($E122:$E$386,AM122))))))"),"")</f>
        <v/>
      </c>
      <c r="AO122" s="8">
        <f t="array" ref="AO122">countifs($O$2:$O121,"&lt;"&amp;$O122,isnumber(FIND($E$2:$E121,AM122)),TRUE)</f>
        <v>2</v>
      </c>
      <c r="AP122" s="8">
        <f>IFERROR(__xludf.DUMMYFUNCTION("iferror(COUNT(filter($O123:$O$386,$O123:$O$386&gt;$O122,arrayformula(isnumber(FIND($E123:$E$386,AM122))))))"),0.0)</f>
        <v>0</v>
      </c>
      <c r="AQ122" s="16">
        <f t="shared" si="10"/>
        <v>1</v>
      </c>
      <c r="AR122" s="88" t="str">
        <f>IFERROR(__xludf.DUMMYFUNCTION("iferror($O122-min(filter($O122:$O$386,arrayformula(isnumber(FIND($E122:$E$386,AM122))))))"),"")</f>
        <v/>
      </c>
      <c r="AS122" s="89" t="str">
        <f>IFERROR(__xludf.DUMMYFUNCTION("iferror(join("","",index(sort(filter($F123:$F$386,$O123:$O$386&gt;$O122,arrayformula(isnumber(FIND($E123:$E$386,AM122)))),2,false),0,1)))"),"")</f>
        <v/>
      </c>
    </row>
    <row r="123">
      <c r="A123" s="13">
        <f t="shared" si="11"/>
        <v>122</v>
      </c>
      <c r="B123" s="13">
        <v>11.0</v>
      </c>
      <c r="C123" s="90">
        <v>22.0</v>
      </c>
      <c r="D123" s="13" t="s">
        <v>386</v>
      </c>
      <c r="E123" s="179" t="str">
        <f>if(F123&lt;&gt;"",VLOOKUP(F123,'Teams-Conference, for lookup'!A:B,2,0),"")</f>
        <v>ACC</v>
      </c>
      <c r="F123" s="61" t="s">
        <v>462</v>
      </c>
      <c r="H123" s="97">
        <f t="shared" si="35"/>
        <v>0</v>
      </c>
      <c r="I123" s="97">
        <f t="shared" si="33"/>
        <v>0</v>
      </c>
      <c r="J123" s="97">
        <f t="shared" si="12"/>
        <v>2</v>
      </c>
      <c r="K123" s="2"/>
      <c r="L123" s="2"/>
      <c r="M123" s="97">
        <f>IFERROR(__xludf.DUMMYFUNCTION("counta(iferror(filter(L$2:L122,E$2:E122=E123,L$2:L122&lt;L123)))"),0.0)</f>
        <v>0</v>
      </c>
      <c r="N123" s="97">
        <f>IFERROR(__xludf.DUMMYFUNCTION("counta(iferror(filter(L124:L$124,E124:E$124=E123,L124:L$125&gt;L123)))"),0.0)</f>
        <v>0</v>
      </c>
      <c r="O123" s="83">
        <f t="array" ref="O123:X123">XLOOKUP(F123,'Current Week'!B:B,'Current Week'!C:O)</f>
        <v>2</v>
      </c>
      <c r="P123" s="97">
        <v>10.0</v>
      </c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86">
        <f t="shared" si="4"/>
        <v>0</v>
      </c>
      <c r="AB123" s="8">
        <f t="shared" si="5"/>
        <v>1</v>
      </c>
      <c r="AC123" s="8">
        <f>IFERROR(__xludf.DUMMYFUNCTION("iferror(COUNT(filter($O124:$O$386,$O124:$O$386&gt;$O123)))"),0.0)</f>
        <v>0</v>
      </c>
      <c r="AD123" s="16">
        <f t="shared" si="6"/>
        <v>1</v>
      </c>
      <c r="AE123" s="88">
        <f t="shared" si="7"/>
        <v>1</v>
      </c>
      <c r="AF123" s="2" t="str">
        <f>IFERROR(__xludf.DUMMYFUNCTION("iferror(join("","",index(sort(filter($F124:$F$387,$O124:$O$387&gt;$O123),2,false),0,1)))"),"")</f>
        <v/>
      </c>
      <c r="AG123" s="86">
        <f>IFERROR(__xludf.DUMMYFUNCTION("iferror($O123-max(filter($O123:$O$386,$E123:$E$386=$E$2)))"),0.0)</f>
        <v>0</v>
      </c>
      <c r="AH123" s="8">
        <f t="shared" si="8"/>
        <v>0</v>
      </c>
      <c r="AI123" s="8">
        <f>IFERROR(__xludf.DUMMYFUNCTION("iferror(COUNT(filter($O124:$O$386,$O124:$O$386&gt;$O123,$E123:$E$386=$E$2)))"),0.0)</f>
        <v>0</v>
      </c>
      <c r="AJ123" s="16">
        <f t="shared" si="9"/>
        <v>1</v>
      </c>
      <c r="AK123" s="88">
        <f>IFERROR(__xludf.DUMMYFUNCTION("iferror($O123-min(filter($O123:$O$386,$E123:$E$386=$E$2)))"),0.0)</f>
        <v>0</v>
      </c>
      <c r="AL123" s="2" t="str">
        <f>IFERROR(__xludf.DUMMYFUNCTION("iferror(join("","",index(sort(filter($F124:$F$386,$O124:$O$386&gt;$O123,$E124:$E$386=$E$2),2,false),0,1)))"),"")</f>
        <v/>
      </c>
      <c r="AM123" s="2" t="str">
        <f>IFERROR(__xludf.DUMMYFUNCTION("REGEXREPLACE(join("","",unique({let(conf_picked,filter(E$1:E122,D$1:D122=D123), byrow(unique(TRANSPOSe(Teams!$1:$1)),lambda(rw,if(ISERROR(match(rw,conf_picked,0)),rw,))));iferror(if(#REF!,,transpose(split(#REF!,"","",1,1))))})), ""^,"", """")"),"Big 12,Sun Belt")</f>
        <v>Big 12,Sun Belt</v>
      </c>
      <c r="AN123" s="86" t="str">
        <f>IFERROR(__xludf.DUMMYFUNCTION("iferror($O123-max(filter($O123:$O$386,arrayformula(isnumber(FIND($E123:$E$386,AM123))))))"),"")</f>
        <v/>
      </c>
      <c r="AO123" s="8">
        <f t="array" ref="AO123">countifs($O$2:$O122,"&lt;"&amp;$O123,isnumber(FIND($E$2:$E122,AM123)),TRUE)</f>
        <v>0</v>
      </c>
      <c r="AP123" s="8">
        <f>IFERROR(__xludf.DUMMYFUNCTION("iferror(COUNT(filter($O124:$O$386,$O124:$O$386&gt;$O123,arrayformula(isnumber(FIND($E124:$E$386,AM123))))))"),0.0)</f>
        <v>0</v>
      </c>
      <c r="AQ123" s="16">
        <f t="shared" si="10"/>
        <v>1</v>
      </c>
      <c r="AR123" s="88" t="str">
        <f>IFERROR(__xludf.DUMMYFUNCTION("iferror($O123-min(filter($O123:$O$386,arrayformula(isnumber(FIND($E123:$E$386,AM123))))))"),"")</f>
        <v/>
      </c>
      <c r="AS123" s="89" t="str">
        <f>IFERROR(__xludf.DUMMYFUNCTION("iferror(join("","",index(sort(filter($F124:$F$386,$O124:$O$386&gt;$O123,arrayformula(isnumber(FIND($E124:$E$386,AM123)))),2,false),0,1)))"),"")</f>
        <v/>
      </c>
    </row>
    <row r="124">
      <c r="A124" s="13">
        <f t="shared" si="11"/>
        <v>123</v>
      </c>
      <c r="B124" s="13">
        <v>11.0</v>
      </c>
      <c r="C124" s="90">
        <v>23.0</v>
      </c>
      <c r="D124" s="13" t="s">
        <v>386</v>
      </c>
      <c r="E124" s="179" t="str">
        <f>if(F124&lt;&gt;"",VLOOKUP(F124,'Teams-Conference, for lookup'!A:B,2,0),"")</f>
        <v>Big Ten</v>
      </c>
      <c r="F124" s="59" t="s">
        <v>463</v>
      </c>
      <c r="H124" s="97">
        <f t="shared" si="35"/>
        <v>0</v>
      </c>
      <c r="I124" s="97">
        <f t="shared" si="33"/>
        <v>0</v>
      </c>
      <c r="J124" s="97">
        <f t="shared" si="12"/>
        <v>1</v>
      </c>
      <c r="K124" s="2"/>
      <c r="L124" s="2"/>
      <c r="M124" s="97">
        <f>IFERROR(__xludf.DUMMYFUNCTION("counta(iferror(filter(L$2:L123,E$2:E123=E124,L$2:L123&lt;L124)))"),0.0)</f>
        <v>0</v>
      </c>
      <c r="N124" s="97">
        <f>IFERROR(__xludf.DUMMYFUNCTION("counta(iferror(filter(#REF!,#REF!=E124,L125:L$125&gt;L124)))"),0.0)</f>
        <v>0</v>
      </c>
      <c r="O124" s="83">
        <f t="array" ref="O124:X124">XLOOKUP(F124,'Current Week'!B:B,'Current Week'!C:O)</f>
        <v>2</v>
      </c>
      <c r="P124" s="97">
        <v>10.0</v>
      </c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86">
        <f t="shared" si="4"/>
        <v>0</v>
      </c>
      <c r="AB124" s="8">
        <f t="shared" si="5"/>
        <v>1</v>
      </c>
      <c r="AC124" s="8">
        <f>IFERROR(__xludf.DUMMYFUNCTION("iferror(COUNT(filter($O125:$O$386,$O125:$O$386&gt;$O124)))"),0.0)</f>
        <v>0</v>
      </c>
      <c r="AD124" s="16">
        <f t="shared" si="6"/>
        <v>1</v>
      </c>
      <c r="AE124" s="88">
        <f t="shared" si="7"/>
        <v>1</v>
      </c>
      <c r="AF124" s="2" t="str">
        <f>IFERROR(__xludf.DUMMYFUNCTION("iferror(join("","",index(sort(filter($F125:$F$387,$O125:$O$387&gt;$O124),2,false),0,1)))"),"")</f>
        <v/>
      </c>
      <c r="AG124" s="193" t="str">
        <f>IFERROR(__xludf.DUMMYFUNCTION("iferror($O124-max(filter($O124:$O$386,$E124:$E$386=$E$2)))"),"")</f>
        <v/>
      </c>
      <c r="AH124" s="8">
        <f t="shared" si="8"/>
        <v>0</v>
      </c>
      <c r="AI124" s="8">
        <f>IFERROR(__xludf.DUMMYFUNCTION("iferror(COUNT(filter($O125:$O$386,$O125:$O$386&gt;$O124,$E124:$E$386=$E$2)))"),0.0)</f>
        <v>0</v>
      </c>
      <c r="AJ124" s="16">
        <f t="shared" si="9"/>
        <v>1</v>
      </c>
      <c r="AK124" s="88" t="str">
        <f>IFERROR(__xludf.DUMMYFUNCTION("iferror($O124-min(filter($O124:$O$386,$E124:$E$386=$E$2)))"),"")</f>
        <v/>
      </c>
      <c r="AL124" s="2" t="str">
        <f>IFERROR(__xludf.DUMMYFUNCTION("iferror(join("","",index(sort(filter($F125:$F$386,$O125:$O$386&gt;$O124,$E125:$E$386=$E$2),2,false),0,1)))"),"")</f>
        <v/>
      </c>
      <c r="AM124" s="2" t="str">
        <f>IFERROR(__xludf.DUMMYFUNCTION("REGEXREPLACE(join("","",unique({let(conf_picked,filter(E$1:E123,D$1:D123=D124), byrow(unique(TRANSPOSe(Teams!$1:$1)),lambda(rw,if(ISERROR(match(rw,conf_picked,0)),rw,))));iferror(if(#REF!,,transpose(split(#REF!,"","",1,1))))})), ""^,"", """")"),"Big 12,Sun Belt")</f>
        <v>Big 12,Sun Belt</v>
      </c>
      <c r="AN124" s="86" t="str">
        <f>IFERROR(__xludf.DUMMYFUNCTION("iferror($O124-max(filter($O124:$O$386,arrayformula(isnumber(FIND($E124:$E$386,AM124))))))"),"")</f>
        <v/>
      </c>
      <c r="AO124" s="8">
        <f t="array" ref="AO124">countifs($O$2:$O123,"&lt;"&amp;$O124,isnumber(FIND($E$2:$E123,AM124)),TRUE)</f>
        <v>0</v>
      </c>
      <c r="AP124" s="8">
        <f>IFERROR(__xludf.DUMMYFUNCTION("iferror(COUNT(filter($O125:$O$386,$O125:$O$386&gt;$O124,arrayformula(isnumber(FIND($E125:$E$386,AM124))))))"),0.0)</f>
        <v>0</v>
      </c>
      <c r="AQ124" s="16">
        <f t="shared" si="10"/>
        <v>1</v>
      </c>
      <c r="AR124" s="88" t="str">
        <f>IFERROR(__xludf.DUMMYFUNCTION("iferror($O124-min(filter($O124:$O$386,arrayformula(isnumber(FIND($E124:$E$386,AM124))))))"),"")</f>
        <v/>
      </c>
      <c r="AS124" s="89" t="str">
        <f>IFERROR(__xludf.DUMMYFUNCTION("iferror(join("","",index(sort(filter($F125:$F$386,$O125:$O$386&gt;$O124,arrayformula(isnumber(FIND($E125:$E$386,AM124)))),2,false),0,1)))"),"")</f>
        <v/>
      </c>
    </row>
  </sheetData>
  <customSheetViews>
    <customSheetView guid="{2937C26D-94EF-440F-959F-AB4E98A13B69}" filter="1" showAutoFilter="1">
      <autoFilter ref="$A$1:$G$124">
        <filterColumn colId="0">
          <filters>
            <filter val="88"/>
            <filter val="89"/>
            <filter val="110"/>
            <filter val="111"/>
            <filter val="112"/>
            <filter val="113"/>
            <filter val="114"/>
            <filter val="115"/>
            <filter val="116"/>
            <filter val="90"/>
            <filter val="117"/>
            <filter val="91"/>
            <filter val="118"/>
            <filter val="92"/>
            <filter val="119"/>
            <filter val="93"/>
            <filter val="94"/>
            <filter val="95"/>
            <filter val="96"/>
            <filter val="97"/>
            <filter val="10"/>
            <filter val="98"/>
            <filter val="11"/>
            <filter val="99"/>
            <filter val="12"/>
            <filter val="13"/>
            <filter val="14"/>
            <filter val="15"/>
            <filter val="16"/>
            <filter val="17"/>
            <filter val="18"/>
            <filter val="19"/>
            <filter val="120"/>
            <filter val="121"/>
            <filter val="122"/>
            <filter val="123"/>
            <filter val="5"/>
            <filter val="6"/>
            <filter val="7"/>
            <filter val="8"/>
            <filter val="9"/>
            <filter val="20"/>
            <filter val="21"/>
            <filter val="22"/>
            <filter val="23"/>
            <filter val="24"/>
            <filter val="25"/>
            <filter val="26"/>
            <filter val="27"/>
            <filter val="28"/>
            <filter val="29"/>
            <filter val="30"/>
            <filter val="31"/>
            <filter val="32"/>
            <filter val="33"/>
            <filter val="34"/>
            <filter val="35"/>
            <filter val="36"/>
            <filter val="37"/>
            <filter val="38"/>
            <filter val="39"/>
            <filter val="40"/>
            <filter val="41"/>
            <filter val="42"/>
            <filter val="43"/>
            <filter val="44"/>
            <filter val="45"/>
            <filter val="46"/>
            <filter val="47"/>
            <filter val="48"/>
            <filter val="49"/>
            <filter val="50"/>
            <filter val="51"/>
            <filter val="52"/>
            <filter val="53"/>
            <filter val="54"/>
            <filter val="55"/>
            <filter val="56"/>
            <filter val="57"/>
            <filter val="58"/>
            <filter val="59"/>
            <filter val="60"/>
            <filter val="61"/>
            <filter val="62"/>
            <filter val="63"/>
            <filter val="64"/>
            <filter val="65"/>
            <filter val="66"/>
            <filter val="67"/>
            <filter val="68"/>
            <filter val="69"/>
            <filter val="70"/>
            <filter val="71"/>
            <filter val="72"/>
            <filter val="73"/>
            <filter val="74"/>
            <filter val="75"/>
            <filter val="76"/>
            <filter val="77"/>
            <filter val="78"/>
            <filter val="79"/>
            <filter val="100"/>
            <filter val="101"/>
            <filter val="102"/>
            <filter val="103"/>
            <filter val="104"/>
            <filter val="105"/>
            <filter val="106"/>
            <filter val="80"/>
            <filter val="107"/>
            <filter val="81"/>
            <filter val="108"/>
            <filter val="82"/>
            <filter val="109"/>
            <filter val="83"/>
            <filter val="84"/>
            <filter val="85"/>
            <filter val="86"/>
            <filter val="87"/>
          </filters>
        </filterColumn>
      </autoFilter>
    </customSheetView>
  </customSheetViews>
  <hyperlinks>
    <hyperlink r:id="rId2" ref="Q49"/>
  </hyperlinks>
  <drawing r:id="rId3"/>
  <legacyDrawing r:id="rId4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.63"/>
    <col customWidth="1" min="2" max="2" width="8.5"/>
    <col customWidth="1" hidden="1" min="3" max="3" width="7.75"/>
  </cols>
  <sheetData>
    <row r="1">
      <c r="A1" s="100"/>
      <c r="B1" s="101" t="s">
        <v>4</v>
      </c>
      <c r="C1" s="102" t="s">
        <v>621</v>
      </c>
    </row>
    <row r="2">
      <c r="A2" s="100">
        <f t="shared" ref="A2:A11" si="1">A1+1</f>
        <v>1</v>
      </c>
      <c r="B2" s="78" t="s">
        <v>12</v>
      </c>
      <c r="C2" s="103">
        <f t="shared" ref="C2:C11" si="2">RAND()</f>
        <v>0.5481252266</v>
      </c>
    </row>
    <row r="3">
      <c r="A3" s="100">
        <f t="shared" si="1"/>
        <v>2</v>
      </c>
      <c r="B3" s="91" t="s">
        <v>14</v>
      </c>
      <c r="C3" s="103">
        <f t="shared" si="2"/>
        <v>0.8023540756</v>
      </c>
    </row>
    <row r="4">
      <c r="A4" s="100">
        <f t="shared" si="1"/>
        <v>3</v>
      </c>
      <c r="B4" s="91" t="s">
        <v>25</v>
      </c>
      <c r="C4" s="103">
        <f t="shared" si="2"/>
        <v>0.5275908142</v>
      </c>
    </row>
    <row r="5">
      <c r="A5" s="100">
        <f t="shared" si="1"/>
        <v>4</v>
      </c>
      <c r="B5" s="91" t="s">
        <v>21</v>
      </c>
      <c r="C5" s="103">
        <f t="shared" si="2"/>
        <v>0.5917830818</v>
      </c>
    </row>
    <row r="6">
      <c r="A6" s="100">
        <f t="shared" si="1"/>
        <v>5</v>
      </c>
      <c r="B6" s="91" t="s">
        <v>19</v>
      </c>
      <c r="C6" s="103">
        <f t="shared" si="2"/>
        <v>0.540950195</v>
      </c>
    </row>
    <row r="7">
      <c r="A7" s="100">
        <f t="shared" si="1"/>
        <v>6</v>
      </c>
      <c r="B7" s="91" t="s">
        <v>17</v>
      </c>
      <c r="C7" s="103">
        <f t="shared" si="2"/>
        <v>0.2033575852</v>
      </c>
    </row>
    <row r="8">
      <c r="A8" s="100">
        <f t="shared" si="1"/>
        <v>7</v>
      </c>
      <c r="B8" s="91" t="s">
        <v>22</v>
      </c>
      <c r="C8" s="103">
        <f t="shared" si="2"/>
        <v>0.2105836969</v>
      </c>
    </row>
    <row r="9">
      <c r="A9" s="100">
        <f t="shared" si="1"/>
        <v>8</v>
      </c>
      <c r="B9" s="91" t="s">
        <v>18</v>
      </c>
      <c r="C9" s="103">
        <f t="shared" si="2"/>
        <v>0.4584163733</v>
      </c>
    </row>
    <row r="10">
      <c r="A10" s="100">
        <f t="shared" si="1"/>
        <v>9</v>
      </c>
      <c r="B10" s="91" t="s">
        <v>20</v>
      </c>
      <c r="C10" s="103">
        <f t="shared" si="2"/>
        <v>0.208827422</v>
      </c>
    </row>
    <row r="11">
      <c r="A11" s="100">
        <f t="shared" si="1"/>
        <v>10</v>
      </c>
      <c r="B11" s="13" t="s">
        <v>16</v>
      </c>
      <c r="C11" s="103">
        <f t="shared" si="2"/>
        <v>0.9539180346</v>
      </c>
    </row>
  </sheetData>
  <autoFilter ref="$B$1:$C$11">
    <sortState ref="B1:C11">
      <sortCondition ref="C1:C11"/>
    </sortState>
  </autoFilter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05" t="str">
        <f>if(iserror(offset('Teams Available'!$A1,0,match(A2,'Teams Available'!2:2,0)-1)),"",offset('Teams Available'!$A1,0,match(A2,'Teams Available'!2:2,0)-1))</f>
        <v/>
      </c>
      <c r="B1" s="105" t="str">
        <f>if(iserror(offset('Teams Available'!$A1,0,match(B2,'Teams Available'!2:2,0)-1)),"",offset('Teams Available'!$A1,0,match(B2,'Teams Available'!2:2,0)-1))</f>
        <v/>
      </c>
      <c r="C1" s="105" t="str">
        <f>if(iserror(offset('Teams Available'!$A1,0,match(C2,'Teams Available'!2:2,0)-1)),"",offset('Teams Available'!$A1,0,match(C2,'Teams Available'!2:2,0)-1))</f>
        <v/>
      </c>
      <c r="D1" s="105" t="str">
        <f>if(iserror(offset('Teams Available'!$A1,0,match(D2,'Teams Available'!2:2,0)-1)),"",offset('Teams Available'!$A1,0,match(D2,'Teams Available'!2:2,0)-1))</f>
        <v/>
      </c>
      <c r="E1" s="105" t="str">
        <f>if(iserror(offset('Teams Available'!$A1,0,match(E2,'Teams Available'!2:2,0)-1)),"",offset('Teams Available'!$A1,0,match(E2,'Teams Available'!2:2,0)-1))</f>
        <v/>
      </c>
      <c r="F1" s="105" t="str">
        <f>if(iserror(offset('Teams Available'!$A1,0,match(F2,'Teams Available'!2:2,0)-1)),"",offset('Teams Available'!$A1,0,match(F2,'Teams Available'!2:2,0)-1))</f>
        <v/>
      </c>
      <c r="G1" s="105" t="str">
        <f>if(iserror(offset('Teams Available'!$A1,0,match(G2,'Teams Available'!2:2,0)-1)),"",offset('Teams Available'!$A1,0,match(G2,'Teams Available'!2:2,0)-1))</f>
        <v/>
      </c>
      <c r="H1" s="105" t="str">
        <f>if(iserror(offset('Teams Available'!$A1,0,match(H2,'Teams Available'!2:2,0)-1)),"",offset('Teams Available'!$A1,0,match(H2,'Teams Available'!2:2,0)-1))</f>
        <v/>
      </c>
      <c r="I1" s="105" t="str">
        <f>if(iserror(offset('Teams Available'!$A1,0,match(I2,'Teams Available'!2:2,0)-1)),"",offset('Teams Available'!$A1,0,match(I2,'Teams Available'!2:2,0)-1))</f>
        <v/>
      </c>
      <c r="J1" s="105" t="str">
        <f>if(iserror(offset('Teams Available'!$A1,0,match(J2,'Teams Available'!2:2,0)-1)),"",offset('Teams Available'!$A1,0,match(J2,'Teams Available'!2:2,0)-1))</f>
        <v>Sun Belt</v>
      </c>
    </row>
    <row r="2">
      <c r="A2" s="106" t="str">
        <f>IFERROR(__xludf.DUMMYFUNCTION("filter('Teams Available'!2:2,not(iferror(match('Teams Available'!$1:$1,offset('Picks by Player'!A:A,0,match(offset(DraftTracker!D$1,101-COUNTBLANK(DraftTracker!F:F),0),'Picks by Player'!$1:$1,0)-1),false))))"),"")</f>
        <v/>
      </c>
      <c r="J2" t="str">
        <f>IFERROR(__xludf.DUMMYFUNCTION("""COMPUTED_VALUE"""),"South Alabama")</f>
        <v>South Alabama</v>
      </c>
    </row>
    <row r="3">
      <c r="A3" s="107" t="str">
        <f>IFERROR(__xludf.DUMMYFUNCTION("filter('Teams Available'!3:3,not(iferror(match('Teams Available'!$1:$1,offset('Picks by Player'!A:A,0,match(offset(DraftTracker!D$1,101-COUNTBLANK(DraftTracker!F:F),0),'Picks by Player'!$1:$1,0)-1),false))))"),"")</f>
        <v/>
      </c>
    </row>
    <row r="4">
      <c r="A4" s="107" t="str">
        <f>IFERROR(__xludf.DUMMYFUNCTION("filter('Teams Available'!4:4,not(iferror(match('Teams Available'!$1:$1,offset('Picks by Player'!A:A,0,match(offset(DraftTracker!D$1,101-COUNTBLANK(DraftTracker!F:F),0),'Picks by Player'!$1:$1,0)-1),false))))"),"")</f>
        <v/>
      </c>
    </row>
    <row r="5">
      <c r="A5" s="107" t="str">
        <f>IFERROR(__xludf.DUMMYFUNCTION("filter('Teams Available'!5:5,not(iferror(match('Teams Available'!$1:$1,offset('Picks by Player'!A:A,0,match(offset(DraftTracker!D$1,101-COUNTBLANK(DraftTracker!F:F),0),'Picks by Player'!$1:$1,0)-1),false))))"),"")</f>
        <v/>
      </c>
    </row>
    <row r="6">
      <c r="A6" s="107" t="str">
        <f>IFERROR(__xludf.DUMMYFUNCTION("filter('Teams Available'!6:6,not(iferror(match('Teams Available'!$1:$1,offset('Picks by Player'!A:A,0,match(offset(DraftTracker!D$1,101-COUNTBLANK(DraftTracker!F:F),0),'Picks by Player'!$1:$1,0)-1),false))))"),"")</f>
        <v/>
      </c>
    </row>
    <row r="7">
      <c r="A7" s="107" t="str">
        <f>IFERROR(__xludf.DUMMYFUNCTION("filter('Teams Available'!7:7,not(iferror(match('Teams Available'!$1:$1,offset('Picks by Player'!A:A,0,match(offset(DraftTracker!D$1,101-COUNTBLANK(DraftTracker!F:F),0),'Picks by Player'!$1:$1,0)-1),false))))"),"")</f>
        <v/>
      </c>
    </row>
    <row r="8">
      <c r="A8" s="107" t="str">
        <f>IFERROR(__xludf.DUMMYFUNCTION("filter('Teams Available'!8:8,not(iferror(match('Teams Available'!$1:$1,offset('Picks by Player'!A:A,0,match(offset(DraftTracker!D$1,101-COUNTBLANK(DraftTracker!F:F),0),'Picks by Player'!$1:$1,0)-1),false))))"),"")</f>
        <v/>
      </c>
    </row>
    <row r="9">
      <c r="A9" s="107" t="str">
        <f>IFERROR(__xludf.DUMMYFUNCTION("filter('Teams Available'!9:9,not(iferror(match('Teams Available'!$1:$1,offset('Picks by Player'!A:A,0,match(offset(DraftTracker!D$1,101-COUNTBLANK(DraftTracker!F:F),0),'Picks by Player'!$1:$1,0)-1),false))))"),"")</f>
        <v/>
      </c>
    </row>
    <row r="10">
      <c r="A10" s="107" t="str">
        <f>IFERROR(__xludf.DUMMYFUNCTION("filter('Teams Available'!10:10,not(iferror(match('Teams Available'!$1:$1,offset('Picks by Player'!A:A,0,match(offset(DraftTracker!D$1,101-COUNTBLANK(DraftTracker!F:F),0),'Picks by Player'!$1:$1,0)-1),false))))"),"")</f>
        <v/>
      </c>
    </row>
    <row r="11">
      <c r="A11" s="107" t="str">
        <f>IFERROR(__xludf.DUMMYFUNCTION("filter('Teams Available'!11:11,not(iferror(match('Teams Available'!$1:$1,offset('Picks by Player'!A:A,0,match(offset(DraftTracker!D$1,101-COUNTBLANK(DraftTracker!F:F),0),'Picks by Player'!$1:$1,0)-1),false))))"),"")</f>
        <v/>
      </c>
    </row>
    <row r="12">
      <c r="A12" s="107" t="str">
        <f>IFERROR(__xludf.DUMMYFUNCTION("filter('Teams Available'!12:12,not(iferror(match('Teams Available'!$1:$1,offset('Picks by Player'!A:A,0,match(offset(DraftTracker!D$1,101-COUNTBLANK(DraftTracker!F:F),0),'Picks by Player'!$1:$1,0)-1),false))))"),"")</f>
        <v/>
      </c>
    </row>
    <row r="13">
      <c r="A13" s="107" t="str">
        <f>IFERROR(__xludf.DUMMYFUNCTION("filter('Teams Available'!13:13,not(iferror(match('Teams Available'!$1:$1,offset('Picks by Player'!A:A,0,match(offset(DraftTracker!D$1,101-COUNTBLANK(DraftTracker!F:F),0),'Picks by Player'!$1:$1,0)-1),false))))"),"")</f>
        <v/>
      </c>
    </row>
    <row r="14">
      <c r="A14" s="108" t="str">
        <f>IFERROR(__xludf.DUMMYFUNCTION("filter('Teams Available'!14:14,not(iferror(match('Teams Available'!$1:$1,offset('Picks by Player'!A:A,0,match(offset(DraftTracker!D$1,101-COUNTBLANK(DraftTracker!F:F),0),'Picks by Player'!$1:$1,0)-1),false))))"),"")</f>
        <v/>
      </c>
    </row>
    <row r="15">
      <c r="A15" s="108" t="str">
        <f>IFERROR(__xludf.DUMMYFUNCTION("filter('Teams Available'!15:15,not(iferror(match('Teams Available'!$1:$1,offset('Picks by Player'!A:A,0,match(offset(DraftTracker!D$1,101-COUNTBLANK(DraftTracker!F:F),0),'Picks by Player'!$1:$1,0)-1),false))))"),"")</f>
        <v/>
      </c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11.88"/>
    <col customWidth="1" min="3" max="3" width="10.75"/>
    <col customWidth="1" min="4" max="4" width="10.38"/>
    <col customWidth="1" min="5" max="5" width="12.88"/>
    <col customWidth="1" min="6" max="6" width="14.0"/>
    <col customWidth="1" min="7" max="7" width="12.75"/>
    <col customWidth="1" min="8" max="8" width="13.88"/>
    <col customWidth="1" min="9" max="9" width="13.38"/>
    <col customWidth="1" min="10" max="10" width="14.13"/>
  </cols>
  <sheetData>
    <row r="1">
      <c r="A1" s="109" t="str">
        <f>IFERROR(__xludf.DUMMYFUNCTION("filter(Teams!A1:A15,not(iferror(match(Teams!A1:A15,DraftTracker!$F:$F,0),false)))"),"AAC")</f>
        <v>AAC</v>
      </c>
      <c r="B1" s="109" t="str">
        <f>IFERROR(__xludf.DUMMYFUNCTION("filter(Teams!B1:B15,not(iferror(match(Teams!B1:B15,DraftTracker!$F:$F,0),false)))"),"ACC")</f>
        <v>ACC</v>
      </c>
      <c r="C1" s="109" t="str">
        <f>IFERROR(__xludf.DUMMYFUNCTION("filter(Teams!C1:C15,not(iferror(match(Teams!C1:C15,DraftTracker!$F:$F,0),false)))"),"Big 12")</f>
        <v>Big 12</v>
      </c>
      <c r="D1" s="109" t="str">
        <f>IFERROR(__xludf.DUMMYFUNCTION("filter(Teams!D1:D15,not(iferror(match(Teams!D1:D15,DraftTracker!$F:$F,0),false)))"),"Big Ten")</f>
        <v>Big Ten</v>
      </c>
      <c r="E1" s="109" t="str">
        <f>IFERROR(__xludf.DUMMYFUNCTION("filter(Teams!E1:E15,not(iferror(match(Teams!E1:E15,DraftTracker!$F:$F,0),false)))"),"CUSA")</f>
        <v>CUSA</v>
      </c>
      <c r="F1" s="109" t="str">
        <f>IFERROR(__xludf.DUMMYFUNCTION("filter(Teams!F1:F15,not(iferror(match(Teams!F1:F15,DraftTracker!$F:$F,0),false)))"),"MAC")</f>
        <v>MAC</v>
      </c>
      <c r="G1" s="109" t="str">
        <f>IFERROR(__xludf.DUMMYFUNCTION("filter(Teams!G1:G15,not(iferror(match(Teams!G1:G15,DraftTracker!$F:$F,0),false)))"),"MWC")</f>
        <v>MWC</v>
      </c>
      <c r="H1" s="109" t="str">
        <f>IFERROR(__xludf.DUMMYFUNCTION("filter(Teams!H1:H15,not(iferror(match(Teams!H1:H15,DraftTracker!$F:$F,0),false)))"),"Pac12")</f>
        <v>Pac12</v>
      </c>
      <c r="I1" s="109" t="str">
        <f>IFERROR(__xludf.DUMMYFUNCTION("filter(Teams!I1:I15,not(iferror(match(Teams!I1:I15,DraftTracker!$F:$F,0),false)))"),"SEC")</f>
        <v>SEC</v>
      </c>
      <c r="J1" s="109" t="str">
        <f>IFERROR(__xludf.DUMMYFUNCTION("filter(Teams!J1:J15,not(iferror(match(Teams!J1:J15,DraftTracker!$F:$F,0),false)))"),"Sun Belt")</f>
        <v>Sun Belt</v>
      </c>
    </row>
    <row r="2">
      <c r="J2" t="str">
        <f>IFERROR(__xludf.DUMMYFUNCTION("""COMPUTED_VALUE"""),"South Alabama")</f>
        <v>South Alabama</v>
      </c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10" t="s">
        <v>24</v>
      </c>
      <c r="B1" s="111" t="s">
        <v>11</v>
      </c>
      <c r="C1" s="111" t="s">
        <v>29</v>
      </c>
      <c r="D1" s="111" t="s">
        <v>407</v>
      </c>
      <c r="E1" s="112" t="s">
        <v>464</v>
      </c>
      <c r="F1" s="112" t="s">
        <v>479</v>
      </c>
      <c r="G1" s="112" t="s">
        <v>393</v>
      </c>
      <c r="H1" s="112" t="s">
        <v>413</v>
      </c>
      <c r="I1" s="111" t="s">
        <v>27</v>
      </c>
      <c r="J1" s="111" t="s">
        <v>456</v>
      </c>
    </row>
    <row r="2">
      <c r="A2" s="113" t="s">
        <v>127</v>
      </c>
      <c r="B2" s="113" t="s">
        <v>245</v>
      </c>
      <c r="C2" s="113" t="s">
        <v>419</v>
      </c>
      <c r="D2" s="113" t="s">
        <v>461</v>
      </c>
      <c r="E2" s="98" t="s">
        <v>285</v>
      </c>
      <c r="F2" s="113" t="s">
        <v>141</v>
      </c>
      <c r="G2" s="113" t="s">
        <v>144</v>
      </c>
      <c r="H2" s="113" t="s">
        <v>155</v>
      </c>
      <c r="I2" s="98" t="s">
        <v>26</v>
      </c>
      <c r="J2" s="98" t="s">
        <v>327</v>
      </c>
    </row>
    <row r="3">
      <c r="A3" s="113" t="s">
        <v>219</v>
      </c>
      <c r="B3" s="113" t="s">
        <v>10</v>
      </c>
      <c r="C3" s="98" t="s">
        <v>429</v>
      </c>
      <c r="D3" s="113" t="s">
        <v>447</v>
      </c>
      <c r="E3" s="98" t="s">
        <v>405</v>
      </c>
      <c r="F3" s="98" t="s">
        <v>414</v>
      </c>
      <c r="G3" s="98" t="s">
        <v>230</v>
      </c>
      <c r="H3" s="98" t="s">
        <v>129</v>
      </c>
      <c r="I3" s="113" t="s">
        <v>438</v>
      </c>
      <c r="J3" s="98" t="s">
        <v>436</v>
      </c>
    </row>
    <row r="4">
      <c r="A4" s="113" t="s">
        <v>374</v>
      </c>
      <c r="B4" s="113" t="s">
        <v>455</v>
      </c>
      <c r="C4" s="113" t="s">
        <v>232</v>
      </c>
      <c r="D4" s="113" t="s">
        <v>123</v>
      </c>
      <c r="E4" s="113" t="s">
        <v>409</v>
      </c>
      <c r="F4" s="113" t="s">
        <v>206</v>
      </c>
      <c r="G4" s="98" t="s">
        <v>194</v>
      </c>
      <c r="H4" s="113" t="s">
        <v>191</v>
      </c>
      <c r="I4" s="113" t="s">
        <v>157</v>
      </c>
      <c r="J4" s="98" t="s">
        <v>408</v>
      </c>
    </row>
    <row r="5">
      <c r="A5" s="113" t="s">
        <v>23</v>
      </c>
      <c r="B5" s="98" t="s">
        <v>382</v>
      </c>
      <c r="C5" s="98" t="s">
        <v>398</v>
      </c>
      <c r="D5" s="113" t="s">
        <v>448</v>
      </c>
      <c r="E5" s="113" t="s">
        <v>133</v>
      </c>
      <c r="F5" s="113" t="s">
        <v>390</v>
      </c>
      <c r="G5" s="98" t="s">
        <v>217</v>
      </c>
      <c r="H5" s="113" t="s">
        <v>442</v>
      </c>
      <c r="I5" s="113" t="s">
        <v>109</v>
      </c>
      <c r="J5" s="98" t="s">
        <v>387</v>
      </c>
    </row>
    <row r="6">
      <c r="A6" s="113" t="s">
        <v>378</v>
      </c>
      <c r="B6" s="113" t="s">
        <v>188</v>
      </c>
      <c r="C6" s="113" t="s">
        <v>28</v>
      </c>
      <c r="D6" s="113" t="s">
        <v>423</v>
      </c>
      <c r="E6" s="113" t="s">
        <v>166</v>
      </c>
      <c r="F6" s="113" t="s">
        <v>228</v>
      </c>
      <c r="G6" s="113" t="s">
        <v>452</v>
      </c>
      <c r="H6" s="113" t="s">
        <v>347</v>
      </c>
      <c r="I6" s="113" t="s">
        <v>210</v>
      </c>
      <c r="J6" s="113" t="s">
        <v>203</v>
      </c>
    </row>
    <row r="7">
      <c r="A7" s="113" t="s">
        <v>379</v>
      </c>
      <c r="B7" s="113" t="s">
        <v>383</v>
      </c>
      <c r="C7" s="98" t="s">
        <v>411</v>
      </c>
      <c r="D7" s="98" t="s">
        <v>392</v>
      </c>
      <c r="E7" s="113" t="s">
        <v>453</v>
      </c>
      <c r="F7" s="113" t="s">
        <v>444</v>
      </c>
      <c r="G7" s="113" t="s">
        <v>439</v>
      </c>
      <c r="H7" s="98" t="s">
        <v>459</v>
      </c>
      <c r="I7" s="113" t="s">
        <v>445</v>
      </c>
      <c r="J7" s="98" t="s">
        <v>173</v>
      </c>
    </row>
    <row r="8">
      <c r="A8" s="113" t="s">
        <v>373</v>
      </c>
      <c r="B8" s="113" t="s">
        <v>163</v>
      </c>
      <c r="C8" s="113" t="s">
        <v>100</v>
      </c>
      <c r="D8" s="113" t="s">
        <v>160</v>
      </c>
      <c r="E8" s="113" t="s">
        <v>394</v>
      </c>
      <c r="F8" s="98" t="s">
        <v>120</v>
      </c>
      <c r="G8" s="113" t="s">
        <v>136</v>
      </c>
      <c r="H8" s="113" t="s">
        <v>412</v>
      </c>
      <c r="I8" s="113" t="s">
        <v>400</v>
      </c>
      <c r="J8" s="98" t="s">
        <v>399</v>
      </c>
    </row>
    <row r="9">
      <c r="A9" s="98" t="s">
        <v>222</v>
      </c>
      <c r="B9" s="98" t="s">
        <v>437</v>
      </c>
      <c r="C9" s="113" t="s">
        <v>150</v>
      </c>
      <c r="D9" s="113" t="s">
        <v>209</v>
      </c>
      <c r="E9" s="113" t="s">
        <v>431</v>
      </c>
      <c r="F9" s="98" t="s">
        <v>449</v>
      </c>
      <c r="G9" s="98" t="s">
        <v>388</v>
      </c>
      <c r="H9" s="98" t="s">
        <v>220</v>
      </c>
      <c r="I9" s="98" t="s">
        <v>304</v>
      </c>
      <c r="J9" s="98" t="s">
        <v>425</v>
      </c>
    </row>
    <row r="10">
      <c r="A10" s="113" t="s">
        <v>380</v>
      </c>
      <c r="B10" s="113" t="s">
        <v>415</v>
      </c>
      <c r="C10" s="113" t="s">
        <v>391</v>
      </c>
      <c r="D10" s="113" t="s">
        <v>402</v>
      </c>
      <c r="E10" s="98" t="s">
        <v>182</v>
      </c>
      <c r="F10" s="113" t="s">
        <v>401</v>
      </c>
      <c r="G10" s="98" t="s">
        <v>420</v>
      </c>
      <c r="H10" s="113" t="s">
        <v>403</v>
      </c>
      <c r="I10" s="113" t="s">
        <v>460</v>
      </c>
      <c r="J10" s="113" t="s">
        <v>457</v>
      </c>
    </row>
    <row r="11">
      <c r="A11" s="113" t="s">
        <v>186</v>
      </c>
      <c r="B11" s="113" t="s">
        <v>213</v>
      </c>
      <c r="C11" s="113" t="s">
        <v>176</v>
      </c>
      <c r="D11" s="98" t="s">
        <v>406</v>
      </c>
      <c r="E11" s="113" t="s">
        <v>441</v>
      </c>
      <c r="F11" s="113" t="s">
        <v>433</v>
      </c>
      <c r="G11" s="113" t="s">
        <v>404</v>
      </c>
      <c r="H11" s="113" t="s">
        <v>395</v>
      </c>
      <c r="I11" s="113" t="s">
        <v>421</v>
      </c>
      <c r="J11" s="98" t="s">
        <v>112</v>
      </c>
    </row>
    <row r="12">
      <c r="A12" s="113" t="s">
        <v>377</v>
      </c>
      <c r="B12" s="113" t="s">
        <v>381</v>
      </c>
      <c r="C12" s="114"/>
      <c r="D12" s="98" t="s">
        <v>181</v>
      </c>
      <c r="E12" s="113" t="s">
        <v>454</v>
      </c>
      <c r="F12" s="113" t="s">
        <v>184</v>
      </c>
      <c r="G12" s="98" t="s">
        <v>432</v>
      </c>
      <c r="H12" s="113" t="s">
        <v>434</v>
      </c>
      <c r="I12" s="113" t="s">
        <v>450</v>
      </c>
      <c r="J12" s="113" t="s">
        <v>139</v>
      </c>
    </row>
    <row r="13">
      <c r="A13" s="114" t="s">
        <v>375</v>
      </c>
      <c r="B13" s="113" t="s">
        <v>462</v>
      </c>
      <c r="C13" s="114"/>
      <c r="D13" s="113" t="s">
        <v>427</v>
      </c>
      <c r="E13" s="98" t="s">
        <v>198</v>
      </c>
      <c r="F13" s="113" t="s">
        <v>422</v>
      </c>
      <c r="G13" s="113" t="s">
        <v>443</v>
      </c>
      <c r="H13" s="98" t="s">
        <v>416</v>
      </c>
      <c r="I13" s="113" t="s">
        <v>430</v>
      </c>
      <c r="J13" s="114"/>
    </row>
    <row r="14">
      <c r="A14" s="115"/>
      <c r="B14" s="113" t="s">
        <v>426</v>
      </c>
      <c r="C14" s="115"/>
      <c r="D14" s="113" t="s">
        <v>463</v>
      </c>
      <c r="E14" s="114" t="s">
        <v>458</v>
      </c>
      <c r="G14" s="115"/>
      <c r="H14" s="115"/>
      <c r="I14" s="113" t="s">
        <v>389</v>
      </c>
      <c r="J14" s="115"/>
    </row>
    <row r="15">
      <c r="A15" s="115"/>
      <c r="B15" s="113" t="s">
        <v>446</v>
      </c>
      <c r="C15" s="115"/>
      <c r="D15" s="113" t="s">
        <v>225</v>
      </c>
      <c r="F15" s="115"/>
      <c r="G15" s="115"/>
      <c r="H15" s="115"/>
      <c r="I15" s="113" t="s">
        <v>451</v>
      </c>
      <c r="J15" s="115"/>
    </row>
  </sheetData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.38"/>
    <col customWidth="1" min="2" max="2" width="11.75"/>
    <col customWidth="1" min="3" max="3" width="6.38"/>
    <col customWidth="1" min="4" max="4" width="13.0"/>
    <col customWidth="1" min="5" max="5" width="5.5"/>
    <col customWidth="1" min="6" max="6" width="11.13"/>
    <col customWidth="1" min="7" max="7" width="7.13"/>
    <col customWidth="1" min="8" max="8" width="12.0"/>
    <col customWidth="1" min="9" max="9" width="7.13"/>
    <col customWidth="1" min="10" max="10" width="15.25"/>
    <col customWidth="1" min="11" max="11" width="6.38"/>
    <col customWidth="1" min="12" max="12" width="11.75"/>
    <col customWidth="1" min="13" max="13" width="6.38"/>
    <col customWidth="1" min="14" max="14" width="12.0"/>
    <col customWidth="1" min="15" max="15" width="6.38"/>
    <col customWidth="1" min="16" max="16" width="8.25"/>
    <col customWidth="1" min="17" max="17" width="6.38"/>
    <col customWidth="1" min="18" max="18" width="10.25"/>
    <col customWidth="1" min="19" max="19" width="6.13"/>
    <col customWidth="1" min="20" max="20" width="11.38"/>
  </cols>
  <sheetData>
    <row r="1">
      <c r="A1" s="116" t="str">
        <f>DraftTracker!D2</f>
        <v>Gary</v>
      </c>
      <c r="B1" s="117"/>
      <c r="C1" s="116" t="str">
        <f>DraftTracker!D3</f>
        <v>Josh R.</v>
      </c>
      <c r="D1" s="117"/>
      <c r="E1" s="116" t="str">
        <f>DraftTracker!D4</f>
        <v>Jacob</v>
      </c>
      <c r="F1" s="117"/>
      <c r="G1" s="116" t="str">
        <f>DraftTracker!D5</f>
        <v>Brad</v>
      </c>
      <c r="H1" s="117"/>
      <c r="I1" s="116" t="str">
        <f>DraftTracker!D6</f>
        <v>Nico</v>
      </c>
      <c r="J1" s="117"/>
      <c r="K1" s="116" t="str">
        <f>DraftTracker!D7</f>
        <v>Vu</v>
      </c>
      <c r="L1" s="117"/>
      <c r="M1" s="116" t="str">
        <f>DraftTracker!D8</f>
        <v>Josh T.</v>
      </c>
      <c r="N1" s="117"/>
      <c r="O1" s="116" t="str">
        <f>DraftTracker!D9</f>
        <v>Justin</v>
      </c>
      <c r="P1" s="117"/>
      <c r="Q1" s="116" t="str">
        <f>DraftTracker!D10</f>
        <v>Frank</v>
      </c>
      <c r="R1" s="117"/>
      <c r="S1" s="116" t="str">
        <f>DraftTracker!D11</f>
        <v>Nick A.</v>
      </c>
      <c r="T1" s="117"/>
    </row>
    <row r="2">
      <c r="A2" s="118" t="s">
        <v>3</v>
      </c>
      <c r="B2" s="119" t="s">
        <v>1</v>
      </c>
      <c r="C2" s="118" t="s">
        <v>3</v>
      </c>
      <c r="D2" s="120" t="s">
        <v>1</v>
      </c>
      <c r="E2" s="121" t="s">
        <v>3</v>
      </c>
      <c r="F2" s="120" t="s">
        <v>1</v>
      </c>
      <c r="G2" s="121" t="s">
        <v>3</v>
      </c>
      <c r="H2" s="120" t="s">
        <v>1</v>
      </c>
      <c r="I2" s="121" t="s">
        <v>3</v>
      </c>
      <c r="J2" s="120" t="s">
        <v>1</v>
      </c>
      <c r="K2" s="121" t="s">
        <v>3</v>
      </c>
      <c r="L2" s="120" t="s">
        <v>1</v>
      </c>
      <c r="M2" s="121" t="s">
        <v>3</v>
      </c>
      <c r="N2" s="120" t="s">
        <v>1</v>
      </c>
      <c r="O2" s="121" t="s">
        <v>3</v>
      </c>
      <c r="P2" s="120" t="s">
        <v>1</v>
      </c>
      <c r="Q2" s="121" t="s">
        <v>3</v>
      </c>
      <c r="R2" s="120" t="s">
        <v>1</v>
      </c>
      <c r="S2" s="121" t="s">
        <v>3</v>
      </c>
      <c r="T2" s="120" t="s">
        <v>1</v>
      </c>
    </row>
    <row r="3">
      <c r="A3" s="78" t="str">
        <f>IFERROR(__xludf.DUMMYFUNCTION("if(iserror(filter('Picks by Player Raw'!A:A,'Picks by Player Raw'!A:A &lt;&gt;A$1,'Picks by Player Raw'!A:A&lt;&gt;"""")),"""",filter('Picks by Player Raw'!A:A,'Picks by Player Raw'!A:A &lt;&gt;A$1,'Picks by Player Raw'!A:A&lt;&gt;""""))"),"ACC")</f>
        <v>ACC</v>
      </c>
      <c r="B3" s="122" t="str">
        <f>IFERROR(__xludf.DUMMYFUNCTION("if(iserror(filter('Picks by Player Raw'!B:B,'Picks by Player Raw'!B:B &lt;&gt;A$1,'Picks by Player Raw'!B:B&lt;&gt;"""")),"""",filter('Picks by Player Raw'!B:B,'Picks by Player Raw'!B:B &lt;&gt;A$1,'Picks by Player Raw'!B:B&lt;&gt;""""))"),"Clemson")</f>
        <v>Clemson</v>
      </c>
      <c r="C3" s="78" t="str">
        <f>IFERROR(__xludf.DUMMYFUNCTION("if(iserror(filter('Picks by Player Raw'!C:C,'Picks by Player Raw'!C:C &lt;&gt;C$1,'Picks by Player Raw'!C:C&lt;&gt;"""")),"""",filter('Picks by Player Raw'!C:C,'Picks by Player Raw'!C:C &lt;&gt;C$1,'Picks by Player Raw'!C:C&lt;&gt;""""))"),"AAC")</f>
        <v>AAC</v>
      </c>
      <c r="D3" s="122" t="str">
        <f>IFERROR(__xludf.DUMMYFUNCTION("if(iserror(filter('Picks by Player Raw'!D:D,'Picks by Player Raw'!D:D &lt;&gt;C$1,'Picks by Player Raw'!D:D&lt;&gt;"""")),"""",filter('Picks by Player Raw'!D:D,'Picks by Player Raw'!D:D &lt;&gt;C$1,'Picks by Player Raw'!D:D&lt;&gt;""""))"),"Houston")</f>
        <v>Houston</v>
      </c>
      <c r="E3" s="78" t="str">
        <f>IFERROR(__xludf.DUMMYFUNCTION("if(iserror(filter('Picks by Player Raw'!E:E,'Picks by Player Raw'!E:E &lt;&gt;E$1,'Picks by Player Raw'!E:E&lt;&gt;"""")),"""",filter('Picks by Player Raw'!E:E,'Picks by Player Raw'!E:E &lt;&gt;E$1,'Picks by Player Raw'!E:E&lt;&gt;""""))"),"SEC")</f>
        <v>SEC</v>
      </c>
      <c r="F3" s="122" t="str">
        <f>IFERROR(__xludf.DUMMYFUNCTION("if(iserror(filter('Picks by Player Raw'!F:F,'Picks by Player Raw'!F:F &lt;&gt;E$1,'Picks by Player Raw'!F:F&lt;&gt;"""")),"""",filter('Picks by Player Raw'!F:F,'Picks by Player Raw'!F:F &lt;&gt;E$1,'Picks by Player Raw'!F:F&lt;&gt;""""))"),"Alabama")</f>
        <v>Alabama</v>
      </c>
      <c r="G3" s="78" t="str">
        <f>IFERROR(__xludf.DUMMYFUNCTION("if(iserror(filter('Picks by Player Raw'!G:G,'Picks by Player Raw'!G:G &lt;&gt;G$1,'Picks by Player Raw'!G:G&lt;&gt;"""")),"""",filter('Picks by Player Raw'!G:G,'Picks by Player Raw'!G:G &lt;&gt;G$1,'Picks by Player Raw'!G:G&lt;&gt;""""))"),"Big 12")</f>
        <v>Big 12</v>
      </c>
      <c r="H3" s="122" t="str">
        <f>IFERROR(__xludf.DUMMYFUNCTION("if(iserror(filter('Picks by Player Raw'!H:H,'Picks by Player Raw'!H:H &lt;&gt;G$1,'Picks by Player Raw'!H:H&lt;&gt;"""")),"""",filter('Picks by Player Raw'!H:H,'Picks by Player Raw'!H:H &lt;&gt;G$1,'Picks by Player Raw'!H:H&lt;&gt;""""))"),"Oklahoma")</f>
        <v>Oklahoma</v>
      </c>
      <c r="I3" s="78" t="str">
        <f>IFERROR(__xludf.DUMMYFUNCTION("if(iserror(filter('Picks by Player Raw'!I:I,'Picks by Player Raw'!I:I &lt;&gt;I$1,'Picks by Player Raw'!I:I&lt;&gt;"""")),"""",filter('Picks by Player Raw'!I:I,'Picks by Player Raw'!I:I &lt;&gt;I$1,'Picks by Player Raw'!I:I&lt;&gt;""""))"),"MWC")</f>
        <v>MWC</v>
      </c>
      <c r="J3" s="122" t="str">
        <f>IFERROR(__xludf.DUMMYFUNCTION("if(iserror(filter('Picks by Player Raw'!J:J,'Picks by Player Raw'!J:J &lt;&gt;I$1,'Picks by Player Raw'!J:J&lt;&gt;"""")),"""",filter('Picks by Player Raw'!J:J,'Picks by Player Raw'!J:J &lt;&gt;I$1,'Picks by Player Raw'!J:J&lt;&gt;""""))"),"Boise State")</f>
        <v>Boise State</v>
      </c>
      <c r="K3" s="78" t="str">
        <f>IFERROR(__xludf.DUMMYFUNCTION("if(iserror(filter('Picks by Player Raw'!K:K,'Picks by Player Raw'!K:K &lt;&gt;K$1,'Picks by Player Raw'!K:K&lt;&gt;"""")),"""",filter('Picks by Player Raw'!K:K,'Picks by Player Raw'!K:K &lt;&gt;K$1,'Picks by Player Raw'!K:K&lt;&gt;""""))"),"ACC")</f>
        <v>ACC</v>
      </c>
      <c r="L3" s="122" t="str">
        <f>IFERROR(__xludf.DUMMYFUNCTION("if(iserror(filter('Picks by Player Raw'!L:L,'Picks by Player Raw'!L:L &lt;&gt;K$1,'Picks by Player Raw'!L:L&lt;&gt;"""")),"""",filter('Picks by Player Raw'!L:L,'Picks by Player Raw'!L:L &lt;&gt;K$1,'Picks by Player Raw'!L:L&lt;&gt;""""))"),"Florida State")</f>
        <v>Florida State</v>
      </c>
      <c r="M3" s="78" t="str">
        <f>IFERROR(__xludf.DUMMYFUNCTION("if(iserror(filter('Picks by Player Raw'!M:M,'Picks by Player Raw'!M:M &lt;&gt;M$1,'Picks by Player Raw'!M:M&lt;&gt;"""")),"""",filter('Picks by Player Raw'!M:M,'Picks by Player Raw'!M:M &lt;&gt;M$1,'Picks by Player Raw'!M:M&lt;&gt;""""))"),"SEC")</f>
        <v>SEC</v>
      </c>
      <c r="N3" s="122" t="str">
        <f>IFERROR(__xludf.DUMMYFUNCTION("if(iserror(filter('Picks by Player Raw'!N:N,'Picks by Player Raw'!N:N &lt;&gt;M$1,'Picks by Player Raw'!N:N&lt;&gt;"""")),"""",filter('Picks by Player Raw'!N:N,'Picks by Player Raw'!N:N &lt;&gt;M$1,'Picks by Player Raw'!N:N&lt;&gt;""""))"),"LSU")</f>
        <v>LSU</v>
      </c>
      <c r="O3" s="78" t="str">
        <f>IFERROR(__xludf.DUMMYFUNCTION("if(iserror(filter('Picks by Player Raw'!O:O,'Picks by Player Raw'!O:O &lt;&gt;O$1,'Picks by Player Raw'!O:O&lt;&gt;"""")),"""",filter('Picks by Player Raw'!O:O,'Picks by Player Raw'!O:O &lt;&gt;O$1,'Picks by Player Raw'!O:O&lt;&gt;""""))"),"Big Ten")</f>
        <v>Big Ten</v>
      </c>
      <c r="P3" s="122" t="str">
        <f>IFERROR(__xludf.DUMMYFUNCTION("if(iserror(filter('Picks by Player Raw'!P:P,'Picks by Player Raw'!P:P &lt;&gt;O$1,'Picks by Player Raw'!P:P&lt;&gt;"""")),"""",filter('Picks by Player Raw'!P:P,'Picks by Player Raw'!P:P &lt;&gt;O$1,'Picks by Player Raw'!P:P&lt;&gt;""""))"),"Ohio State")</f>
        <v>Ohio State</v>
      </c>
      <c r="Q3" s="78" t="str">
        <f>IFERROR(__xludf.DUMMYFUNCTION("if(iserror(filter('Picks by Player Raw'!Q:Q,'Picks by Player Raw'!Q:Q &lt;&gt;Q$1,'Picks by Player Raw'!Q:Q&lt;&gt;"""")),"""",filter('Picks by Player Raw'!Q:Q,'Picks by Player Raw'!Q:Q &lt;&gt;Q$1,'Picks by Player Raw'!Q:Q&lt;&gt;""""))"),"Pac12")</f>
        <v>Pac12</v>
      </c>
      <c r="R3" s="122" t="str">
        <f>IFERROR(__xludf.DUMMYFUNCTION("if(iserror(filter('Picks by Player Raw'!R:R,'Picks by Player Raw'!R:R &lt;&gt;Q$1,'Picks by Player Raw'!R:R&lt;&gt;"""")),"""",filter('Picks by Player Raw'!R:R,'Picks by Player Raw'!R:R &lt;&gt;Q$1,'Picks by Player Raw'!R:R&lt;&gt;""""))"),"Stanford")</f>
        <v>Stanford</v>
      </c>
      <c r="S3" s="78" t="str">
        <f>IFERROR(__xludf.DUMMYFUNCTION("if(iserror(filter('Picks by Player Raw'!S:S,'Picks by Player Raw'!S:S &lt;&gt;S$1,'Picks by Player Raw'!S:S&lt;&gt;"""")),"""",filter('Picks by Player Raw'!S:S,'Picks by Player Raw'!S:S &lt;&gt;S$1,'Picks by Player Raw'!S:S&lt;&gt;""""))"),"Big 12")</f>
        <v>Big 12</v>
      </c>
      <c r="T3" s="122" t="str">
        <f>IFERROR(__xludf.DUMMYFUNCTION("if(iserror(filter('Picks by Player Raw'!T:T,'Picks by Player Raw'!T:T &lt;&gt;S$1,'Picks by Player Raw'!T:T&lt;&gt;"""")),"""",filter('Picks by Player Raw'!T:T,'Picks by Player Raw'!T:T &lt;&gt;S$1,'Picks by Player Raw'!T:T&lt;&gt;""""))"),"Baylor")</f>
        <v>Baylor</v>
      </c>
    </row>
    <row r="4">
      <c r="A4" s="123" t="str">
        <f>IFERROR(__xludf.DUMMYFUNCTION("""COMPUTED_VALUE"""),"Big 12")</f>
        <v>Big 12</v>
      </c>
      <c r="B4" s="100" t="str">
        <f>IFERROR(__xludf.DUMMYFUNCTION("""COMPUTED_VALUE"""),"TCU")</f>
        <v>TCU</v>
      </c>
      <c r="C4" s="123" t="str">
        <f>IFERROR(__xludf.DUMMYFUNCTION("""COMPUTED_VALUE"""),"MWC")</f>
        <v>MWC</v>
      </c>
      <c r="D4" s="100" t="str">
        <f>IFERROR(__xludf.DUMMYFUNCTION("""COMPUTED_VALUE"""),"Air Force")</f>
        <v>Air Force</v>
      </c>
      <c r="E4" s="123" t="str">
        <f>IFERROR(__xludf.DUMMYFUNCTION("""COMPUTED_VALUE"""),"CUSA")</f>
        <v>CUSA</v>
      </c>
      <c r="F4" s="100" t="str">
        <f>IFERROR(__xludf.DUMMYFUNCTION("""COMPUTED_VALUE"""),"Southern Mississippi")</f>
        <v>Southern Mississippi</v>
      </c>
      <c r="G4" s="123" t="str">
        <f>IFERROR(__xludf.DUMMYFUNCTION("""COMPUTED_VALUE"""),"CUSA")</f>
        <v>CUSA</v>
      </c>
      <c r="H4" s="100" t="str">
        <f>IFERROR(__xludf.DUMMYFUNCTION("""COMPUTED_VALUE"""),"Western Kentucky")</f>
        <v>Western Kentucky</v>
      </c>
      <c r="I4" s="123" t="str">
        <f>IFERROR(__xludf.DUMMYFUNCTION("""COMPUTED_VALUE"""),"Sun Belt")</f>
        <v>Sun Belt</v>
      </c>
      <c r="J4" s="100" t="str">
        <f>IFERROR(__xludf.DUMMYFUNCTION("""COMPUTED_VALUE"""),"Appalachian State")</f>
        <v>Appalachian State</v>
      </c>
      <c r="K4" s="123" t="str">
        <f>IFERROR(__xludf.DUMMYFUNCTION("""COMPUTED_VALUE"""),"MWC")</f>
        <v>MWC</v>
      </c>
      <c r="L4" s="100" t="str">
        <f>IFERROR(__xludf.DUMMYFUNCTION("""COMPUTED_VALUE"""),"San Diego State")</f>
        <v>San Diego State</v>
      </c>
      <c r="M4" s="123" t="str">
        <f>IFERROR(__xludf.DUMMYFUNCTION("""COMPUTED_VALUE"""),"ACC")</f>
        <v>ACC</v>
      </c>
      <c r="N4" s="100" t="str">
        <f>IFERROR(__xludf.DUMMYFUNCTION("""COMPUTED_VALUE"""),"Louisville")</f>
        <v>Louisville</v>
      </c>
      <c r="O4" s="123" t="str">
        <f>IFERROR(__xludf.DUMMYFUNCTION("""COMPUTED_VALUE"""),"Big 12")</f>
        <v>Big 12</v>
      </c>
      <c r="P4" s="100" t="str">
        <f>IFERROR(__xludf.DUMMYFUNCTION("""COMPUTED_VALUE"""),"Oklahoma State")</f>
        <v>Oklahoma State</v>
      </c>
      <c r="Q4" s="123" t="str">
        <f>IFERROR(__xludf.DUMMYFUNCTION("""COMPUTED_VALUE"""),"SEC")</f>
        <v>SEC</v>
      </c>
      <c r="R4" s="100" t="str">
        <f>IFERROR(__xludf.DUMMYFUNCTION("""COMPUTED_VALUE"""),"Tennessee")</f>
        <v>Tennessee</v>
      </c>
      <c r="S4" s="123" t="str">
        <f>IFERROR(__xludf.DUMMYFUNCTION("""COMPUTED_VALUE"""),"Big Ten")</f>
        <v>Big Ten</v>
      </c>
      <c r="T4" s="100" t="str">
        <f>IFERROR(__xludf.DUMMYFUNCTION("""COMPUTED_VALUE"""),"Michigan")</f>
        <v>Michigan</v>
      </c>
    </row>
    <row r="5">
      <c r="A5" s="123" t="str">
        <f>IFERROR(__xludf.DUMMYFUNCTION("""COMPUTED_VALUE"""),"Big Ten")</f>
        <v>Big Ten</v>
      </c>
      <c r="B5" s="100" t="str">
        <f>IFERROR(__xludf.DUMMYFUNCTION("""COMPUTED_VALUE"""),"Iowa")</f>
        <v>Iowa</v>
      </c>
      <c r="C5" s="123" t="str">
        <f>IFERROR(__xludf.DUMMYFUNCTION("""COMPUTED_VALUE"""),"Big 12")</f>
        <v>Big 12</v>
      </c>
      <c r="D5" s="100" t="str">
        <f>IFERROR(__xludf.DUMMYFUNCTION("""COMPUTED_VALUE"""),"Texas")</f>
        <v>Texas</v>
      </c>
      <c r="E5" s="123" t="str">
        <f>IFERROR(__xludf.DUMMYFUNCTION("""COMPUTED_VALUE"""),"Big 12")</f>
        <v>Big 12</v>
      </c>
      <c r="F5" s="100" t="str">
        <f>IFERROR(__xludf.DUMMYFUNCTION("""COMPUTED_VALUE"""),"West Virginia")</f>
        <v>West Virginia</v>
      </c>
      <c r="G5" s="123" t="str">
        <f>IFERROR(__xludf.DUMMYFUNCTION("""COMPUTED_VALUE"""),"Big Ten")</f>
        <v>Big Ten</v>
      </c>
      <c r="H5" s="100" t="str">
        <f>IFERROR(__xludf.DUMMYFUNCTION("""COMPUTED_VALUE"""),"Nebraska")</f>
        <v>Nebraska</v>
      </c>
      <c r="I5" s="123" t="str">
        <f>IFERROR(__xludf.DUMMYFUNCTION("""COMPUTED_VALUE"""),"Pac12")</f>
        <v>Pac12</v>
      </c>
      <c r="J5" s="100" t="str">
        <f>IFERROR(__xludf.DUMMYFUNCTION("""COMPUTED_VALUE"""),"Oregon")</f>
        <v>Oregon</v>
      </c>
      <c r="K5" s="123" t="str">
        <f>IFERROR(__xludf.DUMMYFUNCTION("""COMPUTED_VALUE"""),"Big 12")</f>
        <v>Big 12</v>
      </c>
      <c r="L5" s="100" t="str">
        <f>IFERROR(__xludf.DUMMYFUNCTION("""COMPUTED_VALUE"""),"Texas Tech")</f>
        <v>Texas Tech</v>
      </c>
      <c r="M5" s="123" t="str">
        <f>IFERROR(__xludf.DUMMYFUNCTION("""COMPUTED_VALUE"""),"MAC")</f>
        <v>MAC</v>
      </c>
      <c r="N5" s="100" t="str">
        <f>IFERROR(__xludf.DUMMYFUNCTION("""COMPUTED_VALUE"""),"Northern Illinois")</f>
        <v>Northern Illinois</v>
      </c>
      <c r="O5" s="123" t="str">
        <f>IFERROR(__xludf.DUMMYFUNCTION("""COMPUTED_VALUE"""),"Sun Belt")</f>
        <v>Sun Belt</v>
      </c>
      <c r="P5" s="100" t="str">
        <f>IFERROR(__xludf.DUMMYFUNCTION("""COMPUTED_VALUE"""),"Georgia Southern")</f>
        <v>Georgia Southern</v>
      </c>
      <c r="Q5" s="123" t="str">
        <f>IFERROR(__xludf.DUMMYFUNCTION("""COMPUTED_VALUE"""),"MAC")</f>
        <v>MAC</v>
      </c>
      <c r="R5" s="100" t="str">
        <f>IFERROR(__xludf.DUMMYFUNCTION("""COMPUTED_VALUE"""),"Western Michigan")</f>
        <v>Western Michigan</v>
      </c>
      <c r="S5" s="123" t="str">
        <f>IFERROR(__xludf.DUMMYFUNCTION("""COMPUTED_VALUE"""),"Sun Belt")</f>
        <v>Sun Belt</v>
      </c>
      <c r="T5" s="100" t="str">
        <f>IFERROR(__xludf.DUMMYFUNCTION("""COMPUTED_VALUE"""),"Arkansas State")</f>
        <v>Arkansas State</v>
      </c>
    </row>
    <row r="6">
      <c r="A6" s="123" t="str">
        <f>IFERROR(__xludf.DUMMYFUNCTION("""COMPUTED_VALUE"""),"AAC")</f>
        <v>AAC</v>
      </c>
      <c r="B6" s="100" t="str">
        <f>IFERROR(__xludf.DUMMYFUNCTION("""COMPUTED_VALUE"""),"Cincinnati")</f>
        <v>Cincinnati</v>
      </c>
      <c r="C6" s="123" t="str">
        <f>IFERROR(__xludf.DUMMYFUNCTION("""COMPUTED_VALUE"""),"Sun Belt")</f>
        <v>Sun Belt</v>
      </c>
      <c r="D6" s="100" t="str">
        <f>IFERROR(__xludf.DUMMYFUNCTION("""COMPUTED_VALUE"""),"Troy")</f>
        <v>Troy</v>
      </c>
      <c r="E6" s="123" t="str">
        <f>IFERROR(__xludf.DUMMYFUNCTION("""COMPUTED_VALUE"""),"MAC")</f>
        <v>MAC</v>
      </c>
      <c r="F6" s="100" t="str">
        <f>IFERROR(__xludf.DUMMYFUNCTION("""COMPUTED_VALUE"""),"Toledo")</f>
        <v>Toledo</v>
      </c>
      <c r="G6" s="123" t="str">
        <f>IFERROR(__xludf.DUMMYFUNCTION("""COMPUTED_VALUE"""),"Pac12")</f>
        <v>Pac12</v>
      </c>
      <c r="H6" s="100" t="str">
        <f>IFERROR(__xludf.DUMMYFUNCTION("""COMPUTED_VALUE"""),"UCLA")</f>
        <v>UCLA</v>
      </c>
      <c r="I6" s="123" t="str">
        <f>IFERROR(__xludf.DUMMYFUNCTION("""COMPUTED_VALUE"""),"AAC")</f>
        <v>AAC</v>
      </c>
      <c r="J6" s="100" t="str">
        <f>IFERROR(__xludf.DUMMYFUNCTION("""COMPUTED_VALUE"""),"Temple")</f>
        <v>Temple</v>
      </c>
      <c r="K6" s="123" t="str">
        <f>IFERROR(__xludf.DUMMYFUNCTION("""COMPUTED_VALUE"""),"Big Ten")</f>
        <v>Big Ten</v>
      </c>
      <c r="L6" s="100" t="str">
        <f>IFERROR(__xludf.DUMMYFUNCTION("""COMPUTED_VALUE"""),"Michigan State")</f>
        <v>Michigan State</v>
      </c>
      <c r="M6" s="123" t="str">
        <f>IFERROR(__xludf.DUMMYFUNCTION("""COMPUTED_VALUE"""),"Big 12")</f>
        <v>Big 12</v>
      </c>
      <c r="N6" s="100" t="str">
        <f>IFERROR(__xludf.DUMMYFUNCTION("""COMPUTED_VALUE"""),"Kansas State")</f>
        <v>Kansas State</v>
      </c>
      <c r="O6" s="123" t="str">
        <f>IFERROR(__xludf.DUMMYFUNCTION("""COMPUTED_VALUE"""),"ACC")</f>
        <v>ACC</v>
      </c>
      <c r="P6" s="100" t="str">
        <f>IFERROR(__xludf.DUMMYFUNCTION("""COMPUTED_VALUE"""),"North Carolina")</f>
        <v>North Carolina</v>
      </c>
      <c r="Q6" s="123" t="str">
        <f>IFERROR(__xludf.DUMMYFUNCTION("""COMPUTED_VALUE"""),"AAC")</f>
        <v>AAC</v>
      </c>
      <c r="R6" s="100" t="str">
        <f>IFERROR(__xludf.DUMMYFUNCTION("""COMPUTED_VALUE"""),"South Florida")</f>
        <v>South Florida</v>
      </c>
      <c r="S6" s="123" t="str">
        <f>IFERROR(__xludf.DUMMYFUNCTION("""COMPUTED_VALUE"""),"Pac12")</f>
        <v>Pac12</v>
      </c>
      <c r="T6" s="100" t="str">
        <f>IFERROR(__xludf.DUMMYFUNCTION("""COMPUTED_VALUE"""),"Washington")</f>
        <v>Washington</v>
      </c>
    </row>
    <row r="7">
      <c r="A7" s="123" t="str">
        <f>IFERROR(__xludf.DUMMYFUNCTION("""COMPUTED_VALUE"""),"CUSA")</f>
        <v>CUSA</v>
      </c>
      <c r="B7" s="100" t="str">
        <f>IFERROR(__xludf.DUMMYFUNCTION("""COMPUTED_VALUE"""),"Marshall")</f>
        <v>Marshall</v>
      </c>
      <c r="C7" s="123" t="str">
        <f>IFERROR(__xludf.DUMMYFUNCTION("""COMPUTED_VALUE"""),"CUSA")</f>
        <v>CUSA</v>
      </c>
      <c r="D7" s="100" t="str">
        <f>IFERROR(__xludf.DUMMYFUNCTION("""COMPUTED_VALUE"""),"Middle Tennessee")</f>
        <v>Middle Tennessee</v>
      </c>
      <c r="E7" s="123" t="str">
        <f>IFERROR(__xludf.DUMMYFUNCTION("""COMPUTED_VALUE"""),"Sun Belt")</f>
        <v>Sun Belt</v>
      </c>
      <c r="F7" s="100" t="str">
        <f>IFERROR(__xludf.DUMMYFUNCTION("""COMPUTED_VALUE"""),"Louisiana Lafayette")</f>
        <v>Louisiana Lafayette</v>
      </c>
      <c r="G7" s="123" t="str">
        <f>IFERROR(__xludf.DUMMYFUNCTION("""COMPUTED_VALUE"""),"SEC")</f>
        <v>SEC</v>
      </c>
      <c r="H7" s="100" t="str">
        <f>IFERROR(__xludf.DUMMYFUNCTION("""COMPUTED_VALUE"""),"Georgia")</f>
        <v>Georgia</v>
      </c>
      <c r="I7" s="123" t="str">
        <f>IFERROR(__xludf.DUMMYFUNCTION("""COMPUTED_VALUE"""),"Big Ten")</f>
        <v>Big Ten</v>
      </c>
      <c r="J7" s="100" t="str">
        <f>IFERROR(__xludf.DUMMYFUNCTION("""COMPUTED_VALUE"""),"Wisconsin")</f>
        <v>Wisconsin</v>
      </c>
      <c r="K7" s="123" t="str">
        <f>IFERROR(__xludf.DUMMYFUNCTION("""COMPUTED_VALUE"""),"AAC")</f>
        <v>AAC</v>
      </c>
      <c r="L7" s="100" t="str">
        <f>IFERROR(__xludf.DUMMYFUNCTION("""COMPUTED_VALUE"""),"Navy")</f>
        <v>Navy</v>
      </c>
      <c r="M7" s="123" t="str">
        <f>IFERROR(__xludf.DUMMYFUNCTION("""COMPUTED_VALUE"""),"Pac12")</f>
        <v>Pac12</v>
      </c>
      <c r="N7" s="100" t="str">
        <f>IFERROR(__xludf.DUMMYFUNCTION("""COMPUTED_VALUE"""),"USC")</f>
        <v>USC</v>
      </c>
      <c r="O7" s="123" t="str">
        <f>IFERROR(__xludf.DUMMYFUNCTION("""COMPUTED_VALUE"""),"CUSA")</f>
        <v>CUSA</v>
      </c>
      <c r="P7" s="100" t="str">
        <f>IFERROR(__xludf.DUMMYFUNCTION("""COMPUTED_VALUE"""),"Louisiana Tech")</f>
        <v>Louisiana Tech</v>
      </c>
      <c r="Q7" s="123" t="str">
        <f>IFERROR(__xludf.DUMMYFUNCTION("""COMPUTED_VALUE"""),"MWC")</f>
        <v>MWC</v>
      </c>
      <c r="R7" s="100" t="str">
        <f>IFERROR(__xludf.DUMMYFUNCTION("""COMPUTED_VALUE"""),"Utah State")</f>
        <v>Utah State</v>
      </c>
      <c r="S7" s="123" t="str">
        <f>IFERROR(__xludf.DUMMYFUNCTION("""COMPUTED_VALUE"""),"MAC")</f>
        <v>MAC</v>
      </c>
      <c r="T7" s="100" t="str">
        <f>IFERROR(__xludf.DUMMYFUNCTION("""COMPUTED_VALUE"""),"Ohio")</f>
        <v>Ohio</v>
      </c>
    </row>
    <row r="8">
      <c r="A8" s="123" t="str">
        <f>IFERROR(__xludf.DUMMYFUNCTION("""COMPUTED_VALUE"""),"MWC")</f>
        <v>MWC</v>
      </c>
      <c r="B8" s="100" t="str">
        <f>IFERROR(__xludf.DUMMYFUNCTION("""COMPUTED_VALUE"""),"New Mexico")</f>
        <v>New Mexico</v>
      </c>
      <c r="C8" s="123" t="str">
        <f>IFERROR(__xludf.DUMMYFUNCTION("""COMPUTED_VALUE"""),"MAC")</f>
        <v>MAC</v>
      </c>
      <c r="D8" s="100" t="str">
        <f>IFERROR(__xludf.DUMMYFUNCTION("""COMPUTED_VALUE"""),"Akron")</f>
        <v>Akron</v>
      </c>
      <c r="E8" s="123" t="str">
        <f>IFERROR(__xludf.DUMMYFUNCTION("""COMPUTED_VALUE"""),"MWC")</f>
        <v>MWC</v>
      </c>
      <c r="F8" s="100" t="str">
        <f>IFERROR(__xludf.DUMMYFUNCTION("""COMPUTED_VALUE"""),"Colorado State")</f>
        <v>Colorado State</v>
      </c>
      <c r="G8" s="123" t="str">
        <f>IFERROR(__xludf.DUMMYFUNCTION("""COMPUTED_VALUE"""),"MAC")</f>
        <v>MAC</v>
      </c>
      <c r="H8" s="100" t="str">
        <f>IFERROR(__xludf.DUMMYFUNCTION("""COMPUTED_VALUE"""),"Bowling Green")</f>
        <v>Bowling Green</v>
      </c>
      <c r="I8" s="123" t="str">
        <f>IFERROR(__xludf.DUMMYFUNCTION("""COMPUTED_VALUE"""),"MAC")</f>
        <v>MAC</v>
      </c>
      <c r="J8" s="100" t="str">
        <f>IFERROR(__xludf.DUMMYFUNCTION("""COMPUTED_VALUE"""),"Central Michigan")</f>
        <v>Central Michigan</v>
      </c>
      <c r="K8" s="123" t="str">
        <f>IFERROR(__xludf.DUMMYFUNCTION("""COMPUTED_VALUE"""),"Pac12")</f>
        <v>Pac12</v>
      </c>
      <c r="L8" s="100" t="str">
        <f>IFERROR(__xludf.DUMMYFUNCTION("""COMPUTED_VALUE"""),"Utah")</f>
        <v>Utah</v>
      </c>
      <c r="M8" s="123" t="str">
        <f>IFERROR(__xludf.DUMMYFUNCTION("""COMPUTED_VALUE"""),"AAC")</f>
        <v>AAC</v>
      </c>
      <c r="N8" s="100" t="str">
        <f>IFERROR(__xludf.DUMMYFUNCTION("""COMPUTED_VALUE"""),"Memphis")</f>
        <v>Memphis</v>
      </c>
      <c r="O8" s="123" t="str">
        <f>IFERROR(__xludf.DUMMYFUNCTION("""COMPUTED_VALUE"""),"Pac12")</f>
        <v>Pac12</v>
      </c>
      <c r="P8" s="100" t="str">
        <f>IFERROR(__xludf.DUMMYFUNCTION("""COMPUTED_VALUE"""),"Washington State")</f>
        <v>Washington State</v>
      </c>
      <c r="Q8" s="123" t="str">
        <f>IFERROR(__xludf.DUMMYFUNCTION("""COMPUTED_VALUE"""),"ACC")</f>
        <v>ACC</v>
      </c>
      <c r="R8" s="100" t="str">
        <f>IFERROR(__xludf.DUMMYFUNCTION("""COMPUTED_VALUE"""),"Virginia Tech")</f>
        <v>Virginia Tech</v>
      </c>
      <c r="S8" s="123" t="str">
        <f>IFERROR(__xludf.DUMMYFUNCTION("""COMPUTED_VALUE"""),"MWC")</f>
        <v>MWC</v>
      </c>
      <c r="T8" s="100" t="str">
        <f>IFERROR(__xludf.DUMMYFUNCTION("""COMPUTED_VALUE"""),"Nevada")</f>
        <v>Nevada</v>
      </c>
    </row>
    <row r="9">
      <c r="A9" s="123" t="str">
        <f>IFERROR(__xludf.DUMMYFUNCTION("""COMPUTED_VALUE"""),"SEC")</f>
        <v>SEC</v>
      </c>
      <c r="B9" s="100" t="str">
        <f>IFERROR(__xludf.DUMMYFUNCTION("""COMPUTED_VALUE"""),"Florida")</f>
        <v>Florida</v>
      </c>
      <c r="C9" s="123" t="str">
        <f>IFERROR(__xludf.DUMMYFUNCTION("""COMPUTED_VALUE"""),"ACC")</f>
        <v>ACC</v>
      </c>
      <c r="D9" s="100" t="str">
        <f>IFERROR(__xludf.DUMMYFUNCTION("""COMPUTED_VALUE"""),"Miami")</f>
        <v>Miami</v>
      </c>
      <c r="E9" s="123" t="str">
        <f>IFERROR(__xludf.DUMMYFUNCTION("""COMPUTED_VALUE"""),"AAC")</f>
        <v>AAC</v>
      </c>
      <c r="F9" s="100" t="str">
        <f>IFERROR(__xludf.DUMMYFUNCTION("""COMPUTED_VALUE"""),"Tulsa")</f>
        <v>Tulsa</v>
      </c>
      <c r="G9" s="123" t="str">
        <f>IFERROR(__xludf.DUMMYFUNCTION("""COMPUTED_VALUE"""),"ACC")</f>
        <v>ACC</v>
      </c>
      <c r="H9" s="100" t="str">
        <f>IFERROR(__xludf.DUMMYFUNCTION("""COMPUTED_VALUE"""),"Pittsburgh")</f>
        <v>Pittsburgh</v>
      </c>
      <c r="I9" s="123" t="str">
        <f>IFERROR(__xludf.DUMMYFUNCTION("""COMPUTED_VALUE"""),"CUSA")</f>
        <v>CUSA</v>
      </c>
      <c r="J9" s="100" t="str">
        <f>IFERROR(__xludf.DUMMYFUNCTION("""COMPUTED_VALUE"""),"Florida Intl")</f>
        <v>Florida Intl</v>
      </c>
      <c r="K9" s="123" t="str">
        <f>IFERROR(__xludf.DUMMYFUNCTION("""COMPUTED_VALUE"""),"Sun Belt")</f>
        <v>Sun Belt</v>
      </c>
      <c r="L9" s="100" t="str">
        <f>IFERROR(__xludf.DUMMYFUNCTION("""COMPUTED_VALUE"""),"Georgia State")</f>
        <v>Georgia State</v>
      </c>
      <c r="M9" s="123" t="str">
        <f>IFERROR(__xludf.DUMMYFUNCTION("""COMPUTED_VALUE"""),"Big Ten")</f>
        <v>Big Ten</v>
      </c>
      <c r="N9" s="100" t="str">
        <f>IFERROR(__xludf.DUMMYFUNCTION("""COMPUTED_VALUE"""),"Northwestern")</f>
        <v>Northwestern</v>
      </c>
      <c r="O9" s="123" t="str">
        <f>IFERROR(__xludf.DUMMYFUNCTION("""COMPUTED_VALUE"""),"SEC")</f>
        <v>SEC</v>
      </c>
      <c r="P9" s="100" t="str">
        <f>IFERROR(__xludf.DUMMYFUNCTION("""COMPUTED_VALUE"""),"Ole Miss")</f>
        <v>Ole Miss</v>
      </c>
      <c r="Q9" s="123" t="str">
        <f>IFERROR(__xludf.DUMMYFUNCTION("""COMPUTED_VALUE"""),"Big Ten")</f>
        <v>Big Ten</v>
      </c>
      <c r="R9" s="100" t="str">
        <f>IFERROR(__xludf.DUMMYFUNCTION("""COMPUTED_VALUE"""),"Purdue")</f>
        <v>Purdue</v>
      </c>
      <c r="S9" s="123" t="str">
        <f>IFERROR(__xludf.DUMMYFUNCTION("""COMPUTED_VALUE"""),"SEC")</f>
        <v>SEC</v>
      </c>
      <c r="T9" s="100" t="str">
        <f>IFERROR(__xludf.DUMMYFUNCTION("""COMPUTED_VALUE"""),"Arkansas")</f>
        <v>Arkansas</v>
      </c>
    </row>
    <row r="10">
      <c r="A10" s="123" t="str">
        <f>IFERROR(__xludf.DUMMYFUNCTION("""COMPUTED_VALUE"""),"Sun Belt")</f>
        <v>Sun Belt</v>
      </c>
      <c r="B10" s="100" t="str">
        <f>IFERROR(__xludf.DUMMYFUNCTION("""COMPUTED_VALUE"""),"Texas State")</f>
        <v>Texas State</v>
      </c>
      <c r="C10" s="123" t="str">
        <f>IFERROR(__xludf.DUMMYFUNCTION("""COMPUTED_VALUE"""),"Pac12")</f>
        <v>Pac12</v>
      </c>
      <c r="D10" s="100" t="str">
        <f>IFERROR(__xludf.DUMMYFUNCTION("""COMPUTED_VALUE"""),"Arizona")</f>
        <v>Arizona</v>
      </c>
      <c r="E10" s="123" t="str">
        <f>IFERROR(__xludf.DUMMYFUNCTION("""COMPUTED_VALUE"""),"Big Ten")</f>
        <v>Big Ten</v>
      </c>
      <c r="F10" s="100" t="str">
        <f>IFERROR(__xludf.DUMMYFUNCTION("""COMPUTED_VALUE"""),"Penn State")</f>
        <v>Penn State</v>
      </c>
      <c r="G10" s="123" t="str">
        <f>IFERROR(__xludf.DUMMYFUNCTION("""COMPUTED_VALUE"""),"Sun Belt")</f>
        <v>Sun Belt</v>
      </c>
      <c r="H10" s="100" t="str">
        <f>IFERROR(__xludf.DUMMYFUNCTION("""COMPUTED_VALUE"""),"Idaho")</f>
        <v>Idaho</v>
      </c>
      <c r="I10" s="123" t="str">
        <f>IFERROR(__xludf.DUMMYFUNCTION("""COMPUTED_VALUE"""),"SEC")</f>
        <v>SEC</v>
      </c>
      <c r="J10" s="100" t="str">
        <f>IFERROR(__xludf.DUMMYFUNCTION("""COMPUTED_VALUE"""),"Mississippi State")</f>
        <v>Mississippi State</v>
      </c>
      <c r="K10" s="123" t="str">
        <f>IFERROR(__xludf.DUMMYFUNCTION("""COMPUTED_VALUE"""),"MAC")</f>
        <v>MAC</v>
      </c>
      <c r="L10" s="100" t="str">
        <f>IFERROR(__xludf.DUMMYFUNCTION("""COMPUTED_VALUE"""),"Buffalo")</f>
        <v>Buffalo</v>
      </c>
      <c r="M10" s="123" t="str">
        <f>IFERROR(__xludf.DUMMYFUNCTION("""COMPUTED_VALUE"""),"MWC")</f>
        <v>MWC</v>
      </c>
      <c r="N10" s="100" t="str">
        <f>IFERROR(__xludf.DUMMYFUNCTION("""COMPUTED_VALUE"""),"UNLV")</f>
        <v>UNLV</v>
      </c>
      <c r="O10" s="123" t="str">
        <f>IFERROR(__xludf.DUMMYFUNCTION("""COMPUTED_VALUE"""),"MWC")</f>
        <v>MWC</v>
      </c>
      <c r="P10" s="100" t="str">
        <f>IFERROR(__xludf.DUMMYFUNCTION("""COMPUTED_VALUE"""),"San José State")</f>
        <v>San José State</v>
      </c>
      <c r="Q10" s="123" t="str">
        <f>IFERROR(__xludf.DUMMYFUNCTION("""COMPUTED_VALUE"""),"Big 12")</f>
        <v>Big 12</v>
      </c>
      <c r="R10" s="100" t="str">
        <f>IFERROR(__xludf.DUMMYFUNCTION("""COMPUTED_VALUE"""),"Iowa State")</f>
        <v>Iowa State</v>
      </c>
      <c r="S10" s="123" t="str">
        <f>IFERROR(__xludf.DUMMYFUNCTION("""COMPUTED_VALUE"""),"CUSA")</f>
        <v>CUSA</v>
      </c>
      <c r="T10" s="100" t="str">
        <f>IFERROR(__xludf.DUMMYFUNCTION("""COMPUTED_VALUE"""),"UTEP")</f>
        <v>UTEP</v>
      </c>
    </row>
    <row r="11">
      <c r="A11" s="91" t="str">
        <f>IFERROR(__xludf.DUMMYFUNCTION("""COMPUTED_VALUE"""),"Pac12")</f>
        <v>Pac12</v>
      </c>
      <c r="B11" s="91" t="str">
        <f>IFERROR(__xludf.DUMMYFUNCTION("""COMPUTED_VALUE"""),"Arizona State")</f>
        <v>Arizona State</v>
      </c>
      <c r="C11" s="123" t="str">
        <f>IFERROR(__xludf.DUMMYFUNCTION("""COMPUTED_VALUE"""),"Big Ten")</f>
        <v>Big Ten</v>
      </c>
      <c r="D11" s="100" t="str">
        <f>IFERROR(__xludf.DUMMYFUNCTION("""COMPUTED_VALUE"""),"Minnesota")</f>
        <v>Minnesota</v>
      </c>
      <c r="E11" s="91" t="str">
        <f>IFERROR(__xludf.DUMMYFUNCTION("""COMPUTED_VALUE"""),"ACC")</f>
        <v>ACC</v>
      </c>
      <c r="F11" s="91" t="str">
        <f>IFERROR(__xludf.DUMMYFUNCTION("""COMPUTED_VALUE"""),"Georgia Tech")</f>
        <v>Georgia Tech</v>
      </c>
      <c r="G11" s="123" t="str">
        <f>IFERROR(__xludf.DUMMYFUNCTION("""COMPUTED_VALUE"""),"AAC")</f>
        <v>AAC</v>
      </c>
      <c r="H11" s="100" t="str">
        <f>IFERROR(__xludf.DUMMYFUNCTION("""COMPUTED_VALUE"""),"Connecticut")</f>
        <v>Connecticut</v>
      </c>
      <c r="I11" s="91" t="str">
        <f>IFERROR(__xludf.DUMMYFUNCTION("""COMPUTED_VALUE"""),"ACC")</f>
        <v>ACC</v>
      </c>
      <c r="J11" s="91" t="str">
        <f>IFERROR(__xludf.DUMMYFUNCTION("""COMPUTED_VALUE"""),"Boston College")</f>
        <v>Boston College</v>
      </c>
      <c r="K11" s="123" t="str">
        <f>IFERROR(__xludf.DUMMYFUNCTION("""COMPUTED_VALUE"""),"SEC")</f>
        <v>SEC</v>
      </c>
      <c r="L11" s="100" t="str">
        <f>IFERROR(__xludf.DUMMYFUNCTION("""COMPUTED_VALUE"""),"Texas A&amp;M")</f>
        <v>Texas A&amp;M</v>
      </c>
      <c r="M11" s="91" t="str">
        <f>IFERROR(__xludf.DUMMYFUNCTION("""COMPUTED_VALUE"""),"CUSA")</f>
        <v>CUSA</v>
      </c>
      <c r="N11" s="91" t="str">
        <f>IFERROR(__xludf.DUMMYFUNCTION("""COMPUTED_VALUE"""),"Florida Atlantic")</f>
        <v>Florida Atlantic</v>
      </c>
      <c r="O11" s="123" t="str">
        <f>IFERROR(__xludf.DUMMYFUNCTION("""COMPUTED_VALUE"""),"AAC")</f>
        <v>AAC</v>
      </c>
      <c r="P11" s="100" t="str">
        <f>IFERROR(__xludf.DUMMYFUNCTION("""COMPUTED_VALUE"""),"East Carolina")</f>
        <v>East Carolina</v>
      </c>
      <c r="Q11" s="91" t="str">
        <f>IFERROR(__xludf.DUMMYFUNCTION("""COMPUTED_VALUE"""),"Sun Belt")</f>
        <v>Sun Belt</v>
      </c>
      <c r="R11" s="91" t="str">
        <f>IFERROR(__xludf.DUMMYFUNCTION("""COMPUTED_VALUE"""),"New Mexico State")</f>
        <v>New Mexico State</v>
      </c>
      <c r="S11" s="123" t="str">
        <f>IFERROR(__xludf.DUMMYFUNCTION("""COMPUTED_VALUE"""),"AAC")</f>
        <v>AAC</v>
      </c>
      <c r="T11" s="100" t="str">
        <f>IFERROR(__xludf.DUMMYFUNCTION("""COMPUTED_VALUE"""),"UCF")</f>
        <v>UCF</v>
      </c>
    </row>
    <row r="12">
      <c r="A12" s="91" t="str">
        <f>IFERROR(__xludf.DUMMYFUNCTION("""COMPUTED_VALUE"""),"MAC")</f>
        <v>MAC</v>
      </c>
      <c r="B12" s="91" t="str">
        <f>IFERROR(__xludf.DUMMYFUNCTION("""COMPUTED_VALUE"""),"Kent State")</f>
        <v>Kent State</v>
      </c>
      <c r="C12" s="123" t="str">
        <f>IFERROR(__xludf.DUMMYFUNCTION("""COMPUTED_VALUE"""),"SEC")</f>
        <v>SEC</v>
      </c>
      <c r="D12" s="100" t="str">
        <f>IFERROR(__xludf.DUMMYFUNCTION("""COMPUTED_VALUE"""),"Auburn")</f>
        <v>Auburn</v>
      </c>
      <c r="E12" s="91" t="str">
        <f>IFERROR(__xludf.DUMMYFUNCTION("""COMPUTED_VALUE"""),"Pac12")</f>
        <v>Pac12</v>
      </c>
      <c r="F12" s="91" t="str">
        <f>IFERROR(__xludf.DUMMYFUNCTION("""COMPUTED_VALUE"""),"California")</f>
        <v>California</v>
      </c>
      <c r="G12" s="123" t="str">
        <f>IFERROR(__xludf.DUMMYFUNCTION("""COMPUTED_VALUE"""),"MWC")</f>
        <v>MWC</v>
      </c>
      <c r="H12" s="100" t="str">
        <f>IFERROR(__xludf.DUMMYFUNCTION("""COMPUTED_VALUE"""),"Fresno State")</f>
        <v>Fresno State</v>
      </c>
      <c r="I12" s="91" t="str">
        <f>IFERROR(__xludf.DUMMYFUNCTION("""COMPUTED_VALUE"""),"Big 12")</f>
        <v>Big 12</v>
      </c>
      <c r="J12" s="91" t="str">
        <f>IFERROR(__xludf.DUMMYFUNCTION("""COMPUTED_VALUE"""),"Kansas")</f>
        <v>Kansas</v>
      </c>
      <c r="K12" s="123" t="str">
        <f>IFERROR(__xludf.DUMMYFUNCTION("""COMPUTED_VALUE"""),"CUSA")</f>
        <v>CUSA</v>
      </c>
      <c r="L12" s="100" t="str">
        <f>IFERROR(__xludf.DUMMYFUNCTION("""COMPUTED_VALUE"""),"Old Dominion")</f>
        <v>Old Dominion</v>
      </c>
      <c r="M12" s="91" t="str">
        <f>IFERROR(__xludf.DUMMYFUNCTION("""COMPUTED_VALUE"""),"Sun Belt")</f>
        <v>Sun Belt</v>
      </c>
      <c r="N12" s="91" t="str">
        <f>IFERROR(__xludf.DUMMYFUNCTION("""COMPUTED_VALUE"""),"Louisiana Monroe")</f>
        <v>Louisiana Monroe</v>
      </c>
      <c r="O12" s="123" t="str">
        <f>IFERROR(__xludf.DUMMYFUNCTION("""COMPUTED_VALUE"""),"MAC")</f>
        <v>MAC</v>
      </c>
      <c r="P12" s="100" t="str">
        <f>IFERROR(__xludf.DUMMYFUNCTION("""COMPUTED_VALUE"""),"Ball State")</f>
        <v>Ball State</v>
      </c>
      <c r="Q12" s="91" t="str">
        <f>IFERROR(__xludf.DUMMYFUNCTION("""COMPUTED_VALUE"""),"CUSA")</f>
        <v>CUSA</v>
      </c>
      <c r="R12" s="91" t="str">
        <f>IFERROR(__xludf.DUMMYFUNCTION("""COMPUTED_VALUE"""),"Rice")</f>
        <v>Rice</v>
      </c>
      <c r="S12" s="123" t="str">
        <f>IFERROR(__xludf.DUMMYFUNCTION("""COMPUTED_VALUE"""),"ACC")</f>
        <v>ACC</v>
      </c>
      <c r="T12" s="100" t="str">
        <f>IFERROR(__xludf.DUMMYFUNCTION("""COMPUTED_VALUE"""),"NC State")</f>
        <v>NC State</v>
      </c>
    </row>
  </sheetData>
  <mergeCells count="10">
    <mergeCell ref="O1:P1"/>
    <mergeCell ref="Q1:R1"/>
    <mergeCell ref="S1:T1"/>
    <mergeCell ref="A1:B1"/>
    <mergeCell ref="C1:D1"/>
    <mergeCell ref="E1:F1"/>
    <mergeCell ref="G1:H1"/>
    <mergeCell ref="I1:J1"/>
    <mergeCell ref="K1:L1"/>
    <mergeCell ref="M1:N1"/>
  </mergeCell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8.5"/>
    <col customWidth="1" min="2" max="16" width="5.88"/>
  </cols>
  <sheetData>
    <row r="1">
      <c r="A1" s="124" t="s">
        <v>622</v>
      </c>
      <c r="B1" s="125" t="s">
        <v>623</v>
      </c>
      <c r="C1" s="125" t="s">
        <v>624</v>
      </c>
      <c r="D1" s="125" t="s">
        <v>625</v>
      </c>
      <c r="E1" s="125" t="s">
        <v>626</v>
      </c>
      <c r="F1" s="125" t="s">
        <v>627</v>
      </c>
      <c r="G1" s="125" t="s">
        <v>628</v>
      </c>
      <c r="H1" s="125" t="s">
        <v>629</v>
      </c>
      <c r="I1" s="125" t="s">
        <v>630</v>
      </c>
      <c r="J1" s="125" t="s">
        <v>631</v>
      </c>
      <c r="K1" s="125" t="s">
        <v>632</v>
      </c>
      <c r="L1" s="125" t="s">
        <v>633</v>
      </c>
      <c r="M1" s="125" t="s">
        <v>634</v>
      </c>
      <c r="N1" s="125" t="s">
        <v>635</v>
      </c>
      <c r="O1" s="125" t="s">
        <v>636</v>
      </c>
      <c r="P1" s="125"/>
    </row>
    <row r="2">
      <c r="A2" s="15" t="s">
        <v>20</v>
      </c>
      <c r="B2" s="126">
        <f t="shared" ref="B2:P2" si="1">if(B13="","",B13*100/B$23)</f>
        <v>10.29411765</v>
      </c>
      <c r="C2" s="126">
        <f t="shared" si="1"/>
        <v>9.230769231</v>
      </c>
      <c r="D2" s="126">
        <f t="shared" si="1"/>
        <v>9.289617486</v>
      </c>
      <c r="E2" s="126">
        <f t="shared" si="1"/>
        <v>9.628378378</v>
      </c>
      <c r="F2" s="126">
        <f t="shared" si="1"/>
        <v>9.655172414</v>
      </c>
      <c r="G2" s="126">
        <f t="shared" si="1"/>
        <v>9.655751469</v>
      </c>
      <c r="H2" s="126">
        <f t="shared" si="1"/>
        <v>9.563543004</v>
      </c>
      <c r="I2" s="126">
        <f t="shared" si="1"/>
        <v>9.497206704</v>
      </c>
      <c r="J2" s="126">
        <f t="shared" si="1"/>
        <v>9.384042993</v>
      </c>
      <c r="K2" s="126">
        <f t="shared" si="1"/>
        <v>9.302325581</v>
      </c>
      <c r="L2" s="126">
        <f t="shared" si="1"/>
        <v>9.284277091</v>
      </c>
      <c r="M2" s="126">
        <f t="shared" si="1"/>
        <v>9.344422701</v>
      </c>
      <c r="N2" s="126">
        <f t="shared" si="1"/>
        <v>9.374341689</v>
      </c>
      <c r="O2" s="126">
        <f t="shared" si="1"/>
        <v>9.389411548</v>
      </c>
      <c r="P2" s="126" t="str">
        <f t="shared" si="1"/>
        <v/>
      </c>
    </row>
    <row r="3">
      <c r="A3" s="15" t="s">
        <v>21</v>
      </c>
      <c r="B3" s="126">
        <f t="shared" ref="B3:P3" si="2">if(B14="","",B14*100/B$23)</f>
        <v>8.823529412</v>
      </c>
      <c r="C3" s="126">
        <f t="shared" si="2"/>
        <v>9.743589744</v>
      </c>
      <c r="D3" s="126">
        <f t="shared" si="2"/>
        <v>9.56284153</v>
      </c>
      <c r="E3" s="126">
        <f t="shared" si="2"/>
        <v>9.290540541</v>
      </c>
      <c r="F3" s="126">
        <f t="shared" si="2"/>
        <v>9.195402299</v>
      </c>
      <c r="G3" s="126">
        <f t="shared" si="2"/>
        <v>9.151973132</v>
      </c>
      <c r="H3" s="126">
        <f t="shared" si="2"/>
        <v>9.242618742</v>
      </c>
      <c r="I3" s="126">
        <f t="shared" si="2"/>
        <v>9.243270696</v>
      </c>
      <c r="J3" s="126">
        <f t="shared" si="2"/>
        <v>9.177346011</v>
      </c>
      <c r="K3" s="126">
        <f t="shared" si="2"/>
        <v>9.097127223</v>
      </c>
      <c r="L3" s="126">
        <f t="shared" si="2"/>
        <v>9.140557632</v>
      </c>
      <c r="M3" s="126">
        <f t="shared" si="2"/>
        <v>9.173189824</v>
      </c>
      <c r="N3" s="126">
        <f t="shared" si="2"/>
        <v>9.184748262</v>
      </c>
      <c r="O3" s="126">
        <f t="shared" si="2"/>
        <v>9.223390518</v>
      </c>
      <c r="P3" s="126" t="str">
        <f t="shared" si="2"/>
        <v/>
      </c>
    </row>
    <row r="4">
      <c r="A4" s="15" t="s">
        <v>17</v>
      </c>
      <c r="B4" s="126">
        <f t="shared" ref="B4:P4" si="3">if(B15="","",B15*100/B$23)</f>
        <v>11.76470588</v>
      </c>
      <c r="C4" s="126">
        <f t="shared" si="3"/>
        <v>10.76923077</v>
      </c>
      <c r="D4" s="126">
        <f t="shared" si="3"/>
        <v>10.38251366</v>
      </c>
      <c r="E4" s="126">
        <f t="shared" si="3"/>
        <v>10.47297297</v>
      </c>
      <c r="F4" s="126">
        <f t="shared" si="3"/>
        <v>10.22988506</v>
      </c>
      <c r="G4" s="126">
        <f t="shared" si="3"/>
        <v>10.32745592</v>
      </c>
      <c r="H4" s="126">
        <f t="shared" si="3"/>
        <v>10.26957638</v>
      </c>
      <c r="I4" s="126">
        <f t="shared" si="3"/>
        <v>10.20822753</v>
      </c>
      <c r="J4" s="126">
        <f t="shared" si="3"/>
        <v>10.21083092</v>
      </c>
      <c r="K4" s="126">
        <f t="shared" si="3"/>
        <v>10.15731874</v>
      </c>
      <c r="L4" s="126">
        <f t="shared" si="3"/>
        <v>10.14659385</v>
      </c>
      <c r="M4" s="126">
        <f t="shared" si="3"/>
        <v>10.12720157</v>
      </c>
      <c r="N4" s="126">
        <f t="shared" si="3"/>
        <v>10.09058353</v>
      </c>
      <c r="O4" s="126">
        <f t="shared" si="3"/>
        <v>10.05349567</v>
      </c>
      <c r="P4" s="126" t="str">
        <f t="shared" si="3"/>
        <v/>
      </c>
    </row>
    <row r="5">
      <c r="A5" s="15" t="s">
        <v>16</v>
      </c>
      <c r="B5" s="126">
        <f t="shared" ref="B5:P5" si="4">if(B16="","",B16*100/B$23)</f>
        <v>11.76470588</v>
      </c>
      <c r="C5" s="126">
        <f t="shared" si="4"/>
        <v>10.76923077</v>
      </c>
      <c r="D5" s="126">
        <f t="shared" si="4"/>
        <v>10.6557377</v>
      </c>
      <c r="E5" s="126">
        <f t="shared" si="4"/>
        <v>10.64189189</v>
      </c>
      <c r="F5" s="126">
        <f t="shared" si="4"/>
        <v>10.8045977</v>
      </c>
      <c r="G5" s="126">
        <f t="shared" si="4"/>
        <v>10.99916037</v>
      </c>
      <c r="H5" s="126">
        <f t="shared" si="4"/>
        <v>10.97560976</v>
      </c>
      <c r="I5" s="126">
        <f t="shared" si="4"/>
        <v>10.97003555</v>
      </c>
      <c r="J5" s="126">
        <f t="shared" si="4"/>
        <v>10.95494006</v>
      </c>
      <c r="K5" s="126">
        <f t="shared" si="4"/>
        <v>10.97811218</v>
      </c>
      <c r="L5" s="126">
        <f t="shared" si="4"/>
        <v>10.92267893</v>
      </c>
      <c r="M5" s="126">
        <f t="shared" si="4"/>
        <v>10.86105675</v>
      </c>
      <c r="N5" s="126">
        <f t="shared" si="4"/>
        <v>10.80682536</v>
      </c>
      <c r="O5" s="126">
        <f t="shared" si="4"/>
        <v>10.77292013</v>
      </c>
      <c r="P5" s="126" t="str">
        <f t="shared" si="4"/>
        <v/>
      </c>
    </row>
    <row r="6">
      <c r="A6" s="15" t="s">
        <v>25</v>
      </c>
      <c r="B6" s="126">
        <f t="shared" ref="B6:P6" si="5">if(B17="","",B17*100/B$23)</f>
        <v>11.76470588</v>
      </c>
      <c r="C6" s="126">
        <f t="shared" si="5"/>
        <v>11.79487179</v>
      </c>
      <c r="D6" s="126">
        <f t="shared" si="5"/>
        <v>12.29508197</v>
      </c>
      <c r="E6" s="126">
        <f t="shared" si="5"/>
        <v>12.16216216</v>
      </c>
      <c r="F6" s="126">
        <f t="shared" si="5"/>
        <v>11.95402299</v>
      </c>
      <c r="G6" s="126">
        <f t="shared" si="5"/>
        <v>11.83879093</v>
      </c>
      <c r="H6" s="126">
        <f t="shared" si="5"/>
        <v>11.68164313</v>
      </c>
      <c r="I6" s="126">
        <f t="shared" si="5"/>
        <v>11.68105637</v>
      </c>
      <c r="J6" s="126">
        <f t="shared" si="5"/>
        <v>11.6577098</v>
      </c>
      <c r="K6" s="126">
        <f t="shared" si="5"/>
        <v>11.62790698</v>
      </c>
      <c r="L6" s="126">
        <f t="shared" si="5"/>
        <v>11.58378844</v>
      </c>
      <c r="M6" s="126">
        <f t="shared" si="5"/>
        <v>11.54598826</v>
      </c>
      <c r="N6" s="126">
        <f t="shared" si="5"/>
        <v>11.62839688</v>
      </c>
      <c r="O6" s="126">
        <f t="shared" si="5"/>
        <v>11.73215274</v>
      </c>
      <c r="P6" s="126" t="str">
        <f t="shared" si="5"/>
        <v/>
      </c>
    </row>
    <row r="7">
      <c r="A7" s="15" t="s">
        <v>18</v>
      </c>
      <c r="B7" s="126">
        <f t="shared" ref="B7:P7" si="6">if(B18="","",B18*100/B$23)</f>
        <v>7.352941176</v>
      </c>
      <c r="C7" s="126">
        <f t="shared" si="6"/>
        <v>8.717948718</v>
      </c>
      <c r="D7" s="126">
        <f t="shared" si="6"/>
        <v>9.289617486</v>
      </c>
      <c r="E7" s="126">
        <f t="shared" si="6"/>
        <v>9.121621622</v>
      </c>
      <c r="F7" s="126">
        <f t="shared" si="6"/>
        <v>9.310344828</v>
      </c>
      <c r="G7" s="126">
        <f t="shared" si="6"/>
        <v>9.403862301</v>
      </c>
      <c r="H7" s="126">
        <f t="shared" si="6"/>
        <v>9.563543004</v>
      </c>
      <c r="I7" s="126">
        <f t="shared" si="6"/>
        <v>9.70035551</v>
      </c>
      <c r="J7" s="126">
        <f t="shared" si="6"/>
        <v>9.797436957</v>
      </c>
      <c r="K7" s="126">
        <f t="shared" si="6"/>
        <v>9.952120383</v>
      </c>
      <c r="L7" s="126">
        <f t="shared" si="6"/>
        <v>10.06036217</v>
      </c>
      <c r="M7" s="126">
        <f t="shared" si="6"/>
        <v>10.07827789</v>
      </c>
      <c r="N7" s="126">
        <f t="shared" si="6"/>
        <v>10.02738572</v>
      </c>
      <c r="O7" s="126">
        <f t="shared" si="6"/>
        <v>9.979708541</v>
      </c>
      <c r="P7" s="126" t="str">
        <f t="shared" si="6"/>
        <v/>
      </c>
    </row>
    <row r="8">
      <c r="A8" s="15" t="s">
        <v>12</v>
      </c>
      <c r="B8" s="126">
        <f t="shared" ref="B8:P8" si="7">if(B19="","",B19*100/B$23)</f>
        <v>11.76470588</v>
      </c>
      <c r="C8" s="126">
        <f t="shared" si="7"/>
        <v>11.28205128</v>
      </c>
      <c r="D8" s="126">
        <f t="shared" si="7"/>
        <v>11.20218579</v>
      </c>
      <c r="E8" s="126">
        <f t="shared" si="7"/>
        <v>10.97972973</v>
      </c>
      <c r="F8" s="126">
        <f t="shared" si="7"/>
        <v>10.68965517</v>
      </c>
      <c r="G8" s="126">
        <f t="shared" si="7"/>
        <v>10.57934509</v>
      </c>
      <c r="H8" s="126">
        <f t="shared" si="7"/>
        <v>10.52631579</v>
      </c>
      <c r="I8" s="126">
        <f t="shared" si="7"/>
        <v>10.36058913</v>
      </c>
      <c r="J8" s="126">
        <f t="shared" si="7"/>
        <v>10.21083092</v>
      </c>
      <c r="K8" s="126">
        <f t="shared" si="7"/>
        <v>10.05471956</v>
      </c>
      <c r="L8" s="126">
        <f t="shared" si="7"/>
        <v>9.916642713</v>
      </c>
      <c r="M8" s="126">
        <f t="shared" si="7"/>
        <v>9.760273973</v>
      </c>
      <c r="N8" s="126">
        <f t="shared" si="7"/>
        <v>9.627132926</v>
      </c>
      <c r="O8" s="126">
        <f t="shared" si="7"/>
        <v>9.518539015</v>
      </c>
      <c r="P8" s="126" t="str">
        <f t="shared" si="7"/>
        <v/>
      </c>
    </row>
    <row r="9">
      <c r="A9" s="15" t="s">
        <v>14</v>
      </c>
      <c r="B9" s="126">
        <f t="shared" ref="B9:P9" si="8">if(B20="","",B20*100/B$23)</f>
        <v>11.76470588</v>
      </c>
      <c r="C9" s="126">
        <f t="shared" si="8"/>
        <v>11.79487179</v>
      </c>
      <c r="D9" s="126">
        <f t="shared" si="8"/>
        <v>11.47540984</v>
      </c>
      <c r="E9" s="126">
        <f t="shared" si="8"/>
        <v>11.65540541</v>
      </c>
      <c r="F9" s="126">
        <f t="shared" si="8"/>
        <v>11.83908046</v>
      </c>
      <c r="G9" s="126">
        <f t="shared" si="8"/>
        <v>11.67086482</v>
      </c>
      <c r="H9" s="126">
        <f t="shared" si="8"/>
        <v>11.48908858</v>
      </c>
      <c r="I9" s="126">
        <f t="shared" si="8"/>
        <v>11.37633316</v>
      </c>
      <c r="J9" s="126">
        <f t="shared" si="8"/>
        <v>11.36833402</v>
      </c>
      <c r="K9" s="126">
        <f t="shared" si="8"/>
        <v>11.35430917</v>
      </c>
      <c r="L9" s="126">
        <f t="shared" si="8"/>
        <v>11.29634953</v>
      </c>
      <c r="M9" s="126">
        <f t="shared" si="8"/>
        <v>11.25244618</v>
      </c>
      <c r="N9" s="126">
        <f t="shared" si="8"/>
        <v>11.20707815</v>
      </c>
      <c r="O9" s="126">
        <f t="shared" si="8"/>
        <v>11.14185575</v>
      </c>
      <c r="P9" s="126" t="str">
        <f t="shared" si="8"/>
        <v/>
      </c>
    </row>
    <row r="10">
      <c r="A10" s="15" t="s">
        <v>19</v>
      </c>
      <c r="B10" s="126">
        <f t="shared" ref="B10:P10" si="9">if(B21="","",B21*100/B$23)</f>
        <v>7.352941176</v>
      </c>
      <c r="C10" s="126">
        <f t="shared" si="9"/>
        <v>9.230769231</v>
      </c>
      <c r="D10" s="126">
        <f t="shared" si="9"/>
        <v>9.016393443</v>
      </c>
      <c r="E10" s="126">
        <f t="shared" si="9"/>
        <v>9.121621622</v>
      </c>
      <c r="F10" s="126">
        <f t="shared" si="9"/>
        <v>9.195402299</v>
      </c>
      <c r="G10" s="126">
        <f t="shared" si="9"/>
        <v>9.151973132</v>
      </c>
      <c r="H10" s="126">
        <f t="shared" si="9"/>
        <v>9.17843389</v>
      </c>
      <c r="I10" s="126">
        <f t="shared" si="9"/>
        <v>9.192483494</v>
      </c>
      <c r="J10" s="126">
        <f t="shared" si="9"/>
        <v>9.3013642</v>
      </c>
      <c r="K10" s="126">
        <f t="shared" si="9"/>
        <v>9.370725034</v>
      </c>
      <c r="L10" s="126">
        <f t="shared" si="9"/>
        <v>9.341764875</v>
      </c>
      <c r="M10" s="126">
        <f t="shared" si="9"/>
        <v>9.417808219</v>
      </c>
      <c r="N10" s="126">
        <f t="shared" si="9"/>
        <v>9.479671371</v>
      </c>
      <c r="O10" s="126">
        <f t="shared" si="9"/>
        <v>9.518539015</v>
      </c>
      <c r="P10" s="126" t="str">
        <f t="shared" si="9"/>
        <v/>
      </c>
    </row>
    <row r="11">
      <c r="A11" s="15" t="s">
        <v>22</v>
      </c>
      <c r="B11" s="126">
        <f t="shared" ref="B11:P11" si="10">if(B22="","",B22*100/B$23)</f>
        <v>7.352941176</v>
      </c>
      <c r="C11" s="126">
        <f t="shared" si="10"/>
        <v>6.666666667</v>
      </c>
      <c r="D11" s="126">
        <f t="shared" si="10"/>
        <v>6.830601093</v>
      </c>
      <c r="E11" s="126">
        <f t="shared" si="10"/>
        <v>6.925675676</v>
      </c>
      <c r="F11" s="126">
        <f t="shared" si="10"/>
        <v>7.126436782</v>
      </c>
      <c r="G11" s="126">
        <f t="shared" si="10"/>
        <v>7.220822838</v>
      </c>
      <c r="H11" s="126">
        <f t="shared" si="10"/>
        <v>7.509627728</v>
      </c>
      <c r="I11" s="126">
        <f t="shared" si="10"/>
        <v>7.770441849</v>
      </c>
      <c r="J11" s="126">
        <f t="shared" si="10"/>
        <v>7.937164117</v>
      </c>
      <c r="K11" s="126">
        <f t="shared" si="10"/>
        <v>8.105335157</v>
      </c>
      <c r="L11" s="126">
        <f t="shared" si="10"/>
        <v>8.306984766</v>
      </c>
      <c r="M11" s="126">
        <f t="shared" si="10"/>
        <v>8.439334638</v>
      </c>
      <c r="N11" s="126">
        <f t="shared" si="10"/>
        <v>8.573836107</v>
      </c>
      <c r="O11" s="126">
        <f t="shared" si="10"/>
        <v>8.669987087</v>
      </c>
      <c r="P11" s="126" t="str">
        <f t="shared" si="10"/>
        <v/>
      </c>
    </row>
    <row r="12">
      <c r="A12" s="124" t="s">
        <v>637</v>
      </c>
      <c r="B12" s="125" t="s">
        <v>623</v>
      </c>
      <c r="C12" s="125" t="s">
        <v>624</v>
      </c>
      <c r="D12" s="125" t="s">
        <v>625</v>
      </c>
      <c r="E12" s="125" t="s">
        <v>626</v>
      </c>
      <c r="F12" s="125" t="s">
        <v>627</v>
      </c>
      <c r="G12" s="125" t="s">
        <v>628</v>
      </c>
      <c r="H12" s="125" t="s">
        <v>629</v>
      </c>
      <c r="I12" s="125" t="s">
        <v>630</v>
      </c>
      <c r="J12" s="125" t="s">
        <v>631</v>
      </c>
      <c r="K12" s="125" t="s">
        <v>632</v>
      </c>
      <c r="L12" s="125" t="s">
        <v>633</v>
      </c>
      <c r="M12" s="125" t="s">
        <v>634</v>
      </c>
      <c r="N12" s="125" t="s">
        <v>635</v>
      </c>
      <c r="O12" s="125" t="s">
        <v>636</v>
      </c>
      <c r="P12" s="125"/>
    </row>
    <row r="13">
      <c r="A13" s="13" t="s">
        <v>20</v>
      </c>
      <c r="B13" s="13">
        <v>7.0</v>
      </c>
      <c r="C13" s="127">
        <v>18.0</v>
      </c>
      <c r="D13" s="127">
        <v>34.0</v>
      </c>
      <c r="E13" s="127">
        <v>57.0</v>
      </c>
      <c r="F13" s="127">
        <v>84.0</v>
      </c>
      <c r="G13" s="127">
        <v>115.0</v>
      </c>
      <c r="H13" s="127">
        <v>149.0</v>
      </c>
      <c r="I13" s="127">
        <v>187.0</v>
      </c>
      <c r="J13" s="127">
        <v>227.0</v>
      </c>
      <c r="K13" s="127">
        <v>272.0</v>
      </c>
      <c r="L13" s="127">
        <v>323.0</v>
      </c>
      <c r="M13" s="128">
        <v>382.0</v>
      </c>
      <c r="N13" s="128">
        <v>445.0</v>
      </c>
      <c r="O13" s="128">
        <v>509.0</v>
      </c>
      <c r="P13" s="106"/>
    </row>
    <row r="14">
      <c r="A14" s="13" t="s">
        <v>21</v>
      </c>
      <c r="B14" s="13">
        <v>6.0</v>
      </c>
      <c r="C14" s="127">
        <v>19.0</v>
      </c>
      <c r="D14" s="127">
        <v>35.0</v>
      </c>
      <c r="E14" s="127">
        <v>55.0</v>
      </c>
      <c r="F14" s="127">
        <v>80.0</v>
      </c>
      <c r="G14" s="127">
        <v>109.0</v>
      </c>
      <c r="H14" s="127">
        <v>144.0</v>
      </c>
      <c r="I14" s="127">
        <v>182.0</v>
      </c>
      <c r="J14" s="127">
        <v>222.0</v>
      </c>
      <c r="K14" s="127">
        <v>266.0</v>
      </c>
      <c r="L14" s="127">
        <v>318.0</v>
      </c>
      <c r="M14" s="128">
        <v>375.0</v>
      </c>
      <c r="N14" s="128">
        <v>436.0</v>
      </c>
      <c r="O14" s="128">
        <v>500.0</v>
      </c>
      <c r="P14" s="106"/>
    </row>
    <row r="15">
      <c r="A15" s="13" t="s">
        <v>17</v>
      </c>
      <c r="B15" s="13">
        <v>8.0</v>
      </c>
      <c r="C15" s="127">
        <v>21.0</v>
      </c>
      <c r="D15" s="127">
        <v>38.0</v>
      </c>
      <c r="E15" s="127">
        <v>62.0</v>
      </c>
      <c r="F15" s="127">
        <v>89.0</v>
      </c>
      <c r="G15" s="127">
        <v>123.0</v>
      </c>
      <c r="H15" s="127">
        <v>160.0</v>
      </c>
      <c r="I15" s="127">
        <v>201.0</v>
      </c>
      <c r="J15" s="127">
        <v>247.0</v>
      </c>
      <c r="K15" s="127">
        <v>297.0</v>
      </c>
      <c r="L15" s="127">
        <v>353.0</v>
      </c>
      <c r="M15" s="128">
        <v>414.0</v>
      </c>
      <c r="N15" s="128">
        <v>479.0</v>
      </c>
      <c r="O15" s="128">
        <v>545.0</v>
      </c>
      <c r="P15" s="106"/>
    </row>
    <row r="16">
      <c r="A16" s="13" t="s">
        <v>16</v>
      </c>
      <c r="B16" s="13">
        <v>8.0</v>
      </c>
      <c r="C16" s="127">
        <v>21.0</v>
      </c>
      <c r="D16" s="127">
        <v>39.0</v>
      </c>
      <c r="E16" s="127">
        <v>63.0</v>
      </c>
      <c r="F16" s="127">
        <v>94.0</v>
      </c>
      <c r="G16" s="127">
        <v>131.0</v>
      </c>
      <c r="H16" s="127">
        <v>171.0</v>
      </c>
      <c r="I16" s="127">
        <v>216.0</v>
      </c>
      <c r="J16" s="127">
        <v>265.0</v>
      </c>
      <c r="K16" s="127">
        <v>321.0</v>
      </c>
      <c r="L16" s="127">
        <v>380.0</v>
      </c>
      <c r="M16" s="128">
        <v>444.0</v>
      </c>
      <c r="N16" s="128">
        <v>513.0</v>
      </c>
      <c r="O16" s="128">
        <v>584.0</v>
      </c>
      <c r="P16" s="106"/>
    </row>
    <row r="17">
      <c r="A17" s="13" t="s">
        <v>25</v>
      </c>
      <c r="B17" s="13">
        <v>8.0</v>
      </c>
      <c r="C17" s="127">
        <v>23.0</v>
      </c>
      <c r="D17" s="127">
        <v>45.0</v>
      </c>
      <c r="E17" s="127">
        <v>72.0</v>
      </c>
      <c r="F17" s="127">
        <v>104.0</v>
      </c>
      <c r="G17" s="127">
        <v>141.0</v>
      </c>
      <c r="H17" s="127">
        <v>182.0</v>
      </c>
      <c r="I17" s="127">
        <v>230.0</v>
      </c>
      <c r="J17" s="127">
        <v>282.0</v>
      </c>
      <c r="K17" s="127">
        <v>340.0</v>
      </c>
      <c r="L17" s="127">
        <v>403.0</v>
      </c>
      <c r="M17" s="128">
        <v>472.0</v>
      </c>
      <c r="N17" s="128">
        <v>552.0</v>
      </c>
      <c r="O17" s="128">
        <v>636.0</v>
      </c>
      <c r="P17" s="106"/>
    </row>
    <row r="18">
      <c r="A18" s="13" t="s">
        <v>18</v>
      </c>
      <c r="B18" s="13">
        <v>5.0</v>
      </c>
      <c r="C18" s="127">
        <v>17.0</v>
      </c>
      <c r="D18" s="127">
        <v>34.0</v>
      </c>
      <c r="E18" s="127">
        <v>54.0</v>
      </c>
      <c r="F18" s="127">
        <v>81.0</v>
      </c>
      <c r="G18" s="127">
        <v>112.0</v>
      </c>
      <c r="H18" s="127">
        <v>149.0</v>
      </c>
      <c r="I18" s="127">
        <v>191.0</v>
      </c>
      <c r="J18" s="127">
        <v>237.0</v>
      </c>
      <c r="K18" s="127">
        <v>291.0</v>
      </c>
      <c r="L18" s="127">
        <v>350.0</v>
      </c>
      <c r="M18" s="128">
        <v>412.0</v>
      </c>
      <c r="N18" s="128">
        <v>476.0</v>
      </c>
      <c r="O18" s="128">
        <v>541.0</v>
      </c>
      <c r="P18" s="106"/>
    </row>
    <row r="19">
      <c r="A19" s="13" t="s">
        <v>12</v>
      </c>
      <c r="B19" s="13">
        <v>8.0</v>
      </c>
      <c r="C19" s="127">
        <v>22.0</v>
      </c>
      <c r="D19" s="127">
        <v>41.0</v>
      </c>
      <c r="E19" s="127">
        <v>65.0</v>
      </c>
      <c r="F19" s="127">
        <v>93.0</v>
      </c>
      <c r="G19" s="127">
        <v>126.0</v>
      </c>
      <c r="H19" s="127">
        <v>164.0</v>
      </c>
      <c r="I19" s="127">
        <v>204.0</v>
      </c>
      <c r="J19" s="127">
        <v>247.0</v>
      </c>
      <c r="K19" s="127">
        <v>294.0</v>
      </c>
      <c r="L19" s="127">
        <v>345.0</v>
      </c>
      <c r="M19" s="128">
        <v>399.0</v>
      </c>
      <c r="N19" s="128">
        <v>457.0</v>
      </c>
      <c r="O19" s="128">
        <v>516.0</v>
      </c>
      <c r="P19" s="106"/>
    </row>
    <row r="20">
      <c r="A20" s="13" t="s">
        <v>14</v>
      </c>
      <c r="B20" s="13">
        <v>8.0</v>
      </c>
      <c r="C20" s="127">
        <v>23.0</v>
      </c>
      <c r="D20" s="127">
        <v>42.0</v>
      </c>
      <c r="E20" s="127">
        <v>69.0</v>
      </c>
      <c r="F20" s="127">
        <v>103.0</v>
      </c>
      <c r="G20" s="127">
        <v>139.0</v>
      </c>
      <c r="H20" s="127">
        <v>179.0</v>
      </c>
      <c r="I20" s="127">
        <v>224.0</v>
      </c>
      <c r="J20" s="127">
        <v>275.0</v>
      </c>
      <c r="K20" s="127">
        <v>332.0</v>
      </c>
      <c r="L20" s="127">
        <v>393.0</v>
      </c>
      <c r="M20" s="128">
        <v>460.0</v>
      </c>
      <c r="N20" s="128">
        <v>532.0</v>
      </c>
      <c r="O20" s="128">
        <v>604.0</v>
      </c>
      <c r="P20" s="106"/>
    </row>
    <row r="21">
      <c r="A21" s="13" t="s">
        <v>19</v>
      </c>
      <c r="B21" s="13">
        <v>5.0</v>
      </c>
      <c r="C21" s="127">
        <v>18.0</v>
      </c>
      <c r="D21" s="127">
        <v>33.0</v>
      </c>
      <c r="E21" s="127">
        <v>54.0</v>
      </c>
      <c r="F21" s="127">
        <v>80.0</v>
      </c>
      <c r="G21" s="127">
        <v>109.0</v>
      </c>
      <c r="H21" s="127">
        <v>143.0</v>
      </c>
      <c r="I21" s="127">
        <v>181.0</v>
      </c>
      <c r="J21" s="127">
        <v>225.0</v>
      </c>
      <c r="K21" s="127">
        <v>274.0</v>
      </c>
      <c r="L21" s="127">
        <v>325.0</v>
      </c>
      <c r="M21" s="128">
        <v>385.0</v>
      </c>
      <c r="N21" s="128">
        <v>450.0</v>
      </c>
      <c r="O21" s="128">
        <v>516.0</v>
      </c>
      <c r="P21" s="106"/>
    </row>
    <row r="22">
      <c r="A22" s="13" t="s">
        <v>22</v>
      </c>
      <c r="B22" s="13">
        <v>5.0</v>
      </c>
      <c r="C22" s="127">
        <v>13.0</v>
      </c>
      <c r="D22" s="127">
        <v>25.0</v>
      </c>
      <c r="E22" s="127">
        <v>41.0</v>
      </c>
      <c r="F22" s="127">
        <v>62.0</v>
      </c>
      <c r="G22" s="127">
        <v>86.0</v>
      </c>
      <c r="H22" s="127">
        <v>117.0</v>
      </c>
      <c r="I22" s="127">
        <v>153.0</v>
      </c>
      <c r="J22" s="127">
        <v>192.0</v>
      </c>
      <c r="K22" s="127">
        <v>237.0</v>
      </c>
      <c r="L22" s="127">
        <v>289.0</v>
      </c>
      <c r="M22" s="128">
        <v>345.0</v>
      </c>
      <c r="N22" s="128">
        <v>407.0</v>
      </c>
      <c r="O22" s="128">
        <v>470.0</v>
      </c>
      <c r="P22" s="106"/>
    </row>
    <row r="23">
      <c r="A23" s="129" t="s">
        <v>638</v>
      </c>
      <c r="B23" s="127">
        <f t="shared" ref="B23:P23" si="11">if(sum(B13:B22)&gt;0,sum(B13:B22),"")</f>
        <v>68</v>
      </c>
      <c r="C23" s="127">
        <f t="shared" si="11"/>
        <v>195</v>
      </c>
      <c r="D23" s="127">
        <f t="shared" si="11"/>
        <v>366</v>
      </c>
      <c r="E23" s="127">
        <f t="shared" si="11"/>
        <v>592</v>
      </c>
      <c r="F23" s="127">
        <f t="shared" si="11"/>
        <v>870</v>
      </c>
      <c r="G23" s="127">
        <f t="shared" si="11"/>
        <v>1191</v>
      </c>
      <c r="H23" s="127">
        <f t="shared" si="11"/>
        <v>1558</v>
      </c>
      <c r="I23" s="127">
        <f t="shared" si="11"/>
        <v>1969</v>
      </c>
      <c r="J23" s="127">
        <f t="shared" si="11"/>
        <v>2419</v>
      </c>
      <c r="K23" s="127">
        <f t="shared" si="11"/>
        <v>2924</v>
      </c>
      <c r="L23" s="127">
        <f t="shared" si="11"/>
        <v>3479</v>
      </c>
      <c r="M23" s="127">
        <f t="shared" si="11"/>
        <v>4088</v>
      </c>
      <c r="N23" s="127">
        <f t="shared" si="11"/>
        <v>4747</v>
      </c>
      <c r="O23" s="127">
        <f t="shared" si="11"/>
        <v>5421</v>
      </c>
      <c r="P23" s="127" t="str">
        <f t="shared" si="11"/>
        <v/>
      </c>
    </row>
  </sheetData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.38"/>
    <col customWidth="1" min="2" max="2" width="6.5"/>
    <col customWidth="1" min="3" max="3" width="12.63"/>
    <col customWidth="1" min="4" max="4" width="6.38"/>
    <col customWidth="1" min="5" max="5" width="14.0"/>
    <col customWidth="1" min="6" max="6" width="5.5"/>
    <col customWidth="1" min="7" max="7" width="11.13"/>
    <col customWidth="1" min="8" max="8" width="7.13"/>
    <col customWidth="1" min="9" max="9" width="12.0"/>
    <col customWidth="1" min="10" max="10" width="7.13"/>
    <col customWidth="1" min="11" max="11" width="15.25"/>
    <col customWidth="1" min="12" max="12" width="6.38"/>
    <col customWidth="1" min="13" max="13" width="11.75"/>
    <col customWidth="1" min="14" max="14" width="6.38"/>
    <col customWidth="1" min="15" max="15" width="12.0"/>
    <col customWidth="1" min="16" max="16" width="6.38"/>
    <col customWidth="1" min="17" max="17" width="8.25"/>
    <col customWidth="1" min="18" max="18" width="6.38"/>
    <col customWidth="1" min="19" max="19" width="10.25"/>
    <col customWidth="1" min="20" max="20" width="6.13"/>
    <col customWidth="1" min="21" max="21" width="11.38"/>
  </cols>
  <sheetData>
    <row r="1">
      <c r="A1" s="130"/>
      <c r="B1" s="116" t="str">
        <f>'Picks by Player'!A1</f>
        <v>Gary</v>
      </c>
      <c r="C1" s="117"/>
      <c r="D1" s="116" t="str">
        <f>'Picks by Player'!C1</f>
        <v>Josh R.</v>
      </c>
      <c r="E1" s="117"/>
      <c r="F1" s="116" t="str">
        <f>'Picks by Player'!E1</f>
        <v>Jacob</v>
      </c>
      <c r="G1" s="117"/>
      <c r="H1" s="116" t="str">
        <f>'Picks by Player'!G1</f>
        <v>Brad</v>
      </c>
      <c r="I1" s="117"/>
      <c r="J1" s="116" t="str">
        <f>'Picks by Player'!I1</f>
        <v>Nico</v>
      </c>
      <c r="K1" s="117"/>
      <c r="L1" s="116" t="str">
        <f>'Picks by Player'!K1</f>
        <v>Vu</v>
      </c>
      <c r="M1" s="117"/>
      <c r="N1" s="116" t="str">
        <f>'Picks by Player'!M1</f>
        <v>Josh T.</v>
      </c>
      <c r="O1" s="117"/>
      <c r="P1" s="116" t="str">
        <f>'Picks by Player'!O1</f>
        <v>Justin</v>
      </c>
      <c r="Q1" s="117"/>
      <c r="R1" s="116" t="str">
        <f>'Picks by Player'!Q1</f>
        <v>Frank</v>
      </c>
      <c r="S1" s="117"/>
      <c r="T1" s="116" t="str">
        <f>'Picks by Player'!S1</f>
        <v>Nick A.</v>
      </c>
      <c r="U1" s="117"/>
    </row>
    <row r="2">
      <c r="A2" s="131"/>
      <c r="B2" s="118" t="s">
        <v>3</v>
      </c>
      <c r="C2" s="119" t="s">
        <v>1</v>
      </c>
      <c r="D2" s="121" t="s">
        <v>3</v>
      </c>
      <c r="E2" s="120" t="s">
        <v>1</v>
      </c>
      <c r="F2" s="121" t="s">
        <v>3</v>
      </c>
      <c r="G2" s="120" t="s">
        <v>1</v>
      </c>
      <c r="H2" s="121" t="s">
        <v>3</v>
      </c>
      <c r="I2" s="120" t="s">
        <v>1</v>
      </c>
      <c r="J2" s="121" t="s">
        <v>3</v>
      </c>
      <c r="K2" s="120" t="s">
        <v>1</v>
      </c>
      <c r="L2" s="121" t="s">
        <v>3</v>
      </c>
      <c r="M2" s="120" t="s">
        <v>1</v>
      </c>
      <c r="N2" s="121" t="s">
        <v>3</v>
      </c>
      <c r="O2" s="120" t="s">
        <v>1</v>
      </c>
      <c r="P2" s="121" t="s">
        <v>3</v>
      </c>
      <c r="Q2" s="120" t="s">
        <v>1</v>
      </c>
      <c r="R2" s="121" t="s">
        <v>3</v>
      </c>
      <c r="S2" s="120" t="s">
        <v>1</v>
      </c>
      <c r="T2" s="121" t="s">
        <v>3</v>
      </c>
      <c r="U2" s="120" t="s">
        <v>1</v>
      </c>
    </row>
    <row r="3">
      <c r="A3" t="s">
        <v>24</v>
      </c>
      <c r="B3" s="132" t="str">
        <f t="shared" ref="B3:B12" si="1">if(C3="", "", $A3)</f>
        <v>AAC</v>
      </c>
      <c r="C3" s="133" t="str">
        <f>if(iserror(VLOOKUP($A3,'Picks by Player'!A$3:B$12,2,0)),"", VLOOKUP($A3,'Picks by Player'!A$3:B$12,2,0))</f>
        <v>Cincinnati</v>
      </c>
      <c r="D3" s="132" t="str">
        <f t="shared" ref="D3:D12" si="2">if(E3="", "", $A3)</f>
        <v>AAC</v>
      </c>
      <c r="E3" s="133" t="str">
        <f>if(iserror(VLOOKUP($A3,'Picks by Player'!C$3:D$12,2,0)),"", VLOOKUP($A3,'Picks by Player'!C$3:D$12,2,0))</f>
        <v>Houston</v>
      </c>
      <c r="F3" s="132" t="str">
        <f t="shared" ref="F3:F12" si="3">if(G3="", "", $A3)</f>
        <v>AAC</v>
      </c>
      <c r="G3" s="133" t="str">
        <f>if(iserror(VLOOKUP($A3,'Picks by Player'!E$3:F$12,2,0)),"", VLOOKUP($A3,'Picks by Player'!E$3:F$12,2,0))</f>
        <v>Tulsa</v>
      </c>
      <c r="H3" s="132" t="str">
        <f t="shared" ref="H3:H12" si="4">if(I3="", "", $A3)</f>
        <v>AAC</v>
      </c>
      <c r="I3" s="133" t="str">
        <f>if(iserror(VLOOKUP($A3,'Picks by Player'!G$3:H$12,2,0)),"", VLOOKUP($A3,'Picks by Player'!G$3:H$12,2,0))</f>
        <v>Connecticut</v>
      </c>
      <c r="J3" s="132" t="str">
        <f t="shared" ref="J3:J12" si="5">if(K3="", "", $A3)</f>
        <v>AAC</v>
      </c>
      <c r="K3" s="133" t="str">
        <f>if(iserror(VLOOKUP($A3,'Picks by Player'!I$3:J$12,2,0)),"", VLOOKUP($A3,'Picks by Player'!I$3:J$12,2,0))</f>
        <v>Temple</v>
      </c>
      <c r="L3" s="132" t="str">
        <f t="shared" ref="L3:L12" si="6">if(M3="", "", $A3)</f>
        <v>AAC</v>
      </c>
      <c r="M3" s="133" t="str">
        <f>if(iserror(VLOOKUP($A3,'Picks by Player'!K$3:L$12,2,0)),"", VLOOKUP($A3,'Picks by Player'!K$3:L$12,2,0))</f>
        <v>Navy</v>
      </c>
      <c r="N3" s="132" t="str">
        <f t="shared" ref="N3:N12" si="7">if(O3="", "", $A3)</f>
        <v>AAC</v>
      </c>
      <c r="O3" s="133" t="str">
        <f>if(iserror(VLOOKUP($A3,'Picks by Player'!M$3:N$12,2,0)),"", VLOOKUP($A3,'Picks by Player'!M$3:N$12,2,0))</f>
        <v>Memphis</v>
      </c>
      <c r="P3" s="132" t="str">
        <f t="shared" ref="P3:P12" si="8">if(Q3="", "", $A3)</f>
        <v>AAC</v>
      </c>
      <c r="Q3" s="133" t="str">
        <f>if(iserror(VLOOKUP($A3,'Picks by Player'!O$3:P$12,2,0)),"", VLOOKUP($A3,'Picks by Player'!O$3:P$12,2,0))</f>
        <v>East Carolina</v>
      </c>
      <c r="R3" s="132" t="str">
        <f t="shared" ref="R3:R12" si="9">if(S3="", "", $A3)</f>
        <v>AAC</v>
      </c>
      <c r="S3" s="133" t="str">
        <f>if(iserror(VLOOKUP($A3,'Picks by Player'!Q$3:R$12,2,0)),"", VLOOKUP($A3,'Picks by Player'!Q$3:R$12,2,0))</f>
        <v>South Florida</v>
      </c>
      <c r="T3" s="132" t="str">
        <f t="shared" ref="T3:T12" si="10">if(U3="", "", $A3)</f>
        <v>AAC</v>
      </c>
      <c r="U3" s="133" t="str">
        <f>if(iserror(VLOOKUP($A3,'Picks by Player'!S$3:T$12,2,0)),"", VLOOKUP($A3,'Picks by Player'!S$3:T$12,2,0))</f>
        <v>UCF</v>
      </c>
    </row>
    <row r="4">
      <c r="A4" t="s">
        <v>11</v>
      </c>
      <c r="B4" s="134" t="str">
        <f t="shared" si="1"/>
        <v>ACC</v>
      </c>
      <c r="C4" s="135" t="str">
        <f>if(iserror(VLOOKUP($A4,'Picks by Player'!A$3:B$12,2,0)),"", VLOOKUP($A4,'Picks by Player'!A$3:B$12,2,0))</f>
        <v>Clemson</v>
      </c>
      <c r="D4" s="134" t="str">
        <f t="shared" si="2"/>
        <v>ACC</v>
      </c>
      <c r="E4" s="135" t="str">
        <f>if(iserror(VLOOKUP($A4,'Picks by Player'!C$3:D$12,2,0)),"", VLOOKUP($A4,'Picks by Player'!C$3:D$12,2,0))</f>
        <v>Miami</v>
      </c>
      <c r="F4" s="134" t="str">
        <f t="shared" si="3"/>
        <v>ACC</v>
      </c>
      <c r="G4" s="135" t="str">
        <f>if(iserror(VLOOKUP($A4,'Picks by Player'!E$3:F$12,2,0)),"", VLOOKUP($A4,'Picks by Player'!E$3:F$12,2,0))</f>
        <v>Georgia Tech</v>
      </c>
      <c r="H4" s="134" t="str">
        <f t="shared" si="4"/>
        <v>ACC</v>
      </c>
      <c r="I4" s="135" t="str">
        <f>if(iserror(VLOOKUP($A4,'Picks by Player'!G$3:H$12,2,0)),"", VLOOKUP($A4,'Picks by Player'!G$3:H$12,2,0))</f>
        <v>Pittsburgh</v>
      </c>
      <c r="J4" s="134" t="str">
        <f t="shared" si="5"/>
        <v>ACC</v>
      </c>
      <c r="K4" s="135" t="str">
        <f>if(iserror(VLOOKUP($A4,'Picks by Player'!I$3:J$12,2,0)),"", VLOOKUP($A4,'Picks by Player'!I$3:J$12,2,0))</f>
        <v>Boston College</v>
      </c>
      <c r="L4" s="134" t="str">
        <f t="shared" si="6"/>
        <v>ACC</v>
      </c>
      <c r="M4" s="135" t="str">
        <f>if(iserror(VLOOKUP($A4,'Picks by Player'!K$3:L$12,2,0)),"", VLOOKUP($A4,'Picks by Player'!K$3:L$12,2,0))</f>
        <v>Florida State</v>
      </c>
      <c r="N4" s="134" t="str">
        <f t="shared" si="7"/>
        <v>ACC</v>
      </c>
      <c r="O4" s="135" t="str">
        <f>if(iserror(VLOOKUP($A4,'Picks by Player'!M$3:N$12,2,0)),"", VLOOKUP($A4,'Picks by Player'!M$3:N$12,2,0))</f>
        <v>Louisville</v>
      </c>
      <c r="P4" s="134" t="str">
        <f t="shared" si="8"/>
        <v>ACC</v>
      </c>
      <c r="Q4" s="135" t="str">
        <f>if(iserror(VLOOKUP($A4,'Picks by Player'!O$3:P$12,2,0)),"", VLOOKUP($A4,'Picks by Player'!O$3:P$12,2,0))</f>
        <v>North Carolina</v>
      </c>
      <c r="R4" s="134" t="str">
        <f t="shared" si="9"/>
        <v>ACC</v>
      </c>
      <c r="S4" s="135" t="str">
        <f>if(iserror(VLOOKUP($A4,'Picks by Player'!Q$3:R$12,2,0)),"", VLOOKUP($A4,'Picks by Player'!Q$3:R$12,2,0))</f>
        <v>Virginia Tech</v>
      </c>
      <c r="T4" s="134" t="str">
        <f t="shared" si="10"/>
        <v>ACC</v>
      </c>
      <c r="U4" s="135" t="str">
        <f>if(iserror(VLOOKUP($A4,'Picks by Player'!S$3:T$12,2,0)),"", VLOOKUP($A4,'Picks by Player'!S$3:T$12,2,0))</f>
        <v>NC State</v>
      </c>
    </row>
    <row r="5">
      <c r="A5" t="s">
        <v>29</v>
      </c>
      <c r="B5" s="134" t="str">
        <f t="shared" si="1"/>
        <v>Big 12</v>
      </c>
      <c r="C5" s="135" t="str">
        <f>if(iserror(VLOOKUP($A5,'Picks by Player'!A$3:B$12,2,0)),"", VLOOKUP($A5,'Picks by Player'!A$3:B$12,2,0))</f>
        <v>TCU</v>
      </c>
      <c r="D5" s="134" t="str">
        <f t="shared" si="2"/>
        <v>Big 12</v>
      </c>
      <c r="E5" s="135" t="str">
        <f>if(iserror(VLOOKUP($A5,'Picks by Player'!C$3:D$12,2,0)),"", VLOOKUP($A5,'Picks by Player'!C$3:D$12,2,0))</f>
        <v>Texas</v>
      </c>
      <c r="F5" s="134" t="str">
        <f t="shared" si="3"/>
        <v>Big 12</v>
      </c>
      <c r="G5" s="135" t="str">
        <f>if(iserror(VLOOKUP($A5,'Picks by Player'!E$3:F$12,2,0)),"", VLOOKUP($A5,'Picks by Player'!E$3:F$12,2,0))</f>
        <v>West Virginia</v>
      </c>
      <c r="H5" s="134" t="str">
        <f t="shared" si="4"/>
        <v>Big 12</v>
      </c>
      <c r="I5" s="135" t="str">
        <f>if(iserror(VLOOKUP($A5,'Picks by Player'!G$3:H$12,2,0)),"", VLOOKUP($A5,'Picks by Player'!G$3:H$12,2,0))</f>
        <v>Oklahoma</v>
      </c>
      <c r="J5" s="134" t="str">
        <f t="shared" si="5"/>
        <v>Big 12</v>
      </c>
      <c r="K5" s="135" t="str">
        <f>if(iserror(VLOOKUP($A5,'Picks by Player'!I$3:J$12,2,0)),"", VLOOKUP($A5,'Picks by Player'!I$3:J$12,2,0))</f>
        <v>Kansas</v>
      </c>
      <c r="L5" s="134" t="str">
        <f t="shared" si="6"/>
        <v>Big 12</v>
      </c>
      <c r="M5" s="135" t="str">
        <f>if(iserror(VLOOKUP($A5,'Picks by Player'!K$3:L$12,2,0)),"", VLOOKUP($A5,'Picks by Player'!K$3:L$12,2,0))</f>
        <v>Texas Tech</v>
      </c>
      <c r="N5" s="134" t="str">
        <f t="shared" si="7"/>
        <v>Big 12</v>
      </c>
      <c r="O5" s="135" t="str">
        <f>if(iserror(VLOOKUP($A5,'Picks by Player'!M$3:N$12,2,0)),"", VLOOKUP($A5,'Picks by Player'!M$3:N$12,2,0))</f>
        <v>Kansas State</v>
      </c>
      <c r="P5" s="134" t="str">
        <f t="shared" si="8"/>
        <v>Big 12</v>
      </c>
      <c r="Q5" s="135" t="str">
        <f>if(iserror(VLOOKUP($A5,'Picks by Player'!O$3:P$12,2,0)),"", VLOOKUP($A5,'Picks by Player'!O$3:P$12,2,0))</f>
        <v>Oklahoma State</v>
      </c>
      <c r="R5" s="134" t="str">
        <f t="shared" si="9"/>
        <v>Big 12</v>
      </c>
      <c r="S5" s="135" t="str">
        <f>if(iserror(VLOOKUP($A5,'Picks by Player'!Q$3:R$12,2,0)),"", VLOOKUP($A5,'Picks by Player'!Q$3:R$12,2,0))</f>
        <v>Iowa State</v>
      </c>
      <c r="T5" s="134" t="str">
        <f t="shared" si="10"/>
        <v>Big 12</v>
      </c>
      <c r="U5" s="135" t="str">
        <f>if(iserror(VLOOKUP($A5,'Picks by Player'!S$3:T$12,2,0)),"", VLOOKUP($A5,'Picks by Player'!S$3:T$12,2,0))</f>
        <v>Baylor</v>
      </c>
    </row>
    <row r="6">
      <c r="A6" t="s">
        <v>407</v>
      </c>
      <c r="B6" s="134" t="str">
        <f t="shared" si="1"/>
        <v>Big Ten</v>
      </c>
      <c r="C6" s="135" t="str">
        <f>if(iserror(VLOOKUP($A6,'Picks by Player'!A$3:B$12,2,0)),"", VLOOKUP($A6,'Picks by Player'!A$3:B$12,2,0))</f>
        <v>Iowa</v>
      </c>
      <c r="D6" s="134" t="str">
        <f t="shared" si="2"/>
        <v>Big Ten</v>
      </c>
      <c r="E6" s="135" t="str">
        <f>if(iserror(VLOOKUP($A6,'Picks by Player'!C$3:D$12,2,0)),"", VLOOKUP($A6,'Picks by Player'!C$3:D$12,2,0))</f>
        <v>Minnesota</v>
      </c>
      <c r="F6" s="134" t="str">
        <f t="shared" si="3"/>
        <v>Big Ten</v>
      </c>
      <c r="G6" s="135" t="str">
        <f>if(iserror(VLOOKUP($A6,'Picks by Player'!E$3:F$12,2,0)),"", VLOOKUP($A6,'Picks by Player'!E$3:F$12,2,0))</f>
        <v>Penn State</v>
      </c>
      <c r="H6" s="134" t="str">
        <f t="shared" si="4"/>
        <v>Big Ten</v>
      </c>
      <c r="I6" s="135" t="str">
        <f>if(iserror(VLOOKUP($A6,'Picks by Player'!G$3:H$12,2,0)),"", VLOOKUP($A6,'Picks by Player'!G$3:H$12,2,0))</f>
        <v>Nebraska</v>
      </c>
      <c r="J6" s="134" t="str">
        <f t="shared" si="5"/>
        <v>Big Ten</v>
      </c>
      <c r="K6" s="135" t="str">
        <f>if(iserror(VLOOKUP($A6,'Picks by Player'!I$3:J$12,2,0)),"", VLOOKUP($A6,'Picks by Player'!I$3:J$12,2,0))</f>
        <v>Wisconsin</v>
      </c>
      <c r="L6" s="134" t="str">
        <f t="shared" si="6"/>
        <v>Big Ten</v>
      </c>
      <c r="M6" s="135" t="str">
        <f>if(iserror(VLOOKUP($A6,'Picks by Player'!K$3:L$12,2,0)),"", VLOOKUP($A6,'Picks by Player'!K$3:L$12,2,0))</f>
        <v>Michigan State</v>
      </c>
      <c r="N6" s="134" t="str">
        <f t="shared" si="7"/>
        <v>Big Ten</v>
      </c>
      <c r="O6" s="135" t="str">
        <f>if(iserror(VLOOKUP($A6,'Picks by Player'!M$3:N$12,2,0)),"", VLOOKUP($A6,'Picks by Player'!M$3:N$12,2,0))</f>
        <v>Northwestern</v>
      </c>
      <c r="P6" s="134" t="str">
        <f t="shared" si="8"/>
        <v>Big Ten</v>
      </c>
      <c r="Q6" s="135" t="str">
        <f>if(iserror(VLOOKUP($A6,'Picks by Player'!O$3:P$12,2,0)),"", VLOOKUP($A6,'Picks by Player'!O$3:P$12,2,0))</f>
        <v>Ohio State</v>
      </c>
      <c r="R6" s="134" t="str">
        <f t="shared" si="9"/>
        <v>Big Ten</v>
      </c>
      <c r="S6" s="135" t="str">
        <f>if(iserror(VLOOKUP($A6,'Picks by Player'!Q$3:R$12,2,0)),"", VLOOKUP($A6,'Picks by Player'!Q$3:R$12,2,0))</f>
        <v>Purdue</v>
      </c>
      <c r="T6" s="134" t="str">
        <f t="shared" si="10"/>
        <v>Big Ten</v>
      </c>
      <c r="U6" s="135" t="str">
        <f>if(iserror(VLOOKUP($A6,'Picks by Player'!S$3:T$12,2,0)),"", VLOOKUP($A6,'Picks by Player'!S$3:T$12,2,0))</f>
        <v>Michigan</v>
      </c>
    </row>
    <row r="7">
      <c r="A7" t="s">
        <v>464</v>
      </c>
      <c r="B7" s="134" t="str">
        <f t="shared" si="1"/>
        <v>CUSA</v>
      </c>
      <c r="C7" s="135" t="str">
        <f>if(iserror(VLOOKUP($A7,'Picks by Player'!A$3:B$12,2,0)),"", VLOOKUP($A7,'Picks by Player'!A$3:B$12,2,0))</f>
        <v>Marshall</v>
      </c>
      <c r="D7" s="134" t="str">
        <f t="shared" si="2"/>
        <v>CUSA</v>
      </c>
      <c r="E7" s="135" t="str">
        <f>if(iserror(VLOOKUP($A7,'Picks by Player'!C$3:D$12,2,0)),"", VLOOKUP($A7,'Picks by Player'!C$3:D$12,2,0))</f>
        <v>Middle Tennessee</v>
      </c>
      <c r="F7" s="134" t="str">
        <f t="shared" si="3"/>
        <v>CUSA</v>
      </c>
      <c r="G7" s="135" t="str">
        <f>if(iserror(VLOOKUP($A7,'Picks by Player'!E$3:F$12,2,0)),"", VLOOKUP($A7,'Picks by Player'!E$3:F$12,2,0))</f>
        <v>Southern Mississippi</v>
      </c>
      <c r="H7" s="134" t="str">
        <f t="shared" si="4"/>
        <v>CUSA</v>
      </c>
      <c r="I7" s="135" t="str">
        <f>if(iserror(VLOOKUP($A7,'Picks by Player'!G$3:H$12,2,0)),"", VLOOKUP($A7,'Picks by Player'!G$3:H$12,2,0))</f>
        <v>Western Kentucky</v>
      </c>
      <c r="J7" s="134" t="str">
        <f t="shared" si="5"/>
        <v>CUSA</v>
      </c>
      <c r="K7" s="135" t="str">
        <f>if(iserror(VLOOKUP($A7,'Picks by Player'!I$3:J$12,2,0)),"", VLOOKUP($A7,'Picks by Player'!I$3:J$12,2,0))</f>
        <v>Florida Intl</v>
      </c>
      <c r="L7" s="134" t="str">
        <f t="shared" si="6"/>
        <v>CUSA</v>
      </c>
      <c r="M7" s="135" t="str">
        <f>if(iserror(VLOOKUP($A7,'Picks by Player'!K$3:L$12,2,0)),"", VLOOKUP($A7,'Picks by Player'!K$3:L$12,2,0))</f>
        <v>Old Dominion</v>
      </c>
      <c r="N7" s="134" t="str">
        <f t="shared" si="7"/>
        <v>CUSA</v>
      </c>
      <c r="O7" s="135" t="str">
        <f>if(iserror(VLOOKUP($A7,'Picks by Player'!M$3:N$12,2,0)),"", VLOOKUP($A7,'Picks by Player'!M$3:N$12,2,0))</f>
        <v>Florida Atlantic</v>
      </c>
      <c r="P7" s="134" t="str">
        <f t="shared" si="8"/>
        <v>CUSA</v>
      </c>
      <c r="Q7" s="135" t="str">
        <f>if(iserror(VLOOKUP($A7,'Picks by Player'!O$3:P$12,2,0)),"", VLOOKUP($A7,'Picks by Player'!O$3:P$12,2,0))</f>
        <v>Louisiana Tech</v>
      </c>
      <c r="R7" s="134" t="str">
        <f t="shared" si="9"/>
        <v>CUSA</v>
      </c>
      <c r="S7" s="135" t="str">
        <f>if(iserror(VLOOKUP($A7,'Picks by Player'!Q$3:R$12,2,0)),"", VLOOKUP($A7,'Picks by Player'!Q$3:R$12,2,0))</f>
        <v>Rice</v>
      </c>
      <c r="T7" s="134" t="str">
        <f t="shared" si="10"/>
        <v>CUSA</v>
      </c>
      <c r="U7" s="135" t="str">
        <f>if(iserror(VLOOKUP($A7,'Picks by Player'!S$3:T$12,2,0)),"", VLOOKUP($A7,'Picks by Player'!S$3:T$12,2,0))</f>
        <v>UTEP</v>
      </c>
    </row>
    <row r="8">
      <c r="A8" t="s">
        <v>479</v>
      </c>
      <c r="B8" s="134" t="str">
        <f t="shared" si="1"/>
        <v>MAC</v>
      </c>
      <c r="C8" s="135" t="str">
        <f>if(iserror(VLOOKUP($A8,'Picks by Player'!A$3:B$12,2,0)),"", VLOOKUP($A8,'Picks by Player'!A$3:B$12,2,0))</f>
        <v>Kent State</v>
      </c>
      <c r="D8" s="134" t="str">
        <f t="shared" si="2"/>
        <v>MAC</v>
      </c>
      <c r="E8" s="135" t="str">
        <f>if(iserror(VLOOKUP($A8,'Picks by Player'!C$3:D$12,2,0)),"", VLOOKUP($A8,'Picks by Player'!C$3:D$12,2,0))</f>
        <v>Akron</v>
      </c>
      <c r="F8" s="134" t="str">
        <f t="shared" si="3"/>
        <v>MAC</v>
      </c>
      <c r="G8" s="135" t="str">
        <f>if(iserror(VLOOKUP($A8,'Picks by Player'!E$3:F$12,2,0)),"", VLOOKUP($A8,'Picks by Player'!E$3:F$12,2,0))</f>
        <v>Toledo</v>
      </c>
      <c r="H8" s="134" t="str">
        <f t="shared" si="4"/>
        <v>MAC</v>
      </c>
      <c r="I8" s="135" t="str">
        <f>if(iserror(VLOOKUP($A8,'Picks by Player'!G$3:H$12,2,0)),"", VLOOKUP($A8,'Picks by Player'!G$3:H$12,2,0))</f>
        <v>Bowling Green</v>
      </c>
      <c r="J8" s="134" t="str">
        <f t="shared" si="5"/>
        <v>MAC</v>
      </c>
      <c r="K8" s="135" t="str">
        <f>if(iserror(VLOOKUP($A8,'Picks by Player'!I$3:J$12,2,0)),"", VLOOKUP($A8,'Picks by Player'!I$3:J$12,2,0))</f>
        <v>Central Michigan</v>
      </c>
      <c r="L8" s="134" t="str">
        <f t="shared" si="6"/>
        <v>MAC</v>
      </c>
      <c r="M8" s="135" t="str">
        <f>if(iserror(VLOOKUP($A8,'Picks by Player'!K$3:L$12,2,0)),"", VLOOKUP($A8,'Picks by Player'!K$3:L$12,2,0))</f>
        <v>Buffalo</v>
      </c>
      <c r="N8" s="134" t="str">
        <f t="shared" si="7"/>
        <v>MAC</v>
      </c>
      <c r="O8" s="135" t="str">
        <f>if(iserror(VLOOKUP($A8,'Picks by Player'!M$3:N$12,2,0)),"", VLOOKUP($A8,'Picks by Player'!M$3:N$12,2,0))</f>
        <v>Northern Illinois</v>
      </c>
      <c r="P8" s="134" t="str">
        <f t="shared" si="8"/>
        <v>MAC</v>
      </c>
      <c r="Q8" s="135" t="str">
        <f>if(iserror(VLOOKUP($A8,'Picks by Player'!O$3:P$12,2,0)),"", VLOOKUP($A8,'Picks by Player'!O$3:P$12,2,0))</f>
        <v>Ball State</v>
      </c>
      <c r="R8" s="134" t="str">
        <f t="shared" si="9"/>
        <v>MAC</v>
      </c>
      <c r="S8" s="135" t="str">
        <f>if(iserror(VLOOKUP($A8,'Picks by Player'!Q$3:R$12,2,0)),"", VLOOKUP($A8,'Picks by Player'!Q$3:R$12,2,0))</f>
        <v>Western Michigan</v>
      </c>
      <c r="T8" s="134" t="str">
        <f t="shared" si="10"/>
        <v>MAC</v>
      </c>
      <c r="U8" s="135" t="str">
        <f>if(iserror(VLOOKUP($A8,'Picks by Player'!S$3:T$12,2,0)),"", VLOOKUP($A8,'Picks by Player'!S$3:T$12,2,0))</f>
        <v>Ohio</v>
      </c>
    </row>
    <row r="9">
      <c r="A9" t="s">
        <v>393</v>
      </c>
      <c r="B9" s="134" t="str">
        <f t="shared" si="1"/>
        <v>MWC</v>
      </c>
      <c r="C9" s="135" t="str">
        <f>if(iserror(VLOOKUP($A9,'Picks by Player'!A$3:B$12,2,0)),"", VLOOKUP($A9,'Picks by Player'!A$3:B$12,2,0))</f>
        <v>New Mexico</v>
      </c>
      <c r="D9" s="134" t="str">
        <f t="shared" si="2"/>
        <v>MWC</v>
      </c>
      <c r="E9" s="135" t="str">
        <f>if(iserror(VLOOKUP($A9,'Picks by Player'!C$3:D$12,2,0)),"", VLOOKUP($A9,'Picks by Player'!C$3:D$12,2,0))</f>
        <v>Air Force</v>
      </c>
      <c r="F9" s="134" t="str">
        <f t="shared" si="3"/>
        <v>MWC</v>
      </c>
      <c r="G9" s="135" t="str">
        <f>if(iserror(VLOOKUP($A9,'Picks by Player'!E$3:F$12,2,0)),"", VLOOKUP($A9,'Picks by Player'!E$3:F$12,2,0))</f>
        <v>Colorado State</v>
      </c>
      <c r="H9" s="134" t="str">
        <f t="shared" si="4"/>
        <v>MWC</v>
      </c>
      <c r="I9" s="135" t="str">
        <f>if(iserror(VLOOKUP($A9,'Picks by Player'!G$3:H$12,2,0)),"", VLOOKUP($A9,'Picks by Player'!G$3:H$12,2,0))</f>
        <v>Fresno State</v>
      </c>
      <c r="J9" s="134" t="str">
        <f t="shared" si="5"/>
        <v>MWC</v>
      </c>
      <c r="K9" s="135" t="str">
        <f>if(iserror(VLOOKUP($A9,'Picks by Player'!I$3:J$12,2,0)),"", VLOOKUP($A9,'Picks by Player'!I$3:J$12,2,0))</f>
        <v>Boise State</v>
      </c>
      <c r="L9" s="134" t="str">
        <f t="shared" si="6"/>
        <v>MWC</v>
      </c>
      <c r="M9" s="135" t="str">
        <f>if(iserror(VLOOKUP($A9,'Picks by Player'!K$3:L$12,2,0)),"", VLOOKUP($A9,'Picks by Player'!K$3:L$12,2,0))</f>
        <v>San Diego State</v>
      </c>
      <c r="N9" s="134" t="str">
        <f t="shared" si="7"/>
        <v>MWC</v>
      </c>
      <c r="O9" s="135" t="str">
        <f>if(iserror(VLOOKUP($A9,'Picks by Player'!M$3:N$12,2,0)),"", VLOOKUP($A9,'Picks by Player'!M$3:N$12,2,0))</f>
        <v>UNLV</v>
      </c>
      <c r="P9" s="134" t="str">
        <f t="shared" si="8"/>
        <v>MWC</v>
      </c>
      <c r="Q9" s="135" t="str">
        <f>if(iserror(VLOOKUP($A9,'Picks by Player'!O$3:P$12,2,0)),"", VLOOKUP($A9,'Picks by Player'!O$3:P$12,2,0))</f>
        <v>San José State</v>
      </c>
      <c r="R9" s="134" t="str">
        <f t="shared" si="9"/>
        <v>MWC</v>
      </c>
      <c r="S9" s="135" t="str">
        <f>if(iserror(VLOOKUP($A9,'Picks by Player'!Q$3:R$12,2,0)),"", VLOOKUP($A9,'Picks by Player'!Q$3:R$12,2,0))</f>
        <v>Utah State</v>
      </c>
      <c r="T9" s="134" t="str">
        <f t="shared" si="10"/>
        <v>MWC</v>
      </c>
      <c r="U9" s="135" t="str">
        <f>if(iserror(VLOOKUP($A9,'Picks by Player'!S$3:T$12,2,0)),"", VLOOKUP($A9,'Picks by Player'!S$3:T$12,2,0))</f>
        <v>Nevada</v>
      </c>
    </row>
    <row r="10">
      <c r="A10" t="s">
        <v>413</v>
      </c>
      <c r="B10" s="134" t="str">
        <f t="shared" si="1"/>
        <v>Pac12</v>
      </c>
      <c r="C10" s="135" t="str">
        <f>if(iserror(VLOOKUP($A10,'Picks by Player'!A$3:B$12,2,0)),"", VLOOKUP($A10,'Picks by Player'!A$3:B$12,2,0))</f>
        <v>Arizona State</v>
      </c>
      <c r="D10" s="134" t="str">
        <f t="shared" si="2"/>
        <v>Pac12</v>
      </c>
      <c r="E10" s="135" t="str">
        <f>if(iserror(VLOOKUP($A10,'Picks by Player'!C$3:D$12,2,0)),"", VLOOKUP($A10,'Picks by Player'!C$3:D$12,2,0))</f>
        <v>Arizona</v>
      </c>
      <c r="F10" s="134" t="str">
        <f t="shared" si="3"/>
        <v>Pac12</v>
      </c>
      <c r="G10" s="135" t="str">
        <f>if(iserror(VLOOKUP($A10,'Picks by Player'!E$3:F$12,2,0)),"", VLOOKUP($A10,'Picks by Player'!E$3:F$12,2,0))</f>
        <v>California</v>
      </c>
      <c r="H10" s="134" t="str">
        <f t="shared" si="4"/>
        <v>Pac12</v>
      </c>
      <c r="I10" s="135" t="str">
        <f>if(iserror(VLOOKUP($A10,'Picks by Player'!G$3:H$12,2,0)),"", VLOOKUP($A10,'Picks by Player'!G$3:H$12,2,0))</f>
        <v>UCLA</v>
      </c>
      <c r="J10" s="134" t="str">
        <f t="shared" si="5"/>
        <v>Pac12</v>
      </c>
      <c r="K10" s="135" t="str">
        <f>if(iserror(VLOOKUP($A10,'Picks by Player'!I$3:J$12,2,0)),"", VLOOKUP($A10,'Picks by Player'!I$3:J$12,2,0))</f>
        <v>Oregon</v>
      </c>
      <c r="L10" s="134" t="str">
        <f t="shared" si="6"/>
        <v>Pac12</v>
      </c>
      <c r="M10" s="135" t="str">
        <f>if(iserror(VLOOKUP($A10,'Picks by Player'!K$3:L$12,2,0)),"", VLOOKUP($A10,'Picks by Player'!K$3:L$12,2,0))</f>
        <v>Utah</v>
      </c>
      <c r="N10" s="134" t="str">
        <f t="shared" si="7"/>
        <v>Pac12</v>
      </c>
      <c r="O10" s="135" t="str">
        <f>if(iserror(VLOOKUP($A10,'Picks by Player'!M$3:N$12,2,0)),"", VLOOKUP($A10,'Picks by Player'!M$3:N$12,2,0))</f>
        <v>USC</v>
      </c>
      <c r="P10" s="134" t="str">
        <f t="shared" si="8"/>
        <v>Pac12</v>
      </c>
      <c r="Q10" s="135" t="str">
        <f>if(iserror(VLOOKUP($A10,'Picks by Player'!O$3:P$12,2,0)),"", VLOOKUP($A10,'Picks by Player'!O$3:P$12,2,0))</f>
        <v>Washington State</v>
      </c>
      <c r="R10" s="134" t="str">
        <f t="shared" si="9"/>
        <v>Pac12</v>
      </c>
      <c r="S10" s="135" t="str">
        <f>if(iserror(VLOOKUP($A10,'Picks by Player'!Q$3:R$12,2,0)),"", VLOOKUP($A10,'Picks by Player'!Q$3:R$12,2,0))</f>
        <v>Stanford</v>
      </c>
      <c r="T10" s="134" t="str">
        <f t="shared" si="10"/>
        <v>Pac12</v>
      </c>
      <c r="U10" s="135" t="str">
        <f>if(iserror(VLOOKUP($A10,'Picks by Player'!S$3:T$12,2,0)),"", VLOOKUP($A10,'Picks by Player'!S$3:T$12,2,0))</f>
        <v>Washington</v>
      </c>
    </row>
    <row r="11">
      <c r="A11" t="s">
        <v>27</v>
      </c>
      <c r="B11" s="134" t="str">
        <f t="shared" si="1"/>
        <v>SEC</v>
      </c>
      <c r="C11" s="135" t="str">
        <f>if(iserror(VLOOKUP($A11,'Picks by Player'!A$3:B$12,2,0)),"", VLOOKUP($A11,'Picks by Player'!A$3:B$12,2,0))</f>
        <v>Florida</v>
      </c>
      <c r="D11" s="134" t="str">
        <f t="shared" si="2"/>
        <v>SEC</v>
      </c>
      <c r="E11" s="135" t="str">
        <f>if(iserror(VLOOKUP($A11,'Picks by Player'!C$3:D$12,2,0)),"", VLOOKUP($A11,'Picks by Player'!C$3:D$12,2,0))</f>
        <v>Auburn</v>
      </c>
      <c r="F11" s="134" t="str">
        <f t="shared" si="3"/>
        <v>SEC</v>
      </c>
      <c r="G11" s="135" t="str">
        <f>if(iserror(VLOOKUP($A11,'Picks by Player'!E$3:F$12,2,0)),"", VLOOKUP($A11,'Picks by Player'!E$3:F$12,2,0))</f>
        <v>Alabama</v>
      </c>
      <c r="H11" s="134" t="str">
        <f t="shared" si="4"/>
        <v>SEC</v>
      </c>
      <c r="I11" s="135" t="str">
        <f>if(iserror(VLOOKUP($A11,'Picks by Player'!G$3:H$12,2,0)),"", VLOOKUP($A11,'Picks by Player'!G$3:H$12,2,0))</f>
        <v>Georgia</v>
      </c>
      <c r="J11" s="134" t="str">
        <f t="shared" si="5"/>
        <v>SEC</v>
      </c>
      <c r="K11" s="135" t="str">
        <f>if(iserror(VLOOKUP($A11,'Picks by Player'!I$3:J$12,2,0)),"", VLOOKUP($A11,'Picks by Player'!I$3:J$12,2,0))</f>
        <v>Mississippi State</v>
      </c>
      <c r="L11" s="134" t="str">
        <f t="shared" si="6"/>
        <v>SEC</v>
      </c>
      <c r="M11" s="135" t="str">
        <f>if(iserror(VLOOKUP($A11,'Picks by Player'!K$3:L$12,2,0)),"", VLOOKUP($A11,'Picks by Player'!K$3:L$12,2,0))</f>
        <v>Texas A&amp;M</v>
      </c>
      <c r="N11" s="134" t="str">
        <f t="shared" si="7"/>
        <v>SEC</v>
      </c>
      <c r="O11" s="135" t="str">
        <f>if(iserror(VLOOKUP($A11,'Picks by Player'!M$3:N$12,2,0)),"", VLOOKUP($A11,'Picks by Player'!M$3:N$12,2,0))</f>
        <v>LSU</v>
      </c>
      <c r="P11" s="134" t="str">
        <f t="shared" si="8"/>
        <v>SEC</v>
      </c>
      <c r="Q11" s="135" t="str">
        <f>if(iserror(VLOOKUP($A11,'Picks by Player'!O$3:P$12,2,0)),"", VLOOKUP($A11,'Picks by Player'!O$3:P$12,2,0))</f>
        <v>Ole Miss</v>
      </c>
      <c r="R11" s="134" t="str">
        <f t="shared" si="9"/>
        <v>SEC</v>
      </c>
      <c r="S11" s="135" t="str">
        <f>if(iserror(VLOOKUP($A11,'Picks by Player'!Q$3:R$12,2,0)),"", VLOOKUP($A11,'Picks by Player'!Q$3:R$12,2,0))</f>
        <v>Tennessee</v>
      </c>
      <c r="T11" s="134" t="str">
        <f t="shared" si="10"/>
        <v>SEC</v>
      </c>
      <c r="U11" s="135" t="str">
        <f>if(iserror(VLOOKUP($A11,'Picks by Player'!S$3:T$12,2,0)),"", VLOOKUP($A11,'Picks by Player'!S$3:T$12,2,0))</f>
        <v>Arkansas</v>
      </c>
    </row>
    <row r="12">
      <c r="A12" t="s">
        <v>456</v>
      </c>
      <c r="B12" s="136" t="str">
        <f t="shared" si="1"/>
        <v>Sun Belt</v>
      </c>
      <c r="C12" s="137" t="str">
        <f>if(iserror(VLOOKUP($A12,'Picks by Player'!A$3:B$12,2,0)),"", VLOOKUP($A12,'Picks by Player'!A$3:B$12,2,0))</f>
        <v>Texas State</v>
      </c>
      <c r="D12" s="136" t="str">
        <f t="shared" si="2"/>
        <v>Sun Belt</v>
      </c>
      <c r="E12" s="137" t="str">
        <f>if(iserror(VLOOKUP($A12,'Picks by Player'!C$3:D$12,2,0)),"", VLOOKUP($A12,'Picks by Player'!C$3:D$12,2,0))</f>
        <v>Troy</v>
      </c>
      <c r="F12" s="136" t="str">
        <f t="shared" si="3"/>
        <v>Sun Belt</v>
      </c>
      <c r="G12" s="137" t="str">
        <f>if(iserror(VLOOKUP($A12,'Picks by Player'!E$3:F$12,2,0)),"", VLOOKUP($A12,'Picks by Player'!E$3:F$12,2,0))</f>
        <v>Louisiana Lafayette</v>
      </c>
      <c r="H12" s="136" t="str">
        <f t="shared" si="4"/>
        <v>Sun Belt</v>
      </c>
      <c r="I12" s="137" t="str">
        <f>if(iserror(VLOOKUP($A12,'Picks by Player'!G$3:H$12,2,0)),"", VLOOKUP($A12,'Picks by Player'!G$3:H$12,2,0))</f>
        <v>Idaho</v>
      </c>
      <c r="J12" s="136" t="str">
        <f t="shared" si="5"/>
        <v>Sun Belt</v>
      </c>
      <c r="K12" s="137" t="str">
        <f>if(iserror(VLOOKUP($A12,'Picks by Player'!I$3:J$12,2,0)),"", VLOOKUP($A12,'Picks by Player'!I$3:J$12,2,0))</f>
        <v>Appalachian State</v>
      </c>
      <c r="L12" s="136" t="str">
        <f t="shared" si="6"/>
        <v>Sun Belt</v>
      </c>
      <c r="M12" s="137" t="str">
        <f>if(iserror(VLOOKUP($A12,'Picks by Player'!K$3:L$12,2,0)),"", VLOOKUP($A12,'Picks by Player'!K$3:L$12,2,0))</f>
        <v>Georgia State</v>
      </c>
      <c r="N12" s="136" t="str">
        <f t="shared" si="7"/>
        <v>Sun Belt</v>
      </c>
      <c r="O12" s="137" t="str">
        <f>if(iserror(VLOOKUP($A12,'Picks by Player'!M$3:N$12,2,0)),"", VLOOKUP($A12,'Picks by Player'!M$3:N$12,2,0))</f>
        <v>Louisiana Monroe</v>
      </c>
      <c r="P12" s="136" t="str">
        <f t="shared" si="8"/>
        <v>Sun Belt</v>
      </c>
      <c r="Q12" s="137" t="str">
        <f>if(iserror(VLOOKUP($A12,'Picks by Player'!O$3:P$12,2,0)),"", VLOOKUP($A12,'Picks by Player'!O$3:P$12,2,0))</f>
        <v>Georgia Southern</v>
      </c>
      <c r="R12" s="136" t="str">
        <f t="shared" si="9"/>
        <v>Sun Belt</v>
      </c>
      <c r="S12" s="137" t="str">
        <f>if(iserror(VLOOKUP($A12,'Picks by Player'!Q$3:R$12,2,0)),"", VLOOKUP($A12,'Picks by Player'!Q$3:R$12,2,0))</f>
        <v>New Mexico State</v>
      </c>
      <c r="T12" s="136" t="str">
        <f t="shared" si="10"/>
        <v>Sun Belt</v>
      </c>
      <c r="U12" s="137" t="str">
        <f>if(iserror(VLOOKUP($A12,'Picks by Player'!S$3:T$12,2,0)),"", VLOOKUP($A12,'Picks by Player'!S$3:T$12,2,0))</f>
        <v>Arkansas State</v>
      </c>
    </row>
  </sheetData>
  <mergeCells count="10">
    <mergeCell ref="P1:Q1"/>
    <mergeCell ref="R1:S1"/>
    <mergeCell ref="T1:U1"/>
    <mergeCell ref="B1:C1"/>
    <mergeCell ref="D1:E1"/>
    <mergeCell ref="F1:G1"/>
    <mergeCell ref="H1:I1"/>
    <mergeCell ref="J1:K1"/>
    <mergeCell ref="L1:M1"/>
    <mergeCell ref="N1:O1"/>
  </mergeCell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38"/>
  </cols>
  <sheetData>
    <row r="1">
      <c r="A1" s="13" t="s">
        <v>639</v>
      </c>
      <c r="B1" s="13" t="s">
        <v>640</v>
      </c>
      <c r="C1" s="13" t="s">
        <v>641</v>
      </c>
    </row>
    <row r="2">
      <c r="A2" s="107" t="str">
        <f>IFERROR(__xludf.DUMMYFUNCTION("importhtml(""http://www.vegasinsider.com/college-football/odds/las-vegas/"",""Table"",0)"),"Time")</f>
        <v>Time</v>
      </c>
      <c r="B2" t="str">
        <f>IFERROR(__xludf.DUMMYFUNCTION("""COMPUTED_VALUE"""),"Open")</f>
        <v>Open</v>
      </c>
      <c r="C2" t="str">
        <f>IFERROR(__xludf.DUMMYFUNCTION("""COMPUTED_VALUE"""),"Bet365")</f>
        <v>Bet365</v>
      </c>
      <c r="D2" t="str">
        <f>IFERROR(__xludf.DUMMYFUNCTION("""COMPUTED_VALUE"""),"BetMGM")</f>
        <v>BetMGM</v>
      </c>
      <c r="E2" t="str">
        <f>IFERROR(__xludf.DUMMYFUNCTION("""COMPUTED_VALUE"""),"DraftKings")</f>
        <v>DraftKings</v>
      </c>
      <c r="F2" t="str">
        <f>IFERROR(__xludf.DUMMYFUNCTION("""COMPUTED_VALUE"""),"Caesars")</f>
        <v>Caesars</v>
      </c>
      <c r="G2" t="str">
        <f>IFERROR(__xludf.DUMMYFUNCTION("""COMPUTED_VALUE"""),"FanDuel")</f>
        <v>FanDuel</v>
      </c>
      <c r="H2" t="str">
        <f>IFERROR(__xludf.DUMMYFUNCTION("""COMPUTED_VALUE"""),"HardRock")</f>
        <v>HardRock</v>
      </c>
      <c r="I2" t="str">
        <f>IFERROR(__xludf.DUMMYFUNCTION("""COMPUTED_VALUE"""),"Fanatics")</f>
        <v>Fanatics</v>
      </c>
      <c r="J2" t="str">
        <f>IFERROR(__xludf.DUMMYFUNCTION("""COMPUTED_VALUE"""),"RiversCasino")</f>
        <v>RiversCasino</v>
      </c>
      <c r="K2" t="str">
        <f>IFERROR(__xludf.DUMMYFUNCTION("""COMPUTED_VALUE"""),"Consensus")</f>
        <v>Consensus</v>
      </c>
    </row>
    <row r="3">
      <c r="B3" t="str">
        <f>IFERROR(__xludf.DUMMYFUNCTION("""COMPUTED_VALUE"""),"Open")</f>
        <v>Open</v>
      </c>
      <c r="C3" t="str">
        <f>IFERROR(__xludf.DUMMYFUNCTION("""COMPUTED_VALUE"""),"›")</f>
        <v>›</v>
      </c>
      <c r="D3" t="str">
        <f>IFERROR(__xludf.DUMMYFUNCTION("""COMPUTED_VALUE"""),"›")</f>
        <v>›</v>
      </c>
      <c r="E3" t="str">
        <f>IFERROR(__xludf.DUMMYFUNCTION("""COMPUTED_VALUE"""),"›")</f>
        <v>›</v>
      </c>
      <c r="F3" t="str">
        <f>IFERROR(__xludf.DUMMYFUNCTION("""COMPUTED_VALUE"""),"›")</f>
        <v>›</v>
      </c>
      <c r="G3" t="str">
        <f>IFERROR(__xludf.DUMMYFUNCTION("""COMPUTED_VALUE"""),"›")</f>
        <v>›</v>
      </c>
      <c r="H3" t="str">
        <f>IFERROR(__xludf.DUMMYFUNCTION("""COMPUTED_VALUE"""),"›")</f>
        <v>›</v>
      </c>
      <c r="I3" t="str">
        <f>IFERROR(__xludf.DUMMYFUNCTION("""COMPUTED_VALUE"""),"›")</f>
        <v>›</v>
      </c>
      <c r="J3" t="str">
        <f>IFERROR(__xludf.DUMMYFUNCTION("""COMPUTED_VALUE"""),"›")</f>
        <v>›</v>
      </c>
    </row>
    <row r="4">
      <c r="A4" t="str">
        <f>IFERROR(__xludf.DUMMYFUNCTION("""COMPUTED_VALUE"""),"305 North Carolina")</f>
        <v>305 North Carolina</v>
      </c>
      <c r="B4" t="str">
        <f>IFERROR(__xludf.DUMMYFUNCTION("""COMPUTED_VALUE"""),"+6.5 -114")</f>
        <v>+6.5 -114</v>
      </c>
      <c r="C4" t="str">
        <f>IFERROR(__xludf.DUMMYFUNCTION("""COMPUTED_VALUE"""),"+6.5 -105 +")</f>
        <v>+6.5 -105 +</v>
      </c>
      <c r="D4" t="str">
        <f>IFERROR(__xludf.DUMMYFUNCTION("""COMPUTED_VALUE"""),"+6.5 -105 +")</f>
        <v>+6.5 -105 +</v>
      </c>
      <c r="E4" t="str">
        <f>IFERROR(__xludf.DUMMYFUNCTION("""COMPUTED_VALUE"""),"+6.5 -102 +")</f>
        <v>+6.5 -102 +</v>
      </c>
      <c r="F4" t="str">
        <f>IFERROR(__xludf.DUMMYFUNCTION("""COMPUTED_VALUE"""),"+7 -110 +")</f>
        <v>+7 -110 +</v>
      </c>
      <c r="G4" t="str">
        <f>IFERROR(__xludf.DUMMYFUNCTION("""COMPUTED_VALUE"""),"+6.5 -105 +")</f>
        <v>+6.5 -105 +</v>
      </c>
      <c r="H4" t="str">
        <f>IFERROR(__xludf.DUMMYFUNCTION("""COMPUTED_VALUE"""),"+-5.5 -110 +")</f>
        <v>+-5.5 -110 +</v>
      </c>
      <c r="I4" t="str">
        <f>IFERROR(__xludf.DUMMYFUNCTION("""COMPUTED_VALUE"""),"+7 -110 +")</f>
        <v>+7 -110 +</v>
      </c>
      <c r="J4" t="str">
        <f>IFERROR(__xludf.DUMMYFUNCTION("""COMPUTED_VALUE"""),"+7 -114 +")</f>
        <v>+7 -114 +</v>
      </c>
      <c r="K4" t="str">
        <f>IFERROR(__xludf.DUMMYFUNCTION("""COMPUTED_VALUE"""),"+6.5 -102")</f>
        <v>+6.5 -102</v>
      </c>
    </row>
    <row r="5">
      <c r="A5" t="str">
        <f>IFERROR(__xludf.DUMMYFUNCTION("""COMPUTED_VALUE"""),"306 TCU")</f>
        <v>306 TCU</v>
      </c>
      <c r="B5" t="str">
        <f>IFERROR(__xludf.DUMMYFUNCTION("""COMPUTED_VALUE"""),"-6.5 -109")</f>
        <v>-6.5 -109</v>
      </c>
      <c r="C5" t="str">
        <f>IFERROR(__xludf.DUMMYFUNCTION("""COMPUTED_VALUE"""),"-6.5 -115 +")</f>
        <v>-6.5 -115 +</v>
      </c>
      <c r="D5" t="str">
        <f>IFERROR(__xludf.DUMMYFUNCTION("""COMPUTED_VALUE"""),"-6.5 -115 +")</f>
        <v>-6.5 -115 +</v>
      </c>
      <c r="E5" t="str">
        <f>IFERROR(__xludf.DUMMYFUNCTION("""COMPUTED_VALUE"""),"-6.5 -118 +")</f>
        <v>-6.5 -118 +</v>
      </c>
      <c r="F5" t="str">
        <f>IFERROR(__xludf.DUMMYFUNCTION("""COMPUTED_VALUE"""),"-7 -110 +")</f>
        <v>-7 -110 +</v>
      </c>
      <c r="G5" t="str">
        <f>IFERROR(__xludf.DUMMYFUNCTION("""COMPUTED_VALUE"""),"-6.5 -115 +")</f>
        <v>-6.5 -115 +</v>
      </c>
      <c r="H5" t="str">
        <f>IFERROR(__xludf.DUMMYFUNCTION("""COMPUTED_VALUE"""),"--5.5 -120 +")</f>
        <v>--5.5 -120 +</v>
      </c>
      <c r="I5" t="str">
        <f>IFERROR(__xludf.DUMMYFUNCTION("""COMPUTED_VALUE"""),"-7 -110 +")</f>
        <v>-7 -110 +</v>
      </c>
      <c r="J5" t="str">
        <f>IFERROR(__xludf.DUMMYFUNCTION("""COMPUTED_VALUE"""),"-7 -109 +")</f>
        <v>-7 -109 +</v>
      </c>
      <c r="K5" t="str">
        <f>IFERROR(__xludf.DUMMYFUNCTION("""COMPUTED_VALUE"""),"-6.5 -118")</f>
        <v>-6.5 -118</v>
      </c>
    </row>
    <row r="6">
      <c r="A6" t="str">
        <f>IFERROR(__xludf.DUMMYFUNCTION("""COMPUTED_VALUE"""),"- Matchup")</f>
        <v>- Matchup</v>
      </c>
    </row>
    <row r="7">
      <c r="B7" t="str">
        <f>IFERROR(__xludf.DUMMYFUNCTION("""COMPUTED_VALUE"""),"Open")</f>
        <v>Open</v>
      </c>
      <c r="C7" t="str">
        <f>IFERROR(__xludf.DUMMYFUNCTION("""COMPUTED_VALUE"""),"›")</f>
        <v>›</v>
      </c>
      <c r="D7" t="str">
        <f>IFERROR(__xludf.DUMMYFUNCTION("""COMPUTED_VALUE"""),"›")</f>
        <v>›</v>
      </c>
      <c r="E7" t="str">
        <f>IFERROR(__xludf.DUMMYFUNCTION("""COMPUTED_VALUE"""),"›")</f>
        <v>›</v>
      </c>
      <c r="F7" t="str">
        <f>IFERROR(__xludf.DUMMYFUNCTION("""COMPUTED_VALUE"""),"›")</f>
        <v>›</v>
      </c>
      <c r="G7" t="str">
        <f>IFERROR(__xludf.DUMMYFUNCTION("""COMPUTED_VALUE"""),"›")</f>
        <v>›</v>
      </c>
      <c r="H7" t="str">
        <f>IFERROR(__xludf.DUMMYFUNCTION("""COMPUTED_VALUE"""),"›")</f>
        <v>›</v>
      </c>
      <c r="I7" t="str">
        <f>IFERROR(__xludf.DUMMYFUNCTION("""COMPUTED_VALUE"""),"›")</f>
        <v>›</v>
      </c>
      <c r="J7" t="str">
        <f>IFERROR(__xludf.DUMMYFUNCTION("""COMPUTED_VALUE"""),"›")</f>
        <v>›</v>
      </c>
    </row>
    <row r="8">
      <c r="A8" t="str">
        <f>IFERROR(__xludf.DUMMYFUNCTION("""COMPUTED_VALUE"""),"313 San Jose State")</f>
        <v>313 San Jose State</v>
      </c>
      <c r="B8" t="str">
        <f>IFERROR(__xludf.DUMMYFUNCTION("""COMPUTED_VALUE"""),"+35.5 -110")</f>
        <v>+35.5 -110</v>
      </c>
      <c r="C8" t="str">
        <f>IFERROR(__xludf.DUMMYFUNCTION("""COMPUTED_VALUE"""),"+38.5 -110 +")</f>
        <v>+38.5 -110 +</v>
      </c>
      <c r="D8" t="str">
        <f>IFERROR(__xludf.DUMMYFUNCTION("""COMPUTED_VALUE"""),"+38.5 -110 +")</f>
        <v>+38.5 -110 +</v>
      </c>
      <c r="E8" t="str">
        <f>IFERROR(__xludf.DUMMYFUNCTION("""COMPUTED_VALUE"""),"+38.5 -110 +")</f>
        <v>+38.5 -110 +</v>
      </c>
      <c r="F8" t="str">
        <f>IFERROR(__xludf.DUMMYFUNCTION("""COMPUTED_VALUE"""),"+38.5 -110 +")</f>
        <v>+38.5 -110 +</v>
      </c>
      <c r="G8" t="str">
        <f>IFERROR(__xludf.DUMMYFUNCTION("""COMPUTED_VALUE"""),"+36.5 -115 +")</f>
        <v>+36.5 -115 +</v>
      </c>
      <c r="H8" t="str">
        <f>IFERROR(__xludf.DUMMYFUNCTION("""COMPUTED_VALUE"""),"+38.5 -110 +")</f>
        <v>+38.5 -110 +</v>
      </c>
      <c r="I8" t="str">
        <f>IFERROR(__xludf.DUMMYFUNCTION("""COMPUTED_VALUE"""),"+38 -110 +")</f>
        <v>+38 -110 +</v>
      </c>
      <c r="J8" t="str">
        <f>IFERROR(__xludf.DUMMYFUNCTION("""COMPUTED_VALUE"""),"+36.5 -113 +")</f>
        <v>+36.5 -113 +</v>
      </c>
      <c r="K8" t="str">
        <f>IFERROR(__xludf.DUMMYFUNCTION("""COMPUTED_VALUE"""),"+38.5 -110")</f>
        <v>+38.5 -110</v>
      </c>
    </row>
    <row r="9">
      <c r="A9" t="str">
        <f>IFERROR(__xludf.DUMMYFUNCTION("""COMPUTED_VALUE"""),"314 USC")</f>
        <v>314 USC</v>
      </c>
      <c r="B9" t="str">
        <f>IFERROR(__xludf.DUMMYFUNCTION("""COMPUTED_VALUE"""),"-35.5 -110")</f>
        <v>-35.5 -110</v>
      </c>
      <c r="C9" t="str">
        <f>IFERROR(__xludf.DUMMYFUNCTION("""COMPUTED_VALUE"""),"-38.5 -110 +")</f>
        <v>-38.5 -110 +</v>
      </c>
      <c r="D9" t="str">
        <f>IFERROR(__xludf.DUMMYFUNCTION("""COMPUTED_VALUE"""),"-38.5 -110 +")</f>
        <v>-38.5 -110 +</v>
      </c>
      <c r="E9" t="str">
        <f>IFERROR(__xludf.DUMMYFUNCTION("""COMPUTED_VALUE"""),"-38.5 -110 +")</f>
        <v>-38.5 -110 +</v>
      </c>
      <c r="F9" t="str">
        <f>IFERROR(__xludf.DUMMYFUNCTION("""COMPUTED_VALUE"""),"-38.5 -110 +")</f>
        <v>-38.5 -110 +</v>
      </c>
      <c r="G9" t="str">
        <f>IFERROR(__xludf.DUMMYFUNCTION("""COMPUTED_VALUE"""),"-36.5 -105 +")</f>
        <v>-36.5 -105 +</v>
      </c>
      <c r="H9" t="str">
        <f>IFERROR(__xludf.DUMMYFUNCTION("""COMPUTED_VALUE"""),"-38.5 -110 +")</f>
        <v>-38.5 -110 +</v>
      </c>
      <c r="I9" t="str">
        <f>IFERROR(__xludf.DUMMYFUNCTION("""COMPUTED_VALUE"""),"-38 -110 +")</f>
        <v>-38 -110 +</v>
      </c>
      <c r="J9" t="str">
        <f>IFERROR(__xludf.DUMMYFUNCTION("""COMPUTED_VALUE"""),"-36.5 -110 +")</f>
        <v>-36.5 -110 +</v>
      </c>
      <c r="K9" t="str">
        <f>IFERROR(__xludf.DUMMYFUNCTION("""COMPUTED_VALUE"""),"-38.5 -110")</f>
        <v>-38.5 -110</v>
      </c>
    </row>
    <row r="10">
      <c r="A10" t="str">
        <f>IFERROR(__xludf.DUMMYFUNCTION("""COMPUTED_VALUE"""),"- Matchup")</f>
        <v>- Matchup</v>
      </c>
    </row>
    <row r="11">
      <c r="B11" t="str">
        <f>IFERROR(__xludf.DUMMYFUNCTION("""COMPUTED_VALUE"""),"Open")</f>
        <v>Open</v>
      </c>
      <c r="C11" t="str">
        <f>IFERROR(__xludf.DUMMYFUNCTION("""COMPUTED_VALUE"""),"›")</f>
        <v>›</v>
      </c>
      <c r="D11" t="str">
        <f>IFERROR(__xludf.DUMMYFUNCTION("""COMPUTED_VALUE"""),"›")</f>
        <v>›</v>
      </c>
      <c r="E11" t="str">
        <f>IFERROR(__xludf.DUMMYFUNCTION("""COMPUTED_VALUE"""),"›")</f>
        <v>›</v>
      </c>
      <c r="F11" t="str">
        <f>IFERROR(__xludf.DUMMYFUNCTION("""COMPUTED_VALUE"""),"›")</f>
        <v>›</v>
      </c>
      <c r="G11" t="str">
        <f>IFERROR(__xludf.DUMMYFUNCTION("""COMPUTED_VALUE"""),"›")</f>
        <v>›</v>
      </c>
      <c r="H11" t="str">
        <f>IFERROR(__xludf.DUMMYFUNCTION("""COMPUTED_VALUE"""),"›")</f>
        <v>›</v>
      </c>
      <c r="I11" t="str">
        <f>IFERROR(__xludf.DUMMYFUNCTION("""COMPUTED_VALUE"""),"›")</f>
        <v>›</v>
      </c>
      <c r="J11" t="str">
        <f>IFERROR(__xludf.DUMMYFUNCTION("""COMPUTED_VALUE"""),"›")</f>
        <v>›</v>
      </c>
    </row>
    <row r="12">
      <c r="A12" t="str">
        <f>IFERROR(__xludf.DUMMYFUNCTION("""COMPUTED_VALUE"""),"317 NC State")</f>
        <v>317 NC State</v>
      </c>
      <c r="B12" t="str">
        <f>IFERROR(__xludf.DUMMYFUNCTION("""COMPUTED_VALUE"""),"+3 -115")</f>
        <v>+3 -115</v>
      </c>
      <c r="C12" t="str">
        <f>IFERROR(__xludf.DUMMYFUNCTION("""COMPUTED_VALUE"""),"+5.5 -105 +")</f>
        <v>+5.5 -105 +</v>
      </c>
      <c r="D12" t="str">
        <f>IFERROR(__xludf.DUMMYFUNCTION("""COMPUTED_VALUE"""),"+5.5 -110 +")</f>
        <v>+5.5 -110 +</v>
      </c>
      <c r="E12" t="str">
        <f>IFERROR(__xludf.DUMMYFUNCTION("""COMPUTED_VALUE"""),"+5.5 -110 +")</f>
        <v>+5.5 -110 +</v>
      </c>
      <c r="F12" t="str">
        <f>IFERROR(__xludf.DUMMYFUNCTION("""COMPUTED_VALUE"""),"+5.5 -108 +")</f>
        <v>+5.5 -108 +</v>
      </c>
      <c r="G12" t="str">
        <f>IFERROR(__xludf.DUMMYFUNCTION("""COMPUTED_VALUE"""),"+5.5 -106 +")</f>
        <v>+5.5 -106 +</v>
      </c>
      <c r="H12" t="str">
        <f>IFERROR(__xludf.DUMMYFUNCTION("""COMPUTED_VALUE"""),"+5.5 -105 +")</f>
        <v>+5.5 -105 +</v>
      </c>
      <c r="I12" t="str">
        <f>IFERROR(__xludf.DUMMYFUNCTION("""COMPUTED_VALUE"""),"+5.5 -110 +")</f>
        <v>+5.5 -110 +</v>
      </c>
      <c r="J12" t="str">
        <f>IFERROR(__xludf.DUMMYFUNCTION("""COMPUTED_VALUE"""),"+5.5 -112 +")</f>
        <v>+5.5 -112 +</v>
      </c>
      <c r="K12" t="str">
        <f>IFERROR(__xludf.DUMMYFUNCTION("""COMPUTED_VALUE"""),"+5.5 -110")</f>
        <v>+5.5 -110</v>
      </c>
    </row>
    <row r="13">
      <c r="A13" t="str">
        <f>IFERROR(__xludf.DUMMYFUNCTION("""COMPUTED_VALUE"""),"318 Virginia")</f>
        <v>318 Virginia</v>
      </c>
      <c r="B13" t="str">
        <f>IFERROR(__xludf.DUMMYFUNCTION("""COMPUTED_VALUE"""),"-3 -108")</f>
        <v>-3 -108</v>
      </c>
      <c r="C13" t="str">
        <f>IFERROR(__xludf.DUMMYFUNCTION("""COMPUTED_VALUE"""),"-5.5 -115 +")</f>
        <v>-5.5 -115 +</v>
      </c>
      <c r="D13" t="str">
        <f>IFERROR(__xludf.DUMMYFUNCTION("""COMPUTED_VALUE"""),"-5.5 -110 +")</f>
        <v>-5.5 -110 +</v>
      </c>
      <c r="E13" t="str">
        <f>IFERROR(__xludf.DUMMYFUNCTION("""COMPUTED_VALUE"""),"-5.5 -110 +")</f>
        <v>-5.5 -110 +</v>
      </c>
      <c r="F13" t="str">
        <f>IFERROR(__xludf.DUMMYFUNCTION("""COMPUTED_VALUE"""),"-5.5 -112 +")</f>
        <v>-5.5 -112 +</v>
      </c>
      <c r="G13" t="str">
        <f>IFERROR(__xludf.DUMMYFUNCTION("""COMPUTED_VALUE"""),"-5.5 -114 +")</f>
        <v>-5.5 -114 +</v>
      </c>
      <c r="H13" t="str">
        <f>IFERROR(__xludf.DUMMYFUNCTION("""COMPUTED_VALUE"""),"-5.5 even +")</f>
        <v>-5.5 even +</v>
      </c>
      <c r="I13" t="str">
        <f>IFERROR(__xludf.DUMMYFUNCTION("""COMPUTED_VALUE"""),"-5.5 -110 +")</f>
        <v>-5.5 -110 +</v>
      </c>
      <c r="J13" t="str">
        <f>IFERROR(__xludf.DUMMYFUNCTION("""COMPUTED_VALUE"""),"-5.5 -110 +")</f>
        <v>-5.5 -110 +</v>
      </c>
      <c r="K13" t="str">
        <f>IFERROR(__xludf.DUMMYFUNCTION("""COMPUTED_VALUE"""),"-5.5 -110")</f>
        <v>-5.5 -110</v>
      </c>
    </row>
    <row r="14">
      <c r="A14" t="str">
        <f>IFERROR(__xludf.DUMMYFUNCTION("""COMPUTED_VALUE"""),"- Matchup")</f>
        <v>- Matchup</v>
      </c>
    </row>
    <row r="15">
      <c r="B15" t="str">
        <f>IFERROR(__xludf.DUMMYFUNCTION("""COMPUTED_VALUE"""),"Open")</f>
        <v>Open</v>
      </c>
      <c r="C15" t="str">
        <f>IFERROR(__xludf.DUMMYFUNCTION("""COMPUTED_VALUE"""),"›")</f>
        <v>›</v>
      </c>
      <c r="D15" t="str">
        <f>IFERROR(__xludf.DUMMYFUNCTION("""COMPUTED_VALUE"""),"›")</f>
        <v>›</v>
      </c>
      <c r="E15" t="str">
        <f>IFERROR(__xludf.DUMMYFUNCTION("""COMPUTED_VALUE"""),"›")</f>
        <v>›</v>
      </c>
      <c r="F15" t="str">
        <f>IFERROR(__xludf.DUMMYFUNCTION("""COMPUTED_VALUE"""),"›")</f>
        <v>›</v>
      </c>
      <c r="G15" t="str">
        <f>IFERROR(__xludf.DUMMYFUNCTION("""COMPUTED_VALUE"""),"›")</f>
        <v>›</v>
      </c>
      <c r="H15" t="str">
        <f>IFERROR(__xludf.DUMMYFUNCTION("""COMPUTED_VALUE"""),"›")</f>
        <v>›</v>
      </c>
      <c r="I15" t="str">
        <f>IFERROR(__xludf.DUMMYFUNCTION("""COMPUTED_VALUE"""),"›")</f>
        <v>›</v>
      </c>
      <c r="J15" t="str">
        <f>IFERROR(__xludf.DUMMYFUNCTION("""COMPUTED_VALUE"""),"›")</f>
        <v>›</v>
      </c>
    </row>
    <row r="16">
      <c r="A16" t="str">
        <f>IFERROR(__xludf.DUMMYFUNCTION("""COMPUTED_VALUE"""),"319 Jacksonville State")</f>
        <v>319 Jacksonville State</v>
      </c>
      <c r="B16" t="str">
        <f>IFERROR(__xludf.DUMMYFUNCTION("""COMPUTED_VALUE"""),"+10 -112")</f>
        <v>+10 -112</v>
      </c>
      <c r="C16" t="str">
        <f>IFERROR(__xludf.DUMMYFUNCTION("""COMPUTED_VALUE"""),"+7.5 -110 +")</f>
        <v>+7.5 -110 +</v>
      </c>
      <c r="D16" t="str">
        <f>IFERROR(__xludf.DUMMYFUNCTION("""COMPUTED_VALUE"""),"+7.5 -110 +")</f>
        <v>+7.5 -110 +</v>
      </c>
      <c r="E16" t="str">
        <f>IFERROR(__xludf.DUMMYFUNCTION("""COMPUTED_VALUE"""),"+7.5 -110 +")</f>
        <v>+7.5 -110 +</v>
      </c>
      <c r="F16" t="str">
        <f>IFERROR(__xludf.DUMMYFUNCTION("""COMPUTED_VALUE"""),"-7.5 -109 +")</f>
        <v>-7.5 -109 +</v>
      </c>
      <c r="G16" t="str">
        <f>IFERROR(__xludf.DUMMYFUNCTION("""COMPUTED_VALUE"""),"+7.5 -105 +")</f>
        <v>+7.5 -105 +</v>
      </c>
      <c r="H16" t="str">
        <f>IFERROR(__xludf.DUMMYFUNCTION("""COMPUTED_VALUE"""),"+8.5 -110 +")</f>
        <v>+8.5 -110 +</v>
      </c>
      <c r="I16" t="str">
        <f>IFERROR(__xludf.DUMMYFUNCTION("""COMPUTED_VALUE"""),"+7.5 -115 +")</f>
        <v>+7.5 -115 +</v>
      </c>
      <c r="J16" t="str">
        <f>IFERROR(__xludf.DUMMYFUNCTION("""COMPUTED_VALUE"""),"+7.5 -115 +")</f>
        <v>+7.5 -115 +</v>
      </c>
      <c r="K16" t="str">
        <f>IFERROR(__xludf.DUMMYFUNCTION("""COMPUTED_VALUE"""),"+7.5 -110")</f>
        <v>+7.5 -110</v>
      </c>
    </row>
    <row r="17">
      <c r="A17" t="str">
        <f>IFERROR(__xludf.DUMMYFUNCTION("""COMPUTED_VALUE"""),"320 North Dakota State")</f>
        <v>320 North Dakota State</v>
      </c>
      <c r="B17" t="str">
        <f>IFERROR(__xludf.DUMMYFUNCTION("""COMPUTED_VALUE"""),"-10 -108")</f>
        <v>-10 -108</v>
      </c>
      <c r="C17" t="str">
        <f>IFERROR(__xludf.DUMMYFUNCTION("""COMPUTED_VALUE"""),"-7.5 -110 +")</f>
        <v>-7.5 -110 +</v>
      </c>
      <c r="D17" t="str">
        <f>IFERROR(__xludf.DUMMYFUNCTION("""COMPUTED_VALUE"""),"-7.5 -110 +")</f>
        <v>-7.5 -110 +</v>
      </c>
      <c r="E17" t="str">
        <f>IFERROR(__xludf.DUMMYFUNCTION("""COMPUTED_VALUE"""),"-7.5 -110 +")</f>
        <v>-7.5 -110 +</v>
      </c>
      <c r="F17" t="str">
        <f>IFERROR(__xludf.DUMMYFUNCTION("""COMPUTED_VALUE"""),"+7.5 -110 +")</f>
        <v>+7.5 -110 +</v>
      </c>
      <c r="G17" t="str">
        <f>IFERROR(__xludf.DUMMYFUNCTION("""COMPUTED_VALUE"""),"-7.5 -115 +")</f>
        <v>-7.5 -115 +</v>
      </c>
      <c r="H17" t="str">
        <f>IFERROR(__xludf.DUMMYFUNCTION("""COMPUTED_VALUE"""),"-8.5 -110 +")</f>
        <v>-8.5 -110 +</v>
      </c>
      <c r="I17" t="str">
        <f>IFERROR(__xludf.DUMMYFUNCTION("""COMPUTED_VALUE"""),"-7.5 -105 +")</f>
        <v>-7.5 -105 +</v>
      </c>
      <c r="J17" t="str">
        <f>IFERROR(__xludf.DUMMYFUNCTION("""COMPUTED_VALUE"""),"-7.5 -108 +")</f>
        <v>-7.5 -108 +</v>
      </c>
      <c r="K17" t="str">
        <f>IFERROR(__xludf.DUMMYFUNCTION("""COMPUTED_VALUE"""),"-7.5 -110")</f>
        <v>-7.5 -110</v>
      </c>
    </row>
    <row r="18">
      <c r="A18" t="str">
        <f>IFERROR(__xludf.DUMMYFUNCTION("""COMPUTED_VALUE"""),"- Matchup")</f>
        <v>- Matchup</v>
      </c>
    </row>
    <row r="19">
      <c r="B19" t="str">
        <f>IFERROR(__xludf.DUMMYFUNCTION("""COMPUTED_VALUE"""),"Open")</f>
        <v>Open</v>
      </c>
      <c r="C19" t="str">
        <f>IFERROR(__xludf.DUMMYFUNCTION("""COMPUTED_VALUE"""),"›")</f>
        <v>›</v>
      </c>
      <c r="D19" t="str">
        <f>IFERROR(__xludf.DUMMYFUNCTION("""COMPUTED_VALUE"""),"›")</f>
        <v>›</v>
      </c>
      <c r="E19" t="str">
        <f>IFERROR(__xludf.DUMMYFUNCTION("""COMPUTED_VALUE"""),"›")</f>
        <v>›</v>
      </c>
      <c r="F19" t="str">
        <f>IFERROR(__xludf.DUMMYFUNCTION("""COMPUTED_VALUE"""),"›")</f>
        <v>›</v>
      </c>
      <c r="G19" t="str">
        <f>IFERROR(__xludf.DUMMYFUNCTION("""COMPUTED_VALUE"""),"›")</f>
        <v>›</v>
      </c>
      <c r="H19" t="str">
        <f>IFERROR(__xludf.DUMMYFUNCTION("""COMPUTED_VALUE"""),"›")</f>
        <v>›</v>
      </c>
      <c r="I19" t="str">
        <f>IFERROR(__xludf.DUMMYFUNCTION("""COMPUTED_VALUE"""),"›")</f>
        <v>›</v>
      </c>
      <c r="J19" t="str">
        <f>IFERROR(__xludf.DUMMYFUNCTION("""COMPUTED_VALUE"""),"›")</f>
        <v>›</v>
      </c>
    </row>
    <row r="20">
      <c r="A20" t="str">
        <f>IFERROR(__xludf.DUMMYFUNCTION("""COMPUTED_VALUE"""),"309 Sacramento State")</f>
        <v>309 Sacramento State</v>
      </c>
      <c r="B20" t="str">
        <f>IFERROR(__xludf.DUMMYFUNCTION("""COMPUTED_VALUE"""),"+8.5 -112")</f>
        <v>+8.5 -112</v>
      </c>
      <c r="C20" t="str">
        <f>IFERROR(__xludf.DUMMYFUNCTION("""COMPUTED_VALUE"""),"+8.5 -110 +")</f>
        <v>+8.5 -110 +</v>
      </c>
      <c r="D20" t="str">
        <f>IFERROR(__xludf.DUMMYFUNCTION("""COMPUTED_VALUE"""),"+8.5 -110 +")</f>
        <v>+8.5 -110 +</v>
      </c>
      <c r="E20" t="str">
        <f>IFERROR(__xludf.DUMMYFUNCTION("""COMPUTED_VALUE"""),"+8.5 -110 +")</f>
        <v>+8.5 -110 +</v>
      </c>
      <c r="F20" t="str">
        <f>IFERROR(__xludf.DUMMYFUNCTION("""COMPUTED_VALUE"""),"+7.5 -105 +")</f>
        <v>+7.5 -105 +</v>
      </c>
      <c r="G20" t="str">
        <f>IFERROR(__xludf.DUMMYFUNCTION("""COMPUTED_VALUE"""),"+8.5 -110 +")</f>
        <v>+8.5 -110 +</v>
      </c>
      <c r="H20" t="str">
        <f>IFERROR(__xludf.DUMMYFUNCTION("""COMPUTED_VALUE"""),"+8.5 -110 +")</f>
        <v>+8.5 -110 +</v>
      </c>
      <c r="I20" t="str">
        <f>IFERROR(__xludf.DUMMYFUNCTION("""COMPUTED_VALUE"""),"+8.5 -110 +")</f>
        <v>+8.5 -110 +</v>
      </c>
      <c r="J20" t="str">
        <f>IFERROR(__xludf.DUMMYFUNCTION("""COMPUTED_VALUE"""),"+8 -110 +")</f>
        <v>+8 -110 +</v>
      </c>
      <c r="K20" t="str">
        <f>IFERROR(__xludf.DUMMYFUNCTION("""COMPUTED_VALUE"""),"+8.5 -110")</f>
        <v>+8.5 -110</v>
      </c>
    </row>
    <row r="21">
      <c r="A21" t="str">
        <f>IFERROR(__xludf.DUMMYFUNCTION("""COMPUTED_VALUE"""),"310 Eastern Michigan")</f>
        <v>310 Eastern Michigan</v>
      </c>
      <c r="B21" t="str">
        <f>IFERROR(__xludf.DUMMYFUNCTION("""COMPUTED_VALUE"""),"-8.5 -108")</f>
        <v>-8.5 -108</v>
      </c>
      <c r="C21" t="str">
        <f>IFERROR(__xludf.DUMMYFUNCTION("""COMPUTED_VALUE"""),"-8.5 -110 +")</f>
        <v>-8.5 -110 +</v>
      </c>
      <c r="D21" t="str">
        <f>IFERROR(__xludf.DUMMYFUNCTION("""COMPUTED_VALUE"""),"-8.5 -110 +")</f>
        <v>-8.5 -110 +</v>
      </c>
      <c r="E21" t="str">
        <f>IFERROR(__xludf.DUMMYFUNCTION("""COMPUTED_VALUE"""),"-8.5 -110 +")</f>
        <v>-8.5 -110 +</v>
      </c>
      <c r="F21" t="str">
        <f>IFERROR(__xludf.DUMMYFUNCTION("""COMPUTED_VALUE"""),"-7.5 -115 +")</f>
        <v>-7.5 -115 +</v>
      </c>
      <c r="G21" t="str">
        <f>IFERROR(__xludf.DUMMYFUNCTION("""COMPUTED_VALUE"""),"-8.5 -110 +")</f>
        <v>-8.5 -110 +</v>
      </c>
      <c r="H21" t="str">
        <f>IFERROR(__xludf.DUMMYFUNCTION("""COMPUTED_VALUE"""),"-8.5 -110 +")</f>
        <v>-8.5 -110 +</v>
      </c>
      <c r="I21" t="str">
        <f>IFERROR(__xludf.DUMMYFUNCTION("""COMPUTED_VALUE"""),"-8.5 -110 +")</f>
        <v>-8.5 -110 +</v>
      </c>
      <c r="J21" t="str">
        <f>IFERROR(__xludf.DUMMYFUNCTION("""COMPUTED_VALUE"""),"-8 -113 +")</f>
        <v>-8 -113 +</v>
      </c>
      <c r="K21" t="str">
        <f>IFERROR(__xludf.DUMMYFUNCTION("""COMPUTED_VALUE"""),"-8.5 -110")</f>
        <v>-8.5 -110</v>
      </c>
    </row>
    <row r="22">
      <c r="A22" t="str">
        <f>IFERROR(__xludf.DUMMYFUNCTION("""COMPUTED_VALUE"""),"- Matchup")</f>
        <v>- Matchup</v>
      </c>
    </row>
    <row r="23">
      <c r="B23" t="str">
        <f>IFERROR(__xludf.DUMMYFUNCTION("""COMPUTED_VALUE"""),"Open")</f>
        <v>Open</v>
      </c>
      <c r="C23" t="str">
        <f>IFERROR(__xludf.DUMMYFUNCTION("""COMPUTED_VALUE"""),"›")</f>
        <v>›</v>
      </c>
      <c r="D23" t="str">
        <f>IFERROR(__xludf.DUMMYFUNCTION("""COMPUTED_VALUE"""),"›")</f>
        <v>›</v>
      </c>
      <c r="E23" t="str">
        <f>IFERROR(__xludf.DUMMYFUNCTION("""COMPUTED_VALUE"""),"›")</f>
        <v>›</v>
      </c>
      <c r="F23" t="str">
        <f>IFERROR(__xludf.DUMMYFUNCTION("""COMPUTED_VALUE"""),"›")</f>
        <v>›</v>
      </c>
      <c r="G23" t="str">
        <f>IFERROR(__xludf.DUMMYFUNCTION("""COMPUTED_VALUE"""),"›")</f>
        <v>›</v>
      </c>
      <c r="H23" t="str">
        <f>IFERROR(__xludf.DUMMYFUNCTION("""COMPUTED_VALUE"""),"›")</f>
        <v>›</v>
      </c>
      <c r="I23" t="str">
        <f>IFERROR(__xludf.DUMMYFUNCTION("""COMPUTED_VALUE"""),"›")</f>
        <v>›</v>
      </c>
      <c r="J23" t="str">
        <f>IFERROR(__xludf.DUMMYFUNCTION("""COMPUTED_VALUE"""),"›")</f>
        <v>›</v>
      </c>
    </row>
    <row r="24">
      <c r="A24" t="str">
        <f>IFERROR(__xludf.DUMMYFUNCTION("""COMPUTED_VALUE"""),"307 New Mexico State")</f>
        <v>307 New Mexico State</v>
      </c>
      <c r="B24" t="str">
        <f>IFERROR(__xludf.DUMMYFUNCTION("""COMPUTED_VALUE"""),"+28.5 -108")</f>
        <v>+28.5 -108</v>
      </c>
      <c r="C24" t="str">
        <f>IFERROR(__xludf.DUMMYFUNCTION("""COMPUTED_VALUE"""),"+30.5 -105 +")</f>
        <v>+30.5 -105 +</v>
      </c>
      <c r="D24" t="str">
        <f>IFERROR(__xludf.DUMMYFUNCTION("""COMPUTED_VALUE"""),"+30.5 -105 +")</f>
        <v>+30.5 -105 +</v>
      </c>
      <c r="E24" t="str">
        <f>IFERROR(__xludf.DUMMYFUNCTION("""COMPUTED_VALUE"""),"+30.5 -108 +")</f>
        <v>+30.5 -108 +</v>
      </c>
      <c r="F24" t="str">
        <f>IFERROR(__xludf.DUMMYFUNCTION("""COMPUTED_VALUE"""),"+30.5 -102 +")</f>
        <v>+30.5 -102 +</v>
      </c>
      <c r="G24" t="str">
        <f>IFERROR(__xludf.DUMMYFUNCTION("""COMPUTED_VALUE"""),"+31.5 -115 +")</f>
        <v>+31.5 -115 +</v>
      </c>
      <c r="H24" t="str">
        <f>IFERROR(__xludf.DUMMYFUNCTION("""COMPUTED_VALUE"""),"+31.5 -120 +")</f>
        <v>+31.5 -120 +</v>
      </c>
      <c r="I24" t="str">
        <f>IFERROR(__xludf.DUMMYFUNCTION("""COMPUTED_VALUE"""),"+31 -115 +")</f>
        <v>+31 -115 +</v>
      </c>
      <c r="J24" t="str">
        <f>IFERROR(__xludf.DUMMYFUNCTION("""COMPUTED_VALUE"""),"+31.5 -115 +")</f>
        <v>+31.5 -115 +</v>
      </c>
      <c r="K24" t="str">
        <f>IFERROR(__xludf.DUMMYFUNCTION("""COMPUTED_VALUE"""),"+30.5 -108")</f>
        <v>+30.5 -108</v>
      </c>
    </row>
    <row r="25">
      <c r="A25" t="str">
        <f>IFERROR(__xludf.DUMMYFUNCTION("""COMPUTED_VALUE"""),"308 Florida State")</f>
        <v>308 Florida State</v>
      </c>
      <c r="B25" t="str">
        <f>IFERROR(__xludf.DUMMYFUNCTION("""COMPUTED_VALUE"""),"-28.5 -112")</f>
        <v>-28.5 -112</v>
      </c>
      <c r="C25" t="str">
        <f>IFERROR(__xludf.DUMMYFUNCTION("""COMPUTED_VALUE"""),"-30.5 -115 +")</f>
        <v>-30.5 -115 +</v>
      </c>
      <c r="D25" t="str">
        <f>IFERROR(__xludf.DUMMYFUNCTION("""COMPUTED_VALUE"""),"-30.5 -115 +")</f>
        <v>-30.5 -115 +</v>
      </c>
      <c r="E25" t="str">
        <f>IFERROR(__xludf.DUMMYFUNCTION("""COMPUTED_VALUE"""),"-30.5 -112 +")</f>
        <v>-30.5 -112 +</v>
      </c>
      <c r="F25" t="str">
        <f>IFERROR(__xludf.DUMMYFUNCTION("""COMPUTED_VALUE"""),"-30.5 -120 +")</f>
        <v>-30.5 -120 +</v>
      </c>
      <c r="G25" t="str">
        <f>IFERROR(__xludf.DUMMYFUNCTION("""COMPUTED_VALUE"""),"-31.5 -105 +")</f>
        <v>-31.5 -105 +</v>
      </c>
      <c r="H25" t="str">
        <f>IFERROR(__xludf.DUMMYFUNCTION("""COMPUTED_VALUE"""),"-31.5 even +")</f>
        <v>-31.5 even +</v>
      </c>
      <c r="I25" t="str">
        <f>IFERROR(__xludf.DUMMYFUNCTION("""COMPUTED_VALUE"""),"-31 -105 +")</f>
        <v>-31 -105 +</v>
      </c>
      <c r="J25" t="str">
        <f>IFERROR(__xludf.DUMMYFUNCTION("""COMPUTED_VALUE"""),"-31.5 -108 +")</f>
        <v>-31.5 -108 +</v>
      </c>
      <c r="K25" t="str">
        <f>IFERROR(__xludf.DUMMYFUNCTION("""COMPUTED_VALUE"""),"-30.5 -112")</f>
        <v>-30.5 -112</v>
      </c>
    </row>
    <row r="26">
      <c r="A26" t="str">
        <f>IFERROR(__xludf.DUMMYFUNCTION("""COMPUTED_VALUE"""),"- Matchup")</f>
        <v>- Matchup</v>
      </c>
    </row>
    <row r="27">
      <c r="B27" t="str">
        <f>IFERROR(__xludf.DUMMYFUNCTION("""COMPUTED_VALUE"""),"Open")</f>
        <v>Open</v>
      </c>
      <c r="C27" t="str">
        <f>IFERROR(__xludf.DUMMYFUNCTION("""COMPUTED_VALUE"""),"›")</f>
        <v>›</v>
      </c>
      <c r="D27" t="str">
        <f>IFERROR(__xludf.DUMMYFUNCTION("""COMPUTED_VALUE"""),"›")</f>
        <v>›</v>
      </c>
      <c r="E27" t="str">
        <f>IFERROR(__xludf.DUMMYFUNCTION("""COMPUTED_VALUE"""),"›")</f>
        <v>›</v>
      </c>
      <c r="F27" t="str">
        <f>IFERROR(__xludf.DUMMYFUNCTION("""COMPUTED_VALUE"""),"›")</f>
        <v>›</v>
      </c>
      <c r="G27" t="str">
        <f>IFERROR(__xludf.DUMMYFUNCTION("""COMPUTED_VALUE"""),"›")</f>
        <v>›</v>
      </c>
      <c r="H27" t="str">
        <f>IFERROR(__xludf.DUMMYFUNCTION("""COMPUTED_VALUE"""),"›")</f>
        <v>›</v>
      </c>
      <c r="I27" t="str">
        <f>IFERROR(__xludf.DUMMYFUNCTION("""COMPUTED_VALUE"""),"›")</f>
        <v>›</v>
      </c>
      <c r="J27" t="str">
        <f>IFERROR(__xludf.DUMMYFUNCTION("""COMPUTED_VALUE"""),"›")</f>
        <v>›</v>
      </c>
    </row>
    <row r="28">
      <c r="A28" t="str">
        <f>IFERROR(__xludf.DUMMYFUNCTION("""COMPUTED_VALUE"""),"311 Hawai'i")</f>
        <v>311 Hawai'i</v>
      </c>
      <c r="B28" t="str">
        <f>IFERROR(__xludf.DUMMYFUNCTION("""COMPUTED_VALUE"""),"+3 -112")</f>
        <v>+3 -112</v>
      </c>
      <c r="C28" t="str">
        <f>IFERROR(__xludf.DUMMYFUNCTION("""COMPUTED_VALUE"""),"+3.5 -110 +")</f>
        <v>+3.5 -110 +</v>
      </c>
      <c r="D28" t="str">
        <f>IFERROR(__xludf.DUMMYFUNCTION("""COMPUTED_VALUE"""),"+4 -110 +")</f>
        <v>+4 -110 +</v>
      </c>
      <c r="E28" t="str">
        <f>IFERROR(__xludf.DUMMYFUNCTION("""COMPUTED_VALUE"""),"+4 -112 +")</f>
        <v>+4 -112 +</v>
      </c>
      <c r="F28" t="str">
        <f>IFERROR(__xludf.DUMMYFUNCTION("""COMPUTED_VALUE"""),"+4 -110 +")</f>
        <v>+4 -110 +</v>
      </c>
      <c r="G28" t="str">
        <f>IFERROR(__xludf.DUMMYFUNCTION("""COMPUTED_VALUE"""),"+4.5 -105 +")</f>
        <v>+4.5 -105 +</v>
      </c>
      <c r="H28" t="str">
        <f>IFERROR(__xludf.DUMMYFUNCTION("""COMPUTED_VALUE"""),"+-3.5 +105 +")</f>
        <v>+-3.5 +105 +</v>
      </c>
      <c r="I28" t="str">
        <f>IFERROR(__xludf.DUMMYFUNCTION("""COMPUTED_VALUE"""),"+4 -110 +")</f>
        <v>+4 -110 +</v>
      </c>
      <c r="J28" t="str">
        <f>IFERROR(__xludf.DUMMYFUNCTION("""COMPUTED_VALUE"""),"+4 -109 +")</f>
        <v>+4 -109 +</v>
      </c>
      <c r="K28" t="str">
        <f>IFERROR(__xludf.DUMMYFUNCTION("""COMPUTED_VALUE"""),"+4 -112")</f>
        <v>+4 -112</v>
      </c>
    </row>
    <row r="29">
      <c r="A29" t="str">
        <f>IFERROR(__xludf.DUMMYFUNCTION("""COMPUTED_VALUE"""),"312 Stanford")</f>
        <v>312 Stanford</v>
      </c>
      <c r="B29" t="str">
        <f>IFERROR(__xludf.DUMMYFUNCTION("""COMPUTED_VALUE"""),"-3 -108")</f>
        <v>-3 -108</v>
      </c>
      <c r="C29" t="str">
        <f>IFERROR(__xludf.DUMMYFUNCTION("""COMPUTED_VALUE"""),"-3.5 -110 +")</f>
        <v>-3.5 -110 +</v>
      </c>
      <c r="D29" t="str">
        <f>IFERROR(__xludf.DUMMYFUNCTION("""COMPUTED_VALUE"""),"-4 -110 +")</f>
        <v>-4 -110 +</v>
      </c>
      <c r="E29" t="str">
        <f>IFERROR(__xludf.DUMMYFUNCTION("""COMPUTED_VALUE"""),"-4 -108 +")</f>
        <v>-4 -108 +</v>
      </c>
      <c r="F29" t="str">
        <f>IFERROR(__xludf.DUMMYFUNCTION("""COMPUTED_VALUE"""),"-4 -110 +")</f>
        <v>-4 -110 +</v>
      </c>
      <c r="G29" t="str">
        <f>IFERROR(__xludf.DUMMYFUNCTION("""COMPUTED_VALUE"""),"-4.5 -115 +")</f>
        <v>-4.5 -115 +</v>
      </c>
      <c r="H29" t="str">
        <f>IFERROR(__xludf.DUMMYFUNCTION("""COMPUTED_VALUE"""),"--3.5 -110 +")</f>
        <v>--3.5 -110 +</v>
      </c>
      <c r="I29" t="str">
        <f>IFERROR(__xludf.DUMMYFUNCTION("""COMPUTED_VALUE"""),"-4 -110 +")</f>
        <v>-4 -110 +</v>
      </c>
      <c r="J29" t="str">
        <f>IFERROR(__xludf.DUMMYFUNCTION("""COMPUTED_VALUE"""),"-4 -114 +")</f>
        <v>-4 -114 +</v>
      </c>
      <c r="K29" t="str">
        <f>IFERROR(__xludf.DUMMYFUNCTION("""COMPUTED_VALUE"""),"-4 -108")</f>
        <v>-4 -108</v>
      </c>
    </row>
    <row r="30">
      <c r="A30" t="str">
        <f>IFERROR(__xludf.DUMMYFUNCTION("""COMPUTED_VALUE"""),"- Matchup")</f>
        <v>- Matchup</v>
      </c>
    </row>
    <row r="31">
      <c r="B31" t="str">
        <f>IFERROR(__xludf.DUMMYFUNCTION("""COMPUTED_VALUE"""),"Open")</f>
        <v>Open</v>
      </c>
      <c r="C31" t="str">
        <f>IFERROR(__xludf.DUMMYFUNCTION("""COMPUTED_VALUE"""),"›")</f>
        <v>›</v>
      </c>
      <c r="D31" t="str">
        <f>IFERROR(__xludf.DUMMYFUNCTION("""COMPUTED_VALUE"""),"›")</f>
        <v>›</v>
      </c>
      <c r="E31" t="str">
        <f>IFERROR(__xludf.DUMMYFUNCTION("""COMPUTED_VALUE"""),"›")</f>
        <v>›</v>
      </c>
      <c r="F31" t="str">
        <f>IFERROR(__xludf.DUMMYFUNCTION("""COMPUTED_VALUE"""),"›")</f>
        <v>›</v>
      </c>
      <c r="G31" t="str">
        <f>IFERROR(__xludf.DUMMYFUNCTION("""COMPUTED_VALUE"""),"›")</f>
        <v>›</v>
      </c>
      <c r="H31" t="str">
        <f>IFERROR(__xludf.DUMMYFUNCTION("""COMPUTED_VALUE"""),"›")</f>
        <v>›</v>
      </c>
      <c r="I31" t="str">
        <f>IFERROR(__xludf.DUMMYFUNCTION("""COMPUTED_VALUE"""),"›")</f>
        <v>›</v>
      </c>
      <c r="J31" t="str">
        <f>IFERROR(__xludf.DUMMYFUNCTION("""COMPUTED_VALUE"""),"›")</f>
        <v>›</v>
      </c>
    </row>
    <row r="32">
      <c r="A32" t="str">
        <f>IFERROR(__xludf.DUMMYFUNCTION("""COMPUTED_VALUE"""),"315 Memphis")</f>
        <v>315 Memphis</v>
      </c>
      <c r="B32" t="str">
        <f>IFERROR(__xludf.DUMMYFUNCTION("""COMPUTED_VALUE"""),"+3 -115")</f>
        <v>+3 -115</v>
      </c>
      <c r="C32" t="str">
        <f>IFERROR(__xludf.DUMMYFUNCTION("""COMPUTED_VALUE"""),"+5.5 -105 +")</f>
        <v>+5.5 -105 +</v>
      </c>
      <c r="D32" t="str">
        <f>IFERROR(__xludf.DUMMYFUNCTION("""COMPUTED_VALUE"""),"+5.5 -105 +")</f>
        <v>+5.5 -105 +</v>
      </c>
      <c r="E32" t="str">
        <f>IFERROR(__xludf.DUMMYFUNCTION("""COMPUTED_VALUE"""),"+5.5 -112 +")</f>
        <v>+5.5 -112 +</v>
      </c>
      <c r="F32" t="str">
        <f>IFERROR(__xludf.DUMMYFUNCTION("""COMPUTED_VALUE"""),"+5.5 -108 +")</f>
        <v>+5.5 -108 +</v>
      </c>
      <c r="G32" t="str">
        <f>IFERROR(__xludf.DUMMYFUNCTION("""COMPUTED_VALUE"""),"+5.5 -102 +")</f>
        <v>+5.5 -102 +</v>
      </c>
      <c r="H32" t="str">
        <f>IFERROR(__xludf.DUMMYFUNCTION("""COMPUTED_VALUE"""),"+6.5 -115 +")</f>
        <v>+6.5 -115 +</v>
      </c>
      <c r="I32" t="str">
        <f>IFERROR(__xludf.DUMMYFUNCTION("""COMPUTED_VALUE"""),"+5.5 -110 +")</f>
        <v>+5.5 -110 +</v>
      </c>
      <c r="J32" t="str">
        <f>IFERROR(__xludf.DUMMYFUNCTION("""COMPUTED_VALUE"""),"+5.5 -110 +")</f>
        <v>+5.5 -110 +</v>
      </c>
      <c r="K32" t="str">
        <f>IFERROR(__xludf.DUMMYFUNCTION("""COMPUTED_VALUE"""),"+5.5 -112")</f>
        <v>+5.5 -112</v>
      </c>
    </row>
    <row r="33">
      <c r="A33" t="str">
        <f>IFERROR(__xludf.DUMMYFUNCTION("""COMPUTED_VALUE"""),"316 UNLV")</f>
        <v>316 UNLV</v>
      </c>
      <c r="B33" t="str">
        <f>IFERROR(__xludf.DUMMYFUNCTION("""COMPUTED_VALUE"""),"-3 -105")</f>
        <v>-3 -105</v>
      </c>
      <c r="C33" t="str">
        <f>IFERROR(__xludf.DUMMYFUNCTION("""COMPUTED_VALUE"""),"-5.5 -115 +")</f>
        <v>-5.5 -115 +</v>
      </c>
      <c r="D33" t="str">
        <f>IFERROR(__xludf.DUMMYFUNCTION("""COMPUTED_VALUE"""),"-5.5 -115 +")</f>
        <v>-5.5 -115 +</v>
      </c>
      <c r="E33" t="str">
        <f>IFERROR(__xludf.DUMMYFUNCTION("""COMPUTED_VALUE"""),"-5.5 -108 +")</f>
        <v>-5.5 -108 +</v>
      </c>
      <c r="F33" t="str">
        <f>IFERROR(__xludf.DUMMYFUNCTION("""COMPUTED_VALUE"""),"-5.5 -111 +")</f>
        <v>-5.5 -111 +</v>
      </c>
      <c r="G33" t="str">
        <f>IFERROR(__xludf.DUMMYFUNCTION("""COMPUTED_VALUE"""),"-5.5 -120 +")</f>
        <v>-5.5 -120 +</v>
      </c>
      <c r="H33" t="str">
        <f>IFERROR(__xludf.DUMMYFUNCTION("""COMPUTED_VALUE"""),"-6.5 even +")</f>
        <v>-6.5 even +</v>
      </c>
      <c r="I33" t="str">
        <f>IFERROR(__xludf.DUMMYFUNCTION("""COMPUTED_VALUE"""),"-5.5 -110 +")</f>
        <v>-5.5 -110 +</v>
      </c>
      <c r="J33" t="str">
        <f>IFERROR(__xludf.DUMMYFUNCTION("""COMPUTED_VALUE"""),"-5.5 -113 +")</f>
        <v>-5.5 -113 +</v>
      </c>
      <c r="K33" t="str">
        <f>IFERROR(__xludf.DUMMYFUNCTION("""COMPUTED_VALUE"""),"-5.5 -108")</f>
        <v>-5.5 -108</v>
      </c>
    </row>
    <row r="34">
      <c r="A34" t="str">
        <f>IFERROR(__xludf.DUMMYFUNCTION("""COMPUTED_VALUE"""),"- Matchup")</f>
        <v>- Matchup</v>
      </c>
    </row>
    <row r="35">
      <c r="B35" t="str">
        <f>IFERROR(__xludf.DUMMYFUNCTION("""COMPUTED_VALUE"""),"Open")</f>
        <v>Open</v>
      </c>
      <c r="C35" t="str">
        <f>IFERROR(__xludf.DUMMYFUNCTION("""COMPUTED_VALUE"""),"›")</f>
        <v>›</v>
      </c>
      <c r="D35" t="str">
        <f>IFERROR(__xludf.DUMMYFUNCTION("""COMPUTED_VALUE"""),"›")</f>
        <v>›</v>
      </c>
      <c r="E35" t="str">
        <f>IFERROR(__xludf.DUMMYFUNCTION("""COMPUTED_VALUE"""),"›")</f>
        <v>›</v>
      </c>
      <c r="F35" t="str">
        <f>IFERROR(__xludf.DUMMYFUNCTION("""COMPUTED_VALUE"""),"›")</f>
        <v>›</v>
      </c>
      <c r="G35" t="str">
        <f>IFERROR(__xludf.DUMMYFUNCTION("""COMPUTED_VALUE"""),"›")</f>
        <v>›</v>
      </c>
      <c r="H35" t="str">
        <f>IFERROR(__xludf.DUMMYFUNCTION("""COMPUTED_VALUE"""),"›")</f>
        <v>›</v>
      </c>
      <c r="I35" t="str">
        <f>IFERROR(__xludf.DUMMYFUNCTION("""COMPUTED_VALUE"""),"›")</f>
        <v>›</v>
      </c>
      <c r="J35" t="str">
        <f>IFERROR(__xludf.DUMMYFUNCTION("""COMPUTED_VALUE"""),"›")</f>
        <v>›</v>
      </c>
    </row>
    <row r="36">
      <c r="A36" t="str">
        <f>IFERROR(__xludf.DUMMYFUNCTION("""COMPUTED_VALUE"""),"305 North Carolina")</f>
        <v>305 North Carolina</v>
      </c>
      <c r="B36" t="str">
        <f>IFERROR(__xludf.DUMMYFUNCTION("""COMPUTED_VALUE"""),"o49.5 -115")</f>
        <v>o49.5 -115</v>
      </c>
      <c r="C36" t="str">
        <f>IFERROR(__xludf.DUMMYFUNCTION("""COMPUTED_VALUE"""),"o49.5 -110 +")</f>
        <v>o49.5 -110 +</v>
      </c>
      <c r="D36" t="str">
        <f>IFERROR(__xludf.DUMMYFUNCTION("""COMPUTED_VALUE"""),"o49.5 -110 +")</f>
        <v>o49.5 -110 +</v>
      </c>
      <c r="E36" t="str">
        <f>IFERROR(__xludf.DUMMYFUNCTION("""COMPUTED_VALUE"""),"o48.5 -110 +")</f>
        <v>o48.5 -110 +</v>
      </c>
      <c r="F36" t="str">
        <f>IFERROR(__xludf.DUMMYFUNCTION("""COMPUTED_VALUE"""),"o49.5 -110 +")</f>
        <v>o49.5 -110 +</v>
      </c>
      <c r="G36" t="str">
        <f>IFERROR(__xludf.DUMMYFUNCTION("""COMPUTED_VALUE"""),"o48.5 -115 +")</f>
        <v>o48.5 -115 +</v>
      </c>
      <c r="H36" t="str">
        <f>IFERROR(__xludf.DUMMYFUNCTION("""COMPUTED_VALUE"""),"o49.5 -110 +")</f>
        <v>o49.5 -110 +</v>
      </c>
      <c r="I36" t="str">
        <f>IFERROR(__xludf.DUMMYFUNCTION("""COMPUTED_VALUE"""),"o48.5 -110 +")</f>
        <v>o48.5 -110 +</v>
      </c>
      <c r="J36" t="str">
        <f>IFERROR(__xludf.DUMMYFUNCTION("""COMPUTED_VALUE"""),"o49.5 -112 +")</f>
        <v>o49.5 -112 +</v>
      </c>
      <c r="K36" t="str">
        <f>IFERROR(__xludf.DUMMYFUNCTION("""COMPUTED_VALUE"""),"o48.5 -110")</f>
        <v>o48.5 -110</v>
      </c>
    </row>
    <row r="37">
      <c r="A37" t="str">
        <f>IFERROR(__xludf.DUMMYFUNCTION("""COMPUTED_VALUE"""),"306 TCU")</f>
        <v>306 TCU</v>
      </c>
      <c r="B37" t="str">
        <f>IFERROR(__xludf.DUMMYFUNCTION("""COMPUTED_VALUE"""),"u49.5 -108")</f>
        <v>u49.5 -108</v>
      </c>
      <c r="C37" t="str">
        <f>IFERROR(__xludf.DUMMYFUNCTION("""COMPUTED_VALUE"""),"u49.5 -110 +")</f>
        <v>u49.5 -110 +</v>
      </c>
      <c r="D37" t="str">
        <f>IFERROR(__xludf.DUMMYFUNCTION("""COMPUTED_VALUE"""),"u49.5 -110 +")</f>
        <v>u49.5 -110 +</v>
      </c>
      <c r="E37" t="str">
        <f>IFERROR(__xludf.DUMMYFUNCTION("""COMPUTED_VALUE"""),"u48.5 -110 +")</f>
        <v>u48.5 -110 +</v>
      </c>
      <c r="F37" t="str">
        <f>IFERROR(__xludf.DUMMYFUNCTION("""COMPUTED_VALUE"""),"u49.5 -110 +")</f>
        <v>u49.5 -110 +</v>
      </c>
      <c r="G37" t="str">
        <f>IFERROR(__xludf.DUMMYFUNCTION("""COMPUTED_VALUE"""),"u48.5 -105 +")</f>
        <v>u48.5 -105 +</v>
      </c>
      <c r="H37" t="str">
        <f>IFERROR(__xludf.DUMMYFUNCTION("""COMPUTED_VALUE"""),"u49.5 -110 +")</f>
        <v>u49.5 -110 +</v>
      </c>
      <c r="I37" t="str">
        <f>IFERROR(__xludf.DUMMYFUNCTION("""COMPUTED_VALUE"""),"u48.5 -110 +")</f>
        <v>u48.5 -110 +</v>
      </c>
      <c r="J37" t="str">
        <f>IFERROR(__xludf.DUMMYFUNCTION("""COMPUTED_VALUE"""),"u49.5 -112 +")</f>
        <v>u49.5 -112 +</v>
      </c>
      <c r="K37" t="str">
        <f>IFERROR(__xludf.DUMMYFUNCTION("""COMPUTED_VALUE"""),"u48.5 -110")</f>
        <v>u48.5 -110</v>
      </c>
    </row>
    <row r="38">
      <c r="A38" t="str">
        <f>IFERROR(__xludf.DUMMYFUNCTION("""COMPUTED_VALUE"""),"- Matchup")</f>
        <v>- Matchup</v>
      </c>
    </row>
    <row r="39">
      <c r="B39" t="str">
        <f>IFERROR(__xludf.DUMMYFUNCTION("""COMPUTED_VALUE"""),"Open")</f>
        <v>Open</v>
      </c>
      <c r="C39" t="str">
        <f>IFERROR(__xludf.DUMMYFUNCTION("""COMPUTED_VALUE"""),"›")</f>
        <v>›</v>
      </c>
      <c r="D39" t="str">
        <f>IFERROR(__xludf.DUMMYFUNCTION("""COMPUTED_VALUE"""),"›")</f>
        <v>›</v>
      </c>
      <c r="E39" t="str">
        <f>IFERROR(__xludf.DUMMYFUNCTION("""COMPUTED_VALUE"""),"›")</f>
        <v>›</v>
      </c>
      <c r="F39" t="str">
        <f>IFERROR(__xludf.DUMMYFUNCTION("""COMPUTED_VALUE"""),"›")</f>
        <v>›</v>
      </c>
      <c r="G39" t="str">
        <f>IFERROR(__xludf.DUMMYFUNCTION("""COMPUTED_VALUE"""),"›")</f>
        <v>›</v>
      </c>
      <c r="H39" t="str">
        <f>IFERROR(__xludf.DUMMYFUNCTION("""COMPUTED_VALUE"""),"›")</f>
        <v>›</v>
      </c>
      <c r="I39" t="str">
        <f>IFERROR(__xludf.DUMMYFUNCTION("""COMPUTED_VALUE"""),"›")</f>
        <v>›</v>
      </c>
      <c r="J39" t="str">
        <f>IFERROR(__xludf.DUMMYFUNCTION("""COMPUTED_VALUE"""),"›")</f>
        <v>›</v>
      </c>
    </row>
    <row r="40">
      <c r="A40" t="str">
        <f>IFERROR(__xludf.DUMMYFUNCTION("""COMPUTED_VALUE"""),"313 San Jose State")</f>
        <v>313 San Jose State</v>
      </c>
      <c r="B40" t="str">
        <f>IFERROR(__xludf.DUMMYFUNCTION("""COMPUTED_VALUE"""),"o57.5 -122")</f>
        <v>o57.5 -122</v>
      </c>
      <c r="C40" t="str">
        <f>IFERROR(__xludf.DUMMYFUNCTION("""COMPUTED_VALUE"""),"o59.5 -110 +")</f>
        <v>o59.5 -110 +</v>
      </c>
      <c r="D40" t="str">
        <f>IFERROR(__xludf.DUMMYFUNCTION("""COMPUTED_VALUE"""),"o59.5 -110 +")</f>
        <v>o59.5 -110 +</v>
      </c>
      <c r="E40" t="str">
        <f>IFERROR(__xludf.DUMMYFUNCTION("""COMPUTED_VALUE"""),"o59.5 -112 +")</f>
        <v>o59.5 -112 +</v>
      </c>
      <c r="F40" t="str">
        <f>IFERROR(__xludf.DUMMYFUNCTION("""COMPUTED_VALUE"""),"o59.5 -114 +")</f>
        <v>o59.5 -114 +</v>
      </c>
      <c r="G40" t="str">
        <f>IFERROR(__xludf.DUMMYFUNCTION("""COMPUTED_VALUE"""),"o60.5 -110 +")</f>
        <v>o60.5 -110 +</v>
      </c>
      <c r="H40" t="str">
        <f>IFERROR(__xludf.DUMMYFUNCTION("""COMPUTED_VALUE"""),"o59.5 -110 +")</f>
        <v>o59.5 -110 +</v>
      </c>
      <c r="I40" t="str">
        <f>IFERROR(__xludf.DUMMYFUNCTION("""COMPUTED_VALUE"""),"o59.5 -110 +")</f>
        <v>o59.5 -110 +</v>
      </c>
      <c r="J40" t="str">
        <f>IFERROR(__xludf.DUMMYFUNCTION("""COMPUTED_VALUE"""),"o59.5 -112 +")</f>
        <v>o59.5 -112 +</v>
      </c>
      <c r="K40" t="str">
        <f>IFERROR(__xludf.DUMMYFUNCTION("""COMPUTED_VALUE"""),"o59.5 -112")</f>
        <v>o59.5 -112</v>
      </c>
    </row>
    <row r="41">
      <c r="A41" t="str">
        <f>IFERROR(__xludf.DUMMYFUNCTION("""COMPUTED_VALUE"""),"314 USC")</f>
        <v>314 USC</v>
      </c>
      <c r="B41" t="str">
        <f>IFERROR(__xludf.DUMMYFUNCTION("""COMPUTED_VALUE"""),"u57.5 +102")</f>
        <v>u57.5 +102</v>
      </c>
      <c r="C41" t="str">
        <f>IFERROR(__xludf.DUMMYFUNCTION("""COMPUTED_VALUE"""),"u59.5 -110 +")</f>
        <v>u59.5 -110 +</v>
      </c>
      <c r="D41" t="str">
        <f>IFERROR(__xludf.DUMMYFUNCTION("""COMPUTED_VALUE"""),"u59.5 -110 +")</f>
        <v>u59.5 -110 +</v>
      </c>
      <c r="E41" t="str">
        <f>IFERROR(__xludf.DUMMYFUNCTION("""COMPUTED_VALUE"""),"u59.5 -108 +")</f>
        <v>u59.5 -108 +</v>
      </c>
      <c r="F41" t="str">
        <f>IFERROR(__xludf.DUMMYFUNCTION("""COMPUTED_VALUE"""),"u59.5 -107 +")</f>
        <v>u59.5 -107 +</v>
      </c>
      <c r="G41" t="str">
        <f>IFERROR(__xludf.DUMMYFUNCTION("""COMPUTED_VALUE"""),"u60.5 -110 +")</f>
        <v>u60.5 -110 +</v>
      </c>
      <c r="H41" t="str">
        <f>IFERROR(__xludf.DUMMYFUNCTION("""COMPUTED_VALUE"""),"u59.5 -110 +")</f>
        <v>u59.5 -110 +</v>
      </c>
      <c r="I41" t="str">
        <f>IFERROR(__xludf.DUMMYFUNCTION("""COMPUTED_VALUE"""),"u59.5 -110 +")</f>
        <v>u59.5 -110 +</v>
      </c>
      <c r="J41" t="str">
        <f>IFERROR(__xludf.DUMMYFUNCTION("""COMPUTED_VALUE"""),"u59.5 -110 +")</f>
        <v>u59.5 -110 +</v>
      </c>
      <c r="K41" t="str">
        <f>IFERROR(__xludf.DUMMYFUNCTION("""COMPUTED_VALUE"""),"u59.5 -108")</f>
        <v>u59.5 -108</v>
      </c>
    </row>
    <row r="42">
      <c r="A42" t="str">
        <f>IFERROR(__xludf.DUMMYFUNCTION("""COMPUTED_VALUE"""),"- Matchup")</f>
        <v>- Matchup</v>
      </c>
    </row>
    <row r="43">
      <c r="B43" t="str">
        <f>IFERROR(__xludf.DUMMYFUNCTION("""COMPUTED_VALUE"""),"Open")</f>
        <v>Open</v>
      </c>
      <c r="C43" t="str">
        <f>IFERROR(__xludf.DUMMYFUNCTION("""COMPUTED_VALUE"""),"›")</f>
        <v>›</v>
      </c>
      <c r="D43" t="str">
        <f>IFERROR(__xludf.DUMMYFUNCTION("""COMPUTED_VALUE"""),"›")</f>
        <v>›</v>
      </c>
      <c r="E43" t="str">
        <f>IFERROR(__xludf.DUMMYFUNCTION("""COMPUTED_VALUE"""),"›")</f>
        <v>›</v>
      </c>
      <c r="F43" t="str">
        <f>IFERROR(__xludf.DUMMYFUNCTION("""COMPUTED_VALUE"""),"›")</f>
        <v>›</v>
      </c>
      <c r="G43" t="str">
        <f>IFERROR(__xludf.DUMMYFUNCTION("""COMPUTED_VALUE"""),"›")</f>
        <v>›</v>
      </c>
      <c r="H43" t="str">
        <f>IFERROR(__xludf.DUMMYFUNCTION("""COMPUTED_VALUE"""),"›")</f>
        <v>›</v>
      </c>
      <c r="I43" t="str">
        <f>IFERROR(__xludf.DUMMYFUNCTION("""COMPUTED_VALUE"""),"›")</f>
        <v>›</v>
      </c>
      <c r="J43" t="str">
        <f>IFERROR(__xludf.DUMMYFUNCTION("""COMPUTED_VALUE"""),"›")</f>
        <v>›</v>
      </c>
    </row>
    <row r="44">
      <c r="A44" t="str">
        <f>IFERROR(__xludf.DUMMYFUNCTION("""COMPUTED_VALUE"""),"317 NC State")</f>
        <v>317 NC State</v>
      </c>
      <c r="B44" t="str">
        <f>IFERROR(__xludf.DUMMYFUNCTION("""COMPUTED_VALUE"""),"o53.5 -114")</f>
        <v>o53.5 -114</v>
      </c>
      <c r="C44" t="str">
        <f>IFERROR(__xludf.DUMMYFUNCTION("""COMPUTED_VALUE"""),"o54.5 -110 +")</f>
        <v>o54.5 -110 +</v>
      </c>
      <c r="D44" t="str">
        <f>IFERROR(__xludf.DUMMYFUNCTION("""COMPUTED_VALUE"""),"o54.5 -115 +")</f>
        <v>o54.5 -115 +</v>
      </c>
      <c r="E44" t="str">
        <f>IFERROR(__xludf.DUMMYFUNCTION("""COMPUTED_VALUE"""),"o54.5 -108 +")</f>
        <v>o54.5 -108 +</v>
      </c>
      <c r="F44" t="str">
        <f>IFERROR(__xludf.DUMMYFUNCTION("""COMPUTED_VALUE"""),"o54.5 -115 +")</f>
        <v>o54.5 -115 +</v>
      </c>
      <c r="G44" t="str">
        <f>IFERROR(__xludf.DUMMYFUNCTION("""COMPUTED_VALUE"""),"o54.5 -110 +")</f>
        <v>o54.5 -110 +</v>
      </c>
      <c r="H44" t="str">
        <f>IFERROR(__xludf.DUMMYFUNCTION("""COMPUTED_VALUE"""),"o54.5 -110 +")</f>
        <v>o54.5 -110 +</v>
      </c>
      <c r="I44" t="str">
        <f>IFERROR(__xludf.DUMMYFUNCTION("""COMPUTED_VALUE"""),"o54.5 -110 +")</f>
        <v>o54.5 -110 +</v>
      </c>
      <c r="J44" t="str">
        <f>IFERROR(__xludf.DUMMYFUNCTION("""COMPUTED_VALUE"""),"o54 -112 +")</f>
        <v>o54 -112 +</v>
      </c>
      <c r="K44" t="str">
        <f>IFERROR(__xludf.DUMMYFUNCTION("""COMPUTED_VALUE"""),"o54.5 -108")</f>
        <v>o54.5 -108</v>
      </c>
    </row>
    <row r="45">
      <c r="A45" t="str">
        <f>IFERROR(__xludf.DUMMYFUNCTION("""COMPUTED_VALUE"""),"318 Virginia")</f>
        <v>318 Virginia</v>
      </c>
      <c r="B45" t="str">
        <f>IFERROR(__xludf.DUMMYFUNCTION("""COMPUTED_VALUE"""),"u53.5 -109")</f>
        <v>u53.5 -109</v>
      </c>
      <c r="C45" t="str">
        <f>IFERROR(__xludf.DUMMYFUNCTION("""COMPUTED_VALUE"""),"u54.5 -110 +")</f>
        <v>u54.5 -110 +</v>
      </c>
      <c r="D45" t="str">
        <f>IFERROR(__xludf.DUMMYFUNCTION("""COMPUTED_VALUE"""),"u54.5 -105 +")</f>
        <v>u54.5 -105 +</v>
      </c>
      <c r="E45" t="str">
        <f>IFERROR(__xludf.DUMMYFUNCTION("""COMPUTED_VALUE"""),"u54.5 -112 +")</f>
        <v>u54.5 -112 +</v>
      </c>
      <c r="F45" t="str">
        <f>IFERROR(__xludf.DUMMYFUNCTION("""COMPUTED_VALUE"""),"u54.5 -105 +")</f>
        <v>u54.5 -105 +</v>
      </c>
      <c r="G45" t="str">
        <f>IFERROR(__xludf.DUMMYFUNCTION("""COMPUTED_VALUE"""),"u54.5 -110 +")</f>
        <v>u54.5 -110 +</v>
      </c>
      <c r="H45" t="str">
        <f>IFERROR(__xludf.DUMMYFUNCTION("""COMPUTED_VALUE"""),"u54.5 -110 +")</f>
        <v>u54.5 -110 +</v>
      </c>
      <c r="I45" t="str">
        <f>IFERROR(__xludf.DUMMYFUNCTION("""COMPUTED_VALUE"""),"u54.5 -110 +")</f>
        <v>u54.5 -110 +</v>
      </c>
      <c r="J45" t="str">
        <f>IFERROR(__xludf.DUMMYFUNCTION("""COMPUTED_VALUE"""),"u54 -112 +")</f>
        <v>u54 -112 +</v>
      </c>
      <c r="K45" t="str">
        <f>IFERROR(__xludf.DUMMYFUNCTION("""COMPUTED_VALUE"""),"u54.5 -112")</f>
        <v>u54.5 -112</v>
      </c>
    </row>
    <row r="46">
      <c r="A46" t="str">
        <f>IFERROR(__xludf.DUMMYFUNCTION("""COMPUTED_VALUE"""),"- Matchup")</f>
        <v>- Matchup</v>
      </c>
    </row>
    <row r="47">
      <c r="B47" t="str">
        <f>IFERROR(__xludf.DUMMYFUNCTION("""COMPUTED_VALUE"""),"Open")</f>
        <v>Open</v>
      </c>
      <c r="C47" t="str">
        <f>IFERROR(__xludf.DUMMYFUNCTION("""COMPUTED_VALUE"""),"›")</f>
        <v>›</v>
      </c>
      <c r="D47" t="str">
        <f>IFERROR(__xludf.DUMMYFUNCTION("""COMPUTED_VALUE"""),"›")</f>
        <v>›</v>
      </c>
      <c r="E47" t="str">
        <f>IFERROR(__xludf.DUMMYFUNCTION("""COMPUTED_VALUE"""),"›")</f>
        <v>›</v>
      </c>
      <c r="F47" t="str">
        <f>IFERROR(__xludf.DUMMYFUNCTION("""COMPUTED_VALUE"""),"›")</f>
        <v>›</v>
      </c>
      <c r="G47" t="str">
        <f>IFERROR(__xludf.DUMMYFUNCTION("""COMPUTED_VALUE"""),"›")</f>
        <v>›</v>
      </c>
      <c r="H47" t="str">
        <f>IFERROR(__xludf.DUMMYFUNCTION("""COMPUTED_VALUE"""),"›")</f>
        <v>›</v>
      </c>
      <c r="I47" t="str">
        <f>IFERROR(__xludf.DUMMYFUNCTION("""COMPUTED_VALUE"""),"›")</f>
        <v>›</v>
      </c>
      <c r="J47" t="str">
        <f>IFERROR(__xludf.DUMMYFUNCTION("""COMPUTED_VALUE"""),"›")</f>
        <v>›</v>
      </c>
    </row>
    <row r="48">
      <c r="A48" t="str">
        <f>IFERROR(__xludf.DUMMYFUNCTION("""COMPUTED_VALUE"""),"319 Jacksonville State")</f>
        <v>319 Jacksonville State</v>
      </c>
      <c r="B48" t="str">
        <f>IFERROR(__xludf.DUMMYFUNCTION("""COMPUTED_VALUE"""),"o48.5 -110")</f>
        <v>o48.5 -110</v>
      </c>
      <c r="C48" t="str">
        <f>IFERROR(__xludf.DUMMYFUNCTION("""COMPUTED_VALUE"""),"o48.5 -110 +")</f>
        <v>o48.5 -110 +</v>
      </c>
      <c r="D48" t="str">
        <f>IFERROR(__xludf.DUMMYFUNCTION("""COMPUTED_VALUE"""),"o48.5 -110 +")</f>
        <v>o48.5 -110 +</v>
      </c>
      <c r="E48" t="str">
        <f>IFERROR(__xludf.DUMMYFUNCTION("""COMPUTED_VALUE"""),"o48.5 -105 +")</f>
        <v>o48.5 -105 +</v>
      </c>
      <c r="F48" t="str">
        <f>IFERROR(__xludf.DUMMYFUNCTION("""COMPUTED_VALUE"""),"o48.5 -109 +")</f>
        <v>o48.5 -109 +</v>
      </c>
      <c r="G48" t="str">
        <f>IFERROR(__xludf.DUMMYFUNCTION("""COMPUTED_VALUE"""),"o48.5 -110 +")</f>
        <v>o48.5 -110 +</v>
      </c>
      <c r="H48" t="str">
        <f>IFERROR(__xludf.DUMMYFUNCTION("""COMPUTED_VALUE"""),"o47.5 -110 +")</f>
        <v>o47.5 -110 +</v>
      </c>
      <c r="I48" t="str">
        <f>IFERROR(__xludf.DUMMYFUNCTION("""COMPUTED_VALUE"""),"o48.5 -110 +")</f>
        <v>o48.5 -110 +</v>
      </c>
      <c r="J48" t="str">
        <f>IFERROR(__xludf.DUMMYFUNCTION("""COMPUTED_VALUE"""),"o48.5 -110 +")</f>
        <v>o48.5 -110 +</v>
      </c>
      <c r="K48" t="str">
        <f>IFERROR(__xludf.DUMMYFUNCTION("""COMPUTED_VALUE"""),"o48.5 -105")</f>
        <v>o48.5 -105</v>
      </c>
    </row>
    <row r="49">
      <c r="A49" t="str">
        <f>IFERROR(__xludf.DUMMYFUNCTION("""COMPUTED_VALUE"""),"320 North Dakota State")</f>
        <v>320 North Dakota State</v>
      </c>
      <c r="B49" t="str">
        <f>IFERROR(__xludf.DUMMYFUNCTION("""COMPUTED_VALUE"""),"u48.5 -110")</f>
        <v>u48.5 -110</v>
      </c>
      <c r="C49" t="str">
        <f>IFERROR(__xludf.DUMMYFUNCTION("""COMPUTED_VALUE"""),"u48.5 -110 +")</f>
        <v>u48.5 -110 +</v>
      </c>
      <c r="D49" t="str">
        <f>IFERROR(__xludf.DUMMYFUNCTION("""COMPUTED_VALUE"""),"u48.5 -110 +")</f>
        <v>u48.5 -110 +</v>
      </c>
      <c r="E49" t="str">
        <f>IFERROR(__xludf.DUMMYFUNCTION("""COMPUTED_VALUE"""),"u48.5 -115 +")</f>
        <v>u48.5 -115 +</v>
      </c>
      <c r="F49" t="str">
        <f>IFERROR(__xludf.DUMMYFUNCTION("""COMPUTED_VALUE"""),"u48.5 -110 +")</f>
        <v>u48.5 -110 +</v>
      </c>
      <c r="G49" t="str">
        <f>IFERROR(__xludf.DUMMYFUNCTION("""COMPUTED_VALUE"""),"u48.5 -110 +")</f>
        <v>u48.5 -110 +</v>
      </c>
      <c r="H49" t="str">
        <f>IFERROR(__xludf.DUMMYFUNCTION("""COMPUTED_VALUE"""),"u47.5 -115 +")</f>
        <v>u47.5 -115 +</v>
      </c>
      <c r="I49" t="str">
        <f>IFERROR(__xludf.DUMMYFUNCTION("""COMPUTED_VALUE"""),"u48.5 -110 +")</f>
        <v>u48.5 -110 +</v>
      </c>
      <c r="J49" t="str">
        <f>IFERROR(__xludf.DUMMYFUNCTION("""COMPUTED_VALUE"""),"u48.5 -112 +")</f>
        <v>u48.5 -112 +</v>
      </c>
      <c r="K49" t="str">
        <f>IFERROR(__xludf.DUMMYFUNCTION("""COMPUTED_VALUE"""),"u48.5 -115")</f>
        <v>u48.5 -115</v>
      </c>
    </row>
    <row r="50">
      <c r="A50" t="str">
        <f>IFERROR(__xludf.DUMMYFUNCTION("""COMPUTED_VALUE"""),"- Matchup")</f>
        <v>- Matchup</v>
      </c>
    </row>
    <row r="51">
      <c r="B51" t="str">
        <f>IFERROR(__xludf.DUMMYFUNCTION("""COMPUTED_VALUE"""),"Open")</f>
        <v>Open</v>
      </c>
      <c r="C51" t="str">
        <f>IFERROR(__xludf.DUMMYFUNCTION("""COMPUTED_VALUE"""),"›")</f>
        <v>›</v>
      </c>
      <c r="D51" t="str">
        <f>IFERROR(__xludf.DUMMYFUNCTION("""COMPUTED_VALUE"""),"›")</f>
        <v>›</v>
      </c>
      <c r="E51" t="str">
        <f>IFERROR(__xludf.DUMMYFUNCTION("""COMPUTED_VALUE"""),"›")</f>
        <v>›</v>
      </c>
      <c r="F51" t="str">
        <f>IFERROR(__xludf.DUMMYFUNCTION("""COMPUTED_VALUE"""),"›")</f>
        <v>›</v>
      </c>
      <c r="G51" t="str">
        <f>IFERROR(__xludf.DUMMYFUNCTION("""COMPUTED_VALUE"""),"›")</f>
        <v>›</v>
      </c>
      <c r="H51" t="str">
        <f>IFERROR(__xludf.DUMMYFUNCTION("""COMPUTED_VALUE"""),"›")</f>
        <v>›</v>
      </c>
      <c r="I51" t="str">
        <f>IFERROR(__xludf.DUMMYFUNCTION("""COMPUTED_VALUE"""),"›")</f>
        <v>›</v>
      </c>
      <c r="J51" t="str">
        <f>IFERROR(__xludf.DUMMYFUNCTION("""COMPUTED_VALUE"""),"›")</f>
        <v>›</v>
      </c>
    </row>
    <row r="52">
      <c r="A52" t="str">
        <f>IFERROR(__xludf.DUMMYFUNCTION("""COMPUTED_VALUE"""),"309 Sacramento State")</f>
        <v>309 Sacramento State</v>
      </c>
      <c r="B52" t="str">
        <f>IFERROR(__xludf.DUMMYFUNCTION("""COMPUTED_VALUE"""),"o52.5 -115")</f>
        <v>o52.5 -115</v>
      </c>
      <c r="C52" t="str">
        <f>IFERROR(__xludf.DUMMYFUNCTION("""COMPUTED_VALUE"""),"o52.5 -110 +")</f>
        <v>o52.5 -110 +</v>
      </c>
      <c r="D52" t="str">
        <f>IFERROR(__xludf.DUMMYFUNCTION("""COMPUTED_VALUE"""),"o53.5 -105 +")</f>
        <v>o53.5 -105 +</v>
      </c>
      <c r="E52" t="str">
        <f>IFERROR(__xludf.DUMMYFUNCTION("""COMPUTED_VALUE"""),"o53.5 -108 +")</f>
        <v>o53.5 -108 +</v>
      </c>
      <c r="F52" t="str">
        <f>IFERROR(__xludf.DUMMYFUNCTION("""COMPUTED_VALUE"""),"o53.5 -106 +")</f>
        <v>o53.5 -106 +</v>
      </c>
      <c r="G52" t="str">
        <f>IFERROR(__xludf.DUMMYFUNCTION("""COMPUTED_VALUE"""),"o53.5 -110 +")</f>
        <v>o53.5 -110 +</v>
      </c>
      <c r="H52" t="str">
        <f>IFERROR(__xludf.DUMMYFUNCTION("""COMPUTED_VALUE"""),"o53.5 -110 +")</f>
        <v>o53.5 -110 +</v>
      </c>
      <c r="I52" t="str">
        <f>IFERROR(__xludf.DUMMYFUNCTION("""COMPUTED_VALUE"""),"o53 -110 +")</f>
        <v>o53 -110 +</v>
      </c>
      <c r="J52" t="str">
        <f>IFERROR(__xludf.DUMMYFUNCTION("""COMPUTED_VALUE"""),"o52.5 -110 +")</f>
        <v>o52.5 -110 +</v>
      </c>
      <c r="K52" t="str">
        <f>IFERROR(__xludf.DUMMYFUNCTION("""COMPUTED_VALUE"""),"o53.5 -108")</f>
        <v>o53.5 -108</v>
      </c>
    </row>
    <row r="53">
      <c r="A53" t="str">
        <f>IFERROR(__xludf.DUMMYFUNCTION("""COMPUTED_VALUE"""),"310 Eastern Michigan")</f>
        <v>310 Eastern Michigan</v>
      </c>
      <c r="B53" t="str">
        <f>IFERROR(__xludf.DUMMYFUNCTION("""COMPUTED_VALUE"""),"u52.5 -105")</f>
        <v>u52.5 -105</v>
      </c>
      <c r="C53" t="str">
        <f>IFERROR(__xludf.DUMMYFUNCTION("""COMPUTED_VALUE"""),"u52.5 -110 +")</f>
        <v>u52.5 -110 +</v>
      </c>
      <c r="D53" t="str">
        <f>IFERROR(__xludf.DUMMYFUNCTION("""COMPUTED_VALUE"""),"u53.5 -115 +")</f>
        <v>u53.5 -115 +</v>
      </c>
      <c r="E53" t="str">
        <f>IFERROR(__xludf.DUMMYFUNCTION("""COMPUTED_VALUE"""),"u53.5 -112 +")</f>
        <v>u53.5 -112 +</v>
      </c>
      <c r="F53" t="str">
        <f>IFERROR(__xludf.DUMMYFUNCTION("""COMPUTED_VALUE"""),"u53.5 -115 +")</f>
        <v>u53.5 -115 +</v>
      </c>
      <c r="G53" t="str">
        <f>IFERROR(__xludf.DUMMYFUNCTION("""COMPUTED_VALUE"""),"u53.5 -110 +")</f>
        <v>u53.5 -110 +</v>
      </c>
      <c r="H53" t="str">
        <f>IFERROR(__xludf.DUMMYFUNCTION("""COMPUTED_VALUE"""),"u53.5 -115 +")</f>
        <v>u53.5 -115 +</v>
      </c>
      <c r="I53" t="str">
        <f>IFERROR(__xludf.DUMMYFUNCTION("""COMPUTED_VALUE"""),"u53 -110 +")</f>
        <v>u53 -110 +</v>
      </c>
      <c r="J53" t="str">
        <f>IFERROR(__xludf.DUMMYFUNCTION("""COMPUTED_VALUE"""),"u52.5 -112 +")</f>
        <v>u52.5 -112 +</v>
      </c>
      <c r="K53" t="str">
        <f>IFERROR(__xludf.DUMMYFUNCTION("""COMPUTED_VALUE"""),"u53.5 -112")</f>
        <v>u53.5 -112</v>
      </c>
    </row>
    <row r="54">
      <c r="A54" t="str">
        <f>IFERROR(__xludf.DUMMYFUNCTION("""COMPUTED_VALUE"""),"- Matchup")</f>
        <v>- Matchup</v>
      </c>
    </row>
    <row r="55">
      <c r="B55" t="str">
        <f>IFERROR(__xludf.DUMMYFUNCTION("""COMPUTED_VALUE"""),"Open")</f>
        <v>Open</v>
      </c>
      <c r="C55" t="str">
        <f>IFERROR(__xludf.DUMMYFUNCTION("""COMPUTED_VALUE"""),"›")</f>
        <v>›</v>
      </c>
      <c r="D55" t="str">
        <f>IFERROR(__xludf.DUMMYFUNCTION("""COMPUTED_VALUE"""),"›")</f>
        <v>›</v>
      </c>
      <c r="E55" t="str">
        <f>IFERROR(__xludf.DUMMYFUNCTION("""COMPUTED_VALUE"""),"›")</f>
        <v>›</v>
      </c>
      <c r="F55" t="str">
        <f>IFERROR(__xludf.DUMMYFUNCTION("""COMPUTED_VALUE"""),"›")</f>
        <v>›</v>
      </c>
      <c r="G55" t="str">
        <f>IFERROR(__xludf.DUMMYFUNCTION("""COMPUTED_VALUE"""),"›")</f>
        <v>›</v>
      </c>
      <c r="H55" t="str">
        <f>IFERROR(__xludf.DUMMYFUNCTION("""COMPUTED_VALUE"""),"›")</f>
        <v>›</v>
      </c>
      <c r="I55" t="str">
        <f>IFERROR(__xludf.DUMMYFUNCTION("""COMPUTED_VALUE"""),"›")</f>
        <v>›</v>
      </c>
      <c r="J55" t="str">
        <f>IFERROR(__xludf.DUMMYFUNCTION("""COMPUTED_VALUE"""),"›")</f>
        <v>›</v>
      </c>
    </row>
    <row r="56">
      <c r="A56" t="str">
        <f>IFERROR(__xludf.DUMMYFUNCTION("""COMPUTED_VALUE"""),"307 New Mexico State")</f>
        <v>307 New Mexico State</v>
      </c>
      <c r="B56" t="str">
        <f>IFERROR(__xludf.DUMMYFUNCTION("""COMPUTED_VALUE"""),"o53.5 -112")</f>
        <v>o53.5 -112</v>
      </c>
      <c r="C56" t="str">
        <f>IFERROR(__xludf.DUMMYFUNCTION("""COMPUTED_VALUE"""),"o53.5 -110 +")</f>
        <v>o53.5 -110 +</v>
      </c>
      <c r="D56" t="str">
        <f>IFERROR(__xludf.DUMMYFUNCTION("""COMPUTED_VALUE"""),"o53.5 -110 +")</f>
        <v>o53.5 -110 +</v>
      </c>
      <c r="E56" t="str">
        <f>IFERROR(__xludf.DUMMYFUNCTION("""COMPUTED_VALUE"""),"o53.5 -110 +")</f>
        <v>o53.5 -110 +</v>
      </c>
      <c r="F56" t="str">
        <f>IFERROR(__xludf.DUMMYFUNCTION("""COMPUTED_VALUE"""),"o53.5 -105 +")</f>
        <v>o53.5 -105 +</v>
      </c>
      <c r="G56" t="str">
        <f>IFERROR(__xludf.DUMMYFUNCTION("""COMPUTED_VALUE"""),"o52.5 -110 +")</f>
        <v>o52.5 -110 +</v>
      </c>
      <c r="H56" t="str">
        <f>IFERROR(__xludf.DUMMYFUNCTION("""COMPUTED_VALUE"""),"o53.5 -105 +")</f>
        <v>o53.5 -105 +</v>
      </c>
      <c r="I56" t="str">
        <f>IFERROR(__xludf.DUMMYFUNCTION("""COMPUTED_VALUE"""),"o53 -110 +")</f>
        <v>o53 -110 +</v>
      </c>
      <c r="J56" t="str">
        <f>IFERROR(__xludf.DUMMYFUNCTION("""COMPUTED_VALUE"""),"o53 -109 +")</f>
        <v>o53 -109 +</v>
      </c>
      <c r="K56" t="str">
        <f>IFERROR(__xludf.DUMMYFUNCTION("""COMPUTED_VALUE"""),"o53.5 -110")</f>
        <v>o53.5 -110</v>
      </c>
    </row>
    <row r="57">
      <c r="A57" t="str">
        <f>IFERROR(__xludf.DUMMYFUNCTION("""COMPUTED_VALUE"""),"308 Florida State")</f>
        <v>308 Florida State</v>
      </c>
      <c r="B57" t="str">
        <f>IFERROR(__xludf.DUMMYFUNCTION("""COMPUTED_VALUE"""),"u53.5 -108")</f>
        <v>u53.5 -108</v>
      </c>
      <c r="C57" t="str">
        <f>IFERROR(__xludf.DUMMYFUNCTION("""COMPUTED_VALUE"""),"u53.5 -110 +")</f>
        <v>u53.5 -110 +</v>
      </c>
      <c r="D57" t="str">
        <f>IFERROR(__xludf.DUMMYFUNCTION("""COMPUTED_VALUE"""),"u53.5 -110 +")</f>
        <v>u53.5 -110 +</v>
      </c>
      <c r="E57" t="str">
        <f>IFERROR(__xludf.DUMMYFUNCTION("""COMPUTED_VALUE"""),"u53.5 -110 +")</f>
        <v>u53.5 -110 +</v>
      </c>
      <c r="F57" t="str">
        <f>IFERROR(__xludf.DUMMYFUNCTION("""COMPUTED_VALUE"""),"u53.5 -115 +")</f>
        <v>u53.5 -115 +</v>
      </c>
      <c r="G57" t="str">
        <f>IFERROR(__xludf.DUMMYFUNCTION("""COMPUTED_VALUE"""),"u52.5 -110 +")</f>
        <v>u52.5 -110 +</v>
      </c>
      <c r="H57" t="str">
        <f>IFERROR(__xludf.DUMMYFUNCTION("""COMPUTED_VALUE"""),"u53.5 -115 +")</f>
        <v>u53.5 -115 +</v>
      </c>
      <c r="I57" t="str">
        <f>IFERROR(__xludf.DUMMYFUNCTION("""COMPUTED_VALUE"""),"u53 -110 +")</f>
        <v>u53 -110 +</v>
      </c>
      <c r="J57" t="str">
        <f>IFERROR(__xludf.DUMMYFUNCTION("""COMPUTED_VALUE"""),"u53 -113 +")</f>
        <v>u53 -113 +</v>
      </c>
      <c r="K57" t="str">
        <f>IFERROR(__xludf.DUMMYFUNCTION("""COMPUTED_VALUE"""),"u53.5 -110")</f>
        <v>u53.5 -110</v>
      </c>
    </row>
    <row r="58">
      <c r="A58" t="str">
        <f>IFERROR(__xludf.DUMMYFUNCTION("""COMPUTED_VALUE"""),"- Matchup")</f>
        <v>- Matchup</v>
      </c>
    </row>
    <row r="59">
      <c r="B59" t="str">
        <f>IFERROR(__xludf.DUMMYFUNCTION("""COMPUTED_VALUE"""),"Open")</f>
        <v>Open</v>
      </c>
      <c r="C59" t="str">
        <f>IFERROR(__xludf.DUMMYFUNCTION("""COMPUTED_VALUE"""),"›")</f>
        <v>›</v>
      </c>
      <c r="D59" t="str">
        <f>IFERROR(__xludf.DUMMYFUNCTION("""COMPUTED_VALUE"""),"›")</f>
        <v>›</v>
      </c>
      <c r="E59" t="str">
        <f>IFERROR(__xludf.DUMMYFUNCTION("""COMPUTED_VALUE"""),"›")</f>
        <v>›</v>
      </c>
      <c r="F59" t="str">
        <f>IFERROR(__xludf.DUMMYFUNCTION("""COMPUTED_VALUE"""),"›")</f>
        <v>›</v>
      </c>
      <c r="G59" t="str">
        <f>IFERROR(__xludf.DUMMYFUNCTION("""COMPUTED_VALUE"""),"›")</f>
        <v>›</v>
      </c>
      <c r="H59" t="str">
        <f>IFERROR(__xludf.DUMMYFUNCTION("""COMPUTED_VALUE"""),"›")</f>
        <v>›</v>
      </c>
      <c r="I59" t="str">
        <f>IFERROR(__xludf.DUMMYFUNCTION("""COMPUTED_VALUE"""),"›")</f>
        <v>›</v>
      </c>
      <c r="J59" t="str">
        <f>IFERROR(__xludf.DUMMYFUNCTION("""COMPUTED_VALUE"""),"›")</f>
        <v>›</v>
      </c>
    </row>
    <row r="60">
      <c r="A60" t="str">
        <f>IFERROR(__xludf.DUMMYFUNCTION("""COMPUTED_VALUE"""),"311 Hawai'i")</f>
        <v>311 Hawai'i</v>
      </c>
      <c r="B60" t="str">
        <f>IFERROR(__xludf.DUMMYFUNCTION("""COMPUTED_VALUE"""),"o50.5 -105")</f>
        <v>o50.5 -105</v>
      </c>
      <c r="C60" t="str">
        <f>IFERROR(__xludf.DUMMYFUNCTION("""COMPUTED_VALUE"""),"o50.5 -110 +")</f>
        <v>o50.5 -110 +</v>
      </c>
      <c r="D60" t="str">
        <f>IFERROR(__xludf.DUMMYFUNCTION("""COMPUTED_VALUE"""),"o50.5 -110 +")</f>
        <v>o50.5 -110 +</v>
      </c>
      <c r="E60" t="str">
        <f>IFERROR(__xludf.DUMMYFUNCTION("""COMPUTED_VALUE"""),"o50.5 -108 +")</f>
        <v>o50.5 -108 +</v>
      </c>
      <c r="F60" t="str">
        <f>IFERROR(__xludf.DUMMYFUNCTION("""COMPUTED_VALUE"""),"o50.5 -108 +")</f>
        <v>o50.5 -108 +</v>
      </c>
      <c r="G60" t="str">
        <f>IFERROR(__xludf.DUMMYFUNCTION("""COMPUTED_VALUE"""),"o49.5 -110 +")</f>
        <v>o49.5 -110 +</v>
      </c>
      <c r="H60" t="str">
        <f>IFERROR(__xludf.DUMMYFUNCTION("""COMPUTED_VALUE"""),"o50.5 -105 +")</f>
        <v>o50.5 -105 +</v>
      </c>
      <c r="I60" t="str">
        <f>IFERROR(__xludf.DUMMYFUNCTION("""COMPUTED_VALUE"""),"o50.5 -110 +")</f>
        <v>o50.5 -110 +</v>
      </c>
      <c r="J60" t="str">
        <f>IFERROR(__xludf.DUMMYFUNCTION("""COMPUTED_VALUE"""),"o50.5 -114 +")</f>
        <v>o50.5 -114 +</v>
      </c>
      <c r="K60" t="str">
        <f>IFERROR(__xludf.DUMMYFUNCTION("""COMPUTED_VALUE"""),"o50.5 -108")</f>
        <v>o50.5 -108</v>
      </c>
    </row>
    <row r="61">
      <c r="A61" t="str">
        <f>IFERROR(__xludf.DUMMYFUNCTION("""COMPUTED_VALUE"""),"312 Stanford")</f>
        <v>312 Stanford</v>
      </c>
      <c r="B61" t="str">
        <f>IFERROR(__xludf.DUMMYFUNCTION("""COMPUTED_VALUE"""),"u50.5 -115")</f>
        <v>u50.5 -115</v>
      </c>
      <c r="C61" t="str">
        <f>IFERROR(__xludf.DUMMYFUNCTION("""COMPUTED_VALUE"""),"u50.5 -110 +")</f>
        <v>u50.5 -110 +</v>
      </c>
      <c r="D61" t="str">
        <f>IFERROR(__xludf.DUMMYFUNCTION("""COMPUTED_VALUE"""),"u50.5 -110 +")</f>
        <v>u50.5 -110 +</v>
      </c>
      <c r="E61" t="str">
        <f>IFERROR(__xludf.DUMMYFUNCTION("""COMPUTED_VALUE"""),"u50.5 -112 +")</f>
        <v>u50.5 -112 +</v>
      </c>
      <c r="F61" t="str">
        <f>IFERROR(__xludf.DUMMYFUNCTION("""COMPUTED_VALUE"""),"u50.5 -113 +")</f>
        <v>u50.5 -113 +</v>
      </c>
      <c r="G61" t="str">
        <f>IFERROR(__xludf.DUMMYFUNCTION("""COMPUTED_VALUE"""),"u49.5 -110 +")</f>
        <v>u49.5 -110 +</v>
      </c>
      <c r="H61" t="str">
        <f>IFERROR(__xludf.DUMMYFUNCTION("""COMPUTED_VALUE"""),"u50.5 -115 +")</f>
        <v>u50.5 -115 +</v>
      </c>
      <c r="I61" t="str">
        <f>IFERROR(__xludf.DUMMYFUNCTION("""COMPUTED_VALUE"""),"u50.5 -110 +")</f>
        <v>u50.5 -110 +</v>
      </c>
      <c r="J61" t="str">
        <f>IFERROR(__xludf.DUMMYFUNCTION("""COMPUTED_VALUE"""),"u50.5 -109 +")</f>
        <v>u50.5 -109 +</v>
      </c>
      <c r="K61" t="str">
        <f>IFERROR(__xludf.DUMMYFUNCTION("""COMPUTED_VALUE"""),"u50.5 -112")</f>
        <v>u50.5 -112</v>
      </c>
    </row>
    <row r="62">
      <c r="A62" t="str">
        <f>IFERROR(__xludf.DUMMYFUNCTION("""COMPUTED_VALUE"""),"- Matchup")</f>
        <v>- Matchup</v>
      </c>
    </row>
    <row r="63">
      <c r="B63" t="str">
        <f>IFERROR(__xludf.DUMMYFUNCTION("""COMPUTED_VALUE"""),"Open")</f>
        <v>Open</v>
      </c>
      <c r="C63" t="str">
        <f>IFERROR(__xludf.DUMMYFUNCTION("""COMPUTED_VALUE"""),"›")</f>
        <v>›</v>
      </c>
      <c r="D63" t="str">
        <f>IFERROR(__xludf.DUMMYFUNCTION("""COMPUTED_VALUE"""),"›")</f>
        <v>›</v>
      </c>
      <c r="E63" t="str">
        <f>IFERROR(__xludf.DUMMYFUNCTION("""COMPUTED_VALUE"""),"›")</f>
        <v>›</v>
      </c>
      <c r="F63" t="str">
        <f>IFERROR(__xludf.DUMMYFUNCTION("""COMPUTED_VALUE"""),"›")</f>
        <v>›</v>
      </c>
      <c r="G63" t="str">
        <f>IFERROR(__xludf.DUMMYFUNCTION("""COMPUTED_VALUE"""),"›")</f>
        <v>›</v>
      </c>
      <c r="H63" t="str">
        <f>IFERROR(__xludf.DUMMYFUNCTION("""COMPUTED_VALUE"""),"›")</f>
        <v>›</v>
      </c>
      <c r="I63" t="str">
        <f>IFERROR(__xludf.DUMMYFUNCTION("""COMPUTED_VALUE"""),"›")</f>
        <v>›</v>
      </c>
      <c r="J63" t="str">
        <f>IFERROR(__xludf.DUMMYFUNCTION("""COMPUTED_VALUE"""),"›")</f>
        <v>›</v>
      </c>
    </row>
    <row r="64">
      <c r="A64" t="str">
        <f>IFERROR(__xludf.DUMMYFUNCTION("""COMPUTED_VALUE"""),"315 Memphis")</f>
        <v>315 Memphis</v>
      </c>
      <c r="B64" t="str">
        <f>IFERROR(__xludf.DUMMYFUNCTION("""COMPUTED_VALUE"""),"o60.5 -112")</f>
        <v>o60.5 -112</v>
      </c>
      <c r="C64" t="str">
        <f>IFERROR(__xludf.DUMMYFUNCTION("""COMPUTED_VALUE"""),"o58.5 -110 +")</f>
        <v>o58.5 -110 +</v>
      </c>
      <c r="D64" t="str">
        <f>IFERROR(__xludf.DUMMYFUNCTION("""COMPUTED_VALUE"""),"o58.5 -110 +")</f>
        <v>o58.5 -110 +</v>
      </c>
      <c r="E64" t="str">
        <f>IFERROR(__xludf.DUMMYFUNCTION("""COMPUTED_VALUE"""),"o59.5 -108 +")</f>
        <v>o59.5 -108 +</v>
      </c>
      <c r="F64" t="str">
        <f>IFERROR(__xludf.DUMMYFUNCTION("""COMPUTED_VALUE"""),"o59.5 -104 +")</f>
        <v>o59.5 -104 +</v>
      </c>
      <c r="G64" t="str">
        <f>IFERROR(__xludf.DUMMYFUNCTION("""COMPUTED_VALUE"""),"o59.5 -110 +")</f>
        <v>o59.5 -110 +</v>
      </c>
      <c r="H64" t="str">
        <f>IFERROR(__xludf.DUMMYFUNCTION("""COMPUTED_VALUE"""),"o59.5 -105 +")</f>
        <v>o59.5 -105 +</v>
      </c>
      <c r="I64" t="str">
        <f>IFERROR(__xludf.DUMMYFUNCTION("""COMPUTED_VALUE"""),"o59 -110 +")</f>
        <v>o59 -110 +</v>
      </c>
      <c r="J64" t="str">
        <f>IFERROR(__xludf.DUMMYFUNCTION("""COMPUTED_VALUE"""),"o59 -114 +")</f>
        <v>o59 -114 +</v>
      </c>
      <c r="K64" t="str">
        <f>IFERROR(__xludf.DUMMYFUNCTION("""COMPUTED_VALUE"""),"o59.5 -108")</f>
        <v>o59.5 -108</v>
      </c>
    </row>
    <row r="65">
      <c r="A65" t="str">
        <f>IFERROR(__xludf.DUMMYFUNCTION("""COMPUTED_VALUE"""),"316 UNLV")</f>
        <v>316 UNLV</v>
      </c>
      <c r="B65" t="str">
        <f>IFERROR(__xludf.DUMMYFUNCTION("""COMPUTED_VALUE"""),"u60.5 -108")</f>
        <v>u60.5 -108</v>
      </c>
      <c r="C65" t="str">
        <f>IFERROR(__xludf.DUMMYFUNCTION("""COMPUTED_VALUE"""),"u58.5 -110 +")</f>
        <v>u58.5 -110 +</v>
      </c>
      <c r="D65" t="str">
        <f>IFERROR(__xludf.DUMMYFUNCTION("""COMPUTED_VALUE"""),"u58.5 -110 +")</f>
        <v>u58.5 -110 +</v>
      </c>
      <c r="E65" t="str">
        <f>IFERROR(__xludf.DUMMYFUNCTION("""COMPUTED_VALUE"""),"u59.5 -112 +")</f>
        <v>u59.5 -112 +</v>
      </c>
      <c r="F65" t="str">
        <f>IFERROR(__xludf.DUMMYFUNCTION("""COMPUTED_VALUE"""),"u59.5 -117 +")</f>
        <v>u59.5 -117 +</v>
      </c>
      <c r="G65" t="str">
        <f>IFERROR(__xludf.DUMMYFUNCTION("""COMPUTED_VALUE"""),"u59.5 -110 +")</f>
        <v>u59.5 -110 +</v>
      </c>
      <c r="H65" t="str">
        <f>IFERROR(__xludf.DUMMYFUNCTION("""COMPUTED_VALUE"""),"u59.5 -115 +")</f>
        <v>u59.5 -115 +</v>
      </c>
      <c r="I65" t="str">
        <f>IFERROR(__xludf.DUMMYFUNCTION("""COMPUTED_VALUE"""),"u59 -110 +")</f>
        <v>u59 -110 +</v>
      </c>
      <c r="J65" t="str">
        <f>IFERROR(__xludf.DUMMYFUNCTION("""COMPUTED_VALUE"""),"u59 -109 +")</f>
        <v>u59 -109 +</v>
      </c>
      <c r="K65" t="str">
        <f>IFERROR(__xludf.DUMMYFUNCTION("""COMPUTED_VALUE"""),"u59.5 -112")</f>
        <v>u59.5 -112</v>
      </c>
    </row>
    <row r="66">
      <c r="A66" t="str">
        <f>IFERROR(__xludf.DUMMYFUNCTION("""COMPUTED_VALUE"""),"- Matchup")</f>
        <v>- Matchup</v>
      </c>
    </row>
    <row r="67">
      <c r="B67" t="str">
        <f>IFERROR(__xludf.DUMMYFUNCTION("""COMPUTED_VALUE"""),"Open")</f>
        <v>Open</v>
      </c>
      <c r="C67" t="str">
        <f>IFERROR(__xludf.DUMMYFUNCTION("""COMPUTED_VALUE"""),"›")</f>
        <v>›</v>
      </c>
      <c r="D67" t="str">
        <f>IFERROR(__xludf.DUMMYFUNCTION("""COMPUTED_VALUE"""),"›")</f>
        <v>›</v>
      </c>
      <c r="E67" t="str">
        <f>IFERROR(__xludf.DUMMYFUNCTION("""COMPUTED_VALUE"""),"›")</f>
        <v>›</v>
      </c>
      <c r="F67" t="str">
        <f>IFERROR(__xludf.DUMMYFUNCTION("""COMPUTED_VALUE"""),"›")</f>
        <v>›</v>
      </c>
      <c r="G67" t="str">
        <f>IFERROR(__xludf.DUMMYFUNCTION("""COMPUTED_VALUE"""),"›")</f>
        <v>›</v>
      </c>
      <c r="H67" t="str">
        <f>IFERROR(__xludf.DUMMYFUNCTION("""COMPUTED_VALUE"""),"›")</f>
        <v>›</v>
      </c>
      <c r="I67" t="str">
        <f>IFERROR(__xludf.DUMMYFUNCTION("""COMPUTED_VALUE"""),"›")</f>
        <v>›</v>
      </c>
      <c r="J67" t="str">
        <f>IFERROR(__xludf.DUMMYFUNCTION("""COMPUTED_VALUE"""),"›")</f>
        <v>›</v>
      </c>
    </row>
    <row r="68">
      <c r="A68" t="str">
        <f>IFERROR(__xludf.DUMMYFUNCTION("""COMPUTED_VALUE"""),"305 North Carolina")</f>
        <v>305 North Carolina</v>
      </c>
      <c r="B68" t="str">
        <f>IFERROR(__xludf.DUMMYFUNCTION("""COMPUTED_VALUE"""),"+195")</f>
        <v>+195</v>
      </c>
      <c r="C68" t="str">
        <f>IFERROR(__xludf.DUMMYFUNCTION("""COMPUTED_VALUE"""),"+210 +")</f>
        <v>+210 +</v>
      </c>
      <c r="D68" t="str">
        <f>IFERROR(__xludf.DUMMYFUNCTION("""COMPUTED_VALUE"""),"N/A")</f>
        <v>N/A</v>
      </c>
      <c r="E68" t="str">
        <f>IFERROR(__xludf.DUMMYFUNCTION("""COMPUTED_VALUE"""),"+210 +")</f>
        <v>+210 +</v>
      </c>
      <c r="F68" t="str">
        <f>IFERROR(__xludf.DUMMYFUNCTION("""COMPUTED_VALUE"""),"+215 +")</f>
        <v>+215 +</v>
      </c>
      <c r="G68" t="str">
        <f>IFERROR(__xludf.DUMMYFUNCTION("""COMPUTED_VALUE"""),"+215 +")</f>
        <v>+215 +</v>
      </c>
      <c r="H68" t="str">
        <f>IFERROR(__xludf.DUMMYFUNCTION("""COMPUTED_VALUE"""),"+185 +")</f>
        <v>+185 +</v>
      </c>
      <c r="I68" t="str">
        <f>IFERROR(__xludf.DUMMYFUNCTION("""COMPUTED_VALUE"""),"+210 +")</f>
        <v>+210 +</v>
      </c>
      <c r="J68" t="str">
        <f>IFERROR(__xludf.DUMMYFUNCTION("""COMPUTED_VALUE"""),"+205 +")</f>
        <v>+205 +</v>
      </c>
      <c r="K68" t="str">
        <f>IFERROR(__xludf.DUMMYFUNCTION("""COMPUTED_VALUE"""),"+210")</f>
        <v>+210</v>
      </c>
    </row>
    <row r="69">
      <c r="A69" t="str">
        <f>IFERROR(__xludf.DUMMYFUNCTION("""COMPUTED_VALUE"""),"306 TCU")</f>
        <v>306 TCU</v>
      </c>
      <c r="B69">
        <f>IFERROR(__xludf.DUMMYFUNCTION("""COMPUTED_VALUE"""),-249.0)</f>
        <v>-249</v>
      </c>
      <c r="C69" t="str">
        <f>IFERROR(__xludf.DUMMYFUNCTION("""COMPUTED_VALUE"""),"-260 +")</f>
        <v>-260 +</v>
      </c>
      <c r="D69" t="str">
        <f>IFERROR(__xludf.DUMMYFUNCTION("""COMPUTED_VALUE"""),"N/A")</f>
        <v>N/A</v>
      </c>
      <c r="E69" t="str">
        <f>IFERROR(__xludf.DUMMYFUNCTION("""COMPUTED_VALUE"""),"-258 +")</f>
        <v>-258 +</v>
      </c>
      <c r="F69" t="str">
        <f>IFERROR(__xludf.DUMMYFUNCTION("""COMPUTED_VALUE"""),"-265 +")</f>
        <v>-265 +</v>
      </c>
      <c r="G69" t="str">
        <f>IFERROR(__xludf.DUMMYFUNCTION("""COMPUTED_VALUE"""),"-265 +")</f>
        <v>-265 +</v>
      </c>
      <c r="H69" t="str">
        <f>IFERROR(__xludf.DUMMYFUNCTION("""COMPUTED_VALUE"""),"-300 +")</f>
        <v>-300 +</v>
      </c>
      <c r="I69" t="str">
        <f>IFERROR(__xludf.DUMMYFUNCTION("""COMPUTED_VALUE"""),"-260 +")</f>
        <v>-260 +</v>
      </c>
      <c r="J69" t="str">
        <f>IFERROR(__xludf.DUMMYFUNCTION("""COMPUTED_VALUE"""),"-265 +")</f>
        <v>-265 +</v>
      </c>
      <c r="K69">
        <f>IFERROR(__xludf.DUMMYFUNCTION("""COMPUTED_VALUE"""),-258.0)</f>
        <v>-258</v>
      </c>
    </row>
    <row r="70">
      <c r="A70" t="str">
        <f>IFERROR(__xludf.DUMMYFUNCTION("""COMPUTED_VALUE"""),"- Matchup")</f>
        <v>- Matchup</v>
      </c>
    </row>
    <row r="71">
      <c r="B71" t="str">
        <f>IFERROR(__xludf.DUMMYFUNCTION("""COMPUTED_VALUE"""),"Open")</f>
        <v>Open</v>
      </c>
      <c r="C71" t="str">
        <f>IFERROR(__xludf.DUMMYFUNCTION("""COMPUTED_VALUE"""),"›")</f>
        <v>›</v>
      </c>
      <c r="D71" t="str">
        <f>IFERROR(__xludf.DUMMYFUNCTION("""COMPUTED_VALUE"""),"›")</f>
        <v>›</v>
      </c>
      <c r="E71" t="str">
        <f>IFERROR(__xludf.DUMMYFUNCTION("""COMPUTED_VALUE"""),"›")</f>
        <v>›</v>
      </c>
      <c r="F71" t="str">
        <f>IFERROR(__xludf.DUMMYFUNCTION("""COMPUTED_VALUE"""),"›")</f>
        <v>›</v>
      </c>
      <c r="G71" t="str">
        <f>IFERROR(__xludf.DUMMYFUNCTION("""COMPUTED_VALUE"""),"›")</f>
        <v>›</v>
      </c>
      <c r="H71" t="str">
        <f>IFERROR(__xludf.DUMMYFUNCTION("""COMPUTED_VALUE"""),"›")</f>
        <v>›</v>
      </c>
      <c r="I71" t="str">
        <f>IFERROR(__xludf.DUMMYFUNCTION("""COMPUTED_VALUE"""),"›")</f>
        <v>›</v>
      </c>
      <c r="J71" t="str">
        <f>IFERROR(__xludf.DUMMYFUNCTION("""COMPUTED_VALUE"""),"›")</f>
        <v>›</v>
      </c>
    </row>
    <row r="72">
      <c r="A72" t="str">
        <f>IFERROR(__xludf.DUMMYFUNCTION("""COMPUTED_VALUE"""),"313 San Jose State")</f>
        <v>313 San Jose State</v>
      </c>
      <c r="B72" t="str">
        <f>IFERROR(__xludf.DUMMYFUNCTION("""COMPUTED_VALUE"""),"N/A")</f>
        <v>N/A</v>
      </c>
      <c r="C72" t="str">
        <f>IFERROR(__xludf.DUMMYFUNCTION("""COMPUTED_VALUE"""),"N/A")</f>
        <v>N/A</v>
      </c>
      <c r="D72" t="str">
        <f>IFERROR(__xludf.DUMMYFUNCTION("""COMPUTED_VALUE"""),"N/A")</f>
        <v>N/A</v>
      </c>
      <c r="F72" t="str">
        <f>IFERROR(__xludf.DUMMYFUNCTION("""COMPUTED_VALUE"""),"+2200")</f>
        <v>+2200</v>
      </c>
      <c r="H72" t="str">
        <f>IFERROR(__xludf.DUMMYFUNCTION("""COMPUTED_VALUE"""),"N/A")</f>
        <v>N/A</v>
      </c>
      <c r="J72" t="str">
        <f>IFERROR(__xludf.DUMMYFUNCTION("""COMPUTED_VALUE"""),"N/A")</f>
        <v>N/A</v>
      </c>
    </row>
    <row r="73">
      <c r="A73" t="str">
        <f>IFERROR(__xludf.DUMMYFUNCTION("""COMPUTED_VALUE"""),"314 USC")</f>
        <v>314 USC</v>
      </c>
      <c r="B73" t="str">
        <f>IFERROR(__xludf.DUMMYFUNCTION("""COMPUTED_VALUE"""),"N/A")</f>
        <v>N/A</v>
      </c>
      <c r="C73" t="str">
        <f>IFERROR(__xludf.DUMMYFUNCTION("""COMPUTED_VALUE"""),"N/A")</f>
        <v>N/A</v>
      </c>
      <c r="D73" t="str">
        <f>IFERROR(__xludf.DUMMYFUNCTION("""COMPUTED_VALUE"""),"N/A")</f>
        <v>N/A</v>
      </c>
      <c r="F73">
        <f>IFERROR(__xludf.DUMMYFUNCTION("""COMPUTED_VALUE"""),-10000.0)</f>
        <v>-10000</v>
      </c>
      <c r="H73" t="str">
        <f>IFERROR(__xludf.DUMMYFUNCTION("""COMPUTED_VALUE"""),"N/A")</f>
        <v>N/A</v>
      </c>
      <c r="J73" t="str">
        <f>IFERROR(__xludf.DUMMYFUNCTION("""COMPUTED_VALUE"""),"N/A")</f>
        <v>N/A</v>
      </c>
    </row>
    <row r="74">
      <c r="A74" t="str">
        <f>IFERROR(__xludf.DUMMYFUNCTION("""COMPUTED_VALUE"""),"- Matchup")</f>
        <v>- Matchup</v>
      </c>
    </row>
    <row r="75">
      <c r="B75" t="str">
        <f>IFERROR(__xludf.DUMMYFUNCTION("""COMPUTED_VALUE"""),"Open")</f>
        <v>Open</v>
      </c>
      <c r="C75" t="str">
        <f>IFERROR(__xludf.DUMMYFUNCTION("""COMPUTED_VALUE"""),"›")</f>
        <v>›</v>
      </c>
      <c r="D75" t="str">
        <f>IFERROR(__xludf.DUMMYFUNCTION("""COMPUTED_VALUE"""),"›")</f>
        <v>›</v>
      </c>
      <c r="E75" t="str">
        <f>IFERROR(__xludf.DUMMYFUNCTION("""COMPUTED_VALUE"""),"›")</f>
        <v>›</v>
      </c>
      <c r="F75" t="str">
        <f>IFERROR(__xludf.DUMMYFUNCTION("""COMPUTED_VALUE"""),"›")</f>
        <v>›</v>
      </c>
      <c r="G75" t="str">
        <f>IFERROR(__xludf.DUMMYFUNCTION("""COMPUTED_VALUE"""),"›")</f>
        <v>›</v>
      </c>
      <c r="H75" t="str">
        <f>IFERROR(__xludf.DUMMYFUNCTION("""COMPUTED_VALUE"""),"›")</f>
        <v>›</v>
      </c>
      <c r="I75" t="str">
        <f>IFERROR(__xludf.DUMMYFUNCTION("""COMPUTED_VALUE"""),"›")</f>
        <v>›</v>
      </c>
      <c r="J75" t="str">
        <f>IFERROR(__xludf.DUMMYFUNCTION("""COMPUTED_VALUE"""),"›")</f>
        <v>›</v>
      </c>
    </row>
    <row r="76">
      <c r="A76" t="str">
        <f>IFERROR(__xludf.DUMMYFUNCTION("""COMPUTED_VALUE"""),"317 NC State")</f>
        <v>317 NC State</v>
      </c>
      <c r="B76" t="str">
        <f>IFERROR(__xludf.DUMMYFUNCTION("""COMPUTED_VALUE"""),"+128")</f>
        <v>+128</v>
      </c>
      <c r="C76" t="str">
        <f>IFERROR(__xludf.DUMMYFUNCTION("""COMPUTED_VALUE"""),"+175 +")</f>
        <v>+175 +</v>
      </c>
      <c r="D76" t="str">
        <f>IFERROR(__xludf.DUMMYFUNCTION("""COMPUTED_VALUE"""),"N/A")</f>
        <v>N/A</v>
      </c>
      <c r="E76" t="str">
        <f>IFERROR(__xludf.DUMMYFUNCTION("""COMPUTED_VALUE"""),"+170 +")</f>
        <v>+170 +</v>
      </c>
      <c r="F76" t="str">
        <f>IFERROR(__xludf.DUMMYFUNCTION("""COMPUTED_VALUE"""),"+174 +")</f>
        <v>+174 +</v>
      </c>
      <c r="G76" t="str">
        <f>IFERROR(__xludf.DUMMYFUNCTION("""COMPUTED_VALUE"""),"+180 +")</f>
        <v>+180 +</v>
      </c>
      <c r="H76" t="str">
        <f>IFERROR(__xludf.DUMMYFUNCTION("""COMPUTED_VALUE"""),"+180 +")</f>
        <v>+180 +</v>
      </c>
      <c r="I76" t="str">
        <f>IFERROR(__xludf.DUMMYFUNCTION("""COMPUTED_VALUE"""),"+170 +")</f>
        <v>+170 +</v>
      </c>
      <c r="J76" t="str">
        <f>IFERROR(__xludf.DUMMYFUNCTION("""COMPUTED_VALUE"""),"+155 +")</f>
        <v>+155 +</v>
      </c>
      <c r="K76" t="str">
        <f>IFERROR(__xludf.DUMMYFUNCTION("""COMPUTED_VALUE"""),"+170")</f>
        <v>+170</v>
      </c>
    </row>
    <row r="77">
      <c r="A77" t="str">
        <f>IFERROR(__xludf.DUMMYFUNCTION("""COMPUTED_VALUE"""),"318 Virginia")</f>
        <v>318 Virginia</v>
      </c>
      <c r="B77">
        <f>IFERROR(__xludf.DUMMYFUNCTION("""COMPUTED_VALUE"""),-160.0)</f>
        <v>-160</v>
      </c>
      <c r="C77" t="str">
        <f>IFERROR(__xludf.DUMMYFUNCTION("""COMPUTED_VALUE"""),"-210 +")</f>
        <v>-210 +</v>
      </c>
      <c r="D77" t="str">
        <f>IFERROR(__xludf.DUMMYFUNCTION("""COMPUTED_VALUE"""),"N/A")</f>
        <v>N/A</v>
      </c>
      <c r="E77" t="str">
        <f>IFERROR(__xludf.DUMMYFUNCTION("""COMPUTED_VALUE"""),"-205 +")</f>
        <v>-205 +</v>
      </c>
      <c r="F77" t="str">
        <f>IFERROR(__xludf.DUMMYFUNCTION("""COMPUTED_VALUE"""),"-209 +")</f>
        <v>-209 +</v>
      </c>
      <c r="G77" t="str">
        <f>IFERROR(__xludf.DUMMYFUNCTION("""COMPUTED_VALUE"""),"-220 +")</f>
        <v>-220 +</v>
      </c>
      <c r="H77" t="str">
        <f>IFERROR(__xludf.DUMMYFUNCTION("""COMPUTED_VALUE"""),"+170 +")</f>
        <v>+170 +</v>
      </c>
      <c r="I77" t="str">
        <f>IFERROR(__xludf.DUMMYFUNCTION("""COMPUTED_VALUE"""),"-205 +")</f>
        <v>-205 +</v>
      </c>
      <c r="J77" t="str">
        <f>IFERROR(__xludf.DUMMYFUNCTION("""COMPUTED_VALUE"""),"-200 +")</f>
        <v>-200 +</v>
      </c>
      <c r="K77">
        <f>IFERROR(__xludf.DUMMYFUNCTION("""COMPUTED_VALUE"""),-205.0)</f>
        <v>-205</v>
      </c>
    </row>
    <row r="78">
      <c r="A78" t="str">
        <f>IFERROR(__xludf.DUMMYFUNCTION("""COMPUTED_VALUE"""),"- Matchup")</f>
        <v>- Matchup</v>
      </c>
    </row>
    <row r="79">
      <c r="B79" t="str">
        <f>IFERROR(__xludf.DUMMYFUNCTION("""COMPUTED_VALUE"""),"Open")</f>
        <v>Open</v>
      </c>
      <c r="C79" t="str">
        <f>IFERROR(__xludf.DUMMYFUNCTION("""COMPUTED_VALUE"""),"›")</f>
        <v>›</v>
      </c>
      <c r="D79" t="str">
        <f>IFERROR(__xludf.DUMMYFUNCTION("""COMPUTED_VALUE"""),"›")</f>
        <v>›</v>
      </c>
      <c r="E79" t="str">
        <f>IFERROR(__xludf.DUMMYFUNCTION("""COMPUTED_VALUE"""),"›")</f>
        <v>›</v>
      </c>
      <c r="F79" t="str">
        <f>IFERROR(__xludf.DUMMYFUNCTION("""COMPUTED_VALUE"""),"›")</f>
        <v>›</v>
      </c>
      <c r="G79" t="str">
        <f>IFERROR(__xludf.DUMMYFUNCTION("""COMPUTED_VALUE"""),"›")</f>
        <v>›</v>
      </c>
      <c r="H79" t="str">
        <f>IFERROR(__xludf.DUMMYFUNCTION("""COMPUTED_VALUE"""),"›")</f>
        <v>›</v>
      </c>
      <c r="I79" t="str">
        <f>IFERROR(__xludf.DUMMYFUNCTION("""COMPUTED_VALUE"""),"›")</f>
        <v>›</v>
      </c>
      <c r="J79" t="str">
        <f>IFERROR(__xludf.DUMMYFUNCTION("""COMPUTED_VALUE"""),"›")</f>
        <v>›</v>
      </c>
    </row>
    <row r="80">
      <c r="A80" t="str">
        <f>IFERROR(__xludf.DUMMYFUNCTION("""COMPUTED_VALUE"""),"319 Jacksonville State")</f>
        <v>319 Jacksonville State</v>
      </c>
      <c r="B80" t="str">
        <f>IFERROR(__xludf.DUMMYFUNCTION("""COMPUTED_VALUE"""),"+260")</f>
        <v>+260</v>
      </c>
      <c r="C80" t="str">
        <f>IFERROR(__xludf.DUMMYFUNCTION("""COMPUTED_VALUE"""),"+235 +")</f>
        <v>+235 +</v>
      </c>
      <c r="D80" t="str">
        <f>IFERROR(__xludf.DUMMYFUNCTION("""COMPUTED_VALUE"""),"N/A")</f>
        <v>N/A</v>
      </c>
      <c r="E80" t="str">
        <f>IFERROR(__xludf.DUMMYFUNCTION("""COMPUTED_VALUE"""),"+230 +")</f>
        <v>+230 +</v>
      </c>
      <c r="F80" t="str">
        <f>IFERROR(__xludf.DUMMYFUNCTION("""COMPUTED_VALUE"""),"N/A")</f>
        <v>N/A</v>
      </c>
      <c r="G80" t="str">
        <f>IFERROR(__xludf.DUMMYFUNCTION("""COMPUTED_VALUE"""),"+255 +")</f>
        <v>+255 +</v>
      </c>
      <c r="H80" t="str">
        <f>IFERROR(__xludf.DUMMYFUNCTION("""COMPUTED_VALUE"""),"+260 +")</f>
        <v>+260 +</v>
      </c>
      <c r="I80" t="str">
        <f>IFERROR(__xludf.DUMMYFUNCTION("""COMPUTED_VALUE"""),"+240 +")</f>
        <v>+240 +</v>
      </c>
      <c r="J80" t="str">
        <f>IFERROR(__xludf.DUMMYFUNCTION("""COMPUTED_VALUE"""),"+205 +")</f>
        <v>+205 +</v>
      </c>
      <c r="K80" t="str">
        <f>IFERROR(__xludf.DUMMYFUNCTION("""COMPUTED_VALUE"""),"+230")</f>
        <v>+230</v>
      </c>
    </row>
    <row r="81">
      <c r="A81" t="str">
        <f>IFERROR(__xludf.DUMMYFUNCTION("""COMPUTED_VALUE"""),"320 North Dakota State")</f>
        <v>320 North Dakota State</v>
      </c>
      <c r="B81">
        <f>IFERROR(__xludf.DUMMYFUNCTION("""COMPUTED_VALUE"""),-325.0)</f>
        <v>-325</v>
      </c>
      <c r="C81" t="str">
        <f>IFERROR(__xludf.DUMMYFUNCTION("""COMPUTED_VALUE"""),"-290 +")</f>
        <v>-290 +</v>
      </c>
      <c r="D81" t="str">
        <f>IFERROR(__xludf.DUMMYFUNCTION("""COMPUTED_VALUE"""),"N/A")</f>
        <v>N/A</v>
      </c>
      <c r="E81" t="str">
        <f>IFERROR(__xludf.DUMMYFUNCTION("""COMPUTED_VALUE"""),"-285 +")</f>
        <v>-285 +</v>
      </c>
      <c r="F81" t="str">
        <f>IFERROR(__xludf.DUMMYFUNCTION("""COMPUTED_VALUE"""),"N/A")</f>
        <v>N/A</v>
      </c>
      <c r="G81" t="str">
        <f>IFERROR(__xludf.DUMMYFUNCTION("""COMPUTED_VALUE"""),"-320 +")</f>
        <v>-320 +</v>
      </c>
      <c r="H81" t="str">
        <f>IFERROR(__xludf.DUMMYFUNCTION("""COMPUTED_VALUE"""),"-350 +")</f>
        <v>-350 +</v>
      </c>
      <c r="I81" t="str">
        <f>IFERROR(__xludf.DUMMYFUNCTION("""COMPUTED_VALUE"""),"-300 +")</f>
        <v>-300 +</v>
      </c>
      <c r="J81" t="str">
        <f>IFERROR(__xludf.DUMMYFUNCTION("""COMPUTED_VALUE"""),"-286 +")</f>
        <v>-286 +</v>
      </c>
      <c r="K81">
        <f>IFERROR(__xludf.DUMMYFUNCTION("""COMPUTED_VALUE"""),-285.0)</f>
        <v>-285</v>
      </c>
    </row>
    <row r="82">
      <c r="A82" t="str">
        <f>IFERROR(__xludf.DUMMYFUNCTION("""COMPUTED_VALUE"""),"- Matchup")</f>
        <v>- Matchup</v>
      </c>
    </row>
    <row r="83">
      <c r="B83" t="str">
        <f>IFERROR(__xludf.DUMMYFUNCTION("""COMPUTED_VALUE"""),"Open")</f>
        <v>Open</v>
      </c>
      <c r="C83" t="str">
        <f>IFERROR(__xludf.DUMMYFUNCTION("""COMPUTED_VALUE"""),"›")</f>
        <v>›</v>
      </c>
      <c r="D83" t="str">
        <f>IFERROR(__xludf.DUMMYFUNCTION("""COMPUTED_VALUE"""),"›")</f>
        <v>›</v>
      </c>
      <c r="E83" t="str">
        <f>IFERROR(__xludf.DUMMYFUNCTION("""COMPUTED_VALUE"""),"›")</f>
        <v>›</v>
      </c>
      <c r="F83" t="str">
        <f>IFERROR(__xludf.DUMMYFUNCTION("""COMPUTED_VALUE"""),"›")</f>
        <v>›</v>
      </c>
      <c r="G83" t="str">
        <f>IFERROR(__xludf.DUMMYFUNCTION("""COMPUTED_VALUE"""),"›")</f>
        <v>›</v>
      </c>
      <c r="H83" t="str">
        <f>IFERROR(__xludf.DUMMYFUNCTION("""COMPUTED_VALUE"""),"›")</f>
        <v>›</v>
      </c>
      <c r="I83" t="str">
        <f>IFERROR(__xludf.DUMMYFUNCTION("""COMPUTED_VALUE"""),"›")</f>
        <v>›</v>
      </c>
      <c r="J83" t="str">
        <f>IFERROR(__xludf.DUMMYFUNCTION("""COMPUTED_VALUE"""),"›")</f>
        <v>›</v>
      </c>
    </row>
    <row r="84">
      <c r="A84" t="str">
        <f>IFERROR(__xludf.DUMMYFUNCTION("""COMPUTED_VALUE"""),"309 Sacramento State")</f>
        <v>309 Sacramento State</v>
      </c>
      <c r="B84" t="str">
        <f>IFERROR(__xludf.DUMMYFUNCTION("""COMPUTED_VALUE"""),"+260")</f>
        <v>+260</v>
      </c>
      <c r="C84" t="str">
        <f>IFERROR(__xludf.DUMMYFUNCTION("""COMPUTED_VALUE"""),"+265 +")</f>
        <v>+265 +</v>
      </c>
      <c r="D84" t="str">
        <f>IFERROR(__xludf.DUMMYFUNCTION("""COMPUTED_VALUE"""),"N/A")</f>
        <v>N/A</v>
      </c>
      <c r="E84" t="str">
        <f>IFERROR(__xludf.DUMMYFUNCTION("""COMPUTED_VALUE"""),"+260 +")</f>
        <v>+260 +</v>
      </c>
      <c r="F84" t="str">
        <f>IFERROR(__xludf.DUMMYFUNCTION("""COMPUTED_VALUE"""),"+260 +")</f>
        <v>+260 +</v>
      </c>
      <c r="G84" t="str">
        <f>IFERROR(__xludf.DUMMYFUNCTION("""COMPUTED_VALUE"""),"+270 +")</f>
        <v>+270 +</v>
      </c>
      <c r="H84" t="str">
        <f>IFERROR(__xludf.DUMMYFUNCTION("""COMPUTED_VALUE"""),"+260 +")</f>
        <v>+260 +</v>
      </c>
      <c r="I84" t="str">
        <f>IFERROR(__xludf.DUMMYFUNCTION("""COMPUTED_VALUE"""),"+265 +")</f>
        <v>+265 +</v>
      </c>
      <c r="J84" t="str">
        <f>IFERROR(__xludf.DUMMYFUNCTION("""COMPUTED_VALUE"""),"+245 +")</f>
        <v>+245 +</v>
      </c>
      <c r="K84" t="str">
        <f>IFERROR(__xludf.DUMMYFUNCTION("""COMPUTED_VALUE"""),"+260")</f>
        <v>+260</v>
      </c>
    </row>
    <row r="85">
      <c r="A85" t="str">
        <f>IFERROR(__xludf.DUMMYFUNCTION("""COMPUTED_VALUE"""),"310 Eastern Michigan")</f>
        <v>310 Eastern Michigan</v>
      </c>
      <c r="B85">
        <f>IFERROR(__xludf.DUMMYFUNCTION("""COMPUTED_VALUE"""),-325.0)</f>
        <v>-325</v>
      </c>
      <c r="C85" t="str">
        <f>IFERROR(__xludf.DUMMYFUNCTION("""COMPUTED_VALUE"""),"-330 +")</f>
        <v>-330 +</v>
      </c>
      <c r="D85" t="str">
        <f>IFERROR(__xludf.DUMMYFUNCTION("""COMPUTED_VALUE"""),"N/A")</f>
        <v>N/A</v>
      </c>
      <c r="E85" t="str">
        <f>IFERROR(__xludf.DUMMYFUNCTION("""COMPUTED_VALUE"""),"-325 +")</f>
        <v>-325 +</v>
      </c>
      <c r="F85" t="str">
        <f>IFERROR(__xludf.DUMMYFUNCTION("""COMPUTED_VALUE"""),"-325 +")</f>
        <v>-325 +</v>
      </c>
      <c r="G85" t="str">
        <f>IFERROR(__xludf.DUMMYFUNCTION("""COMPUTED_VALUE"""),"-345 +")</f>
        <v>-345 +</v>
      </c>
      <c r="H85" t="str">
        <f>IFERROR(__xludf.DUMMYFUNCTION("""COMPUTED_VALUE"""),"-350 +")</f>
        <v>-350 +</v>
      </c>
      <c r="I85" t="str">
        <f>IFERROR(__xludf.DUMMYFUNCTION("""COMPUTED_VALUE"""),"-340 +")</f>
        <v>-340 +</v>
      </c>
      <c r="J85" t="str">
        <f>IFERROR(__xludf.DUMMYFUNCTION("""COMPUTED_VALUE"""),"-335 +")</f>
        <v>-335 +</v>
      </c>
      <c r="K85">
        <f>IFERROR(__xludf.DUMMYFUNCTION("""COMPUTED_VALUE"""),-325.0)</f>
        <v>-325</v>
      </c>
    </row>
    <row r="86">
      <c r="A86" t="str">
        <f>IFERROR(__xludf.DUMMYFUNCTION("""COMPUTED_VALUE"""),"- Matchup")</f>
        <v>- Matchup</v>
      </c>
    </row>
    <row r="87">
      <c r="B87" t="str">
        <f>IFERROR(__xludf.DUMMYFUNCTION("""COMPUTED_VALUE"""),"Open")</f>
        <v>Open</v>
      </c>
      <c r="C87" t="str">
        <f>IFERROR(__xludf.DUMMYFUNCTION("""COMPUTED_VALUE"""),"›")</f>
        <v>›</v>
      </c>
      <c r="D87" t="str">
        <f>IFERROR(__xludf.DUMMYFUNCTION("""COMPUTED_VALUE"""),"›")</f>
        <v>›</v>
      </c>
      <c r="E87" t="str">
        <f>IFERROR(__xludf.DUMMYFUNCTION("""COMPUTED_VALUE"""),"›")</f>
        <v>›</v>
      </c>
      <c r="F87" t="str">
        <f>IFERROR(__xludf.DUMMYFUNCTION("""COMPUTED_VALUE"""),"›")</f>
        <v>›</v>
      </c>
      <c r="G87" t="str">
        <f>IFERROR(__xludf.DUMMYFUNCTION("""COMPUTED_VALUE"""),"›")</f>
        <v>›</v>
      </c>
      <c r="H87" t="str">
        <f>IFERROR(__xludf.DUMMYFUNCTION("""COMPUTED_VALUE"""),"›")</f>
        <v>›</v>
      </c>
      <c r="I87" t="str">
        <f>IFERROR(__xludf.DUMMYFUNCTION("""COMPUTED_VALUE"""),"›")</f>
        <v>›</v>
      </c>
      <c r="J87" t="str">
        <f>IFERROR(__xludf.DUMMYFUNCTION("""COMPUTED_VALUE"""),"›")</f>
        <v>›</v>
      </c>
    </row>
    <row r="88">
      <c r="A88" t="str">
        <f>IFERROR(__xludf.DUMMYFUNCTION("""COMPUTED_VALUE"""),"307 New Mexico State")</f>
        <v>307 New Mexico State</v>
      </c>
      <c r="B88" t="str">
        <f>IFERROR(__xludf.DUMMYFUNCTION("""COMPUTED_VALUE"""),"+3000")</f>
        <v>+3000</v>
      </c>
      <c r="C88" t="str">
        <f>IFERROR(__xludf.DUMMYFUNCTION("""COMPUTED_VALUE"""),"N/A")</f>
        <v>N/A</v>
      </c>
      <c r="D88" t="str">
        <f>IFERROR(__xludf.DUMMYFUNCTION("""COMPUTED_VALUE"""),"N/A")</f>
        <v>N/A</v>
      </c>
      <c r="E88" t="str">
        <f>IFERROR(__xludf.DUMMYFUNCTION("""COMPUTED_VALUE"""),"+3000 +")</f>
        <v>+3000 +</v>
      </c>
      <c r="F88" t="str">
        <f>IFERROR(__xludf.DUMMYFUNCTION("""COMPUTED_VALUE"""),"+1800 +")</f>
        <v>+1800 +</v>
      </c>
      <c r="G88" t="str">
        <f>IFERROR(__xludf.DUMMYFUNCTION("""COMPUTED_VALUE"""),"+2800 +")</f>
        <v>+2800 +</v>
      </c>
      <c r="H88" t="str">
        <f>IFERROR(__xludf.DUMMYFUNCTION("""COMPUTED_VALUE"""),"+1750")</f>
        <v>+1750</v>
      </c>
      <c r="I88" t="str">
        <f>IFERROR(__xludf.DUMMYFUNCTION("""COMPUTED_VALUE"""),"+3000 +")</f>
        <v>+3000 +</v>
      </c>
      <c r="J88" t="str">
        <f>IFERROR(__xludf.DUMMYFUNCTION("""COMPUTED_VALUE"""),"N/A")</f>
        <v>N/A</v>
      </c>
      <c r="K88" t="str">
        <f>IFERROR(__xludf.DUMMYFUNCTION("""COMPUTED_VALUE"""),"+3000")</f>
        <v>+3000</v>
      </c>
    </row>
    <row r="89">
      <c r="A89" t="str">
        <f>IFERROR(__xludf.DUMMYFUNCTION("""COMPUTED_VALUE"""),"308 Florida State")</f>
        <v>308 Florida State</v>
      </c>
      <c r="B89">
        <f>IFERROR(__xludf.DUMMYFUNCTION("""COMPUTED_VALUE"""),-10000.0)</f>
        <v>-10000</v>
      </c>
      <c r="C89" t="str">
        <f>IFERROR(__xludf.DUMMYFUNCTION("""COMPUTED_VALUE"""),"N/A")</f>
        <v>N/A</v>
      </c>
      <c r="D89" t="str">
        <f>IFERROR(__xludf.DUMMYFUNCTION("""COMPUTED_VALUE"""),"N/A")</f>
        <v>N/A</v>
      </c>
      <c r="E89" t="str">
        <f>IFERROR(__xludf.DUMMYFUNCTION("""COMPUTED_VALUE"""),"-10000 +")</f>
        <v>-10000 +</v>
      </c>
      <c r="F89" t="str">
        <f>IFERROR(__xludf.DUMMYFUNCTION("""COMPUTED_VALUE"""),"-10000 +")</f>
        <v>-10000 +</v>
      </c>
      <c r="G89" t="str">
        <f>IFERROR(__xludf.DUMMYFUNCTION("""COMPUTED_VALUE"""),"-10000 +")</f>
        <v>-10000 +</v>
      </c>
      <c r="H89">
        <f>IFERROR(__xludf.DUMMYFUNCTION("""COMPUTED_VALUE"""),-8000.0)</f>
        <v>-8000</v>
      </c>
      <c r="I89" t="str">
        <f>IFERROR(__xludf.DUMMYFUNCTION("""COMPUTED_VALUE"""),"-10000 +")</f>
        <v>-10000 +</v>
      </c>
      <c r="J89" t="str">
        <f>IFERROR(__xludf.DUMMYFUNCTION("""COMPUTED_VALUE"""),"N/A")</f>
        <v>N/A</v>
      </c>
      <c r="K89">
        <f>IFERROR(__xludf.DUMMYFUNCTION("""COMPUTED_VALUE"""),-10000.0)</f>
        <v>-10000</v>
      </c>
    </row>
    <row r="90">
      <c r="A90" t="str">
        <f>IFERROR(__xludf.DUMMYFUNCTION("""COMPUTED_VALUE"""),"- Matchup")</f>
        <v>- Matchup</v>
      </c>
    </row>
    <row r="91">
      <c r="B91" t="str">
        <f>IFERROR(__xludf.DUMMYFUNCTION("""COMPUTED_VALUE"""),"Open")</f>
        <v>Open</v>
      </c>
      <c r="C91" t="str">
        <f>IFERROR(__xludf.DUMMYFUNCTION("""COMPUTED_VALUE"""),"›")</f>
        <v>›</v>
      </c>
      <c r="D91" t="str">
        <f>IFERROR(__xludf.DUMMYFUNCTION("""COMPUTED_VALUE"""),"›")</f>
        <v>›</v>
      </c>
      <c r="E91" t="str">
        <f>IFERROR(__xludf.DUMMYFUNCTION("""COMPUTED_VALUE"""),"›")</f>
        <v>›</v>
      </c>
      <c r="F91" t="str">
        <f>IFERROR(__xludf.DUMMYFUNCTION("""COMPUTED_VALUE"""),"›")</f>
        <v>›</v>
      </c>
      <c r="G91" t="str">
        <f>IFERROR(__xludf.DUMMYFUNCTION("""COMPUTED_VALUE"""),"›")</f>
        <v>›</v>
      </c>
      <c r="H91" t="str">
        <f>IFERROR(__xludf.DUMMYFUNCTION("""COMPUTED_VALUE"""),"›")</f>
        <v>›</v>
      </c>
      <c r="I91" t="str">
        <f>IFERROR(__xludf.DUMMYFUNCTION("""COMPUTED_VALUE"""),"›")</f>
        <v>›</v>
      </c>
      <c r="J91" t="str">
        <f>IFERROR(__xludf.DUMMYFUNCTION("""COMPUTED_VALUE"""),"›")</f>
        <v>›</v>
      </c>
    </row>
    <row r="92">
      <c r="A92" t="str">
        <f>IFERROR(__xludf.DUMMYFUNCTION("""COMPUTED_VALUE"""),"311 Hawai'i")</f>
        <v>311 Hawai'i</v>
      </c>
      <c r="B92" t="str">
        <f>IFERROR(__xludf.DUMMYFUNCTION("""COMPUTED_VALUE"""),"+145")</f>
        <v>+145</v>
      </c>
      <c r="C92" t="str">
        <f>IFERROR(__xludf.DUMMYFUNCTION("""COMPUTED_VALUE"""),"+160 +")</f>
        <v>+160 +</v>
      </c>
      <c r="D92" t="str">
        <f>IFERROR(__xludf.DUMMYFUNCTION("""COMPUTED_VALUE"""),"N/A")</f>
        <v>N/A</v>
      </c>
      <c r="E92" t="str">
        <f>IFERROR(__xludf.DUMMYFUNCTION("""COMPUTED_VALUE"""),"+160 +")</f>
        <v>+160 +</v>
      </c>
      <c r="F92" t="str">
        <f>IFERROR(__xludf.DUMMYFUNCTION("""COMPUTED_VALUE"""),"+161 +")</f>
        <v>+161 +</v>
      </c>
      <c r="G92" t="str">
        <f>IFERROR(__xludf.DUMMYFUNCTION("""COMPUTED_VALUE"""),"+162 +")</f>
        <v>+162 +</v>
      </c>
      <c r="H92" t="str">
        <f>IFERROR(__xludf.DUMMYFUNCTION("""COMPUTED_VALUE"""),"+135 +")</f>
        <v>+135 +</v>
      </c>
      <c r="I92" t="str">
        <f>IFERROR(__xludf.DUMMYFUNCTION("""COMPUTED_VALUE"""),"+160 +")</f>
        <v>+160 +</v>
      </c>
      <c r="J92" t="str">
        <f>IFERROR(__xludf.DUMMYFUNCTION("""COMPUTED_VALUE"""),"+155 +")</f>
        <v>+155 +</v>
      </c>
      <c r="K92" t="str">
        <f>IFERROR(__xludf.DUMMYFUNCTION("""COMPUTED_VALUE"""),"+160")</f>
        <v>+160</v>
      </c>
    </row>
    <row r="93">
      <c r="A93" t="str">
        <f>IFERROR(__xludf.DUMMYFUNCTION("""COMPUTED_VALUE"""),"312 Stanford")</f>
        <v>312 Stanford</v>
      </c>
      <c r="B93">
        <f>IFERROR(__xludf.DUMMYFUNCTION("""COMPUTED_VALUE"""),-175.0)</f>
        <v>-175</v>
      </c>
      <c r="C93" t="str">
        <f>IFERROR(__xludf.DUMMYFUNCTION("""COMPUTED_VALUE"""),"-190 +")</f>
        <v>-190 +</v>
      </c>
      <c r="D93" t="str">
        <f>IFERROR(__xludf.DUMMYFUNCTION("""COMPUTED_VALUE"""),"N/A")</f>
        <v>N/A</v>
      </c>
      <c r="E93" t="str">
        <f>IFERROR(__xludf.DUMMYFUNCTION("""COMPUTED_VALUE"""),"-192 +")</f>
        <v>-192 +</v>
      </c>
      <c r="F93" t="str">
        <f>IFERROR(__xludf.DUMMYFUNCTION("""COMPUTED_VALUE"""),"-193 +")</f>
        <v>-193 +</v>
      </c>
      <c r="G93" t="str">
        <f>IFERROR(__xludf.DUMMYFUNCTION("""COMPUTED_VALUE"""),"-196 +")</f>
        <v>-196 +</v>
      </c>
      <c r="H93" t="str">
        <f>IFERROR(__xludf.DUMMYFUNCTION("""COMPUTED_VALUE"""),"-220 +")</f>
        <v>-220 +</v>
      </c>
      <c r="I93" t="str">
        <f>IFERROR(__xludf.DUMMYFUNCTION("""COMPUTED_VALUE"""),"-195 +")</f>
        <v>-195 +</v>
      </c>
      <c r="J93" t="str">
        <f>IFERROR(__xludf.DUMMYFUNCTION("""COMPUTED_VALUE"""),"-195 +")</f>
        <v>-195 +</v>
      </c>
      <c r="K93">
        <f>IFERROR(__xludf.DUMMYFUNCTION("""COMPUTED_VALUE"""),-192.0)</f>
        <v>-192</v>
      </c>
    </row>
    <row r="94">
      <c r="A94" t="str">
        <f>IFERROR(__xludf.DUMMYFUNCTION("""COMPUTED_VALUE"""),"- Matchup")</f>
        <v>- Matchup</v>
      </c>
    </row>
    <row r="95">
      <c r="B95" t="str">
        <f>IFERROR(__xludf.DUMMYFUNCTION("""COMPUTED_VALUE"""),"Open")</f>
        <v>Open</v>
      </c>
      <c r="C95" t="str">
        <f>IFERROR(__xludf.DUMMYFUNCTION("""COMPUTED_VALUE"""),"›")</f>
        <v>›</v>
      </c>
      <c r="D95" t="str">
        <f>IFERROR(__xludf.DUMMYFUNCTION("""COMPUTED_VALUE"""),"›")</f>
        <v>›</v>
      </c>
      <c r="E95" t="str">
        <f>IFERROR(__xludf.DUMMYFUNCTION("""COMPUTED_VALUE"""),"›")</f>
        <v>›</v>
      </c>
      <c r="F95" t="str">
        <f>IFERROR(__xludf.DUMMYFUNCTION("""COMPUTED_VALUE"""),"›")</f>
        <v>›</v>
      </c>
      <c r="G95" t="str">
        <f>IFERROR(__xludf.DUMMYFUNCTION("""COMPUTED_VALUE"""),"›")</f>
        <v>›</v>
      </c>
      <c r="H95" t="str">
        <f>IFERROR(__xludf.DUMMYFUNCTION("""COMPUTED_VALUE"""),"›")</f>
        <v>›</v>
      </c>
      <c r="I95" t="str">
        <f>IFERROR(__xludf.DUMMYFUNCTION("""COMPUTED_VALUE"""),"›")</f>
        <v>›</v>
      </c>
      <c r="J95" t="str">
        <f>IFERROR(__xludf.DUMMYFUNCTION("""COMPUTED_VALUE"""),"›")</f>
        <v>›</v>
      </c>
    </row>
    <row r="96">
      <c r="A96" t="str">
        <f>IFERROR(__xludf.DUMMYFUNCTION("""COMPUTED_VALUE"""),"315 Memphis")</f>
        <v>315 Memphis</v>
      </c>
      <c r="B96" t="str">
        <f>IFERROR(__xludf.DUMMYFUNCTION("""COMPUTED_VALUE"""),"+145")</f>
        <v>+145</v>
      </c>
      <c r="C96" t="str">
        <f>IFERROR(__xludf.DUMMYFUNCTION("""COMPUTED_VALUE"""),"+175 +")</f>
        <v>+175 +</v>
      </c>
      <c r="D96" t="str">
        <f>IFERROR(__xludf.DUMMYFUNCTION("""COMPUTED_VALUE"""),"N/A")</f>
        <v>N/A</v>
      </c>
      <c r="E96" t="str">
        <f>IFERROR(__xludf.DUMMYFUNCTION("""COMPUTED_VALUE"""),"+164 +")</f>
        <v>+164 +</v>
      </c>
      <c r="F96" t="str">
        <f>IFERROR(__xludf.DUMMYFUNCTION("""COMPUTED_VALUE"""),"+178 +")</f>
        <v>+178 +</v>
      </c>
      <c r="G96" t="str">
        <f>IFERROR(__xludf.DUMMYFUNCTION("""COMPUTED_VALUE"""),"+188 +")</f>
        <v>+188 +</v>
      </c>
      <c r="H96" t="str">
        <f>IFERROR(__xludf.DUMMYFUNCTION("""COMPUTED_VALUE"""),"+180 +")</f>
        <v>+180 +</v>
      </c>
      <c r="I96" t="str">
        <f>IFERROR(__xludf.DUMMYFUNCTION("""COMPUTED_VALUE"""),"+175 +")</f>
        <v>+175 +</v>
      </c>
      <c r="J96" t="str">
        <f>IFERROR(__xludf.DUMMYFUNCTION("""COMPUTED_VALUE"""),"+175 +")</f>
        <v>+175 +</v>
      </c>
      <c r="K96" t="str">
        <f>IFERROR(__xludf.DUMMYFUNCTION("""COMPUTED_VALUE"""),"+164")</f>
        <v>+164</v>
      </c>
    </row>
    <row r="97">
      <c r="A97" t="str">
        <f>IFERROR(__xludf.DUMMYFUNCTION("""COMPUTED_VALUE"""),"316 UNLV")</f>
        <v>316 UNLV</v>
      </c>
      <c r="B97">
        <f>IFERROR(__xludf.DUMMYFUNCTION("""COMPUTED_VALUE"""),-175.0)</f>
        <v>-175</v>
      </c>
      <c r="C97" t="str">
        <f>IFERROR(__xludf.DUMMYFUNCTION("""COMPUTED_VALUE"""),"-210 +")</f>
        <v>-210 +</v>
      </c>
      <c r="D97" t="str">
        <f>IFERROR(__xludf.DUMMYFUNCTION("""COMPUTED_VALUE"""),"N/A")</f>
        <v>N/A</v>
      </c>
      <c r="E97" t="str">
        <f>IFERROR(__xludf.DUMMYFUNCTION("""COMPUTED_VALUE"""),"-198 +")</f>
        <v>-198 +</v>
      </c>
      <c r="F97" t="str">
        <f>IFERROR(__xludf.DUMMYFUNCTION("""COMPUTED_VALUE"""),"-215 +")</f>
        <v>-215 +</v>
      </c>
      <c r="G97" t="str">
        <f>IFERROR(__xludf.DUMMYFUNCTION("""COMPUTED_VALUE"""),"-230 +")</f>
        <v>-230 +</v>
      </c>
      <c r="H97" t="str">
        <f>IFERROR(__xludf.DUMMYFUNCTION("""COMPUTED_VALUE"""),"-230 +")</f>
        <v>-230 +</v>
      </c>
      <c r="I97" t="str">
        <f>IFERROR(__xludf.DUMMYFUNCTION("""COMPUTED_VALUE"""),"-215 +")</f>
        <v>-215 +</v>
      </c>
      <c r="J97" t="str">
        <f>IFERROR(__xludf.DUMMYFUNCTION("""COMPUTED_VALUE"""),"-225 +")</f>
        <v>-225 +</v>
      </c>
      <c r="K97">
        <f>IFERROR(__xludf.DUMMYFUNCTION("""COMPUTED_VALUE"""),-198.0)</f>
        <v>-198</v>
      </c>
    </row>
    <row r="98">
      <c r="A98" t="str">
        <f>IFERROR(__xludf.DUMMYFUNCTION("""COMPUTED_VALUE"""),"- Matchup")</f>
        <v>- Matchup</v>
      </c>
    </row>
  </sheetData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78" t="str">
        <f>'Picks by Player'!A1</f>
        <v>Gary</v>
      </c>
      <c r="B1" s="78" t="str">
        <f>'Picks by Player'!A1</f>
        <v>Gary</v>
      </c>
      <c r="C1" s="91" t="str">
        <f>'Picks by Player'!C1</f>
        <v>Josh R.</v>
      </c>
      <c r="D1" s="91" t="str">
        <f>'Picks by Player'!C1</f>
        <v>Josh R.</v>
      </c>
      <c r="E1" s="138" t="str">
        <f>'Picks by Player'!E1</f>
        <v>Jacob</v>
      </c>
      <c r="F1" s="138" t="str">
        <f>'Picks by Player'!E1</f>
        <v>Jacob</v>
      </c>
      <c r="G1" s="91" t="str">
        <f>'Picks by Player'!G1</f>
        <v>Brad</v>
      </c>
      <c r="H1" s="138" t="str">
        <f>'Picks by Player'!G1</f>
        <v>Brad</v>
      </c>
      <c r="I1" s="91" t="str">
        <f>'Picks by Player'!I1</f>
        <v>Nico</v>
      </c>
      <c r="J1" s="91" t="str">
        <f>'Picks by Player'!I1</f>
        <v>Nico</v>
      </c>
      <c r="K1" s="91" t="str">
        <f>'Picks by Player'!K1</f>
        <v>Vu</v>
      </c>
      <c r="L1" s="91" t="str">
        <f>'Picks by Player'!K1</f>
        <v>Vu</v>
      </c>
      <c r="M1" s="91" t="str">
        <f>'Picks by Player'!M1</f>
        <v>Josh T.</v>
      </c>
      <c r="N1" s="91" t="str">
        <f>'Picks by Player'!M1</f>
        <v>Josh T.</v>
      </c>
      <c r="O1" s="91" t="str">
        <f>'Picks by Player'!O1</f>
        <v>Justin</v>
      </c>
      <c r="P1" s="91" t="str">
        <f>'Picks by Player'!O1</f>
        <v>Justin</v>
      </c>
      <c r="Q1" s="91" t="str">
        <f>'Picks by Player'!Q1</f>
        <v>Frank</v>
      </c>
      <c r="R1" s="91" t="str">
        <f>'Picks by Player'!Q1</f>
        <v>Frank</v>
      </c>
      <c r="S1" s="91" t="str">
        <f>'Picks by Player'!S1</f>
        <v>Nick A.</v>
      </c>
      <c r="T1" s="91" t="str">
        <f>'Picks by Player'!S1</f>
        <v>Nick A.</v>
      </c>
    </row>
    <row r="2">
      <c r="A2" t="str">
        <f t="array" ref="A2:A125">if(DraftTracker!$D:$D=A1,DraftTracker!$E:$E,"")</f>
        <v/>
      </c>
      <c r="B2" t="str">
        <f t="array" ref="B2:B125">if(DraftTracker!$D:$D=B1,DraftTracker!$F:$F,"")</f>
        <v/>
      </c>
      <c r="C2" t="str">
        <f t="array" ref="C2:C125">if(DraftTracker!$D:$D=C1,DraftTracker!$E:$E,"")</f>
        <v/>
      </c>
      <c r="D2" t="str">
        <f t="array" ref="D2:D125">if(DraftTracker!$D:$D=D1,DraftTracker!$F:$F,"")</f>
        <v/>
      </c>
      <c r="E2" t="str">
        <f t="array" ref="E2:E125">if(DraftTracker!$D:$D=E1,DraftTracker!$E:$E,"")</f>
        <v/>
      </c>
      <c r="F2" t="str">
        <f t="array" ref="F2:F125">if(DraftTracker!$D:$D=F1,DraftTracker!$F:$F,"")</f>
        <v/>
      </c>
      <c r="G2" t="str">
        <f t="array" ref="G2:G125">if(DraftTracker!$D:$D=G1,DraftTracker!$E:$E,"")</f>
        <v/>
      </c>
      <c r="H2" t="str">
        <f t="array" ref="H2:H125">if(DraftTracker!$D:$D=H1,DraftTracker!$F:$F,"")</f>
        <v/>
      </c>
      <c r="I2" t="str">
        <f t="array" ref="I2:I125">if(DraftTracker!$D:$D=I1,DraftTracker!$E:$E,"")</f>
        <v/>
      </c>
      <c r="J2" t="str">
        <f t="array" ref="J2:J125">if(DraftTracker!$D:$D=J1,DraftTracker!$F:$F,"")</f>
        <v/>
      </c>
      <c r="K2" t="str">
        <f t="array" ref="K2:K125">if(DraftTracker!$D:$D=K1,DraftTracker!$E:$E,"")</f>
        <v/>
      </c>
      <c r="L2" t="str">
        <f t="array" ref="L2:L125">if(DraftTracker!$D:$D=L1,DraftTracker!$F:$F,"")</f>
        <v/>
      </c>
      <c r="M2" t="str">
        <f t="array" ref="M2:M125">if(DraftTracker!$D:$D=M1,DraftTracker!$E:$E,"")</f>
        <v/>
      </c>
      <c r="N2" t="str">
        <f t="array" ref="N2:N125">if(DraftTracker!$D:$D=N1,DraftTracker!$F:$F,"")</f>
        <v/>
      </c>
      <c r="O2" t="str">
        <f t="array" ref="O2:O125">if(DraftTracker!$D:$D=O1,DraftTracker!$E:$E,"")</f>
        <v/>
      </c>
      <c r="P2" t="str">
        <f t="array" ref="P2:P125">if(DraftTracker!$D:$D=P1,DraftTracker!$F:$F,"")</f>
        <v/>
      </c>
      <c r="Q2" t="str">
        <f t="array" ref="Q2:Q125">if(DraftTracker!$D:$D=Q1,DraftTracker!$E:$E,"")</f>
        <v/>
      </c>
      <c r="R2" t="str">
        <f t="array" ref="R2:R125">if(DraftTracker!$D:$D=R1,DraftTracker!$F:$F,"")</f>
        <v/>
      </c>
      <c r="S2" t="str">
        <f t="array" ref="S2:S125">if(DraftTracker!$D:$D=S1,DraftTracker!$E:$E,"")</f>
        <v/>
      </c>
      <c r="T2" t="str">
        <f t="array" ref="T2:T125">if(DraftTracker!$D:$D=T1,DraftTracker!$F:$F,"")</f>
        <v/>
      </c>
    </row>
    <row r="3">
      <c r="A3" t="s">
        <v>11</v>
      </c>
      <c r="B3" t="s">
        <v>10</v>
      </c>
      <c r="C3" t="s">
        <v>642</v>
      </c>
      <c r="D3" t="s">
        <v>642</v>
      </c>
      <c r="E3" t="s">
        <v>642</v>
      </c>
      <c r="F3" t="s">
        <v>642</v>
      </c>
      <c r="G3" t="s">
        <v>642</v>
      </c>
      <c r="H3" t="s">
        <v>642</v>
      </c>
      <c r="I3" t="s">
        <v>642</v>
      </c>
      <c r="J3" t="s">
        <v>642</v>
      </c>
      <c r="K3" t="s">
        <v>642</v>
      </c>
      <c r="L3" t="s">
        <v>642</v>
      </c>
      <c r="M3" t="s">
        <v>642</v>
      </c>
      <c r="N3" t="s">
        <v>642</v>
      </c>
      <c r="O3" t="s">
        <v>642</v>
      </c>
      <c r="P3" t="s">
        <v>642</v>
      </c>
      <c r="Q3" t="s">
        <v>642</v>
      </c>
      <c r="R3" t="s">
        <v>642</v>
      </c>
      <c r="S3" t="s">
        <v>642</v>
      </c>
      <c r="T3" t="s">
        <v>642</v>
      </c>
    </row>
    <row r="4">
      <c r="A4" t="s">
        <v>642</v>
      </c>
      <c r="B4" t="s">
        <v>642</v>
      </c>
      <c r="C4" t="s">
        <v>24</v>
      </c>
      <c r="D4" t="s">
        <v>23</v>
      </c>
      <c r="E4" t="s">
        <v>642</v>
      </c>
      <c r="F4" t="s">
        <v>642</v>
      </c>
      <c r="G4" t="s">
        <v>642</v>
      </c>
      <c r="H4" t="s">
        <v>642</v>
      </c>
      <c r="I4" t="s">
        <v>642</v>
      </c>
      <c r="J4" t="s">
        <v>642</v>
      </c>
      <c r="K4" t="s">
        <v>642</v>
      </c>
      <c r="L4" t="s">
        <v>642</v>
      </c>
      <c r="M4" t="s">
        <v>642</v>
      </c>
      <c r="N4" t="s">
        <v>642</v>
      </c>
      <c r="O4" t="s">
        <v>642</v>
      </c>
      <c r="P4" t="s">
        <v>642</v>
      </c>
      <c r="Q4" t="s">
        <v>642</v>
      </c>
      <c r="R4" t="s">
        <v>642</v>
      </c>
      <c r="S4" t="s">
        <v>642</v>
      </c>
      <c r="T4" t="s">
        <v>642</v>
      </c>
    </row>
    <row r="5">
      <c r="A5" t="s">
        <v>642</v>
      </c>
      <c r="B5" t="s">
        <v>642</v>
      </c>
      <c r="C5" t="s">
        <v>642</v>
      </c>
      <c r="D5" t="s">
        <v>642</v>
      </c>
      <c r="E5" t="s">
        <v>27</v>
      </c>
      <c r="F5" t="s">
        <v>26</v>
      </c>
      <c r="G5" t="s">
        <v>642</v>
      </c>
      <c r="H5" t="s">
        <v>642</v>
      </c>
      <c r="I5" t="s">
        <v>642</v>
      </c>
      <c r="J5" t="s">
        <v>642</v>
      </c>
      <c r="K5" t="s">
        <v>642</v>
      </c>
      <c r="L5" t="s">
        <v>642</v>
      </c>
      <c r="M5" t="s">
        <v>642</v>
      </c>
      <c r="N5" t="s">
        <v>642</v>
      </c>
      <c r="O5" t="s">
        <v>642</v>
      </c>
      <c r="P5" t="s">
        <v>642</v>
      </c>
      <c r="Q5" t="s">
        <v>642</v>
      </c>
      <c r="R5" t="s">
        <v>642</v>
      </c>
      <c r="S5" t="s">
        <v>642</v>
      </c>
      <c r="T5" t="s">
        <v>642</v>
      </c>
    </row>
    <row r="6">
      <c r="A6" t="s">
        <v>642</v>
      </c>
      <c r="B6" t="s">
        <v>642</v>
      </c>
      <c r="C6" t="s">
        <v>642</v>
      </c>
      <c r="D6" t="s">
        <v>642</v>
      </c>
      <c r="E6" t="s">
        <v>642</v>
      </c>
      <c r="F6" t="s">
        <v>642</v>
      </c>
      <c r="G6" t="s">
        <v>29</v>
      </c>
      <c r="H6" t="s">
        <v>28</v>
      </c>
      <c r="I6" t="s">
        <v>642</v>
      </c>
      <c r="J6" t="s">
        <v>642</v>
      </c>
      <c r="K6" t="s">
        <v>642</v>
      </c>
      <c r="L6" t="s">
        <v>642</v>
      </c>
      <c r="M6" t="s">
        <v>642</v>
      </c>
      <c r="N6" t="s">
        <v>642</v>
      </c>
      <c r="O6" t="s">
        <v>642</v>
      </c>
      <c r="P6" t="s">
        <v>642</v>
      </c>
      <c r="Q6" t="s">
        <v>642</v>
      </c>
      <c r="R6" t="s">
        <v>642</v>
      </c>
      <c r="S6" t="s">
        <v>642</v>
      </c>
      <c r="T6" t="s">
        <v>642</v>
      </c>
    </row>
    <row r="7">
      <c r="A7" t="s">
        <v>642</v>
      </c>
      <c r="B7" t="s">
        <v>642</v>
      </c>
      <c r="C7" t="s">
        <v>642</v>
      </c>
      <c r="D7" t="s">
        <v>642</v>
      </c>
      <c r="E7" t="s">
        <v>642</v>
      </c>
      <c r="F7" t="s">
        <v>642</v>
      </c>
      <c r="G7" t="s">
        <v>642</v>
      </c>
      <c r="H7" t="s">
        <v>642</v>
      </c>
      <c r="I7" t="s">
        <v>393</v>
      </c>
      <c r="J7" t="s">
        <v>230</v>
      </c>
      <c r="K7" t="s">
        <v>642</v>
      </c>
      <c r="L7" t="s">
        <v>642</v>
      </c>
      <c r="M7" t="s">
        <v>642</v>
      </c>
      <c r="N7" t="s">
        <v>642</v>
      </c>
      <c r="O7" t="s">
        <v>642</v>
      </c>
      <c r="P7" t="s">
        <v>642</v>
      </c>
      <c r="Q7" t="s">
        <v>642</v>
      </c>
      <c r="R7" t="s">
        <v>642</v>
      </c>
      <c r="S7" t="s">
        <v>642</v>
      </c>
      <c r="T7" t="s">
        <v>642</v>
      </c>
    </row>
    <row r="8">
      <c r="A8" t="s">
        <v>642</v>
      </c>
      <c r="B8" t="s">
        <v>642</v>
      </c>
      <c r="C8" t="s">
        <v>642</v>
      </c>
      <c r="D8" t="s">
        <v>642</v>
      </c>
      <c r="E8" t="s">
        <v>642</v>
      </c>
      <c r="F8" t="s">
        <v>642</v>
      </c>
      <c r="G8" t="s">
        <v>642</v>
      </c>
      <c r="H8" t="s">
        <v>642</v>
      </c>
      <c r="I8" t="s">
        <v>642</v>
      </c>
      <c r="J8" t="s">
        <v>642</v>
      </c>
      <c r="K8" t="s">
        <v>11</v>
      </c>
      <c r="L8" t="s">
        <v>382</v>
      </c>
      <c r="M8" t="s">
        <v>642</v>
      </c>
      <c r="N8" t="s">
        <v>642</v>
      </c>
      <c r="O8" t="s">
        <v>642</v>
      </c>
      <c r="P8" t="s">
        <v>642</v>
      </c>
      <c r="Q8" t="s">
        <v>642</v>
      </c>
      <c r="R8" t="s">
        <v>642</v>
      </c>
      <c r="S8" t="s">
        <v>642</v>
      </c>
      <c r="T8" t="s">
        <v>642</v>
      </c>
    </row>
    <row r="9">
      <c r="A9" t="s">
        <v>642</v>
      </c>
      <c r="B9" t="s">
        <v>642</v>
      </c>
      <c r="C9" t="s">
        <v>642</v>
      </c>
      <c r="D9" t="s">
        <v>642</v>
      </c>
      <c r="E9" t="s">
        <v>642</v>
      </c>
      <c r="F9" t="s">
        <v>642</v>
      </c>
      <c r="G9" t="s">
        <v>642</v>
      </c>
      <c r="H9" t="s">
        <v>642</v>
      </c>
      <c r="I9" t="s">
        <v>642</v>
      </c>
      <c r="J9" t="s">
        <v>642</v>
      </c>
      <c r="K9" t="s">
        <v>642</v>
      </c>
      <c r="L9" t="s">
        <v>642</v>
      </c>
      <c r="M9" t="s">
        <v>27</v>
      </c>
      <c r="N9" t="s">
        <v>400</v>
      </c>
      <c r="O9" t="s">
        <v>642</v>
      </c>
      <c r="P9" t="s">
        <v>642</v>
      </c>
      <c r="Q9" t="s">
        <v>642</v>
      </c>
      <c r="R9" t="s">
        <v>642</v>
      </c>
      <c r="S9" t="s">
        <v>642</v>
      </c>
      <c r="T9" t="s">
        <v>642</v>
      </c>
    </row>
    <row r="10">
      <c r="A10" t="s">
        <v>642</v>
      </c>
      <c r="B10" t="s">
        <v>642</v>
      </c>
      <c r="C10" t="s">
        <v>642</v>
      </c>
      <c r="D10" t="s">
        <v>642</v>
      </c>
      <c r="E10" t="s">
        <v>642</v>
      </c>
      <c r="F10" t="s">
        <v>642</v>
      </c>
      <c r="G10" t="s">
        <v>642</v>
      </c>
      <c r="H10" t="s">
        <v>642</v>
      </c>
      <c r="I10" t="s">
        <v>642</v>
      </c>
      <c r="J10" t="s">
        <v>642</v>
      </c>
      <c r="K10" t="s">
        <v>642</v>
      </c>
      <c r="L10" t="s">
        <v>642</v>
      </c>
      <c r="M10" t="s">
        <v>642</v>
      </c>
      <c r="N10" t="s">
        <v>642</v>
      </c>
      <c r="O10" t="s">
        <v>407</v>
      </c>
      <c r="P10" t="s">
        <v>406</v>
      </c>
      <c r="Q10" t="s">
        <v>642</v>
      </c>
      <c r="R10" t="s">
        <v>642</v>
      </c>
      <c r="S10" t="s">
        <v>642</v>
      </c>
      <c r="T10" t="s">
        <v>642</v>
      </c>
    </row>
    <row r="11">
      <c r="A11" t="s">
        <v>642</v>
      </c>
      <c r="B11" t="s">
        <v>642</v>
      </c>
      <c r="C11" t="s">
        <v>642</v>
      </c>
      <c r="D11" t="s">
        <v>642</v>
      </c>
      <c r="E11" t="s">
        <v>642</v>
      </c>
      <c r="F11" t="s">
        <v>642</v>
      </c>
      <c r="G11" t="s">
        <v>642</v>
      </c>
      <c r="H11" t="s">
        <v>642</v>
      </c>
      <c r="I11" t="s">
        <v>642</v>
      </c>
      <c r="J11" t="s">
        <v>642</v>
      </c>
      <c r="K11" t="s">
        <v>642</v>
      </c>
      <c r="L11" t="s">
        <v>642</v>
      </c>
      <c r="M11" t="s">
        <v>642</v>
      </c>
      <c r="N11" t="s">
        <v>642</v>
      </c>
      <c r="O11" t="s">
        <v>642</v>
      </c>
      <c r="P11" t="s">
        <v>642</v>
      </c>
      <c r="Q11" t="s">
        <v>413</v>
      </c>
      <c r="R11" t="s">
        <v>412</v>
      </c>
      <c r="S11" t="s">
        <v>642</v>
      </c>
      <c r="T11" t="s">
        <v>642</v>
      </c>
    </row>
    <row r="12">
      <c r="A12" t="s">
        <v>642</v>
      </c>
      <c r="B12" t="s">
        <v>642</v>
      </c>
      <c r="C12" t="s">
        <v>642</v>
      </c>
      <c r="D12" t="s">
        <v>642</v>
      </c>
      <c r="E12" t="s">
        <v>642</v>
      </c>
      <c r="F12" t="s">
        <v>642</v>
      </c>
      <c r="G12" t="s">
        <v>642</v>
      </c>
      <c r="H12" t="s">
        <v>642</v>
      </c>
      <c r="I12" t="s">
        <v>642</v>
      </c>
      <c r="J12" t="s">
        <v>642</v>
      </c>
      <c r="K12" t="s">
        <v>642</v>
      </c>
      <c r="L12" t="s">
        <v>642</v>
      </c>
      <c r="M12" t="s">
        <v>642</v>
      </c>
      <c r="N12" t="s">
        <v>642</v>
      </c>
      <c r="O12" t="s">
        <v>642</v>
      </c>
      <c r="P12" t="s">
        <v>642</v>
      </c>
      <c r="Q12" t="s">
        <v>642</v>
      </c>
      <c r="R12" t="s">
        <v>642</v>
      </c>
      <c r="S12" t="s">
        <v>29</v>
      </c>
      <c r="T12" t="s">
        <v>419</v>
      </c>
    </row>
    <row r="13">
      <c r="A13" t="s">
        <v>642</v>
      </c>
      <c r="B13" t="s">
        <v>642</v>
      </c>
      <c r="C13" t="s">
        <v>642</v>
      </c>
      <c r="D13" t="s">
        <v>642</v>
      </c>
      <c r="E13" t="s">
        <v>642</v>
      </c>
      <c r="F13" t="s">
        <v>642</v>
      </c>
      <c r="G13" t="s">
        <v>642</v>
      </c>
      <c r="H13" t="s">
        <v>642</v>
      </c>
      <c r="I13" t="s">
        <v>642</v>
      </c>
      <c r="J13" t="s">
        <v>642</v>
      </c>
      <c r="K13" t="s">
        <v>642</v>
      </c>
      <c r="L13" t="s">
        <v>642</v>
      </c>
      <c r="M13" t="s">
        <v>642</v>
      </c>
      <c r="N13" t="s">
        <v>642</v>
      </c>
      <c r="O13" t="s">
        <v>642</v>
      </c>
      <c r="P13" t="s">
        <v>642</v>
      </c>
      <c r="Q13" t="s">
        <v>642</v>
      </c>
      <c r="R13" t="s">
        <v>642</v>
      </c>
      <c r="S13" t="s">
        <v>407</v>
      </c>
      <c r="T13" t="s">
        <v>423</v>
      </c>
    </row>
    <row r="14">
      <c r="A14" t="s">
        <v>642</v>
      </c>
      <c r="B14" t="s">
        <v>642</v>
      </c>
      <c r="C14" t="s">
        <v>642</v>
      </c>
      <c r="D14" t="s">
        <v>642</v>
      </c>
      <c r="E14" t="s">
        <v>642</v>
      </c>
      <c r="F14" t="s">
        <v>642</v>
      </c>
      <c r="G14" t="s">
        <v>642</v>
      </c>
      <c r="H14" t="s">
        <v>642</v>
      </c>
      <c r="I14" t="s">
        <v>642</v>
      </c>
      <c r="J14" t="s">
        <v>642</v>
      </c>
      <c r="K14" t="s">
        <v>642</v>
      </c>
      <c r="L14" t="s">
        <v>642</v>
      </c>
      <c r="M14" t="s">
        <v>642</v>
      </c>
      <c r="N14" t="s">
        <v>642</v>
      </c>
      <c r="O14" t="s">
        <v>642</v>
      </c>
      <c r="P14" t="s">
        <v>642</v>
      </c>
      <c r="Q14" t="s">
        <v>27</v>
      </c>
      <c r="R14" t="s">
        <v>430</v>
      </c>
      <c r="S14" t="s">
        <v>642</v>
      </c>
      <c r="T14" t="s">
        <v>642</v>
      </c>
    </row>
    <row r="15">
      <c r="A15" t="s">
        <v>642</v>
      </c>
      <c r="B15" t="s">
        <v>642</v>
      </c>
      <c r="C15" t="s">
        <v>642</v>
      </c>
      <c r="D15" t="s">
        <v>642</v>
      </c>
      <c r="E15" t="s">
        <v>642</v>
      </c>
      <c r="F15" t="s">
        <v>642</v>
      </c>
      <c r="G15" t="s">
        <v>642</v>
      </c>
      <c r="H15" t="s">
        <v>642</v>
      </c>
      <c r="I15" t="s">
        <v>642</v>
      </c>
      <c r="J15" t="s">
        <v>642</v>
      </c>
      <c r="K15" t="s">
        <v>642</v>
      </c>
      <c r="L15" t="s">
        <v>642</v>
      </c>
      <c r="M15" t="s">
        <v>642</v>
      </c>
      <c r="N15" t="s">
        <v>642</v>
      </c>
      <c r="O15" t="s">
        <v>29</v>
      </c>
      <c r="P15" t="s">
        <v>411</v>
      </c>
      <c r="Q15" t="s">
        <v>642</v>
      </c>
      <c r="R15" t="s">
        <v>642</v>
      </c>
      <c r="S15" t="s">
        <v>642</v>
      </c>
      <c r="T15" t="s">
        <v>642</v>
      </c>
    </row>
    <row r="16">
      <c r="A16" t="s">
        <v>642</v>
      </c>
      <c r="B16" t="s">
        <v>642</v>
      </c>
      <c r="C16" t="s">
        <v>642</v>
      </c>
      <c r="D16" t="s">
        <v>642</v>
      </c>
      <c r="E16" t="s">
        <v>642</v>
      </c>
      <c r="F16" t="s">
        <v>642</v>
      </c>
      <c r="G16" t="s">
        <v>642</v>
      </c>
      <c r="H16" t="s">
        <v>642</v>
      </c>
      <c r="I16" t="s">
        <v>642</v>
      </c>
      <c r="J16" t="s">
        <v>642</v>
      </c>
      <c r="K16" t="s">
        <v>642</v>
      </c>
      <c r="L16" t="s">
        <v>642</v>
      </c>
      <c r="M16" t="s">
        <v>11</v>
      </c>
      <c r="N16" t="s">
        <v>383</v>
      </c>
      <c r="O16" t="s">
        <v>642</v>
      </c>
      <c r="P16" t="s">
        <v>642</v>
      </c>
      <c r="Q16" t="s">
        <v>642</v>
      </c>
      <c r="R16" t="s">
        <v>642</v>
      </c>
      <c r="S16" t="s">
        <v>642</v>
      </c>
      <c r="T16" t="s">
        <v>642</v>
      </c>
    </row>
    <row r="17">
      <c r="A17" t="s">
        <v>642</v>
      </c>
      <c r="B17" t="s">
        <v>642</v>
      </c>
      <c r="C17" t="s">
        <v>642</v>
      </c>
      <c r="D17" t="s">
        <v>642</v>
      </c>
      <c r="E17" t="s">
        <v>642</v>
      </c>
      <c r="F17" t="s">
        <v>642</v>
      </c>
      <c r="G17" t="s">
        <v>642</v>
      </c>
      <c r="H17" t="s">
        <v>642</v>
      </c>
      <c r="I17" t="s">
        <v>642</v>
      </c>
      <c r="J17" t="s">
        <v>642</v>
      </c>
      <c r="K17" t="s">
        <v>393</v>
      </c>
      <c r="L17" t="s">
        <v>388</v>
      </c>
      <c r="M17" t="s">
        <v>642</v>
      </c>
      <c r="N17" t="s">
        <v>642</v>
      </c>
      <c r="O17" t="s">
        <v>642</v>
      </c>
      <c r="P17" t="s">
        <v>642</v>
      </c>
      <c r="Q17" t="s">
        <v>642</v>
      </c>
      <c r="R17" t="s">
        <v>642</v>
      </c>
      <c r="S17" t="s">
        <v>642</v>
      </c>
      <c r="T17" t="s">
        <v>642</v>
      </c>
    </row>
    <row r="18">
      <c r="A18" t="s">
        <v>642</v>
      </c>
      <c r="B18" t="s">
        <v>642</v>
      </c>
      <c r="C18" t="s">
        <v>642</v>
      </c>
      <c r="D18" t="s">
        <v>642</v>
      </c>
      <c r="E18" t="s">
        <v>642</v>
      </c>
      <c r="F18" t="s">
        <v>642</v>
      </c>
      <c r="G18" t="s">
        <v>642</v>
      </c>
      <c r="H18" t="s">
        <v>642</v>
      </c>
      <c r="I18" t="s">
        <v>456</v>
      </c>
      <c r="J18" t="s">
        <v>327</v>
      </c>
      <c r="K18" t="s">
        <v>642</v>
      </c>
      <c r="L18" t="s">
        <v>642</v>
      </c>
      <c r="M18" t="s">
        <v>642</v>
      </c>
      <c r="N18" t="s">
        <v>642</v>
      </c>
      <c r="O18" t="s">
        <v>642</v>
      </c>
      <c r="P18" t="s">
        <v>642</v>
      </c>
      <c r="Q18" t="s">
        <v>642</v>
      </c>
      <c r="R18" t="s">
        <v>642</v>
      </c>
      <c r="S18" t="s">
        <v>642</v>
      </c>
      <c r="T18" t="s">
        <v>642</v>
      </c>
    </row>
    <row r="19">
      <c r="A19" t="s">
        <v>642</v>
      </c>
      <c r="B19" t="s">
        <v>642</v>
      </c>
      <c r="C19" t="s">
        <v>642</v>
      </c>
      <c r="D19" t="s">
        <v>642</v>
      </c>
      <c r="E19" t="s">
        <v>642</v>
      </c>
      <c r="F19" t="s">
        <v>642</v>
      </c>
      <c r="G19" t="s">
        <v>464</v>
      </c>
      <c r="H19" t="s">
        <v>198</v>
      </c>
      <c r="I19" t="s">
        <v>642</v>
      </c>
      <c r="J19" t="s">
        <v>642</v>
      </c>
      <c r="K19" t="s">
        <v>642</v>
      </c>
      <c r="L19" t="s">
        <v>642</v>
      </c>
      <c r="M19" t="s">
        <v>642</v>
      </c>
      <c r="N19" t="s">
        <v>642</v>
      </c>
      <c r="O19" t="s">
        <v>642</v>
      </c>
      <c r="P19" t="s">
        <v>642</v>
      </c>
      <c r="Q19" t="s">
        <v>642</v>
      </c>
      <c r="R19" t="s">
        <v>642</v>
      </c>
      <c r="S19" t="s">
        <v>642</v>
      </c>
      <c r="T19" t="s">
        <v>642</v>
      </c>
    </row>
    <row r="20">
      <c r="A20" t="s">
        <v>642</v>
      </c>
      <c r="B20" t="s">
        <v>642</v>
      </c>
      <c r="C20" t="s">
        <v>642</v>
      </c>
      <c r="D20" t="s">
        <v>642</v>
      </c>
      <c r="E20" t="s">
        <v>464</v>
      </c>
      <c r="F20" t="s">
        <v>182</v>
      </c>
      <c r="G20" t="s">
        <v>642</v>
      </c>
      <c r="H20" t="s">
        <v>642</v>
      </c>
      <c r="I20" t="s">
        <v>642</v>
      </c>
      <c r="J20" t="s">
        <v>642</v>
      </c>
      <c r="K20" t="s">
        <v>642</v>
      </c>
      <c r="L20" t="s">
        <v>642</v>
      </c>
      <c r="M20" t="s">
        <v>642</v>
      </c>
      <c r="N20" t="s">
        <v>642</v>
      </c>
      <c r="O20" t="s">
        <v>642</v>
      </c>
      <c r="P20" t="s">
        <v>642</v>
      </c>
      <c r="Q20" t="s">
        <v>642</v>
      </c>
      <c r="R20" t="s">
        <v>642</v>
      </c>
      <c r="S20" t="s">
        <v>642</v>
      </c>
      <c r="T20" t="s">
        <v>642</v>
      </c>
    </row>
    <row r="21">
      <c r="A21" t="s">
        <v>642</v>
      </c>
      <c r="B21" t="s">
        <v>642</v>
      </c>
      <c r="C21" t="s">
        <v>393</v>
      </c>
      <c r="D21" t="s">
        <v>144</v>
      </c>
      <c r="E21" t="s">
        <v>642</v>
      </c>
      <c r="F21" t="s">
        <v>642</v>
      </c>
      <c r="G21" t="s">
        <v>642</v>
      </c>
      <c r="H21" t="s">
        <v>642</v>
      </c>
      <c r="I21" t="s">
        <v>642</v>
      </c>
      <c r="J21" t="s">
        <v>642</v>
      </c>
      <c r="K21" t="s">
        <v>642</v>
      </c>
      <c r="L21" t="s">
        <v>642</v>
      </c>
      <c r="M21" t="s">
        <v>642</v>
      </c>
      <c r="N21" t="s">
        <v>642</v>
      </c>
      <c r="O21" t="s">
        <v>642</v>
      </c>
      <c r="P21" t="s">
        <v>642</v>
      </c>
      <c r="Q21" t="s">
        <v>642</v>
      </c>
      <c r="R21" t="s">
        <v>642</v>
      </c>
      <c r="S21" t="s">
        <v>642</v>
      </c>
      <c r="T21" t="s">
        <v>642</v>
      </c>
    </row>
    <row r="22">
      <c r="A22" t="s">
        <v>29</v>
      </c>
      <c r="B22" t="s">
        <v>100</v>
      </c>
      <c r="C22" t="s">
        <v>642</v>
      </c>
      <c r="D22" t="s">
        <v>642</v>
      </c>
      <c r="E22" t="s">
        <v>642</v>
      </c>
      <c r="F22" t="s">
        <v>642</v>
      </c>
      <c r="G22" t="s">
        <v>642</v>
      </c>
      <c r="H22" t="s">
        <v>642</v>
      </c>
      <c r="I22" t="s">
        <v>642</v>
      </c>
      <c r="J22" t="s">
        <v>642</v>
      </c>
      <c r="K22" t="s">
        <v>642</v>
      </c>
      <c r="L22" t="s">
        <v>642</v>
      </c>
      <c r="M22" t="s">
        <v>642</v>
      </c>
      <c r="N22" t="s">
        <v>642</v>
      </c>
      <c r="O22" t="s">
        <v>642</v>
      </c>
      <c r="P22" t="s">
        <v>642</v>
      </c>
      <c r="Q22" t="s">
        <v>642</v>
      </c>
      <c r="R22" t="s">
        <v>642</v>
      </c>
      <c r="S22" t="s">
        <v>642</v>
      </c>
      <c r="T22" t="s">
        <v>642</v>
      </c>
    </row>
    <row r="23">
      <c r="A23" t="s">
        <v>407</v>
      </c>
      <c r="B23" t="s">
        <v>123</v>
      </c>
      <c r="C23" t="s">
        <v>642</v>
      </c>
      <c r="D23" t="s">
        <v>642</v>
      </c>
      <c r="E23" t="s">
        <v>642</v>
      </c>
      <c r="F23" t="s">
        <v>642</v>
      </c>
      <c r="G23" t="s">
        <v>642</v>
      </c>
      <c r="H23" t="s">
        <v>642</v>
      </c>
      <c r="I23" t="s">
        <v>642</v>
      </c>
      <c r="J23" t="s">
        <v>642</v>
      </c>
      <c r="K23" t="s">
        <v>642</v>
      </c>
      <c r="L23" t="s">
        <v>642</v>
      </c>
      <c r="M23" t="s">
        <v>642</v>
      </c>
      <c r="N23" t="s">
        <v>642</v>
      </c>
      <c r="O23" t="s">
        <v>642</v>
      </c>
      <c r="P23" t="s">
        <v>642</v>
      </c>
      <c r="Q23" t="s">
        <v>642</v>
      </c>
      <c r="R23" t="s">
        <v>642</v>
      </c>
      <c r="S23" t="s">
        <v>642</v>
      </c>
      <c r="T23" t="s">
        <v>642</v>
      </c>
    </row>
    <row r="24">
      <c r="A24" t="s">
        <v>642</v>
      </c>
      <c r="B24" t="s">
        <v>642</v>
      </c>
      <c r="C24" t="s">
        <v>29</v>
      </c>
      <c r="D24" t="s">
        <v>150</v>
      </c>
      <c r="E24" t="s">
        <v>642</v>
      </c>
      <c r="F24" t="s">
        <v>642</v>
      </c>
      <c r="G24" t="s">
        <v>642</v>
      </c>
      <c r="H24" t="s">
        <v>642</v>
      </c>
      <c r="I24" t="s">
        <v>642</v>
      </c>
      <c r="J24" t="s">
        <v>642</v>
      </c>
      <c r="K24" t="s">
        <v>642</v>
      </c>
      <c r="L24" t="s">
        <v>642</v>
      </c>
      <c r="M24" t="s">
        <v>642</v>
      </c>
      <c r="N24" t="s">
        <v>642</v>
      </c>
      <c r="O24" t="s">
        <v>642</v>
      </c>
      <c r="P24" t="s">
        <v>642</v>
      </c>
      <c r="Q24" t="s">
        <v>642</v>
      </c>
      <c r="R24" t="s">
        <v>642</v>
      </c>
      <c r="S24" t="s">
        <v>642</v>
      </c>
      <c r="T24" t="s">
        <v>642</v>
      </c>
    </row>
    <row r="25">
      <c r="A25" t="s">
        <v>642</v>
      </c>
      <c r="B25" t="s">
        <v>642</v>
      </c>
      <c r="C25" t="s">
        <v>642</v>
      </c>
      <c r="D25" t="s">
        <v>642</v>
      </c>
      <c r="E25" t="s">
        <v>29</v>
      </c>
      <c r="F25" t="s">
        <v>176</v>
      </c>
      <c r="G25" t="s">
        <v>642</v>
      </c>
      <c r="H25" t="s">
        <v>642</v>
      </c>
      <c r="I25" t="s">
        <v>642</v>
      </c>
      <c r="J25" t="s">
        <v>642</v>
      </c>
      <c r="K25" t="s">
        <v>642</v>
      </c>
      <c r="L25" t="s">
        <v>642</v>
      </c>
      <c r="M25" t="s">
        <v>642</v>
      </c>
      <c r="N25" t="s">
        <v>642</v>
      </c>
      <c r="O25" t="s">
        <v>642</v>
      </c>
      <c r="P25" t="s">
        <v>642</v>
      </c>
      <c r="Q25" t="s">
        <v>642</v>
      </c>
      <c r="R25" t="s">
        <v>642</v>
      </c>
      <c r="S25" t="s">
        <v>642</v>
      </c>
      <c r="T25" t="s">
        <v>642</v>
      </c>
    </row>
    <row r="26">
      <c r="A26" t="s">
        <v>642</v>
      </c>
      <c r="B26" t="s">
        <v>642</v>
      </c>
      <c r="C26" t="s">
        <v>642</v>
      </c>
      <c r="D26" t="s">
        <v>642</v>
      </c>
      <c r="E26" t="s">
        <v>642</v>
      </c>
      <c r="F26" t="s">
        <v>642</v>
      </c>
      <c r="G26" t="s">
        <v>407</v>
      </c>
      <c r="H26" t="s">
        <v>209</v>
      </c>
      <c r="I26" t="s">
        <v>642</v>
      </c>
      <c r="J26" t="s">
        <v>642</v>
      </c>
      <c r="K26" t="s">
        <v>642</v>
      </c>
      <c r="L26" t="s">
        <v>642</v>
      </c>
      <c r="M26" t="s">
        <v>642</v>
      </c>
      <c r="N26" t="s">
        <v>642</v>
      </c>
      <c r="O26" t="s">
        <v>642</v>
      </c>
      <c r="P26" t="s">
        <v>642</v>
      </c>
      <c r="Q26" t="s">
        <v>642</v>
      </c>
      <c r="R26" t="s">
        <v>642</v>
      </c>
      <c r="S26" t="s">
        <v>642</v>
      </c>
      <c r="T26" t="s">
        <v>642</v>
      </c>
    </row>
    <row r="27">
      <c r="A27" t="s">
        <v>642</v>
      </c>
      <c r="B27" t="s">
        <v>642</v>
      </c>
      <c r="C27" t="s">
        <v>642</v>
      </c>
      <c r="D27" t="s">
        <v>642</v>
      </c>
      <c r="E27" t="s">
        <v>642</v>
      </c>
      <c r="F27" t="s">
        <v>642</v>
      </c>
      <c r="G27" t="s">
        <v>642</v>
      </c>
      <c r="H27" t="s">
        <v>642</v>
      </c>
      <c r="I27" t="s">
        <v>413</v>
      </c>
      <c r="J27" t="s">
        <v>347</v>
      </c>
      <c r="K27" t="s">
        <v>642</v>
      </c>
      <c r="L27" t="s">
        <v>642</v>
      </c>
      <c r="M27" t="s">
        <v>642</v>
      </c>
      <c r="N27" t="s">
        <v>642</v>
      </c>
      <c r="O27" t="s">
        <v>642</v>
      </c>
      <c r="P27" t="s">
        <v>642</v>
      </c>
      <c r="Q27" t="s">
        <v>642</v>
      </c>
      <c r="R27" t="s">
        <v>642</v>
      </c>
      <c r="S27" t="s">
        <v>642</v>
      </c>
      <c r="T27" t="s">
        <v>642</v>
      </c>
    </row>
    <row r="28">
      <c r="A28" t="s">
        <v>642</v>
      </c>
      <c r="B28" t="s">
        <v>642</v>
      </c>
      <c r="C28" t="s">
        <v>642</v>
      </c>
      <c r="D28" t="s">
        <v>642</v>
      </c>
      <c r="E28" t="s">
        <v>642</v>
      </c>
      <c r="F28" t="s">
        <v>642</v>
      </c>
      <c r="G28" t="s">
        <v>642</v>
      </c>
      <c r="H28" t="s">
        <v>642</v>
      </c>
      <c r="I28" t="s">
        <v>642</v>
      </c>
      <c r="J28" t="s">
        <v>642</v>
      </c>
      <c r="K28" t="s">
        <v>29</v>
      </c>
      <c r="L28" t="s">
        <v>391</v>
      </c>
      <c r="M28" t="s">
        <v>642</v>
      </c>
      <c r="N28" t="s">
        <v>642</v>
      </c>
      <c r="O28" t="s">
        <v>642</v>
      </c>
      <c r="P28" t="s">
        <v>642</v>
      </c>
      <c r="Q28" t="s">
        <v>642</v>
      </c>
      <c r="R28" t="s">
        <v>642</v>
      </c>
      <c r="S28" t="s">
        <v>642</v>
      </c>
      <c r="T28" t="s">
        <v>642</v>
      </c>
    </row>
    <row r="29">
      <c r="A29" t="s">
        <v>642</v>
      </c>
      <c r="B29" t="s">
        <v>642</v>
      </c>
      <c r="C29" t="s">
        <v>642</v>
      </c>
      <c r="D29" t="s">
        <v>642</v>
      </c>
      <c r="E29" t="s">
        <v>642</v>
      </c>
      <c r="F29" t="s">
        <v>642</v>
      </c>
      <c r="G29" t="s">
        <v>642</v>
      </c>
      <c r="H29" t="s">
        <v>642</v>
      </c>
      <c r="I29" t="s">
        <v>642</v>
      </c>
      <c r="J29" t="s">
        <v>642</v>
      </c>
      <c r="K29" t="s">
        <v>642</v>
      </c>
      <c r="L29" t="s">
        <v>642</v>
      </c>
      <c r="M29" t="s">
        <v>479</v>
      </c>
      <c r="N29" t="s">
        <v>401</v>
      </c>
      <c r="O29" t="s">
        <v>642</v>
      </c>
      <c r="P29" t="s">
        <v>642</v>
      </c>
      <c r="Q29" t="s">
        <v>642</v>
      </c>
      <c r="R29" t="s">
        <v>642</v>
      </c>
      <c r="S29" t="s">
        <v>642</v>
      </c>
      <c r="T29" t="s">
        <v>642</v>
      </c>
    </row>
    <row r="30">
      <c r="A30" t="s">
        <v>642</v>
      </c>
      <c r="B30" t="s">
        <v>642</v>
      </c>
      <c r="C30" t="s">
        <v>642</v>
      </c>
      <c r="D30" t="s">
        <v>642</v>
      </c>
      <c r="E30" t="s">
        <v>642</v>
      </c>
      <c r="F30" t="s">
        <v>642</v>
      </c>
      <c r="G30" t="s">
        <v>642</v>
      </c>
      <c r="H30" t="s">
        <v>642</v>
      </c>
      <c r="I30" t="s">
        <v>642</v>
      </c>
      <c r="J30" t="s">
        <v>642</v>
      </c>
      <c r="K30" t="s">
        <v>642</v>
      </c>
      <c r="L30" t="s">
        <v>642</v>
      </c>
      <c r="M30" t="s">
        <v>642</v>
      </c>
      <c r="N30" t="s">
        <v>642</v>
      </c>
      <c r="O30" t="s">
        <v>456</v>
      </c>
      <c r="P30" t="s">
        <v>408</v>
      </c>
      <c r="Q30" t="s">
        <v>642</v>
      </c>
      <c r="R30" t="s">
        <v>642</v>
      </c>
      <c r="S30" t="s">
        <v>642</v>
      </c>
      <c r="T30" t="s">
        <v>642</v>
      </c>
    </row>
    <row r="31">
      <c r="A31" t="s">
        <v>642</v>
      </c>
      <c r="B31" t="s">
        <v>642</v>
      </c>
      <c r="C31" t="s">
        <v>642</v>
      </c>
      <c r="D31" t="s">
        <v>642</v>
      </c>
      <c r="E31" t="s">
        <v>642</v>
      </c>
      <c r="F31" t="s">
        <v>642</v>
      </c>
      <c r="G31" t="s">
        <v>642</v>
      </c>
      <c r="H31" t="s">
        <v>642</v>
      </c>
      <c r="I31" t="s">
        <v>642</v>
      </c>
      <c r="J31" t="s">
        <v>642</v>
      </c>
      <c r="K31" t="s">
        <v>642</v>
      </c>
      <c r="L31" t="s">
        <v>642</v>
      </c>
      <c r="M31" t="s">
        <v>642</v>
      </c>
      <c r="N31" t="s">
        <v>642</v>
      </c>
      <c r="O31" t="s">
        <v>642</v>
      </c>
      <c r="P31" t="s">
        <v>642</v>
      </c>
      <c r="Q31" t="s">
        <v>479</v>
      </c>
      <c r="R31" t="s">
        <v>422</v>
      </c>
      <c r="S31" t="s">
        <v>642</v>
      </c>
      <c r="T31" t="s">
        <v>642</v>
      </c>
    </row>
    <row r="32">
      <c r="A32" t="s">
        <v>642</v>
      </c>
      <c r="B32" t="s">
        <v>642</v>
      </c>
      <c r="C32" t="s">
        <v>642</v>
      </c>
      <c r="D32" t="s">
        <v>642</v>
      </c>
      <c r="E32" t="s">
        <v>642</v>
      </c>
      <c r="F32" t="s">
        <v>642</v>
      </c>
      <c r="G32" t="s">
        <v>642</v>
      </c>
      <c r="H32" t="s">
        <v>642</v>
      </c>
      <c r="I32" t="s">
        <v>642</v>
      </c>
      <c r="J32" t="s">
        <v>642</v>
      </c>
      <c r="K32" t="s">
        <v>642</v>
      </c>
      <c r="L32" t="s">
        <v>642</v>
      </c>
      <c r="M32" t="s">
        <v>642</v>
      </c>
      <c r="N32" t="s">
        <v>642</v>
      </c>
      <c r="O32" t="s">
        <v>642</v>
      </c>
      <c r="P32" t="s">
        <v>642</v>
      </c>
      <c r="Q32" t="s">
        <v>642</v>
      </c>
      <c r="R32" t="s">
        <v>642</v>
      </c>
      <c r="S32" t="s">
        <v>456</v>
      </c>
      <c r="T32" t="s">
        <v>436</v>
      </c>
    </row>
    <row r="33">
      <c r="A33" t="s">
        <v>642</v>
      </c>
      <c r="B33" t="s">
        <v>642</v>
      </c>
      <c r="C33" t="s">
        <v>642</v>
      </c>
      <c r="D33" t="s">
        <v>642</v>
      </c>
      <c r="E33" t="s">
        <v>642</v>
      </c>
      <c r="F33" t="s">
        <v>642</v>
      </c>
      <c r="G33" t="s">
        <v>642</v>
      </c>
      <c r="H33" t="s">
        <v>642</v>
      </c>
      <c r="I33" t="s">
        <v>642</v>
      </c>
      <c r="J33" t="s">
        <v>642</v>
      </c>
      <c r="K33" t="s">
        <v>642</v>
      </c>
      <c r="L33" t="s">
        <v>642</v>
      </c>
      <c r="M33" t="s">
        <v>642</v>
      </c>
      <c r="N33" t="s">
        <v>642</v>
      </c>
      <c r="O33" t="s">
        <v>642</v>
      </c>
      <c r="P33" t="s">
        <v>642</v>
      </c>
      <c r="Q33" t="s">
        <v>642</v>
      </c>
      <c r="R33" t="s">
        <v>642</v>
      </c>
      <c r="S33" t="s">
        <v>413</v>
      </c>
      <c r="T33" t="s">
        <v>434</v>
      </c>
    </row>
    <row r="34">
      <c r="A34" t="s">
        <v>642</v>
      </c>
      <c r="B34" t="s">
        <v>642</v>
      </c>
      <c r="C34" t="s">
        <v>642</v>
      </c>
      <c r="D34" t="s">
        <v>642</v>
      </c>
      <c r="E34" t="s">
        <v>642</v>
      </c>
      <c r="F34" t="s">
        <v>642</v>
      </c>
      <c r="G34" t="s">
        <v>642</v>
      </c>
      <c r="H34" t="s">
        <v>642</v>
      </c>
      <c r="I34" t="s">
        <v>642</v>
      </c>
      <c r="J34" t="s">
        <v>642</v>
      </c>
      <c r="K34" t="s">
        <v>642</v>
      </c>
      <c r="L34" t="s">
        <v>642</v>
      </c>
      <c r="M34" t="s">
        <v>642</v>
      </c>
      <c r="N34" t="s">
        <v>642</v>
      </c>
      <c r="O34" t="s">
        <v>642</v>
      </c>
      <c r="P34" t="s">
        <v>642</v>
      </c>
      <c r="Q34" t="s">
        <v>24</v>
      </c>
      <c r="R34" t="s">
        <v>373</v>
      </c>
      <c r="S34" t="s">
        <v>642</v>
      </c>
      <c r="T34" t="s">
        <v>642</v>
      </c>
    </row>
    <row r="35">
      <c r="A35" t="s">
        <v>642</v>
      </c>
      <c r="B35" t="s">
        <v>642</v>
      </c>
      <c r="C35" t="s">
        <v>642</v>
      </c>
      <c r="D35" t="s">
        <v>642</v>
      </c>
      <c r="E35" t="s">
        <v>642</v>
      </c>
      <c r="F35" t="s">
        <v>642</v>
      </c>
      <c r="G35" t="s">
        <v>642</v>
      </c>
      <c r="H35" t="s">
        <v>642</v>
      </c>
      <c r="I35" t="s">
        <v>642</v>
      </c>
      <c r="J35" t="s">
        <v>642</v>
      </c>
      <c r="K35" t="s">
        <v>642</v>
      </c>
      <c r="L35" t="s">
        <v>642</v>
      </c>
      <c r="M35" t="s">
        <v>642</v>
      </c>
      <c r="N35" t="s">
        <v>642</v>
      </c>
      <c r="O35" t="s">
        <v>11</v>
      </c>
      <c r="P35" t="s">
        <v>415</v>
      </c>
      <c r="Q35" t="s">
        <v>642</v>
      </c>
      <c r="R35" t="s">
        <v>642</v>
      </c>
      <c r="S35" t="s">
        <v>642</v>
      </c>
      <c r="T35" t="s">
        <v>642</v>
      </c>
    </row>
    <row r="36">
      <c r="A36" t="s">
        <v>642</v>
      </c>
      <c r="B36" t="s">
        <v>642</v>
      </c>
      <c r="C36" t="s">
        <v>642</v>
      </c>
      <c r="D36" t="s">
        <v>642</v>
      </c>
      <c r="E36" t="s">
        <v>642</v>
      </c>
      <c r="F36" t="s">
        <v>642</v>
      </c>
      <c r="G36" t="s">
        <v>642</v>
      </c>
      <c r="H36" t="s">
        <v>642</v>
      </c>
      <c r="I36" t="s">
        <v>642</v>
      </c>
      <c r="J36" t="s">
        <v>642</v>
      </c>
      <c r="K36" t="s">
        <v>642</v>
      </c>
      <c r="L36" t="s">
        <v>642</v>
      </c>
      <c r="M36" t="s">
        <v>29</v>
      </c>
      <c r="N36" t="s">
        <v>398</v>
      </c>
      <c r="O36" t="s">
        <v>642</v>
      </c>
      <c r="P36" t="s">
        <v>642</v>
      </c>
      <c r="Q36" t="s">
        <v>642</v>
      </c>
      <c r="R36" t="s">
        <v>642</v>
      </c>
      <c r="S36" t="s">
        <v>642</v>
      </c>
      <c r="T36" t="s">
        <v>642</v>
      </c>
    </row>
    <row r="37">
      <c r="A37" t="s">
        <v>642</v>
      </c>
      <c r="B37" t="s">
        <v>642</v>
      </c>
      <c r="C37" t="s">
        <v>642</v>
      </c>
      <c r="D37" t="s">
        <v>642</v>
      </c>
      <c r="E37" t="s">
        <v>642</v>
      </c>
      <c r="F37" t="s">
        <v>642</v>
      </c>
      <c r="G37" t="s">
        <v>642</v>
      </c>
      <c r="H37" t="s">
        <v>642</v>
      </c>
      <c r="I37" t="s">
        <v>642</v>
      </c>
      <c r="J37" t="s">
        <v>642</v>
      </c>
      <c r="K37" t="s">
        <v>407</v>
      </c>
      <c r="L37" t="s">
        <v>392</v>
      </c>
      <c r="M37" t="s">
        <v>642</v>
      </c>
      <c r="N37" t="s">
        <v>642</v>
      </c>
      <c r="O37" t="s">
        <v>642</v>
      </c>
      <c r="P37" t="s">
        <v>642</v>
      </c>
      <c r="Q37" t="s">
        <v>642</v>
      </c>
      <c r="R37" t="s">
        <v>642</v>
      </c>
      <c r="S37" t="s">
        <v>642</v>
      </c>
      <c r="T37" t="s">
        <v>642</v>
      </c>
    </row>
    <row r="38">
      <c r="A38" t="s">
        <v>642</v>
      </c>
      <c r="B38" t="s">
        <v>642</v>
      </c>
      <c r="C38" t="s">
        <v>642</v>
      </c>
      <c r="D38" t="s">
        <v>642</v>
      </c>
      <c r="E38" t="s">
        <v>642</v>
      </c>
      <c r="F38" t="s">
        <v>642</v>
      </c>
      <c r="G38" t="s">
        <v>642</v>
      </c>
      <c r="H38" t="s">
        <v>642</v>
      </c>
      <c r="I38" t="s">
        <v>24</v>
      </c>
      <c r="J38" t="s">
        <v>222</v>
      </c>
      <c r="K38" t="s">
        <v>642</v>
      </c>
      <c r="L38" t="s">
        <v>642</v>
      </c>
      <c r="M38" t="s">
        <v>642</v>
      </c>
      <c r="N38" t="s">
        <v>642</v>
      </c>
      <c r="O38" t="s">
        <v>642</v>
      </c>
      <c r="P38" t="s">
        <v>642</v>
      </c>
      <c r="Q38" t="s">
        <v>642</v>
      </c>
      <c r="R38" t="s">
        <v>642</v>
      </c>
      <c r="S38" t="s">
        <v>642</v>
      </c>
      <c r="T38" t="s">
        <v>642</v>
      </c>
    </row>
    <row r="39">
      <c r="A39" t="s">
        <v>642</v>
      </c>
      <c r="B39" t="s">
        <v>642</v>
      </c>
      <c r="C39" t="s">
        <v>642</v>
      </c>
      <c r="D39" t="s">
        <v>642</v>
      </c>
      <c r="E39" t="s">
        <v>642</v>
      </c>
      <c r="F39" t="s">
        <v>642</v>
      </c>
      <c r="G39" t="s">
        <v>413</v>
      </c>
      <c r="H39" t="s">
        <v>220</v>
      </c>
      <c r="I39" t="s">
        <v>642</v>
      </c>
      <c r="J39" t="s">
        <v>642</v>
      </c>
      <c r="K39" t="s">
        <v>642</v>
      </c>
      <c r="L39" t="s">
        <v>642</v>
      </c>
      <c r="M39" t="s">
        <v>642</v>
      </c>
      <c r="N39" t="s">
        <v>642</v>
      </c>
      <c r="O39" t="s">
        <v>642</v>
      </c>
      <c r="P39" t="s">
        <v>642</v>
      </c>
      <c r="Q39" t="s">
        <v>642</v>
      </c>
      <c r="R39" t="s">
        <v>642</v>
      </c>
      <c r="S39" t="s">
        <v>642</v>
      </c>
      <c r="T39" t="s">
        <v>642</v>
      </c>
    </row>
    <row r="40">
      <c r="A40" t="s">
        <v>642</v>
      </c>
      <c r="B40" t="s">
        <v>642</v>
      </c>
      <c r="C40" t="s">
        <v>642</v>
      </c>
      <c r="D40" t="s">
        <v>642</v>
      </c>
      <c r="E40" t="s">
        <v>479</v>
      </c>
      <c r="F40" t="s">
        <v>184</v>
      </c>
      <c r="G40" t="s">
        <v>642</v>
      </c>
      <c r="H40" t="s">
        <v>642</v>
      </c>
      <c r="I40" t="s">
        <v>642</v>
      </c>
      <c r="J40" t="s">
        <v>642</v>
      </c>
      <c r="K40" t="s">
        <v>642</v>
      </c>
      <c r="L40" t="s">
        <v>642</v>
      </c>
      <c r="M40" t="s">
        <v>642</v>
      </c>
      <c r="N40" t="s">
        <v>642</v>
      </c>
      <c r="O40" t="s">
        <v>642</v>
      </c>
      <c r="P40" t="s">
        <v>642</v>
      </c>
      <c r="Q40" t="s">
        <v>642</v>
      </c>
      <c r="R40" t="s">
        <v>642</v>
      </c>
      <c r="S40" t="s">
        <v>642</v>
      </c>
      <c r="T40" t="s">
        <v>642</v>
      </c>
    </row>
    <row r="41">
      <c r="A41" t="s">
        <v>642</v>
      </c>
      <c r="B41" t="s">
        <v>642</v>
      </c>
      <c r="C41" t="s">
        <v>456</v>
      </c>
      <c r="D41" t="s">
        <v>139</v>
      </c>
      <c r="E41" t="s">
        <v>642</v>
      </c>
      <c r="F41" t="s">
        <v>642</v>
      </c>
      <c r="G41" t="s">
        <v>642</v>
      </c>
      <c r="H41" t="s">
        <v>642</v>
      </c>
      <c r="I41" t="s">
        <v>642</v>
      </c>
      <c r="J41" t="s">
        <v>642</v>
      </c>
      <c r="K41" t="s">
        <v>642</v>
      </c>
      <c r="L41" t="s">
        <v>642</v>
      </c>
      <c r="M41" t="s">
        <v>642</v>
      </c>
      <c r="N41" t="s">
        <v>642</v>
      </c>
      <c r="O41" t="s">
        <v>642</v>
      </c>
      <c r="P41" t="s">
        <v>642</v>
      </c>
      <c r="Q41" t="s">
        <v>642</v>
      </c>
      <c r="R41" t="s">
        <v>642</v>
      </c>
      <c r="S41" t="s">
        <v>642</v>
      </c>
      <c r="T41" t="s">
        <v>642</v>
      </c>
    </row>
    <row r="42">
      <c r="A42" t="s">
        <v>24</v>
      </c>
      <c r="B42" t="s">
        <v>127</v>
      </c>
      <c r="C42" t="s">
        <v>642</v>
      </c>
      <c r="D42" t="s">
        <v>642</v>
      </c>
      <c r="E42" t="s">
        <v>642</v>
      </c>
      <c r="F42" t="s">
        <v>642</v>
      </c>
      <c r="G42" t="s">
        <v>642</v>
      </c>
      <c r="H42" t="s">
        <v>642</v>
      </c>
      <c r="I42" t="s">
        <v>642</v>
      </c>
      <c r="J42" t="s">
        <v>642</v>
      </c>
      <c r="K42" t="s">
        <v>642</v>
      </c>
      <c r="L42" t="s">
        <v>642</v>
      </c>
      <c r="M42" t="s">
        <v>642</v>
      </c>
      <c r="N42" t="s">
        <v>642</v>
      </c>
      <c r="O42" t="s">
        <v>642</v>
      </c>
      <c r="P42" t="s">
        <v>642</v>
      </c>
      <c r="Q42" t="s">
        <v>642</v>
      </c>
      <c r="R42" t="s">
        <v>642</v>
      </c>
      <c r="S42" t="s">
        <v>642</v>
      </c>
      <c r="T42" t="s">
        <v>642</v>
      </c>
    </row>
    <row r="43">
      <c r="A43" t="s">
        <v>464</v>
      </c>
      <c r="B43" t="s">
        <v>133</v>
      </c>
      <c r="C43" t="s">
        <v>642</v>
      </c>
      <c r="D43" t="s">
        <v>642</v>
      </c>
      <c r="E43" t="s">
        <v>642</v>
      </c>
      <c r="F43" t="s">
        <v>642</v>
      </c>
      <c r="G43" t="s">
        <v>642</v>
      </c>
      <c r="H43" t="s">
        <v>642</v>
      </c>
      <c r="I43" t="s">
        <v>642</v>
      </c>
      <c r="J43" t="s">
        <v>642</v>
      </c>
      <c r="K43" t="s">
        <v>642</v>
      </c>
      <c r="L43" t="s">
        <v>642</v>
      </c>
      <c r="M43" t="s">
        <v>642</v>
      </c>
      <c r="N43" t="s">
        <v>642</v>
      </c>
      <c r="O43" t="s">
        <v>642</v>
      </c>
      <c r="P43" t="s">
        <v>642</v>
      </c>
      <c r="Q43" t="s">
        <v>642</v>
      </c>
      <c r="R43" t="s">
        <v>642</v>
      </c>
      <c r="S43" t="s">
        <v>642</v>
      </c>
      <c r="T43" t="s">
        <v>642</v>
      </c>
    </row>
    <row r="44">
      <c r="A44" t="s">
        <v>642</v>
      </c>
      <c r="B44" t="s">
        <v>642</v>
      </c>
      <c r="C44" t="s">
        <v>464</v>
      </c>
      <c r="D44" t="s">
        <v>166</v>
      </c>
      <c r="E44" t="s">
        <v>642</v>
      </c>
      <c r="F44" t="s">
        <v>642</v>
      </c>
      <c r="G44" t="s">
        <v>642</v>
      </c>
      <c r="H44" t="s">
        <v>642</v>
      </c>
      <c r="I44" t="s">
        <v>642</v>
      </c>
      <c r="J44" t="s">
        <v>642</v>
      </c>
      <c r="K44" t="s">
        <v>642</v>
      </c>
      <c r="L44" t="s">
        <v>642</v>
      </c>
      <c r="M44" t="s">
        <v>642</v>
      </c>
      <c r="N44" t="s">
        <v>642</v>
      </c>
      <c r="O44" t="s">
        <v>642</v>
      </c>
      <c r="P44" t="s">
        <v>642</v>
      </c>
      <c r="Q44" t="s">
        <v>642</v>
      </c>
      <c r="R44" t="s">
        <v>642</v>
      </c>
      <c r="S44" t="s">
        <v>642</v>
      </c>
      <c r="T44" t="s">
        <v>642</v>
      </c>
    </row>
    <row r="45">
      <c r="A45" t="s">
        <v>642</v>
      </c>
      <c r="B45" t="s">
        <v>642</v>
      </c>
      <c r="C45" t="s">
        <v>642</v>
      </c>
      <c r="D45" t="s">
        <v>642</v>
      </c>
      <c r="E45" t="s">
        <v>456</v>
      </c>
      <c r="F45" t="s">
        <v>173</v>
      </c>
      <c r="G45" t="s">
        <v>642</v>
      </c>
      <c r="H45" t="s">
        <v>642</v>
      </c>
      <c r="I45" t="s">
        <v>642</v>
      </c>
      <c r="J45" t="s">
        <v>642</v>
      </c>
      <c r="K45" t="s">
        <v>642</v>
      </c>
      <c r="L45" t="s">
        <v>642</v>
      </c>
      <c r="M45" t="s">
        <v>642</v>
      </c>
      <c r="N45" t="s">
        <v>642</v>
      </c>
      <c r="O45" t="s">
        <v>642</v>
      </c>
      <c r="P45" t="s">
        <v>642</v>
      </c>
      <c r="Q45" t="s">
        <v>642</v>
      </c>
      <c r="R45" t="s">
        <v>642</v>
      </c>
      <c r="S45" t="s">
        <v>642</v>
      </c>
      <c r="T45" t="s">
        <v>642</v>
      </c>
    </row>
    <row r="46">
      <c r="A46" t="s">
        <v>642</v>
      </c>
      <c r="B46" t="s">
        <v>642</v>
      </c>
      <c r="C46" t="s">
        <v>642</v>
      </c>
      <c r="D46" t="s">
        <v>642</v>
      </c>
      <c r="E46" t="s">
        <v>642</v>
      </c>
      <c r="F46" t="s">
        <v>642</v>
      </c>
      <c r="G46" t="s">
        <v>27</v>
      </c>
      <c r="H46" t="s">
        <v>210</v>
      </c>
      <c r="I46" t="s">
        <v>642</v>
      </c>
      <c r="J46" t="s">
        <v>642</v>
      </c>
      <c r="K46" t="s">
        <v>642</v>
      </c>
      <c r="L46" t="s">
        <v>642</v>
      </c>
      <c r="M46" t="s">
        <v>642</v>
      </c>
      <c r="N46" t="s">
        <v>642</v>
      </c>
      <c r="O46" t="s">
        <v>642</v>
      </c>
      <c r="P46" t="s">
        <v>642</v>
      </c>
      <c r="Q46" t="s">
        <v>642</v>
      </c>
      <c r="R46" t="s">
        <v>642</v>
      </c>
      <c r="S46" t="s">
        <v>642</v>
      </c>
      <c r="T46" t="s">
        <v>642</v>
      </c>
    </row>
    <row r="47">
      <c r="A47" t="s">
        <v>642</v>
      </c>
      <c r="B47" t="s">
        <v>642</v>
      </c>
      <c r="C47" t="s">
        <v>642</v>
      </c>
      <c r="D47" t="s">
        <v>642</v>
      </c>
      <c r="E47" t="s">
        <v>642</v>
      </c>
      <c r="F47" t="s">
        <v>642</v>
      </c>
      <c r="G47" t="s">
        <v>642</v>
      </c>
      <c r="H47" t="s">
        <v>642</v>
      </c>
      <c r="I47" t="s">
        <v>407</v>
      </c>
      <c r="J47" t="s">
        <v>225</v>
      </c>
      <c r="K47" t="s">
        <v>642</v>
      </c>
      <c r="L47" t="s">
        <v>642</v>
      </c>
      <c r="M47" t="s">
        <v>642</v>
      </c>
      <c r="N47" t="s">
        <v>642</v>
      </c>
      <c r="O47" t="s">
        <v>642</v>
      </c>
      <c r="P47" t="s">
        <v>642</v>
      </c>
      <c r="Q47" t="s">
        <v>642</v>
      </c>
      <c r="R47" t="s">
        <v>642</v>
      </c>
      <c r="S47" t="s">
        <v>642</v>
      </c>
      <c r="T47" t="s">
        <v>642</v>
      </c>
    </row>
    <row r="48">
      <c r="A48" t="s">
        <v>642</v>
      </c>
      <c r="B48" t="s">
        <v>642</v>
      </c>
      <c r="C48" t="s">
        <v>642</v>
      </c>
      <c r="D48" t="s">
        <v>642</v>
      </c>
      <c r="E48" t="s">
        <v>642</v>
      </c>
      <c r="F48" t="s">
        <v>642</v>
      </c>
      <c r="G48" t="s">
        <v>642</v>
      </c>
      <c r="H48" t="s">
        <v>642</v>
      </c>
      <c r="I48" t="s">
        <v>642</v>
      </c>
      <c r="J48" t="s">
        <v>642</v>
      </c>
      <c r="K48" t="s">
        <v>24</v>
      </c>
      <c r="L48" t="s">
        <v>375</v>
      </c>
      <c r="M48" t="s">
        <v>642</v>
      </c>
      <c r="N48" t="s">
        <v>642</v>
      </c>
      <c r="O48" t="s">
        <v>642</v>
      </c>
      <c r="P48" t="s">
        <v>642</v>
      </c>
      <c r="Q48" t="s">
        <v>642</v>
      </c>
      <c r="R48" t="s">
        <v>642</v>
      </c>
      <c r="S48" t="s">
        <v>642</v>
      </c>
      <c r="T48" t="s">
        <v>642</v>
      </c>
    </row>
    <row r="49">
      <c r="A49" t="s">
        <v>642</v>
      </c>
      <c r="B49" t="s">
        <v>642</v>
      </c>
      <c r="C49" t="s">
        <v>642</v>
      </c>
      <c r="D49" t="s">
        <v>642</v>
      </c>
      <c r="E49" t="s">
        <v>642</v>
      </c>
      <c r="F49" t="s">
        <v>642</v>
      </c>
      <c r="G49" t="s">
        <v>642</v>
      </c>
      <c r="H49" t="s">
        <v>642</v>
      </c>
      <c r="I49" t="s">
        <v>642</v>
      </c>
      <c r="J49" t="s">
        <v>642</v>
      </c>
      <c r="K49" t="s">
        <v>642</v>
      </c>
      <c r="L49" t="s">
        <v>642</v>
      </c>
      <c r="M49" t="s">
        <v>413</v>
      </c>
      <c r="N49" t="s">
        <v>403</v>
      </c>
      <c r="O49" t="s">
        <v>642</v>
      </c>
      <c r="P49" t="s">
        <v>642</v>
      </c>
      <c r="Q49" t="s">
        <v>642</v>
      </c>
      <c r="R49" t="s">
        <v>642</v>
      </c>
      <c r="S49" t="s">
        <v>642</v>
      </c>
      <c r="T49" t="s">
        <v>642</v>
      </c>
    </row>
    <row r="50">
      <c r="A50" t="s">
        <v>642</v>
      </c>
      <c r="B50" t="s">
        <v>642</v>
      </c>
      <c r="C50" t="s">
        <v>642</v>
      </c>
      <c r="D50" t="s">
        <v>642</v>
      </c>
      <c r="E50" t="s">
        <v>642</v>
      </c>
      <c r="F50" t="s">
        <v>642</v>
      </c>
      <c r="G50" t="s">
        <v>642</v>
      </c>
      <c r="H50" t="s">
        <v>642</v>
      </c>
      <c r="I50" t="s">
        <v>642</v>
      </c>
      <c r="J50" t="s">
        <v>642</v>
      </c>
      <c r="K50" t="s">
        <v>642</v>
      </c>
      <c r="L50" t="s">
        <v>642</v>
      </c>
      <c r="M50" t="s">
        <v>642</v>
      </c>
      <c r="N50" t="s">
        <v>642</v>
      </c>
      <c r="O50" t="s">
        <v>464</v>
      </c>
      <c r="P50" t="s">
        <v>409</v>
      </c>
      <c r="Q50" t="s">
        <v>642</v>
      </c>
      <c r="R50" t="s">
        <v>642</v>
      </c>
      <c r="S50" t="s">
        <v>642</v>
      </c>
      <c r="T50" t="s">
        <v>642</v>
      </c>
    </row>
    <row r="51">
      <c r="A51" t="s">
        <v>642</v>
      </c>
      <c r="B51" t="s">
        <v>642</v>
      </c>
      <c r="C51" t="s">
        <v>642</v>
      </c>
      <c r="D51" t="s">
        <v>642</v>
      </c>
      <c r="E51" t="s">
        <v>642</v>
      </c>
      <c r="F51" t="s">
        <v>642</v>
      </c>
      <c r="G51" t="s">
        <v>642</v>
      </c>
      <c r="H51" t="s">
        <v>642</v>
      </c>
      <c r="I51" t="s">
        <v>642</v>
      </c>
      <c r="J51" t="s">
        <v>642</v>
      </c>
      <c r="K51" t="s">
        <v>642</v>
      </c>
      <c r="L51" t="s">
        <v>642</v>
      </c>
      <c r="M51" t="s">
        <v>642</v>
      </c>
      <c r="N51" t="s">
        <v>642</v>
      </c>
      <c r="O51" t="s">
        <v>642</v>
      </c>
      <c r="P51" t="s">
        <v>642</v>
      </c>
      <c r="Q51" t="s">
        <v>393</v>
      </c>
      <c r="R51" t="s">
        <v>432</v>
      </c>
      <c r="S51" t="s">
        <v>642</v>
      </c>
      <c r="T51" t="s">
        <v>642</v>
      </c>
    </row>
    <row r="52">
      <c r="A52" t="s">
        <v>642</v>
      </c>
      <c r="B52" t="s">
        <v>642</v>
      </c>
      <c r="C52" t="s">
        <v>642</v>
      </c>
      <c r="D52" t="s">
        <v>642</v>
      </c>
      <c r="E52" t="s">
        <v>642</v>
      </c>
      <c r="F52" t="s">
        <v>642</v>
      </c>
      <c r="G52" t="s">
        <v>642</v>
      </c>
      <c r="H52" t="s">
        <v>642</v>
      </c>
      <c r="I52" t="s">
        <v>642</v>
      </c>
      <c r="J52" t="s">
        <v>642</v>
      </c>
      <c r="K52" t="s">
        <v>642</v>
      </c>
      <c r="L52" t="s">
        <v>642</v>
      </c>
      <c r="M52" t="s">
        <v>642</v>
      </c>
      <c r="N52" t="s">
        <v>642</v>
      </c>
      <c r="O52" t="s">
        <v>642</v>
      </c>
      <c r="P52" t="s">
        <v>642</v>
      </c>
      <c r="Q52" t="s">
        <v>642</v>
      </c>
      <c r="R52" t="s">
        <v>642</v>
      </c>
      <c r="S52" t="s">
        <v>479</v>
      </c>
      <c r="T52" t="s">
        <v>433</v>
      </c>
    </row>
    <row r="53">
      <c r="A53" t="s">
        <v>642</v>
      </c>
      <c r="B53" t="s">
        <v>642</v>
      </c>
      <c r="C53" t="s">
        <v>642</v>
      </c>
      <c r="D53" t="s">
        <v>642</v>
      </c>
      <c r="E53" t="s">
        <v>642</v>
      </c>
      <c r="F53" t="s">
        <v>642</v>
      </c>
      <c r="G53" t="s">
        <v>642</v>
      </c>
      <c r="H53" t="s">
        <v>642</v>
      </c>
      <c r="I53" t="s">
        <v>642</v>
      </c>
      <c r="J53" t="s">
        <v>642</v>
      </c>
      <c r="K53" t="s">
        <v>642</v>
      </c>
      <c r="L53" t="s">
        <v>642</v>
      </c>
      <c r="M53" t="s">
        <v>642</v>
      </c>
      <c r="N53" t="s">
        <v>642</v>
      </c>
      <c r="O53" t="s">
        <v>642</v>
      </c>
      <c r="P53" t="s">
        <v>642</v>
      </c>
      <c r="Q53" t="s">
        <v>642</v>
      </c>
      <c r="R53" t="s">
        <v>642</v>
      </c>
      <c r="S53" t="s">
        <v>393</v>
      </c>
      <c r="T53" t="s">
        <v>439</v>
      </c>
    </row>
    <row r="54">
      <c r="A54" t="s">
        <v>642</v>
      </c>
      <c r="B54" t="s">
        <v>642</v>
      </c>
      <c r="C54" t="s">
        <v>642</v>
      </c>
      <c r="D54" t="s">
        <v>642</v>
      </c>
      <c r="E54" t="s">
        <v>642</v>
      </c>
      <c r="F54" t="s">
        <v>642</v>
      </c>
      <c r="G54" t="s">
        <v>642</v>
      </c>
      <c r="H54" t="s">
        <v>642</v>
      </c>
      <c r="I54" t="s">
        <v>642</v>
      </c>
      <c r="J54" t="s">
        <v>642</v>
      </c>
      <c r="K54" t="s">
        <v>642</v>
      </c>
      <c r="L54" t="s">
        <v>642</v>
      </c>
      <c r="M54" t="s">
        <v>642</v>
      </c>
      <c r="N54" t="s">
        <v>642</v>
      </c>
      <c r="O54" t="s">
        <v>642</v>
      </c>
      <c r="P54" t="s">
        <v>642</v>
      </c>
      <c r="Q54" t="s">
        <v>11</v>
      </c>
      <c r="R54" t="s">
        <v>426</v>
      </c>
      <c r="S54" t="s">
        <v>642</v>
      </c>
      <c r="T54" t="s">
        <v>642</v>
      </c>
    </row>
    <row r="55">
      <c r="A55" t="s">
        <v>642</v>
      </c>
      <c r="B55" t="s">
        <v>642</v>
      </c>
      <c r="C55" t="s">
        <v>642</v>
      </c>
      <c r="D55" t="s">
        <v>642</v>
      </c>
      <c r="E55" t="s">
        <v>642</v>
      </c>
      <c r="F55" t="s">
        <v>642</v>
      </c>
      <c r="G55" t="s">
        <v>642</v>
      </c>
      <c r="H55" t="s">
        <v>642</v>
      </c>
      <c r="I55" t="s">
        <v>642</v>
      </c>
      <c r="J55" t="s">
        <v>642</v>
      </c>
      <c r="K55" t="s">
        <v>642</v>
      </c>
      <c r="L55" t="s">
        <v>642</v>
      </c>
      <c r="M55" t="s">
        <v>642</v>
      </c>
      <c r="N55" t="s">
        <v>642</v>
      </c>
      <c r="O55" t="s">
        <v>413</v>
      </c>
      <c r="P55" t="s">
        <v>416</v>
      </c>
      <c r="Q55" t="s">
        <v>642</v>
      </c>
      <c r="R55" t="s">
        <v>642</v>
      </c>
      <c r="S55" t="s">
        <v>642</v>
      </c>
      <c r="T55" t="s">
        <v>642</v>
      </c>
    </row>
    <row r="56">
      <c r="A56" t="s">
        <v>642</v>
      </c>
      <c r="B56" t="s">
        <v>642</v>
      </c>
      <c r="C56" t="s">
        <v>642</v>
      </c>
      <c r="D56" t="s">
        <v>642</v>
      </c>
      <c r="E56" t="s">
        <v>642</v>
      </c>
      <c r="F56" t="s">
        <v>642</v>
      </c>
      <c r="G56" t="s">
        <v>642</v>
      </c>
      <c r="H56" t="s">
        <v>642</v>
      </c>
      <c r="I56" t="s">
        <v>642</v>
      </c>
      <c r="J56" t="s">
        <v>642</v>
      </c>
      <c r="K56" t="s">
        <v>642</v>
      </c>
      <c r="L56" t="s">
        <v>642</v>
      </c>
      <c r="M56" t="s">
        <v>24</v>
      </c>
      <c r="N56" t="s">
        <v>378</v>
      </c>
      <c r="O56" t="s">
        <v>642</v>
      </c>
      <c r="P56" t="s">
        <v>642</v>
      </c>
      <c r="Q56" t="s">
        <v>642</v>
      </c>
      <c r="R56" t="s">
        <v>642</v>
      </c>
      <c r="S56" t="s">
        <v>642</v>
      </c>
      <c r="T56" t="s">
        <v>642</v>
      </c>
    </row>
    <row r="57">
      <c r="A57" t="s">
        <v>642</v>
      </c>
      <c r="B57" t="s">
        <v>642</v>
      </c>
      <c r="C57" t="s">
        <v>642</v>
      </c>
      <c r="D57" t="s">
        <v>642</v>
      </c>
      <c r="E57" t="s">
        <v>642</v>
      </c>
      <c r="F57" t="s">
        <v>642</v>
      </c>
      <c r="G57" t="s">
        <v>642</v>
      </c>
      <c r="H57" t="s">
        <v>642</v>
      </c>
      <c r="I57" t="s">
        <v>642</v>
      </c>
      <c r="J57" t="s">
        <v>642</v>
      </c>
      <c r="K57" t="s">
        <v>413</v>
      </c>
      <c r="L57" t="s">
        <v>395</v>
      </c>
      <c r="M57" t="s">
        <v>642</v>
      </c>
      <c r="N57" t="s">
        <v>642</v>
      </c>
      <c r="O57" t="s">
        <v>642</v>
      </c>
      <c r="P57" t="s">
        <v>642</v>
      </c>
      <c r="Q57" t="s">
        <v>642</v>
      </c>
      <c r="R57" t="s">
        <v>642</v>
      </c>
      <c r="S57" t="s">
        <v>642</v>
      </c>
      <c r="T57" t="s">
        <v>642</v>
      </c>
    </row>
    <row r="58">
      <c r="A58" t="s">
        <v>642</v>
      </c>
      <c r="B58" t="s">
        <v>642</v>
      </c>
      <c r="C58" t="s">
        <v>642</v>
      </c>
      <c r="D58" t="s">
        <v>642</v>
      </c>
      <c r="E58" t="s">
        <v>642</v>
      </c>
      <c r="F58" t="s">
        <v>642</v>
      </c>
      <c r="G58" t="s">
        <v>642</v>
      </c>
      <c r="H58" t="s">
        <v>642</v>
      </c>
      <c r="I58" t="s">
        <v>479</v>
      </c>
      <c r="J58" t="s">
        <v>228</v>
      </c>
      <c r="K58" t="s">
        <v>642</v>
      </c>
      <c r="L58" t="s">
        <v>642</v>
      </c>
      <c r="M58" t="s">
        <v>642</v>
      </c>
      <c r="N58" t="s">
        <v>642</v>
      </c>
      <c r="O58" t="s">
        <v>642</v>
      </c>
      <c r="P58" t="s">
        <v>642</v>
      </c>
      <c r="Q58" t="s">
        <v>642</v>
      </c>
      <c r="R58" t="s">
        <v>642</v>
      </c>
      <c r="S58" t="s">
        <v>642</v>
      </c>
      <c r="T58" t="s">
        <v>642</v>
      </c>
    </row>
    <row r="59">
      <c r="A59" t="s">
        <v>642</v>
      </c>
      <c r="B59" t="s">
        <v>642</v>
      </c>
      <c r="C59" t="s">
        <v>642</v>
      </c>
      <c r="D59" t="s">
        <v>642</v>
      </c>
      <c r="E59" t="s">
        <v>642</v>
      </c>
      <c r="F59" t="s">
        <v>642</v>
      </c>
      <c r="G59" t="s">
        <v>479</v>
      </c>
      <c r="H59" t="s">
        <v>206</v>
      </c>
      <c r="I59" t="s">
        <v>642</v>
      </c>
      <c r="J59" t="s">
        <v>642</v>
      </c>
      <c r="K59" t="s">
        <v>642</v>
      </c>
      <c r="L59" t="s">
        <v>642</v>
      </c>
      <c r="M59" t="s">
        <v>642</v>
      </c>
      <c r="N59" t="s">
        <v>642</v>
      </c>
      <c r="O59" t="s">
        <v>642</v>
      </c>
      <c r="P59" t="s">
        <v>642</v>
      </c>
      <c r="Q59" t="s">
        <v>642</v>
      </c>
      <c r="R59" t="s">
        <v>642</v>
      </c>
      <c r="S59" t="s">
        <v>642</v>
      </c>
      <c r="T59" t="s">
        <v>642</v>
      </c>
    </row>
    <row r="60">
      <c r="A60" t="s">
        <v>642</v>
      </c>
      <c r="B60" t="s">
        <v>642</v>
      </c>
      <c r="C60" t="s">
        <v>642</v>
      </c>
      <c r="D60" t="s">
        <v>642</v>
      </c>
      <c r="E60" t="s">
        <v>393</v>
      </c>
      <c r="F60" t="s">
        <v>194</v>
      </c>
      <c r="G60" t="s">
        <v>642</v>
      </c>
      <c r="H60" t="s">
        <v>642</v>
      </c>
      <c r="I60" t="s">
        <v>642</v>
      </c>
      <c r="J60" t="s">
        <v>642</v>
      </c>
      <c r="K60" t="s">
        <v>642</v>
      </c>
      <c r="L60" t="s">
        <v>642</v>
      </c>
      <c r="M60" t="s">
        <v>642</v>
      </c>
      <c r="N60" t="s">
        <v>642</v>
      </c>
      <c r="O60" t="s">
        <v>642</v>
      </c>
      <c r="P60" t="s">
        <v>642</v>
      </c>
      <c r="Q60" t="s">
        <v>642</v>
      </c>
      <c r="R60" t="s">
        <v>642</v>
      </c>
      <c r="S60" t="s">
        <v>642</v>
      </c>
      <c r="T60" t="s">
        <v>642</v>
      </c>
    </row>
    <row r="61">
      <c r="A61" t="s">
        <v>642</v>
      </c>
      <c r="B61" t="s">
        <v>642</v>
      </c>
      <c r="C61" t="s">
        <v>479</v>
      </c>
      <c r="D61" t="s">
        <v>141</v>
      </c>
      <c r="E61" t="s">
        <v>642</v>
      </c>
      <c r="F61" t="s">
        <v>642</v>
      </c>
      <c r="G61" t="s">
        <v>642</v>
      </c>
      <c r="H61" t="s">
        <v>642</v>
      </c>
      <c r="I61" t="s">
        <v>642</v>
      </c>
      <c r="J61" t="s">
        <v>642</v>
      </c>
      <c r="K61" t="s">
        <v>642</v>
      </c>
      <c r="L61" t="s">
        <v>642</v>
      </c>
      <c r="M61" t="s">
        <v>642</v>
      </c>
      <c r="N61" t="s">
        <v>642</v>
      </c>
      <c r="O61" t="s">
        <v>642</v>
      </c>
      <c r="P61" t="s">
        <v>642</v>
      </c>
      <c r="Q61" t="s">
        <v>642</v>
      </c>
      <c r="R61" t="s">
        <v>642</v>
      </c>
      <c r="S61" t="s">
        <v>642</v>
      </c>
      <c r="T61" t="s">
        <v>642</v>
      </c>
    </row>
    <row r="62">
      <c r="A62" t="s">
        <v>393</v>
      </c>
      <c r="B62" t="s">
        <v>136</v>
      </c>
      <c r="C62" t="s">
        <v>642</v>
      </c>
      <c r="D62" t="s">
        <v>642</v>
      </c>
      <c r="E62" t="s">
        <v>642</v>
      </c>
      <c r="F62" t="s">
        <v>642</v>
      </c>
      <c r="G62" t="s">
        <v>642</v>
      </c>
      <c r="H62" t="s">
        <v>642</v>
      </c>
      <c r="I62" t="s">
        <v>642</v>
      </c>
      <c r="J62" t="s">
        <v>642</v>
      </c>
      <c r="K62" t="s">
        <v>642</v>
      </c>
      <c r="L62" t="s">
        <v>642</v>
      </c>
      <c r="M62" t="s">
        <v>642</v>
      </c>
      <c r="N62" t="s">
        <v>642</v>
      </c>
      <c r="O62" t="s">
        <v>642</v>
      </c>
      <c r="P62" t="s">
        <v>642</v>
      </c>
      <c r="Q62" t="s">
        <v>642</v>
      </c>
      <c r="R62" t="s">
        <v>642</v>
      </c>
      <c r="S62" t="s">
        <v>642</v>
      </c>
      <c r="T62" t="s">
        <v>642</v>
      </c>
    </row>
    <row r="63">
      <c r="A63" t="s">
        <v>27</v>
      </c>
      <c r="B63" t="s">
        <v>109</v>
      </c>
      <c r="C63" t="s">
        <v>642</v>
      </c>
      <c r="D63" t="s">
        <v>642</v>
      </c>
      <c r="E63" t="s">
        <v>642</v>
      </c>
      <c r="F63" t="s">
        <v>642</v>
      </c>
      <c r="G63" t="s">
        <v>642</v>
      </c>
      <c r="H63" t="s">
        <v>642</v>
      </c>
      <c r="I63" t="s">
        <v>642</v>
      </c>
      <c r="J63" t="s">
        <v>642</v>
      </c>
      <c r="K63" t="s">
        <v>642</v>
      </c>
      <c r="L63" t="s">
        <v>642</v>
      </c>
      <c r="M63" t="s">
        <v>642</v>
      </c>
      <c r="N63" t="s">
        <v>642</v>
      </c>
      <c r="O63" t="s">
        <v>642</v>
      </c>
      <c r="P63" t="s">
        <v>642</v>
      </c>
      <c r="Q63" t="s">
        <v>642</v>
      </c>
      <c r="R63" t="s">
        <v>642</v>
      </c>
      <c r="S63" t="s">
        <v>642</v>
      </c>
      <c r="T63" t="s">
        <v>642</v>
      </c>
    </row>
    <row r="64">
      <c r="A64" t="s">
        <v>642</v>
      </c>
      <c r="B64" t="s">
        <v>642</v>
      </c>
      <c r="C64" t="s">
        <v>11</v>
      </c>
      <c r="D64" t="s">
        <v>163</v>
      </c>
      <c r="E64" t="s">
        <v>642</v>
      </c>
      <c r="F64" t="s">
        <v>642</v>
      </c>
      <c r="G64" t="s">
        <v>642</v>
      </c>
      <c r="H64" t="s">
        <v>642</v>
      </c>
      <c r="I64" t="s">
        <v>642</v>
      </c>
      <c r="J64" t="s">
        <v>642</v>
      </c>
      <c r="K64" t="s">
        <v>642</v>
      </c>
      <c r="L64" t="s">
        <v>642</v>
      </c>
      <c r="M64" t="s">
        <v>642</v>
      </c>
      <c r="N64" t="s">
        <v>642</v>
      </c>
      <c r="O64" t="s">
        <v>642</v>
      </c>
      <c r="P64" t="s">
        <v>642</v>
      </c>
      <c r="Q64" t="s">
        <v>642</v>
      </c>
      <c r="R64" t="s">
        <v>642</v>
      </c>
      <c r="S64" t="s">
        <v>642</v>
      </c>
      <c r="T64" t="s">
        <v>642</v>
      </c>
    </row>
    <row r="65">
      <c r="A65" t="s">
        <v>642</v>
      </c>
      <c r="B65" t="s">
        <v>642</v>
      </c>
      <c r="C65" t="s">
        <v>642</v>
      </c>
      <c r="D65" t="s">
        <v>642</v>
      </c>
      <c r="E65" t="s">
        <v>24</v>
      </c>
      <c r="F65" t="s">
        <v>186</v>
      </c>
      <c r="G65" t="s">
        <v>642</v>
      </c>
      <c r="H65" t="s">
        <v>642</v>
      </c>
      <c r="I65" t="s">
        <v>642</v>
      </c>
      <c r="J65" t="s">
        <v>642</v>
      </c>
      <c r="K65" t="s">
        <v>642</v>
      </c>
      <c r="L65" t="s">
        <v>642</v>
      </c>
      <c r="M65" t="s">
        <v>642</v>
      </c>
      <c r="N65" t="s">
        <v>642</v>
      </c>
      <c r="O65" t="s">
        <v>642</v>
      </c>
      <c r="P65" t="s">
        <v>642</v>
      </c>
      <c r="Q65" t="s">
        <v>642</v>
      </c>
      <c r="R65" t="s">
        <v>642</v>
      </c>
      <c r="S65" t="s">
        <v>642</v>
      </c>
      <c r="T65" t="s">
        <v>642</v>
      </c>
    </row>
    <row r="66">
      <c r="A66" t="s">
        <v>642</v>
      </c>
      <c r="B66" t="s">
        <v>642</v>
      </c>
      <c r="C66" t="s">
        <v>642</v>
      </c>
      <c r="D66" t="s">
        <v>642</v>
      </c>
      <c r="E66" t="s">
        <v>642</v>
      </c>
      <c r="F66" t="s">
        <v>642</v>
      </c>
      <c r="G66" t="s">
        <v>11</v>
      </c>
      <c r="H66" t="s">
        <v>213</v>
      </c>
      <c r="I66" t="s">
        <v>642</v>
      </c>
      <c r="J66" t="s">
        <v>642</v>
      </c>
      <c r="K66" t="s">
        <v>642</v>
      </c>
      <c r="L66" t="s">
        <v>642</v>
      </c>
      <c r="M66" t="s">
        <v>642</v>
      </c>
      <c r="N66" t="s">
        <v>642</v>
      </c>
      <c r="O66" t="s">
        <v>642</v>
      </c>
      <c r="P66" t="s">
        <v>642</v>
      </c>
      <c r="Q66" t="s">
        <v>642</v>
      </c>
      <c r="R66" t="s">
        <v>642</v>
      </c>
      <c r="S66" t="s">
        <v>642</v>
      </c>
      <c r="T66" t="s">
        <v>642</v>
      </c>
    </row>
    <row r="67">
      <c r="A67" t="s">
        <v>642</v>
      </c>
      <c r="B67" t="s">
        <v>642</v>
      </c>
      <c r="C67" t="s">
        <v>642</v>
      </c>
      <c r="D67" t="s">
        <v>642</v>
      </c>
      <c r="E67" t="s">
        <v>642</v>
      </c>
      <c r="F67" t="s">
        <v>642</v>
      </c>
      <c r="G67" t="s">
        <v>642</v>
      </c>
      <c r="H67" t="s">
        <v>642</v>
      </c>
      <c r="I67" t="s">
        <v>464</v>
      </c>
      <c r="J67" t="s">
        <v>285</v>
      </c>
      <c r="K67" t="s">
        <v>642</v>
      </c>
      <c r="L67" t="s">
        <v>642</v>
      </c>
      <c r="M67" t="s">
        <v>642</v>
      </c>
      <c r="N67" t="s">
        <v>642</v>
      </c>
      <c r="O67" t="s">
        <v>642</v>
      </c>
      <c r="P67" t="s">
        <v>642</v>
      </c>
      <c r="Q67" t="s">
        <v>642</v>
      </c>
      <c r="R67" t="s">
        <v>642</v>
      </c>
      <c r="S67" t="s">
        <v>642</v>
      </c>
      <c r="T67" t="s">
        <v>642</v>
      </c>
    </row>
    <row r="68">
      <c r="A68" t="s">
        <v>642</v>
      </c>
      <c r="B68" t="s">
        <v>642</v>
      </c>
      <c r="C68" t="s">
        <v>642</v>
      </c>
      <c r="D68" t="s">
        <v>642</v>
      </c>
      <c r="E68" t="s">
        <v>642</v>
      </c>
      <c r="F68" t="s">
        <v>642</v>
      </c>
      <c r="G68" t="s">
        <v>642</v>
      </c>
      <c r="H68" t="s">
        <v>642</v>
      </c>
      <c r="I68" t="s">
        <v>642</v>
      </c>
      <c r="J68" t="s">
        <v>642</v>
      </c>
      <c r="K68" t="s">
        <v>456</v>
      </c>
      <c r="L68" t="s">
        <v>387</v>
      </c>
      <c r="M68" t="s">
        <v>642</v>
      </c>
      <c r="N68" t="s">
        <v>642</v>
      </c>
      <c r="O68" t="s">
        <v>642</v>
      </c>
      <c r="P68" t="s">
        <v>642</v>
      </c>
      <c r="Q68" t="s">
        <v>642</v>
      </c>
      <c r="R68" t="s">
        <v>642</v>
      </c>
      <c r="S68" t="s">
        <v>642</v>
      </c>
      <c r="T68" t="s">
        <v>642</v>
      </c>
    </row>
    <row r="69">
      <c r="A69" t="s">
        <v>642</v>
      </c>
      <c r="B69" t="s">
        <v>642</v>
      </c>
      <c r="C69" t="s">
        <v>642</v>
      </c>
      <c r="D69" t="s">
        <v>642</v>
      </c>
      <c r="E69" t="s">
        <v>642</v>
      </c>
      <c r="F69" t="s">
        <v>642</v>
      </c>
      <c r="G69" t="s">
        <v>642</v>
      </c>
      <c r="H69" t="s">
        <v>642</v>
      </c>
      <c r="I69" t="s">
        <v>642</v>
      </c>
      <c r="J69" t="s">
        <v>642</v>
      </c>
      <c r="K69" t="s">
        <v>642</v>
      </c>
      <c r="L69" t="s">
        <v>642</v>
      </c>
      <c r="M69" t="s">
        <v>407</v>
      </c>
      <c r="N69" t="s">
        <v>402</v>
      </c>
      <c r="O69" t="s">
        <v>642</v>
      </c>
      <c r="P69" t="s">
        <v>642</v>
      </c>
      <c r="Q69" t="s">
        <v>642</v>
      </c>
      <c r="R69" t="s">
        <v>642</v>
      </c>
      <c r="S69" t="s">
        <v>642</v>
      </c>
      <c r="T69" t="s">
        <v>642</v>
      </c>
    </row>
    <row r="70">
      <c r="A70" t="s">
        <v>642</v>
      </c>
      <c r="B70" t="s">
        <v>642</v>
      </c>
      <c r="C70" t="s">
        <v>642</v>
      </c>
      <c r="D70" t="s">
        <v>642</v>
      </c>
      <c r="E70" t="s">
        <v>642</v>
      </c>
      <c r="F70" t="s">
        <v>642</v>
      </c>
      <c r="G70" t="s">
        <v>642</v>
      </c>
      <c r="H70" t="s">
        <v>642</v>
      </c>
      <c r="I70" t="s">
        <v>642</v>
      </c>
      <c r="J70" t="s">
        <v>642</v>
      </c>
      <c r="K70" t="s">
        <v>642</v>
      </c>
      <c r="L70" t="s">
        <v>642</v>
      </c>
      <c r="M70" t="s">
        <v>642</v>
      </c>
      <c r="N70" t="s">
        <v>642</v>
      </c>
      <c r="O70" t="s">
        <v>27</v>
      </c>
      <c r="P70" t="s">
        <v>421</v>
      </c>
      <c r="Q70" t="s">
        <v>642</v>
      </c>
      <c r="R70" t="s">
        <v>642</v>
      </c>
      <c r="S70" t="s">
        <v>642</v>
      </c>
      <c r="T70" t="s">
        <v>642</v>
      </c>
    </row>
    <row r="71">
      <c r="A71" t="s">
        <v>642</v>
      </c>
      <c r="B71" t="s">
        <v>642</v>
      </c>
      <c r="C71" t="s">
        <v>642</v>
      </c>
      <c r="D71" t="s">
        <v>642</v>
      </c>
      <c r="E71" t="s">
        <v>642</v>
      </c>
      <c r="F71" t="s">
        <v>642</v>
      </c>
      <c r="G71" t="s">
        <v>642</v>
      </c>
      <c r="H71" t="s">
        <v>642</v>
      </c>
      <c r="I71" t="s">
        <v>642</v>
      </c>
      <c r="J71" t="s">
        <v>642</v>
      </c>
      <c r="K71" t="s">
        <v>642</v>
      </c>
      <c r="L71" t="s">
        <v>642</v>
      </c>
      <c r="M71" t="s">
        <v>642</v>
      </c>
      <c r="N71" t="s">
        <v>642</v>
      </c>
      <c r="O71" t="s">
        <v>642</v>
      </c>
      <c r="P71" t="s">
        <v>642</v>
      </c>
      <c r="Q71" t="s">
        <v>407</v>
      </c>
      <c r="R71" t="s">
        <v>427</v>
      </c>
      <c r="S71" t="s">
        <v>642</v>
      </c>
      <c r="T71" t="s">
        <v>642</v>
      </c>
    </row>
    <row r="72">
      <c r="A72" t="s">
        <v>642</v>
      </c>
      <c r="B72" t="s">
        <v>642</v>
      </c>
      <c r="C72" t="s">
        <v>642</v>
      </c>
      <c r="D72" t="s">
        <v>642</v>
      </c>
      <c r="E72" t="s">
        <v>642</v>
      </c>
      <c r="F72" t="s">
        <v>642</v>
      </c>
      <c r="G72" t="s">
        <v>642</v>
      </c>
      <c r="H72" t="s">
        <v>642</v>
      </c>
      <c r="I72" t="s">
        <v>642</v>
      </c>
      <c r="J72" t="s">
        <v>642</v>
      </c>
      <c r="K72" t="s">
        <v>642</v>
      </c>
      <c r="L72" t="s">
        <v>642</v>
      </c>
      <c r="M72" t="s">
        <v>642</v>
      </c>
      <c r="N72" t="s">
        <v>642</v>
      </c>
      <c r="O72" t="s">
        <v>642</v>
      </c>
      <c r="P72" t="s">
        <v>642</v>
      </c>
      <c r="Q72" t="s">
        <v>642</v>
      </c>
      <c r="R72" t="s">
        <v>642</v>
      </c>
      <c r="S72" t="s">
        <v>27</v>
      </c>
      <c r="T72" t="s">
        <v>438</v>
      </c>
    </row>
    <row r="73">
      <c r="A73" t="s">
        <v>642</v>
      </c>
      <c r="B73" t="s">
        <v>642</v>
      </c>
      <c r="C73" t="s">
        <v>642</v>
      </c>
      <c r="D73" t="s">
        <v>642</v>
      </c>
      <c r="E73" t="s">
        <v>642</v>
      </c>
      <c r="F73" t="s">
        <v>642</v>
      </c>
      <c r="G73" t="s">
        <v>642</v>
      </c>
      <c r="H73" t="s">
        <v>642</v>
      </c>
      <c r="I73" t="s">
        <v>642</v>
      </c>
      <c r="J73" t="s">
        <v>642</v>
      </c>
      <c r="K73" t="s">
        <v>642</v>
      </c>
      <c r="L73" t="s">
        <v>642</v>
      </c>
      <c r="M73" t="s">
        <v>642</v>
      </c>
      <c r="N73" t="s">
        <v>642</v>
      </c>
      <c r="O73" t="s">
        <v>642</v>
      </c>
      <c r="P73" t="s">
        <v>642</v>
      </c>
      <c r="Q73" t="s">
        <v>642</v>
      </c>
      <c r="R73" t="s">
        <v>642</v>
      </c>
      <c r="S73" t="s">
        <v>464</v>
      </c>
      <c r="T73" t="s">
        <v>441</v>
      </c>
    </row>
    <row r="74">
      <c r="A74" t="s">
        <v>642</v>
      </c>
      <c r="B74" t="s">
        <v>642</v>
      </c>
      <c r="C74" t="s">
        <v>642</v>
      </c>
      <c r="D74" t="s">
        <v>642</v>
      </c>
      <c r="E74" t="s">
        <v>642</v>
      </c>
      <c r="F74" t="s">
        <v>642</v>
      </c>
      <c r="G74" t="s">
        <v>642</v>
      </c>
      <c r="H74" t="s">
        <v>642</v>
      </c>
      <c r="I74" t="s">
        <v>642</v>
      </c>
      <c r="J74" t="s">
        <v>642</v>
      </c>
      <c r="K74" t="s">
        <v>642</v>
      </c>
      <c r="L74" t="s">
        <v>642</v>
      </c>
      <c r="M74" t="s">
        <v>642</v>
      </c>
      <c r="N74" t="s">
        <v>642</v>
      </c>
      <c r="O74" t="s">
        <v>642</v>
      </c>
      <c r="P74" t="s">
        <v>642</v>
      </c>
      <c r="Q74" t="s">
        <v>29</v>
      </c>
      <c r="R74" t="s">
        <v>429</v>
      </c>
      <c r="S74" t="s">
        <v>642</v>
      </c>
      <c r="T74" t="s">
        <v>642</v>
      </c>
    </row>
    <row r="75">
      <c r="A75" t="s">
        <v>642</v>
      </c>
      <c r="B75" t="s">
        <v>642</v>
      </c>
      <c r="C75" t="s">
        <v>642</v>
      </c>
      <c r="D75" t="s">
        <v>642</v>
      </c>
      <c r="E75" t="s">
        <v>642</v>
      </c>
      <c r="F75" t="s">
        <v>642</v>
      </c>
      <c r="G75" t="s">
        <v>642</v>
      </c>
      <c r="H75" t="s">
        <v>642</v>
      </c>
      <c r="I75" t="s">
        <v>642</v>
      </c>
      <c r="J75" t="s">
        <v>642</v>
      </c>
      <c r="K75" t="s">
        <v>642</v>
      </c>
      <c r="L75" t="s">
        <v>642</v>
      </c>
      <c r="M75" t="s">
        <v>642</v>
      </c>
      <c r="N75" t="s">
        <v>642</v>
      </c>
      <c r="O75" t="s">
        <v>393</v>
      </c>
      <c r="P75" t="s">
        <v>420</v>
      </c>
      <c r="Q75" t="s">
        <v>642</v>
      </c>
      <c r="R75" t="s">
        <v>642</v>
      </c>
      <c r="S75" t="s">
        <v>642</v>
      </c>
      <c r="T75" t="s">
        <v>642</v>
      </c>
    </row>
    <row r="76">
      <c r="A76" t="s">
        <v>642</v>
      </c>
      <c r="B76" t="s">
        <v>642</v>
      </c>
      <c r="C76" t="s">
        <v>642</v>
      </c>
      <c r="D76" t="s">
        <v>642</v>
      </c>
      <c r="E76" t="s">
        <v>642</v>
      </c>
      <c r="F76" t="s">
        <v>642</v>
      </c>
      <c r="G76" t="s">
        <v>642</v>
      </c>
      <c r="H76" t="s">
        <v>642</v>
      </c>
      <c r="I76" t="s">
        <v>642</v>
      </c>
      <c r="J76" t="s">
        <v>642</v>
      </c>
      <c r="K76" t="s">
        <v>642</v>
      </c>
      <c r="L76" t="s">
        <v>642</v>
      </c>
      <c r="M76" t="s">
        <v>393</v>
      </c>
      <c r="N76" t="s">
        <v>404</v>
      </c>
      <c r="O76" t="s">
        <v>642</v>
      </c>
      <c r="P76" t="s">
        <v>642</v>
      </c>
      <c r="Q76" t="s">
        <v>642</v>
      </c>
      <c r="R76" t="s">
        <v>642</v>
      </c>
      <c r="S76" t="s">
        <v>642</v>
      </c>
      <c r="T76" t="s">
        <v>642</v>
      </c>
    </row>
    <row r="77">
      <c r="A77" t="s">
        <v>642</v>
      </c>
      <c r="B77" t="s">
        <v>642</v>
      </c>
      <c r="C77" t="s">
        <v>642</v>
      </c>
      <c r="D77" t="s">
        <v>642</v>
      </c>
      <c r="E77" t="s">
        <v>642</v>
      </c>
      <c r="F77" t="s">
        <v>642</v>
      </c>
      <c r="G77" t="s">
        <v>642</v>
      </c>
      <c r="H77" t="s">
        <v>642</v>
      </c>
      <c r="I77" t="s">
        <v>642</v>
      </c>
      <c r="J77" t="s">
        <v>642</v>
      </c>
      <c r="K77" t="s">
        <v>479</v>
      </c>
      <c r="L77" t="s">
        <v>390</v>
      </c>
      <c r="M77" t="s">
        <v>642</v>
      </c>
      <c r="N77" t="s">
        <v>642</v>
      </c>
      <c r="O77" t="s">
        <v>642</v>
      </c>
      <c r="P77" t="s">
        <v>642</v>
      </c>
      <c r="Q77" t="s">
        <v>642</v>
      </c>
      <c r="R77" t="s">
        <v>642</v>
      </c>
      <c r="S77" t="s">
        <v>642</v>
      </c>
      <c r="T77" t="s">
        <v>642</v>
      </c>
    </row>
    <row r="78">
      <c r="A78" t="s">
        <v>642</v>
      </c>
      <c r="B78" t="s">
        <v>642</v>
      </c>
      <c r="C78" t="s">
        <v>642</v>
      </c>
      <c r="D78" t="s">
        <v>642</v>
      </c>
      <c r="E78" t="s">
        <v>642</v>
      </c>
      <c r="F78" t="s">
        <v>642</v>
      </c>
      <c r="G78" t="s">
        <v>642</v>
      </c>
      <c r="H78" t="s">
        <v>642</v>
      </c>
      <c r="I78" t="s">
        <v>27</v>
      </c>
      <c r="J78" t="s">
        <v>304</v>
      </c>
      <c r="K78" t="s">
        <v>642</v>
      </c>
      <c r="L78" t="s">
        <v>642</v>
      </c>
      <c r="M78" t="s">
        <v>642</v>
      </c>
      <c r="N78" t="s">
        <v>642</v>
      </c>
      <c r="O78" t="s">
        <v>642</v>
      </c>
      <c r="P78" t="s">
        <v>642</v>
      </c>
      <c r="Q78" t="s">
        <v>642</v>
      </c>
      <c r="R78" t="s">
        <v>642</v>
      </c>
      <c r="S78" t="s">
        <v>642</v>
      </c>
      <c r="T78" t="s">
        <v>642</v>
      </c>
    </row>
    <row r="79">
      <c r="A79" t="s">
        <v>642</v>
      </c>
      <c r="B79" t="s">
        <v>642</v>
      </c>
      <c r="C79" t="s">
        <v>642</v>
      </c>
      <c r="D79" t="s">
        <v>642</v>
      </c>
      <c r="E79" t="s">
        <v>642</v>
      </c>
      <c r="F79" t="s">
        <v>642</v>
      </c>
      <c r="G79" t="s">
        <v>456</v>
      </c>
      <c r="H79" t="s">
        <v>203</v>
      </c>
      <c r="I79" t="s">
        <v>642</v>
      </c>
      <c r="J79" t="s">
        <v>642</v>
      </c>
      <c r="K79" t="s">
        <v>642</v>
      </c>
      <c r="L79" t="s">
        <v>642</v>
      </c>
      <c r="M79" t="s">
        <v>642</v>
      </c>
      <c r="N79" t="s">
        <v>642</v>
      </c>
      <c r="O79" t="s">
        <v>642</v>
      </c>
      <c r="P79" t="s">
        <v>642</v>
      </c>
      <c r="Q79" t="s">
        <v>642</v>
      </c>
      <c r="R79" t="s">
        <v>642</v>
      </c>
      <c r="S79" t="s">
        <v>642</v>
      </c>
      <c r="T79" t="s">
        <v>642</v>
      </c>
    </row>
    <row r="80">
      <c r="A80" t="s">
        <v>642</v>
      </c>
      <c r="B80" t="s">
        <v>642</v>
      </c>
      <c r="C80" t="s">
        <v>642</v>
      </c>
      <c r="D80" t="s">
        <v>642</v>
      </c>
      <c r="E80" t="s">
        <v>407</v>
      </c>
      <c r="F80" t="s">
        <v>181</v>
      </c>
      <c r="G80" t="s">
        <v>642</v>
      </c>
      <c r="H80" t="s">
        <v>642</v>
      </c>
      <c r="I80" t="s">
        <v>642</v>
      </c>
      <c r="J80" t="s">
        <v>642</v>
      </c>
      <c r="K80" t="s">
        <v>642</v>
      </c>
      <c r="L80" t="s">
        <v>642</v>
      </c>
      <c r="M80" t="s">
        <v>642</v>
      </c>
      <c r="N80" t="s">
        <v>642</v>
      </c>
      <c r="O80" t="s">
        <v>642</v>
      </c>
      <c r="P80" t="s">
        <v>642</v>
      </c>
      <c r="Q80" t="s">
        <v>642</v>
      </c>
      <c r="R80" t="s">
        <v>642</v>
      </c>
      <c r="S80" t="s">
        <v>642</v>
      </c>
      <c r="T80" t="s">
        <v>642</v>
      </c>
    </row>
    <row r="81">
      <c r="A81" t="s">
        <v>642</v>
      </c>
      <c r="B81" t="s">
        <v>642</v>
      </c>
      <c r="C81" t="s">
        <v>413</v>
      </c>
      <c r="D81" t="s">
        <v>155</v>
      </c>
      <c r="E81" t="s">
        <v>642</v>
      </c>
      <c r="F81" t="s">
        <v>642</v>
      </c>
      <c r="G81" t="s">
        <v>642</v>
      </c>
      <c r="H81" t="s">
        <v>642</v>
      </c>
      <c r="I81" t="s">
        <v>642</v>
      </c>
      <c r="J81" t="s">
        <v>642</v>
      </c>
      <c r="K81" t="s">
        <v>642</v>
      </c>
      <c r="L81" t="s">
        <v>642</v>
      </c>
      <c r="M81" t="s">
        <v>642</v>
      </c>
      <c r="N81" t="s">
        <v>642</v>
      </c>
      <c r="O81" t="s">
        <v>642</v>
      </c>
      <c r="P81" t="s">
        <v>642</v>
      </c>
      <c r="Q81" t="s">
        <v>642</v>
      </c>
      <c r="R81" t="s">
        <v>642</v>
      </c>
      <c r="S81" t="s">
        <v>642</v>
      </c>
      <c r="T81" t="s">
        <v>642</v>
      </c>
    </row>
    <row r="82">
      <c r="A82" t="s">
        <v>456</v>
      </c>
      <c r="B82" t="s">
        <v>112</v>
      </c>
      <c r="C82" t="s">
        <v>642</v>
      </c>
      <c r="D82" t="s">
        <v>642</v>
      </c>
      <c r="E82" t="s">
        <v>642</v>
      </c>
      <c r="F82" t="s">
        <v>642</v>
      </c>
      <c r="G82" t="s">
        <v>642</v>
      </c>
      <c r="H82" t="s">
        <v>642</v>
      </c>
      <c r="I82" t="s">
        <v>642</v>
      </c>
      <c r="J82" t="s">
        <v>642</v>
      </c>
      <c r="K82" t="s">
        <v>642</v>
      </c>
      <c r="L82" t="s">
        <v>642</v>
      </c>
      <c r="M82" t="s">
        <v>642</v>
      </c>
      <c r="N82" t="s">
        <v>642</v>
      </c>
      <c r="O82" t="s">
        <v>642</v>
      </c>
      <c r="P82" t="s">
        <v>642</v>
      </c>
      <c r="Q82" t="s">
        <v>642</v>
      </c>
      <c r="R82" t="s">
        <v>642</v>
      </c>
      <c r="S82" t="s">
        <v>642</v>
      </c>
      <c r="T82" t="s">
        <v>642</v>
      </c>
    </row>
    <row r="83">
      <c r="A83" t="s">
        <v>413</v>
      </c>
      <c r="B83" t="s">
        <v>129</v>
      </c>
      <c r="C83" t="s">
        <v>642</v>
      </c>
      <c r="D83" t="s">
        <v>642</v>
      </c>
      <c r="E83" t="s">
        <v>642</v>
      </c>
      <c r="F83" t="s">
        <v>642</v>
      </c>
      <c r="G83" t="s">
        <v>642</v>
      </c>
      <c r="H83" t="s">
        <v>642</v>
      </c>
      <c r="I83" t="s">
        <v>642</v>
      </c>
      <c r="J83" t="s">
        <v>642</v>
      </c>
      <c r="K83" t="s">
        <v>642</v>
      </c>
      <c r="L83" t="s">
        <v>642</v>
      </c>
      <c r="M83" t="s">
        <v>642</v>
      </c>
      <c r="N83" t="s">
        <v>642</v>
      </c>
      <c r="O83" t="s">
        <v>642</v>
      </c>
      <c r="P83" t="s">
        <v>642</v>
      </c>
      <c r="Q83" t="s">
        <v>642</v>
      </c>
      <c r="R83" t="s">
        <v>642</v>
      </c>
      <c r="S83" t="s">
        <v>642</v>
      </c>
      <c r="T83" t="s">
        <v>642</v>
      </c>
    </row>
    <row r="84">
      <c r="A84" t="s">
        <v>642</v>
      </c>
      <c r="B84" t="s">
        <v>642</v>
      </c>
      <c r="C84" t="s">
        <v>407</v>
      </c>
      <c r="D84" t="s">
        <v>160</v>
      </c>
      <c r="E84" t="s">
        <v>642</v>
      </c>
      <c r="F84" t="s">
        <v>642</v>
      </c>
      <c r="G84" t="s">
        <v>642</v>
      </c>
      <c r="H84" t="s">
        <v>642</v>
      </c>
      <c r="I84" t="s">
        <v>642</v>
      </c>
      <c r="J84" t="s">
        <v>642</v>
      </c>
      <c r="K84" t="s">
        <v>642</v>
      </c>
      <c r="L84" t="s">
        <v>642</v>
      </c>
      <c r="M84" t="s">
        <v>642</v>
      </c>
      <c r="N84" t="s">
        <v>642</v>
      </c>
      <c r="O84" t="s">
        <v>642</v>
      </c>
      <c r="P84" t="s">
        <v>642</v>
      </c>
      <c r="Q84" t="s">
        <v>642</v>
      </c>
      <c r="R84" t="s">
        <v>642</v>
      </c>
      <c r="S84" t="s">
        <v>642</v>
      </c>
      <c r="T84" t="s">
        <v>642</v>
      </c>
    </row>
    <row r="85">
      <c r="A85" t="s">
        <v>642</v>
      </c>
      <c r="B85" t="s">
        <v>642</v>
      </c>
      <c r="C85" t="s">
        <v>642</v>
      </c>
      <c r="D85" t="s">
        <v>642</v>
      </c>
      <c r="E85" t="s">
        <v>11</v>
      </c>
      <c r="F85" t="s">
        <v>188</v>
      </c>
      <c r="G85" t="s">
        <v>642</v>
      </c>
      <c r="H85" t="s">
        <v>642</v>
      </c>
      <c r="I85" t="s">
        <v>642</v>
      </c>
      <c r="J85" t="s">
        <v>642</v>
      </c>
      <c r="K85" t="s">
        <v>642</v>
      </c>
      <c r="L85" t="s">
        <v>642</v>
      </c>
      <c r="M85" t="s">
        <v>642</v>
      </c>
      <c r="N85" t="s">
        <v>642</v>
      </c>
      <c r="O85" t="s">
        <v>642</v>
      </c>
      <c r="P85" t="s">
        <v>642</v>
      </c>
      <c r="Q85" t="s">
        <v>642</v>
      </c>
      <c r="R85" t="s">
        <v>642</v>
      </c>
      <c r="S85" t="s">
        <v>642</v>
      </c>
      <c r="T85" t="s">
        <v>642</v>
      </c>
    </row>
    <row r="86">
      <c r="A86" t="s">
        <v>642</v>
      </c>
      <c r="B86" t="s">
        <v>642</v>
      </c>
      <c r="C86" t="s">
        <v>642</v>
      </c>
      <c r="D86" t="s">
        <v>642</v>
      </c>
      <c r="E86" t="s">
        <v>642</v>
      </c>
      <c r="F86" t="s">
        <v>642</v>
      </c>
      <c r="G86" t="s">
        <v>24</v>
      </c>
      <c r="H86" t="s">
        <v>219</v>
      </c>
      <c r="I86" t="s">
        <v>642</v>
      </c>
      <c r="J86" t="s">
        <v>642</v>
      </c>
      <c r="K86" t="s">
        <v>642</v>
      </c>
      <c r="L86" t="s">
        <v>642</v>
      </c>
      <c r="M86" t="s">
        <v>642</v>
      </c>
      <c r="N86" t="s">
        <v>642</v>
      </c>
      <c r="O86" t="s">
        <v>642</v>
      </c>
      <c r="P86" t="s">
        <v>642</v>
      </c>
      <c r="Q86" t="s">
        <v>642</v>
      </c>
      <c r="R86" t="s">
        <v>642</v>
      </c>
      <c r="S86" t="s">
        <v>642</v>
      </c>
      <c r="T86" t="s">
        <v>642</v>
      </c>
    </row>
    <row r="87">
      <c r="A87" t="s">
        <v>642</v>
      </c>
      <c r="B87" t="s">
        <v>642</v>
      </c>
      <c r="C87" t="s">
        <v>642</v>
      </c>
      <c r="D87" t="s">
        <v>642</v>
      </c>
      <c r="E87" t="s">
        <v>642</v>
      </c>
      <c r="F87" t="s">
        <v>642</v>
      </c>
      <c r="G87" t="s">
        <v>642</v>
      </c>
      <c r="H87" t="s">
        <v>642</v>
      </c>
      <c r="I87" t="s">
        <v>11</v>
      </c>
      <c r="J87" t="s">
        <v>245</v>
      </c>
      <c r="K87" t="s">
        <v>642</v>
      </c>
      <c r="L87" t="s">
        <v>642</v>
      </c>
      <c r="M87" t="s">
        <v>642</v>
      </c>
      <c r="N87" t="s">
        <v>642</v>
      </c>
      <c r="O87" t="s">
        <v>642</v>
      </c>
      <c r="P87" t="s">
        <v>642</v>
      </c>
      <c r="Q87" t="s">
        <v>642</v>
      </c>
      <c r="R87" t="s">
        <v>642</v>
      </c>
      <c r="S87" t="s">
        <v>642</v>
      </c>
      <c r="T87" t="s">
        <v>642</v>
      </c>
    </row>
    <row r="88">
      <c r="A88" t="s">
        <v>642</v>
      </c>
      <c r="B88" t="s">
        <v>642</v>
      </c>
      <c r="C88" t="s">
        <v>642</v>
      </c>
      <c r="D88" t="s">
        <v>642</v>
      </c>
      <c r="E88" t="s">
        <v>642</v>
      </c>
      <c r="F88" t="s">
        <v>642</v>
      </c>
      <c r="G88" t="s">
        <v>642</v>
      </c>
      <c r="H88" t="s">
        <v>642</v>
      </c>
      <c r="I88" t="s">
        <v>642</v>
      </c>
      <c r="J88" t="s">
        <v>642</v>
      </c>
      <c r="K88" t="s">
        <v>27</v>
      </c>
      <c r="L88" t="s">
        <v>389</v>
      </c>
      <c r="M88" t="s">
        <v>642</v>
      </c>
      <c r="N88" t="s">
        <v>642</v>
      </c>
      <c r="O88" t="s">
        <v>642</v>
      </c>
      <c r="P88" t="s">
        <v>642</v>
      </c>
      <c r="Q88" t="s">
        <v>642</v>
      </c>
      <c r="R88" t="s">
        <v>642</v>
      </c>
      <c r="S88" t="s">
        <v>642</v>
      </c>
      <c r="T88" t="s">
        <v>642</v>
      </c>
    </row>
    <row r="89">
      <c r="A89" t="s">
        <v>642</v>
      </c>
      <c r="B89" t="s">
        <v>642</v>
      </c>
      <c r="C89" t="s">
        <v>642</v>
      </c>
      <c r="D89" t="s">
        <v>642</v>
      </c>
      <c r="E89" t="s">
        <v>642</v>
      </c>
      <c r="F89" t="s">
        <v>642</v>
      </c>
      <c r="G89" t="s">
        <v>642</v>
      </c>
      <c r="H89" t="s">
        <v>642</v>
      </c>
      <c r="I89" t="s">
        <v>642</v>
      </c>
      <c r="J89" t="s">
        <v>642</v>
      </c>
      <c r="K89" t="s">
        <v>642</v>
      </c>
      <c r="L89" t="s">
        <v>642</v>
      </c>
      <c r="M89" t="s">
        <v>464</v>
      </c>
      <c r="N89" t="s">
        <v>405</v>
      </c>
      <c r="O89" t="s">
        <v>642</v>
      </c>
      <c r="P89" t="s">
        <v>642</v>
      </c>
      <c r="Q89" t="s">
        <v>642</v>
      </c>
      <c r="R89" t="s">
        <v>642</v>
      </c>
      <c r="S89" t="s">
        <v>642</v>
      </c>
      <c r="T89" t="s">
        <v>642</v>
      </c>
    </row>
    <row r="90">
      <c r="A90" t="s">
        <v>642</v>
      </c>
      <c r="B90" t="s">
        <v>642</v>
      </c>
      <c r="C90" t="s">
        <v>642</v>
      </c>
      <c r="D90" t="s">
        <v>642</v>
      </c>
      <c r="E90" t="s">
        <v>642</v>
      </c>
      <c r="F90" t="s">
        <v>642</v>
      </c>
      <c r="G90" t="s">
        <v>642</v>
      </c>
      <c r="H90" t="s">
        <v>642</v>
      </c>
      <c r="I90" t="s">
        <v>642</v>
      </c>
      <c r="J90" t="s">
        <v>642</v>
      </c>
      <c r="K90" t="s">
        <v>642</v>
      </c>
      <c r="L90" t="s">
        <v>642</v>
      </c>
      <c r="M90" t="s">
        <v>642</v>
      </c>
      <c r="N90" t="s">
        <v>642</v>
      </c>
      <c r="O90" t="s">
        <v>24</v>
      </c>
      <c r="P90" t="s">
        <v>374</v>
      </c>
      <c r="Q90" t="s">
        <v>642</v>
      </c>
      <c r="R90" t="s">
        <v>642</v>
      </c>
      <c r="S90" t="s">
        <v>642</v>
      </c>
      <c r="T90" t="s">
        <v>642</v>
      </c>
    </row>
    <row r="91">
      <c r="A91" t="s">
        <v>642</v>
      </c>
      <c r="B91" t="s">
        <v>642</v>
      </c>
      <c r="C91" t="s">
        <v>642</v>
      </c>
      <c r="D91" t="s">
        <v>642</v>
      </c>
      <c r="E91" t="s">
        <v>642</v>
      </c>
      <c r="F91" t="s">
        <v>642</v>
      </c>
      <c r="G91" t="s">
        <v>642</v>
      </c>
      <c r="H91" t="s">
        <v>642</v>
      </c>
      <c r="I91" t="s">
        <v>642</v>
      </c>
      <c r="J91" t="s">
        <v>642</v>
      </c>
      <c r="K91" t="s">
        <v>642</v>
      </c>
      <c r="L91" t="s">
        <v>642</v>
      </c>
      <c r="M91" t="s">
        <v>642</v>
      </c>
      <c r="N91" t="s">
        <v>642</v>
      </c>
      <c r="O91" t="s">
        <v>642</v>
      </c>
      <c r="P91" t="s">
        <v>642</v>
      </c>
      <c r="Q91" t="s">
        <v>456</v>
      </c>
      <c r="R91" t="s">
        <v>425</v>
      </c>
      <c r="S91" t="s">
        <v>642</v>
      </c>
      <c r="T91" t="s">
        <v>642</v>
      </c>
    </row>
    <row r="92">
      <c r="A92" t="s">
        <v>642</v>
      </c>
      <c r="B92" t="s">
        <v>642</v>
      </c>
      <c r="C92" t="s">
        <v>642</v>
      </c>
      <c r="D92" t="s">
        <v>642</v>
      </c>
      <c r="E92" t="s">
        <v>642</v>
      </c>
      <c r="F92" t="s">
        <v>642</v>
      </c>
      <c r="G92" t="s">
        <v>642</v>
      </c>
      <c r="H92" t="s">
        <v>642</v>
      </c>
      <c r="I92" t="s">
        <v>642</v>
      </c>
      <c r="J92" t="s">
        <v>642</v>
      </c>
      <c r="K92" t="s">
        <v>642</v>
      </c>
      <c r="L92" t="s">
        <v>642</v>
      </c>
      <c r="M92" t="s">
        <v>642</v>
      </c>
      <c r="N92" t="s">
        <v>642</v>
      </c>
      <c r="O92" t="s">
        <v>642</v>
      </c>
      <c r="P92" t="s">
        <v>642</v>
      </c>
      <c r="Q92" t="s">
        <v>642</v>
      </c>
      <c r="R92" t="s">
        <v>642</v>
      </c>
      <c r="S92" t="s">
        <v>24</v>
      </c>
      <c r="T92" t="s">
        <v>377</v>
      </c>
    </row>
    <row r="93">
      <c r="A93" t="s">
        <v>642</v>
      </c>
      <c r="B93" t="s">
        <v>642</v>
      </c>
      <c r="C93" t="s">
        <v>642</v>
      </c>
      <c r="D93" t="s">
        <v>642</v>
      </c>
      <c r="E93" t="s">
        <v>642</v>
      </c>
      <c r="F93" t="s">
        <v>642</v>
      </c>
      <c r="G93" t="s">
        <v>642</v>
      </c>
      <c r="H93" t="s">
        <v>642</v>
      </c>
      <c r="I93" t="s">
        <v>642</v>
      </c>
      <c r="J93" t="s">
        <v>642</v>
      </c>
      <c r="K93" t="s">
        <v>642</v>
      </c>
      <c r="L93" t="s">
        <v>642</v>
      </c>
      <c r="M93" t="s">
        <v>642</v>
      </c>
      <c r="N93" t="s">
        <v>642</v>
      </c>
      <c r="O93" t="s">
        <v>642</v>
      </c>
      <c r="P93" t="s">
        <v>642</v>
      </c>
      <c r="Q93" t="s">
        <v>642</v>
      </c>
      <c r="R93" t="s">
        <v>642</v>
      </c>
      <c r="S93" t="s">
        <v>11</v>
      </c>
      <c r="T93" t="s">
        <v>437</v>
      </c>
    </row>
    <row r="94">
      <c r="A94" t="s">
        <v>642</v>
      </c>
      <c r="B94" t="s">
        <v>642</v>
      </c>
      <c r="C94" t="s">
        <v>642</v>
      </c>
      <c r="D94" t="s">
        <v>642</v>
      </c>
      <c r="E94" t="s">
        <v>642</v>
      </c>
      <c r="F94" t="s">
        <v>642</v>
      </c>
      <c r="G94" t="s">
        <v>642</v>
      </c>
      <c r="H94" t="s">
        <v>642</v>
      </c>
      <c r="I94" t="s">
        <v>642</v>
      </c>
      <c r="J94" t="s">
        <v>642</v>
      </c>
      <c r="K94" t="s">
        <v>642</v>
      </c>
      <c r="L94" t="s">
        <v>642</v>
      </c>
      <c r="M94" t="s">
        <v>642</v>
      </c>
      <c r="N94" t="s">
        <v>642</v>
      </c>
      <c r="O94" t="s">
        <v>642</v>
      </c>
      <c r="P94" t="s">
        <v>642</v>
      </c>
      <c r="Q94" t="s">
        <v>464</v>
      </c>
      <c r="R94" t="s">
        <v>431</v>
      </c>
      <c r="S94" t="s">
        <v>642</v>
      </c>
      <c r="T94" t="s">
        <v>642</v>
      </c>
    </row>
    <row r="95">
      <c r="A95" t="s">
        <v>642</v>
      </c>
      <c r="B95" t="s">
        <v>642</v>
      </c>
      <c r="C95" t="s">
        <v>642</v>
      </c>
      <c r="D95" t="s">
        <v>642</v>
      </c>
      <c r="E95" t="s">
        <v>642</v>
      </c>
      <c r="F95" t="s">
        <v>642</v>
      </c>
      <c r="G95" t="s">
        <v>642</v>
      </c>
      <c r="H95" t="s">
        <v>642</v>
      </c>
      <c r="I95" t="s">
        <v>642</v>
      </c>
      <c r="J95" t="s">
        <v>642</v>
      </c>
      <c r="K95" t="s">
        <v>642</v>
      </c>
      <c r="L95" t="s">
        <v>642</v>
      </c>
      <c r="M95" t="s">
        <v>642</v>
      </c>
      <c r="N95" t="s">
        <v>642</v>
      </c>
      <c r="O95" t="s">
        <v>479</v>
      </c>
      <c r="P95" t="s">
        <v>414</v>
      </c>
      <c r="Q95" t="s">
        <v>642</v>
      </c>
      <c r="R95" t="s">
        <v>642</v>
      </c>
      <c r="S95" t="s">
        <v>642</v>
      </c>
      <c r="T95" t="s">
        <v>642</v>
      </c>
    </row>
    <row r="96">
      <c r="A96" t="s">
        <v>642</v>
      </c>
      <c r="B96" t="s">
        <v>642</v>
      </c>
      <c r="C96" t="s">
        <v>642</v>
      </c>
      <c r="D96" t="s">
        <v>642</v>
      </c>
      <c r="E96" t="s">
        <v>642</v>
      </c>
      <c r="F96" t="s">
        <v>642</v>
      </c>
      <c r="G96" t="s">
        <v>642</v>
      </c>
      <c r="H96" t="s">
        <v>642</v>
      </c>
      <c r="I96" t="s">
        <v>642</v>
      </c>
      <c r="J96" t="s">
        <v>642</v>
      </c>
      <c r="K96" t="s">
        <v>642</v>
      </c>
      <c r="L96" t="s">
        <v>642</v>
      </c>
      <c r="M96" t="s">
        <v>456</v>
      </c>
      <c r="N96" t="s">
        <v>399</v>
      </c>
      <c r="O96" t="s">
        <v>642</v>
      </c>
      <c r="P96" t="s">
        <v>642</v>
      </c>
      <c r="Q96" t="s">
        <v>642</v>
      </c>
      <c r="R96" t="s">
        <v>642</v>
      </c>
      <c r="S96" t="s">
        <v>642</v>
      </c>
      <c r="T96" t="s">
        <v>642</v>
      </c>
    </row>
    <row r="97">
      <c r="A97" t="s">
        <v>642</v>
      </c>
      <c r="B97" t="s">
        <v>642</v>
      </c>
      <c r="C97" t="s">
        <v>642</v>
      </c>
      <c r="D97" t="s">
        <v>642</v>
      </c>
      <c r="E97" t="s">
        <v>642</v>
      </c>
      <c r="F97" t="s">
        <v>642</v>
      </c>
      <c r="G97" t="s">
        <v>642</v>
      </c>
      <c r="H97" t="s">
        <v>642</v>
      </c>
      <c r="I97" t="s">
        <v>642</v>
      </c>
      <c r="J97" t="s">
        <v>642</v>
      </c>
      <c r="K97" t="s">
        <v>464</v>
      </c>
      <c r="L97" t="s">
        <v>394</v>
      </c>
      <c r="M97" t="s">
        <v>642</v>
      </c>
      <c r="N97" t="s">
        <v>642</v>
      </c>
      <c r="O97" t="s">
        <v>642</v>
      </c>
      <c r="P97" t="s">
        <v>642</v>
      </c>
      <c r="Q97" t="s">
        <v>642</v>
      </c>
      <c r="R97" t="s">
        <v>642</v>
      </c>
      <c r="S97" t="s">
        <v>642</v>
      </c>
      <c r="T97" t="s">
        <v>642</v>
      </c>
    </row>
    <row r="98">
      <c r="A98" t="s">
        <v>642</v>
      </c>
      <c r="B98" t="s">
        <v>642</v>
      </c>
      <c r="C98" t="s">
        <v>642</v>
      </c>
      <c r="D98" t="s">
        <v>642</v>
      </c>
      <c r="E98" t="s">
        <v>642</v>
      </c>
      <c r="F98" t="s">
        <v>642</v>
      </c>
      <c r="G98" t="s">
        <v>642</v>
      </c>
      <c r="H98" t="s">
        <v>642</v>
      </c>
      <c r="I98" t="s">
        <v>29</v>
      </c>
      <c r="J98" t="s">
        <v>232</v>
      </c>
      <c r="K98" t="s">
        <v>642</v>
      </c>
      <c r="L98" t="s">
        <v>642</v>
      </c>
      <c r="M98" t="s">
        <v>642</v>
      </c>
      <c r="N98" t="s">
        <v>642</v>
      </c>
      <c r="O98" t="s">
        <v>642</v>
      </c>
      <c r="P98" t="s">
        <v>642</v>
      </c>
      <c r="Q98" t="s">
        <v>642</v>
      </c>
      <c r="R98" t="s">
        <v>642</v>
      </c>
      <c r="S98" t="s">
        <v>642</v>
      </c>
      <c r="T98" t="s">
        <v>642</v>
      </c>
    </row>
    <row r="99">
      <c r="A99" t="s">
        <v>642</v>
      </c>
      <c r="B99" t="s">
        <v>642</v>
      </c>
      <c r="C99" t="s">
        <v>642</v>
      </c>
      <c r="D99" t="s">
        <v>642</v>
      </c>
      <c r="E99" t="s">
        <v>642</v>
      </c>
      <c r="F99" t="s">
        <v>642</v>
      </c>
      <c r="G99" t="s">
        <v>393</v>
      </c>
      <c r="H99" t="s">
        <v>217</v>
      </c>
      <c r="I99" t="s">
        <v>642</v>
      </c>
      <c r="J99" t="s">
        <v>642</v>
      </c>
      <c r="K99" t="s">
        <v>642</v>
      </c>
      <c r="L99" t="s">
        <v>642</v>
      </c>
      <c r="M99" t="s">
        <v>642</v>
      </c>
      <c r="N99" t="s">
        <v>642</v>
      </c>
      <c r="O99" t="s">
        <v>642</v>
      </c>
      <c r="P99" t="s">
        <v>642</v>
      </c>
      <c r="Q99" t="s">
        <v>642</v>
      </c>
      <c r="R99" t="s">
        <v>642</v>
      </c>
      <c r="S99" t="s">
        <v>642</v>
      </c>
      <c r="T99" t="s">
        <v>642</v>
      </c>
    </row>
    <row r="100">
      <c r="A100" t="s">
        <v>642</v>
      </c>
      <c r="B100" t="s">
        <v>642</v>
      </c>
      <c r="C100" t="s">
        <v>642</v>
      </c>
      <c r="D100" t="s">
        <v>642</v>
      </c>
      <c r="E100" t="s">
        <v>413</v>
      </c>
      <c r="F100" t="s">
        <v>191</v>
      </c>
      <c r="G100" t="s">
        <v>642</v>
      </c>
      <c r="H100" t="s">
        <v>642</v>
      </c>
      <c r="I100" t="s">
        <v>642</v>
      </c>
      <c r="J100" t="s">
        <v>642</v>
      </c>
      <c r="K100" t="s">
        <v>642</v>
      </c>
      <c r="L100" t="s">
        <v>642</v>
      </c>
      <c r="M100" t="s">
        <v>642</v>
      </c>
      <c r="N100" t="s">
        <v>642</v>
      </c>
      <c r="O100" t="s">
        <v>642</v>
      </c>
      <c r="P100" t="s">
        <v>642</v>
      </c>
      <c r="Q100" t="s">
        <v>642</v>
      </c>
      <c r="R100" t="s">
        <v>642</v>
      </c>
      <c r="S100" t="s">
        <v>642</v>
      </c>
      <c r="T100" t="s">
        <v>642</v>
      </c>
    </row>
    <row r="101">
      <c r="A101" t="s">
        <v>642</v>
      </c>
      <c r="B101" t="s">
        <v>642</v>
      </c>
      <c r="C101" t="s">
        <v>27</v>
      </c>
      <c r="D101" t="s">
        <v>157</v>
      </c>
      <c r="E101" t="s">
        <v>642</v>
      </c>
      <c r="F101" t="s">
        <v>642</v>
      </c>
      <c r="G101" t="s">
        <v>642</v>
      </c>
      <c r="H101" t="s">
        <v>642</v>
      </c>
      <c r="I101" t="s">
        <v>642</v>
      </c>
      <c r="J101" t="s">
        <v>642</v>
      </c>
      <c r="K101" t="s">
        <v>642</v>
      </c>
      <c r="L101" t="s">
        <v>642</v>
      </c>
      <c r="M101" t="s">
        <v>642</v>
      </c>
      <c r="N101" t="s">
        <v>642</v>
      </c>
      <c r="O101" t="s">
        <v>642</v>
      </c>
      <c r="P101" t="s">
        <v>642</v>
      </c>
      <c r="Q101" t="s">
        <v>642</v>
      </c>
      <c r="R101" t="s">
        <v>642</v>
      </c>
      <c r="S101" t="s">
        <v>642</v>
      </c>
      <c r="T101" t="s">
        <v>642</v>
      </c>
    </row>
    <row r="102">
      <c r="A102" t="s">
        <v>479</v>
      </c>
      <c r="B102" t="s">
        <v>120</v>
      </c>
      <c r="C102" t="s">
        <v>642</v>
      </c>
      <c r="D102" t="s">
        <v>642</v>
      </c>
      <c r="E102" t="s">
        <v>642</v>
      </c>
      <c r="F102" t="s">
        <v>642</v>
      </c>
      <c r="G102" t="s">
        <v>642</v>
      </c>
      <c r="H102" t="s">
        <v>642</v>
      </c>
      <c r="I102" t="s">
        <v>642</v>
      </c>
      <c r="J102" t="s">
        <v>642</v>
      </c>
      <c r="K102" t="s">
        <v>642</v>
      </c>
      <c r="L102" t="s">
        <v>642</v>
      </c>
      <c r="M102" t="s">
        <v>642</v>
      </c>
      <c r="N102" t="s">
        <v>642</v>
      </c>
      <c r="O102" t="s">
        <v>642</v>
      </c>
      <c r="P102" t="s">
        <v>642</v>
      </c>
      <c r="Q102" t="s">
        <v>642</v>
      </c>
      <c r="R102" t="s">
        <v>642</v>
      </c>
      <c r="S102" t="s">
        <v>642</v>
      </c>
      <c r="T102" t="s">
        <v>642</v>
      </c>
    </row>
    <row r="103">
      <c r="A103" t="s">
        <v>642</v>
      </c>
      <c r="B103" t="s">
        <v>642</v>
      </c>
      <c r="C103" t="s">
        <v>642</v>
      </c>
      <c r="D103" t="s">
        <v>642</v>
      </c>
      <c r="E103" t="s">
        <v>642</v>
      </c>
      <c r="F103" t="s">
        <v>642</v>
      </c>
      <c r="G103" t="s">
        <v>642</v>
      </c>
      <c r="H103" t="s">
        <v>642</v>
      </c>
      <c r="I103" t="s">
        <v>642</v>
      </c>
      <c r="J103" t="s">
        <v>642</v>
      </c>
      <c r="K103" t="s">
        <v>642</v>
      </c>
      <c r="L103" t="s">
        <v>642</v>
      </c>
      <c r="M103" t="s">
        <v>642</v>
      </c>
      <c r="N103" t="s">
        <v>642</v>
      </c>
      <c r="O103" t="s">
        <v>642</v>
      </c>
      <c r="P103" t="s">
        <v>642</v>
      </c>
      <c r="Q103" t="s">
        <v>642</v>
      </c>
      <c r="R103" t="s">
        <v>642</v>
      </c>
      <c r="S103" t="s">
        <v>642</v>
      </c>
      <c r="T103" t="s">
        <v>642</v>
      </c>
    </row>
    <row r="104">
      <c r="A104" t="s">
        <v>642</v>
      </c>
      <c r="B104" t="s">
        <v>642</v>
      </c>
      <c r="C104" t="s">
        <v>642</v>
      </c>
      <c r="D104" t="s">
        <v>642</v>
      </c>
      <c r="E104" t="s">
        <v>642</v>
      </c>
      <c r="F104" t="s">
        <v>642</v>
      </c>
      <c r="G104" t="s">
        <v>642</v>
      </c>
      <c r="H104" t="s">
        <v>642</v>
      </c>
      <c r="I104" t="s">
        <v>642</v>
      </c>
      <c r="J104" t="s">
        <v>642</v>
      </c>
      <c r="K104" t="s">
        <v>642</v>
      </c>
      <c r="L104" t="s">
        <v>642</v>
      </c>
      <c r="M104" t="s">
        <v>642</v>
      </c>
      <c r="N104" t="s">
        <v>642</v>
      </c>
      <c r="O104" t="s">
        <v>642</v>
      </c>
      <c r="P104" t="s">
        <v>642</v>
      </c>
      <c r="Q104" t="s">
        <v>642</v>
      </c>
      <c r="R104" t="s">
        <v>642</v>
      </c>
      <c r="S104" t="s">
        <v>642</v>
      </c>
      <c r="T104" t="s">
        <v>642</v>
      </c>
    </row>
    <row r="105">
      <c r="A105" t="s">
        <v>642</v>
      </c>
      <c r="B105" t="s">
        <v>642</v>
      </c>
      <c r="C105" t="s">
        <v>642</v>
      </c>
      <c r="D105" t="s">
        <v>642</v>
      </c>
      <c r="E105" t="s">
        <v>642</v>
      </c>
      <c r="F105" t="s">
        <v>642</v>
      </c>
      <c r="G105" t="s">
        <v>642</v>
      </c>
      <c r="H105" t="s">
        <v>642</v>
      </c>
      <c r="I105" t="s">
        <v>642</v>
      </c>
      <c r="J105" t="s">
        <v>642</v>
      </c>
      <c r="K105" t="s">
        <v>642</v>
      </c>
      <c r="L105" t="s">
        <v>642</v>
      </c>
      <c r="M105" t="s">
        <v>642</v>
      </c>
      <c r="N105" t="s">
        <v>642</v>
      </c>
      <c r="O105" t="s">
        <v>642</v>
      </c>
      <c r="P105" t="s">
        <v>642</v>
      </c>
      <c r="Q105" t="s">
        <v>642</v>
      </c>
      <c r="R105" t="s">
        <v>642</v>
      </c>
      <c r="S105" t="s">
        <v>642</v>
      </c>
      <c r="T105" t="s">
        <v>642</v>
      </c>
    </row>
    <row r="106">
      <c r="A106" t="s">
        <v>642</v>
      </c>
      <c r="B106" t="s">
        <v>642</v>
      </c>
      <c r="C106" t="s">
        <v>642</v>
      </c>
      <c r="D106" t="s">
        <v>642</v>
      </c>
      <c r="E106" t="s">
        <v>642</v>
      </c>
      <c r="F106" t="s">
        <v>642</v>
      </c>
      <c r="G106" t="s">
        <v>642</v>
      </c>
      <c r="H106" t="s">
        <v>642</v>
      </c>
      <c r="I106" t="s">
        <v>642</v>
      </c>
      <c r="J106" t="s">
        <v>642</v>
      </c>
      <c r="K106" t="s">
        <v>642</v>
      </c>
      <c r="L106" t="s">
        <v>642</v>
      </c>
      <c r="M106" t="s">
        <v>642</v>
      </c>
      <c r="N106" t="s">
        <v>642</v>
      </c>
      <c r="O106" t="s">
        <v>642</v>
      </c>
      <c r="P106" t="s">
        <v>642</v>
      </c>
      <c r="Q106" t="s">
        <v>642</v>
      </c>
      <c r="R106" t="s">
        <v>642</v>
      </c>
      <c r="S106" t="s">
        <v>642</v>
      </c>
      <c r="T106" t="s">
        <v>642</v>
      </c>
    </row>
    <row r="107">
      <c r="A107" t="s">
        <v>642</v>
      </c>
      <c r="B107" t="s">
        <v>642</v>
      </c>
      <c r="C107" t="s">
        <v>642</v>
      </c>
      <c r="D107" t="s">
        <v>642</v>
      </c>
      <c r="E107" t="s">
        <v>642</v>
      </c>
      <c r="F107" t="s">
        <v>642</v>
      </c>
      <c r="G107" t="s">
        <v>642</v>
      </c>
      <c r="H107" t="s">
        <v>642</v>
      </c>
      <c r="I107" t="s">
        <v>642</v>
      </c>
      <c r="J107" t="s">
        <v>642</v>
      </c>
      <c r="K107" t="s">
        <v>642</v>
      </c>
      <c r="L107" t="s">
        <v>642</v>
      </c>
      <c r="M107" t="s">
        <v>642</v>
      </c>
      <c r="N107" t="s">
        <v>642</v>
      </c>
      <c r="O107" t="s">
        <v>642</v>
      </c>
      <c r="P107" t="s">
        <v>642</v>
      </c>
      <c r="Q107" t="s">
        <v>642</v>
      </c>
      <c r="R107" t="s">
        <v>642</v>
      </c>
      <c r="S107" t="s">
        <v>642</v>
      </c>
      <c r="T107" t="s">
        <v>642</v>
      </c>
    </row>
    <row r="108">
      <c r="A108" t="s">
        <v>642</v>
      </c>
      <c r="B108" t="s">
        <v>642</v>
      </c>
      <c r="C108" t="s">
        <v>642</v>
      </c>
      <c r="D108" t="s">
        <v>642</v>
      </c>
      <c r="E108" t="s">
        <v>642</v>
      </c>
      <c r="F108" t="s">
        <v>642</v>
      </c>
      <c r="G108" t="s">
        <v>642</v>
      </c>
      <c r="H108" t="s">
        <v>642</v>
      </c>
      <c r="I108" t="s">
        <v>642</v>
      </c>
      <c r="J108" t="s">
        <v>642</v>
      </c>
      <c r="K108" t="s">
        <v>642</v>
      </c>
      <c r="L108" t="s">
        <v>642</v>
      </c>
      <c r="M108" t="s">
        <v>642</v>
      </c>
      <c r="N108" t="s">
        <v>642</v>
      </c>
      <c r="O108" t="s">
        <v>642</v>
      </c>
      <c r="P108" t="s">
        <v>642</v>
      </c>
      <c r="Q108" t="s">
        <v>642</v>
      </c>
      <c r="R108" t="s">
        <v>642</v>
      </c>
      <c r="S108" t="s">
        <v>642</v>
      </c>
      <c r="T108" t="s">
        <v>642</v>
      </c>
    </row>
    <row r="109">
      <c r="A109" t="s">
        <v>642</v>
      </c>
      <c r="B109" t="s">
        <v>642</v>
      </c>
      <c r="C109" t="s">
        <v>642</v>
      </c>
      <c r="D109" t="s">
        <v>642</v>
      </c>
      <c r="E109" t="s">
        <v>642</v>
      </c>
      <c r="F109" t="s">
        <v>642</v>
      </c>
      <c r="G109" t="s">
        <v>642</v>
      </c>
      <c r="H109" t="s">
        <v>642</v>
      </c>
      <c r="I109" t="s">
        <v>642</v>
      </c>
      <c r="J109" t="s">
        <v>642</v>
      </c>
      <c r="K109" t="s">
        <v>642</v>
      </c>
      <c r="L109" t="s">
        <v>642</v>
      </c>
      <c r="M109" t="s">
        <v>642</v>
      </c>
      <c r="N109" t="s">
        <v>642</v>
      </c>
      <c r="O109" t="s">
        <v>642</v>
      </c>
      <c r="P109" t="s">
        <v>642</v>
      </c>
      <c r="Q109" t="s">
        <v>642</v>
      </c>
      <c r="R109" t="s">
        <v>642</v>
      </c>
      <c r="S109" t="s">
        <v>642</v>
      </c>
      <c r="T109" t="s">
        <v>642</v>
      </c>
    </row>
    <row r="110">
      <c r="A110" t="s">
        <v>642</v>
      </c>
      <c r="B110" t="s">
        <v>642</v>
      </c>
      <c r="C110" t="s">
        <v>642</v>
      </c>
      <c r="D110" t="s">
        <v>642</v>
      </c>
      <c r="E110" t="s">
        <v>642</v>
      </c>
      <c r="F110" t="s">
        <v>642</v>
      </c>
      <c r="G110" t="s">
        <v>642</v>
      </c>
      <c r="H110" t="s">
        <v>642</v>
      </c>
      <c r="I110" t="s">
        <v>642</v>
      </c>
      <c r="J110" t="s">
        <v>642</v>
      </c>
      <c r="K110" t="s">
        <v>642</v>
      </c>
      <c r="L110" t="s">
        <v>642</v>
      </c>
      <c r="M110" t="s">
        <v>642</v>
      </c>
      <c r="N110" t="s">
        <v>642</v>
      </c>
      <c r="O110" t="s">
        <v>642</v>
      </c>
      <c r="P110" t="s">
        <v>642</v>
      </c>
      <c r="Q110" t="s">
        <v>642</v>
      </c>
      <c r="R110" t="s">
        <v>642</v>
      </c>
      <c r="S110" t="s">
        <v>642</v>
      </c>
      <c r="T110" t="s">
        <v>642</v>
      </c>
    </row>
    <row r="111">
      <c r="A111" t="s">
        <v>642</v>
      </c>
      <c r="B111" t="s">
        <v>642</v>
      </c>
      <c r="C111" t="s">
        <v>642</v>
      </c>
      <c r="D111" t="s">
        <v>642</v>
      </c>
      <c r="E111" t="s">
        <v>642</v>
      </c>
      <c r="F111" t="s">
        <v>642</v>
      </c>
      <c r="G111" t="s">
        <v>642</v>
      </c>
      <c r="H111" t="s">
        <v>642</v>
      </c>
      <c r="I111" t="s">
        <v>642</v>
      </c>
      <c r="J111" t="s">
        <v>642</v>
      </c>
      <c r="K111" t="s">
        <v>642</v>
      </c>
      <c r="L111" t="s">
        <v>642</v>
      </c>
      <c r="M111" t="s">
        <v>642</v>
      </c>
      <c r="N111" t="s">
        <v>642</v>
      </c>
      <c r="O111" t="s">
        <v>642</v>
      </c>
      <c r="P111" t="s">
        <v>642</v>
      </c>
      <c r="Q111" t="s">
        <v>642</v>
      </c>
      <c r="R111" t="s">
        <v>642</v>
      </c>
      <c r="S111" t="s">
        <v>642</v>
      </c>
      <c r="T111" t="s">
        <v>642</v>
      </c>
    </row>
    <row r="112">
      <c r="A112" t="s">
        <v>642</v>
      </c>
      <c r="B112" t="s">
        <v>642</v>
      </c>
      <c r="C112" t="s">
        <v>642</v>
      </c>
      <c r="D112" t="s">
        <v>642</v>
      </c>
      <c r="E112" t="s">
        <v>642</v>
      </c>
      <c r="F112" t="s">
        <v>642</v>
      </c>
      <c r="G112" t="s">
        <v>642</v>
      </c>
      <c r="H112" t="s">
        <v>642</v>
      </c>
      <c r="I112" t="s">
        <v>642</v>
      </c>
      <c r="J112" t="s">
        <v>642</v>
      </c>
      <c r="K112" t="s">
        <v>642</v>
      </c>
      <c r="L112" t="s">
        <v>642</v>
      </c>
      <c r="M112" t="s">
        <v>642</v>
      </c>
      <c r="N112" t="s">
        <v>642</v>
      </c>
      <c r="O112" t="s">
        <v>642</v>
      </c>
      <c r="P112" t="s">
        <v>642</v>
      </c>
      <c r="Q112" t="s">
        <v>642</v>
      </c>
      <c r="R112" t="s">
        <v>642</v>
      </c>
      <c r="S112" t="s">
        <v>642</v>
      </c>
      <c r="T112" t="s">
        <v>642</v>
      </c>
    </row>
    <row r="113">
      <c r="A113" t="s">
        <v>642</v>
      </c>
      <c r="B113" t="s">
        <v>642</v>
      </c>
      <c r="C113" t="s">
        <v>642</v>
      </c>
      <c r="D113" t="s">
        <v>642</v>
      </c>
      <c r="E113" t="s">
        <v>642</v>
      </c>
      <c r="F113" t="s">
        <v>642</v>
      </c>
      <c r="G113" t="s">
        <v>642</v>
      </c>
      <c r="H113" t="s">
        <v>642</v>
      </c>
      <c r="I113" t="s">
        <v>642</v>
      </c>
      <c r="J113" t="s">
        <v>642</v>
      </c>
      <c r="K113" t="s">
        <v>642</v>
      </c>
      <c r="L113" t="s">
        <v>642</v>
      </c>
      <c r="M113" t="s">
        <v>642</v>
      </c>
      <c r="N113" t="s">
        <v>642</v>
      </c>
      <c r="O113" t="s">
        <v>642</v>
      </c>
      <c r="P113" t="s">
        <v>642</v>
      </c>
      <c r="Q113" t="s">
        <v>642</v>
      </c>
      <c r="R113" t="s">
        <v>642</v>
      </c>
      <c r="S113" t="s">
        <v>642</v>
      </c>
      <c r="T113" t="s">
        <v>642</v>
      </c>
    </row>
    <row r="114">
      <c r="A114" t="s">
        <v>642</v>
      </c>
      <c r="B114" t="s">
        <v>642</v>
      </c>
      <c r="C114" t="s">
        <v>642</v>
      </c>
      <c r="D114" t="s">
        <v>642</v>
      </c>
      <c r="E114" t="s">
        <v>642</v>
      </c>
      <c r="F114" t="s">
        <v>642</v>
      </c>
      <c r="G114" t="s">
        <v>642</v>
      </c>
      <c r="H114" t="s">
        <v>642</v>
      </c>
      <c r="I114" t="s">
        <v>642</v>
      </c>
      <c r="J114" t="s">
        <v>642</v>
      </c>
      <c r="K114" t="s">
        <v>642</v>
      </c>
      <c r="L114" t="s">
        <v>642</v>
      </c>
      <c r="M114" t="s">
        <v>642</v>
      </c>
      <c r="N114" t="s">
        <v>642</v>
      </c>
      <c r="O114" t="s">
        <v>642</v>
      </c>
      <c r="P114" t="s">
        <v>642</v>
      </c>
      <c r="Q114" t="s">
        <v>642</v>
      </c>
      <c r="R114" t="s">
        <v>642</v>
      </c>
      <c r="S114" t="s">
        <v>642</v>
      </c>
      <c r="T114" t="s">
        <v>642</v>
      </c>
    </row>
    <row r="115">
      <c r="A115" t="s">
        <v>642</v>
      </c>
      <c r="B115" t="s">
        <v>642</v>
      </c>
      <c r="C115" t="s">
        <v>642</v>
      </c>
      <c r="D115" t="s">
        <v>642</v>
      </c>
      <c r="E115" t="s">
        <v>642</v>
      </c>
      <c r="F115" t="s">
        <v>642</v>
      </c>
      <c r="G115" t="s">
        <v>642</v>
      </c>
      <c r="H115" t="s">
        <v>642</v>
      </c>
      <c r="I115" t="s">
        <v>642</v>
      </c>
      <c r="J115" t="s">
        <v>642</v>
      </c>
      <c r="K115" t="s">
        <v>642</v>
      </c>
      <c r="L115" t="s">
        <v>642</v>
      </c>
      <c r="M115" t="s">
        <v>642</v>
      </c>
      <c r="N115" t="s">
        <v>642</v>
      </c>
      <c r="O115" t="s">
        <v>642</v>
      </c>
      <c r="P115" t="s">
        <v>642</v>
      </c>
      <c r="Q115" t="s">
        <v>642</v>
      </c>
      <c r="R115" t="s">
        <v>642</v>
      </c>
      <c r="S115" t="s">
        <v>642</v>
      </c>
      <c r="T115" t="s">
        <v>642</v>
      </c>
    </row>
    <row r="116">
      <c r="A116" t="s">
        <v>642</v>
      </c>
      <c r="B116" t="s">
        <v>642</v>
      </c>
      <c r="C116" t="s">
        <v>642</v>
      </c>
      <c r="D116" t="s">
        <v>642</v>
      </c>
      <c r="E116" t="s">
        <v>642</v>
      </c>
      <c r="F116" t="s">
        <v>642</v>
      </c>
      <c r="G116" t="s">
        <v>642</v>
      </c>
      <c r="H116" t="s">
        <v>642</v>
      </c>
      <c r="I116" t="s">
        <v>642</v>
      </c>
      <c r="J116" t="s">
        <v>642</v>
      </c>
      <c r="K116" t="s">
        <v>642</v>
      </c>
      <c r="L116" t="s">
        <v>642</v>
      </c>
      <c r="M116" t="s">
        <v>642</v>
      </c>
      <c r="N116" t="s">
        <v>642</v>
      </c>
      <c r="O116" t="s">
        <v>642</v>
      </c>
      <c r="P116" t="s">
        <v>642</v>
      </c>
      <c r="Q116" t="s">
        <v>642</v>
      </c>
      <c r="R116" t="s">
        <v>642</v>
      </c>
      <c r="S116" t="s">
        <v>642</v>
      </c>
      <c r="T116" t="s">
        <v>642</v>
      </c>
    </row>
    <row r="117">
      <c r="A117" t="s">
        <v>642</v>
      </c>
      <c r="B117" t="s">
        <v>642</v>
      </c>
      <c r="C117" t="s">
        <v>642</v>
      </c>
      <c r="D117" t="s">
        <v>642</v>
      </c>
      <c r="E117" t="s">
        <v>642</v>
      </c>
      <c r="F117" t="s">
        <v>642</v>
      </c>
      <c r="G117" t="s">
        <v>642</v>
      </c>
      <c r="H117" t="s">
        <v>642</v>
      </c>
      <c r="I117" t="s">
        <v>642</v>
      </c>
      <c r="J117" t="s">
        <v>642</v>
      </c>
      <c r="K117" t="s">
        <v>642</v>
      </c>
      <c r="L117" t="s">
        <v>642</v>
      </c>
      <c r="M117" t="s">
        <v>642</v>
      </c>
      <c r="N117" t="s">
        <v>642</v>
      </c>
      <c r="O117" t="s">
        <v>642</v>
      </c>
      <c r="P117" t="s">
        <v>642</v>
      </c>
      <c r="Q117" t="s">
        <v>642</v>
      </c>
      <c r="R117" t="s">
        <v>642</v>
      </c>
      <c r="S117" t="s">
        <v>642</v>
      </c>
      <c r="T117" t="s">
        <v>642</v>
      </c>
    </row>
    <row r="118">
      <c r="A118" t="s">
        <v>642</v>
      </c>
      <c r="B118" t="s">
        <v>642</v>
      </c>
      <c r="C118" t="s">
        <v>642</v>
      </c>
      <c r="D118" t="s">
        <v>642</v>
      </c>
      <c r="E118" t="s">
        <v>642</v>
      </c>
      <c r="F118" t="s">
        <v>642</v>
      </c>
      <c r="G118" t="s">
        <v>642</v>
      </c>
      <c r="H118" t="s">
        <v>642</v>
      </c>
      <c r="I118" t="s">
        <v>642</v>
      </c>
      <c r="J118" t="s">
        <v>642</v>
      </c>
      <c r="K118" t="s">
        <v>642</v>
      </c>
      <c r="L118" t="s">
        <v>642</v>
      </c>
      <c r="M118" t="s">
        <v>642</v>
      </c>
      <c r="N118" t="s">
        <v>642</v>
      </c>
      <c r="O118" t="s">
        <v>642</v>
      </c>
      <c r="P118" t="s">
        <v>642</v>
      </c>
      <c r="Q118" t="s">
        <v>642</v>
      </c>
      <c r="R118" t="s">
        <v>642</v>
      </c>
      <c r="S118" t="s">
        <v>642</v>
      </c>
      <c r="T118" t="s">
        <v>642</v>
      </c>
    </row>
    <row r="119">
      <c r="A119" t="s">
        <v>642</v>
      </c>
      <c r="B119" t="s">
        <v>642</v>
      </c>
      <c r="C119" t="s">
        <v>642</v>
      </c>
      <c r="D119" t="s">
        <v>642</v>
      </c>
      <c r="E119" t="s">
        <v>642</v>
      </c>
      <c r="F119" t="s">
        <v>642</v>
      </c>
      <c r="G119" t="s">
        <v>642</v>
      </c>
      <c r="H119" t="s">
        <v>642</v>
      </c>
      <c r="I119" t="s">
        <v>642</v>
      </c>
      <c r="J119" t="s">
        <v>642</v>
      </c>
      <c r="K119" t="s">
        <v>642</v>
      </c>
      <c r="L119" t="s">
        <v>642</v>
      </c>
      <c r="M119" t="s">
        <v>642</v>
      </c>
      <c r="N119" t="s">
        <v>642</v>
      </c>
      <c r="O119" t="s">
        <v>642</v>
      </c>
      <c r="P119" t="s">
        <v>642</v>
      </c>
      <c r="Q119" t="s">
        <v>642</v>
      </c>
      <c r="R119" t="s">
        <v>642</v>
      </c>
      <c r="S119" t="s">
        <v>642</v>
      </c>
      <c r="T119" t="s">
        <v>642</v>
      </c>
    </row>
    <row r="120">
      <c r="A120" t="s">
        <v>642</v>
      </c>
      <c r="B120" t="s">
        <v>642</v>
      </c>
      <c r="C120" t="s">
        <v>642</v>
      </c>
      <c r="D120" t="s">
        <v>642</v>
      </c>
      <c r="E120" t="s">
        <v>642</v>
      </c>
      <c r="F120" t="s">
        <v>642</v>
      </c>
      <c r="G120" t="s">
        <v>642</v>
      </c>
      <c r="H120" t="s">
        <v>642</v>
      </c>
      <c r="I120" t="s">
        <v>642</v>
      </c>
      <c r="J120" t="s">
        <v>642</v>
      </c>
      <c r="K120" t="s">
        <v>642</v>
      </c>
      <c r="L120" t="s">
        <v>642</v>
      </c>
      <c r="M120" t="s">
        <v>642</v>
      </c>
      <c r="N120" t="s">
        <v>642</v>
      </c>
      <c r="O120" t="s">
        <v>642</v>
      </c>
      <c r="P120" t="s">
        <v>642</v>
      </c>
      <c r="Q120" t="s">
        <v>642</v>
      </c>
      <c r="R120" t="s">
        <v>642</v>
      </c>
      <c r="S120" t="s">
        <v>642</v>
      </c>
      <c r="T120" t="s">
        <v>642</v>
      </c>
    </row>
    <row r="121">
      <c r="A121" t="s">
        <v>642</v>
      </c>
      <c r="B121" t="s">
        <v>642</v>
      </c>
      <c r="C121" t="s">
        <v>642</v>
      </c>
      <c r="D121" t="s">
        <v>642</v>
      </c>
      <c r="E121" t="s">
        <v>642</v>
      </c>
      <c r="F121" t="s">
        <v>642</v>
      </c>
      <c r="G121" t="s">
        <v>642</v>
      </c>
      <c r="H121" t="s">
        <v>642</v>
      </c>
      <c r="I121" t="s">
        <v>642</v>
      </c>
      <c r="J121" t="s">
        <v>642</v>
      </c>
      <c r="K121" t="s">
        <v>642</v>
      </c>
      <c r="L121" t="s">
        <v>642</v>
      </c>
      <c r="M121" t="s">
        <v>642</v>
      </c>
      <c r="N121" t="s">
        <v>642</v>
      </c>
      <c r="O121" t="s">
        <v>642</v>
      </c>
      <c r="P121" t="s">
        <v>642</v>
      </c>
      <c r="Q121" t="s">
        <v>642</v>
      </c>
      <c r="R121" t="s">
        <v>642</v>
      </c>
      <c r="S121" t="s">
        <v>642</v>
      </c>
      <c r="T121" t="s">
        <v>642</v>
      </c>
    </row>
    <row r="122">
      <c r="A122" t="s">
        <v>642</v>
      </c>
      <c r="B122" t="s">
        <v>642</v>
      </c>
      <c r="C122" t="s">
        <v>642</v>
      </c>
      <c r="D122" t="s">
        <v>642</v>
      </c>
      <c r="E122" t="s">
        <v>642</v>
      </c>
      <c r="F122" t="s">
        <v>642</v>
      </c>
      <c r="G122" t="s">
        <v>642</v>
      </c>
      <c r="H122" t="s">
        <v>642</v>
      </c>
      <c r="I122" t="s">
        <v>642</v>
      </c>
      <c r="J122" t="s">
        <v>642</v>
      </c>
      <c r="K122" t="s">
        <v>642</v>
      </c>
      <c r="L122" t="s">
        <v>642</v>
      </c>
      <c r="M122" t="s">
        <v>642</v>
      </c>
      <c r="N122" t="s">
        <v>642</v>
      </c>
      <c r="O122" t="s">
        <v>642</v>
      </c>
      <c r="P122" t="s">
        <v>642</v>
      </c>
      <c r="Q122" t="s">
        <v>642</v>
      </c>
      <c r="R122" t="s">
        <v>642</v>
      </c>
      <c r="S122" t="s">
        <v>642</v>
      </c>
      <c r="T122" t="s">
        <v>642</v>
      </c>
    </row>
    <row r="123">
      <c r="A123" t="s">
        <v>642</v>
      </c>
      <c r="B123" t="s">
        <v>642</v>
      </c>
      <c r="C123" t="s">
        <v>642</v>
      </c>
      <c r="D123" t="s">
        <v>642</v>
      </c>
      <c r="E123" t="s">
        <v>642</v>
      </c>
      <c r="F123" t="s">
        <v>642</v>
      </c>
      <c r="G123" t="s">
        <v>642</v>
      </c>
      <c r="H123" t="s">
        <v>642</v>
      </c>
      <c r="I123" t="s">
        <v>642</v>
      </c>
      <c r="J123" t="s">
        <v>642</v>
      </c>
      <c r="K123" t="s">
        <v>642</v>
      </c>
      <c r="L123" t="s">
        <v>642</v>
      </c>
      <c r="M123" t="s">
        <v>642</v>
      </c>
      <c r="N123" t="s">
        <v>642</v>
      </c>
      <c r="O123" t="s">
        <v>642</v>
      </c>
      <c r="P123" t="s">
        <v>642</v>
      </c>
      <c r="Q123" t="s">
        <v>642</v>
      </c>
      <c r="R123" t="s">
        <v>642</v>
      </c>
      <c r="S123" t="s">
        <v>642</v>
      </c>
      <c r="T123" t="s">
        <v>642</v>
      </c>
    </row>
    <row r="124">
      <c r="A124" t="s">
        <v>642</v>
      </c>
      <c r="B124" t="s">
        <v>642</v>
      </c>
      <c r="C124" t="s">
        <v>642</v>
      </c>
      <c r="D124" t="s">
        <v>642</v>
      </c>
      <c r="E124" t="s">
        <v>642</v>
      </c>
      <c r="F124" t="s">
        <v>642</v>
      </c>
      <c r="G124" t="s">
        <v>642</v>
      </c>
      <c r="H124" t="s">
        <v>642</v>
      </c>
      <c r="I124" t="s">
        <v>642</v>
      </c>
      <c r="J124" t="s">
        <v>642</v>
      </c>
      <c r="K124" t="s">
        <v>642</v>
      </c>
      <c r="L124" t="s">
        <v>642</v>
      </c>
      <c r="M124" t="s">
        <v>642</v>
      </c>
      <c r="N124" t="s">
        <v>642</v>
      </c>
      <c r="O124" t="s">
        <v>642</v>
      </c>
      <c r="P124" t="s">
        <v>642</v>
      </c>
      <c r="Q124" t="s">
        <v>642</v>
      </c>
      <c r="R124" t="s">
        <v>642</v>
      </c>
      <c r="S124" t="s">
        <v>642</v>
      </c>
      <c r="T124" t="s">
        <v>642</v>
      </c>
    </row>
    <row r="125">
      <c r="A125" t="s">
        <v>642</v>
      </c>
      <c r="B125" t="s">
        <v>642</v>
      </c>
      <c r="C125" t="s">
        <v>642</v>
      </c>
      <c r="D125" t="s">
        <v>642</v>
      </c>
      <c r="E125" t="s">
        <v>642</v>
      </c>
      <c r="F125" t="s">
        <v>642</v>
      </c>
      <c r="G125" t="s">
        <v>642</v>
      </c>
      <c r="H125" t="s">
        <v>642</v>
      </c>
      <c r="I125" t="s">
        <v>642</v>
      </c>
      <c r="J125" t="s">
        <v>642</v>
      </c>
      <c r="K125" t="s">
        <v>642</v>
      </c>
      <c r="L125" t="s">
        <v>642</v>
      </c>
      <c r="M125" t="s">
        <v>642</v>
      </c>
      <c r="N125" t="s">
        <v>642</v>
      </c>
      <c r="O125" t="s">
        <v>642</v>
      </c>
      <c r="P125" t="s">
        <v>642</v>
      </c>
      <c r="Q125" t="s">
        <v>642</v>
      </c>
      <c r="R125" t="s">
        <v>642</v>
      </c>
      <c r="S125" t="s">
        <v>642</v>
      </c>
      <c r="T125" t="s">
        <v>642</v>
      </c>
    </row>
  </sheetData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7.13"/>
  </cols>
  <sheetData>
    <row r="1">
      <c r="A1" s="113" t="s">
        <v>127</v>
      </c>
      <c r="B1" s="139" t="s">
        <v>24</v>
      </c>
    </row>
    <row r="2">
      <c r="A2" s="113" t="s">
        <v>219</v>
      </c>
      <c r="B2" s="139" t="s">
        <v>24</v>
      </c>
    </row>
    <row r="3">
      <c r="A3" s="113" t="s">
        <v>374</v>
      </c>
      <c r="B3" s="139" t="s">
        <v>24</v>
      </c>
    </row>
    <row r="4">
      <c r="A4" s="113" t="s">
        <v>23</v>
      </c>
      <c r="B4" s="139" t="s">
        <v>24</v>
      </c>
    </row>
    <row r="5">
      <c r="A5" s="113" t="s">
        <v>378</v>
      </c>
      <c r="B5" s="139" t="s">
        <v>24</v>
      </c>
    </row>
    <row r="6">
      <c r="A6" s="98" t="s">
        <v>375</v>
      </c>
      <c r="B6" s="139" t="s">
        <v>24</v>
      </c>
    </row>
    <row r="7">
      <c r="A7" s="113" t="s">
        <v>379</v>
      </c>
      <c r="B7" s="139" t="s">
        <v>24</v>
      </c>
    </row>
    <row r="8">
      <c r="A8" s="113" t="s">
        <v>373</v>
      </c>
      <c r="B8" s="139" t="s">
        <v>24</v>
      </c>
    </row>
    <row r="9">
      <c r="A9" s="98" t="s">
        <v>222</v>
      </c>
      <c r="B9" s="139" t="s">
        <v>24</v>
      </c>
    </row>
    <row r="10">
      <c r="A10" s="113" t="s">
        <v>380</v>
      </c>
      <c r="B10" s="139" t="s">
        <v>24</v>
      </c>
    </row>
    <row r="11">
      <c r="A11" s="113" t="s">
        <v>186</v>
      </c>
      <c r="B11" s="139" t="s">
        <v>24</v>
      </c>
    </row>
    <row r="12">
      <c r="A12" s="113" t="s">
        <v>377</v>
      </c>
      <c r="B12" s="139" t="s">
        <v>24</v>
      </c>
    </row>
    <row r="13">
      <c r="A13" s="113" t="s">
        <v>245</v>
      </c>
      <c r="B13" s="140" t="s">
        <v>11</v>
      </c>
    </row>
    <row r="14">
      <c r="A14" s="113" t="s">
        <v>10</v>
      </c>
      <c r="B14" s="140" t="s">
        <v>11</v>
      </c>
    </row>
    <row r="15">
      <c r="A15" s="113" t="s">
        <v>455</v>
      </c>
      <c r="B15" s="140" t="s">
        <v>11</v>
      </c>
    </row>
    <row r="16">
      <c r="A16" s="98" t="s">
        <v>382</v>
      </c>
      <c r="B16" s="140" t="s">
        <v>11</v>
      </c>
    </row>
    <row r="17">
      <c r="A17" s="113" t="s">
        <v>188</v>
      </c>
      <c r="B17" s="140" t="s">
        <v>11</v>
      </c>
    </row>
    <row r="18">
      <c r="A18" s="113" t="s">
        <v>383</v>
      </c>
      <c r="B18" s="140" t="s">
        <v>11</v>
      </c>
    </row>
    <row r="19">
      <c r="A19" s="113" t="s">
        <v>163</v>
      </c>
      <c r="B19" s="140" t="s">
        <v>11</v>
      </c>
    </row>
    <row r="20">
      <c r="A20" s="98" t="s">
        <v>437</v>
      </c>
      <c r="B20" s="140" t="s">
        <v>11</v>
      </c>
    </row>
    <row r="21">
      <c r="A21" s="113" t="s">
        <v>415</v>
      </c>
      <c r="B21" s="140" t="s">
        <v>11</v>
      </c>
    </row>
    <row r="22">
      <c r="A22" s="113" t="s">
        <v>213</v>
      </c>
      <c r="B22" s="140" t="s">
        <v>11</v>
      </c>
    </row>
    <row r="23">
      <c r="A23" s="113" t="s">
        <v>381</v>
      </c>
      <c r="B23" s="140" t="s">
        <v>11</v>
      </c>
    </row>
    <row r="24">
      <c r="A24" s="113" t="s">
        <v>462</v>
      </c>
      <c r="B24" s="140" t="s">
        <v>11</v>
      </c>
    </row>
    <row r="25">
      <c r="A25" s="113" t="s">
        <v>426</v>
      </c>
      <c r="B25" s="140" t="s">
        <v>11</v>
      </c>
    </row>
    <row r="26">
      <c r="A26" s="113" t="s">
        <v>446</v>
      </c>
      <c r="B26" s="140" t="s">
        <v>11</v>
      </c>
    </row>
    <row r="27">
      <c r="A27" s="113" t="s">
        <v>419</v>
      </c>
      <c r="B27" s="140" t="s">
        <v>29</v>
      </c>
    </row>
    <row r="28">
      <c r="A28" s="98" t="s">
        <v>429</v>
      </c>
      <c r="B28" s="140" t="s">
        <v>29</v>
      </c>
    </row>
    <row r="29">
      <c r="A29" s="113" t="s">
        <v>232</v>
      </c>
      <c r="B29" s="140" t="s">
        <v>29</v>
      </c>
    </row>
    <row r="30">
      <c r="A30" s="98" t="s">
        <v>398</v>
      </c>
      <c r="B30" s="140" t="s">
        <v>29</v>
      </c>
    </row>
    <row r="31">
      <c r="A31" s="113" t="s">
        <v>28</v>
      </c>
      <c r="B31" s="140" t="s">
        <v>29</v>
      </c>
    </row>
    <row r="32">
      <c r="A32" s="98" t="s">
        <v>411</v>
      </c>
      <c r="B32" s="140" t="s">
        <v>29</v>
      </c>
    </row>
    <row r="33">
      <c r="A33" s="113" t="s">
        <v>100</v>
      </c>
      <c r="B33" s="140" t="s">
        <v>29</v>
      </c>
    </row>
    <row r="34">
      <c r="A34" s="113" t="s">
        <v>150</v>
      </c>
      <c r="B34" s="140" t="s">
        <v>29</v>
      </c>
    </row>
    <row r="35">
      <c r="A35" s="113" t="s">
        <v>391</v>
      </c>
      <c r="B35" s="140" t="s">
        <v>29</v>
      </c>
    </row>
    <row r="36">
      <c r="A36" s="113" t="s">
        <v>176</v>
      </c>
      <c r="B36" s="140" t="s">
        <v>29</v>
      </c>
    </row>
    <row r="37">
      <c r="A37" s="113" t="s">
        <v>461</v>
      </c>
      <c r="B37" s="140" t="s">
        <v>407</v>
      </c>
    </row>
    <row r="38">
      <c r="A38" s="113" t="s">
        <v>447</v>
      </c>
      <c r="B38" s="140" t="s">
        <v>407</v>
      </c>
    </row>
    <row r="39">
      <c r="A39" s="113" t="s">
        <v>123</v>
      </c>
      <c r="B39" s="140" t="s">
        <v>407</v>
      </c>
    </row>
    <row r="40">
      <c r="A40" s="113" t="s">
        <v>448</v>
      </c>
      <c r="B40" s="140" t="s">
        <v>407</v>
      </c>
    </row>
    <row r="41">
      <c r="A41" s="113" t="s">
        <v>423</v>
      </c>
      <c r="B41" s="140" t="s">
        <v>407</v>
      </c>
    </row>
    <row r="42">
      <c r="A42" s="98" t="s">
        <v>392</v>
      </c>
      <c r="B42" s="140" t="s">
        <v>407</v>
      </c>
    </row>
    <row r="43">
      <c r="A43" s="113" t="s">
        <v>160</v>
      </c>
      <c r="B43" s="140" t="s">
        <v>407</v>
      </c>
    </row>
    <row r="44">
      <c r="A44" s="113" t="s">
        <v>209</v>
      </c>
      <c r="B44" s="140" t="s">
        <v>407</v>
      </c>
    </row>
    <row r="45">
      <c r="A45" s="113" t="s">
        <v>402</v>
      </c>
      <c r="B45" s="140" t="s">
        <v>407</v>
      </c>
    </row>
    <row r="46">
      <c r="A46" s="98" t="s">
        <v>406</v>
      </c>
      <c r="B46" s="140" t="s">
        <v>407</v>
      </c>
    </row>
    <row r="47">
      <c r="A47" s="98" t="s">
        <v>181</v>
      </c>
      <c r="B47" s="140" t="s">
        <v>407</v>
      </c>
    </row>
    <row r="48">
      <c r="A48" s="113" t="s">
        <v>427</v>
      </c>
      <c r="B48" s="140" t="s">
        <v>407</v>
      </c>
    </row>
    <row r="49">
      <c r="A49" s="113" t="s">
        <v>463</v>
      </c>
      <c r="B49" s="140" t="s">
        <v>407</v>
      </c>
    </row>
    <row r="50">
      <c r="A50" s="113" t="s">
        <v>225</v>
      </c>
      <c r="B50" s="140" t="s">
        <v>407</v>
      </c>
    </row>
    <row r="51">
      <c r="A51" s="98" t="s">
        <v>285</v>
      </c>
      <c r="B51" s="141" t="s">
        <v>464</v>
      </c>
    </row>
    <row r="52">
      <c r="A52" s="98" t="s">
        <v>405</v>
      </c>
      <c r="B52" s="141" t="s">
        <v>464</v>
      </c>
    </row>
    <row r="53">
      <c r="A53" s="113" t="s">
        <v>409</v>
      </c>
      <c r="B53" s="141" t="s">
        <v>464</v>
      </c>
    </row>
    <row r="54">
      <c r="A54" s="113" t="s">
        <v>133</v>
      </c>
      <c r="B54" s="141" t="s">
        <v>464</v>
      </c>
    </row>
    <row r="55">
      <c r="A55" s="113" t="s">
        <v>166</v>
      </c>
      <c r="B55" s="141" t="s">
        <v>464</v>
      </c>
    </row>
    <row r="56">
      <c r="A56" s="113" t="s">
        <v>453</v>
      </c>
      <c r="B56" s="141" t="s">
        <v>464</v>
      </c>
    </row>
    <row r="57">
      <c r="A57" s="113" t="s">
        <v>394</v>
      </c>
      <c r="B57" s="141" t="s">
        <v>464</v>
      </c>
    </row>
    <row r="58">
      <c r="A58" s="113" t="s">
        <v>431</v>
      </c>
      <c r="B58" s="141" t="s">
        <v>464</v>
      </c>
    </row>
    <row r="59">
      <c r="A59" s="98" t="s">
        <v>182</v>
      </c>
      <c r="B59" s="141" t="s">
        <v>464</v>
      </c>
    </row>
    <row r="60">
      <c r="A60" s="142" t="s">
        <v>458</v>
      </c>
      <c r="B60" s="141" t="s">
        <v>464</v>
      </c>
    </row>
    <row r="61">
      <c r="A61" s="113" t="s">
        <v>441</v>
      </c>
      <c r="B61" s="141" t="s">
        <v>464</v>
      </c>
    </row>
    <row r="62">
      <c r="A62" s="113" t="s">
        <v>454</v>
      </c>
      <c r="B62" s="141" t="s">
        <v>464</v>
      </c>
    </row>
    <row r="63">
      <c r="A63" s="98" t="s">
        <v>198</v>
      </c>
      <c r="B63" s="141" t="s">
        <v>464</v>
      </c>
    </row>
    <row r="64">
      <c r="A64" s="113" t="s">
        <v>141</v>
      </c>
      <c r="B64" s="141" t="s">
        <v>479</v>
      </c>
    </row>
    <row r="65">
      <c r="A65" s="98" t="s">
        <v>414</v>
      </c>
      <c r="B65" s="141" t="s">
        <v>479</v>
      </c>
    </row>
    <row r="66">
      <c r="A66" s="113" t="s">
        <v>206</v>
      </c>
      <c r="B66" s="141" t="s">
        <v>479</v>
      </c>
    </row>
    <row r="67">
      <c r="A67" s="113" t="s">
        <v>390</v>
      </c>
      <c r="B67" s="141" t="s">
        <v>479</v>
      </c>
    </row>
    <row r="68">
      <c r="A68" s="113" t="s">
        <v>228</v>
      </c>
      <c r="B68" s="141" t="s">
        <v>479</v>
      </c>
    </row>
    <row r="69">
      <c r="A69" s="113" t="s">
        <v>444</v>
      </c>
      <c r="B69" s="141" t="s">
        <v>479</v>
      </c>
    </row>
    <row r="70">
      <c r="A70" s="98" t="s">
        <v>120</v>
      </c>
      <c r="B70" s="141" t="s">
        <v>479</v>
      </c>
    </row>
    <row r="71">
      <c r="A71" s="113" t="s">
        <v>474</v>
      </c>
      <c r="B71" s="141" t="s">
        <v>479</v>
      </c>
    </row>
    <row r="72">
      <c r="A72" s="98" t="s">
        <v>449</v>
      </c>
      <c r="B72" s="141" t="s">
        <v>479</v>
      </c>
    </row>
    <row r="73">
      <c r="A73" s="113" t="s">
        <v>401</v>
      </c>
      <c r="B73" s="141" t="s">
        <v>479</v>
      </c>
    </row>
    <row r="74">
      <c r="A74" s="113" t="s">
        <v>433</v>
      </c>
      <c r="B74" s="141" t="s">
        <v>479</v>
      </c>
    </row>
    <row r="75">
      <c r="A75" s="113" t="s">
        <v>184</v>
      </c>
      <c r="B75" s="141" t="s">
        <v>479</v>
      </c>
    </row>
    <row r="76">
      <c r="A76" s="113" t="s">
        <v>422</v>
      </c>
      <c r="B76" s="141" t="s">
        <v>479</v>
      </c>
    </row>
    <row r="77">
      <c r="A77" s="113" t="s">
        <v>144</v>
      </c>
      <c r="B77" s="141" t="s">
        <v>393</v>
      </c>
    </row>
    <row r="78">
      <c r="A78" s="98" t="s">
        <v>230</v>
      </c>
      <c r="B78" s="141" t="s">
        <v>393</v>
      </c>
    </row>
    <row r="79">
      <c r="A79" s="98" t="s">
        <v>194</v>
      </c>
      <c r="B79" s="141" t="s">
        <v>393</v>
      </c>
    </row>
    <row r="80">
      <c r="A80" s="98" t="s">
        <v>217</v>
      </c>
      <c r="B80" s="141" t="s">
        <v>393</v>
      </c>
    </row>
    <row r="81">
      <c r="A81" s="113" t="s">
        <v>452</v>
      </c>
      <c r="B81" s="141" t="s">
        <v>393</v>
      </c>
    </row>
    <row r="82">
      <c r="A82" s="113" t="s">
        <v>439</v>
      </c>
      <c r="B82" s="141" t="s">
        <v>393</v>
      </c>
    </row>
    <row r="83">
      <c r="A83" s="113" t="s">
        <v>136</v>
      </c>
      <c r="B83" s="141" t="s">
        <v>393</v>
      </c>
    </row>
    <row r="84">
      <c r="A84" s="98" t="s">
        <v>388</v>
      </c>
      <c r="B84" s="141" t="s">
        <v>393</v>
      </c>
    </row>
    <row r="85">
      <c r="A85" s="98" t="s">
        <v>420</v>
      </c>
      <c r="B85" s="141" t="s">
        <v>393</v>
      </c>
    </row>
    <row r="86">
      <c r="A86" s="113" t="s">
        <v>404</v>
      </c>
      <c r="B86" s="141" t="s">
        <v>393</v>
      </c>
    </row>
    <row r="87">
      <c r="A87" s="98" t="s">
        <v>432</v>
      </c>
      <c r="B87" s="141" t="s">
        <v>393</v>
      </c>
    </row>
    <row r="88">
      <c r="A88" s="113" t="s">
        <v>443</v>
      </c>
      <c r="B88" s="141" t="s">
        <v>393</v>
      </c>
    </row>
    <row r="89">
      <c r="A89" s="113" t="s">
        <v>155</v>
      </c>
      <c r="B89" s="141" t="s">
        <v>413</v>
      </c>
    </row>
    <row r="90">
      <c r="A90" s="98" t="s">
        <v>129</v>
      </c>
      <c r="B90" s="141" t="s">
        <v>413</v>
      </c>
    </row>
    <row r="91">
      <c r="A91" s="113" t="s">
        <v>191</v>
      </c>
      <c r="B91" s="141" t="s">
        <v>413</v>
      </c>
    </row>
    <row r="92">
      <c r="A92" s="113" t="s">
        <v>442</v>
      </c>
      <c r="B92" s="141" t="s">
        <v>413</v>
      </c>
    </row>
    <row r="93">
      <c r="A93" s="113" t="s">
        <v>347</v>
      </c>
      <c r="B93" s="141" t="s">
        <v>413</v>
      </c>
    </row>
    <row r="94">
      <c r="A94" s="98" t="s">
        <v>459</v>
      </c>
      <c r="B94" s="141" t="s">
        <v>413</v>
      </c>
    </row>
    <row r="95">
      <c r="A95" s="113" t="s">
        <v>412</v>
      </c>
      <c r="B95" s="141" t="s">
        <v>413</v>
      </c>
    </row>
    <row r="96">
      <c r="A96" s="98" t="s">
        <v>220</v>
      </c>
      <c r="B96" s="141" t="s">
        <v>413</v>
      </c>
    </row>
    <row r="97">
      <c r="A97" s="113" t="s">
        <v>403</v>
      </c>
      <c r="B97" s="141" t="s">
        <v>413</v>
      </c>
    </row>
    <row r="98">
      <c r="A98" s="113" t="s">
        <v>395</v>
      </c>
      <c r="B98" s="141" t="s">
        <v>413</v>
      </c>
    </row>
    <row r="99">
      <c r="A99" s="113" t="s">
        <v>434</v>
      </c>
      <c r="B99" s="141" t="s">
        <v>413</v>
      </c>
    </row>
    <row r="100">
      <c r="A100" s="98" t="s">
        <v>416</v>
      </c>
      <c r="B100" s="141" t="s">
        <v>413</v>
      </c>
    </row>
    <row r="101">
      <c r="A101" s="98" t="s">
        <v>26</v>
      </c>
      <c r="B101" s="140" t="s">
        <v>27</v>
      </c>
    </row>
    <row r="102">
      <c r="A102" s="113" t="s">
        <v>438</v>
      </c>
      <c r="B102" s="140" t="s">
        <v>27</v>
      </c>
    </row>
    <row r="103">
      <c r="A103" s="113" t="s">
        <v>157</v>
      </c>
      <c r="B103" s="140" t="s">
        <v>27</v>
      </c>
    </row>
    <row r="104">
      <c r="A104" s="113" t="s">
        <v>109</v>
      </c>
      <c r="B104" s="140" t="s">
        <v>27</v>
      </c>
    </row>
    <row r="105">
      <c r="A105" s="113" t="s">
        <v>210</v>
      </c>
      <c r="B105" s="140" t="s">
        <v>27</v>
      </c>
    </row>
    <row r="106">
      <c r="A106" s="113" t="s">
        <v>445</v>
      </c>
      <c r="B106" s="140" t="s">
        <v>27</v>
      </c>
    </row>
    <row r="107">
      <c r="A107" s="113" t="s">
        <v>400</v>
      </c>
      <c r="B107" s="140" t="s">
        <v>27</v>
      </c>
    </row>
    <row r="108">
      <c r="A108" s="98" t="s">
        <v>304</v>
      </c>
      <c r="B108" s="140" t="s">
        <v>27</v>
      </c>
    </row>
    <row r="109">
      <c r="A109" s="113" t="s">
        <v>460</v>
      </c>
      <c r="B109" s="140" t="s">
        <v>27</v>
      </c>
    </row>
    <row r="110">
      <c r="A110" s="113" t="s">
        <v>421</v>
      </c>
      <c r="B110" s="140" t="s">
        <v>27</v>
      </c>
    </row>
    <row r="111">
      <c r="A111" s="113" t="s">
        <v>450</v>
      </c>
      <c r="B111" s="140" t="s">
        <v>27</v>
      </c>
    </row>
    <row r="112">
      <c r="A112" s="113" t="s">
        <v>430</v>
      </c>
      <c r="B112" s="140" t="s">
        <v>27</v>
      </c>
    </row>
    <row r="113">
      <c r="A113" s="113" t="s">
        <v>389</v>
      </c>
      <c r="B113" s="140" t="s">
        <v>27</v>
      </c>
    </row>
    <row r="114">
      <c r="A114" s="113" t="s">
        <v>451</v>
      </c>
      <c r="B114" s="140" t="s">
        <v>27</v>
      </c>
    </row>
    <row r="115">
      <c r="A115" s="98" t="s">
        <v>327</v>
      </c>
      <c r="B115" s="140" t="s">
        <v>456</v>
      </c>
    </row>
    <row r="116">
      <c r="A116" s="98" t="s">
        <v>436</v>
      </c>
      <c r="B116" s="140" t="s">
        <v>456</v>
      </c>
    </row>
    <row r="117">
      <c r="A117" s="98" t="s">
        <v>408</v>
      </c>
      <c r="B117" s="140" t="s">
        <v>456</v>
      </c>
    </row>
    <row r="118">
      <c r="A118" s="98" t="s">
        <v>387</v>
      </c>
      <c r="B118" s="140" t="s">
        <v>456</v>
      </c>
    </row>
    <row r="119">
      <c r="A119" s="113" t="s">
        <v>203</v>
      </c>
      <c r="B119" s="140" t="s">
        <v>456</v>
      </c>
    </row>
    <row r="120">
      <c r="A120" s="98" t="s">
        <v>173</v>
      </c>
      <c r="B120" s="140" t="s">
        <v>456</v>
      </c>
    </row>
    <row r="121">
      <c r="A121" s="98" t="s">
        <v>399</v>
      </c>
      <c r="B121" s="140" t="s">
        <v>456</v>
      </c>
    </row>
    <row r="122">
      <c r="A122" s="98" t="s">
        <v>425</v>
      </c>
      <c r="B122" s="140" t="s">
        <v>456</v>
      </c>
    </row>
    <row r="123">
      <c r="A123" s="113" t="s">
        <v>457</v>
      </c>
      <c r="B123" s="140" t="s">
        <v>456</v>
      </c>
    </row>
    <row r="124">
      <c r="A124" s="98" t="s">
        <v>112</v>
      </c>
      <c r="B124" s="140" t="s">
        <v>456</v>
      </c>
    </row>
    <row r="125">
      <c r="A125" s="113" t="s">
        <v>139</v>
      </c>
      <c r="B125" s="140" t="s">
        <v>456</v>
      </c>
    </row>
  </sheetData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.13"/>
    <col customWidth="1" min="2" max="12" width="5.88"/>
  </cols>
  <sheetData>
    <row r="1">
      <c r="A1" s="143" t="s">
        <v>3</v>
      </c>
      <c r="B1" s="144" t="s">
        <v>643</v>
      </c>
      <c r="C1" s="143" t="str">
        <f>'Picks by Player'!A1</f>
        <v>Gary</v>
      </c>
      <c r="D1" s="143" t="str">
        <f>'Picks by Player'!C1</f>
        <v>Josh R.</v>
      </c>
      <c r="E1" s="143" t="str">
        <f>'Picks by Player'!E1</f>
        <v>Jacob</v>
      </c>
      <c r="F1" s="143" t="str">
        <f>'Picks by Player'!G1</f>
        <v>Brad</v>
      </c>
      <c r="G1" s="143" t="str">
        <f>'Picks by Player'!I1</f>
        <v>Nico</v>
      </c>
      <c r="H1" s="143" t="str">
        <f>'Picks by Player'!K1</f>
        <v>Vu</v>
      </c>
      <c r="I1" s="143" t="str">
        <f>'Picks by Player'!M1</f>
        <v>Josh T.</v>
      </c>
      <c r="J1" s="143" t="str">
        <f>'Picks by Player'!O1</f>
        <v>Justin</v>
      </c>
      <c r="K1" s="143" t="str">
        <f>'Picks by Player'!Q1</f>
        <v>Frank</v>
      </c>
      <c r="L1" s="143" t="str">
        <f>'Picks by Player'!S1</f>
        <v>Nick A.</v>
      </c>
    </row>
    <row r="2">
      <c r="A2" t="s">
        <v>24</v>
      </c>
      <c r="B2" s="145">
        <f>COUNTIF(DraftTracker!E:E,A2)</f>
        <v>12</v>
      </c>
      <c r="C2" t="str">
        <f>IFERROR(__xludf.DUMMYFUNCTION("filter($A2:$A11,(iserror(match($A2:$A11,'Picks by Player'!A3:A12,0))))"),"#N/A")</f>
        <v>#N/A</v>
      </c>
      <c r="D2" t="str">
        <f>IFERROR(__xludf.DUMMYFUNCTION("filter($A2:$A11,(iserror(match($A2:$A11,'Picks by Player'!C3:C12,0))))"),"#N/A")</f>
        <v>#N/A</v>
      </c>
      <c r="E2" t="str">
        <f>IFERROR(__xludf.DUMMYFUNCTION("filter($A2:$A11,(iserror(match($A2:$A11,'Picks by Player'!E3:E12,0))))"),"#N/A")</f>
        <v>#N/A</v>
      </c>
      <c r="F2" t="str">
        <f>IFERROR(__xludf.DUMMYFUNCTION("filter($A2:$A11,(iserror(match($A2:$A11,'Picks by Player'!G3:G12,0))))"),"#N/A")</f>
        <v>#N/A</v>
      </c>
      <c r="G2" t="str">
        <f>IFERROR(__xludf.DUMMYFUNCTION("filter($A2:$A11,(iserror(match($A2:$A11,'Picks by Player'!I3:I12,0))))"),"#N/A")</f>
        <v>#N/A</v>
      </c>
      <c r="H2" t="str">
        <f>IFERROR(__xludf.DUMMYFUNCTION("filter($A2:$A11,(iserror(match($A2:$A11,'Picks by Player'!K3:K12,0))))"),"#N/A")</f>
        <v>#N/A</v>
      </c>
      <c r="I2" t="str">
        <f>IFERROR(__xludf.DUMMYFUNCTION("filter($A2:$A11,(iserror(match($A2:$A11,'Picks by Player'!M3:M12,0))))"),"#N/A")</f>
        <v>#N/A</v>
      </c>
      <c r="J2" t="str">
        <f>IFERROR(__xludf.DUMMYFUNCTION("filter($A2:$A11,(iserror(match($A2:$A11,'Picks by Player'!O3:O12,0))))"),"#N/A")</f>
        <v>#N/A</v>
      </c>
      <c r="K2" t="str">
        <f>IFERROR(__xludf.DUMMYFUNCTION("filter($A2:$A11,(iserror(match($A2:$A11,'Picks by Player'!Q3:Q12,0))))"),"#N/A")</f>
        <v>#N/A</v>
      </c>
      <c r="L2" t="str">
        <f>IFERROR(__xludf.DUMMYFUNCTION("filter($A2:$A11,(iserror(match($A2:$A11,'Picks by Player'!S3:S12,0))))"),"#N/A")</f>
        <v>#N/A</v>
      </c>
    </row>
    <row r="3">
      <c r="A3" t="s">
        <v>11</v>
      </c>
      <c r="B3" s="145">
        <f>COUNTIF(DraftTracker!E:E,A3)</f>
        <v>14</v>
      </c>
    </row>
    <row r="4">
      <c r="A4" t="s">
        <v>29</v>
      </c>
      <c r="B4" s="145">
        <f>COUNTIF(DraftTracker!E:E,A4)</f>
        <v>10</v>
      </c>
    </row>
    <row r="5">
      <c r="A5" t="s">
        <v>407</v>
      </c>
      <c r="B5" s="145">
        <f>COUNTIF(DraftTracker!E:E,A5)</f>
        <v>14</v>
      </c>
    </row>
    <row r="6">
      <c r="A6" t="s">
        <v>464</v>
      </c>
      <c r="B6" s="145">
        <f>COUNTIF(DraftTracker!E:E,A6)</f>
        <v>13</v>
      </c>
    </row>
    <row r="7">
      <c r="A7" t="s">
        <v>479</v>
      </c>
      <c r="B7" s="145">
        <f>COUNTIF(DraftTracker!E:E,A7)</f>
        <v>12</v>
      </c>
    </row>
    <row r="8">
      <c r="A8" t="s">
        <v>393</v>
      </c>
      <c r="B8" s="145">
        <f>COUNTIF(DraftTracker!E:E,A8)</f>
        <v>12</v>
      </c>
    </row>
    <row r="9">
      <c r="A9" t="s">
        <v>413</v>
      </c>
      <c r="B9" s="145">
        <f>COUNTIF(DraftTracker!E:E,A9)</f>
        <v>12</v>
      </c>
    </row>
    <row r="10">
      <c r="A10" t="s">
        <v>27</v>
      </c>
      <c r="B10" s="145">
        <f>COUNTIF(DraftTracker!E:E,A10)</f>
        <v>14</v>
      </c>
    </row>
    <row r="11">
      <c r="A11" t="s">
        <v>456</v>
      </c>
      <c r="B11" s="145">
        <f>COUNTIF(DraftTracker!E:E,A11)</f>
        <v>10</v>
      </c>
    </row>
  </sheetData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11" width="3.13"/>
  </cols>
  <sheetData>
    <row r="1">
      <c r="B1" s="13">
        <v>1.0</v>
      </c>
      <c r="C1" s="13">
        <v>2.0</v>
      </c>
      <c r="D1" s="13">
        <v>3.0</v>
      </c>
      <c r="E1" s="13">
        <v>4.0</v>
      </c>
      <c r="F1" s="13">
        <v>5.0</v>
      </c>
      <c r="G1" s="13">
        <v>6.0</v>
      </c>
      <c r="H1" s="13">
        <v>7.0</v>
      </c>
      <c r="I1" s="13">
        <v>8.0</v>
      </c>
      <c r="J1" s="13">
        <v>8.0</v>
      </c>
      <c r="K1" s="13">
        <v>10.0</v>
      </c>
    </row>
    <row r="2">
      <c r="A2" t="s">
        <v>24</v>
      </c>
      <c r="B2">
        <f>countifs(DraftTracker!$A:$A,B$1,DraftTracker!$E:$E,$A2)</f>
        <v>0</v>
      </c>
      <c r="C2">
        <f>countifs(DraftTracker!$A:$A,C$1,DraftTracker!$E:$E,$A2)</f>
        <v>1</v>
      </c>
      <c r="D2">
        <f>countifs(DraftTracker!$A:$A,D$1,DraftTracker!$E:$E,$A2)</f>
        <v>0</v>
      </c>
      <c r="E2">
        <f>countifs(DraftTracker!$A:$A,E$1,DraftTracker!$E:$E,$A2)</f>
        <v>0</v>
      </c>
      <c r="F2">
        <f>countifs(DraftTracker!$A:$A,F$1,DraftTracker!$E:$E,$A2)</f>
        <v>0</v>
      </c>
      <c r="G2">
        <f>countifs(DraftTracker!$A:$A,G$1,DraftTracker!$E:$E,$A2)</f>
        <v>0</v>
      </c>
      <c r="H2">
        <f>countifs(DraftTracker!$A:$A,H$1,DraftTracker!$E:$E,$A2)</f>
        <v>0</v>
      </c>
      <c r="I2">
        <f>countifs(DraftTracker!$A:$A,I$1,DraftTracker!$E:$E,$A2)</f>
        <v>0</v>
      </c>
      <c r="J2">
        <f>countifs(DraftTracker!$A:$A,J$1,DraftTracker!$E:$E,$A2)</f>
        <v>0</v>
      </c>
      <c r="K2">
        <f>countifs(DraftTracker!$A:$A,K$1,DraftTracker!$E:$E,$A2)</f>
        <v>0</v>
      </c>
    </row>
    <row r="3">
      <c r="A3" t="s">
        <v>11</v>
      </c>
      <c r="B3">
        <f>countifs(DraftTracker!$A:$A,B$1,DraftTracker!$E:$E,$A3)</f>
        <v>1</v>
      </c>
      <c r="C3">
        <f>countifs(DraftTracker!$A:$A,C$1,DraftTracker!$E:$E,$A3)</f>
        <v>0</v>
      </c>
      <c r="D3">
        <f>countifs(DraftTracker!$A:$A,D$1,DraftTracker!$E:$E,$A3)</f>
        <v>0</v>
      </c>
      <c r="E3">
        <f>countifs(DraftTracker!$A:$A,E$1,DraftTracker!$E:$E,$A3)</f>
        <v>0</v>
      </c>
      <c r="F3">
        <f>countifs(DraftTracker!$A:$A,F$1,DraftTracker!$E:$E,$A3)</f>
        <v>0</v>
      </c>
      <c r="G3">
        <f>countifs(DraftTracker!$A:$A,G$1,DraftTracker!$E:$E,$A3)</f>
        <v>1</v>
      </c>
      <c r="H3">
        <f>countifs(DraftTracker!$A:$A,H$1,DraftTracker!$E:$E,$A3)</f>
        <v>0</v>
      </c>
      <c r="I3">
        <f>countifs(DraftTracker!$A:$A,I$1,DraftTracker!$E:$E,$A3)</f>
        <v>0</v>
      </c>
      <c r="J3">
        <f>countifs(DraftTracker!$A:$A,J$1,DraftTracker!$E:$E,$A3)</f>
        <v>0</v>
      </c>
      <c r="K3">
        <f>countifs(DraftTracker!$A:$A,K$1,DraftTracker!$E:$E,$A3)</f>
        <v>0</v>
      </c>
    </row>
    <row r="4">
      <c r="A4" t="s">
        <v>29</v>
      </c>
      <c r="B4">
        <f>countifs(DraftTracker!$A:$A,B$1,DraftTracker!$E:$E,$A4)</f>
        <v>0</v>
      </c>
      <c r="C4">
        <f>countifs(DraftTracker!$A:$A,C$1,DraftTracker!$E:$E,$A4)</f>
        <v>0</v>
      </c>
      <c r="D4">
        <f>countifs(DraftTracker!$A:$A,D$1,DraftTracker!$E:$E,$A4)</f>
        <v>0</v>
      </c>
      <c r="E4">
        <f>countifs(DraftTracker!$A:$A,E$1,DraftTracker!$E:$E,$A4)</f>
        <v>1</v>
      </c>
      <c r="F4">
        <f>countifs(DraftTracker!$A:$A,F$1,DraftTracker!$E:$E,$A4)</f>
        <v>0</v>
      </c>
      <c r="G4">
        <f>countifs(DraftTracker!$A:$A,G$1,DraftTracker!$E:$E,$A4)</f>
        <v>0</v>
      </c>
      <c r="H4">
        <f>countifs(DraftTracker!$A:$A,H$1,DraftTracker!$E:$E,$A4)</f>
        <v>0</v>
      </c>
      <c r="I4">
        <f>countifs(DraftTracker!$A:$A,I$1,DraftTracker!$E:$E,$A4)</f>
        <v>0</v>
      </c>
      <c r="J4">
        <f>countifs(DraftTracker!$A:$A,J$1,DraftTracker!$E:$E,$A4)</f>
        <v>0</v>
      </c>
      <c r="K4">
        <f>countifs(DraftTracker!$A:$A,K$1,DraftTracker!$E:$E,$A4)</f>
        <v>1</v>
      </c>
    </row>
    <row r="5">
      <c r="A5" t="s">
        <v>407</v>
      </c>
      <c r="B5">
        <f>countifs(DraftTracker!$A:$A,B$1,DraftTracker!$E:$E,$A5)</f>
        <v>0</v>
      </c>
      <c r="C5">
        <f>countifs(DraftTracker!$A:$A,C$1,DraftTracker!$E:$E,$A5)</f>
        <v>0</v>
      </c>
      <c r="D5">
        <f>countifs(DraftTracker!$A:$A,D$1,DraftTracker!$E:$E,$A5)</f>
        <v>0</v>
      </c>
      <c r="E5">
        <f>countifs(DraftTracker!$A:$A,E$1,DraftTracker!$E:$E,$A5)</f>
        <v>0</v>
      </c>
      <c r="F5">
        <f>countifs(DraftTracker!$A:$A,F$1,DraftTracker!$E:$E,$A5)</f>
        <v>0</v>
      </c>
      <c r="G5">
        <f>countifs(DraftTracker!$A:$A,G$1,DraftTracker!$E:$E,$A5)</f>
        <v>0</v>
      </c>
      <c r="H5">
        <f>countifs(DraftTracker!$A:$A,H$1,DraftTracker!$E:$E,$A5)</f>
        <v>0</v>
      </c>
      <c r="I5">
        <f>countifs(DraftTracker!$A:$A,I$1,DraftTracker!$E:$E,$A5)</f>
        <v>1</v>
      </c>
      <c r="J5">
        <f>countifs(DraftTracker!$A:$A,J$1,DraftTracker!$E:$E,$A5)</f>
        <v>1</v>
      </c>
      <c r="K5">
        <f>countifs(DraftTracker!$A:$A,K$1,DraftTracker!$E:$E,$A5)</f>
        <v>0</v>
      </c>
    </row>
    <row r="6">
      <c r="A6" t="s">
        <v>464</v>
      </c>
      <c r="B6">
        <f>countifs(DraftTracker!$A:$A,B$1,DraftTracker!$E:$E,$A6)</f>
        <v>0</v>
      </c>
      <c r="C6">
        <f>countifs(DraftTracker!$A:$A,C$1,DraftTracker!$E:$E,$A6)</f>
        <v>0</v>
      </c>
      <c r="D6">
        <f>countifs(DraftTracker!$A:$A,D$1,DraftTracker!$E:$E,$A6)</f>
        <v>0</v>
      </c>
      <c r="E6">
        <f>countifs(DraftTracker!$A:$A,E$1,DraftTracker!$E:$E,$A6)</f>
        <v>0</v>
      </c>
      <c r="F6">
        <f>countifs(DraftTracker!$A:$A,F$1,DraftTracker!$E:$E,$A6)</f>
        <v>0</v>
      </c>
      <c r="G6">
        <f>countifs(DraftTracker!$A:$A,G$1,DraftTracker!$E:$E,$A6)</f>
        <v>0</v>
      </c>
      <c r="H6">
        <f>countifs(DraftTracker!$A:$A,H$1,DraftTracker!$E:$E,$A6)</f>
        <v>0</v>
      </c>
      <c r="I6">
        <f>countifs(DraftTracker!$A:$A,I$1,DraftTracker!$E:$E,$A6)</f>
        <v>0</v>
      </c>
      <c r="J6">
        <f>countifs(DraftTracker!$A:$A,J$1,DraftTracker!$E:$E,$A6)</f>
        <v>0</v>
      </c>
      <c r="K6">
        <f>countifs(DraftTracker!$A:$A,K$1,DraftTracker!$E:$E,$A6)</f>
        <v>0</v>
      </c>
    </row>
    <row r="7">
      <c r="A7" t="s">
        <v>479</v>
      </c>
      <c r="B7">
        <f>countifs(DraftTracker!$A:$A,B$1,DraftTracker!$E:$E,$A7)</f>
        <v>0</v>
      </c>
      <c r="C7">
        <f>countifs(DraftTracker!$A:$A,C$1,DraftTracker!$E:$E,$A7)</f>
        <v>0</v>
      </c>
      <c r="D7">
        <f>countifs(DraftTracker!$A:$A,D$1,DraftTracker!$E:$E,$A7)</f>
        <v>0</v>
      </c>
      <c r="E7">
        <f>countifs(DraftTracker!$A:$A,E$1,DraftTracker!$E:$E,$A7)</f>
        <v>0</v>
      </c>
      <c r="F7">
        <f>countifs(DraftTracker!$A:$A,F$1,DraftTracker!$E:$E,$A7)</f>
        <v>0</v>
      </c>
      <c r="G7">
        <f>countifs(DraftTracker!$A:$A,G$1,DraftTracker!$E:$E,$A7)</f>
        <v>0</v>
      </c>
      <c r="H7">
        <f>countifs(DraftTracker!$A:$A,H$1,DraftTracker!$E:$E,$A7)</f>
        <v>0</v>
      </c>
      <c r="I7">
        <f>countifs(DraftTracker!$A:$A,I$1,DraftTracker!$E:$E,$A7)</f>
        <v>0</v>
      </c>
      <c r="J7">
        <f>countifs(DraftTracker!$A:$A,J$1,DraftTracker!$E:$E,$A7)</f>
        <v>0</v>
      </c>
      <c r="K7">
        <f>countifs(DraftTracker!$A:$A,K$1,DraftTracker!$E:$E,$A7)</f>
        <v>0</v>
      </c>
    </row>
    <row r="8">
      <c r="A8" t="s">
        <v>393</v>
      </c>
      <c r="B8">
        <f>countifs(DraftTracker!$A:$A,B$1,DraftTracker!$E:$E,$A8)</f>
        <v>0</v>
      </c>
      <c r="C8">
        <f>countifs(DraftTracker!$A:$A,C$1,DraftTracker!$E:$E,$A8)</f>
        <v>0</v>
      </c>
      <c r="D8">
        <f>countifs(DraftTracker!$A:$A,D$1,DraftTracker!$E:$E,$A8)</f>
        <v>0</v>
      </c>
      <c r="E8">
        <f>countifs(DraftTracker!$A:$A,E$1,DraftTracker!$E:$E,$A8)</f>
        <v>0</v>
      </c>
      <c r="F8">
        <f>countifs(DraftTracker!$A:$A,F$1,DraftTracker!$E:$E,$A8)</f>
        <v>1</v>
      </c>
      <c r="G8">
        <f>countifs(DraftTracker!$A:$A,G$1,DraftTracker!$E:$E,$A8)</f>
        <v>0</v>
      </c>
      <c r="H8">
        <f>countifs(DraftTracker!$A:$A,H$1,DraftTracker!$E:$E,$A8)</f>
        <v>0</v>
      </c>
      <c r="I8">
        <f>countifs(DraftTracker!$A:$A,I$1,DraftTracker!$E:$E,$A8)</f>
        <v>0</v>
      </c>
      <c r="J8">
        <f>countifs(DraftTracker!$A:$A,J$1,DraftTracker!$E:$E,$A8)</f>
        <v>0</v>
      </c>
      <c r="K8">
        <f>countifs(DraftTracker!$A:$A,K$1,DraftTracker!$E:$E,$A8)</f>
        <v>0</v>
      </c>
    </row>
    <row r="9">
      <c r="A9" t="s">
        <v>413</v>
      </c>
      <c r="B9">
        <f>countifs(DraftTracker!$A:$A,B$1,DraftTracker!$E:$E,$A9)</f>
        <v>0</v>
      </c>
      <c r="C9">
        <f>countifs(DraftTracker!$A:$A,C$1,DraftTracker!$E:$E,$A9)</f>
        <v>0</v>
      </c>
      <c r="D9">
        <f>countifs(DraftTracker!$A:$A,D$1,DraftTracker!$E:$E,$A9)</f>
        <v>0</v>
      </c>
      <c r="E9">
        <f>countifs(DraftTracker!$A:$A,E$1,DraftTracker!$E:$E,$A9)</f>
        <v>0</v>
      </c>
      <c r="F9">
        <f>countifs(DraftTracker!$A:$A,F$1,DraftTracker!$E:$E,$A9)</f>
        <v>0</v>
      </c>
      <c r="G9">
        <f>countifs(DraftTracker!$A:$A,G$1,DraftTracker!$E:$E,$A9)</f>
        <v>0</v>
      </c>
      <c r="H9">
        <f>countifs(DraftTracker!$A:$A,H$1,DraftTracker!$E:$E,$A9)</f>
        <v>0</v>
      </c>
      <c r="I9">
        <f>countifs(DraftTracker!$A:$A,I$1,DraftTracker!$E:$E,$A9)</f>
        <v>0</v>
      </c>
      <c r="J9">
        <f>countifs(DraftTracker!$A:$A,J$1,DraftTracker!$E:$E,$A9)</f>
        <v>0</v>
      </c>
      <c r="K9">
        <f>countifs(DraftTracker!$A:$A,K$1,DraftTracker!$E:$E,$A9)</f>
        <v>0</v>
      </c>
    </row>
    <row r="10">
      <c r="A10" t="s">
        <v>27</v>
      </c>
      <c r="B10">
        <f>countifs(DraftTracker!$A:$A,B$1,DraftTracker!$E:$E,$A10)</f>
        <v>0</v>
      </c>
      <c r="C10">
        <f>countifs(DraftTracker!$A:$A,C$1,DraftTracker!$E:$E,$A10)</f>
        <v>0</v>
      </c>
      <c r="D10">
        <f>countifs(DraftTracker!$A:$A,D$1,DraftTracker!$E:$E,$A10)</f>
        <v>1</v>
      </c>
      <c r="E10">
        <f>countifs(DraftTracker!$A:$A,E$1,DraftTracker!$E:$E,$A10)</f>
        <v>0</v>
      </c>
      <c r="F10">
        <f>countifs(DraftTracker!$A:$A,F$1,DraftTracker!$E:$E,$A10)</f>
        <v>0</v>
      </c>
      <c r="G10">
        <f>countifs(DraftTracker!$A:$A,G$1,DraftTracker!$E:$E,$A10)</f>
        <v>0</v>
      </c>
      <c r="H10">
        <f>countifs(DraftTracker!$A:$A,H$1,DraftTracker!$E:$E,$A10)</f>
        <v>1</v>
      </c>
      <c r="I10">
        <f>countifs(DraftTracker!$A:$A,I$1,DraftTracker!$E:$E,$A10)</f>
        <v>0</v>
      </c>
      <c r="J10">
        <f>countifs(DraftTracker!$A:$A,J$1,DraftTracker!$E:$E,$A10)</f>
        <v>0</v>
      </c>
      <c r="K10">
        <f>countifs(DraftTracker!$A:$A,K$1,DraftTracker!$E:$E,$A10)</f>
        <v>0</v>
      </c>
    </row>
    <row r="11">
      <c r="A11" t="s">
        <v>456</v>
      </c>
      <c r="B11">
        <f>countifs(DraftTracker!$A:$A,B$1,DraftTracker!$E:$E,$A11)</f>
        <v>0</v>
      </c>
      <c r="C11">
        <f>countifs(DraftTracker!$A:$A,C$1,DraftTracker!$E:$E,$A11)</f>
        <v>0</v>
      </c>
      <c r="D11">
        <f>countifs(DraftTracker!$A:$A,D$1,DraftTracker!$E:$E,$A11)</f>
        <v>0</v>
      </c>
      <c r="E11">
        <f>countifs(DraftTracker!$A:$A,E$1,DraftTracker!$E:$E,$A11)</f>
        <v>0</v>
      </c>
      <c r="F11">
        <f>countifs(DraftTracker!$A:$A,F$1,DraftTracker!$E:$E,$A11)</f>
        <v>0</v>
      </c>
      <c r="G11">
        <f>countifs(DraftTracker!$A:$A,G$1,DraftTracker!$E:$E,$A11)</f>
        <v>0</v>
      </c>
      <c r="H11">
        <f>countifs(DraftTracker!$A:$A,H$1,DraftTracker!$E:$E,$A11)</f>
        <v>0</v>
      </c>
      <c r="I11">
        <f>countifs(DraftTracker!$A:$A,I$1,DraftTracker!$E:$E,$A11)</f>
        <v>0</v>
      </c>
      <c r="J11">
        <f>countifs(DraftTracker!$A:$A,J$1,DraftTracker!$E:$E,$A11)</f>
        <v>0</v>
      </c>
      <c r="K11">
        <f>countifs(DraftTracker!$A:$A,K$1,DraftTracker!$E:$E,$A11)</f>
        <v>0</v>
      </c>
    </row>
    <row r="13">
      <c r="B13" t="str">
        <f t="shared" ref="B13:K13" si="1">if(sum(B$2:B$11)=10,B1,"")</f>
        <v/>
      </c>
      <c r="C13" t="str">
        <f t="shared" si="1"/>
        <v/>
      </c>
      <c r="D13" t="str">
        <f t="shared" si="1"/>
        <v/>
      </c>
      <c r="E13" t="str">
        <f t="shared" si="1"/>
        <v/>
      </c>
      <c r="F13" t="str">
        <f t="shared" si="1"/>
        <v/>
      </c>
      <c r="G13" t="str">
        <f t="shared" si="1"/>
        <v/>
      </c>
      <c r="H13" t="str">
        <f t="shared" si="1"/>
        <v/>
      </c>
      <c r="I13" t="str">
        <f t="shared" si="1"/>
        <v/>
      </c>
      <c r="J13" t="str">
        <f t="shared" si="1"/>
        <v/>
      </c>
      <c r="K13" t="str">
        <f t="shared" si="1"/>
        <v/>
      </c>
    </row>
    <row r="14">
      <c r="A14" t="s">
        <v>24</v>
      </c>
      <c r="B14" t="str">
        <f t="shared" ref="B14:K14" si="2">if(sum(B$2:B$11)=10,sum($B2:B2),"")</f>
        <v/>
      </c>
      <c r="C14" t="str">
        <f t="shared" si="2"/>
        <v/>
      </c>
      <c r="D14" t="str">
        <f t="shared" si="2"/>
        <v/>
      </c>
      <c r="E14" t="str">
        <f t="shared" si="2"/>
        <v/>
      </c>
      <c r="F14" t="str">
        <f t="shared" si="2"/>
        <v/>
      </c>
      <c r="G14" t="str">
        <f t="shared" si="2"/>
        <v/>
      </c>
      <c r="H14" t="str">
        <f t="shared" si="2"/>
        <v/>
      </c>
      <c r="I14" t="str">
        <f t="shared" si="2"/>
        <v/>
      </c>
      <c r="J14" t="str">
        <f t="shared" si="2"/>
        <v/>
      </c>
      <c r="K14" t="str">
        <f t="shared" si="2"/>
        <v/>
      </c>
    </row>
    <row r="15">
      <c r="A15" t="s">
        <v>11</v>
      </c>
      <c r="B15" t="str">
        <f t="shared" ref="B15:K15" si="3">if(sum(B$2:B$11)=10,sum($B3:B3),"")</f>
        <v/>
      </c>
      <c r="C15" t="str">
        <f t="shared" si="3"/>
        <v/>
      </c>
      <c r="D15" t="str">
        <f t="shared" si="3"/>
        <v/>
      </c>
      <c r="E15" t="str">
        <f t="shared" si="3"/>
        <v/>
      </c>
      <c r="F15" t="str">
        <f t="shared" si="3"/>
        <v/>
      </c>
      <c r="G15" t="str">
        <f t="shared" si="3"/>
        <v/>
      </c>
      <c r="H15" t="str">
        <f t="shared" si="3"/>
        <v/>
      </c>
      <c r="I15" t="str">
        <f t="shared" si="3"/>
        <v/>
      </c>
      <c r="J15" t="str">
        <f t="shared" si="3"/>
        <v/>
      </c>
      <c r="K15" t="str">
        <f t="shared" si="3"/>
        <v/>
      </c>
    </row>
    <row r="16">
      <c r="A16" t="s">
        <v>29</v>
      </c>
      <c r="B16" t="str">
        <f t="shared" ref="B16:K16" si="4">if(sum(B$2:B$11)=10,sum($B4:B4),"")</f>
        <v/>
      </c>
      <c r="C16" t="str">
        <f t="shared" si="4"/>
        <v/>
      </c>
      <c r="D16" t="str">
        <f t="shared" si="4"/>
        <v/>
      </c>
      <c r="E16" t="str">
        <f t="shared" si="4"/>
        <v/>
      </c>
      <c r="F16" t="str">
        <f t="shared" si="4"/>
        <v/>
      </c>
      <c r="G16" t="str">
        <f t="shared" si="4"/>
        <v/>
      </c>
      <c r="H16" t="str">
        <f t="shared" si="4"/>
        <v/>
      </c>
      <c r="I16" t="str">
        <f t="shared" si="4"/>
        <v/>
      </c>
      <c r="J16" t="str">
        <f t="shared" si="4"/>
        <v/>
      </c>
      <c r="K16" t="str">
        <f t="shared" si="4"/>
        <v/>
      </c>
    </row>
    <row r="17">
      <c r="A17" t="s">
        <v>407</v>
      </c>
      <c r="B17" t="str">
        <f t="shared" ref="B17:K17" si="5">if(sum(B$2:B$11)=10,sum($B5:B5),"")</f>
        <v/>
      </c>
      <c r="C17" t="str">
        <f t="shared" si="5"/>
        <v/>
      </c>
      <c r="D17" t="str">
        <f t="shared" si="5"/>
        <v/>
      </c>
      <c r="E17" t="str">
        <f t="shared" si="5"/>
        <v/>
      </c>
      <c r="F17" t="str">
        <f t="shared" si="5"/>
        <v/>
      </c>
      <c r="G17" t="str">
        <f t="shared" si="5"/>
        <v/>
      </c>
      <c r="H17" t="str">
        <f t="shared" si="5"/>
        <v/>
      </c>
      <c r="I17" t="str">
        <f t="shared" si="5"/>
        <v/>
      </c>
      <c r="J17" t="str">
        <f t="shared" si="5"/>
        <v/>
      </c>
      <c r="K17" t="str">
        <f t="shared" si="5"/>
        <v/>
      </c>
    </row>
    <row r="18">
      <c r="A18" t="s">
        <v>464</v>
      </c>
      <c r="B18" t="str">
        <f t="shared" ref="B18:K18" si="6">if(sum(B$2:B$11)=10,sum($B6:B6),"")</f>
        <v/>
      </c>
      <c r="C18" t="str">
        <f t="shared" si="6"/>
        <v/>
      </c>
      <c r="D18" t="str">
        <f t="shared" si="6"/>
        <v/>
      </c>
      <c r="E18" t="str">
        <f t="shared" si="6"/>
        <v/>
      </c>
      <c r="F18" t="str">
        <f t="shared" si="6"/>
        <v/>
      </c>
      <c r="G18" t="str">
        <f t="shared" si="6"/>
        <v/>
      </c>
      <c r="H18" t="str">
        <f t="shared" si="6"/>
        <v/>
      </c>
      <c r="I18" t="str">
        <f t="shared" si="6"/>
        <v/>
      </c>
      <c r="J18" t="str">
        <f t="shared" si="6"/>
        <v/>
      </c>
      <c r="K18" t="str">
        <f t="shared" si="6"/>
        <v/>
      </c>
    </row>
    <row r="19">
      <c r="A19" t="s">
        <v>479</v>
      </c>
      <c r="B19" t="str">
        <f t="shared" ref="B19:K19" si="7">if(sum(B$2:B$11)=10,sum($B7:B7),"")</f>
        <v/>
      </c>
      <c r="C19" t="str">
        <f t="shared" si="7"/>
        <v/>
      </c>
      <c r="D19" t="str">
        <f t="shared" si="7"/>
        <v/>
      </c>
      <c r="E19" t="str">
        <f t="shared" si="7"/>
        <v/>
      </c>
      <c r="F19" t="str">
        <f t="shared" si="7"/>
        <v/>
      </c>
      <c r="G19" t="str">
        <f t="shared" si="7"/>
        <v/>
      </c>
      <c r="H19" t="str">
        <f t="shared" si="7"/>
        <v/>
      </c>
      <c r="I19" t="str">
        <f t="shared" si="7"/>
        <v/>
      </c>
      <c r="J19" t="str">
        <f t="shared" si="7"/>
        <v/>
      </c>
      <c r="K19" t="str">
        <f t="shared" si="7"/>
        <v/>
      </c>
    </row>
    <row r="20">
      <c r="A20" t="s">
        <v>393</v>
      </c>
      <c r="B20" t="str">
        <f t="shared" ref="B20:K20" si="8">if(sum(B$2:B$11)=10,sum($B8:B8),"")</f>
        <v/>
      </c>
      <c r="C20" t="str">
        <f t="shared" si="8"/>
        <v/>
      </c>
      <c r="D20" t="str">
        <f t="shared" si="8"/>
        <v/>
      </c>
      <c r="E20" t="str">
        <f t="shared" si="8"/>
        <v/>
      </c>
      <c r="F20" t="str">
        <f t="shared" si="8"/>
        <v/>
      </c>
      <c r="G20" t="str">
        <f t="shared" si="8"/>
        <v/>
      </c>
      <c r="H20" t="str">
        <f t="shared" si="8"/>
        <v/>
      </c>
      <c r="I20" t="str">
        <f t="shared" si="8"/>
        <v/>
      </c>
      <c r="J20" t="str">
        <f t="shared" si="8"/>
        <v/>
      </c>
      <c r="K20" t="str">
        <f t="shared" si="8"/>
        <v/>
      </c>
    </row>
    <row r="21">
      <c r="A21" t="s">
        <v>413</v>
      </c>
      <c r="B21" t="str">
        <f t="shared" ref="B21:K21" si="9">if(sum(B$2:B$11)=10,sum($B9:B9),"")</f>
        <v/>
      </c>
      <c r="C21" t="str">
        <f t="shared" si="9"/>
        <v/>
      </c>
      <c r="D21" t="str">
        <f t="shared" si="9"/>
        <v/>
      </c>
      <c r="E21" t="str">
        <f t="shared" si="9"/>
        <v/>
      </c>
      <c r="F21" t="str">
        <f t="shared" si="9"/>
        <v/>
      </c>
      <c r="G21" t="str">
        <f t="shared" si="9"/>
        <v/>
      </c>
      <c r="H21" t="str">
        <f t="shared" si="9"/>
        <v/>
      </c>
      <c r="I21" t="str">
        <f t="shared" si="9"/>
        <v/>
      </c>
      <c r="J21" t="str">
        <f t="shared" si="9"/>
        <v/>
      </c>
      <c r="K21" t="str">
        <f t="shared" si="9"/>
        <v/>
      </c>
    </row>
    <row r="22">
      <c r="A22" t="s">
        <v>27</v>
      </c>
      <c r="B22" t="str">
        <f t="shared" ref="B22:K22" si="10">if(sum(B$2:B$11)=10,sum($B10:B10),"")</f>
        <v/>
      </c>
      <c r="C22" t="str">
        <f t="shared" si="10"/>
        <v/>
      </c>
      <c r="D22" t="str">
        <f t="shared" si="10"/>
        <v/>
      </c>
      <c r="E22" t="str">
        <f t="shared" si="10"/>
        <v/>
      </c>
      <c r="F22" t="str">
        <f t="shared" si="10"/>
        <v/>
      </c>
      <c r="G22" t="str">
        <f t="shared" si="10"/>
        <v/>
      </c>
      <c r="H22" t="str">
        <f t="shared" si="10"/>
        <v/>
      </c>
      <c r="I22" t="str">
        <f t="shared" si="10"/>
        <v/>
      </c>
      <c r="J22" t="str">
        <f t="shared" si="10"/>
        <v/>
      </c>
      <c r="K22" t="str">
        <f t="shared" si="10"/>
        <v/>
      </c>
    </row>
    <row r="23">
      <c r="A23" t="s">
        <v>456</v>
      </c>
      <c r="B23" t="str">
        <f t="shared" ref="B23:K23" si="11">if(sum(B$2:B$11)=10,sum($B11:B11),"")</f>
        <v/>
      </c>
      <c r="C23" t="str">
        <f t="shared" si="11"/>
        <v/>
      </c>
      <c r="D23" t="str">
        <f t="shared" si="11"/>
        <v/>
      </c>
      <c r="E23" t="str">
        <f t="shared" si="11"/>
        <v/>
      </c>
      <c r="F23" t="str">
        <f t="shared" si="11"/>
        <v/>
      </c>
      <c r="G23" t="str">
        <f t="shared" si="11"/>
        <v/>
      </c>
      <c r="H23" t="str">
        <f t="shared" si="11"/>
        <v/>
      </c>
      <c r="I23" t="str">
        <f t="shared" si="11"/>
        <v/>
      </c>
      <c r="J23" t="str">
        <f t="shared" si="11"/>
        <v/>
      </c>
      <c r="K23" t="str">
        <f t="shared" si="11"/>
        <v/>
      </c>
    </row>
    <row r="25">
      <c r="B25" s="183" t="str">
        <f t="shared" ref="B25:K25" si="12">if(sum(B$2:B$11)=10,B1,"")</f>
        <v/>
      </c>
      <c r="C25" s="183" t="str">
        <f t="shared" si="12"/>
        <v/>
      </c>
      <c r="D25" s="183" t="str">
        <f t="shared" si="12"/>
        <v/>
      </c>
      <c r="E25" s="183" t="str">
        <f t="shared" si="12"/>
        <v/>
      </c>
      <c r="F25" s="183" t="str">
        <f t="shared" si="12"/>
        <v/>
      </c>
      <c r="G25" s="183" t="str">
        <f t="shared" si="12"/>
        <v/>
      </c>
      <c r="H25" s="183" t="str">
        <f t="shared" si="12"/>
        <v/>
      </c>
      <c r="I25" s="183" t="str">
        <f t="shared" si="12"/>
        <v/>
      </c>
      <c r="J25" s="183" t="str">
        <f t="shared" si="12"/>
        <v/>
      </c>
      <c r="K25" s="183" t="str">
        <f t="shared" si="12"/>
        <v/>
      </c>
    </row>
    <row r="26">
      <c r="A26" t="s">
        <v>24</v>
      </c>
      <c r="B26" s="183" t="str">
        <f t="shared" ref="B26:K26" si="13">if(sum(B$2:B$11)=10,B2,"")</f>
        <v/>
      </c>
      <c r="C26" s="183" t="str">
        <f t="shared" si="13"/>
        <v/>
      </c>
      <c r="D26" s="183" t="str">
        <f t="shared" si="13"/>
        <v/>
      </c>
      <c r="E26" s="183" t="str">
        <f t="shared" si="13"/>
        <v/>
      </c>
      <c r="F26" s="183" t="str">
        <f t="shared" si="13"/>
        <v/>
      </c>
      <c r="G26" s="183" t="str">
        <f t="shared" si="13"/>
        <v/>
      </c>
      <c r="H26" s="183" t="str">
        <f t="shared" si="13"/>
        <v/>
      </c>
      <c r="I26" s="183" t="str">
        <f t="shared" si="13"/>
        <v/>
      </c>
      <c r="J26" s="183" t="str">
        <f t="shared" si="13"/>
        <v/>
      </c>
      <c r="K26" s="183" t="str">
        <f t="shared" si="13"/>
        <v/>
      </c>
    </row>
    <row r="27">
      <c r="A27" t="s">
        <v>11</v>
      </c>
      <c r="B27" s="183" t="str">
        <f t="shared" ref="B27:K27" si="14">if(sum(B$2:B$11)=10,B3,"")</f>
        <v/>
      </c>
      <c r="C27" s="183" t="str">
        <f t="shared" si="14"/>
        <v/>
      </c>
      <c r="D27" s="183" t="str">
        <f t="shared" si="14"/>
        <v/>
      </c>
      <c r="E27" s="183" t="str">
        <f t="shared" si="14"/>
        <v/>
      </c>
      <c r="F27" s="183" t="str">
        <f t="shared" si="14"/>
        <v/>
      </c>
      <c r="G27" s="183" t="str">
        <f t="shared" si="14"/>
        <v/>
      </c>
      <c r="H27" s="183" t="str">
        <f t="shared" si="14"/>
        <v/>
      </c>
      <c r="I27" s="183" t="str">
        <f t="shared" si="14"/>
        <v/>
      </c>
      <c r="J27" s="183" t="str">
        <f t="shared" si="14"/>
        <v/>
      </c>
      <c r="K27" s="183" t="str">
        <f t="shared" si="14"/>
        <v/>
      </c>
    </row>
    <row r="28">
      <c r="A28" t="s">
        <v>29</v>
      </c>
      <c r="B28" s="183" t="str">
        <f t="shared" ref="B28:K28" si="15">if(sum(B$2:B$11)=10,B4,"")</f>
        <v/>
      </c>
      <c r="C28" s="183" t="str">
        <f t="shared" si="15"/>
        <v/>
      </c>
      <c r="D28" s="183" t="str">
        <f t="shared" si="15"/>
        <v/>
      </c>
      <c r="E28" s="183" t="str">
        <f t="shared" si="15"/>
        <v/>
      </c>
      <c r="F28" s="183" t="str">
        <f t="shared" si="15"/>
        <v/>
      </c>
      <c r="G28" s="183" t="str">
        <f t="shared" si="15"/>
        <v/>
      </c>
      <c r="H28" s="183" t="str">
        <f t="shared" si="15"/>
        <v/>
      </c>
      <c r="I28" s="183" t="str">
        <f t="shared" si="15"/>
        <v/>
      </c>
      <c r="J28" s="183" t="str">
        <f t="shared" si="15"/>
        <v/>
      </c>
      <c r="K28" s="183" t="str">
        <f t="shared" si="15"/>
        <v/>
      </c>
    </row>
    <row r="29">
      <c r="A29" t="s">
        <v>407</v>
      </c>
      <c r="B29" s="183" t="str">
        <f t="shared" ref="B29:K29" si="16">if(sum(B$2:B$11)=10,B5,"")</f>
        <v/>
      </c>
      <c r="C29" s="183" t="str">
        <f t="shared" si="16"/>
        <v/>
      </c>
      <c r="D29" s="183" t="str">
        <f t="shared" si="16"/>
        <v/>
      </c>
      <c r="E29" s="183" t="str">
        <f t="shared" si="16"/>
        <v/>
      </c>
      <c r="F29" s="183" t="str">
        <f t="shared" si="16"/>
        <v/>
      </c>
      <c r="G29" s="183" t="str">
        <f t="shared" si="16"/>
        <v/>
      </c>
      <c r="H29" s="183" t="str">
        <f t="shared" si="16"/>
        <v/>
      </c>
      <c r="I29" s="183" t="str">
        <f t="shared" si="16"/>
        <v/>
      </c>
      <c r="J29" s="183" t="str">
        <f t="shared" si="16"/>
        <v/>
      </c>
      <c r="K29" s="183" t="str">
        <f t="shared" si="16"/>
        <v/>
      </c>
    </row>
    <row r="30">
      <c r="A30" t="s">
        <v>464</v>
      </c>
      <c r="B30" s="183" t="str">
        <f t="shared" ref="B30:K30" si="17">if(sum(B$2:B$11)=10,B6,"")</f>
        <v/>
      </c>
      <c r="C30" s="183" t="str">
        <f t="shared" si="17"/>
        <v/>
      </c>
      <c r="D30" s="183" t="str">
        <f t="shared" si="17"/>
        <v/>
      </c>
      <c r="E30" s="183" t="str">
        <f t="shared" si="17"/>
        <v/>
      </c>
      <c r="F30" s="183" t="str">
        <f t="shared" si="17"/>
        <v/>
      </c>
      <c r="G30" s="183" t="str">
        <f t="shared" si="17"/>
        <v/>
      </c>
      <c r="H30" s="183" t="str">
        <f t="shared" si="17"/>
        <v/>
      </c>
      <c r="I30" s="183" t="str">
        <f t="shared" si="17"/>
        <v/>
      </c>
      <c r="J30" s="183" t="str">
        <f t="shared" si="17"/>
        <v/>
      </c>
      <c r="K30" s="183" t="str">
        <f t="shared" si="17"/>
        <v/>
      </c>
    </row>
    <row r="31">
      <c r="A31" t="s">
        <v>479</v>
      </c>
      <c r="B31" s="183" t="str">
        <f t="shared" ref="B31:K31" si="18">if(sum(B$2:B$11)=10,B7,"")</f>
        <v/>
      </c>
      <c r="C31" s="183" t="str">
        <f t="shared" si="18"/>
        <v/>
      </c>
      <c r="D31" s="183" t="str">
        <f t="shared" si="18"/>
        <v/>
      </c>
      <c r="E31" s="183" t="str">
        <f t="shared" si="18"/>
        <v/>
      </c>
      <c r="F31" s="183" t="str">
        <f t="shared" si="18"/>
        <v/>
      </c>
      <c r="G31" s="183" t="str">
        <f t="shared" si="18"/>
        <v/>
      </c>
      <c r="H31" s="183" t="str">
        <f t="shared" si="18"/>
        <v/>
      </c>
      <c r="I31" s="183" t="str">
        <f t="shared" si="18"/>
        <v/>
      </c>
      <c r="J31" s="183" t="str">
        <f t="shared" si="18"/>
        <v/>
      </c>
      <c r="K31" s="183" t="str">
        <f t="shared" si="18"/>
        <v/>
      </c>
    </row>
    <row r="32">
      <c r="A32" t="s">
        <v>393</v>
      </c>
      <c r="B32" s="183" t="str">
        <f t="shared" ref="B32:K32" si="19">if(sum(B$2:B$11)=10,B8,"")</f>
        <v/>
      </c>
      <c r="C32" s="183" t="str">
        <f t="shared" si="19"/>
        <v/>
      </c>
      <c r="D32" s="183" t="str">
        <f t="shared" si="19"/>
        <v/>
      </c>
      <c r="E32" s="183" t="str">
        <f t="shared" si="19"/>
        <v/>
      </c>
      <c r="F32" s="183" t="str">
        <f t="shared" si="19"/>
        <v/>
      </c>
      <c r="G32" s="183" t="str">
        <f t="shared" si="19"/>
        <v/>
      </c>
      <c r="H32" s="183" t="str">
        <f t="shared" si="19"/>
        <v/>
      </c>
      <c r="I32" s="183" t="str">
        <f t="shared" si="19"/>
        <v/>
      </c>
      <c r="J32" s="183" t="str">
        <f t="shared" si="19"/>
        <v/>
      </c>
      <c r="K32" s="183" t="str">
        <f t="shared" si="19"/>
        <v/>
      </c>
    </row>
    <row r="33">
      <c r="A33" t="s">
        <v>413</v>
      </c>
      <c r="B33" s="183" t="str">
        <f t="shared" ref="B33:K33" si="20">if(sum(B$2:B$11)=10,B9,"")</f>
        <v/>
      </c>
      <c r="C33" s="183" t="str">
        <f t="shared" si="20"/>
        <v/>
      </c>
      <c r="D33" s="183" t="str">
        <f t="shared" si="20"/>
        <v/>
      </c>
      <c r="E33" s="183" t="str">
        <f t="shared" si="20"/>
        <v/>
      </c>
      <c r="F33" s="183" t="str">
        <f t="shared" si="20"/>
        <v/>
      </c>
      <c r="G33" s="183" t="str">
        <f t="shared" si="20"/>
        <v/>
      </c>
      <c r="H33" s="183" t="str">
        <f t="shared" si="20"/>
        <v/>
      </c>
      <c r="I33" s="183" t="str">
        <f t="shared" si="20"/>
        <v/>
      </c>
      <c r="J33" s="183" t="str">
        <f t="shared" si="20"/>
        <v/>
      </c>
      <c r="K33" s="183" t="str">
        <f t="shared" si="20"/>
        <v/>
      </c>
    </row>
    <row r="34">
      <c r="A34" t="s">
        <v>27</v>
      </c>
      <c r="B34" s="183" t="str">
        <f t="shared" ref="B34:K34" si="21">if(sum(B$2:B$11)=10,B10,"")</f>
        <v/>
      </c>
      <c r="C34" s="183" t="str">
        <f t="shared" si="21"/>
        <v/>
      </c>
      <c r="D34" s="183" t="str">
        <f t="shared" si="21"/>
        <v/>
      </c>
      <c r="E34" s="183" t="str">
        <f t="shared" si="21"/>
        <v/>
      </c>
      <c r="F34" s="183" t="str">
        <f t="shared" si="21"/>
        <v/>
      </c>
      <c r="G34" s="183" t="str">
        <f t="shared" si="21"/>
        <v/>
      </c>
      <c r="H34" s="183" t="str">
        <f t="shared" si="21"/>
        <v/>
      </c>
      <c r="I34" s="183" t="str">
        <f t="shared" si="21"/>
        <v/>
      </c>
      <c r="J34" s="183" t="str">
        <f t="shared" si="21"/>
        <v/>
      </c>
      <c r="K34" s="183" t="str">
        <f t="shared" si="21"/>
        <v/>
      </c>
    </row>
    <row r="35">
      <c r="A35" t="s">
        <v>456</v>
      </c>
      <c r="B35" s="183" t="str">
        <f t="shared" ref="B35:K35" si="22">if(sum(B$2:B$11)=10,B11,"")</f>
        <v/>
      </c>
      <c r="C35" s="183" t="str">
        <f t="shared" si="22"/>
        <v/>
      </c>
      <c r="D35" s="183" t="str">
        <f t="shared" si="22"/>
        <v/>
      </c>
      <c r="E35" s="183" t="str">
        <f t="shared" si="22"/>
        <v/>
      </c>
      <c r="F35" s="183" t="str">
        <f t="shared" si="22"/>
        <v/>
      </c>
      <c r="G35" s="183" t="str">
        <f t="shared" si="22"/>
        <v/>
      </c>
      <c r="H35" s="183" t="str">
        <f t="shared" si="22"/>
        <v/>
      </c>
      <c r="I35" s="183" t="str">
        <f t="shared" si="22"/>
        <v/>
      </c>
      <c r="J35" s="183" t="str">
        <f t="shared" si="22"/>
        <v/>
      </c>
      <c r="K35" s="183" t="str">
        <f t="shared" si="22"/>
        <v/>
      </c>
    </row>
    <row r="37">
      <c r="B37" s="183"/>
      <c r="C37" s="183"/>
      <c r="D37" s="183"/>
      <c r="E37" s="183"/>
      <c r="F37" s="183" t="str">
        <f t="shared" ref="F37:K37" si="23">if(sum(F$2:F$11)=10,F13,"")</f>
        <v/>
      </c>
      <c r="G37" s="183" t="str">
        <f t="shared" si="23"/>
        <v/>
      </c>
      <c r="H37" s="183" t="str">
        <f t="shared" si="23"/>
        <v/>
      </c>
      <c r="I37" s="183" t="str">
        <f t="shared" si="23"/>
        <v/>
      </c>
      <c r="J37" s="183" t="str">
        <f t="shared" si="23"/>
        <v/>
      </c>
      <c r="K37" s="183" t="str">
        <f t="shared" si="23"/>
        <v/>
      </c>
    </row>
    <row r="38">
      <c r="A38" t="s">
        <v>24</v>
      </c>
      <c r="B38" s="183">
        <f t="shared" ref="B38:B47" si="24">sum(B2:K2)</f>
        <v>1</v>
      </c>
      <c r="C38" s="183"/>
      <c r="D38" s="183"/>
      <c r="E38" s="183"/>
      <c r="F38" s="183"/>
      <c r="G38" s="183"/>
      <c r="H38" s="183"/>
      <c r="I38" s="183"/>
      <c r="J38" s="183"/>
      <c r="K38" s="183"/>
    </row>
    <row r="39">
      <c r="A39" t="s">
        <v>11</v>
      </c>
      <c r="B39" s="183">
        <f t="shared" si="24"/>
        <v>2</v>
      </c>
    </row>
    <row r="40">
      <c r="A40" t="s">
        <v>29</v>
      </c>
      <c r="B40" s="183">
        <f t="shared" si="24"/>
        <v>2</v>
      </c>
    </row>
    <row r="41">
      <c r="A41" t="s">
        <v>407</v>
      </c>
      <c r="B41" s="183">
        <f t="shared" si="24"/>
        <v>2</v>
      </c>
    </row>
    <row r="42">
      <c r="A42" t="s">
        <v>464</v>
      </c>
      <c r="B42" s="183">
        <f t="shared" si="24"/>
        <v>0</v>
      </c>
    </row>
    <row r="43">
      <c r="A43" t="s">
        <v>479</v>
      </c>
      <c r="B43" s="183">
        <f t="shared" si="24"/>
        <v>0</v>
      </c>
    </row>
    <row r="44">
      <c r="A44" t="s">
        <v>393</v>
      </c>
      <c r="B44" s="183">
        <f t="shared" si="24"/>
        <v>1</v>
      </c>
    </row>
    <row r="45">
      <c r="A45" t="s">
        <v>413</v>
      </c>
      <c r="B45" s="183">
        <f t="shared" si="24"/>
        <v>0</v>
      </c>
    </row>
    <row r="46">
      <c r="A46" t="s">
        <v>27</v>
      </c>
      <c r="B46" s="183">
        <f t="shared" si="24"/>
        <v>2</v>
      </c>
    </row>
    <row r="47">
      <c r="A47" t="s">
        <v>456</v>
      </c>
      <c r="B47" s="183">
        <f t="shared" si="24"/>
        <v>0</v>
      </c>
    </row>
    <row r="49">
      <c r="B49" s="183" t="str">
        <f t="shared" ref="B49:K49" si="25">if(sum(B$2:B$11)=10,B25,"")</f>
        <v/>
      </c>
      <c r="C49" s="183" t="str">
        <f t="shared" si="25"/>
        <v/>
      </c>
      <c r="D49" s="183" t="str">
        <f t="shared" si="25"/>
        <v/>
      </c>
      <c r="E49" s="183" t="str">
        <f t="shared" si="25"/>
        <v/>
      </c>
      <c r="F49" s="183" t="str">
        <f t="shared" si="25"/>
        <v/>
      </c>
      <c r="G49" s="183" t="str">
        <f t="shared" si="25"/>
        <v/>
      </c>
      <c r="H49" s="183" t="str">
        <f t="shared" si="25"/>
        <v/>
      </c>
      <c r="I49" s="183" t="str">
        <f t="shared" si="25"/>
        <v/>
      </c>
      <c r="J49" s="183" t="str">
        <f t="shared" si="25"/>
        <v/>
      </c>
      <c r="K49" s="183" t="str">
        <f t="shared" si="25"/>
        <v/>
      </c>
    </row>
    <row r="50">
      <c r="A50" s="13" t="s">
        <v>891</v>
      </c>
      <c r="B50" t="str">
        <f t="shared" ref="B50:K50" si="26">if(sum(B$2:B$11)=10,10-B51,"")</f>
        <v/>
      </c>
      <c r="C50" t="str">
        <f t="shared" si="26"/>
        <v/>
      </c>
      <c r="D50" t="str">
        <f t="shared" si="26"/>
        <v/>
      </c>
      <c r="E50" t="str">
        <f t="shared" si="26"/>
        <v/>
      </c>
      <c r="F50" t="str">
        <f t="shared" si="26"/>
        <v/>
      </c>
      <c r="G50" t="str">
        <f t="shared" si="26"/>
        <v/>
      </c>
      <c r="H50" t="str">
        <f t="shared" si="26"/>
        <v/>
      </c>
      <c r="I50" t="str">
        <f t="shared" si="26"/>
        <v/>
      </c>
      <c r="J50" t="str">
        <f t="shared" si="26"/>
        <v/>
      </c>
      <c r="K50" t="str">
        <f t="shared" si="26"/>
        <v/>
      </c>
    </row>
    <row r="51">
      <c r="A51" s="13" t="s">
        <v>892</v>
      </c>
      <c r="B51" t="str">
        <f t="shared" ref="B51:K51" si="27">if(sum(B$2:B$11)=10,sum(B27:B29,B33:B34),"")</f>
        <v/>
      </c>
      <c r="C51" t="str">
        <f t="shared" si="27"/>
        <v/>
      </c>
      <c r="D51" t="str">
        <f t="shared" si="27"/>
        <v/>
      </c>
      <c r="E51" t="str">
        <f t="shared" si="27"/>
        <v/>
      </c>
      <c r="F51" t="str">
        <f t="shared" si="27"/>
        <v/>
      </c>
      <c r="G51" t="str">
        <f t="shared" si="27"/>
        <v/>
      </c>
      <c r="H51" t="str">
        <f t="shared" si="27"/>
        <v/>
      </c>
      <c r="I51" t="str">
        <f t="shared" si="27"/>
        <v/>
      </c>
      <c r="J51" t="str">
        <f t="shared" si="27"/>
        <v/>
      </c>
      <c r="K51" t="str">
        <f t="shared" si="27"/>
        <v/>
      </c>
    </row>
    <row r="53">
      <c r="B53" t="s">
        <v>24</v>
      </c>
      <c r="C53" t="s">
        <v>11</v>
      </c>
      <c r="D53" t="s">
        <v>29</v>
      </c>
      <c r="E53" t="s">
        <v>407</v>
      </c>
      <c r="F53" t="s">
        <v>464</v>
      </c>
      <c r="G53" t="s">
        <v>479</v>
      </c>
      <c r="H53" t="s">
        <v>393</v>
      </c>
      <c r="I53" t="s">
        <v>413</v>
      </c>
      <c r="J53" t="s">
        <v>27</v>
      </c>
      <c r="K53" t="s">
        <v>456</v>
      </c>
    </row>
    <row r="54">
      <c r="A54" s="15" t="s">
        <v>20</v>
      </c>
      <c r="B54">
        <f>countifs(DraftTracker!$D:$D,$A54,DraftTracker!$E:$E,B$53)</f>
        <v>1</v>
      </c>
      <c r="C54">
        <f>countifs(DraftTracker!$D:$D,$A54,DraftTracker!$E:$E,C$53)</f>
        <v>1</v>
      </c>
      <c r="D54">
        <f>countifs(DraftTracker!$D:$D,$A54,DraftTracker!$E:$E,D$53)</f>
        <v>1</v>
      </c>
      <c r="E54">
        <f>countifs(DraftTracker!$D:$D,$A54,DraftTracker!$E:$E,E$53)</f>
        <v>1</v>
      </c>
      <c r="F54">
        <f>countifs(DraftTracker!$D:$D,$A54,DraftTracker!$E:$E,F$53)</f>
        <v>1</v>
      </c>
      <c r="G54">
        <f>countifs(DraftTracker!$D:$D,$A54,DraftTracker!$E:$E,G$53)</f>
        <v>1</v>
      </c>
      <c r="H54">
        <f>countifs(DraftTracker!$D:$D,$A54,DraftTracker!$E:$E,H$53)</f>
        <v>1</v>
      </c>
      <c r="I54">
        <f>countifs(DraftTracker!$D:$D,$A54,DraftTracker!$E:$E,I$53)</f>
        <v>1</v>
      </c>
      <c r="J54">
        <f>countifs(DraftTracker!$D:$D,$A54,DraftTracker!$E:$E,J$53)</f>
        <v>1</v>
      </c>
      <c r="K54">
        <f>countifs(DraftTracker!$D:$D,$A54,DraftTracker!$E:$E,K$53)</f>
        <v>1</v>
      </c>
    </row>
    <row r="55">
      <c r="A55" s="15" t="s">
        <v>21</v>
      </c>
      <c r="B55">
        <f>countifs(DraftTracker!$D:$D,$A55,DraftTracker!$E:$E,B$53)</f>
        <v>1</v>
      </c>
      <c r="C55">
        <f>countifs(DraftTracker!$D:$D,$A55,DraftTracker!$E:$E,C$53)</f>
        <v>1</v>
      </c>
      <c r="D55">
        <f>countifs(DraftTracker!$D:$D,$A55,DraftTracker!$E:$E,D$53)</f>
        <v>1</v>
      </c>
      <c r="E55">
        <f>countifs(DraftTracker!$D:$D,$A55,DraftTracker!$E:$E,E$53)</f>
        <v>1</v>
      </c>
      <c r="F55">
        <f>countifs(DraftTracker!$D:$D,$A55,DraftTracker!$E:$E,F$53)</f>
        <v>1</v>
      </c>
      <c r="G55">
        <f>countifs(DraftTracker!$D:$D,$A55,DraftTracker!$E:$E,G$53)</f>
        <v>1</v>
      </c>
      <c r="H55">
        <f>countifs(DraftTracker!$D:$D,$A55,DraftTracker!$E:$E,H$53)</f>
        <v>1</v>
      </c>
      <c r="I55">
        <f>countifs(DraftTracker!$D:$D,$A55,DraftTracker!$E:$E,I$53)</f>
        <v>1</v>
      </c>
      <c r="J55">
        <f>countifs(DraftTracker!$D:$D,$A55,DraftTracker!$E:$E,J$53)</f>
        <v>1</v>
      </c>
      <c r="K55">
        <f>countifs(DraftTracker!$D:$D,$A55,DraftTracker!$E:$E,K$53)</f>
        <v>1</v>
      </c>
    </row>
    <row r="56">
      <c r="A56" s="15" t="s">
        <v>17</v>
      </c>
      <c r="B56">
        <f>countifs(DraftTracker!$D:$D,$A56,DraftTracker!$E:$E,B$53)</f>
        <v>1</v>
      </c>
      <c r="C56">
        <f>countifs(DraftTracker!$D:$D,$A56,DraftTracker!$E:$E,C$53)</f>
        <v>1</v>
      </c>
      <c r="D56">
        <f>countifs(DraftTracker!$D:$D,$A56,DraftTracker!$E:$E,D$53)</f>
        <v>1</v>
      </c>
      <c r="E56">
        <f>countifs(DraftTracker!$D:$D,$A56,DraftTracker!$E:$E,E$53)</f>
        <v>1</v>
      </c>
      <c r="F56">
        <f>countifs(DraftTracker!$D:$D,$A56,DraftTracker!$E:$E,F$53)</f>
        <v>1</v>
      </c>
      <c r="G56">
        <f>countifs(DraftTracker!$D:$D,$A56,DraftTracker!$E:$E,G$53)</f>
        <v>1</v>
      </c>
      <c r="H56">
        <f>countifs(DraftTracker!$D:$D,$A56,DraftTracker!$E:$E,H$53)</f>
        <v>1</v>
      </c>
      <c r="I56">
        <f>countifs(DraftTracker!$D:$D,$A56,DraftTracker!$E:$E,I$53)</f>
        <v>1</v>
      </c>
      <c r="J56">
        <f>countifs(DraftTracker!$D:$D,$A56,DraftTracker!$E:$E,J$53)</f>
        <v>1</v>
      </c>
      <c r="K56">
        <f>countifs(DraftTracker!$D:$D,$A56,DraftTracker!$E:$E,K$53)</f>
        <v>1</v>
      </c>
    </row>
    <row r="57">
      <c r="A57" s="15" t="s">
        <v>16</v>
      </c>
      <c r="B57">
        <f>countifs(DraftTracker!$D:$D,$A57,DraftTracker!$E:$E,B$53)</f>
        <v>1</v>
      </c>
      <c r="C57">
        <f>countifs(DraftTracker!$D:$D,$A57,DraftTracker!$E:$E,C$53)</f>
        <v>1</v>
      </c>
      <c r="D57">
        <f>countifs(DraftTracker!$D:$D,$A57,DraftTracker!$E:$E,D$53)</f>
        <v>1</v>
      </c>
      <c r="E57">
        <f>countifs(DraftTracker!$D:$D,$A57,DraftTracker!$E:$E,E$53)</f>
        <v>1</v>
      </c>
      <c r="F57">
        <f>countifs(DraftTracker!$D:$D,$A57,DraftTracker!$E:$E,F$53)</f>
        <v>1</v>
      </c>
      <c r="G57">
        <f>countifs(DraftTracker!$D:$D,$A57,DraftTracker!$E:$E,G$53)</f>
        <v>1</v>
      </c>
      <c r="H57">
        <f>countifs(DraftTracker!$D:$D,$A57,DraftTracker!$E:$E,H$53)</f>
        <v>1</v>
      </c>
      <c r="I57">
        <f>countifs(DraftTracker!$D:$D,$A57,DraftTracker!$E:$E,I$53)</f>
        <v>1</v>
      </c>
      <c r="J57">
        <f>countifs(DraftTracker!$D:$D,$A57,DraftTracker!$E:$E,J$53)</f>
        <v>1</v>
      </c>
      <c r="K57">
        <f>countifs(DraftTracker!$D:$D,$A57,DraftTracker!$E:$E,K$53)</f>
        <v>1</v>
      </c>
    </row>
    <row r="58">
      <c r="A58" s="15" t="s">
        <v>25</v>
      </c>
      <c r="B58">
        <f>countifs(DraftTracker!$D:$D,$A58,DraftTracker!$E:$E,B$53)</f>
        <v>1</v>
      </c>
      <c r="C58">
        <f>countifs(DraftTracker!$D:$D,$A58,DraftTracker!$E:$E,C$53)</f>
        <v>1</v>
      </c>
      <c r="D58">
        <f>countifs(DraftTracker!$D:$D,$A58,DraftTracker!$E:$E,D$53)</f>
        <v>1</v>
      </c>
      <c r="E58">
        <f>countifs(DraftTracker!$D:$D,$A58,DraftTracker!$E:$E,E$53)</f>
        <v>1</v>
      </c>
      <c r="F58">
        <f>countifs(DraftTracker!$D:$D,$A58,DraftTracker!$E:$E,F$53)</f>
        <v>1</v>
      </c>
      <c r="G58">
        <f>countifs(DraftTracker!$D:$D,$A58,DraftTracker!$E:$E,G$53)</f>
        <v>1</v>
      </c>
      <c r="H58">
        <f>countifs(DraftTracker!$D:$D,$A58,DraftTracker!$E:$E,H$53)</f>
        <v>1</v>
      </c>
      <c r="I58">
        <f>countifs(DraftTracker!$D:$D,$A58,DraftTracker!$E:$E,I$53)</f>
        <v>1</v>
      </c>
      <c r="J58">
        <f>countifs(DraftTracker!$D:$D,$A58,DraftTracker!$E:$E,J$53)</f>
        <v>1</v>
      </c>
      <c r="K58">
        <f>countifs(DraftTracker!$D:$D,$A58,DraftTracker!$E:$E,K$53)</f>
        <v>1</v>
      </c>
    </row>
    <row r="59">
      <c r="A59" s="15" t="s">
        <v>18</v>
      </c>
      <c r="B59">
        <f>countifs(DraftTracker!$D:$D,$A59,DraftTracker!$E:$E,B$53)</f>
        <v>1</v>
      </c>
      <c r="C59">
        <f>countifs(DraftTracker!$D:$D,$A59,DraftTracker!$E:$E,C$53)</f>
        <v>1</v>
      </c>
      <c r="D59">
        <f>countifs(DraftTracker!$D:$D,$A59,DraftTracker!$E:$E,D$53)</f>
        <v>1</v>
      </c>
      <c r="E59">
        <f>countifs(DraftTracker!$D:$D,$A59,DraftTracker!$E:$E,E$53)</f>
        <v>1</v>
      </c>
      <c r="F59">
        <f>countifs(DraftTracker!$D:$D,$A59,DraftTracker!$E:$E,F$53)</f>
        <v>1</v>
      </c>
      <c r="G59">
        <f>countifs(DraftTracker!$D:$D,$A59,DraftTracker!$E:$E,G$53)</f>
        <v>1</v>
      </c>
      <c r="H59">
        <f>countifs(DraftTracker!$D:$D,$A59,DraftTracker!$E:$E,H$53)</f>
        <v>1</v>
      </c>
      <c r="I59">
        <f>countifs(DraftTracker!$D:$D,$A59,DraftTracker!$E:$E,I$53)</f>
        <v>1</v>
      </c>
      <c r="J59">
        <f>countifs(DraftTracker!$D:$D,$A59,DraftTracker!$E:$E,J$53)</f>
        <v>1</v>
      </c>
      <c r="K59">
        <f>countifs(DraftTracker!$D:$D,$A59,DraftTracker!$E:$E,K$53)</f>
        <v>1</v>
      </c>
    </row>
    <row r="60">
      <c r="A60" s="15" t="s">
        <v>12</v>
      </c>
      <c r="B60">
        <f>countifs(DraftTracker!$D:$D,$A60,DraftTracker!$E:$E,B$53)</f>
        <v>1</v>
      </c>
      <c r="C60">
        <f>countifs(DraftTracker!$D:$D,$A60,DraftTracker!$E:$E,C$53)</f>
        <v>1</v>
      </c>
      <c r="D60">
        <f>countifs(DraftTracker!$D:$D,$A60,DraftTracker!$E:$E,D$53)</f>
        <v>1</v>
      </c>
      <c r="E60">
        <f>countifs(DraftTracker!$D:$D,$A60,DraftTracker!$E:$E,E$53)</f>
        <v>1</v>
      </c>
      <c r="F60">
        <f>countifs(DraftTracker!$D:$D,$A60,DraftTracker!$E:$E,F$53)</f>
        <v>1</v>
      </c>
      <c r="G60">
        <f>countifs(DraftTracker!$D:$D,$A60,DraftTracker!$E:$E,G$53)</f>
        <v>1</v>
      </c>
      <c r="H60">
        <f>countifs(DraftTracker!$D:$D,$A60,DraftTracker!$E:$E,H$53)</f>
        <v>1</v>
      </c>
      <c r="I60">
        <f>countifs(DraftTracker!$D:$D,$A60,DraftTracker!$E:$E,I$53)</f>
        <v>1</v>
      </c>
      <c r="J60">
        <f>countifs(DraftTracker!$D:$D,$A60,DraftTracker!$E:$E,J$53)</f>
        <v>1</v>
      </c>
      <c r="K60">
        <f>countifs(DraftTracker!$D:$D,$A60,DraftTracker!$E:$E,K$53)</f>
        <v>1</v>
      </c>
    </row>
    <row r="61">
      <c r="A61" s="15" t="s">
        <v>14</v>
      </c>
      <c r="B61">
        <f>countifs(DraftTracker!$D:$D,$A61,DraftTracker!$E:$E,B$53)</f>
        <v>1</v>
      </c>
      <c r="C61">
        <f>countifs(DraftTracker!$D:$D,$A61,DraftTracker!$E:$E,C$53)</f>
        <v>1</v>
      </c>
      <c r="D61">
        <f>countifs(DraftTracker!$D:$D,$A61,DraftTracker!$E:$E,D$53)</f>
        <v>1</v>
      </c>
      <c r="E61">
        <f>countifs(DraftTracker!$D:$D,$A61,DraftTracker!$E:$E,E$53)</f>
        <v>1</v>
      </c>
      <c r="F61">
        <f>countifs(DraftTracker!$D:$D,$A61,DraftTracker!$E:$E,F$53)</f>
        <v>1</v>
      </c>
      <c r="G61">
        <f>countifs(DraftTracker!$D:$D,$A61,DraftTracker!$E:$E,G$53)</f>
        <v>1</v>
      </c>
      <c r="H61">
        <f>countifs(DraftTracker!$D:$D,$A61,DraftTracker!$E:$E,H$53)</f>
        <v>1</v>
      </c>
      <c r="I61">
        <f>countifs(DraftTracker!$D:$D,$A61,DraftTracker!$E:$E,I$53)</f>
        <v>1</v>
      </c>
      <c r="J61">
        <f>countifs(DraftTracker!$D:$D,$A61,DraftTracker!$E:$E,J$53)</f>
        <v>1</v>
      </c>
      <c r="K61">
        <f>countifs(DraftTracker!$D:$D,$A61,DraftTracker!$E:$E,K$53)</f>
        <v>1</v>
      </c>
    </row>
    <row r="62">
      <c r="A62" s="15" t="s">
        <v>19</v>
      </c>
      <c r="B62">
        <f>countifs(DraftTracker!$D:$D,$A62,DraftTracker!$E:$E,B$53)</f>
        <v>1</v>
      </c>
      <c r="C62">
        <f>countifs(DraftTracker!$D:$D,$A62,DraftTracker!$E:$E,C$53)</f>
        <v>1</v>
      </c>
      <c r="D62">
        <f>countifs(DraftTracker!$D:$D,$A62,DraftTracker!$E:$E,D$53)</f>
        <v>1</v>
      </c>
      <c r="E62">
        <f>countifs(DraftTracker!$D:$D,$A62,DraftTracker!$E:$E,E$53)</f>
        <v>1</v>
      </c>
      <c r="F62">
        <f>countifs(DraftTracker!$D:$D,$A62,DraftTracker!$E:$E,F$53)</f>
        <v>1</v>
      </c>
      <c r="G62">
        <f>countifs(DraftTracker!$D:$D,$A62,DraftTracker!$E:$E,G$53)</f>
        <v>1</v>
      </c>
      <c r="H62">
        <f>countifs(DraftTracker!$D:$D,$A62,DraftTracker!$E:$E,H$53)</f>
        <v>1</v>
      </c>
      <c r="I62">
        <f>countifs(DraftTracker!$D:$D,$A62,DraftTracker!$E:$E,I$53)</f>
        <v>1</v>
      </c>
      <c r="J62">
        <f>countifs(DraftTracker!$D:$D,$A62,DraftTracker!$E:$E,J$53)</f>
        <v>1</v>
      </c>
      <c r="K62">
        <f>countifs(DraftTracker!$D:$D,$A62,DraftTracker!$E:$E,K$53)</f>
        <v>1</v>
      </c>
    </row>
    <row r="63">
      <c r="A63" s="15" t="s">
        <v>22</v>
      </c>
      <c r="B63">
        <f>countifs(DraftTracker!$D:$D,$A63,DraftTracker!$E:$E,B$53)</f>
        <v>1</v>
      </c>
      <c r="C63">
        <f>countifs(DraftTracker!$D:$D,$A63,DraftTracker!$E:$E,C$53)</f>
        <v>1</v>
      </c>
      <c r="D63">
        <f>countifs(DraftTracker!$D:$D,$A63,DraftTracker!$E:$E,D$53)</f>
        <v>1</v>
      </c>
      <c r="E63">
        <f>countifs(DraftTracker!$D:$D,$A63,DraftTracker!$E:$E,E$53)</f>
        <v>1</v>
      </c>
      <c r="F63">
        <f>countifs(DraftTracker!$D:$D,$A63,DraftTracker!$E:$E,F$53)</f>
        <v>1</v>
      </c>
      <c r="G63">
        <f>countifs(DraftTracker!$D:$D,$A63,DraftTracker!$E:$E,G$53)</f>
        <v>1</v>
      </c>
      <c r="H63">
        <f>countifs(DraftTracker!$D:$D,$A63,DraftTracker!$E:$E,H$53)</f>
        <v>1</v>
      </c>
      <c r="I63">
        <f>countifs(DraftTracker!$D:$D,$A63,DraftTracker!$E:$E,I$53)</f>
        <v>1</v>
      </c>
      <c r="J63">
        <f>countifs(DraftTracker!$D:$D,$A63,DraftTracker!$E:$E,J$53)</f>
        <v>1</v>
      </c>
      <c r="K63">
        <f>countifs(DraftTracker!$D:$D,$A63,DraftTracker!$E:$E,K$53)</f>
        <v>1</v>
      </c>
    </row>
    <row r="65">
      <c r="B65" s="15" t="s">
        <v>891</v>
      </c>
      <c r="C65" s="15" t="s">
        <v>892</v>
      </c>
    </row>
    <row r="66">
      <c r="A66" s="15" t="s">
        <v>20</v>
      </c>
      <c r="B66" s="15">
        <f t="shared" ref="B66:B75" si="28">sum(B54,F54,G54,H54,K54)</f>
        <v>5</v>
      </c>
      <c r="C66">
        <f t="shared" ref="C66:C75" si="29">sum(C54,D54,E54,I54,J54)</f>
        <v>5</v>
      </c>
    </row>
    <row r="67">
      <c r="A67" s="15" t="s">
        <v>21</v>
      </c>
      <c r="B67" s="15">
        <f t="shared" si="28"/>
        <v>5</v>
      </c>
      <c r="C67">
        <f t="shared" si="29"/>
        <v>5</v>
      </c>
    </row>
    <row r="68">
      <c r="A68" s="15" t="s">
        <v>17</v>
      </c>
      <c r="B68" s="15">
        <f t="shared" si="28"/>
        <v>5</v>
      </c>
      <c r="C68">
        <f t="shared" si="29"/>
        <v>5</v>
      </c>
    </row>
    <row r="69">
      <c r="A69" s="15" t="s">
        <v>16</v>
      </c>
      <c r="B69" s="15">
        <f t="shared" si="28"/>
        <v>5</v>
      </c>
      <c r="C69">
        <f t="shared" si="29"/>
        <v>5</v>
      </c>
    </row>
    <row r="70">
      <c r="A70" s="15" t="s">
        <v>25</v>
      </c>
      <c r="B70" s="15">
        <f t="shared" si="28"/>
        <v>5</v>
      </c>
      <c r="C70">
        <f t="shared" si="29"/>
        <v>5</v>
      </c>
    </row>
    <row r="71">
      <c r="A71" s="15" t="s">
        <v>18</v>
      </c>
      <c r="B71" s="15">
        <f t="shared" si="28"/>
        <v>5</v>
      </c>
      <c r="C71">
        <f t="shared" si="29"/>
        <v>5</v>
      </c>
    </row>
    <row r="72">
      <c r="A72" s="15" t="s">
        <v>12</v>
      </c>
      <c r="B72" s="15">
        <f t="shared" si="28"/>
        <v>5</v>
      </c>
      <c r="C72">
        <f t="shared" si="29"/>
        <v>5</v>
      </c>
    </row>
    <row r="73">
      <c r="A73" s="15" t="s">
        <v>14</v>
      </c>
      <c r="B73" s="15">
        <f t="shared" si="28"/>
        <v>5</v>
      </c>
      <c r="C73">
        <f t="shared" si="29"/>
        <v>5</v>
      </c>
    </row>
    <row r="74">
      <c r="A74" s="15" t="s">
        <v>19</v>
      </c>
      <c r="B74" s="15">
        <f t="shared" si="28"/>
        <v>5</v>
      </c>
      <c r="C74">
        <f t="shared" si="29"/>
        <v>5</v>
      </c>
    </row>
    <row r="75">
      <c r="A75" s="15" t="s">
        <v>22</v>
      </c>
      <c r="B75" s="15">
        <f t="shared" si="28"/>
        <v>5</v>
      </c>
      <c r="C75">
        <f t="shared" si="29"/>
        <v>5</v>
      </c>
    </row>
    <row r="77">
      <c r="B77" s="13"/>
    </row>
    <row r="78">
      <c r="A78" s="15"/>
    </row>
    <row r="79">
      <c r="A79" s="15"/>
    </row>
    <row r="80">
      <c r="A80" s="15"/>
    </row>
    <row r="81">
      <c r="A81" s="15"/>
    </row>
    <row r="82">
      <c r="A82" s="15"/>
    </row>
    <row r="83">
      <c r="A83" s="15"/>
    </row>
    <row r="84">
      <c r="A84" s="15"/>
    </row>
    <row r="85">
      <c r="A85" s="15"/>
    </row>
    <row r="86">
      <c r="A86" s="15"/>
    </row>
  </sheetData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outlinePr summaryBelow="0" summaryRight="0"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2.63" defaultRowHeight="15.75"/>
  <cols>
    <col customWidth="1" hidden="1" min="1" max="1" width="7.13"/>
    <col customWidth="1" min="2" max="2" width="14.25"/>
    <col customWidth="1" hidden="1" min="3" max="11" width="5.5"/>
    <col customWidth="1" hidden="1" min="12" max="12" width="9.25"/>
    <col customWidth="1" hidden="1" min="13" max="26" width="5.5"/>
    <col customWidth="1" min="27" max="34" width="5.5"/>
    <col customWidth="1" hidden="1" min="35" max="44" width="5.5"/>
  </cols>
  <sheetData>
    <row r="1">
      <c r="A1" s="52">
        <v>0.0</v>
      </c>
      <c r="B1" s="52" t="s">
        <v>92</v>
      </c>
      <c r="C1" s="53">
        <v>0.2916666666666667</v>
      </c>
      <c r="D1" s="53">
        <v>0.3125</v>
      </c>
      <c r="E1" s="53">
        <v>0.3333333333333333</v>
      </c>
      <c r="F1" s="53">
        <v>0.3541666666666667</v>
      </c>
      <c r="G1" s="53">
        <v>0.375</v>
      </c>
      <c r="H1" s="53">
        <v>0.3958333333333333</v>
      </c>
      <c r="I1" s="53">
        <v>0.4166666666666667</v>
      </c>
      <c r="J1" s="53">
        <v>0.4375</v>
      </c>
      <c r="K1" s="53">
        <v>0.4583333333333333</v>
      </c>
      <c r="L1" s="53">
        <v>0.4791666666666667</v>
      </c>
      <c r="M1" s="53">
        <v>0.5</v>
      </c>
      <c r="N1" s="53">
        <v>0.5208333333333334</v>
      </c>
      <c r="O1" s="53">
        <v>0.5416666666666666</v>
      </c>
      <c r="P1" s="53">
        <v>0.5625</v>
      </c>
      <c r="Q1" s="53">
        <v>0.5833333333333334</v>
      </c>
      <c r="R1" s="53">
        <v>0.6041666666666666</v>
      </c>
      <c r="S1" s="53">
        <v>0.625</v>
      </c>
      <c r="T1" s="53">
        <v>0.6458333333333334</v>
      </c>
      <c r="U1" s="53">
        <v>0.6666666666666666</v>
      </c>
      <c r="V1" s="53">
        <v>0.6875</v>
      </c>
      <c r="W1" s="53">
        <v>0.7083333333333334</v>
      </c>
      <c r="X1" s="53">
        <v>0.7291666666666666</v>
      </c>
      <c r="Y1" s="53">
        <v>0.75</v>
      </c>
      <c r="Z1" s="53">
        <v>0.7708333333333334</v>
      </c>
      <c r="AA1" s="53">
        <v>0.7916666666666666</v>
      </c>
      <c r="AB1" s="53">
        <v>0.8125</v>
      </c>
      <c r="AC1" s="53">
        <v>0.8333333333333334</v>
      </c>
      <c r="AD1" s="53">
        <v>0.8541666666666666</v>
      </c>
      <c r="AE1" s="53">
        <v>0.875</v>
      </c>
      <c r="AF1" s="53">
        <v>0.8958333333333334</v>
      </c>
      <c r="AG1" s="53">
        <v>0.9166666666666666</v>
      </c>
      <c r="AH1" s="53">
        <v>0.9375</v>
      </c>
      <c r="AI1" s="53">
        <v>0.9583333333333334</v>
      </c>
      <c r="AJ1" s="53">
        <v>0.9791666666666666</v>
      </c>
      <c r="AK1" s="53">
        <v>0.0</v>
      </c>
      <c r="AL1" s="53">
        <v>0.020833333333333332</v>
      </c>
      <c r="AM1" s="53">
        <v>0.041666666666666664</v>
      </c>
      <c r="AN1" s="53">
        <v>0.0625</v>
      </c>
      <c r="AO1" s="53">
        <v>0.08333333333333333</v>
      </c>
      <c r="AP1" s="53">
        <v>0.10416666666666667</v>
      </c>
      <c r="AQ1" s="53">
        <v>0.125</v>
      </c>
      <c r="AR1" s="53">
        <v>0.14583333333333334</v>
      </c>
    </row>
    <row r="2">
      <c r="A2" s="52">
        <v>7.0</v>
      </c>
      <c r="B2" s="54" t="s">
        <v>178</v>
      </c>
      <c r="C2" s="55"/>
      <c r="D2" s="55"/>
      <c r="E2" s="55"/>
      <c r="F2" s="55"/>
      <c r="G2" s="55"/>
      <c r="H2" s="55"/>
      <c r="I2" s="55"/>
      <c r="J2" s="55"/>
      <c r="K2" s="55"/>
      <c r="L2" s="55"/>
      <c r="M2" s="55"/>
      <c r="N2" s="55"/>
      <c r="O2" s="55"/>
      <c r="P2" s="55"/>
      <c r="Q2" s="55"/>
      <c r="R2" s="55"/>
      <c r="S2" s="55"/>
      <c r="T2" s="55"/>
      <c r="U2" s="55"/>
      <c r="V2" s="55"/>
      <c r="W2" s="55"/>
      <c r="X2" s="55"/>
      <c r="Y2" s="55"/>
      <c r="Z2" s="55"/>
      <c r="AA2" s="56" t="str">
        <f>HYPERLINK("http://www.espn.com/college-football/game?gameId=400869332","Ball St. 19 at Toledo 37")</f>
        <v>Ball St. 19 at Toledo 37</v>
      </c>
      <c r="AG2" s="55"/>
      <c r="AH2" s="55"/>
      <c r="AI2" s="55"/>
      <c r="AJ2" s="53"/>
      <c r="AK2" s="53"/>
      <c r="AL2" s="53"/>
      <c r="AM2" s="53"/>
      <c r="AN2" s="53"/>
      <c r="AO2" s="53"/>
      <c r="AP2" s="53"/>
      <c r="AQ2" s="53"/>
      <c r="AR2" s="53"/>
    </row>
    <row r="3">
      <c r="A3" s="52">
        <v>9.0</v>
      </c>
      <c r="B3" s="54" t="s">
        <v>212</v>
      </c>
      <c r="C3" s="55"/>
      <c r="D3" s="55"/>
      <c r="E3" s="55"/>
      <c r="F3" s="55"/>
      <c r="G3" s="55"/>
      <c r="H3" s="55"/>
      <c r="I3" s="55"/>
      <c r="J3" s="55"/>
      <c r="K3" s="55"/>
      <c r="L3" s="55"/>
      <c r="M3" s="55"/>
      <c r="N3" s="55"/>
      <c r="O3" s="55"/>
      <c r="P3" s="55"/>
      <c r="Q3" s="55"/>
      <c r="R3" s="55"/>
      <c r="S3" s="55"/>
      <c r="T3" s="55"/>
      <c r="U3" s="55"/>
      <c r="V3" s="55"/>
      <c r="W3" s="55"/>
      <c r="X3" s="55"/>
      <c r="Y3" s="55"/>
      <c r="Z3" s="55"/>
      <c r="AA3" s="55"/>
      <c r="AB3" s="55"/>
      <c r="AC3" s="56" t="str">
        <f>HYPERLINK("http://www.espn.com/college-football/game?gameId=400869333","NIU 31 at EMU 24")</f>
        <v>NIU 31 at EMU 24</v>
      </c>
      <c r="AI3" s="55"/>
      <c r="AJ3" s="53"/>
      <c r="AK3" s="53"/>
      <c r="AL3" s="53"/>
      <c r="AM3" s="53"/>
      <c r="AN3" s="53"/>
      <c r="AO3" s="53"/>
      <c r="AP3" s="53"/>
      <c r="AQ3" s="53"/>
      <c r="AR3" s="53"/>
    </row>
  </sheetData>
  <mergeCells count="2">
    <mergeCell ref="AA2:AF2"/>
    <mergeCell ref="AC3:AH3"/>
  </mergeCell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outlinePr summaryBelow="0" summaryRight="0"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2.63" defaultRowHeight="15.75"/>
  <cols>
    <col customWidth="1" hidden="1" min="1" max="1" width="7.13"/>
    <col customWidth="1" min="2" max="2" width="14.25"/>
    <col customWidth="1" hidden="1" min="3" max="11" width="5.5"/>
    <col customWidth="1" hidden="1" min="12" max="12" width="9.25"/>
    <col customWidth="1" hidden="1" min="13" max="27" width="5.5"/>
    <col customWidth="1" min="28" max="33" width="5.5"/>
    <col customWidth="1" hidden="1" min="34" max="44" width="5.5"/>
  </cols>
  <sheetData>
    <row r="1">
      <c r="A1" s="52">
        <v>0.0</v>
      </c>
      <c r="B1" s="52" t="s">
        <v>92</v>
      </c>
      <c r="C1" s="53">
        <v>0.2916666666666667</v>
      </c>
      <c r="D1" s="53">
        <v>0.3125</v>
      </c>
      <c r="E1" s="53">
        <v>0.3333333333333333</v>
      </c>
      <c r="F1" s="53">
        <v>0.3541666666666667</v>
      </c>
      <c r="G1" s="53">
        <v>0.375</v>
      </c>
      <c r="H1" s="53">
        <v>0.3958333333333333</v>
      </c>
      <c r="I1" s="53">
        <v>0.4166666666666667</v>
      </c>
      <c r="J1" s="53">
        <v>0.4375</v>
      </c>
      <c r="K1" s="53">
        <v>0.4583333333333333</v>
      </c>
      <c r="L1" s="53">
        <v>0.4791666666666667</v>
      </c>
      <c r="M1" s="53">
        <v>0.5</v>
      </c>
      <c r="N1" s="53">
        <v>0.5208333333333334</v>
      </c>
      <c r="O1" s="53">
        <v>0.5416666666666666</v>
      </c>
      <c r="P1" s="53">
        <v>0.5625</v>
      </c>
      <c r="Q1" s="53">
        <v>0.5833333333333334</v>
      </c>
      <c r="R1" s="53">
        <v>0.6041666666666666</v>
      </c>
      <c r="S1" s="53">
        <v>0.625</v>
      </c>
      <c r="T1" s="53">
        <v>0.6458333333333334</v>
      </c>
      <c r="U1" s="53">
        <v>0.6666666666666666</v>
      </c>
      <c r="V1" s="53">
        <v>0.6875</v>
      </c>
      <c r="W1" s="53">
        <v>0.7083333333333334</v>
      </c>
      <c r="X1" s="53">
        <v>0.7291666666666666</v>
      </c>
      <c r="Y1" s="53">
        <v>0.75</v>
      </c>
      <c r="Z1" s="53">
        <v>0.7708333333333334</v>
      </c>
      <c r="AA1" s="53">
        <v>0.7916666666666666</v>
      </c>
      <c r="AB1" s="53">
        <v>0.8125</v>
      </c>
      <c r="AC1" s="53">
        <v>0.8333333333333334</v>
      </c>
      <c r="AD1" s="53">
        <v>0.8541666666666666</v>
      </c>
      <c r="AE1" s="53">
        <v>0.875</v>
      </c>
      <c r="AF1" s="53">
        <v>0.8958333333333334</v>
      </c>
      <c r="AG1" s="53">
        <v>0.9166666666666666</v>
      </c>
      <c r="AH1" s="53">
        <v>0.9375</v>
      </c>
      <c r="AI1" s="53">
        <v>0.9583333333333334</v>
      </c>
      <c r="AJ1" s="53">
        <v>0.9791666666666666</v>
      </c>
      <c r="AK1" s="53">
        <v>0.0</v>
      </c>
      <c r="AL1" s="53">
        <v>0.020833333333333332</v>
      </c>
      <c r="AM1" s="53">
        <v>0.041666666666666664</v>
      </c>
      <c r="AN1" s="53">
        <v>0.0625</v>
      </c>
      <c r="AO1" s="53">
        <v>0.08333333333333333</v>
      </c>
      <c r="AP1" s="53">
        <v>0.10416666666666667</v>
      </c>
      <c r="AQ1" s="53">
        <v>0.125</v>
      </c>
      <c r="AR1" s="53">
        <v>0.14583333333333334</v>
      </c>
    </row>
    <row r="2">
      <c r="A2" s="52">
        <v>6.0</v>
      </c>
      <c r="B2" s="54" t="s">
        <v>105</v>
      </c>
      <c r="C2" s="55"/>
      <c r="D2" s="55"/>
      <c r="E2" s="55"/>
      <c r="F2" s="55"/>
      <c r="G2" s="55"/>
      <c r="H2" s="55"/>
      <c r="I2" s="55"/>
      <c r="J2" s="55"/>
      <c r="K2" s="55"/>
      <c r="L2" s="55"/>
      <c r="M2" s="55"/>
      <c r="N2" s="55"/>
      <c r="O2" s="55"/>
      <c r="P2" s="55"/>
      <c r="Q2" s="55"/>
      <c r="R2" s="55"/>
      <c r="S2" s="55"/>
      <c r="T2" s="55"/>
      <c r="U2" s="55"/>
      <c r="V2" s="55"/>
      <c r="W2" s="55"/>
      <c r="X2" s="55"/>
      <c r="Y2" s="55"/>
      <c r="Z2" s="55"/>
      <c r="AA2" s="55"/>
      <c r="AB2" s="146" t="str">
        <f>HYPERLINK("http://www.espn.com/college-football/game?gameId=400869067","LSU 54 at (22) Texas A&amp;M 39")</f>
        <v>LSU 54 at (22) Texas A&amp;M 39</v>
      </c>
      <c r="AH2" s="55"/>
      <c r="AI2" s="55"/>
      <c r="AJ2" s="53"/>
      <c r="AK2" s="53"/>
      <c r="AL2" s="53"/>
      <c r="AM2" s="53"/>
      <c r="AN2" s="53"/>
      <c r="AO2" s="53"/>
      <c r="AP2" s="53"/>
      <c r="AQ2" s="53"/>
      <c r="AR2" s="53"/>
    </row>
  </sheetData>
  <mergeCells count="1">
    <mergeCell ref="AB2:AG2"/>
  </mergeCell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outlinePr summaryBelow="0" summaryRight="0"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2.63" defaultRowHeight="15.75"/>
  <cols>
    <col customWidth="1" hidden="1" min="1" max="1" width="7.13"/>
    <col customWidth="1" min="2" max="2" width="14.25"/>
    <col customWidth="1" hidden="1" min="3" max="11" width="5.5"/>
    <col customWidth="1" hidden="1" min="12" max="12" width="9.25"/>
    <col customWidth="1" min="13" max="37" width="5.5"/>
    <col customWidth="1" hidden="1" min="38" max="44" width="5.5"/>
  </cols>
  <sheetData>
    <row r="1">
      <c r="A1" s="54">
        <v>0.0</v>
      </c>
      <c r="B1" s="52" t="s">
        <v>92</v>
      </c>
      <c r="C1" s="53">
        <v>0.2916666666666667</v>
      </c>
      <c r="D1" s="53">
        <v>0.3125</v>
      </c>
      <c r="E1" s="53">
        <v>0.3333333333333333</v>
      </c>
      <c r="F1" s="53">
        <v>0.3541666666666667</v>
      </c>
      <c r="G1" s="53">
        <v>0.375</v>
      </c>
      <c r="H1" s="53">
        <v>0.3958333333333333</v>
      </c>
      <c r="I1" s="53">
        <v>0.4166666666666667</v>
      </c>
      <c r="J1" s="53">
        <v>0.4375</v>
      </c>
      <c r="K1" s="53">
        <v>0.4583333333333333</v>
      </c>
      <c r="L1" s="53">
        <v>0.4791666666666667</v>
      </c>
      <c r="M1" s="53">
        <v>0.5</v>
      </c>
      <c r="N1" s="53">
        <v>0.5208333333333334</v>
      </c>
      <c r="O1" s="53">
        <v>0.5416666666666666</v>
      </c>
      <c r="P1" s="53">
        <v>0.5625</v>
      </c>
      <c r="Q1" s="53">
        <v>0.5833333333333334</v>
      </c>
      <c r="R1" s="53">
        <v>0.6041666666666666</v>
      </c>
      <c r="S1" s="53">
        <v>0.625</v>
      </c>
      <c r="T1" s="53">
        <v>0.6458333333333334</v>
      </c>
      <c r="U1" s="53">
        <v>0.6666666666666666</v>
      </c>
      <c r="V1" s="53">
        <v>0.6875</v>
      </c>
      <c r="W1" s="53">
        <v>0.7083333333333334</v>
      </c>
      <c r="X1" s="53">
        <v>0.7291666666666666</v>
      </c>
      <c r="Y1" s="53">
        <v>0.75</v>
      </c>
      <c r="Z1" s="53">
        <v>0.7708333333333334</v>
      </c>
      <c r="AA1" s="53">
        <v>0.7916666666666666</v>
      </c>
      <c r="AB1" s="53">
        <v>0.8125</v>
      </c>
      <c r="AC1" s="53">
        <v>0.8333333333333334</v>
      </c>
      <c r="AD1" s="53">
        <v>0.8541666666666666</v>
      </c>
      <c r="AE1" s="53">
        <v>0.875</v>
      </c>
      <c r="AF1" s="53">
        <v>0.8958333333333334</v>
      </c>
      <c r="AG1" s="53">
        <v>0.9166666666666666</v>
      </c>
      <c r="AH1" s="53">
        <v>0.9375</v>
      </c>
      <c r="AI1" s="53">
        <v>0.9583333333333334</v>
      </c>
      <c r="AJ1" s="53">
        <v>0.9791666666666666</v>
      </c>
      <c r="AK1" s="53">
        <v>0.0</v>
      </c>
      <c r="AL1" s="53">
        <v>0.020833333333333332</v>
      </c>
      <c r="AM1" s="53">
        <v>0.041666666666666664</v>
      </c>
      <c r="AN1" s="53">
        <v>0.0625</v>
      </c>
      <c r="AO1" s="53">
        <v>0.08333333333333333</v>
      </c>
      <c r="AP1" s="53">
        <v>0.10416666666666667</v>
      </c>
      <c r="AQ1" s="53">
        <v>0.125</v>
      </c>
      <c r="AR1" s="53">
        <v>0.14583333333333334</v>
      </c>
    </row>
    <row r="2">
      <c r="A2" s="54">
        <v>1.0</v>
      </c>
      <c r="B2" s="54" t="s">
        <v>110</v>
      </c>
      <c r="C2" s="55"/>
      <c r="D2" s="55"/>
      <c r="E2" s="55"/>
      <c r="F2" s="55"/>
      <c r="G2" s="55"/>
      <c r="H2" s="55"/>
      <c r="I2" s="55"/>
      <c r="J2" s="55"/>
      <c r="K2" s="55"/>
      <c r="L2" s="55"/>
      <c r="M2" s="55"/>
      <c r="N2" s="55"/>
      <c r="O2" s="55"/>
      <c r="P2" s="55"/>
      <c r="Q2" s="55"/>
      <c r="R2" s="146" t="str">
        <f>HYPERLINK("http://www.espn.com/college-football/game?gameId=400869073","Arkansas 24 at Missouri 28")</f>
        <v>Arkansas 24 at Missouri 28</v>
      </c>
      <c r="X2" s="55"/>
      <c r="Y2" s="55"/>
      <c r="Z2" s="55"/>
      <c r="AA2" s="55"/>
      <c r="AB2" s="55"/>
      <c r="AC2" s="55"/>
      <c r="AD2" s="55"/>
      <c r="AE2" s="55"/>
      <c r="AF2" s="55"/>
      <c r="AG2" s="55"/>
      <c r="AH2" s="55"/>
      <c r="AI2" s="55"/>
      <c r="AJ2" s="53"/>
      <c r="AK2" s="53"/>
      <c r="AL2" s="53"/>
      <c r="AM2" s="53"/>
      <c r="AN2" s="53"/>
      <c r="AO2" s="53"/>
      <c r="AP2" s="53"/>
      <c r="AQ2" s="53"/>
      <c r="AR2" s="53"/>
    </row>
    <row r="3">
      <c r="A3" s="54">
        <v>3.0</v>
      </c>
      <c r="B3" s="54" t="s">
        <v>396</v>
      </c>
      <c r="C3" s="55"/>
      <c r="D3" s="55"/>
      <c r="E3" s="55"/>
      <c r="F3" s="55"/>
      <c r="G3" s="55"/>
      <c r="H3" s="55"/>
      <c r="I3" s="55"/>
      <c r="J3" s="55"/>
      <c r="K3" s="55"/>
      <c r="L3" s="55"/>
      <c r="M3" s="55"/>
      <c r="N3" s="55"/>
      <c r="O3" s="55"/>
      <c r="P3" s="55"/>
      <c r="Q3" s="55"/>
      <c r="R3" s="55"/>
      <c r="S3" s="55"/>
      <c r="T3" s="148" t="str">
        <f>HYPERLINK("http://www.espn.com/college-football/game?gameId=400869168","(5) Washington 45 at (23) Washington St. 17")</f>
        <v>(5) Washington 45 at (23) Washington St. 17</v>
      </c>
      <c r="Z3" s="55"/>
      <c r="AA3" s="55"/>
      <c r="AB3" s="55"/>
      <c r="AC3" s="55"/>
      <c r="AD3" s="55"/>
      <c r="AE3" s="55"/>
      <c r="AF3" s="55"/>
      <c r="AG3" s="55"/>
      <c r="AH3" s="55"/>
      <c r="AI3" s="55"/>
      <c r="AJ3" s="53"/>
      <c r="AK3" s="53"/>
      <c r="AL3" s="53"/>
      <c r="AM3" s="53"/>
      <c r="AN3" s="53"/>
      <c r="AO3" s="53"/>
      <c r="AP3" s="53"/>
      <c r="AQ3" s="53"/>
      <c r="AR3" s="53"/>
    </row>
    <row r="4">
      <c r="A4" s="54">
        <v>4.0</v>
      </c>
      <c r="B4" s="54" t="s">
        <v>187</v>
      </c>
      <c r="C4" s="55"/>
      <c r="D4" s="55"/>
      <c r="E4" s="55"/>
      <c r="F4" s="55"/>
      <c r="G4" s="55"/>
      <c r="H4" s="55"/>
      <c r="I4" s="55"/>
      <c r="J4" s="55"/>
      <c r="K4" s="55"/>
      <c r="L4" s="55"/>
      <c r="M4" s="56" t="str">
        <f>HYPERLINK("http://www.espn.com/college-football/game?gameId=400869568","(21) Houston 44 at Memphis 48")</f>
        <v>(21) Houston 44 at Memphis 48</v>
      </c>
      <c r="S4" s="55"/>
      <c r="T4" s="146" t="str">
        <f>HYPERLINK("http://www.espn.com/college-football/game?gameId=400869699","(15) Nebraska 10 at Iowa 40")</f>
        <v>(15) Nebraska 10 at Iowa 40</v>
      </c>
      <c r="Z4" s="55"/>
      <c r="AA4" s="55"/>
      <c r="AB4" s="55"/>
      <c r="AC4" s="55"/>
      <c r="AD4" s="55"/>
      <c r="AE4" s="55"/>
      <c r="AF4" s="55"/>
      <c r="AG4" s="55"/>
      <c r="AH4" s="55"/>
      <c r="AI4" s="55"/>
      <c r="AJ4" s="53"/>
      <c r="AK4" s="53"/>
      <c r="AL4" s="53"/>
      <c r="AM4" s="53"/>
      <c r="AN4" s="53"/>
      <c r="AO4" s="53"/>
      <c r="AP4" s="53"/>
      <c r="AQ4" s="53"/>
      <c r="AR4" s="53"/>
    </row>
    <row r="5">
      <c r="A5" s="54">
        <v>6.0</v>
      </c>
      <c r="B5" s="54" t="s">
        <v>105</v>
      </c>
      <c r="C5" s="55"/>
      <c r="D5" s="55"/>
      <c r="E5" s="55"/>
      <c r="F5" s="55"/>
      <c r="G5" s="55"/>
      <c r="H5" s="55"/>
      <c r="I5" s="55"/>
      <c r="J5" s="55"/>
      <c r="K5" s="55"/>
      <c r="L5" s="55"/>
      <c r="M5" s="146" t="str">
        <f>HYPERLINK("http://www.espn.com/college-football/game?gameId=400869497","NC State 28 at (25) North Carolina 21")</f>
        <v>NC State 28 at (25) North Carolina 21</v>
      </c>
      <c r="S5" s="55"/>
      <c r="T5" s="55"/>
      <c r="U5" s="55"/>
      <c r="V5" s="55"/>
      <c r="W5" s="55"/>
      <c r="X5" s="55"/>
      <c r="Y5" s="146" t="str">
        <f>HYPERLINK("http://www.espn.com/college-football/game?gameId=400868885","Baylor 35 at Texas Tech 54")</f>
        <v>Baylor 35 at Texas Tech 54</v>
      </c>
      <c r="AE5" s="55"/>
      <c r="AF5" s="148" t="str">
        <f>HYPERLINK("http://www.espn.com/college-football/game?gameId=400869167","Arizona St. 35 at Arizona 56")</f>
        <v>Arizona St. 35 at Arizona 56</v>
      </c>
      <c r="AL5" s="53"/>
      <c r="AM5" s="53"/>
      <c r="AN5" s="53"/>
      <c r="AO5" s="53"/>
      <c r="AP5" s="53"/>
      <c r="AQ5" s="53"/>
      <c r="AR5" s="53"/>
    </row>
    <row r="6">
      <c r="A6" s="54">
        <v>7.0</v>
      </c>
      <c r="B6" s="54" t="s">
        <v>178</v>
      </c>
      <c r="C6" s="55"/>
      <c r="D6" s="55"/>
      <c r="E6" s="55"/>
      <c r="F6" s="55"/>
      <c r="G6" s="55"/>
      <c r="H6" s="55"/>
      <c r="I6" s="55"/>
      <c r="J6" s="55"/>
      <c r="K6" s="55"/>
      <c r="L6" s="55"/>
      <c r="M6" s="55"/>
      <c r="N6" s="55"/>
      <c r="O6" s="55"/>
      <c r="P6" s="55"/>
      <c r="Q6" s="55"/>
      <c r="R6" s="55"/>
      <c r="S6" s="55"/>
      <c r="T6" s="55"/>
      <c r="U6" s="55"/>
      <c r="V6" s="55"/>
      <c r="W6" s="56" t="str">
        <f>HYPERLINK("http://www.espn.com/college-football/game?gameId=400869340","Toledo 35 at (18) WMU 55")</f>
        <v>Toledo 35 at (18) WMU 55</v>
      </c>
      <c r="AC6" s="55"/>
      <c r="AD6" s="56" t="str">
        <f>HYPERLINK("http://www.espn.com/college-football/game?gameId=400869567","Cincinnati 37 at Tulsa 40")</f>
        <v>Cincinnati 37 at Tulsa 40</v>
      </c>
      <c r="AJ6" s="53"/>
      <c r="AK6" s="53"/>
      <c r="AL6" s="53"/>
      <c r="AM6" s="53"/>
      <c r="AN6" s="53"/>
      <c r="AO6" s="53"/>
      <c r="AP6" s="53"/>
      <c r="AQ6" s="53"/>
      <c r="AR6" s="53"/>
    </row>
    <row r="7">
      <c r="A7" s="54">
        <v>10.0</v>
      </c>
      <c r="B7" s="54" t="s">
        <v>161</v>
      </c>
      <c r="C7" s="55"/>
      <c r="D7" s="55"/>
      <c r="E7" s="55"/>
      <c r="F7" s="55"/>
      <c r="G7" s="55"/>
      <c r="H7" s="55"/>
      <c r="I7" s="55"/>
      <c r="J7" s="55"/>
      <c r="K7" s="55"/>
      <c r="L7" s="55"/>
      <c r="M7" s="55"/>
      <c r="N7" s="55"/>
      <c r="O7" s="55"/>
      <c r="P7" s="55"/>
      <c r="Q7" s="55"/>
      <c r="R7" s="55"/>
      <c r="S7" s="55"/>
      <c r="T7" s="55"/>
      <c r="U7" s="56" t="str">
        <f>HYPERLINK("http://www.espn.com/college-football/game?gameId=400869418","Louisiana Tech 24 at Southern Miss 39")</f>
        <v>Louisiana Tech 24 at Southern Miss 39</v>
      </c>
      <c r="AA7" s="55"/>
      <c r="AB7" s="55"/>
      <c r="AC7" s="55"/>
      <c r="AD7" s="55"/>
      <c r="AE7" s="55"/>
      <c r="AF7" s="55"/>
      <c r="AG7" s="55"/>
      <c r="AH7" s="55"/>
      <c r="AI7" s="55"/>
      <c r="AJ7" s="53"/>
      <c r="AK7" s="53"/>
      <c r="AL7" s="53"/>
      <c r="AM7" s="53"/>
      <c r="AN7" s="53"/>
      <c r="AO7" s="53"/>
      <c r="AP7" s="53"/>
      <c r="AQ7" s="53"/>
      <c r="AR7" s="53"/>
    </row>
    <row r="8">
      <c r="A8" s="54">
        <v>13.0</v>
      </c>
      <c r="B8" s="54" t="s">
        <v>130</v>
      </c>
      <c r="C8" s="55"/>
      <c r="D8" s="55"/>
      <c r="E8" s="55"/>
      <c r="F8" s="55"/>
      <c r="G8" s="55"/>
      <c r="H8" s="55"/>
      <c r="I8" s="55"/>
      <c r="J8" s="55"/>
      <c r="K8" s="55"/>
      <c r="L8" s="55"/>
      <c r="M8" s="55"/>
      <c r="N8" s="55"/>
      <c r="O8" s="55"/>
      <c r="P8" s="55"/>
      <c r="Q8" s="55"/>
      <c r="R8" s="55"/>
      <c r="S8" s="55"/>
      <c r="T8" s="146" t="str">
        <f>HYPERLINK("http://www.espn.com/college-football/game?gameId=400869632","TCU 31 at Texas 9")</f>
        <v>TCU 31 at Texas 9</v>
      </c>
      <c r="Z8" s="55"/>
      <c r="AA8" s="55"/>
      <c r="AB8" s="55"/>
      <c r="AC8" s="55"/>
      <c r="AD8" s="55"/>
      <c r="AE8" s="55"/>
      <c r="AF8" s="55"/>
      <c r="AG8" s="55"/>
      <c r="AH8" s="55"/>
      <c r="AI8" s="55"/>
      <c r="AJ8" s="53"/>
      <c r="AK8" s="53"/>
      <c r="AL8" s="53"/>
      <c r="AM8" s="53"/>
      <c r="AN8" s="53"/>
      <c r="AO8" s="53"/>
      <c r="AP8" s="53"/>
      <c r="AQ8" s="53"/>
      <c r="AR8" s="53"/>
    </row>
    <row r="9">
      <c r="A9" s="54">
        <v>17.5</v>
      </c>
      <c r="B9" s="54" t="s">
        <v>121</v>
      </c>
      <c r="C9" s="55"/>
      <c r="D9" s="55"/>
      <c r="E9" s="55"/>
      <c r="F9" s="55"/>
      <c r="G9" s="55"/>
      <c r="H9" s="55"/>
      <c r="I9" s="55"/>
      <c r="J9" s="55"/>
      <c r="K9" s="55"/>
      <c r="L9" s="55"/>
      <c r="M9" s="55"/>
      <c r="N9" s="55"/>
      <c r="O9" s="55"/>
      <c r="P9" s="55"/>
      <c r="Q9" s="55"/>
      <c r="R9" s="56" t="str">
        <f>HYPERLINK("http://www.espn.com/college-football/game?gameId=400869338","Buffalo 19 at Bowling Green 27")</f>
        <v>Buffalo 19 at Bowling Green 27</v>
      </c>
      <c r="X9" s="55"/>
      <c r="Y9" s="55"/>
      <c r="Z9" s="55"/>
      <c r="AA9" s="55"/>
      <c r="AB9" s="55"/>
      <c r="AC9" s="55"/>
      <c r="AD9" s="55"/>
      <c r="AE9" s="55"/>
      <c r="AF9" s="55"/>
      <c r="AG9" s="55"/>
      <c r="AH9" s="55"/>
      <c r="AI9" s="55"/>
      <c r="AJ9" s="53"/>
      <c r="AK9" s="53"/>
      <c r="AL9" s="53"/>
      <c r="AM9" s="53"/>
      <c r="AN9" s="53"/>
      <c r="AO9" s="53"/>
      <c r="AP9" s="53"/>
      <c r="AQ9" s="53"/>
      <c r="AR9" s="53"/>
    </row>
    <row r="10">
      <c r="A10" s="54" t="s">
        <v>114</v>
      </c>
      <c r="B10" s="54" t="s">
        <v>192</v>
      </c>
      <c r="C10" s="55"/>
      <c r="D10" s="55"/>
      <c r="E10" s="55"/>
      <c r="F10" s="55"/>
      <c r="G10" s="55"/>
      <c r="H10" s="55"/>
      <c r="I10" s="55"/>
      <c r="J10" s="55"/>
      <c r="K10" s="55"/>
      <c r="L10" s="55"/>
      <c r="M10" s="56" t="str">
        <f>HYPERLINK("http://www.espn.com/college-football/game?gameId=400869339","NIU 31 at Kent St. 21")</f>
        <v>NIU 31 at Kent St. 21</v>
      </c>
      <c r="S10" s="55"/>
      <c r="T10" s="56" t="str">
        <f>HYPERLINK("http://www.espn.com/college-football/game?gameId=400869252","(19) Boise St. 20 at Air Force 27")</f>
        <v>(19) Boise St. 20 at Air Force 27</v>
      </c>
      <c r="Z10" s="55"/>
      <c r="AA10" s="55"/>
      <c r="AB10" s="55"/>
      <c r="AC10" s="55"/>
      <c r="AD10" s="55"/>
      <c r="AE10" s="55"/>
      <c r="AF10" s="55"/>
      <c r="AG10" s="55"/>
      <c r="AH10" s="55"/>
      <c r="AI10" s="55"/>
      <c r="AJ10" s="53"/>
      <c r="AK10" s="53"/>
      <c r="AL10" s="53"/>
      <c r="AM10" s="53"/>
      <c r="AN10" s="53"/>
      <c r="AO10" s="53"/>
      <c r="AP10" s="53"/>
      <c r="AQ10" s="53"/>
      <c r="AR10" s="53"/>
    </row>
  </sheetData>
  <mergeCells count="14">
    <mergeCell ref="W6:AB6"/>
    <mergeCell ref="AD6:AI6"/>
    <mergeCell ref="U7:Z7"/>
    <mergeCell ref="T8:Y8"/>
    <mergeCell ref="R9:W9"/>
    <mergeCell ref="M10:R10"/>
    <mergeCell ref="T10:Y10"/>
    <mergeCell ref="R2:W2"/>
    <mergeCell ref="T3:Y3"/>
    <mergeCell ref="M4:R4"/>
    <mergeCell ref="T4:Y4"/>
    <mergeCell ref="M5:R5"/>
    <mergeCell ref="Y5:AD5"/>
    <mergeCell ref="AF5:AK5"/>
  </mergeCells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outlinePr summaryBelow="0" summaryRight="0"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2.63" defaultRowHeight="15.75"/>
  <cols>
    <col customWidth="1" hidden="1" min="1" max="1" width="7.13"/>
    <col customWidth="1" min="2" max="2" width="14.25"/>
    <col customWidth="1" hidden="1" min="3" max="11" width="5.5"/>
    <col customWidth="1" hidden="1" min="12" max="12" width="9.25"/>
    <col customWidth="1" hidden="1" min="13" max="18" width="7.5"/>
    <col customWidth="1" min="19" max="24" width="7.5"/>
    <col customWidth="1" hidden="1" min="25" max="42" width="7.5"/>
    <col customWidth="1" hidden="1" min="43" max="44" width="5.5"/>
  </cols>
  <sheetData>
    <row r="1">
      <c r="A1" s="52">
        <v>0.0</v>
      </c>
      <c r="B1" s="52" t="s">
        <v>92</v>
      </c>
      <c r="C1" s="53">
        <v>0.2916666666666667</v>
      </c>
      <c r="D1" s="53">
        <v>0.3125</v>
      </c>
      <c r="E1" s="53">
        <v>0.3333333333333333</v>
      </c>
      <c r="F1" s="53">
        <v>0.3541666666666667</v>
      </c>
      <c r="G1" s="53">
        <v>0.375</v>
      </c>
      <c r="H1" s="53">
        <v>0.3958333333333333</v>
      </c>
      <c r="I1" s="53">
        <v>0.4166666666666667</v>
      </c>
      <c r="J1" s="53">
        <v>0.4375</v>
      </c>
      <c r="K1" s="53">
        <v>0.4583333333333333</v>
      </c>
      <c r="L1" s="53">
        <v>0.4791666666666667</v>
      </c>
      <c r="M1" s="53">
        <v>0.5</v>
      </c>
      <c r="N1" s="53">
        <v>0.5208333333333334</v>
      </c>
      <c r="O1" s="53">
        <v>0.5416666666666666</v>
      </c>
      <c r="P1" s="53">
        <v>0.5625</v>
      </c>
      <c r="Q1" s="53">
        <v>0.5833333333333334</v>
      </c>
      <c r="R1" s="53">
        <v>0.6041666666666666</v>
      </c>
      <c r="S1" s="53">
        <v>0.625</v>
      </c>
      <c r="T1" s="53">
        <v>0.6458333333333334</v>
      </c>
      <c r="U1" s="53">
        <v>0.6666666666666666</v>
      </c>
      <c r="V1" s="53">
        <v>0.6875</v>
      </c>
      <c r="W1" s="53">
        <v>0.7083333333333334</v>
      </c>
      <c r="X1" s="53">
        <v>0.7291666666666666</v>
      </c>
      <c r="Y1" s="53">
        <v>0.75</v>
      </c>
      <c r="Z1" s="53">
        <v>0.7708333333333334</v>
      </c>
      <c r="AA1" s="53">
        <v>0.7916666666666666</v>
      </c>
      <c r="AB1" s="53">
        <v>0.8125</v>
      </c>
      <c r="AC1" s="53">
        <v>0.8333333333333334</v>
      </c>
      <c r="AD1" s="53">
        <v>0.8541666666666666</v>
      </c>
      <c r="AE1" s="53">
        <v>0.875</v>
      </c>
      <c r="AF1" s="53">
        <v>0.8958333333333334</v>
      </c>
      <c r="AG1" s="53">
        <v>0.9166666666666666</v>
      </c>
      <c r="AH1" s="53">
        <v>0.9375</v>
      </c>
      <c r="AI1" s="53">
        <v>0.9583333333333334</v>
      </c>
      <c r="AJ1" s="53">
        <v>0.9791666666666666</v>
      </c>
      <c r="AK1" s="53">
        <v>0.0</v>
      </c>
      <c r="AL1" s="53">
        <v>0.020833333333333332</v>
      </c>
      <c r="AM1" s="53">
        <v>0.041666666666666664</v>
      </c>
      <c r="AN1" s="53">
        <v>0.0625</v>
      </c>
      <c r="AO1" s="53">
        <v>0.08333333333333333</v>
      </c>
      <c r="AP1" s="53">
        <v>0.10416666666666667</v>
      </c>
      <c r="AQ1" s="53">
        <v>0.125</v>
      </c>
      <c r="AR1" s="53">
        <v>0.14583333333333334</v>
      </c>
    </row>
    <row r="2">
      <c r="A2" s="52">
        <v>1.0</v>
      </c>
      <c r="B2" s="54" t="s">
        <v>110</v>
      </c>
      <c r="C2" s="55"/>
      <c r="D2" s="55"/>
      <c r="E2" s="55"/>
      <c r="F2" s="55"/>
      <c r="G2" s="55"/>
      <c r="H2" s="55"/>
      <c r="I2" s="55"/>
      <c r="J2" s="55"/>
      <c r="K2" s="55"/>
      <c r="L2" s="55"/>
      <c r="M2" s="55"/>
      <c r="N2" s="55"/>
      <c r="O2" s="55"/>
      <c r="P2" s="55"/>
      <c r="Q2" s="55"/>
      <c r="R2" s="55"/>
      <c r="S2" s="56" t="str">
        <f>HYPERLINK("http://www.espn.com/college-football/game?gameId=400868921&amp;ncf_s_loaded=true","Navy at Army")</f>
        <v>Navy at Army</v>
      </c>
      <c r="Y2" s="55"/>
      <c r="Z2" s="55"/>
      <c r="AA2" s="55"/>
      <c r="AB2" s="55"/>
      <c r="AC2" s="55"/>
      <c r="AD2" s="55"/>
      <c r="AE2" s="55"/>
      <c r="AF2" s="55"/>
      <c r="AG2" s="55"/>
      <c r="AH2" s="55"/>
      <c r="AI2" s="55"/>
      <c r="AJ2" s="53"/>
      <c r="AK2" s="53"/>
      <c r="AL2" s="53"/>
      <c r="AM2" s="53"/>
      <c r="AN2" s="53"/>
      <c r="AO2" s="53"/>
      <c r="AP2" s="53"/>
      <c r="AQ2" s="53"/>
      <c r="AR2" s="53"/>
    </row>
  </sheetData>
  <mergeCells count="1">
    <mergeCell ref="S2:X2"/>
  </mergeCells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2.63" defaultRowHeight="15.75"/>
  <cols>
    <col customWidth="1" hidden="1" min="1" max="1" width="7.13"/>
    <col customWidth="1" min="2" max="2" width="14.25"/>
    <col customWidth="1" hidden="1" min="3" max="11" width="5.5"/>
    <col customWidth="1" hidden="1" min="12" max="12" width="9.25"/>
    <col customWidth="1" hidden="1" min="13" max="19" width="5.5"/>
    <col customWidth="1" min="20" max="33" width="5.5"/>
    <col customWidth="1" hidden="1" min="34" max="44" width="5.5"/>
  </cols>
  <sheetData>
    <row r="1">
      <c r="A1" s="52">
        <v>0.0</v>
      </c>
      <c r="B1" s="52" t="s">
        <v>92</v>
      </c>
      <c r="C1" s="53">
        <v>0.2916666666666667</v>
      </c>
      <c r="D1" s="53">
        <v>0.3125</v>
      </c>
      <c r="E1" s="53">
        <v>0.3333333333333333</v>
      </c>
      <c r="F1" s="53">
        <v>0.3541666666666667</v>
      </c>
      <c r="G1" s="53">
        <v>0.375</v>
      </c>
      <c r="H1" s="53">
        <v>0.3958333333333333</v>
      </c>
      <c r="I1" s="53">
        <v>0.4166666666666667</v>
      </c>
      <c r="J1" s="53">
        <v>0.4375</v>
      </c>
      <c r="K1" s="53">
        <v>0.4583333333333333</v>
      </c>
      <c r="L1" s="53">
        <v>0.4791666666666667</v>
      </c>
      <c r="M1" s="53">
        <v>0.5</v>
      </c>
      <c r="N1" s="53">
        <v>0.5208333333333334</v>
      </c>
      <c r="O1" s="53">
        <v>0.5416666666666666</v>
      </c>
      <c r="P1" s="53">
        <v>0.5625</v>
      </c>
      <c r="Q1" s="53">
        <v>0.5833333333333334</v>
      </c>
      <c r="R1" s="53">
        <v>0.6041666666666666</v>
      </c>
      <c r="S1" s="53">
        <v>0.625</v>
      </c>
      <c r="T1" s="53">
        <v>0.6458333333333334</v>
      </c>
      <c r="U1" s="53">
        <v>0.6666666666666666</v>
      </c>
      <c r="V1" s="53">
        <v>0.6875</v>
      </c>
      <c r="W1" s="53">
        <v>0.7083333333333334</v>
      </c>
      <c r="X1" s="53">
        <v>0.7291666666666666</v>
      </c>
      <c r="Y1" s="53">
        <v>0.75</v>
      </c>
      <c r="Z1" s="53">
        <v>0.7708333333333334</v>
      </c>
      <c r="AA1" s="53">
        <v>0.7916666666666666</v>
      </c>
      <c r="AB1" s="53">
        <v>0.8125</v>
      </c>
      <c r="AC1" s="53">
        <v>0.8333333333333334</v>
      </c>
      <c r="AD1" s="53">
        <v>0.8541666666666666</v>
      </c>
      <c r="AE1" s="53">
        <v>0.875</v>
      </c>
      <c r="AF1" s="53">
        <v>0.8958333333333334</v>
      </c>
      <c r="AG1" s="53">
        <v>0.9166666666666666</v>
      </c>
      <c r="AH1" s="53">
        <v>0.9375</v>
      </c>
      <c r="AI1" s="53">
        <v>0.9583333333333334</v>
      </c>
      <c r="AJ1" s="53">
        <v>0.9791666666666666</v>
      </c>
      <c r="AK1" s="53">
        <v>0.0</v>
      </c>
      <c r="AL1" s="53">
        <v>0.020833333333333332</v>
      </c>
      <c r="AM1" s="53">
        <v>0.041666666666666664</v>
      </c>
      <c r="AN1" s="53">
        <v>0.0625</v>
      </c>
      <c r="AO1" s="53">
        <v>0.08333333333333333</v>
      </c>
      <c r="AP1" s="53">
        <v>0.10416666666666667</v>
      </c>
      <c r="AQ1" s="53">
        <v>0.125</v>
      </c>
      <c r="AR1" s="53">
        <v>0.14583333333333334</v>
      </c>
    </row>
    <row r="2">
      <c r="A2" s="52">
        <v>4.0</v>
      </c>
      <c r="B2" s="54" t="s">
        <v>187</v>
      </c>
      <c r="C2" s="53"/>
      <c r="D2" s="53"/>
      <c r="E2" s="53"/>
      <c r="F2" s="53"/>
      <c r="G2" s="53"/>
      <c r="H2" s="53"/>
      <c r="I2" s="53"/>
      <c r="J2" s="53"/>
      <c r="K2" s="53"/>
      <c r="L2" s="53"/>
      <c r="M2" s="53"/>
      <c r="N2" s="53"/>
      <c r="O2" s="53"/>
      <c r="P2" s="53"/>
      <c r="Q2" s="53"/>
      <c r="R2" s="53"/>
      <c r="S2" s="53"/>
      <c r="T2" s="53"/>
      <c r="U2" s="53"/>
      <c r="V2" s="53"/>
      <c r="W2" s="53"/>
      <c r="X2" s="53"/>
      <c r="Y2" s="53"/>
      <c r="Z2" s="53"/>
      <c r="AA2" s="53"/>
      <c r="AB2" s="158" t="s">
        <v>644</v>
      </c>
      <c r="AH2" s="53"/>
      <c r="AI2" s="53"/>
      <c r="AJ2" s="53"/>
      <c r="AK2" s="53"/>
      <c r="AL2" s="53"/>
      <c r="AM2" s="53"/>
      <c r="AN2" s="53"/>
      <c r="AO2" s="53"/>
      <c r="AP2" s="53"/>
      <c r="AQ2" s="53"/>
      <c r="AR2" s="53"/>
    </row>
    <row r="3">
      <c r="A3" s="54" t="s">
        <v>645</v>
      </c>
      <c r="B3" s="159" t="s">
        <v>410</v>
      </c>
      <c r="C3" s="53"/>
      <c r="D3" s="53"/>
      <c r="E3" s="53"/>
      <c r="F3" s="53"/>
      <c r="G3" s="53"/>
      <c r="H3" s="53"/>
      <c r="I3" s="53"/>
      <c r="J3" s="53"/>
      <c r="K3" s="53"/>
      <c r="L3" s="53"/>
      <c r="M3" s="53"/>
      <c r="N3" s="53"/>
      <c r="O3" s="53"/>
      <c r="P3" s="53"/>
      <c r="Q3" s="53"/>
      <c r="R3" s="53"/>
      <c r="S3" s="53"/>
      <c r="T3" s="160" t="s">
        <v>646</v>
      </c>
      <c r="Z3" s="53"/>
      <c r="AA3" s="53"/>
      <c r="AB3" s="53"/>
      <c r="AC3" s="53"/>
      <c r="AD3" s="53"/>
      <c r="AE3" s="53"/>
      <c r="AF3" s="53"/>
      <c r="AG3" s="53"/>
      <c r="AH3" s="53"/>
      <c r="AI3" s="53"/>
      <c r="AJ3" s="53"/>
      <c r="AK3" s="53"/>
      <c r="AL3" s="53"/>
      <c r="AM3" s="53"/>
      <c r="AN3" s="53"/>
      <c r="AO3" s="53"/>
      <c r="AP3" s="53"/>
      <c r="AQ3" s="53"/>
      <c r="AR3" s="53"/>
    </row>
  </sheetData>
  <mergeCells count="2">
    <mergeCell ref="AB2:AG2"/>
    <mergeCell ref="T3:Y3"/>
  </mergeCells>
  <hyperlinks>
    <hyperlink r:id="rId1" ref="B3"/>
  </hyperlinks>
  <drawing r:id="rId2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2.63" defaultRowHeight="15.75"/>
  <cols>
    <col customWidth="1" hidden="1" min="1" max="1" width="7.13"/>
    <col customWidth="1" min="2" max="2" width="14.25"/>
    <col customWidth="1" hidden="1" min="3" max="11" width="5.5"/>
    <col customWidth="1" hidden="1" min="12" max="12" width="9.25"/>
    <col customWidth="1" hidden="1" min="13" max="28" width="5.5"/>
    <col customWidth="1" min="29" max="34" width="5.5"/>
    <col customWidth="1" hidden="1" min="35" max="44" width="5.5"/>
  </cols>
  <sheetData>
    <row r="1">
      <c r="A1" s="52">
        <v>0.0</v>
      </c>
      <c r="B1" s="52" t="s">
        <v>92</v>
      </c>
      <c r="C1" s="53">
        <v>0.2916666666666667</v>
      </c>
      <c r="D1" s="53">
        <v>0.3125</v>
      </c>
      <c r="E1" s="53">
        <v>0.3333333333333333</v>
      </c>
      <c r="F1" s="53">
        <v>0.3541666666666667</v>
      </c>
      <c r="G1" s="53">
        <v>0.375</v>
      </c>
      <c r="H1" s="53">
        <v>0.3958333333333333</v>
      </c>
      <c r="I1" s="53">
        <v>0.4166666666666667</v>
      </c>
      <c r="J1" s="53">
        <v>0.4375</v>
      </c>
      <c r="K1" s="53">
        <v>0.4583333333333333</v>
      </c>
      <c r="L1" s="53">
        <v>0.4791666666666667</v>
      </c>
      <c r="M1" s="53">
        <v>0.5</v>
      </c>
      <c r="N1" s="53">
        <v>0.5208333333333334</v>
      </c>
      <c r="O1" s="53">
        <v>0.5416666666666666</v>
      </c>
      <c r="P1" s="53">
        <v>0.5625</v>
      </c>
      <c r="Q1" s="53">
        <v>0.5833333333333334</v>
      </c>
      <c r="R1" s="53">
        <v>0.6041666666666666</v>
      </c>
      <c r="S1" s="53">
        <v>0.625</v>
      </c>
      <c r="T1" s="53">
        <v>0.6458333333333334</v>
      </c>
      <c r="U1" s="53">
        <v>0.6666666666666666</v>
      </c>
      <c r="V1" s="53">
        <v>0.6875</v>
      </c>
      <c r="W1" s="53">
        <v>0.7083333333333334</v>
      </c>
      <c r="X1" s="53">
        <v>0.7291666666666666</v>
      </c>
      <c r="Y1" s="53">
        <v>0.75</v>
      </c>
      <c r="Z1" s="53">
        <v>0.7708333333333334</v>
      </c>
      <c r="AA1" s="53">
        <v>0.7916666666666666</v>
      </c>
      <c r="AB1" s="53">
        <v>0.8125</v>
      </c>
      <c r="AC1" s="53">
        <v>0.8333333333333334</v>
      </c>
      <c r="AD1" s="53">
        <v>0.8541666666666666</v>
      </c>
      <c r="AE1" s="53">
        <v>0.875</v>
      </c>
      <c r="AF1" s="53">
        <v>0.8958333333333334</v>
      </c>
      <c r="AG1" s="53">
        <v>0.9166666666666666</v>
      </c>
      <c r="AH1" s="53">
        <v>0.9375</v>
      </c>
      <c r="AI1" s="53">
        <v>0.9583333333333334</v>
      </c>
      <c r="AJ1" s="53">
        <v>0.9791666666666666</v>
      </c>
      <c r="AK1" s="53">
        <v>0.0</v>
      </c>
      <c r="AL1" s="53">
        <v>0.020833333333333332</v>
      </c>
      <c r="AM1" s="53">
        <v>0.041666666666666664</v>
      </c>
      <c r="AN1" s="53">
        <v>0.0625</v>
      </c>
      <c r="AO1" s="53">
        <v>0.08333333333333333</v>
      </c>
      <c r="AP1" s="53">
        <v>0.10416666666666667</v>
      </c>
      <c r="AQ1" s="53">
        <v>0.125</v>
      </c>
      <c r="AR1" s="53">
        <v>0.14583333333333334</v>
      </c>
    </row>
    <row r="2">
      <c r="A2" s="52">
        <v>6.0</v>
      </c>
      <c r="B2" s="54" t="s">
        <v>105</v>
      </c>
      <c r="C2" s="53"/>
      <c r="D2" s="53"/>
      <c r="E2" s="53"/>
      <c r="F2" s="53"/>
      <c r="G2" s="53"/>
      <c r="H2" s="53"/>
      <c r="I2" s="53"/>
      <c r="J2" s="53"/>
      <c r="K2" s="53"/>
      <c r="L2" s="53"/>
      <c r="M2" s="53"/>
      <c r="N2" s="53"/>
      <c r="O2" s="53"/>
      <c r="P2" s="53"/>
      <c r="Q2" s="53"/>
      <c r="R2" s="53"/>
      <c r="S2" s="53"/>
      <c r="T2" s="53"/>
      <c r="U2" s="53"/>
      <c r="V2" s="53"/>
      <c r="W2" s="53"/>
      <c r="X2" s="53"/>
      <c r="Y2" s="53"/>
      <c r="Z2" s="53"/>
      <c r="AA2" s="53"/>
      <c r="AB2" s="53"/>
      <c r="AC2" s="158" t="s">
        <v>647</v>
      </c>
      <c r="AI2" s="53"/>
      <c r="AJ2" s="53"/>
      <c r="AK2" s="53"/>
      <c r="AL2" s="53"/>
      <c r="AM2" s="53"/>
      <c r="AN2" s="53"/>
      <c r="AO2" s="53"/>
      <c r="AP2" s="53"/>
      <c r="AQ2" s="53"/>
      <c r="AR2" s="53"/>
    </row>
  </sheetData>
  <mergeCells count="1">
    <mergeCell ref="AC2:AH2"/>
  </mergeCells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0.38"/>
    <col customWidth="1" min="2" max="2" width="7.13"/>
  </cols>
  <sheetData>
    <row r="1">
      <c r="A1" s="162" t="s">
        <v>92</v>
      </c>
      <c r="B1" s="163" t="s">
        <v>648</v>
      </c>
    </row>
    <row r="2">
      <c r="A2" s="162" t="s">
        <v>187</v>
      </c>
      <c r="B2" s="164">
        <v>4.0</v>
      </c>
    </row>
    <row r="3">
      <c r="A3" s="165" t="s">
        <v>649</v>
      </c>
      <c r="B3" s="166">
        <v>5.0</v>
      </c>
    </row>
    <row r="4">
      <c r="A4" s="162" t="s">
        <v>11</v>
      </c>
      <c r="B4" s="163" t="s">
        <v>114</v>
      </c>
    </row>
    <row r="5">
      <c r="A5" s="162" t="s">
        <v>397</v>
      </c>
      <c r="B5" s="163" t="s">
        <v>114</v>
      </c>
    </row>
    <row r="6">
      <c r="A6" s="162" t="s">
        <v>137</v>
      </c>
      <c r="B6" s="163" t="s">
        <v>114</v>
      </c>
    </row>
    <row r="7">
      <c r="A7" s="165" t="s">
        <v>650</v>
      </c>
      <c r="B7" s="163" t="s">
        <v>114</v>
      </c>
    </row>
    <row r="8">
      <c r="A8" s="165" t="s">
        <v>651</v>
      </c>
      <c r="B8" s="163" t="s">
        <v>114</v>
      </c>
    </row>
    <row r="9">
      <c r="A9" s="167" t="s">
        <v>143</v>
      </c>
      <c r="B9" s="163" t="s">
        <v>114</v>
      </c>
    </row>
    <row r="10">
      <c r="A10" s="165" t="s">
        <v>652</v>
      </c>
      <c r="B10" s="168">
        <v>18.0</v>
      </c>
    </row>
    <row r="11">
      <c r="A11" s="162" t="s">
        <v>124</v>
      </c>
      <c r="B11" s="164">
        <v>17.0</v>
      </c>
    </row>
    <row r="12">
      <c r="A12" s="162" t="s">
        <v>110</v>
      </c>
      <c r="B12" s="168">
        <v>1.0</v>
      </c>
    </row>
    <row r="13">
      <c r="A13" s="162" t="s">
        <v>192</v>
      </c>
      <c r="B13" s="163" t="s">
        <v>114</v>
      </c>
    </row>
    <row r="14">
      <c r="A14" s="165" t="s">
        <v>653</v>
      </c>
      <c r="B14" s="163" t="s">
        <v>114</v>
      </c>
    </row>
    <row r="15">
      <c r="A15" s="169" t="s">
        <v>654</v>
      </c>
      <c r="B15" s="163" t="s">
        <v>114</v>
      </c>
    </row>
    <row r="16">
      <c r="A16" s="170" t="s">
        <v>655</v>
      </c>
      <c r="B16" s="163" t="s">
        <v>114</v>
      </c>
    </row>
    <row r="17">
      <c r="A17" s="165" t="s">
        <v>656</v>
      </c>
      <c r="B17" s="163" t="s">
        <v>114</v>
      </c>
    </row>
    <row r="18">
      <c r="A18" s="167" t="s">
        <v>657</v>
      </c>
      <c r="B18" s="163" t="s">
        <v>114</v>
      </c>
    </row>
    <row r="19">
      <c r="A19" s="165" t="s">
        <v>658</v>
      </c>
      <c r="B19" s="163" t="s">
        <v>114</v>
      </c>
    </row>
    <row r="20">
      <c r="A20" s="165" t="s">
        <v>659</v>
      </c>
      <c r="B20" s="163" t="s">
        <v>114</v>
      </c>
    </row>
    <row r="21">
      <c r="A21" s="162" t="s">
        <v>660</v>
      </c>
      <c r="B21" s="163" t="s">
        <v>114</v>
      </c>
    </row>
    <row r="22">
      <c r="A22" s="165" t="s">
        <v>661</v>
      </c>
      <c r="B22" s="163" t="s">
        <v>114</v>
      </c>
    </row>
    <row r="23">
      <c r="A23" s="165" t="s">
        <v>662</v>
      </c>
      <c r="B23" s="163" t="s">
        <v>114</v>
      </c>
    </row>
    <row r="24">
      <c r="A24" s="162" t="s">
        <v>105</v>
      </c>
      <c r="B24" s="168">
        <v>6.0</v>
      </c>
    </row>
    <row r="25">
      <c r="A25" s="165" t="s">
        <v>663</v>
      </c>
      <c r="B25" s="171" t="str">
        <f>B24&amp;"."&amp;B28</f>
        <v>6.17.5</v>
      </c>
    </row>
    <row r="26">
      <c r="A26" s="162" t="s">
        <v>178</v>
      </c>
      <c r="B26" s="168">
        <v>7.0</v>
      </c>
    </row>
    <row r="27">
      <c r="A27" s="165" t="s">
        <v>664</v>
      </c>
      <c r="B27" s="168">
        <v>8.0</v>
      </c>
    </row>
    <row r="28">
      <c r="A28" s="162" t="s">
        <v>121</v>
      </c>
      <c r="B28" s="168">
        <v>17.5</v>
      </c>
    </row>
    <row r="29">
      <c r="A29" s="162" t="s">
        <v>161</v>
      </c>
      <c r="B29" s="164">
        <v>10.0</v>
      </c>
    </row>
    <row r="30">
      <c r="A30" s="162" t="s">
        <v>212</v>
      </c>
      <c r="B30" s="168">
        <v>9.0</v>
      </c>
    </row>
    <row r="31">
      <c r="A31" s="162" t="s">
        <v>396</v>
      </c>
      <c r="B31" s="168">
        <v>3.0</v>
      </c>
    </row>
    <row r="32">
      <c r="A32" s="165" t="s">
        <v>665</v>
      </c>
      <c r="B32" s="168">
        <v>15.0</v>
      </c>
    </row>
    <row r="33">
      <c r="A33" s="162" t="s">
        <v>130</v>
      </c>
      <c r="B33" s="168">
        <v>13.0</v>
      </c>
    </row>
    <row r="34">
      <c r="A34" s="162" t="s">
        <v>236</v>
      </c>
      <c r="B34" s="168">
        <v>14.0</v>
      </c>
    </row>
    <row r="35">
      <c r="A35" s="172" t="s">
        <v>666</v>
      </c>
      <c r="B35" s="163" t="s">
        <v>114</v>
      </c>
    </row>
    <row r="36">
      <c r="A36" s="165" t="s">
        <v>667</v>
      </c>
      <c r="B36" s="163" t="s">
        <v>114</v>
      </c>
    </row>
    <row r="37">
      <c r="A37" s="173" t="s">
        <v>668</v>
      </c>
      <c r="B37" s="163" t="s">
        <v>114</v>
      </c>
    </row>
    <row r="38">
      <c r="A38" s="162" t="s">
        <v>152</v>
      </c>
      <c r="B38" s="163" t="s">
        <v>114</v>
      </c>
    </row>
    <row r="39">
      <c r="A39" s="162" t="s">
        <v>669</v>
      </c>
      <c r="B39" s="174" t="s">
        <v>114</v>
      </c>
    </row>
    <row r="40">
      <c r="A40" s="162" t="s">
        <v>670</v>
      </c>
      <c r="B40" s="163" t="s">
        <v>114</v>
      </c>
    </row>
    <row r="41">
      <c r="A41" s="165" t="s">
        <v>440</v>
      </c>
      <c r="B41" s="168">
        <v>2.0</v>
      </c>
    </row>
    <row r="42">
      <c r="A42" s="165" t="s">
        <v>671</v>
      </c>
      <c r="B42" s="174" t="s">
        <v>114</v>
      </c>
    </row>
    <row r="43">
      <c r="A43" s="165" t="s">
        <v>672</v>
      </c>
      <c r="B43" s="163" t="s">
        <v>114</v>
      </c>
    </row>
    <row r="44">
      <c r="A44" s="165" t="s">
        <v>156</v>
      </c>
      <c r="B44" s="168">
        <v>16.0</v>
      </c>
    </row>
    <row r="45">
      <c r="A45" s="165" t="s">
        <v>673</v>
      </c>
      <c r="B45" s="163" t="s">
        <v>114</v>
      </c>
    </row>
    <row r="46">
      <c r="A46" s="162" t="s">
        <v>177</v>
      </c>
      <c r="B46" s="163" t="s">
        <v>114</v>
      </c>
    </row>
    <row r="47">
      <c r="A47" s="165" t="s">
        <v>27</v>
      </c>
      <c r="B47" s="168">
        <v>11.5</v>
      </c>
    </row>
    <row r="48">
      <c r="A48" s="162" t="s">
        <v>674</v>
      </c>
      <c r="B48" s="168">
        <v>11.6</v>
      </c>
    </row>
    <row r="49">
      <c r="A49" s="165" t="s">
        <v>675</v>
      </c>
      <c r="B49" s="168">
        <v>11.7</v>
      </c>
    </row>
    <row r="50">
      <c r="A50" s="165" t="s">
        <v>676</v>
      </c>
      <c r="B50" s="168">
        <v>11.8</v>
      </c>
    </row>
    <row r="51">
      <c r="A51" s="165" t="s">
        <v>456</v>
      </c>
      <c r="B51" s="163" t="s">
        <v>114</v>
      </c>
    </row>
    <row r="52">
      <c r="A52" s="165" t="s">
        <v>677</v>
      </c>
      <c r="B52" s="163" t="s">
        <v>114</v>
      </c>
    </row>
    <row r="53">
      <c r="A53" s="165" t="s">
        <v>678</v>
      </c>
      <c r="B53" s="163" t="s">
        <v>114</v>
      </c>
    </row>
    <row r="54">
      <c r="A54" s="165" t="s">
        <v>679</v>
      </c>
      <c r="B54" s="163" t="s">
        <v>114</v>
      </c>
    </row>
    <row r="55">
      <c r="A55" s="165" t="s">
        <v>680</v>
      </c>
      <c r="B55" s="163" t="s">
        <v>114</v>
      </c>
    </row>
    <row r="56">
      <c r="A56" s="175" t="s">
        <v>681</v>
      </c>
      <c r="B56" s="163" t="s">
        <v>114</v>
      </c>
    </row>
    <row r="57">
      <c r="A57" s="165" t="s">
        <v>682</v>
      </c>
      <c r="B57" s="163" t="s">
        <v>114</v>
      </c>
    </row>
    <row r="58">
      <c r="A58" s="170" t="s">
        <v>683</v>
      </c>
      <c r="B58" s="163" t="s">
        <v>114</v>
      </c>
    </row>
    <row r="59" ht="12.0" customHeight="1">
      <c r="A59" s="165" t="s">
        <v>684</v>
      </c>
      <c r="B59" s="163" t="s">
        <v>114</v>
      </c>
    </row>
    <row r="60">
      <c r="A60" s="165" t="s">
        <v>685</v>
      </c>
      <c r="B60" s="163" t="s">
        <v>114</v>
      </c>
    </row>
    <row r="61">
      <c r="A61" s="165" t="s">
        <v>686</v>
      </c>
      <c r="B61" s="163" t="s">
        <v>114</v>
      </c>
    </row>
    <row r="62">
      <c r="A62" s="167" t="s">
        <v>687</v>
      </c>
      <c r="B62" s="163" t="s">
        <v>114</v>
      </c>
    </row>
  </sheetData>
  <hyperlinks>
    <hyperlink r:id="rId1" ref="A15"/>
    <hyperlink r:id="rId2" ref="A16"/>
    <hyperlink r:id="rId3" ref="A35"/>
    <hyperlink r:id="rId4" ref="A37"/>
    <hyperlink r:id="rId5" ref="A56"/>
    <hyperlink r:id="rId6" ref="A58"/>
  </hyperlinks>
  <drawing r:id="rId7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13"/>
    <col customWidth="1" min="2" max="2" width="31.88"/>
    <col customWidth="1" min="3" max="5" width="15.13"/>
    <col customWidth="1" min="6" max="6" width="35.5"/>
    <col customWidth="1" min="7" max="9" width="15.13"/>
  </cols>
  <sheetData>
    <row r="1">
      <c r="A1" s="176" t="str">
        <f>IFERROR(__xludf.DUMMYFUNCTION("importhtml(""http://mattsarzsports.com/Schedule/Weeklytext?sportYear=football2016&amp;week=""&amp;I2,""Table"",0)"),"#N/A")</f>
        <v>#N/A</v>
      </c>
      <c r="B1" s="176"/>
      <c r="C1" s="176"/>
      <c r="D1" s="176"/>
      <c r="E1" s="176"/>
      <c r="F1" s="15">
        <v>50.0750000476837</v>
      </c>
      <c r="H1" s="13" t="s">
        <v>688</v>
      </c>
      <c r="I1" s="177">
        <v>35.0</v>
      </c>
    </row>
    <row r="2">
      <c r="A2" s="13"/>
      <c r="B2" s="13"/>
      <c r="E2" s="178"/>
      <c r="F2" s="15">
        <v>67.9579999446869</v>
      </c>
      <c r="H2" s="13" t="s">
        <v>689</v>
      </c>
      <c r="I2" s="177">
        <v>15.0</v>
      </c>
    </row>
    <row r="3">
      <c r="B3" s="13"/>
      <c r="E3" s="178"/>
      <c r="F3" s="179"/>
      <c r="H3" s="180"/>
      <c r="I3" s="13"/>
    </row>
    <row r="4">
      <c r="E4" s="178"/>
      <c r="H4" s="181"/>
      <c r="I4" s="176"/>
    </row>
    <row r="5">
      <c r="B5" s="13"/>
      <c r="E5" s="178"/>
      <c r="H5" s="182"/>
      <c r="I5" s="176"/>
    </row>
    <row r="6">
      <c r="B6" s="13"/>
      <c r="E6" s="178"/>
      <c r="H6" s="182"/>
      <c r="I6" s="176"/>
    </row>
    <row r="7">
      <c r="B7" s="13"/>
      <c r="E7" s="178"/>
      <c r="H7" s="182"/>
      <c r="I7" s="176"/>
    </row>
    <row r="8">
      <c r="B8" s="13"/>
      <c r="E8" s="178"/>
      <c r="H8" s="182"/>
      <c r="I8" s="176"/>
    </row>
    <row r="9">
      <c r="B9" s="13"/>
      <c r="E9" s="178"/>
      <c r="H9" s="182"/>
      <c r="I9" s="176"/>
    </row>
    <row r="10">
      <c r="B10" s="13"/>
      <c r="E10" s="178"/>
      <c r="H10" s="182"/>
      <c r="I10" s="176"/>
    </row>
    <row r="11">
      <c r="E11" s="178"/>
      <c r="H11" s="182"/>
      <c r="I11" s="176"/>
    </row>
    <row r="12">
      <c r="E12" s="178"/>
      <c r="H12" s="182"/>
      <c r="I12" s="176"/>
    </row>
    <row r="13">
      <c r="E13" s="178"/>
      <c r="H13" s="182"/>
      <c r="I13" s="176"/>
    </row>
    <row r="14">
      <c r="E14" s="178"/>
      <c r="H14" s="182"/>
      <c r="I14" s="176"/>
    </row>
    <row r="15">
      <c r="B15" s="13"/>
      <c r="E15" s="178"/>
      <c r="H15" s="182"/>
      <c r="I15" s="176"/>
    </row>
    <row r="16">
      <c r="E16" s="178"/>
    </row>
    <row r="17">
      <c r="E17" s="178"/>
      <c r="I17" s="15" t="s">
        <v>692</v>
      </c>
    </row>
    <row r="18">
      <c r="E18" s="178"/>
      <c r="I18" s="15" t="s">
        <v>695</v>
      </c>
    </row>
    <row r="19">
      <c r="E19" s="178"/>
      <c r="I19" s="15" t="s">
        <v>697</v>
      </c>
    </row>
    <row r="20">
      <c r="B20" s="13"/>
      <c r="E20" s="178"/>
      <c r="I20" s="15" t="s">
        <v>699</v>
      </c>
    </row>
    <row r="21">
      <c r="E21" s="178"/>
    </row>
    <row r="22">
      <c r="B22" s="13"/>
      <c r="E22" s="178"/>
    </row>
    <row r="23">
      <c r="B23" s="13"/>
      <c r="E23" s="178"/>
    </row>
    <row r="24">
      <c r="B24" s="13"/>
      <c r="E24" s="178"/>
    </row>
    <row r="25">
      <c r="E25" s="178"/>
    </row>
    <row r="26">
      <c r="E26" s="178"/>
    </row>
    <row r="27">
      <c r="E27" s="178"/>
    </row>
    <row r="28">
      <c r="E28" s="178"/>
    </row>
    <row r="29">
      <c r="E29" s="178"/>
    </row>
    <row r="30">
      <c r="E30" s="178"/>
    </row>
    <row r="31">
      <c r="E31" s="178"/>
    </row>
    <row r="32">
      <c r="E32" s="178"/>
    </row>
    <row r="33">
      <c r="E33" s="178"/>
    </row>
    <row r="34">
      <c r="E34" s="178"/>
    </row>
    <row r="35">
      <c r="E35" s="178"/>
    </row>
    <row r="36">
      <c r="E36" s="178"/>
    </row>
    <row r="37">
      <c r="E37" s="178"/>
    </row>
    <row r="38">
      <c r="E38" s="178"/>
    </row>
    <row r="39">
      <c r="E39" s="178"/>
    </row>
    <row r="40">
      <c r="E40" s="178"/>
    </row>
    <row r="41">
      <c r="E41" s="178"/>
    </row>
    <row r="42">
      <c r="E42" s="178"/>
    </row>
    <row r="43">
      <c r="E43" s="178"/>
    </row>
    <row r="44">
      <c r="E44" s="178"/>
    </row>
    <row r="45">
      <c r="E45" s="178"/>
    </row>
    <row r="46">
      <c r="E46" s="178"/>
    </row>
    <row r="47">
      <c r="E47" s="178"/>
    </row>
    <row r="48">
      <c r="E48" s="178"/>
    </row>
    <row r="49">
      <c r="E49" s="178"/>
    </row>
    <row r="50">
      <c r="E50" s="178"/>
    </row>
    <row r="51">
      <c r="E51" s="178"/>
    </row>
    <row r="52">
      <c r="E52" s="178"/>
    </row>
    <row r="53">
      <c r="E53" s="178"/>
    </row>
    <row r="54">
      <c r="E54" s="178"/>
    </row>
    <row r="55">
      <c r="E55" s="178"/>
    </row>
    <row r="56">
      <c r="E56" s="178"/>
    </row>
    <row r="57">
      <c r="E57" s="178"/>
    </row>
    <row r="58">
      <c r="E58" s="178"/>
    </row>
    <row r="59">
      <c r="E59" s="178"/>
    </row>
    <row r="60">
      <c r="E60" s="178"/>
    </row>
    <row r="61">
      <c r="E61" s="178"/>
    </row>
    <row r="62">
      <c r="E62" s="178"/>
    </row>
    <row r="63">
      <c r="E63" s="178"/>
    </row>
    <row r="64">
      <c r="E64" s="178"/>
    </row>
    <row r="65">
      <c r="E65" s="178"/>
    </row>
    <row r="66">
      <c r="E66" s="178"/>
    </row>
    <row r="67">
      <c r="E67" s="178"/>
    </row>
    <row r="68">
      <c r="E68" s="178"/>
    </row>
    <row r="69">
      <c r="E69" s="178"/>
    </row>
    <row r="70">
      <c r="E70" s="178"/>
    </row>
    <row r="71">
      <c r="E71" s="178"/>
    </row>
    <row r="72">
      <c r="E72" s="178"/>
    </row>
    <row r="73">
      <c r="E73" s="178"/>
    </row>
    <row r="74">
      <c r="E74" s="178"/>
    </row>
    <row r="75">
      <c r="E75" s="178"/>
    </row>
    <row r="76">
      <c r="E76" s="178"/>
    </row>
    <row r="77">
      <c r="E77" s="178"/>
    </row>
    <row r="78">
      <c r="E78" s="178"/>
    </row>
    <row r="79">
      <c r="E79" s="178"/>
    </row>
    <row r="80">
      <c r="E80" s="178"/>
    </row>
    <row r="81">
      <c r="E81" s="178"/>
    </row>
    <row r="82">
      <c r="E82" s="178"/>
    </row>
    <row r="83">
      <c r="E83" s="178"/>
    </row>
    <row r="84">
      <c r="E84" s="178"/>
    </row>
    <row r="85">
      <c r="E85" s="178"/>
    </row>
    <row r="86">
      <c r="E86" s="178"/>
    </row>
    <row r="87">
      <c r="E87" s="178"/>
    </row>
    <row r="88">
      <c r="E88" s="178"/>
    </row>
    <row r="89">
      <c r="E89" s="178"/>
    </row>
    <row r="90">
      <c r="E90" s="178"/>
    </row>
    <row r="91">
      <c r="E91" s="178"/>
    </row>
    <row r="92">
      <c r="E92" s="178"/>
    </row>
    <row r="93">
      <c r="E93" s="178"/>
    </row>
    <row r="94">
      <c r="E94" s="178"/>
    </row>
    <row r="95">
      <c r="E95" s="178"/>
    </row>
    <row r="96">
      <c r="E96" s="178"/>
    </row>
    <row r="97">
      <c r="E97" s="178"/>
    </row>
    <row r="98">
      <c r="E98" s="178"/>
    </row>
    <row r="99">
      <c r="E99" s="178"/>
    </row>
    <row r="100">
      <c r="E100" s="178"/>
    </row>
    <row r="101">
      <c r="E101" s="178"/>
    </row>
    <row r="102">
      <c r="E102" s="178"/>
    </row>
    <row r="103">
      <c r="E103" s="178"/>
    </row>
    <row r="104">
      <c r="E104" s="178"/>
    </row>
    <row r="105">
      <c r="E105" s="178"/>
    </row>
    <row r="106">
      <c r="E106" s="178"/>
    </row>
    <row r="107">
      <c r="E107" s="178"/>
    </row>
    <row r="108">
      <c r="E108" s="178"/>
    </row>
    <row r="109">
      <c r="E109" s="178"/>
    </row>
    <row r="110">
      <c r="E110" s="178"/>
    </row>
    <row r="111">
      <c r="E111" s="178"/>
    </row>
    <row r="112">
      <c r="E112" s="178"/>
    </row>
    <row r="113">
      <c r="E113" s="178"/>
    </row>
    <row r="114">
      <c r="A114" s="176"/>
      <c r="B114" s="176"/>
      <c r="C114" s="176"/>
      <c r="D114" s="176"/>
      <c r="E114" s="178"/>
    </row>
    <row r="115">
      <c r="A115" s="176"/>
      <c r="B115" s="176"/>
      <c r="C115" s="176"/>
      <c r="D115" s="176"/>
      <c r="E115" s="178"/>
    </row>
    <row r="116">
      <c r="A116" s="176"/>
      <c r="B116" s="176"/>
      <c r="C116" s="176"/>
      <c r="D116" s="176"/>
      <c r="E116" s="178"/>
    </row>
    <row r="117">
      <c r="A117" s="176"/>
      <c r="B117" s="176"/>
      <c r="C117" s="176"/>
      <c r="D117" s="176"/>
      <c r="E117" s="178"/>
    </row>
    <row r="118">
      <c r="A118" s="176"/>
      <c r="B118" s="176"/>
      <c r="C118" s="176"/>
      <c r="D118" s="176"/>
      <c r="E118" s="178"/>
    </row>
    <row r="119">
      <c r="A119" s="176"/>
      <c r="B119" s="176"/>
      <c r="C119" s="176"/>
      <c r="D119" s="176"/>
      <c r="E119" s="178"/>
    </row>
    <row r="120">
      <c r="A120" s="176"/>
      <c r="B120" s="176"/>
      <c r="C120" s="176"/>
      <c r="D120" s="176"/>
      <c r="E120" s="178"/>
    </row>
    <row r="121">
      <c r="A121" s="176"/>
      <c r="B121" s="176"/>
      <c r="C121" s="176"/>
      <c r="D121" s="176"/>
      <c r="E121" s="178"/>
    </row>
    <row r="122">
      <c r="A122" s="176"/>
      <c r="B122" s="176"/>
      <c r="C122" s="176"/>
      <c r="D122" s="176"/>
      <c r="E122" s="178"/>
    </row>
    <row r="123">
      <c r="A123" s="176"/>
      <c r="B123" s="176"/>
      <c r="C123" s="176"/>
      <c r="D123" s="176"/>
      <c r="E123" s="178"/>
    </row>
    <row r="124">
      <c r="A124" s="176"/>
      <c r="B124" s="176"/>
      <c r="C124" s="176"/>
      <c r="D124" s="176"/>
      <c r="E124" s="178"/>
    </row>
    <row r="125">
      <c r="A125" s="176"/>
      <c r="B125" s="176"/>
      <c r="C125" s="176"/>
      <c r="D125" s="176"/>
      <c r="E125" s="178"/>
    </row>
    <row r="126">
      <c r="A126" s="176"/>
      <c r="B126" s="176"/>
      <c r="C126" s="176"/>
      <c r="D126" s="176"/>
      <c r="E126" s="178"/>
    </row>
    <row r="127">
      <c r="A127" s="176"/>
      <c r="B127" s="176"/>
      <c r="C127" s="176"/>
      <c r="D127" s="176"/>
      <c r="E127" s="178"/>
    </row>
    <row r="128">
      <c r="A128" s="176"/>
      <c r="B128" s="176"/>
      <c r="C128" s="176"/>
      <c r="D128" s="176"/>
      <c r="E128" s="178"/>
    </row>
    <row r="129">
      <c r="A129" s="176"/>
      <c r="B129" s="176"/>
      <c r="C129" s="176"/>
      <c r="D129" s="176"/>
      <c r="E129" s="178"/>
    </row>
    <row r="130">
      <c r="A130" s="176"/>
      <c r="B130" s="176"/>
      <c r="C130" s="176"/>
      <c r="D130" s="176"/>
      <c r="E130" s="178"/>
    </row>
    <row r="131">
      <c r="A131" s="176"/>
      <c r="B131" s="176"/>
      <c r="C131" s="176"/>
      <c r="D131" s="176"/>
      <c r="E131" s="178"/>
    </row>
    <row r="132">
      <c r="A132" s="176"/>
      <c r="B132" s="176"/>
      <c r="C132" s="176"/>
      <c r="D132" s="176"/>
      <c r="E132" s="178"/>
    </row>
    <row r="133">
      <c r="A133" s="176"/>
      <c r="B133" s="176"/>
      <c r="C133" s="176"/>
      <c r="D133" s="176"/>
      <c r="E133" s="178"/>
    </row>
    <row r="134">
      <c r="A134" s="176"/>
      <c r="B134" s="176"/>
      <c r="C134" s="176"/>
      <c r="D134" s="176"/>
      <c r="E134" s="178"/>
    </row>
    <row r="135">
      <c r="A135" s="176"/>
      <c r="B135" s="176"/>
      <c r="C135" s="176"/>
      <c r="D135" s="176"/>
      <c r="E135" s="178"/>
    </row>
    <row r="136">
      <c r="A136" s="176"/>
      <c r="B136" s="176"/>
      <c r="C136" s="176"/>
      <c r="D136" s="176"/>
      <c r="E136" s="178"/>
    </row>
    <row r="137">
      <c r="A137" s="176"/>
      <c r="B137" s="176"/>
      <c r="C137" s="176"/>
      <c r="D137" s="176"/>
      <c r="E137" s="178"/>
    </row>
    <row r="138">
      <c r="A138" s="176"/>
      <c r="B138" s="176"/>
      <c r="C138" s="176"/>
      <c r="D138" s="176"/>
      <c r="E138" s="178"/>
    </row>
    <row r="139">
      <c r="A139" s="176"/>
      <c r="B139" s="176"/>
      <c r="C139" s="176"/>
      <c r="D139" s="176"/>
      <c r="E139" s="178"/>
    </row>
    <row r="140">
      <c r="A140" s="176"/>
      <c r="B140" s="176"/>
      <c r="C140" s="176"/>
      <c r="D140" s="176"/>
      <c r="E140" s="178"/>
    </row>
    <row r="141">
      <c r="A141" s="176"/>
      <c r="B141" s="176"/>
      <c r="C141" s="176"/>
      <c r="D141" s="176"/>
      <c r="E141" s="178"/>
    </row>
    <row r="142">
      <c r="A142" s="176"/>
      <c r="B142" s="176"/>
      <c r="C142" s="176"/>
      <c r="D142" s="176"/>
      <c r="E142" s="178"/>
    </row>
    <row r="143">
      <c r="A143" s="176"/>
      <c r="B143" s="176"/>
      <c r="C143" s="176"/>
      <c r="D143" s="176"/>
      <c r="E143" s="178"/>
    </row>
    <row r="144">
      <c r="A144" s="176"/>
      <c r="B144" s="176"/>
      <c r="C144" s="176"/>
      <c r="D144" s="176"/>
      <c r="E144" s="178"/>
    </row>
    <row r="145">
      <c r="A145" s="176"/>
      <c r="B145" s="176"/>
      <c r="C145" s="176"/>
      <c r="D145" s="176"/>
      <c r="E145" s="178"/>
    </row>
    <row r="146">
      <c r="A146" s="176"/>
      <c r="B146" s="176"/>
      <c r="C146" s="176"/>
      <c r="D146" s="176"/>
      <c r="E146" s="178"/>
    </row>
    <row r="147">
      <c r="A147" s="176"/>
      <c r="B147" s="176"/>
      <c r="C147" s="176"/>
      <c r="D147" s="176"/>
      <c r="E147" s="178"/>
    </row>
    <row r="148">
      <c r="A148" s="176"/>
      <c r="B148" s="176"/>
      <c r="C148" s="176"/>
      <c r="D148" s="176"/>
      <c r="E148" s="178"/>
    </row>
    <row r="149">
      <c r="A149" s="176"/>
      <c r="B149" s="176"/>
      <c r="C149" s="176"/>
      <c r="D149" s="176"/>
      <c r="E149" s="178"/>
    </row>
    <row r="150">
      <c r="A150" s="176"/>
      <c r="B150" s="176"/>
      <c r="C150" s="176"/>
      <c r="D150" s="176"/>
      <c r="E150" s="178"/>
    </row>
    <row r="151">
      <c r="A151" s="176"/>
      <c r="B151" s="176"/>
      <c r="C151" s="176"/>
      <c r="D151" s="176"/>
      <c r="E151" s="178"/>
    </row>
    <row r="152">
      <c r="A152" s="176"/>
      <c r="B152" s="176"/>
      <c r="C152" s="176"/>
      <c r="D152" s="176"/>
      <c r="E152" s="178"/>
    </row>
    <row r="153">
      <c r="A153" s="176"/>
      <c r="B153" s="176"/>
      <c r="C153" s="176"/>
      <c r="D153" s="176"/>
      <c r="E153" s="178"/>
    </row>
    <row r="154">
      <c r="A154" s="176"/>
      <c r="B154" s="176"/>
      <c r="C154" s="176"/>
      <c r="D154" s="176"/>
      <c r="E154" s="178"/>
    </row>
    <row r="155">
      <c r="A155" s="176"/>
      <c r="B155" s="176"/>
      <c r="C155" s="176"/>
      <c r="D155" s="176"/>
      <c r="E155" s="178"/>
    </row>
    <row r="156">
      <c r="A156" s="176"/>
      <c r="B156" s="176"/>
      <c r="C156" s="176"/>
      <c r="D156" s="176"/>
      <c r="E156" s="178"/>
    </row>
    <row r="157">
      <c r="A157" s="176"/>
      <c r="B157" s="176"/>
      <c r="C157" s="176"/>
      <c r="D157" s="176"/>
      <c r="E157" s="178"/>
    </row>
    <row r="158">
      <c r="A158" s="176"/>
      <c r="B158" s="176"/>
      <c r="C158" s="176"/>
      <c r="D158" s="176"/>
      <c r="E158" s="178"/>
    </row>
    <row r="159">
      <c r="A159" s="176"/>
      <c r="B159" s="176"/>
      <c r="C159" s="176"/>
      <c r="D159" s="176"/>
      <c r="E159" s="178"/>
    </row>
    <row r="160">
      <c r="A160" s="176"/>
      <c r="B160" s="176"/>
      <c r="C160" s="176"/>
      <c r="D160" s="176"/>
      <c r="E160" s="178"/>
    </row>
    <row r="161">
      <c r="A161" s="176"/>
      <c r="B161" s="176"/>
      <c r="C161" s="176"/>
      <c r="D161" s="176"/>
      <c r="E161" s="178"/>
    </row>
    <row r="162">
      <c r="A162" s="176"/>
      <c r="B162" s="176"/>
      <c r="C162" s="176"/>
      <c r="D162" s="176"/>
      <c r="E162" s="178"/>
    </row>
    <row r="163">
      <c r="A163" s="176"/>
      <c r="B163" s="176"/>
      <c r="C163" s="176"/>
      <c r="D163" s="176"/>
      <c r="E163" s="178"/>
    </row>
    <row r="164">
      <c r="A164" s="176"/>
      <c r="B164" s="176"/>
      <c r="C164" s="176"/>
      <c r="D164" s="176"/>
      <c r="E164" s="178"/>
    </row>
    <row r="165">
      <c r="A165" s="176"/>
      <c r="B165" s="176"/>
      <c r="C165" s="176"/>
      <c r="D165" s="176"/>
      <c r="E165" s="178"/>
    </row>
    <row r="166">
      <c r="A166" s="176"/>
      <c r="B166" s="176"/>
      <c r="C166" s="176"/>
      <c r="D166" s="176"/>
      <c r="E166" s="178"/>
    </row>
    <row r="167">
      <c r="A167" s="176"/>
      <c r="B167" s="176"/>
      <c r="C167" s="176"/>
      <c r="D167" s="176"/>
      <c r="E167" s="178"/>
    </row>
    <row r="168">
      <c r="A168" s="176"/>
      <c r="B168" s="176"/>
      <c r="C168" s="176"/>
      <c r="D168" s="176"/>
      <c r="E168" s="178"/>
    </row>
    <row r="169">
      <c r="A169" s="176"/>
      <c r="B169" s="176"/>
      <c r="C169" s="176"/>
      <c r="D169" s="176"/>
      <c r="E169" s="178"/>
    </row>
    <row r="170">
      <c r="A170" s="176"/>
      <c r="B170" s="176"/>
      <c r="C170" s="176"/>
      <c r="D170" s="176"/>
      <c r="E170" s="178"/>
    </row>
    <row r="171">
      <c r="A171" s="176"/>
      <c r="B171" s="176"/>
      <c r="C171" s="176"/>
      <c r="D171" s="176"/>
      <c r="E171" s="178"/>
    </row>
    <row r="172">
      <c r="A172" s="176"/>
      <c r="B172" s="176"/>
      <c r="C172" s="176"/>
      <c r="D172" s="176"/>
      <c r="E172" s="178"/>
    </row>
    <row r="173">
      <c r="A173" s="176"/>
      <c r="B173" s="176"/>
      <c r="C173" s="176"/>
      <c r="D173" s="176"/>
      <c r="E173" s="178"/>
    </row>
    <row r="174">
      <c r="A174" s="176"/>
      <c r="B174" s="176"/>
      <c r="C174" s="176"/>
      <c r="D174" s="176"/>
      <c r="E174" s="178"/>
    </row>
    <row r="175">
      <c r="A175" s="176"/>
      <c r="B175" s="176"/>
      <c r="C175" s="176"/>
      <c r="D175" s="176"/>
      <c r="E175" s="178"/>
    </row>
    <row r="176">
      <c r="A176" s="176"/>
      <c r="B176" s="176"/>
      <c r="C176" s="176"/>
      <c r="D176" s="176"/>
      <c r="E176" s="178"/>
    </row>
    <row r="177">
      <c r="A177" s="176"/>
      <c r="B177" s="176"/>
      <c r="C177" s="176"/>
      <c r="D177" s="176"/>
      <c r="E177" s="178"/>
    </row>
    <row r="178">
      <c r="A178" s="176"/>
      <c r="B178" s="176"/>
      <c r="C178" s="176"/>
      <c r="D178" s="176"/>
      <c r="E178" s="178"/>
    </row>
    <row r="179">
      <c r="A179" s="176"/>
      <c r="B179" s="176"/>
      <c r="C179" s="176"/>
      <c r="D179" s="176"/>
      <c r="E179" s="178"/>
    </row>
    <row r="180">
      <c r="A180" s="176"/>
      <c r="B180" s="176"/>
      <c r="C180" s="176"/>
      <c r="D180" s="176"/>
      <c r="E180" s="178"/>
    </row>
    <row r="181">
      <c r="A181" s="176"/>
      <c r="B181" s="176"/>
      <c r="C181" s="176"/>
      <c r="D181" s="176"/>
      <c r="E181" s="178"/>
    </row>
    <row r="182">
      <c r="A182" s="176"/>
      <c r="B182" s="176"/>
      <c r="C182" s="176"/>
      <c r="D182" s="176"/>
      <c r="E182" s="178"/>
    </row>
    <row r="183">
      <c r="A183" s="176"/>
      <c r="B183" s="176"/>
      <c r="C183" s="176"/>
      <c r="D183" s="176"/>
      <c r="E183" s="178"/>
    </row>
    <row r="184">
      <c r="A184" s="176"/>
      <c r="B184" s="176"/>
      <c r="C184" s="176"/>
      <c r="D184" s="176"/>
      <c r="E184" s="178"/>
    </row>
    <row r="185">
      <c r="A185" s="176"/>
      <c r="B185" s="176"/>
      <c r="C185" s="176"/>
      <c r="D185" s="176"/>
      <c r="E185" s="178"/>
    </row>
    <row r="186">
      <c r="A186" s="176"/>
      <c r="B186" s="176"/>
      <c r="C186" s="176"/>
      <c r="D186" s="176"/>
      <c r="E186" s="178"/>
    </row>
    <row r="187">
      <c r="A187" s="176"/>
      <c r="B187" s="176"/>
      <c r="C187" s="176"/>
      <c r="D187" s="176"/>
      <c r="E187" s="178"/>
    </row>
    <row r="188">
      <c r="A188" s="176"/>
      <c r="B188" s="176"/>
      <c r="C188" s="176"/>
      <c r="D188" s="176"/>
      <c r="E188" s="178"/>
    </row>
    <row r="189">
      <c r="A189" s="176"/>
      <c r="B189" s="176"/>
      <c r="C189" s="176"/>
      <c r="D189" s="176"/>
      <c r="E189" s="178"/>
    </row>
    <row r="190">
      <c r="A190" s="176"/>
      <c r="B190" s="176"/>
      <c r="C190" s="176"/>
      <c r="D190" s="176"/>
      <c r="E190" s="178"/>
    </row>
    <row r="191">
      <c r="A191" s="176"/>
      <c r="B191" s="176"/>
      <c r="C191" s="176"/>
      <c r="D191" s="176"/>
      <c r="E191" s="178"/>
    </row>
    <row r="192">
      <c r="A192" s="176"/>
      <c r="B192" s="176"/>
      <c r="C192" s="176"/>
      <c r="D192" s="176"/>
      <c r="E192" s="178"/>
    </row>
    <row r="193">
      <c r="A193" s="176"/>
      <c r="B193" s="176"/>
      <c r="C193" s="176"/>
      <c r="D193" s="176"/>
      <c r="E193" s="178"/>
    </row>
    <row r="194">
      <c r="A194" s="176"/>
      <c r="B194" s="176"/>
      <c r="C194" s="176"/>
      <c r="D194" s="176"/>
      <c r="E194" s="178"/>
    </row>
    <row r="195">
      <c r="A195" s="176"/>
      <c r="B195" s="176"/>
      <c r="C195" s="176"/>
      <c r="D195" s="176"/>
      <c r="E195" s="178"/>
    </row>
    <row r="196">
      <c r="A196" s="176"/>
      <c r="B196" s="176"/>
      <c r="C196" s="176"/>
      <c r="D196" s="176"/>
      <c r="E196" s="178"/>
    </row>
    <row r="197">
      <c r="A197" s="176"/>
      <c r="B197" s="176"/>
      <c r="C197" s="176"/>
      <c r="D197" s="176"/>
      <c r="E197" s="178"/>
    </row>
    <row r="198">
      <c r="A198" s="176"/>
      <c r="B198" s="176"/>
      <c r="C198" s="176"/>
      <c r="D198" s="176"/>
      <c r="E198" s="178"/>
    </row>
    <row r="199">
      <c r="A199" s="176"/>
      <c r="B199" s="176"/>
      <c r="C199" s="176"/>
      <c r="D199" s="176"/>
      <c r="E199" s="178"/>
    </row>
    <row r="200">
      <c r="A200" s="176"/>
      <c r="B200" s="176"/>
      <c r="C200" s="176"/>
      <c r="D200" s="176"/>
      <c r="E200" s="178"/>
    </row>
    <row r="201">
      <c r="A201" s="176"/>
      <c r="B201" s="176"/>
      <c r="C201" s="176"/>
      <c r="D201" s="176"/>
      <c r="E201" s="178"/>
    </row>
    <row r="202">
      <c r="A202" s="176"/>
      <c r="B202" s="176"/>
      <c r="C202" s="176"/>
      <c r="D202" s="176"/>
      <c r="E202" s="178"/>
    </row>
    <row r="203">
      <c r="A203" s="176"/>
      <c r="B203" s="176"/>
      <c r="C203" s="176"/>
      <c r="D203" s="176"/>
      <c r="E203" s="178"/>
    </row>
    <row r="204">
      <c r="A204" s="176"/>
      <c r="B204" s="176"/>
      <c r="C204" s="176"/>
      <c r="D204" s="176"/>
      <c r="E204" s="178"/>
    </row>
    <row r="205">
      <c r="A205" s="176"/>
      <c r="B205" s="176"/>
      <c r="C205" s="176"/>
      <c r="D205" s="176"/>
      <c r="E205" s="178"/>
    </row>
    <row r="206">
      <c r="A206" s="176"/>
      <c r="B206" s="176"/>
      <c r="C206" s="176"/>
      <c r="D206" s="176"/>
      <c r="E206" s="178"/>
    </row>
    <row r="207">
      <c r="A207" s="176"/>
      <c r="B207" s="176"/>
      <c r="C207" s="176"/>
      <c r="D207" s="176"/>
      <c r="E207" s="178"/>
    </row>
    <row r="208">
      <c r="A208" s="176"/>
      <c r="B208" s="176"/>
      <c r="C208" s="176"/>
      <c r="D208" s="176"/>
      <c r="E208" s="178"/>
    </row>
    <row r="209">
      <c r="A209" s="176"/>
      <c r="B209" s="176"/>
      <c r="C209" s="176"/>
      <c r="D209" s="176"/>
      <c r="E209" s="178"/>
    </row>
    <row r="210">
      <c r="A210" s="176"/>
      <c r="B210" s="176"/>
      <c r="C210" s="176"/>
      <c r="D210" s="176"/>
      <c r="E210" s="178"/>
    </row>
    <row r="211">
      <c r="A211" s="176"/>
      <c r="B211" s="176"/>
      <c r="C211" s="176"/>
      <c r="D211" s="176"/>
      <c r="E211" s="178"/>
    </row>
    <row r="212">
      <c r="A212" s="176"/>
      <c r="B212" s="176"/>
      <c r="C212" s="176"/>
      <c r="D212" s="176"/>
      <c r="E212" s="178"/>
    </row>
    <row r="213">
      <c r="A213" s="176"/>
      <c r="B213" s="176"/>
      <c r="C213" s="176"/>
      <c r="D213" s="176"/>
      <c r="E213" s="178"/>
    </row>
    <row r="214">
      <c r="A214" s="176"/>
      <c r="B214" s="176"/>
      <c r="C214" s="176"/>
      <c r="D214" s="176"/>
      <c r="E214" s="178"/>
    </row>
    <row r="215">
      <c r="A215" s="176"/>
      <c r="B215" s="176"/>
      <c r="C215" s="176"/>
      <c r="D215" s="176"/>
      <c r="E215" s="178"/>
    </row>
    <row r="216">
      <c r="A216" s="176"/>
      <c r="B216" s="176"/>
      <c r="C216" s="176"/>
      <c r="D216" s="176"/>
      <c r="E216" s="178"/>
    </row>
    <row r="217">
      <c r="A217" s="176"/>
      <c r="B217" s="176"/>
      <c r="C217" s="176"/>
      <c r="D217" s="176"/>
      <c r="E217" s="178"/>
    </row>
    <row r="218">
      <c r="A218" s="176"/>
      <c r="B218" s="176"/>
      <c r="C218" s="176"/>
      <c r="D218" s="176"/>
      <c r="E218" s="178"/>
    </row>
    <row r="219">
      <c r="A219" s="176"/>
      <c r="B219" s="176"/>
      <c r="C219" s="176"/>
      <c r="D219" s="176"/>
      <c r="E219" s="178"/>
    </row>
    <row r="220">
      <c r="A220" s="176"/>
      <c r="B220" s="176"/>
      <c r="C220" s="176"/>
      <c r="D220" s="176"/>
      <c r="E220" s="178"/>
    </row>
    <row r="221">
      <c r="A221" s="176"/>
      <c r="B221" s="176"/>
      <c r="C221" s="176"/>
      <c r="D221" s="176"/>
      <c r="E221" s="178"/>
    </row>
    <row r="222">
      <c r="A222" s="176"/>
      <c r="B222" s="176"/>
      <c r="C222" s="176"/>
      <c r="D222" s="176"/>
      <c r="E222" s="178"/>
    </row>
    <row r="223">
      <c r="A223" s="176"/>
      <c r="B223" s="176"/>
      <c r="C223" s="176"/>
      <c r="D223" s="176"/>
      <c r="E223" s="178"/>
    </row>
    <row r="224">
      <c r="A224" s="176"/>
      <c r="B224" s="176"/>
      <c r="C224" s="176"/>
      <c r="D224" s="176"/>
      <c r="E224" s="178"/>
    </row>
    <row r="225">
      <c r="A225" s="176"/>
      <c r="B225" s="176"/>
      <c r="C225" s="176"/>
      <c r="D225" s="176"/>
      <c r="E225" s="178"/>
    </row>
    <row r="226">
      <c r="A226" s="176"/>
      <c r="B226" s="176"/>
      <c r="C226" s="176"/>
      <c r="D226" s="176"/>
      <c r="E226" s="178"/>
    </row>
    <row r="227">
      <c r="A227" s="176"/>
      <c r="B227" s="176"/>
      <c r="C227" s="176"/>
      <c r="D227" s="176"/>
      <c r="E227" s="178"/>
    </row>
    <row r="228">
      <c r="A228" s="176"/>
      <c r="B228" s="176"/>
      <c r="C228" s="176"/>
      <c r="D228" s="176"/>
      <c r="E228" s="178"/>
    </row>
    <row r="229">
      <c r="A229" s="176"/>
      <c r="B229" s="176"/>
      <c r="C229" s="176"/>
      <c r="D229" s="176"/>
      <c r="E229" s="178"/>
    </row>
    <row r="230">
      <c r="A230" s="176"/>
      <c r="B230" s="176"/>
      <c r="C230" s="176"/>
      <c r="D230" s="176"/>
      <c r="E230" s="178"/>
    </row>
    <row r="231">
      <c r="A231" s="176"/>
      <c r="B231" s="176"/>
      <c r="C231" s="176"/>
      <c r="D231" s="176"/>
      <c r="E231" s="178"/>
    </row>
    <row r="232">
      <c r="A232" s="176"/>
      <c r="B232" s="176"/>
      <c r="C232" s="176"/>
      <c r="D232" s="176"/>
      <c r="E232" s="178"/>
    </row>
    <row r="233">
      <c r="A233" s="176"/>
      <c r="B233" s="176"/>
      <c r="C233" s="176"/>
      <c r="D233" s="176"/>
      <c r="E233" s="178"/>
    </row>
    <row r="234">
      <c r="A234" s="176"/>
      <c r="B234" s="176"/>
      <c r="C234" s="176"/>
      <c r="D234" s="176"/>
      <c r="E234" s="178"/>
    </row>
    <row r="235">
      <c r="A235" s="176"/>
      <c r="B235" s="176"/>
      <c r="C235" s="176"/>
      <c r="D235" s="176"/>
      <c r="E235" s="178"/>
    </row>
    <row r="236">
      <c r="A236" s="176"/>
      <c r="B236" s="176"/>
      <c r="C236" s="176"/>
      <c r="D236" s="176"/>
      <c r="E236" s="178"/>
    </row>
    <row r="237">
      <c r="A237" s="176"/>
      <c r="B237" s="176"/>
      <c r="C237" s="176"/>
      <c r="D237" s="176"/>
      <c r="E237" s="178"/>
    </row>
    <row r="238">
      <c r="A238" s="176"/>
      <c r="B238" s="176"/>
      <c r="C238" s="176"/>
      <c r="D238" s="176"/>
      <c r="E238" s="178"/>
    </row>
    <row r="239">
      <c r="A239" s="176"/>
      <c r="B239" s="176"/>
      <c r="C239" s="176"/>
      <c r="D239" s="176"/>
      <c r="E239" s="178"/>
    </row>
    <row r="240">
      <c r="A240" s="176"/>
      <c r="B240" s="176"/>
      <c r="C240" s="176"/>
      <c r="D240" s="176"/>
      <c r="E240" s="178"/>
    </row>
    <row r="241">
      <c r="A241" s="176"/>
      <c r="B241" s="176"/>
      <c r="C241" s="176"/>
      <c r="D241" s="176"/>
      <c r="E241" s="178"/>
    </row>
    <row r="242">
      <c r="A242" s="176"/>
      <c r="B242" s="176"/>
      <c r="C242" s="176"/>
      <c r="D242" s="176"/>
      <c r="E242" s="178"/>
    </row>
    <row r="243">
      <c r="A243" s="176"/>
      <c r="B243" s="176"/>
      <c r="C243" s="176"/>
      <c r="D243" s="176"/>
      <c r="E243" s="178"/>
    </row>
    <row r="244">
      <c r="A244" s="176"/>
      <c r="B244" s="176"/>
      <c r="C244" s="176"/>
      <c r="D244" s="176"/>
      <c r="E244" s="178"/>
    </row>
    <row r="245">
      <c r="A245" s="176"/>
      <c r="B245" s="176"/>
      <c r="C245" s="176"/>
      <c r="D245" s="176"/>
      <c r="E245" s="178"/>
    </row>
    <row r="246">
      <c r="A246" s="176"/>
      <c r="B246" s="176"/>
      <c r="C246" s="176"/>
      <c r="D246" s="176"/>
      <c r="E246" s="178"/>
    </row>
    <row r="247">
      <c r="A247" s="176"/>
      <c r="B247" s="176"/>
      <c r="C247" s="176"/>
      <c r="D247" s="176"/>
      <c r="E247" s="178"/>
    </row>
    <row r="248">
      <c r="A248" s="176"/>
      <c r="B248" s="176"/>
      <c r="C248" s="176"/>
      <c r="D248" s="176"/>
      <c r="E248" s="178"/>
    </row>
    <row r="249">
      <c r="A249" s="176"/>
      <c r="B249" s="176"/>
      <c r="C249" s="176"/>
      <c r="D249" s="176"/>
      <c r="E249" s="178"/>
    </row>
    <row r="250">
      <c r="A250" s="176"/>
      <c r="B250" s="176"/>
      <c r="C250" s="176"/>
      <c r="D250" s="176"/>
      <c r="E250" s="178"/>
    </row>
    <row r="251">
      <c r="A251" s="176"/>
      <c r="B251" s="176"/>
      <c r="C251" s="176"/>
      <c r="D251" s="176"/>
      <c r="E251" s="178"/>
    </row>
    <row r="252">
      <c r="A252" s="176"/>
      <c r="B252" s="176"/>
      <c r="C252" s="176"/>
      <c r="D252" s="176"/>
      <c r="E252" s="178"/>
    </row>
    <row r="253">
      <c r="A253" s="176"/>
      <c r="B253" s="176"/>
      <c r="C253" s="176"/>
      <c r="D253" s="176"/>
      <c r="E253" s="178"/>
    </row>
    <row r="254">
      <c r="A254" s="176"/>
      <c r="B254" s="176"/>
      <c r="C254" s="176"/>
      <c r="D254" s="176"/>
      <c r="E254" s="178"/>
    </row>
    <row r="255">
      <c r="A255" s="176"/>
      <c r="B255" s="176"/>
      <c r="C255" s="176"/>
      <c r="D255" s="176"/>
      <c r="E255" s="178"/>
    </row>
    <row r="256">
      <c r="A256" s="176"/>
      <c r="B256" s="176"/>
      <c r="C256" s="176"/>
      <c r="D256" s="176"/>
      <c r="E256" s="178"/>
    </row>
    <row r="257">
      <c r="A257" s="176"/>
      <c r="B257" s="176"/>
      <c r="C257" s="176"/>
      <c r="D257" s="176"/>
      <c r="E257" s="178"/>
    </row>
    <row r="258">
      <c r="A258" s="176"/>
      <c r="B258" s="176"/>
      <c r="C258" s="176"/>
      <c r="D258" s="176"/>
      <c r="E258" s="178"/>
    </row>
    <row r="259">
      <c r="A259" s="176"/>
      <c r="B259" s="176"/>
      <c r="C259" s="176"/>
      <c r="D259" s="176"/>
      <c r="E259" s="178"/>
    </row>
    <row r="260">
      <c r="A260" s="176"/>
      <c r="B260" s="176"/>
      <c r="C260" s="176"/>
      <c r="D260" s="176"/>
      <c r="E260" s="178"/>
    </row>
    <row r="261">
      <c r="A261" s="176"/>
      <c r="B261" s="176"/>
      <c r="C261" s="176"/>
      <c r="D261" s="176"/>
      <c r="E261" s="178"/>
    </row>
    <row r="262">
      <c r="A262" s="176"/>
      <c r="B262" s="176"/>
      <c r="C262" s="176"/>
      <c r="D262" s="176"/>
      <c r="E262" s="178"/>
    </row>
    <row r="263">
      <c r="A263" s="176"/>
      <c r="B263" s="176"/>
      <c r="C263" s="176"/>
      <c r="D263" s="176"/>
      <c r="E263" s="178"/>
    </row>
    <row r="264">
      <c r="A264" s="176"/>
      <c r="B264" s="176"/>
      <c r="C264" s="176"/>
      <c r="D264" s="176"/>
      <c r="E264" s="178"/>
    </row>
    <row r="265">
      <c r="A265" s="176"/>
      <c r="B265" s="176"/>
      <c r="C265" s="176"/>
      <c r="D265" s="176"/>
      <c r="E265" s="178"/>
    </row>
    <row r="266">
      <c r="A266" s="176"/>
      <c r="B266" s="176"/>
      <c r="C266" s="176"/>
      <c r="D266" s="176"/>
      <c r="E266" s="178"/>
    </row>
    <row r="267">
      <c r="A267" s="176"/>
      <c r="B267" s="176"/>
      <c r="C267" s="176"/>
      <c r="D267" s="176"/>
      <c r="E267" s="178"/>
    </row>
    <row r="268">
      <c r="A268" s="176"/>
      <c r="B268" s="176"/>
      <c r="C268" s="176"/>
      <c r="D268" s="176"/>
      <c r="E268" s="178"/>
    </row>
    <row r="269">
      <c r="A269" s="176"/>
      <c r="B269" s="176"/>
      <c r="C269" s="176"/>
      <c r="D269" s="176"/>
      <c r="E269" s="178"/>
    </row>
    <row r="270">
      <c r="A270" s="176"/>
      <c r="B270" s="176"/>
      <c r="C270" s="176"/>
      <c r="D270" s="176"/>
      <c r="E270" s="178"/>
    </row>
    <row r="271">
      <c r="A271" s="176"/>
      <c r="B271" s="176"/>
      <c r="C271" s="176"/>
      <c r="D271" s="176"/>
      <c r="E271" s="178"/>
    </row>
    <row r="272">
      <c r="A272" s="176"/>
      <c r="B272" s="176"/>
      <c r="C272" s="176"/>
      <c r="D272" s="176"/>
      <c r="E272" s="178"/>
    </row>
    <row r="273">
      <c r="A273" s="176"/>
      <c r="B273" s="176"/>
      <c r="C273" s="176"/>
      <c r="D273" s="176"/>
      <c r="E273" s="178"/>
    </row>
    <row r="274">
      <c r="A274" s="176"/>
      <c r="B274" s="176"/>
      <c r="C274" s="176"/>
      <c r="D274" s="176"/>
      <c r="E274" s="178"/>
    </row>
    <row r="275">
      <c r="A275" s="176"/>
      <c r="B275" s="176"/>
      <c r="C275" s="176"/>
      <c r="D275" s="176"/>
      <c r="E275" s="178"/>
    </row>
    <row r="276">
      <c r="A276" s="176"/>
      <c r="B276" s="176"/>
      <c r="C276" s="176"/>
      <c r="D276" s="176"/>
      <c r="E276" s="178"/>
    </row>
    <row r="277">
      <c r="A277" s="176"/>
      <c r="B277" s="176"/>
      <c r="C277" s="176"/>
      <c r="D277" s="176"/>
      <c r="E277" s="178"/>
    </row>
    <row r="278">
      <c r="A278" s="176"/>
      <c r="B278" s="176"/>
      <c r="C278" s="176"/>
      <c r="D278" s="176"/>
      <c r="E278" s="178"/>
    </row>
    <row r="279">
      <c r="A279" s="176"/>
      <c r="B279" s="176"/>
      <c r="C279" s="176"/>
      <c r="D279" s="176"/>
      <c r="E279" s="178"/>
    </row>
    <row r="280">
      <c r="A280" s="176"/>
      <c r="B280" s="176"/>
      <c r="C280" s="176"/>
      <c r="D280" s="176"/>
      <c r="E280" s="178"/>
    </row>
    <row r="281">
      <c r="A281" s="176"/>
      <c r="B281" s="176"/>
      <c r="C281" s="176"/>
      <c r="D281" s="176"/>
      <c r="E281" s="178"/>
    </row>
    <row r="282">
      <c r="A282" s="176"/>
      <c r="B282" s="176"/>
      <c r="C282" s="176"/>
      <c r="D282" s="176"/>
      <c r="E282" s="178"/>
    </row>
    <row r="283">
      <c r="A283" s="176"/>
      <c r="B283" s="176"/>
      <c r="C283" s="176"/>
      <c r="D283" s="176"/>
      <c r="E283" s="178"/>
    </row>
    <row r="284">
      <c r="A284" s="176"/>
      <c r="B284" s="176"/>
      <c r="C284" s="176"/>
      <c r="D284" s="176"/>
      <c r="E284" s="178"/>
    </row>
    <row r="285">
      <c r="A285" s="176"/>
      <c r="B285" s="176"/>
      <c r="C285" s="176"/>
      <c r="D285" s="176"/>
      <c r="E285" s="178"/>
    </row>
    <row r="286">
      <c r="A286" s="176"/>
      <c r="B286" s="176"/>
      <c r="C286" s="176"/>
      <c r="D286" s="176"/>
      <c r="E286" s="178"/>
    </row>
    <row r="287">
      <c r="A287" s="176"/>
      <c r="B287" s="176"/>
      <c r="C287" s="176"/>
      <c r="D287" s="176"/>
      <c r="E287" s="178"/>
    </row>
    <row r="288">
      <c r="A288" s="176"/>
      <c r="B288" s="176"/>
      <c r="C288" s="176"/>
      <c r="D288" s="176"/>
      <c r="E288" s="178"/>
    </row>
    <row r="289">
      <c r="A289" s="176"/>
      <c r="B289" s="176"/>
      <c r="C289" s="176"/>
      <c r="D289" s="176"/>
      <c r="E289" s="178"/>
    </row>
    <row r="290">
      <c r="A290" s="176"/>
      <c r="B290" s="176"/>
      <c r="C290" s="176"/>
      <c r="D290" s="176"/>
      <c r="E290" s="178"/>
    </row>
    <row r="291">
      <c r="A291" s="176"/>
      <c r="B291" s="176"/>
      <c r="C291" s="176"/>
      <c r="D291" s="176"/>
      <c r="E291" s="178"/>
    </row>
    <row r="292">
      <c r="A292" s="176"/>
      <c r="B292" s="176"/>
      <c r="C292" s="176"/>
      <c r="D292" s="176"/>
      <c r="E292" s="178"/>
    </row>
    <row r="293">
      <c r="A293" s="176"/>
      <c r="B293" s="176"/>
      <c r="C293" s="176"/>
      <c r="D293" s="176"/>
      <c r="E293" s="178"/>
    </row>
    <row r="294">
      <c r="A294" s="176"/>
      <c r="B294" s="176"/>
      <c r="C294" s="176"/>
      <c r="D294" s="176"/>
      <c r="E294" s="178"/>
    </row>
    <row r="295">
      <c r="A295" s="176"/>
      <c r="B295" s="176"/>
      <c r="C295" s="176"/>
      <c r="D295" s="176"/>
      <c r="E295" s="178"/>
    </row>
    <row r="296">
      <c r="A296" s="176"/>
      <c r="B296" s="176"/>
      <c r="C296" s="176"/>
      <c r="D296" s="176"/>
      <c r="E296" s="178"/>
    </row>
    <row r="297">
      <c r="A297" s="176"/>
      <c r="B297" s="176"/>
      <c r="C297" s="176"/>
      <c r="D297" s="176"/>
      <c r="E297" s="178"/>
    </row>
    <row r="298">
      <c r="A298" s="176"/>
      <c r="B298" s="176"/>
      <c r="C298" s="176"/>
      <c r="D298" s="176"/>
      <c r="E298" s="178"/>
    </row>
    <row r="299">
      <c r="A299" s="176"/>
      <c r="B299" s="176"/>
      <c r="C299" s="176"/>
      <c r="D299" s="176"/>
      <c r="E299" s="178"/>
    </row>
    <row r="300">
      <c r="A300" s="176"/>
      <c r="B300" s="176"/>
      <c r="C300" s="176"/>
      <c r="D300" s="176"/>
      <c r="E300" s="178"/>
    </row>
    <row r="301">
      <c r="A301" s="176"/>
      <c r="B301" s="176"/>
      <c r="C301" s="176"/>
      <c r="D301" s="176"/>
      <c r="E301" s="178"/>
    </row>
    <row r="302">
      <c r="A302" s="176"/>
      <c r="B302" s="176"/>
      <c r="C302" s="176"/>
      <c r="D302" s="176"/>
      <c r="E302" s="178"/>
    </row>
    <row r="303">
      <c r="A303" s="176"/>
      <c r="B303" s="176"/>
      <c r="C303" s="176"/>
      <c r="D303" s="176"/>
      <c r="E303" s="178"/>
    </row>
    <row r="304">
      <c r="A304" s="176"/>
      <c r="B304" s="176"/>
      <c r="C304" s="176"/>
      <c r="D304" s="176"/>
      <c r="E304" s="178"/>
    </row>
    <row r="305">
      <c r="A305" s="176"/>
      <c r="B305" s="176"/>
      <c r="C305" s="176"/>
      <c r="D305" s="176"/>
      <c r="E305" s="178"/>
    </row>
    <row r="306">
      <c r="A306" s="176"/>
      <c r="B306" s="176"/>
      <c r="C306" s="176"/>
      <c r="D306" s="176"/>
      <c r="E306" s="178"/>
    </row>
    <row r="307">
      <c r="A307" s="176"/>
      <c r="B307" s="176"/>
      <c r="C307" s="176"/>
      <c r="D307" s="176"/>
      <c r="E307" s="178"/>
    </row>
    <row r="308">
      <c r="A308" s="176"/>
      <c r="B308" s="176"/>
      <c r="C308" s="176"/>
      <c r="D308" s="176"/>
      <c r="E308" s="178"/>
    </row>
    <row r="309">
      <c r="A309" s="176"/>
      <c r="B309" s="176"/>
      <c r="C309" s="176"/>
      <c r="D309" s="176"/>
      <c r="E309" s="178"/>
    </row>
    <row r="310">
      <c r="A310" s="176"/>
      <c r="B310" s="176"/>
      <c r="C310" s="176"/>
      <c r="D310" s="176"/>
      <c r="E310" s="178"/>
    </row>
    <row r="311">
      <c r="A311" s="176"/>
      <c r="B311" s="176"/>
      <c r="C311" s="176"/>
      <c r="D311" s="176"/>
      <c r="E311" s="178"/>
    </row>
    <row r="312">
      <c r="A312" s="176"/>
      <c r="B312" s="176"/>
      <c r="C312" s="176"/>
      <c r="D312" s="176"/>
      <c r="E312" s="178"/>
    </row>
    <row r="313">
      <c r="A313" s="176"/>
      <c r="B313" s="176"/>
      <c r="C313" s="176"/>
      <c r="D313" s="176"/>
      <c r="E313" s="178"/>
    </row>
    <row r="314">
      <c r="A314" s="176"/>
      <c r="B314" s="176"/>
      <c r="C314" s="176"/>
      <c r="D314" s="176"/>
      <c r="E314" s="178"/>
    </row>
    <row r="315">
      <c r="A315" s="176"/>
      <c r="B315" s="176"/>
      <c r="C315" s="176"/>
      <c r="D315" s="176"/>
      <c r="E315" s="178"/>
    </row>
    <row r="316">
      <c r="A316" s="176"/>
      <c r="B316" s="176"/>
      <c r="C316" s="176"/>
      <c r="D316" s="176"/>
      <c r="E316" s="178"/>
    </row>
    <row r="317">
      <c r="A317" s="176"/>
      <c r="B317" s="176"/>
      <c r="C317" s="176"/>
      <c r="D317" s="176"/>
      <c r="E317" s="178"/>
    </row>
    <row r="318">
      <c r="A318" s="176"/>
      <c r="B318" s="176"/>
      <c r="C318" s="176"/>
      <c r="D318" s="176"/>
      <c r="E318" s="178"/>
    </row>
    <row r="319">
      <c r="A319" s="176"/>
      <c r="B319" s="176"/>
      <c r="C319" s="176"/>
      <c r="D319" s="176"/>
      <c r="E319" s="178"/>
    </row>
    <row r="320">
      <c r="A320" s="176"/>
      <c r="B320" s="176"/>
      <c r="C320" s="176"/>
      <c r="D320" s="176"/>
      <c r="E320" s="178"/>
    </row>
    <row r="321">
      <c r="A321" s="176"/>
      <c r="B321" s="176"/>
      <c r="C321" s="176"/>
      <c r="D321" s="176"/>
      <c r="E321" s="178"/>
    </row>
    <row r="322">
      <c r="A322" s="176"/>
      <c r="B322" s="176"/>
      <c r="C322" s="176"/>
      <c r="D322" s="176"/>
      <c r="E322" s="178"/>
    </row>
    <row r="323">
      <c r="A323" s="176"/>
      <c r="B323" s="176"/>
      <c r="C323" s="176"/>
      <c r="D323" s="176"/>
      <c r="E323" s="178"/>
    </row>
    <row r="324">
      <c r="A324" s="176"/>
      <c r="B324" s="176"/>
      <c r="C324" s="176"/>
      <c r="D324" s="176"/>
      <c r="E324" s="178"/>
    </row>
    <row r="325">
      <c r="A325" s="176"/>
      <c r="B325" s="176"/>
      <c r="C325" s="176"/>
      <c r="D325" s="176"/>
      <c r="E325" s="178"/>
    </row>
    <row r="326">
      <c r="A326" s="176"/>
      <c r="B326" s="176"/>
      <c r="C326" s="176"/>
      <c r="D326" s="176"/>
      <c r="E326" s="178"/>
    </row>
    <row r="327">
      <c r="A327" s="176"/>
      <c r="B327" s="176"/>
      <c r="C327" s="176"/>
      <c r="D327" s="176"/>
      <c r="E327" s="178"/>
    </row>
    <row r="328">
      <c r="A328" s="176"/>
      <c r="B328" s="176"/>
      <c r="C328" s="176"/>
      <c r="D328" s="176"/>
      <c r="E328" s="178"/>
    </row>
    <row r="329">
      <c r="A329" s="176"/>
      <c r="B329" s="176"/>
      <c r="C329" s="176"/>
      <c r="D329" s="176"/>
      <c r="E329" s="178"/>
    </row>
    <row r="330">
      <c r="A330" s="176"/>
      <c r="B330" s="176"/>
      <c r="C330" s="176"/>
      <c r="D330" s="176"/>
      <c r="E330" s="178"/>
    </row>
    <row r="331">
      <c r="A331" s="176"/>
      <c r="B331" s="176"/>
      <c r="C331" s="176"/>
      <c r="D331" s="176"/>
      <c r="E331" s="178"/>
    </row>
    <row r="332">
      <c r="A332" s="176"/>
      <c r="B332" s="176"/>
      <c r="C332" s="176"/>
      <c r="D332" s="176"/>
      <c r="E332" s="178"/>
    </row>
    <row r="333">
      <c r="A333" s="176"/>
      <c r="B333" s="176"/>
      <c r="C333" s="176"/>
      <c r="D333" s="176"/>
      <c r="E333" s="178"/>
    </row>
    <row r="334">
      <c r="A334" s="176"/>
      <c r="B334" s="176"/>
      <c r="C334" s="176"/>
      <c r="D334" s="176"/>
      <c r="E334" s="178"/>
    </row>
    <row r="335">
      <c r="A335" s="176"/>
      <c r="B335" s="176"/>
      <c r="C335" s="176"/>
      <c r="D335" s="176"/>
      <c r="E335" s="178"/>
    </row>
    <row r="336">
      <c r="A336" s="176"/>
      <c r="B336" s="176"/>
      <c r="C336" s="176"/>
      <c r="D336" s="176"/>
      <c r="E336" s="178"/>
    </row>
    <row r="337">
      <c r="A337" s="176"/>
      <c r="B337" s="176"/>
      <c r="C337" s="176"/>
      <c r="D337" s="176"/>
      <c r="E337" s="178"/>
    </row>
    <row r="338">
      <c r="A338" s="176"/>
      <c r="B338" s="176"/>
      <c r="C338" s="176"/>
      <c r="D338" s="176"/>
      <c r="E338" s="178"/>
    </row>
    <row r="339">
      <c r="A339" s="176"/>
      <c r="B339" s="176"/>
      <c r="C339" s="176"/>
      <c r="D339" s="176"/>
      <c r="E339" s="178"/>
    </row>
    <row r="340">
      <c r="A340" s="176"/>
      <c r="B340" s="176"/>
      <c r="C340" s="176"/>
      <c r="D340" s="176"/>
      <c r="E340" s="178"/>
    </row>
    <row r="341">
      <c r="A341" s="176"/>
      <c r="B341" s="176"/>
      <c r="C341" s="176"/>
      <c r="D341" s="176"/>
      <c r="E341" s="178"/>
    </row>
    <row r="342">
      <c r="A342" s="176"/>
      <c r="B342" s="176"/>
      <c r="C342" s="176"/>
      <c r="D342" s="176"/>
      <c r="E342" s="178"/>
    </row>
    <row r="343">
      <c r="A343" s="176"/>
      <c r="B343" s="176"/>
      <c r="C343" s="176"/>
      <c r="D343" s="176"/>
      <c r="E343" s="178"/>
    </row>
    <row r="344">
      <c r="A344" s="176"/>
      <c r="B344" s="176"/>
      <c r="C344" s="176"/>
      <c r="D344" s="176"/>
      <c r="E344" s="178"/>
    </row>
    <row r="345">
      <c r="A345" s="176"/>
      <c r="B345" s="176"/>
      <c r="C345" s="176"/>
      <c r="D345" s="176"/>
      <c r="E345" s="178"/>
    </row>
    <row r="346">
      <c r="A346" s="176"/>
      <c r="B346" s="176"/>
      <c r="C346" s="176"/>
      <c r="D346" s="176"/>
      <c r="E346" s="178"/>
    </row>
    <row r="347">
      <c r="A347" s="176"/>
      <c r="B347" s="176"/>
      <c r="C347" s="176"/>
      <c r="D347" s="176"/>
      <c r="E347" s="178"/>
    </row>
    <row r="348">
      <c r="A348" s="176"/>
      <c r="B348" s="176"/>
      <c r="C348" s="176"/>
      <c r="D348" s="176"/>
      <c r="E348" s="178"/>
    </row>
    <row r="349">
      <c r="A349" s="176"/>
      <c r="B349" s="176"/>
      <c r="C349" s="176"/>
      <c r="D349" s="176"/>
      <c r="E349" s="178"/>
    </row>
    <row r="350">
      <c r="A350" s="176"/>
      <c r="B350" s="176"/>
      <c r="C350" s="176"/>
      <c r="D350" s="176"/>
      <c r="E350" s="178"/>
    </row>
    <row r="351">
      <c r="A351" s="176"/>
      <c r="B351" s="176"/>
      <c r="C351" s="176"/>
      <c r="D351" s="176"/>
      <c r="E351" s="178"/>
    </row>
    <row r="352">
      <c r="A352" s="176"/>
      <c r="B352" s="176"/>
      <c r="C352" s="176"/>
      <c r="D352" s="176"/>
      <c r="E352" s="178"/>
    </row>
    <row r="353">
      <c r="A353" s="176"/>
      <c r="B353" s="176"/>
      <c r="C353" s="176"/>
      <c r="D353" s="176"/>
      <c r="E353" s="178"/>
    </row>
    <row r="354">
      <c r="A354" s="176"/>
      <c r="B354" s="176"/>
      <c r="C354" s="176"/>
      <c r="D354" s="176"/>
      <c r="E354" s="178"/>
    </row>
    <row r="355">
      <c r="A355" s="176"/>
      <c r="B355" s="176"/>
      <c r="C355" s="176"/>
      <c r="D355" s="176"/>
      <c r="E355" s="178"/>
    </row>
    <row r="356">
      <c r="A356" s="176"/>
      <c r="B356" s="176"/>
      <c r="C356" s="176"/>
      <c r="D356" s="176"/>
      <c r="E356" s="178"/>
    </row>
    <row r="357">
      <c r="A357" s="176"/>
      <c r="B357" s="176"/>
      <c r="C357" s="176"/>
      <c r="D357" s="176"/>
      <c r="E357" s="178"/>
    </row>
    <row r="358">
      <c r="A358" s="176"/>
      <c r="B358" s="176"/>
      <c r="C358" s="176"/>
      <c r="D358" s="176"/>
      <c r="E358" s="178"/>
    </row>
    <row r="359">
      <c r="A359" s="176"/>
      <c r="B359" s="176"/>
      <c r="C359" s="176"/>
      <c r="D359" s="176"/>
      <c r="E359" s="178"/>
    </row>
    <row r="360">
      <c r="A360" s="176"/>
      <c r="B360" s="176"/>
      <c r="C360" s="176"/>
      <c r="D360" s="176"/>
      <c r="E360" s="178"/>
    </row>
    <row r="361">
      <c r="A361" s="176"/>
      <c r="B361" s="176"/>
      <c r="C361" s="176"/>
      <c r="D361" s="176"/>
      <c r="E361" s="178"/>
    </row>
    <row r="362">
      <c r="A362" s="176"/>
      <c r="B362" s="176"/>
      <c r="C362" s="176"/>
      <c r="D362" s="176"/>
      <c r="E362" s="178"/>
    </row>
    <row r="363">
      <c r="A363" s="176"/>
      <c r="B363" s="176"/>
      <c r="C363" s="176"/>
      <c r="D363" s="176"/>
      <c r="E363" s="178"/>
    </row>
    <row r="364">
      <c r="A364" s="176"/>
      <c r="B364" s="176"/>
      <c r="C364" s="176"/>
      <c r="D364" s="176"/>
      <c r="E364" s="178"/>
    </row>
    <row r="365">
      <c r="A365" s="176"/>
      <c r="B365" s="176"/>
      <c r="C365" s="176"/>
      <c r="D365" s="176"/>
      <c r="E365" s="178"/>
    </row>
    <row r="366">
      <c r="A366" s="176"/>
      <c r="B366" s="176"/>
      <c r="C366" s="176"/>
      <c r="D366" s="176"/>
      <c r="E366" s="178"/>
    </row>
    <row r="367">
      <c r="A367" s="176"/>
      <c r="B367" s="176"/>
      <c r="C367" s="176"/>
      <c r="D367" s="176"/>
      <c r="E367" s="178"/>
    </row>
    <row r="368">
      <c r="A368" s="176"/>
      <c r="B368" s="176"/>
      <c r="C368" s="176"/>
      <c r="D368" s="176"/>
      <c r="E368" s="178"/>
    </row>
    <row r="369">
      <c r="A369" s="176"/>
      <c r="B369" s="176"/>
      <c r="C369" s="176"/>
      <c r="D369" s="176"/>
      <c r="E369" s="178"/>
    </row>
    <row r="370">
      <c r="A370" s="176"/>
      <c r="B370" s="176"/>
      <c r="C370" s="176"/>
      <c r="D370" s="176"/>
      <c r="E370" s="178"/>
    </row>
    <row r="371">
      <c r="A371" s="176"/>
      <c r="B371" s="176"/>
      <c r="C371" s="176"/>
      <c r="D371" s="176"/>
      <c r="E371" s="178"/>
    </row>
    <row r="372">
      <c r="A372" s="176"/>
      <c r="B372" s="176"/>
      <c r="C372" s="176"/>
      <c r="D372" s="176"/>
      <c r="E372" s="178"/>
    </row>
    <row r="373">
      <c r="A373" s="176"/>
      <c r="B373" s="176"/>
      <c r="C373" s="176"/>
      <c r="D373" s="176"/>
      <c r="E373" s="178"/>
    </row>
    <row r="374">
      <c r="A374" s="176"/>
      <c r="B374" s="176"/>
      <c r="C374" s="176"/>
      <c r="D374" s="176"/>
      <c r="E374" s="178"/>
    </row>
    <row r="375">
      <c r="A375" s="176"/>
      <c r="B375" s="176"/>
      <c r="C375" s="176"/>
      <c r="D375" s="176"/>
      <c r="E375" s="178"/>
    </row>
    <row r="376">
      <c r="A376" s="176"/>
      <c r="B376" s="176"/>
      <c r="C376" s="176"/>
      <c r="D376" s="176"/>
      <c r="E376" s="178"/>
    </row>
    <row r="377">
      <c r="A377" s="176"/>
      <c r="B377" s="176"/>
      <c r="C377" s="176"/>
      <c r="D377" s="176"/>
      <c r="E377" s="178"/>
    </row>
    <row r="378">
      <c r="A378" s="176"/>
      <c r="B378" s="176"/>
      <c r="C378" s="176"/>
      <c r="D378" s="176"/>
      <c r="E378" s="178"/>
    </row>
    <row r="379">
      <c r="A379" s="176"/>
      <c r="B379" s="176"/>
      <c r="C379" s="176"/>
      <c r="D379" s="176"/>
      <c r="E379" s="178"/>
    </row>
    <row r="380">
      <c r="A380" s="176"/>
      <c r="B380" s="176"/>
      <c r="C380" s="176"/>
      <c r="D380" s="176"/>
      <c r="E380" s="178"/>
    </row>
    <row r="381">
      <c r="A381" s="176"/>
      <c r="B381" s="176"/>
      <c r="C381" s="176"/>
      <c r="D381" s="176"/>
      <c r="E381" s="178"/>
    </row>
    <row r="382">
      <c r="A382" s="176"/>
      <c r="B382" s="176"/>
      <c r="C382" s="176"/>
      <c r="D382" s="176"/>
      <c r="E382" s="178"/>
    </row>
    <row r="383">
      <c r="A383" s="176"/>
      <c r="B383" s="176"/>
      <c r="C383" s="176"/>
      <c r="D383" s="176"/>
      <c r="E383" s="178"/>
    </row>
    <row r="384">
      <c r="A384" s="176"/>
      <c r="B384" s="176"/>
      <c r="C384" s="176"/>
      <c r="D384" s="176"/>
      <c r="E384" s="178"/>
    </row>
    <row r="385">
      <c r="A385" s="176"/>
      <c r="B385" s="176"/>
      <c r="C385" s="176"/>
      <c r="D385" s="176"/>
      <c r="E385" s="178"/>
    </row>
    <row r="386">
      <c r="A386" s="176"/>
      <c r="B386" s="176"/>
      <c r="C386" s="176"/>
      <c r="D386" s="176"/>
      <c r="E386" s="178"/>
    </row>
    <row r="387">
      <c r="A387" s="176"/>
      <c r="B387" s="176"/>
      <c r="C387" s="176"/>
      <c r="D387" s="176"/>
      <c r="E387" s="178"/>
    </row>
    <row r="388">
      <c r="A388" s="176"/>
      <c r="B388" s="176"/>
      <c r="C388" s="176"/>
      <c r="D388" s="176"/>
      <c r="E388" s="178"/>
    </row>
    <row r="389">
      <c r="A389" s="176"/>
      <c r="B389" s="176"/>
      <c r="C389" s="176"/>
      <c r="D389" s="176"/>
      <c r="E389" s="178"/>
    </row>
    <row r="390">
      <c r="A390" s="176"/>
      <c r="B390" s="176"/>
      <c r="C390" s="176"/>
      <c r="D390" s="176"/>
      <c r="E390" s="178"/>
    </row>
    <row r="391">
      <c r="A391" s="176"/>
      <c r="B391" s="176"/>
      <c r="C391" s="176"/>
      <c r="D391" s="176"/>
      <c r="E391" s="178"/>
    </row>
    <row r="392">
      <c r="A392" s="176"/>
      <c r="B392" s="176"/>
      <c r="C392" s="176"/>
      <c r="D392" s="176"/>
      <c r="E392" s="178"/>
    </row>
    <row r="393">
      <c r="A393" s="176"/>
      <c r="B393" s="176"/>
      <c r="C393" s="176"/>
      <c r="D393" s="176"/>
      <c r="E393" s="178"/>
    </row>
    <row r="394">
      <c r="A394" s="176"/>
      <c r="B394" s="176"/>
      <c r="C394" s="176"/>
      <c r="D394" s="176"/>
      <c r="E394" s="178"/>
    </row>
    <row r="395">
      <c r="A395" s="176"/>
      <c r="B395" s="176"/>
      <c r="C395" s="176"/>
      <c r="D395" s="176"/>
      <c r="E395" s="178"/>
    </row>
    <row r="396">
      <c r="A396" s="176"/>
      <c r="B396" s="176"/>
      <c r="C396" s="176"/>
      <c r="D396" s="176"/>
      <c r="E396" s="178"/>
    </row>
    <row r="397">
      <c r="A397" s="176"/>
      <c r="B397" s="176"/>
      <c r="C397" s="176"/>
      <c r="D397" s="176"/>
      <c r="E397" s="178"/>
    </row>
    <row r="398">
      <c r="A398" s="176"/>
      <c r="B398" s="176"/>
      <c r="C398" s="176"/>
      <c r="D398" s="176"/>
      <c r="E398" s="178"/>
    </row>
    <row r="399">
      <c r="A399" s="176"/>
      <c r="B399" s="176"/>
      <c r="C399" s="176"/>
      <c r="D399" s="176"/>
      <c r="E399" s="178"/>
    </row>
    <row r="400">
      <c r="A400" s="176"/>
      <c r="B400" s="176"/>
      <c r="C400" s="176"/>
      <c r="D400" s="176"/>
      <c r="E400" s="178"/>
    </row>
    <row r="401">
      <c r="A401" s="176"/>
      <c r="B401" s="176"/>
      <c r="C401" s="176"/>
      <c r="D401" s="176"/>
      <c r="E401" s="178"/>
    </row>
    <row r="402">
      <c r="A402" s="176"/>
      <c r="B402" s="176"/>
      <c r="C402" s="176"/>
      <c r="D402" s="176"/>
      <c r="E402" s="178"/>
    </row>
    <row r="403">
      <c r="A403" s="176"/>
      <c r="B403" s="176"/>
      <c r="C403" s="176"/>
      <c r="D403" s="176"/>
      <c r="E403" s="178"/>
    </row>
    <row r="404">
      <c r="A404" s="176"/>
      <c r="B404" s="176"/>
      <c r="C404" s="176"/>
      <c r="D404" s="176"/>
      <c r="E404" s="178"/>
    </row>
    <row r="405">
      <c r="A405" s="176"/>
      <c r="B405" s="176"/>
      <c r="C405" s="176"/>
      <c r="D405" s="176"/>
      <c r="E405" s="178"/>
    </row>
    <row r="406">
      <c r="A406" s="176"/>
      <c r="B406" s="176"/>
      <c r="C406" s="176"/>
      <c r="D406" s="176"/>
      <c r="E406" s="178"/>
    </row>
    <row r="407">
      <c r="A407" s="176"/>
      <c r="B407" s="176"/>
      <c r="C407" s="176"/>
      <c r="D407" s="176"/>
      <c r="E407" s="178"/>
    </row>
    <row r="408">
      <c r="A408" s="176"/>
      <c r="B408" s="176"/>
      <c r="C408" s="176"/>
      <c r="D408" s="176"/>
      <c r="E408" s="178"/>
    </row>
    <row r="409">
      <c r="A409" s="176"/>
      <c r="B409" s="176"/>
      <c r="C409" s="176"/>
      <c r="D409" s="176"/>
      <c r="E409" s="178"/>
    </row>
    <row r="410">
      <c r="A410" s="176"/>
      <c r="B410" s="176"/>
      <c r="C410" s="176"/>
      <c r="D410" s="176"/>
      <c r="E410" s="178"/>
    </row>
    <row r="411">
      <c r="A411" s="176"/>
      <c r="B411" s="176"/>
      <c r="C411" s="176"/>
      <c r="D411" s="176"/>
      <c r="E411" s="178"/>
    </row>
    <row r="412">
      <c r="A412" s="176"/>
      <c r="B412" s="176"/>
      <c r="C412" s="176"/>
      <c r="D412" s="176"/>
      <c r="E412" s="178"/>
    </row>
    <row r="413">
      <c r="A413" s="176"/>
      <c r="B413" s="176"/>
      <c r="C413" s="176"/>
      <c r="D413" s="176"/>
      <c r="E413" s="178"/>
    </row>
    <row r="414">
      <c r="A414" s="176"/>
      <c r="B414" s="176"/>
      <c r="C414" s="176"/>
      <c r="D414" s="176"/>
      <c r="E414" s="178"/>
    </row>
    <row r="415">
      <c r="A415" s="176"/>
      <c r="B415" s="176"/>
      <c r="C415" s="176"/>
      <c r="D415" s="176"/>
      <c r="E415" s="178"/>
    </row>
    <row r="416">
      <c r="A416" s="176"/>
      <c r="B416" s="176"/>
      <c r="C416" s="176"/>
      <c r="D416" s="176"/>
      <c r="E416" s="178"/>
    </row>
    <row r="417">
      <c r="A417" s="176"/>
      <c r="B417" s="176"/>
      <c r="C417" s="176"/>
      <c r="D417" s="176"/>
      <c r="E417" s="178"/>
    </row>
    <row r="418">
      <c r="A418" s="176"/>
      <c r="B418" s="176"/>
      <c r="C418" s="176"/>
      <c r="D418" s="176"/>
      <c r="E418" s="178"/>
    </row>
    <row r="419">
      <c r="A419" s="176"/>
      <c r="B419" s="176"/>
      <c r="C419" s="176"/>
      <c r="D419" s="176"/>
      <c r="E419" s="178"/>
    </row>
    <row r="420">
      <c r="A420" s="176"/>
      <c r="B420" s="176"/>
      <c r="C420" s="176"/>
      <c r="D420" s="176"/>
      <c r="E420" s="178"/>
    </row>
    <row r="421">
      <c r="A421" s="176"/>
      <c r="B421" s="176"/>
      <c r="C421" s="176"/>
      <c r="D421" s="176"/>
      <c r="E421" s="178"/>
    </row>
    <row r="422">
      <c r="A422" s="176"/>
      <c r="B422" s="176"/>
      <c r="C422" s="176"/>
      <c r="D422" s="176"/>
      <c r="E422" s="178"/>
    </row>
    <row r="423">
      <c r="A423" s="176"/>
      <c r="B423" s="176"/>
      <c r="C423" s="176"/>
      <c r="D423" s="176"/>
      <c r="E423" s="178"/>
    </row>
    <row r="424">
      <c r="A424" s="176"/>
      <c r="B424" s="176"/>
      <c r="C424" s="176"/>
      <c r="D424" s="176"/>
      <c r="E424" s="178"/>
    </row>
    <row r="425">
      <c r="A425" s="176"/>
      <c r="B425" s="176"/>
      <c r="C425" s="176"/>
      <c r="D425" s="176"/>
      <c r="E425" s="178"/>
    </row>
    <row r="426">
      <c r="A426" s="176"/>
      <c r="B426" s="176"/>
      <c r="C426" s="176"/>
      <c r="D426" s="176"/>
      <c r="E426" s="178"/>
    </row>
    <row r="427">
      <c r="A427" s="176"/>
      <c r="B427" s="176"/>
      <c r="C427" s="176"/>
      <c r="D427" s="176"/>
      <c r="E427" s="178"/>
    </row>
    <row r="428">
      <c r="A428" s="176"/>
      <c r="B428" s="176"/>
      <c r="C428" s="176"/>
      <c r="D428" s="176"/>
      <c r="E428" s="178"/>
    </row>
    <row r="429">
      <c r="A429" s="176"/>
      <c r="B429" s="176"/>
      <c r="C429" s="176"/>
      <c r="D429" s="176"/>
      <c r="E429" s="178"/>
    </row>
    <row r="430">
      <c r="A430" s="176"/>
      <c r="B430" s="176"/>
      <c r="C430" s="176"/>
      <c r="D430" s="176"/>
      <c r="E430" s="178"/>
    </row>
    <row r="431">
      <c r="A431" s="176"/>
      <c r="B431" s="176"/>
      <c r="C431" s="176"/>
      <c r="D431" s="176"/>
      <c r="E431" s="178"/>
    </row>
    <row r="432">
      <c r="A432" s="176"/>
      <c r="B432" s="176"/>
      <c r="C432" s="176"/>
      <c r="D432" s="176"/>
      <c r="E432" s="178"/>
    </row>
    <row r="433">
      <c r="A433" s="176"/>
      <c r="B433" s="176"/>
      <c r="C433" s="176"/>
      <c r="D433" s="176"/>
      <c r="E433" s="178"/>
    </row>
    <row r="434">
      <c r="A434" s="176"/>
      <c r="B434" s="176"/>
      <c r="C434" s="176"/>
      <c r="D434" s="176"/>
      <c r="E434" s="178"/>
    </row>
    <row r="435">
      <c r="A435" s="176"/>
      <c r="B435" s="176"/>
      <c r="C435" s="176"/>
      <c r="D435" s="176"/>
      <c r="E435" s="178"/>
    </row>
    <row r="436">
      <c r="A436" s="176"/>
      <c r="B436" s="176"/>
      <c r="C436" s="176"/>
      <c r="D436" s="176"/>
      <c r="E436" s="178"/>
    </row>
    <row r="437">
      <c r="A437" s="176"/>
      <c r="B437" s="176"/>
      <c r="C437" s="176"/>
      <c r="D437" s="176"/>
      <c r="E437" s="178"/>
    </row>
    <row r="438">
      <c r="A438" s="176"/>
      <c r="B438" s="176"/>
      <c r="C438" s="176"/>
      <c r="D438" s="176"/>
      <c r="E438" s="178"/>
    </row>
    <row r="439">
      <c r="A439" s="176"/>
      <c r="B439" s="176"/>
      <c r="C439" s="176"/>
      <c r="D439" s="176"/>
      <c r="E439" s="178"/>
    </row>
    <row r="440">
      <c r="A440" s="176"/>
      <c r="B440" s="176"/>
      <c r="C440" s="176"/>
      <c r="D440" s="176"/>
      <c r="E440" s="178"/>
    </row>
    <row r="441">
      <c r="A441" s="176"/>
      <c r="B441" s="176"/>
      <c r="C441" s="176"/>
      <c r="D441" s="176"/>
      <c r="E441" s="178"/>
    </row>
    <row r="442">
      <c r="A442" s="176"/>
      <c r="B442" s="176"/>
      <c r="C442" s="176"/>
      <c r="D442" s="176"/>
      <c r="E442" s="178"/>
    </row>
    <row r="443">
      <c r="A443" s="176"/>
      <c r="B443" s="176"/>
      <c r="C443" s="176"/>
      <c r="D443" s="176"/>
      <c r="E443" s="178"/>
    </row>
    <row r="444">
      <c r="A444" s="176"/>
      <c r="B444" s="176"/>
      <c r="C444" s="176"/>
      <c r="D444" s="176"/>
      <c r="E444" s="178"/>
    </row>
    <row r="445">
      <c r="A445" s="176"/>
      <c r="B445" s="176"/>
      <c r="C445" s="176"/>
      <c r="D445" s="176"/>
      <c r="E445" s="178"/>
    </row>
    <row r="446">
      <c r="A446" s="176"/>
      <c r="B446" s="176"/>
      <c r="C446" s="176"/>
      <c r="D446" s="176"/>
      <c r="E446" s="178"/>
    </row>
    <row r="447">
      <c r="A447" s="176"/>
      <c r="B447" s="176"/>
      <c r="C447" s="176"/>
      <c r="D447" s="176"/>
      <c r="E447" s="178"/>
    </row>
    <row r="448">
      <c r="A448" s="176"/>
      <c r="B448" s="176"/>
      <c r="C448" s="176"/>
      <c r="D448" s="176"/>
      <c r="E448" s="178"/>
    </row>
    <row r="449">
      <c r="A449" s="176"/>
      <c r="B449" s="176"/>
      <c r="C449" s="176"/>
      <c r="D449" s="176"/>
      <c r="E449" s="178"/>
    </row>
    <row r="450">
      <c r="A450" s="176"/>
      <c r="B450" s="176"/>
      <c r="C450" s="176"/>
      <c r="D450" s="176"/>
      <c r="E450" s="178"/>
    </row>
    <row r="451">
      <c r="A451" s="176"/>
      <c r="B451" s="176"/>
      <c r="C451" s="176"/>
      <c r="D451" s="176"/>
      <c r="E451" s="178"/>
    </row>
    <row r="452">
      <c r="A452" s="176"/>
      <c r="B452" s="176"/>
      <c r="C452" s="176"/>
      <c r="D452" s="176"/>
      <c r="E452" s="178"/>
    </row>
    <row r="453">
      <c r="A453" s="176"/>
      <c r="B453" s="176"/>
      <c r="C453" s="176"/>
      <c r="D453" s="176"/>
      <c r="E453" s="178"/>
    </row>
    <row r="454">
      <c r="A454" s="176"/>
      <c r="B454" s="176"/>
      <c r="C454" s="176"/>
      <c r="D454" s="176"/>
      <c r="E454" s="178"/>
    </row>
    <row r="455">
      <c r="A455" s="176"/>
      <c r="B455" s="176"/>
      <c r="C455" s="176"/>
      <c r="D455" s="176"/>
      <c r="E455" s="178"/>
    </row>
    <row r="456">
      <c r="A456" s="176"/>
      <c r="B456" s="176"/>
      <c r="C456" s="176"/>
      <c r="D456" s="176"/>
      <c r="E456" s="178"/>
    </row>
    <row r="457">
      <c r="A457" s="176"/>
      <c r="B457" s="176"/>
      <c r="C457" s="176"/>
      <c r="D457" s="176"/>
      <c r="E457" s="178"/>
    </row>
    <row r="458">
      <c r="A458" s="176"/>
      <c r="B458" s="176"/>
      <c r="C458" s="176"/>
      <c r="D458" s="176"/>
      <c r="E458" s="178"/>
    </row>
    <row r="459">
      <c r="A459" s="176"/>
      <c r="B459" s="176"/>
      <c r="C459" s="176"/>
      <c r="D459" s="176"/>
      <c r="E459" s="178"/>
    </row>
    <row r="460">
      <c r="A460" s="176"/>
      <c r="B460" s="176"/>
      <c r="C460" s="176"/>
      <c r="D460" s="176"/>
      <c r="E460" s="178"/>
    </row>
    <row r="461">
      <c r="A461" s="176"/>
      <c r="B461" s="176"/>
      <c r="C461" s="176"/>
      <c r="D461" s="176"/>
      <c r="E461" s="178"/>
    </row>
    <row r="462">
      <c r="A462" s="176"/>
      <c r="B462" s="176"/>
      <c r="C462" s="176"/>
      <c r="D462" s="176"/>
      <c r="E462" s="178"/>
    </row>
    <row r="463">
      <c r="A463" s="176"/>
      <c r="B463" s="176"/>
      <c r="C463" s="176"/>
      <c r="D463" s="176"/>
      <c r="E463" s="178"/>
    </row>
    <row r="464">
      <c r="A464" s="176"/>
      <c r="B464" s="176"/>
      <c r="C464" s="176"/>
      <c r="D464" s="176"/>
      <c r="E464" s="178"/>
    </row>
    <row r="465">
      <c r="A465" s="176"/>
      <c r="B465" s="176"/>
      <c r="C465" s="176"/>
      <c r="D465" s="176"/>
      <c r="E465" s="178"/>
    </row>
    <row r="466">
      <c r="A466" s="176"/>
      <c r="B466" s="176"/>
      <c r="C466" s="176"/>
      <c r="D466" s="176"/>
      <c r="E466" s="178"/>
    </row>
    <row r="467">
      <c r="A467" s="176"/>
      <c r="B467" s="176"/>
      <c r="C467" s="176"/>
      <c r="D467" s="176"/>
      <c r="E467" s="178"/>
    </row>
    <row r="468">
      <c r="A468" s="176"/>
      <c r="B468" s="176"/>
      <c r="C468" s="176"/>
      <c r="D468" s="176"/>
      <c r="E468" s="178"/>
    </row>
    <row r="469">
      <c r="A469" s="176"/>
      <c r="B469" s="176"/>
      <c r="C469" s="176"/>
      <c r="D469" s="176"/>
      <c r="E469" s="178"/>
    </row>
    <row r="470">
      <c r="A470" s="176"/>
      <c r="B470" s="176"/>
      <c r="C470" s="176"/>
      <c r="D470" s="176"/>
      <c r="E470" s="178"/>
    </row>
    <row r="471">
      <c r="A471" s="176"/>
      <c r="B471" s="176"/>
      <c r="C471" s="176"/>
      <c r="D471" s="176"/>
      <c r="E471" s="178"/>
    </row>
    <row r="472">
      <c r="A472" s="176"/>
      <c r="B472" s="176"/>
      <c r="C472" s="176"/>
      <c r="D472" s="176"/>
      <c r="E472" s="178"/>
    </row>
    <row r="473">
      <c r="A473" s="176"/>
      <c r="B473" s="176"/>
      <c r="C473" s="176"/>
      <c r="D473" s="176"/>
      <c r="E473" s="178"/>
    </row>
    <row r="474">
      <c r="A474" s="176"/>
      <c r="B474" s="176"/>
      <c r="C474" s="176"/>
      <c r="D474" s="176"/>
      <c r="E474" s="178"/>
    </row>
    <row r="475">
      <c r="A475" s="176"/>
      <c r="B475" s="176"/>
      <c r="C475" s="176"/>
      <c r="D475" s="176"/>
      <c r="E475" s="178"/>
    </row>
    <row r="476">
      <c r="A476" s="176"/>
      <c r="B476" s="176"/>
      <c r="C476" s="176"/>
      <c r="D476" s="176"/>
      <c r="E476" s="178"/>
    </row>
    <row r="477">
      <c r="A477" s="176"/>
      <c r="B477" s="176"/>
      <c r="C477" s="176"/>
      <c r="D477" s="176"/>
      <c r="E477" s="178"/>
    </row>
    <row r="478">
      <c r="A478" s="176"/>
      <c r="B478" s="176"/>
      <c r="C478" s="176"/>
      <c r="D478" s="176"/>
      <c r="E478" s="178"/>
    </row>
    <row r="479">
      <c r="A479" s="176"/>
      <c r="B479" s="176"/>
      <c r="C479" s="176"/>
      <c r="D479" s="176"/>
      <c r="E479" s="178"/>
    </row>
    <row r="480">
      <c r="A480" s="176"/>
      <c r="B480" s="176"/>
      <c r="C480" s="176"/>
      <c r="D480" s="176"/>
      <c r="E480" s="178"/>
    </row>
    <row r="481">
      <c r="A481" s="176"/>
      <c r="B481" s="176"/>
      <c r="C481" s="176"/>
      <c r="D481" s="176"/>
      <c r="E481" s="178"/>
    </row>
    <row r="482">
      <c r="A482" s="176"/>
      <c r="B482" s="176"/>
      <c r="C482" s="176"/>
      <c r="D482" s="176"/>
      <c r="E482" s="178"/>
    </row>
    <row r="483">
      <c r="A483" s="176"/>
      <c r="B483" s="176"/>
      <c r="C483" s="176"/>
      <c r="D483" s="176"/>
      <c r="E483" s="178"/>
    </row>
    <row r="484">
      <c r="A484" s="176"/>
      <c r="B484" s="176"/>
      <c r="C484" s="176"/>
      <c r="D484" s="176"/>
      <c r="E484" s="178"/>
    </row>
    <row r="485">
      <c r="A485" s="176"/>
      <c r="B485" s="176"/>
      <c r="C485" s="176"/>
      <c r="D485" s="176"/>
      <c r="E485" s="178"/>
    </row>
    <row r="486">
      <c r="A486" s="176"/>
      <c r="B486" s="176"/>
      <c r="C486" s="176"/>
      <c r="D486" s="176"/>
      <c r="E486" s="178"/>
    </row>
    <row r="487">
      <c r="A487" s="176"/>
      <c r="B487" s="176"/>
      <c r="C487" s="176"/>
      <c r="D487" s="176"/>
      <c r="E487" s="178"/>
    </row>
    <row r="488">
      <c r="A488" s="176"/>
      <c r="B488" s="176"/>
      <c r="C488" s="176"/>
      <c r="D488" s="176"/>
      <c r="E488" s="178"/>
    </row>
    <row r="489">
      <c r="A489" s="176"/>
      <c r="B489" s="176"/>
      <c r="C489" s="176"/>
      <c r="D489" s="176"/>
      <c r="E489" s="178"/>
    </row>
    <row r="490">
      <c r="A490" s="176"/>
      <c r="B490" s="176"/>
      <c r="C490" s="176"/>
      <c r="D490" s="176"/>
      <c r="E490" s="178"/>
    </row>
    <row r="491">
      <c r="A491" s="176"/>
      <c r="B491" s="176"/>
      <c r="C491" s="176"/>
      <c r="D491" s="176"/>
      <c r="E491" s="178"/>
    </row>
    <row r="492">
      <c r="A492" s="176"/>
      <c r="B492" s="176"/>
      <c r="C492" s="176"/>
      <c r="D492" s="176"/>
      <c r="E492" s="178"/>
    </row>
    <row r="493">
      <c r="A493" s="176"/>
      <c r="B493" s="176"/>
      <c r="C493" s="176"/>
      <c r="D493" s="176"/>
      <c r="E493" s="178"/>
    </row>
    <row r="494">
      <c r="A494" s="176"/>
      <c r="B494" s="176"/>
      <c r="C494" s="176"/>
      <c r="D494" s="176"/>
      <c r="E494" s="178"/>
    </row>
    <row r="495">
      <c r="A495" s="176"/>
      <c r="B495" s="176"/>
      <c r="C495" s="176"/>
      <c r="D495" s="176"/>
      <c r="E495" s="178"/>
    </row>
    <row r="496">
      <c r="A496" s="176"/>
      <c r="B496" s="176"/>
      <c r="C496" s="176"/>
      <c r="D496" s="176"/>
      <c r="E496" s="178"/>
    </row>
    <row r="497">
      <c r="A497" s="176"/>
      <c r="B497" s="176"/>
      <c r="C497" s="176"/>
      <c r="D497" s="176"/>
      <c r="E497" s="178"/>
    </row>
    <row r="498">
      <c r="A498" s="176"/>
      <c r="B498" s="176"/>
      <c r="C498" s="176"/>
      <c r="D498" s="176"/>
      <c r="E498" s="178"/>
    </row>
    <row r="499">
      <c r="A499" s="176"/>
      <c r="B499" s="176"/>
      <c r="C499" s="176"/>
      <c r="D499" s="176"/>
      <c r="E499" s="178"/>
    </row>
    <row r="500">
      <c r="A500" s="176"/>
      <c r="B500" s="176"/>
      <c r="C500" s="176"/>
      <c r="D500" s="176"/>
      <c r="E500" s="178"/>
    </row>
    <row r="501">
      <c r="A501" s="176"/>
      <c r="B501" s="176"/>
      <c r="C501" s="176"/>
      <c r="D501" s="176"/>
      <c r="E501" s="178"/>
    </row>
    <row r="502">
      <c r="A502" s="176"/>
      <c r="B502" s="176"/>
      <c r="C502" s="176"/>
      <c r="D502" s="176"/>
      <c r="E502" s="178"/>
    </row>
    <row r="503">
      <c r="A503" s="176"/>
      <c r="B503" s="176"/>
      <c r="C503" s="176"/>
      <c r="D503" s="176"/>
      <c r="E503" s="178"/>
    </row>
    <row r="504">
      <c r="A504" s="176"/>
      <c r="B504" s="176"/>
      <c r="C504" s="176"/>
      <c r="D504" s="176"/>
      <c r="E504" s="178"/>
    </row>
    <row r="505">
      <c r="A505" s="176"/>
      <c r="B505" s="176"/>
      <c r="C505" s="176"/>
      <c r="D505" s="176"/>
      <c r="E505" s="178"/>
    </row>
    <row r="506">
      <c r="A506" s="176"/>
      <c r="B506" s="176"/>
      <c r="C506" s="176"/>
      <c r="D506" s="176"/>
      <c r="E506" s="178"/>
    </row>
    <row r="507">
      <c r="A507" s="176"/>
      <c r="B507" s="176"/>
      <c r="C507" s="176"/>
      <c r="D507" s="176"/>
      <c r="E507" s="178"/>
    </row>
    <row r="508">
      <c r="A508" s="176"/>
      <c r="B508" s="176"/>
      <c r="C508" s="176"/>
      <c r="D508" s="176"/>
      <c r="E508" s="178"/>
    </row>
    <row r="509">
      <c r="A509" s="176"/>
      <c r="B509" s="176"/>
      <c r="C509" s="176"/>
      <c r="D509" s="176"/>
      <c r="E509" s="178"/>
    </row>
    <row r="510">
      <c r="A510" s="176"/>
      <c r="B510" s="176"/>
      <c r="C510" s="176"/>
      <c r="D510" s="176"/>
      <c r="E510" s="178"/>
    </row>
    <row r="511">
      <c r="A511" s="176"/>
      <c r="B511" s="176"/>
      <c r="C511" s="176"/>
      <c r="D511" s="176"/>
      <c r="E511" s="178"/>
    </row>
    <row r="512">
      <c r="A512" s="176"/>
      <c r="B512" s="176"/>
      <c r="C512" s="176"/>
      <c r="D512" s="176"/>
      <c r="E512" s="178"/>
    </row>
    <row r="513">
      <c r="A513" s="176"/>
      <c r="B513" s="176"/>
      <c r="C513" s="176"/>
      <c r="D513" s="176"/>
      <c r="E513" s="178"/>
    </row>
    <row r="514">
      <c r="A514" s="176"/>
      <c r="B514" s="176"/>
      <c r="C514" s="176"/>
      <c r="D514" s="176"/>
      <c r="E514" s="178"/>
    </row>
    <row r="515">
      <c r="A515" s="176"/>
      <c r="B515" s="176"/>
      <c r="C515" s="176"/>
      <c r="D515" s="176"/>
      <c r="E515" s="178"/>
    </row>
    <row r="516">
      <c r="A516" s="176"/>
      <c r="B516" s="176"/>
      <c r="C516" s="176"/>
      <c r="D516" s="176"/>
      <c r="E516" s="178"/>
    </row>
    <row r="517">
      <c r="A517" s="176"/>
      <c r="B517" s="176"/>
      <c r="C517" s="176"/>
      <c r="D517" s="176"/>
      <c r="E517" s="178"/>
    </row>
    <row r="518">
      <c r="A518" s="176"/>
      <c r="B518" s="176"/>
      <c r="C518" s="176"/>
      <c r="D518" s="176"/>
      <c r="E518" s="178"/>
    </row>
    <row r="519">
      <c r="A519" s="176"/>
      <c r="B519" s="176"/>
      <c r="C519" s="176"/>
      <c r="D519" s="176"/>
      <c r="E519" s="178"/>
    </row>
    <row r="520">
      <c r="A520" s="176"/>
      <c r="B520" s="176"/>
      <c r="C520" s="176"/>
      <c r="D520" s="176"/>
      <c r="E520" s="178"/>
    </row>
    <row r="521">
      <c r="A521" s="176"/>
      <c r="B521" s="176"/>
      <c r="C521" s="176"/>
      <c r="D521" s="176"/>
      <c r="E521" s="178"/>
    </row>
    <row r="522">
      <c r="A522" s="176"/>
      <c r="B522" s="176"/>
      <c r="C522" s="176"/>
      <c r="D522" s="176"/>
      <c r="E522" s="178"/>
    </row>
    <row r="523">
      <c r="A523" s="176"/>
      <c r="B523" s="176"/>
      <c r="C523" s="176"/>
      <c r="D523" s="176"/>
      <c r="E523" s="178"/>
    </row>
    <row r="524">
      <c r="A524" s="176"/>
      <c r="B524" s="176"/>
      <c r="C524" s="176"/>
      <c r="D524" s="176"/>
      <c r="E524" s="178"/>
    </row>
    <row r="525">
      <c r="A525" s="176"/>
      <c r="B525" s="176"/>
      <c r="C525" s="176"/>
      <c r="D525" s="176"/>
      <c r="E525" s="178"/>
    </row>
    <row r="526">
      <c r="A526" s="176"/>
      <c r="B526" s="176"/>
      <c r="C526" s="176"/>
      <c r="D526" s="176"/>
      <c r="E526" s="178"/>
    </row>
    <row r="527">
      <c r="A527" s="176"/>
      <c r="B527" s="176"/>
      <c r="C527" s="176"/>
      <c r="D527" s="176"/>
      <c r="E527" s="178"/>
    </row>
    <row r="528">
      <c r="A528" s="176"/>
      <c r="B528" s="176"/>
      <c r="C528" s="176"/>
      <c r="D528" s="176"/>
      <c r="E528" s="178"/>
    </row>
    <row r="529">
      <c r="A529" s="176"/>
      <c r="B529" s="176"/>
      <c r="C529" s="176"/>
      <c r="D529" s="176"/>
      <c r="E529" s="178"/>
    </row>
    <row r="530">
      <c r="A530" s="176"/>
      <c r="B530" s="176"/>
      <c r="C530" s="176"/>
      <c r="D530" s="176"/>
      <c r="E530" s="178"/>
    </row>
    <row r="531">
      <c r="A531" s="176"/>
      <c r="B531" s="176"/>
      <c r="C531" s="176"/>
      <c r="D531" s="176"/>
      <c r="E531" s="178"/>
    </row>
    <row r="532">
      <c r="A532" s="176"/>
      <c r="B532" s="176"/>
      <c r="C532" s="176"/>
      <c r="D532" s="176"/>
      <c r="E532" s="178"/>
    </row>
    <row r="533">
      <c r="A533" s="176"/>
      <c r="B533" s="176"/>
      <c r="C533" s="176"/>
      <c r="D533" s="176"/>
      <c r="E533" s="178"/>
    </row>
    <row r="534">
      <c r="A534" s="176"/>
      <c r="B534" s="176"/>
      <c r="C534" s="176"/>
      <c r="D534" s="176"/>
      <c r="E534" s="178"/>
    </row>
    <row r="535">
      <c r="A535" s="176"/>
      <c r="B535" s="176"/>
      <c r="C535" s="176"/>
      <c r="D535" s="176"/>
      <c r="E535" s="178"/>
    </row>
    <row r="536">
      <c r="A536" s="176"/>
      <c r="B536" s="176"/>
      <c r="C536" s="176"/>
      <c r="D536" s="176"/>
      <c r="E536" s="178"/>
    </row>
    <row r="537">
      <c r="A537" s="176"/>
      <c r="B537" s="176"/>
      <c r="C537" s="176"/>
      <c r="D537" s="176"/>
      <c r="E537" s="178"/>
    </row>
    <row r="538">
      <c r="A538" s="176"/>
      <c r="B538" s="176"/>
      <c r="C538" s="176"/>
      <c r="D538" s="176"/>
      <c r="E538" s="178"/>
    </row>
    <row r="539">
      <c r="A539" s="176"/>
      <c r="B539" s="176"/>
      <c r="C539" s="176"/>
      <c r="D539" s="176"/>
      <c r="E539" s="178"/>
    </row>
    <row r="540">
      <c r="A540" s="176"/>
      <c r="B540" s="176"/>
      <c r="C540" s="176"/>
      <c r="D540" s="176"/>
      <c r="E540" s="178"/>
    </row>
    <row r="541">
      <c r="A541" s="176"/>
      <c r="B541" s="176"/>
      <c r="C541" s="176"/>
      <c r="D541" s="176"/>
      <c r="E541" s="178"/>
    </row>
    <row r="542">
      <c r="A542" s="176"/>
      <c r="B542" s="176"/>
      <c r="C542" s="176"/>
      <c r="D542" s="176"/>
      <c r="E542" s="178"/>
    </row>
    <row r="543">
      <c r="A543" s="176"/>
      <c r="B543" s="176"/>
      <c r="C543" s="176"/>
      <c r="D543" s="176"/>
      <c r="E543" s="178"/>
    </row>
    <row r="544">
      <c r="A544" s="176"/>
      <c r="B544" s="176"/>
      <c r="C544" s="176"/>
      <c r="D544" s="176"/>
      <c r="E544" s="178"/>
    </row>
    <row r="545">
      <c r="A545" s="176"/>
      <c r="B545" s="176"/>
      <c r="C545" s="176"/>
      <c r="D545" s="176"/>
      <c r="E545" s="178"/>
    </row>
    <row r="546">
      <c r="A546" s="176"/>
      <c r="B546" s="176"/>
      <c r="C546" s="176"/>
      <c r="D546" s="176"/>
      <c r="E546" s="178"/>
    </row>
    <row r="547">
      <c r="A547" s="176"/>
      <c r="B547" s="176"/>
      <c r="C547" s="176"/>
      <c r="D547" s="176"/>
      <c r="E547" s="178"/>
    </row>
    <row r="548">
      <c r="A548" s="176"/>
      <c r="B548" s="176"/>
      <c r="C548" s="176"/>
      <c r="D548" s="176"/>
      <c r="E548" s="178"/>
    </row>
    <row r="549">
      <c r="A549" s="176"/>
      <c r="B549" s="176"/>
      <c r="C549" s="176"/>
      <c r="D549" s="176"/>
      <c r="E549" s="178"/>
    </row>
    <row r="550">
      <c r="A550" s="176"/>
      <c r="B550" s="176"/>
      <c r="C550" s="176"/>
      <c r="D550" s="176"/>
      <c r="E550" s="178"/>
    </row>
    <row r="551">
      <c r="A551" s="176"/>
      <c r="B551" s="176"/>
      <c r="C551" s="176"/>
      <c r="D551" s="176"/>
      <c r="E551" s="178"/>
    </row>
    <row r="552">
      <c r="A552" s="176"/>
      <c r="B552" s="176"/>
      <c r="C552" s="176"/>
      <c r="D552" s="176"/>
      <c r="E552" s="178"/>
    </row>
    <row r="553">
      <c r="A553" s="176"/>
      <c r="B553" s="176"/>
      <c r="C553" s="176"/>
      <c r="D553" s="176"/>
      <c r="E553" s="178"/>
    </row>
    <row r="554">
      <c r="A554" s="176"/>
      <c r="B554" s="176"/>
      <c r="C554" s="176"/>
      <c r="D554" s="176"/>
      <c r="E554" s="178"/>
    </row>
    <row r="555">
      <c r="A555" s="176"/>
      <c r="B555" s="176"/>
      <c r="C555" s="176"/>
      <c r="D555" s="176"/>
      <c r="E555" s="178"/>
    </row>
    <row r="556">
      <c r="A556" s="176"/>
      <c r="B556" s="176"/>
      <c r="C556" s="176"/>
      <c r="D556" s="176"/>
      <c r="E556" s="178"/>
    </row>
    <row r="557">
      <c r="A557" s="176"/>
      <c r="B557" s="176"/>
      <c r="C557" s="176"/>
      <c r="D557" s="176"/>
      <c r="E557" s="178"/>
    </row>
    <row r="558">
      <c r="A558" s="176"/>
      <c r="B558" s="176"/>
      <c r="C558" s="176"/>
      <c r="D558" s="176"/>
      <c r="E558" s="178"/>
    </row>
    <row r="559">
      <c r="A559" s="176"/>
      <c r="B559" s="176"/>
      <c r="C559" s="176"/>
      <c r="D559" s="176"/>
      <c r="E559" s="178"/>
    </row>
    <row r="560">
      <c r="A560" s="176"/>
      <c r="B560" s="176"/>
      <c r="C560" s="176"/>
      <c r="D560" s="176"/>
      <c r="E560" s="178"/>
    </row>
    <row r="561">
      <c r="A561" s="176"/>
      <c r="B561" s="176"/>
      <c r="C561" s="176"/>
      <c r="D561" s="176"/>
      <c r="E561" s="178"/>
    </row>
    <row r="562">
      <c r="A562" s="176"/>
      <c r="B562" s="176"/>
      <c r="C562" s="176"/>
      <c r="D562" s="176"/>
      <c r="E562" s="178"/>
    </row>
    <row r="563">
      <c r="A563" s="176"/>
      <c r="B563" s="176"/>
      <c r="C563" s="176"/>
      <c r="D563" s="176"/>
      <c r="E563" s="178"/>
    </row>
    <row r="564">
      <c r="A564" s="176"/>
      <c r="B564" s="176"/>
      <c r="C564" s="176"/>
      <c r="D564" s="176"/>
      <c r="E564" s="178"/>
    </row>
    <row r="565">
      <c r="A565" s="176"/>
      <c r="B565" s="176"/>
      <c r="C565" s="176"/>
      <c r="D565" s="176"/>
      <c r="E565" s="178"/>
    </row>
    <row r="566">
      <c r="A566" s="176"/>
      <c r="B566" s="176"/>
      <c r="C566" s="176"/>
      <c r="D566" s="176"/>
      <c r="E566" s="178"/>
    </row>
    <row r="567">
      <c r="A567" s="176"/>
      <c r="B567" s="176"/>
      <c r="C567" s="176"/>
      <c r="D567" s="176"/>
      <c r="E567" s="178"/>
    </row>
    <row r="568">
      <c r="A568" s="176"/>
      <c r="B568" s="176"/>
      <c r="C568" s="176"/>
      <c r="D568" s="176"/>
      <c r="E568" s="178"/>
    </row>
    <row r="569">
      <c r="A569" s="176"/>
      <c r="B569" s="176"/>
      <c r="C569" s="176"/>
      <c r="D569" s="176"/>
      <c r="E569" s="178"/>
    </row>
    <row r="570">
      <c r="A570" s="176"/>
      <c r="B570" s="176"/>
      <c r="C570" s="176"/>
      <c r="D570" s="176"/>
      <c r="E570" s="178"/>
    </row>
    <row r="571">
      <c r="A571" s="176"/>
      <c r="B571" s="176"/>
      <c r="C571" s="176"/>
      <c r="D571" s="176"/>
      <c r="E571" s="178"/>
    </row>
    <row r="572">
      <c r="A572" s="176"/>
      <c r="B572" s="176"/>
      <c r="C572" s="176"/>
      <c r="D572" s="176"/>
      <c r="E572" s="178"/>
    </row>
    <row r="573">
      <c r="A573" s="176"/>
      <c r="B573" s="176"/>
      <c r="C573" s="176"/>
      <c r="D573" s="176"/>
      <c r="E573" s="178"/>
    </row>
    <row r="574">
      <c r="A574" s="176"/>
      <c r="B574" s="176"/>
      <c r="C574" s="176"/>
      <c r="D574" s="176"/>
      <c r="E574" s="178"/>
    </row>
    <row r="575">
      <c r="A575" s="176"/>
      <c r="B575" s="176"/>
      <c r="C575" s="176"/>
      <c r="D575" s="176"/>
      <c r="E575" s="178"/>
    </row>
    <row r="576">
      <c r="A576" s="176"/>
      <c r="B576" s="176"/>
      <c r="C576" s="176"/>
      <c r="D576" s="176"/>
      <c r="E576" s="178"/>
    </row>
    <row r="577">
      <c r="A577" s="176"/>
      <c r="B577" s="176"/>
      <c r="C577" s="176"/>
      <c r="D577" s="176"/>
      <c r="E577" s="178"/>
    </row>
    <row r="578">
      <c r="A578" s="176"/>
      <c r="B578" s="176"/>
      <c r="C578" s="176"/>
      <c r="D578" s="176"/>
      <c r="E578" s="178"/>
    </row>
    <row r="579">
      <c r="A579" s="176"/>
      <c r="B579" s="176"/>
      <c r="C579" s="176"/>
      <c r="D579" s="176"/>
      <c r="E579" s="178"/>
    </row>
    <row r="580">
      <c r="A580" s="176"/>
      <c r="B580" s="176"/>
      <c r="C580" s="176"/>
      <c r="D580" s="176"/>
      <c r="E580" s="178"/>
    </row>
    <row r="581">
      <c r="A581" s="176"/>
      <c r="B581" s="176"/>
      <c r="C581" s="176"/>
      <c r="D581" s="176"/>
      <c r="E581" s="178"/>
    </row>
    <row r="582">
      <c r="A582" s="176"/>
      <c r="B582" s="176"/>
      <c r="C582" s="176"/>
      <c r="D582" s="176"/>
      <c r="E582" s="178"/>
    </row>
    <row r="583">
      <c r="A583" s="176"/>
      <c r="B583" s="176"/>
      <c r="C583" s="176"/>
      <c r="D583" s="176"/>
      <c r="E583" s="178"/>
    </row>
    <row r="584">
      <c r="A584" s="176"/>
      <c r="B584" s="176"/>
      <c r="C584" s="176"/>
      <c r="D584" s="176"/>
      <c r="E584" s="178"/>
    </row>
    <row r="585">
      <c r="A585" s="176"/>
      <c r="B585" s="176"/>
      <c r="C585" s="176"/>
      <c r="D585" s="176"/>
      <c r="E585" s="178"/>
    </row>
    <row r="586">
      <c r="A586" s="176"/>
      <c r="B586" s="176"/>
      <c r="C586" s="176"/>
      <c r="D586" s="176"/>
      <c r="E586" s="178"/>
    </row>
    <row r="587">
      <c r="A587" s="176"/>
      <c r="B587" s="176"/>
      <c r="C587" s="176"/>
      <c r="D587" s="176"/>
      <c r="E587" s="178"/>
    </row>
    <row r="588">
      <c r="A588" s="176"/>
      <c r="B588" s="176"/>
      <c r="C588" s="176"/>
      <c r="D588" s="176"/>
      <c r="E588" s="178"/>
    </row>
    <row r="589">
      <c r="A589" s="176"/>
      <c r="B589" s="176"/>
      <c r="C589" s="176"/>
      <c r="D589" s="176"/>
      <c r="E589" s="178"/>
    </row>
    <row r="590">
      <c r="A590" s="176"/>
      <c r="B590" s="176"/>
      <c r="C590" s="176"/>
      <c r="D590" s="176"/>
      <c r="E590" s="178"/>
    </row>
    <row r="591">
      <c r="A591" s="176"/>
      <c r="B591" s="176"/>
      <c r="C591" s="176"/>
      <c r="D591" s="176"/>
      <c r="E591" s="178"/>
    </row>
    <row r="592">
      <c r="A592" s="176"/>
      <c r="B592" s="176"/>
      <c r="C592" s="176"/>
      <c r="D592" s="176"/>
      <c r="E592" s="178"/>
    </row>
    <row r="593">
      <c r="A593" s="176"/>
      <c r="B593" s="176"/>
      <c r="C593" s="176"/>
      <c r="D593" s="176"/>
      <c r="E593" s="178"/>
    </row>
    <row r="594">
      <c r="A594" s="176"/>
      <c r="B594" s="176"/>
      <c r="C594" s="176"/>
      <c r="D594" s="176"/>
      <c r="E594" s="178"/>
    </row>
    <row r="595">
      <c r="A595" s="176"/>
      <c r="B595" s="176"/>
      <c r="C595" s="176"/>
      <c r="D595" s="176"/>
      <c r="E595" s="178"/>
    </row>
    <row r="596">
      <c r="A596" s="176"/>
      <c r="B596" s="176"/>
      <c r="C596" s="176"/>
      <c r="D596" s="176"/>
      <c r="E596" s="178"/>
    </row>
    <row r="597">
      <c r="A597" s="176"/>
      <c r="B597" s="176"/>
      <c r="C597" s="176"/>
      <c r="D597" s="176"/>
      <c r="E597" s="178"/>
    </row>
    <row r="598">
      <c r="A598" s="176"/>
      <c r="B598" s="176"/>
      <c r="C598" s="176"/>
      <c r="D598" s="176"/>
      <c r="E598" s="178"/>
    </row>
    <row r="599">
      <c r="A599" s="176"/>
      <c r="B599" s="176"/>
      <c r="C599" s="176"/>
      <c r="D599" s="176"/>
      <c r="E599" s="178"/>
    </row>
    <row r="600">
      <c r="A600" s="176"/>
      <c r="B600" s="176"/>
      <c r="C600" s="176"/>
      <c r="D600" s="176"/>
      <c r="E600" s="178"/>
    </row>
    <row r="601">
      <c r="A601" s="176"/>
      <c r="B601" s="176"/>
      <c r="C601" s="176"/>
      <c r="D601" s="176"/>
      <c r="E601" s="178"/>
    </row>
    <row r="602">
      <c r="A602" s="176"/>
      <c r="B602" s="176"/>
      <c r="C602" s="176"/>
      <c r="D602" s="176"/>
      <c r="E602" s="178"/>
    </row>
    <row r="603">
      <c r="A603" s="176"/>
      <c r="B603" s="176"/>
      <c r="C603" s="176"/>
      <c r="D603" s="176"/>
      <c r="E603" s="178"/>
    </row>
    <row r="604">
      <c r="A604" s="176"/>
      <c r="B604" s="176"/>
      <c r="C604" s="176"/>
      <c r="D604" s="176"/>
      <c r="E604" s="178"/>
    </row>
    <row r="605">
      <c r="A605" s="176"/>
      <c r="B605" s="176"/>
      <c r="C605" s="176"/>
      <c r="D605" s="176"/>
      <c r="E605" s="178"/>
    </row>
    <row r="606">
      <c r="A606" s="176"/>
      <c r="B606" s="176"/>
      <c r="C606" s="176"/>
      <c r="D606" s="176"/>
      <c r="E606" s="178"/>
    </row>
    <row r="607">
      <c r="A607" s="176"/>
      <c r="B607" s="176"/>
      <c r="C607" s="176"/>
      <c r="D607" s="176"/>
      <c r="E607" s="178"/>
    </row>
    <row r="608">
      <c r="A608" s="176"/>
      <c r="B608" s="176"/>
      <c r="C608" s="176"/>
      <c r="D608" s="176"/>
      <c r="E608" s="178"/>
    </row>
    <row r="609">
      <c r="A609" s="176"/>
      <c r="B609" s="176"/>
      <c r="C609" s="176"/>
      <c r="D609" s="176"/>
      <c r="E609" s="178"/>
    </row>
    <row r="610">
      <c r="A610" s="176"/>
      <c r="B610" s="176"/>
      <c r="C610" s="176"/>
      <c r="D610" s="176"/>
      <c r="E610" s="178"/>
    </row>
    <row r="611">
      <c r="A611" s="176"/>
      <c r="B611" s="176"/>
      <c r="C611" s="176"/>
      <c r="D611" s="176"/>
      <c r="E611" s="178"/>
    </row>
    <row r="612">
      <c r="A612" s="176"/>
      <c r="B612" s="176"/>
      <c r="C612" s="176"/>
      <c r="D612" s="176"/>
      <c r="E612" s="178"/>
    </row>
    <row r="613">
      <c r="A613" s="176"/>
      <c r="B613" s="176"/>
      <c r="C613" s="176"/>
      <c r="D613" s="176"/>
      <c r="E613" s="178"/>
    </row>
    <row r="614">
      <c r="A614" s="176"/>
      <c r="B614" s="176"/>
      <c r="C614" s="176"/>
      <c r="D614" s="176"/>
      <c r="E614" s="178"/>
    </row>
    <row r="615">
      <c r="A615" s="176"/>
      <c r="B615" s="176"/>
      <c r="C615" s="176"/>
      <c r="D615" s="176"/>
      <c r="E615" s="178"/>
    </row>
    <row r="616">
      <c r="A616" s="176"/>
      <c r="B616" s="176"/>
      <c r="C616" s="176"/>
      <c r="D616" s="176"/>
      <c r="E616" s="178"/>
    </row>
    <row r="617">
      <c r="A617" s="176"/>
      <c r="B617" s="176"/>
      <c r="C617" s="176"/>
      <c r="D617" s="176"/>
      <c r="E617" s="178"/>
    </row>
  </sheetData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</sheetPr>
  <sheetViews>
    <sheetView workbookViewId="0"/>
  </sheetViews>
  <sheetFormatPr customHeight="1" defaultColWidth="12.63" defaultRowHeight="15.75"/>
  <sheetData>
    <row r="1">
      <c r="A1" t="s">
        <v>1</v>
      </c>
      <c r="B1" s="15" t="s">
        <v>690</v>
      </c>
      <c r="C1" s="15" t="s">
        <v>691</v>
      </c>
    </row>
    <row r="2">
      <c r="A2" t="s">
        <v>144</v>
      </c>
      <c r="B2" t="s">
        <v>693</v>
      </c>
      <c r="C2" t="s">
        <v>694</v>
      </c>
    </row>
    <row r="3">
      <c r="A3" t="s">
        <v>141</v>
      </c>
      <c r="B3" t="s">
        <v>696</v>
      </c>
      <c r="C3" t="s">
        <v>698</v>
      </c>
    </row>
    <row r="4">
      <c r="A4" t="s">
        <v>26</v>
      </c>
      <c r="B4" t="s">
        <v>700</v>
      </c>
      <c r="C4" s="15" t="s">
        <v>701</v>
      </c>
    </row>
    <row r="5">
      <c r="A5" t="s">
        <v>327</v>
      </c>
      <c r="B5" t="s">
        <v>702</v>
      </c>
      <c r="C5" t="s">
        <v>703</v>
      </c>
    </row>
    <row r="6">
      <c r="A6" t="s">
        <v>155</v>
      </c>
      <c r="B6" t="s">
        <v>704</v>
      </c>
      <c r="C6" t="s">
        <v>705</v>
      </c>
    </row>
    <row r="7">
      <c r="A7" t="s">
        <v>129</v>
      </c>
      <c r="B7" t="s">
        <v>706</v>
      </c>
      <c r="C7" t="s">
        <v>707</v>
      </c>
    </row>
    <row r="8">
      <c r="A8" t="s">
        <v>438</v>
      </c>
      <c r="B8" t="s">
        <v>700</v>
      </c>
      <c r="C8" s="15" t="s">
        <v>701</v>
      </c>
    </row>
    <row r="9">
      <c r="A9" t="s">
        <v>436</v>
      </c>
      <c r="B9" t="s">
        <v>708</v>
      </c>
      <c r="C9" t="s">
        <v>703</v>
      </c>
    </row>
    <row r="10">
      <c r="A10" t="s">
        <v>473</v>
      </c>
      <c r="B10" t="s">
        <v>709</v>
      </c>
      <c r="C10" t="s">
        <v>703</v>
      </c>
    </row>
    <row r="11">
      <c r="A11" t="s">
        <v>157</v>
      </c>
      <c r="B11" t="s">
        <v>710</v>
      </c>
      <c r="C11" t="s">
        <v>711</v>
      </c>
    </row>
    <row r="12">
      <c r="A12" t="s">
        <v>414</v>
      </c>
      <c r="B12" t="s">
        <v>712</v>
      </c>
      <c r="C12" t="s">
        <v>703</v>
      </c>
    </row>
    <row r="13">
      <c r="A13" t="s">
        <v>419</v>
      </c>
      <c r="B13" t="s">
        <v>713</v>
      </c>
      <c r="C13" t="s">
        <v>714</v>
      </c>
    </row>
    <row r="14">
      <c r="A14" t="s">
        <v>230</v>
      </c>
      <c r="B14" t="s">
        <v>693</v>
      </c>
      <c r="C14" t="s">
        <v>711</v>
      </c>
    </row>
    <row r="15">
      <c r="A15" t="s">
        <v>245</v>
      </c>
      <c r="B15" t="s">
        <v>715</v>
      </c>
      <c r="C15" t="s">
        <v>716</v>
      </c>
    </row>
    <row r="16">
      <c r="A16" t="s">
        <v>206</v>
      </c>
      <c r="B16" t="s">
        <v>717</v>
      </c>
      <c r="C16" t="s">
        <v>718</v>
      </c>
    </row>
    <row r="17">
      <c r="A17" t="s">
        <v>390</v>
      </c>
      <c r="B17" t="s">
        <v>719</v>
      </c>
      <c r="C17" s="15" t="s">
        <v>701</v>
      </c>
    </row>
    <row r="18">
      <c r="A18" s="15" t="s">
        <v>472</v>
      </c>
      <c r="B18" t="s">
        <v>720</v>
      </c>
      <c r="C18" t="s">
        <v>721</v>
      </c>
    </row>
    <row r="19">
      <c r="A19" t="s">
        <v>191</v>
      </c>
      <c r="B19" t="s">
        <v>722</v>
      </c>
      <c r="C19" t="s">
        <v>723</v>
      </c>
    </row>
    <row r="20">
      <c r="A20" t="s">
        <v>228</v>
      </c>
      <c r="B20" t="s">
        <v>724</v>
      </c>
      <c r="C20" t="s">
        <v>723</v>
      </c>
    </row>
    <row r="21">
      <c r="A21" t="s">
        <v>458</v>
      </c>
      <c r="B21" t="s">
        <v>725</v>
      </c>
      <c r="C21" t="s">
        <v>726</v>
      </c>
    </row>
    <row r="22">
      <c r="A22" t="s">
        <v>127</v>
      </c>
      <c r="B22" t="s">
        <v>727</v>
      </c>
      <c r="C22" t="s">
        <v>703</v>
      </c>
    </row>
    <row r="23">
      <c r="A23" t="s">
        <v>10</v>
      </c>
      <c r="B23" t="s">
        <v>728</v>
      </c>
      <c r="C23" t="s">
        <v>729</v>
      </c>
    </row>
    <row r="24">
      <c r="A24" t="s">
        <v>730</v>
      </c>
      <c r="B24" t="s">
        <v>731</v>
      </c>
      <c r="C24" t="s">
        <v>732</v>
      </c>
    </row>
    <row r="25">
      <c r="A25" t="s">
        <v>442</v>
      </c>
      <c r="B25" t="s">
        <v>733</v>
      </c>
      <c r="C25" t="s">
        <v>703</v>
      </c>
    </row>
    <row r="26">
      <c r="A26" t="s">
        <v>194</v>
      </c>
      <c r="B26" t="s">
        <v>734</v>
      </c>
      <c r="C26" t="s">
        <v>735</v>
      </c>
    </row>
    <row r="27">
      <c r="A27" t="s">
        <v>455</v>
      </c>
      <c r="B27" t="s">
        <v>736</v>
      </c>
      <c r="C27" s="15" t="s">
        <v>701</v>
      </c>
    </row>
    <row r="28">
      <c r="A28" t="s">
        <v>374</v>
      </c>
      <c r="B28" t="s">
        <v>737</v>
      </c>
      <c r="C28" t="s">
        <v>738</v>
      </c>
    </row>
    <row r="29">
      <c r="A29" t="s">
        <v>739</v>
      </c>
      <c r="B29" t="s">
        <v>740</v>
      </c>
      <c r="C29" t="s">
        <v>703</v>
      </c>
    </row>
    <row r="30">
      <c r="A30" t="s">
        <v>109</v>
      </c>
      <c r="B30" t="s">
        <v>741</v>
      </c>
      <c r="C30" t="s">
        <v>742</v>
      </c>
    </row>
    <row r="31">
      <c r="A31" t="s">
        <v>405</v>
      </c>
      <c r="B31" t="s">
        <v>705</v>
      </c>
      <c r="C31" t="s">
        <v>743</v>
      </c>
    </row>
    <row r="32">
      <c r="A32" t="s">
        <v>285</v>
      </c>
      <c r="B32" t="s">
        <v>744</v>
      </c>
      <c r="C32" t="s">
        <v>745</v>
      </c>
    </row>
    <row r="33">
      <c r="A33" t="s">
        <v>382</v>
      </c>
      <c r="B33" t="s">
        <v>746</v>
      </c>
      <c r="C33" t="s">
        <v>747</v>
      </c>
    </row>
    <row r="34">
      <c r="A34" t="s">
        <v>217</v>
      </c>
      <c r="B34" t="s">
        <v>748</v>
      </c>
      <c r="C34" t="s">
        <v>749</v>
      </c>
    </row>
    <row r="35">
      <c r="A35" t="s">
        <v>210</v>
      </c>
      <c r="B35" t="s">
        <v>750</v>
      </c>
      <c r="C35" t="s">
        <v>751</v>
      </c>
    </row>
    <row r="36">
      <c r="A36" t="s">
        <v>408</v>
      </c>
      <c r="B36" t="s">
        <v>752</v>
      </c>
      <c r="C36" t="s">
        <v>735</v>
      </c>
    </row>
    <row r="37">
      <c r="A37" t="s">
        <v>387</v>
      </c>
      <c r="B37" t="s">
        <v>753</v>
      </c>
      <c r="C37" s="15" t="s">
        <v>701</v>
      </c>
    </row>
    <row r="38">
      <c r="A38" t="s">
        <v>188</v>
      </c>
      <c r="B38" t="s">
        <v>754</v>
      </c>
      <c r="C38" t="s">
        <v>755</v>
      </c>
    </row>
    <row r="39">
      <c r="A39" t="s">
        <v>452</v>
      </c>
      <c r="B39" t="s">
        <v>756</v>
      </c>
      <c r="C39" t="s">
        <v>757</v>
      </c>
    </row>
    <row r="40">
      <c r="A40" t="s">
        <v>23</v>
      </c>
      <c r="B40" t="s">
        <v>743</v>
      </c>
      <c r="C40" s="15" t="s">
        <v>701</v>
      </c>
    </row>
    <row r="41">
      <c r="A41" s="15" t="s">
        <v>461</v>
      </c>
      <c r="B41" t="s">
        <v>722</v>
      </c>
      <c r="C41" t="s">
        <v>758</v>
      </c>
    </row>
    <row r="42">
      <c r="A42" t="s">
        <v>447</v>
      </c>
      <c r="B42" t="s">
        <v>700</v>
      </c>
      <c r="C42" s="15" t="s">
        <v>701</v>
      </c>
    </row>
    <row r="43">
      <c r="A43" t="s">
        <v>123</v>
      </c>
      <c r="B43" t="s">
        <v>759</v>
      </c>
      <c r="C43" t="s">
        <v>703</v>
      </c>
    </row>
    <row r="44">
      <c r="A44" t="s">
        <v>429</v>
      </c>
      <c r="B44" t="s">
        <v>760</v>
      </c>
      <c r="C44" t="s">
        <v>761</v>
      </c>
    </row>
    <row r="45">
      <c r="A45" t="s">
        <v>232</v>
      </c>
      <c r="B45" t="s">
        <v>762</v>
      </c>
      <c r="C45" t="s">
        <v>763</v>
      </c>
    </row>
    <row r="46">
      <c r="A46" t="s">
        <v>398</v>
      </c>
      <c r="B46" t="s">
        <v>764</v>
      </c>
      <c r="C46" t="s">
        <v>765</v>
      </c>
    </row>
    <row r="47">
      <c r="A47" t="s">
        <v>120</v>
      </c>
      <c r="B47" t="s">
        <v>766</v>
      </c>
      <c r="C47" t="s">
        <v>767</v>
      </c>
    </row>
    <row r="48">
      <c r="A48" t="s">
        <v>445</v>
      </c>
      <c r="B48" t="s">
        <v>753</v>
      </c>
      <c r="C48" s="15" t="s">
        <v>701</v>
      </c>
    </row>
    <row r="49">
      <c r="A49" t="s">
        <v>768</v>
      </c>
      <c r="B49" s="15" t="s">
        <v>769</v>
      </c>
      <c r="C49" s="15" t="s">
        <v>770</v>
      </c>
    </row>
    <row r="50">
      <c r="A50" t="s">
        <v>409</v>
      </c>
      <c r="B50" t="s">
        <v>771</v>
      </c>
      <c r="C50" t="s">
        <v>772</v>
      </c>
    </row>
    <row r="51">
      <c r="A51" t="s">
        <v>383</v>
      </c>
      <c r="B51" t="s">
        <v>773</v>
      </c>
      <c r="C51" t="s">
        <v>703</v>
      </c>
    </row>
    <row r="52">
      <c r="A52" s="15" t="s">
        <v>400</v>
      </c>
      <c r="B52" t="s">
        <v>774</v>
      </c>
      <c r="C52" t="s">
        <v>775</v>
      </c>
    </row>
    <row r="53">
      <c r="A53" t="s">
        <v>133</v>
      </c>
      <c r="B53" t="s">
        <v>776</v>
      </c>
      <c r="C53" t="s">
        <v>703</v>
      </c>
    </row>
    <row r="54">
      <c r="A54" t="s">
        <v>448</v>
      </c>
      <c r="B54" t="s">
        <v>777</v>
      </c>
      <c r="C54" t="s">
        <v>778</v>
      </c>
    </row>
    <row r="55">
      <c r="A55" t="s">
        <v>378</v>
      </c>
      <c r="B55" t="s">
        <v>779</v>
      </c>
      <c r="C55" t="s">
        <v>780</v>
      </c>
    </row>
    <row r="56">
      <c r="A56" s="15" t="s">
        <v>163</v>
      </c>
      <c r="B56" t="s">
        <v>781</v>
      </c>
      <c r="C56" t="s">
        <v>782</v>
      </c>
    </row>
    <row r="57">
      <c r="A57" s="15" t="s">
        <v>449</v>
      </c>
      <c r="B57" t="s">
        <v>777</v>
      </c>
      <c r="C57" t="s">
        <v>783</v>
      </c>
    </row>
    <row r="58">
      <c r="A58" t="s">
        <v>423</v>
      </c>
      <c r="B58" t="s">
        <v>784</v>
      </c>
      <c r="C58" t="s">
        <v>785</v>
      </c>
    </row>
    <row r="59">
      <c r="A59" t="s">
        <v>392</v>
      </c>
      <c r="B59" t="s">
        <v>786</v>
      </c>
      <c r="C59" s="15" t="s">
        <v>701</v>
      </c>
    </row>
    <row r="60">
      <c r="A60" t="s">
        <v>166</v>
      </c>
      <c r="B60" t="s">
        <v>787</v>
      </c>
      <c r="C60" t="s">
        <v>788</v>
      </c>
    </row>
    <row r="61">
      <c r="A61" t="s">
        <v>160</v>
      </c>
      <c r="B61" t="s">
        <v>789</v>
      </c>
      <c r="C61" t="s">
        <v>790</v>
      </c>
    </row>
    <row r="62">
      <c r="A62" t="s">
        <v>304</v>
      </c>
      <c r="B62" t="s">
        <v>791</v>
      </c>
      <c r="C62" s="15" t="s">
        <v>701</v>
      </c>
    </row>
    <row r="63">
      <c r="A63" t="s">
        <v>460</v>
      </c>
      <c r="B63" t="s">
        <v>792</v>
      </c>
      <c r="C63" t="s">
        <v>703</v>
      </c>
    </row>
    <row r="64">
      <c r="A64" t="s">
        <v>375</v>
      </c>
      <c r="B64" t="s">
        <v>793</v>
      </c>
      <c r="C64" t="s">
        <v>794</v>
      </c>
    </row>
    <row r="65">
      <c r="A65" t="s">
        <v>437</v>
      </c>
      <c r="B65" t="s">
        <v>795</v>
      </c>
      <c r="C65" t="s">
        <v>703</v>
      </c>
    </row>
    <row r="66">
      <c r="A66" s="15" t="s">
        <v>209</v>
      </c>
      <c r="B66" t="s">
        <v>777</v>
      </c>
      <c r="C66" s="15" t="s">
        <v>701</v>
      </c>
    </row>
    <row r="67">
      <c r="A67" t="s">
        <v>439</v>
      </c>
      <c r="B67" t="s">
        <v>705</v>
      </c>
      <c r="C67" t="s">
        <v>796</v>
      </c>
    </row>
    <row r="68">
      <c r="A68" t="s">
        <v>136</v>
      </c>
      <c r="B68" t="s">
        <v>797</v>
      </c>
      <c r="C68" t="s">
        <v>798</v>
      </c>
    </row>
    <row r="69">
      <c r="A69" t="s">
        <v>425</v>
      </c>
      <c r="B69" t="s">
        <v>799</v>
      </c>
      <c r="C69" s="15" t="s">
        <v>701</v>
      </c>
    </row>
    <row r="70">
      <c r="A70" t="s">
        <v>415</v>
      </c>
      <c r="B70" t="s">
        <v>800</v>
      </c>
      <c r="C70" s="15" t="s">
        <v>701</v>
      </c>
    </row>
    <row r="71">
      <c r="A71" t="s">
        <v>453</v>
      </c>
      <c r="B71" t="s">
        <v>801</v>
      </c>
      <c r="C71" s="15" t="s">
        <v>701</v>
      </c>
    </row>
    <row r="72">
      <c r="A72" t="s">
        <v>401</v>
      </c>
      <c r="B72" t="s">
        <v>743</v>
      </c>
      <c r="C72" t="s">
        <v>802</v>
      </c>
    </row>
    <row r="73">
      <c r="A73" t="s">
        <v>402</v>
      </c>
      <c r="B73" t="s">
        <v>803</v>
      </c>
      <c r="C73" s="15" t="s">
        <v>701</v>
      </c>
    </row>
    <row r="74">
      <c r="A74" t="s">
        <v>471</v>
      </c>
      <c r="B74" t="s">
        <v>804</v>
      </c>
      <c r="C74" t="s">
        <v>805</v>
      </c>
    </row>
    <row r="75">
      <c r="A75" t="s">
        <v>433</v>
      </c>
      <c r="B75" t="s">
        <v>806</v>
      </c>
      <c r="C75" t="s">
        <v>703</v>
      </c>
    </row>
    <row r="76">
      <c r="A76" t="s">
        <v>406</v>
      </c>
      <c r="B76" t="s">
        <v>807</v>
      </c>
      <c r="C76" t="s">
        <v>808</v>
      </c>
    </row>
    <row r="77">
      <c r="A77" t="s">
        <v>28</v>
      </c>
      <c r="B77" t="s">
        <v>809</v>
      </c>
      <c r="C77" s="15" t="s">
        <v>701</v>
      </c>
    </row>
    <row r="78">
      <c r="A78" t="s">
        <v>411</v>
      </c>
      <c r="B78" t="s">
        <v>810</v>
      </c>
      <c r="C78" t="s">
        <v>811</v>
      </c>
    </row>
    <row r="79">
      <c r="A79" t="s">
        <v>394</v>
      </c>
      <c r="B79" t="s">
        <v>812</v>
      </c>
      <c r="C79" t="s">
        <v>694</v>
      </c>
    </row>
    <row r="80">
      <c r="A80" s="15" t="s">
        <v>421</v>
      </c>
      <c r="B80" t="s">
        <v>813</v>
      </c>
      <c r="C80" t="s">
        <v>814</v>
      </c>
    </row>
    <row r="81">
      <c r="A81" t="s">
        <v>347</v>
      </c>
      <c r="B81" t="s">
        <v>815</v>
      </c>
      <c r="C81" t="s">
        <v>816</v>
      </c>
    </row>
    <row r="82">
      <c r="A82" t="s">
        <v>459</v>
      </c>
      <c r="B82" t="s">
        <v>817</v>
      </c>
      <c r="C82" t="s">
        <v>703</v>
      </c>
    </row>
    <row r="83">
      <c r="A83" t="s">
        <v>181</v>
      </c>
      <c r="B83" t="s">
        <v>818</v>
      </c>
      <c r="C83" s="15" t="s">
        <v>701</v>
      </c>
    </row>
    <row r="84">
      <c r="A84" t="s">
        <v>213</v>
      </c>
      <c r="B84" t="s">
        <v>819</v>
      </c>
      <c r="C84" t="s">
        <v>820</v>
      </c>
    </row>
    <row r="85">
      <c r="A85" t="s">
        <v>427</v>
      </c>
      <c r="B85" t="s">
        <v>735</v>
      </c>
      <c r="C85" t="s">
        <v>783</v>
      </c>
    </row>
    <row r="86">
      <c r="A86" t="s">
        <v>431</v>
      </c>
      <c r="B86" t="s">
        <v>749</v>
      </c>
      <c r="C86" t="s">
        <v>821</v>
      </c>
    </row>
    <row r="87">
      <c r="A87" t="s">
        <v>463</v>
      </c>
      <c r="B87" t="s">
        <v>822</v>
      </c>
      <c r="C87" t="s">
        <v>823</v>
      </c>
    </row>
    <row r="88">
      <c r="A88" t="s">
        <v>388</v>
      </c>
      <c r="B88" t="s">
        <v>824</v>
      </c>
      <c r="C88" t="s">
        <v>733</v>
      </c>
    </row>
    <row r="89">
      <c r="A89" t="s">
        <v>420</v>
      </c>
      <c r="B89" t="s">
        <v>825</v>
      </c>
      <c r="C89" t="s">
        <v>826</v>
      </c>
    </row>
    <row r="90">
      <c r="A90" s="15" t="s">
        <v>379</v>
      </c>
      <c r="B90" t="s">
        <v>827</v>
      </c>
      <c r="C90" t="s">
        <v>828</v>
      </c>
    </row>
    <row r="91">
      <c r="A91" t="s">
        <v>457</v>
      </c>
      <c r="B91" t="s">
        <v>829</v>
      </c>
      <c r="C91" t="s">
        <v>830</v>
      </c>
    </row>
    <row r="92">
      <c r="A92" t="s">
        <v>450</v>
      </c>
      <c r="B92" t="s">
        <v>831</v>
      </c>
      <c r="C92" t="s">
        <v>703</v>
      </c>
    </row>
    <row r="93">
      <c r="A93" t="s">
        <v>373</v>
      </c>
      <c r="B93" t="s">
        <v>832</v>
      </c>
      <c r="C93" t="s">
        <v>833</v>
      </c>
    </row>
    <row r="94">
      <c r="A94" t="s">
        <v>182</v>
      </c>
      <c r="B94" t="s">
        <v>834</v>
      </c>
      <c r="C94" t="s">
        <v>703</v>
      </c>
    </row>
    <row r="95">
      <c r="A95" t="s">
        <v>412</v>
      </c>
      <c r="B95" t="s">
        <v>835</v>
      </c>
      <c r="C95" t="s">
        <v>836</v>
      </c>
    </row>
    <row r="96">
      <c r="A96" t="s">
        <v>381</v>
      </c>
      <c r="B96" t="s">
        <v>837</v>
      </c>
      <c r="C96" t="s">
        <v>838</v>
      </c>
    </row>
    <row r="97">
      <c r="A97" s="15" t="s">
        <v>100</v>
      </c>
      <c r="B97" t="s">
        <v>839</v>
      </c>
      <c r="C97" s="15" t="s">
        <v>701</v>
      </c>
    </row>
    <row r="98">
      <c r="A98" t="s">
        <v>222</v>
      </c>
      <c r="B98" t="s">
        <v>840</v>
      </c>
      <c r="C98" s="15" t="s">
        <v>701</v>
      </c>
    </row>
    <row r="99">
      <c r="A99" t="s">
        <v>430</v>
      </c>
      <c r="B99" t="s">
        <v>841</v>
      </c>
      <c r="C99" s="15" t="s">
        <v>701</v>
      </c>
    </row>
    <row r="100">
      <c r="A100" t="s">
        <v>150</v>
      </c>
      <c r="B100" t="s">
        <v>842</v>
      </c>
      <c r="C100" s="15" t="s">
        <v>701</v>
      </c>
    </row>
    <row r="101">
      <c r="A101" t="s">
        <v>389</v>
      </c>
      <c r="B101" t="s">
        <v>843</v>
      </c>
      <c r="C101" t="s">
        <v>844</v>
      </c>
    </row>
    <row r="102">
      <c r="A102" t="s">
        <v>112</v>
      </c>
      <c r="B102" t="s">
        <v>845</v>
      </c>
      <c r="C102" t="s">
        <v>846</v>
      </c>
    </row>
    <row r="103">
      <c r="A103" t="s">
        <v>391</v>
      </c>
      <c r="B103" t="s">
        <v>743</v>
      </c>
      <c r="C103" t="s">
        <v>703</v>
      </c>
    </row>
    <row r="104">
      <c r="A104" t="s">
        <v>184</v>
      </c>
      <c r="B104" t="s">
        <v>847</v>
      </c>
      <c r="C104" t="s">
        <v>702</v>
      </c>
    </row>
    <row r="105">
      <c r="A105" t="s">
        <v>139</v>
      </c>
      <c r="B105" t="s">
        <v>848</v>
      </c>
      <c r="C105" t="s">
        <v>849</v>
      </c>
    </row>
    <row r="106">
      <c r="A106" t="s">
        <v>380</v>
      </c>
      <c r="B106" t="s">
        <v>850</v>
      </c>
      <c r="C106" t="s">
        <v>851</v>
      </c>
    </row>
    <row r="107">
      <c r="A107" t="s">
        <v>186</v>
      </c>
      <c r="B107" t="s">
        <v>852</v>
      </c>
      <c r="C107" t="s">
        <v>853</v>
      </c>
    </row>
    <row r="108">
      <c r="A108" t="s">
        <v>854</v>
      </c>
      <c r="B108" s="15" t="s">
        <v>855</v>
      </c>
      <c r="C108" s="15" t="s">
        <v>856</v>
      </c>
    </row>
    <row r="109">
      <c r="A109" t="s">
        <v>377</v>
      </c>
      <c r="B109" t="s">
        <v>735</v>
      </c>
      <c r="C109" t="s">
        <v>703</v>
      </c>
    </row>
    <row r="110">
      <c r="A110" s="15" t="s">
        <v>220</v>
      </c>
      <c r="B110" t="s">
        <v>857</v>
      </c>
      <c r="C110" t="s">
        <v>723</v>
      </c>
    </row>
    <row r="111">
      <c r="A111" t="s">
        <v>858</v>
      </c>
      <c r="B111" t="s">
        <v>859</v>
      </c>
      <c r="C111" t="s">
        <v>860</v>
      </c>
    </row>
    <row r="112">
      <c r="A112" t="s">
        <v>861</v>
      </c>
      <c r="B112" t="s">
        <v>862</v>
      </c>
      <c r="C112" t="s">
        <v>863</v>
      </c>
    </row>
    <row r="113">
      <c r="A113" t="s">
        <v>864</v>
      </c>
      <c r="B113" t="s">
        <v>865</v>
      </c>
      <c r="C113" t="s">
        <v>735</v>
      </c>
    </row>
    <row r="114">
      <c r="A114" t="s">
        <v>866</v>
      </c>
      <c r="B114" t="s">
        <v>865</v>
      </c>
      <c r="C114" s="15" t="s">
        <v>701</v>
      </c>
    </row>
    <row r="115">
      <c r="A115" s="15" t="s">
        <v>404</v>
      </c>
      <c r="B115" t="s">
        <v>795</v>
      </c>
      <c r="C115" t="s">
        <v>867</v>
      </c>
    </row>
    <row r="116">
      <c r="A116" s="15" t="s">
        <v>403</v>
      </c>
      <c r="B116" t="s">
        <v>769</v>
      </c>
      <c r="C116" t="s">
        <v>868</v>
      </c>
    </row>
    <row r="117">
      <c r="A117" t="s">
        <v>395</v>
      </c>
      <c r="B117" t="s">
        <v>743</v>
      </c>
      <c r="C117" t="s">
        <v>703</v>
      </c>
    </row>
    <row r="118">
      <c r="A118" t="s">
        <v>432</v>
      </c>
      <c r="B118" t="s">
        <v>869</v>
      </c>
      <c r="C118" t="s">
        <v>870</v>
      </c>
    </row>
    <row r="119">
      <c r="A119" s="15" t="s">
        <v>441</v>
      </c>
      <c r="B119" t="s">
        <v>871</v>
      </c>
      <c r="C119" t="s">
        <v>872</v>
      </c>
    </row>
    <row r="120">
      <c r="A120" s="15" t="s">
        <v>454</v>
      </c>
      <c r="B120" t="s">
        <v>873</v>
      </c>
      <c r="C120" t="s">
        <v>782</v>
      </c>
    </row>
    <row r="121">
      <c r="A121" t="s">
        <v>451</v>
      </c>
      <c r="B121" t="s">
        <v>874</v>
      </c>
      <c r="C121" t="s">
        <v>703</v>
      </c>
    </row>
    <row r="122">
      <c r="A122" t="s">
        <v>462</v>
      </c>
      <c r="B122" t="s">
        <v>875</v>
      </c>
      <c r="C122" t="s">
        <v>876</v>
      </c>
    </row>
    <row r="123">
      <c r="A123" t="s">
        <v>426</v>
      </c>
      <c r="B123" t="s">
        <v>791</v>
      </c>
      <c r="C123" t="s">
        <v>877</v>
      </c>
    </row>
    <row r="124">
      <c r="A124" t="s">
        <v>446</v>
      </c>
      <c r="B124" t="s">
        <v>878</v>
      </c>
      <c r="C124" t="s">
        <v>703</v>
      </c>
    </row>
    <row r="125">
      <c r="A125" t="s">
        <v>434</v>
      </c>
      <c r="B125" t="s">
        <v>879</v>
      </c>
      <c r="C125" t="s">
        <v>880</v>
      </c>
    </row>
    <row r="126">
      <c r="A126" t="s">
        <v>416</v>
      </c>
      <c r="B126" t="s">
        <v>881</v>
      </c>
      <c r="C126" t="s">
        <v>882</v>
      </c>
    </row>
    <row r="127">
      <c r="A127" t="s">
        <v>176</v>
      </c>
      <c r="B127" t="s">
        <v>883</v>
      </c>
      <c r="C127" t="s">
        <v>884</v>
      </c>
    </row>
    <row r="128">
      <c r="A128" t="s">
        <v>198</v>
      </c>
      <c r="B128" t="s">
        <v>885</v>
      </c>
      <c r="C128" t="s">
        <v>703</v>
      </c>
    </row>
    <row r="129">
      <c r="A129" t="s">
        <v>422</v>
      </c>
      <c r="B129" t="s">
        <v>886</v>
      </c>
      <c r="C129" t="s">
        <v>887</v>
      </c>
    </row>
    <row r="130">
      <c r="A130" t="s">
        <v>225</v>
      </c>
      <c r="B130" t="s">
        <v>888</v>
      </c>
      <c r="C130" s="15" t="s">
        <v>701</v>
      </c>
    </row>
    <row r="131">
      <c r="A131" t="s">
        <v>443</v>
      </c>
      <c r="B131" t="s">
        <v>889</v>
      </c>
      <c r="C131" t="s">
        <v>890</v>
      </c>
    </row>
  </sheetData>
  <drawing r:id="rId1"/>
</worksheet>
</file>